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https://santandernet.sharepoint.com/sites/TestesGDPilar3ESG/Shared Documents/General/02. Green Dashboard/2. Testes/01. Testes Dados/PdS - Indicadores/"/>
    </mc:Choice>
  </mc:AlternateContent>
  <bookViews>
    <workbookView xWindow="0" yWindow="0" windowWidth="28800" windowHeight="12300" firstSheet="6" activeTab="7"/>
  </bookViews>
  <sheets>
    <sheet name="Indicadores" sheetId="1" state="hidden" r:id="rId1"/>
    <sheet name="Sheet2" sheetId="3" state="hidden" r:id="rId2"/>
    <sheet name="N Cruza" sheetId="2" state="hidden" r:id="rId3"/>
    <sheet name="Sheet7" sheetId="8" state="hidden" r:id="rId4"/>
    <sheet name="Por campo" sheetId="11" r:id="rId5"/>
    <sheet name="Dashboard" sheetId="7" r:id="rId6"/>
    <sheet name="Resumo" sheetId="14" r:id="rId7"/>
    <sheet name="Status Relações" sheetId="15" r:id="rId8"/>
    <sheet name="Plano" sheetId="16" r:id="rId9"/>
    <sheet name="aux" sheetId="6" state="hidden" r:id="rId10"/>
  </sheets>
  <externalReferences>
    <externalReference r:id="rId11"/>
  </externalReferences>
  <definedNames>
    <definedName name="_AMO_UniqueIdentifier" hidden="1">"'98fdfd1e-8a18-42d0-9169-4592737fd980'"</definedName>
    <definedName name="_xlnm._FilterDatabase" localSheetId="9" hidden="1">aux!$A$1:$J$52</definedName>
    <definedName name="_xlnm._FilterDatabase" localSheetId="2" hidden="1">'N Cruza'!$A$1:$C$3666</definedName>
    <definedName name="_xlnm._FilterDatabase" localSheetId="8" hidden="1">Plano!$B$6:$M$59</definedName>
    <definedName name="_xlnm._FilterDatabase" localSheetId="4" hidden="1">'Por campo'!$C$20:$X$20</definedName>
    <definedName name="_xlnm._FilterDatabase" localSheetId="6" hidden="1">Resumo!$F$5:$K$21</definedName>
    <definedName name="_xlnm._FilterDatabase" localSheetId="7" hidden="1">'Status Relações'!$B$4:$E$18</definedName>
    <definedName name="asefadf">#REF!</definedName>
    <definedName name="bn">'[1]Code List'!#REF!</definedName>
    <definedName name="Slicer_1_FR___1_MIS">#N/A</definedName>
    <definedName name="Slicer_1_FR___N_MIS">#N/A</definedName>
    <definedName name="Slicer_Column1">#N/A</definedName>
    <definedName name="Slicer_N_FR___N_MIS">#N/A</definedName>
    <definedName name="Slicer_Owner">#N/A</definedName>
    <definedName name="Slicer_Resumo_Origem">#N/A</definedName>
    <definedName name="Slicer_Status_Universo">#N/A</definedName>
  </definedNames>
  <calcPr calcId="162913"/>
  <pivotCaches>
    <pivotCache cacheId="4" r:id="rId12"/>
    <pivotCache cacheId="5"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57" i="16" l="1"/>
  <c r="L57" i="16"/>
  <c r="M54" i="16"/>
  <c r="M53" i="16"/>
  <c r="M52" i="16"/>
  <c r="M51" i="16"/>
  <c r="M47" i="16"/>
  <c r="M45" i="16"/>
  <c r="M40" i="16"/>
  <c r="M39" i="16"/>
  <c r="M38" i="16"/>
  <c r="M37" i="16"/>
  <c r="M35" i="16"/>
  <c r="M34" i="16"/>
  <c r="M33" i="16"/>
  <c r="M32" i="16"/>
  <c r="M31" i="16"/>
  <c r="M30" i="16"/>
  <c r="M29" i="16"/>
  <c r="M28" i="16"/>
  <c r="M27" i="16"/>
  <c r="M26" i="16"/>
  <c r="M23" i="16"/>
  <c r="M20" i="16"/>
  <c r="M18" i="16"/>
  <c r="M17" i="16"/>
  <c r="M13" i="16"/>
  <c r="M12" i="16"/>
  <c r="M11" i="16"/>
  <c r="M10" i="16"/>
  <c r="M8" i="16"/>
  <c r="M7" i="16"/>
  <c r="M5" i="16" s="1"/>
  <c r="N6" i="16"/>
  <c r="L5" i="16"/>
  <c r="Q4" i="16"/>
  <c r="P4" i="16"/>
  <c r="P6" i="16" s="1"/>
  <c r="O4" i="16"/>
  <c r="O6" i="16" s="1"/>
  <c r="GL3" i="16"/>
  <c r="GK3" i="16"/>
  <c r="GJ3" i="16"/>
  <c r="GI3" i="16"/>
  <c r="GH3" i="16"/>
  <c r="GG3" i="16"/>
  <c r="GF3" i="16"/>
  <c r="GE3" i="16"/>
  <c r="GD3" i="16"/>
  <c r="GC3" i="16"/>
  <c r="GB3" i="16"/>
  <c r="GA3" i="16"/>
  <c r="FZ3" i="16"/>
  <c r="FY3" i="16"/>
  <c r="FX3" i="16"/>
  <c r="FW3" i="16"/>
  <c r="FV3" i="16"/>
  <c r="FU3" i="16"/>
  <c r="FT3" i="16"/>
  <c r="FS3" i="16"/>
  <c r="FR3" i="16"/>
  <c r="FQ3" i="16"/>
  <c r="FP3" i="16"/>
  <c r="FO3" i="16"/>
  <c r="FN3" i="16"/>
  <c r="FM3" i="16"/>
  <c r="FL3" i="16"/>
  <c r="FK3" i="16"/>
  <c r="FJ3" i="16"/>
  <c r="FI3" i="16"/>
  <c r="FH3" i="16"/>
  <c r="FG3" i="16"/>
  <c r="FF3" i="16"/>
  <c r="FE3" i="16"/>
  <c r="FD3" i="16"/>
  <c r="FC3" i="16"/>
  <c r="FB3" i="16"/>
  <c r="FA3" i="16"/>
  <c r="EZ3" i="16"/>
  <c r="EY3" i="16"/>
  <c r="EX3" i="16"/>
  <c r="EW3" i="16"/>
  <c r="EV3" i="16"/>
  <c r="EU3" i="16"/>
  <c r="ET3" i="16"/>
  <c r="ES3" i="16"/>
  <c r="ER3" i="16"/>
  <c r="EQ3" i="16"/>
  <c r="EP3" i="16"/>
  <c r="EO3" i="16"/>
  <c r="EN3" i="16"/>
  <c r="EM3" i="16"/>
  <c r="EL3" i="16"/>
  <c r="EK3" i="16"/>
  <c r="EJ3" i="16"/>
  <c r="EI3" i="16"/>
  <c r="EH3" i="16"/>
  <c r="EG3" i="16"/>
  <c r="EF3" i="16"/>
  <c r="EE3" i="16"/>
  <c r="ED3" i="16"/>
  <c r="EC3" i="16"/>
  <c r="EB3" i="16"/>
  <c r="EA3" i="16"/>
  <c r="DZ3" i="16"/>
  <c r="DY3" i="16"/>
  <c r="DX3" i="16"/>
  <c r="DW3" i="16"/>
  <c r="DV3" i="16"/>
  <c r="DU3" i="16"/>
  <c r="DT3" i="16"/>
  <c r="DS3" i="16"/>
  <c r="DR3" i="16"/>
  <c r="DQ3" i="16"/>
  <c r="DP3" i="16"/>
  <c r="DO3" i="16"/>
  <c r="DN3" i="16"/>
  <c r="DM3" i="16"/>
  <c r="DL3" i="16"/>
  <c r="DK3" i="16"/>
  <c r="DJ3" i="16"/>
  <c r="DI3" i="16"/>
  <c r="DH3" i="16"/>
  <c r="DG3" i="16"/>
  <c r="DF3" i="16"/>
  <c r="DE3" i="16"/>
  <c r="DD3" i="16"/>
  <c r="DC3" i="16"/>
  <c r="DB3" i="16"/>
  <c r="DA3" i="16"/>
  <c r="CZ3" i="16"/>
  <c r="CY3" i="16"/>
  <c r="CX3" i="16"/>
  <c r="CW3" i="16"/>
  <c r="CV3" i="16"/>
  <c r="CU3" i="16"/>
  <c r="CT3" i="16"/>
  <c r="CS3" i="16"/>
  <c r="CR3" i="16"/>
  <c r="CQ3" i="16"/>
  <c r="CP3" i="16"/>
  <c r="CO3" i="16"/>
  <c r="CN3" i="16"/>
  <c r="CM3" i="16"/>
  <c r="CL3" i="16"/>
  <c r="CK3" i="16"/>
  <c r="CJ3" i="16"/>
  <c r="CI3" i="16"/>
  <c r="CH3" i="16"/>
  <c r="CG3" i="16"/>
  <c r="CF3" i="16"/>
  <c r="CE3" i="16"/>
  <c r="CD3" i="16"/>
  <c r="CC3" i="16"/>
  <c r="CB3" i="16"/>
  <c r="CA3" i="16"/>
  <c r="BZ3" i="16"/>
  <c r="BY3" i="16"/>
  <c r="BX3" i="16"/>
  <c r="BW3" i="16"/>
  <c r="BV3" i="16"/>
  <c r="BU3" i="16"/>
  <c r="BT3" i="16"/>
  <c r="BS3" i="16"/>
  <c r="BR3" i="16"/>
  <c r="BQ3" i="16"/>
  <c r="BP3" i="16"/>
  <c r="BO3" i="16"/>
  <c r="BN3" i="16"/>
  <c r="BM3" i="16"/>
  <c r="BL3" i="16"/>
  <c r="BK3" i="16"/>
  <c r="BJ3" i="16"/>
  <c r="BI3" i="16"/>
  <c r="BH3" i="16"/>
  <c r="BG3" i="16"/>
  <c r="BF3" i="16"/>
  <c r="BE3" i="16"/>
  <c r="BD3" i="16"/>
  <c r="BC3" i="16"/>
  <c r="BB3" i="16"/>
  <c r="BA3" i="16"/>
  <c r="AZ3" i="16"/>
  <c r="AY3" i="16"/>
  <c r="AX3" i="16"/>
  <c r="AW3" i="16"/>
  <c r="AV3" i="16"/>
  <c r="AU3" i="16"/>
  <c r="AT3" i="16"/>
  <c r="AS3" i="16"/>
  <c r="AR3" i="16"/>
  <c r="AQ3" i="16"/>
  <c r="AP3" i="16"/>
  <c r="AO3" i="16"/>
  <c r="AN3" i="16"/>
  <c r="AM3" i="16"/>
  <c r="AL3" i="16"/>
  <c r="AK3" i="16"/>
  <c r="AJ3" i="16"/>
  <c r="AI3" i="16"/>
  <c r="AH3" i="16"/>
  <c r="AG3" i="16"/>
  <c r="AF3" i="16"/>
  <c r="AE3" i="16"/>
  <c r="AD3" i="16"/>
  <c r="AC3" i="16"/>
  <c r="AB3" i="16"/>
  <c r="AA3" i="16"/>
  <c r="Z3" i="16"/>
  <c r="Y3" i="16"/>
  <c r="X3" i="16"/>
  <c r="W3" i="16"/>
  <c r="V3" i="16"/>
  <c r="U3" i="16"/>
  <c r="T3" i="16"/>
  <c r="S3" i="16"/>
  <c r="R3" i="16"/>
  <c r="Q3" i="16"/>
  <c r="P3" i="16"/>
  <c r="O3" i="16"/>
  <c r="N3" i="16"/>
  <c r="Q6" i="16" l="1"/>
  <c r="R4" i="16"/>
  <c r="S4" i="16" l="1"/>
  <c r="R6" i="16"/>
  <c r="S6" i="16" l="1"/>
  <c r="T4" i="16"/>
  <c r="T6" i="16" l="1"/>
  <c r="U4" i="16"/>
  <c r="U6" i="16" l="1"/>
  <c r="V4" i="16"/>
  <c r="W4" i="16" l="1"/>
  <c r="V6" i="16"/>
  <c r="W6" i="16" l="1"/>
  <c r="X4" i="16"/>
  <c r="X6" i="16" l="1"/>
  <c r="Y4" i="16"/>
  <c r="Y6" i="16" l="1"/>
  <c r="Z4" i="16"/>
  <c r="AA4" i="16" l="1"/>
  <c r="Z6" i="16"/>
  <c r="AA6" i="16" l="1"/>
  <c r="AB4" i="16"/>
  <c r="AB6" i="16" l="1"/>
  <c r="AC4" i="16"/>
  <c r="AC6" i="16" l="1"/>
  <c r="AD4" i="16"/>
  <c r="AE4" i="16" l="1"/>
  <c r="AD6" i="16"/>
  <c r="AE6" i="16" l="1"/>
  <c r="AF4" i="16"/>
  <c r="AF6" i="16" l="1"/>
  <c r="AG4" i="16"/>
  <c r="AG6" i="16" l="1"/>
  <c r="AH4" i="16"/>
  <c r="AI4" i="16" l="1"/>
  <c r="AH6" i="16"/>
  <c r="AI6" i="16" l="1"/>
  <c r="AJ4" i="16"/>
  <c r="AJ6" i="16" l="1"/>
  <c r="AK4" i="16"/>
  <c r="AK6" i="16" l="1"/>
  <c r="AL4" i="16"/>
  <c r="AM4" i="16" l="1"/>
  <c r="AL6" i="16"/>
  <c r="AM6" i="16" l="1"/>
  <c r="AN4" i="16"/>
  <c r="AN6" i="16" l="1"/>
  <c r="AO4" i="16"/>
  <c r="AO6" i="16" l="1"/>
  <c r="AP4" i="16"/>
  <c r="AQ4" i="16" l="1"/>
  <c r="AP6" i="16"/>
  <c r="AQ6" i="16" l="1"/>
  <c r="AR4" i="16"/>
  <c r="AR6" i="16" l="1"/>
  <c r="AS4" i="16"/>
  <c r="AS6" i="16" l="1"/>
  <c r="AT4" i="16"/>
  <c r="AU4" i="16" l="1"/>
  <c r="AT6" i="16"/>
  <c r="AU6" i="16" l="1"/>
  <c r="AV4" i="16"/>
  <c r="AV6" i="16" l="1"/>
  <c r="AW4" i="16"/>
  <c r="AW6" i="16" l="1"/>
  <c r="AX4" i="16"/>
  <c r="AY4" i="16" l="1"/>
  <c r="AX6" i="16"/>
  <c r="AY6" i="16" l="1"/>
  <c r="AZ4" i="16"/>
  <c r="AZ6" i="16" l="1"/>
  <c r="BA4" i="16"/>
  <c r="BA6" i="16" l="1"/>
  <c r="BB4" i="16"/>
  <c r="BC4" i="16" l="1"/>
  <c r="BB6" i="16"/>
  <c r="BC6" i="16" l="1"/>
  <c r="BD4" i="16"/>
  <c r="BD6" i="16" l="1"/>
  <c r="BE4" i="16"/>
  <c r="BE6" i="16" l="1"/>
  <c r="BF4" i="16"/>
  <c r="BG4" i="16" l="1"/>
  <c r="BF6" i="16"/>
  <c r="BG6" i="16" l="1"/>
  <c r="BH4" i="16"/>
  <c r="BH6" i="16" l="1"/>
  <c r="BI4" i="16"/>
  <c r="BI6" i="16" l="1"/>
  <c r="BJ4" i="16"/>
  <c r="BK4" i="16" l="1"/>
  <c r="BJ6" i="16"/>
  <c r="BK6" i="16" l="1"/>
  <c r="BL4" i="16"/>
  <c r="BL6" i="16" l="1"/>
  <c r="BM4" i="16"/>
  <c r="BM6" i="16" l="1"/>
  <c r="BN4" i="16"/>
  <c r="BO4" i="16" l="1"/>
  <c r="BN6" i="16"/>
  <c r="BO6" i="16" l="1"/>
  <c r="BP4" i="16"/>
  <c r="BP6" i="16" l="1"/>
  <c r="BQ4" i="16"/>
  <c r="BQ6" i="16" l="1"/>
  <c r="BR4" i="16"/>
  <c r="BS4" i="16" l="1"/>
  <c r="BR6" i="16"/>
  <c r="BS6" i="16" l="1"/>
  <c r="BT4" i="16"/>
  <c r="BT6" i="16" l="1"/>
  <c r="BU4" i="16"/>
  <c r="BU6" i="16" l="1"/>
  <c r="BV4" i="16"/>
  <c r="BW4" i="16" l="1"/>
  <c r="BV6" i="16"/>
  <c r="BW6" i="16" l="1"/>
  <c r="BX4" i="16"/>
  <c r="BX6" i="16" l="1"/>
  <c r="BY4" i="16"/>
  <c r="BY6" i="16" l="1"/>
  <c r="BZ4" i="16"/>
  <c r="CA4" i="16" l="1"/>
  <c r="BZ6" i="16"/>
  <c r="CA6" i="16" l="1"/>
  <c r="CB4" i="16"/>
  <c r="CB6" i="16" l="1"/>
  <c r="CC4" i="16"/>
  <c r="CC6" i="16" l="1"/>
  <c r="CD4" i="16"/>
  <c r="CE4" i="16" l="1"/>
  <c r="CD6" i="16"/>
  <c r="CE6" i="16" l="1"/>
  <c r="CF4" i="16"/>
  <c r="CF6" i="16" l="1"/>
  <c r="CG4" i="16"/>
  <c r="CG6" i="16" l="1"/>
  <c r="CH4" i="16"/>
  <c r="CI4" i="16" l="1"/>
  <c r="CH6" i="16"/>
  <c r="CI6" i="16" l="1"/>
  <c r="CJ4" i="16"/>
  <c r="CJ6" i="16" l="1"/>
  <c r="CK4" i="16"/>
  <c r="CK6" i="16" l="1"/>
  <c r="CL4" i="16"/>
  <c r="CM4" i="16" l="1"/>
  <c r="CL6" i="16"/>
  <c r="CM6" i="16" l="1"/>
  <c r="CN4" i="16"/>
  <c r="CN6" i="16" l="1"/>
  <c r="CO4" i="16"/>
  <c r="CO6" i="16" l="1"/>
  <c r="CP4" i="16"/>
  <c r="CQ4" i="16" l="1"/>
  <c r="CP6" i="16"/>
  <c r="CQ6" i="16" l="1"/>
  <c r="CR4" i="16"/>
  <c r="CR6" i="16" l="1"/>
  <c r="CS4" i="16"/>
  <c r="CS6" i="16" l="1"/>
  <c r="CT4" i="16"/>
  <c r="CU4" i="16" l="1"/>
  <c r="CT6" i="16"/>
  <c r="CU6" i="16" l="1"/>
  <c r="CV4" i="16"/>
  <c r="CV6" i="16" l="1"/>
  <c r="CW4" i="16"/>
  <c r="CW6" i="16" l="1"/>
  <c r="CX4" i="16"/>
  <c r="CY4" i="16" l="1"/>
  <c r="CX6" i="16"/>
  <c r="CY6" i="16" l="1"/>
  <c r="CZ4" i="16"/>
  <c r="CZ6" i="16" l="1"/>
  <c r="DA4" i="16"/>
  <c r="DA6" i="16" l="1"/>
  <c r="DB4" i="16"/>
  <c r="DC4" i="16" l="1"/>
  <c r="DB6" i="16"/>
  <c r="DC6" i="16" l="1"/>
  <c r="DD4" i="16"/>
  <c r="DD6" i="16" l="1"/>
  <c r="DE4" i="16"/>
  <c r="DE6" i="16" l="1"/>
  <c r="DF4" i="16"/>
  <c r="DG4" i="16" l="1"/>
  <c r="DF6" i="16"/>
  <c r="DG6" i="16" l="1"/>
  <c r="DH4" i="16"/>
  <c r="DH6" i="16" l="1"/>
  <c r="DI4" i="16"/>
  <c r="DI6" i="16" l="1"/>
  <c r="DJ4" i="16"/>
  <c r="DK4" i="16" l="1"/>
  <c r="DJ6" i="16"/>
  <c r="DK6" i="16" l="1"/>
  <c r="DL4" i="16"/>
  <c r="DL6" i="16" l="1"/>
  <c r="DM4" i="16"/>
  <c r="DM6" i="16" l="1"/>
  <c r="DN4" i="16"/>
  <c r="DO4" i="16" l="1"/>
  <c r="DN6" i="16"/>
  <c r="DO6" i="16" l="1"/>
  <c r="DP4" i="16"/>
  <c r="DP6" i="16" l="1"/>
  <c r="DQ4" i="16"/>
  <c r="DQ6" i="16" l="1"/>
  <c r="DR4" i="16"/>
  <c r="DS4" i="16" l="1"/>
  <c r="DR6" i="16"/>
  <c r="DS6" i="16" l="1"/>
  <c r="DT4" i="16"/>
  <c r="DT6" i="16" l="1"/>
  <c r="DU4" i="16"/>
  <c r="DU6" i="16" l="1"/>
  <c r="DV4" i="16"/>
  <c r="DW4" i="16" l="1"/>
  <c r="DV6" i="16"/>
  <c r="DW6" i="16" l="1"/>
  <c r="DX4" i="16"/>
  <c r="DX6" i="16" l="1"/>
  <c r="DY4" i="16"/>
  <c r="DY6" i="16" l="1"/>
  <c r="DZ4" i="16"/>
  <c r="EA4" i="16" l="1"/>
  <c r="DZ6" i="16"/>
  <c r="EA6" i="16" l="1"/>
  <c r="EB4" i="16"/>
  <c r="EB6" i="16" l="1"/>
  <c r="EC4" i="16"/>
  <c r="EC6" i="16" l="1"/>
  <c r="ED4" i="16"/>
  <c r="EE4" i="16" l="1"/>
  <c r="ED6" i="16"/>
  <c r="EE6" i="16" l="1"/>
  <c r="EF4" i="16"/>
  <c r="EF6" i="16" l="1"/>
  <c r="EG4" i="16"/>
  <c r="EG6" i="16" l="1"/>
  <c r="EH4" i="16"/>
  <c r="EI4" i="16" l="1"/>
  <c r="EH6" i="16"/>
  <c r="EI6" i="16" l="1"/>
  <c r="EJ4" i="16"/>
  <c r="EJ6" i="16" l="1"/>
  <c r="EK4" i="16"/>
  <c r="EK6" i="16" l="1"/>
  <c r="EL4" i="16"/>
  <c r="EM4" i="16" l="1"/>
  <c r="EL6" i="16"/>
  <c r="EM6" i="16" l="1"/>
  <c r="EN4" i="16"/>
  <c r="EN6" i="16" l="1"/>
  <c r="EO4" i="16"/>
  <c r="EO6" i="16" l="1"/>
  <c r="EP4" i="16"/>
  <c r="EQ4" i="16" l="1"/>
  <c r="EP6" i="16"/>
  <c r="EQ6" i="16" l="1"/>
  <c r="ER4" i="16"/>
  <c r="ER6" i="16" l="1"/>
  <c r="ES4" i="16"/>
  <c r="ES6" i="16" l="1"/>
  <c r="ET4" i="16"/>
  <c r="EU4" i="16" l="1"/>
  <c r="ET6" i="16"/>
  <c r="EU6" i="16" l="1"/>
  <c r="EV4" i="16"/>
  <c r="EV6" i="16" l="1"/>
  <c r="EW4" i="16"/>
  <c r="EW6" i="16" l="1"/>
  <c r="EX4" i="16"/>
  <c r="EY4" i="16" l="1"/>
  <c r="EX6" i="16"/>
  <c r="EY6" i="16" l="1"/>
  <c r="EZ4" i="16"/>
  <c r="EZ6" i="16" l="1"/>
  <c r="FA4" i="16"/>
  <c r="FA6" i="16" l="1"/>
  <c r="FB4" i="16"/>
  <c r="FC4" i="16" l="1"/>
  <c r="FB6" i="16"/>
  <c r="FC6" i="16" l="1"/>
  <c r="FD4" i="16"/>
  <c r="FD6" i="16" l="1"/>
  <c r="FE4" i="16"/>
  <c r="FE6" i="16" l="1"/>
  <c r="FF4" i="16"/>
  <c r="FG4" i="16" l="1"/>
  <c r="FF6" i="16"/>
  <c r="FG6" i="16" l="1"/>
  <c r="FH4" i="16"/>
  <c r="FH6" i="16" l="1"/>
  <c r="FI4" i="16"/>
  <c r="FI6" i="16" l="1"/>
  <c r="FJ4" i="16"/>
  <c r="FK4" i="16" l="1"/>
  <c r="FJ6" i="16"/>
  <c r="FK6" i="16" l="1"/>
  <c r="FL4" i="16"/>
  <c r="FL6" i="16" l="1"/>
  <c r="FM4" i="16"/>
  <c r="FM6" i="16" l="1"/>
  <c r="FN4" i="16"/>
  <c r="FO4" i="16" l="1"/>
  <c r="FN6" i="16"/>
  <c r="FO6" i="16" l="1"/>
  <c r="FP4" i="16"/>
  <c r="FP6" i="16" l="1"/>
  <c r="FQ4" i="16"/>
  <c r="FQ6" i="16" l="1"/>
  <c r="FR4" i="16"/>
  <c r="FS4" i="16" l="1"/>
  <c r="FR6" i="16"/>
  <c r="FS6" i="16" l="1"/>
  <c r="FT4" i="16"/>
  <c r="FT6" i="16" l="1"/>
  <c r="FU4" i="16"/>
  <c r="FU6" i="16" l="1"/>
  <c r="FV4" i="16"/>
  <c r="FW4" i="16" l="1"/>
  <c r="FV6" i="16"/>
  <c r="FW6" i="16" l="1"/>
  <c r="FX4" i="16"/>
  <c r="FX6" i="16" l="1"/>
  <c r="FY4" i="16"/>
  <c r="FY6" i="16" l="1"/>
  <c r="FZ4" i="16"/>
  <c r="GA4" i="16" l="1"/>
  <c r="FZ6" i="16"/>
  <c r="GA6" i="16" l="1"/>
  <c r="GB4" i="16"/>
  <c r="GB6" i="16" l="1"/>
  <c r="GC4" i="16"/>
  <c r="GC6" i="16" l="1"/>
  <c r="GD4" i="16"/>
  <c r="GE4" i="16" l="1"/>
  <c r="GD6" i="16"/>
  <c r="GE6" i="16" l="1"/>
  <c r="GF4" i="16"/>
  <c r="GF6" i="16" l="1"/>
  <c r="GG4" i="16"/>
  <c r="GG6" i="16" l="1"/>
  <c r="GH4" i="16"/>
  <c r="GI4" i="16" l="1"/>
  <c r="GH6" i="16"/>
  <c r="GI6" i="16" l="1"/>
  <c r="GJ4" i="16"/>
  <c r="GJ6" i="16" l="1"/>
  <c r="GK4" i="16"/>
  <c r="GK6" i="16" l="1"/>
  <c r="GL4" i="16"/>
  <c r="GM4" i="16" l="1"/>
  <c r="GL6" i="16"/>
  <c r="GM6" i="16" l="1"/>
  <c r="GN4" i="16"/>
  <c r="GN6" i="16" l="1"/>
  <c r="GO4" i="16"/>
  <c r="GO6" i="16" l="1"/>
  <c r="GP4" i="16"/>
  <c r="GP6" i="16" l="1"/>
  <c r="GQ4" i="16"/>
  <c r="GQ6" i="16" l="1"/>
  <c r="GR4" i="16"/>
  <c r="GR6" i="16" l="1"/>
  <c r="GS4" i="16"/>
  <c r="GS6" i="16" l="1"/>
  <c r="GT4" i="16"/>
  <c r="GU4" i="16" l="1"/>
  <c r="GT6" i="16"/>
  <c r="GU6" i="16" l="1"/>
  <c r="GV4" i="16"/>
  <c r="GV6" i="16" l="1"/>
  <c r="GW4" i="16"/>
  <c r="GW6" i="16" l="1"/>
  <c r="GX4" i="16"/>
  <c r="GX6" i="16" l="1"/>
  <c r="GY4" i="16"/>
  <c r="GY6" i="16" l="1"/>
  <c r="GZ4" i="16"/>
  <c r="GZ6" i="16" l="1"/>
  <c r="HA4" i="16"/>
  <c r="HA6" i="16" l="1"/>
  <c r="HB4" i="16"/>
  <c r="HC4" i="16" l="1"/>
  <c r="HB6" i="16"/>
  <c r="I24" i="11"/>
  <c r="H11" i="11"/>
  <c r="I47" i="11"/>
  <c r="C22" i="11"/>
  <c r="HC6" i="16" l="1"/>
  <c r="HD4" i="16"/>
  <c r="I31" i="11"/>
  <c r="I25" i="11"/>
  <c r="C25" i="11"/>
  <c r="K24" i="11"/>
  <c r="C24" i="11"/>
  <c r="V49" i="11"/>
  <c r="I43" i="11"/>
  <c r="I45" i="11"/>
  <c r="HD6" i="16" l="1"/>
  <c r="HE4" i="16"/>
  <c r="HE6" i="16" l="1"/>
  <c r="HF4" i="16"/>
  <c r="HF6" i="16" l="1"/>
  <c r="HG4" i="16"/>
  <c r="HG6" i="16" l="1"/>
  <c r="HH4" i="16"/>
  <c r="HH6" i="16" l="1"/>
  <c r="HI4" i="16"/>
  <c r="HI6" i="16" l="1"/>
  <c r="HJ4" i="16"/>
  <c r="HK4" i="16" l="1"/>
  <c r="HJ6" i="16"/>
  <c r="HK6" i="16" l="1"/>
  <c r="HL4" i="16"/>
  <c r="HL6" i="16" l="1"/>
  <c r="HM4" i="16"/>
  <c r="HM6" i="16" l="1"/>
  <c r="HN4" i="16"/>
  <c r="HN6" i="16" l="1"/>
  <c r="HO4" i="16"/>
  <c r="HO6" i="16" l="1"/>
  <c r="HP4" i="16"/>
  <c r="HP6" i="16" l="1"/>
  <c r="HQ4" i="16"/>
  <c r="HQ6" i="16" l="1"/>
  <c r="HR4" i="16"/>
  <c r="HS4" i="16" s="1"/>
  <c r="HT4" i="16" s="1"/>
  <c r="HU4" i="16" s="1"/>
  <c r="HV4" i="16" s="1"/>
  <c r="HW4" i="16" s="1"/>
  <c r="HX4" i="16" s="1"/>
  <c r="HY4" i="16" s="1"/>
  <c r="HZ4" i="16" s="1"/>
  <c r="IA4" i="16" s="1"/>
  <c r="IB4" i="16" s="1"/>
  <c r="IC4" i="16" s="1"/>
  <c r="ID4" i="16" s="1"/>
  <c r="IE4" i="16" s="1"/>
  <c r="IF4" i="16" s="1"/>
  <c r="IG4" i="16" s="1"/>
  <c r="IH4" i="16" s="1"/>
  <c r="II4" i="16" s="1"/>
  <c r="IJ4" i="16" s="1"/>
  <c r="IK4" i="16" s="1"/>
  <c r="IL4" i="16" s="1"/>
  <c r="IM4" i="16" s="1"/>
  <c r="IN4" i="16" s="1"/>
  <c r="IO4" i="16" s="1"/>
  <c r="IP4" i="16" s="1"/>
  <c r="IQ4" i="16" s="1"/>
  <c r="IR4" i="16" s="1"/>
  <c r="IS4" i="16" s="1"/>
  <c r="IT4" i="16" s="1"/>
  <c r="IU4" i="16" s="1"/>
  <c r="IV4" i="16" s="1"/>
  <c r="IW4" i="16" s="1"/>
  <c r="IX4" i="16" s="1"/>
  <c r="IY4" i="16" s="1"/>
  <c r="IZ4" i="16" s="1"/>
  <c r="JA4" i="16" s="1"/>
  <c r="JB4" i="16" s="1"/>
  <c r="JC4" i="16" s="1"/>
  <c r="JD4" i="16" s="1"/>
  <c r="JE4" i="16" s="1"/>
  <c r="JF4" i="16" s="1"/>
  <c r="JG4" i="16" s="1"/>
  <c r="JH4" i="16" s="1"/>
  <c r="JI4" i="16" s="1"/>
  <c r="JJ4" i="16" s="1"/>
  <c r="JK4" i="16" s="1"/>
  <c r="JL4" i="16" s="1"/>
  <c r="JM4" i="16" s="1"/>
  <c r="JN4" i="16" s="1"/>
  <c r="JO4" i="16" s="1"/>
  <c r="JP4" i="16" s="1"/>
  <c r="JQ4" i="16" s="1"/>
  <c r="JR4" i="16" s="1"/>
  <c r="JS4" i="16" s="1"/>
  <c r="JT4" i="16" s="1"/>
  <c r="JU4" i="16" s="1"/>
  <c r="JV4" i="16" s="1"/>
  <c r="JW4" i="16" s="1"/>
  <c r="JX4" i="16" s="1"/>
  <c r="JY4" i="16" s="1"/>
  <c r="JZ4" i="16" s="1"/>
  <c r="KA4" i="16" s="1"/>
  <c r="KB4" i="16" s="1"/>
  <c r="KC4" i="16" s="1"/>
  <c r="KD4" i="16" s="1"/>
  <c r="KE4" i="16" s="1"/>
  <c r="KF4" i="16" s="1"/>
  <c r="KG4" i="16" s="1"/>
  <c r="KH4" i="16" s="1"/>
  <c r="KI4" i="16" s="1"/>
  <c r="KJ4" i="16" s="1"/>
  <c r="KK4" i="16" s="1"/>
  <c r="KL4" i="16" s="1"/>
  <c r="KM4" i="16" s="1"/>
  <c r="KN4" i="16" s="1"/>
  <c r="KO4" i="16" s="1"/>
  <c r="KP4" i="16" s="1"/>
  <c r="KQ4" i="16" s="1"/>
  <c r="KR4" i="16" s="1"/>
  <c r="KS4" i="16" s="1"/>
  <c r="KT4" i="16" s="1"/>
  <c r="KU4" i="16" s="1"/>
  <c r="KV4" i="16" s="1"/>
  <c r="KW4" i="16" s="1"/>
  <c r="KX4" i="16" s="1"/>
  <c r="KY4" i="16" s="1"/>
  <c r="KZ4" i="16" s="1"/>
  <c r="LA4" i="16" s="1"/>
  <c r="LB4" i="16" s="1"/>
  <c r="LC4" i="16" s="1"/>
  <c r="LD4" i="16" s="1"/>
  <c r="LE4" i="16" s="1"/>
  <c r="LF4" i="16" s="1"/>
  <c r="LG4" i="16" s="1"/>
  <c r="LH4" i="16" s="1"/>
  <c r="I22" i="11" l="1"/>
  <c r="V55" i="11" l="1"/>
  <c r="V53" i="11"/>
  <c r="V50" i="11"/>
  <c r="V48" i="11"/>
  <c r="V46" i="11"/>
  <c r="V44" i="11"/>
  <c r="V41" i="11"/>
  <c r="V32" i="11"/>
  <c r="X32" i="11"/>
  <c r="L58" i="11"/>
  <c r="L57" i="11"/>
  <c r="L56" i="11"/>
  <c r="L55" i="11"/>
  <c r="L53" i="11"/>
  <c r="L51" i="11"/>
  <c r="L50" i="11"/>
  <c r="L48" i="11"/>
  <c r="L46" i="11"/>
  <c r="L44" i="11"/>
  <c r="L41" i="11"/>
  <c r="H57" i="11"/>
  <c r="H56" i="11"/>
  <c r="H55" i="11"/>
  <c r="H54" i="11"/>
  <c r="H53" i="11"/>
  <c r="H52" i="11"/>
  <c r="H51" i="11"/>
  <c r="H50" i="11"/>
  <c r="H49" i="11"/>
  <c r="H48" i="11"/>
  <c r="H47" i="11"/>
  <c r="H46" i="11"/>
  <c r="H45" i="11"/>
  <c r="H44" i="11"/>
  <c r="H43" i="11"/>
  <c r="H42" i="11"/>
  <c r="H41" i="11"/>
  <c r="C31" i="11" l="1"/>
  <c r="I49" i="11"/>
  <c r="C49" i="11"/>
  <c r="C45" i="11"/>
  <c r="I32" i="11" l="1"/>
  <c r="C26" i="11" l="1"/>
  <c r="C27" i="11"/>
  <c r="C47" i="11"/>
  <c r="C43" i="11"/>
  <c r="C21" i="11" l="1"/>
  <c r="I21" i="11"/>
  <c r="I26" i="11" l="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22"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H52" i="6" l="1"/>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G52" i="6"/>
  <c r="J52" i="6" s="1"/>
  <c r="F52" i="6"/>
  <c r="E52" i="6"/>
  <c r="D52" i="6"/>
  <c r="C52" i="6"/>
  <c r="B52" i="6"/>
  <c r="G51" i="6"/>
  <c r="J51" i="6" s="1"/>
  <c r="F51" i="6"/>
  <c r="E51" i="6"/>
  <c r="D51" i="6"/>
  <c r="C51" i="6"/>
  <c r="B51" i="6"/>
  <c r="G50" i="6"/>
  <c r="J50" i="6" s="1"/>
  <c r="F50" i="6"/>
  <c r="E50" i="6"/>
  <c r="D50" i="6"/>
  <c r="C50" i="6"/>
  <c r="B50" i="6"/>
  <c r="G49" i="6"/>
  <c r="I49" i="6" s="1"/>
  <c r="F49" i="6"/>
  <c r="E49" i="6"/>
  <c r="D49" i="6"/>
  <c r="C49" i="6"/>
  <c r="B49" i="6"/>
  <c r="G48" i="6"/>
  <c r="J48" i="6" s="1"/>
  <c r="F48" i="6"/>
  <c r="D48" i="6"/>
  <c r="C48" i="6"/>
  <c r="B48" i="6"/>
  <c r="G47" i="6"/>
  <c r="J47" i="6" s="1"/>
  <c r="F47" i="6"/>
  <c r="C47" i="6"/>
  <c r="G46" i="6"/>
  <c r="J46" i="6" s="1"/>
  <c r="F46" i="6"/>
  <c r="E46" i="6"/>
  <c r="D46" i="6"/>
  <c r="C46" i="6"/>
  <c r="B46" i="6"/>
  <c r="G45" i="6"/>
  <c r="I45" i="6" s="1"/>
  <c r="F45" i="6"/>
  <c r="E45" i="6"/>
  <c r="D45" i="6"/>
  <c r="C45" i="6"/>
  <c r="B45" i="6"/>
  <c r="G44" i="6"/>
  <c r="J44" i="6" s="1"/>
  <c r="F44" i="6"/>
  <c r="E44" i="6"/>
  <c r="D44" i="6"/>
  <c r="C44" i="6"/>
  <c r="B44" i="6"/>
  <c r="G43" i="6"/>
  <c r="J43" i="6" s="1"/>
  <c r="F43" i="6"/>
  <c r="E43" i="6"/>
  <c r="D43" i="6"/>
  <c r="C43" i="6"/>
  <c r="B43" i="6"/>
  <c r="G42" i="6"/>
  <c r="J42" i="6" s="1"/>
  <c r="F42" i="6"/>
  <c r="E42" i="6"/>
  <c r="D42" i="6"/>
  <c r="C42" i="6"/>
  <c r="B42" i="6"/>
  <c r="G41" i="6"/>
  <c r="I41" i="6" s="1"/>
  <c r="F41" i="6"/>
  <c r="E41" i="6"/>
  <c r="D41" i="6"/>
  <c r="B41" i="6"/>
  <c r="G40" i="6"/>
  <c r="J40" i="6" s="1"/>
  <c r="F40" i="6"/>
  <c r="C40" i="6"/>
  <c r="G39" i="6"/>
  <c r="J39" i="6" s="1"/>
  <c r="F39" i="6"/>
  <c r="E39" i="6"/>
  <c r="D39" i="6"/>
  <c r="B39" i="6"/>
  <c r="G38" i="6"/>
  <c r="J38" i="6" s="1"/>
  <c r="F38" i="6"/>
  <c r="C38" i="6"/>
  <c r="G37" i="6"/>
  <c r="I37" i="6" s="1"/>
  <c r="F37" i="6"/>
  <c r="E37" i="6"/>
  <c r="D37" i="6"/>
  <c r="B37" i="6"/>
  <c r="G36" i="6"/>
  <c r="J36" i="6" s="1"/>
  <c r="F36" i="6"/>
  <c r="C36" i="6"/>
  <c r="G35" i="6"/>
  <c r="J35" i="6" s="1"/>
  <c r="F35" i="6"/>
  <c r="E35" i="6"/>
  <c r="D35" i="6"/>
  <c r="B35" i="6"/>
  <c r="G34" i="6"/>
  <c r="J34" i="6" s="1"/>
  <c r="F34" i="6"/>
  <c r="G33" i="6"/>
  <c r="I33" i="6" s="1"/>
  <c r="F33" i="6"/>
  <c r="E33" i="6"/>
  <c r="D33" i="6"/>
  <c r="B33" i="6"/>
  <c r="G32" i="6"/>
  <c r="J32" i="6" s="1"/>
  <c r="F32" i="6"/>
  <c r="C32" i="6"/>
  <c r="G31" i="6"/>
  <c r="J31" i="6" s="1"/>
  <c r="F31" i="6"/>
  <c r="E31" i="6"/>
  <c r="D31" i="6"/>
  <c r="B31" i="6"/>
  <c r="G30" i="6"/>
  <c r="J30" i="6" s="1"/>
  <c r="F30" i="6"/>
  <c r="G29" i="6"/>
  <c r="I29" i="6" s="1"/>
  <c r="F29" i="6"/>
  <c r="C29" i="6"/>
  <c r="G28" i="6"/>
  <c r="J28" i="6" s="1"/>
  <c r="F28" i="6"/>
  <c r="E28" i="6"/>
  <c r="D28" i="6"/>
  <c r="B28" i="6"/>
  <c r="G27" i="6"/>
  <c r="J27" i="6" s="1"/>
  <c r="F27" i="6"/>
  <c r="E27" i="6"/>
  <c r="D27" i="6"/>
  <c r="C27" i="6"/>
  <c r="B27" i="6"/>
  <c r="G26" i="6"/>
  <c r="J26" i="6" s="1"/>
  <c r="F26" i="6"/>
  <c r="E26" i="6"/>
  <c r="D26" i="6"/>
  <c r="C26" i="6"/>
  <c r="B26" i="6"/>
  <c r="G25" i="6"/>
  <c r="I25" i="6" s="1"/>
  <c r="F25" i="6"/>
  <c r="E25" i="6"/>
  <c r="D25" i="6"/>
  <c r="C25" i="6"/>
  <c r="B25" i="6"/>
  <c r="G24" i="6"/>
  <c r="J24" i="6" s="1"/>
  <c r="F24" i="6"/>
  <c r="E24" i="6"/>
  <c r="D24" i="6"/>
  <c r="C24" i="6"/>
  <c r="B24" i="6"/>
  <c r="G23" i="6"/>
  <c r="J23" i="6" s="1"/>
  <c r="F23" i="6"/>
  <c r="E23" i="6"/>
  <c r="D23" i="6"/>
  <c r="C23" i="6"/>
  <c r="B23" i="6"/>
  <c r="G22" i="6"/>
  <c r="J22" i="6" s="1"/>
  <c r="F22" i="6"/>
  <c r="E22" i="6"/>
  <c r="D22" i="6"/>
  <c r="C22" i="6"/>
  <c r="B22" i="6"/>
  <c r="G21" i="6"/>
  <c r="I21" i="6" s="1"/>
  <c r="F21" i="6"/>
  <c r="E21" i="6"/>
  <c r="D21" i="6"/>
  <c r="B21" i="6"/>
  <c r="G20" i="6"/>
  <c r="J20" i="6" s="1"/>
  <c r="F20" i="6"/>
  <c r="C20" i="6"/>
  <c r="G19" i="6"/>
  <c r="J19" i="6" s="1"/>
  <c r="F19" i="6"/>
  <c r="C19" i="6"/>
  <c r="G18" i="6"/>
  <c r="J18" i="6" s="1"/>
  <c r="F18" i="6"/>
  <c r="E18" i="6"/>
  <c r="D18" i="6"/>
  <c r="C18" i="6"/>
  <c r="B18" i="6"/>
  <c r="G17" i="6"/>
  <c r="I17" i="6" s="1"/>
  <c r="F17" i="6"/>
  <c r="C17" i="6"/>
  <c r="G16" i="6"/>
  <c r="J16" i="6" s="1"/>
  <c r="F16" i="6"/>
  <c r="C16" i="6"/>
  <c r="G15" i="6"/>
  <c r="J15" i="6" s="1"/>
  <c r="F15" i="6"/>
  <c r="E15" i="6"/>
  <c r="C15" i="6"/>
  <c r="G14" i="6"/>
  <c r="J14" i="6" s="1"/>
  <c r="F14" i="6"/>
  <c r="C14" i="6"/>
  <c r="G13" i="6"/>
  <c r="I13" i="6" s="1"/>
  <c r="F13" i="6"/>
  <c r="E13" i="6"/>
  <c r="D13" i="6"/>
  <c r="C13" i="6"/>
  <c r="B13" i="6"/>
  <c r="G12" i="6"/>
  <c r="J12" i="6" s="1"/>
  <c r="F12" i="6"/>
  <c r="E12" i="6"/>
  <c r="D12" i="6"/>
  <c r="C12" i="6"/>
  <c r="B12" i="6"/>
  <c r="G11" i="6"/>
  <c r="J11" i="6" s="1"/>
  <c r="F11" i="6"/>
  <c r="E11" i="6"/>
  <c r="D11" i="6"/>
  <c r="C11" i="6"/>
  <c r="B11" i="6"/>
  <c r="G10" i="6"/>
  <c r="J10" i="6" s="1"/>
  <c r="F10" i="6"/>
  <c r="E10" i="6"/>
  <c r="D10" i="6"/>
  <c r="C10" i="6"/>
  <c r="B10" i="6"/>
  <c r="G9" i="6"/>
  <c r="I9" i="6" s="1"/>
  <c r="F9" i="6"/>
  <c r="E9" i="6"/>
  <c r="D9" i="6"/>
  <c r="C9" i="6"/>
  <c r="B9" i="6"/>
  <c r="G8" i="6"/>
  <c r="J8" i="6" s="1"/>
  <c r="F8" i="6"/>
  <c r="E8" i="6"/>
  <c r="D8" i="6"/>
  <c r="C8" i="6"/>
  <c r="B8" i="6"/>
  <c r="G7" i="6"/>
  <c r="J7" i="6" s="1"/>
  <c r="F7" i="6"/>
  <c r="E7" i="6"/>
  <c r="D7" i="6"/>
  <c r="C7" i="6"/>
  <c r="B7" i="6"/>
  <c r="G6" i="6"/>
  <c r="J6" i="6" s="1"/>
  <c r="F6" i="6"/>
  <c r="E6" i="6"/>
  <c r="D6" i="6"/>
  <c r="C6" i="6"/>
  <c r="B6" i="6"/>
  <c r="G5" i="6"/>
  <c r="I5" i="6" s="1"/>
  <c r="F5" i="6"/>
  <c r="E5" i="6"/>
  <c r="D5" i="6"/>
  <c r="C5" i="6"/>
  <c r="B5" i="6"/>
  <c r="G4" i="6"/>
  <c r="J4" i="6" s="1"/>
  <c r="F4" i="6"/>
  <c r="E4" i="6"/>
  <c r="D4" i="6"/>
  <c r="C4" i="6"/>
  <c r="B4" i="6"/>
  <c r="G3" i="6"/>
  <c r="J3" i="6" s="1"/>
  <c r="F3" i="6"/>
  <c r="E3" i="6"/>
  <c r="D3" i="6"/>
  <c r="C3" i="6"/>
  <c r="B3" i="6"/>
  <c r="F2" i="6"/>
  <c r="E2" i="6"/>
  <c r="D2" i="6"/>
  <c r="C2" i="6"/>
  <c r="B2" i="6"/>
  <c r="G2" i="6"/>
  <c r="J2" i="6" s="1"/>
  <c r="I7" i="6" l="1"/>
  <c r="I15" i="6"/>
  <c r="I31" i="6"/>
  <c r="I23" i="6"/>
  <c r="I30" i="6"/>
  <c r="I14" i="6"/>
  <c r="I6" i="6"/>
  <c r="I22" i="6"/>
  <c r="I3" i="6"/>
  <c r="I11" i="6"/>
  <c r="I19" i="6"/>
  <c r="I27" i="6"/>
  <c r="I10" i="6"/>
  <c r="I18" i="6"/>
  <c r="I26" i="6"/>
  <c r="I34" i="6"/>
  <c r="I35" i="6"/>
  <c r="I38" i="6"/>
  <c r="I39" i="6"/>
  <c r="I42" i="6"/>
  <c r="I43" i="6"/>
  <c r="I46" i="6"/>
  <c r="I47" i="6"/>
  <c r="I50" i="6"/>
  <c r="I51" i="6"/>
  <c r="J5" i="6"/>
  <c r="J9" i="6"/>
  <c r="J13" i="6"/>
  <c r="J17" i="6"/>
  <c r="J21" i="6"/>
  <c r="J25" i="6"/>
  <c r="J29" i="6"/>
  <c r="J33" i="6"/>
  <c r="J37" i="6"/>
  <c r="J41" i="6"/>
  <c r="J45" i="6"/>
  <c r="J49" i="6"/>
  <c r="I4" i="6"/>
  <c r="I8" i="6"/>
  <c r="I12" i="6"/>
  <c r="I16" i="6"/>
  <c r="I20" i="6"/>
  <c r="I24" i="6"/>
  <c r="I28" i="6"/>
  <c r="I32" i="6"/>
  <c r="I36" i="6"/>
  <c r="I40" i="6"/>
  <c r="I44" i="6"/>
  <c r="I48" i="6"/>
  <c r="I52" i="6"/>
  <c r="I2" i="6"/>
  <c r="B20" i="6" l="1"/>
  <c r="D20" i="6" l="1"/>
  <c r="X21" i="11" l="1"/>
  <c r="X22" i="11"/>
  <c r="X23" i="11"/>
  <c r="X24" i="11"/>
  <c r="X25" i="11"/>
  <c r="X26" i="11"/>
  <c r="X27" i="11"/>
  <c r="X28" i="11"/>
  <c r="X29" i="11"/>
  <c r="X30" i="11"/>
  <c r="X31"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AJ71" i="11" l="1"/>
  <c r="AI71" i="11"/>
  <c r="V71" i="11"/>
  <c r="N71" i="11"/>
  <c r="L71" i="11"/>
  <c r="J71" i="11"/>
  <c r="H71" i="11"/>
  <c r="F71" i="11"/>
  <c r="D71" i="11"/>
  <c r="AJ70" i="11"/>
  <c r="AI70" i="11"/>
  <c r="V70" i="11"/>
  <c r="N70" i="11"/>
  <c r="L70" i="11"/>
  <c r="J70" i="11"/>
  <c r="H70" i="11"/>
  <c r="F70" i="11"/>
  <c r="D70" i="11"/>
  <c r="AJ69" i="11"/>
  <c r="AI69" i="11"/>
  <c r="V69" i="11"/>
  <c r="N69" i="11"/>
  <c r="L69" i="11"/>
  <c r="J69" i="11"/>
  <c r="H69" i="11"/>
  <c r="F69" i="11"/>
  <c r="D69" i="11"/>
  <c r="AJ68" i="11"/>
  <c r="AI68" i="11"/>
  <c r="V68" i="11"/>
  <c r="N68" i="11"/>
  <c r="L68" i="11"/>
  <c r="J68" i="11"/>
  <c r="H68" i="11"/>
  <c r="F68" i="11"/>
  <c r="D68" i="11"/>
  <c r="AJ67" i="11"/>
  <c r="AI67" i="11"/>
  <c r="V67" i="11"/>
  <c r="N67" i="11"/>
  <c r="L67" i="11"/>
  <c r="J67" i="11"/>
  <c r="H67" i="11"/>
  <c r="F67" i="11"/>
  <c r="D67" i="11"/>
  <c r="AJ66" i="11"/>
  <c r="AI66" i="11"/>
  <c r="V66" i="11"/>
  <c r="N66" i="11"/>
  <c r="L66" i="11"/>
  <c r="J66" i="11"/>
  <c r="H66" i="11"/>
  <c r="F66" i="11"/>
  <c r="D66" i="11"/>
  <c r="AJ65" i="11"/>
  <c r="AI65" i="11"/>
  <c r="V65" i="11"/>
  <c r="N65" i="11"/>
  <c r="L65" i="11"/>
  <c r="J65" i="11"/>
  <c r="H65" i="11"/>
  <c r="F65" i="11"/>
  <c r="D65" i="11"/>
  <c r="AJ64" i="11"/>
  <c r="AI64" i="11"/>
  <c r="V64" i="11"/>
  <c r="N64" i="11"/>
  <c r="L64" i="11"/>
  <c r="J64" i="11"/>
  <c r="H64" i="11"/>
  <c r="F64" i="11"/>
  <c r="D64" i="11"/>
  <c r="AJ63" i="11"/>
  <c r="AI63" i="11"/>
  <c r="V63" i="11"/>
  <c r="N63" i="11"/>
  <c r="L63" i="11"/>
  <c r="J63" i="11"/>
  <c r="H63" i="11"/>
  <c r="F63" i="11"/>
  <c r="D63" i="11"/>
  <c r="AJ62" i="11"/>
  <c r="V62" i="11"/>
  <c r="N62" i="11"/>
  <c r="K62" i="11"/>
  <c r="J62" i="11"/>
  <c r="H62" i="11"/>
  <c r="F62" i="11"/>
  <c r="D62" i="11"/>
  <c r="AJ61" i="11"/>
  <c r="AI61" i="11"/>
  <c r="V61" i="11"/>
  <c r="N61" i="11"/>
  <c r="L61" i="11"/>
  <c r="J61" i="11"/>
  <c r="H61" i="11"/>
  <c r="F61" i="11"/>
  <c r="D61" i="11"/>
  <c r="AJ60" i="11"/>
  <c r="AI60" i="11"/>
  <c r="V60" i="11"/>
  <c r="N60" i="11"/>
  <c r="L60" i="11"/>
  <c r="J60" i="11"/>
  <c r="H60" i="11"/>
  <c r="F60" i="11"/>
  <c r="D60" i="11"/>
  <c r="AJ59" i="11"/>
  <c r="AI59" i="11"/>
  <c r="V59" i="11"/>
  <c r="N59" i="11"/>
  <c r="L59" i="11"/>
  <c r="J59" i="11"/>
  <c r="H59" i="11"/>
  <c r="F59" i="11"/>
  <c r="D59" i="11"/>
  <c r="AJ58" i="11"/>
  <c r="AI58" i="11"/>
  <c r="V58" i="11"/>
  <c r="N58" i="11"/>
  <c r="J58" i="11"/>
  <c r="H58" i="11"/>
  <c r="F58" i="11"/>
  <c r="D58" i="11"/>
  <c r="AJ57" i="11"/>
  <c r="AI57" i="11"/>
  <c r="V57" i="11"/>
  <c r="N57" i="11"/>
  <c r="J57" i="11"/>
  <c r="F57" i="11"/>
  <c r="D57" i="11"/>
  <c r="AJ56" i="11"/>
  <c r="AI56" i="11"/>
  <c r="V56" i="11"/>
  <c r="N56" i="11"/>
  <c r="J56" i="11"/>
  <c r="F56" i="11"/>
  <c r="D56" i="11"/>
  <c r="AJ55" i="11"/>
  <c r="N55" i="11"/>
  <c r="J55" i="11"/>
  <c r="K55" i="11"/>
  <c r="F55" i="11"/>
  <c r="D55" i="11"/>
  <c r="AF54" i="11"/>
  <c r="AJ54" i="11" s="1"/>
  <c r="V54" i="11"/>
  <c r="N54" i="11"/>
  <c r="I54" i="11"/>
  <c r="F54" i="11"/>
  <c r="C54" i="11"/>
  <c r="AJ53" i="11"/>
  <c r="N53" i="11"/>
  <c r="J53" i="11"/>
  <c r="K53" i="11"/>
  <c r="F53" i="11"/>
  <c r="D53" i="11"/>
  <c r="AF52" i="11"/>
  <c r="AJ52" i="11" s="1"/>
  <c r="V52" i="11"/>
  <c r="N52" i="11"/>
  <c r="I52" i="11"/>
  <c r="F52" i="11"/>
  <c r="C52" i="11"/>
  <c r="AJ51" i="11"/>
  <c r="AI51" i="11"/>
  <c r="V51" i="11"/>
  <c r="N51" i="11"/>
  <c r="J51" i="11"/>
  <c r="F51" i="11"/>
  <c r="D51" i="11"/>
  <c r="AJ50" i="11"/>
  <c r="N50" i="11"/>
  <c r="J50" i="11"/>
  <c r="K50" i="11"/>
  <c r="F50" i="11"/>
  <c r="D50" i="11"/>
  <c r="AJ49" i="11"/>
  <c r="N49" i="11"/>
  <c r="F49" i="11"/>
  <c r="B36" i="6"/>
  <c r="AJ48" i="11"/>
  <c r="N48" i="11"/>
  <c r="J48" i="11"/>
  <c r="K48" i="11"/>
  <c r="F48" i="11"/>
  <c r="D48" i="11"/>
  <c r="AJ47" i="11"/>
  <c r="V47" i="11"/>
  <c r="N47" i="11"/>
  <c r="D34" i="6"/>
  <c r="F47" i="11"/>
  <c r="AJ46" i="11"/>
  <c r="N46" i="11"/>
  <c r="J46" i="11"/>
  <c r="K46" i="11"/>
  <c r="F46" i="11"/>
  <c r="D46" i="11"/>
  <c r="AJ45" i="11"/>
  <c r="V45" i="11"/>
  <c r="N45" i="11"/>
  <c r="F45" i="11"/>
  <c r="AJ44" i="11"/>
  <c r="N44" i="11"/>
  <c r="J44" i="11"/>
  <c r="K44" i="11"/>
  <c r="F44" i="11"/>
  <c r="D44" i="11"/>
  <c r="AJ43" i="11"/>
  <c r="V43" i="11"/>
  <c r="N43" i="11"/>
  <c r="F43" i="11"/>
  <c r="AJ42" i="11"/>
  <c r="V42" i="11"/>
  <c r="N42" i="11"/>
  <c r="I42" i="11"/>
  <c r="F42" i="11"/>
  <c r="C42" i="11"/>
  <c r="B29" i="6" s="1"/>
  <c r="AJ41" i="11"/>
  <c r="N41" i="11"/>
  <c r="J41" i="11"/>
  <c r="K41" i="11"/>
  <c r="F41" i="11"/>
  <c r="D41" i="11"/>
  <c r="AJ40" i="11"/>
  <c r="AI40" i="11"/>
  <c r="V40" i="11"/>
  <c r="N40" i="11"/>
  <c r="L40" i="11"/>
  <c r="J40" i="11"/>
  <c r="H40" i="11"/>
  <c r="F40" i="11"/>
  <c r="D40" i="11"/>
  <c r="AJ39" i="11"/>
  <c r="AI39" i="11"/>
  <c r="V39" i="11"/>
  <c r="N39" i="11"/>
  <c r="L39" i="11"/>
  <c r="J39" i="11"/>
  <c r="H39" i="11"/>
  <c r="F39" i="11"/>
  <c r="D39" i="11"/>
  <c r="AJ38" i="11"/>
  <c r="AI38" i="11"/>
  <c r="V38" i="11"/>
  <c r="N38" i="11"/>
  <c r="L38" i="11"/>
  <c r="J38" i="11"/>
  <c r="H38" i="11"/>
  <c r="F38" i="11"/>
  <c r="D38" i="11"/>
  <c r="AJ37" i="11"/>
  <c r="AI37" i="11"/>
  <c r="V37" i="11"/>
  <c r="N37" i="11"/>
  <c r="L37" i="11"/>
  <c r="J37" i="11"/>
  <c r="H37" i="11"/>
  <c r="F37" i="11"/>
  <c r="D37" i="11"/>
  <c r="AJ36" i="11"/>
  <c r="AI36" i="11"/>
  <c r="V36" i="11"/>
  <c r="N36" i="11"/>
  <c r="L36" i="11"/>
  <c r="J36" i="11"/>
  <c r="H36" i="11"/>
  <c r="F36" i="11"/>
  <c r="D36" i="11"/>
  <c r="AJ35" i="11"/>
  <c r="AI35" i="11"/>
  <c r="V35" i="11"/>
  <c r="N35" i="11"/>
  <c r="L35" i="11"/>
  <c r="J35" i="11"/>
  <c r="H35" i="11"/>
  <c r="F35" i="11"/>
  <c r="D35" i="11"/>
  <c r="AJ34" i="11"/>
  <c r="AI34" i="11"/>
  <c r="V34" i="11"/>
  <c r="N34" i="11"/>
  <c r="L34" i="11"/>
  <c r="J34" i="11"/>
  <c r="H34" i="11"/>
  <c r="F34" i="11"/>
  <c r="D34" i="11"/>
  <c r="AJ33" i="11"/>
  <c r="AI33" i="11"/>
  <c r="V33" i="11"/>
  <c r="N33" i="11"/>
  <c r="L33" i="11"/>
  <c r="J33" i="11"/>
  <c r="H33" i="11"/>
  <c r="F33" i="11"/>
  <c r="D33" i="11"/>
  <c r="AJ32" i="11"/>
  <c r="N32" i="11"/>
  <c r="L32" i="11"/>
  <c r="J32" i="11"/>
  <c r="F32" i="11"/>
  <c r="D32" i="11"/>
  <c r="AJ31" i="11"/>
  <c r="V31" i="11"/>
  <c r="N31" i="11"/>
  <c r="J31" i="11"/>
  <c r="K31" i="11"/>
  <c r="E20" i="6" s="1"/>
  <c r="F31" i="11"/>
  <c r="D31" i="11"/>
  <c r="AJ30" i="11"/>
  <c r="AI30" i="11"/>
  <c r="V30" i="11"/>
  <c r="N30" i="11"/>
  <c r="L30" i="11"/>
  <c r="J30" i="11"/>
  <c r="H30" i="11"/>
  <c r="F30" i="11"/>
  <c r="D30" i="11"/>
  <c r="AJ29" i="11"/>
  <c r="AI29" i="11"/>
  <c r="V29" i="11"/>
  <c r="N29" i="11"/>
  <c r="L29" i="11"/>
  <c r="J29" i="11"/>
  <c r="H29" i="11"/>
  <c r="F29" i="11"/>
  <c r="D29" i="11"/>
  <c r="AJ28" i="11"/>
  <c r="AI28" i="11"/>
  <c r="V28" i="11"/>
  <c r="N28" i="11"/>
  <c r="L28" i="11"/>
  <c r="J28" i="11"/>
  <c r="H28" i="11"/>
  <c r="F28" i="11"/>
  <c r="D28" i="11"/>
  <c r="AJ27" i="11"/>
  <c r="V27" i="11"/>
  <c r="N27" i="11"/>
  <c r="I27" i="11"/>
  <c r="H27" i="11"/>
  <c r="F27" i="11"/>
  <c r="B14" i="6"/>
  <c r="AJ26" i="11"/>
  <c r="V26" i="11"/>
  <c r="N26" i="11"/>
  <c r="H26" i="11"/>
  <c r="F26" i="11"/>
  <c r="B17" i="6"/>
  <c r="AJ25" i="11"/>
  <c r="V25" i="11"/>
  <c r="N25" i="11"/>
  <c r="H25" i="11"/>
  <c r="F25" i="11"/>
  <c r="AF24" i="11"/>
  <c r="AJ24" i="11" s="1"/>
  <c r="V24" i="11"/>
  <c r="N24" i="11"/>
  <c r="H24" i="11"/>
  <c r="F24" i="11"/>
  <c r="B16" i="6"/>
  <c r="AJ23" i="11"/>
  <c r="AI23" i="11"/>
  <c r="V23" i="11"/>
  <c r="N23" i="11"/>
  <c r="L23" i="11"/>
  <c r="J23" i="11"/>
  <c r="H23" i="11"/>
  <c r="F23" i="11"/>
  <c r="D23" i="11"/>
  <c r="AJ22" i="11"/>
  <c r="V22" i="11"/>
  <c r="N22" i="11"/>
  <c r="H22" i="11"/>
  <c r="F22" i="11"/>
  <c r="B19" i="6"/>
  <c r="AJ21" i="11"/>
  <c r="V21" i="11"/>
  <c r="N21" i="11"/>
  <c r="L21" i="11"/>
  <c r="H21" i="11"/>
  <c r="F21" i="11"/>
  <c r="B15" i="6"/>
  <c r="J26" i="11" l="1"/>
  <c r="D17" i="6"/>
  <c r="J42" i="11"/>
  <c r="D29" i="6"/>
  <c r="K43" i="11"/>
  <c r="B30" i="6"/>
  <c r="AI46" i="11"/>
  <c r="C33" i="6"/>
  <c r="C37" i="6"/>
  <c r="AI53" i="11"/>
  <c r="C39" i="6"/>
  <c r="C41" i="6"/>
  <c r="AI62" i="11"/>
  <c r="E48" i="6"/>
  <c r="J25" i="11"/>
  <c r="D47" i="6"/>
  <c r="AI44" i="11"/>
  <c r="C31" i="6"/>
  <c r="C34" i="6"/>
  <c r="AI48" i="11"/>
  <c r="C35" i="6"/>
  <c r="J21" i="11"/>
  <c r="D15" i="6"/>
  <c r="J22" i="11"/>
  <c r="D19" i="6"/>
  <c r="J24" i="11"/>
  <c r="D16" i="6"/>
  <c r="K25" i="11"/>
  <c r="E47" i="6" s="1"/>
  <c r="B47" i="6"/>
  <c r="C30" i="6"/>
  <c r="J45" i="11"/>
  <c r="D32" i="6"/>
  <c r="J49" i="11"/>
  <c r="D36" i="6"/>
  <c r="J52" i="11"/>
  <c r="D38" i="6"/>
  <c r="J54" i="11"/>
  <c r="D40" i="6"/>
  <c r="J27" i="11"/>
  <c r="D14" i="6"/>
  <c r="H32" i="11"/>
  <c r="C21" i="6"/>
  <c r="C28" i="6"/>
  <c r="J43" i="11"/>
  <c r="D30" i="6"/>
  <c r="K45" i="11"/>
  <c r="B32" i="6"/>
  <c r="D47" i="11"/>
  <c r="B34" i="6"/>
  <c r="J47" i="11"/>
  <c r="K52" i="11"/>
  <c r="B38" i="6"/>
  <c r="K54" i="11"/>
  <c r="B40" i="6"/>
  <c r="G28" i="7"/>
  <c r="G29" i="7" s="1"/>
  <c r="K22" i="11"/>
  <c r="AI21" i="11"/>
  <c r="K26" i="11"/>
  <c r="K42" i="11"/>
  <c r="L42" i="11" s="1"/>
  <c r="D24" i="11"/>
  <c r="K27" i="11"/>
  <c r="K49" i="11"/>
  <c r="L49" i="11" s="1"/>
  <c r="D26" i="11"/>
  <c r="H31" i="11"/>
  <c r="D42" i="11"/>
  <c r="D45" i="11"/>
  <c r="L31" i="11"/>
  <c r="AI31" i="11"/>
  <c r="AI32" i="11"/>
  <c r="AI41" i="11"/>
  <c r="K47" i="11"/>
  <c r="D49" i="11"/>
  <c r="D54" i="11"/>
  <c r="AI55" i="11"/>
  <c r="D22" i="11"/>
  <c r="D25" i="11"/>
  <c r="D27" i="11"/>
  <c r="D52" i="11"/>
  <c r="L62" i="11"/>
  <c r="AI50" i="11"/>
  <c r="D21" i="11"/>
  <c r="D43" i="11"/>
  <c r="L25" i="11" l="1"/>
  <c r="AI25" i="11"/>
  <c r="E38" i="6"/>
  <c r="L52" i="11"/>
  <c r="E40" i="6"/>
  <c r="L54" i="11"/>
  <c r="E34" i="6"/>
  <c r="L47" i="11"/>
  <c r="E32" i="6"/>
  <c r="L45" i="11"/>
  <c r="E30" i="6"/>
  <c r="L43" i="11"/>
  <c r="AI45" i="11"/>
  <c r="AI43" i="11"/>
  <c r="AI52" i="11"/>
  <c r="E28" i="7"/>
  <c r="E29" i="7" s="1"/>
  <c r="AI54" i="11"/>
  <c r="D28" i="7"/>
  <c r="D29" i="7" s="1"/>
  <c r="C28" i="7"/>
  <c r="C29" i="7" s="1"/>
  <c r="E36" i="6"/>
  <c r="E29" i="6"/>
  <c r="AI24" i="11"/>
  <c r="E16" i="6"/>
  <c r="AI22" i="11"/>
  <c r="E19" i="6"/>
  <c r="AI26" i="11"/>
  <c r="E17" i="6"/>
  <c r="AI27" i="11"/>
  <c r="E14" i="6"/>
  <c r="L24" i="11"/>
  <c r="L22" i="11"/>
  <c r="L26" i="11"/>
  <c r="AI49" i="11"/>
  <c r="AI42" i="11"/>
  <c r="L27" i="11"/>
  <c r="AI47" i="11"/>
  <c r="F28" i="7" l="1"/>
  <c r="F29" i="7" s="1"/>
  <c r="I8" i="1"/>
  <c r="I7" i="1"/>
  <c r="I6" i="1"/>
  <c r="I5" i="1"/>
  <c r="X9" i="7" l="1"/>
  <c r="W9" i="7" l="1"/>
</calcChain>
</file>

<file path=xl/comments1.xml><?xml version="1.0" encoding="utf-8"?>
<comments xmlns="http://schemas.openxmlformats.org/spreadsheetml/2006/main">
  <authors>
    <author>tc={1D74D329-6693-4C2A-B79E-5F7C480EFF04}</author>
  </authors>
  <commentList>
    <comment ref="F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Aguardamos resposta da corporação</t>
        </r>
      </text>
    </comment>
  </commentList>
</comments>
</file>

<file path=xl/sharedStrings.xml><?xml version="1.0" encoding="utf-8"?>
<sst xmlns="http://schemas.openxmlformats.org/spreadsheetml/2006/main" count="12426" uniqueCount="3925">
  <si>
    <t>Base da lt002_instrument</t>
  </si>
  <si>
    <t>All</t>
  </si>
  <si>
    <t>CMAH</t>
  </si>
  <si>
    <t>SNCN</t>
  </si>
  <si>
    <t>Tradutor FR + MIS</t>
  </si>
  <si>
    <t>Distinct FR</t>
  </si>
  <si>
    <t>Distinct MIS</t>
  </si>
  <si>
    <t>All Cruza</t>
  </si>
  <si>
    <t>All N Cruza</t>
  </si>
  <si>
    <t>instrmnt_id</t>
  </si>
  <si>
    <t>chave_fr</t>
  </si>
  <si>
    <t>SNCN00000811</t>
  </si>
  <si>
    <t>NULL</t>
  </si>
  <si>
    <t>SNCN00000132</t>
  </si>
  <si>
    <t>SNCN00000449</t>
  </si>
  <si>
    <t>80CMAH000000WP455000000000086388</t>
  </si>
  <si>
    <t>31000310419104090069674560100000</t>
  </si>
  <si>
    <t>31000310171753091069673570100000</t>
  </si>
  <si>
    <t>31000310172199091069674210100000</t>
  </si>
  <si>
    <t>31CMAH0000000000R262304820019730</t>
  </si>
  <si>
    <t>31CMAH0000000000R362304820963130</t>
  </si>
  <si>
    <t>31CMAH0000000000RAPL384459860000</t>
  </si>
  <si>
    <t>82000000000021154000450000404079</t>
  </si>
  <si>
    <t>82000000007002745000200000645171</t>
  </si>
  <si>
    <t>82000000007007660000200000654205</t>
  </si>
  <si>
    <t>82000000007008136000200000656216</t>
  </si>
  <si>
    <t>82000000007009031000200000661116</t>
  </si>
  <si>
    <t>82000000007011204000200000681045</t>
  </si>
  <si>
    <t>82000000007013337000200000690590</t>
  </si>
  <si>
    <t>82000000007017412000200000680116</t>
  </si>
  <si>
    <t>82000000007017955000200000753985</t>
  </si>
  <si>
    <t>89CMAH2022000041R001520220603343</t>
  </si>
  <si>
    <t>89CMAH2022000041R001520230085361</t>
  </si>
  <si>
    <t>89CMAH2022000041R001520230085476</t>
  </si>
  <si>
    <t>89CMAH2022000041R001520230144551</t>
  </si>
  <si>
    <t>89CMAH2022000041R001520230144867</t>
  </si>
  <si>
    <t>89CMAH2022000041R001520230177979</t>
  </si>
  <si>
    <t>89CMAH2022000041R001520230178096</t>
  </si>
  <si>
    <t>89CMAH2022000041R001520230178563</t>
  </si>
  <si>
    <t>89CMAH2022000041R001520230234131</t>
  </si>
  <si>
    <t>89CMAH2022000041R001520230234147</t>
  </si>
  <si>
    <t>89CMAH2022000041R001520230234336</t>
  </si>
  <si>
    <t>89CMAH2022000041R001520230234448</t>
  </si>
  <si>
    <t>89CMAH2022000041R001520230234603</t>
  </si>
  <si>
    <t>89CMAH2022000041R001520230234665</t>
  </si>
  <si>
    <t>89CMAH2022000041R001520230289492</t>
  </si>
  <si>
    <t>89CMAH2022000041R001520230289493</t>
  </si>
  <si>
    <t>89CMAH2022000041R001520230289505</t>
  </si>
  <si>
    <t>89CMAH2022000041R001520230289509</t>
  </si>
  <si>
    <t>89CMAH2022000041R001520230289537</t>
  </si>
  <si>
    <t>89CMAH2022000041R001520230289548</t>
  </si>
  <si>
    <t>89CMAH2022000041R001520230289616</t>
  </si>
  <si>
    <t>89CMAH2022000041R001520230289662</t>
  </si>
  <si>
    <t>89CMAH2022000041R001520230289954</t>
  </si>
  <si>
    <t>89CMAH2022000041R001520230290013</t>
  </si>
  <si>
    <t>89CMAH2022000041R001520230290112</t>
  </si>
  <si>
    <t>89CMAH2022000041R001520230290153</t>
  </si>
  <si>
    <t>89CMAH2022000041R001520230290158</t>
  </si>
  <si>
    <t>89CMAH2022000041R001520230290437</t>
  </si>
  <si>
    <t>89CMAH2022000041R001520230290460</t>
  </si>
  <si>
    <t>89CMAH2022000041R001520230290467</t>
  </si>
  <si>
    <t>89CMAH2022000041R001520230290482</t>
  </si>
  <si>
    <t>89CMAH2022000041R001520230290495</t>
  </si>
  <si>
    <t>89CMAH2022000041R001520230290570</t>
  </si>
  <si>
    <t>89CMAH2022000041R001520230290576</t>
  </si>
  <si>
    <t>89CMAH2022000041R001520230290647</t>
  </si>
  <si>
    <t>89CMAH2022000041R001520230290893</t>
  </si>
  <si>
    <t>89CMAH2022000041R001520230290929</t>
  </si>
  <si>
    <t>SNCN00000107</t>
  </si>
  <si>
    <t>SNCN00000211</t>
  </si>
  <si>
    <t>SNCN00000501</t>
  </si>
  <si>
    <t>SNCN00000613</t>
  </si>
  <si>
    <t>SNCN00000662</t>
  </si>
  <si>
    <t>SNCN00000747</t>
  </si>
  <si>
    <t>SNCN00000771</t>
  </si>
  <si>
    <t>31CMAH0000000000R962304820306090</t>
  </si>
  <si>
    <t>31CMAH0000000000R962304820307850</t>
  </si>
  <si>
    <t>31CMAH0000000000R962304870356900</t>
  </si>
  <si>
    <t>31CMAHenergyS1xS2OVER2ENFSMERT0G</t>
  </si>
  <si>
    <t>82000000000119708000450000423452</t>
  </si>
  <si>
    <t>82000000005045211000510000512979</t>
  </si>
  <si>
    <t>82000000007002734000200000542150</t>
  </si>
  <si>
    <t>82000000007003285000200000830802</t>
  </si>
  <si>
    <t>82000000007009118000200000662058</t>
  </si>
  <si>
    <t>82000000007009811000200000654207</t>
  </si>
  <si>
    <t>82000000007011272000200000680260</t>
  </si>
  <si>
    <t>82000000007015909000200000647104</t>
  </si>
  <si>
    <t>89CMAH2022000041R001520220603380</t>
  </si>
  <si>
    <t>89CMAH2022000041R001520230039451</t>
  </si>
  <si>
    <t>89CMAH2022000041R001520230040009</t>
  </si>
  <si>
    <t>89CMAH2022000041R001520230086028</t>
  </si>
  <si>
    <t>89CMAH2022000041R001520230086133</t>
  </si>
  <si>
    <t>89CMAH2022000041R001520230144759</t>
  </si>
  <si>
    <t>89CMAH2022000041R001520230144815</t>
  </si>
  <si>
    <t>89CMAH2022000041R001520230177926</t>
  </si>
  <si>
    <t>89CMAH2022000041R001520230178069</t>
  </si>
  <si>
    <t>89CMAH2022000041R001520230233967</t>
  </si>
  <si>
    <t>89CMAH2022000041R001520230233981</t>
  </si>
  <si>
    <t>89CMAH2022000041R001520230234023</t>
  </si>
  <si>
    <t>89CMAH2022000041R001520230234105</t>
  </si>
  <si>
    <t>89CMAH2022000041R001520230234247</t>
  </si>
  <si>
    <t>89CMAH2022000041R001520230234296</t>
  </si>
  <si>
    <t>89CMAH2022000041R001520230234353</t>
  </si>
  <si>
    <t>89CMAH2022000041R001520230234394</t>
  </si>
  <si>
    <t>89CMAH2022000041R001520230234542</t>
  </si>
  <si>
    <t>89CMAH2022000041R001520230234691</t>
  </si>
  <si>
    <t>89CMAH2022000041R001520230289289</t>
  </si>
  <si>
    <t>89CMAH2022000041R001520230289553</t>
  </si>
  <si>
    <t>89CMAH2022000041R001520230289651</t>
  </si>
  <si>
    <t>89CMAH2022000041R001520230289656</t>
  </si>
  <si>
    <t>89CMAH2022000041R001520230289773</t>
  </si>
  <si>
    <t>89CMAH2022000041R001520230289834</t>
  </si>
  <si>
    <t>89CMAH2022000041R001520230289865</t>
  </si>
  <si>
    <t>89CMAH2022000041R001520230289882</t>
  </si>
  <si>
    <t>89CMAH2022000041R001520230289888</t>
  </si>
  <si>
    <t>89CMAH2022000041R001520230289898</t>
  </si>
  <si>
    <t>89CMAH2022000041R001520230289926</t>
  </si>
  <si>
    <t>89CMAH2022000041R001520230289975</t>
  </si>
  <si>
    <t>89CMAH2022000041R001520230290004</t>
  </si>
  <si>
    <t>89CMAH2022000041R001520230290050</t>
  </si>
  <si>
    <t>89CMAH2022000041R001520230290051</t>
  </si>
  <si>
    <t>89CMAH2022000041R001520230290232</t>
  </si>
  <si>
    <t>89CMAH2022000041R001520230290269</t>
  </si>
  <si>
    <t>89CMAH2022000041R001520230290291</t>
  </si>
  <si>
    <t>89CMAH2022000041R001520230290350</t>
  </si>
  <si>
    <t>89CMAH2022000041R001520230290435</t>
  </si>
  <si>
    <t>89CMAH2022000041R001520230290440</t>
  </si>
  <si>
    <t>89CMAH2022000041R001520230290448</t>
  </si>
  <si>
    <t>89CMAH2022000041R001520230290464</t>
  </si>
  <si>
    <t>89CMAH2022000041R001520230290468</t>
  </si>
  <si>
    <t>89CMAH2022000041R001520230290473</t>
  </si>
  <si>
    <t>89CMAH2022000041R001520230290676</t>
  </si>
  <si>
    <t>89CMAH2022000041R001520230290711</t>
  </si>
  <si>
    <t>89CMAH2022000041R001520230290777</t>
  </si>
  <si>
    <t>89CMAH2022000041R001520230290838</t>
  </si>
  <si>
    <t>89CMAH2022000041R001520230290849</t>
  </si>
  <si>
    <t>89CMAH2022000041R001520230290898</t>
  </si>
  <si>
    <t>89CMAH2022000041R001520230290903</t>
  </si>
  <si>
    <t>SNCN00000106</t>
  </si>
  <si>
    <t>SNCN00000143</t>
  </si>
  <si>
    <t>SNCN00000243</t>
  </si>
  <si>
    <t>SNCN00000295</t>
  </si>
  <si>
    <t>SNCN00000302</t>
  </si>
  <si>
    <t>SNCN00000343</t>
  </si>
  <si>
    <t>SNCN00000599</t>
  </si>
  <si>
    <t>SNCN00000601</t>
  </si>
  <si>
    <t>SNCN00000887</t>
  </si>
  <si>
    <t>31CMAH0000000000R362304820777020</t>
  </si>
  <si>
    <t>31CMAH0000000000R962304820311230</t>
  </si>
  <si>
    <t>31CMAH0000000000R962304820340420</t>
  </si>
  <si>
    <t>31CMAH0000000000R962304820402580</t>
  </si>
  <si>
    <t>31CMAH0000000000R962304870364230</t>
  </si>
  <si>
    <t>31CMAH0000000000R262304820023840</t>
  </si>
  <si>
    <t>31CMAH0000000000R262304840022960</t>
  </si>
  <si>
    <t>31CMAH0000000000R962304820272570</t>
  </si>
  <si>
    <t>31CMAH0000000000R962304880000820</t>
  </si>
  <si>
    <t>31CMAH0000000000RAPL376419330000</t>
  </si>
  <si>
    <t>31CMAH0034217800R000000000000000</t>
  </si>
  <si>
    <t>82000000000136140000450000506204</t>
  </si>
  <si>
    <t>82000000005034180000510000504892</t>
  </si>
  <si>
    <t>82000000007001568000200000643817</t>
  </si>
  <si>
    <t>82000000007004369000200000647094</t>
  </si>
  <si>
    <t>82000000007008534000200000515469</t>
  </si>
  <si>
    <t>82000000007011752000200000679815</t>
  </si>
  <si>
    <t>31CMAH0000000000R162304880071770</t>
  </si>
  <si>
    <t>31CMAH0000000000R599904815306920</t>
  </si>
  <si>
    <t>31CMAH0000000000R962304820132350</t>
  </si>
  <si>
    <t>31CMAH0000000000R962304820139030</t>
  </si>
  <si>
    <t>31CMAH0000000000R962304820345610</t>
  </si>
  <si>
    <t>31CMAH0000000000R962304820395570</t>
  </si>
  <si>
    <t>31CMAH0000000000R262304820027080</t>
  </si>
  <si>
    <t>31CMAH0000000000R362304820798420</t>
  </si>
  <si>
    <t>31CMAH0000000000R962304820179730</t>
  </si>
  <si>
    <t>31CMAH0000000000R962304820340130</t>
  </si>
  <si>
    <t>31CMAH0000000000R962304830371210</t>
  </si>
  <si>
    <t>31CMAH0000000000R962304870352020</t>
  </si>
  <si>
    <t>31CMAH0000580004RPTGMMBOM0001000</t>
  </si>
  <si>
    <t>82000000007000024000200000642158</t>
  </si>
  <si>
    <t>82000000007001261000200000643641</t>
  </si>
  <si>
    <t>82000000007004323000200000647139</t>
  </si>
  <si>
    <t>82000000007004797000200000647783</t>
  </si>
  <si>
    <t>82000000007001734000200000643976</t>
  </si>
  <si>
    <t>82000000007003918000200000646649</t>
  </si>
  <si>
    <t>82000000007004246000200000647123</t>
  </si>
  <si>
    <t>82000000007004793000200000647759</t>
  </si>
  <si>
    <t>82000000007006401000200000647515</t>
  </si>
  <si>
    <t>82000000007014269000200000701397</t>
  </si>
  <si>
    <t>82000000007000986000200000643410</t>
  </si>
  <si>
    <t>82000000007004115000200000646757</t>
  </si>
  <si>
    <t>82000000007004184000200000647068</t>
  </si>
  <si>
    <t>82000000007012769000200000685084</t>
  </si>
  <si>
    <t>89CMAH2022000041R001520230085846</t>
  </si>
  <si>
    <t>89CMAH2022000041R001520230144823</t>
  </si>
  <si>
    <t>89CMAH2022000041R001520230144925</t>
  </si>
  <si>
    <t>89CMAH2022000041R001520230177916</t>
  </si>
  <si>
    <t>89CMAH2022000041R001520230177924</t>
  </si>
  <si>
    <t>89CMAH2022000041R001520230178337</t>
  </si>
  <si>
    <t>89CMAH2022000041R001520230234029</t>
  </si>
  <si>
    <t>89CMAH2022000041R001520230234070</t>
  </si>
  <si>
    <t>89CMAH2022000041R001520230234090</t>
  </si>
  <si>
    <t>89CMAH2022000041R001520230234316</t>
  </si>
  <si>
    <t>89CMAH2022000041R001520230234375</t>
  </si>
  <si>
    <t>89CMAH2022000041R001520230234383</t>
  </si>
  <si>
    <t>89CMAH2022000041R001520230234518</t>
  </si>
  <si>
    <t>89CMAH2022000041R001520230234529</t>
  </si>
  <si>
    <t>89CMAH2022000041R001520230234654</t>
  </si>
  <si>
    <t>89CMAH2022000041R001520230234715</t>
  </si>
  <si>
    <t>89CMAH2022000041R001520230289349</t>
  </si>
  <si>
    <t>89CMAH2022000041R001520230289356</t>
  </si>
  <si>
    <t>89CMAH2022000041R001520230289364</t>
  </si>
  <si>
    <t>89CMAH2022000041R001520230289449</t>
  </si>
  <si>
    <t>89CMAH2022000041R001520230289465</t>
  </si>
  <si>
    <t>89CMAH2022000041R001520230289487</t>
  </si>
  <si>
    <t>89CMAH2022000041R001520230289518</t>
  </si>
  <si>
    <t>89CMAH2022000041R001520230289547</t>
  </si>
  <si>
    <t>89CMAH2022000041R001520230289596</t>
  </si>
  <si>
    <t>89CMAH2022000041R001520230289610</t>
  </si>
  <si>
    <t>89CMAH2022000041R001520230289626</t>
  </si>
  <si>
    <t>89CMAH2022000041R001520230289678</t>
  </si>
  <si>
    <t>89CMAH2022000041R001520230289700</t>
  </si>
  <si>
    <t>89CMAH2022000041R001520230289710</t>
  </si>
  <si>
    <t>89CMAH2022000041R001520230289748</t>
  </si>
  <si>
    <t>89CMAH2022000041R001520230289797</t>
  </si>
  <si>
    <t>89CMAH2022000041R001520230289890</t>
  </si>
  <si>
    <t>89CMAH2022000041R001520230290092</t>
  </si>
  <si>
    <t>89CMAH2022000041R001520230290178</t>
  </si>
  <si>
    <t>89CMAH2022000041R001520230290204</t>
  </si>
  <si>
    <t>89CMAH2022000041R001520230290242</t>
  </si>
  <si>
    <t>89CMAH2022000041R001520230290355</t>
  </si>
  <si>
    <t>89CMAH2022000041R001520230290457</t>
  </si>
  <si>
    <t>89CMAH2022000041R001520230290484</t>
  </si>
  <si>
    <t>89CMAH2022000041R001520230290502</t>
  </si>
  <si>
    <t>89CMAH2022000041R001520230290515</t>
  </si>
  <si>
    <t>89CMAH2022000041R001520230290535</t>
  </si>
  <si>
    <t>89CMAH2022000041R001520230290550</t>
  </si>
  <si>
    <t>89CMAH2022000041R001520230290609</t>
  </si>
  <si>
    <t>89CMAH2022000041R001520230290638</t>
  </si>
  <si>
    <t>89CMAH2022000041R001520230290741</t>
  </si>
  <si>
    <t>89CMAH2022000041R001520230290789</t>
  </si>
  <si>
    <t>89CMAH2022000041R001520230290832</t>
  </si>
  <si>
    <t>89CMAH2022000041R001520230290874</t>
  </si>
  <si>
    <t>89CMAH2022000041R001520230290889</t>
  </si>
  <si>
    <t>SNCN00000178</t>
  </si>
  <si>
    <t>SNCN00000233</t>
  </si>
  <si>
    <t>SNCN00000275</t>
  </si>
  <si>
    <t>SNCN00000376</t>
  </si>
  <si>
    <t>SNCN00000524</t>
  </si>
  <si>
    <t>SNCN00000529</t>
  </si>
  <si>
    <t>SNCN00000849</t>
  </si>
  <si>
    <t>SNCN00000889</t>
  </si>
  <si>
    <t>SNCN00000971</t>
  </si>
  <si>
    <t>89CMAH2022000041R001520220602691</t>
  </si>
  <si>
    <t>89CMAH2022000041R001520230085500</t>
  </si>
  <si>
    <t>89CMAH2022000041R001520230085686</t>
  </si>
  <si>
    <t>89CMAH2022000041R001520230144742</t>
  </si>
  <si>
    <t>89CMAH2022000041R001520230144851</t>
  </si>
  <si>
    <t>89CMAH2022000041R001520230144898</t>
  </si>
  <si>
    <t>89CMAH2022000041R001520230177965</t>
  </si>
  <si>
    <t>89CMAH2022000041R001520230178041</t>
  </si>
  <si>
    <t>89CMAH2022000041R001520230178115</t>
  </si>
  <si>
    <t>89CMAH2022000041R001520230178118</t>
  </si>
  <si>
    <t>89CMAH2022000041R001520230178134</t>
  </si>
  <si>
    <t>89CMAH2022000041R001520230234286</t>
  </si>
  <si>
    <t>89CMAH2022000041R001520230234330</t>
  </si>
  <si>
    <t>89CMAH2022000041R001520230234456</t>
  </si>
  <si>
    <t>89CMAH2022000041R001520230234476</t>
  </si>
  <si>
    <t>89CMAH2022000041R001520230234733</t>
  </si>
  <si>
    <t>89CMAH2022000041R001520230234742</t>
  </si>
  <si>
    <t>89CMAH2022000041R001520230289275</t>
  </si>
  <si>
    <t>89CMAH2022000041R001520230289398</t>
  </si>
  <si>
    <t>89CMAH2022000041R001520230289423</t>
  </si>
  <si>
    <t>89CMAH2022000041R001520230289501</t>
  </si>
  <si>
    <t>89CMAH2022000041R001520230289581</t>
  </si>
  <si>
    <t>89CMAH2022000041R001520230289715</t>
  </si>
  <si>
    <t>89CMAH2022000041R001520230289740</t>
  </si>
  <si>
    <t>89CMAH2022000041R001520230289798</t>
  </si>
  <si>
    <t>89CMAH2022000041R001520230289811</t>
  </si>
  <si>
    <t>89CMAH2022000041R001520230289909</t>
  </si>
  <si>
    <t>89CMAH2022000041R001520230289930</t>
  </si>
  <si>
    <t>89CMAH2022000041R001520230289973</t>
  </si>
  <si>
    <t>89CMAH2022000041R001520230289996</t>
  </si>
  <si>
    <t>89CMAH2022000041R001520230290047</t>
  </si>
  <si>
    <t>89CMAH2022000041R001520230290080</t>
  </si>
  <si>
    <t>89CMAH2022000041R001520230290172</t>
  </si>
  <si>
    <t>89CMAH2022000041R001520230290186</t>
  </si>
  <si>
    <t>89CMAH2022000041R001520230290254</t>
  </si>
  <si>
    <t>89CMAH2022000041R001520230290323</t>
  </si>
  <si>
    <t>89CMAH2022000041R001520230290330</t>
  </si>
  <si>
    <t>89CMAH2022000041R001520230290338</t>
  </si>
  <si>
    <t>89CMAH2022000041R001520230290349</t>
  </si>
  <si>
    <t>89CMAH2022000041R001520230290367</t>
  </si>
  <si>
    <t>89CMAH2022000041R001520230290405</t>
  </si>
  <si>
    <t>89CMAH2022000041R001520230290445</t>
  </si>
  <si>
    <t>89CMAH2022000041R001520230290534</t>
  </si>
  <si>
    <t>89CMAH2022000041R001520230290670</t>
  </si>
  <si>
    <t>89CMAH2022000041R001520230290684</t>
  </si>
  <si>
    <t>89CMAH2022000041R001520230290696</t>
  </si>
  <si>
    <t>89CMAH2022000041R001520230290757</t>
  </si>
  <si>
    <t>89CMAH2022000041R001520230290792</t>
  </si>
  <si>
    <t>89CMAH2022000041R001520230290822</t>
  </si>
  <si>
    <t>89CMAH2022000041R001520230290847</t>
  </si>
  <si>
    <t>SNCN00000052</t>
  </si>
  <si>
    <t>SNCN00000059</t>
  </si>
  <si>
    <t>SNCN00000174</t>
  </si>
  <si>
    <t>SNCN00000352</t>
  </si>
  <si>
    <t>SNCN00000414</t>
  </si>
  <si>
    <t>SNCN00000614</t>
  </si>
  <si>
    <t>SNCN00000927</t>
  </si>
  <si>
    <t>89CMAH2022000041R001520230085463</t>
  </si>
  <si>
    <t>89CMAH2022000041R001520230085867</t>
  </si>
  <si>
    <t>89CMAH2022000041R001520230085896</t>
  </si>
  <si>
    <t>89CMAH2022000041R001520230086007</t>
  </si>
  <si>
    <t>89CMAH2022000041R001520230144562</t>
  </si>
  <si>
    <t>89CMAH2022000041R001520230145025</t>
  </si>
  <si>
    <t>89CMAH2022000041R001520230177967</t>
  </si>
  <si>
    <t>89CMAH2022000041R001520230178005</t>
  </si>
  <si>
    <t>89CMAH2022000041R001520230178181</t>
  </si>
  <si>
    <t>89CMAH2022000041R001520230178592</t>
  </si>
  <si>
    <t>89CMAH2022000041R001520230234091</t>
  </si>
  <si>
    <t>89CMAH2022000041R001520230234099</t>
  </si>
  <si>
    <t>89CMAH2022000041R001520230234201</t>
  </si>
  <si>
    <t>89CMAH2022000041R001520230234380</t>
  </si>
  <si>
    <t>89CMAH2022000041R001520230234460</t>
  </si>
  <si>
    <t>89CMAH2022000041R001520230234539</t>
  </si>
  <si>
    <t>89CMAH2022000041R001520230289352</t>
  </si>
  <si>
    <t>89CMAH2022000041R001520230289362</t>
  </si>
  <si>
    <t>89CMAH2022000041R001520230289488</t>
  </si>
  <si>
    <t>89CMAH2022000041R001520230289514</t>
  </si>
  <si>
    <t>89CMAH2022000041R001520230289573</t>
  </si>
  <si>
    <t>89CMAH2022000041R001520230289579</t>
  </si>
  <si>
    <t>89CMAH2022000041R001520230289594</t>
  </si>
  <si>
    <t>89CMAH2022000041R001520230289611</t>
  </si>
  <si>
    <t>89CMAH2022000041R001520230289612</t>
  </si>
  <si>
    <t>89CMAH2022000041R001520230289630</t>
  </si>
  <si>
    <t>89CMAH2022000041R001520230289640</t>
  </si>
  <si>
    <t>89CMAH2022000041R001520230289729</t>
  </si>
  <si>
    <t>89CMAH2022000041R001520230289792</t>
  </si>
  <si>
    <t>89CMAH2022000041R001520230289793</t>
  </si>
  <si>
    <t>89CMAH2022000041R001520230289813</t>
  </si>
  <si>
    <t>89CMAH2022000041R001520230289878</t>
  </si>
  <si>
    <t>89CMAH2022000041R001520230289945</t>
  </si>
  <si>
    <t>89CMAH2022000041R001520230289947</t>
  </si>
  <si>
    <t>89CMAH2022000041R001520230289962</t>
  </si>
  <si>
    <t>89CMAH2022000041R001520230289972</t>
  </si>
  <si>
    <t>89CMAH2022000041R001520230290020</t>
  </si>
  <si>
    <t>89CMAH2022000041R001520230290082</t>
  </si>
  <si>
    <t>89CMAH2022000041R001520230290109</t>
  </si>
  <si>
    <t>89CMAH2022000041R001520230290159</t>
  </si>
  <si>
    <t>89CMAH2022000041R001520230290173</t>
  </si>
  <si>
    <t>89CMAH2022000041R001520230290206</t>
  </si>
  <si>
    <t>89CMAH2022000041R001520230290220</t>
  </si>
  <si>
    <t>89CMAH2022000041R001520230290274</t>
  </si>
  <si>
    <t>89CMAH2022000041R001520230290278</t>
  </si>
  <si>
    <t>89CMAH2022000041R001520230290292</t>
  </si>
  <si>
    <t>89CMAH2022000041R001520230290309</t>
  </si>
  <si>
    <t>89CMAH2022000041R001520230290427</t>
  </si>
  <si>
    <t>89CMAH2022000041R001520230290439</t>
  </si>
  <si>
    <t>89CMAH2022000041R001520230290499</t>
  </si>
  <si>
    <t>89CMAH2022000041R001520230290572</t>
  </si>
  <si>
    <t>89CMAH2022000041R001520230290643</t>
  </si>
  <si>
    <t>89CMAH2022000041R001520230290758</t>
  </si>
  <si>
    <t>89CMAH2022000041R001520230290917</t>
  </si>
  <si>
    <t>SNCN00000092</t>
  </si>
  <si>
    <t>SNCN00000240</t>
  </si>
  <si>
    <t>SNCN00000392</t>
  </si>
  <si>
    <t>SNCN00000620</t>
  </si>
  <si>
    <t>SNCN00000626</t>
  </si>
  <si>
    <t>SNCN00000877</t>
  </si>
  <si>
    <t>SNCN00000885</t>
  </si>
  <si>
    <t>SNCN00000955</t>
  </si>
  <si>
    <t>SNCN00000958</t>
  </si>
  <si>
    <t>89CMAH2022000041R001520230085786</t>
  </si>
  <si>
    <t>89CMAH2022000041R001520230085947</t>
  </si>
  <si>
    <t>89CMAH2022000041R001520230086173</t>
  </si>
  <si>
    <t>89CMAH2022000041R001520230144909</t>
  </si>
  <si>
    <t>89CMAH2022000041R001520230145037</t>
  </si>
  <si>
    <t>89CMAH2022000041R001520230177951</t>
  </si>
  <si>
    <t>89CMAH2022000041R001520230178003</t>
  </si>
  <si>
    <t>89CMAH2022000041R001520230178092</t>
  </si>
  <si>
    <t>89CMAH2022000041R001520230178246</t>
  </si>
  <si>
    <t>89CMAH2022000041R001520230178296</t>
  </si>
  <si>
    <t>89CMAH2022000041R001520230178641</t>
  </si>
  <si>
    <t>89CMAH2022000041R001520230233985</t>
  </si>
  <si>
    <t>89CMAH2022000041R001520230234139</t>
  </si>
  <si>
    <t>89CMAH2022000041R001520230234153</t>
  </si>
  <si>
    <t>89CMAH2022000041R001520230234246</t>
  </si>
  <si>
    <t>89CMAH2022000041R001520230234275</t>
  </si>
  <si>
    <t>89CMAH2022000041R001520230234357</t>
  </si>
  <si>
    <t>89CMAH2022000041R001520230234368</t>
  </si>
  <si>
    <t>89CMAH2022000041R001520230234458</t>
  </si>
  <si>
    <t>89CMAH2022000041R001520230234634</t>
  </si>
  <si>
    <t>89CMAH2022000041R001520230234731</t>
  </si>
  <si>
    <t>89CMAH2022000041R001520230289277</t>
  </si>
  <si>
    <t>89CMAH2022000041R001520230289295</t>
  </si>
  <si>
    <t>89CMAH2022000041R001520230289402</t>
  </si>
  <si>
    <t>89CMAH2022000041R001520230289412</t>
  </si>
  <si>
    <t>89CMAH2022000041R001520230289422</t>
  </si>
  <si>
    <t>89CMAH2022000041R001520230289446</t>
  </si>
  <si>
    <t>89CMAH2022000041R001520230289477</t>
  </si>
  <si>
    <t>89CMAH2022000041R001520230289540</t>
  </si>
  <si>
    <t>89CMAH2022000041R001520230289578</t>
  </si>
  <si>
    <t>89CMAH2022000041R001520230289720</t>
  </si>
  <si>
    <t>89CMAH2022000041R001520230289912</t>
  </si>
  <si>
    <t>89CMAH2022000041R001520230289933</t>
  </si>
  <si>
    <t>89CMAH2022000041R001520230289983</t>
  </si>
  <si>
    <t>89CMAH2022000041R001520230290035</t>
  </si>
  <si>
    <t>89CMAH2022000041R001520230290106</t>
  </si>
  <si>
    <t>89CMAH2022000041R001520230290115</t>
  </si>
  <si>
    <t>89CMAH2022000041R001520230290150</t>
  </si>
  <si>
    <t>89CMAH2022000041R001520230290215</t>
  </si>
  <si>
    <t>89CMAH2022000041R001520230290272</t>
  </si>
  <si>
    <t>89CMAH2022000041R001520230290357</t>
  </si>
  <si>
    <t>89CMAH2022000041R001520230290374</t>
  </si>
  <si>
    <t>89CMAH2022000041R001520230290553</t>
  </si>
  <si>
    <t>89CMAH2022000041R001520230290592</t>
  </si>
  <si>
    <t>89CMAH2022000041R001520230290645</t>
  </si>
  <si>
    <t>89CMAH2022000041R001520230290658</t>
  </si>
  <si>
    <t>89CMAH2022000041R001520230290733</t>
  </si>
  <si>
    <t>89CMAH2022000041R001520230290878</t>
  </si>
  <si>
    <t>89CMAH2022000041R001520230290894</t>
  </si>
  <si>
    <t>SNCN00000185</t>
  </si>
  <si>
    <t>SNCN00000278</t>
  </si>
  <si>
    <t>SNCN00000327</t>
  </si>
  <si>
    <t>SNCN00000435</t>
  </si>
  <si>
    <t>SNCN00000727</t>
  </si>
  <si>
    <t>SNCN00000209</t>
  </si>
  <si>
    <t>SNCN00000428</t>
  </si>
  <si>
    <t>SNCN00000668</t>
  </si>
  <si>
    <t>SNCN00000629</t>
  </si>
  <si>
    <t>SNCN00000520</t>
  </si>
  <si>
    <t>31000010884341149000000000000000</t>
  </si>
  <si>
    <t>31000310568959090069674420100000</t>
  </si>
  <si>
    <t>31000310473499090069673790100000</t>
  </si>
  <si>
    <t>31000310454895090069674350100000</t>
  </si>
  <si>
    <t>31CMAH0000000000R262304820011790</t>
  </si>
  <si>
    <t>31CMAH0000000000R262304880020300</t>
  </si>
  <si>
    <t>31CMAH0000000000R962304820211210</t>
  </si>
  <si>
    <t>31CMAH0000000000R962304820311040</t>
  </si>
  <si>
    <t>31CMAH0000000000R962304830389610</t>
  </si>
  <si>
    <t>31CMAH0000000000R962304880395500</t>
  </si>
  <si>
    <t>31CMAHenergyS1xS2OVER2ENFGDRST0A</t>
  </si>
  <si>
    <t>82000000000121090000450000416648</t>
  </si>
  <si>
    <t>82000000000121529000420000424412</t>
  </si>
  <si>
    <t>82000000000136141000450000506204</t>
  </si>
  <si>
    <t>31CMAH0000000000R362304820801370</t>
  </si>
  <si>
    <t>31CMAH0000000000R362304820812140</t>
  </si>
  <si>
    <t>31CMAH0000000000R962304820131600</t>
  </si>
  <si>
    <t>31CMAH0000000000R962304820246870</t>
  </si>
  <si>
    <t>31CMAH4758980902R000000000000000</t>
  </si>
  <si>
    <t>31CMAHenergyS1xS2OVER2ENFSMERT0F</t>
  </si>
  <si>
    <t>31CMAHenergyS1xS2OVER2ENFSMERT0H</t>
  </si>
  <si>
    <t>82000000000135441000420000424268</t>
  </si>
  <si>
    <t>82000000007001518000200000643769</t>
  </si>
  <si>
    <t>82000000007010505000200000677308</t>
  </si>
  <si>
    <t>82000000007012392000200000680556</t>
  </si>
  <si>
    <t>82000000007018455000200000636451</t>
  </si>
  <si>
    <t>82000000007003955000200000646814</t>
  </si>
  <si>
    <t>82000000007013273000200000690046</t>
  </si>
  <si>
    <t>89CMAH2022000041R001520230039969</t>
  </si>
  <si>
    <t>89CMAH2022000041R001520230144544</t>
  </si>
  <si>
    <t>89CMAH2022000041R001520230144638</t>
  </si>
  <si>
    <t>89CMAH2022000041R001520230144705</t>
  </si>
  <si>
    <t>89CMAH2022000041R001520230144915</t>
  </si>
  <si>
    <t>89CMAH2022000041R001520230177909</t>
  </si>
  <si>
    <t>89CMAH2022000041R001520230178582</t>
  </si>
  <si>
    <t>89CMAH2022000041R001520230234019</t>
  </si>
  <si>
    <t>89CMAH2022000041R001520230234127</t>
  </si>
  <si>
    <t>89CMAH2022000041R001520230234143</t>
  </si>
  <si>
    <t>89CMAH2022000041R001520230234241</t>
  </si>
  <si>
    <t>89CMAH2022000041R001520230234320</t>
  </si>
  <si>
    <t>89CMAH2022000041R001520230234344</t>
  </si>
  <si>
    <t>89CMAH2022000041R001520230234363</t>
  </si>
  <si>
    <t>89CMAH2022000041R001520230234369</t>
  </si>
  <si>
    <t>89CMAH2022000041R001520230234516</t>
  </si>
  <si>
    <t>89CMAH2022000041R001520230289276</t>
  </si>
  <si>
    <t>89CMAH2022000041R001520230289397</t>
  </si>
  <si>
    <t>89CMAH2022000041R001520230289457</t>
  </si>
  <si>
    <t>89CMAH2022000041R001520230289458</t>
  </si>
  <si>
    <t>89CMAH2022000041R001520230289472</t>
  </si>
  <si>
    <t>89CMAH2022000041R001520230289491</t>
  </si>
  <si>
    <t>89CMAH2022000041R001520230289536</t>
  </si>
  <si>
    <t>89CMAH2022000041R001520230289550</t>
  </si>
  <si>
    <t>89CMAH2022000041R001520230289691</t>
  </si>
  <si>
    <t>89CMAH2022000041R001520230289732</t>
  </si>
  <si>
    <t>89CMAH2022000041R001520230289751</t>
  </si>
  <si>
    <t>89CMAH2022000041R001520230289782</t>
  </si>
  <si>
    <t>89CMAH2022000041R001520230289785</t>
  </si>
  <si>
    <t>89CMAH2022000041R001520230289918</t>
  </si>
  <si>
    <t>89CMAH2022000041R001520230289937</t>
  </si>
  <si>
    <t>89CMAH2022000041R001520230289951</t>
  </si>
  <si>
    <t>89CMAH2022000041R001520230289966</t>
  </si>
  <si>
    <t>89CMAH2022000041R001520230289984</t>
  </si>
  <si>
    <t>89CMAH2022000041R001520230290024</t>
  </si>
  <si>
    <t>89CMAH2022000041R001520230290259</t>
  </si>
  <si>
    <t>89CMAH2022000041R001520230290281</t>
  </si>
  <si>
    <t>89CMAH2022000041R001520230290327</t>
  </si>
  <si>
    <t>89CMAH2022000041R001520230290342</t>
  </si>
  <si>
    <t>89CMAH2022000041R001520230290368</t>
  </si>
  <si>
    <t>89CMAH2022000041R001520230290376</t>
  </si>
  <si>
    <t>89CMAH2022000041R001520230290386</t>
  </si>
  <si>
    <t>89CMAH2022000041R001520230290412</t>
  </si>
  <si>
    <t>89CMAH2022000041R001520230290422</t>
  </si>
  <si>
    <t>89CMAH2022000041R001520230290510</t>
  </si>
  <si>
    <t>89CMAH2022000041R001520230290523</t>
  </si>
  <si>
    <t>89CMAH2022000041R001520230290597</t>
  </si>
  <si>
    <t>89CMAH2022000041R001520230290606</t>
  </si>
  <si>
    <t>89CMAH2022000041R001520230290640</t>
  </si>
  <si>
    <t>89CMAH2022000041R001520230290642</t>
  </si>
  <si>
    <t>89CMAH2022000041R001520230290659</t>
  </si>
  <si>
    <t>89CMAH2022000041R001520230290749</t>
  </si>
  <si>
    <t>89CMAH2022000041R001520230290877</t>
  </si>
  <si>
    <t>89CMAH2022000041R001520230290885</t>
  </si>
  <si>
    <t>SNCN00000026</t>
  </si>
  <si>
    <t>SNCN00000110</t>
  </si>
  <si>
    <t>SNCN00000198</t>
  </si>
  <si>
    <t>SNCN00000274</t>
  </si>
  <si>
    <t>SNCN00000304</t>
  </si>
  <si>
    <t>SNCN00000493</t>
  </si>
  <si>
    <t>SNCN00000525</t>
  </si>
  <si>
    <t>SNCN00000550</t>
  </si>
  <si>
    <t>SNCN00000593</t>
  </si>
  <si>
    <t>82000020230000046001520230268987</t>
  </si>
  <si>
    <t>89CMAH2022000041R001520230177925</t>
  </si>
  <si>
    <t>89CMAH2022000041R001520230177984</t>
  </si>
  <si>
    <t>89CMAH2022000041R001520230178062</t>
  </si>
  <si>
    <t>89CMAH2022000041R001520230178105</t>
  </si>
  <si>
    <t>89CMAH2022000041R001520230178353</t>
  </si>
  <si>
    <t>89CMAH2022000041R001520230234037</t>
  </si>
  <si>
    <t>89CMAH2022000041R001520230234053</t>
  </si>
  <si>
    <t>89CMAH2022000041R001520230234065</t>
  </si>
  <si>
    <t>89CMAH2022000041R001520230234165</t>
  </si>
  <si>
    <t>89CMAH2022000041R001520230234173</t>
  </si>
  <si>
    <t>89CMAH2022000041R001520230234256</t>
  </si>
  <si>
    <t>89CMAH2022000041R001520230234263</t>
  </si>
  <si>
    <t>89CMAH2022000041R001520230234284</t>
  </si>
  <si>
    <t>89CMAH2022000041R001520230234294</t>
  </si>
  <si>
    <t>89CMAH2022000041R001520230234391</t>
  </si>
  <si>
    <t>89CMAH2022000041R001520230234596</t>
  </si>
  <si>
    <t>89CMAH2022000041R001520230234661</t>
  </si>
  <si>
    <t>89CMAH2022000041R001520230289296</t>
  </si>
  <si>
    <t>89CMAH2022000041R001520230289331</t>
  </si>
  <si>
    <t>89CMAH2022000041R001520230289338</t>
  </si>
  <si>
    <t>89CMAH2022000041R001520230289443</t>
  </si>
  <si>
    <t>89CMAH2022000041R001520230289511</t>
  </si>
  <si>
    <t>89CMAH2022000041R001520230289599</t>
  </si>
  <si>
    <t>89CMAH2022000041R001520230289606</t>
  </si>
  <si>
    <t>89CMAH2022000041R001520230289683</t>
  </si>
  <si>
    <t>89CMAH2022000041R001520230289717</t>
  </si>
  <si>
    <t>89CMAH2022000041R001520230289775</t>
  </si>
  <si>
    <t>89CMAH2022000041R001520230289858</t>
  </si>
  <si>
    <t>89CMAH2022000041R001520230289859</t>
  </si>
  <si>
    <t>89CMAH2022000041R001520230290123</t>
  </si>
  <si>
    <t>89CMAH2022000041R001520230290256</t>
  </si>
  <si>
    <t>89CMAH2022000041R001520230290275</t>
  </si>
  <si>
    <t>89CMAH2022000041R001520230290312</t>
  </si>
  <si>
    <t>89CMAH2022000041R001520230290331</t>
  </si>
  <si>
    <t>89CMAH2022000041R001520230290475</t>
  </si>
  <si>
    <t>89CMAH2022000041R001520230290490</t>
  </si>
  <si>
    <t>89CMAH2022000041R001520230290503</t>
  </si>
  <si>
    <t>89CMAH2022000041R001520230290512</t>
  </si>
  <si>
    <t>89CMAH2022000041R001520230290517</t>
  </si>
  <si>
    <t>89CMAH2022000041R001520230290571</t>
  </si>
  <si>
    <t>89CMAH2022000041R001520230290678</t>
  </si>
  <si>
    <t>89CMAH2022000041R001520230290760</t>
  </si>
  <si>
    <t>89CMAH2022000041R001520230290770</t>
  </si>
  <si>
    <t>89CMAH2022000041R001520230290817</t>
  </si>
  <si>
    <t>89CMAH2022000041R001520230290823</t>
  </si>
  <si>
    <t>89CMAH2022000041R001520230290861</t>
  </si>
  <si>
    <t>89CMAH2022000041R001520230290863</t>
  </si>
  <si>
    <t>SNCN00000072</t>
  </si>
  <si>
    <t>SNCN00000074</t>
  </si>
  <si>
    <t>SNCN00000128</t>
  </si>
  <si>
    <t>SNCN00000279</t>
  </si>
  <si>
    <t>SNCN00000316</t>
  </si>
  <si>
    <t>SNCN00000349</t>
  </si>
  <si>
    <t>SNCN00000390</t>
  </si>
  <si>
    <t>SNCN00000445</t>
  </si>
  <si>
    <t>SNCN00000482</t>
  </si>
  <si>
    <t>SNCN00000498</t>
  </si>
  <si>
    <t>SNCN00000541</t>
  </si>
  <si>
    <t>SNCN00000932</t>
  </si>
  <si>
    <t>SNCN00000959</t>
  </si>
  <si>
    <t>SNCN00000974</t>
  </si>
  <si>
    <t>31CMAH0000000000R162304820739370</t>
  </si>
  <si>
    <t>31CMAH0000000000R262304820008010</t>
  </si>
  <si>
    <t>31CMAH0000000000R599904815307640</t>
  </si>
  <si>
    <t>31CMAH0000000000R599904836417420</t>
  </si>
  <si>
    <t>31CMAH0000000000R962304820028010</t>
  </si>
  <si>
    <t>31CMAH0000000000R962304820382310</t>
  </si>
  <si>
    <t>31CMAHprovecono03PROV3ENFSMERT0G</t>
  </si>
  <si>
    <t>82000000005036118000510000724633</t>
  </si>
  <si>
    <t>82000000007001012000200000643436</t>
  </si>
  <si>
    <t>82000000007003410000200000646064</t>
  </si>
  <si>
    <t>82000000007007288000200000652705</t>
  </si>
  <si>
    <t>82000000007009679000200000668903</t>
  </si>
  <si>
    <t>82000000007018457000200000636451</t>
  </si>
  <si>
    <t>89CMAH2022000041R001520230086078</t>
  </si>
  <si>
    <t>89CMAH2022000041R001520230178059</t>
  </si>
  <si>
    <t>89CMAH2022000041R001520230178075</t>
  </si>
  <si>
    <t>89CMAH2022000041R001520230178130</t>
  </si>
  <si>
    <t>89CMAH2022000041R001520230178247</t>
  </si>
  <si>
    <t>89CMAH2022000041R001520230178264</t>
  </si>
  <si>
    <t>89CMAH2022000041R001520230178289</t>
  </si>
  <si>
    <t>89CMAH2022000041R001520230178617</t>
  </si>
  <si>
    <t>89CMAH2022000041R001520230178633</t>
  </si>
  <si>
    <t>89CMAH2022000041R001520230233971</t>
  </si>
  <si>
    <t>89CMAH2022000041R001520230234020</t>
  </si>
  <si>
    <t>89CMAH2022000041R001520230234179</t>
  </si>
  <si>
    <t>89CMAH2022000041R001520230234202</t>
  </si>
  <si>
    <t>89CMAH2022000041R001520230234287</t>
  </si>
  <si>
    <t>89CMAH2022000041R001520230234428</t>
  </si>
  <si>
    <t>89CMAH2022000041R001520230234461</t>
  </si>
  <si>
    <t>89CMAH2022000041R001520230234499</t>
  </si>
  <si>
    <t>89CMAH2022000041R001520230234624</t>
  </si>
  <si>
    <t>89CMAH2022000041R001520230234694</t>
  </si>
  <si>
    <t>89CMAH2022000041R001520230234747</t>
  </si>
  <si>
    <t>89CMAH2022000041R001520230289359</t>
  </si>
  <si>
    <t>89CMAH2022000041R001520230289450</t>
  </si>
  <si>
    <t>89CMAH2022000041R001520230289462</t>
  </si>
  <si>
    <t>89CMAH2022000041R001520230289529</t>
  </si>
  <si>
    <t>89CMAH2022000041R001520230289589</t>
  </si>
  <si>
    <t>89CMAH2022000041R001520230289650</t>
  </si>
  <si>
    <t>89CMAH2022000041R001520230289698</t>
  </si>
  <si>
    <t>89CMAH2022000041R001520230289725</t>
  </si>
  <si>
    <t>89CMAH2022000041R001520230289745</t>
  </si>
  <si>
    <t>89CMAH2022000041R001520230289765</t>
  </si>
  <si>
    <t>89CMAH2022000041R001520230289934</t>
  </si>
  <si>
    <t>89CMAH2022000041R001520230290182</t>
  </si>
  <si>
    <t>89CMAH2022000041R001520230290212</t>
  </si>
  <si>
    <t>89CMAH2022000041R001520230290233</t>
  </si>
  <si>
    <t>89CMAH2022000041R001520230290241</t>
  </si>
  <si>
    <t>89CMAH2022000041R001520230290247</t>
  </si>
  <si>
    <t>89CMAH2022000041R001520230290270</t>
  </si>
  <si>
    <t>89CMAH2022000041R001520230290580</t>
  </si>
  <si>
    <t>89CMAH2022000041R001520230290586</t>
  </si>
  <si>
    <t>89CMAH2022000041R001520230290660</t>
  </si>
  <si>
    <t>89CMAH2022000041R001520230290672</t>
  </si>
  <si>
    <t>89CMAH2022000041R001520230290738</t>
  </si>
  <si>
    <t>89CMAH2022000041R001520230290778</t>
  </si>
  <si>
    <t>89CMAH2022000041R001520230290884</t>
  </si>
  <si>
    <t>SNCN00000048</t>
  </si>
  <si>
    <t>SNCN00000133</t>
  </si>
  <si>
    <t>SNCN00000286</t>
  </si>
  <si>
    <t>SNCN00000476</t>
  </si>
  <si>
    <t>SNCN00000496</t>
  </si>
  <si>
    <t>SNCN00000398</t>
  </si>
  <si>
    <t>31000050265187029000000000000000</t>
  </si>
  <si>
    <t>31000302263324096000000000000000</t>
  </si>
  <si>
    <t>31000304183512096000000000000000</t>
  </si>
  <si>
    <t>31000310520059090069674240100000</t>
  </si>
  <si>
    <t>31000310560774090069674360100000</t>
  </si>
  <si>
    <t>31000310359953090069674190100000</t>
  </si>
  <si>
    <t>31000310563836090069673190100000</t>
  </si>
  <si>
    <t>31000010600501149000000000000000</t>
  </si>
  <si>
    <t>31000310542046090069674390100000</t>
  </si>
  <si>
    <t>31000311650281029116502810290000</t>
  </si>
  <si>
    <t>31CMAH0000000000R362304820864440</t>
  </si>
  <si>
    <t>31CMAH0000000000R362304820908010</t>
  </si>
  <si>
    <t>31CMAH0000000000R962304820229380</t>
  </si>
  <si>
    <t>31CMAH0000000000R962304820280090</t>
  </si>
  <si>
    <t>31CMAH0000000000R962304820309020</t>
  </si>
  <si>
    <t>31CMAH0000000000R962304820340060</t>
  </si>
  <si>
    <t>31CMAH0000000000R962304820341340</t>
  </si>
  <si>
    <t>31CMAH0000000000R962304820373330</t>
  </si>
  <si>
    <t>31CMAHbckstop2023BACK3ENFSMERT0N</t>
  </si>
  <si>
    <t>82000000000137315000450000508004</t>
  </si>
  <si>
    <t>82000000007013472000200000670097</t>
  </si>
  <si>
    <t>82000000007017951000200000761231</t>
  </si>
  <si>
    <t>890000201300031371000500C53958I0</t>
  </si>
  <si>
    <t>89CMAH2022000041R001520230085467</t>
  </si>
  <si>
    <t>89CMAH2022000041R001520230085654</t>
  </si>
  <si>
    <t>89CMAH2022000041R001520230144871</t>
  </si>
  <si>
    <t>89CMAH2022000041R001520230178540</t>
  </si>
  <si>
    <t>89CMAH2022000041R001520230178624</t>
  </si>
  <si>
    <t>89CMAH2022000041R001520230234133</t>
  </si>
  <si>
    <t>89CMAH2022000041R001520230234158</t>
  </si>
  <si>
    <t>89CMAH2022000041R001520230234267</t>
  </si>
  <si>
    <t>89CMAH2022000041R001520230234340</t>
  </si>
  <si>
    <t>89CMAH2022000041R001520230234341</t>
  </si>
  <si>
    <t>89CMAH2022000041R001520230234389</t>
  </si>
  <si>
    <t>89CMAH2022000041R001520230234407</t>
  </si>
  <si>
    <t>89CMAH2022000041R001520230234414</t>
  </si>
  <si>
    <t>89CMAH2022000041R001520230234463</t>
  </si>
  <si>
    <t>89CMAH2022000041R001520230234470</t>
  </si>
  <si>
    <t>89CMAH2022000041R001520230234472</t>
  </si>
  <si>
    <t>89CMAH2022000041R001520230234503</t>
  </si>
  <si>
    <t>89CMAH2022000041R001520230234538</t>
  </si>
  <si>
    <t>89CMAH2022000041R001520230234588</t>
  </si>
  <si>
    <t>89CMAH2022000041R001520230234637</t>
  </si>
  <si>
    <t>89CMAH2022000041R001520230234702</t>
  </si>
  <si>
    <t>89CMAH2022000041R001520230289393</t>
  </si>
  <si>
    <t>89CMAH2022000041R001520230289410</t>
  </si>
  <si>
    <t>89CMAH2022000041R001520230289571</t>
  </si>
  <si>
    <t>89CMAH2022000041R001520230289628</t>
  </si>
  <si>
    <t>89CMAH2022000041R001520230289648</t>
  </si>
  <si>
    <t>89CMAH2022000041R001520230289721</t>
  </si>
  <si>
    <t>89CMAH2022000041R001520230289791</t>
  </si>
  <si>
    <t>89CMAH2022000041R001520230289825</t>
  </si>
  <si>
    <t>89CMAH2022000041R001520230289833</t>
  </si>
  <si>
    <t>89CMAH2022000041R001520230289835</t>
  </si>
  <si>
    <t>89CMAH2022000041R001520230289901</t>
  </si>
  <si>
    <t>89CMAH2022000041R001520230289940</t>
  </si>
  <si>
    <t>89CMAH2022000041R001520230290016</t>
  </si>
  <si>
    <t>89CMAH2022000041R001520230290042</t>
  </si>
  <si>
    <t>89CMAH2022000041R001520230290043</t>
  </si>
  <si>
    <t>89CMAH2022000041R001520230290132</t>
  </si>
  <si>
    <t>89CMAH2022000041R001520230290169</t>
  </si>
  <si>
    <t>89CMAH2022000041R001520230290194</t>
  </si>
  <si>
    <t>89CMAH2022000041R001520230290200</t>
  </si>
  <si>
    <t>89CMAH2022000041R001520230290211</t>
  </si>
  <si>
    <t>89CMAH2022000041R001520230290287</t>
  </si>
  <si>
    <t>89CMAH2022000041R001520230290296</t>
  </si>
  <si>
    <t>89CMAH2022000041R001520230290301</t>
  </si>
  <si>
    <t>89CMAH2022000041R001520230290442</t>
  </si>
  <si>
    <t>89CMAH2022000041R001520230290472</t>
  </si>
  <si>
    <t>89CMAH2022000041R001520230290529</t>
  </si>
  <si>
    <t>89CMAH2022000041R001520230290546</t>
  </si>
  <si>
    <t>89CMAH2022000041R001520230290562</t>
  </si>
  <si>
    <t>89CMAH2022000041R001520230290698</t>
  </si>
  <si>
    <t>89CMAH2022000041R001520230290716</t>
  </si>
  <si>
    <t>89CMAH2022000041R001520230290756</t>
  </si>
  <si>
    <t>89CMAH2022000041R001520230290791</t>
  </si>
  <si>
    <t>89CMAH2022000041R001520230290793</t>
  </si>
  <si>
    <t>89CMAH2022000041R001520230290800</t>
  </si>
  <si>
    <t>SNCN00000218</t>
  </si>
  <si>
    <t>31663600350105164363603501051640</t>
  </si>
  <si>
    <t>31CMAH0000000000R262304880023930</t>
  </si>
  <si>
    <t>31CMAH0000000000R962304820321330</t>
  </si>
  <si>
    <t>31CMAHenergyS1xS2OVER1ENFGDRST0H</t>
  </si>
  <si>
    <t>31CMAHenergyS1xS2OVER2ENFGDRST0G</t>
  </si>
  <si>
    <t>82000000007001702000200000643934</t>
  </si>
  <si>
    <t>82000000007003330000200000645972</t>
  </si>
  <si>
    <t>82000000007004010000200000646658</t>
  </si>
  <si>
    <t>82000000007006411000200000647514</t>
  </si>
  <si>
    <t>82000000007007415000200000653335</t>
  </si>
  <si>
    <t>82000000007011929000200000680200</t>
  </si>
  <si>
    <t>82000000007012763000200000684983</t>
  </si>
  <si>
    <t>82000000007012985000200000687578</t>
  </si>
  <si>
    <t>82000000007015727000200000730325</t>
  </si>
  <si>
    <t>82000000007018235000200000762229</t>
  </si>
  <si>
    <t>31CMAH0000000000R262304820005540</t>
  </si>
  <si>
    <t>31CMAH0000000000R262304820022850</t>
  </si>
  <si>
    <t>31CMAH0000000000R262304820024790</t>
  </si>
  <si>
    <t>31CMAH0000000000R962304820242890</t>
  </si>
  <si>
    <t>31CMAH0000000000R962304820276890</t>
  </si>
  <si>
    <t>31CMAH0000000000R962304820340110</t>
  </si>
  <si>
    <t>31CMAHenergyS1xS2OVER2ENFGDRST0C</t>
  </si>
  <si>
    <t>82000000007000267000200000642320</t>
  </si>
  <si>
    <t>82000000007001270000200000643648</t>
  </si>
  <si>
    <t>82000000007003341000200000562298</t>
  </si>
  <si>
    <t>82000000007004207000200000647188</t>
  </si>
  <si>
    <t>82000000007007244000200000652676</t>
  </si>
  <si>
    <t>82000000007007718000200000512271</t>
  </si>
  <si>
    <t>82000000007010390000200000524296</t>
  </si>
  <si>
    <t>89CMAH2022000041R001520230039606</t>
  </si>
  <si>
    <t>89CMAH2022000041R001520230085407</t>
  </si>
  <si>
    <t>89CMAH2022000041R001520230085708</t>
  </si>
  <si>
    <t>89CMAH2022000041R001520230086176</t>
  </si>
  <si>
    <t>89CMAH2022000041R001520230144602</t>
  </si>
  <si>
    <t>89CMAH2022000041R001520230177881</t>
  </si>
  <si>
    <t>89CMAH2022000041R001520230177893</t>
  </si>
  <si>
    <t>89CMAH2022000041R001520230178002</t>
  </si>
  <si>
    <t>89CMAH2022000041R001520230178322</t>
  </si>
  <si>
    <t>89CMAH2022000041R001520230178591</t>
  </si>
  <si>
    <t>89CMAH2022000041R001520230234030</t>
  </si>
  <si>
    <t>89CMAH2022000041R001520230234302</t>
  </si>
  <si>
    <t>89CMAH2022000041R001520230234376</t>
  </si>
  <si>
    <t>89CMAH2022000041R001520230234536</t>
  </si>
  <si>
    <t>89CMAH2022000041R001520230289308</t>
  </si>
  <si>
    <t>89CMAH2022000041R001520230289329</t>
  </si>
  <si>
    <t>89CMAH2022000041R001520230289335</t>
  </si>
  <si>
    <t>89CMAH2022000041R001520230289350</t>
  </si>
  <si>
    <t>89CMAH2022000041R001520230289433</t>
  </si>
  <si>
    <t>89CMAH2022000041R001520230289460</t>
  </si>
  <si>
    <t>89CMAH2022000041R001520230289586</t>
  </si>
  <si>
    <t>89CMAH2022000041R001520230289593</t>
  </si>
  <si>
    <t>89CMAH2022000041R001520230289646</t>
  </si>
  <si>
    <t>89CMAH2022000041R001520230289690</t>
  </si>
  <si>
    <t>89CMAH2022000041R001520230289767</t>
  </si>
  <si>
    <t>89CMAH2022000041R001520230289768</t>
  </si>
  <si>
    <t>89CMAH2022000041R001520230289790</t>
  </si>
  <si>
    <t>89CMAH2022000041R001520230289805</t>
  </si>
  <si>
    <t>89CMAH2022000041R001520230290015</t>
  </si>
  <si>
    <t>89CMAH2022000041R001520230290055</t>
  </si>
  <si>
    <t>89CMAH2022000041R001520230290096</t>
  </si>
  <si>
    <t>89CMAH2022000041R001520230290101</t>
  </si>
  <si>
    <t>89CMAH2022000041R001520230290120</t>
  </si>
  <si>
    <t>89CMAH2022000041R001520230290144</t>
  </si>
  <si>
    <t>89CMAH2022000041R001520230290189</t>
  </si>
  <si>
    <t>89CMAH2022000041R001520230290196</t>
  </si>
  <si>
    <t>89CMAH2022000041R001520230290209</t>
  </si>
  <si>
    <t>89CMAH2022000041R001520230290216</t>
  </si>
  <si>
    <t>89CMAH2022000041R001520230290325</t>
  </si>
  <si>
    <t>89CMAH2022000041R001520230290344</t>
  </si>
  <si>
    <t>89CMAH2022000041R001520230290424</t>
  </si>
  <si>
    <t>89CMAH2022000041R001520230290524</t>
  </si>
  <si>
    <t>89CMAH2022000041R001520230290614</t>
  </si>
  <si>
    <t>89CMAH2022000041R001520230290622</t>
  </si>
  <si>
    <t>89CMAH2022000041R001520230290677</t>
  </si>
  <si>
    <t>89CMAH2022000041R001520230290689</t>
  </si>
  <si>
    <t>89CMAH2022000041R001520230290734</t>
  </si>
  <si>
    <t>89CMAH2022000041R001520230290742</t>
  </si>
  <si>
    <t>89CMAH2022000041R001520230290774</t>
  </si>
  <si>
    <t>89CMAH2022000041R001520230290794</t>
  </si>
  <si>
    <t>SNCN00000079</t>
  </si>
  <si>
    <t>SNCN00000207</t>
  </si>
  <si>
    <t>SNCN00000228</t>
  </si>
  <si>
    <t>SNCN00000269</t>
  </si>
  <si>
    <t>SNCN00000616</t>
  </si>
  <si>
    <t>SNCN00000689</t>
  </si>
  <si>
    <t>SNCN00000976</t>
  </si>
  <si>
    <t>89CMAH2022000041R001520230040146</t>
  </si>
  <si>
    <t>89CMAH2022000041R001520230085460</t>
  </si>
  <si>
    <t>89CMAH2022000041R001520230086070</t>
  </si>
  <si>
    <t>89CMAH2022000041R001520230086104</t>
  </si>
  <si>
    <t>89CMAH2022000041R001520230144533</t>
  </si>
  <si>
    <t>89CMAH2022000041R001520230144869</t>
  </si>
  <si>
    <t>89CMAH2022000041R001520230145204</t>
  </si>
  <si>
    <t>89CMAH2022000041R001520230177973</t>
  </si>
  <si>
    <t>89CMAH2022000041R001520230177982</t>
  </si>
  <si>
    <t>89CMAH2022000041R001520230178361</t>
  </si>
  <si>
    <t>89CMAH2022000041R001520230234063</t>
  </si>
  <si>
    <t>89CMAH2022000041R001520230234102</t>
  </si>
  <si>
    <t>89CMAH2022000041R001520230234108</t>
  </si>
  <si>
    <t>89CMAH2022000041R001520230234109</t>
  </si>
  <si>
    <t>89CMAH2022000041R001520230234122</t>
  </si>
  <si>
    <t>89CMAH2022000041R001520230234185</t>
  </si>
  <si>
    <t>89CMAH2022000041R001520230234293</t>
  </si>
  <si>
    <t>89CMAH2022000041R001520230234421</t>
  </si>
  <si>
    <t>89CMAH2022000041R001520230234473</t>
  </si>
  <si>
    <t>89CMAH2022000041R001520230234483</t>
  </si>
  <si>
    <t>89CMAH2022000041R001520230234579</t>
  </si>
  <si>
    <t>89CMAH2022000041R001520230234638</t>
  </si>
  <si>
    <t>89CMAH2022000041R001520230234729</t>
  </si>
  <si>
    <t>89CMAH2022000041R001520230289358</t>
  </si>
  <si>
    <t>89CMAH2022000041R001520230289404</t>
  </si>
  <si>
    <t>89CMAH2022000041R001520230289441</t>
  </si>
  <si>
    <t>89CMAH2022000041R001520230289461</t>
  </si>
  <si>
    <t>89CMAH2022000041R001520230289538</t>
  </si>
  <si>
    <t>89CMAH2022000041R001520230289643</t>
  </si>
  <si>
    <t>89CMAH2022000041R001520230289772</t>
  </si>
  <si>
    <t>89CMAH2022000041R001520230289778</t>
  </si>
  <si>
    <t>89CMAH2022000041R001520230289922</t>
  </si>
  <si>
    <t>89CMAH2022000041R001520230289949</t>
  </si>
  <si>
    <t>89CMAH2022000041R001520230290017</t>
  </si>
  <si>
    <t>89CMAH2022000041R001520230290181</t>
  </si>
  <si>
    <t>89CMAH2022000041R001520230290388</t>
  </si>
  <si>
    <t>89CMAH2022000041R001520230290390</t>
  </si>
  <si>
    <t>89CMAH2022000041R001520230290400</t>
  </si>
  <si>
    <t>89CMAH2022000041R001520230290459</t>
  </si>
  <si>
    <t>89CMAH2022000041R001520230290481</t>
  </si>
  <si>
    <t>89CMAH2022000041R001520230290485</t>
  </si>
  <si>
    <t>89CMAH2022000041R001520230290497</t>
  </si>
  <si>
    <t>89CMAH2022000041R001520230290551</t>
  </si>
  <si>
    <t>89CMAH2022000041R001520230290593</t>
  </si>
  <si>
    <t>89CMAH2022000041R001520230290639</t>
  </si>
  <si>
    <t>89CMAH2022000041R001520230290649</t>
  </si>
  <si>
    <t>89CMAH2022000041R001520230290928</t>
  </si>
  <si>
    <t>SNCN00000056</t>
  </si>
  <si>
    <t>SNCN00000239</t>
  </si>
  <si>
    <t>SNCN00000265</t>
  </si>
  <si>
    <t>SNCN00000621</t>
  </si>
  <si>
    <t>31CMAH0000000000R162304888017770</t>
  </si>
  <si>
    <t>31CMAH0000000000R262304820027220</t>
  </si>
  <si>
    <t>31CMAH0000000000R262304840018240</t>
  </si>
  <si>
    <t>31CMAH0000000000R262304840019020</t>
  </si>
  <si>
    <t>31CMAH0000000000R262304840019410</t>
  </si>
  <si>
    <t>31CMAH0000000000R962304820260590</t>
  </si>
  <si>
    <t>31CMAH0000000000R962304820272510</t>
  </si>
  <si>
    <t>31CMAH0000000000R962304820368340</t>
  </si>
  <si>
    <t>31CMAH0020003058R000000000000000</t>
  </si>
  <si>
    <t>31CMAH4075601001R100266700000001</t>
  </si>
  <si>
    <t>82000000000119190000450000105698</t>
  </si>
  <si>
    <t>82000000000140978000450000327186</t>
  </si>
  <si>
    <t>31CMAH0000000000R262304840018860</t>
  </si>
  <si>
    <t>31CMAH0000000000R962304820268980</t>
  </si>
  <si>
    <t>31CMAH0000000000R962304820307340</t>
  </si>
  <si>
    <t>31CMAH0000000000R262304820023910</t>
  </si>
  <si>
    <t>31CMAH0000000000R262304840018430</t>
  </si>
  <si>
    <t>31CMAH0000000000R962304820043570</t>
  </si>
  <si>
    <t>31CMAH0000000000R962304820393140</t>
  </si>
  <si>
    <t>31CMAH0000000000R962304870327990</t>
  </si>
  <si>
    <t>31CMAH0000000000R962304870355340</t>
  </si>
  <si>
    <t>31CMAH0000000000R962304870370420</t>
  </si>
  <si>
    <t>31CMAHenergyS1xS2OVER1ENFSMERT0F</t>
  </si>
  <si>
    <t>82000000007001027000200000643456</t>
  </si>
  <si>
    <t>82000000007001037000200000643473</t>
  </si>
  <si>
    <t>82000000007001096000200000643452</t>
  </si>
  <si>
    <t>82000000007002721000200000645148</t>
  </si>
  <si>
    <t>82000000007007943000200000655437</t>
  </si>
  <si>
    <t>82000000007011126000200000680269</t>
  </si>
  <si>
    <t>82000000007014071000200000699349</t>
  </si>
  <si>
    <t>82000000007017014000200000748323</t>
  </si>
  <si>
    <t>82000000007002752000200000580106</t>
  </si>
  <si>
    <t>82000000007005906000200000649016</t>
  </si>
  <si>
    <t>82000000007006359000200000645655</t>
  </si>
  <si>
    <t>82000000007007234000200000652671</t>
  </si>
  <si>
    <t>82000000007008203000200000656481</t>
  </si>
  <si>
    <t>82000000007011991000200000680794</t>
  </si>
  <si>
    <t>82000000007014215000200000718967</t>
  </si>
  <si>
    <t>82000000007001078000200000503255</t>
  </si>
  <si>
    <t>82000000007001092000200000643459</t>
  </si>
  <si>
    <t>82000000007001365000200000643746</t>
  </si>
  <si>
    <t>82000000007004080000200000646721</t>
  </si>
  <si>
    <t>82000000007008186000200000656461</t>
  </si>
  <si>
    <t>82000000007009103000200000535741</t>
  </si>
  <si>
    <t>82000000007015859000200000732396</t>
  </si>
  <si>
    <t>890000200900044051000500C39109I0</t>
  </si>
  <si>
    <t>89CMAH2022000041R001520230039501</t>
  </si>
  <si>
    <t>89CMAH2022000041R001520230085950</t>
  </si>
  <si>
    <t>89CMAH2022000041R001520230144591</t>
  </si>
  <si>
    <t>89CMAH2022000041R001520230144643</t>
  </si>
  <si>
    <t>89CMAH2022000041R001520230178072</t>
  </si>
  <si>
    <t>89CMAH2022000041R001520230178104</t>
  </si>
  <si>
    <t>89CMAH2022000041R001520230178122</t>
  </si>
  <si>
    <t>89CMAH2022000041R001520230233986</t>
  </si>
  <si>
    <t>89CMAH2022000041R001520230234085</t>
  </si>
  <si>
    <t>89CMAH2022000041R001520230234103</t>
  </si>
  <si>
    <t>89CMAH2022000041R001520230234171</t>
  </si>
  <si>
    <t>89CMAH2022000041R001520230234181</t>
  </si>
  <si>
    <t>89CMAH2022000041R001520230234326</t>
  </si>
  <si>
    <t>89CMAH2022000041R001520230234371</t>
  </si>
  <si>
    <t>89CMAH2022000041R001520230234488</t>
  </si>
  <si>
    <t>89CMAH2022000041R001520230234746</t>
  </si>
  <si>
    <t>89CMAH2022000041R001520230289313</t>
  </si>
  <si>
    <t>89CMAH2022000041R001520230289327</t>
  </si>
  <si>
    <t>89CMAH2022000041R001520230289408</t>
  </si>
  <si>
    <t>89CMAH2022000041R001520230289413</t>
  </si>
  <si>
    <t>89CMAH2022000041R001520230289430</t>
  </si>
  <si>
    <t>89CMAH2022000041R001520230289439</t>
  </si>
  <si>
    <t>89CMAH2022000041R001520230289542</t>
  </si>
  <si>
    <t>89CMAH2022000041R001520230289552</t>
  </si>
  <si>
    <t>89CMAH2022000041R001520230289619</t>
  </si>
  <si>
    <t>89CMAH2022000041R001520230289707</t>
  </si>
  <si>
    <t>89CMAH2022000041R001520230289738</t>
  </si>
  <si>
    <t>89CMAH2022000041R001520230289781</t>
  </si>
  <si>
    <t>89CMAH2022000041R001520230289814</t>
  </si>
  <si>
    <t>89CMAH2022000041R001520230289844</t>
  </si>
  <si>
    <t>89CMAH2022000041R001520230289961</t>
  </si>
  <si>
    <t>89CMAH2022000041R001520230289986</t>
  </si>
  <si>
    <t>89CMAH2022000041R001520230290011</t>
  </si>
  <si>
    <t>89CMAH2022000041R001520230290105</t>
  </si>
  <si>
    <t>89CMAH2022000041R001520230290107</t>
  </si>
  <si>
    <t>89CMAH2022000041R001520230290119</t>
  </si>
  <si>
    <t>89CMAH2022000041R001520230290130</t>
  </si>
  <si>
    <t>89CMAH2022000041R001520230290260</t>
  </si>
  <si>
    <t>89CMAH2022000041R001520230290300</t>
  </si>
  <si>
    <t>89CMAH2022000041R001520230290360</t>
  </si>
  <si>
    <t>89CMAH2022000041R001520230290458</t>
  </si>
  <si>
    <t>89CMAH2022000041R001520230290511</t>
  </si>
  <si>
    <t>89CMAH2022000041R001520230290617</t>
  </si>
  <si>
    <t>89CMAH2022000041R001520230290644</t>
  </si>
  <si>
    <t>89CMAH2022000041R001520230290669</t>
  </si>
  <si>
    <t>89CMAH2022000041R001520230290706</t>
  </si>
  <si>
    <t>89CMAH2022000041R001520230290715</t>
  </si>
  <si>
    <t>89CMAH2022000041R001520230290737</t>
  </si>
  <si>
    <t>89CMAH2022000041R001520230290814</t>
  </si>
  <si>
    <t>89CMAH2022000041R001520230290850</t>
  </si>
  <si>
    <t>89CMAH2022000041R001520230290909</t>
  </si>
  <si>
    <t>89CMAH2022000041R001520230290925</t>
  </si>
  <si>
    <t>SNCN00000071</t>
  </si>
  <si>
    <t>SNCN00000085</t>
  </si>
  <si>
    <t>SNCN00000416</t>
  </si>
  <si>
    <t>SNCN00000537</t>
  </si>
  <si>
    <t>SNCN00000762</t>
  </si>
  <si>
    <t>SNCN00000773</t>
  </si>
  <si>
    <t>SNCN00000931</t>
  </si>
  <si>
    <t>SNCN00000960</t>
  </si>
  <si>
    <t>SNCN00000970</t>
  </si>
  <si>
    <t>89CMAH2022000041R001520230085494</t>
  </si>
  <si>
    <t>89CMAH2022000041R001520230085706</t>
  </si>
  <si>
    <t>89CMAH2022000041R001520230144555</t>
  </si>
  <si>
    <t>89CMAH2022000041R001520230177917</t>
  </si>
  <si>
    <t>89CMAH2022000041R001520230177996</t>
  </si>
  <si>
    <t>89CMAH2022000041R001520230178589</t>
  </si>
  <si>
    <t>89CMAH2022000041R001520230178609</t>
  </si>
  <si>
    <t>89CMAH2022000041R001520230233987</t>
  </si>
  <si>
    <t>89CMAH2022000041R001520230233997</t>
  </si>
  <si>
    <t>89CMAH2022000041R001520230234032</t>
  </si>
  <si>
    <t>89CMAH2022000041R001520230234089</t>
  </si>
  <si>
    <t>89CMAH2022000041R001520230234210</t>
  </si>
  <si>
    <t>89CMAH2022000041R001520230234314</t>
  </si>
  <si>
    <t>89CMAH2022000041R001520230234322</t>
  </si>
  <si>
    <t>89CMAH2022000041R001520230234524</t>
  </si>
  <si>
    <t>89CMAH2022000041R001520230234587</t>
  </si>
  <si>
    <t>89CMAH2022000041R001520230234595</t>
  </si>
  <si>
    <t>89CMAH2022000041R001520230234651</t>
  </si>
  <si>
    <t>89CMAH2022000041R001520230289297</t>
  </si>
  <si>
    <t>89CMAH2022000041R001520230289301</t>
  </si>
  <si>
    <t>89CMAH2022000041R001520230289355</t>
  </si>
  <si>
    <t>89CMAH2022000041R001520230289399</t>
  </si>
  <si>
    <t>89CMAH2022000041R001520230289416</t>
  </si>
  <si>
    <t>89CMAH2022000041R001520230289676</t>
  </si>
  <si>
    <t>89CMAH2022000041R001520230289869</t>
  </si>
  <si>
    <t>89CMAH2022000041R001520230289957</t>
  </si>
  <si>
    <t>89CMAH2022000041R001520230290021</t>
  </si>
  <si>
    <t>89CMAH2022000041R001520230290028</t>
  </si>
  <si>
    <t>89CMAH2022000041R001520230290038</t>
  </si>
  <si>
    <t>89CMAH2022000041R001520230290098</t>
  </si>
  <si>
    <t>89CMAH2022000041R001520230290147</t>
  </si>
  <si>
    <t>89CMAH2022000041R001520230290163</t>
  </si>
  <si>
    <t>89CMAH2022000041R001520230290177</t>
  </si>
  <si>
    <t>89CMAH2022000041R001520230290190</t>
  </si>
  <si>
    <t>89CMAH2022000041R001520230290214</t>
  </si>
  <si>
    <t>89CMAH2022000041R001520230290218</t>
  </si>
  <si>
    <t>89CMAH2022000041R001520230290321</t>
  </si>
  <si>
    <t>89CMAH2022000041R001520230290430</t>
  </si>
  <si>
    <t>89CMAH2022000041R001520230290447</t>
  </si>
  <si>
    <t>89CMAH2022000041R001520230290470</t>
  </si>
  <si>
    <t>89CMAH2022000041R001520230290474</t>
  </si>
  <si>
    <t>89CMAH2022000041R001520230290486</t>
  </si>
  <si>
    <t>89CMAH2022000041R001520230290509</t>
  </si>
  <si>
    <t>89CMAH2022000041R001520230290541</t>
  </si>
  <si>
    <t>89CMAH2022000041R001520230290627</t>
  </si>
  <si>
    <t>89CMAH2022000041R001520230290632</t>
  </si>
  <si>
    <t>89CMAH2022000041R001520230290651</t>
  </si>
  <si>
    <t>89CMAH2022000041R001520230290662</t>
  </si>
  <si>
    <t>89CMAH2022000041R001520230290743</t>
  </si>
  <si>
    <t>89CMAH2022000041R001520230290750</t>
  </si>
  <si>
    <t>89CMAH2022000041R001520230290752</t>
  </si>
  <si>
    <t>89CMAH2022000041R001520230290765</t>
  </si>
  <si>
    <t>89CMAH2022000041R001520230290771</t>
  </si>
  <si>
    <t>89CMAH2022000041R001520230290795</t>
  </si>
  <si>
    <t>89CMAH2022000041R001520230290802</t>
  </si>
  <si>
    <t>89CMAH2022000041R001520230290813</t>
  </si>
  <si>
    <t>89CMAH2022000041R001520230290818</t>
  </si>
  <si>
    <t>89CMAH2022000041R001520230290833</t>
  </si>
  <si>
    <t>SNCN00000029</t>
  </si>
  <si>
    <t>SNCN00000200</t>
  </si>
  <si>
    <t>SNCN00000375</t>
  </si>
  <si>
    <t>SNCN00000399</t>
  </si>
  <si>
    <t>SNCN00000458</t>
  </si>
  <si>
    <t>SNCN00000516</t>
  </si>
  <si>
    <t>SNCN00000534</t>
  </si>
  <si>
    <t>SNCN00000572</t>
  </si>
  <si>
    <t>89CMAH2022000041R001520230039900</t>
  </si>
  <si>
    <t>89CMAH2022000041R001520230086092</t>
  </si>
  <si>
    <t>89CMAH2022000041R001520230086159</t>
  </si>
  <si>
    <t>89CMAH2022000041R001520230144666</t>
  </si>
  <si>
    <t>89CMAH2022000041R001520230177918</t>
  </si>
  <si>
    <t>89CMAH2022000041R001520230178028</t>
  </si>
  <si>
    <t>89CMAH2022000041R001520230178080</t>
  </si>
  <si>
    <t>89CMAH2022000041R001520230178253</t>
  </si>
  <si>
    <t>89CMAH2022000041R001520230178256</t>
  </si>
  <si>
    <t>89CMAH2022000041R001520230178323</t>
  </si>
  <si>
    <t>89CMAH2022000041R001520230178519</t>
  </si>
  <si>
    <t>89CMAH2022000041R001520230178590</t>
  </si>
  <si>
    <t>89CMAH2022000041R001520230234040</t>
  </si>
  <si>
    <t>89CMAH2022000041R001520230234148</t>
  </si>
  <si>
    <t>89CMAH2022000041R001520230234203</t>
  </si>
  <si>
    <t>89CMAH2022000041R001520230234207</t>
  </si>
  <si>
    <t>89CMAH2022000041R001520230234333</t>
  </si>
  <si>
    <t>89CMAH2022000041R001520230234386</t>
  </si>
  <si>
    <t>89CMAH2022000041R001520230234392</t>
  </si>
  <si>
    <t>89CMAH2022000041R001520230234551</t>
  </si>
  <si>
    <t>89CMAH2022000041R001520230234748</t>
  </si>
  <si>
    <t>89CMAH2022000041R001520230289288</t>
  </si>
  <si>
    <t>89CMAH2022000041R001520230289330</t>
  </si>
  <si>
    <t>89CMAH2022000041R001520230289351</t>
  </si>
  <si>
    <t>89CMAH2022000041R001520230289403</t>
  </si>
  <si>
    <t>89CMAH2022000041R001520230289421</t>
  </si>
  <si>
    <t>89CMAH2022000041R001520230289497</t>
  </si>
  <si>
    <t>89CMAH2022000041R001520230289532</t>
  </si>
  <si>
    <t>89CMAH2022000041R001520230289539</t>
  </si>
  <si>
    <t>89CMAH2022000041R001520230289572</t>
  </si>
  <si>
    <t>89CMAH2022000041R001520230289575</t>
  </si>
  <si>
    <t>89CMAH2022000041R001520230289576</t>
  </si>
  <si>
    <t>89CMAH2022000041R001520230289613</t>
  </si>
  <si>
    <t>89CMAH2022000041R001520230289615</t>
  </si>
  <si>
    <t>89CMAH2022000041R001520230289645</t>
  </si>
  <si>
    <t>89CMAH2022000041R001520230289664</t>
  </si>
  <si>
    <t>89CMAH2022000041R001520230289668</t>
  </si>
  <si>
    <t>89CMAH2022000041R001520230289777</t>
  </si>
  <si>
    <t>89CMAH2022000041R001520230289848</t>
  </si>
  <si>
    <t>89CMAH2022000041R001520230289852</t>
  </si>
  <si>
    <t>89CMAH2022000041R001520230289877</t>
  </si>
  <si>
    <t>89CMAH2022000041R001520230289900</t>
  </si>
  <si>
    <t>89CMAH2022000041R001520230289948</t>
  </si>
  <si>
    <t>89CMAH2022000041R001520230289991</t>
  </si>
  <si>
    <t>89CMAH2022000041R001520230289993</t>
  </si>
  <si>
    <t>89CMAH2022000041R001520230290065</t>
  </si>
  <si>
    <t>89CMAH2022000041R001520230290099</t>
  </si>
  <si>
    <t>89CMAH2022000041R001520230290174</t>
  </si>
  <si>
    <t>89CMAH2022000041R001520230290266</t>
  </si>
  <si>
    <t>89CMAH2022000041R001520230290313</t>
  </si>
  <si>
    <t>89CMAH2022000041R001520230290379</t>
  </si>
  <si>
    <t>89CMAH2022000041R001520230290433</t>
  </si>
  <si>
    <t>89CMAH2022000041R001520230290493</t>
  </si>
  <si>
    <t>89CMAH2022000041R001520230290563</t>
  </si>
  <si>
    <t>89CMAH2022000041R001520230290574</t>
  </si>
  <si>
    <t>89CMAH2022000041R001520230290702</t>
  </si>
  <si>
    <t>89CMAH2022000041R001520230290704</t>
  </si>
  <si>
    <t>89CMAH2022000041R001520230290705</t>
  </si>
  <si>
    <t>89CMAH2022000041R001520230290804</t>
  </si>
  <si>
    <t>89CMAH2022000041R001520230290846</t>
  </si>
  <si>
    <t>89CMAH2022000041R001520230290871</t>
  </si>
  <si>
    <t>89CMAH2022000041R001520230290875</t>
  </si>
  <si>
    <t>89CMAH2022000041R001520230290902</t>
  </si>
  <si>
    <t>89CMAH2022000041R001520230290924</t>
  </si>
  <si>
    <t>SNCN00000226</t>
  </si>
  <si>
    <t>SNCN00000360</t>
  </si>
  <si>
    <t>SNCN00000401</t>
  </si>
  <si>
    <t>SNCN00000446</t>
  </si>
  <si>
    <t>SNCN00000612</t>
  </si>
  <si>
    <t>SNCN00000963</t>
  </si>
  <si>
    <t>SNCN00000453</t>
  </si>
  <si>
    <t>31000010577641149000000000000000</t>
  </si>
  <si>
    <t>31000010751421149000000000000000</t>
  </si>
  <si>
    <t>31000310172256091069674290100000</t>
  </si>
  <si>
    <t>31000310021693091069673590100000</t>
  </si>
  <si>
    <t>31000310568918090069674260100000</t>
  </si>
  <si>
    <t>31000310563570090069671410100000</t>
  </si>
  <si>
    <t>31000310175671091069674400100000</t>
  </si>
  <si>
    <t>31000310390396090069674660100000</t>
  </si>
  <si>
    <t>31000310535586090069673910100000</t>
  </si>
  <si>
    <t>31000310568884090069674160100000</t>
  </si>
  <si>
    <t>31000316145160096000000000000000</t>
  </si>
  <si>
    <t>31000310133787091069674430100000</t>
  </si>
  <si>
    <t>31000310194557091069674640100000</t>
  </si>
  <si>
    <t>31000310407612090069674710100000</t>
  </si>
  <si>
    <t>31000311671824029116718240290000</t>
  </si>
  <si>
    <t>31000313012300043000000000000000</t>
  </si>
  <si>
    <t>31516200000359091069674320100000</t>
  </si>
  <si>
    <t>31CMAH0000000000R962304820374160</t>
  </si>
  <si>
    <t>82000000007001408000200000507110</t>
  </si>
  <si>
    <t>82000000007006396000200000647498</t>
  </si>
  <si>
    <t>82000000007010507000200000677173</t>
  </si>
  <si>
    <t>82000000007011403000200000679766</t>
  </si>
  <si>
    <t>82000000007018590000200000648443</t>
  </si>
  <si>
    <t>89CMAH2022000041R001520220603524</t>
  </si>
  <si>
    <t>89CMAH2022000041R001520230086100</t>
  </si>
  <si>
    <t>89CMAH2022000041R001520230144538</t>
  </si>
  <si>
    <t>89CMAH2022000041R001520230144659</t>
  </si>
  <si>
    <t>89CMAH2022000041R001520230177908</t>
  </si>
  <si>
    <t>89CMAH2022000041R001520230178078</t>
  </si>
  <si>
    <t>89CMAH2022000041R001520230178097</t>
  </si>
  <si>
    <t>89CMAH2022000041R001520230178490</t>
  </si>
  <si>
    <t>89CMAH2022000041R001520230178530</t>
  </si>
  <si>
    <t>89CMAH2022000041R001520230178565</t>
  </si>
  <si>
    <t>89CMAH2022000041R001520230178610</t>
  </si>
  <si>
    <t>89CMAH2022000041R001520230234115</t>
  </si>
  <si>
    <t>89CMAH2022000041R001520230234124</t>
  </si>
  <si>
    <t>89CMAH2022000041R001520230234164</t>
  </si>
  <si>
    <t>89CMAH2022000041R001520230234178</t>
  </si>
  <si>
    <t>89CMAH2022000041R001520230234276</t>
  </si>
  <si>
    <t>89CMAH2022000041R001520230234291</t>
  </si>
  <si>
    <t>89CMAH2022000041R001520230234325</t>
  </si>
  <si>
    <t>89CMAH2022000041R001520230234385</t>
  </si>
  <si>
    <t>89CMAH2022000041R001520230234714</t>
  </si>
  <si>
    <t>89CMAH2022000041R001520230289299</t>
  </si>
  <si>
    <t>89CMAH2022000041R001520230289318</t>
  </si>
  <si>
    <t>89CMAH2022000041R001520230289370</t>
  </si>
  <si>
    <t>89CMAH2022000041R001520230289371</t>
  </si>
  <si>
    <t>89CMAH2022000041R001520230289400</t>
  </si>
  <si>
    <t>89CMAH2022000041R001520230289455</t>
  </si>
  <si>
    <t>89CMAH2022000041R001520230289554</t>
  </si>
  <si>
    <t>89CMAH2022000041R001520230289585</t>
  </si>
  <si>
    <t>89CMAH2022000041R001520230289605</t>
  </si>
  <si>
    <t>89CMAH2022000041R001520230289659</t>
  </si>
  <si>
    <t>89CMAH2022000041R001520230289673</t>
  </si>
  <si>
    <t>89CMAH2022000041R001520230289726</t>
  </si>
  <si>
    <t>89CMAH2022000041R001520230289728</t>
  </si>
  <si>
    <t>89CMAH2022000041R001520230289750</t>
  </si>
  <si>
    <t>89CMAH2022000041R001520230289845</t>
  </si>
  <si>
    <t>89CMAH2022000041R001520230289866</t>
  </si>
  <si>
    <t>89CMAH2022000041R001520230289881</t>
  </si>
  <si>
    <t>89CMAH2022000041R001520230289910</t>
  </si>
  <si>
    <t>89CMAH2022000041R001520230289913</t>
  </si>
  <si>
    <t>89CMAH2022000041R001520230289915</t>
  </si>
  <si>
    <t>89CMAH2022000041R001520230290000</t>
  </si>
  <si>
    <t>89CMAH2022000041R001520230290023</t>
  </si>
  <si>
    <t>89CMAH2022000041R001520230290116</t>
  </si>
  <si>
    <t>89CMAH2022000041R001520230290146</t>
  </si>
  <si>
    <t>89CMAH2022000041R001520230290161</t>
  </si>
  <si>
    <t>89CMAH2022000041R001520230290328</t>
  </si>
  <si>
    <t>89CMAH2022000041R001520230290373</t>
  </si>
  <si>
    <t>89CMAH2022000041R001520230290431</t>
  </si>
  <si>
    <t>89CMAH2022000041R001520230290465</t>
  </si>
  <si>
    <t>89CMAH2022000041R001520230290514</t>
  </si>
  <si>
    <t>89CMAH2022000041R001520230290584</t>
  </si>
  <si>
    <t>89CMAH2022000041R001520230290591</t>
  </si>
  <si>
    <t>89CMAH2022000041R001520230290655</t>
  </si>
  <si>
    <t>89CMAH2022000041R001520230290727</t>
  </si>
  <si>
    <t>89CMAH2022000041R001520230290767</t>
  </si>
  <si>
    <t>89CMAH2022000041R001520230290857</t>
  </si>
  <si>
    <t>89CMAH2022000041R001520230290892</t>
  </si>
  <si>
    <t>89CMAH2022000041R001520230290907</t>
  </si>
  <si>
    <t>SNCN00000139</t>
  </si>
  <si>
    <t>SNCN00000145</t>
  </si>
  <si>
    <t>SNCN00000221</t>
  </si>
  <si>
    <t>SNCN00000225</t>
  </si>
  <si>
    <t>SNCN00000305</t>
  </si>
  <si>
    <t>SNCN00000523</t>
  </si>
  <si>
    <t>SNCN00000558</t>
  </si>
  <si>
    <t>SNCN00000623</t>
  </si>
  <si>
    <t>SNCN00000945</t>
  </si>
  <si>
    <t>SNCN00000952</t>
  </si>
  <si>
    <t>31CMAH0000000000R962304820273560</t>
  </si>
  <si>
    <t>31CMAH0000000000R962304820336330</t>
  </si>
  <si>
    <t>82000000007000534000200000642894</t>
  </si>
  <si>
    <t>31CMAH0000000000R962304820153890</t>
  </si>
  <si>
    <t>31CMAH0000000000R962304820295750</t>
  </si>
  <si>
    <t>31CMAH0000000000R962304820302710</t>
  </si>
  <si>
    <t>31CMAH0000000000R962304820317020</t>
  </si>
  <si>
    <t>31CMAH0000000000R962304820390930</t>
  </si>
  <si>
    <t>31CMAH0000000000R962304830362520</t>
  </si>
  <si>
    <t>82000000000019732000420000416255</t>
  </si>
  <si>
    <t>82000000007003722000200000646413</t>
  </si>
  <si>
    <t>82000000007004064000200000646779</t>
  </si>
  <si>
    <t>82000000007004335000200000647158</t>
  </si>
  <si>
    <t>82000000007004397000200000647082</t>
  </si>
  <si>
    <t>89CMAH2022000041R001520230039473</t>
  </si>
  <si>
    <t>89CMAH2022000041R001520230039795</t>
  </si>
  <si>
    <t>89CMAH2022000041R001520230086183</t>
  </si>
  <si>
    <t>89CMAH2022000041R001520230144609</t>
  </si>
  <si>
    <t>89CMAH2022000041R001520230144636</t>
  </si>
  <si>
    <t>89CMAH2022000041R001520230144717</t>
  </si>
  <si>
    <t>89CMAH2022000041R001520230144895</t>
  </si>
  <si>
    <t>89CMAH2022000041R001520230178560</t>
  </si>
  <si>
    <t>89CMAH2022000041R001520230178608</t>
  </si>
  <si>
    <t>89CMAH2022000041R001520230234142</t>
  </si>
  <si>
    <t>89CMAH2022000041R001520230234166</t>
  </si>
  <si>
    <t>89CMAH2022000041R001520230234323</t>
  </si>
  <si>
    <t>89CMAH2022000041R001520230234429</t>
  </si>
  <si>
    <t>89CMAH2022000041R001520230234468</t>
  </si>
  <si>
    <t>89CMAH2022000041R001520230234626</t>
  </si>
  <si>
    <t>89CMAH2022000041R001520230234645</t>
  </si>
  <si>
    <t>89CMAH2022000041R001520230234703</t>
  </si>
  <si>
    <t>89CMAH2022000041R001520230289286</t>
  </si>
  <si>
    <t>89CMAH2022000041R001520230289312</t>
  </si>
  <si>
    <t>89CMAH2022000041R001520230289504</t>
  </si>
  <si>
    <t>89CMAH2022000041R001520230289525</t>
  </si>
  <si>
    <t>89CMAH2022000041R001520230289533</t>
  </si>
  <si>
    <t>89CMAH2022000041R001520230289551</t>
  </si>
  <si>
    <t>89CMAH2022000041R001520230289592</t>
  </si>
  <si>
    <t>89CMAH2022000041R001520230289597</t>
  </si>
  <si>
    <t>89CMAH2022000041R001520230289735</t>
  </si>
  <si>
    <t>89CMAH2022000041R001520230289763</t>
  </si>
  <si>
    <t>89CMAH2022000041R001520230289784</t>
  </si>
  <si>
    <t>89CMAH2022000041R001520230289819</t>
  </si>
  <si>
    <t>89CMAH2022000041R001520230289886</t>
  </si>
  <si>
    <t>89CMAH2022000041R001520230289905</t>
  </si>
  <si>
    <t>89CMAH2022000041R001520230289953</t>
  </si>
  <si>
    <t>89CMAH2022000041R001520230289988</t>
  </si>
  <si>
    <t>89CMAH2022000041R001520230289989</t>
  </si>
  <si>
    <t>89CMAH2022000041R001520230290069</t>
  </si>
  <si>
    <t>89CMAH2022000041R001520230290077</t>
  </si>
  <si>
    <t>89CMAH2022000041R001520230290097</t>
  </si>
  <si>
    <t>89CMAH2022000041R001520230290118</t>
  </si>
  <si>
    <t>89CMAH2022000041R001520230290135</t>
  </si>
  <si>
    <t>89CMAH2022000041R001520230290160</t>
  </si>
  <si>
    <t>89CMAH2022000041R001520230290195</t>
  </si>
  <si>
    <t>89CMAH2022000041R001520230290299</t>
  </si>
  <si>
    <t>89CMAH2022000041R001520230290329</t>
  </si>
  <si>
    <t>89CMAH2022000041R001520230290333</t>
  </si>
  <si>
    <t>89CMAH2022000041R001520230290372</t>
  </si>
  <si>
    <t>89CMAH2022000041R001520230290394</t>
  </si>
  <si>
    <t>89CMAH2022000041R001520230290432</t>
  </si>
  <si>
    <t>89CMAH2022000041R001520230290441</t>
  </si>
  <si>
    <t>89CMAH2022000041R001520230290491</t>
  </si>
  <si>
    <t>89CMAH2022000041R001520230290542</t>
  </si>
  <si>
    <t>89CMAH2022000041R001520230290567</t>
  </si>
  <si>
    <t>89CMAH2022000041R001520230290581</t>
  </si>
  <si>
    <t>89CMAH2022000041R001520230290607</t>
  </si>
  <si>
    <t>89CMAH2022000041R001520230290628</t>
  </si>
  <si>
    <t>89CMAH2022000041R001520230290633</t>
  </si>
  <si>
    <t>89CMAH2022000041R001520230290657</t>
  </si>
  <si>
    <t>89CMAH2022000041R001520230290729</t>
  </si>
  <si>
    <t>89CMAH2022000041R001520230290815</t>
  </si>
  <si>
    <t>89CMAH2022000041R001520230290820</t>
  </si>
  <si>
    <t>89CMAH2022000041R001520230290830</t>
  </si>
  <si>
    <t>89CMAH2022000041R001520230290891</t>
  </si>
  <si>
    <t>89CMAH2022000041R001520230290900</t>
  </si>
  <si>
    <t>89CMAH2022000041R001520230290910</t>
  </si>
  <si>
    <t>89CMAH2022000041R001520230290920</t>
  </si>
  <si>
    <t>SNCN00000078</t>
  </si>
  <si>
    <t>SNCN00000094</t>
  </si>
  <si>
    <t>SNCN00000159</t>
  </si>
  <si>
    <t>SNCN00000289</t>
  </si>
  <si>
    <t>SNCN00000397</t>
  </si>
  <si>
    <t>SNCN00000454</t>
  </si>
  <si>
    <t>89CMAH2022000041R001520230039798</t>
  </si>
  <si>
    <t>89CMAH2022000041R001520230085863</t>
  </si>
  <si>
    <t>89CMAH2022000041R001520230085941</t>
  </si>
  <si>
    <t>89CMAH2022000041R001520230086026</t>
  </si>
  <si>
    <t>89CMAH2022000041R001520230144648</t>
  </si>
  <si>
    <t>89CMAH2022000041R001520230145146</t>
  </si>
  <si>
    <t>89CMAH2022000041R001520230177871</t>
  </si>
  <si>
    <t>89CMAH2022000041R001520230178077</t>
  </si>
  <si>
    <t>89CMAH2022000041R001520230178457</t>
  </si>
  <si>
    <t>89CMAH2022000041R001520230234039</t>
  </si>
  <si>
    <t>89CMAH2022000041R001520230234050</t>
  </si>
  <si>
    <t>89CMAH2022000041R001520230234061</t>
  </si>
  <si>
    <t>89CMAH2022000041R001520230234224</t>
  </si>
  <si>
    <t>89CMAH2022000041R001520230234264</t>
  </si>
  <si>
    <t>89CMAH2022000041R001520230234496</t>
  </si>
  <si>
    <t>89CMAH2022000041R001520230234548</t>
  </si>
  <si>
    <t>89CMAH2022000041R001520230234646</t>
  </si>
  <si>
    <t>89CMAH2022000041R001520230289283</t>
  </si>
  <si>
    <t>89CMAH2022000041R001520230289290</t>
  </si>
  <si>
    <t>89CMAH2022000041R001520230289323</t>
  </si>
  <si>
    <t>89CMAH2022000041R001520230289401</t>
  </si>
  <si>
    <t>89CMAH2022000041R001520230289495</t>
  </si>
  <si>
    <t>89CMAH2022000041R001520230289583</t>
  </si>
  <si>
    <t>89CMAH2022000041R001520230289666</t>
  </si>
  <si>
    <t>89CMAH2022000041R001520230289724</t>
  </si>
  <si>
    <t>89CMAH2022000041R001520230289746</t>
  </si>
  <si>
    <t>89CMAH2022000041R001520230289809</t>
  </si>
  <si>
    <t>89CMAH2022000041R001520230289832</t>
  </si>
  <si>
    <t>89CMAH2022000041R001520230289854</t>
  </si>
  <si>
    <t>89CMAH2022000041R001520230290007</t>
  </si>
  <si>
    <t>89CMAH2022000041R001520230290019</t>
  </si>
  <si>
    <t>89CMAH2022000041R001520230290094</t>
  </si>
  <si>
    <t>89CMAH2022000041R001520230290129</t>
  </si>
  <si>
    <t>89CMAH2022000041R001520230290141</t>
  </si>
  <si>
    <t>89CMAH2022000041R001520230290151</t>
  </si>
  <si>
    <t>89CMAH2022000041R001520230290166</t>
  </si>
  <si>
    <t>89CMAH2022000041R001520230290168</t>
  </si>
  <si>
    <t>89CMAH2022000041R001520230290179</t>
  </si>
  <si>
    <t>89CMAH2022000041R001520230290185</t>
  </si>
  <si>
    <t>89CMAH2022000041R001520230290197</t>
  </si>
  <si>
    <t>89CMAH2022000041R001520230290238</t>
  </si>
  <si>
    <t>89CMAH2022000041R001520230290253</t>
  </si>
  <si>
    <t>89CMAH2022000041R001520230290298</t>
  </si>
  <si>
    <t>89CMAH2022000041R001520230290318</t>
  </si>
  <si>
    <t>89CMAH2022000041R001520230290340</t>
  </si>
  <si>
    <t>89CMAH2022000041R001520230290528</t>
  </si>
  <si>
    <t>89CMAH2022000041R001520230290590</t>
  </si>
  <si>
    <t>89CMAH2022000041R001520230290624</t>
  </si>
  <si>
    <t>89CMAH2022000041R001520230290641</t>
  </si>
  <si>
    <t>89CMAH2022000041R001520230290695</t>
  </si>
  <si>
    <t>89CMAH2022000041R001520230290700</t>
  </si>
  <si>
    <t>89CMAH2022000041R001520230290714</t>
  </si>
  <si>
    <t>89CMAH2022000041R001520230290759</t>
  </si>
  <si>
    <t>89CMAH2022000041R001520230290930</t>
  </si>
  <si>
    <t>SNCN00000045</t>
  </si>
  <si>
    <t>SNCN00000084</t>
  </si>
  <si>
    <t>SNCN00000103</t>
  </si>
  <si>
    <t>SNCN00000118</t>
  </si>
  <si>
    <t>SNCN00000163</t>
  </si>
  <si>
    <t>SNCN00000164</t>
  </si>
  <si>
    <t>SNCN00000172</t>
  </si>
  <si>
    <t>SNCN00000293</t>
  </si>
  <si>
    <t>SNCN00000577</t>
  </si>
  <si>
    <t>SNCN00000806</t>
  </si>
  <si>
    <t>SNCN00000922</t>
  </si>
  <si>
    <t>31CMAH0000000000R162304888017860</t>
  </si>
  <si>
    <t>31CMAH0000000000R262304840021200</t>
  </si>
  <si>
    <t>31CMAH0000000000R962304820250610</t>
  </si>
  <si>
    <t>31CMAH0000000000R962304820272600</t>
  </si>
  <si>
    <t>31CMAH0000000000R962304820309840</t>
  </si>
  <si>
    <t>31CMAH0000000000R962304820386370</t>
  </si>
  <si>
    <t>31CMAH0000000000R962304880000810</t>
  </si>
  <si>
    <t>82000000000118828000450000105698</t>
  </si>
  <si>
    <t>82000000000135765000420000415359</t>
  </si>
  <si>
    <t>82000000001100418000430000500149</t>
  </si>
  <si>
    <t>82000000007015740000200000730548</t>
  </si>
  <si>
    <t>31CMAH0000000000R962304820291450</t>
  </si>
  <si>
    <t>31CMAH0000000000R962304820340120</t>
  </si>
  <si>
    <t>31CMAH0000000000R962304820373340</t>
  </si>
  <si>
    <t>31CMAH0000000000R962304820412760</t>
  </si>
  <si>
    <t>31CMAHenergyS1xS2OVER1ENFGDRST0F</t>
  </si>
  <si>
    <t>82000000007008005000200000655768</t>
  </si>
  <si>
    <t>82000000007009159000200000663070</t>
  </si>
  <si>
    <t>82000000007011533000200000680996</t>
  </si>
  <si>
    <t>82000000007015763000200000651722</t>
  </si>
  <si>
    <t>31CMAH0000000000R162304840046380</t>
  </si>
  <si>
    <t>31CMAH0000000000R262304820022820</t>
  </si>
  <si>
    <t>31CMAH0000000000R962304820150970</t>
  </si>
  <si>
    <t>31CMAH0000000000R962304820292740</t>
  </si>
  <si>
    <t>31CMAH0000000000R962304820334350</t>
  </si>
  <si>
    <t>31CMAH0000000000R962304820340140</t>
  </si>
  <si>
    <t>82000000000113155000420000421367</t>
  </si>
  <si>
    <t>82000000007003349000200000645976</t>
  </si>
  <si>
    <t>82000000007007643000200000654185</t>
  </si>
  <si>
    <t>82000000007009090000200000606888</t>
  </si>
  <si>
    <t>82000000007010483000200000677144</t>
  </si>
  <si>
    <t>82000000007011470000200000681193</t>
  </si>
  <si>
    <t>82000000007016492000200000741578</t>
  </si>
  <si>
    <t>82000000007018043000200000761505</t>
  </si>
  <si>
    <t>89CMAH2022000041R001520230085367</t>
  </si>
  <si>
    <t>89CMAH2022000041R001520230144563</t>
  </si>
  <si>
    <t>89CMAH2022000041R001520230178015</t>
  </si>
  <si>
    <t>89CMAH2022000041R001520230178189</t>
  </si>
  <si>
    <t>89CMAH2022000041R001520230178321</t>
  </si>
  <si>
    <t>89CMAH2022000041R001520230178464</t>
  </si>
  <si>
    <t>89CMAH2022000041R001520230234058</t>
  </si>
  <si>
    <t>89CMAH2022000041R001520230234112</t>
  </si>
  <si>
    <t>89CMAH2022000041R001520230234251</t>
  </si>
  <si>
    <t>89CMAH2022000041R001520230234352</t>
  </si>
  <si>
    <t>89CMAH2022000041R001520230234485</t>
  </si>
  <si>
    <t>89CMAH2022000041R001520230234550</t>
  </si>
  <si>
    <t>89CMAH2022000041R001520230289274</t>
  </si>
  <si>
    <t>89CMAH2022000041R001520230289292</t>
  </si>
  <si>
    <t>89CMAH2022000041R001520230289307</t>
  </si>
  <si>
    <t>89CMAH2022000041R001520230289322</t>
  </si>
  <si>
    <t>89CMAH2022000041R001520230289545</t>
  </si>
  <si>
    <t>89CMAH2022000041R001520230289644</t>
  </si>
  <si>
    <t>89CMAH2022000041R001520230289689</t>
  </si>
  <si>
    <t>89CMAH2022000041R001520230289712</t>
  </si>
  <si>
    <t>89CMAH2022000041R001520230289875</t>
  </si>
  <si>
    <t>89CMAH2022000041R001520230289985</t>
  </si>
  <si>
    <t>89CMAH2022000041R001520230290087</t>
  </si>
  <si>
    <t>89CMAH2022000041R001520230290128</t>
  </si>
  <si>
    <t>89CMAH2022000041R001520230290155</t>
  </si>
  <si>
    <t>89CMAH2022000041R001520230290176</t>
  </si>
  <si>
    <t>89CMAH2022000041R001520230290199</t>
  </si>
  <si>
    <t>89CMAH2022000041R001520230290239</t>
  </si>
  <si>
    <t>89CMAH2022000041R001520230290262</t>
  </si>
  <si>
    <t>89CMAH2022000041R001520230290347</t>
  </si>
  <si>
    <t>89CMAH2022000041R001520230290413</t>
  </si>
  <si>
    <t>89CMAH2022000041R001520230290685</t>
  </si>
  <si>
    <t>89CMAH2022000041R001520230290754</t>
  </si>
  <si>
    <t>89CMAH2022000041R001520230290811</t>
  </si>
  <si>
    <t>89CMAH2022000041R001520230290835</t>
  </si>
  <si>
    <t>89CMAH2022000041R001520230290872</t>
  </si>
  <si>
    <t>89CMAH2022000041R001520230290890</t>
  </si>
  <si>
    <t>SNCN00000041</t>
  </si>
  <si>
    <t>SNCN00000386</t>
  </si>
  <si>
    <t>SNCN00000448</t>
  </si>
  <si>
    <t>SNCN00000514</t>
  </si>
  <si>
    <t>SNCN00000692</t>
  </si>
  <si>
    <t>89CMAH2022000041R001520220603539</t>
  </si>
  <si>
    <t>89CMAH2022000041R001520230085910</t>
  </si>
  <si>
    <t>89CMAH2022000041R001520230086090</t>
  </si>
  <si>
    <t>89CMAH2022000041R001520230086128</t>
  </si>
  <si>
    <t>89CMAH2022000041R001520230086288</t>
  </si>
  <si>
    <t>89CMAH2022000041R001520230178502</t>
  </si>
  <si>
    <t>89CMAH2022000041R001520230234010</t>
  </si>
  <si>
    <t>89CMAH2022000041R001520230234229</t>
  </si>
  <si>
    <t>89CMAH2022000041R001520230234240</t>
  </si>
  <si>
    <t>89CMAH2022000041R001520230234243</t>
  </si>
  <si>
    <t>89CMAH2022000041R001520230234272</t>
  </si>
  <si>
    <t>89CMAH2022000041R001520230234346</t>
  </si>
  <si>
    <t>89CMAH2022000041R001520230234453</t>
  </si>
  <si>
    <t>89CMAH2022000041R001520230234723</t>
  </si>
  <si>
    <t>89CMAH2022000041R001520230234736</t>
  </si>
  <si>
    <t>89CMAH2022000041R001520230289311</t>
  </si>
  <si>
    <t>89CMAH2022000041R001520230289339</t>
  </si>
  <si>
    <t>89CMAH2022000041R001520230289418</t>
  </si>
  <si>
    <t>89CMAH2022000041R001520230289503</t>
  </si>
  <si>
    <t>89CMAH2022000041R001520230289693</t>
  </si>
  <si>
    <t>89CMAH2022000041R001520230289704</t>
  </si>
  <si>
    <t>89CMAH2022000041R001520230289718</t>
  </si>
  <si>
    <t>89CMAH2022000041R001520230289742</t>
  </si>
  <si>
    <t>89CMAH2022000041R001520230289760</t>
  </si>
  <si>
    <t>89CMAH2022000041R001520230289887</t>
  </si>
  <si>
    <t>89CMAH2022000041R001520230289939</t>
  </si>
  <si>
    <t>89CMAH2022000041R001520230290138</t>
  </si>
  <si>
    <t>89CMAH2022000041R001520230290193</t>
  </si>
  <si>
    <t>89CMAH2022000041R001520230290224</t>
  </si>
  <si>
    <t>89CMAH2022000041R001520230290226</t>
  </si>
  <si>
    <t>89CMAH2022000041R001520230290231</t>
  </si>
  <si>
    <t>89CMAH2022000041R001520230290252</t>
  </si>
  <si>
    <t>89CMAH2022000041R001520230290351</t>
  </si>
  <si>
    <t>89CMAH2022000041R001520230290363</t>
  </si>
  <si>
    <t>89CMAH2022000041R001520230290378</t>
  </si>
  <si>
    <t>89CMAH2022000041R001520230290387</t>
  </si>
  <si>
    <t>89CMAH2022000041R001520230290454</t>
  </si>
  <si>
    <t>89CMAH2022000041R001520230290525</t>
  </si>
  <si>
    <t>89CMAH2022000041R001520230290538</t>
  </si>
  <si>
    <t>89CMAH2022000041R001520230290559</t>
  </si>
  <si>
    <t>89CMAH2022000041R001520230290631</t>
  </si>
  <si>
    <t>89CMAH2022000041R001520230290683</t>
  </si>
  <si>
    <t>89CMAH2022000041R001520230290843</t>
  </si>
  <si>
    <t>SNCN00000082</t>
  </si>
  <si>
    <t>SNCN00000091</t>
  </si>
  <si>
    <t>SNCN00000331</t>
  </si>
  <si>
    <t>SNCN00000351</t>
  </si>
  <si>
    <t>SNCN00000370</t>
  </si>
  <si>
    <t>SNCN00000560</t>
  </si>
  <si>
    <t>SNCN00000566</t>
  </si>
  <si>
    <t>SNCN00000665</t>
  </si>
  <si>
    <t>89CMAH2022000041R001520220603884</t>
  </si>
  <si>
    <t>89CMAH2022000041R001520230085933</t>
  </si>
  <si>
    <t>89CMAH2022000041R001520230086009</t>
  </si>
  <si>
    <t>89CMAH2022000041R001520230178068</t>
  </si>
  <si>
    <t>89CMAH2022000041R001520230234000</t>
  </si>
  <si>
    <t>89CMAH2022000041R001520230234193</t>
  </si>
  <si>
    <t>89CMAH2022000041R001520230234222</t>
  </si>
  <si>
    <t>89CMAH2022000041R001520230234249</t>
  </si>
  <si>
    <t>89CMAH2022000041R001520230234253</t>
  </si>
  <si>
    <t>89CMAH2022000041R001520230234413</t>
  </si>
  <si>
    <t>89CMAH2022000041R001520230234513</t>
  </si>
  <si>
    <t>89CMAH2022000041R001520230234668</t>
  </si>
  <si>
    <t>89CMAH2022000041R001520230234739</t>
  </si>
  <si>
    <t>89CMAH2022000041R001520230289415</t>
  </si>
  <si>
    <t>89CMAH2022000041R001520230289454</t>
  </si>
  <si>
    <t>89CMAH2022000041R001520230289499</t>
  </si>
  <si>
    <t>89CMAH2022000041R001520230289530</t>
  </si>
  <si>
    <t>89CMAH2022000041R001520230289569</t>
  </si>
  <si>
    <t>89CMAH2022000041R001520230289574</t>
  </si>
  <si>
    <t>89CMAH2022000041R001520230289752</t>
  </si>
  <si>
    <t>89CMAH2022000041R001520230289766</t>
  </si>
  <si>
    <t>89CMAH2022000041R001520230289783</t>
  </si>
  <si>
    <t>89CMAH2022000041R001520230289853</t>
  </si>
  <si>
    <t>89CMAH2022000041R001520230289919</t>
  </si>
  <si>
    <t>89CMAH2022000041R001520230289935</t>
  </si>
  <si>
    <t>89CMAH2022000041R001520230289968</t>
  </si>
  <si>
    <t>89CMAH2022000041R001520230289999</t>
  </si>
  <si>
    <t>89CMAH2022000041R001520230290006</t>
  </si>
  <si>
    <t>89CMAH2022000041R001520230290081</t>
  </si>
  <si>
    <t>89CMAH2022000041R001520230290188</t>
  </si>
  <si>
    <t>89CMAH2022000041R001520230290251</t>
  </si>
  <si>
    <t>89CMAH2022000041R001520230290280</t>
  </si>
  <si>
    <t>89CMAH2022000041R001520230290289</t>
  </si>
  <si>
    <t>89CMAH2022000041R001520230290311</t>
  </si>
  <si>
    <t>89CMAH2022000041R001520230290429</t>
  </si>
  <si>
    <t>89CMAH2022000041R001520230290552</t>
  </si>
  <si>
    <t>89CMAH2022000041R001520230290604</t>
  </si>
  <si>
    <t>89CMAH2022000041R001520230290620</t>
  </si>
  <si>
    <t>89CMAH2022000041R001520230290650</t>
  </si>
  <si>
    <t>89CMAH2022000041R001520230290654</t>
  </si>
  <si>
    <t>89CMAH2022000041R001520230290745</t>
  </si>
  <si>
    <t>89CMAH2022000041R001520230290855</t>
  </si>
  <si>
    <t>89CMAH2022000041R001520230290870</t>
  </si>
  <si>
    <t>89CMAH2022000041R001520230290886</t>
  </si>
  <si>
    <t>89CMAH2022000041R001520230290915</t>
  </si>
  <si>
    <t>SNCN00000013</t>
  </si>
  <si>
    <t>SNCN00000101</t>
  </si>
  <si>
    <t>SNCN00000201</t>
  </si>
  <si>
    <t>SNCN00000219</t>
  </si>
  <si>
    <t>SNCN00000292</t>
  </si>
  <si>
    <t>SNCN00000345</t>
  </si>
  <si>
    <t>SNCN00000396</t>
  </si>
  <si>
    <t>SNCN00000507</t>
  </si>
  <si>
    <t>SNCN00000604</t>
  </si>
  <si>
    <t>SNCN00000843</t>
  </si>
  <si>
    <t>SNCN00000122</t>
  </si>
  <si>
    <t>SNCN00000863</t>
  </si>
  <si>
    <t>SNCN00000556</t>
  </si>
  <si>
    <t>SNCN00000965</t>
  </si>
  <si>
    <t>SNCN00000728</t>
  </si>
  <si>
    <t>80CMAHFINERGETRAB000000000000001</t>
  </si>
  <si>
    <t>SNCN00000721</t>
  </si>
  <si>
    <t>SNCN00000471</t>
  </si>
  <si>
    <t>SNCN00000753</t>
  </si>
  <si>
    <t>SNCN00000716</t>
  </si>
  <si>
    <t>SNCN00000814</t>
  </si>
  <si>
    <t>SNCN00000967</t>
  </si>
  <si>
    <t>SNCN00000500</t>
  </si>
  <si>
    <t>SNCN00000769</t>
  </si>
  <si>
    <t>31000310480999090069674380100000</t>
  </si>
  <si>
    <t>SNCN00000578</t>
  </si>
  <si>
    <t>SNCN00000542</t>
  </si>
  <si>
    <t>80CMAHFINERGECAPF000000000000001</t>
  </si>
  <si>
    <t>31000010632561149000000000000000</t>
  </si>
  <si>
    <t>SNCN00000815</t>
  </si>
  <si>
    <t>31000309803023096000000000000000</t>
  </si>
  <si>
    <t>31000310178469091069674220100000</t>
  </si>
  <si>
    <t>31CMAH0000000000R962304820250510</t>
  </si>
  <si>
    <t>31CMAH0000000000R962304820252950</t>
  </si>
  <si>
    <t>31CMAH0000000000R962304820295900</t>
  </si>
  <si>
    <t>31CMAH0000000000R962304820319600</t>
  </si>
  <si>
    <t>31CMAH0000000000R962304820359300</t>
  </si>
  <si>
    <t>31CMAH0000000000R962304820383640</t>
  </si>
  <si>
    <t>31CMAH0000000000R962304830386740</t>
  </si>
  <si>
    <t>31CMAHenergyS1xS2OVER2ENFSMERT0C</t>
  </si>
  <si>
    <t>82000000007011999000200000680818</t>
  </si>
  <si>
    <t>89CMAH2022000041R001520220603902</t>
  </si>
  <si>
    <t>89CMAH2022000041R001520230039721</t>
  </si>
  <si>
    <t>89CMAH2022000041R001520230085936</t>
  </si>
  <si>
    <t>89CMAH2022000041R001520230085973</t>
  </si>
  <si>
    <t>89CMAH2022000041R001520230086025</t>
  </si>
  <si>
    <t>89CMAH2022000041R001520230144736</t>
  </si>
  <si>
    <t>89CMAH2022000041R001520230144796</t>
  </si>
  <si>
    <t>89CMAH2022000041R001520230177873</t>
  </si>
  <si>
    <t>89CMAH2022000041R001520230178000</t>
  </si>
  <si>
    <t>89CMAH2022000041R001520230178352</t>
  </si>
  <si>
    <t>89CMAH2022000041R001520230233973</t>
  </si>
  <si>
    <t>89CMAH2022000041R001520230234128</t>
  </si>
  <si>
    <t>89CMAH2022000041R001520230234135</t>
  </si>
  <si>
    <t>89CMAH2022000041R001520230234157</t>
  </si>
  <si>
    <t>89CMAH2022000041R001520230234226</t>
  </si>
  <si>
    <t>89CMAH2022000041R001520230234282</t>
  </si>
  <si>
    <t>89CMAH2022000041R001520230234343</t>
  </si>
  <si>
    <t>89CMAH2022000041R001520230234361</t>
  </si>
  <si>
    <t>89CMAH2022000041R001520230234382</t>
  </si>
  <si>
    <t>89CMAH2022000041R001520230234455</t>
  </si>
  <si>
    <t>89CMAH2022000041R001520230234679</t>
  </si>
  <si>
    <t>89CMAH2022000041R001520230234688</t>
  </si>
  <si>
    <t>89CMAH2022000041R001520230289340</t>
  </si>
  <si>
    <t>89CMAH2022000041R001520230289360</t>
  </si>
  <si>
    <t>89CMAH2022000041R001520230289427</t>
  </si>
  <si>
    <t>89CMAH2022000041R001520230289665</t>
  </si>
  <si>
    <t>89CMAH2022000041R001520230289677</t>
  </si>
  <si>
    <t>89CMAH2022000041R001520230289827</t>
  </si>
  <si>
    <t>89CMAH2022000041R001520230289836</t>
  </si>
  <si>
    <t>89CMAH2022000041R001520230289883</t>
  </si>
  <si>
    <t>89CMAH2022000041R001520230289896</t>
  </si>
  <si>
    <t>89CMAH2022000041R001520230289980</t>
  </si>
  <si>
    <t>89CMAH2022000041R001520230290074</t>
  </si>
  <si>
    <t>89CMAH2022000041R001520230290085</t>
  </si>
  <si>
    <t>89CMAH2022000041R001520230290148</t>
  </si>
  <si>
    <t>89CMAH2022000041R001520230290305</t>
  </si>
  <si>
    <t>89CMAH2022000041R001520230290384</t>
  </si>
  <si>
    <t>89CMAH2022000041R001520230290596</t>
  </si>
  <si>
    <t>89CMAH2022000041R001520230290648</t>
  </si>
  <si>
    <t>89CMAH2022000041R001520230290656</t>
  </si>
  <si>
    <t>89CMAH2022000041R001520230290666</t>
  </si>
  <si>
    <t>89CMAH2022000041R001520230290690</t>
  </si>
  <si>
    <t>89CMAH2022000041R001520230290694</t>
  </si>
  <si>
    <t>89CMAH2022000041R001520230290718</t>
  </si>
  <si>
    <t>89CMAH2022000041R001520230290724</t>
  </si>
  <si>
    <t>89CMAH2022000041R001520230290785</t>
  </si>
  <si>
    <t>89CMAH2022000041R001520230290865</t>
  </si>
  <si>
    <t>89CMAH2022000041R001520230290867</t>
  </si>
  <si>
    <t>SNCN00000031</t>
  </si>
  <si>
    <t>SNCN00000070</t>
  </si>
  <si>
    <t>SNCN00000080</t>
  </si>
  <si>
    <t>SNCN00000096</t>
  </si>
  <si>
    <t>SNCN00000192</t>
  </si>
  <si>
    <t>SNCN00000199</t>
  </si>
  <si>
    <t>SNCN00000245</t>
  </si>
  <si>
    <t>SNCN00000365</t>
  </si>
  <si>
    <t>SNCN00000447</t>
  </si>
  <si>
    <t>SNCN00000494</t>
  </si>
  <si>
    <t>SNCN00000925</t>
  </si>
  <si>
    <t>SNCN00000936</t>
  </si>
  <si>
    <t>SNCN00000985</t>
  </si>
  <si>
    <t>31CMAH0000000000R599904815307790</t>
  </si>
  <si>
    <t>31CMAH0000000000R962304830386760</t>
  </si>
  <si>
    <t>31CMAH0000000000R962304830398060</t>
  </si>
  <si>
    <t>82000000000054268000450000404379</t>
  </si>
  <si>
    <t>82000000000102342000420000415032</t>
  </si>
  <si>
    <t>82000000000137313000450000508004</t>
  </si>
  <si>
    <t>82000000007000460000200000642784</t>
  </si>
  <si>
    <t>82000000007000984000200000643418</t>
  </si>
  <si>
    <t>82000000007003461000200000646094</t>
  </si>
  <si>
    <t>82000000007008610000200000658707</t>
  </si>
  <si>
    <t>82000000007011267000200000680169</t>
  </si>
  <si>
    <t>89CMAH2022000041R001520230039289</t>
  </si>
  <si>
    <t>89CMAH2022000041R001520230177921</t>
  </si>
  <si>
    <t>89CMAH2022000041R001520230177981</t>
  </si>
  <si>
    <t>89CMAH2022000041R001520230178200</t>
  </si>
  <si>
    <t>89CMAH2022000041R001520230178293</t>
  </si>
  <si>
    <t>89CMAH2022000041R001520230234117</t>
  </si>
  <si>
    <t>89CMAH2022000041R001520230234216</t>
  </si>
  <si>
    <t>89CMAH2022000041R001520230234260</t>
  </si>
  <si>
    <t>89CMAH2022000041R001520230234273</t>
  </si>
  <si>
    <t>89CMAH2022000041R001520230234372</t>
  </si>
  <si>
    <t>89CMAH2022000041R001520230234427</t>
  </si>
  <si>
    <t>89CMAH2022000041R001520230234612</t>
  </si>
  <si>
    <t>89CMAH2022000041R001520230234697</t>
  </si>
  <si>
    <t>89CMAH2022000041R001520230289291</t>
  </si>
  <si>
    <t>89CMAH2022000041R001520230289519</t>
  </si>
  <si>
    <t>89CMAH2022000041R001520230289527</t>
  </si>
  <si>
    <t>89CMAH2022000041R001520230289723</t>
  </si>
  <si>
    <t>89CMAH2022000041R001520230289769</t>
  </si>
  <si>
    <t>89CMAH2022000041R001520230289851</t>
  </si>
  <si>
    <t>89CMAH2022000041R001520230289902</t>
  </si>
  <si>
    <t>89CMAH2022000041R001520230289921</t>
  </si>
  <si>
    <t>89CMAH2022000041R001520230289958</t>
  </si>
  <si>
    <t>89CMAH2022000041R001520230289974</t>
  </si>
  <si>
    <t>89CMAH2022000041R001520230289992</t>
  </si>
  <si>
    <t>89CMAH2022000041R001520230290005</t>
  </si>
  <si>
    <t>89CMAH2022000041R001520230290054</t>
  </si>
  <si>
    <t>89CMAH2022000041R001520230290090</t>
  </si>
  <si>
    <t>89CMAH2022000041R001520230290100</t>
  </si>
  <si>
    <t>89CMAH2022000041R001520230290131</t>
  </si>
  <si>
    <t>89CMAH2022000041R001520230290149</t>
  </si>
  <si>
    <t>89CMAH2022000041R001520230290249</t>
  </si>
  <si>
    <t>89CMAH2022000041R001520230290265</t>
  </si>
  <si>
    <t>89CMAH2022000041R001520230290324</t>
  </si>
  <si>
    <t>89CMAH2022000041R001520230290348</t>
  </si>
  <si>
    <t>89CMAH2022000041R001520230290354</t>
  </si>
  <si>
    <t>89CMAH2022000041R001520230290356</t>
  </si>
  <si>
    <t>89CMAH2022000041R001520230290377</t>
  </si>
  <si>
    <t>89CMAH2022000041R001520230290456</t>
  </si>
  <si>
    <t>89CMAH2022000041R001520230290461</t>
  </si>
  <si>
    <t>89CMAH2022000041R001520230290652</t>
  </si>
  <si>
    <t>89CMAH2022000041R001520230290708</t>
  </si>
  <si>
    <t>89CMAH2022000041R001520230290769</t>
  </si>
  <si>
    <t>89CMAH2022000041R001520230290856</t>
  </si>
  <si>
    <t>SNCN00000025</t>
  </si>
  <si>
    <t>SNCN00000057</t>
  </si>
  <si>
    <t>SNCN00000156</t>
  </si>
  <si>
    <t>SNCN00000179</t>
  </si>
  <si>
    <t>SNCN00000290</t>
  </si>
  <si>
    <t>SNCN00000367</t>
  </si>
  <si>
    <t>SNCN00000382</t>
  </si>
  <si>
    <t>SNCN00000610</t>
  </si>
  <si>
    <t>SNCN00000944</t>
  </si>
  <si>
    <t>31CMAH0000000000R262304820019220</t>
  </si>
  <si>
    <t>31CMAH0000000000R262304820025410</t>
  </si>
  <si>
    <t>31CMAH0000000000R962304820174780</t>
  </si>
  <si>
    <t>31CMAH0000000000R962304820288710</t>
  </si>
  <si>
    <t>31CMAH0000000000R962304820345590</t>
  </si>
  <si>
    <t>31CMAHenergyS1xS2OVER1ENFGDRST0A</t>
  </si>
  <si>
    <t>82000000007001990000200000644112</t>
  </si>
  <si>
    <t>82000000007002087000200000644288</t>
  </si>
  <si>
    <t>82000000007005586000200000648511</t>
  </si>
  <si>
    <t>82000000007006339000200000646281</t>
  </si>
  <si>
    <t>82000000007006385000200000424720</t>
  </si>
  <si>
    <t>82000000007007710000200000685684</t>
  </si>
  <si>
    <t>82000000007011483000200000680391</t>
  </si>
  <si>
    <t>82000000007017957000200000761244</t>
  </si>
  <si>
    <t>82000000007018038000200000658797</t>
  </si>
  <si>
    <t>82000000007018695000200000560285</t>
  </si>
  <si>
    <t>82000000008007606000530000886360</t>
  </si>
  <si>
    <t>89CMAH2022000041R001520230085720</t>
  </si>
  <si>
    <t>89CMAH2022000041R001520230144907</t>
  </si>
  <si>
    <t>89CMAH2022000041R001520230177997</t>
  </si>
  <si>
    <t>89CMAH2022000041R001520230178011</t>
  </si>
  <si>
    <t>89CMAH2022000041R001520230178037</t>
  </si>
  <si>
    <t>89CMAH2022000041R001520230178467</t>
  </si>
  <si>
    <t>89CMAH2022000041R001520230178630</t>
  </si>
  <si>
    <t>89CMAH2022000041R001520230234262</t>
  </si>
  <si>
    <t>89CMAH2022000041R001520230234277</t>
  </si>
  <si>
    <t>89CMAH2022000041R001520230234288</t>
  </si>
  <si>
    <t>89CMAH2022000041R001520230234355</t>
  </si>
  <si>
    <t>89CMAH2022000041R001520230234522</t>
  </si>
  <si>
    <t>89CMAH2022000041R001520230234683</t>
  </si>
  <si>
    <t>89CMAH2022000041R001520230234699</t>
  </si>
  <si>
    <t>89CMAH2022000041R001520230234717</t>
  </si>
  <si>
    <t>89CMAH2022000041R001520230289432</t>
  </si>
  <si>
    <t>89CMAH2022000041R001520230289478</t>
  </si>
  <si>
    <t>89CMAH2022000041R001520230289481</t>
  </si>
  <si>
    <t>89CMAH2022000041R001520230289623</t>
  </si>
  <si>
    <t>89CMAH2022000041R001520230289639</t>
  </si>
  <si>
    <t>89CMAH2022000041R001520230289672</t>
  </si>
  <si>
    <t>89CMAH2022000041R001520230289701</t>
  </si>
  <si>
    <t>89CMAH2022000041R001520230289731</t>
  </si>
  <si>
    <t>89CMAH2022000041R001520230289801</t>
  </si>
  <si>
    <t>89CMAH2022000041R001520230289802</t>
  </si>
  <si>
    <t>89CMAH2022000041R001520230289824</t>
  </si>
  <si>
    <t>89CMAH2022000041R001520230289943</t>
  </si>
  <si>
    <t>89CMAH2022000041R001520230290201</t>
  </si>
  <si>
    <t>89CMAH2022000041R001520230290297</t>
  </si>
  <si>
    <t>89CMAH2022000041R001520230290446</t>
  </si>
  <si>
    <t>89CMAH2022000041R001520230290471</t>
  </si>
  <si>
    <t>89CMAH2022000041R001520230290488</t>
  </si>
  <si>
    <t>89CMAH2022000041R001520230290667</t>
  </si>
  <si>
    <t>89CMAH2022000041R001520230290775</t>
  </si>
  <si>
    <t>89CMAH2022000041R001520230290888</t>
  </si>
  <si>
    <t>89CMAH2022000041R001520230290912</t>
  </si>
  <si>
    <t>SNCN00000203</t>
  </si>
  <si>
    <t>SNCN00000984</t>
  </si>
  <si>
    <t>31000310193815091069674130100000</t>
  </si>
  <si>
    <t>31CMAH0000000000R262304840020780</t>
  </si>
  <si>
    <t>31CMAH0000000000R362304841024400</t>
  </si>
  <si>
    <t>31CMAH0000000000R962304820228590</t>
  </si>
  <si>
    <t>31CMAH0000000000R962304820338160</t>
  </si>
  <si>
    <t>31CMAH0000000000R962304820340170</t>
  </si>
  <si>
    <t>31CMAH0000000000R962304820358740</t>
  </si>
  <si>
    <t>31CMAHenergyS1xS2OVER1ENFSMERT0G</t>
  </si>
  <si>
    <t>82000000007001001000200000643427</t>
  </si>
  <si>
    <t>82000000007003889000200000646623</t>
  </si>
  <si>
    <t>82000000007010090000200000672579</t>
  </si>
  <si>
    <t>82000000007010352000200000548039</t>
  </si>
  <si>
    <t>82000000007011532000200000680996</t>
  </si>
  <si>
    <t>82000000008007126000530000504892</t>
  </si>
  <si>
    <t>890000201300031351000500C43636I0</t>
  </si>
  <si>
    <t>89CMAH2022000041R001520220603846</t>
  </si>
  <si>
    <t>89CMAH2022000041R001520230039454</t>
  </si>
  <si>
    <t>89CMAH2022000041R001520230085841</t>
  </si>
  <si>
    <t>89CMAH2022000041R001520230086181</t>
  </si>
  <si>
    <t>89CMAH2022000041R001520230177906</t>
  </si>
  <si>
    <t>89CMAH2022000041R001520230178027</t>
  </si>
  <si>
    <t>89CMAH2022000041R001520230178149</t>
  </si>
  <si>
    <t>89CMAH2022000041R001520230178177</t>
  </si>
  <si>
    <t>89CMAH2022000041R001520230234119</t>
  </si>
  <si>
    <t>89CMAH2022000041R001520230234140</t>
  </si>
  <si>
    <t>89CMAH2022000041R001520230234217</t>
  </si>
  <si>
    <t>89CMAH2022000041R001520230234393</t>
  </si>
  <si>
    <t>89CMAH2022000041R001520230234462</t>
  </si>
  <si>
    <t>89CMAH2022000041R001520230234678</t>
  </si>
  <si>
    <t>89CMAH2022000041R001520230234716</t>
  </si>
  <si>
    <t>89CMAH2022000041R001520230289320</t>
  </si>
  <si>
    <t>89CMAH2022000041R001520230289406</t>
  </si>
  <si>
    <t>89CMAH2022000041R001520230289564</t>
  </si>
  <si>
    <t>89CMAH2022000041R001520230289652</t>
  </si>
  <si>
    <t>89CMAH2022000041R001520230289697</t>
  </si>
  <si>
    <t>89CMAH2022000041R001520230289716</t>
  </si>
  <si>
    <t>89CMAH2022000041R001520230289733</t>
  </si>
  <si>
    <t>89CMAH2022000041R001520230289761</t>
  </si>
  <si>
    <t>89CMAH2022000041R001520230289787</t>
  </si>
  <si>
    <t>89CMAH2022000041R001520230289796</t>
  </si>
  <si>
    <t>89CMAH2022000041R001520230289815</t>
  </si>
  <si>
    <t>89CMAH2022000041R001520230289861</t>
  </si>
  <si>
    <t>89CMAH2022000041R001520230290040</t>
  </si>
  <si>
    <t>89CMAH2022000041R001520230290070</t>
  </si>
  <si>
    <t>89CMAH2022000041R001520230290187</t>
  </si>
  <si>
    <t>89CMAH2022000041R001520230290290</t>
  </si>
  <si>
    <t>89CMAH2022000041R001520230290401</t>
  </si>
  <si>
    <t>89CMAH2022000041R001520230290566</t>
  </si>
  <si>
    <t>89CMAH2022000041R001520230290569</t>
  </si>
  <si>
    <t>89CMAH2022000041R001520230290646</t>
  </si>
  <si>
    <t>89CMAH2022000041R001520230290744</t>
  </si>
  <si>
    <t>89CMAH2022000041R001520230290824</t>
  </si>
  <si>
    <t>89CMAH2022000041R001520230290828</t>
  </si>
  <si>
    <t>89CMAH2022000041R001520230290895</t>
  </si>
  <si>
    <t>SNCN00000151</t>
  </si>
  <si>
    <t>SNCN00000322</t>
  </si>
  <si>
    <t>SNCN00000377</t>
  </si>
  <si>
    <t>SNCN00000485</t>
  </si>
  <si>
    <t>SNCN00000746</t>
  </si>
  <si>
    <t>SNCN00000977</t>
  </si>
  <si>
    <t>SNCN00000979</t>
  </si>
  <si>
    <t>SNCN00000981</t>
  </si>
  <si>
    <t>31000310190837091069674630100000</t>
  </si>
  <si>
    <t>31000310568892090069674230100000</t>
  </si>
  <si>
    <t>31000050010765029000000000000000</t>
  </si>
  <si>
    <t>31663600350114722363603501147220</t>
  </si>
  <si>
    <t>31CMAH0000000000R262304820022810</t>
  </si>
  <si>
    <t>31CMAH0000000000R262304840019840</t>
  </si>
  <si>
    <t>31CMAH0000000000R599904815307260</t>
  </si>
  <si>
    <t>31CMAH0000000000R962304820273750</t>
  </si>
  <si>
    <t>31CMAH0000000000R962304820345600</t>
  </si>
  <si>
    <t>31CMAH0000000000R962304820381260</t>
  </si>
  <si>
    <t>31CMAH0000580004RXS0292898912000</t>
  </si>
  <si>
    <t>82000000007004342000200000647209</t>
  </si>
  <si>
    <t>82000000007004346000200000647206</t>
  </si>
  <si>
    <t>82000000007004366000200000647130</t>
  </si>
  <si>
    <t>82000000007006029000200000648810</t>
  </si>
  <si>
    <t>82000000007006387000200000647511</t>
  </si>
  <si>
    <t>82000000007008459000200000657382</t>
  </si>
  <si>
    <t>82000000007011336000200000680755</t>
  </si>
  <si>
    <t>89CMAH2022000041R001520230040011</t>
  </si>
  <si>
    <t>89CMAH2022000041R001520230085855</t>
  </si>
  <si>
    <t>89CMAH2022000041R001520230086085</t>
  </si>
  <si>
    <t>89CMAH2022000041R001520230086160</t>
  </si>
  <si>
    <t>89CMAH2022000041R001520230177878</t>
  </si>
  <si>
    <t>89CMAH2022000041R001520230177930</t>
  </si>
  <si>
    <t>89CMAH2022000041R001520230178032</t>
  </si>
  <si>
    <t>89CMAH2022000041R001520230178053</t>
  </si>
  <si>
    <t>89CMAH2022000041R001520230178190</t>
  </si>
  <si>
    <t>89CMAH2022000041R001520230178544</t>
  </si>
  <si>
    <t>89CMAH2022000041R001520230234036</t>
  </si>
  <si>
    <t>89CMAH2022000041R001520230234132</t>
  </si>
  <si>
    <t>89CMAH2022000041R001520230234292</t>
  </si>
  <si>
    <t>89CMAH2022000041R001520230234332</t>
  </si>
  <si>
    <t>89CMAH2022000041R001520230234438</t>
  </si>
  <si>
    <t>89CMAH2022000041R001520230234469</t>
  </si>
  <si>
    <t>89CMAH2022000041R001520230234500</t>
  </si>
  <si>
    <t>89CMAH2022000041R001520230234507</t>
  </si>
  <si>
    <t>89CMAH2022000041R001520230234684</t>
  </si>
  <si>
    <t>89CMAH2022000041R001520230289293</t>
  </si>
  <si>
    <t>89CMAH2022000041R001520230289344</t>
  </si>
  <si>
    <t>89CMAH2022000041R001520230289367</t>
  </si>
  <si>
    <t>89CMAH2022000041R001520230289394</t>
  </si>
  <si>
    <t>89CMAH2022000041R001520230289440</t>
  </si>
  <si>
    <t>89CMAH2022000041R001520230289466</t>
  </si>
  <si>
    <t>89CMAH2022000041R001520230289522</t>
  </si>
  <si>
    <t>89CMAH2022000041R001520230289591</t>
  </si>
  <si>
    <t>89CMAH2022000041R001520230289663</t>
  </si>
  <si>
    <t>89CMAH2022000041R001520230289713</t>
  </si>
  <si>
    <t>89CMAH2022000041R001520230289823</t>
  </si>
  <si>
    <t>89CMAH2022000041R001520230289838</t>
  </si>
  <si>
    <t>89CMAH2022000041R001520230289916</t>
  </si>
  <si>
    <t>89CMAH2022000041R001520230289928</t>
  </si>
  <si>
    <t>89CMAH2022000041R001520230290008</t>
  </si>
  <si>
    <t>89CMAH2022000041R001520230290083</t>
  </si>
  <si>
    <t>89CMAH2022000041R001520230290093</t>
  </si>
  <si>
    <t>89CMAH2022000041R001520230290154</t>
  </si>
  <si>
    <t>89CMAH2022000041R001520230290294</t>
  </si>
  <si>
    <t>89CMAH2022000041R001520230290370</t>
  </si>
  <si>
    <t>89CMAH2022000041R001520230290416</t>
  </si>
  <si>
    <t>89CMAH2022000041R001520230290476</t>
  </si>
  <si>
    <t>89CMAH2022000041R001520230290519</t>
  </si>
  <si>
    <t>89CMAH2022000041R001520230290544</t>
  </si>
  <si>
    <t>89CMAH2022000041R001520230290561</t>
  </si>
  <si>
    <t>89CMAH2022000041R001520230290635</t>
  </si>
  <si>
    <t>89CMAH2022000041R001520230290680</t>
  </si>
  <si>
    <t>89CMAH2022000041R001520230290681</t>
  </si>
  <si>
    <t>89CMAH2022000041R001520230290725</t>
  </si>
  <si>
    <t>89CMAH2022000041R001520230290784</t>
  </si>
  <si>
    <t>89CMAH2022000041R001520230290845</t>
  </si>
  <si>
    <t>89CMAH2022000041R001520230290868</t>
  </si>
  <si>
    <t>89CMAH2022000041R001520230290882</t>
  </si>
  <si>
    <t>89CMAH2022000041R001520230290905</t>
  </si>
  <si>
    <t>89CMAH2022000041R001520230290906</t>
  </si>
  <si>
    <t>SNCN00000216</t>
  </si>
  <si>
    <t>SNCN00000334</t>
  </si>
  <si>
    <t>SNCN00000420</t>
  </si>
  <si>
    <t>SNCN00000491</t>
  </si>
  <si>
    <t>SNCN00000766</t>
  </si>
  <si>
    <t>SNCN00000804</t>
  </si>
  <si>
    <t>SNCN00000879</t>
  </si>
  <si>
    <t>SNCN00000890</t>
  </si>
  <si>
    <t>31000800538759096000000000000000</t>
  </si>
  <si>
    <t>31000310568934090069674340100000</t>
  </si>
  <si>
    <t>31CMAH0000000000R162304848005620</t>
  </si>
  <si>
    <t>31CMAH0000000000R962304820379000</t>
  </si>
  <si>
    <t>31CMAH0000000000R962304820389300</t>
  </si>
  <si>
    <t>31CMAH0000000000R962304820399850</t>
  </si>
  <si>
    <t>31CMAH0000000000R962304830364570</t>
  </si>
  <si>
    <t>31CMAHEUROSISTEMA000000000000000</t>
  </si>
  <si>
    <t>82000000007001546000200000643806</t>
  </si>
  <si>
    <t>82000000007001560000200000643810</t>
  </si>
  <si>
    <t>82000000007002331000200000644573</t>
  </si>
  <si>
    <t>82000000007003870000200000646612</t>
  </si>
  <si>
    <t>82000000007004801000200000647752</t>
  </si>
  <si>
    <t>82000000007004819000200000647743</t>
  </si>
  <si>
    <t>82000000007008132000200000656212</t>
  </si>
  <si>
    <t>89CMAH2022000041R001520230085408</t>
  </si>
  <si>
    <t>89CMAH2022000041R001520230086049</t>
  </si>
  <si>
    <t>89CMAH2022000041R001520230177989</t>
  </si>
  <si>
    <t>89CMAH2022000041R001520230178144</t>
  </si>
  <si>
    <t>89CMAH2022000041R001520230178496</t>
  </si>
  <si>
    <t>89CMAH2022000041R001520230178557</t>
  </si>
  <si>
    <t>89CMAH2022000041R001520230234082</t>
  </si>
  <si>
    <t>89CMAH2022000041R001520230234252</t>
  </si>
  <si>
    <t>89CMAH2022000041R001520230234317</t>
  </si>
  <si>
    <t>89CMAH2022000041R001520230234399</t>
  </si>
  <si>
    <t>89CMAH2022000041R001520230234408</t>
  </si>
  <si>
    <t>89CMAH2022000041R001520230234422</t>
  </si>
  <si>
    <t>89CMAH2022000041R001520230234457</t>
  </si>
  <si>
    <t>89CMAH2022000041R001520230234489</t>
  </si>
  <si>
    <t>89CMAH2022000041R001520230234640</t>
  </si>
  <si>
    <t>89CMAH2022000041R001520230234671</t>
  </si>
  <si>
    <t>89CMAH2022000041R001520230234690</t>
  </si>
  <si>
    <t>89CMAH2022000041R001520230234695</t>
  </si>
  <si>
    <t>89CMAH2022000041R001520230234709</t>
  </si>
  <si>
    <t>89CMAH2022000041R001520230234728</t>
  </si>
  <si>
    <t>89CMAH2022000041R001520230289332</t>
  </si>
  <si>
    <t>89CMAH2022000041R001520230289333</t>
  </si>
  <si>
    <t>89CMAH2022000041R001520230289435</t>
  </si>
  <si>
    <t>89CMAH2022000041R001520230289467</t>
  </si>
  <si>
    <t>89CMAH2022000041R001520230289516</t>
  </si>
  <si>
    <t>89CMAH2022000041R001520230289558</t>
  </si>
  <si>
    <t>89CMAH2022000041R001520230289636</t>
  </si>
  <si>
    <t>89CMAH2022000041R001520230289739</t>
  </si>
  <si>
    <t>89CMAH2022000041R001520230289757</t>
  </si>
  <si>
    <t>89CMAH2022000041R001520230289771</t>
  </si>
  <si>
    <t>89CMAH2022000041R001520230289812</t>
  </si>
  <si>
    <t>89CMAH2022000041R001520230289967</t>
  </si>
  <si>
    <t>89CMAH2022000041R001520230289997</t>
  </si>
  <si>
    <t>89CMAH2022000041R001520230290032</t>
  </si>
  <si>
    <t>89CMAH2022000041R001520230290089</t>
  </si>
  <si>
    <t>89CMAH2022000041R001520230290136</t>
  </si>
  <si>
    <t>89CMAH2022000041R001520230290191</t>
  </si>
  <si>
    <t>89CMAH2022000041R001520230290210</t>
  </si>
  <si>
    <t>89CMAH2022000041R001520230290250</t>
  </si>
  <si>
    <t>89CMAH2022000041R001520230290326</t>
  </si>
  <si>
    <t>89CMAH2022000041R001520230290359</t>
  </si>
  <si>
    <t>89CMAH2022000041R001520230290410</t>
  </si>
  <si>
    <t>89CMAH2022000041R001520230290421</t>
  </si>
  <si>
    <t>89CMAH2022000041R001520230290449</t>
  </si>
  <si>
    <t>89CMAH2022000041R001520230290453</t>
  </si>
  <si>
    <t>89CMAH2022000041R001520230290505</t>
  </si>
  <si>
    <t>89CMAH2022000041R001520230290554</t>
  </si>
  <si>
    <t>89CMAH2022000041R001520230290668</t>
  </si>
  <si>
    <t>89CMAH2022000041R001520230290735</t>
  </si>
  <si>
    <t>89CMAH2022000041R001520230290848</t>
  </si>
  <si>
    <t>89CMAH2022000041R001520230290887</t>
  </si>
  <si>
    <t>SNCN00000095</t>
  </si>
  <si>
    <t>SNCN00000248</t>
  </si>
  <si>
    <t>SNCN00000402</t>
  </si>
  <si>
    <t>SNCN00000405</t>
  </si>
  <si>
    <t>SNCN00000463</t>
  </si>
  <si>
    <t>SNCN00000597</t>
  </si>
  <si>
    <t>31CMAH0000000000R262304820022630</t>
  </si>
  <si>
    <t>31CMAH0000000000R262304840022010</t>
  </si>
  <si>
    <t>31CMAH0000000000R962304820357170</t>
  </si>
  <si>
    <t>31CMAH0000000000R962304820384930</t>
  </si>
  <si>
    <t>31CMAH0000000000R962304820410130</t>
  </si>
  <si>
    <t>31CMAH0000000000R962304840141090</t>
  </si>
  <si>
    <t>82000000007006336000200000647123</t>
  </si>
  <si>
    <t>82000000007006585000200000650362</t>
  </si>
  <si>
    <t>82000000007008188000200000656462</t>
  </si>
  <si>
    <t>82000000007017545000200000754949</t>
  </si>
  <si>
    <t>316416SUPRIMENTOSPTTAE0AN0006000</t>
  </si>
  <si>
    <t>31CMAH0000000000R262304820025720</t>
  </si>
  <si>
    <t>31CMAH0000000000R262304840018380</t>
  </si>
  <si>
    <t>31CMAH0000000000R262304840020050</t>
  </si>
  <si>
    <t>31CMAH0000000000R962304820402570</t>
  </si>
  <si>
    <t>31CMAHenergyS1xS2OVER1ENFSMERT0H</t>
  </si>
  <si>
    <t>89CMAH2022000041R001520230040002</t>
  </si>
  <si>
    <t>89CMAH2022000041R001520230144801</t>
  </si>
  <si>
    <t>89CMAH2022000041R001520230144826</t>
  </si>
  <si>
    <t>89CMAH2022000041R001520230145020</t>
  </si>
  <si>
    <t>89CMAH2022000041R001520230177872</t>
  </si>
  <si>
    <t>89CMAH2022000041R001520230177879</t>
  </si>
  <si>
    <t>89CMAH2022000041R001520230177939</t>
  </si>
  <si>
    <t>89CMAH2022000041R001520230178129</t>
  </si>
  <si>
    <t>89CMAH2022000041R001520230178476</t>
  </si>
  <si>
    <t>89CMAH2022000041R001520230178521</t>
  </si>
  <si>
    <t>89CMAH2022000041R001520230178601</t>
  </si>
  <si>
    <t>89CMAH2022000041R001520230233994</t>
  </si>
  <si>
    <t>89CMAH2022000041R001520230234006</t>
  </si>
  <si>
    <t>89CMAH2022000041R001520230234092</t>
  </si>
  <si>
    <t>89CMAH2022000041R001520230234170</t>
  </si>
  <si>
    <t>89CMAH2022000041R001520230234212</t>
  </si>
  <si>
    <t>89CMAH2022000041R001520230234223</t>
  </si>
  <si>
    <t>89CMAH2022000041R001520230234358</t>
  </si>
  <si>
    <t>89CMAH2022000041R001520230234359</t>
  </si>
  <si>
    <t>89CMAH2022000041R001520230234423</t>
  </si>
  <si>
    <t>89CMAH2022000041R001520230234424</t>
  </si>
  <si>
    <t>89CMAH2022000041R001520230234515</t>
  </si>
  <si>
    <t>89CMAH2022000041R001520230234521</t>
  </si>
  <si>
    <t>89CMAH2022000041R001520230234564</t>
  </si>
  <si>
    <t>89CMAH2022000041R001520230234631</t>
  </si>
  <si>
    <t>89CMAH2022000041R001520230234656</t>
  </si>
  <si>
    <t>89CMAH2022000041R001520230234680</t>
  </si>
  <si>
    <t>89CMAH2022000041R001520230289298</t>
  </si>
  <si>
    <t>89CMAH2022000041R001520230289305</t>
  </si>
  <si>
    <t>89CMAH2022000041R001520230289347</t>
  </si>
  <si>
    <t>89CMAH2022000041R001520230289588</t>
  </si>
  <si>
    <t>89CMAH2022000041R001520230289600</t>
  </si>
  <si>
    <t>89CMAH2022000041R001520230289603</t>
  </si>
  <si>
    <t>89CMAH2022000041R001520230289641</t>
  </si>
  <si>
    <t>89CMAH2022000041R001520230289658</t>
  </si>
  <si>
    <t>89CMAH2022000041R001520230289759</t>
  </si>
  <si>
    <t>89CMAH2022000041R001520230289810</t>
  </si>
  <si>
    <t>89CMAH2022000041R001520230289931</t>
  </si>
  <si>
    <t>89CMAH2022000041R001520230289941</t>
  </si>
  <si>
    <t>89CMAH2022000041R001520230290079</t>
  </si>
  <si>
    <t>89CMAH2022000041R001520230290091</t>
  </si>
  <si>
    <t>89CMAH2022000041R001520230290263</t>
  </si>
  <si>
    <t>89CMAH2022000041R001520230290283</t>
  </si>
  <si>
    <t>89CMAH2022000041R001520230290381</t>
  </si>
  <si>
    <t>89CMAH2022000041R001520230290385</t>
  </si>
  <si>
    <t>89CMAH2022000041R001520230290409</t>
  </si>
  <si>
    <t>89CMAH2022000041R001520230290419</t>
  </si>
  <si>
    <t>89CMAH2022000041R001520230290452</t>
  </si>
  <si>
    <t>89CMAH2022000041R001520230290469</t>
  </si>
  <si>
    <t>89CMAH2022000041R001520230290508</t>
  </si>
  <si>
    <t>89CMAH2022000041R001520230290636</t>
  </si>
  <si>
    <t>89CMAH2022000041R001520230290692</t>
  </si>
  <si>
    <t>89CMAH2022000041R001520230290841</t>
  </si>
  <si>
    <t>89CMAH2022000041R001520230290899</t>
  </si>
  <si>
    <t>SNCN00000047</t>
  </si>
  <si>
    <t>SNCN00000364</t>
  </si>
  <si>
    <t>SNCN00000473</t>
  </si>
  <si>
    <t>SNCN00000761</t>
  </si>
  <si>
    <t>82000000007000526000200000530351</t>
  </si>
  <si>
    <t>82000000007002443000200000644681</t>
  </si>
  <si>
    <t>82000000007003302000200000645957</t>
  </si>
  <si>
    <t>82000000007009175000200000663119</t>
  </si>
  <si>
    <t>82000000007011502000200000681067</t>
  </si>
  <si>
    <t>82000000007012034000200000680295</t>
  </si>
  <si>
    <t>82000000007012750000200000684862</t>
  </si>
  <si>
    <t>82000000007015046000200000672366</t>
  </si>
  <si>
    <t>82000000007017946000200000761228</t>
  </si>
  <si>
    <t>89CMAH2022000041R001520230085809</t>
  </si>
  <si>
    <t>89CMAH2022000041R001520230145092</t>
  </si>
  <si>
    <t>89CMAH2022000041R001520230177895</t>
  </si>
  <si>
    <t>89CMAH2022000041R001520230177902</t>
  </si>
  <si>
    <t>89CMAH2022000041R001520230177911</t>
  </si>
  <si>
    <t>89CMAH2022000041R001520230178004</t>
  </si>
  <si>
    <t>89CMAH2022000041R001520230178018</t>
  </si>
  <si>
    <t>89CMAH2022000041R001520230178070</t>
  </si>
  <si>
    <t>89CMAH2022000041R001520230178132</t>
  </si>
  <si>
    <t>89CMAH2022000041R001520230233990</t>
  </si>
  <si>
    <t>89CMAH2022000041R001520230234051</t>
  </si>
  <si>
    <t>89CMAH2022000041R001520230234219</t>
  </si>
  <si>
    <t>89CMAH2022000041R001520230234327</t>
  </si>
  <si>
    <t>89CMAH2022000041R001520230234349</t>
  </si>
  <si>
    <t>89CMAH2022000041R001520230234490</t>
  </si>
  <si>
    <t>89CMAH2022000041R001520230234520</t>
  </si>
  <si>
    <t>89CMAH2022000041R001520230234676</t>
  </si>
  <si>
    <t>89CMAH2022000041R001520230289324</t>
  </si>
  <si>
    <t>89CMAH2022000041R001520230289361</t>
  </si>
  <si>
    <t>89CMAH2022000041R001520230289434</t>
  </si>
  <si>
    <t>89CMAH2022000041R001520230289486</t>
  </si>
  <si>
    <t>89CMAH2022000041R001520230289498</t>
  </si>
  <si>
    <t>89CMAH2022000041R001520230289580</t>
  </si>
  <si>
    <t>89CMAH2022000041R001520230289582</t>
  </si>
  <si>
    <t>89CMAH2022000041R001520230289598</t>
  </si>
  <si>
    <t>89CMAH2022000041R001520230289708</t>
  </si>
  <si>
    <t>89CMAH2022000041R001520230289799</t>
  </si>
  <si>
    <t>89CMAH2022000041R001520230289807</t>
  </si>
  <si>
    <t>89CMAH2022000041R001520230289830</t>
  </si>
  <si>
    <t>89CMAH2022000041R001520230289842</t>
  </si>
  <si>
    <t>89CMAH2022000041R001520230289942</t>
  </si>
  <si>
    <t>89CMAH2022000041R001520230290033</t>
  </si>
  <si>
    <t>89CMAH2022000041R001520230290104</t>
  </si>
  <si>
    <t>89CMAH2022000041R001520230290127</t>
  </si>
  <si>
    <t>89CMAH2022000041R001520230290365</t>
  </si>
  <si>
    <t>89CMAH2022000041R001520230290366</t>
  </si>
  <si>
    <t>89CMAH2022000041R001520230290558</t>
  </si>
  <si>
    <t>89CMAH2022000041R001520230290598</t>
  </si>
  <si>
    <t>89CMAH2022000041R001520230290630</t>
  </si>
  <si>
    <t>89CMAH2022000041R001520230290674</t>
  </si>
  <si>
    <t>89CMAH2022000041R001520230290686</t>
  </si>
  <si>
    <t>89CMAH2022000041R001520230290762</t>
  </si>
  <si>
    <t>89CMAH2022000041R001520230290807</t>
  </si>
  <si>
    <t>89CMAH2022000041R001520230290816</t>
  </si>
  <si>
    <t>89CMAH2022000041R001520230290858</t>
  </si>
  <si>
    <t>89CMAH2022000041R001520230290908</t>
  </si>
  <si>
    <t>SNCN00000034</t>
  </si>
  <si>
    <t>SNCN00000035</t>
  </si>
  <si>
    <t>SNCN00000123</t>
  </si>
  <si>
    <t>SNCN00000147</t>
  </si>
  <si>
    <t>SNCN00000235</t>
  </si>
  <si>
    <t>SNCN00000264</t>
  </si>
  <si>
    <t>SNCN00000443</t>
  </si>
  <si>
    <t>SNCN00000459</t>
  </si>
  <si>
    <t>SNCN00000557</t>
  </si>
  <si>
    <t>SNCN00000757</t>
  </si>
  <si>
    <t>SNCN00000785</t>
  </si>
  <si>
    <t>SNCN00000845</t>
  </si>
  <si>
    <t>SNCN00000858</t>
  </si>
  <si>
    <t>SNCN00000928</t>
  </si>
  <si>
    <t>31000310568975090069674650100000</t>
  </si>
  <si>
    <t>31000310171753091069673560100000</t>
  </si>
  <si>
    <t>31000310568876090069674150100000</t>
  </si>
  <si>
    <t>31CMAH0000000000R262304820020190</t>
  </si>
  <si>
    <t>31CMAH0000000000R262304820023080</t>
  </si>
  <si>
    <t>31CMAH0000000000R962304820241980</t>
  </si>
  <si>
    <t>31CMAH0000000000R962304820345580</t>
  </si>
  <si>
    <t>31CMAH0000000000R962304820409870</t>
  </si>
  <si>
    <t>82000000007001158000200000643552</t>
  </si>
  <si>
    <t>82000000007001747000200000644001</t>
  </si>
  <si>
    <t>82000000007002272000200000644376</t>
  </si>
  <si>
    <t>82000000007004295000200000647161</t>
  </si>
  <si>
    <t>82000000007004367000200000647073</t>
  </si>
  <si>
    <t>82000000007007261000200000652713</t>
  </si>
  <si>
    <t>82000000007018692000200000643150</t>
  </si>
  <si>
    <t>31CMAH0000000000R262304820019340</t>
  </si>
  <si>
    <t>31CMAH0000000000R962304820336320</t>
  </si>
  <si>
    <t>31CMAH0000000000R962304820373350</t>
  </si>
  <si>
    <t>31CMAH0000000000R962304820412140</t>
  </si>
  <si>
    <t>31CMAHbckstop2023BACK3ENFSMERT0I</t>
  </si>
  <si>
    <t>82000000007004812000200000647771</t>
  </si>
  <si>
    <t>82000000007004843000200000647754</t>
  </si>
  <si>
    <t>82000000007007048000200000651897</t>
  </si>
  <si>
    <t>82000000007007251000200000652692</t>
  </si>
  <si>
    <t>82000000007008176000200000656457</t>
  </si>
  <si>
    <t>89CMAH2022000041R001520220603126</t>
  </si>
  <si>
    <t>89CMAH2022000041R001520230086170</t>
  </si>
  <si>
    <t>89CMAH2022000041R001520230144677</t>
  </si>
  <si>
    <t>89CMAH2022000041R001520230178076</t>
  </si>
  <si>
    <t>89CMAH2022000041R001520230178135</t>
  </si>
  <si>
    <t>89CMAH2022000041R001520230178215</t>
  </si>
  <si>
    <t>89CMAH2022000041R001520230178290</t>
  </si>
  <si>
    <t>89CMAH2022000041R001520230178355</t>
  </si>
  <si>
    <t>89CMAH2022000041R001520230233991</t>
  </si>
  <si>
    <t>89CMAH2022000041R001520230234060</t>
  </si>
  <si>
    <t>89CMAH2022000041R001520230234177</t>
  </si>
  <si>
    <t>89CMAH2022000041R001520230234196</t>
  </si>
  <si>
    <t>89CMAH2022000041R001520230234200</t>
  </si>
  <si>
    <t>89CMAH2022000041R001520230234227</t>
  </si>
  <si>
    <t>89CMAH2022000041R001520230234321</t>
  </si>
  <si>
    <t>89CMAH2022000041R001520230234390</t>
  </si>
  <si>
    <t>89CMAH2022000041R001520230234512</t>
  </si>
  <si>
    <t>89CMAH2022000041R001520230234585</t>
  </si>
  <si>
    <t>89CMAH2022000041R001520230289366</t>
  </si>
  <si>
    <t>89CMAH2022000041R001520230289452</t>
  </si>
  <si>
    <t>89CMAH2022000041R001520230289480</t>
  </si>
  <si>
    <t>89CMAH2022000041R001520230289506</t>
  </si>
  <si>
    <t>89CMAH2022000041R001520230289524</t>
  </si>
  <si>
    <t>89CMAH2022000041R001520230289607</t>
  </si>
  <si>
    <t>89CMAH2022000041R001520230289634</t>
  </si>
  <si>
    <t>89CMAH2022000041R001520230289737</t>
  </si>
  <si>
    <t>89CMAH2022000041R001520230289753</t>
  </si>
  <si>
    <t>89CMAH2022000041R001520230289755</t>
  </si>
  <si>
    <t>89CMAH2022000041R001520230289789</t>
  </si>
  <si>
    <t>89CMAH2022000041R001520230289821</t>
  </si>
  <si>
    <t>89CMAH2022000041R001520230289956</t>
  </si>
  <si>
    <t>89CMAH2022000041R001520230289959</t>
  </si>
  <si>
    <t>89CMAH2022000041R001520230289977</t>
  </si>
  <si>
    <t>89CMAH2022000041R001520230290058</t>
  </si>
  <si>
    <t>89CMAH2022000041R001520230290114</t>
  </si>
  <si>
    <t>89CMAH2022000041R001520230290237</t>
  </si>
  <si>
    <t>89CMAH2022000041R001520230290358</t>
  </si>
  <si>
    <t>89CMAH2022000041R001520230290369</t>
  </si>
  <si>
    <t>89CMAH2022000041R001520230290397</t>
  </si>
  <si>
    <t>89CMAH2022000041R001520230290404</t>
  </si>
  <si>
    <t>89CMAH2022000041R001520230290434</t>
  </si>
  <si>
    <t>89CMAH2022000041R001520230290451</t>
  </si>
  <si>
    <t>89CMAH2022000041R001520230290611</t>
  </si>
  <si>
    <t>89CMAH2022000041R001520230290712</t>
  </si>
  <si>
    <t>89CMAH2022000041R001520230290739</t>
  </si>
  <si>
    <t>89CMAH2022000041R001520230290844</t>
  </si>
  <si>
    <t>89CMAH2022000041R001520230290876</t>
  </si>
  <si>
    <t>89CMAH2022000041R001520230290916</t>
  </si>
  <si>
    <t>89CMAH2022000041R001520230290927</t>
  </si>
  <si>
    <t>SNCN00000100</t>
  </si>
  <si>
    <t>SNCN00000181</t>
  </si>
  <si>
    <t>SNCN00000186</t>
  </si>
  <si>
    <t>SNCN00000189</t>
  </si>
  <si>
    <t>SNCN00000213</t>
  </si>
  <si>
    <t>SNCN00000258</t>
  </si>
  <si>
    <t>SNCN00000273</t>
  </si>
  <si>
    <t>SNCN00000326</t>
  </si>
  <si>
    <t>SNCN00000373</t>
  </si>
  <si>
    <t>SNCN00000549</t>
  </si>
  <si>
    <t>SNCN00000639</t>
  </si>
  <si>
    <t>SNCN00000734</t>
  </si>
  <si>
    <t>SNCN00000942</t>
  </si>
  <si>
    <t>89CMAH2022000041R001520220603537</t>
  </si>
  <si>
    <t>89CMAH2022000041R001520230144802</t>
  </si>
  <si>
    <t>89CMAH2022000041R001520230177901</t>
  </si>
  <si>
    <t>89CMAH2022000041R001520230177923</t>
  </si>
  <si>
    <t>89CMAH2022000041R001520230178471</t>
  </si>
  <si>
    <t>89CMAH2022000041R001520230234324</t>
  </si>
  <si>
    <t>89CMAH2022000041R001520230234328</t>
  </si>
  <si>
    <t>89CMAH2022000041R001520230234449</t>
  </si>
  <si>
    <t>89CMAH2022000041R001520230234484</t>
  </si>
  <si>
    <t>89CMAH2022000041R001520230234495</t>
  </si>
  <si>
    <t>89CMAH2022000041R001520230234718</t>
  </si>
  <si>
    <t>89CMAH2022000041R001520230289279</t>
  </si>
  <si>
    <t>89CMAH2022000041R001520230289284</t>
  </si>
  <si>
    <t>89CMAH2022000041R001520230289316</t>
  </si>
  <si>
    <t>89CMAH2022000041R001520230289363</t>
  </si>
  <si>
    <t>89CMAH2022000041R001520230289500</t>
  </si>
  <si>
    <t>89CMAH2022000041R001520230289557</t>
  </si>
  <si>
    <t>89CMAH2022000041R001520230289570</t>
  </si>
  <si>
    <t>89CMAH2022000041R001520230289590</t>
  </si>
  <si>
    <t>89CMAH2022000041R001520230289625</t>
  </si>
  <si>
    <t>89CMAH2022000041R001520230289695</t>
  </si>
  <si>
    <t>89CMAH2022000041R001520230289770</t>
  </si>
  <si>
    <t>89CMAH2022000041R001520230289804</t>
  </si>
  <si>
    <t>89CMAH2022000041R001520230289868</t>
  </si>
  <si>
    <t>89CMAH2022000041R001520230289870</t>
  </si>
  <si>
    <t>89CMAH2022000041R001520230290002</t>
  </si>
  <si>
    <t>89CMAH2022000041R001520230290018</t>
  </si>
  <si>
    <t>89CMAH2022000041R001520230290041</t>
  </si>
  <si>
    <t>89CMAH2022000041R001520230290205</t>
  </si>
  <si>
    <t>89CMAH2022000041R001520230290229</t>
  </si>
  <si>
    <t>89CMAH2022000041R001520230290308</t>
  </si>
  <si>
    <t>89CMAH2022000041R001520230290334</t>
  </si>
  <si>
    <t>89CMAH2022000041R001520230290346</t>
  </si>
  <si>
    <t>89CMAH2022000041R001520230290389</t>
  </si>
  <si>
    <t>89CMAH2022000041R001520230290403</t>
  </si>
  <si>
    <t>89CMAH2022000041R001520230290407</t>
  </si>
  <si>
    <t>89CMAH2022000041R001520230290425</t>
  </si>
  <si>
    <t>89CMAH2022000041R001520230290428</t>
  </si>
  <si>
    <t>89CMAH2022000041R001520230290450</t>
  </si>
  <si>
    <t>89CMAH2022000041R001520230290483</t>
  </si>
  <si>
    <t>89CMAH2022000041R001520230290520</t>
  </si>
  <si>
    <t>89CMAH2022000041R001520230290533</t>
  </si>
  <si>
    <t>89CMAH2022000041R001520230290603</t>
  </si>
  <si>
    <t>89CMAH2022000041R001520230290615</t>
  </si>
  <si>
    <t>89CMAH2022000041R001520230290732</t>
  </si>
  <si>
    <t>89CMAH2022000041R001520230290740</t>
  </si>
  <si>
    <t>89CMAH2022000041R001520230290788</t>
  </si>
  <si>
    <t>89CMAH2022000041R001520230290821</t>
  </si>
  <si>
    <t>89CMAH2022000041R001520230290827</t>
  </si>
  <si>
    <t>89CMAH2022000041R001520230290901</t>
  </si>
  <si>
    <t>89CMAH2022000041R001520230290926</t>
  </si>
  <si>
    <t>SNCN00000196</t>
  </si>
  <si>
    <t>SNCN00000638</t>
  </si>
  <si>
    <t>SNCN00000745</t>
  </si>
  <si>
    <t>SNCN00000882</t>
  </si>
  <si>
    <t>SNCN00000947</t>
  </si>
  <si>
    <t>31CMAH0000000000R262304840019830</t>
  </si>
  <si>
    <t>31CMAH0000000000R262304840022330</t>
  </si>
  <si>
    <t>31CMAH0000000000R962304820311050</t>
  </si>
  <si>
    <t>31CMAH0000000000R962304820380160</t>
  </si>
  <si>
    <t>31CMAH0000000000R962304820381270</t>
  </si>
  <si>
    <t>31CMAH0000000000R962304820395580</t>
  </si>
  <si>
    <t>31CMAH0000000000R962304820406830</t>
  </si>
  <si>
    <t>82000000000116136000420000106336</t>
  </si>
  <si>
    <t>82000000007002198000200000644518</t>
  </si>
  <si>
    <t>82000000007004032000200000646698</t>
  </si>
  <si>
    <t>82000000007004385000200000647178</t>
  </si>
  <si>
    <t>82000000007012699000200000677718</t>
  </si>
  <si>
    <t>89CMAH2022000041R001520230086292</t>
  </si>
  <si>
    <t>89CMAH2022000041R001520230144657</t>
  </si>
  <si>
    <t>89CMAH2022000041R001520230144866</t>
  </si>
  <si>
    <t>89CMAH2022000041R001520230145010</t>
  </si>
  <si>
    <t>89CMAH2022000041R001520230145195</t>
  </si>
  <si>
    <t>89CMAH2022000041R001520230178107</t>
  </si>
  <si>
    <t>89CMAH2022000041R001520230178291</t>
  </si>
  <si>
    <t>89CMAH2022000041R001520230178572</t>
  </si>
  <si>
    <t>89CMAH2022000041R001520230178632</t>
  </si>
  <si>
    <t>89CMAH2022000041R001520230233996</t>
  </si>
  <si>
    <t>89CMAH2022000041R001520230234106</t>
  </si>
  <si>
    <t>89CMAH2022000041R001520230234137</t>
  </si>
  <si>
    <t>89CMAH2022000041R001520230234265</t>
  </si>
  <si>
    <t>89CMAH2022000041R001520230234290</t>
  </si>
  <si>
    <t>89CMAH2022000041R001520230234444</t>
  </si>
  <si>
    <t>89CMAH2022000041R001520230234734</t>
  </si>
  <si>
    <t>89CMAH2022000041R001520230234735</t>
  </si>
  <si>
    <t>89CMAH2022000041R001520230289523</t>
  </si>
  <si>
    <t>89CMAH2022000041R001520230289627</t>
  </si>
  <si>
    <t>89CMAH2022000041R001520230289794</t>
  </si>
  <si>
    <t>89CMAH2022000041R001520230289840</t>
  </si>
  <si>
    <t>89CMAH2022000041R001520230289849</t>
  </si>
  <si>
    <t>89CMAH2022000041R001520230289920</t>
  </si>
  <si>
    <t>89CMAH2022000041R001520230289970</t>
  </si>
  <si>
    <t>89CMAH2022000041R001520230290022</t>
  </si>
  <si>
    <t>89CMAH2022000041R001520230290025</t>
  </si>
  <si>
    <t>89CMAH2022000041R001520230290029</t>
  </si>
  <si>
    <t>89CMAH2022000041R001520230290034</t>
  </si>
  <si>
    <t>89CMAH2022000041R001520230290045</t>
  </si>
  <si>
    <t>89CMAH2022000041R001520230290048</t>
  </si>
  <si>
    <t>89CMAH2022000041R001520230290068</t>
  </si>
  <si>
    <t>89CMAH2022000041R001520230290071</t>
  </si>
  <si>
    <t>89CMAH2022000041R001520230290078</t>
  </si>
  <si>
    <t>89CMAH2022000041R001520230290234</t>
  </si>
  <si>
    <t>89CMAH2022000041R001520230290337</t>
  </si>
  <si>
    <t>89CMAH2022000041R001520230290371</t>
  </si>
  <si>
    <t>89CMAH2022000041R001520230290402</t>
  </si>
  <si>
    <t>89CMAH2022000041R001520230290423</t>
  </si>
  <si>
    <t>89CMAH2022000041R001520230290478</t>
  </si>
  <si>
    <t>89CMAH2022000041R001520230290498</t>
  </si>
  <si>
    <t>89CMAH2022000041R001520230290506</t>
  </si>
  <si>
    <t>89CMAH2022000041R001520230290518</t>
  </si>
  <si>
    <t>89CMAH2022000041R001520230290547</t>
  </si>
  <si>
    <t>89CMAH2022000041R001520230290575</t>
  </si>
  <si>
    <t>89CMAH2022000041R001520230290605</t>
  </si>
  <si>
    <t>89CMAH2022000041R001520230290726</t>
  </si>
  <si>
    <t>89CMAH2022000041R001520230290781</t>
  </si>
  <si>
    <t>89CMAH2022000041R001520230290799</t>
  </si>
  <si>
    <t>89CMAH2022000041R001520230290808</t>
  </si>
  <si>
    <t>SNCN00000073</t>
  </si>
  <si>
    <t>SNCN00000125</t>
  </si>
  <si>
    <t>SNCN00000576</t>
  </si>
  <si>
    <t>SNCN00000948</t>
  </si>
  <si>
    <t>31000010699891149000000000000000</t>
  </si>
  <si>
    <t>31000300063544096000000000000000</t>
  </si>
  <si>
    <t>31000010680591149000000000000000</t>
  </si>
  <si>
    <t>31000303542734096000000000000000</t>
  </si>
  <si>
    <t>31000310545486090069674280100000</t>
  </si>
  <si>
    <t>31000050101080149000000000000000</t>
  </si>
  <si>
    <t>31000310559875090069674310100000</t>
  </si>
  <si>
    <t>31000311930032043000000000000000</t>
  </si>
  <si>
    <t>31000310402829090069674720100000</t>
  </si>
  <si>
    <t>31CMAH0000000000R162304840071020</t>
  </si>
  <si>
    <t>31CMAH0000000000R162304880044030</t>
  </si>
  <si>
    <t>31CMAH0000000000R262304840020020</t>
  </si>
  <si>
    <t>31CMAH0000000000R599904815306540</t>
  </si>
  <si>
    <t>31CMAH0000000000R962304820163410</t>
  </si>
  <si>
    <t>31CMAH0000000000R962304820254330</t>
  </si>
  <si>
    <t>31CMAH0000000000R962304820340440</t>
  </si>
  <si>
    <t>31CMAH0000000000R962304820373100</t>
  </si>
  <si>
    <t>31CMAH0000000000R962304820394290</t>
  </si>
  <si>
    <t>82000000000153940000450000532666</t>
  </si>
  <si>
    <t>82000000007000136000200000642311</t>
  </si>
  <si>
    <t>82000000007000988000200000643411</t>
  </si>
  <si>
    <t>82000000007003902000200000646635</t>
  </si>
  <si>
    <t>82000000007011501000200000681068</t>
  </si>
  <si>
    <t>89CMAH2022000041R001520220603045</t>
  </si>
  <si>
    <t>89CMAH2022000041R001520230085844</t>
  </si>
  <si>
    <t>89CMAH2022000041R001520230086268</t>
  </si>
  <si>
    <t>89CMAH2022000041R001520230145030</t>
  </si>
  <si>
    <t>89CMAH2022000041R001520230177937</t>
  </si>
  <si>
    <t>89CMAH2022000041R001520230177958</t>
  </si>
  <si>
    <t>89CMAH2022000041R001520230178063</t>
  </si>
  <si>
    <t>89CMAH2022000041R001520230178580</t>
  </si>
  <si>
    <t>89CMAH2022000041R001520230178613</t>
  </si>
  <si>
    <t>89CMAH2022000041R001520230234100</t>
  </si>
  <si>
    <t>89CMAH2022000041R001520230234174</t>
  </si>
  <si>
    <t>89CMAH2022000041R001520230234215</t>
  </si>
  <si>
    <t>89CMAH2022000041R001520230234348</t>
  </si>
  <si>
    <t>89CMAH2022000041R001520230234404</t>
  </si>
  <si>
    <t>89CMAH2022000041R001520230234465</t>
  </si>
  <si>
    <t>89CMAH2022000041R001520230234477</t>
  </si>
  <si>
    <t>89CMAH2022000041R001520230234502</t>
  </si>
  <si>
    <t>89CMAH2022000041R001520230234530</t>
  </si>
  <si>
    <t>89CMAH2022000041R001520230234711</t>
  </si>
  <si>
    <t>89CMAH2022000041R001520230289282</t>
  </si>
  <si>
    <t>89CMAH2022000041R001520230289285</t>
  </si>
  <si>
    <t>89CMAH2022000041R001520230289453</t>
  </si>
  <si>
    <t>89CMAH2022000041R001520230289528</t>
  </si>
  <si>
    <t>89CMAH2022000041R001520230289555</t>
  </si>
  <si>
    <t>89CMAH2022000041R001520230289568</t>
  </si>
  <si>
    <t>89CMAH2022000041R001520230289618</t>
  </si>
  <si>
    <t>89CMAH2022000041R001520230289635</t>
  </si>
  <si>
    <t>89CMAH2022000041R001520230289779</t>
  </si>
  <si>
    <t>89CMAH2022000041R001520230289795</t>
  </si>
  <si>
    <t>89CMAH2022000041R001520230289879</t>
  </si>
  <si>
    <t>89CMAH2022000041R001520230289894</t>
  </si>
  <si>
    <t>89CMAH2022000041R001520230289932</t>
  </si>
  <si>
    <t>89CMAH2022000041R001520230290010</t>
  </si>
  <si>
    <t>89CMAH2022000041R001520230290102</t>
  </si>
  <si>
    <t>89CMAH2022000041R001520230290108</t>
  </si>
  <si>
    <t>89CMAH2022000041R001520230290156</t>
  </si>
  <si>
    <t>89CMAH2022000041R001520230290236</t>
  </si>
  <si>
    <t>89CMAH2022000041R001520230290336</t>
  </si>
  <si>
    <t>89CMAH2022000041R001520230290396</t>
  </si>
  <si>
    <t>89CMAH2022000041R001520230290399</t>
  </si>
  <si>
    <t>89CMAH2022000041R001520230290585</t>
  </si>
  <si>
    <t>89CMAH2022000041R001520230290594</t>
  </si>
  <si>
    <t>89CMAH2022000041R001520230290601</t>
  </si>
  <si>
    <t>89CMAH2022000041R001520230290731</t>
  </si>
  <si>
    <t>89CMAH2022000041R001520230290755</t>
  </si>
  <si>
    <t>89CMAH2022000041R001520230290764</t>
  </si>
  <si>
    <t>89CMAH2022000041R001520230290805</t>
  </si>
  <si>
    <t>89CMAH2022000041R001520230290806</t>
  </si>
  <si>
    <t>89CMAH2022000041R001520230290809</t>
  </si>
  <si>
    <t>89CMAH2022000041R001520230290864</t>
  </si>
  <si>
    <t>SNCN00000112</t>
  </si>
  <si>
    <t>SNCN00000121</t>
  </si>
  <si>
    <t>SNCN00000148</t>
  </si>
  <si>
    <t>SNCN00000220</t>
  </si>
  <si>
    <t>SNCN00000236</t>
  </si>
  <si>
    <t>SNCN00000311</t>
  </si>
  <si>
    <t>SNCN00000336</t>
  </si>
  <si>
    <t>SNCN00000423</t>
  </si>
  <si>
    <t>SNCN00000861</t>
  </si>
  <si>
    <t>SNCN00000866</t>
  </si>
  <si>
    <t>SNCN00000926</t>
  </si>
  <si>
    <t>SNCN00000954</t>
  </si>
  <si>
    <t>31CMAH0000000000R262304840019270</t>
  </si>
  <si>
    <t>31CMAH0000000000R262304840019610</t>
  </si>
  <si>
    <t>31CMAH0000000000R262304840021030</t>
  </si>
  <si>
    <t>31CMAH0000000000R962304820177650</t>
  </si>
  <si>
    <t>31CMAH0000000000R962304820405670</t>
  </si>
  <si>
    <t>31CMAH0000000000R962304870356080</t>
  </si>
  <si>
    <t>31CMAH22222996020000000000000000</t>
  </si>
  <si>
    <t>31CMAHenergyS1xS2OVER1ENFGDRST0G</t>
  </si>
  <si>
    <t>82000000000126917000450000426454</t>
  </si>
  <si>
    <t>31CMAH0000000000R162304880071650</t>
  </si>
  <si>
    <t>31CMAH0000000000R262304840017920</t>
  </si>
  <si>
    <t>31CMAH0000000000R262304840019810</t>
  </si>
  <si>
    <t>31CMAH0000000000R962304820154140</t>
  </si>
  <si>
    <t>31CMAH0000000000R962304820252720</t>
  </si>
  <si>
    <t>31CMAH0000000000R962304820306080</t>
  </si>
  <si>
    <t>31CMAH0000000000R962304820370880</t>
  </si>
  <si>
    <t>31CMAH0000000000R962304880360060</t>
  </si>
  <si>
    <t>82000000000110505000420000416255</t>
  </si>
  <si>
    <t>31CMAH0000000000R262304820024990</t>
  </si>
  <si>
    <t>31CMAH0000000000R962304820275080</t>
  </si>
  <si>
    <t>31CMAH0000000000R962304820341100</t>
  </si>
  <si>
    <t>31CMAH0000000000R962304820376940</t>
  </si>
  <si>
    <t>31CMAH0000000000R962304820378990</t>
  </si>
  <si>
    <t>31CMAH0000000000R962304820399860</t>
  </si>
  <si>
    <t>31CMAH0000000000R962304820409450</t>
  </si>
  <si>
    <t>31CMAH0000000000R262304820009380</t>
  </si>
  <si>
    <t>31CMAH0000000000R262304820026620</t>
  </si>
  <si>
    <t>31CMAH0000000000R262304840026320</t>
  </si>
  <si>
    <t>31CMAH0000000000R362304820959710</t>
  </si>
  <si>
    <t>31CMAH0000000000R962304820267450</t>
  </si>
  <si>
    <t>31CMAH0000000000R962304820287070</t>
  </si>
  <si>
    <t>31CMAH0000000000R962304820340160</t>
  </si>
  <si>
    <t>31CMAH0000000000R962304820400490</t>
  </si>
  <si>
    <t>31CMAH0000000000R962304820409480</t>
  </si>
  <si>
    <t>82000000005051764000510000539884</t>
  </si>
  <si>
    <t>82000000007001809000200000644022</t>
  </si>
  <si>
    <t>82000000007003917000200000646647</t>
  </si>
  <si>
    <t>82000000007011054000200000679688</t>
  </si>
  <si>
    <t>82000000007014082000200000699415</t>
  </si>
  <si>
    <t>82000000007017945000200000761225</t>
  </si>
  <si>
    <t>82000000007000278000200000642324</t>
  </si>
  <si>
    <t>82000000007000366000200000642347</t>
  </si>
  <si>
    <t>82000000007001724000200000643953</t>
  </si>
  <si>
    <t>82000000007004499000200000646460</t>
  </si>
  <si>
    <t>82000000007007259000200000652691</t>
  </si>
  <si>
    <t>82000000007008452000200000504772</t>
  </si>
  <si>
    <t>82000000001101741000430000500573</t>
  </si>
  <si>
    <t>82000000007001033000200000643474</t>
  </si>
  <si>
    <t>82000000007001754000200000644039</t>
  </si>
  <si>
    <t>82000000007002558000200000504441</t>
  </si>
  <si>
    <t>82000000007004029000200000646697</t>
  </si>
  <si>
    <t>82000000007011475000200000680485</t>
  </si>
  <si>
    <t>82000000007012882000200000686599</t>
  </si>
  <si>
    <t>82000000007014057000200000647586</t>
  </si>
  <si>
    <t>8200000000701446500Y200000482336</t>
  </si>
  <si>
    <t>82000000000980843000420000323920</t>
  </si>
  <si>
    <t>82000000007000343000200000642336</t>
  </si>
  <si>
    <t>82000000007000621000200000642974</t>
  </si>
  <si>
    <t>82000000007001349000200000885934</t>
  </si>
  <si>
    <t>82000000007001421000200000515327</t>
  </si>
  <si>
    <t>82000000007001486000200000539668</t>
  </si>
  <si>
    <t>82000000007002457000200000644695</t>
  </si>
  <si>
    <t>82000000007005772000200000648727</t>
  </si>
  <si>
    <t>82000000007010570000200000677718</t>
  </si>
  <si>
    <t>82000000007011531000200000681021</t>
  </si>
  <si>
    <t>82000000007011922000200000680257</t>
  </si>
  <si>
    <t>82000000007012164000200000680448</t>
  </si>
  <si>
    <t>89CMAH2022000041R001520230177993</t>
  </si>
  <si>
    <t>89CMAH2022000041R001520230177998</t>
  </si>
  <si>
    <t>89CMAH2022000041R001520230178020</t>
  </si>
  <si>
    <t>89CMAH2022000041R001520230178095</t>
  </si>
  <si>
    <t>89CMAH2022000041R001520230178454</t>
  </si>
  <si>
    <t>89CMAH2022000041R001520230178466</t>
  </si>
  <si>
    <t>89CMAH2022000041R001520230178628</t>
  </si>
  <si>
    <t>89CMAH2022000041R001520230233976</t>
  </si>
  <si>
    <t>89CMAH2022000041R001520230234235</t>
  </si>
  <si>
    <t>89CMAH2022000041R001520230234244</t>
  </si>
  <si>
    <t>89CMAH2022000041R001520230234250</t>
  </si>
  <si>
    <t>89CMAH2022000041R001520230234479</t>
  </si>
  <si>
    <t>89CMAH2022000041R001520230234546</t>
  </si>
  <si>
    <t>89CMAH2022000041R001520230234704</t>
  </si>
  <si>
    <t>89CMAH2022000041R001520230289309</t>
  </si>
  <si>
    <t>89CMAH2022000041R001520230289319</t>
  </si>
  <si>
    <t>89CMAH2022000041R001520230289346</t>
  </si>
  <si>
    <t>89CMAH2022000041R001520230289425</t>
  </si>
  <si>
    <t>89CMAH2022000041R001520230289473</t>
  </si>
  <si>
    <t>89CMAH2022000041R001520230289485</t>
  </si>
  <si>
    <t>89CMAH2022000041R001520230289534</t>
  </si>
  <si>
    <t>89CMAH2022000041R001520230289587</t>
  </si>
  <si>
    <t>89CMAH2022000041R001520230289621</t>
  </si>
  <si>
    <t>89CMAH2022000041R001520230289624</t>
  </si>
  <si>
    <t>89CMAH2022000041R001520230289654</t>
  </si>
  <si>
    <t>89CMAH2022000041R001520230289699</t>
  </si>
  <si>
    <t>89CMAH2022000041R001520230289822</t>
  </si>
  <si>
    <t>89CMAH2022000041R001520230289839</t>
  </si>
  <si>
    <t>89CMAH2022000041R001520230289857</t>
  </si>
  <si>
    <t>89CMAH2022000041R001520230289880</t>
  </si>
  <si>
    <t>89CMAH2022000041R001520230290026</t>
  </si>
  <si>
    <t>89CMAH2022000041R001520230290066</t>
  </si>
  <si>
    <t>89CMAH2022000041R001520230290110</t>
  </si>
  <si>
    <t>89CMAH2022000041R001520230290124</t>
  </si>
  <si>
    <t>89CMAH2022000041R001520230290139</t>
  </si>
  <si>
    <t>89CMAH2022000041R001520230290198</t>
  </si>
  <si>
    <t>89CMAH2022000041R001520230290364</t>
  </si>
  <si>
    <t>89CMAH2022000041R001520230290395</t>
  </si>
  <si>
    <t>89CMAH2022000041R001520230290583</t>
  </si>
  <si>
    <t>89CMAH2022000041R001520230290612</t>
  </si>
  <si>
    <t>89CMAH2022000041R001520230290834</t>
  </si>
  <si>
    <t>89CMAH2022000041R001520230290897</t>
  </si>
  <si>
    <t>89CMAH2022000041R001520230290904</t>
  </si>
  <si>
    <t>SNCN00000050</t>
  </si>
  <si>
    <t>SNCN00000062</t>
  </si>
  <si>
    <t>SNCN00000223</t>
  </si>
  <si>
    <t>SNCN00000253</t>
  </si>
  <si>
    <t>SNCN00000417</t>
  </si>
  <si>
    <t>SNCN00000891</t>
  </si>
  <si>
    <t>SNCN00000929</t>
  </si>
  <si>
    <t>89CMAH2022000041R001520220603892</t>
  </si>
  <si>
    <t>89CMAH2022000041R001520230039285</t>
  </si>
  <si>
    <t>89CMAH2022000041R001520230086161</t>
  </si>
  <si>
    <t>89CMAH2022000041R001520230144899</t>
  </si>
  <si>
    <t>89CMAH2022000041R001520230145033</t>
  </si>
  <si>
    <t>89CMAH2022000041R001520230178123</t>
  </si>
  <si>
    <t>89CMAH2022000041R001520230178131</t>
  </si>
  <si>
    <t>89CMAH2022000041R001520230178271</t>
  </si>
  <si>
    <t>89CMAH2022000041R001520230178397</t>
  </si>
  <si>
    <t>89CMAH2022000041R001520230178561</t>
  </si>
  <si>
    <t>89CMAH2022000041R001520230178603</t>
  </si>
  <si>
    <t>89CMAH2022000041R001520230178643</t>
  </si>
  <si>
    <t>89CMAH2022000041R001520230233980</t>
  </si>
  <si>
    <t>89CMAH2022000041R001520230234118</t>
  </si>
  <si>
    <t>89CMAH2022000041R001520230234289</t>
  </si>
  <si>
    <t>89CMAH2022000041R001520230234415</t>
  </si>
  <si>
    <t>89CMAH2022000041R001520230234425</t>
  </si>
  <si>
    <t>89CMAH2022000041R001520230234486</t>
  </si>
  <si>
    <t>89CMAH2022000041R001520230234519</t>
  </si>
  <si>
    <t>89CMAH2022000041R001520230234537</t>
  </si>
  <si>
    <t>89CMAH2022000041R001520230234667</t>
  </si>
  <si>
    <t>89CMAH2022000041R001520230289304</t>
  </si>
  <si>
    <t>89CMAH2022000041R001520230289365</t>
  </si>
  <si>
    <t>89CMAH2022000041R001520230289407</t>
  </si>
  <si>
    <t>89CMAH2022000041R001520230289444</t>
  </si>
  <si>
    <t>89CMAH2022000041R001520230289474</t>
  </si>
  <si>
    <t>89CMAH2022000041R001520230289476</t>
  </si>
  <si>
    <t>89CMAH2022000041R001520230289541</t>
  </si>
  <si>
    <t>89CMAH2022000041R001520230289756</t>
  </si>
  <si>
    <t>89CMAH2022000041R001520230289806</t>
  </si>
  <si>
    <t>89CMAH2022000041R001520230289829</t>
  </si>
  <si>
    <t>89CMAH2022000041R001520230289843</t>
  </si>
  <si>
    <t>89CMAH2022000041R001520230289876</t>
  </si>
  <si>
    <t>89CMAH2022000041R001520230290030</t>
  </si>
  <si>
    <t>89CMAH2022000041R001520230290037</t>
  </si>
  <si>
    <t>89CMAH2022000041R001520230290053</t>
  </si>
  <si>
    <t>89CMAH2022000041R001520230290095</t>
  </si>
  <si>
    <t>89CMAH2022000041R001520230290134</t>
  </si>
  <si>
    <t>89CMAH2022000041R001520230290235</t>
  </si>
  <si>
    <t>89CMAH2022000041R001520230290302</t>
  </si>
  <si>
    <t>89CMAH2022000041R001520230290304</t>
  </si>
  <si>
    <t>89CMAH2022000041R001520230290322</t>
  </si>
  <si>
    <t>89CMAH2022000041R001520230290343</t>
  </si>
  <si>
    <t>89CMAH2022000041R001520230290406</t>
  </si>
  <si>
    <t>89CMAH2022000041R001520230290417</t>
  </si>
  <si>
    <t>89CMAH2022000041R001520230290436</t>
  </si>
  <si>
    <t>89CMAH2022000041R001520230290466</t>
  </si>
  <si>
    <t>89CMAH2022000041R001520230290531</t>
  </si>
  <si>
    <t>89CMAH2022000041R001520230290539</t>
  </si>
  <si>
    <t>89CMAH2022000041R001520230290555</t>
  </si>
  <si>
    <t>89CMAH2022000041R001520230290600</t>
  </si>
  <si>
    <t>89CMAH2022000041R001520230290707</t>
  </si>
  <si>
    <t>89CMAH2022000041R001520230290720</t>
  </si>
  <si>
    <t>89CMAH2022000041R001520230290773</t>
  </si>
  <si>
    <t>89CMAH2022000041R001520230290780</t>
  </si>
  <si>
    <t>89CMAH2022000041R001520230290883</t>
  </si>
  <si>
    <t>SNCN00000117</t>
  </si>
  <si>
    <t>SNCN00000438</t>
  </si>
  <si>
    <t>SNCN00000627</t>
  </si>
  <si>
    <t>SNCN00000920</t>
  </si>
  <si>
    <t>31CMAH0000000000R599904815306350</t>
  </si>
  <si>
    <t>31CMAH0000000000R962304820251290</t>
  </si>
  <si>
    <t>31CMAH0000000000R962304820272590</t>
  </si>
  <si>
    <t>31CMAH0000000000R962304820307860</t>
  </si>
  <si>
    <t>31CMAH0000000000R962304820365800</t>
  </si>
  <si>
    <t>31CMAH0000000000R962304820385020</t>
  </si>
  <si>
    <t>31CMAH0000000000R962304870323050</t>
  </si>
  <si>
    <t>31CMAHFDRESOLUCAO000000000000000</t>
  </si>
  <si>
    <t>31CMAHFGDEPOSITOS000000000000000</t>
  </si>
  <si>
    <t>82000000000116807000450000105698</t>
  </si>
  <si>
    <t>89CMAH2022000041R001520230039414</t>
  </si>
  <si>
    <t>89CMAH2022000041R001520230040123</t>
  </si>
  <si>
    <t>89CMAH2022000041R001520230085528</t>
  </si>
  <si>
    <t>89CMAH2022000041R001520230085777</t>
  </si>
  <si>
    <t>89CMAH2022000041R001520230085860</t>
  </si>
  <si>
    <t>89CMAH2022000041R001520230086051</t>
  </si>
  <si>
    <t>89CMAH2022000041R001520230144812</t>
  </si>
  <si>
    <t>89CMAH2022000041R001520230144893</t>
  </si>
  <si>
    <t>89CMAH2022000041R001520230145032</t>
  </si>
  <si>
    <t>89CMAH2022000041R001520230178054</t>
  </si>
  <si>
    <t>89CMAH2022000041R001520230178114</t>
  </si>
  <si>
    <t>89CMAH2022000041R001520230178165</t>
  </si>
  <si>
    <t>89CMAH2022000041R001520230178263</t>
  </si>
  <si>
    <t>89CMAH2022000041R001520230178286</t>
  </si>
  <si>
    <t>89CMAH2022000041R001520230178612</t>
  </si>
  <si>
    <t>89CMAH2022000041R001520230233998</t>
  </si>
  <si>
    <t>89CMAH2022000041R001520230234009</t>
  </si>
  <si>
    <t>89CMAH2022000041R001520230234031</t>
  </si>
  <si>
    <t>89CMAH2022000041R001520230234114</t>
  </si>
  <si>
    <t>89CMAH2022000041R001520230234211</t>
  </si>
  <si>
    <t>89CMAH2022000041R001520230234337</t>
  </si>
  <si>
    <t>89CMAH2022000041R001520230234367</t>
  </si>
  <si>
    <t>89CMAH2022000041R001520230234578</t>
  </si>
  <si>
    <t>89CMAH2022000041R001520230234602</t>
  </si>
  <si>
    <t>89CMAH2022000041R001520230289280</t>
  </si>
  <si>
    <t>89CMAH2022000041R001520230289348</t>
  </si>
  <si>
    <t>89CMAH2022000041R001520230289354</t>
  </si>
  <si>
    <t>89CMAH2022000041R001520230289438</t>
  </si>
  <si>
    <t>89CMAH2022000041R001520230289489</t>
  </si>
  <si>
    <t>89CMAH2022000041R001520230289560</t>
  </si>
  <si>
    <t>89CMAH2022000041R001520230289604</t>
  </si>
  <si>
    <t>89CMAH2022000041R001520230289667</t>
  </si>
  <si>
    <t>89CMAH2022000041R001520230289671</t>
  </si>
  <si>
    <t>89CMAH2022000041R001520230289679</t>
  </si>
  <si>
    <t>89CMAH2022000041R001520230289696</t>
  </si>
  <si>
    <t>89CMAH2022000041R001520230289705</t>
  </si>
  <si>
    <t>89CMAH2022000041R001520230289736</t>
  </si>
  <si>
    <t>89CMAH2022000041R001520230289776</t>
  </si>
  <si>
    <t>89CMAH2022000041R001520230289780</t>
  </si>
  <si>
    <t>89CMAH2022000041R001520230289831</t>
  </si>
  <si>
    <t>89CMAH2022000041R001520230289855</t>
  </si>
  <si>
    <t>89CMAH2022000041R001520230289873</t>
  </si>
  <si>
    <t>89CMAH2022000041R001520230289874</t>
  </si>
  <si>
    <t>89CMAH2022000041R001520230289924</t>
  </si>
  <si>
    <t>89CMAH2022000041R001520230289927</t>
  </si>
  <si>
    <t>89CMAH2022000041R001520230289963</t>
  </si>
  <si>
    <t>89CMAH2022000041R001520230289981</t>
  </si>
  <si>
    <t>89CMAH2022000041R001520230290014</t>
  </si>
  <si>
    <t>89CMAH2022000041R001520230290027</t>
  </si>
  <si>
    <t>89CMAH2022000041R001520230290073</t>
  </si>
  <si>
    <t>89CMAH2022000041R001520230290076</t>
  </si>
  <si>
    <t>89CMAH2022000041R001520230290117</t>
  </si>
  <si>
    <t>89CMAH2022000041R001520230290165</t>
  </si>
  <si>
    <t>89CMAH2022000041R001520230290183</t>
  </si>
  <si>
    <t>89CMAH2022000041R001520230290192</t>
  </si>
  <si>
    <t>89CMAH2022000041R001520230290207</t>
  </si>
  <si>
    <t>89CMAH2022000041R001520230290273</t>
  </si>
  <si>
    <t>89CMAH2022000041R001520230290279</t>
  </si>
  <si>
    <t>89CMAH2022000041R001520230290314</t>
  </si>
  <si>
    <t>89CMAH2022000041R001520230290341</t>
  </si>
  <si>
    <t>89CMAH2022000041R001520230290477</t>
  </si>
  <si>
    <t>89CMAH2022000041R001520230290623</t>
  </si>
  <si>
    <t>89CMAH2022000041R001520230290626</t>
  </si>
  <si>
    <t>89CMAH2022000041R001520230290687</t>
  </si>
  <si>
    <t>89CMAH2022000041R001520230290761</t>
  </si>
  <si>
    <t>89CMAH2022000041R001520230290763</t>
  </si>
  <si>
    <t>89CMAH2022000041R001520230290798</t>
  </si>
  <si>
    <t>SNCN00000173</t>
  </si>
  <si>
    <t>SNCN00000261</t>
  </si>
  <si>
    <t>SNCN00000300</t>
  </si>
  <si>
    <t>SNCN00000477</t>
  </si>
  <si>
    <t>SNCN00000480</t>
  </si>
  <si>
    <t>SNCN00000619</t>
  </si>
  <si>
    <t>SNCN00000624</t>
  </si>
  <si>
    <t>SNCN00000682</t>
  </si>
  <si>
    <t>SNCN00000724</t>
  </si>
  <si>
    <t>SNCN00000969</t>
  </si>
  <si>
    <t>SNCN00000983</t>
  </si>
  <si>
    <t>89CMAH2022000041R001520220603915</t>
  </si>
  <si>
    <t>89CMAH2022000041R001520230039420</t>
  </si>
  <si>
    <t>89CMAH2022000041R001520230085760</t>
  </si>
  <si>
    <t>89CMAH2022000041R001520230144850</t>
  </si>
  <si>
    <t>89CMAH2022000041R001520230145008</t>
  </si>
  <si>
    <t>89CMAH2022000041R001520230177882</t>
  </si>
  <si>
    <t>89CMAH2022000041R001520230177975</t>
  </si>
  <si>
    <t>89CMAH2022000041R001520230178455</t>
  </si>
  <si>
    <t>89CMAH2022000041R001520230178456</t>
  </si>
  <si>
    <t>89CMAH2022000041R001520230178463</t>
  </si>
  <si>
    <t>89CMAH2022000041R001520230233968</t>
  </si>
  <si>
    <t>89CMAH2022000041R001520230233995</t>
  </si>
  <si>
    <t>89CMAH2022000041R001520230234001</t>
  </si>
  <si>
    <t>89CMAH2022000041R001520230234144</t>
  </si>
  <si>
    <t>89CMAH2022000041R001520230234231</t>
  </si>
  <si>
    <t>89CMAH2022000041R001520230234471</t>
  </si>
  <si>
    <t>89CMAH2022000041R001520230234487</t>
  </si>
  <si>
    <t>89CMAH2022000041R001520230234600</t>
  </si>
  <si>
    <t>89CMAH2022000041R001520230234720</t>
  </si>
  <si>
    <t>89CMAH2022000041R001520230234737</t>
  </si>
  <si>
    <t>89CMAH2022000041R001520230289419</t>
  </si>
  <si>
    <t>89CMAH2022000041R001520230289420</t>
  </si>
  <si>
    <t>89CMAH2022000041R001520230289464</t>
  </si>
  <si>
    <t>89CMAH2022000041R001520230289475</t>
  </si>
  <si>
    <t>89CMAH2022000041R001520230289484</t>
  </si>
  <si>
    <t>89CMAH2022000041R001520230289507</t>
  </si>
  <si>
    <t>89CMAH2022000041R001520230289559</t>
  </si>
  <si>
    <t>89CMAH2022000041R001520230289565</t>
  </si>
  <si>
    <t>89CMAH2022000041R001520230289649</t>
  </si>
  <si>
    <t>89CMAH2022000041R001520230289686</t>
  </si>
  <si>
    <t>89CMAH2022000041R001520230289722</t>
  </si>
  <si>
    <t>89CMAH2022000041R001520230289734</t>
  </si>
  <si>
    <t>89CMAH2022000041R001520230289788</t>
  </si>
  <si>
    <t>89CMAH2022000041R001520230289803</t>
  </si>
  <si>
    <t>89CMAH2022000041R001520230289995</t>
  </si>
  <si>
    <t>89CMAH2022000041R001520230290060</t>
  </si>
  <si>
    <t>89CMAH2022000041R001520230290121</t>
  </si>
  <si>
    <t>89CMAH2022000041R001520230290157</t>
  </si>
  <si>
    <t>89CMAH2022000041R001520230290164</t>
  </si>
  <si>
    <t>89CMAH2022000041R001520230290208</t>
  </si>
  <si>
    <t>89CMAH2022000041R001520230290217</t>
  </si>
  <si>
    <t>89CMAH2022000041R001520230290285</t>
  </si>
  <si>
    <t>89CMAH2022000041R001520230290316</t>
  </si>
  <si>
    <t>89CMAH2022000041R001520230290362</t>
  </si>
  <si>
    <t>89CMAH2022000041R001520230290408</t>
  </si>
  <si>
    <t>89CMAH2022000041R001520230290411</t>
  </si>
  <si>
    <t>89CMAH2022000041R001520230290443</t>
  </si>
  <si>
    <t>89CMAH2022000041R001520230290504</t>
  </si>
  <si>
    <t>89CMAH2022000041R001520230290537</t>
  </si>
  <si>
    <t>89CMAH2022000041R001520230290693</t>
  </si>
  <si>
    <t>89CMAH2022000041R001520230290701</t>
  </si>
  <si>
    <t>89CMAH2022000041R001520230290747</t>
  </si>
  <si>
    <t>89CMAH2022000041R001520230290839</t>
  </si>
  <si>
    <t>89CMAH2022000041R001520230290851</t>
  </si>
  <si>
    <t>89CMAH2022000041R001520230290911</t>
  </si>
  <si>
    <t>SNCN00000002</t>
  </si>
  <si>
    <t>SNCN00000018</t>
  </si>
  <si>
    <t>SNCN00000061</t>
  </si>
  <si>
    <t>SNCN00000358</t>
  </si>
  <si>
    <t>SNCN00000487</t>
  </si>
  <si>
    <t>SNCN00000741</t>
  </si>
  <si>
    <t>SNCN00000923</t>
  </si>
  <si>
    <t>82000000007003993000200000646848</t>
  </si>
  <si>
    <t>82000000007004294000200000647159</t>
  </si>
  <si>
    <t>82000000007006406000200000553993</t>
  </si>
  <si>
    <t>82000000007012346000200000680664</t>
  </si>
  <si>
    <t>82000000007012598000200000683286</t>
  </si>
  <si>
    <t>89CMAH2022000041R001520230145179</t>
  </si>
  <si>
    <t>89CMAH2022000041R001520230178161</t>
  </si>
  <si>
    <t>89CMAH2022000041R001520230178163</t>
  </si>
  <si>
    <t>89CMAH2022000041R001520230178602</t>
  </si>
  <si>
    <t>89CMAH2022000041R001520230233974</t>
  </si>
  <si>
    <t>89CMAH2022000041R001520230234049</t>
  </si>
  <si>
    <t>89CMAH2022000041R001520230234095</t>
  </si>
  <si>
    <t>89CMAH2022000041R001520230234130</t>
  </si>
  <si>
    <t>89CMAH2022000041R001520230234150</t>
  </si>
  <si>
    <t>89CMAH2022000041R001520230234156</t>
  </si>
  <si>
    <t>89CMAH2022000041R001520230234195</t>
  </si>
  <si>
    <t>89CMAH2022000041R001520230234459</t>
  </si>
  <si>
    <t>89CMAH2022000041R001520230234481</t>
  </si>
  <si>
    <t>89CMAH2022000041R001520230234630</t>
  </si>
  <si>
    <t>89CMAH2022000041R001520230234721</t>
  </si>
  <si>
    <t>89CMAH2022000041R001520230234741</t>
  </si>
  <si>
    <t>89CMAH2022000041R001520230289287</t>
  </si>
  <si>
    <t>89CMAH2022000041R001520230289321</t>
  </si>
  <si>
    <t>89CMAH2022000041R001520230289342</t>
  </si>
  <si>
    <t>89CMAH2022000041R001520230289345</t>
  </si>
  <si>
    <t>89CMAH2022000041R001520230289417</t>
  </si>
  <si>
    <t>89CMAH2022000041R001520230289502</t>
  </si>
  <si>
    <t>89CMAH2022000041R001520230289531</t>
  </si>
  <si>
    <t>89CMAH2022000041R001520230289762</t>
  </si>
  <si>
    <t>89CMAH2022000041R001520230289774</t>
  </si>
  <si>
    <t>89CMAH2022000041R001520230289808</t>
  </si>
  <si>
    <t>89CMAH2022000041R001520230289817</t>
  </si>
  <si>
    <t>89CMAH2022000041R001520230289841</t>
  </si>
  <si>
    <t>89CMAH2022000041R001520230289938</t>
  </si>
  <si>
    <t>89CMAH2022000041R001520230289969</t>
  </si>
  <si>
    <t>89CMAH2022000041R001520230290049</t>
  </si>
  <si>
    <t>89CMAH2022000041R001520230290122</t>
  </si>
  <si>
    <t>89CMAH2022000041R001520230290133</t>
  </si>
  <si>
    <t>89CMAH2022000041R001520230290142</t>
  </si>
  <si>
    <t>89CMAH2022000041R001520230290261</t>
  </si>
  <si>
    <t>89CMAH2022000041R001520230290315</t>
  </si>
  <si>
    <t>89CMAH2022000041R001520230290335</t>
  </si>
  <si>
    <t>89CMAH2022000041R001520230290382</t>
  </si>
  <si>
    <t>89CMAH2022000041R001520230290383</t>
  </si>
  <si>
    <t>89CMAH2022000041R001520230290455</t>
  </si>
  <si>
    <t>89CMAH2022000041R001520230290463</t>
  </si>
  <si>
    <t>89CMAH2022000041R001520230290489</t>
  </si>
  <si>
    <t>89CMAH2022000041R001520230290608</t>
  </si>
  <si>
    <t>89CMAH2022000041R001520230290610</t>
  </si>
  <si>
    <t>89CMAH2022000041R001520230290618</t>
  </si>
  <si>
    <t>89CMAH2022000041R001520230290675</t>
  </si>
  <si>
    <t>89CMAH2022000041R001520230290713</t>
  </si>
  <si>
    <t>89CMAH2022000041R001520230290829</t>
  </si>
  <si>
    <t>SNCN00000254</t>
  </si>
  <si>
    <t>SNCN00000598</t>
  </si>
  <si>
    <t>31CMAH0000000000R362304880766500</t>
  </si>
  <si>
    <t>31CMAH0000000000R962304820255470</t>
  </si>
  <si>
    <t>31CMAH0000000000R962304820295820</t>
  </si>
  <si>
    <t>31CMAH0000000000R962304820354640</t>
  </si>
  <si>
    <t>31CMAH0000000000R962304870343130</t>
  </si>
  <si>
    <t>31CMAHSINDEINVEST000000000000000</t>
  </si>
  <si>
    <t>82000000007000344000200000642343</t>
  </si>
  <si>
    <t>82000000007000464000200000607251</t>
  </si>
  <si>
    <t>82000000007000646000200000643101</t>
  </si>
  <si>
    <t>82000000007001030000200000643484</t>
  </si>
  <si>
    <t>82000000007001701000200000643934</t>
  </si>
  <si>
    <t>82000000007002425000200000644665</t>
  </si>
  <si>
    <t>82000000007002570000200000504441</t>
  </si>
  <si>
    <t>82000000007002797000200000645240</t>
  </si>
  <si>
    <t>82000000007004283000200000647205</t>
  </si>
  <si>
    <t>82000000007009536000200000644017</t>
  </si>
  <si>
    <t>82000000007010061000200000672335</t>
  </si>
  <si>
    <t>82000000007010200000200000673734</t>
  </si>
  <si>
    <t>82000000007011193000200000680956</t>
  </si>
  <si>
    <t>82000000007014362000200000655141</t>
  </si>
  <si>
    <t>89CMAH2022000041R001520230085466</t>
  </si>
  <si>
    <t>89CMAH2022000041R001520230086270</t>
  </si>
  <si>
    <t>89CMAH2022000041R001520230144733</t>
  </si>
  <si>
    <t>89CMAH2022000041R001520230144855</t>
  </si>
  <si>
    <t>89CMAH2022000041R001520230177960</t>
  </si>
  <si>
    <t>89CMAH2022000041R001520230178025</t>
  </si>
  <si>
    <t>89CMAH2022000041R001520230178611</t>
  </si>
  <si>
    <t>89CMAH2022000041R001520230178640</t>
  </si>
  <si>
    <t>89CMAH2022000041R001520230234041</t>
  </si>
  <si>
    <t>89CMAH2022000041R001520230234299</t>
  </si>
  <si>
    <t>89CMAH2022000041R001520230234409</t>
  </si>
  <si>
    <t>89CMAH2022000041R001520230234430</t>
  </si>
  <si>
    <t>89CMAH2022000041R001520230234452</t>
  </si>
  <si>
    <t>89CMAH2022000041R001520230234565</t>
  </si>
  <si>
    <t>89CMAH2022000041R001520230234727</t>
  </si>
  <si>
    <t>89CMAH2022000041R001520230234740</t>
  </si>
  <si>
    <t>89CMAH2022000041R001520230289429</t>
  </si>
  <si>
    <t>89CMAH2022000041R001520230289543</t>
  </si>
  <si>
    <t>89CMAH2022000041R001520230289566</t>
  </si>
  <si>
    <t>89CMAH2022000041R001520230289577</t>
  </si>
  <si>
    <t>89CMAH2022000041R001520230289647</t>
  </si>
  <si>
    <t>89CMAH2022000041R001520230289653</t>
  </si>
  <si>
    <t>89CMAH2022000041R001520230289655</t>
  </si>
  <si>
    <t>89CMAH2022000041R001520230289687</t>
  </si>
  <si>
    <t>89CMAH2022000041R001520230289730</t>
  </si>
  <si>
    <t>89CMAH2022000041R001520230289828</t>
  </si>
  <si>
    <t>89CMAH2022000041R001520230289837</t>
  </si>
  <si>
    <t>89CMAH2022000041R001520230289863</t>
  </si>
  <si>
    <t>89CMAH2022000041R001520230289891</t>
  </si>
  <si>
    <t>89CMAH2022000041R001520230289906</t>
  </si>
  <si>
    <t>89CMAH2022000041R001520230289936</t>
  </si>
  <si>
    <t>89CMAH2022000041R001520230289944</t>
  </si>
  <si>
    <t>89CMAH2022000041R001520230289946</t>
  </si>
  <si>
    <t>89CMAH2022000041R001520230289950</t>
  </si>
  <si>
    <t>89CMAH2022000041R001520230289964</t>
  </si>
  <si>
    <t>89CMAH2022000041R001520230289982</t>
  </si>
  <si>
    <t>89CMAH2022000041R001520230290203</t>
  </si>
  <si>
    <t>89CMAH2022000041R001520230290213</t>
  </si>
  <si>
    <t>89CMAH2022000041R001520230290271</t>
  </si>
  <si>
    <t>89CMAH2022000041R001520230290276</t>
  </si>
  <si>
    <t>89CMAH2022000041R001520230290282</t>
  </si>
  <si>
    <t>89CMAH2022000041R001520230290286</t>
  </si>
  <si>
    <t>89CMAH2022000041R001520230290307</t>
  </si>
  <si>
    <t>89CMAH2022000041R001520230290319</t>
  </si>
  <si>
    <t>89CMAH2022000041R001520230290361</t>
  </si>
  <si>
    <t>89CMAH2022000041R001520230290420</t>
  </si>
  <si>
    <t>89CMAH2022000041R001520230290527</t>
  </si>
  <si>
    <t>89CMAH2022000041R001520230290543</t>
  </si>
  <si>
    <t>89CMAH2022000041R001520230290565</t>
  </si>
  <si>
    <t>89CMAH2022000041R001520230290577</t>
  </si>
  <si>
    <t>89CMAH2022000041R001520230290665</t>
  </si>
  <si>
    <t>89CMAH2022000041R001520230290719</t>
  </si>
  <si>
    <t>89CMAH2022000041R001520230290782</t>
  </si>
  <si>
    <t>89CMAH2022000041R001520230290826</t>
  </si>
  <si>
    <t>89CMAH2022000041R001520230290880</t>
  </si>
  <si>
    <t>89CMAH2022000041R001520230290914</t>
  </si>
  <si>
    <t>89CMAH2022000041R001520230290918</t>
  </si>
  <si>
    <t>SNCN00000011</t>
  </si>
  <si>
    <t>SNCN00000065</t>
  </si>
  <si>
    <t>SNCN00000093</t>
  </si>
  <si>
    <t>SNCN00000162</t>
  </si>
  <si>
    <t>SNCN00000294</t>
  </si>
  <si>
    <t>SNCN00000503</t>
  </si>
  <si>
    <t>SNCN00000553</t>
  </si>
  <si>
    <t>SNCN00000678</t>
  </si>
  <si>
    <t>SNCN00000853</t>
  </si>
  <si>
    <t>SNCN00000982</t>
  </si>
  <si>
    <t>80CMAHFINERGEDSFR000000000000001</t>
  </si>
  <si>
    <t>SNCN00000418</t>
  </si>
  <si>
    <t>80CMAHFINERGEWCF0000000000000003</t>
  </si>
  <si>
    <t>SNCN00000966</t>
  </si>
  <si>
    <t>31000010813071149000000000000000</t>
  </si>
  <si>
    <t>SNCN00000532</t>
  </si>
  <si>
    <t>SNCN00000517</t>
  </si>
  <si>
    <t>SNCN00000554</t>
  </si>
  <si>
    <t>31000310568850090069674040100000</t>
  </si>
  <si>
    <t>31000310172009091069674670100000</t>
  </si>
  <si>
    <t>31CMAH0000000000R262304820026980</t>
  </si>
  <si>
    <t>31CMAH0000000000R262304840025960</t>
  </si>
  <si>
    <t>31CMAH0000000000R962304820242730</t>
  </si>
  <si>
    <t>31CMAH0000000000R962304820376620</t>
  </si>
  <si>
    <t>31CMAH0000000000R962304820380720</t>
  </si>
  <si>
    <t>31CMAH0000000000R962304820381280</t>
  </si>
  <si>
    <t>31CMAH0000000000R962304820393220</t>
  </si>
  <si>
    <t>31CMAH00380018977363603800189779</t>
  </si>
  <si>
    <t>31CMAHenergyS1xS2OVER1ENFSMERT0A</t>
  </si>
  <si>
    <t>31CMAHrxohabS1xS2PMAPARREST00001</t>
  </si>
  <si>
    <t>31000310526585090069674440100000</t>
  </si>
  <si>
    <t>82000000007000206000200000642323</t>
  </si>
  <si>
    <t>82000000007000547000200000642925</t>
  </si>
  <si>
    <t>82000000007001278000200000643651</t>
  </si>
  <si>
    <t>82000000007002004000200000644307</t>
  </si>
  <si>
    <t>82000000007002476000200000644715</t>
  </si>
  <si>
    <t>82000000007003455000200000646082</t>
  </si>
  <si>
    <t>82000000007004026000200000646678</t>
  </si>
  <si>
    <t>82000000007007661000200000654192</t>
  </si>
  <si>
    <t>82000000007013662000200000661116</t>
  </si>
  <si>
    <t>SNCN00000531</t>
  </si>
  <si>
    <t>89CMAH2022000041R001520230085474</t>
  </si>
  <si>
    <t>89CMAH2022000041R001520230144821</t>
  </si>
  <si>
    <t>89CMAH2022000041R001520230145075</t>
  </si>
  <si>
    <t>89CMAH2022000041R001520230177936</t>
  </si>
  <si>
    <t>89CMAH2022000041R001520230177999</t>
  </si>
  <si>
    <t>89CMAH2022000041R001520230178275</t>
  </si>
  <si>
    <t>89CMAH2022000041R001520230178568</t>
  </si>
  <si>
    <t>89CMAH2022000041R001520230178629</t>
  </si>
  <si>
    <t>89CMAH2022000041R001520230234242</t>
  </si>
  <si>
    <t>89CMAH2022000041R001520230234431</t>
  </si>
  <si>
    <t>89CMAH2022000041R001520230234464</t>
  </si>
  <si>
    <t>89CMAH2022000041R001520230234478</t>
  </si>
  <si>
    <t>89CMAH2022000041R001520230234506</t>
  </si>
  <si>
    <t>89CMAH2022000041R001520230234525</t>
  </si>
  <si>
    <t>89CMAH2022000041R001520230234627</t>
  </si>
  <si>
    <t>89CMAH2022000041R001520230234712</t>
  </si>
  <si>
    <t>89CMAH2022000041R001520230289437</t>
  </si>
  <si>
    <t>89CMAH2022000041R001520230289447</t>
  </si>
  <si>
    <t>89CMAH2022000041R001520230289469</t>
  </si>
  <si>
    <t>89CMAH2022000041R001520230289549</t>
  </si>
  <si>
    <t>89CMAH2022000041R001520230289556</t>
  </si>
  <si>
    <t>89CMAH2022000041R001520230289567</t>
  </si>
  <si>
    <t>89CMAH2022000041R001520230289820</t>
  </si>
  <si>
    <t>89CMAH2022000041R001520230289893</t>
  </si>
  <si>
    <t>89CMAH2022000041R001520230289895</t>
  </si>
  <si>
    <t>89CMAH2022000041R001520230289908</t>
  </si>
  <si>
    <t>89CMAH2022000041R001520230290057</t>
  </si>
  <si>
    <t>89CMAH2022000041R001520230290061</t>
  </si>
  <si>
    <t>89CMAH2022000041R001520230290111</t>
  </si>
  <si>
    <t>89CMAH2022000041R001520230290202</t>
  </si>
  <si>
    <t>89CMAH2022000041R001520230290345</t>
  </si>
  <si>
    <t>89CMAH2022000041R001520230290352</t>
  </si>
  <si>
    <t>89CMAH2022000041R001520230290375</t>
  </si>
  <si>
    <t>89CMAH2022000041R001520230290393</t>
  </si>
  <si>
    <t>89CMAH2022000041R001520230290415</t>
  </si>
  <si>
    <t>89CMAH2022000041R001520230290532</t>
  </si>
  <si>
    <t>89CMAH2022000041R001520230290621</t>
  </si>
  <si>
    <t>89CMAH2022000041R001520230290629</t>
  </si>
  <si>
    <t>89CMAH2022000041R001520230290637</t>
  </si>
  <si>
    <t>89CMAH2022000041R001520230290679</t>
  </si>
  <si>
    <t>89CMAH2022000041R001520230290709</t>
  </si>
  <si>
    <t>89CMAH2022000041R001520230290736</t>
  </si>
  <si>
    <t>89CMAH2022000041R001520230290786</t>
  </si>
  <si>
    <t>89CMAH2022000041R001520230290812</t>
  </si>
  <si>
    <t>89CMAH2022000041R001520230290840</t>
  </si>
  <si>
    <t>89CMAH2022000041R001520230290852</t>
  </si>
  <si>
    <t>89CMAH2022000041R001520230290859</t>
  </si>
  <si>
    <t>89CMAH2022000041R001520230290923</t>
  </si>
  <si>
    <t>SNCN00000140</t>
  </si>
  <si>
    <t>SNCN00000204</t>
  </si>
  <si>
    <t>SNCN00000217</t>
  </si>
  <si>
    <t>SNCN00000329</t>
  </si>
  <si>
    <t>SNCN00000589</t>
  </si>
  <si>
    <t>SNCN00000869</t>
  </si>
  <si>
    <t>SNCN00000975</t>
  </si>
  <si>
    <t>31023300900008282069674780100000</t>
  </si>
  <si>
    <t>31CMAH0000000000R262304820009390</t>
  </si>
  <si>
    <t>31CMAH0000000000R262304840018800</t>
  </si>
  <si>
    <t>31CMAH0000000000R962304820072940</t>
  </si>
  <si>
    <t>31CMAH0000000000R962304820383100</t>
  </si>
  <si>
    <t>31CMAH5723667001R100399800000001</t>
  </si>
  <si>
    <t>31CMAHenergyS1xS2OVER1ENFGDRST0C</t>
  </si>
  <si>
    <t>82000000000144384000450000514295</t>
  </si>
  <si>
    <t>82000000007000842000200000643290</t>
  </si>
  <si>
    <t>82000000007001409000200000523062</t>
  </si>
  <si>
    <t>82000000007001874000200000644183</t>
  </si>
  <si>
    <t>82000000007004626000200000647487</t>
  </si>
  <si>
    <t>82000000007007982000200000655745</t>
  </si>
  <si>
    <t>82000000007008359000200000657067</t>
  </si>
  <si>
    <t>82000000007008582000200000658454</t>
  </si>
  <si>
    <t>82000000007011558000200000680359</t>
  </si>
  <si>
    <t>82000000007017954000200000761236</t>
  </si>
  <si>
    <t>82000000007017962000200000761242</t>
  </si>
  <si>
    <t>890000201300031361000500C21737I0</t>
  </si>
  <si>
    <t>890000201400015461000500C55286I0</t>
  </si>
  <si>
    <t>89CMAH2022000041R001520230039468</t>
  </si>
  <si>
    <t>89CMAH2022000041R001520230039793</t>
  </si>
  <si>
    <t>89CMAH2022000041R001520230086301</t>
  </si>
  <si>
    <t>89CMAH2022000041R001520230178103</t>
  </si>
  <si>
    <t>89CMAH2022000041R001520230234035</t>
  </si>
  <si>
    <t>89CMAH2022000041R001520230234096</t>
  </si>
  <si>
    <t>89CMAH2022000041R001520230234160</t>
  </si>
  <si>
    <t>89CMAH2022000041R001520230234186</t>
  </si>
  <si>
    <t>89CMAH2022000041R001520230234234</t>
  </si>
  <si>
    <t>89CMAH2022000041R001520230234238</t>
  </si>
  <si>
    <t>89CMAH2022000041R001520230234347</t>
  </si>
  <si>
    <t>89CMAH2022000041R001520230234412</t>
  </si>
  <si>
    <t>89CMAH2022000041R001520230234466</t>
  </si>
  <si>
    <t>89CMAH2022000041R001520230234491</t>
  </si>
  <si>
    <t>89CMAH2022000041R001520230234508</t>
  </si>
  <si>
    <t>89CMAH2022000041R001520230234510</t>
  </si>
  <si>
    <t>89CMAH2022000041R001520230234635</t>
  </si>
  <si>
    <t>89CMAH2022000041R001520230234662</t>
  </si>
  <si>
    <t>89CMAH2022000041R001520230289368</t>
  </si>
  <si>
    <t>89CMAH2022000041R001520230289369</t>
  </si>
  <si>
    <t>89CMAH2022000041R001520230289451</t>
  </si>
  <si>
    <t>89CMAH2022000041R001520230289479</t>
  </si>
  <si>
    <t>89CMAH2022000041R001520230289482</t>
  </si>
  <si>
    <t>89CMAH2022000041R001520230289544</t>
  </si>
  <si>
    <t>89CMAH2022000041R001520230289584</t>
  </si>
  <si>
    <t>89CMAH2022000041R001520230289633</t>
  </si>
  <si>
    <t>89CMAH2022000041R001520230289637</t>
  </si>
  <si>
    <t>89CMAH2022000041R001520230289661</t>
  </si>
  <si>
    <t>89CMAH2022000041R001520230289680</t>
  </si>
  <si>
    <t>89CMAH2022000041R001520230289684</t>
  </si>
  <si>
    <t>89CMAH2022000041R001520230289754</t>
  </si>
  <si>
    <t>89CMAH2022000041R001520230289871</t>
  </si>
  <si>
    <t>89CMAH2022000041R001520230289976</t>
  </si>
  <si>
    <t>89CMAH2022000041R001520230290009</t>
  </si>
  <si>
    <t>89CMAH2022000041R001520230290103</t>
  </si>
  <si>
    <t>89CMAH2022000041R001520230290171</t>
  </si>
  <si>
    <t>89CMAH2022000041R001520230290175</t>
  </si>
  <si>
    <t>89CMAH2022000041R001520230290244</t>
  </si>
  <si>
    <t>89CMAH2022000041R001520230290426</t>
  </si>
  <si>
    <t>89CMAH2022000041R001520230290438</t>
  </si>
  <si>
    <t>89CMAH2022000041R001520230290480</t>
  </si>
  <si>
    <t>89CMAH2022000041R001520230290568</t>
  </si>
  <si>
    <t>89CMAH2022000041R001520230290625</t>
  </si>
  <si>
    <t>89CMAH2022000041R001520230290653</t>
  </si>
  <si>
    <t>89CMAH2022000041R001520230290772</t>
  </si>
  <si>
    <t>89CMAH2022000041R001520230290779</t>
  </si>
  <si>
    <t>89CMAH2022000041R001520230290819</t>
  </si>
  <si>
    <t>SNCN00000064</t>
  </si>
  <si>
    <t>SNCN00000187</t>
  </si>
  <si>
    <t>SNCN00000287</t>
  </si>
  <si>
    <t>SNCN00000341</t>
  </si>
  <si>
    <t>SNCN00000363</t>
  </si>
  <si>
    <t>SNCN00000725</t>
  </si>
  <si>
    <t>SNCN00000938</t>
  </si>
  <si>
    <t>31CMAH0000000000R962304820151190</t>
  </si>
  <si>
    <t>31CMAH0000000000R962304820309480</t>
  </si>
  <si>
    <t>31CMAH0000000000R962304820406080</t>
  </si>
  <si>
    <t>31CMAH0000000000R962304820406090</t>
  </si>
  <si>
    <t>31CMAH4668178902R000000000000000</t>
  </si>
  <si>
    <t>82000000007007238000200000652671</t>
  </si>
  <si>
    <t>82000000007008130000200000656210</t>
  </si>
  <si>
    <t>82000000007017477000200000754446</t>
  </si>
  <si>
    <t>82000000007018709000200000647497</t>
  </si>
  <si>
    <t>31CMAH0000000000R962304820200900</t>
  </si>
  <si>
    <t>31CMAH0000000000R962304820216980</t>
  </si>
  <si>
    <t>31CMAH0000000000R962304820334150</t>
  </si>
  <si>
    <t>31CMAH0000000000R962304820341720</t>
  </si>
  <si>
    <t>31CMAH0000000000R962304820381290</t>
  </si>
  <si>
    <t>31CMAH0000000000R962304820399740</t>
  </si>
  <si>
    <t>31CMAH0000580004RXS0237370605000</t>
  </si>
  <si>
    <t>31CMAHenergyS1xS2OVER1ENFSMERT0C</t>
  </si>
  <si>
    <t>82000000007000870000200000643310</t>
  </si>
  <si>
    <t>82000000007001252000200000643633</t>
  </si>
  <si>
    <t>82000000007003950000200000646822</t>
  </si>
  <si>
    <t>82000000007005725000200000648599</t>
  </si>
  <si>
    <t>82000000007013026000200000688021</t>
  </si>
  <si>
    <t>890000201300031341000500C39109I0</t>
  </si>
  <si>
    <t>89CMAH2022000041R001520230085843</t>
  </si>
  <si>
    <t>89CMAH2022000041R001520230085988</t>
  </si>
  <si>
    <t>89CMAH2022000041R001520230086029</t>
  </si>
  <si>
    <t>89CMAH2022000041R001520230144644</t>
  </si>
  <si>
    <t>89CMAH2022000041R001520230144718</t>
  </si>
  <si>
    <t>89CMAH2022000041R001520230144779</t>
  </si>
  <si>
    <t>89CMAH2022000041R001520230178067</t>
  </si>
  <si>
    <t>89CMAH2022000041R001520230178106</t>
  </si>
  <si>
    <t>89CMAH2022000041R001520230178183</t>
  </si>
  <si>
    <t>89CMAH2022000041R001520230178258</t>
  </si>
  <si>
    <t>89CMAH2022000041R001520230178292</t>
  </si>
  <si>
    <t>89CMAH2022000041R001520230178294</t>
  </si>
  <si>
    <t>89CMAH2022000041R001520230178319</t>
  </si>
  <si>
    <t>89CMAH2022000041R001520230178503</t>
  </si>
  <si>
    <t>89CMAH2022000041R001520230178504</t>
  </si>
  <si>
    <t>89CMAH2022000041R001520230234071</t>
  </si>
  <si>
    <t>89CMAH2022000041R001520230234257</t>
  </si>
  <si>
    <t>89CMAH2022000041R001520230234356</t>
  </si>
  <si>
    <t>89CMAH2022000041R001520230234370</t>
  </si>
  <si>
    <t>89CMAH2022000041R001520230234379</t>
  </si>
  <si>
    <t>89CMAH2022000041R001520230234387</t>
  </si>
  <si>
    <t>89CMAH2022000041R001520230234447</t>
  </si>
  <si>
    <t>89CMAH2022000041R001520230234532</t>
  </si>
  <si>
    <t>89CMAH2022000041R001520230234540</t>
  </si>
  <si>
    <t>89CMAH2022000041R001520230234552</t>
  </si>
  <si>
    <t>89CMAH2022000041R001520230234633</t>
  </si>
  <si>
    <t>89CMAH2022000041R001520230234669</t>
  </si>
  <si>
    <t>89CMAH2022000041R001520230234672</t>
  </si>
  <si>
    <t>89CMAH2022000041R001520230234738</t>
  </si>
  <si>
    <t>89CMAH2022000041R001520230289303</t>
  </si>
  <si>
    <t>89CMAH2022000041R001520230289306</t>
  </si>
  <si>
    <t>89CMAH2022000041R001520230289353</t>
  </si>
  <si>
    <t>89CMAH2022000041R001520230289428</t>
  </si>
  <si>
    <t>89CMAH2022000041R001520230289436</t>
  </si>
  <si>
    <t>89CMAH2022000041R001520230289445</t>
  </si>
  <si>
    <t>89CMAH2022000041R001520230289468</t>
  </si>
  <si>
    <t>89CMAH2022000041R001520230289512</t>
  </si>
  <si>
    <t>89CMAH2022000041R001520230289546</t>
  </si>
  <si>
    <t>89CMAH2022000041R001520230289670</t>
  </si>
  <si>
    <t>89CMAH2022000041R001520230289674</t>
  </si>
  <si>
    <t>89CMAH2022000041R001520230289688</t>
  </si>
  <si>
    <t>89CMAH2022000041R001520230289703</t>
  </si>
  <si>
    <t>89CMAH2022000041R001520230289711</t>
  </si>
  <si>
    <t>89CMAH2022000041R001520230289741</t>
  </si>
  <si>
    <t>89CMAH2022000041R001520230289786</t>
  </si>
  <si>
    <t>89CMAH2022000041R001520230289846</t>
  </si>
  <si>
    <t>89CMAH2022000041R001520230289864</t>
  </si>
  <si>
    <t>89CMAH2022000041R001520230289904</t>
  </si>
  <si>
    <t>89CMAH2022000041R001520230289907</t>
  </si>
  <si>
    <t>89CMAH2022000041R001520230289952</t>
  </si>
  <si>
    <t>89CMAH2022000041R001520230289965</t>
  </si>
  <si>
    <t>89CMAH2022000041R001520230289971</t>
  </si>
  <si>
    <t>89CMAH2022000041R001520230289979</t>
  </si>
  <si>
    <t>89CMAH2022000041R001520230289987</t>
  </si>
  <si>
    <t>89CMAH2022000041R001520230290126</t>
  </si>
  <si>
    <t>89CMAH2022000041R001520230290180</t>
  </si>
  <si>
    <t>89CMAH2022000041R001520230290225</t>
  </si>
  <si>
    <t>89CMAH2022000041R001520230290243</t>
  </si>
  <si>
    <t>89CMAH2022000041R001520230290257</t>
  </si>
  <si>
    <t>89CMAH2022000041R001520230290444</t>
  </si>
  <si>
    <t>89CMAH2022000041R001520230290492</t>
  </si>
  <si>
    <t>89CMAH2022000041R001520230290522</t>
  </si>
  <si>
    <t>89CMAH2022000041R001520230290556</t>
  </si>
  <si>
    <t>89CMAH2022000041R001520230290557</t>
  </si>
  <si>
    <t>89CMAH2022000041R001520230290616</t>
  </si>
  <si>
    <t>89CMAH2022000041R001520230290691</t>
  </si>
  <si>
    <t>89CMAH2022000041R001520230290787</t>
  </si>
  <si>
    <t>89CMAH2022000041R001520230290837</t>
  </si>
  <si>
    <t>89CMAH2022000041R001520230290860</t>
  </si>
  <si>
    <t>89CMAH2022000041R001520230290866</t>
  </si>
  <si>
    <t>SNCN00000004</t>
  </si>
  <si>
    <t>SNCN00000008</t>
  </si>
  <si>
    <t>SNCN00000067</t>
  </si>
  <si>
    <t>SNCN00000208</t>
  </si>
  <si>
    <t>SNCN00000222</t>
  </si>
  <si>
    <t>SNCN00000232</t>
  </si>
  <si>
    <t>SNCN00000354</t>
  </si>
  <si>
    <t>SNCN00000933</t>
  </si>
  <si>
    <t>SNCN00000937</t>
  </si>
  <si>
    <t>89CMAH2022000041R001520230085692</t>
  </si>
  <si>
    <t>89CMAH2022000041R001520230178052</t>
  </si>
  <si>
    <t>89CMAH2022000041R001520230178133</t>
  </si>
  <si>
    <t>89CMAH2022000041R001520230234016</t>
  </si>
  <si>
    <t>89CMAH2022000041R001520230234033</t>
  </si>
  <si>
    <t>89CMAH2022000041R001520230234086</t>
  </si>
  <si>
    <t>89CMAH2022000041R001520230234319</t>
  </si>
  <si>
    <t>89CMAH2022000041R001520230234377</t>
  </si>
  <si>
    <t>89CMAH2022000041R001520230234397</t>
  </si>
  <si>
    <t>89CMAH2022000041R001520230234492</t>
  </si>
  <si>
    <t>89CMAH2022000041R001520230234533</t>
  </si>
  <si>
    <t>89CMAH2022000041R001520230234636</t>
  </si>
  <si>
    <t>89CMAH2022000041R001520230234722</t>
  </si>
  <si>
    <t>89CMAH2022000041R001520230289310</t>
  </si>
  <si>
    <t>89CMAH2022000041R001520230289343</t>
  </si>
  <si>
    <t>89CMAH2022000041R001520230289405</t>
  </si>
  <si>
    <t>89CMAH2022000041R001520230289424</t>
  </si>
  <si>
    <t>89CMAH2022000041R001520230289520</t>
  </si>
  <si>
    <t>89CMAH2022000041R001520230289535</t>
  </si>
  <si>
    <t>89CMAH2022000041R001520230289595</t>
  </si>
  <si>
    <t>89CMAH2022000041R001520230289620</t>
  </si>
  <si>
    <t>89CMAH2022000041R001520230289631</t>
  </si>
  <si>
    <t>89CMAH2022000041R001520230289694</t>
  </si>
  <si>
    <t>89CMAH2022000041R001520230289719</t>
  </si>
  <si>
    <t>89CMAH2022000041R001520230289749</t>
  </si>
  <si>
    <t>89CMAH2022000041R001520230289764</t>
  </si>
  <si>
    <t>89CMAH2022000041R001520230289850</t>
  </si>
  <si>
    <t>89CMAH2022000041R001520230289867</t>
  </si>
  <si>
    <t>89CMAH2022000041R001520230289917</t>
  </si>
  <si>
    <t>89CMAH2022000041R001520230289925</t>
  </si>
  <si>
    <t>89CMAH2022000041R001520230289929</t>
  </si>
  <si>
    <t>89CMAH2022000041R001520230289990</t>
  </si>
  <si>
    <t>89CMAH2022000041R001520230290031</t>
  </si>
  <si>
    <t>89CMAH2022000041R001520230290036</t>
  </si>
  <si>
    <t>89CMAH2022000041R001520230290039</t>
  </si>
  <si>
    <t>89CMAH2022000041R001520230290062</t>
  </si>
  <si>
    <t>89CMAH2022000041R001520230290072</t>
  </si>
  <si>
    <t>89CMAH2022000041R001520230290113</t>
  </si>
  <si>
    <t>89CMAH2022000041R001520230290143</t>
  </si>
  <si>
    <t>89CMAH2022000041R001520230290219</t>
  </si>
  <si>
    <t>89CMAH2022000041R001520230290221</t>
  </si>
  <si>
    <t>89CMAH2022000041R001520230290230</t>
  </si>
  <si>
    <t>89CMAH2022000041R001520230290248</t>
  </si>
  <si>
    <t>89CMAH2022000041R001520230290258</t>
  </si>
  <si>
    <t>89CMAH2022000041R001520230290398</t>
  </si>
  <si>
    <t>89CMAH2022000041R001520230290516</t>
  </si>
  <si>
    <t>89CMAH2022000041R001520230290526</t>
  </si>
  <si>
    <t>89CMAH2022000041R001520230290530</t>
  </si>
  <si>
    <t>89CMAH2022000041R001520230290582</t>
  </si>
  <si>
    <t>89CMAH2022000041R001520230290588</t>
  </si>
  <si>
    <t>89CMAH2022000041R001520230290613</t>
  </si>
  <si>
    <t>89CMAH2022000041R001520230290663</t>
  </si>
  <si>
    <t>89CMAH2022000041R001520230290703</t>
  </si>
  <si>
    <t>89CMAH2022000041R001520230290722</t>
  </si>
  <si>
    <t>89CMAH2022000041R001520230290728</t>
  </si>
  <si>
    <t>89CMAH2022000041R001520230290751</t>
  </si>
  <si>
    <t>89CMAH2022000041R001520230290797</t>
  </si>
  <si>
    <t>89CMAH2022000041R001520230290825</t>
  </si>
  <si>
    <t>89CMAH2022000041R001520230290836</t>
  </si>
  <si>
    <t>89CMAH2022000041R001520230290862</t>
  </si>
  <si>
    <t>89CMAH2022000041R001520230290869</t>
  </si>
  <si>
    <t>89CMAH2022000041R001520230290913</t>
  </si>
  <si>
    <t>89CMAH2022000041R001520230290922</t>
  </si>
  <si>
    <t>SNCN00000077</t>
  </si>
  <si>
    <t>SNCN00000161</t>
  </si>
  <si>
    <t>SNCN00000241</t>
  </si>
  <si>
    <t>SNCN00000257</t>
  </si>
  <si>
    <t>SNCN00000315</t>
  </si>
  <si>
    <t>SNCN00000855</t>
  </si>
  <si>
    <t>SNCN00000878</t>
  </si>
  <si>
    <t>31CMAH0000000000R162304840738540</t>
  </si>
  <si>
    <t>31CMAH0000000000R262304840018720</t>
  </si>
  <si>
    <t>31CMAH0000000000R362304841016010</t>
  </si>
  <si>
    <t>31CMAH0000000000R962304820309270</t>
  </si>
  <si>
    <t>31CMAH0000000000R962304870326550</t>
  </si>
  <si>
    <t>31CMAHhipotcS1xS2OVERPARREST0001</t>
  </si>
  <si>
    <t>82000000007000589000200000642960</t>
  </si>
  <si>
    <t>82000000007016717000200000674463</t>
  </si>
  <si>
    <t>82000000007017961000200000761249</t>
  </si>
  <si>
    <t>89CMAH2022000041R001520230040045</t>
  </si>
  <si>
    <t>89CMAH2022000041R001520230085925</t>
  </si>
  <si>
    <t>89CMAH2022000041R001520230086091</t>
  </si>
  <si>
    <t>89CMAH2022000041R001520230145178</t>
  </si>
  <si>
    <t>89CMAH2022000041R001520230178112</t>
  </si>
  <si>
    <t>89CMAH2022000041R001520230178282</t>
  </si>
  <si>
    <t>89CMAH2022000041R001520230233969</t>
  </si>
  <si>
    <t>89CMAH2022000041R001520230234003</t>
  </si>
  <si>
    <t>89CMAH2022000041R001520230234034</t>
  </si>
  <si>
    <t>89CMAH2022000041R001520230234116</t>
  </si>
  <si>
    <t>89CMAH2022000041R001520230234126</t>
  </si>
  <si>
    <t>89CMAH2022000041R001520230234365</t>
  </si>
  <si>
    <t>89CMAH2022000041R001520230234374</t>
  </si>
  <si>
    <t>89CMAH2022000041R001520230234417</t>
  </si>
  <si>
    <t>89CMAH2022000041R001520230234610</t>
  </si>
  <si>
    <t>89CMAH2022000041R001520230289426</t>
  </si>
  <si>
    <t>89CMAH2022000041R001520230289463</t>
  </si>
  <si>
    <t>89CMAH2022000041R001520230289471</t>
  </si>
  <si>
    <t>89CMAH2022000041R001520230289510</t>
  </si>
  <si>
    <t>89CMAH2022000041R001520230289513</t>
  </si>
  <si>
    <t>89CMAH2022000041R001520230289609</t>
  </si>
  <si>
    <t>89CMAH2022000041R001520230289669</t>
  </si>
  <si>
    <t>89CMAH2022000041R001520230289675</t>
  </si>
  <si>
    <t>89CMAH2022000041R001520230289685</t>
  </si>
  <si>
    <t>89CMAH2022000041R001520230289692</t>
  </si>
  <si>
    <t>89CMAH2022000041R001520230289727</t>
  </si>
  <si>
    <t>89CMAH2022000041R001520230289818</t>
  </si>
  <si>
    <t>89CMAH2022000041R001520230289955</t>
  </si>
  <si>
    <t>89CMAH2022000041R001520230289960</t>
  </si>
  <si>
    <t>89CMAH2022000041R001520230290063</t>
  </si>
  <si>
    <t>89CMAH2022000041R001520230290075</t>
  </si>
  <si>
    <t>89CMAH2022000041R001520230290184</t>
  </si>
  <si>
    <t>89CMAH2022000041R001520230290223</t>
  </si>
  <si>
    <t>89CMAH2022000041R001520230290264</t>
  </si>
  <si>
    <t>89CMAH2022000041R001520230290267</t>
  </si>
  <si>
    <t>89CMAH2022000041R001520230290310</t>
  </si>
  <si>
    <t>89CMAH2022000041R001520230290320</t>
  </si>
  <si>
    <t>89CMAH2022000041R001520230290414</t>
  </si>
  <si>
    <t>89CMAH2022000041R001520230290521</t>
  </si>
  <si>
    <t>89CMAH2022000041R001520230290560</t>
  </si>
  <si>
    <t>89CMAH2022000041R001520230290573</t>
  </si>
  <si>
    <t>89CMAH2022000041R001520230290578</t>
  </si>
  <si>
    <t>89CMAH2022000041R001520230290589</t>
  </si>
  <si>
    <t>89CMAH2022000041R001520230290673</t>
  </si>
  <si>
    <t>89CMAH2022000041R001520230290919</t>
  </si>
  <si>
    <t>SNCN00000043</t>
  </si>
  <si>
    <t>SNCN00000087</t>
  </si>
  <si>
    <t>SNCN00000307</t>
  </si>
  <si>
    <t>SNCN00000469</t>
  </si>
  <si>
    <t>SNCN00000481</t>
  </si>
  <si>
    <t>SNCN00000511</t>
  </si>
  <si>
    <t>SNCN00000536</t>
  </si>
  <si>
    <t>SNCN00000951</t>
  </si>
  <si>
    <t>SNCN00000980</t>
  </si>
  <si>
    <t>SNCN00000633</t>
  </si>
  <si>
    <t>SNCN00000964</t>
  </si>
  <si>
    <t>80CMAHTOTTI000000339379260000000</t>
  </si>
  <si>
    <t>31000310192007091069674140100000</t>
  </si>
  <si>
    <t>31000310195026091069674620100000</t>
  </si>
  <si>
    <t>31000310531031090069674200100000</t>
  </si>
  <si>
    <t>31CMAH0000000000R262304840018520</t>
  </si>
  <si>
    <t>31CMAH0000000000R399904875248090</t>
  </si>
  <si>
    <t>31CMAH0000000000R962304820340090</t>
  </si>
  <si>
    <t>82000000000102341000420000415032</t>
  </si>
  <si>
    <t>82000000000105981000450000410339</t>
  </si>
  <si>
    <t>82000000007001741000200000643990</t>
  </si>
  <si>
    <t>82000000007002183000200000644499</t>
  </si>
  <si>
    <t>82000000007003209000200000645845</t>
  </si>
  <si>
    <t>82000000007003329000200000720351</t>
  </si>
  <si>
    <t>82000000007005804000200000648751</t>
  </si>
  <si>
    <t>82000000007011487000200000680311</t>
  </si>
  <si>
    <t>82000000007011520000200000679792</t>
  </si>
  <si>
    <t>82000000007011547000200000679802</t>
  </si>
  <si>
    <t>82000000007011563000200000680132</t>
  </si>
  <si>
    <t>82000000007016719000200000540675</t>
  </si>
  <si>
    <t>89CMAH2022000041R001520220603678</t>
  </si>
  <si>
    <t>89CMAH2022000041R001520230040099</t>
  </si>
  <si>
    <t>89CMAH2022000041R001520230085558</t>
  </si>
  <si>
    <t>89CMAH2022000041R001520230086034</t>
  </si>
  <si>
    <t>89CMAH2022000041R001520230086302</t>
  </si>
  <si>
    <t>89CMAH2022000041R001520230145048</t>
  </si>
  <si>
    <t>89CMAH2022000041R001520230178119</t>
  </si>
  <si>
    <t>89CMAH2022000041R001520230178203</t>
  </si>
  <si>
    <t>89CMAH2022000041R001520230233975</t>
  </si>
  <si>
    <t>89CMAH2022000041R001520230233977</t>
  </si>
  <si>
    <t>89CMAH2022000041R001520230234004</t>
  </si>
  <si>
    <t>89CMAH2022000041R001520230234079</t>
  </si>
  <si>
    <t>89CMAH2022000041R001520230234162</t>
  </si>
  <si>
    <t>89CMAH2022000041R001520230234180</t>
  </si>
  <si>
    <t>89CMAH2022000041R001520230234270</t>
  </si>
  <si>
    <t>89CMAH2022000041R001520230234305</t>
  </si>
  <si>
    <t>89CMAH2022000041R001520230234315</t>
  </si>
  <si>
    <t>89CMAH2022000041R001520230234339</t>
  </si>
  <si>
    <t>89CMAH2022000041R001520230234501</t>
  </si>
  <si>
    <t>89CMAH2022000041R001520230234523</t>
  </si>
  <si>
    <t>89CMAH2022000041R001520230289300</t>
  </si>
  <si>
    <t>89CMAH2022000041R001520230289357</t>
  </si>
  <si>
    <t>89CMAH2022000041R001520230289409</t>
  </si>
  <si>
    <t>89CMAH2022000041R001520230289431</t>
  </si>
  <si>
    <t>89CMAH2022000041R001520230289496</t>
  </si>
  <si>
    <t>89CMAH2022000041R001520230289521</t>
  </si>
  <si>
    <t>89CMAH2022000041R001520230289622</t>
  </si>
  <si>
    <t>89CMAH2022000041R001520230289629</t>
  </si>
  <si>
    <t>89CMAH2022000041R001520230289743</t>
  </si>
  <si>
    <t>89CMAH2022000041R001520230289800</t>
  </si>
  <si>
    <t>89CMAH2022000041R001520230289885</t>
  </si>
  <si>
    <t>89CMAH2022000041R001520230289889</t>
  </si>
  <si>
    <t>89CMAH2022000041R001520230289914</t>
  </si>
  <si>
    <t>89CMAH2022000041R001520230289923</t>
  </si>
  <si>
    <t>89CMAH2022000041R001520230289994</t>
  </si>
  <si>
    <t>89CMAH2022000041R001520230290001</t>
  </si>
  <si>
    <t>89CMAH2022000041R001520230290044</t>
  </si>
  <si>
    <t>89CMAH2022000041R001520230290052</t>
  </si>
  <si>
    <t>89CMAH2022000041R001520230290086</t>
  </si>
  <si>
    <t>89CMAH2022000041R001520230290162</t>
  </si>
  <si>
    <t>89CMAH2022000041R001520230290167</t>
  </si>
  <si>
    <t>89CMAH2022000041R001520230290245</t>
  </si>
  <si>
    <t>89CMAH2022000041R001520230290293</t>
  </si>
  <si>
    <t>89CMAH2022000041R001520230290303</t>
  </si>
  <si>
    <t>89CMAH2022000041R001520230290332</t>
  </si>
  <si>
    <t>89CMAH2022000041R001520230290494</t>
  </si>
  <si>
    <t>89CMAH2022000041R001520230290507</t>
  </si>
  <si>
    <t>89CMAH2022000041R001520230290619</t>
  </si>
  <si>
    <t>89CMAH2022000041R001520230290671</t>
  </si>
  <si>
    <t>89CMAH2022000041R001520230290710</t>
  </si>
  <si>
    <t>89CMAH2022000041R001520230290721</t>
  </si>
  <si>
    <t>89CMAH2022000041R001520230290730</t>
  </si>
  <si>
    <t>89CMAH2022000041R001520230290776</t>
  </si>
  <si>
    <t>89CMAH2022000041R001520230290790</t>
  </si>
  <si>
    <t>89CMAH2022000041R001520230290810</t>
  </si>
  <si>
    <t>89CMAH2022000041R001520230290854</t>
  </si>
  <si>
    <t>89CMAH2022000041R001520230290879</t>
  </si>
  <si>
    <t>89CMAH2022000041R001520230290896</t>
  </si>
  <si>
    <t>89CMAH2022000041R001520230290921</t>
  </si>
  <si>
    <t>SNCN00000083</t>
  </si>
  <si>
    <t>SNCN00000374</t>
  </si>
  <si>
    <t>SNCN00000581</t>
  </si>
  <si>
    <t>SNCN00000675</t>
  </si>
  <si>
    <t>SNCN00000934</t>
  </si>
  <si>
    <t>31CMAH0000000000R262304840019910</t>
  </si>
  <si>
    <t>31CMAH0000000000R962304820340410</t>
  </si>
  <si>
    <t>31CMAH0000000000R962304820358120</t>
  </si>
  <si>
    <t>31CMAH0000000000R962304820369590</t>
  </si>
  <si>
    <t>31CMAH0000000000R962304820383110</t>
  </si>
  <si>
    <t>31CMAH0000000000R962304820384080</t>
  </si>
  <si>
    <t>31CMAHenergyS1xS2OVER2ENFSMERT0A</t>
  </si>
  <si>
    <t>31CMAHrxohabS1xS2PMAPARREST00002</t>
  </si>
  <si>
    <t>82000000000070017000450000105698</t>
  </si>
  <si>
    <t>82000000007002083000200000644283</t>
  </si>
  <si>
    <t>82000000007002362000200000644602</t>
  </si>
  <si>
    <t>82000000007003023000200000409193</t>
  </si>
  <si>
    <t>82000000007003311000200000645952</t>
  </si>
  <si>
    <t>82000000007003694000200000646244</t>
  </si>
  <si>
    <t>82000000007008815000200000658942</t>
  </si>
  <si>
    <t>82000000007011507000200000679781</t>
  </si>
  <si>
    <t>82000000007017948000200000761227</t>
  </si>
  <si>
    <t>89CMAH2022000041R001520220603311</t>
  </si>
  <si>
    <t>89CMAH2022000041R001520230039925</t>
  </si>
  <si>
    <t>89CMAH2022000041R001520230085648</t>
  </si>
  <si>
    <t>89CMAH2022000041R001520230085687</t>
  </si>
  <si>
    <t>89CMAH2022000041R001520230085710</t>
  </si>
  <si>
    <t>89CMAH2022000041R001520230086093</t>
  </si>
  <si>
    <t>89CMAH2022000041R001520230144910</t>
  </si>
  <si>
    <t>89CMAH2022000041R001520230177986</t>
  </si>
  <si>
    <t>89CMAH2022000041R001520230178071</t>
  </si>
  <si>
    <t>89CMAH2022000041R001520230178086</t>
  </si>
  <si>
    <t>89CMAH2022000041R001520230234057</t>
  </si>
  <si>
    <t>89CMAH2022000041R001520230234239</t>
  </si>
  <si>
    <t>89CMAH2022000041R001520230234297</t>
  </si>
  <si>
    <t>89CMAH2022000041R001520230234378</t>
  </si>
  <si>
    <t>89CMAH2022000041R001520230234388</t>
  </si>
  <si>
    <t>89CMAH2022000041R001520230234553</t>
  </si>
  <si>
    <t>89CMAH2022000041R001520230234632</t>
  </si>
  <si>
    <t>89CMAH2022000041R001520230234653</t>
  </si>
  <si>
    <t>89CMAH2022000041R001520230234685</t>
  </si>
  <si>
    <t>89CMAH2022000041R001520230234701</t>
  </si>
  <si>
    <t>89CMAH2022000041R001520230289294</t>
  </si>
  <si>
    <t>89CMAH2022000041R001520230289302</t>
  </si>
  <si>
    <t>89CMAH2022000041R001520230289317</t>
  </si>
  <si>
    <t>89CMAH2022000041R001520230289448</t>
  </si>
  <si>
    <t>89CMAH2022000041R001520230289456</t>
  </si>
  <si>
    <t>89CMAH2022000041R001520230289483</t>
  </si>
  <si>
    <t>89CMAH2022000041R001520230289562</t>
  </si>
  <si>
    <t>89CMAH2022000041R001520230289608</t>
  </si>
  <si>
    <t>89CMAH2022000041R001520230289642</t>
  </si>
  <si>
    <t>89CMAH2022000041R001520230289714</t>
  </si>
  <si>
    <t>89CMAH2022000041R001520230289744</t>
  </si>
  <si>
    <t>89CMAH2022000041R001520230289758</t>
  </si>
  <si>
    <t>89CMAH2022000041R001520230289978</t>
  </si>
  <si>
    <t>89CMAH2022000041R001520230290056</t>
  </si>
  <si>
    <t>89CMAH2022000041R001520230290084</t>
  </si>
  <si>
    <t>89CMAH2022000041R001520230290145</t>
  </si>
  <si>
    <t>89CMAH2022000041R001520230290246</t>
  </si>
  <si>
    <t>89CMAH2022000041R001520230290306</t>
  </si>
  <si>
    <t>89CMAH2022000041R001520230290536</t>
  </si>
  <si>
    <t>89CMAH2022000041R001520230290548</t>
  </si>
  <si>
    <t>89CMAH2022000041R001520230290579</t>
  </si>
  <si>
    <t>89CMAH2022000041R001520230290602</t>
  </si>
  <si>
    <t>89CMAH2022000041R001520230290717</t>
  </si>
  <si>
    <t>89CMAH2022000041R001520230290746</t>
  </si>
  <si>
    <t>89CMAH2022000041R001520230290766</t>
  </si>
  <si>
    <t>89CMAH2022000041R001520230290801</t>
  </si>
  <si>
    <t>SNCN00000188</t>
  </si>
  <si>
    <t>SNCN00000210</t>
  </si>
  <si>
    <t>SNCN00000247</t>
  </si>
  <si>
    <t>SNCN00000256</t>
  </si>
  <si>
    <t>SNCN00000266</t>
  </si>
  <si>
    <t>SNCN00000277</t>
  </si>
  <si>
    <t>SNCN00000353</t>
  </si>
  <si>
    <t>SNCN00000547</t>
  </si>
  <si>
    <t>SNCN00000548</t>
  </si>
  <si>
    <t>SNCN00000567</t>
  </si>
  <si>
    <t>SNCN00000640</t>
  </si>
  <si>
    <t>31CMAH0000000000R262304820022860</t>
  </si>
  <si>
    <t>31CMAH0000000000R262304820025250</t>
  </si>
  <si>
    <t>31CMAH0000000000R599904833903700</t>
  </si>
  <si>
    <t>31CMAH0000000000R962304820143820</t>
  </si>
  <si>
    <t>31CMAH0000000000R962304820379540</t>
  </si>
  <si>
    <t>31CMAH0000000000R962304830379180</t>
  </si>
  <si>
    <t>31CMAH0000580004RXS0395875999000</t>
  </si>
  <si>
    <t>82000000000120873000450000423976</t>
  </si>
  <si>
    <t>82000000007009434000200000666453</t>
  </si>
  <si>
    <t>82000000007015402000200000718470</t>
  </si>
  <si>
    <t>82000000007017536000200000753926</t>
  </si>
  <si>
    <t>31CMAH0000000000R962304820340080</t>
  </si>
  <si>
    <t>31CMAH0000000000R962304820393090</t>
  </si>
  <si>
    <t>31CMAH0000000000R962304820409440</t>
  </si>
  <si>
    <t>31CMAHenergyS1xS2OVER2ENFGDRST0F</t>
  </si>
  <si>
    <t>82000000000123267000450000416648</t>
  </si>
  <si>
    <t>82000000007001276000200000643656</t>
  </si>
  <si>
    <t>82000000007006028000200000648810</t>
  </si>
  <si>
    <t>89CMAH2022000041R001520230085788</t>
  </si>
  <si>
    <t>89CMAH2022000041R001520230144894</t>
  </si>
  <si>
    <t>89CMAH2022000041R001520230145019</t>
  </si>
  <si>
    <t>89CMAH2022000041R001520230145180</t>
  </si>
  <si>
    <t>89CMAH2022000041R001520230177877</t>
  </si>
  <si>
    <t>89CMAH2022000041R001520230178102</t>
  </si>
  <si>
    <t>89CMAH2022000041R001520230178356</t>
  </si>
  <si>
    <t>89CMAH2022000041R001520230233970</t>
  </si>
  <si>
    <t>89CMAH2022000041R001520230233989</t>
  </si>
  <si>
    <t>89CMAH2022000041R001520230234111</t>
  </si>
  <si>
    <t>89CMAH2022000041R001520230234283</t>
  </si>
  <si>
    <t>89CMAH2022000041R001520230234405</t>
  </si>
  <si>
    <t>89CMAH2022000041R001520230234517</t>
  </si>
  <si>
    <t>89CMAH2022000041R001520230234657</t>
  </si>
  <si>
    <t>89CMAH2022000041R001520230234692</t>
  </si>
  <si>
    <t>89CMAH2022000041R001520230234743</t>
  </si>
  <si>
    <t>89CMAH2022000041R001520230289314</t>
  </si>
  <si>
    <t>89CMAH2022000041R001520230289325</t>
  </si>
  <si>
    <t>89CMAH2022000041R001520230289341</t>
  </si>
  <si>
    <t>89CMAH2022000041R001520230289411</t>
  </si>
  <si>
    <t>89CMAH2022000041R001520230289494</t>
  </si>
  <si>
    <t>89CMAH2022000041R001520230289515</t>
  </si>
  <si>
    <t>89CMAH2022000041R001520230289617</t>
  </si>
  <si>
    <t>89CMAH2022000041R001520230289638</t>
  </si>
  <si>
    <t>89CMAH2022000041R001520230289682</t>
  </si>
  <si>
    <t>89CMAH2022000041R001520230289816</t>
  </si>
  <si>
    <t>89CMAH2022000041R001520230289862</t>
  </si>
  <si>
    <t>89CMAH2022000041R001520230289884</t>
  </si>
  <si>
    <t>89CMAH2022000041R001520230289892</t>
  </si>
  <si>
    <t>89CMAH2022000041R001520230289899</t>
  </si>
  <si>
    <t>89CMAH2022000041R001520230289998</t>
  </si>
  <si>
    <t>89CMAH2022000041R001520230290003</t>
  </si>
  <si>
    <t>89CMAH2022000041R001520230290067</t>
  </si>
  <si>
    <t>89CMAH2022000041R001520230290125</t>
  </si>
  <si>
    <t>89CMAH2022000041R001520230290268</t>
  </si>
  <si>
    <t>89CMAH2022000041R001520230290288</t>
  </si>
  <si>
    <t>89CMAH2022000041R001520230290295</t>
  </si>
  <si>
    <t>89CMAH2022000041R001520230290317</t>
  </si>
  <si>
    <t>89CMAH2022000041R001520230290353</t>
  </si>
  <si>
    <t>89CMAH2022000041R001520230290391</t>
  </si>
  <si>
    <t>89CMAH2022000041R001520230290392</t>
  </si>
  <si>
    <t>89CMAH2022000041R001520230290418</t>
  </si>
  <si>
    <t>89CMAH2022000041R001520230290487</t>
  </si>
  <si>
    <t>89CMAH2022000041R001520230290496</t>
  </si>
  <si>
    <t>89CMAH2022000041R001520230290501</t>
  </si>
  <si>
    <t>89CMAH2022000041R001520230290513</t>
  </si>
  <si>
    <t>89CMAH2022000041R001520230290545</t>
  </si>
  <si>
    <t>89CMAH2022000041R001520230290599</t>
  </si>
  <si>
    <t>89CMAH2022000041R001520230290664</t>
  </si>
  <si>
    <t>89CMAH2022000041R001520230290682</t>
  </si>
  <si>
    <t>89CMAH2022000041R001520230290688</t>
  </si>
  <si>
    <t>89CMAH2022000041R001520230290723</t>
  </si>
  <si>
    <t>89CMAH2022000041R001520230290831</t>
  </si>
  <si>
    <t>89CMAH2022000041R001520230290842</t>
  </si>
  <si>
    <t>SNCN00000022</t>
  </si>
  <si>
    <t>SNCN00000033</t>
  </si>
  <si>
    <t>SNCN00000040</t>
  </si>
  <si>
    <t>SNCN00000875</t>
  </si>
  <si>
    <t>SNCN00000972</t>
  </si>
  <si>
    <t>SNCN00000978</t>
  </si>
  <si>
    <t>89CMAH2022000041R001520220603932</t>
  </si>
  <si>
    <t>89CMAH2022000041R001520230039733</t>
  </si>
  <si>
    <t>89CMAH2022000041R001520230085475</t>
  </si>
  <si>
    <t>89CMAH2022000041R001520230177919</t>
  </si>
  <si>
    <t>89CMAH2022000041R001520230178001</t>
  </si>
  <si>
    <t>89CMAH2022000041R001520230178128</t>
  </si>
  <si>
    <t>89CMAH2022000041R001520230178173</t>
  </si>
  <si>
    <t>89CMAH2022000041R001520230178316</t>
  </si>
  <si>
    <t>89CMAH2022000041R001520230178583</t>
  </si>
  <si>
    <t>89CMAH2022000041R001520230234022</t>
  </si>
  <si>
    <t>89CMAH2022000041R001520230234129</t>
  </si>
  <si>
    <t>89CMAH2022000041R001520230234301</t>
  </si>
  <si>
    <t>89CMAH2022000041R001520230234338</t>
  </si>
  <si>
    <t>89CMAH2022000041R001520230234426</t>
  </si>
  <si>
    <t>89CMAH2022000041R001520230234480</t>
  </si>
  <si>
    <t>89CMAH2022000041R001520230234618</t>
  </si>
  <si>
    <t>89CMAH2022000041R001520230234670</t>
  </si>
  <si>
    <t>89CMAH2022000041R001520230234673</t>
  </si>
  <si>
    <t>89CMAH2022000041R001520230234726</t>
  </si>
  <si>
    <t>89CMAH2022000041R001520230289337</t>
  </si>
  <si>
    <t>89CMAH2022000041R001520230289470</t>
  </si>
  <si>
    <t>89CMAH2022000041R001520230289490</t>
  </si>
  <si>
    <t>89CMAH2022000041R001520230289526</t>
  </si>
  <si>
    <t>89CMAH2022000041R001520230289601</t>
  </si>
  <si>
    <t>89CMAH2022000041R001520230289614</t>
  </si>
  <si>
    <t>89CMAH2022000041R001520230289660</t>
  </si>
  <si>
    <t>89CMAH2022000041R001520230289706</t>
  </si>
  <si>
    <t>89CMAH2022000041R001520230289856</t>
  </si>
  <si>
    <t>89CMAH2022000041R001520230289860</t>
  </si>
  <si>
    <t>89CMAH2022000041R001520230289872</t>
  </si>
  <si>
    <t>89CMAH2022000041R001520230289897</t>
  </si>
  <si>
    <t>89CMAH2022000041R001520230290046</t>
  </si>
  <si>
    <t>89CMAH2022000041R001520230290059</t>
  </si>
  <si>
    <t>89CMAH2022000041R001520230290140</t>
  </si>
  <si>
    <t>89CMAH2022000041R001520230290228</t>
  </si>
  <si>
    <t>89CMAH2022000041R001520230290500</t>
  </si>
  <si>
    <t>89CMAH2022000041R001520230290697</t>
  </si>
  <si>
    <t>89CMAH2022000041R001520230290699</t>
  </si>
  <si>
    <t>89CMAH2022000041R001520230290796</t>
  </si>
  <si>
    <t>89CMAH2022000041R001520230290803</t>
  </si>
  <si>
    <t>89CMAH2022000041R001520230290881</t>
  </si>
  <si>
    <t>SNCN00000126</t>
  </si>
  <si>
    <t>SNCN00000135</t>
  </si>
  <si>
    <t>SNCN00000306</t>
  </si>
  <si>
    <t>SNCN00000340</t>
  </si>
  <si>
    <t>SNCN00000371</t>
  </si>
  <si>
    <t>SNCN00000429</t>
  </si>
  <si>
    <t>SNCN00000484</t>
  </si>
  <si>
    <t>SNCN00000596</t>
  </si>
  <si>
    <t>SNCN00000650</t>
  </si>
  <si>
    <t>31CMAH0000000000R262304840020120</t>
  </si>
  <si>
    <t>31CMAH0000000000R962304820111240</t>
  </si>
  <si>
    <t>31CMAH0000000000R962304820150010</t>
  </si>
  <si>
    <t>31CMAH0000000000R962304820205570</t>
  </si>
  <si>
    <t>31CMAH0000000000R962304820225180</t>
  </si>
  <si>
    <t>31CMAH0000000000R962304820309470</t>
  </si>
  <si>
    <t>31CMAH0000000000R962304820320590</t>
  </si>
  <si>
    <t>31CMAH0000000000R962304820325080</t>
  </si>
  <si>
    <t>31CMAH0000000000R962304820340070</t>
  </si>
  <si>
    <t>31CMAH0000000000R962304820346880</t>
  </si>
  <si>
    <t>31CMAH0000000000R962304820372510</t>
  </si>
  <si>
    <t>31CMAH0000000000R962304880186890</t>
  </si>
  <si>
    <t>31CMAH00380016879363603800168799</t>
  </si>
  <si>
    <t>31CMAHenergyS1xS2OVER2ENFGDRST0H</t>
  </si>
  <si>
    <t>82000000005034180000510000723244</t>
  </si>
  <si>
    <t>82000000007000312000200000560596</t>
  </si>
  <si>
    <t>82000000007006382000200000647500</t>
  </si>
  <si>
    <t>82000000007007770000200000654459</t>
  </si>
  <si>
    <t>82000000007011203000200000681045</t>
  </si>
  <si>
    <t>82000000007017949000200000761230</t>
  </si>
  <si>
    <t>82000000008007126000530000885059</t>
  </si>
  <si>
    <t>89CMAH2022000041R001520220602738</t>
  </si>
  <si>
    <t>89CMAH2022000041R001520230039639</t>
  </si>
  <si>
    <t>89CMAH2022000041R001520230085849</t>
  </si>
  <si>
    <t>89CMAH2022000041R001520230085881</t>
  </si>
  <si>
    <t>89CMAH2022000041R001520230144715</t>
  </si>
  <si>
    <t>89CMAH2022000041R001520230144721</t>
  </si>
  <si>
    <t>89CMAH2022000041R001520230177962</t>
  </si>
  <si>
    <t>89CMAH2022000041R001520230178618</t>
  </si>
  <si>
    <t>89CMAH2022000041R001520230234084</t>
  </si>
  <si>
    <t>89CMAH2022000041R001520230234281</t>
  </si>
  <si>
    <t>89CMAH2022000041R001520230234285</t>
  </si>
  <si>
    <t>89CMAH2022000041R001520230234303</t>
  </si>
  <si>
    <t>89CMAH2022000041R001520230234345</t>
  </si>
  <si>
    <t>89CMAH2022000041R001520230234454</t>
  </si>
  <si>
    <t>89CMAH2022000041R001520230234534</t>
  </si>
  <si>
    <t>89CMAH2022000041R001520230234562</t>
  </si>
  <si>
    <t>89CMAH2022000041R001520230289278</t>
  </si>
  <si>
    <t>89CMAH2022000041R001520230289281</t>
  </si>
  <si>
    <t>89CMAH2022000041R001520230289326</t>
  </si>
  <si>
    <t>89CMAH2022000041R001520230289328</t>
  </si>
  <si>
    <t>89CMAH2022000041R001520230289336</t>
  </si>
  <si>
    <t>89CMAH2022000041R001520230289414</t>
  </si>
  <si>
    <t>89CMAH2022000041R001520230289459</t>
  </si>
  <si>
    <t>89CMAH2022000041R001520230289508</t>
  </si>
  <si>
    <t>89CMAH2022000041R001520230289517</t>
  </si>
  <si>
    <t>89CMAH2022000041R001520230289632</t>
  </si>
  <si>
    <t>89CMAH2022000041R001520230289681</t>
  </si>
  <si>
    <t>89CMAH2022000041R001520230289747</t>
  </si>
  <si>
    <t>89CMAH2022000041R001520230289826</t>
  </si>
  <si>
    <t>89CMAH2022000041R001520230289903</t>
  </si>
  <si>
    <t>89CMAH2022000041R001520230290012</t>
  </si>
  <si>
    <t>89CMAH2022000041R001520230290064</t>
  </si>
  <si>
    <t>89CMAH2022000041R001520230290088</t>
  </si>
  <si>
    <t>89CMAH2022000041R001520230290137</t>
  </si>
  <si>
    <t>89CMAH2022000041R001520230290152</t>
  </si>
  <si>
    <t>89CMAH2022000041R001520230290222</t>
  </si>
  <si>
    <t>89CMAH2022000041R001520230290227</t>
  </si>
  <si>
    <t>89CMAH2022000041R001520230290240</t>
  </si>
  <si>
    <t>89CMAH2022000041R001520230290284</t>
  </si>
  <si>
    <t>89CMAH2022000041R001520230290339</t>
  </si>
  <si>
    <t>89CMAH2022000041R001520230290380</t>
  </si>
  <si>
    <t>89CMAH2022000041R001520230290462</t>
  </si>
  <si>
    <t>89CMAH2022000041R001520230290479</t>
  </si>
  <si>
    <t>89CMAH2022000041R001520230290587</t>
  </si>
  <si>
    <t>89CMAH2022000041R001520230290595</t>
  </si>
  <si>
    <t>89CMAH2022000041R001520230290634</t>
  </si>
  <si>
    <t>89CMAH2022000041R001520230290661</t>
  </si>
  <si>
    <t>89CMAH2022000041R001520230290748</t>
  </si>
  <si>
    <t>89CMAH2022000041R001520230290753</t>
  </si>
  <si>
    <t>SNCN00000030</t>
  </si>
  <si>
    <t>SNCN00000144</t>
  </si>
  <si>
    <t>SNCN00000215</t>
  </si>
  <si>
    <t>SNCN00000246</t>
  </si>
  <si>
    <t>SNCN00000309</t>
  </si>
  <si>
    <t>SNCN00000350</t>
  </si>
  <si>
    <t>SNCN00000522</t>
  </si>
  <si>
    <t>SNCN00000708</t>
  </si>
  <si>
    <t>SNCN00000921</t>
  </si>
  <si>
    <t>31CMAH0000000000R162304880023020</t>
  </si>
  <si>
    <t>31CMAH0000000000R262304820022840</t>
  </si>
  <si>
    <t>31CMAH3884865000R000000000000000</t>
  </si>
  <si>
    <t>31CMAHhipotcS1xS2OVERPARREST0002</t>
  </si>
  <si>
    <t>82000000000113621000450000421091</t>
  </si>
  <si>
    <t>82000000007002772000200000645216</t>
  </si>
  <si>
    <t>82000000007004389000200000647221</t>
  </si>
  <si>
    <t>82000000007006089000200000617450</t>
  </si>
  <si>
    <t>82000000007008372000200000657142</t>
  </si>
  <si>
    <t>82000000007008800000200000660403</t>
  </si>
  <si>
    <t>82000000007010020000200000672052</t>
  </si>
  <si>
    <t>82000000007011454000200000680873</t>
  </si>
  <si>
    <t>82001120230000046000007401715685</t>
  </si>
  <si>
    <t>89CMAH2022000041R001520230039452</t>
  </si>
  <si>
    <t>89CMAH2022000041R001520230039736</t>
  </si>
  <si>
    <t>89CMAH2022000041R001520230039763</t>
  </si>
  <si>
    <t>89CMAH2022000041R001520230085742</t>
  </si>
  <si>
    <t>89CMAH2022000041R001520230086016</t>
  </si>
  <si>
    <t>89CMAH2022000041R001520230178124</t>
  </si>
  <si>
    <t>89CMAH2022000041R001520230178269</t>
  </si>
  <si>
    <t>89CMAH2022000041R001520230178350</t>
  </si>
  <si>
    <t>89CMAH2022000041R001520230178408</t>
  </si>
  <si>
    <t>89CMAH2022000041R001520230178584</t>
  </si>
  <si>
    <t>89CMAH2022000041R001520230178614</t>
  </si>
  <si>
    <t>89CMAH2022000041R001520230234245</t>
  </si>
  <si>
    <t>89CMAH2022000041R001520230234354</t>
  </si>
  <si>
    <t>89CMAH2022000041R001520230234366</t>
  </si>
  <si>
    <t>89CMAH2022000041R001520230234511</t>
  </si>
  <si>
    <t>89CMAH2022000041R001520230234655</t>
  </si>
  <si>
    <t>89CMAH2022000041R001520230234659</t>
  </si>
  <si>
    <t>89CMAH2022000041R001520230234713</t>
  </si>
  <si>
    <t>89CMAH2022000041R001520230289315</t>
  </si>
  <si>
    <t>89CMAH2022000041R001520230289334</t>
  </si>
  <si>
    <t>89CMAH2022000041R001520230289395</t>
  </si>
  <si>
    <t>89CMAH2022000041R001520230289442</t>
  </si>
  <si>
    <t>89CMAH2022000041R001520230289561</t>
  </si>
  <si>
    <t>89CMAH2022000041R001520230289563</t>
  </si>
  <si>
    <t>89CMAH2022000041R001520230289602</t>
  </si>
  <si>
    <t>89CMAH2022000041R001520230289657</t>
  </si>
  <si>
    <t>89CMAH2022000041R001520230289702</t>
  </si>
  <si>
    <t>89CMAH2022000041R001520230289709</t>
  </si>
  <si>
    <t>89CMAH2022000041R001520230289847</t>
  </si>
  <si>
    <t>89CMAH2022000041R001520230289911</t>
  </si>
  <si>
    <t>89CMAH2022000041R001520230290170</t>
  </si>
  <si>
    <t>89CMAH2022000041R001520230290255</t>
  </si>
  <si>
    <t>89CMAH2022000041R001520230290277</t>
  </si>
  <si>
    <t>89CMAH2022000041R001520230290540</t>
  </si>
  <si>
    <t>89CMAH2022000041R001520230290549</t>
  </si>
  <si>
    <t>89CMAH2022000041R001520230290564</t>
  </si>
  <si>
    <t>89CMAH2022000041R001520230290768</t>
  </si>
  <si>
    <t>89CMAH2022000041R001520230290783</t>
  </si>
  <si>
    <t>89CMAH2022000041R001520230290853</t>
  </si>
  <si>
    <t>89CMAH2022000041R001520230290873</t>
  </si>
  <si>
    <t>SNCN00000044</t>
  </si>
  <si>
    <t>SNCN00000086</t>
  </si>
  <si>
    <t>SNCN00000407</t>
  </si>
  <si>
    <t>SNCN00000415</t>
  </si>
  <si>
    <t>SNCN00000551</t>
  </si>
  <si>
    <t>SNCN00000973</t>
  </si>
  <si>
    <t>tipo</t>
  </si>
  <si>
    <t>Emp 82</t>
  </si>
  <si>
    <t>SUPRIMENTOSPTTA</t>
  </si>
  <si>
    <t>C pelo meio</t>
  </si>
  <si>
    <t>Row Labels</t>
  </si>
  <si>
    <t>(blank)</t>
  </si>
  <si>
    <t>Grand Total</t>
  </si>
  <si>
    <t>Count of instrmnt_id</t>
  </si>
  <si>
    <t>Satélite</t>
  </si>
  <si>
    <t>Data</t>
  </si>
  <si>
    <t>Satélite 79</t>
  </si>
  <si>
    <t>Satélite 80</t>
  </si>
  <si>
    <t>Satélite 83</t>
  </si>
  <si>
    <t>Satélite 84</t>
  </si>
  <si>
    <t>Satélite 93</t>
  </si>
  <si>
    <t>Satélite 109</t>
  </si>
  <si>
    <t>X</t>
  </si>
  <si>
    <t>x</t>
  </si>
  <si>
    <t>Q</t>
  </si>
  <si>
    <t>A</t>
  </si>
  <si>
    <t>conta</t>
  </si>
  <si>
    <t>ESG</t>
  </si>
  <si>
    <t>B</t>
  </si>
  <si>
    <t>XXX</t>
  </si>
  <si>
    <t>Alerta: Saldo negativo de 1000 €  no satelite 84</t>
  </si>
  <si>
    <t>Ajuste -1000 no id_comb xx no 84</t>
  </si>
  <si>
    <t>Ajuste -1000 no id_comb xx no 83</t>
  </si>
  <si>
    <t>y</t>
  </si>
  <si>
    <t>AVRG_BLNC</t>
  </si>
  <si>
    <t>OK</t>
  </si>
  <si>
    <t>NOK</t>
  </si>
  <si>
    <t>AVRG_BLNC_OFF_BLNC</t>
  </si>
  <si>
    <t>NT_LN_LSS_PRVSN</t>
  </si>
  <si>
    <t>NT_LN_LSS_PRVSN_OFF_BLNC</t>
  </si>
  <si>
    <t>INTRNL_TRNSFR_RT</t>
  </si>
  <si>
    <t>WIP</t>
  </si>
  <si>
    <t>NA</t>
  </si>
  <si>
    <t>%</t>
  </si>
  <si>
    <t>Campo</t>
  </si>
  <si>
    <t>Status</t>
  </si>
  <si>
    <t>all</t>
  </si>
  <si>
    <t>controlo</t>
  </si>
  <si>
    <t># Instrumentos</t>
  </si>
  <si>
    <t>GRSS_FEE_CMMSSN_INCM</t>
  </si>
  <si>
    <t>GRSS_FEE_CMMSSN_INCM_OFF_BLNC</t>
  </si>
  <si>
    <t>BSNSS_AREA</t>
  </si>
  <si>
    <t>BSNSS_AREA_CCRR</t>
  </si>
  <si>
    <t>GRSS_INTRST_INCM</t>
  </si>
  <si>
    <t>GRSS_INTRST_INCM_CCRR</t>
  </si>
  <si>
    <t>GNS_FNNCL_TRNSCTN_EXCHNG_DFFRNCS</t>
  </si>
  <si>
    <t>GNS_FNNCL_TRNSCTN_EXCHNG_CCRR</t>
  </si>
  <si>
    <t>GRSS_INTRST_EXPNS</t>
  </si>
  <si>
    <t>GRSS_INTRST_EXPNS_CCRR</t>
  </si>
  <si>
    <t>OK (MISS/ NA)</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</si>
  <si>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</si>
  <si>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</si>
  <si>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</si>
  <si>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</si>
  <si>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</si>
  <si>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</si>
  <si>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</si>
  <si>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</si>
  <si>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</si>
  <si>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</si>
  <si>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</si>
  <si>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</si>
  <si>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</si>
  <si>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</si>
  <si>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</si>
  <si>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</si>
  <si>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</si>
  <si>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</si>
  <si>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</si>
  <si>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NW_BSNSS</t>
  </si>
  <si>
    <t>GRSS_CMMSSN_INCM</t>
  </si>
  <si>
    <t>MNGMNT_PRDCT</t>
  </si>
  <si>
    <t>GRSS_CMMSSN_EXPNS</t>
  </si>
  <si>
    <t>FLG_INTRBSNSS</t>
  </si>
  <si>
    <t>INTRBSNSS_ADJ_COD</t>
  </si>
  <si>
    <t>COD_SOC_DSTNTN</t>
  </si>
  <si>
    <t>BSNSS_AREA_DSTNTN</t>
  </si>
  <si>
    <t>INTRNL_TRNSFR_RT_OFF_BLNC</t>
  </si>
  <si>
    <t>GRSS_CMMSSN_INCM_OFF_BLNC</t>
  </si>
  <si>
    <t>GRSS_CMMSSN_EXPNS_OFF_BLNC</t>
  </si>
  <si>
    <t>RWA_OFF_BLNC</t>
  </si>
  <si>
    <t>GRSS_CMMSSN_INCM_CCRR</t>
  </si>
  <si>
    <t>GRSS_CMMSSN_EXPNS_CCRR</t>
  </si>
  <si>
    <t>GRSS_CMMSSN_INCM_OFF_BLNC_CCRR</t>
  </si>
  <si>
    <t>GRSS_CMMSSN_EXPNS_OFF_BLNC_CCRR</t>
  </si>
  <si>
    <t>CNCLLD_INSTRMNT_STTS</t>
  </si>
  <si>
    <t>IDCMB</t>
  </si>
  <si>
    <t xml:space="preserve"># Instrumentos </t>
  </si>
  <si>
    <t xml:space="preserve">% </t>
  </si>
  <si>
    <t xml:space="preserve"># Instrumentos  </t>
  </si>
  <si>
    <t xml:space="preserve">%  </t>
  </si>
  <si>
    <t xml:space="preserve"># Instrumentos   </t>
  </si>
  <si>
    <t xml:space="preserve">%   </t>
  </si>
  <si>
    <t xml:space="preserve"># Instrumentos    </t>
  </si>
  <si>
    <t xml:space="preserve">%    </t>
  </si>
  <si>
    <t>Notas</t>
  </si>
  <si>
    <t>NOK (MISS/ NA)</t>
  </si>
  <si>
    <t>WIP (MISS/ NA)</t>
  </si>
  <si>
    <t>controlo_2</t>
  </si>
  <si>
    <t>WIP Erro</t>
  </si>
  <si>
    <t>WIP N/N</t>
  </si>
  <si>
    <t>Em implementação</t>
  </si>
  <si>
    <t>Em teste</t>
  </si>
  <si>
    <t>Todos os valores estão iguais ao GRSS_INTRST_INCM</t>
  </si>
  <si>
    <t>Tudo a 11111111111.00</t>
  </si>
  <si>
    <t>Igual ao instrument ID</t>
  </si>
  <si>
    <t>Concluído</t>
  </si>
  <si>
    <t>Tudo a 11111111111</t>
  </si>
  <si>
    <t>Valores apurados são diferentes</t>
  </si>
  <si>
    <t>Status dos testes</t>
  </si>
  <si>
    <t>Status do campo</t>
  </si>
  <si>
    <t>Alterações Corp</t>
  </si>
  <si>
    <t>Removido 22/12/2023</t>
  </si>
  <si>
    <t>Adicionado 22/12/2023</t>
  </si>
  <si>
    <t>Em Implementação</t>
  </si>
  <si>
    <t>Alterado 22/12/2023</t>
  </si>
  <si>
    <t>FLG_INSTRMNT_CNCLLD</t>
  </si>
  <si>
    <t>Sem alterações</t>
  </si>
  <si>
    <t>Count of Alterações Corp</t>
  </si>
  <si>
    <t>1. Campos a testar</t>
  </si>
  <si>
    <t>Atualmente a corporação prevê que o GD reporte 50 campos</t>
  </si>
  <si>
    <t>Origem</t>
  </si>
  <si>
    <t>LT ESTR</t>
  </si>
  <si>
    <t>Modelo Verde</t>
  </si>
  <si>
    <t>CT209</t>
  </si>
  <si>
    <t>CT211</t>
  </si>
  <si>
    <t>CT207</t>
  </si>
  <si>
    <t>Corporativo</t>
  </si>
  <si>
    <t>Calculado</t>
  </si>
  <si>
    <t>EQUAL</t>
  </si>
  <si>
    <t>w/o null</t>
  </si>
  <si>
    <t>only mant null</t>
  </si>
  <si>
    <t>both null</t>
  </si>
  <si>
    <t>only mat null</t>
  </si>
  <si>
    <t>DIFFERENT</t>
  </si>
  <si>
    <t>Not Started</t>
  </si>
  <si>
    <t>Data Status</t>
  </si>
  <si>
    <r>
      <t xml:space="preserve">2. # Campos por </t>
    </r>
    <r>
      <rPr>
        <b/>
        <i/>
        <sz val="11"/>
        <color theme="1"/>
        <rFont val="Arial"/>
        <family val="2"/>
      </rPr>
      <t>Status</t>
    </r>
  </si>
  <si>
    <r>
      <t xml:space="preserve">3. </t>
    </r>
    <r>
      <rPr>
        <b/>
        <i/>
        <sz val="11"/>
        <color theme="1"/>
        <rFont val="Arial"/>
        <family val="2"/>
      </rPr>
      <t xml:space="preserve">Status </t>
    </r>
    <r>
      <rPr>
        <b/>
        <sz val="11"/>
        <color theme="1"/>
        <rFont val="Arial"/>
        <family val="2"/>
      </rPr>
      <t>dos testes por universo LT002</t>
    </r>
  </si>
  <si>
    <t>Status base</t>
  </si>
  <si>
    <t>Disponibilizado para teste</t>
  </si>
  <si>
    <t>Count of Status base</t>
  </si>
  <si>
    <t>(Multiple Items)</t>
  </si>
  <si>
    <t>Status teste</t>
  </si>
  <si>
    <t>Count of Status teste</t>
  </si>
  <si>
    <t>Em análise de requisitos</t>
  </si>
  <si>
    <r>
      <t xml:space="preserve">3. # </t>
    </r>
    <r>
      <rPr>
        <b/>
        <i/>
        <sz val="11"/>
        <color theme="1"/>
        <rFont val="Arial"/>
        <family val="2"/>
      </rPr>
      <t xml:space="preserve">Status </t>
    </r>
    <r>
      <rPr>
        <b/>
        <sz val="11"/>
        <color theme="1"/>
        <rFont val="Arial"/>
        <family val="2"/>
      </rPr>
      <t>dos testes por campo</t>
    </r>
  </si>
  <si>
    <r>
      <rPr>
        <sz val="14"/>
        <color theme="1"/>
        <rFont val="Calibri"/>
        <family val="2"/>
      </rPr>
      <t>Δ</t>
    </r>
    <r>
      <rPr>
        <sz val="11"/>
        <color theme="1"/>
        <rFont val="Calibri"/>
        <family val="2"/>
      </rPr>
      <t xml:space="preserve"> </t>
    </r>
    <r>
      <rPr>
        <sz val="10"/>
        <color theme="1"/>
        <rFont val="Arial"/>
        <family val="2"/>
      </rPr>
      <t>último PdS</t>
    </r>
  </si>
  <si>
    <t>Voltar a correr o processo</t>
  </si>
  <si>
    <t>Email enviado à corporação a validar se é para colocar a MISS ou NA</t>
  </si>
  <si>
    <t>Email enviado à corporação a validar se é para fazer localmente</t>
  </si>
  <si>
    <t xml:space="preserve">1 MIS para 1 FR </t>
  </si>
  <si>
    <t xml:space="preserve">N MIS para 1 FR </t>
  </si>
  <si>
    <t xml:space="preserve">1 MIS para N FR </t>
  </si>
  <si>
    <t xml:space="preserve">N MIS para N FR </t>
  </si>
  <si>
    <t>NS</t>
  </si>
  <si>
    <t xml:space="preserve">*NS - Not Started inclui campos "Em implementação" e "Em análise de requisitos" </t>
  </si>
  <si>
    <t>Status (Atualizado)</t>
  </si>
  <si>
    <t>NOK ( Ver email Monica)</t>
  </si>
  <si>
    <t>NOK ( Ver email Coorporação</t>
  </si>
  <si>
    <t>NOK (email Coorporação)</t>
  </si>
  <si>
    <t>Validar</t>
  </si>
  <si>
    <t>NOK (CCRR - Alterar para Em correção quando enviado email a especificar como devem ser aprovisionados este tipos de campos  ?)</t>
  </si>
  <si>
    <t xml:space="preserve">Pending quando os 30 casos estiverem ok </t>
  </si>
  <si>
    <t>1 FR - 1 MIS</t>
  </si>
  <si>
    <t>1 FR - N MIS</t>
  </si>
  <si>
    <t>N FR - N MIS</t>
  </si>
  <si>
    <t xml:space="preserve">Testes Universos </t>
  </si>
  <si>
    <t>Foram definidos novos requisitos pelas àres de negócio</t>
  </si>
  <si>
    <t xml:space="preserve">Falta correr um teste - Processo de GD não terminado </t>
  </si>
  <si>
    <t>Em Correção</t>
  </si>
  <si>
    <t>Quem está owner deste campo ?</t>
  </si>
  <si>
    <t xml:space="preserve">Owner / datas </t>
  </si>
  <si>
    <t>Status Universo</t>
  </si>
  <si>
    <t>Owner</t>
  </si>
  <si>
    <t>Resumo Origem</t>
  </si>
  <si>
    <t># Instrumentos   2</t>
  </si>
  <si>
    <t>%   3</t>
  </si>
  <si>
    <t>1 business Area</t>
  </si>
  <si>
    <t>Column1</t>
  </si>
  <si>
    <t>Alterações Corporação</t>
  </si>
  <si>
    <t>Data Entrega</t>
  </si>
  <si>
    <t>-</t>
  </si>
  <si>
    <t>IT</t>
  </si>
  <si>
    <t>Rentabilidade</t>
  </si>
  <si>
    <t>21 Campos Concluídos</t>
  </si>
  <si>
    <t>13 Campos Pendentes</t>
  </si>
  <si>
    <t>Status Campo</t>
  </si>
  <si>
    <t>Observação</t>
  </si>
  <si>
    <t>Ponderação</t>
  </si>
  <si>
    <t>Já foi clarificada a EF (foi enviado email pelo Jacinto e Luís Silva a clarificar)</t>
  </si>
  <si>
    <t>Em Análise de Requisitos</t>
  </si>
  <si>
    <t>Pendente de receber a especificação funcional da Corporação</t>
  </si>
  <si>
    <t>Not Started IT</t>
  </si>
  <si>
    <t>Pendente do Modelo Verde</t>
  </si>
  <si>
    <t>Alteração do nome</t>
  </si>
  <si>
    <t>16 Campos em Teste</t>
  </si>
  <si>
    <t>Status 1-1 / 1-N</t>
  </si>
  <si>
    <t>Status N-N</t>
  </si>
  <si>
    <t>IT / LCM</t>
  </si>
  <si>
    <t>8 Campos OK 1:1 &amp; 1:N</t>
  </si>
  <si>
    <t>7 Campos WIP 1:1 &amp; 1:N</t>
  </si>
  <si>
    <t>14 Campos Not-Started</t>
  </si>
  <si>
    <t>7 Campos Em Implementação</t>
  </si>
  <si>
    <t>4 Campos em Correção</t>
  </si>
  <si>
    <t>2 Campos em Análise de Requisitos</t>
  </si>
  <si>
    <t>INTRNL</t>
  </si>
  <si>
    <t>Miss vs 0</t>
  </si>
  <si>
    <t>Março</t>
  </si>
  <si>
    <t>Abril</t>
  </si>
  <si>
    <t>Maio</t>
  </si>
  <si>
    <t>Junho</t>
  </si>
  <si>
    <t>Julho</t>
  </si>
  <si>
    <t>Agosto</t>
  </si>
  <si>
    <t>Report</t>
  </si>
  <si>
    <t>Tabela</t>
  </si>
  <si>
    <t>Incidência</t>
  </si>
  <si>
    <t>Implementação/Análise de Requisitos/ Alteração Especificação</t>
  </si>
  <si>
    <t>Data conclusão do teste</t>
  </si>
  <si>
    <t>Tema</t>
  </si>
  <si>
    <t>Estimativa</t>
  </si>
  <si>
    <t>Plano</t>
  </si>
  <si>
    <t>GD</t>
  </si>
  <si>
    <t>INSTRUMENT</t>
  </si>
  <si>
    <t>Sim</t>
  </si>
  <si>
    <t>A definir dia 14/03</t>
  </si>
  <si>
    <t>NA vs MISS</t>
  </si>
  <si>
    <t>tema de espanha - análise de requisitos</t>
  </si>
  <si>
    <t>Erro de implementação</t>
  </si>
  <si>
    <t>Pilar 3</t>
  </si>
  <si>
    <t>1a Entrega (24 campos)</t>
  </si>
  <si>
    <t>Pilar III</t>
  </si>
  <si>
    <t>2a Entrega</t>
  </si>
  <si>
    <t>3a Entrega</t>
  </si>
  <si>
    <t>10 CASOS AMOSTRAGEM (UNIVERSOS DIF)</t>
  </si>
  <si>
    <t>Enviado à MR ? Analisar e ver se é cartões</t>
  </si>
  <si>
    <t>Abrir incidência com casos = BSNSS_AREA</t>
  </si>
  <si>
    <t>concluido para teste</t>
  </si>
  <si>
    <t>A definir IT</t>
  </si>
  <si>
    <t>A definir IT / LCM</t>
  </si>
  <si>
    <t>Falta o novo universo</t>
  </si>
  <si>
    <t>28/mar  / Velez</t>
  </si>
  <si>
    <t>IT: 2 BSNSS Areas com a mesma prioridade; (Fica a faltar abrir change request dos cartões)
Velez : Pymes ; Factoring</t>
  </si>
  <si>
    <t>countif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</si>
</sst>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42" x14ac:knownFonts="1">
    <font>
      <sz val="11"/>
      <color theme="1"/>
      <name val="Calibri"/>
      <family val="2"/>
      <scheme val="minor"/>
    </font>
    <font>
      <sz val="10"/>
      <color rgb="FF424242"/>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FFC000"/>
      <name val="Calibri"/>
      <family val="2"/>
      <scheme val="minor"/>
    </font>
    <font>
      <sz val="11"/>
      <color rgb="FF00B0F0"/>
      <name val="Calibri"/>
      <family val="2"/>
      <scheme val="minor"/>
    </font>
    <font>
      <sz val="10"/>
      <color rgb="FFFF0000"/>
      <name val="Arial"/>
      <family val="2"/>
    </font>
    <font>
      <b/>
      <sz val="11"/>
      <name val="Calibri"/>
      <family val="2"/>
      <scheme val="minor"/>
    </font>
    <font>
      <b/>
      <sz val="11"/>
      <color theme="1"/>
      <name val="Arial"/>
      <family val="2"/>
    </font>
    <font>
      <sz val="10"/>
      <color theme="1"/>
      <name val="Arial"/>
      <family val="2"/>
    </font>
    <font>
      <sz val="9"/>
      <color rgb="FF424242"/>
      <name val="Arial"/>
      <family val="2"/>
    </font>
    <font>
      <b/>
      <sz val="9"/>
      <color theme="0"/>
      <name val="Arial"/>
      <family val="2"/>
    </font>
    <font>
      <b/>
      <sz val="9"/>
      <name val="Arial"/>
      <family val="2"/>
    </font>
    <font>
      <sz val="9"/>
      <name val="Arial"/>
      <family val="2"/>
    </font>
    <font>
      <b/>
      <i/>
      <sz val="11"/>
      <color theme="0"/>
      <name val="Calibri"/>
      <family val="2"/>
      <scheme val="minor"/>
    </font>
    <font>
      <b/>
      <i/>
      <sz val="9"/>
      <name val="Arial"/>
      <family val="2"/>
    </font>
    <font>
      <sz val="9"/>
      <color rgb="FFFFC000"/>
      <name val="Arial"/>
      <family val="2"/>
    </font>
    <font>
      <sz val="9"/>
      <color rgb="FF92D050"/>
      <name val="Arial"/>
      <family val="2"/>
    </font>
    <font>
      <sz val="9"/>
      <color rgb="FF00B050"/>
      <name val="Arial"/>
      <family val="2"/>
    </font>
    <font>
      <sz val="9"/>
      <color rgb="FFFF0000"/>
      <name val="Arial"/>
      <family val="2"/>
    </font>
    <font>
      <sz val="8"/>
      <color theme="1"/>
      <name val="Arial"/>
      <family val="2"/>
    </font>
    <font>
      <b/>
      <i/>
      <sz val="12"/>
      <color theme="0"/>
      <name val="Arial"/>
      <family val="2"/>
    </font>
    <font>
      <sz val="9"/>
      <color rgb="FFC00000"/>
      <name val="Arial"/>
      <family val="2"/>
    </font>
    <font>
      <b/>
      <i/>
      <sz val="9"/>
      <color theme="0"/>
      <name val="Arial"/>
      <family val="2"/>
    </font>
    <font>
      <sz val="9"/>
      <color theme="1"/>
      <name val="Arial"/>
      <family val="2"/>
    </font>
    <font>
      <sz val="11"/>
      <color theme="1"/>
      <name val="Arial"/>
      <family val="2"/>
    </font>
    <font>
      <b/>
      <i/>
      <sz val="11"/>
      <color theme="1"/>
      <name val="Arial"/>
      <family val="2"/>
    </font>
    <font>
      <sz val="12"/>
      <color theme="1"/>
      <name val="Arial"/>
      <family val="2"/>
    </font>
    <font>
      <b/>
      <sz val="12"/>
      <color theme="1"/>
      <name val="Arial"/>
      <family val="2"/>
    </font>
    <font>
      <sz val="11"/>
      <color theme="1"/>
      <name val="Calibri"/>
      <family val="2"/>
    </font>
    <font>
      <sz val="14"/>
      <color theme="1"/>
      <name val="Calibri"/>
      <family val="2"/>
    </font>
    <font>
      <sz val="11"/>
      <color theme="0"/>
      <name val="Arial"/>
      <family val="2"/>
    </font>
    <font>
      <b/>
      <u/>
      <sz val="10"/>
      <color rgb="FF00B050"/>
      <name val="Arial"/>
      <family val="2"/>
    </font>
    <font>
      <sz val="11"/>
      <color rgb="FF000000"/>
      <name val="Arial"/>
      <family val="2"/>
    </font>
    <font>
      <sz val="10"/>
      <color rgb="FF000000"/>
      <name val="Arial"/>
      <family val="2"/>
    </font>
    <font>
      <sz val="8"/>
      <color rgb="FF424242"/>
      <name val="Arial"/>
      <family val="2"/>
    </font>
    <font>
      <sz val="9"/>
      <color rgb="FF424242"/>
      <name val="Arial"/>
      <family val="2"/>
    </font>
    <font>
      <b/>
      <sz val="11"/>
      <color theme="0"/>
      <name val="Calibri"/>
      <family val="2"/>
      <scheme val="minor"/>
    </font>
    <font>
      <sz val="11"/>
      <color theme="0"/>
      <name val="Calibri"/>
      <family val="2"/>
      <scheme val="minor"/>
    </font>
    <font>
      <b/>
      <sz val="10"/>
      <color theme="0"/>
      <name val="Arial"/>
      <family val="2"/>
    </font>
    <font>
      <b/>
      <sz val="9"/>
      <color theme="1"/>
      <name val="Arial"/>
      <family val="2"/>
    </font>
  </fonts>
  <fills count="17">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0000"/>
        <bgColor rgb="FF000000"/>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ABAB"/>
        <bgColor indexed="64"/>
      </patternFill>
    </fill>
    <fill>
      <patternFill patternType="solid">
        <fgColor theme="6" tint="0.79998168889431442"/>
        <bgColor indexed="64"/>
      </patternFill>
    </fill>
  </fills>
  <borders count="24">
    <border>
      <left/>
      <right/>
      <top/>
      <bottom/>
      <diagonal/>
    </border>
    <border>
      <left style="thin">
        <color theme="2"/>
      </left>
      <right style="thin">
        <color theme="2"/>
      </right>
      <top style="thin">
        <color theme="2"/>
      </top>
      <bottom style="thin">
        <color theme="2"/>
      </bottom>
      <diagonal/>
    </border>
    <border>
      <left style="medium">
        <color theme="0"/>
      </left>
      <right style="medium">
        <color theme="0"/>
      </right>
      <top style="medium">
        <color theme="0"/>
      </top>
      <bottom/>
      <diagonal/>
    </border>
    <border>
      <left style="thin">
        <color theme="2"/>
      </left>
      <right style="thin">
        <color theme="2"/>
      </right>
      <top/>
      <bottom/>
      <diagonal/>
    </border>
    <border>
      <left/>
      <right/>
      <top/>
      <bottom style="medium">
        <color rgb="FFFF000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thin">
        <color theme="2"/>
      </right>
      <top style="thin">
        <color theme="2"/>
      </top>
      <bottom style="thin">
        <color theme="2"/>
      </bottom>
      <diagonal/>
    </border>
    <border>
      <left style="thin">
        <color theme="2"/>
      </left>
      <right/>
      <top/>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
      <left style="thin">
        <color rgb="FFE7E6E6"/>
      </left>
      <right style="thin">
        <color theme="2"/>
      </right>
      <top style="thin">
        <color theme="2"/>
      </top>
      <bottom style="thin">
        <color theme="2"/>
      </bottom>
      <diagonal/>
    </border>
    <border>
      <left style="thin">
        <color rgb="FFE7E6E6"/>
      </left>
      <right style="thin">
        <color theme="2"/>
      </right>
      <top style="thin">
        <color theme="2"/>
      </top>
      <bottom style="thin">
        <color rgb="FFE7E6E6"/>
      </bottom>
      <diagonal/>
    </border>
    <border>
      <left style="thin">
        <color theme="2"/>
      </left>
      <right style="thin">
        <color theme="2"/>
      </right>
      <top style="thin">
        <color theme="2"/>
      </top>
      <bottom style="thin">
        <color rgb="FFE7E6E6"/>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hair">
        <color theme="0" tint="-4.9989318521683403E-2"/>
      </top>
      <bottom style="hair">
        <color theme="0" tint="-0.14999847407452621"/>
      </bottom>
      <diagonal/>
    </border>
    <border>
      <left/>
      <right/>
      <top style="hair">
        <color theme="0" tint="-0.14999847407452621"/>
      </top>
      <bottom style="hair">
        <color theme="0" tint="-0.14999847407452621"/>
      </bottom>
      <diagonal/>
    </border>
    <border>
      <left/>
      <right/>
      <top style="hair">
        <color theme="0" tint="-0.14999847407452621"/>
      </top>
      <bottom/>
      <diagonal/>
    </border>
    <border>
      <left/>
      <right/>
      <top style="hair">
        <color theme="0" tint="-4.9989318521683403E-2"/>
      </top>
      <bottom/>
      <diagonal/>
    </border>
    <border>
      <left/>
      <right/>
      <top style="hair">
        <color theme="2"/>
      </top>
      <bottom style="hair">
        <color theme="2"/>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79">
    <xf numFmtId="0" fontId="0" fillId="0" borderId="0" xfId="0"/>
    <xf numFmtId="3" fontId="0" fillId="0" borderId="0" xfId="0" applyNumberFormat="1"/>
    <xf numFmtId="0" fontId="1" fillId="0" borderId="0" xfId="0" applyFont="1"/>
    <xf numFmtId="4" fontId="1" fillId="0" borderId="0" xfId="0" applyNumberFormat="1" applyFont="1"/>
    <xf numFmtId="3" fontId="1" fillId="0" borderId="0" xfId="0" applyNumberFormat="1" applyFont="1"/>
    <xf numFmtId="0" fontId="4" fillId="0" borderId="0" xfId="0" applyFont="1"/>
    <xf numFmtId="0" fontId="0" fillId="2" borderId="0" xfId="0" applyFill="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16" fontId="0" fillId="0" borderId="0" xfId="0" applyNumberFormat="1"/>
    <xf numFmtId="16" fontId="0" fillId="0" borderId="0" xfId="0" applyNumberFormat="1" applyAlignment="1">
      <alignment vertical="center" wrapText="1"/>
    </xf>
    <xf numFmtId="16" fontId="0" fillId="5" borderId="0" xfId="0" applyNumberFormat="1" applyFill="1"/>
    <xf numFmtId="0" fontId="0" fillId="5" borderId="0" xfId="0" applyFill="1"/>
    <xf numFmtId="0" fontId="0" fillId="6" borderId="0" xfId="0" applyFill="1"/>
    <xf numFmtId="0" fontId="5" fillId="0" borderId="0" xfId="0" applyFont="1"/>
    <xf numFmtId="0" fontId="5" fillId="6" borderId="0" xfId="0" applyFont="1" applyFill="1"/>
    <xf numFmtId="0" fontId="3" fillId="0" borderId="0" xfId="0" applyFont="1"/>
    <xf numFmtId="0" fontId="3" fillId="6" borderId="0" xfId="0" applyFont="1" applyFill="1"/>
    <xf numFmtId="0" fontId="6" fillId="0" borderId="0" xfId="0" applyFont="1"/>
    <xf numFmtId="3" fontId="7" fillId="0" borderId="0" xfId="0" applyNumberFormat="1" applyFont="1"/>
    <xf numFmtId="3" fontId="14" fillId="0" borderId="0" xfId="0" applyNumberFormat="1" applyFont="1" applyFill="1"/>
    <xf numFmtId="0" fontId="14" fillId="0" borderId="1" xfId="0" applyFont="1" applyFill="1" applyBorder="1" applyAlignment="1">
      <alignment vertical="center"/>
    </xf>
    <xf numFmtId="3" fontId="11" fillId="0" borderId="1" xfId="0" applyNumberFormat="1" applyFont="1" applyBorder="1"/>
    <xf numFmtId="0" fontId="0" fillId="0" borderId="1" xfId="0" applyBorder="1"/>
    <xf numFmtId="0" fontId="13" fillId="5" borderId="1" xfId="0" applyFont="1" applyFill="1" applyBorder="1" applyAlignment="1">
      <alignment horizontal="center" vertical="center"/>
    </xf>
    <xf numFmtId="10" fontId="11" fillId="0" borderId="1" xfId="1" applyNumberFormat="1" applyFont="1" applyBorder="1"/>
    <xf numFmtId="0" fontId="13" fillId="5" borderId="3" xfId="0" applyFont="1" applyFill="1" applyBorder="1" applyAlignment="1">
      <alignment horizontal="center" vertical="center"/>
    </xf>
    <xf numFmtId="3" fontId="11" fillId="0" borderId="0" xfId="0" applyNumberFormat="1" applyFont="1" applyBorder="1"/>
    <xf numFmtId="0" fontId="12" fillId="4" borderId="2" xfId="0" applyFont="1" applyFill="1" applyBorder="1" applyAlignment="1"/>
    <xf numFmtId="0" fontId="1" fillId="0" borderId="1" xfId="0" applyFont="1" applyBorder="1"/>
    <xf numFmtId="0" fontId="18" fillId="0" borderId="1" xfId="0" applyFont="1" applyFill="1" applyBorder="1" applyAlignment="1">
      <alignment vertical="center"/>
    </xf>
    <xf numFmtId="0" fontId="15" fillId="3" borderId="0" xfId="0" applyFont="1" applyFill="1" applyAlignment="1">
      <alignment horizontal="left" indent="1"/>
    </xf>
    <xf numFmtId="10" fontId="11" fillId="0" borderId="1" xfId="1" applyNumberFormat="1" applyFont="1" applyBorder="1" applyAlignment="1">
      <alignment horizontal="left" indent="1"/>
    </xf>
    <xf numFmtId="10" fontId="14" fillId="0" borderId="1" xfId="1" applyNumberFormat="1" applyFont="1" applyBorder="1" applyAlignment="1">
      <alignment horizontal="left" indent="1"/>
    </xf>
    <xf numFmtId="0" fontId="16" fillId="5" borderId="3" xfId="0" applyFont="1" applyFill="1" applyBorder="1" applyAlignment="1">
      <alignment horizontal="left" vertical="center"/>
    </xf>
    <xf numFmtId="0" fontId="13" fillId="5" borderId="3" xfId="0" applyFont="1" applyFill="1" applyBorder="1" applyAlignment="1">
      <alignment horizontal="left" vertical="center"/>
    </xf>
    <xf numFmtId="10" fontId="14" fillId="0" borderId="0" xfId="1" applyNumberFormat="1" applyFont="1" applyBorder="1" applyAlignment="1">
      <alignment horizontal="left" indent="1"/>
    </xf>
    <xf numFmtId="0" fontId="4" fillId="0" borderId="0" xfId="0" applyFont="1" applyAlignment="1">
      <alignment vertical="center" wrapText="1"/>
    </xf>
    <xf numFmtId="0" fontId="21" fillId="0" borderId="0" xfId="0" applyFont="1" applyFill="1"/>
    <xf numFmtId="0" fontId="9" fillId="0" borderId="4" xfId="0" applyFont="1" applyFill="1" applyBorder="1"/>
    <xf numFmtId="0" fontId="9" fillId="0" borderId="0" xfId="0" applyFont="1" applyFill="1"/>
    <xf numFmtId="3" fontId="0" fillId="0" borderId="0" xfId="0" applyNumberFormat="1" applyAlignment="1">
      <alignment horizontal="left"/>
    </xf>
    <xf numFmtId="3" fontId="0" fillId="0" borderId="0" xfId="0" applyNumberFormat="1" applyAlignment="1">
      <alignment horizontal="left" indent="2"/>
    </xf>
    <xf numFmtId="3" fontId="0" fillId="0" borderId="0" xfId="0" applyNumberFormat="1" applyAlignment="1">
      <alignment horizontal="left" indent="3"/>
    </xf>
    <xf numFmtId="0" fontId="22" fillId="4" borderId="2" xfId="0" applyFont="1" applyFill="1" applyBorder="1" applyAlignment="1">
      <alignment horizontal="center"/>
    </xf>
    <xf numFmtId="4" fontId="0" fillId="0" borderId="0" xfId="0" applyNumberFormat="1" applyAlignment="1">
      <alignment vertical="center" wrapText="1"/>
    </xf>
    <xf numFmtId="14" fontId="11" fillId="0" borderId="1" xfId="1" applyNumberFormat="1" applyFont="1" applyBorder="1" applyAlignment="1">
      <alignment horizontal="left" indent="1"/>
    </xf>
    <xf numFmtId="0" fontId="26" fillId="0" borderId="0" xfId="0" applyFont="1" applyFill="1"/>
    <xf numFmtId="0" fontId="26" fillId="0" borderId="0" xfId="0" applyFont="1"/>
    <xf numFmtId="0" fontId="28" fillId="0" borderId="0" xfId="0" applyFont="1"/>
    <xf numFmtId="164" fontId="29" fillId="5" borderId="0" xfId="1" applyNumberFormat="1" applyFont="1" applyFill="1"/>
    <xf numFmtId="0" fontId="25" fillId="0" borderId="0" xfId="0" applyFont="1"/>
    <xf numFmtId="0" fontId="13" fillId="5" borderId="0" xfId="0" applyFont="1" applyFill="1" applyBorder="1" applyAlignment="1">
      <alignment horizontal="center" vertical="center"/>
    </xf>
    <xf numFmtId="0" fontId="30" fillId="0" borderId="0" xfId="0" applyFont="1"/>
    <xf numFmtId="9" fontId="0" fillId="0" borderId="0" xfId="1" applyFont="1"/>
    <xf numFmtId="0" fontId="25" fillId="0" borderId="1" xfId="0" applyFont="1" applyFill="1" applyBorder="1" applyAlignment="1">
      <alignment vertical="center"/>
    </xf>
    <xf numFmtId="0" fontId="24" fillId="9" borderId="2" xfId="0" applyFont="1" applyFill="1" applyBorder="1" applyAlignment="1"/>
    <xf numFmtId="164" fontId="33" fillId="0" borderId="0" xfId="0" applyNumberFormat="1" applyFont="1" applyAlignment="1">
      <alignment horizontal="center"/>
    </xf>
    <xf numFmtId="164" fontId="29" fillId="5" borderId="0" xfId="1" applyNumberFormat="1" applyFont="1" applyFill="1" applyAlignment="1">
      <alignment horizontal="center"/>
    </xf>
    <xf numFmtId="9" fontId="32" fillId="0" borderId="0" xfId="1" applyFont="1" applyFill="1"/>
    <xf numFmtId="3" fontId="11" fillId="0" borderId="1" xfId="0" applyNumberFormat="1" applyFont="1" applyFill="1" applyBorder="1"/>
    <xf numFmtId="10" fontId="11" fillId="0" borderId="1" xfId="1" applyNumberFormat="1" applyFont="1" applyFill="1" applyBorder="1"/>
    <xf numFmtId="0" fontId="0" fillId="0" borderId="0" xfId="0" applyAlignment="1"/>
    <xf numFmtId="3" fontId="11" fillId="11" borderId="1" xfId="0" applyNumberFormat="1" applyFont="1" applyFill="1" applyBorder="1"/>
    <xf numFmtId="3" fontId="11" fillId="8" borderId="1" xfId="0" applyNumberFormat="1" applyFont="1" applyFill="1" applyBorder="1"/>
    <xf numFmtId="3" fontId="11" fillId="8" borderId="1" xfId="0" applyNumberFormat="1" applyFont="1" applyFill="1" applyBorder="1" applyAlignment="1">
      <alignment wrapText="1"/>
    </xf>
    <xf numFmtId="3" fontId="0" fillId="11" borderId="0" xfId="0" applyNumberFormat="1" applyFill="1"/>
    <xf numFmtId="0" fontId="0" fillId="0" borderId="0" xfId="0" applyFill="1"/>
    <xf numFmtId="14" fontId="11" fillId="0" borderId="1" xfId="1" applyNumberFormat="1" applyFont="1" applyFill="1" applyBorder="1" applyAlignment="1">
      <alignment horizontal="left" indent="1"/>
    </xf>
    <xf numFmtId="10" fontId="11" fillId="0" borderId="1" xfId="1" applyNumberFormat="1" applyFont="1" applyFill="1" applyBorder="1" applyAlignment="1">
      <alignment horizontal="left" indent="1"/>
    </xf>
    <xf numFmtId="10" fontId="14" fillId="0" borderId="1" xfId="1" applyNumberFormat="1" applyFont="1" applyFill="1" applyBorder="1" applyAlignment="1">
      <alignment horizontal="left" indent="1"/>
    </xf>
    <xf numFmtId="3" fontId="0" fillId="0" borderId="0" xfId="0" applyNumberFormat="1" applyFill="1"/>
    <xf numFmtId="10" fontId="32" fillId="0" borderId="0" xfId="0" applyNumberFormat="1" applyFont="1" applyFill="1"/>
    <xf numFmtId="0" fontId="0" fillId="7" borderId="0" xfId="0" applyFill="1"/>
    <xf numFmtId="3" fontId="1" fillId="7" borderId="0" xfId="0" applyNumberFormat="1" applyFont="1" applyFill="1"/>
    <xf numFmtId="0" fontId="24" fillId="9" borderId="0" xfId="0" applyFont="1" applyFill="1" applyBorder="1" applyAlignment="1">
      <alignment horizontal="center"/>
    </xf>
    <xf numFmtId="0" fontId="16" fillId="10" borderId="3" xfId="0" applyFont="1" applyFill="1" applyBorder="1" applyAlignment="1">
      <alignment horizontal="left" vertical="center"/>
    </xf>
    <xf numFmtId="0" fontId="8" fillId="0" borderId="8" xfId="0" applyFont="1" applyBorder="1"/>
    <xf numFmtId="0" fontId="11" fillId="0" borderId="8" xfId="0" applyFont="1" applyFill="1" applyBorder="1" applyAlignment="1">
      <alignment vertical="center"/>
    </xf>
    <xf numFmtId="0" fontId="16" fillId="10" borderId="9" xfId="0" applyFont="1" applyFill="1" applyBorder="1" applyAlignment="1">
      <alignment horizontal="left" vertical="center"/>
    </xf>
    <xf numFmtId="10" fontId="11" fillId="0" borderId="10" xfId="1" applyNumberFormat="1" applyFont="1" applyBorder="1" applyAlignment="1">
      <alignment horizontal="left" indent="1"/>
    </xf>
    <xf numFmtId="3" fontId="11" fillId="0" borderId="11" xfId="0" applyNumberFormat="1" applyFont="1" applyBorder="1"/>
    <xf numFmtId="10" fontId="11" fillId="0" borderId="11" xfId="1" applyNumberFormat="1" applyFont="1" applyBorder="1"/>
    <xf numFmtId="3" fontId="11" fillId="0" borderId="11" xfId="0" applyNumberFormat="1" applyFont="1" applyFill="1" applyBorder="1"/>
    <xf numFmtId="14" fontId="11" fillId="0" borderId="11" xfId="1" applyNumberFormat="1" applyFont="1" applyBorder="1" applyAlignment="1">
      <alignment horizontal="left" indent="1"/>
    </xf>
    <xf numFmtId="10" fontId="11" fillId="0" borderId="11" xfId="1" applyNumberFormat="1" applyFont="1" applyBorder="1" applyAlignment="1">
      <alignment horizontal="left" indent="1"/>
    </xf>
    <xf numFmtId="10" fontId="14" fillId="0" borderId="11" xfId="1" applyNumberFormat="1" applyFont="1" applyBorder="1" applyAlignment="1">
      <alignment horizontal="left" indent="1"/>
    </xf>
    <xf numFmtId="10" fontId="11" fillId="0" borderId="12" xfId="1" applyNumberFormat="1" applyFont="1" applyBorder="1" applyAlignment="1">
      <alignment horizontal="left" indent="1"/>
    </xf>
    <xf numFmtId="0" fontId="34" fillId="12" borderId="0" xfId="0" applyFont="1" applyFill="1"/>
    <xf numFmtId="0" fontId="35" fillId="12" borderId="0" xfId="0" applyFont="1" applyFill="1"/>
    <xf numFmtId="165" fontId="0" fillId="0" borderId="0" xfId="2" applyNumberFormat="1" applyFont="1"/>
    <xf numFmtId="0" fontId="0" fillId="0" borderId="0" xfId="0" applyBorder="1"/>
    <xf numFmtId="0" fontId="19" fillId="0" borderId="8" xfId="0" applyFont="1" applyFill="1" applyBorder="1" applyAlignment="1">
      <alignment vertical="center"/>
    </xf>
    <xf numFmtId="3" fontId="11" fillId="13" borderId="1" xfId="0" applyNumberFormat="1" applyFont="1" applyFill="1" applyBorder="1"/>
    <xf numFmtId="0" fontId="11" fillId="0" borderId="13" xfId="0" applyFont="1" applyFill="1" applyBorder="1" applyAlignment="1">
      <alignment vertical="center"/>
    </xf>
    <xf numFmtId="0" fontId="0" fillId="0" borderId="0" xfId="0" applyAlignment="1">
      <alignment wrapText="1"/>
    </xf>
    <xf numFmtId="0" fontId="19" fillId="0" borderId="13" xfId="0" applyFont="1" applyFill="1" applyBorder="1" applyAlignment="1">
      <alignment vertical="center"/>
    </xf>
    <xf numFmtId="3" fontId="37" fillId="0" borderId="1" xfId="0" applyNumberFormat="1" applyFont="1" applyBorder="1"/>
    <xf numFmtId="0" fontId="16" fillId="0" borderId="3" xfId="0" applyFont="1" applyFill="1" applyBorder="1" applyAlignment="1">
      <alignment horizontal="left" vertical="center"/>
    </xf>
    <xf numFmtId="10" fontId="17" fillId="0" borderId="1" xfId="1" applyNumberFormat="1" applyFont="1" applyFill="1" applyBorder="1" applyAlignment="1">
      <alignment horizontal="left" indent="1"/>
    </xf>
    <xf numFmtId="10" fontId="19" fillId="0" borderId="1" xfId="1" applyNumberFormat="1" applyFont="1" applyFill="1" applyBorder="1" applyAlignment="1">
      <alignment horizontal="left" indent="1"/>
    </xf>
    <xf numFmtId="10" fontId="23" fillId="0" borderId="1" xfId="1" applyNumberFormat="1" applyFont="1" applyFill="1" applyBorder="1" applyAlignment="1">
      <alignment horizontal="left" indent="1"/>
    </xf>
    <xf numFmtId="10" fontId="25" fillId="0" borderId="1" xfId="1" applyNumberFormat="1" applyFont="1" applyFill="1" applyBorder="1" applyAlignment="1">
      <alignment horizontal="left" indent="1"/>
    </xf>
    <xf numFmtId="10" fontId="19" fillId="0" borderId="11" xfId="1" applyNumberFormat="1" applyFont="1" applyFill="1" applyBorder="1" applyAlignment="1">
      <alignment horizontal="left" indent="1"/>
    </xf>
    <xf numFmtId="10" fontId="11" fillId="0" borderId="10" xfId="1" applyNumberFormat="1" applyFont="1" applyFill="1" applyBorder="1" applyAlignment="1">
      <alignment horizontal="left" indent="1"/>
    </xf>
    <xf numFmtId="0" fontId="11" fillId="0" borderId="14" xfId="0" applyFont="1" applyFill="1" applyBorder="1" applyAlignment="1">
      <alignment vertical="center"/>
    </xf>
    <xf numFmtId="10" fontId="11" fillId="0" borderId="15" xfId="1" applyNumberFormat="1" applyFont="1" applyBorder="1" applyAlignment="1">
      <alignment horizontal="left" indent="1"/>
    </xf>
    <xf numFmtId="10" fontId="23" fillId="0" borderId="15" xfId="1" applyNumberFormat="1" applyFont="1" applyFill="1" applyBorder="1" applyAlignment="1">
      <alignment horizontal="left" indent="1"/>
    </xf>
    <xf numFmtId="10" fontId="23" fillId="0" borderId="0" xfId="1" applyNumberFormat="1" applyFont="1" applyFill="1" applyBorder="1" applyAlignment="1">
      <alignment horizontal="left" indent="1"/>
    </xf>
    <xf numFmtId="10" fontId="20" fillId="0" borderId="1" xfId="1" applyNumberFormat="1" applyFont="1" applyFill="1" applyBorder="1" applyAlignment="1">
      <alignment horizontal="left" indent="1"/>
    </xf>
    <xf numFmtId="0" fontId="36" fillId="0" borderId="0" xfId="0" applyFont="1"/>
    <xf numFmtId="0" fontId="40" fillId="4" borderId="0" xfId="0" applyFont="1" applyFill="1"/>
    <xf numFmtId="0" fontId="40" fillId="4" borderId="0" xfId="0" applyFont="1" applyFill="1" applyAlignment="1">
      <alignment horizontal="left"/>
    </xf>
    <xf numFmtId="10" fontId="19" fillId="0" borderId="0" xfId="1" applyNumberFormat="1" applyFont="1" applyFill="1" applyBorder="1" applyAlignment="1">
      <alignment horizontal="left" indent="1"/>
    </xf>
    <xf numFmtId="10" fontId="14" fillId="0" borderId="0" xfId="1" applyNumberFormat="1" applyFont="1" applyFill="1" applyBorder="1" applyAlignment="1">
      <alignment horizontal="left" indent="1"/>
    </xf>
    <xf numFmtId="16" fontId="0" fillId="0" borderId="0" xfId="0" applyNumberFormat="1" applyAlignment="1">
      <alignment horizontal="left"/>
    </xf>
    <xf numFmtId="16" fontId="0" fillId="0" borderId="0" xfId="0" applyNumberFormat="1" applyFill="1" applyAlignment="1">
      <alignment horizontal="left"/>
    </xf>
    <xf numFmtId="0" fontId="0" fillId="0" borderId="0" xfId="0" applyFill="1" applyAlignment="1">
      <alignment horizontal="left"/>
    </xf>
    <xf numFmtId="0" fontId="41" fillId="0" borderId="0" xfId="0" applyFont="1"/>
    <xf numFmtId="10" fontId="17" fillId="0" borderId="0" xfId="1" applyNumberFormat="1" applyFont="1" applyFill="1" applyBorder="1" applyAlignment="1">
      <alignment horizontal="left" indent="1"/>
    </xf>
    <xf numFmtId="0" fontId="25" fillId="0" borderId="0" xfId="0" applyFont="1" applyFill="1"/>
    <xf numFmtId="0" fontId="0" fillId="0" borderId="0" xfId="0" applyFont="1"/>
    <xf numFmtId="0" fontId="39" fillId="0" borderId="0" xfId="0" applyFont="1"/>
    <xf numFmtId="14" fontId="39" fillId="0" borderId="0" xfId="0" applyNumberFormat="1" applyFont="1"/>
    <xf numFmtId="0" fontId="40" fillId="14" borderId="0" xfId="0" applyFont="1" applyFill="1"/>
    <xf numFmtId="1" fontId="0" fillId="0" borderId="0" xfId="0" applyNumberFormat="1"/>
    <xf numFmtId="0" fontId="25" fillId="0" borderId="19" xfId="0" applyFont="1" applyBorder="1"/>
    <xf numFmtId="10" fontId="23" fillId="0" borderId="19" xfId="1" applyNumberFormat="1" applyFont="1" applyFill="1" applyBorder="1" applyAlignment="1">
      <alignment horizontal="left" indent="1"/>
    </xf>
    <xf numFmtId="0" fontId="0" fillId="0" borderId="19" xfId="0" applyBorder="1"/>
    <xf numFmtId="16" fontId="0" fillId="0" borderId="19" xfId="0" applyNumberFormat="1" applyBorder="1" applyAlignment="1">
      <alignment horizontal="left"/>
    </xf>
    <xf numFmtId="0" fontId="0" fillId="0" borderId="19" xfId="0" applyFill="1" applyBorder="1"/>
    <xf numFmtId="0" fontId="0" fillId="15" borderId="20" xfId="0" applyFill="1" applyBorder="1"/>
    <xf numFmtId="0" fontId="25" fillId="0" borderId="20" xfId="0" applyFont="1" applyBorder="1"/>
    <xf numFmtId="10" fontId="23" fillId="0" borderId="20" xfId="1" applyNumberFormat="1" applyFont="1" applyFill="1" applyBorder="1" applyAlignment="1">
      <alignment horizontal="left" indent="1"/>
    </xf>
    <xf numFmtId="0" fontId="0" fillId="0" borderId="20" xfId="0" applyBorder="1"/>
    <xf numFmtId="0" fontId="0" fillId="0" borderId="20" xfId="0" applyBorder="1" applyAlignment="1">
      <alignment horizontal="left"/>
    </xf>
    <xf numFmtId="0" fontId="3" fillId="0" borderId="20" xfId="0" applyFont="1" applyBorder="1"/>
    <xf numFmtId="10" fontId="19" fillId="0" borderId="20" xfId="1" applyNumberFormat="1" applyFont="1" applyFill="1" applyBorder="1" applyAlignment="1">
      <alignment horizontal="left" indent="1"/>
    </xf>
    <xf numFmtId="10" fontId="17" fillId="0" borderId="20" xfId="1" applyNumberFormat="1" applyFont="1" applyFill="1" applyBorder="1" applyAlignment="1">
      <alignment horizontal="left" indent="1"/>
    </xf>
    <xf numFmtId="14" fontId="0" fillId="0" borderId="20" xfId="0" applyNumberFormat="1" applyBorder="1"/>
    <xf numFmtId="16" fontId="0" fillId="0" borderId="0" xfId="0" applyNumberFormat="1" applyBorder="1" applyAlignment="1">
      <alignment horizontal="left"/>
    </xf>
    <xf numFmtId="0" fontId="25" fillId="0" borderId="21" xfId="0" applyFont="1" applyBorder="1"/>
    <xf numFmtId="0" fontId="25" fillId="0" borderId="22" xfId="0" applyFont="1" applyBorder="1"/>
    <xf numFmtId="10" fontId="23" fillId="0" borderId="21" xfId="1" applyNumberFormat="1" applyFont="1" applyFill="1" applyBorder="1" applyAlignment="1">
      <alignment horizontal="left" indent="1"/>
    </xf>
    <xf numFmtId="0" fontId="0" fillId="0" borderId="21" xfId="0" applyBorder="1"/>
    <xf numFmtId="14" fontId="0" fillId="0" borderId="21" xfId="0" applyNumberFormat="1" applyBorder="1"/>
    <xf numFmtId="10" fontId="19" fillId="0" borderId="21" xfId="1" applyNumberFormat="1" applyFont="1" applyFill="1" applyBorder="1" applyAlignment="1">
      <alignment horizontal="left" indent="1"/>
    </xf>
    <xf numFmtId="0" fontId="0" fillId="0" borderId="22" xfId="0" applyBorder="1"/>
    <xf numFmtId="0" fontId="4" fillId="0" borderId="21" xfId="0" applyFont="1" applyBorder="1"/>
    <xf numFmtId="0" fontId="0" fillId="15" borderId="21" xfId="0" applyFill="1" applyBorder="1"/>
    <xf numFmtId="0" fontId="3" fillId="0" borderId="21" xfId="0" applyFont="1" applyBorder="1"/>
    <xf numFmtId="0" fontId="25" fillId="0" borderId="23" xfId="0" applyFont="1" applyBorder="1"/>
    <xf numFmtId="10" fontId="23" fillId="0" borderId="23" xfId="1" applyNumberFormat="1" applyFont="1" applyFill="1" applyBorder="1" applyAlignment="1">
      <alignment horizontal="left" indent="1"/>
    </xf>
    <xf numFmtId="0" fontId="0" fillId="0" borderId="23" xfId="0" applyBorder="1"/>
    <xf numFmtId="14" fontId="0" fillId="0" borderId="23" xfId="0" applyNumberFormat="1" applyBorder="1"/>
    <xf numFmtId="10" fontId="19" fillId="0" borderId="23" xfId="1" applyNumberFormat="1" applyFont="1" applyFill="1" applyBorder="1" applyAlignment="1">
      <alignment horizontal="left" indent="1"/>
    </xf>
    <xf numFmtId="0" fontId="4" fillId="0" borderId="23" xfId="0" applyFont="1" applyBorder="1"/>
    <xf numFmtId="0" fontId="25" fillId="0" borderId="0" xfId="0" applyFont="1" applyBorder="1"/>
    <xf numFmtId="0" fontId="0" fillId="10" borderId="0" xfId="0" applyFill="1"/>
    <xf numFmtId="0" fontId="25" fillId="13" borderId="0" xfId="0" applyFont="1" applyFill="1"/>
    <xf numFmtId="0" fontId="25" fillId="16" borderId="0" xfId="0" applyFont="1" applyFill="1"/>
    <xf numFmtId="0" fontId="25" fillId="10" borderId="0" xfId="0" applyFont="1" applyFill="1"/>
    <xf numFmtId="0" fontId="25" fillId="8" borderId="0" xfId="0" applyFont="1" applyFill="1"/>
    <xf numFmtId="0" fontId="0" fillId="0" borderId="0" xfId="0" applyFill="1" applyAlignment="1">
      <alignment wrapText="1"/>
    </xf>
    <xf numFmtId="0" fontId="0" fillId="7" borderId="0" xfId="0" applyFill="1" applyAlignment="1">
      <alignment horizontal="center"/>
    </xf>
    <xf numFmtId="0" fontId="4" fillId="0" borderId="0" xfId="0" applyFont="1" applyAlignment="1">
      <alignment vertical="center" wrapText="1"/>
    </xf>
    <xf numFmtId="4" fontId="0" fillId="0" borderId="0" xfId="0" applyNumberFormat="1" applyAlignment="1">
      <alignment vertical="center" wrapText="1"/>
    </xf>
    <xf numFmtId="0" fontId="24" fillId="9" borderId="5" xfId="0" applyFont="1" applyFill="1" applyBorder="1" applyAlignment="1">
      <alignment horizontal="center"/>
    </xf>
    <xf numFmtId="0" fontId="24" fillId="9" borderId="6" xfId="0" applyFont="1" applyFill="1" applyBorder="1" applyAlignment="1">
      <alignment horizontal="center"/>
    </xf>
    <xf numFmtId="0" fontId="24" fillId="9" borderId="7" xfId="0" applyFont="1" applyFill="1" applyBorder="1" applyAlignment="1">
      <alignment horizontal="center"/>
    </xf>
    <xf numFmtId="0" fontId="15" fillId="3" borderId="0" xfId="0" applyFont="1" applyFill="1" applyAlignment="1">
      <alignment horizontal="center"/>
    </xf>
    <xf numFmtId="0" fontId="24" fillId="4" borderId="2" xfId="0" applyFont="1" applyFill="1" applyBorder="1" applyAlignment="1">
      <alignment horizontal="center"/>
    </xf>
    <xf numFmtId="0" fontId="38" fillId="3" borderId="16" xfId="0" applyFont="1" applyFill="1" applyBorder="1" applyAlignment="1">
      <alignment horizontal="center"/>
    </xf>
    <xf numFmtId="0" fontId="38" fillId="3" borderId="17" xfId="0" applyFont="1" applyFill="1" applyBorder="1" applyAlignment="1">
      <alignment horizontal="center"/>
    </xf>
    <xf numFmtId="0" fontId="38" fillId="3" borderId="18" xfId="0" applyFont="1" applyFill="1" applyBorder="1" applyAlignment="1">
      <alignment horizontal="center"/>
    </xf>
    <xf numFmtId="10" fontId="11" fillId="0" borderId="3" xfId="1" applyNumberFormat="1" applyFont="1" applyFill="1" applyBorder="1" applyAlignment="1">
      <alignment horizontal="left" indent="1"/>
    </xf>
  </cellXfs>
  <cellStyles count="3">
    <cellStyle name="Comma" xfId="2" builtinId="3"/>
    <cellStyle name="Normal" xfId="0" builtinId="0"/>
    <cellStyle name="Percent" xfId="1" builtinId="5"/>
  </cellStyles>
  <dxfs count="45">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auto="1"/>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9" formatCode="dd/mm/yyyy"/>
      <alignment horizontal="left" vertical="bottom" textRotation="0" wrapText="0" indent="1" justifyLastLine="0" shrinkToFit="0" readingOrder="0"/>
      <border diagonalUp="0" diagonalDown="0" outline="0">
        <left style="thin">
          <color theme="2"/>
        </left>
        <right style="thin">
          <color theme="2"/>
        </right>
        <top style="thin">
          <color theme="2"/>
        </top>
        <bottom style="thin">
          <color theme="2"/>
        </bottom>
      </border>
    </dxf>
    <dxf>
      <fill>
        <patternFill patternType="none">
          <fgColor indexed="64"/>
          <bgColor auto="1"/>
        </patternFill>
      </fill>
    </dxf>
    <dxf>
      <font>
        <b val="0"/>
        <i val="0"/>
        <strike val="0"/>
        <condense val="0"/>
        <extend val="0"/>
        <outline val="0"/>
        <shadow val="0"/>
        <u val="none"/>
        <vertAlign val="baseline"/>
        <sz val="9"/>
        <color rgb="FF424242"/>
        <name val="Arial"/>
        <scheme val="none"/>
      </font>
      <numFmt numFmtId="14" formatCode="0.0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theme="2"/>
        </right>
        <top style="thin">
          <color theme="2"/>
        </top>
        <bottom style="thin">
          <color theme="2"/>
        </bottom>
        <vertical/>
        <horizontal/>
      </border>
    </dxf>
    <dxf>
      <border outline="0">
        <left style="thin">
          <color rgb="FFE7E6E6"/>
        </left>
        <right style="thin">
          <color rgb="FFE7E6E6"/>
        </right>
        <bottom style="thin">
          <color rgb="FFE7E6E6"/>
        </bottom>
      </border>
    </dxf>
    <dxf>
      <font>
        <b val="0"/>
        <i val="0"/>
        <strike val="0"/>
        <condense val="0"/>
        <extend val="0"/>
        <outline val="0"/>
        <shadow val="0"/>
        <u val="none"/>
        <vertAlign val="baseline"/>
        <sz val="9"/>
        <color rgb="FF424242"/>
        <name val="Arial"/>
        <scheme val="none"/>
      </font>
      <alignment horizontal="left" vertical="bottom" textRotation="0" wrapText="0" indent="1" justifyLastLine="0" shrinkToFit="0" readingOrder="0"/>
    </dxf>
    <dxf>
      <font>
        <b/>
        <i/>
        <strike val="0"/>
        <condense val="0"/>
        <extend val="0"/>
        <outline val="0"/>
        <shadow val="0"/>
        <u val="none"/>
        <vertAlign val="baseline"/>
        <sz val="9"/>
        <color auto="1"/>
        <name val="Arial"/>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2"/>
        </left>
        <right style="thin">
          <color theme="2"/>
        </right>
        <top/>
        <bottom/>
      </border>
    </dxf>
    <dxf>
      <numFmt numFmtId="3" formatCode="#,##0"/>
    </dxf>
    <dxf>
      <numFmt numFmtId="166" formatCode="#,##0.0"/>
    </dxf>
    <dxf>
      <numFmt numFmtId="4" formatCode="#,##0.00"/>
    </dxf>
    <dxf>
      <font>
        <b/>
        <color theme="1"/>
      </font>
      <border>
        <bottom style="thin">
          <color theme="0" tint="-0.34998626667073579"/>
        </bottom>
        <vertical/>
        <horizontal/>
      </border>
    </dxf>
    <dxf>
      <font>
        <color theme="0"/>
      </font>
      <fill>
        <patternFill>
          <bgColor theme="0"/>
        </patternFill>
      </fill>
      <border diagonalUp="0" diagonalDown="0">
        <left/>
        <right/>
        <top/>
        <bottom/>
        <vertical/>
        <horizontal/>
      </border>
    </dxf>
    <dxf>
      <font>
        <b/>
        <color theme="1"/>
      </font>
      <border>
        <bottom style="thin">
          <color theme="0" tint="-0.34998626667073579"/>
        </bottom>
        <vertical/>
        <horizontal/>
      </border>
    </dxf>
    <dxf>
      <font>
        <color theme="0"/>
      </font>
      <fill>
        <patternFill>
          <fgColor rgb="FFFF8181"/>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0"/>
      </font>
      <fill>
        <patternFill>
          <fgColor theme="0"/>
          <bgColor theme="0"/>
        </patternFill>
      </fill>
      <border diagonalUp="0" diagonalDown="0">
        <left/>
        <right/>
        <top/>
        <bottom/>
        <vertical/>
        <horizontal/>
      </border>
    </dxf>
    <dxf>
      <font>
        <b/>
        <color theme="1"/>
      </font>
      <border>
        <bottom style="thin">
          <color theme="5"/>
        </bottom>
        <vertical/>
        <horizontal/>
      </border>
    </dxf>
    <dxf>
      <font>
        <color theme="0"/>
      </font>
      <fill>
        <patternFill>
          <bgColor theme="0"/>
        </patternFill>
      </fill>
      <border>
        <left style="thin">
          <color theme="5"/>
        </left>
        <right style="thin">
          <color theme="5"/>
        </right>
        <top style="thin">
          <color theme="5"/>
        </top>
        <bottom style="thin">
          <color theme="5"/>
        </bottom>
        <vertical/>
        <horizontal/>
      </border>
    </dxf>
    <dxf>
      <fill>
        <patternFill>
          <fgColor theme="0"/>
        </patternFill>
      </fill>
      <border diagonalUp="0" diagonalDown="0">
        <left/>
        <right/>
        <top/>
        <bottom/>
        <vertical/>
        <horizontal/>
      </border>
    </dxf>
    <dxf>
      <fill>
        <patternFill>
          <bgColor rgb="FFFCC8C4"/>
        </patternFill>
      </fill>
    </dxf>
    <dxf>
      <font>
        <b/>
        <color theme="1"/>
      </font>
      <fill>
        <patternFill>
          <fgColor theme="0"/>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s>
  <tableStyles count="9" defaultTableStyle="TableStyleMedium2" defaultPivotStyle="PivotStyleLight16">
    <tableStyle name="Right" pivot="0" table="0" count="10">
      <tableStyleElement type="wholeTable" dxfId="44"/>
      <tableStyleElement type="headerRow" dxfId="43"/>
    </tableStyle>
    <tableStyle name="Slicer Style 1" pivot="0" table="0" count="1">
      <tableStyleElement type="wholeTable" dxfId="42"/>
    </tableStyle>
    <tableStyle name="Slicer Style 2" pivot="0" table="0" count="1">
      <tableStyleElement type="wholeTable" dxfId="41"/>
    </tableStyle>
    <tableStyle name="SlicerStyleDark2 2" pivot="0" table="0" count="10">
      <tableStyleElement type="wholeTable" dxfId="40"/>
      <tableStyleElement type="headerRow" dxfId="39"/>
    </tableStyle>
    <tableStyle name="SlicerStyleLight2 2" pivot="0" table="0" count="10">
      <tableStyleElement type="wholeTable" dxfId="38"/>
      <tableStyleElement type="headerRow" dxfId="37"/>
    </tableStyle>
    <tableStyle name="SlicerStyleLight4 2" pivot="0" table="0" count="10">
      <tableStyleElement type="wholeTable" dxfId="36"/>
      <tableStyleElement type="headerRow" dxfId="35"/>
    </tableStyle>
    <tableStyle name="SlicerStyleLight4 2 2" pivot="0" table="0" count="10">
      <tableStyleElement type="wholeTable" dxfId="34"/>
      <tableStyleElement type="headerRow" dxfId="33"/>
    </tableStyle>
    <tableStyle name="SlicerStyleOther1 2" pivot="0" table="0" count="10">
      <tableStyleElement type="wholeTable" dxfId="32"/>
      <tableStyleElement type="headerRow" dxfId="31"/>
    </tableStyle>
    <tableStyle name="SlicerStyleOther1 2 2" pivot="0" table="0" count="10">
      <tableStyleElement type="wholeTable" dxfId="30"/>
      <tableStyleElement type="headerRow" dxfId="29"/>
    </tableStyle>
  </tableStyles>
  <colors>
    <mruColors>
      <color rgb="FFFBBCB7"/>
      <color rgb="FFF8C8C8"/>
      <color rgb="FFFAC2BE"/>
      <color rgb="FFFFFFFF"/>
      <color rgb="FFFDCBC3"/>
      <color rgb="FFF67264"/>
      <color rgb="FFFF8181"/>
      <color rgb="FFFCC8C4"/>
      <color rgb="FFFFD937"/>
      <color rgb="FF424242"/>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rgb="FFFF0000"/>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FAC2BE"/>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DCBC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8C8C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1498764000366222"/>
              <bgColor rgb="FFFBBCB7"/>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FF0000"/>
              <bgColor rgb="FFFF0000"/>
            </patternFill>
          </fill>
          <border diagonalUp="0" diagonalDown="0">
            <left/>
            <right/>
            <top/>
            <bottom/>
            <vertical/>
            <horizontal/>
          </border>
        </dxf>
        <dxf>
          <font>
            <color rgb="FF828282"/>
          </font>
          <fill>
            <patternFill patternType="solid">
              <fgColor indexed="64"/>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2 2">
        <x14:slicerStyle name="Right">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 Style 1"/>
        <x14:slicerStyle name="Slicer Style 2"/>
        <x14:slicerStyle name="SlicerStyleDark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[Indicadores_22032024.xlsx]aux!PivotTable2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w="19050">
            <a:solidFill>
              <a:schemeClr val="lt1"/>
            </a:solidFill>
          </a:ln>
          <a:effectLst/>
        </c:spPr>
      </c:pivotFmt>
      <c:pivotFmt>
        <c:idx val="1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solidFill>
              <a:schemeClr val="lt1"/>
            </a:solidFill>
          </a:ln>
          <a:effectLst/>
        </c:spPr>
      </c:pivotFmt>
      <c:pivotFmt>
        <c:idx val="2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solidFill>
          <a:ln w="19050">
            <a:solidFill>
              <a:schemeClr val="lt1"/>
            </a:solidFill>
          </a:ln>
          <a:effectLst/>
        </c:spPr>
      </c:pivotFmt>
      <c:pivotFmt>
        <c:idx val="3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w="19050">
            <a:solidFill>
              <a:schemeClr val="lt1"/>
            </a:solidFill>
          </a:ln>
          <a:effectLst/>
        </c:spPr>
      </c:pivotFmt>
      <c:pivotFmt>
        <c:idx val="3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w="19050">
            <a:solidFill>
              <a:schemeClr val="lt1"/>
            </a:solidFill>
          </a:ln>
          <a:effectLst/>
        </c:spPr>
      </c:pivotFmt>
      <c:pivotFmt>
        <c:idx val="4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1"/>
          </a:solidFill>
          <a:ln w="19050">
            <a:solidFill>
              <a:schemeClr val="lt1"/>
            </a:solidFill>
          </a:ln>
          <a:effectLst/>
        </c:spPr>
      </c:pivotFmt>
      <c:pivotFmt>
        <c:idx val="4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pivotFmt>
      <c:pivotFmt>
        <c:idx val="47"/>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bg1">
              <a:lumMod val="95000"/>
            </a:schemeClr>
          </a:solidFill>
        </c:spPr>
      </c:pivotFmt>
      <c:pivotFmt>
        <c:idx val="49"/>
        <c:spPr>
          <a:solidFill>
            <a:schemeClr val="tx1">
              <a:lumMod val="75000"/>
              <a:lumOff val="25000"/>
            </a:schemeClr>
          </a:solidFill>
        </c:spPr>
      </c:pivotFmt>
      <c:pivotFmt>
        <c:idx val="50"/>
        <c:spPr>
          <a:solidFill>
            <a:srgbClr val="FF0000"/>
          </a:solidFill>
        </c:spPr>
      </c:pivotFmt>
      <c:pivotFmt>
        <c:idx val="51"/>
        <c:spPr>
          <a:solidFill>
            <a:srgbClr val="C00000"/>
          </a:solidFill>
        </c:spPr>
      </c:pivotFmt>
      <c:pivotFmt>
        <c:idx val="52"/>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53"/>
        <c:spPr>
          <a:solidFill>
            <a:schemeClr val="bg1">
              <a:lumMod val="85000"/>
            </a:schemeClr>
          </a:solidFill>
        </c:spPr>
      </c:pivotFmt>
      <c:pivotFmt>
        <c:idx val="54"/>
        <c:spPr>
          <a:solidFill>
            <a:schemeClr val="tx1"/>
          </a:solidFill>
        </c:spPr>
      </c:pivotFmt>
      <c:pivotFmt>
        <c:idx val="55"/>
        <c:spPr>
          <a:solidFill>
            <a:srgbClr val="FF0000"/>
          </a:solidFill>
        </c:spPr>
      </c:pivotFmt>
      <c:pivotFmt>
        <c:idx val="56"/>
        <c:spPr>
          <a:solidFill>
            <a:srgbClr val="C00000"/>
          </a:solidFill>
        </c:spPr>
      </c:pivotFmt>
    </c:pivotFmts>
    <c:plotArea>
      <c:layout/>
      <c:pieChart>
        <c:varyColors val="1"/>
        <c:ser>
          <c:idx val="0"/>
          <c:order val="0"/>
          <c:tx>
            <c:strRef>
              <c:f>aux!$P$1</c:f>
              <c:strCache>
                <c:ptCount val="1"/>
                <c:pt idx="0">
                  <c:v>Total</c:v>
                </c:pt>
              </c:strCache>
            </c:strRef>
          </c:tx>
          <c:dPt>
            <c:idx val="0"/>
            <c:bubble3D val="0"/>
            <c:spPr>
              <a:solidFill>
                <a:srgbClr val="FF0000"/>
              </a:solidFill>
            </c:spPr>
            <c:extLst>
              <c:ext xmlns:c16="http://schemas.microsoft.com/office/drawing/2014/chart" uri="{C3380CC4-5D6E-409C-BE32-E72D297353CC}">
                <c16:uniqueId val="{00000015-EA2D-4476-9C4E-18D0BB50D56A}"/>
              </c:ext>
            </c:extLst>
          </c:dPt>
          <c:dPt>
            <c:idx val="1"/>
            <c:bubble3D val="0"/>
            <c:spPr>
              <a:solidFill>
                <a:srgbClr val="C00000"/>
              </a:solidFill>
            </c:spPr>
            <c:extLst>
              <c:ext xmlns:c16="http://schemas.microsoft.com/office/drawing/2014/chart" uri="{C3380CC4-5D6E-409C-BE32-E72D297353CC}">
                <c16:uniqueId val="{00000017-EA2D-4476-9C4E-18D0BB50D56A}"/>
              </c:ext>
            </c:extLst>
          </c:dPt>
          <c:dPt>
            <c:idx val="2"/>
            <c:bubble3D val="0"/>
            <c:spPr>
              <a:solidFill>
                <a:schemeClr val="tx1"/>
              </a:solidFill>
            </c:spPr>
            <c:extLst>
              <c:ext xmlns:c16="http://schemas.microsoft.com/office/drawing/2014/chart" uri="{C3380CC4-5D6E-409C-BE32-E72D297353CC}">
                <c16:uniqueId val="{00000019-EA2D-4476-9C4E-18D0BB50D56A}"/>
              </c:ext>
            </c:extLst>
          </c:dPt>
          <c:dPt>
            <c:idx val="3"/>
            <c:bubble3D val="0"/>
            <c:spPr>
              <a:solidFill>
                <a:schemeClr val="bg1">
                  <a:lumMod val="85000"/>
                </a:schemeClr>
              </a:solidFill>
            </c:spPr>
            <c:extLst>
              <c:ext xmlns:c16="http://schemas.microsoft.com/office/drawing/2014/chart" uri="{C3380CC4-5D6E-409C-BE32-E72D297353CC}">
                <c16:uniqueId val="{0000001B-EA2D-4476-9C4E-18D0BB50D56A}"/>
              </c:ext>
            </c:extLst>
          </c:dPt>
          <c:dLbls>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showLeaderLines val="1"/>
            <c:extLst>
              <c:ext xmlns:c15="http://schemas.microsoft.com/office/drawing/2012/chart" uri="{CE6537A1-D6FC-4f65-9D91-7224C49458BB}"/>
            </c:extLst>
          </c:dLbls>
          <c:cat>
            <c:strRef>
              <c:f>aux!$O$2:$O$6</c:f>
              <c:strCache>
                <c:ptCount val="4"/>
                <c:pt idx="0">
                  <c:v>Adicionado 22/12/2023</c:v>
                </c:pt>
                <c:pt idx="1">
                  <c:v>Alterado 22/12/2023</c:v>
                </c:pt>
                <c:pt idx="2">
                  <c:v>Removido 22/12/2023</c:v>
                </c:pt>
                <c:pt idx="3">
                  <c:v>Sem alterações</c:v>
                </c:pt>
              </c:strCache>
            </c:strRef>
          </c:cat>
          <c:val>
            <c:numRef>
              <c:f>aux!$P$2:$P$6</c:f>
              <c:numCache>
                <c:formatCode>General</c:formatCode>
                <c:ptCount val="4"/>
                <c:pt idx="0">
                  <c:v>4</c:v>
                </c:pt>
                <c:pt idx="1">
                  <c:v>8</c:v>
                </c:pt>
                <c:pt idx="2">
                  <c:v>1</c:v>
                </c:pt>
                <c:pt idx="3">
                  <c:v>38</c:v>
                </c:pt>
              </c:numCache>
            </c:numRef>
          </c:val>
          <c:extLst>
            <c:ext xmlns:c16="http://schemas.microsoft.com/office/drawing/2014/chart" uri="{C3380CC4-5D6E-409C-BE32-E72D297353CC}">
              <c16:uniqueId val="{0000001C-EA2D-4476-9C4E-18D0BB50D56A}"/>
            </c:ext>
          </c:extLst>
        </c:ser>
        <c:dLbls>
          <c:showLegendKey val="0"/>
          <c:showVal val="0"/>
          <c:showCatName val="0"/>
          <c:showSerName val="0"/>
          <c:showPercent val="1"/>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ln>
      <a:solidFill>
        <a:schemeClr val="bg1">
          <a:lumMod val="95000"/>
        </a:schemeClr>
      </a:solidFill>
    </a:ln>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[Indicadores_22032024.xlsx]aux!PivotTable6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bg1">
              <a:lumMod val="95000"/>
            </a:schemeClr>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bg1">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0783055555555557"/>
          <c:y val="0.2200787401574803"/>
          <c:w val="0.33847435897435896"/>
          <c:h val="0.62994512049630158"/>
        </c:manualLayout>
      </c:layout>
      <c:pieChart>
        <c:varyColors val="1"/>
        <c:ser>
          <c:idx val="0"/>
          <c:order val="0"/>
          <c:tx>
            <c:strRef>
              <c:f>aux!$P$24</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A0A5-4C2F-A219-9DE9CDEA310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20-A0A5-4C2F-A219-9DE9CDEA31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13-A0A5-4C2F-A219-9DE9CDEA3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aux!$O$25:$O$28</c:f>
              <c:strCache>
                <c:ptCount val="3"/>
                <c:pt idx="0">
                  <c:v>Disponibilizado para teste</c:v>
                </c:pt>
                <c:pt idx="1">
                  <c:v>Em implementação</c:v>
                </c:pt>
                <c:pt idx="2">
                  <c:v>Em análise de requisitos</c:v>
                </c:pt>
              </c:strCache>
            </c:strRef>
          </c:cat>
          <c:val>
            <c:numRef>
              <c:f>aux!$P$25:$P$28</c:f>
              <c:numCache>
                <c:formatCode>General</c:formatCode>
                <c:ptCount val="3"/>
                <c:pt idx="0">
                  <c:v>41</c:v>
                </c:pt>
                <c:pt idx="1">
                  <c:v>7</c:v>
                </c:pt>
                <c:pt idx="2">
                  <c:v>2</c:v>
                </c:pt>
              </c:numCache>
            </c:numRef>
          </c:val>
          <c:extLst>
            <c:ext xmlns:c16="http://schemas.microsoft.com/office/drawing/2014/chart" uri="{C3380CC4-5D6E-409C-BE32-E72D297353CC}">
              <c16:uniqueId val="{00000000-A0A5-4C2F-A219-9DE9CDEA3107}"/>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[Indicadores_22032024.xlsx]aux!PivotTable4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D937"/>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FF0000"/>
          </a:solidFill>
          <a:ln w="19050">
            <a:solidFill>
              <a:schemeClr val="lt1"/>
            </a:solidFill>
          </a:ln>
          <a:effectLst/>
        </c:spPr>
      </c:pivotFmt>
    </c:pivotFmts>
    <c:plotArea>
      <c:layout>
        <c:manualLayout>
          <c:layoutTarget val="inner"/>
          <c:xMode val="edge"/>
          <c:yMode val="edge"/>
          <c:x val="0.25472856517935261"/>
          <c:y val="0.20532589676290464"/>
          <c:w val="0.42244094488188971"/>
          <c:h val="0.70406824146981617"/>
        </c:manualLayout>
      </c:layout>
      <c:pieChart>
        <c:varyColors val="1"/>
        <c:ser>
          <c:idx val="0"/>
          <c:order val="0"/>
          <c:tx>
            <c:strRef>
              <c:f>aux!$P$33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E-745C-4437-8C0D-3F1A56A9DFD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7-745C-4437-8C0D-3F1A56A9DF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15-745C-4437-8C0D-3F1A56A9DF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aux!$O$34:$O$37</c:f>
              <c:strCache>
                <c:ptCount val="3"/>
                <c:pt idx="0">
                  <c:v>Em teste</c:v>
                </c:pt>
                <c:pt idx="1">
                  <c:v>NOK</c:v>
                </c:pt>
                <c:pt idx="2">
                  <c:v>OK</c:v>
                </c:pt>
              </c:strCache>
            </c:strRef>
          </c:cat>
          <c:val>
            <c:numRef>
              <c:f>aux!$P$34:$P$37</c:f>
              <c:numCache>
                <c:formatCode>General</c:formatCode>
                <c:ptCount val="3"/>
                <c:pt idx="0">
                  <c:v>16</c:v>
                </c:pt>
                <c:pt idx="1">
                  <c:v>4</c:v>
                </c:pt>
                <c:pt idx="2">
                  <c:v>21</c:v>
                </c:pt>
              </c:numCache>
            </c:numRef>
          </c:val>
          <c:extLst>
            <c:ext xmlns:c16="http://schemas.microsoft.com/office/drawing/2014/chart" uri="{C3380CC4-5D6E-409C-BE32-E72D297353CC}">
              <c16:uniqueId val="{00000000-745C-4437-8C0D-3F1A56A9DF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40.svg"/><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xdr:col>
      <xdr:colOff>149628</xdr:colOff>
      <xdr:row>4</xdr:row>
      <xdr:rowOff>88323</xdr:rowOff>
    </xdr:from>
    <xdr:to>
      <xdr:col>5</xdr:col>
      <xdr:colOff>183814</xdr:colOff>
      <xdr:row>8</xdr:row>
      <xdr:rowOff>16159</xdr:rowOff>
    </xdr:to>
    <mc:AlternateContent xmlns:mc="http://schemas.openxmlformats.org/markup-compatibility/2006" xmlns:sle15="http://schemas.microsoft.com/office/drawing/2012/slicer">
      <mc:Choice Requires="sle15">
        <xdr:graphicFrame macro="">
          <xdr:nvGraphicFramePr>
            <xdr:cNvPr id="2" name="Resumo Origem"/>
            <xdr:cNvGraphicFramePr/>
          </xdr:nvGraphicFramePr>
          <xdr:xfrm>
            <a:off x="0" y="0"/>
            <a:ext cx="0" cy="0"/>
          </xdr:xfrm>
          <a:graphic>
            <a:graphicData uri="http://schemas.microsoft.com/office/drawing/2010/slicer">
              <sle:slicer xmlns:sle="http://schemas.microsoft.com/office/drawing/2010/slicer" name="Resumo Origem"/>
            </a:graphicData>
          </a:graphic>
        </xdr:graphicFrame>
      </mc:Choice>
      <mc:Fallback xmlns="">
        <xdr:sp macro="" textlink="">
          <xdr:nvSpPr>
            <xdr:cNvPr id="0" name=""/>
            <xdr:cNvSpPr>
              <a:spLocks noTextEdit="1"/>
            </xdr:cNvSpPr>
          </xdr:nvSpPr>
          <xdr:spPr>
            <a:xfrm>
              <a:off x="357446" y="685800"/>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149628</xdr:colOff>
      <xdr:row>11</xdr:row>
      <xdr:rowOff>109450</xdr:rowOff>
    </xdr:from>
    <xdr:to>
      <xdr:col>5</xdr:col>
      <xdr:colOff>183814</xdr:colOff>
      <xdr:row>15</xdr:row>
      <xdr:rowOff>37287</xdr:rowOff>
    </xdr:to>
    <mc:AlternateContent xmlns:mc="http://schemas.openxmlformats.org/markup-compatibility/2006" xmlns:sle15="http://schemas.microsoft.com/office/drawing/2012/slicer">
      <mc:Choice Requires="sle15">
        <xdr:graphicFrame macro="">
          <xdr:nvGraphicFramePr>
            <xdr:cNvPr id="3" name="Status Universo"/>
            <xdr:cNvGraphicFramePr/>
          </xdr:nvGraphicFramePr>
          <xdr:xfrm>
            <a:off x="0" y="0"/>
            <a:ext cx="0" cy="0"/>
          </xdr:xfrm>
          <a:graphic>
            <a:graphicData uri="http://schemas.microsoft.com/office/drawing/2010/slicer">
              <sle:slicer xmlns:sle="http://schemas.microsoft.com/office/drawing/2010/slicer" name="Status Universo"/>
            </a:graphicData>
          </a:graphic>
        </xdr:graphicFrame>
      </mc:Choice>
      <mc:Fallback xmlns="">
        <xdr:sp macro="" textlink="">
          <xdr:nvSpPr>
            <xdr:cNvPr id="0" name=""/>
            <xdr:cNvSpPr>
              <a:spLocks noTextEdit="1"/>
            </xdr:cNvSpPr>
          </xdr:nvSpPr>
          <xdr:spPr>
            <a:xfrm>
              <a:off x="357446" y="1979814"/>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149627</xdr:colOff>
      <xdr:row>7</xdr:row>
      <xdr:rowOff>156556</xdr:rowOff>
    </xdr:from>
    <xdr:to>
      <xdr:col>5</xdr:col>
      <xdr:colOff>181841</xdr:colOff>
      <xdr:row>11</xdr:row>
      <xdr:rowOff>84392</xdr:rowOff>
    </xdr:to>
    <mc:AlternateContent xmlns:mc="http://schemas.openxmlformats.org/markup-compatibility/2006" xmlns:sle15="http://schemas.microsoft.com/office/drawing/2012/slicer">
      <mc:Choice Requires="sle15">
        <xdr:graphicFrame macro="">
          <xdr:nvGraphicFramePr>
            <xdr:cNvPr id="4" name="Owne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357445" y="1299556"/>
              <a:ext cx="5426828"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1011033</xdr:colOff>
      <xdr:row>4</xdr:row>
      <xdr:rowOff>136122</xdr:rowOff>
    </xdr:from>
    <xdr:to>
      <xdr:col>15</xdr:col>
      <xdr:colOff>394669</xdr:colOff>
      <xdr:row>8</xdr:row>
      <xdr:rowOff>17158</xdr:rowOff>
    </xdr:to>
    <mc:AlternateContent xmlns:mc="http://schemas.openxmlformats.org/markup-compatibility/2006" xmlns:sle15="http://schemas.microsoft.com/office/drawing/2012/slicer">
      <mc:Choice Requires="sle15">
        <xdr:graphicFrame macro="">
          <xdr:nvGraphicFramePr>
            <xdr:cNvPr id="5" name="1 FR - 1 MIS"/>
            <xdr:cNvGraphicFramePr/>
          </xdr:nvGraphicFramePr>
          <xdr:xfrm>
            <a:off x="0" y="0"/>
            <a:ext cx="0" cy="0"/>
          </xdr:xfrm>
          <a:graphic>
            <a:graphicData uri="http://schemas.microsoft.com/office/drawing/2010/slicer">
              <sle:slicer xmlns:sle="http://schemas.microsoft.com/office/drawing/2010/slicer" name="1 FR - 1 MIS"/>
            </a:graphicData>
          </a:graphic>
        </xdr:graphicFrame>
      </mc:Choice>
      <mc:Fallback xmlns="">
        <xdr:sp macro="" textlink="">
          <xdr:nvSpPr>
            <xdr:cNvPr id="0" name=""/>
            <xdr:cNvSpPr>
              <a:spLocks noTextEdit="1"/>
            </xdr:cNvSpPr>
          </xdr:nvSpPr>
          <xdr:spPr>
            <a:xfrm>
              <a:off x="10717874" y="7335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1011033</xdr:colOff>
      <xdr:row>8</xdr:row>
      <xdr:rowOff>10045</xdr:rowOff>
    </xdr:from>
    <xdr:to>
      <xdr:col>15</xdr:col>
      <xdr:colOff>394669</xdr:colOff>
      <xdr:row>11</xdr:row>
      <xdr:rowOff>72922</xdr:rowOff>
    </xdr:to>
    <mc:AlternateContent xmlns:mc="http://schemas.openxmlformats.org/markup-compatibility/2006" xmlns:sle15="http://schemas.microsoft.com/office/drawing/2012/slicer">
      <mc:Choice Requires="sle15">
        <xdr:graphicFrame macro="">
          <xdr:nvGraphicFramePr>
            <xdr:cNvPr id="6" name="1 FR - N MIS"/>
            <xdr:cNvGraphicFramePr/>
          </xdr:nvGraphicFramePr>
          <xdr:xfrm>
            <a:off x="0" y="0"/>
            <a:ext cx="0" cy="0"/>
          </xdr:xfrm>
          <a:graphic>
            <a:graphicData uri="http://schemas.microsoft.com/office/drawing/2010/slicer">
              <sle:slicer xmlns:sle="http://schemas.microsoft.com/office/drawing/2010/slicer" name="1 FR - N MIS"/>
            </a:graphicData>
          </a:graphic>
        </xdr:graphicFrame>
      </mc:Choice>
      <mc:Fallback xmlns="">
        <xdr:sp macro="" textlink="">
          <xdr:nvSpPr>
            <xdr:cNvPr id="0" name=""/>
            <xdr:cNvSpPr>
              <a:spLocks noTextEdit="1"/>
            </xdr:cNvSpPr>
          </xdr:nvSpPr>
          <xdr:spPr>
            <a:xfrm>
              <a:off x="10717874" y="1334886"/>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1011033</xdr:colOff>
      <xdr:row>11</xdr:row>
      <xdr:rowOff>92135</xdr:rowOff>
    </xdr:from>
    <xdr:to>
      <xdr:col>15</xdr:col>
      <xdr:colOff>394669</xdr:colOff>
      <xdr:row>14</xdr:row>
      <xdr:rowOff>155013</xdr:rowOff>
    </xdr:to>
    <mc:AlternateContent xmlns:mc="http://schemas.openxmlformats.org/markup-compatibility/2006" xmlns:sle15="http://schemas.microsoft.com/office/drawing/2012/slicer">
      <mc:Choice Requires="sle15">
        <xdr:graphicFrame macro="">
          <xdr:nvGraphicFramePr>
            <xdr:cNvPr id="7" name="N FR - N MIS"/>
            <xdr:cNvGraphicFramePr/>
          </xdr:nvGraphicFramePr>
          <xdr:xfrm>
            <a:off x="0" y="0"/>
            <a:ext cx="0" cy="0"/>
          </xdr:xfrm>
          <a:graphic>
            <a:graphicData uri="http://schemas.microsoft.com/office/drawing/2010/slicer">
              <sle:slicer xmlns:sle="http://schemas.microsoft.com/office/drawing/2010/slicer" name="N FR - N MIS"/>
            </a:graphicData>
          </a:graphic>
        </xdr:graphicFrame>
      </mc:Choice>
      <mc:Fallback xmlns="">
        <xdr:sp macro="" textlink="">
          <xdr:nvSpPr>
            <xdr:cNvPr id="0" name=""/>
            <xdr:cNvSpPr>
              <a:spLocks noTextEdit="1"/>
            </xdr:cNvSpPr>
          </xdr:nvSpPr>
          <xdr:spPr>
            <a:xfrm>
              <a:off x="10717874" y="19624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5" name="AutoShape 1"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6" name="AutoShape 2"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1400178</xdr:colOff>
      <xdr:row>0</xdr:row>
      <xdr:rowOff>69274</xdr:rowOff>
    </xdr:from>
    <xdr:to>
      <xdr:col>1</xdr:col>
      <xdr:colOff>2390386</xdr:colOff>
      <xdr:row>2</xdr:row>
      <xdr:rowOff>126982</xdr:rowOff>
    </xdr:to>
    <xdr:pic>
      <xdr:nvPicPr>
        <xdr:cNvPr id="10" name="Graphic 267">
          <a:extLst>
            <a:ext uri="{FF2B5EF4-FFF2-40B4-BE49-F238E27FC236}">
              <a16:creationId xmlns:a16="http://schemas.microsoft.com/office/drawing/2014/main" id="{298EC5A3-40ED-43DE-8284-6286606CF1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607996" y="69274"/>
          <a:ext cx="990208" cy="421390"/>
        </a:xfrm>
        <a:prstGeom prst="rect">
          <a:avLst/>
        </a:prstGeom>
      </xdr:spPr>
    </xdr:pic>
    <xdr:clientData/>
  </xdr:twoCellAnchor>
  <xdr:twoCellAnchor editAs="absolute">
    <xdr:from>
      <xdr:col>1</xdr:col>
      <xdr:colOff>0</xdr:colOff>
      <xdr:row>0</xdr:row>
      <xdr:rowOff>181458</xdr:rowOff>
    </xdr:from>
    <xdr:to>
      <xdr:col>1</xdr:col>
      <xdr:colOff>1066453</xdr:colOff>
      <xdr:row>1</xdr:row>
      <xdr:rowOff>173596</xdr:rowOff>
    </xdr:to>
    <xdr:pic>
      <xdr:nvPicPr>
        <xdr:cNvPr id="11"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07818" y="181458"/>
          <a:ext cx="1066453" cy="173979"/>
        </a:xfrm>
        <a:prstGeom prst="rect">
          <a:avLst/>
        </a:prstGeom>
      </xdr:spPr>
    </xdr:pic>
    <xdr:clientData/>
  </xdr:twoCellAnchor>
  <xdr:twoCellAnchor editAs="absolute">
    <xdr:from>
      <xdr:col>37</xdr:col>
      <xdr:colOff>528204</xdr:colOff>
      <xdr:row>2</xdr:row>
      <xdr:rowOff>10045</xdr:rowOff>
    </xdr:from>
    <xdr:to>
      <xdr:col>40</xdr:col>
      <xdr:colOff>426026</xdr:colOff>
      <xdr:row>16</xdr:row>
      <xdr:rowOff>61134</xdr:rowOff>
    </xdr:to>
    <mc:AlternateContent xmlns:mc="http://schemas.openxmlformats.org/markup-compatibility/2006" xmlns:sle15="http://schemas.microsoft.com/office/drawing/2012/slicer">
      <mc:Choice Requires="sle15">
        <xdr:graphicFrame macro="">
          <xdr:nvGraphicFramePr>
            <xdr:cNvPr id="8" name="Column1"/>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29319681" y="373727"/>
              <a:ext cx="1828800" cy="2466975"/>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123825</xdr:rowOff>
    </xdr:from>
    <xdr:to>
      <xdr:col>10</xdr:col>
      <xdr:colOff>212775</xdr:colOff>
      <xdr:row>20</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333375</xdr:colOff>
      <xdr:row>1</xdr:row>
      <xdr:rowOff>8283</xdr:rowOff>
    </xdr:from>
    <xdr:to>
      <xdr:col>2</xdr:col>
      <xdr:colOff>548368</xdr:colOff>
      <xdr:row>1</xdr:row>
      <xdr:rowOff>162349</xdr:rowOff>
    </xdr:to>
    <xdr:pic>
      <xdr:nvPicPr>
        <xdr:cNvPr id="4"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609600" y="190500"/>
          <a:ext cx="824593" cy="154066"/>
        </a:xfrm>
        <a:prstGeom prst="rect">
          <a:avLst/>
        </a:prstGeom>
      </xdr:spPr>
    </xdr:pic>
    <xdr:clientData/>
  </xdr:twoCellAnchor>
  <xdr:twoCellAnchor>
    <xdr:from>
      <xdr:col>11</xdr:col>
      <xdr:colOff>54769</xdr:colOff>
      <xdr:row>5</xdr:row>
      <xdr:rowOff>123825</xdr:rowOff>
    </xdr:from>
    <xdr:to>
      <xdr:col>20</xdr:col>
      <xdr:colOff>134194</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24932</xdr:colOff>
      <xdr:row>5</xdr:row>
      <xdr:rowOff>114860</xdr:rowOff>
    </xdr:from>
    <xdr:to>
      <xdr:col>30</xdr:col>
      <xdr:colOff>275807</xdr:colOff>
      <xdr:row>20</xdr:row>
      <xdr:rowOff>560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19743</xdr:colOff>
      <xdr:row>5</xdr:row>
      <xdr:rowOff>19050</xdr:rowOff>
    </xdr:from>
    <xdr:to>
      <xdr:col>9</xdr:col>
      <xdr:colOff>8831</xdr:colOff>
      <xdr:row>5</xdr:row>
      <xdr:rowOff>19050</xdr:rowOff>
    </xdr:to>
    <xdr:cxnSp macro="">
      <xdr:nvCxnSpPr>
        <xdr:cNvPr id="11" name="Straight Connector 10"/>
        <xdr:cNvCxnSpPr/>
      </xdr:nvCxnSpPr>
      <xdr:spPr>
        <a:xfrm>
          <a:off x="2959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48318</xdr:colOff>
      <xdr:row>5</xdr:row>
      <xdr:rowOff>19050</xdr:rowOff>
    </xdr:from>
    <xdr:to>
      <xdr:col>18</xdr:col>
      <xdr:colOff>246956</xdr:colOff>
      <xdr:row>5</xdr:row>
      <xdr:rowOff>19050</xdr:rowOff>
    </xdr:to>
    <xdr:cxnSp macro="">
      <xdr:nvCxnSpPr>
        <xdr:cNvPr id="12" name="Straight Connector 11"/>
        <xdr:cNvCxnSpPr/>
      </xdr:nvCxnSpPr>
      <xdr:spPr>
        <a:xfrm>
          <a:off x="54013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38793</xdr:colOff>
      <xdr:row>5</xdr:row>
      <xdr:rowOff>19050</xdr:rowOff>
    </xdr:from>
    <xdr:to>
      <xdr:col>29</xdr:col>
      <xdr:colOff>361256</xdr:colOff>
      <xdr:row>5</xdr:row>
      <xdr:rowOff>19050</xdr:rowOff>
    </xdr:to>
    <xdr:cxnSp macro="">
      <xdr:nvCxnSpPr>
        <xdr:cNvPr id="13" name="Straight Connector 12"/>
        <xdr:cNvCxnSpPr/>
      </xdr:nvCxnSpPr>
      <xdr:spPr>
        <a:xfrm>
          <a:off x="10763943"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270755</xdr:colOff>
      <xdr:row>25</xdr:row>
      <xdr:rowOff>19050</xdr:rowOff>
    </xdr:from>
    <xdr:to>
      <xdr:col>8</xdr:col>
      <xdr:colOff>331561</xdr:colOff>
      <xdr:row>25</xdr:row>
      <xdr:rowOff>19050</xdr:rowOff>
    </xdr:to>
    <xdr:cxnSp macro="">
      <xdr:nvCxnSpPr>
        <xdr:cNvPr id="14" name="Straight Connector 13"/>
        <xdr:cNvCxnSpPr/>
      </xdr:nvCxnSpPr>
      <xdr:spPr>
        <a:xfrm>
          <a:off x="270755" y="4097991"/>
          <a:ext cx="4632806"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antandernet-my.sharepoint.com/Users/e804061/Santander%20Office%20365/Testes%20GD%20&amp;%20Pilar%203%20ESG%20-%20General/02.%20Green%20Dashboard/2.%20Testes/01.%20Testes%20Dados/Indicadores_0202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ugo Alexandre Redondo Reia" refreshedDate="45322.52231122685" createdVersion="6" refreshedVersion="6" minRefreshableVersion="3" recordCount="3665">
  <cacheSource type="worksheet">
    <worksheetSource ref="A1:C3666" sheet="N Cruza" r:id="rId2"/>
  </cacheSource>
  <cacheFields count="3">
    <cacheField name="instrmnt_id" numFmtId="49">
      <sharedItems/>
    </cacheField>
    <cacheField name="chave_fr" numFmtId="49">
      <sharedItems/>
    </cacheField>
    <cacheField name="tipo" numFmtId="0">
      <sharedItems containsBlank="1" count="6">
        <s v="SNCN"/>
        <s v="CMAH"/>
        <m/>
        <s v="Emp 82"/>
        <s v="C pelo meio"/>
        <s v="SUPRIMENTOSPTT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enrique Crespo Rodrigues Antunes Correia" refreshedDate="45369.524996527776" createdVersion="6" refreshedVersion="6" minRefreshableVersion="3" recordCount="51">
  <cacheSource type="worksheet">
    <worksheetSource ref="A1:J52" sheet="aux"/>
  </cacheSource>
  <cacheFields count="10">
    <cacheField name="Campo" numFmtId="0">
      <sharedItems/>
    </cacheField>
    <cacheField name="OK" numFmtId="3">
      <sharedItems containsSemiMixedTypes="0" containsString="0" containsNumber="1" containsInteger="1" minValue="0" maxValue="2020862"/>
    </cacheField>
    <cacheField name="NOK" numFmtId="3">
      <sharedItems containsSemiMixedTypes="0" containsString="0" containsNumber="1" containsInteger="1" minValue="0" maxValue="2020862"/>
    </cacheField>
    <cacheField name="WIP" numFmtId="3">
      <sharedItems containsSemiMixedTypes="0" containsString="0" containsNumber="1" containsInteger="1" minValue="0" maxValue="160239"/>
    </cacheField>
    <cacheField name="Not Started" numFmtId="3">
      <sharedItems containsSemiMixedTypes="0" containsString="0" containsNumber="1" containsInteger="1" minValue="0" maxValue="2020862"/>
    </cacheField>
    <cacheField name="NA" numFmtId="3">
      <sharedItems containsSemiMixedTypes="0" containsString="0" containsNumber="1" containsInteger="1" minValue="0" maxValue="3665"/>
    </cacheField>
    <cacheField name="Status" numFmtId="0">
      <sharedItems count="6">
        <s v="Concluído"/>
        <s v="NA"/>
        <s v="Em Implementação"/>
        <s v="Em Correção"/>
        <s v="Em teste"/>
        <s v="Em análise de requisitos"/>
      </sharedItems>
    </cacheField>
    <cacheField name="Alterações Corp" numFmtId="0">
      <sharedItems count="4">
        <s v="Sem alterações"/>
        <s v="Removido 22/12/2023"/>
        <s v="Adicionado 22/12/2023"/>
        <s v="Alterado 22/12/2023"/>
      </sharedItems>
    </cacheField>
    <cacheField name="Status base" numFmtId="0">
      <sharedItems count="4">
        <s v="Disponibilizado para teste"/>
        <s v="NA"/>
        <s v="Em implementação"/>
        <s v="Em análise de requisitos"/>
      </sharedItems>
    </cacheField>
    <cacheField name="Status teste" numFmtId="0">
      <sharedItems count="6">
        <s v="OK"/>
        <s v="NA"/>
        <s v="Em Implementação"/>
        <s v="NOK"/>
        <s v="Em teste"/>
        <s v="Em análise de requisi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5">
  <r>
    <s v="SNCN00000811"/>
    <s v="NULL"/>
    <x v="0"/>
  </r>
  <r>
    <s v="SNCN00000132"/>
    <s v="NULL"/>
    <x v="0"/>
  </r>
  <r>
    <s v="SNCN00000449"/>
    <s v="NULL"/>
    <x v="0"/>
  </r>
  <r>
    <s v="80CMAH000000WP455000000000086388"/>
    <s v="NULL"/>
    <x v="1"/>
  </r>
  <r>
    <s v="31000310419104090069674560100000"/>
    <s v="NULL"/>
    <x v="2"/>
  </r>
  <r>
    <s v="31000310171753091069673570100000"/>
    <s v="NULL"/>
    <x v="2"/>
  </r>
  <r>
    <s v="31000310172199091069674210100000"/>
    <s v="NULL"/>
    <x v="2"/>
  </r>
  <r>
    <s v="31CMAH0000000000R262304820019730"/>
    <s v="NULL"/>
    <x v="1"/>
  </r>
  <r>
    <s v="31CMAH0000000000R362304820963130"/>
    <s v="NULL"/>
    <x v="1"/>
  </r>
  <r>
    <s v="31CMAH0000000000RAPL384459860000"/>
    <s v="NULL"/>
    <x v="1"/>
  </r>
  <r>
    <s v="82000000000021154000450000404079"/>
    <s v="NULL"/>
    <x v="3"/>
  </r>
  <r>
    <s v="82000000007002745000200000645171"/>
    <s v="NULL"/>
    <x v="3"/>
  </r>
  <r>
    <s v="82000000007007660000200000654205"/>
    <s v="NULL"/>
    <x v="3"/>
  </r>
  <r>
    <s v="82000000007008136000200000656216"/>
    <s v="NULL"/>
    <x v="3"/>
  </r>
  <r>
    <s v="82000000007009031000200000661116"/>
    <s v="NULL"/>
    <x v="3"/>
  </r>
  <r>
    <s v="82000000007011204000200000681045"/>
    <s v="NULL"/>
    <x v="3"/>
  </r>
  <r>
    <s v="82000000007013337000200000690590"/>
    <s v="NULL"/>
    <x v="3"/>
  </r>
  <r>
    <s v="82000000007017412000200000680116"/>
    <s v="NULL"/>
    <x v="3"/>
  </r>
  <r>
    <s v="82000000007017955000200000753985"/>
    <s v="NULL"/>
    <x v="3"/>
  </r>
  <r>
    <s v="89CMAH2022000041R001520220603343"/>
    <s v="NULL"/>
    <x v="1"/>
  </r>
  <r>
    <s v="89CMAH2022000041R001520230085361"/>
    <s v="NULL"/>
    <x v="1"/>
  </r>
  <r>
    <s v="89CMAH2022000041R001520230085476"/>
    <s v="NULL"/>
    <x v="1"/>
  </r>
  <r>
    <s v="89CMAH2022000041R001520230144551"/>
    <s v="NULL"/>
    <x v="1"/>
  </r>
  <r>
    <s v="89CMAH2022000041R001520230144867"/>
    <s v="NULL"/>
    <x v="1"/>
  </r>
  <r>
    <s v="89CMAH2022000041R001520230177979"/>
    <s v="NULL"/>
    <x v="1"/>
  </r>
  <r>
    <s v="89CMAH2022000041R001520230178096"/>
    <s v="NULL"/>
    <x v="1"/>
  </r>
  <r>
    <s v="89CMAH2022000041R001520230178563"/>
    <s v="NULL"/>
    <x v="1"/>
  </r>
  <r>
    <s v="89CMAH2022000041R001520230234131"/>
    <s v="NULL"/>
    <x v="1"/>
  </r>
  <r>
    <s v="89CMAH2022000041R001520230234147"/>
    <s v="NULL"/>
    <x v="1"/>
  </r>
  <r>
    <s v="89CMAH2022000041R001520230234336"/>
    <s v="NULL"/>
    <x v="1"/>
  </r>
  <r>
    <s v="89CMAH2022000041R001520230234448"/>
    <s v="NULL"/>
    <x v="1"/>
  </r>
  <r>
    <s v="89CMAH2022000041R001520230234603"/>
    <s v="NULL"/>
    <x v="1"/>
  </r>
  <r>
    <s v="89CMAH2022000041R001520230234665"/>
    <s v="NULL"/>
    <x v="1"/>
  </r>
  <r>
    <s v="89CMAH2022000041R001520230289492"/>
    <s v="NULL"/>
    <x v="1"/>
  </r>
  <r>
    <s v="89CMAH2022000041R001520230289493"/>
    <s v="NULL"/>
    <x v="1"/>
  </r>
  <r>
    <s v="89CMAH2022000041R001520230289505"/>
    <s v="NULL"/>
    <x v="1"/>
  </r>
  <r>
    <s v="89CMAH2022000041R001520230289509"/>
    <s v="NULL"/>
    <x v="1"/>
  </r>
  <r>
    <s v="89CMAH2022000041R001520230289537"/>
    <s v="NULL"/>
    <x v="1"/>
  </r>
  <r>
    <s v="89CMAH2022000041R001520230289548"/>
    <s v="NULL"/>
    <x v="1"/>
  </r>
  <r>
    <s v="89CMAH2022000041R001520230289616"/>
    <s v="NULL"/>
    <x v="1"/>
  </r>
  <r>
    <s v="89CMAH2022000041R001520230289662"/>
    <s v="NULL"/>
    <x v="1"/>
  </r>
  <r>
    <s v="89CMAH2022000041R001520230289954"/>
    <s v="NULL"/>
    <x v="1"/>
  </r>
  <r>
    <s v="89CMAH2022000041R001520230290013"/>
    <s v="NULL"/>
    <x v="1"/>
  </r>
  <r>
    <s v="89CMAH2022000041R001520230290112"/>
    <s v="NULL"/>
    <x v="1"/>
  </r>
  <r>
    <s v="89CMAH2022000041R001520230290153"/>
    <s v="NULL"/>
    <x v="1"/>
  </r>
  <r>
    <s v="89CMAH2022000041R001520230290158"/>
    <s v="NULL"/>
    <x v="1"/>
  </r>
  <r>
    <s v="89CMAH2022000041R001520230290437"/>
    <s v="NULL"/>
    <x v="1"/>
  </r>
  <r>
    <s v="89CMAH2022000041R001520230290460"/>
    <s v="NULL"/>
    <x v="1"/>
  </r>
  <r>
    <s v="89CMAH2022000041R001520230290467"/>
    <s v="NULL"/>
    <x v="1"/>
  </r>
  <r>
    <s v="89CMAH2022000041R001520230290482"/>
    <s v="NULL"/>
    <x v="1"/>
  </r>
  <r>
    <s v="89CMAH2022000041R001520230290495"/>
    <s v="NULL"/>
    <x v="1"/>
  </r>
  <r>
    <s v="89CMAH2022000041R001520230290570"/>
    <s v="NULL"/>
    <x v="1"/>
  </r>
  <r>
    <s v="89CMAH2022000041R001520230290576"/>
    <s v="NULL"/>
    <x v="1"/>
  </r>
  <r>
    <s v="89CMAH2022000041R001520230290647"/>
    <s v="NULL"/>
    <x v="1"/>
  </r>
  <r>
    <s v="89CMAH2022000041R001520230290893"/>
    <s v="NULL"/>
    <x v="1"/>
  </r>
  <r>
    <s v="89CMAH2022000041R001520230290929"/>
    <s v="NULL"/>
    <x v="1"/>
  </r>
  <r>
    <s v="SNCN00000107"/>
    <s v="NULL"/>
    <x v="0"/>
  </r>
  <r>
    <s v="SNCN00000211"/>
    <s v="NULL"/>
    <x v="0"/>
  </r>
  <r>
    <s v="SNCN00000501"/>
    <s v="NULL"/>
    <x v="0"/>
  </r>
  <r>
    <s v="SNCN00000613"/>
    <s v="NULL"/>
    <x v="0"/>
  </r>
  <r>
    <s v="SNCN00000662"/>
    <s v="NULL"/>
    <x v="0"/>
  </r>
  <r>
    <s v="SNCN00000747"/>
    <s v="NULL"/>
    <x v="0"/>
  </r>
  <r>
    <s v="SNCN00000771"/>
    <s v="NULL"/>
    <x v="0"/>
  </r>
  <r>
    <s v="31CMAH0000000000R962304820306090"/>
    <s v="NULL"/>
    <x v="1"/>
  </r>
  <r>
    <s v="31CMAH0000000000R962304820307850"/>
    <s v="NULL"/>
    <x v="1"/>
  </r>
  <r>
    <s v="31CMAH0000000000R962304870356900"/>
    <s v="NULL"/>
    <x v="1"/>
  </r>
  <r>
    <s v="31CMAHenergyS1xS2OVER2ENFSMERT0G"/>
    <s v="NULL"/>
    <x v="1"/>
  </r>
  <r>
    <s v="82000000000119708000450000423452"/>
    <s v="NULL"/>
    <x v="3"/>
  </r>
  <r>
    <s v="82000000005045211000510000512979"/>
    <s v="NULL"/>
    <x v="3"/>
  </r>
  <r>
    <s v="82000000007002734000200000542150"/>
    <s v="NULL"/>
    <x v="3"/>
  </r>
  <r>
    <s v="82000000007003285000200000830802"/>
    <s v="NULL"/>
    <x v="3"/>
  </r>
  <r>
    <s v="82000000007009118000200000662058"/>
    <s v="NULL"/>
    <x v="3"/>
  </r>
  <r>
    <s v="82000000007009811000200000654207"/>
    <s v="NULL"/>
    <x v="3"/>
  </r>
  <r>
    <s v="82000000007011272000200000680260"/>
    <s v="NULL"/>
    <x v="3"/>
  </r>
  <r>
    <s v="82000000007015909000200000647104"/>
    <s v="NULL"/>
    <x v="3"/>
  </r>
  <r>
    <s v="89CMAH2022000041R001520220603380"/>
    <s v="NULL"/>
    <x v="1"/>
  </r>
  <r>
    <s v="89CMAH2022000041R001520230039451"/>
    <s v="NULL"/>
    <x v="1"/>
  </r>
  <r>
    <s v="89CMAH2022000041R001520230040009"/>
    <s v="NULL"/>
    <x v="1"/>
  </r>
  <r>
    <s v="89CMAH2022000041R001520230086028"/>
    <s v="NULL"/>
    <x v="1"/>
  </r>
  <r>
    <s v="89CMAH2022000041R001520230086133"/>
    <s v="NULL"/>
    <x v="1"/>
  </r>
  <r>
    <s v="89CMAH2022000041R001520230144759"/>
    <s v="NULL"/>
    <x v="1"/>
  </r>
  <r>
    <s v="89CMAH2022000041R001520230144815"/>
    <s v="NULL"/>
    <x v="1"/>
  </r>
  <r>
    <s v="89CMAH2022000041R001520230177926"/>
    <s v="NULL"/>
    <x v="1"/>
  </r>
  <r>
    <s v="89CMAH2022000041R001520230178069"/>
    <s v="NULL"/>
    <x v="1"/>
  </r>
  <r>
    <s v="89CMAH2022000041R001520230233967"/>
    <s v="NULL"/>
    <x v="1"/>
  </r>
  <r>
    <s v="89CMAH2022000041R001520230233981"/>
    <s v="NULL"/>
    <x v="1"/>
  </r>
  <r>
    <s v="89CMAH2022000041R001520230234023"/>
    <s v="NULL"/>
    <x v="1"/>
  </r>
  <r>
    <s v="89CMAH2022000041R001520230234105"/>
    <s v="NULL"/>
    <x v="1"/>
  </r>
  <r>
    <s v="89CMAH2022000041R001520230234247"/>
    <s v="NULL"/>
    <x v="1"/>
  </r>
  <r>
    <s v="89CMAH2022000041R001520230234296"/>
    <s v="NULL"/>
    <x v="1"/>
  </r>
  <r>
    <s v="89CMAH2022000041R001520230234353"/>
    <s v="NULL"/>
    <x v="1"/>
  </r>
  <r>
    <s v="89CMAH2022000041R001520230234394"/>
    <s v="NULL"/>
    <x v="1"/>
  </r>
  <r>
    <s v="89CMAH2022000041R001520230234542"/>
    <s v="NULL"/>
    <x v="1"/>
  </r>
  <r>
    <s v="89CMAH2022000041R001520230234691"/>
    <s v="NULL"/>
    <x v="1"/>
  </r>
  <r>
    <s v="89CMAH2022000041R001520230289289"/>
    <s v="NULL"/>
    <x v="1"/>
  </r>
  <r>
    <s v="89CMAH2022000041R001520230289553"/>
    <s v="NULL"/>
    <x v="1"/>
  </r>
  <r>
    <s v="89CMAH2022000041R001520230289651"/>
    <s v="NULL"/>
    <x v="1"/>
  </r>
  <r>
    <s v="89CMAH2022000041R001520230289656"/>
    <s v="NULL"/>
    <x v="1"/>
  </r>
  <r>
    <s v="89CMAH2022000041R001520230289773"/>
    <s v="NULL"/>
    <x v="1"/>
  </r>
  <r>
    <s v="89CMAH2022000041R001520230289834"/>
    <s v="NULL"/>
    <x v="1"/>
  </r>
  <r>
    <s v="89CMAH2022000041R001520230289865"/>
    <s v="NULL"/>
    <x v="1"/>
  </r>
  <r>
    <s v="89CMAH2022000041R001520230289882"/>
    <s v="NULL"/>
    <x v="1"/>
  </r>
  <r>
    <s v="89CMAH2022000041R001520230289888"/>
    <s v="NULL"/>
    <x v="1"/>
  </r>
  <r>
    <s v="89CMAH2022000041R001520230289898"/>
    <s v="NULL"/>
    <x v="1"/>
  </r>
  <r>
    <s v="89CMAH2022000041R001520230289926"/>
    <s v="NULL"/>
    <x v="1"/>
  </r>
  <r>
    <s v="89CMAH2022000041R001520230289975"/>
    <s v="NULL"/>
    <x v="1"/>
  </r>
  <r>
    <s v="89CMAH2022000041R001520230290004"/>
    <s v="NULL"/>
    <x v="1"/>
  </r>
  <r>
    <s v="89CMAH2022000041R001520230290050"/>
    <s v="NULL"/>
    <x v="1"/>
  </r>
  <r>
    <s v="89CMAH2022000041R001520230290051"/>
    <s v="NULL"/>
    <x v="1"/>
  </r>
  <r>
    <s v="89CMAH2022000041R001520230290232"/>
    <s v="NULL"/>
    <x v="1"/>
  </r>
  <r>
    <s v="89CMAH2022000041R001520230290269"/>
    <s v="NULL"/>
    <x v="1"/>
  </r>
  <r>
    <s v="89CMAH2022000041R001520230290291"/>
    <s v="NULL"/>
    <x v="1"/>
  </r>
  <r>
    <s v="89CMAH2022000041R001520230290350"/>
    <s v="NULL"/>
    <x v="1"/>
  </r>
  <r>
    <s v="89CMAH2022000041R001520230290435"/>
    <s v="NULL"/>
    <x v="1"/>
  </r>
  <r>
    <s v="89CMAH2022000041R001520230290440"/>
    <s v="NULL"/>
    <x v="1"/>
  </r>
  <r>
    <s v="89CMAH2022000041R001520230290448"/>
    <s v="NULL"/>
    <x v="1"/>
  </r>
  <r>
    <s v="89CMAH2022000041R001520230290464"/>
    <s v="NULL"/>
    <x v="1"/>
  </r>
  <r>
    <s v="89CMAH2022000041R001520230290468"/>
    <s v="NULL"/>
    <x v="1"/>
  </r>
  <r>
    <s v="89CMAH2022000041R001520230290473"/>
    <s v="NULL"/>
    <x v="1"/>
  </r>
  <r>
    <s v="89CMAH2022000041R001520230290676"/>
    <s v="NULL"/>
    <x v="1"/>
  </r>
  <r>
    <s v="89CMAH2022000041R001520230290711"/>
    <s v="NULL"/>
    <x v="1"/>
  </r>
  <r>
    <s v="89CMAH2022000041R001520230290777"/>
    <s v="NULL"/>
    <x v="1"/>
  </r>
  <r>
    <s v="89CMAH2022000041R001520230290838"/>
    <s v="NULL"/>
    <x v="1"/>
  </r>
  <r>
    <s v="89CMAH2022000041R001520230290849"/>
    <s v="NULL"/>
    <x v="1"/>
  </r>
  <r>
    <s v="89CMAH2022000041R001520230290898"/>
    <s v="NULL"/>
    <x v="1"/>
  </r>
  <r>
    <s v="89CMAH2022000041R001520230290903"/>
    <s v="NULL"/>
    <x v="1"/>
  </r>
  <r>
    <s v="SNCN00000106"/>
    <s v="NULL"/>
    <x v="0"/>
  </r>
  <r>
    <s v="SNCN00000143"/>
    <s v="NULL"/>
    <x v="0"/>
  </r>
  <r>
    <s v="SNCN00000243"/>
    <s v="NULL"/>
    <x v="0"/>
  </r>
  <r>
    <s v="SNCN00000295"/>
    <s v="NULL"/>
    <x v="0"/>
  </r>
  <r>
    <s v="SNCN00000302"/>
    <s v="NULL"/>
    <x v="0"/>
  </r>
  <r>
    <s v="SNCN00000343"/>
    <s v="NULL"/>
    <x v="0"/>
  </r>
  <r>
    <s v="SNCN00000599"/>
    <s v="NULL"/>
    <x v="0"/>
  </r>
  <r>
    <s v="SNCN00000601"/>
    <s v="NULL"/>
    <x v="0"/>
  </r>
  <r>
    <s v="SNCN00000887"/>
    <s v="NULL"/>
    <x v="0"/>
  </r>
  <r>
    <s v="31CMAH0000000000R362304820777020"/>
    <s v="NULL"/>
    <x v="1"/>
  </r>
  <r>
    <s v="31CMAH0000000000R962304820311230"/>
    <s v="NULL"/>
    <x v="1"/>
  </r>
  <r>
    <s v="31CMAH0000000000R962304820340420"/>
    <s v="NULL"/>
    <x v="1"/>
  </r>
  <r>
    <s v="31CMAH0000000000R962304820402580"/>
    <s v="NULL"/>
    <x v="1"/>
  </r>
  <r>
    <s v="31CMAH0000000000R962304870364230"/>
    <s v="NULL"/>
    <x v="1"/>
  </r>
  <r>
    <s v="31CMAH0000000000R262304820023840"/>
    <s v="NULL"/>
    <x v="1"/>
  </r>
  <r>
    <s v="31CMAH0000000000R262304840022960"/>
    <s v="NULL"/>
    <x v="1"/>
  </r>
  <r>
    <s v="31CMAH0000000000R962304820272570"/>
    <s v="NULL"/>
    <x v="1"/>
  </r>
  <r>
    <s v="31CMAH0000000000R962304880000820"/>
    <s v="NULL"/>
    <x v="1"/>
  </r>
  <r>
    <s v="31CMAH0000000000RAPL376419330000"/>
    <s v="NULL"/>
    <x v="1"/>
  </r>
  <r>
    <s v="31CMAH0034217800R000000000000000"/>
    <s v="NULL"/>
    <x v="1"/>
  </r>
  <r>
    <s v="82000000000136140000450000506204"/>
    <s v="NULL"/>
    <x v="3"/>
  </r>
  <r>
    <s v="82000000005034180000510000504892"/>
    <s v="NULL"/>
    <x v="3"/>
  </r>
  <r>
    <s v="82000000007001568000200000643817"/>
    <s v="NULL"/>
    <x v="3"/>
  </r>
  <r>
    <s v="82000000007004369000200000647094"/>
    <s v="NULL"/>
    <x v="3"/>
  </r>
  <r>
    <s v="82000000007008534000200000515469"/>
    <s v="NULL"/>
    <x v="3"/>
  </r>
  <r>
    <s v="82000000007011752000200000679815"/>
    <s v="NULL"/>
    <x v="3"/>
  </r>
  <r>
    <s v="31CMAH0000000000R162304880071770"/>
    <s v="NULL"/>
    <x v="1"/>
  </r>
  <r>
    <s v="31CMAH0000000000R599904815306920"/>
    <s v="NULL"/>
    <x v="1"/>
  </r>
  <r>
    <s v="31CMAH0000000000R962304820132350"/>
    <s v="NULL"/>
    <x v="1"/>
  </r>
  <r>
    <s v="31CMAH0000000000R962304820139030"/>
    <s v="NULL"/>
    <x v="1"/>
  </r>
  <r>
    <s v="31CMAH0000000000R962304820345610"/>
    <s v="NULL"/>
    <x v="1"/>
  </r>
  <r>
    <s v="31CMAH0000000000R962304820395570"/>
    <s v="NULL"/>
    <x v="1"/>
  </r>
  <r>
    <s v="31CMAH0000000000R262304820027080"/>
    <s v="NULL"/>
    <x v="1"/>
  </r>
  <r>
    <s v="31CMAH0000000000R362304820798420"/>
    <s v="NULL"/>
    <x v="1"/>
  </r>
  <r>
    <s v="31CMAH0000000000R962304820179730"/>
    <s v="NULL"/>
    <x v="1"/>
  </r>
  <r>
    <s v="31CMAH0000000000R962304820340130"/>
    <s v="NULL"/>
    <x v="1"/>
  </r>
  <r>
    <s v="31CMAH0000000000R962304830371210"/>
    <s v="NULL"/>
    <x v="1"/>
  </r>
  <r>
    <s v="31CMAH0000000000R962304870352020"/>
    <s v="NULL"/>
    <x v="1"/>
  </r>
  <r>
    <s v="31CMAH0000580004RPTGMMBOM0001000"/>
    <s v="NULL"/>
    <x v="1"/>
  </r>
  <r>
    <s v="82000000007000024000200000642158"/>
    <s v="NULL"/>
    <x v="3"/>
  </r>
  <r>
    <s v="82000000007001261000200000643641"/>
    <s v="NULL"/>
    <x v="3"/>
  </r>
  <r>
    <s v="82000000007004323000200000647139"/>
    <s v="NULL"/>
    <x v="3"/>
  </r>
  <r>
    <s v="82000000007004797000200000647783"/>
    <s v="NULL"/>
    <x v="3"/>
  </r>
  <r>
    <s v="82000000007001734000200000643976"/>
    <s v="NULL"/>
    <x v="3"/>
  </r>
  <r>
    <s v="82000000007003918000200000646649"/>
    <s v="NULL"/>
    <x v="3"/>
  </r>
  <r>
    <s v="82000000007004246000200000647123"/>
    <s v="NULL"/>
    <x v="3"/>
  </r>
  <r>
    <s v="82000000007004793000200000647759"/>
    <s v="NULL"/>
    <x v="3"/>
  </r>
  <r>
    <s v="82000000007006401000200000647515"/>
    <s v="NULL"/>
    <x v="3"/>
  </r>
  <r>
    <s v="82000000007014269000200000701397"/>
    <s v="NULL"/>
    <x v="3"/>
  </r>
  <r>
    <s v="82000000007000986000200000643410"/>
    <s v="NULL"/>
    <x v="3"/>
  </r>
  <r>
    <s v="82000000007004115000200000646757"/>
    <s v="NULL"/>
    <x v="3"/>
  </r>
  <r>
    <s v="82000000007004184000200000647068"/>
    <s v="NULL"/>
    <x v="3"/>
  </r>
  <r>
    <s v="82000000007012769000200000685084"/>
    <s v="NULL"/>
    <x v="3"/>
  </r>
  <r>
    <s v="89CMAH2022000041R001520230085846"/>
    <s v="NULL"/>
    <x v="1"/>
  </r>
  <r>
    <s v="89CMAH2022000041R001520230144823"/>
    <s v="NULL"/>
    <x v="1"/>
  </r>
  <r>
    <s v="89CMAH2022000041R001520230144925"/>
    <s v="NULL"/>
    <x v="1"/>
  </r>
  <r>
    <s v="89CMAH2022000041R001520230177916"/>
    <s v="NULL"/>
    <x v="1"/>
  </r>
  <r>
    <s v="89CMAH2022000041R001520230177924"/>
    <s v="NULL"/>
    <x v="1"/>
  </r>
  <r>
    <s v="89CMAH2022000041R001520230178337"/>
    <s v="NULL"/>
    <x v="1"/>
  </r>
  <r>
    <s v="89CMAH2022000041R001520230234029"/>
    <s v="NULL"/>
    <x v="1"/>
  </r>
  <r>
    <s v="89CMAH2022000041R001520230234070"/>
    <s v="NULL"/>
    <x v="1"/>
  </r>
  <r>
    <s v="89CMAH2022000041R001520230234090"/>
    <s v="NULL"/>
    <x v="1"/>
  </r>
  <r>
    <s v="89CMAH2022000041R001520230234316"/>
    <s v="NULL"/>
    <x v="1"/>
  </r>
  <r>
    <s v="89CMAH2022000041R001520230234375"/>
    <s v="NULL"/>
    <x v="1"/>
  </r>
  <r>
    <s v="89CMAH2022000041R001520230234383"/>
    <s v="NULL"/>
    <x v="1"/>
  </r>
  <r>
    <s v="89CMAH2022000041R001520230234518"/>
    <s v="NULL"/>
    <x v="1"/>
  </r>
  <r>
    <s v="89CMAH2022000041R001520230234529"/>
    <s v="NULL"/>
    <x v="1"/>
  </r>
  <r>
    <s v="89CMAH2022000041R001520230234654"/>
    <s v="NULL"/>
    <x v="1"/>
  </r>
  <r>
    <s v="89CMAH2022000041R001520230234715"/>
    <s v="NULL"/>
    <x v="1"/>
  </r>
  <r>
    <s v="89CMAH2022000041R001520230289349"/>
    <s v="NULL"/>
    <x v="1"/>
  </r>
  <r>
    <s v="89CMAH2022000041R001520230289356"/>
    <s v="NULL"/>
    <x v="1"/>
  </r>
  <r>
    <s v="89CMAH2022000041R001520230289364"/>
    <s v="NULL"/>
    <x v="1"/>
  </r>
  <r>
    <s v="89CMAH2022000041R001520230289449"/>
    <s v="NULL"/>
    <x v="1"/>
  </r>
  <r>
    <s v="89CMAH2022000041R001520230289465"/>
    <s v="NULL"/>
    <x v="1"/>
  </r>
  <r>
    <s v="89CMAH2022000041R001520230289487"/>
    <s v="NULL"/>
    <x v="1"/>
  </r>
  <r>
    <s v="89CMAH2022000041R001520230289518"/>
    <s v="NULL"/>
    <x v="1"/>
  </r>
  <r>
    <s v="89CMAH2022000041R001520230289547"/>
    <s v="NULL"/>
    <x v="1"/>
  </r>
  <r>
    <s v="89CMAH2022000041R001520230289596"/>
    <s v="NULL"/>
    <x v="1"/>
  </r>
  <r>
    <s v="89CMAH2022000041R001520230289610"/>
    <s v="NULL"/>
    <x v="1"/>
  </r>
  <r>
    <s v="89CMAH2022000041R001520230289626"/>
    <s v="NULL"/>
    <x v="1"/>
  </r>
  <r>
    <s v="89CMAH2022000041R001520230289678"/>
    <s v="NULL"/>
    <x v="1"/>
  </r>
  <r>
    <s v="89CMAH2022000041R001520230289700"/>
    <s v="NULL"/>
    <x v="1"/>
  </r>
  <r>
    <s v="89CMAH2022000041R001520230289710"/>
    <s v="NULL"/>
    <x v="1"/>
  </r>
  <r>
    <s v="89CMAH2022000041R001520230289748"/>
    <s v="NULL"/>
    <x v="1"/>
  </r>
  <r>
    <s v="89CMAH2022000041R001520230289797"/>
    <s v="NULL"/>
    <x v="1"/>
  </r>
  <r>
    <s v="89CMAH2022000041R001520230289890"/>
    <s v="NULL"/>
    <x v="1"/>
  </r>
  <r>
    <s v="89CMAH2022000041R001520230290092"/>
    <s v="NULL"/>
    <x v="1"/>
  </r>
  <r>
    <s v="89CMAH2022000041R001520230290178"/>
    <s v="NULL"/>
    <x v="1"/>
  </r>
  <r>
    <s v="89CMAH2022000041R001520230290204"/>
    <s v="NULL"/>
    <x v="1"/>
  </r>
  <r>
    <s v="89CMAH2022000041R001520230290242"/>
    <s v="NULL"/>
    <x v="1"/>
  </r>
  <r>
    <s v="89CMAH2022000041R001520230290355"/>
    <s v="NULL"/>
    <x v="1"/>
  </r>
  <r>
    <s v="89CMAH2022000041R001520230290457"/>
    <s v="NULL"/>
    <x v="1"/>
  </r>
  <r>
    <s v="89CMAH2022000041R001520230290484"/>
    <s v="NULL"/>
    <x v="1"/>
  </r>
  <r>
    <s v="89CMAH2022000041R001520230290502"/>
    <s v="NULL"/>
    <x v="1"/>
  </r>
  <r>
    <s v="89CMAH2022000041R001520230290515"/>
    <s v="NULL"/>
    <x v="1"/>
  </r>
  <r>
    <s v="89CMAH2022000041R001520230290535"/>
    <s v="NULL"/>
    <x v="1"/>
  </r>
  <r>
    <s v="89CMAH2022000041R001520230290550"/>
    <s v="NULL"/>
    <x v="1"/>
  </r>
  <r>
    <s v="89CMAH2022000041R001520230290609"/>
    <s v="NULL"/>
    <x v="1"/>
  </r>
  <r>
    <s v="89CMAH2022000041R001520230290638"/>
    <s v="NULL"/>
    <x v="1"/>
  </r>
  <r>
    <s v="89CMAH2022000041R001520230290741"/>
    <s v="NULL"/>
    <x v="1"/>
  </r>
  <r>
    <s v="89CMAH2022000041R001520230290789"/>
    <s v="NULL"/>
    <x v="1"/>
  </r>
  <r>
    <s v="89CMAH2022000041R001520230290832"/>
    <s v="NULL"/>
    <x v="1"/>
  </r>
  <r>
    <s v="89CMAH2022000041R001520230290874"/>
    <s v="NULL"/>
    <x v="1"/>
  </r>
  <r>
    <s v="89CMAH2022000041R001520230290889"/>
    <s v="NULL"/>
    <x v="1"/>
  </r>
  <r>
    <s v="SNCN00000178"/>
    <s v="NULL"/>
    <x v="0"/>
  </r>
  <r>
    <s v="SNCN00000233"/>
    <s v="NULL"/>
    <x v="0"/>
  </r>
  <r>
    <s v="SNCN00000275"/>
    <s v="NULL"/>
    <x v="0"/>
  </r>
  <r>
    <s v="SNCN00000376"/>
    <s v="NULL"/>
    <x v="0"/>
  </r>
  <r>
    <s v="SNCN00000524"/>
    <s v="NULL"/>
    <x v="0"/>
  </r>
  <r>
    <s v="SNCN00000529"/>
    <s v="NULL"/>
    <x v="0"/>
  </r>
  <r>
    <s v="SNCN00000849"/>
    <s v="NULL"/>
    <x v="0"/>
  </r>
  <r>
    <s v="SNCN00000889"/>
    <s v="NULL"/>
    <x v="0"/>
  </r>
  <r>
    <s v="SNCN00000971"/>
    <s v="NULL"/>
    <x v="0"/>
  </r>
  <r>
    <s v="89CMAH2022000041R001520220602691"/>
    <s v="NULL"/>
    <x v="1"/>
  </r>
  <r>
    <s v="89CMAH2022000041R001520230085500"/>
    <s v="NULL"/>
    <x v="1"/>
  </r>
  <r>
    <s v="89CMAH2022000041R001520230085686"/>
    <s v="NULL"/>
    <x v="1"/>
  </r>
  <r>
    <s v="89CMAH2022000041R001520230144742"/>
    <s v="NULL"/>
    <x v="1"/>
  </r>
  <r>
    <s v="89CMAH2022000041R001520230144851"/>
    <s v="NULL"/>
    <x v="1"/>
  </r>
  <r>
    <s v="89CMAH2022000041R001520230144898"/>
    <s v="NULL"/>
    <x v="1"/>
  </r>
  <r>
    <s v="89CMAH2022000041R001520230177965"/>
    <s v="NULL"/>
    <x v="1"/>
  </r>
  <r>
    <s v="89CMAH2022000041R001520230178041"/>
    <s v="NULL"/>
    <x v="1"/>
  </r>
  <r>
    <s v="89CMAH2022000041R001520230178115"/>
    <s v="NULL"/>
    <x v="1"/>
  </r>
  <r>
    <s v="89CMAH2022000041R001520230178118"/>
    <s v="NULL"/>
    <x v="1"/>
  </r>
  <r>
    <s v="89CMAH2022000041R001520230178134"/>
    <s v="NULL"/>
    <x v="1"/>
  </r>
  <r>
    <s v="89CMAH2022000041R001520230234286"/>
    <s v="NULL"/>
    <x v="1"/>
  </r>
  <r>
    <s v="89CMAH2022000041R001520230234330"/>
    <s v="NULL"/>
    <x v="1"/>
  </r>
  <r>
    <s v="89CMAH2022000041R001520230234456"/>
    <s v="NULL"/>
    <x v="1"/>
  </r>
  <r>
    <s v="89CMAH2022000041R001520230234476"/>
    <s v="NULL"/>
    <x v="1"/>
  </r>
  <r>
    <s v="89CMAH2022000041R001520230234733"/>
    <s v="NULL"/>
    <x v="1"/>
  </r>
  <r>
    <s v="89CMAH2022000041R001520230234742"/>
    <s v="NULL"/>
    <x v="1"/>
  </r>
  <r>
    <s v="89CMAH2022000041R001520230289275"/>
    <s v="NULL"/>
    <x v="1"/>
  </r>
  <r>
    <s v="89CMAH2022000041R001520230289398"/>
    <s v="NULL"/>
    <x v="1"/>
  </r>
  <r>
    <s v="89CMAH2022000041R001520230289423"/>
    <s v="NULL"/>
    <x v="1"/>
  </r>
  <r>
    <s v="89CMAH2022000041R001520230289501"/>
    <s v="NULL"/>
    <x v="1"/>
  </r>
  <r>
    <s v="89CMAH2022000041R001520230289581"/>
    <s v="NULL"/>
    <x v="1"/>
  </r>
  <r>
    <s v="89CMAH2022000041R001520230289715"/>
    <s v="NULL"/>
    <x v="1"/>
  </r>
  <r>
    <s v="89CMAH2022000041R001520230289740"/>
    <s v="NULL"/>
    <x v="1"/>
  </r>
  <r>
    <s v="89CMAH2022000041R001520230289798"/>
    <s v="NULL"/>
    <x v="1"/>
  </r>
  <r>
    <s v="89CMAH2022000041R001520230289811"/>
    <s v="NULL"/>
    <x v="1"/>
  </r>
  <r>
    <s v="89CMAH2022000041R001520230289909"/>
    <s v="NULL"/>
    <x v="1"/>
  </r>
  <r>
    <s v="89CMAH2022000041R001520230289930"/>
    <s v="NULL"/>
    <x v="1"/>
  </r>
  <r>
    <s v="89CMAH2022000041R001520230289973"/>
    <s v="NULL"/>
    <x v="1"/>
  </r>
  <r>
    <s v="89CMAH2022000041R001520230289996"/>
    <s v="NULL"/>
    <x v="1"/>
  </r>
  <r>
    <s v="89CMAH2022000041R001520230290047"/>
    <s v="NULL"/>
    <x v="1"/>
  </r>
  <r>
    <s v="89CMAH2022000041R001520230290080"/>
    <s v="NULL"/>
    <x v="1"/>
  </r>
  <r>
    <s v="89CMAH2022000041R001520230290172"/>
    <s v="NULL"/>
    <x v="1"/>
  </r>
  <r>
    <s v="89CMAH2022000041R001520230290186"/>
    <s v="NULL"/>
    <x v="1"/>
  </r>
  <r>
    <s v="89CMAH2022000041R001520230290254"/>
    <s v="NULL"/>
    <x v="1"/>
  </r>
  <r>
    <s v="89CMAH2022000041R001520230290323"/>
    <s v="NULL"/>
    <x v="1"/>
  </r>
  <r>
    <s v="89CMAH2022000041R001520230290330"/>
    <s v="NULL"/>
    <x v="1"/>
  </r>
  <r>
    <s v="89CMAH2022000041R001520230290338"/>
    <s v="NULL"/>
    <x v="1"/>
  </r>
  <r>
    <s v="89CMAH2022000041R001520230290349"/>
    <s v="NULL"/>
    <x v="1"/>
  </r>
  <r>
    <s v="89CMAH2022000041R001520230290367"/>
    <s v="NULL"/>
    <x v="1"/>
  </r>
  <r>
    <s v="89CMAH2022000041R001520230290405"/>
    <s v="NULL"/>
    <x v="1"/>
  </r>
  <r>
    <s v="89CMAH2022000041R001520230290445"/>
    <s v="NULL"/>
    <x v="1"/>
  </r>
  <r>
    <s v="89CMAH2022000041R001520230290534"/>
    <s v="NULL"/>
    <x v="1"/>
  </r>
  <r>
    <s v="89CMAH2022000041R001520230290670"/>
    <s v="NULL"/>
    <x v="1"/>
  </r>
  <r>
    <s v="89CMAH2022000041R001520230290684"/>
    <s v="NULL"/>
    <x v="1"/>
  </r>
  <r>
    <s v="89CMAH2022000041R001520230290696"/>
    <s v="NULL"/>
    <x v="1"/>
  </r>
  <r>
    <s v="89CMAH2022000041R001520230290757"/>
    <s v="NULL"/>
    <x v="1"/>
  </r>
  <r>
    <s v="89CMAH2022000041R001520230290792"/>
    <s v="NULL"/>
    <x v="1"/>
  </r>
  <r>
    <s v="89CMAH2022000041R001520230290822"/>
    <s v="NULL"/>
    <x v="1"/>
  </r>
  <r>
    <s v="89CMAH2022000041R001520230290847"/>
    <s v="NULL"/>
    <x v="1"/>
  </r>
  <r>
    <s v="SNCN00000052"/>
    <s v="NULL"/>
    <x v="0"/>
  </r>
  <r>
    <s v="SNCN00000059"/>
    <s v="NULL"/>
    <x v="0"/>
  </r>
  <r>
    <s v="SNCN00000174"/>
    <s v="NULL"/>
    <x v="0"/>
  </r>
  <r>
    <s v="SNCN00000352"/>
    <s v="NULL"/>
    <x v="0"/>
  </r>
  <r>
    <s v="SNCN00000414"/>
    <s v="NULL"/>
    <x v="0"/>
  </r>
  <r>
    <s v="SNCN00000614"/>
    <s v="NULL"/>
    <x v="0"/>
  </r>
  <r>
    <s v="SNCN00000927"/>
    <s v="NULL"/>
    <x v="0"/>
  </r>
  <r>
    <s v="89CMAH2022000041R001520230085463"/>
    <s v="NULL"/>
    <x v="1"/>
  </r>
  <r>
    <s v="89CMAH2022000041R001520230085867"/>
    <s v="NULL"/>
    <x v="1"/>
  </r>
  <r>
    <s v="89CMAH2022000041R001520230085896"/>
    <s v="NULL"/>
    <x v="1"/>
  </r>
  <r>
    <s v="89CMAH2022000041R001520230086007"/>
    <s v="NULL"/>
    <x v="1"/>
  </r>
  <r>
    <s v="89CMAH2022000041R001520230144562"/>
    <s v="NULL"/>
    <x v="1"/>
  </r>
  <r>
    <s v="89CMAH2022000041R001520230145025"/>
    <s v="NULL"/>
    <x v="1"/>
  </r>
  <r>
    <s v="89CMAH2022000041R001520230177967"/>
    <s v="NULL"/>
    <x v="1"/>
  </r>
  <r>
    <s v="89CMAH2022000041R001520230178005"/>
    <s v="NULL"/>
    <x v="1"/>
  </r>
  <r>
    <s v="89CMAH2022000041R001520230178181"/>
    <s v="NULL"/>
    <x v="1"/>
  </r>
  <r>
    <s v="89CMAH2022000041R001520230178592"/>
    <s v="NULL"/>
    <x v="1"/>
  </r>
  <r>
    <s v="89CMAH2022000041R001520230234091"/>
    <s v="NULL"/>
    <x v="1"/>
  </r>
  <r>
    <s v="89CMAH2022000041R001520230234099"/>
    <s v="NULL"/>
    <x v="1"/>
  </r>
  <r>
    <s v="89CMAH2022000041R001520230234201"/>
    <s v="NULL"/>
    <x v="1"/>
  </r>
  <r>
    <s v="89CMAH2022000041R001520230234380"/>
    <s v="NULL"/>
    <x v="1"/>
  </r>
  <r>
    <s v="89CMAH2022000041R001520230234460"/>
    <s v="NULL"/>
    <x v="1"/>
  </r>
  <r>
    <s v="89CMAH2022000041R001520230234539"/>
    <s v="NULL"/>
    <x v="1"/>
  </r>
  <r>
    <s v="89CMAH2022000041R001520230289352"/>
    <s v="NULL"/>
    <x v="1"/>
  </r>
  <r>
    <s v="89CMAH2022000041R001520230289362"/>
    <s v="NULL"/>
    <x v="1"/>
  </r>
  <r>
    <s v="89CMAH2022000041R001520230289488"/>
    <s v="NULL"/>
    <x v="1"/>
  </r>
  <r>
    <s v="89CMAH2022000041R001520230289514"/>
    <s v="NULL"/>
    <x v="1"/>
  </r>
  <r>
    <s v="89CMAH2022000041R001520230289573"/>
    <s v="NULL"/>
    <x v="1"/>
  </r>
  <r>
    <s v="89CMAH2022000041R001520230289579"/>
    <s v="NULL"/>
    <x v="1"/>
  </r>
  <r>
    <s v="89CMAH2022000041R001520230289594"/>
    <s v="NULL"/>
    <x v="1"/>
  </r>
  <r>
    <s v="89CMAH2022000041R001520230289611"/>
    <s v="NULL"/>
    <x v="1"/>
  </r>
  <r>
    <s v="89CMAH2022000041R001520230289612"/>
    <s v="NULL"/>
    <x v="1"/>
  </r>
  <r>
    <s v="89CMAH2022000041R001520230289630"/>
    <s v="NULL"/>
    <x v="1"/>
  </r>
  <r>
    <s v="89CMAH2022000041R001520230289640"/>
    <s v="NULL"/>
    <x v="1"/>
  </r>
  <r>
    <s v="89CMAH2022000041R001520230289729"/>
    <s v="NULL"/>
    <x v="1"/>
  </r>
  <r>
    <s v="89CMAH2022000041R001520230289792"/>
    <s v="NULL"/>
    <x v="1"/>
  </r>
  <r>
    <s v="89CMAH2022000041R001520230289793"/>
    <s v="NULL"/>
    <x v="1"/>
  </r>
  <r>
    <s v="89CMAH2022000041R001520230289813"/>
    <s v="NULL"/>
    <x v="1"/>
  </r>
  <r>
    <s v="89CMAH2022000041R001520230289878"/>
    <s v="NULL"/>
    <x v="1"/>
  </r>
  <r>
    <s v="89CMAH2022000041R001520230289945"/>
    <s v="NULL"/>
    <x v="1"/>
  </r>
  <r>
    <s v="89CMAH2022000041R001520230289947"/>
    <s v="NULL"/>
    <x v="1"/>
  </r>
  <r>
    <s v="89CMAH2022000041R001520230289962"/>
    <s v="NULL"/>
    <x v="1"/>
  </r>
  <r>
    <s v="89CMAH2022000041R001520230289972"/>
    <s v="NULL"/>
    <x v="1"/>
  </r>
  <r>
    <s v="89CMAH2022000041R001520230290020"/>
    <s v="NULL"/>
    <x v="1"/>
  </r>
  <r>
    <s v="89CMAH2022000041R001520230290082"/>
    <s v="NULL"/>
    <x v="1"/>
  </r>
  <r>
    <s v="89CMAH2022000041R001520230290109"/>
    <s v="NULL"/>
    <x v="1"/>
  </r>
  <r>
    <s v="89CMAH2022000041R001520230290159"/>
    <s v="NULL"/>
    <x v="1"/>
  </r>
  <r>
    <s v="89CMAH2022000041R001520230290173"/>
    <s v="NULL"/>
    <x v="1"/>
  </r>
  <r>
    <s v="89CMAH2022000041R001520230290206"/>
    <s v="NULL"/>
    <x v="1"/>
  </r>
  <r>
    <s v="89CMAH2022000041R001520230290220"/>
    <s v="NULL"/>
    <x v="1"/>
  </r>
  <r>
    <s v="89CMAH2022000041R001520230290274"/>
    <s v="NULL"/>
    <x v="1"/>
  </r>
  <r>
    <s v="89CMAH2022000041R001520230290278"/>
    <s v="NULL"/>
    <x v="1"/>
  </r>
  <r>
    <s v="89CMAH2022000041R001520230290292"/>
    <s v="NULL"/>
    <x v="1"/>
  </r>
  <r>
    <s v="89CMAH2022000041R001520230290309"/>
    <s v="NULL"/>
    <x v="1"/>
  </r>
  <r>
    <s v="89CMAH2022000041R001520230290427"/>
    <s v="NULL"/>
    <x v="1"/>
  </r>
  <r>
    <s v="89CMAH2022000041R001520230290439"/>
    <s v="NULL"/>
    <x v="1"/>
  </r>
  <r>
    <s v="89CMAH2022000041R001520230290499"/>
    <s v="NULL"/>
    <x v="1"/>
  </r>
  <r>
    <s v="89CMAH2022000041R001520230290572"/>
    <s v="NULL"/>
    <x v="1"/>
  </r>
  <r>
    <s v="89CMAH2022000041R001520230290643"/>
    <s v="NULL"/>
    <x v="1"/>
  </r>
  <r>
    <s v="89CMAH2022000041R001520230290758"/>
    <s v="NULL"/>
    <x v="1"/>
  </r>
  <r>
    <s v="89CMAH2022000041R001520230290917"/>
    <s v="NULL"/>
    <x v="1"/>
  </r>
  <r>
    <s v="SNCN00000092"/>
    <s v="NULL"/>
    <x v="0"/>
  </r>
  <r>
    <s v="SNCN00000240"/>
    <s v="NULL"/>
    <x v="0"/>
  </r>
  <r>
    <s v="SNCN00000392"/>
    <s v="NULL"/>
    <x v="0"/>
  </r>
  <r>
    <s v="SNCN00000620"/>
    <s v="NULL"/>
    <x v="0"/>
  </r>
  <r>
    <s v="SNCN00000626"/>
    <s v="NULL"/>
    <x v="0"/>
  </r>
  <r>
    <s v="SNCN00000877"/>
    <s v="NULL"/>
    <x v="0"/>
  </r>
  <r>
    <s v="SNCN00000885"/>
    <s v="NULL"/>
    <x v="0"/>
  </r>
  <r>
    <s v="SNCN00000955"/>
    <s v="NULL"/>
    <x v="0"/>
  </r>
  <r>
    <s v="SNCN00000958"/>
    <s v="NULL"/>
    <x v="0"/>
  </r>
  <r>
    <s v="89CMAH2022000041R001520230085786"/>
    <s v="NULL"/>
    <x v="1"/>
  </r>
  <r>
    <s v="89CMAH2022000041R001520230085947"/>
    <s v="NULL"/>
    <x v="1"/>
  </r>
  <r>
    <s v="89CMAH2022000041R001520230086173"/>
    <s v="NULL"/>
    <x v="1"/>
  </r>
  <r>
    <s v="89CMAH2022000041R001520230144909"/>
    <s v="NULL"/>
    <x v="1"/>
  </r>
  <r>
    <s v="89CMAH2022000041R001520230145037"/>
    <s v="NULL"/>
    <x v="1"/>
  </r>
  <r>
    <s v="89CMAH2022000041R001520230177951"/>
    <s v="NULL"/>
    <x v="1"/>
  </r>
  <r>
    <s v="89CMAH2022000041R001520230178003"/>
    <s v="NULL"/>
    <x v="1"/>
  </r>
  <r>
    <s v="89CMAH2022000041R001520230178092"/>
    <s v="NULL"/>
    <x v="1"/>
  </r>
  <r>
    <s v="89CMAH2022000041R001520230178246"/>
    <s v="NULL"/>
    <x v="1"/>
  </r>
  <r>
    <s v="89CMAH2022000041R001520230178296"/>
    <s v="NULL"/>
    <x v="1"/>
  </r>
  <r>
    <s v="89CMAH2022000041R001520230178641"/>
    <s v="NULL"/>
    <x v="1"/>
  </r>
  <r>
    <s v="89CMAH2022000041R001520230233985"/>
    <s v="NULL"/>
    <x v="1"/>
  </r>
  <r>
    <s v="89CMAH2022000041R001520230234139"/>
    <s v="NULL"/>
    <x v="1"/>
  </r>
  <r>
    <s v="89CMAH2022000041R001520230234153"/>
    <s v="NULL"/>
    <x v="1"/>
  </r>
  <r>
    <s v="89CMAH2022000041R001520230234246"/>
    <s v="NULL"/>
    <x v="1"/>
  </r>
  <r>
    <s v="89CMAH2022000041R001520230234275"/>
    <s v="NULL"/>
    <x v="1"/>
  </r>
  <r>
    <s v="89CMAH2022000041R001520230234357"/>
    <s v="NULL"/>
    <x v="1"/>
  </r>
  <r>
    <s v="89CMAH2022000041R001520230234368"/>
    <s v="NULL"/>
    <x v="1"/>
  </r>
  <r>
    <s v="89CMAH2022000041R001520230234458"/>
    <s v="NULL"/>
    <x v="1"/>
  </r>
  <r>
    <s v="89CMAH2022000041R001520230234634"/>
    <s v="NULL"/>
    <x v="1"/>
  </r>
  <r>
    <s v="89CMAH2022000041R001520230234731"/>
    <s v="NULL"/>
    <x v="1"/>
  </r>
  <r>
    <s v="89CMAH2022000041R001520230289277"/>
    <s v="NULL"/>
    <x v="1"/>
  </r>
  <r>
    <s v="89CMAH2022000041R001520230289295"/>
    <s v="NULL"/>
    <x v="1"/>
  </r>
  <r>
    <s v="89CMAH2022000041R001520230289402"/>
    <s v="NULL"/>
    <x v="1"/>
  </r>
  <r>
    <s v="89CMAH2022000041R001520230289412"/>
    <s v="NULL"/>
    <x v="1"/>
  </r>
  <r>
    <s v="89CMAH2022000041R001520230289422"/>
    <s v="NULL"/>
    <x v="1"/>
  </r>
  <r>
    <s v="89CMAH2022000041R001520230289446"/>
    <s v="NULL"/>
    <x v="1"/>
  </r>
  <r>
    <s v="89CMAH2022000041R001520230289477"/>
    <s v="NULL"/>
    <x v="1"/>
  </r>
  <r>
    <s v="89CMAH2022000041R001520230289540"/>
    <s v="NULL"/>
    <x v="1"/>
  </r>
  <r>
    <s v="89CMAH2022000041R001520230289578"/>
    <s v="NULL"/>
    <x v="1"/>
  </r>
  <r>
    <s v="89CMAH2022000041R001520230289720"/>
    <s v="NULL"/>
    <x v="1"/>
  </r>
  <r>
    <s v="89CMAH2022000041R001520230289912"/>
    <s v="NULL"/>
    <x v="1"/>
  </r>
  <r>
    <s v="89CMAH2022000041R001520230289933"/>
    <s v="NULL"/>
    <x v="1"/>
  </r>
  <r>
    <s v="89CMAH2022000041R001520230289983"/>
    <s v="NULL"/>
    <x v="1"/>
  </r>
  <r>
    <s v="89CMAH2022000041R001520230290035"/>
    <s v="NULL"/>
    <x v="1"/>
  </r>
  <r>
    <s v="89CMAH2022000041R001520230290106"/>
    <s v="NULL"/>
    <x v="1"/>
  </r>
  <r>
    <s v="89CMAH2022000041R001520230290115"/>
    <s v="NULL"/>
    <x v="1"/>
  </r>
  <r>
    <s v="89CMAH2022000041R001520230290150"/>
    <s v="NULL"/>
    <x v="1"/>
  </r>
  <r>
    <s v="89CMAH2022000041R001520230290215"/>
    <s v="NULL"/>
    <x v="1"/>
  </r>
  <r>
    <s v="89CMAH2022000041R001520230290272"/>
    <s v="NULL"/>
    <x v="1"/>
  </r>
  <r>
    <s v="89CMAH2022000041R001520230290357"/>
    <s v="NULL"/>
    <x v="1"/>
  </r>
  <r>
    <s v="89CMAH2022000041R001520230290374"/>
    <s v="NULL"/>
    <x v="1"/>
  </r>
  <r>
    <s v="89CMAH2022000041R001520230290553"/>
    <s v="NULL"/>
    <x v="1"/>
  </r>
  <r>
    <s v="89CMAH2022000041R001520230290592"/>
    <s v="NULL"/>
    <x v="1"/>
  </r>
  <r>
    <s v="89CMAH2022000041R001520230290645"/>
    <s v="NULL"/>
    <x v="1"/>
  </r>
  <r>
    <s v="89CMAH2022000041R001520230290658"/>
    <s v="NULL"/>
    <x v="1"/>
  </r>
  <r>
    <s v="89CMAH2022000041R001520230290733"/>
    <s v="NULL"/>
    <x v="1"/>
  </r>
  <r>
    <s v="89CMAH2022000041R001520230290878"/>
    <s v="NULL"/>
    <x v="1"/>
  </r>
  <r>
    <s v="89CMAH2022000041R001520230290894"/>
    <s v="NULL"/>
    <x v="1"/>
  </r>
  <r>
    <s v="SNCN00000185"/>
    <s v="NULL"/>
    <x v="0"/>
  </r>
  <r>
    <s v="SNCN00000278"/>
    <s v="NULL"/>
    <x v="0"/>
  </r>
  <r>
    <s v="SNCN00000327"/>
    <s v="NULL"/>
    <x v="0"/>
  </r>
  <r>
    <s v="SNCN00000435"/>
    <s v="NULL"/>
    <x v="0"/>
  </r>
  <r>
    <s v="SNCN00000727"/>
    <s v="NULL"/>
    <x v="0"/>
  </r>
  <r>
    <s v="SNCN00000209"/>
    <s v="NULL"/>
    <x v="0"/>
  </r>
  <r>
    <s v="SNCN00000428"/>
    <s v="NULL"/>
    <x v="0"/>
  </r>
  <r>
    <s v="SNCN00000668"/>
    <s v="NULL"/>
    <x v="0"/>
  </r>
  <r>
    <s v="SNCN00000629"/>
    <s v="NULL"/>
    <x v="0"/>
  </r>
  <r>
    <s v="SNCN00000520"/>
    <s v="NULL"/>
    <x v="0"/>
  </r>
  <r>
    <s v="31000010884341149000000000000000"/>
    <s v="NULL"/>
    <x v="2"/>
  </r>
  <r>
    <s v="31000310568959090069674420100000"/>
    <s v="NULL"/>
    <x v="2"/>
  </r>
  <r>
    <s v="31000310473499090069673790100000"/>
    <s v="NULL"/>
    <x v="2"/>
  </r>
  <r>
    <s v="31000310454895090069674350100000"/>
    <s v="NULL"/>
    <x v="2"/>
  </r>
  <r>
    <s v="31CMAH0000000000R262304820011790"/>
    <s v="NULL"/>
    <x v="1"/>
  </r>
  <r>
    <s v="31CMAH0000000000R262304880020300"/>
    <s v="NULL"/>
    <x v="1"/>
  </r>
  <r>
    <s v="31CMAH0000000000R962304820211210"/>
    <s v="NULL"/>
    <x v="1"/>
  </r>
  <r>
    <s v="31CMAH0000000000R962304820311040"/>
    <s v="NULL"/>
    <x v="1"/>
  </r>
  <r>
    <s v="31CMAH0000000000R962304830389610"/>
    <s v="NULL"/>
    <x v="1"/>
  </r>
  <r>
    <s v="31CMAH0000000000R962304880395500"/>
    <s v="NULL"/>
    <x v="1"/>
  </r>
  <r>
    <s v="31CMAHenergyS1xS2OVER2ENFGDRST0A"/>
    <s v="NULL"/>
    <x v="1"/>
  </r>
  <r>
    <s v="82000000000121090000450000416648"/>
    <s v="NULL"/>
    <x v="3"/>
  </r>
  <r>
    <s v="82000000000121529000420000424412"/>
    <s v="NULL"/>
    <x v="3"/>
  </r>
  <r>
    <s v="82000000000136141000450000506204"/>
    <s v="NULL"/>
    <x v="3"/>
  </r>
  <r>
    <s v="31CMAH0000000000R362304820801370"/>
    <s v="NULL"/>
    <x v="1"/>
  </r>
  <r>
    <s v="31CMAH0000000000R362304820812140"/>
    <s v="NULL"/>
    <x v="1"/>
  </r>
  <r>
    <s v="31CMAH0000000000R962304820131600"/>
    <s v="NULL"/>
    <x v="1"/>
  </r>
  <r>
    <s v="31CMAH0000000000R962304820246870"/>
    <s v="NULL"/>
    <x v="1"/>
  </r>
  <r>
    <s v="31CMAH4758980902R000000000000000"/>
    <s v="NULL"/>
    <x v="1"/>
  </r>
  <r>
    <s v="31CMAHenergyS1xS2OVER2ENFSMERT0F"/>
    <s v="NULL"/>
    <x v="1"/>
  </r>
  <r>
    <s v="31CMAHenergyS1xS2OVER2ENFSMERT0H"/>
    <s v="NULL"/>
    <x v="1"/>
  </r>
  <r>
    <s v="82000000000135441000420000424268"/>
    <s v="NULL"/>
    <x v="3"/>
  </r>
  <r>
    <s v="82000000007001518000200000643769"/>
    <s v="NULL"/>
    <x v="3"/>
  </r>
  <r>
    <s v="82000000007010505000200000677308"/>
    <s v="NULL"/>
    <x v="3"/>
  </r>
  <r>
    <s v="82000000007012392000200000680556"/>
    <s v="NULL"/>
    <x v="3"/>
  </r>
  <r>
    <s v="82000000007018455000200000636451"/>
    <s v="NULL"/>
    <x v="3"/>
  </r>
  <r>
    <s v="82000000007003955000200000646814"/>
    <s v="NULL"/>
    <x v="3"/>
  </r>
  <r>
    <s v="82000000007013273000200000690046"/>
    <s v="NULL"/>
    <x v="3"/>
  </r>
  <r>
    <s v="89CMAH2022000041R001520230039969"/>
    <s v="NULL"/>
    <x v="1"/>
  </r>
  <r>
    <s v="89CMAH2022000041R001520230144544"/>
    <s v="NULL"/>
    <x v="1"/>
  </r>
  <r>
    <s v="89CMAH2022000041R001520230144638"/>
    <s v="NULL"/>
    <x v="1"/>
  </r>
  <r>
    <s v="89CMAH2022000041R001520230144705"/>
    <s v="NULL"/>
    <x v="1"/>
  </r>
  <r>
    <s v="89CMAH2022000041R001520230144915"/>
    <s v="NULL"/>
    <x v="1"/>
  </r>
  <r>
    <s v="89CMAH2022000041R001520230177909"/>
    <s v="NULL"/>
    <x v="1"/>
  </r>
  <r>
    <s v="89CMAH2022000041R001520230178582"/>
    <s v="NULL"/>
    <x v="1"/>
  </r>
  <r>
    <s v="89CMAH2022000041R001520230234019"/>
    <s v="NULL"/>
    <x v="1"/>
  </r>
  <r>
    <s v="89CMAH2022000041R001520230234127"/>
    <s v="NULL"/>
    <x v="1"/>
  </r>
  <r>
    <s v="89CMAH2022000041R001520230234143"/>
    <s v="NULL"/>
    <x v="1"/>
  </r>
  <r>
    <s v="89CMAH2022000041R001520230234241"/>
    <s v="NULL"/>
    <x v="1"/>
  </r>
  <r>
    <s v="89CMAH2022000041R001520230234320"/>
    <s v="NULL"/>
    <x v="1"/>
  </r>
  <r>
    <s v="89CMAH2022000041R001520230234344"/>
    <s v="NULL"/>
    <x v="1"/>
  </r>
  <r>
    <s v="89CMAH2022000041R001520230234363"/>
    <s v="NULL"/>
    <x v="1"/>
  </r>
  <r>
    <s v="89CMAH2022000041R001520230234369"/>
    <s v="NULL"/>
    <x v="1"/>
  </r>
  <r>
    <s v="89CMAH2022000041R001520230234516"/>
    <s v="NULL"/>
    <x v="1"/>
  </r>
  <r>
    <s v="89CMAH2022000041R001520230289276"/>
    <s v="NULL"/>
    <x v="1"/>
  </r>
  <r>
    <s v="89CMAH2022000041R001520230289397"/>
    <s v="NULL"/>
    <x v="1"/>
  </r>
  <r>
    <s v="89CMAH2022000041R001520230289457"/>
    <s v="NULL"/>
    <x v="1"/>
  </r>
  <r>
    <s v="89CMAH2022000041R001520230289458"/>
    <s v="NULL"/>
    <x v="1"/>
  </r>
  <r>
    <s v="89CMAH2022000041R001520230289472"/>
    <s v="NULL"/>
    <x v="1"/>
  </r>
  <r>
    <s v="89CMAH2022000041R001520230289491"/>
    <s v="NULL"/>
    <x v="1"/>
  </r>
  <r>
    <s v="89CMAH2022000041R001520230289536"/>
    <s v="NULL"/>
    <x v="1"/>
  </r>
  <r>
    <s v="89CMAH2022000041R001520230289550"/>
    <s v="NULL"/>
    <x v="1"/>
  </r>
  <r>
    <s v="89CMAH2022000041R001520230289691"/>
    <s v="NULL"/>
    <x v="1"/>
  </r>
  <r>
    <s v="89CMAH2022000041R001520230289732"/>
    <s v="NULL"/>
    <x v="1"/>
  </r>
  <r>
    <s v="89CMAH2022000041R001520230289751"/>
    <s v="NULL"/>
    <x v="1"/>
  </r>
  <r>
    <s v="89CMAH2022000041R001520230289782"/>
    <s v="NULL"/>
    <x v="1"/>
  </r>
  <r>
    <s v="89CMAH2022000041R001520230289785"/>
    <s v="NULL"/>
    <x v="1"/>
  </r>
  <r>
    <s v="89CMAH2022000041R001520230289918"/>
    <s v="NULL"/>
    <x v="1"/>
  </r>
  <r>
    <s v="89CMAH2022000041R001520230289937"/>
    <s v="NULL"/>
    <x v="1"/>
  </r>
  <r>
    <s v="89CMAH2022000041R001520230289951"/>
    <s v="NULL"/>
    <x v="1"/>
  </r>
  <r>
    <s v="89CMAH2022000041R001520230289966"/>
    <s v="NULL"/>
    <x v="1"/>
  </r>
  <r>
    <s v="89CMAH2022000041R001520230289984"/>
    <s v="NULL"/>
    <x v="1"/>
  </r>
  <r>
    <s v="89CMAH2022000041R001520230290024"/>
    <s v="NULL"/>
    <x v="1"/>
  </r>
  <r>
    <s v="89CMAH2022000041R001520230290259"/>
    <s v="NULL"/>
    <x v="1"/>
  </r>
  <r>
    <s v="89CMAH2022000041R001520230290281"/>
    <s v="NULL"/>
    <x v="1"/>
  </r>
  <r>
    <s v="89CMAH2022000041R001520230290327"/>
    <s v="NULL"/>
    <x v="1"/>
  </r>
  <r>
    <s v="89CMAH2022000041R001520230290342"/>
    <s v="NULL"/>
    <x v="1"/>
  </r>
  <r>
    <s v="89CMAH2022000041R001520230290368"/>
    <s v="NULL"/>
    <x v="1"/>
  </r>
  <r>
    <s v="89CMAH2022000041R001520230290376"/>
    <s v="NULL"/>
    <x v="1"/>
  </r>
  <r>
    <s v="89CMAH2022000041R001520230290386"/>
    <s v="NULL"/>
    <x v="1"/>
  </r>
  <r>
    <s v="89CMAH2022000041R001520230290412"/>
    <s v="NULL"/>
    <x v="1"/>
  </r>
  <r>
    <s v="89CMAH2022000041R001520230290422"/>
    <s v="NULL"/>
    <x v="1"/>
  </r>
  <r>
    <s v="89CMAH2022000041R001520230290510"/>
    <s v="NULL"/>
    <x v="1"/>
  </r>
  <r>
    <s v="89CMAH2022000041R001520230290523"/>
    <s v="NULL"/>
    <x v="1"/>
  </r>
  <r>
    <s v="89CMAH2022000041R001520230290597"/>
    <s v="NULL"/>
    <x v="1"/>
  </r>
  <r>
    <s v="89CMAH2022000041R001520230290606"/>
    <s v="NULL"/>
    <x v="1"/>
  </r>
  <r>
    <s v="89CMAH2022000041R001520230290640"/>
    <s v="NULL"/>
    <x v="1"/>
  </r>
  <r>
    <s v="89CMAH2022000041R001520230290642"/>
    <s v="NULL"/>
    <x v="1"/>
  </r>
  <r>
    <s v="89CMAH2022000041R001520230290659"/>
    <s v="NULL"/>
    <x v="1"/>
  </r>
  <r>
    <s v="89CMAH2022000041R001520230290749"/>
    <s v="NULL"/>
    <x v="1"/>
  </r>
  <r>
    <s v="89CMAH2022000041R001520230290877"/>
    <s v="NULL"/>
    <x v="1"/>
  </r>
  <r>
    <s v="89CMAH2022000041R001520230290885"/>
    <s v="NULL"/>
    <x v="1"/>
  </r>
  <r>
    <s v="SNCN00000026"/>
    <s v="NULL"/>
    <x v="0"/>
  </r>
  <r>
    <s v="SNCN00000110"/>
    <s v="NULL"/>
    <x v="0"/>
  </r>
  <r>
    <s v="SNCN00000198"/>
    <s v="NULL"/>
    <x v="0"/>
  </r>
  <r>
    <s v="SNCN00000274"/>
    <s v="NULL"/>
    <x v="0"/>
  </r>
  <r>
    <s v="SNCN00000304"/>
    <s v="NULL"/>
    <x v="0"/>
  </r>
  <r>
    <s v="SNCN00000493"/>
    <s v="NULL"/>
    <x v="0"/>
  </r>
  <r>
    <s v="SNCN00000525"/>
    <s v="NULL"/>
    <x v="0"/>
  </r>
  <r>
    <s v="SNCN00000550"/>
    <s v="NULL"/>
    <x v="0"/>
  </r>
  <r>
    <s v="SNCN00000593"/>
    <s v="NULL"/>
    <x v="0"/>
  </r>
  <r>
    <s v="82000020230000046001520230268987"/>
    <s v="NULL"/>
    <x v="3"/>
  </r>
  <r>
    <s v="89CMAH2022000041R001520230177925"/>
    <s v="NULL"/>
    <x v="1"/>
  </r>
  <r>
    <s v="89CMAH2022000041R001520230177984"/>
    <s v="NULL"/>
    <x v="1"/>
  </r>
  <r>
    <s v="89CMAH2022000041R001520230178062"/>
    <s v="NULL"/>
    <x v="1"/>
  </r>
  <r>
    <s v="89CMAH2022000041R001520230178105"/>
    <s v="NULL"/>
    <x v="1"/>
  </r>
  <r>
    <s v="89CMAH2022000041R001520230178353"/>
    <s v="NULL"/>
    <x v="1"/>
  </r>
  <r>
    <s v="89CMAH2022000041R001520230234037"/>
    <s v="NULL"/>
    <x v="1"/>
  </r>
  <r>
    <s v="89CMAH2022000041R001520230234053"/>
    <s v="NULL"/>
    <x v="1"/>
  </r>
  <r>
    <s v="89CMAH2022000041R001520230234065"/>
    <s v="NULL"/>
    <x v="1"/>
  </r>
  <r>
    <s v="89CMAH2022000041R001520230234165"/>
    <s v="NULL"/>
    <x v="1"/>
  </r>
  <r>
    <s v="89CMAH2022000041R001520230234173"/>
    <s v="NULL"/>
    <x v="1"/>
  </r>
  <r>
    <s v="89CMAH2022000041R001520230234256"/>
    <s v="NULL"/>
    <x v="1"/>
  </r>
  <r>
    <s v="89CMAH2022000041R001520230234263"/>
    <s v="NULL"/>
    <x v="1"/>
  </r>
  <r>
    <s v="89CMAH2022000041R001520230234284"/>
    <s v="NULL"/>
    <x v="1"/>
  </r>
  <r>
    <s v="89CMAH2022000041R001520230234294"/>
    <s v="NULL"/>
    <x v="1"/>
  </r>
  <r>
    <s v="89CMAH2022000041R001520230234391"/>
    <s v="NULL"/>
    <x v="1"/>
  </r>
  <r>
    <s v="89CMAH2022000041R001520230234596"/>
    <s v="NULL"/>
    <x v="1"/>
  </r>
  <r>
    <s v="89CMAH2022000041R001520230234661"/>
    <s v="NULL"/>
    <x v="1"/>
  </r>
  <r>
    <s v="89CMAH2022000041R001520230289296"/>
    <s v="NULL"/>
    <x v="1"/>
  </r>
  <r>
    <s v="89CMAH2022000041R001520230289331"/>
    <s v="NULL"/>
    <x v="1"/>
  </r>
  <r>
    <s v="89CMAH2022000041R001520230289338"/>
    <s v="NULL"/>
    <x v="1"/>
  </r>
  <r>
    <s v="89CMAH2022000041R001520230289443"/>
    <s v="NULL"/>
    <x v="1"/>
  </r>
  <r>
    <s v="89CMAH2022000041R001520230289511"/>
    <s v="NULL"/>
    <x v="1"/>
  </r>
  <r>
    <s v="89CMAH2022000041R001520230289599"/>
    <s v="NULL"/>
    <x v="1"/>
  </r>
  <r>
    <s v="89CMAH2022000041R001520230289606"/>
    <s v="NULL"/>
    <x v="1"/>
  </r>
  <r>
    <s v="89CMAH2022000041R001520230289683"/>
    <s v="NULL"/>
    <x v="1"/>
  </r>
  <r>
    <s v="89CMAH2022000041R001520230289717"/>
    <s v="NULL"/>
    <x v="1"/>
  </r>
  <r>
    <s v="89CMAH2022000041R001520230289775"/>
    <s v="NULL"/>
    <x v="1"/>
  </r>
  <r>
    <s v="89CMAH2022000041R001520230289858"/>
    <s v="NULL"/>
    <x v="1"/>
  </r>
  <r>
    <s v="89CMAH2022000041R001520230289859"/>
    <s v="NULL"/>
    <x v="1"/>
  </r>
  <r>
    <s v="89CMAH2022000041R001520230290123"/>
    <s v="NULL"/>
    <x v="1"/>
  </r>
  <r>
    <s v="89CMAH2022000041R001520230290256"/>
    <s v="NULL"/>
    <x v="1"/>
  </r>
  <r>
    <s v="89CMAH2022000041R001520230290275"/>
    <s v="NULL"/>
    <x v="1"/>
  </r>
  <r>
    <s v="89CMAH2022000041R001520230290312"/>
    <s v="NULL"/>
    <x v="1"/>
  </r>
  <r>
    <s v="89CMAH2022000041R001520230290331"/>
    <s v="NULL"/>
    <x v="1"/>
  </r>
  <r>
    <s v="89CMAH2022000041R001520230290475"/>
    <s v="NULL"/>
    <x v="1"/>
  </r>
  <r>
    <s v="89CMAH2022000041R001520230290490"/>
    <s v="NULL"/>
    <x v="1"/>
  </r>
  <r>
    <s v="89CMAH2022000041R001520230290503"/>
    <s v="NULL"/>
    <x v="1"/>
  </r>
  <r>
    <s v="89CMAH2022000041R001520230290512"/>
    <s v="NULL"/>
    <x v="1"/>
  </r>
  <r>
    <s v="89CMAH2022000041R001520230290517"/>
    <s v="NULL"/>
    <x v="1"/>
  </r>
  <r>
    <s v="89CMAH2022000041R001520230290571"/>
    <s v="NULL"/>
    <x v="1"/>
  </r>
  <r>
    <s v="89CMAH2022000041R001520230290678"/>
    <s v="NULL"/>
    <x v="1"/>
  </r>
  <r>
    <s v="89CMAH2022000041R001520230290760"/>
    <s v="NULL"/>
    <x v="1"/>
  </r>
  <r>
    <s v="89CMAH2022000041R001520230290770"/>
    <s v="NULL"/>
    <x v="1"/>
  </r>
  <r>
    <s v="89CMAH2022000041R001520230290817"/>
    <s v="NULL"/>
    <x v="1"/>
  </r>
  <r>
    <s v="89CMAH2022000041R001520230290823"/>
    <s v="NULL"/>
    <x v="1"/>
  </r>
  <r>
    <s v="89CMAH2022000041R001520230290861"/>
    <s v="NULL"/>
    <x v="1"/>
  </r>
  <r>
    <s v="89CMAH2022000041R001520230290863"/>
    <s v="NULL"/>
    <x v="1"/>
  </r>
  <r>
    <s v="SNCN00000072"/>
    <s v="NULL"/>
    <x v="0"/>
  </r>
  <r>
    <s v="SNCN00000074"/>
    <s v="NULL"/>
    <x v="0"/>
  </r>
  <r>
    <s v="SNCN00000128"/>
    <s v="NULL"/>
    <x v="0"/>
  </r>
  <r>
    <s v="SNCN00000279"/>
    <s v="NULL"/>
    <x v="0"/>
  </r>
  <r>
    <s v="SNCN00000316"/>
    <s v="NULL"/>
    <x v="0"/>
  </r>
  <r>
    <s v="SNCN00000349"/>
    <s v="NULL"/>
    <x v="0"/>
  </r>
  <r>
    <s v="SNCN00000390"/>
    <s v="NULL"/>
    <x v="0"/>
  </r>
  <r>
    <s v="SNCN00000445"/>
    <s v="NULL"/>
    <x v="0"/>
  </r>
  <r>
    <s v="SNCN00000482"/>
    <s v="NULL"/>
    <x v="0"/>
  </r>
  <r>
    <s v="SNCN00000498"/>
    <s v="NULL"/>
    <x v="0"/>
  </r>
  <r>
    <s v="SNCN00000541"/>
    <s v="NULL"/>
    <x v="0"/>
  </r>
  <r>
    <s v="SNCN00000932"/>
    <s v="NULL"/>
    <x v="0"/>
  </r>
  <r>
    <s v="SNCN00000959"/>
    <s v="NULL"/>
    <x v="0"/>
  </r>
  <r>
    <s v="SNCN00000974"/>
    <s v="NULL"/>
    <x v="0"/>
  </r>
  <r>
    <s v="31CMAH0000000000R162304820739370"/>
    <s v="NULL"/>
    <x v="1"/>
  </r>
  <r>
    <s v="31CMAH0000000000R262304820008010"/>
    <s v="NULL"/>
    <x v="1"/>
  </r>
  <r>
    <s v="31CMAH0000000000R599904815307640"/>
    <s v="NULL"/>
    <x v="1"/>
  </r>
  <r>
    <s v="31CMAH0000000000R599904836417420"/>
    <s v="NULL"/>
    <x v="1"/>
  </r>
  <r>
    <s v="31CMAH0000000000R962304820028010"/>
    <s v="NULL"/>
    <x v="1"/>
  </r>
  <r>
    <s v="31CMAH0000000000R962304820382310"/>
    <s v="NULL"/>
    <x v="1"/>
  </r>
  <r>
    <s v="31CMAHprovecono03PROV3ENFSMERT0G"/>
    <s v="NULL"/>
    <x v="1"/>
  </r>
  <r>
    <s v="82000000005036118000510000724633"/>
    <s v="NULL"/>
    <x v="3"/>
  </r>
  <r>
    <s v="82000000007001012000200000643436"/>
    <s v="NULL"/>
    <x v="3"/>
  </r>
  <r>
    <s v="82000000007003410000200000646064"/>
    <s v="NULL"/>
    <x v="3"/>
  </r>
  <r>
    <s v="82000000007007288000200000652705"/>
    <s v="NULL"/>
    <x v="3"/>
  </r>
  <r>
    <s v="82000000007009679000200000668903"/>
    <s v="NULL"/>
    <x v="3"/>
  </r>
  <r>
    <s v="82000000007018457000200000636451"/>
    <s v="NULL"/>
    <x v="3"/>
  </r>
  <r>
    <s v="89CMAH2022000041R001520230086078"/>
    <s v="NULL"/>
    <x v="1"/>
  </r>
  <r>
    <s v="89CMAH2022000041R001520230178059"/>
    <s v="NULL"/>
    <x v="1"/>
  </r>
  <r>
    <s v="89CMAH2022000041R001520230178075"/>
    <s v="NULL"/>
    <x v="1"/>
  </r>
  <r>
    <s v="89CMAH2022000041R001520230178130"/>
    <s v="NULL"/>
    <x v="1"/>
  </r>
  <r>
    <s v="89CMAH2022000041R001520230178247"/>
    <s v="NULL"/>
    <x v="1"/>
  </r>
  <r>
    <s v="89CMAH2022000041R001520230178264"/>
    <s v="NULL"/>
    <x v="1"/>
  </r>
  <r>
    <s v="89CMAH2022000041R001520230178289"/>
    <s v="NULL"/>
    <x v="1"/>
  </r>
  <r>
    <s v="89CMAH2022000041R001520230178617"/>
    <s v="NULL"/>
    <x v="1"/>
  </r>
  <r>
    <s v="89CMAH2022000041R001520230178633"/>
    <s v="NULL"/>
    <x v="1"/>
  </r>
  <r>
    <s v="89CMAH2022000041R001520230233971"/>
    <s v="NULL"/>
    <x v="1"/>
  </r>
  <r>
    <s v="89CMAH2022000041R001520230234020"/>
    <s v="NULL"/>
    <x v="1"/>
  </r>
  <r>
    <s v="89CMAH2022000041R001520230234179"/>
    <s v="NULL"/>
    <x v="1"/>
  </r>
  <r>
    <s v="89CMAH2022000041R001520230234202"/>
    <s v="NULL"/>
    <x v="1"/>
  </r>
  <r>
    <s v="89CMAH2022000041R001520230234287"/>
    <s v="NULL"/>
    <x v="1"/>
  </r>
  <r>
    <s v="89CMAH2022000041R001520230234428"/>
    <s v="NULL"/>
    <x v="1"/>
  </r>
  <r>
    <s v="89CMAH2022000041R001520230234461"/>
    <s v="NULL"/>
    <x v="1"/>
  </r>
  <r>
    <s v="89CMAH2022000041R001520230234499"/>
    <s v="NULL"/>
    <x v="1"/>
  </r>
  <r>
    <s v="89CMAH2022000041R001520230234624"/>
    <s v="NULL"/>
    <x v="1"/>
  </r>
  <r>
    <s v="89CMAH2022000041R001520230234694"/>
    <s v="NULL"/>
    <x v="1"/>
  </r>
  <r>
    <s v="89CMAH2022000041R001520230234747"/>
    <s v="NULL"/>
    <x v="1"/>
  </r>
  <r>
    <s v="89CMAH2022000041R001520230289359"/>
    <s v="NULL"/>
    <x v="1"/>
  </r>
  <r>
    <s v="89CMAH2022000041R001520230289450"/>
    <s v="NULL"/>
    <x v="1"/>
  </r>
  <r>
    <s v="89CMAH2022000041R001520230289462"/>
    <s v="NULL"/>
    <x v="1"/>
  </r>
  <r>
    <s v="89CMAH2022000041R001520230289529"/>
    <s v="NULL"/>
    <x v="1"/>
  </r>
  <r>
    <s v="89CMAH2022000041R001520230289589"/>
    <s v="NULL"/>
    <x v="1"/>
  </r>
  <r>
    <s v="89CMAH2022000041R001520230289650"/>
    <s v="NULL"/>
    <x v="1"/>
  </r>
  <r>
    <s v="89CMAH2022000041R001520230289698"/>
    <s v="NULL"/>
    <x v="1"/>
  </r>
  <r>
    <s v="89CMAH2022000041R001520230289725"/>
    <s v="NULL"/>
    <x v="1"/>
  </r>
  <r>
    <s v="89CMAH2022000041R001520230289745"/>
    <s v="NULL"/>
    <x v="1"/>
  </r>
  <r>
    <s v="89CMAH2022000041R001520230289765"/>
    <s v="NULL"/>
    <x v="1"/>
  </r>
  <r>
    <s v="89CMAH2022000041R001520230289934"/>
    <s v="NULL"/>
    <x v="1"/>
  </r>
  <r>
    <s v="89CMAH2022000041R001520230290182"/>
    <s v="NULL"/>
    <x v="1"/>
  </r>
  <r>
    <s v="89CMAH2022000041R001520230290212"/>
    <s v="NULL"/>
    <x v="1"/>
  </r>
  <r>
    <s v="89CMAH2022000041R001520230290233"/>
    <s v="NULL"/>
    <x v="1"/>
  </r>
  <r>
    <s v="89CMAH2022000041R001520230290241"/>
    <s v="NULL"/>
    <x v="1"/>
  </r>
  <r>
    <s v="89CMAH2022000041R001520230290247"/>
    <s v="NULL"/>
    <x v="1"/>
  </r>
  <r>
    <s v="89CMAH2022000041R001520230290270"/>
    <s v="NULL"/>
    <x v="1"/>
  </r>
  <r>
    <s v="89CMAH2022000041R001520230290580"/>
    <s v="NULL"/>
    <x v="1"/>
  </r>
  <r>
    <s v="89CMAH2022000041R001520230290586"/>
    <s v="NULL"/>
    <x v="1"/>
  </r>
  <r>
    <s v="89CMAH2022000041R001520230290660"/>
    <s v="NULL"/>
    <x v="1"/>
  </r>
  <r>
    <s v="89CMAH2022000041R001520230290672"/>
    <s v="NULL"/>
    <x v="1"/>
  </r>
  <r>
    <s v="89CMAH2022000041R001520230290738"/>
    <s v="NULL"/>
    <x v="1"/>
  </r>
  <r>
    <s v="89CMAH2022000041R001520230290778"/>
    <s v="NULL"/>
    <x v="1"/>
  </r>
  <r>
    <s v="89CMAH2022000041R001520230290884"/>
    <s v="NULL"/>
    <x v="1"/>
  </r>
  <r>
    <s v="SNCN00000048"/>
    <s v="NULL"/>
    <x v="0"/>
  </r>
  <r>
    <s v="SNCN00000133"/>
    <s v="NULL"/>
    <x v="0"/>
  </r>
  <r>
    <s v="SNCN00000286"/>
    <s v="NULL"/>
    <x v="0"/>
  </r>
  <r>
    <s v="SNCN00000476"/>
    <s v="NULL"/>
    <x v="0"/>
  </r>
  <r>
    <s v="SNCN00000496"/>
    <s v="NULL"/>
    <x v="0"/>
  </r>
  <r>
    <s v="SNCN00000398"/>
    <s v="NULL"/>
    <x v="0"/>
  </r>
  <r>
    <s v="31000050265187029000000000000000"/>
    <s v="NULL"/>
    <x v="2"/>
  </r>
  <r>
    <s v="31000302263324096000000000000000"/>
    <s v="NULL"/>
    <x v="2"/>
  </r>
  <r>
    <s v="31000304183512096000000000000000"/>
    <s v="NULL"/>
    <x v="2"/>
  </r>
  <r>
    <s v="31000310520059090069674240100000"/>
    <s v="NULL"/>
    <x v="2"/>
  </r>
  <r>
    <s v="31000310560774090069674360100000"/>
    <s v="NULL"/>
    <x v="2"/>
  </r>
  <r>
    <s v="31000310359953090069674190100000"/>
    <s v="NULL"/>
    <x v="2"/>
  </r>
  <r>
    <s v="31000310563836090069673190100000"/>
    <s v="NULL"/>
    <x v="2"/>
  </r>
  <r>
    <s v="31000010600501149000000000000000"/>
    <s v="NULL"/>
    <x v="2"/>
  </r>
  <r>
    <s v="31000310542046090069674390100000"/>
    <s v="NULL"/>
    <x v="2"/>
  </r>
  <r>
    <s v="31000311650281029116502810290000"/>
    <s v="NULL"/>
    <x v="2"/>
  </r>
  <r>
    <s v="31CMAH0000000000R362304820864440"/>
    <s v="NULL"/>
    <x v="1"/>
  </r>
  <r>
    <s v="31CMAH0000000000R362304820908010"/>
    <s v="NULL"/>
    <x v="1"/>
  </r>
  <r>
    <s v="31CMAH0000000000R962304820229380"/>
    <s v="NULL"/>
    <x v="1"/>
  </r>
  <r>
    <s v="31CMAH0000000000R962304820280090"/>
    <s v="NULL"/>
    <x v="1"/>
  </r>
  <r>
    <s v="31CMAH0000000000R962304820309020"/>
    <s v="NULL"/>
    <x v="1"/>
  </r>
  <r>
    <s v="31CMAH0000000000R962304820340060"/>
    <s v="NULL"/>
    <x v="1"/>
  </r>
  <r>
    <s v="31CMAH0000000000R962304820341340"/>
    <s v="NULL"/>
    <x v="1"/>
  </r>
  <r>
    <s v="31CMAH0000000000R962304820373330"/>
    <s v="NULL"/>
    <x v="1"/>
  </r>
  <r>
    <s v="31CMAHbckstop2023BACK3ENFSMERT0N"/>
    <s v="NULL"/>
    <x v="1"/>
  </r>
  <r>
    <s v="82000000000137315000450000508004"/>
    <s v="NULL"/>
    <x v="3"/>
  </r>
  <r>
    <s v="82000000007013472000200000670097"/>
    <s v="NULL"/>
    <x v="3"/>
  </r>
  <r>
    <s v="82000000007017951000200000761231"/>
    <s v="NULL"/>
    <x v="3"/>
  </r>
  <r>
    <s v="890000201300031371000500C53958I0"/>
    <s v="NULL"/>
    <x v="4"/>
  </r>
  <r>
    <s v="89CMAH2022000041R001520230085467"/>
    <s v="NULL"/>
    <x v="1"/>
  </r>
  <r>
    <s v="89CMAH2022000041R001520230085654"/>
    <s v="NULL"/>
    <x v="1"/>
  </r>
  <r>
    <s v="89CMAH2022000041R001520230144871"/>
    <s v="NULL"/>
    <x v="1"/>
  </r>
  <r>
    <s v="89CMAH2022000041R001520230178540"/>
    <s v="NULL"/>
    <x v="1"/>
  </r>
  <r>
    <s v="89CMAH2022000041R001520230178624"/>
    <s v="NULL"/>
    <x v="1"/>
  </r>
  <r>
    <s v="89CMAH2022000041R001520230234133"/>
    <s v="NULL"/>
    <x v="1"/>
  </r>
  <r>
    <s v="89CMAH2022000041R001520230234158"/>
    <s v="NULL"/>
    <x v="1"/>
  </r>
  <r>
    <s v="89CMAH2022000041R001520230234267"/>
    <s v="NULL"/>
    <x v="1"/>
  </r>
  <r>
    <s v="89CMAH2022000041R001520230234340"/>
    <s v="NULL"/>
    <x v="1"/>
  </r>
  <r>
    <s v="89CMAH2022000041R001520230234341"/>
    <s v="NULL"/>
    <x v="1"/>
  </r>
  <r>
    <s v="89CMAH2022000041R001520230234389"/>
    <s v="NULL"/>
    <x v="1"/>
  </r>
  <r>
    <s v="89CMAH2022000041R001520230234407"/>
    <s v="NULL"/>
    <x v="1"/>
  </r>
  <r>
    <s v="89CMAH2022000041R001520230234414"/>
    <s v="NULL"/>
    <x v="1"/>
  </r>
  <r>
    <s v="89CMAH2022000041R001520230234463"/>
    <s v="NULL"/>
    <x v="1"/>
  </r>
  <r>
    <s v="89CMAH2022000041R001520230234470"/>
    <s v="NULL"/>
    <x v="1"/>
  </r>
  <r>
    <s v="89CMAH2022000041R001520230234472"/>
    <s v="NULL"/>
    <x v="1"/>
  </r>
  <r>
    <s v="89CMAH2022000041R001520230234503"/>
    <s v="NULL"/>
    <x v="1"/>
  </r>
  <r>
    <s v="89CMAH2022000041R001520230234538"/>
    <s v="NULL"/>
    <x v="1"/>
  </r>
  <r>
    <s v="89CMAH2022000041R001520230234588"/>
    <s v="NULL"/>
    <x v="1"/>
  </r>
  <r>
    <s v="89CMAH2022000041R001520230234637"/>
    <s v="NULL"/>
    <x v="1"/>
  </r>
  <r>
    <s v="89CMAH2022000041R001520230234702"/>
    <s v="NULL"/>
    <x v="1"/>
  </r>
  <r>
    <s v="89CMAH2022000041R001520230289393"/>
    <s v="NULL"/>
    <x v="1"/>
  </r>
  <r>
    <s v="89CMAH2022000041R001520230289410"/>
    <s v="NULL"/>
    <x v="1"/>
  </r>
  <r>
    <s v="89CMAH2022000041R001520230289571"/>
    <s v="NULL"/>
    <x v="1"/>
  </r>
  <r>
    <s v="89CMAH2022000041R001520230289628"/>
    <s v="NULL"/>
    <x v="1"/>
  </r>
  <r>
    <s v="89CMAH2022000041R001520230289648"/>
    <s v="NULL"/>
    <x v="1"/>
  </r>
  <r>
    <s v="89CMAH2022000041R001520230289721"/>
    <s v="NULL"/>
    <x v="1"/>
  </r>
  <r>
    <s v="89CMAH2022000041R001520230289791"/>
    <s v="NULL"/>
    <x v="1"/>
  </r>
  <r>
    <s v="89CMAH2022000041R001520230289825"/>
    <s v="NULL"/>
    <x v="1"/>
  </r>
  <r>
    <s v="89CMAH2022000041R001520230289833"/>
    <s v="NULL"/>
    <x v="1"/>
  </r>
  <r>
    <s v="89CMAH2022000041R001520230289835"/>
    <s v="NULL"/>
    <x v="1"/>
  </r>
  <r>
    <s v="89CMAH2022000041R001520230289901"/>
    <s v="NULL"/>
    <x v="1"/>
  </r>
  <r>
    <s v="89CMAH2022000041R001520230289940"/>
    <s v="NULL"/>
    <x v="1"/>
  </r>
  <r>
    <s v="89CMAH2022000041R001520230290016"/>
    <s v="NULL"/>
    <x v="1"/>
  </r>
  <r>
    <s v="89CMAH2022000041R001520230290042"/>
    <s v="NULL"/>
    <x v="1"/>
  </r>
  <r>
    <s v="89CMAH2022000041R001520230290043"/>
    <s v="NULL"/>
    <x v="1"/>
  </r>
  <r>
    <s v="89CMAH2022000041R001520230290132"/>
    <s v="NULL"/>
    <x v="1"/>
  </r>
  <r>
    <s v="89CMAH2022000041R001520230290169"/>
    <s v="NULL"/>
    <x v="1"/>
  </r>
  <r>
    <s v="89CMAH2022000041R001520230290194"/>
    <s v="NULL"/>
    <x v="1"/>
  </r>
  <r>
    <s v="89CMAH2022000041R001520230290200"/>
    <s v="NULL"/>
    <x v="1"/>
  </r>
  <r>
    <s v="89CMAH2022000041R001520230290211"/>
    <s v="NULL"/>
    <x v="1"/>
  </r>
  <r>
    <s v="89CMAH2022000041R001520230290287"/>
    <s v="NULL"/>
    <x v="1"/>
  </r>
  <r>
    <s v="89CMAH2022000041R001520230290296"/>
    <s v="NULL"/>
    <x v="1"/>
  </r>
  <r>
    <s v="89CMAH2022000041R001520230290301"/>
    <s v="NULL"/>
    <x v="1"/>
  </r>
  <r>
    <s v="89CMAH2022000041R001520230290442"/>
    <s v="NULL"/>
    <x v="1"/>
  </r>
  <r>
    <s v="89CMAH2022000041R001520230290472"/>
    <s v="NULL"/>
    <x v="1"/>
  </r>
  <r>
    <s v="89CMAH2022000041R001520230290529"/>
    <s v="NULL"/>
    <x v="1"/>
  </r>
  <r>
    <s v="89CMAH2022000041R001520230290546"/>
    <s v="NULL"/>
    <x v="1"/>
  </r>
  <r>
    <s v="89CMAH2022000041R001520230290562"/>
    <s v="NULL"/>
    <x v="1"/>
  </r>
  <r>
    <s v="89CMAH2022000041R001520230290698"/>
    <s v="NULL"/>
    <x v="1"/>
  </r>
  <r>
    <s v="89CMAH2022000041R001520230290716"/>
    <s v="NULL"/>
    <x v="1"/>
  </r>
  <r>
    <s v="89CMAH2022000041R001520230290756"/>
    <s v="NULL"/>
    <x v="1"/>
  </r>
  <r>
    <s v="89CMAH2022000041R001520230290791"/>
    <s v="NULL"/>
    <x v="1"/>
  </r>
  <r>
    <s v="89CMAH2022000041R001520230290793"/>
    <s v="NULL"/>
    <x v="1"/>
  </r>
  <r>
    <s v="89CMAH2022000041R001520230290800"/>
    <s v="NULL"/>
    <x v="1"/>
  </r>
  <r>
    <s v="SNCN00000218"/>
    <s v="NULL"/>
    <x v="0"/>
  </r>
  <r>
    <s v="31663600350105164363603501051640"/>
    <s v="NULL"/>
    <x v="2"/>
  </r>
  <r>
    <s v="31CMAH0000000000R262304880023930"/>
    <s v="NULL"/>
    <x v="1"/>
  </r>
  <r>
    <s v="31CMAH0000000000R962304820321330"/>
    <s v="NULL"/>
    <x v="1"/>
  </r>
  <r>
    <s v="31CMAHenergyS1xS2OVER1ENFGDRST0H"/>
    <s v="NULL"/>
    <x v="1"/>
  </r>
  <r>
    <s v="31CMAHenergyS1xS2OVER2ENFGDRST0G"/>
    <s v="NULL"/>
    <x v="1"/>
  </r>
  <r>
    <s v="82000000007001702000200000643934"/>
    <s v="NULL"/>
    <x v="3"/>
  </r>
  <r>
    <s v="82000000007003330000200000645972"/>
    <s v="NULL"/>
    <x v="3"/>
  </r>
  <r>
    <s v="82000000007004010000200000646658"/>
    <s v="NULL"/>
    <x v="3"/>
  </r>
  <r>
    <s v="82000000007006411000200000647514"/>
    <s v="NULL"/>
    <x v="3"/>
  </r>
  <r>
    <s v="82000000007007415000200000653335"/>
    <s v="NULL"/>
    <x v="3"/>
  </r>
  <r>
    <s v="82000000007011929000200000680200"/>
    <s v="NULL"/>
    <x v="3"/>
  </r>
  <r>
    <s v="82000000007012763000200000684983"/>
    <s v="NULL"/>
    <x v="3"/>
  </r>
  <r>
    <s v="82000000007012985000200000687578"/>
    <s v="NULL"/>
    <x v="3"/>
  </r>
  <r>
    <s v="82000000007015727000200000730325"/>
    <s v="NULL"/>
    <x v="3"/>
  </r>
  <r>
    <s v="82000000007018235000200000762229"/>
    <s v="NULL"/>
    <x v="3"/>
  </r>
  <r>
    <s v="31CMAH0000000000R262304820005540"/>
    <s v="NULL"/>
    <x v="1"/>
  </r>
  <r>
    <s v="31CMAH0000000000R262304820022850"/>
    <s v="NULL"/>
    <x v="1"/>
  </r>
  <r>
    <s v="31CMAH0000000000R262304820024790"/>
    <s v="NULL"/>
    <x v="1"/>
  </r>
  <r>
    <s v="31CMAH0000000000R962304820242890"/>
    <s v="NULL"/>
    <x v="1"/>
  </r>
  <r>
    <s v="31CMAH0000000000R962304820276890"/>
    <s v="NULL"/>
    <x v="1"/>
  </r>
  <r>
    <s v="31CMAH0000000000R962304820340110"/>
    <s v="NULL"/>
    <x v="1"/>
  </r>
  <r>
    <s v="31CMAHenergyS1xS2OVER2ENFGDRST0C"/>
    <s v="NULL"/>
    <x v="1"/>
  </r>
  <r>
    <s v="82000000007000267000200000642320"/>
    <s v="NULL"/>
    <x v="3"/>
  </r>
  <r>
    <s v="82000000007001270000200000643648"/>
    <s v="NULL"/>
    <x v="3"/>
  </r>
  <r>
    <s v="82000000007003341000200000562298"/>
    <s v="NULL"/>
    <x v="3"/>
  </r>
  <r>
    <s v="82000000007004207000200000647188"/>
    <s v="NULL"/>
    <x v="3"/>
  </r>
  <r>
    <s v="82000000007007244000200000652676"/>
    <s v="NULL"/>
    <x v="3"/>
  </r>
  <r>
    <s v="82000000007007718000200000512271"/>
    <s v="NULL"/>
    <x v="3"/>
  </r>
  <r>
    <s v="82000000007010390000200000524296"/>
    <s v="NULL"/>
    <x v="3"/>
  </r>
  <r>
    <s v="89CMAH2022000041R001520230039606"/>
    <s v="NULL"/>
    <x v="1"/>
  </r>
  <r>
    <s v="89CMAH2022000041R001520230085407"/>
    <s v="NULL"/>
    <x v="1"/>
  </r>
  <r>
    <s v="89CMAH2022000041R001520230085708"/>
    <s v="NULL"/>
    <x v="1"/>
  </r>
  <r>
    <s v="89CMAH2022000041R001520230086176"/>
    <s v="NULL"/>
    <x v="1"/>
  </r>
  <r>
    <s v="89CMAH2022000041R001520230144602"/>
    <s v="NULL"/>
    <x v="1"/>
  </r>
  <r>
    <s v="89CMAH2022000041R001520230177881"/>
    <s v="NULL"/>
    <x v="1"/>
  </r>
  <r>
    <s v="89CMAH2022000041R001520230177893"/>
    <s v="NULL"/>
    <x v="1"/>
  </r>
  <r>
    <s v="89CMAH2022000041R001520230178002"/>
    <s v="NULL"/>
    <x v="1"/>
  </r>
  <r>
    <s v="89CMAH2022000041R001520230178322"/>
    <s v="NULL"/>
    <x v="1"/>
  </r>
  <r>
    <s v="89CMAH2022000041R001520230178591"/>
    <s v="NULL"/>
    <x v="1"/>
  </r>
  <r>
    <s v="89CMAH2022000041R001520230234030"/>
    <s v="NULL"/>
    <x v="1"/>
  </r>
  <r>
    <s v="89CMAH2022000041R001520230234302"/>
    <s v="NULL"/>
    <x v="1"/>
  </r>
  <r>
    <s v="89CMAH2022000041R001520230234376"/>
    <s v="NULL"/>
    <x v="1"/>
  </r>
  <r>
    <s v="89CMAH2022000041R001520230234536"/>
    <s v="NULL"/>
    <x v="1"/>
  </r>
  <r>
    <s v="89CMAH2022000041R001520230289308"/>
    <s v="NULL"/>
    <x v="1"/>
  </r>
  <r>
    <s v="89CMAH2022000041R001520230289329"/>
    <s v="NULL"/>
    <x v="1"/>
  </r>
  <r>
    <s v="89CMAH2022000041R001520230289335"/>
    <s v="NULL"/>
    <x v="1"/>
  </r>
  <r>
    <s v="89CMAH2022000041R001520230289350"/>
    <s v="NULL"/>
    <x v="1"/>
  </r>
  <r>
    <s v="89CMAH2022000041R001520230289433"/>
    <s v="NULL"/>
    <x v="1"/>
  </r>
  <r>
    <s v="89CMAH2022000041R001520230289460"/>
    <s v="NULL"/>
    <x v="1"/>
  </r>
  <r>
    <s v="89CMAH2022000041R001520230289586"/>
    <s v="NULL"/>
    <x v="1"/>
  </r>
  <r>
    <s v="89CMAH2022000041R001520230289593"/>
    <s v="NULL"/>
    <x v="1"/>
  </r>
  <r>
    <s v="89CMAH2022000041R001520230289646"/>
    <s v="NULL"/>
    <x v="1"/>
  </r>
  <r>
    <s v="89CMAH2022000041R001520230289690"/>
    <s v="NULL"/>
    <x v="1"/>
  </r>
  <r>
    <s v="89CMAH2022000041R001520230289767"/>
    <s v="NULL"/>
    <x v="1"/>
  </r>
  <r>
    <s v="89CMAH2022000041R001520230289768"/>
    <s v="NULL"/>
    <x v="1"/>
  </r>
  <r>
    <s v="89CMAH2022000041R001520230289790"/>
    <s v="NULL"/>
    <x v="1"/>
  </r>
  <r>
    <s v="89CMAH2022000041R001520230289805"/>
    <s v="NULL"/>
    <x v="1"/>
  </r>
  <r>
    <s v="89CMAH2022000041R001520230290015"/>
    <s v="NULL"/>
    <x v="1"/>
  </r>
  <r>
    <s v="89CMAH2022000041R001520230290055"/>
    <s v="NULL"/>
    <x v="1"/>
  </r>
  <r>
    <s v="89CMAH2022000041R001520230290096"/>
    <s v="NULL"/>
    <x v="1"/>
  </r>
  <r>
    <s v="89CMAH2022000041R001520230290101"/>
    <s v="NULL"/>
    <x v="1"/>
  </r>
  <r>
    <s v="89CMAH2022000041R001520230290120"/>
    <s v="NULL"/>
    <x v="1"/>
  </r>
  <r>
    <s v="89CMAH2022000041R001520230290144"/>
    <s v="NULL"/>
    <x v="1"/>
  </r>
  <r>
    <s v="89CMAH2022000041R001520230290189"/>
    <s v="NULL"/>
    <x v="1"/>
  </r>
  <r>
    <s v="89CMAH2022000041R001520230290196"/>
    <s v="NULL"/>
    <x v="1"/>
  </r>
  <r>
    <s v="89CMAH2022000041R001520230290209"/>
    <s v="NULL"/>
    <x v="1"/>
  </r>
  <r>
    <s v="89CMAH2022000041R001520230290216"/>
    <s v="NULL"/>
    <x v="1"/>
  </r>
  <r>
    <s v="89CMAH2022000041R001520230290325"/>
    <s v="NULL"/>
    <x v="1"/>
  </r>
  <r>
    <s v="89CMAH2022000041R001520230290344"/>
    <s v="NULL"/>
    <x v="1"/>
  </r>
  <r>
    <s v="89CMAH2022000041R001520230290424"/>
    <s v="NULL"/>
    <x v="1"/>
  </r>
  <r>
    <s v="89CMAH2022000041R001520230290524"/>
    <s v="NULL"/>
    <x v="1"/>
  </r>
  <r>
    <s v="89CMAH2022000041R001520230290614"/>
    <s v="NULL"/>
    <x v="1"/>
  </r>
  <r>
    <s v="89CMAH2022000041R001520230290622"/>
    <s v="NULL"/>
    <x v="1"/>
  </r>
  <r>
    <s v="89CMAH2022000041R001520230290677"/>
    <s v="NULL"/>
    <x v="1"/>
  </r>
  <r>
    <s v="89CMAH2022000041R001520230290689"/>
    <s v="NULL"/>
    <x v="1"/>
  </r>
  <r>
    <s v="89CMAH2022000041R001520230290734"/>
    <s v="NULL"/>
    <x v="1"/>
  </r>
  <r>
    <s v="89CMAH2022000041R001520230290742"/>
    <s v="NULL"/>
    <x v="1"/>
  </r>
  <r>
    <s v="89CMAH2022000041R001520230290774"/>
    <s v="NULL"/>
    <x v="1"/>
  </r>
  <r>
    <s v="89CMAH2022000041R001520230290794"/>
    <s v="NULL"/>
    <x v="1"/>
  </r>
  <r>
    <s v="SNCN00000079"/>
    <s v="NULL"/>
    <x v="0"/>
  </r>
  <r>
    <s v="SNCN00000207"/>
    <s v="NULL"/>
    <x v="0"/>
  </r>
  <r>
    <s v="SNCN00000228"/>
    <s v="NULL"/>
    <x v="0"/>
  </r>
  <r>
    <s v="SNCN00000269"/>
    <s v="NULL"/>
    <x v="0"/>
  </r>
  <r>
    <s v="SNCN00000616"/>
    <s v="NULL"/>
    <x v="0"/>
  </r>
  <r>
    <s v="SNCN00000689"/>
    <s v="NULL"/>
    <x v="0"/>
  </r>
  <r>
    <s v="SNCN00000976"/>
    <s v="NULL"/>
    <x v="0"/>
  </r>
  <r>
    <s v="89CMAH2022000041R001520230040146"/>
    <s v="NULL"/>
    <x v="1"/>
  </r>
  <r>
    <s v="89CMAH2022000041R001520230085460"/>
    <s v="NULL"/>
    <x v="1"/>
  </r>
  <r>
    <s v="89CMAH2022000041R001520230086070"/>
    <s v="NULL"/>
    <x v="1"/>
  </r>
  <r>
    <s v="89CMAH2022000041R001520230086104"/>
    <s v="NULL"/>
    <x v="1"/>
  </r>
  <r>
    <s v="89CMAH2022000041R001520230144533"/>
    <s v="NULL"/>
    <x v="1"/>
  </r>
  <r>
    <s v="89CMAH2022000041R001520230144869"/>
    <s v="NULL"/>
    <x v="1"/>
  </r>
  <r>
    <s v="89CMAH2022000041R001520230145204"/>
    <s v="NULL"/>
    <x v="1"/>
  </r>
  <r>
    <s v="89CMAH2022000041R001520230177973"/>
    <s v="NULL"/>
    <x v="1"/>
  </r>
  <r>
    <s v="89CMAH2022000041R001520230177982"/>
    <s v="NULL"/>
    <x v="1"/>
  </r>
  <r>
    <s v="89CMAH2022000041R001520230178361"/>
    <s v="NULL"/>
    <x v="1"/>
  </r>
  <r>
    <s v="89CMAH2022000041R001520230234063"/>
    <s v="NULL"/>
    <x v="1"/>
  </r>
  <r>
    <s v="89CMAH2022000041R001520230234102"/>
    <s v="NULL"/>
    <x v="1"/>
  </r>
  <r>
    <s v="89CMAH2022000041R001520230234108"/>
    <s v="NULL"/>
    <x v="1"/>
  </r>
  <r>
    <s v="89CMAH2022000041R001520230234109"/>
    <s v="NULL"/>
    <x v="1"/>
  </r>
  <r>
    <s v="89CMAH2022000041R001520230234122"/>
    <s v="NULL"/>
    <x v="1"/>
  </r>
  <r>
    <s v="89CMAH2022000041R001520230234185"/>
    <s v="NULL"/>
    <x v="1"/>
  </r>
  <r>
    <s v="89CMAH2022000041R001520230234293"/>
    <s v="NULL"/>
    <x v="1"/>
  </r>
  <r>
    <s v="89CMAH2022000041R001520230234421"/>
    <s v="NULL"/>
    <x v="1"/>
  </r>
  <r>
    <s v="89CMAH2022000041R001520230234473"/>
    <s v="NULL"/>
    <x v="1"/>
  </r>
  <r>
    <s v="89CMAH2022000041R001520230234483"/>
    <s v="NULL"/>
    <x v="1"/>
  </r>
  <r>
    <s v="89CMAH2022000041R001520230234579"/>
    <s v="NULL"/>
    <x v="1"/>
  </r>
  <r>
    <s v="89CMAH2022000041R001520230234638"/>
    <s v="NULL"/>
    <x v="1"/>
  </r>
  <r>
    <s v="89CMAH2022000041R001520230234729"/>
    <s v="NULL"/>
    <x v="1"/>
  </r>
  <r>
    <s v="89CMAH2022000041R001520230289358"/>
    <s v="NULL"/>
    <x v="1"/>
  </r>
  <r>
    <s v="89CMAH2022000041R001520230289404"/>
    <s v="NULL"/>
    <x v="1"/>
  </r>
  <r>
    <s v="89CMAH2022000041R001520230289441"/>
    <s v="NULL"/>
    <x v="1"/>
  </r>
  <r>
    <s v="89CMAH2022000041R001520230289461"/>
    <s v="NULL"/>
    <x v="1"/>
  </r>
  <r>
    <s v="89CMAH2022000041R001520230289538"/>
    <s v="NULL"/>
    <x v="1"/>
  </r>
  <r>
    <s v="89CMAH2022000041R001520230289643"/>
    <s v="NULL"/>
    <x v="1"/>
  </r>
  <r>
    <s v="89CMAH2022000041R001520230289772"/>
    <s v="NULL"/>
    <x v="1"/>
  </r>
  <r>
    <s v="89CMAH2022000041R001520230289778"/>
    <s v="NULL"/>
    <x v="1"/>
  </r>
  <r>
    <s v="89CMAH2022000041R001520230289922"/>
    <s v="NULL"/>
    <x v="1"/>
  </r>
  <r>
    <s v="89CMAH2022000041R001520230289949"/>
    <s v="NULL"/>
    <x v="1"/>
  </r>
  <r>
    <s v="89CMAH2022000041R001520230290017"/>
    <s v="NULL"/>
    <x v="1"/>
  </r>
  <r>
    <s v="89CMAH2022000041R001520230290181"/>
    <s v="NULL"/>
    <x v="1"/>
  </r>
  <r>
    <s v="89CMAH2022000041R001520230290388"/>
    <s v="NULL"/>
    <x v="1"/>
  </r>
  <r>
    <s v="89CMAH2022000041R001520230290390"/>
    <s v="NULL"/>
    <x v="1"/>
  </r>
  <r>
    <s v="89CMAH2022000041R001520230290400"/>
    <s v="NULL"/>
    <x v="1"/>
  </r>
  <r>
    <s v="89CMAH2022000041R001520230290459"/>
    <s v="NULL"/>
    <x v="1"/>
  </r>
  <r>
    <s v="89CMAH2022000041R001520230290481"/>
    <s v="NULL"/>
    <x v="1"/>
  </r>
  <r>
    <s v="89CMAH2022000041R001520230290485"/>
    <s v="NULL"/>
    <x v="1"/>
  </r>
  <r>
    <s v="89CMAH2022000041R001520230290497"/>
    <s v="NULL"/>
    <x v="1"/>
  </r>
  <r>
    <s v="89CMAH2022000041R001520230290551"/>
    <s v="NULL"/>
    <x v="1"/>
  </r>
  <r>
    <s v="89CMAH2022000041R001520230290593"/>
    <s v="NULL"/>
    <x v="1"/>
  </r>
  <r>
    <s v="89CMAH2022000041R001520230290639"/>
    <s v="NULL"/>
    <x v="1"/>
  </r>
  <r>
    <s v="89CMAH2022000041R001520230290649"/>
    <s v="NULL"/>
    <x v="1"/>
  </r>
  <r>
    <s v="89CMAH2022000041R001520230290928"/>
    <s v="NULL"/>
    <x v="1"/>
  </r>
  <r>
    <s v="SNCN00000056"/>
    <s v="NULL"/>
    <x v="0"/>
  </r>
  <r>
    <s v="SNCN00000239"/>
    <s v="NULL"/>
    <x v="0"/>
  </r>
  <r>
    <s v="SNCN00000265"/>
    <s v="NULL"/>
    <x v="0"/>
  </r>
  <r>
    <s v="SNCN00000621"/>
    <s v="NULL"/>
    <x v="0"/>
  </r>
  <r>
    <s v="31CMAH0000000000R162304888017770"/>
    <s v="NULL"/>
    <x v="1"/>
  </r>
  <r>
    <s v="31CMAH0000000000R262304820027220"/>
    <s v="NULL"/>
    <x v="1"/>
  </r>
  <r>
    <s v="31CMAH0000000000R262304840018240"/>
    <s v="NULL"/>
    <x v="1"/>
  </r>
  <r>
    <s v="31CMAH0000000000R262304840019020"/>
    <s v="NULL"/>
    <x v="1"/>
  </r>
  <r>
    <s v="31CMAH0000000000R262304840019410"/>
    <s v="NULL"/>
    <x v="1"/>
  </r>
  <r>
    <s v="31CMAH0000000000R962304820260590"/>
    <s v="NULL"/>
    <x v="1"/>
  </r>
  <r>
    <s v="31CMAH0000000000R962304820272510"/>
    <s v="NULL"/>
    <x v="1"/>
  </r>
  <r>
    <s v="31CMAH0000000000R962304820368340"/>
    <s v="NULL"/>
    <x v="1"/>
  </r>
  <r>
    <s v="31CMAH0020003058R000000000000000"/>
    <s v="NULL"/>
    <x v="1"/>
  </r>
  <r>
    <s v="31CMAH4075601001R100266700000001"/>
    <s v="NULL"/>
    <x v="1"/>
  </r>
  <r>
    <s v="82000000000119190000450000105698"/>
    <s v="NULL"/>
    <x v="3"/>
  </r>
  <r>
    <s v="82000000000140978000450000327186"/>
    <s v="NULL"/>
    <x v="3"/>
  </r>
  <r>
    <s v="31CMAH0000000000R262304840018860"/>
    <s v="NULL"/>
    <x v="1"/>
  </r>
  <r>
    <s v="31CMAH0000000000R962304820268980"/>
    <s v="NULL"/>
    <x v="1"/>
  </r>
  <r>
    <s v="31CMAH0000000000R962304820307340"/>
    <s v="NULL"/>
    <x v="1"/>
  </r>
  <r>
    <s v="31CMAH0000000000R262304820023910"/>
    <s v="NULL"/>
    <x v="1"/>
  </r>
  <r>
    <s v="31CMAH0000000000R262304840018430"/>
    <s v="NULL"/>
    <x v="1"/>
  </r>
  <r>
    <s v="31CMAH0000000000R962304820043570"/>
    <s v="NULL"/>
    <x v="1"/>
  </r>
  <r>
    <s v="31CMAH0000000000R962304820393140"/>
    <s v="NULL"/>
    <x v="1"/>
  </r>
  <r>
    <s v="31CMAH0000000000R962304870327990"/>
    <s v="NULL"/>
    <x v="1"/>
  </r>
  <r>
    <s v="31CMAH0000000000R962304870355340"/>
    <s v="NULL"/>
    <x v="1"/>
  </r>
  <r>
    <s v="31CMAH0000000000R962304870370420"/>
    <s v="NULL"/>
    <x v="1"/>
  </r>
  <r>
    <s v="31CMAHenergyS1xS2OVER1ENFSMERT0F"/>
    <s v="NULL"/>
    <x v="1"/>
  </r>
  <r>
    <s v="82000000007001027000200000643456"/>
    <s v="NULL"/>
    <x v="3"/>
  </r>
  <r>
    <s v="82000000007001037000200000643473"/>
    <s v="NULL"/>
    <x v="3"/>
  </r>
  <r>
    <s v="82000000007001096000200000643452"/>
    <s v="NULL"/>
    <x v="3"/>
  </r>
  <r>
    <s v="82000000007002721000200000645148"/>
    <s v="NULL"/>
    <x v="3"/>
  </r>
  <r>
    <s v="82000000007007943000200000655437"/>
    <s v="NULL"/>
    <x v="3"/>
  </r>
  <r>
    <s v="82000000007011126000200000680269"/>
    <s v="NULL"/>
    <x v="3"/>
  </r>
  <r>
    <s v="82000000007014071000200000699349"/>
    <s v="NULL"/>
    <x v="3"/>
  </r>
  <r>
    <s v="82000000007017014000200000748323"/>
    <s v="NULL"/>
    <x v="3"/>
  </r>
  <r>
    <s v="82000000007002752000200000580106"/>
    <s v="NULL"/>
    <x v="3"/>
  </r>
  <r>
    <s v="82000000007005906000200000649016"/>
    <s v="NULL"/>
    <x v="3"/>
  </r>
  <r>
    <s v="82000000007006359000200000645655"/>
    <s v="NULL"/>
    <x v="3"/>
  </r>
  <r>
    <s v="82000000007007234000200000652671"/>
    <s v="NULL"/>
    <x v="3"/>
  </r>
  <r>
    <s v="82000000007008203000200000656481"/>
    <s v="NULL"/>
    <x v="3"/>
  </r>
  <r>
    <s v="82000000007011991000200000680794"/>
    <s v="NULL"/>
    <x v="3"/>
  </r>
  <r>
    <s v="82000000007014215000200000718967"/>
    <s v="NULL"/>
    <x v="3"/>
  </r>
  <r>
    <s v="82000000007001078000200000503255"/>
    <s v="NULL"/>
    <x v="3"/>
  </r>
  <r>
    <s v="82000000007001092000200000643459"/>
    <s v="NULL"/>
    <x v="3"/>
  </r>
  <r>
    <s v="82000000007001365000200000643746"/>
    <s v="NULL"/>
    <x v="3"/>
  </r>
  <r>
    <s v="82000000007004080000200000646721"/>
    <s v="NULL"/>
    <x v="3"/>
  </r>
  <r>
    <s v="82000000007008186000200000656461"/>
    <s v="NULL"/>
    <x v="3"/>
  </r>
  <r>
    <s v="82000000007009103000200000535741"/>
    <s v="NULL"/>
    <x v="3"/>
  </r>
  <r>
    <s v="82000000007015859000200000732396"/>
    <s v="NULL"/>
    <x v="3"/>
  </r>
  <r>
    <s v="890000200900044051000500C39109I0"/>
    <s v="NULL"/>
    <x v="4"/>
  </r>
  <r>
    <s v="89CMAH2022000041R001520230039501"/>
    <s v="NULL"/>
    <x v="1"/>
  </r>
  <r>
    <s v="89CMAH2022000041R001520230085950"/>
    <s v="NULL"/>
    <x v="1"/>
  </r>
  <r>
    <s v="89CMAH2022000041R001520230144591"/>
    <s v="NULL"/>
    <x v="1"/>
  </r>
  <r>
    <s v="89CMAH2022000041R001520230144643"/>
    <s v="NULL"/>
    <x v="1"/>
  </r>
  <r>
    <s v="89CMAH2022000041R001520230178072"/>
    <s v="NULL"/>
    <x v="1"/>
  </r>
  <r>
    <s v="89CMAH2022000041R001520230178104"/>
    <s v="NULL"/>
    <x v="1"/>
  </r>
  <r>
    <s v="89CMAH2022000041R001520230178122"/>
    <s v="NULL"/>
    <x v="1"/>
  </r>
  <r>
    <s v="89CMAH2022000041R001520230233986"/>
    <s v="NULL"/>
    <x v="1"/>
  </r>
  <r>
    <s v="89CMAH2022000041R001520230234085"/>
    <s v="NULL"/>
    <x v="1"/>
  </r>
  <r>
    <s v="89CMAH2022000041R001520230234103"/>
    <s v="NULL"/>
    <x v="1"/>
  </r>
  <r>
    <s v="89CMAH2022000041R001520230234171"/>
    <s v="NULL"/>
    <x v="1"/>
  </r>
  <r>
    <s v="89CMAH2022000041R001520230234181"/>
    <s v="NULL"/>
    <x v="1"/>
  </r>
  <r>
    <s v="89CMAH2022000041R001520230234326"/>
    <s v="NULL"/>
    <x v="1"/>
  </r>
  <r>
    <s v="89CMAH2022000041R001520230234371"/>
    <s v="NULL"/>
    <x v="1"/>
  </r>
  <r>
    <s v="89CMAH2022000041R001520230234488"/>
    <s v="NULL"/>
    <x v="1"/>
  </r>
  <r>
    <s v="89CMAH2022000041R001520230234746"/>
    <s v="NULL"/>
    <x v="1"/>
  </r>
  <r>
    <s v="89CMAH2022000041R001520230289313"/>
    <s v="NULL"/>
    <x v="1"/>
  </r>
  <r>
    <s v="89CMAH2022000041R001520230289327"/>
    <s v="NULL"/>
    <x v="1"/>
  </r>
  <r>
    <s v="89CMAH2022000041R001520230289408"/>
    <s v="NULL"/>
    <x v="1"/>
  </r>
  <r>
    <s v="89CMAH2022000041R001520230289413"/>
    <s v="NULL"/>
    <x v="1"/>
  </r>
  <r>
    <s v="89CMAH2022000041R001520230289430"/>
    <s v="NULL"/>
    <x v="1"/>
  </r>
  <r>
    <s v="89CMAH2022000041R001520230289439"/>
    <s v="NULL"/>
    <x v="1"/>
  </r>
  <r>
    <s v="89CMAH2022000041R001520230289542"/>
    <s v="NULL"/>
    <x v="1"/>
  </r>
  <r>
    <s v="89CMAH2022000041R001520230289552"/>
    <s v="NULL"/>
    <x v="1"/>
  </r>
  <r>
    <s v="89CMAH2022000041R001520230289619"/>
    <s v="NULL"/>
    <x v="1"/>
  </r>
  <r>
    <s v="89CMAH2022000041R001520230289707"/>
    <s v="NULL"/>
    <x v="1"/>
  </r>
  <r>
    <s v="89CMAH2022000041R001520230289738"/>
    <s v="NULL"/>
    <x v="1"/>
  </r>
  <r>
    <s v="89CMAH2022000041R001520230289781"/>
    <s v="NULL"/>
    <x v="1"/>
  </r>
  <r>
    <s v="89CMAH2022000041R001520230289814"/>
    <s v="NULL"/>
    <x v="1"/>
  </r>
  <r>
    <s v="89CMAH2022000041R001520230289844"/>
    <s v="NULL"/>
    <x v="1"/>
  </r>
  <r>
    <s v="89CMAH2022000041R001520230289961"/>
    <s v="NULL"/>
    <x v="1"/>
  </r>
  <r>
    <s v="89CMAH2022000041R001520230289986"/>
    <s v="NULL"/>
    <x v="1"/>
  </r>
  <r>
    <s v="89CMAH2022000041R001520230290011"/>
    <s v="NULL"/>
    <x v="1"/>
  </r>
  <r>
    <s v="89CMAH2022000041R001520230290105"/>
    <s v="NULL"/>
    <x v="1"/>
  </r>
  <r>
    <s v="89CMAH2022000041R001520230290107"/>
    <s v="NULL"/>
    <x v="1"/>
  </r>
  <r>
    <s v="89CMAH2022000041R001520230290119"/>
    <s v="NULL"/>
    <x v="1"/>
  </r>
  <r>
    <s v="89CMAH2022000041R001520230290130"/>
    <s v="NULL"/>
    <x v="1"/>
  </r>
  <r>
    <s v="89CMAH2022000041R001520230290260"/>
    <s v="NULL"/>
    <x v="1"/>
  </r>
  <r>
    <s v="89CMAH2022000041R001520230290300"/>
    <s v="NULL"/>
    <x v="1"/>
  </r>
  <r>
    <s v="89CMAH2022000041R001520230290360"/>
    <s v="NULL"/>
    <x v="1"/>
  </r>
  <r>
    <s v="89CMAH2022000041R001520230290458"/>
    <s v="NULL"/>
    <x v="1"/>
  </r>
  <r>
    <s v="89CMAH2022000041R001520230290511"/>
    <s v="NULL"/>
    <x v="1"/>
  </r>
  <r>
    <s v="89CMAH2022000041R001520230290617"/>
    <s v="NULL"/>
    <x v="1"/>
  </r>
  <r>
    <s v="89CMAH2022000041R001520230290644"/>
    <s v="NULL"/>
    <x v="1"/>
  </r>
  <r>
    <s v="89CMAH2022000041R001520230290669"/>
    <s v="NULL"/>
    <x v="1"/>
  </r>
  <r>
    <s v="89CMAH2022000041R001520230290706"/>
    <s v="NULL"/>
    <x v="1"/>
  </r>
  <r>
    <s v="89CMAH2022000041R001520230290715"/>
    <s v="NULL"/>
    <x v="1"/>
  </r>
  <r>
    <s v="89CMAH2022000041R001520230290737"/>
    <s v="NULL"/>
    <x v="1"/>
  </r>
  <r>
    <s v="89CMAH2022000041R001520230290814"/>
    <s v="NULL"/>
    <x v="1"/>
  </r>
  <r>
    <s v="89CMAH2022000041R001520230290850"/>
    <s v="NULL"/>
    <x v="1"/>
  </r>
  <r>
    <s v="89CMAH2022000041R001520230290909"/>
    <s v="NULL"/>
    <x v="1"/>
  </r>
  <r>
    <s v="89CMAH2022000041R001520230290925"/>
    <s v="NULL"/>
    <x v="1"/>
  </r>
  <r>
    <s v="SNCN00000071"/>
    <s v="NULL"/>
    <x v="0"/>
  </r>
  <r>
    <s v="SNCN00000085"/>
    <s v="NULL"/>
    <x v="0"/>
  </r>
  <r>
    <s v="SNCN00000416"/>
    <s v="NULL"/>
    <x v="0"/>
  </r>
  <r>
    <s v="SNCN00000537"/>
    <s v="NULL"/>
    <x v="0"/>
  </r>
  <r>
    <s v="SNCN00000762"/>
    <s v="NULL"/>
    <x v="0"/>
  </r>
  <r>
    <s v="SNCN00000773"/>
    <s v="NULL"/>
    <x v="0"/>
  </r>
  <r>
    <s v="SNCN00000931"/>
    <s v="NULL"/>
    <x v="0"/>
  </r>
  <r>
    <s v="SNCN00000960"/>
    <s v="NULL"/>
    <x v="0"/>
  </r>
  <r>
    <s v="SNCN00000970"/>
    <s v="NULL"/>
    <x v="0"/>
  </r>
  <r>
    <s v="89CMAH2022000041R001520230085494"/>
    <s v="NULL"/>
    <x v="1"/>
  </r>
  <r>
    <s v="89CMAH2022000041R001520230085706"/>
    <s v="NULL"/>
    <x v="1"/>
  </r>
  <r>
    <s v="89CMAH2022000041R001520230144555"/>
    <s v="NULL"/>
    <x v="1"/>
  </r>
  <r>
    <s v="89CMAH2022000041R001520230177917"/>
    <s v="NULL"/>
    <x v="1"/>
  </r>
  <r>
    <s v="89CMAH2022000041R001520230177996"/>
    <s v="NULL"/>
    <x v="1"/>
  </r>
  <r>
    <s v="89CMAH2022000041R001520230178589"/>
    <s v="NULL"/>
    <x v="1"/>
  </r>
  <r>
    <s v="89CMAH2022000041R001520230178609"/>
    <s v="NULL"/>
    <x v="1"/>
  </r>
  <r>
    <s v="89CMAH2022000041R001520230233987"/>
    <s v="NULL"/>
    <x v="1"/>
  </r>
  <r>
    <s v="89CMAH2022000041R001520230233997"/>
    <s v="NULL"/>
    <x v="1"/>
  </r>
  <r>
    <s v="89CMAH2022000041R001520230234032"/>
    <s v="NULL"/>
    <x v="1"/>
  </r>
  <r>
    <s v="89CMAH2022000041R001520230234089"/>
    <s v="NULL"/>
    <x v="1"/>
  </r>
  <r>
    <s v="89CMAH2022000041R001520230234210"/>
    <s v="NULL"/>
    <x v="1"/>
  </r>
  <r>
    <s v="89CMAH2022000041R001520230234314"/>
    <s v="NULL"/>
    <x v="1"/>
  </r>
  <r>
    <s v="89CMAH2022000041R001520230234322"/>
    <s v="NULL"/>
    <x v="1"/>
  </r>
  <r>
    <s v="89CMAH2022000041R001520230234524"/>
    <s v="NULL"/>
    <x v="1"/>
  </r>
  <r>
    <s v="89CMAH2022000041R001520230234587"/>
    <s v="NULL"/>
    <x v="1"/>
  </r>
  <r>
    <s v="89CMAH2022000041R001520230234595"/>
    <s v="NULL"/>
    <x v="1"/>
  </r>
  <r>
    <s v="89CMAH2022000041R001520230234651"/>
    <s v="NULL"/>
    <x v="1"/>
  </r>
  <r>
    <s v="89CMAH2022000041R001520230289297"/>
    <s v="NULL"/>
    <x v="1"/>
  </r>
  <r>
    <s v="89CMAH2022000041R001520230289301"/>
    <s v="NULL"/>
    <x v="1"/>
  </r>
  <r>
    <s v="89CMAH2022000041R001520230289355"/>
    <s v="NULL"/>
    <x v="1"/>
  </r>
  <r>
    <s v="89CMAH2022000041R001520230289399"/>
    <s v="NULL"/>
    <x v="1"/>
  </r>
  <r>
    <s v="89CMAH2022000041R001520230289416"/>
    <s v="NULL"/>
    <x v="1"/>
  </r>
  <r>
    <s v="89CMAH2022000041R001520230289676"/>
    <s v="NULL"/>
    <x v="1"/>
  </r>
  <r>
    <s v="89CMAH2022000041R001520230289869"/>
    <s v="NULL"/>
    <x v="1"/>
  </r>
  <r>
    <s v="89CMAH2022000041R001520230289957"/>
    <s v="NULL"/>
    <x v="1"/>
  </r>
  <r>
    <s v="89CMAH2022000041R001520230290021"/>
    <s v="NULL"/>
    <x v="1"/>
  </r>
  <r>
    <s v="89CMAH2022000041R001520230290028"/>
    <s v="NULL"/>
    <x v="1"/>
  </r>
  <r>
    <s v="89CMAH2022000041R001520230290038"/>
    <s v="NULL"/>
    <x v="1"/>
  </r>
  <r>
    <s v="89CMAH2022000041R001520230290098"/>
    <s v="NULL"/>
    <x v="1"/>
  </r>
  <r>
    <s v="89CMAH2022000041R001520230290147"/>
    <s v="NULL"/>
    <x v="1"/>
  </r>
  <r>
    <s v="89CMAH2022000041R001520230290163"/>
    <s v="NULL"/>
    <x v="1"/>
  </r>
  <r>
    <s v="89CMAH2022000041R001520230290177"/>
    <s v="NULL"/>
    <x v="1"/>
  </r>
  <r>
    <s v="89CMAH2022000041R001520230290190"/>
    <s v="NULL"/>
    <x v="1"/>
  </r>
  <r>
    <s v="89CMAH2022000041R001520230290214"/>
    <s v="NULL"/>
    <x v="1"/>
  </r>
  <r>
    <s v="89CMAH2022000041R001520230290218"/>
    <s v="NULL"/>
    <x v="1"/>
  </r>
  <r>
    <s v="89CMAH2022000041R001520230290321"/>
    <s v="NULL"/>
    <x v="1"/>
  </r>
  <r>
    <s v="89CMAH2022000041R001520230290430"/>
    <s v="NULL"/>
    <x v="1"/>
  </r>
  <r>
    <s v="89CMAH2022000041R001520230290447"/>
    <s v="NULL"/>
    <x v="1"/>
  </r>
  <r>
    <s v="89CMAH2022000041R001520230290470"/>
    <s v="NULL"/>
    <x v="1"/>
  </r>
  <r>
    <s v="89CMAH2022000041R001520230290474"/>
    <s v="NULL"/>
    <x v="1"/>
  </r>
  <r>
    <s v="89CMAH2022000041R001520230290486"/>
    <s v="NULL"/>
    <x v="1"/>
  </r>
  <r>
    <s v="89CMAH2022000041R001520230290509"/>
    <s v="NULL"/>
    <x v="1"/>
  </r>
  <r>
    <s v="89CMAH2022000041R001520230290541"/>
    <s v="NULL"/>
    <x v="1"/>
  </r>
  <r>
    <s v="89CMAH2022000041R001520230290627"/>
    <s v="NULL"/>
    <x v="1"/>
  </r>
  <r>
    <s v="89CMAH2022000041R001520230290632"/>
    <s v="NULL"/>
    <x v="1"/>
  </r>
  <r>
    <s v="89CMAH2022000041R001520230290651"/>
    <s v="NULL"/>
    <x v="1"/>
  </r>
  <r>
    <s v="89CMAH2022000041R001520230290662"/>
    <s v="NULL"/>
    <x v="1"/>
  </r>
  <r>
    <s v="89CMAH2022000041R001520230290743"/>
    <s v="NULL"/>
    <x v="1"/>
  </r>
  <r>
    <s v="89CMAH2022000041R001520230290750"/>
    <s v="NULL"/>
    <x v="1"/>
  </r>
  <r>
    <s v="89CMAH2022000041R001520230290752"/>
    <s v="NULL"/>
    <x v="1"/>
  </r>
  <r>
    <s v="89CMAH2022000041R001520230290765"/>
    <s v="NULL"/>
    <x v="1"/>
  </r>
  <r>
    <s v="89CMAH2022000041R001520230290771"/>
    <s v="NULL"/>
    <x v="1"/>
  </r>
  <r>
    <s v="89CMAH2022000041R001520230290795"/>
    <s v="NULL"/>
    <x v="1"/>
  </r>
  <r>
    <s v="89CMAH2022000041R001520230290802"/>
    <s v="NULL"/>
    <x v="1"/>
  </r>
  <r>
    <s v="89CMAH2022000041R001520230290813"/>
    <s v="NULL"/>
    <x v="1"/>
  </r>
  <r>
    <s v="89CMAH2022000041R001520230290818"/>
    <s v="NULL"/>
    <x v="1"/>
  </r>
  <r>
    <s v="89CMAH2022000041R001520230290833"/>
    <s v="NULL"/>
    <x v="1"/>
  </r>
  <r>
    <s v="SNCN00000029"/>
    <s v="NULL"/>
    <x v="0"/>
  </r>
  <r>
    <s v="SNCN00000200"/>
    <s v="NULL"/>
    <x v="0"/>
  </r>
  <r>
    <s v="SNCN00000375"/>
    <s v="NULL"/>
    <x v="0"/>
  </r>
  <r>
    <s v="SNCN00000399"/>
    <s v="NULL"/>
    <x v="0"/>
  </r>
  <r>
    <s v="SNCN00000458"/>
    <s v="NULL"/>
    <x v="0"/>
  </r>
  <r>
    <s v="SNCN00000516"/>
    <s v="NULL"/>
    <x v="0"/>
  </r>
  <r>
    <s v="SNCN00000534"/>
    <s v="NULL"/>
    <x v="0"/>
  </r>
  <r>
    <s v="SNCN00000572"/>
    <s v="NULL"/>
    <x v="0"/>
  </r>
  <r>
    <s v="89CMAH2022000041R001520230039900"/>
    <s v="NULL"/>
    <x v="1"/>
  </r>
  <r>
    <s v="89CMAH2022000041R001520230086092"/>
    <s v="NULL"/>
    <x v="1"/>
  </r>
  <r>
    <s v="89CMAH2022000041R001520230086159"/>
    <s v="NULL"/>
    <x v="1"/>
  </r>
  <r>
    <s v="89CMAH2022000041R001520230144666"/>
    <s v="NULL"/>
    <x v="1"/>
  </r>
  <r>
    <s v="89CMAH2022000041R001520230177918"/>
    <s v="NULL"/>
    <x v="1"/>
  </r>
  <r>
    <s v="89CMAH2022000041R001520230178028"/>
    <s v="NULL"/>
    <x v="1"/>
  </r>
  <r>
    <s v="89CMAH2022000041R001520230178080"/>
    <s v="NULL"/>
    <x v="1"/>
  </r>
  <r>
    <s v="89CMAH2022000041R001520230178253"/>
    <s v="NULL"/>
    <x v="1"/>
  </r>
  <r>
    <s v="89CMAH2022000041R001520230178256"/>
    <s v="NULL"/>
    <x v="1"/>
  </r>
  <r>
    <s v="89CMAH2022000041R001520230178323"/>
    <s v="NULL"/>
    <x v="1"/>
  </r>
  <r>
    <s v="89CMAH2022000041R001520230178519"/>
    <s v="NULL"/>
    <x v="1"/>
  </r>
  <r>
    <s v="89CMAH2022000041R001520230178590"/>
    <s v="NULL"/>
    <x v="1"/>
  </r>
  <r>
    <s v="89CMAH2022000041R001520230234040"/>
    <s v="NULL"/>
    <x v="1"/>
  </r>
  <r>
    <s v="89CMAH2022000041R001520230234148"/>
    <s v="NULL"/>
    <x v="1"/>
  </r>
  <r>
    <s v="89CMAH2022000041R001520230234203"/>
    <s v="NULL"/>
    <x v="1"/>
  </r>
  <r>
    <s v="89CMAH2022000041R001520230234207"/>
    <s v="NULL"/>
    <x v="1"/>
  </r>
  <r>
    <s v="89CMAH2022000041R001520230234333"/>
    <s v="NULL"/>
    <x v="1"/>
  </r>
  <r>
    <s v="89CMAH2022000041R001520230234386"/>
    <s v="NULL"/>
    <x v="1"/>
  </r>
  <r>
    <s v="89CMAH2022000041R001520230234392"/>
    <s v="NULL"/>
    <x v="1"/>
  </r>
  <r>
    <s v="89CMAH2022000041R001520230234551"/>
    <s v="NULL"/>
    <x v="1"/>
  </r>
  <r>
    <s v="89CMAH2022000041R001520230234748"/>
    <s v="NULL"/>
    <x v="1"/>
  </r>
  <r>
    <s v="89CMAH2022000041R001520230289288"/>
    <s v="NULL"/>
    <x v="1"/>
  </r>
  <r>
    <s v="89CMAH2022000041R001520230289330"/>
    <s v="NULL"/>
    <x v="1"/>
  </r>
  <r>
    <s v="89CMAH2022000041R001520230289351"/>
    <s v="NULL"/>
    <x v="1"/>
  </r>
  <r>
    <s v="89CMAH2022000041R001520230289403"/>
    <s v="NULL"/>
    <x v="1"/>
  </r>
  <r>
    <s v="89CMAH2022000041R001520230289421"/>
    <s v="NULL"/>
    <x v="1"/>
  </r>
  <r>
    <s v="89CMAH2022000041R001520230289497"/>
    <s v="NULL"/>
    <x v="1"/>
  </r>
  <r>
    <s v="89CMAH2022000041R001520230289532"/>
    <s v="NULL"/>
    <x v="1"/>
  </r>
  <r>
    <s v="89CMAH2022000041R001520230289539"/>
    <s v="NULL"/>
    <x v="1"/>
  </r>
  <r>
    <s v="89CMAH2022000041R001520230289572"/>
    <s v="NULL"/>
    <x v="1"/>
  </r>
  <r>
    <s v="89CMAH2022000041R001520230289575"/>
    <s v="NULL"/>
    <x v="1"/>
  </r>
  <r>
    <s v="89CMAH2022000041R001520230289576"/>
    <s v="NULL"/>
    <x v="1"/>
  </r>
  <r>
    <s v="89CMAH2022000041R001520230289613"/>
    <s v="NULL"/>
    <x v="1"/>
  </r>
  <r>
    <s v="89CMAH2022000041R001520230289615"/>
    <s v="NULL"/>
    <x v="1"/>
  </r>
  <r>
    <s v="89CMAH2022000041R001520230289645"/>
    <s v="NULL"/>
    <x v="1"/>
  </r>
  <r>
    <s v="89CMAH2022000041R001520230289664"/>
    <s v="NULL"/>
    <x v="1"/>
  </r>
  <r>
    <s v="89CMAH2022000041R001520230289668"/>
    <s v="NULL"/>
    <x v="1"/>
  </r>
  <r>
    <s v="89CMAH2022000041R001520230289777"/>
    <s v="NULL"/>
    <x v="1"/>
  </r>
  <r>
    <s v="89CMAH2022000041R001520230289848"/>
    <s v="NULL"/>
    <x v="1"/>
  </r>
  <r>
    <s v="89CMAH2022000041R001520230289852"/>
    <s v="NULL"/>
    <x v="1"/>
  </r>
  <r>
    <s v="89CMAH2022000041R001520230289877"/>
    <s v="NULL"/>
    <x v="1"/>
  </r>
  <r>
    <s v="89CMAH2022000041R001520230289900"/>
    <s v="NULL"/>
    <x v="1"/>
  </r>
  <r>
    <s v="89CMAH2022000041R001520230289948"/>
    <s v="NULL"/>
    <x v="1"/>
  </r>
  <r>
    <s v="89CMAH2022000041R001520230289991"/>
    <s v="NULL"/>
    <x v="1"/>
  </r>
  <r>
    <s v="89CMAH2022000041R001520230289993"/>
    <s v="NULL"/>
    <x v="1"/>
  </r>
  <r>
    <s v="89CMAH2022000041R001520230290065"/>
    <s v="NULL"/>
    <x v="1"/>
  </r>
  <r>
    <s v="89CMAH2022000041R001520230290099"/>
    <s v="NULL"/>
    <x v="1"/>
  </r>
  <r>
    <s v="89CMAH2022000041R001520230290174"/>
    <s v="NULL"/>
    <x v="1"/>
  </r>
  <r>
    <s v="89CMAH2022000041R001520230290266"/>
    <s v="NULL"/>
    <x v="1"/>
  </r>
  <r>
    <s v="89CMAH2022000041R001520230290313"/>
    <s v="NULL"/>
    <x v="1"/>
  </r>
  <r>
    <s v="89CMAH2022000041R001520230290379"/>
    <s v="NULL"/>
    <x v="1"/>
  </r>
  <r>
    <s v="89CMAH2022000041R001520230290433"/>
    <s v="NULL"/>
    <x v="1"/>
  </r>
  <r>
    <s v="89CMAH2022000041R001520230290493"/>
    <s v="NULL"/>
    <x v="1"/>
  </r>
  <r>
    <s v="89CMAH2022000041R001520230290563"/>
    <s v="NULL"/>
    <x v="1"/>
  </r>
  <r>
    <s v="89CMAH2022000041R001520230290574"/>
    <s v="NULL"/>
    <x v="1"/>
  </r>
  <r>
    <s v="89CMAH2022000041R001520230290702"/>
    <s v="NULL"/>
    <x v="1"/>
  </r>
  <r>
    <s v="89CMAH2022000041R001520230290704"/>
    <s v="NULL"/>
    <x v="1"/>
  </r>
  <r>
    <s v="89CMAH2022000041R001520230290705"/>
    <s v="NULL"/>
    <x v="1"/>
  </r>
  <r>
    <s v="89CMAH2022000041R001520230290804"/>
    <s v="NULL"/>
    <x v="1"/>
  </r>
  <r>
    <s v="89CMAH2022000041R001520230290846"/>
    <s v="NULL"/>
    <x v="1"/>
  </r>
  <r>
    <s v="89CMAH2022000041R001520230290871"/>
    <s v="NULL"/>
    <x v="1"/>
  </r>
  <r>
    <s v="89CMAH2022000041R001520230290875"/>
    <s v="NULL"/>
    <x v="1"/>
  </r>
  <r>
    <s v="89CMAH2022000041R001520230290902"/>
    <s v="NULL"/>
    <x v="1"/>
  </r>
  <r>
    <s v="89CMAH2022000041R001520230290924"/>
    <s v="NULL"/>
    <x v="1"/>
  </r>
  <r>
    <s v="SNCN00000226"/>
    <s v="NULL"/>
    <x v="0"/>
  </r>
  <r>
    <s v="SNCN00000360"/>
    <s v="NULL"/>
    <x v="0"/>
  </r>
  <r>
    <s v="SNCN00000401"/>
    <s v="NULL"/>
    <x v="0"/>
  </r>
  <r>
    <s v="SNCN00000446"/>
    <s v="NULL"/>
    <x v="0"/>
  </r>
  <r>
    <s v="SNCN00000612"/>
    <s v="NULL"/>
    <x v="0"/>
  </r>
  <r>
    <s v="SNCN00000963"/>
    <s v="NULL"/>
    <x v="0"/>
  </r>
  <r>
    <s v="SNCN00000453"/>
    <s v="NULL"/>
    <x v="0"/>
  </r>
  <r>
    <s v="31000010577641149000000000000000"/>
    <s v="NULL"/>
    <x v="2"/>
  </r>
  <r>
    <s v="31000010751421149000000000000000"/>
    <s v="NULL"/>
    <x v="2"/>
  </r>
  <r>
    <s v="31000310172256091069674290100000"/>
    <s v="NULL"/>
    <x v="2"/>
  </r>
  <r>
    <s v="31000310021693091069673590100000"/>
    <s v="NULL"/>
    <x v="2"/>
  </r>
  <r>
    <s v="31000310568918090069674260100000"/>
    <s v="NULL"/>
    <x v="2"/>
  </r>
  <r>
    <s v="31000310563570090069671410100000"/>
    <s v="NULL"/>
    <x v="2"/>
  </r>
  <r>
    <s v="31000310175671091069674400100000"/>
    <s v="NULL"/>
    <x v="2"/>
  </r>
  <r>
    <s v="31000310390396090069674660100000"/>
    <s v="NULL"/>
    <x v="2"/>
  </r>
  <r>
    <s v="31000310535586090069673910100000"/>
    <s v="NULL"/>
    <x v="2"/>
  </r>
  <r>
    <s v="31000310568884090069674160100000"/>
    <s v="NULL"/>
    <x v="2"/>
  </r>
  <r>
    <s v="31000316145160096000000000000000"/>
    <s v="NULL"/>
    <x v="2"/>
  </r>
  <r>
    <s v="31000310133787091069674430100000"/>
    <s v="NULL"/>
    <x v="2"/>
  </r>
  <r>
    <s v="31000310194557091069674640100000"/>
    <s v="NULL"/>
    <x v="2"/>
  </r>
  <r>
    <s v="31000310407612090069674710100000"/>
    <s v="NULL"/>
    <x v="2"/>
  </r>
  <r>
    <s v="31000311671824029116718240290000"/>
    <s v="NULL"/>
    <x v="2"/>
  </r>
  <r>
    <s v="31000313012300043000000000000000"/>
    <s v="NULL"/>
    <x v="2"/>
  </r>
  <r>
    <s v="31516200000359091069674320100000"/>
    <s v="NULL"/>
    <x v="2"/>
  </r>
  <r>
    <s v="31CMAH0000000000R962304820374160"/>
    <s v="NULL"/>
    <x v="1"/>
  </r>
  <r>
    <s v="82000000007001408000200000507110"/>
    <s v="NULL"/>
    <x v="3"/>
  </r>
  <r>
    <s v="82000000007006396000200000647498"/>
    <s v="NULL"/>
    <x v="3"/>
  </r>
  <r>
    <s v="82000000007010507000200000677173"/>
    <s v="NULL"/>
    <x v="3"/>
  </r>
  <r>
    <s v="82000000007011403000200000679766"/>
    <s v="NULL"/>
    <x v="3"/>
  </r>
  <r>
    <s v="82000000007018590000200000648443"/>
    <s v="NULL"/>
    <x v="3"/>
  </r>
  <r>
    <s v="89CMAH2022000041R001520220603524"/>
    <s v="NULL"/>
    <x v="1"/>
  </r>
  <r>
    <s v="89CMAH2022000041R001520230086100"/>
    <s v="NULL"/>
    <x v="1"/>
  </r>
  <r>
    <s v="89CMAH2022000041R001520230144538"/>
    <s v="NULL"/>
    <x v="1"/>
  </r>
  <r>
    <s v="89CMAH2022000041R001520230144659"/>
    <s v="NULL"/>
    <x v="1"/>
  </r>
  <r>
    <s v="89CMAH2022000041R001520230177908"/>
    <s v="NULL"/>
    <x v="1"/>
  </r>
  <r>
    <s v="89CMAH2022000041R001520230178078"/>
    <s v="NULL"/>
    <x v="1"/>
  </r>
  <r>
    <s v="89CMAH2022000041R001520230178097"/>
    <s v="NULL"/>
    <x v="1"/>
  </r>
  <r>
    <s v="89CMAH2022000041R001520230178490"/>
    <s v="NULL"/>
    <x v="1"/>
  </r>
  <r>
    <s v="89CMAH2022000041R001520230178530"/>
    <s v="NULL"/>
    <x v="1"/>
  </r>
  <r>
    <s v="89CMAH2022000041R001520230178565"/>
    <s v="NULL"/>
    <x v="1"/>
  </r>
  <r>
    <s v="89CMAH2022000041R001520230178610"/>
    <s v="NULL"/>
    <x v="1"/>
  </r>
  <r>
    <s v="89CMAH2022000041R001520230234115"/>
    <s v="NULL"/>
    <x v="1"/>
  </r>
  <r>
    <s v="89CMAH2022000041R001520230234124"/>
    <s v="NULL"/>
    <x v="1"/>
  </r>
  <r>
    <s v="89CMAH2022000041R001520230234164"/>
    <s v="NULL"/>
    <x v="1"/>
  </r>
  <r>
    <s v="89CMAH2022000041R001520230234178"/>
    <s v="NULL"/>
    <x v="1"/>
  </r>
  <r>
    <s v="89CMAH2022000041R001520230234276"/>
    <s v="NULL"/>
    <x v="1"/>
  </r>
  <r>
    <s v="89CMAH2022000041R001520230234291"/>
    <s v="NULL"/>
    <x v="1"/>
  </r>
  <r>
    <s v="89CMAH2022000041R001520230234325"/>
    <s v="NULL"/>
    <x v="1"/>
  </r>
  <r>
    <s v="89CMAH2022000041R001520230234385"/>
    <s v="NULL"/>
    <x v="1"/>
  </r>
  <r>
    <s v="89CMAH2022000041R001520230234714"/>
    <s v="NULL"/>
    <x v="1"/>
  </r>
  <r>
    <s v="89CMAH2022000041R001520230289299"/>
    <s v="NULL"/>
    <x v="1"/>
  </r>
  <r>
    <s v="89CMAH2022000041R001520230289318"/>
    <s v="NULL"/>
    <x v="1"/>
  </r>
  <r>
    <s v="89CMAH2022000041R001520230289370"/>
    <s v="NULL"/>
    <x v="1"/>
  </r>
  <r>
    <s v="89CMAH2022000041R001520230289371"/>
    <s v="NULL"/>
    <x v="1"/>
  </r>
  <r>
    <s v="89CMAH2022000041R001520230289400"/>
    <s v="NULL"/>
    <x v="1"/>
  </r>
  <r>
    <s v="89CMAH2022000041R001520230289455"/>
    <s v="NULL"/>
    <x v="1"/>
  </r>
  <r>
    <s v="89CMAH2022000041R001520230289554"/>
    <s v="NULL"/>
    <x v="1"/>
  </r>
  <r>
    <s v="89CMAH2022000041R001520230289585"/>
    <s v="NULL"/>
    <x v="1"/>
  </r>
  <r>
    <s v="89CMAH2022000041R001520230289605"/>
    <s v="NULL"/>
    <x v="1"/>
  </r>
  <r>
    <s v="89CMAH2022000041R001520230289659"/>
    <s v="NULL"/>
    <x v="1"/>
  </r>
  <r>
    <s v="89CMAH2022000041R001520230289673"/>
    <s v="NULL"/>
    <x v="1"/>
  </r>
  <r>
    <s v="89CMAH2022000041R001520230289726"/>
    <s v="NULL"/>
    <x v="1"/>
  </r>
  <r>
    <s v="89CMAH2022000041R001520230289728"/>
    <s v="NULL"/>
    <x v="1"/>
  </r>
  <r>
    <s v="89CMAH2022000041R001520230289750"/>
    <s v="NULL"/>
    <x v="1"/>
  </r>
  <r>
    <s v="89CMAH2022000041R001520230289845"/>
    <s v="NULL"/>
    <x v="1"/>
  </r>
  <r>
    <s v="89CMAH2022000041R001520230289866"/>
    <s v="NULL"/>
    <x v="1"/>
  </r>
  <r>
    <s v="89CMAH2022000041R001520230289881"/>
    <s v="NULL"/>
    <x v="1"/>
  </r>
  <r>
    <s v="89CMAH2022000041R001520230289910"/>
    <s v="NULL"/>
    <x v="1"/>
  </r>
  <r>
    <s v="89CMAH2022000041R001520230289913"/>
    <s v="NULL"/>
    <x v="1"/>
  </r>
  <r>
    <s v="89CMAH2022000041R001520230289915"/>
    <s v="NULL"/>
    <x v="1"/>
  </r>
  <r>
    <s v="89CMAH2022000041R001520230290000"/>
    <s v="NULL"/>
    <x v="1"/>
  </r>
  <r>
    <s v="89CMAH2022000041R001520230290023"/>
    <s v="NULL"/>
    <x v="1"/>
  </r>
  <r>
    <s v="89CMAH2022000041R001520230290116"/>
    <s v="NULL"/>
    <x v="1"/>
  </r>
  <r>
    <s v="89CMAH2022000041R001520230290146"/>
    <s v="NULL"/>
    <x v="1"/>
  </r>
  <r>
    <s v="89CMAH2022000041R001520230290161"/>
    <s v="NULL"/>
    <x v="1"/>
  </r>
  <r>
    <s v="89CMAH2022000041R001520230290328"/>
    <s v="NULL"/>
    <x v="1"/>
  </r>
  <r>
    <s v="89CMAH2022000041R001520230290373"/>
    <s v="NULL"/>
    <x v="1"/>
  </r>
  <r>
    <s v="89CMAH2022000041R001520230290431"/>
    <s v="NULL"/>
    <x v="1"/>
  </r>
  <r>
    <s v="89CMAH2022000041R001520230290465"/>
    <s v="NULL"/>
    <x v="1"/>
  </r>
  <r>
    <s v="89CMAH2022000041R001520230290514"/>
    <s v="NULL"/>
    <x v="1"/>
  </r>
  <r>
    <s v="89CMAH2022000041R001520230290584"/>
    <s v="NULL"/>
    <x v="1"/>
  </r>
  <r>
    <s v="89CMAH2022000041R001520230290591"/>
    <s v="NULL"/>
    <x v="1"/>
  </r>
  <r>
    <s v="89CMAH2022000041R001520230290655"/>
    <s v="NULL"/>
    <x v="1"/>
  </r>
  <r>
    <s v="89CMAH2022000041R001520230290727"/>
    <s v="NULL"/>
    <x v="1"/>
  </r>
  <r>
    <s v="89CMAH2022000041R001520230290767"/>
    <s v="NULL"/>
    <x v="1"/>
  </r>
  <r>
    <s v="89CMAH2022000041R001520230290857"/>
    <s v="NULL"/>
    <x v="1"/>
  </r>
  <r>
    <s v="89CMAH2022000041R001520230290892"/>
    <s v="NULL"/>
    <x v="1"/>
  </r>
  <r>
    <s v="89CMAH2022000041R001520230290907"/>
    <s v="NULL"/>
    <x v="1"/>
  </r>
  <r>
    <s v="SNCN00000139"/>
    <s v="NULL"/>
    <x v="0"/>
  </r>
  <r>
    <s v="SNCN00000145"/>
    <s v="NULL"/>
    <x v="0"/>
  </r>
  <r>
    <s v="SNCN00000221"/>
    <s v="NULL"/>
    <x v="0"/>
  </r>
  <r>
    <s v="SNCN00000225"/>
    <s v="NULL"/>
    <x v="0"/>
  </r>
  <r>
    <s v="SNCN00000305"/>
    <s v="NULL"/>
    <x v="0"/>
  </r>
  <r>
    <s v="SNCN00000523"/>
    <s v="NULL"/>
    <x v="0"/>
  </r>
  <r>
    <s v="SNCN00000558"/>
    <s v="NULL"/>
    <x v="0"/>
  </r>
  <r>
    <s v="SNCN00000623"/>
    <s v="NULL"/>
    <x v="0"/>
  </r>
  <r>
    <s v="SNCN00000945"/>
    <s v="NULL"/>
    <x v="0"/>
  </r>
  <r>
    <s v="SNCN00000952"/>
    <s v="NULL"/>
    <x v="0"/>
  </r>
  <r>
    <s v="31CMAH0000000000R962304820273560"/>
    <s v="NULL"/>
    <x v="1"/>
  </r>
  <r>
    <s v="31CMAH0000000000R962304820336330"/>
    <s v="NULL"/>
    <x v="1"/>
  </r>
  <r>
    <s v="82000000007000534000200000642894"/>
    <s v="NULL"/>
    <x v="3"/>
  </r>
  <r>
    <s v="31CMAH0000000000R962304820153890"/>
    <s v="NULL"/>
    <x v="1"/>
  </r>
  <r>
    <s v="31CMAH0000000000R962304820295750"/>
    <s v="NULL"/>
    <x v="1"/>
  </r>
  <r>
    <s v="31CMAH0000000000R962304820302710"/>
    <s v="NULL"/>
    <x v="1"/>
  </r>
  <r>
    <s v="31CMAH0000000000R962304820317020"/>
    <s v="NULL"/>
    <x v="1"/>
  </r>
  <r>
    <s v="31CMAH0000000000R962304820390930"/>
    <s v="NULL"/>
    <x v="1"/>
  </r>
  <r>
    <s v="31CMAH0000000000R962304830362520"/>
    <s v="NULL"/>
    <x v="1"/>
  </r>
  <r>
    <s v="82000000000019732000420000416255"/>
    <s v="NULL"/>
    <x v="3"/>
  </r>
  <r>
    <s v="82000000007003722000200000646413"/>
    <s v="NULL"/>
    <x v="3"/>
  </r>
  <r>
    <s v="82000000007004064000200000646779"/>
    <s v="NULL"/>
    <x v="3"/>
  </r>
  <r>
    <s v="82000000007004335000200000647158"/>
    <s v="NULL"/>
    <x v="3"/>
  </r>
  <r>
    <s v="82000000007004397000200000647082"/>
    <s v="NULL"/>
    <x v="3"/>
  </r>
  <r>
    <s v="89CMAH2022000041R001520230039473"/>
    <s v="NULL"/>
    <x v="1"/>
  </r>
  <r>
    <s v="89CMAH2022000041R001520230039795"/>
    <s v="NULL"/>
    <x v="1"/>
  </r>
  <r>
    <s v="89CMAH2022000041R001520230086183"/>
    <s v="NULL"/>
    <x v="1"/>
  </r>
  <r>
    <s v="89CMAH2022000041R001520230144609"/>
    <s v="NULL"/>
    <x v="1"/>
  </r>
  <r>
    <s v="89CMAH2022000041R001520230144636"/>
    <s v="NULL"/>
    <x v="1"/>
  </r>
  <r>
    <s v="89CMAH2022000041R001520230144717"/>
    <s v="NULL"/>
    <x v="1"/>
  </r>
  <r>
    <s v="89CMAH2022000041R001520230144895"/>
    <s v="NULL"/>
    <x v="1"/>
  </r>
  <r>
    <s v="89CMAH2022000041R001520230178560"/>
    <s v="NULL"/>
    <x v="1"/>
  </r>
  <r>
    <s v="89CMAH2022000041R001520230178608"/>
    <s v="NULL"/>
    <x v="1"/>
  </r>
  <r>
    <s v="89CMAH2022000041R001520230234142"/>
    <s v="NULL"/>
    <x v="1"/>
  </r>
  <r>
    <s v="89CMAH2022000041R001520230234166"/>
    <s v="NULL"/>
    <x v="1"/>
  </r>
  <r>
    <s v="89CMAH2022000041R001520230234323"/>
    <s v="NULL"/>
    <x v="1"/>
  </r>
  <r>
    <s v="89CMAH2022000041R001520230234429"/>
    <s v="NULL"/>
    <x v="1"/>
  </r>
  <r>
    <s v="89CMAH2022000041R001520230234468"/>
    <s v="NULL"/>
    <x v="1"/>
  </r>
  <r>
    <s v="89CMAH2022000041R001520230234626"/>
    <s v="NULL"/>
    <x v="1"/>
  </r>
  <r>
    <s v="89CMAH2022000041R001520230234645"/>
    <s v="NULL"/>
    <x v="1"/>
  </r>
  <r>
    <s v="89CMAH2022000041R001520230234703"/>
    <s v="NULL"/>
    <x v="1"/>
  </r>
  <r>
    <s v="89CMAH2022000041R001520230289286"/>
    <s v="NULL"/>
    <x v="1"/>
  </r>
  <r>
    <s v="89CMAH2022000041R001520230289312"/>
    <s v="NULL"/>
    <x v="1"/>
  </r>
  <r>
    <s v="89CMAH2022000041R001520230289504"/>
    <s v="NULL"/>
    <x v="1"/>
  </r>
  <r>
    <s v="89CMAH2022000041R001520230289525"/>
    <s v="NULL"/>
    <x v="1"/>
  </r>
  <r>
    <s v="89CMAH2022000041R001520230289533"/>
    <s v="NULL"/>
    <x v="1"/>
  </r>
  <r>
    <s v="89CMAH2022000041R001520230289551"/>
    <s v="NULL"/>
    <x v="1"/>
  </r>
  <r>
    <s v="89CMAH2022000041R001520230289592"/>
    <s v="NULL"/>
    <x v="1"/>
  </r>
  <r>
    <s v="89CMAH2022000041R001520230289597"/>
    <s v="NULL"/>
    <x v="1"/>
  </r>
  <r>
    <s v="89CMAH2022000041R001520230289735"/>
    <s v="NULL"/>
    <x v="1"/>
  </r>
  <r>
    <s v="89CMAH2022000041R001520230289763"/>
    <s v="NULL"/>
    <x v="1"/>
  </r>
  <r>
    <s v="89CMAH2022000041R001520230289784"/>
    <s v="NULL"/>
    <x v="1"/>
  </r>
  <r>
    <s v="89CMAH2022000041R001520230289819"/>
    <s v="NULL"/>
    <x v="1"/>
  </r>
  <r>
    <s v="89CMAH2022000041R001520230289886"/>
    <s v="NULL"/>
    <x v="1"/>
  </r>
  <r>
    <s v="89CMAH2022000041R001520230289905"/>
    <s v="NULL"/>
    <x v="1"/>
  </r>
  <r>
    <s v="89CMAH2022000041R001520230289953"/>
    <s v="NULL"/>
    <x v="1"/>
  </r>
  <r>
    <s v="89CMAH2022000041R001520230289988"/>
    <s v="NULL"/>
    <x v="1"/>
  </r>
  <r>
    <s v="89CMAH2022000041R001520230289989"/>
    <s v="NULL"/>
    <x v="1"/>
  </r>
  <r>
    <s v="89CMAH2022000041R001520230290069"/>
    <s v="NULL"/>
    <x v="1"/>
  </r>
  <r>
    <s v="89CMAH2022000041R001520230290077"/>
    <s v="NULL"/>
    <x v="1"/>
  </r>
  <r>
    <s v="89CMAH2022000041R001520230290097"/>
    <s v="NULL"/>
    <x v="1"/>
  </r>
  <r>
    <s v="89CMAH2022000041R001520230290118"/>
    <s v="NULL"/>
    <x v="1"/>
  </r>
  <r>
    <s v="89CMAH2022000041R001520230290135"/>
    <s v="NULL"/>
    <x v="1"/>
  </r>
  <r>
    <s v="89CMAH2022000041R001520230290160"/>
    <s v="NULL"/>
    <x v="1"/>
  </r>
  <r>
    <s v="89CMAH2022000041R001520230290195"/>
    <s v="NULL"/>
    <x v="1"/>
  </r>
  <r>
    <s v="89CMAH2022000041R001520230290299"/>
    <s v="NULL"/>
    <x v="1"/>
  </r>
  <r>
    <s v="89CMAH2022000041R001520230290329"/>
    <s v="NULL"/>
    <x v="1"/>
  </r>
  <r>
    <s v="89CMAH2022000041R001520230290333"/>
    <s v="NULL"/>
    <x v="1"/>
  </r>
  <r>
    <s v="89CMAH2022000041R001520230290372"/>
    <s v="NULL"/>
    <x v="1"/>
  </r>
  <r>
    <s v="89CMAH2022000041R001520230290394"/>
    <s v="NULL"/>
    <x v="1"/>
  </r>
  <r>
    <s v="89CMAH2022000041R001520230290432"/>
    <s v="NULL"/>
    <x v="1"/>
  </r>
  <r>
    <s v="89CMAH2022000041R001520230290441"/>
    <s v="NULL"/>
    <x v="1"/>
  </r>
  <r>
    <s v="89CMAH2022000041R001520230290491"/>
    <s v="NULL"/>
    <x v="1"/>
  </r>
  <r>
    <s v="89CMAH2022000041R001520230290542"/>
    <s v="NULL"/>
    <x v="1"/>
  </r>
  <r>
    <s v="89CMAH2022000041R001520230290567"/>
    <s v="NULL"/>
    <x v="1"/>
  </r>
  <r>
    <s v="89CMAH2022000041R001520230290581"/>
    <s v="NULL"/>
    <x v="1"/>
  </r>
  <r>
    <s v="89CMAH2022000041R001520230290607"/>
    <s v="NULL"/>
    <x v="1"/>
  </r>
  <r>
    <s v="89CMAH2022000041R001520230290628"/>
    <s v="NULL"/>
    <x v="1"/>
  </r>
  <r>
    <s v="89CMAH2022000041R001520230290633"/>
    <s v="NULL"/>
    <x v="1"/>
  </r>
  <r>
    <s v="89CMAH2022000041R001520230290657"/>
    <s v="NULL"/>
    <x v="1"/>
  </r>
  <r>
    <s v="89CMAH2022000041R001520230290729"/>
    <s v="NULL"/>
    <x v="1"/>
  </r>
  <r>
    <s v="89CMAH2022000041R001520230290815"/>
    <s v="NULL"/>
    <x v="1"/>
  </r>
  <r>
    <s v="89CMAH2022000041R001520230290820"/>
    <s v="NULL"/>
    <x v="1"/>
  </r>
  <r>
    <s v="89CMAH2022000041R001520230290830"/>
    <s v="NULL"/>
    <x v="1"/>
  </r>
  <r>
    <s v="89CMAH2022000041R001520230290891"/>
    <s v="NULL"/>
    <x v="1"/>
  </r>
  <r>
    <s v="89CMAH2022000041R001520230290900"/>
    <s v="NULL"/>
    <x v="1"/>
  </r>
  <r>
    <s v="89CMAH2022000041R001520230290910"/>
    <s v="NULL"/>
    <x v="1"/>
  </r>
  <r>
    <s v="89CMAH2022000041R001520230290920"/>
    <s v="NULL"/>
    <x v="1"/>
  </r>
  <r>
    <s v="SNCN00000078"/>
    <s v="NULL"/>
    <x v="0"/>
  </r>
  <r>
    <s v="SNCN00000094"/>
    <s v="NULL"/>
    <x v="0"/>
  </r>
  <r>
    <s v="SNCN00000159"/>
    <s v="NULL"/>
    <x v="0"/>
  </r>
  <r>
    <s v="SNCN00000289"/>
    <s v="NULL"/>
    <x v="0"/>
  </r>
  <r>
    <s v="SNCN00000397"/>
    <s v="NULL"/>
    <x v="0"/>
  </r>
  <r>
    <s v="SNCN00000454"/>
    <s v="NULL"/>
    <x v="0"/>
  </r>
  <r>
    <s v="89CMAH2022000041R001520230039798"/>
    <s v="NULL"/>
    <x v="1"/>
  </r>
  <r>
    <s v="89CMAH2022000041R001520230085863"/>
    <s v="NULL"/>
    <x v="1"/>
  </r>
  <r>
    <s v="89CMAH2022000041R001520230085941"/>
    <s v="NULL"/>
    <x v="1"/>
  </r>
  <r>
    <s v="89CMAH2022000041R001520230086026"/>
    <s v="NULL"/>
    <x v="1"/>
  </r>
  <r>
    <s v="89CMAH2022000041R001520230144648"/>
    <s v="NULL"/>
    <x v="1"/>
  </r>
  <r>
    <s v="89CMAH2022000041R001520230145146"/>
    <s v="NULL"/>
    <x v="1"/>
  </r>
  <r>
    <s v="89CMAH2022000041R001520230177871"/>
    <s v="NULL"/>
    <x v="1"/>
  </r>
  <r>
    <s v="89CMAH2022000041R001520230178077"/>
    <s v="NULL"/>
    <x v="1"/>
  </r>
  <r>
    <s v="89CMAH2022000041R001520230178457"/>
    <s v="NULL"/>
    <x v="1"/>
  </r>
  <r>
    <s v="89CMAH2022000041R001520230234039"/>
    <s v="NULL"/>
    <x v="1"/>
  </r>
  <r>
    <s v="89CMAH2022000041R001520230234050"/>
    <s v="NULL"/>
    <x v="1"/>
  </r>
  <r>
    <s v="89CMAH2022000041R001520230234061"/>
    <s v="NULL"/>
    <x v="1"/>
  </r>
  <r>
    <s v="89CMAH2022000041R001520230234224"/>
    <s v="NULL"/>
    <x v="1"/>
  </r>
  <r>
    <s v="89CMAH2022000041R001520230234264"/>
    <s v="NULL"/>
    <x v="1"/>
  </r>
  <r>
    <s v="89CMAH2022000041R001520230234496"/>
    <s v="NULL"/>
    <x v="1"/>
  </r>
  <r>
    <s v="89CMAH2022000041R001520230234548"/>
    <s v="NULL"/>
    <x v="1"/>
  </r>
  <r>
    <s v="89CMAH2022000041R001520230234646"/>
    <s v="NULL"/>
    <x v="1"/>
  </r>
  <r>
    <s v="89CMAH2022000041R001520230289283"/>
    <s v="NULL"/>
    <x v="1"/>
  </r>
  <r>
    <s v="89CMAH2022000041R001520230289290"/>
    <s v="NULL"/>
    <x v="1"/>
  </r>
  <r>
    <s v="89CMAH2022000041R001520230289323"/>
    <s v="NULL"/>
    <x v="1"/>
  </r>
  <r>
    <s v="89CMAH2022000041R001520230289401"/>
    <s v="NULL"/>
    <x v="1"/>
  </r>
  <r>
    <s v="89CMAH2022000041R001520230289495"/>
    <s v="NULL"/>
    <x v="1"/>
  </r>
  <r>
    <s v="89CMAH2022000041R001520230289583"/>
    <s v="NULL"/>
    <x v="1"/>
  </r>
  <r>
    <s v="89CMAH2022000041R001520230289666"/>
    <s v="NULL"/>
    <x v="1"/>
  </r>
  <r>
    <s v="89CMAH2022000041R001520230289724"/>
    <s v="NULL"/>
    <x v="1"/>
  </r>
  <r>
    <s v="89CMAH2022000041R001520230289746"/>
    <s v="NULL"/>
    <x v="1"/>
  </r>
  <r>
    <s v="89CMAH2022000041R001520230289809"/>
    <s v="NULL"/>
    <x v="1"/>
  </r>
  <r>
    <s v="89CMAH2022000041R001520230289832"/>
    <s v="NULL"/>
    <x v="1"/>
  </r>
  <r>
    <s v="89CMAH2022000041R001520230289854"/>
    <s v="NULL"/>
    <x v="1"/>
  </r>
  <r>
    <s v="89CMAH2022000041R001520230290007"/>
    <s v="NULL"/>
    <x v="1"/>
  </r>
  <r>
    <s v="89CMAH2022000041R001520230290019"/>
    <s v="NULL"/>
    <x v="1"/>
  </r>
  <r>
    <s v="89CMAH2022000041R001520230290094"/>
    <s v="NULL"/>
    <x v="1"/>
  </r>
  <r>
    <s v="89CMAH2022000041R001520230290129"/>
    <s v="NULL"/>
    <x v="1"/>
  </r>
  <r>
    <s v="89CMAH2022000041R001520230290141"/>
    <s v="NULL"/>
    <x v="1"/>
  </r>
  <r>
    <s v="89CMAH2022000041R001520230290151"/>
    <s v="NULL"/>
    <x v="1"/>
  </r>
  <r>
    <s v="89CMAH2022000041R001520230290166"/>
    <s v="NULL"/>
    <x v="1"/>
  </r>
  <r>
    <s v="89CMAH2022000041R001520230290168"/>
    <s v="NULL"/>
    <x v="1"/>
  </r>
  <r>
    <s v="89CMAH2022000041R001520230290179"/>
    <s v="NULL"/>
    <x v="1"/>
  </r>
  <r>
    <s v="89CMAH2022000041R001520230290185"/>
    <s v="NULL"/>
    <x v="1"/>
  </r>
  <r>
    <s v="89CMAH2022000041R001520230290197"/>
    <s v="NULL"/>
    <x v="1"/>
  </r>
  <r>
    <s v="89CMAH2022000041R001520230290238"/>
    <s v="NULL"/>
    <x v="1"/>
  </r>
  <r>
    <s v="89CMAH2022000041R001520230290253"/>
    <s v="NULL"/>
    <x v="1"/>
  </r>
  <r>
    <s v="89CMAH2022000041R001520230290298"/>
    <s v="NULL"/>
    <x v="1"/>
  </r>
  <r>
    <s v="89CMAH2022000041R001520230290318"/>
    <s v="NULL"/>
    <x v="1"/>
  </r>
  <r>
    <s v="89CMAH2022000041R001520230290340"/>
    <s v="NULL"/>
    <x v="1"/>
  </r>
  <r>
    <s v="89CMAH2022000041R001520230290528"/>
    <s v="NULL"/>
    <x v="1"/>
  </r>
  <r>
    <s v="89CMAH2022000041R001520230290590"/>
    <s v="NULL"/>
    <x v="1"/>
  </r>
  <r>
    <s v="89CMAH2022000041R001520230290624"/>
    <s v="NULL"/>
    <x v="1"/>
  </r>
  <r>
    <s v="89CMAH2022000041R001520230290641"/>
    <s v="NULL"/>
    <x v="1"/>
  </r>
  <r>
    <s v="89CMAH2022000041R001520230290695"/>
    <s v="NULL"/>
    <x v="1"/>
  </r>
  <r>
    <s v="89CMAH2022000041R001520230290700"/>
    <s v="NULL"/>
    <x v="1"/>
  </r>
  <r>
    <s v="89CMAH2022000041R001520230290714"/>
    <s v="NULL"/>
    <x v="1"/>
  </r>
  <r>
    <s v="89CMAH2022000041R001520230290759"/>
    <s v="NULL"/>
    <x v="1"/>
  </r>
  <r>
    <s v="89CMAH2022000041R001520230290930"/>
    <s v="NULL"/>
    <x v="1"/>
  </r>
  <r>
    <s v="SNCN00000045"/>
    <s v="NULL"/>
    <x v="0"/>
  </r>
  <r>
    <s v="SNCN00000084"/>
    <s v="NULL"/>
    <x v="0"/>
  </r>
  <r>
    <s v="SNCN00000103"/>
    <s v="NULL"/>
    <x v="0"/>
  </r>
  <r>
    <s v="SNCN00000118"/>
    <s v="NULL"/>
    <x v="0"/>
  </r>
  <r>
    <s v="SNCN00000163"/>
    <s v="NULL"/>
    <x v="0"/>
  </r>
  <r>
    <s v="SNCN00000164"/>
    <s v="NULL"/>
    <x v="0"/>
  </r>
  <r>
    <s v="SNCN00000172"/>
    <s v="NULL"/>
    <x v="0"/>
  </r>
  <r>
    <s v="SNCN00000293"/>
    <s v="NULL"/>
    <x v="0"/>
  </r>
  <r>
    <s v="SNCN00000577"/>
    <s v="NULL"/>
    <x v="0"/>
  </r>
  <r>
    <s v="SNCN00000806"/>
    <s v="NULL"/>
    <x v="0"/>
  </r>
  <r>
    <s v="SNCN00000922"/>
    <s v="NULL"/>
    <x v="0"/>
  </r>
  <r>
    <s v="31CMAH0000000000R162304888017860"/>
    <s v="NULL"/>
    <x v="1"/>
  </r>
  <r>
    <s v="31CMAH0000000000R262304840021200"/>
    <s v="NULL"/>
    <x v="1"/>
  </r>
  <r>
    <s v="31CMAH0000000000R962304820250610"/>
    <s v="NULL"/>
    <x v="1"/>
  </r>
  <r>
    <s v="31CMAH0000000000R962304820272600"/>
    <s v="NULL"/>
    <x v="1"/>
  </r>
  <r>
    <s v="31CMAH0000000000R962304820309840"/>
    <s v="NULL"/>
    <x v="1"/>
  </r>
  <r>
    <s v="31CMAH0000000000R962304820386370"/>
    <s v="NULL"/>
    <x v="1"/>
  </r>
  <r>
    <s v="31CMAH0000000000R962304880000810"/>
    <s v="NULL"/>
    <x v="1"/>
  </r>
  <r>
    <s v="82000000000118828000450000105698"/>
    <s v="NULL"/>
    <x v="3"/>
  </r>
  <r>
    <s v="82000000000135765000420000415359"/>
    <s v="NULL"/>
    <x v="3"/>
  </r>
  <r>
    <s v="82000000001100418000430000500149"/>
    <s v="NULL"/>
    <x v="3"/>
  </r>
  <r>
    <s v="82000000007015740000200000730548"/>
    <s v="NULL"/>
    <x v="3"/>
  </r>
  <r>
    <s v="31CMAH0000000000R962304820291450"/>
    <s v="NULL"/>
    <x v="1"/>
  </r>
  <r>
    <s v="31CMAH0000000000R962304820340120"/>
    <s v="NULL"/>
    <x v="1"/>
  </r>
  <r>
    <s v="31CMAH0000000000R962304820373340"/>
    <s v="NULL"/>
    <x v="1"/>
  </r>
  <r>
    <s v="31CMAH0000000000R962304820412760"/>
    <s v="NULL"/>
    <x v="1"/>
  </r>
  <r>
    <s v="31CMAHenergyS1xS2OVER1ENFGDRST0F"/>
    <s v="NULL"/>
    <x v="1"/>
  </r>
  <r>
    <s v="82000000007008005000200000655768"/>
    <s v="NULL"/>
    <x v="3"/>
  </r>
  <r>
    <s v="82000000007009159000200000663070"/>
    <s v="NULL"/>
    <x v="3"/>
  </r>
  <r>
    <s v="82000000007011533000200000680996"/>
    <s v="NULL"/>
    <x v="3"/>
  </r>
  <r>
    <s v="82000000007015763000200000651722"/>
    <s v="NULL"/>
    <x v="3"/>
  </r>
  <r>
    <s v="31CMAH0000000000R162304840046380"/>
    <s v="NULL"/>
    <x v="1"/>
  </r>
  <r>
    <s v="31CMAH0000000000R262304820022820"/>
    <s v="NULL"/>
    <x v="1"/>
  </r>
  <r>
    <s v="31CMAH0000000000R962304820150970"/>
    <s v="NULL"/>
    <x v="1"/>
  </r>
  <r>
    <s v="31CMAH0000000000R962304820292740"/>
    <s v="NULL"/>
    <x v="1"/>
  </r>
  <r>
    <s v="31CMAH0000000000R962304820334350"/>
    <s v="NULL"/>
    <x v="1"/>
  </r>
  <r>
    <s v="31CMAH0000000000R962304820340140"/>
    <s v="NULL"/>
    <x v="1"/>
  </r>
  <r>
    <s v="82000000000113155000420000421367"/>
    <s v="NULL"/>
    <x v="3"/>
  </r>
  <r>
    <s v="82000000007003349000200000645976"/>
    <s v="NULL"/>
    <x v="3"/>
  </r>
  <r>
    <s v="82000000007007643000200000654185"/>
    <s v="NULL"/>
    <x v="3"/>
  </r>
  <r>
    <s v="82000000007009090000200000606888"/>
    <s v="NULL"/>
    <x v="3"/>
  </r>
  <r>
    <s v="82000000007010483000200000677144"/>
    <s v="NULL"/>
    <x v="3"/>
  </r>
  <r>
    <s v="82000000007011470000200000681193"/>
    <s v="NULL"/>
    <x v="3"/>
  </r>
  <r>
    <s v="82000000007016492000200000741578"/>
    <s v="NULL"/>
    <x v="3"/>
  </r>
  <r>
    <s v="82000000007018043000200000761505"/>
    <s v="NULL"/>
    <x v="3"/>
  </r>
  <r>
    <s v="89CMAH2022000041R001520230085367"/>
    <s v="NULL"/>
    <x v="1"/>
  </r>
  <r>
    <s v="89CMAH2022000041R001520230144563"/>
    <s v="NULL"/>
    <x v="1"/>
  </r>
  <r>
    <s v="89CMAH2022000041R001520230178015"/>
    <s v="NULL"/>
    <x v="1"/>
  </r>
  <r>
    <s v="89CMAH2022000041R001520230178189"/>
    <s v="NULL"/>
    <x v="1"/>
  </r>
  <r>
    <s v="89CMAH2022000041R001520230178321"/>
    <s v="NULL"/>
    <x v="1"/>
  </r>
  <r>
    <s v="89CMAH2022000041R001520230178464"/>
    <s v="NULL"/>
    <x v="1"/>
  </r>
  <r>
    <s v="89CMAH2022000041R001520230234058"/>
    <s v="NULL"/>
    <x v="1"/>
  </r>
  <r>
    <s v="89CMAH2022000041R001520230234112"/>
    <s v="NULL"/>
    <x v="1"/>
  </r>
  <r>
    <s v="89CMAH2022000041R001520230234251"/>
    <s v="NULL"/>
    <x v="1"/>
  </r>
  <r>
    <s v="89CMAH2022000041R001520230234352"/>
    <s v="NULL"/>
    <x v="1"/>
  </r>
  <r>
    <s v="89CMAH2022000041R001520230234485"/>
    <s v="NULL"/>
    <x v="1"/>
  </r>
  <r>
    <s v="89CMAH2022000041R001520230234550"/>
    <s v="NULL"/>
    <x v="1"/>
  </r>
  <r>
    <s v="89CMAH2022000041R001520230289274"/>
    <s v="NULL"/>
    <x v="1"/>
  </r>
  <r>
    <s v="89CMAH2022000041R001520230289292"/>
    <s v="NULL"/>
    <x v="1"/>
  </r>
  <r>
    <s v="89CMAH2022000041R001520230289307"/>
    <s v="NULL"/>
    <x v="1"/>
  </r>
  <r>
    <s v="89CMAH2022000041R001520230289322"/>
    <s v="NULL"/>
    <x v="1"/>
  </r>
  <r>
    <s v="89CMAH2022000041R001520230289545"/>
    <s v="NULL"/>
    <x v="1"/>
  </r>
  <r>
    <s v="89CMAH2022000041R001520230289644"/>
    <s v="NULL"/>
    <x v="1"/>
  </r>
  <r>
    <s v="89CMAH2022000041R001520230289689"/>
    <s v="NULL"/>
    <x v="1"/>
  </r>
  <r>
    <s v="89CMAH2022000041R001520230289712"/>
    <s v="NULL"/>
    <x v="1"/>
  </r>
  <r>
    <s v="89CMAH2022000041R001520230289875"/>
    <s v="NULL"/>
    <x v="1"/>
  </r>
  <r>
    <s v="89CMAH2022000041R001520230289985"/>
    <s v="NULL"/>
    <x v="1"/>
  </r>
  <r>
    <s v="89CMAH2022000041R001520230290087"/>
    <s v="NULL"/>
    <x v="1"/>
  </r>
  <r>
    <s v="89CMAH2022000041R001520230290128"/>
    <s v="NULL"/>
    <x v="1"/>
  </r>
  <r>
    <s v="89CMAH2022000041R001520230290155"/>
    <s v="NULL"/>
    <x v="1"/>
  </r>
  <r>
    <s v="89CMAH2022000041R001520230290176"/>
    <s v="NULL"/>
    <x v="1"/>
  </r>
  <r>
    <s v="89CMAH2022000041R001520230290199"/>
    <s v="NULL"/>
    <x v="1"/>
  </r>
  <r>
    <s v="89CMAH2022000041R001520230290239"/>
    <s v="NULL"/>
    <x v="1"/>
  </r>
  <r>
    <s v="89CMAH2022000041R001520230290262"/>
    <s v="NULL"/>
    <x v="1"/>
  </r>
  <r>
    <s v="89CMAH2022000041R001520230290347"/>
    <s v="NULL"/>
    <x v="1"/>
  </r>
  <r>
    <s v="89CMAH2022000041R001520230290413"/>
    <s v="NULL"/>
    <x v="1"/>
  </r>
  <r>
    <s v="89CMAH2022000041R001520230290685"/>
    <s v="NULL"/>
    <x v="1"/>
  </r>
  <r>
    <s v="89CMAH2022000041R001520230290754"/>
    <s v="NULL"/>
    <x v="1"/>
  </r>
  <r>
    <s v="89CMAH2022000041R001520230290811"/>
    <s v="NULL"/>
    <x v="1"/>
  </r>
  <r>
    <s v="89CMAH2022000041R001520230290835"/>
    <s v="NULL"/>
    <x v="1"/>
  </r>
  <r>
    <s v="89CMAH2022000041R001520230290872"/>
    <s v="NULL"/>
    <x v="1"/>
  </r>
  <r>
    <s v="89CMAH2022000041R001520230290890"/>
    <s v="NULL"/>
    <x v="1"/>
  </r>
  <r>
    <s v="SNCN00000041"/>
    <s v="NULL"/>
    <x v="0"/>
  </r>
  <r>
    <s v="SNCN00000386"/>
    <s v="NULL"/>
    <x v="0"/>
  </r>
  <r>
    <s v="SNCN00000448"/>
    <s v="NULL"/>
    <x v="0"/>
  </r>
  <r>
    <s v="SNCN00000514"/>
    <s v="NULL"/>
    <x v="0"/>
  </r>
  <r>
    <s v="SNCN00000692"/>
    <s v="NULL"/>
    <x v="0"/>
  </r>
  <r>
    <s v="89CMAH2022000041R001520220603539"/>
    <s v="NULL"/>
    <x v="1"/>
  </r>
  <r>
    <s v="89CMAH2022000041R001520230085910"/>
    <s v="NULL"/>
    <x v="1"/>
  </r>
  <r>
    <s v="89CMAH2022000041R001520230086090"/>
    <s v="NULL"/>
    <x v="1"/>
  </r>
  <r>
    <s v="89CMAH2022000041R001520230086128"/>
    <s v="NULL"/>
    <x v="1"/>
  </r>
  <r>
    <s v="89CMAH2022000041R001520230086288"/>
    <s v="NULL"/>
    <x v="1"/>
  </r>
  <r>
    <s v="89CMAH2022000041R001520230178502"/>
    <s v="NULL"/>
    <x v="1"/>
  </r>
  <r>
    <s v="89CMAH2022000041R001520230234010"/>
    <s v="NULL"/>
    <x v="1"/>
  </r>
  <r>
    <s v="89CMAH2022000041R001520230234229"/>
    <s v="NULL"/>
    <x v="1"/>
  </r>
  <r>
    <s v="89CMAH2022000041R001520230234240"/>
    <s v="NULL"/>
    <x v="1"/>
  </r>
  <r>
    <s v="89CMAH2022000041R001520230234243"/>
    <s v="NULL"/>
    <x v="1"/>
  </r>
  <r>
    <s v="89CMAH2022000041R001520230234272"/>
    <s v="NULL"/>
    <x v="1"/>
  </r>
  <r>
    <s v="89CMAH2022000041R001520230234346"/>
    <s v="NULL"/>
    <x v="1"/>
  </r>
  <r>
    <s v="89CMAH2022000041R001520230234453"/>
    <s v="NULL"/>
    <x v="1"/>
  </r>
  <r>
    <s v="89CMAH2022000041R001520230234723"/>
    <s v="NULL"/>
    <x v="1"/>
  </r>
  <r>
    <s v="89CMAH2022000041R001520230234736"/>
    <s v="NULL"/>
    <x v="1"/>
  </r>
  <r>
    <s v="89CMAH2022000041R001520230289311"/>
    <s v="NULL"/>
    <x v="1"/>
  </r>
  <r>
    <s v="89CMAH2022000041R001520230289339"/>
    <s v="NULL"/>
    <x v="1"/>
  </r>
  <r>
    <s v="89CMAH2022000041R001520230289418"/>
    <s v="NULL"/>
    <x v="1"/>
  </r>
  <r>
    <s v="89CMAH2022000041R001520230289503"/>
    <s v="NULL"/>
    <x v="1"/>
  </r>
  <r>
    <s v="89CMAH2022000041R001520230289693"/>
    <s v="NULL"/>
    <x v="1"/>
  </r>
  <r>
    <s v="89CMAH2022000041R001520230289704"/>
    <s v="NULL"/>
    <x v="1"/>
  </r>
  <r>
    <s v="89CMAH2022000041R001520230289718"/>
    <s v="NULL"/>
    <x v="1"/>
  </r>
  <r>
    <s v="89CMAH2022000041R001520230289742"/>
    <s v="NULL"/>
    <x v="1"/>
  </r>
  <r>
    <s v="89CMAH2022000041R001520230289760"/>
    <s v="NULL"/>
    <x v="1"/>
  </r>
  <r>
    <s v="89CMAH2022000041R001520230289887"/>
    <s v="NULL"/>
    <x v="1"/>
  </r>
  <r>
    <s v="89CMAH2022000041R001520230289939"/>
    <s v="NULL"/>
    <x v="1"/>
  </r>
  <r>
    <s v="89CMAH2022000041R001520230290138"/>
    <s v="NULL"/>
    <x v="1"/>
  </r>
  <r>
    <s v="89CMAH2022000041R001520230290193"/>
    <s v="NULL"/>
    <x v="1"/>
  </r>
  <r>
    <s v="89CMAH2022000041R001520230290224"/>
    <s v="NULL"/>
    <x v="1"/>
  </r>
  <r>
    <s v="89CMAH2022000041R001520230290226"/>
    <s v="NULL"/>
    <x v="1"/>
  </r>
  <r>
    <s v="89CMAH2022000041R001520230290231"/>
    <s v="NULL"/>
    <x v="1"/>
  </r>
  <r>
    <s v="89CMAH2022000041R001520230290252"/>
    <s v="NULL"/>
    <x v="1"/>
  </r>
  <r>
    <s v="89CMAH2022000041R001520230290351"/>
    <s v="NULL"/>
    <x v="1"/>
  </r>
  <r>
    <s v="89CMAH2022000041R001520230290363"/>
    <s v="NULL"/>
    <x v="1"/>
  </r>
  <r>
    <s v="89CMAH2022000041R001520230290378"/>
    <s v="NULL"/>
    <x v="1"/>
  </r>
  <r>
    <s v="89CMAH2022000041R001520230290387"/>
    <s v="NULL"/>
    <x v="1"/>
  </r>
  <r>
    <s v="89CMAH2022000041R001520230290454"/>
    <s v="NULL"/>
    <x v="1"/>
  </r>
  <r>
    <s v="89CMAH2022000041R001520230290525"/>
    <s v="NULL"/>
    <x v="1"/>
  </r>
  <r>
    <s v="89CMAH2022000041R001520230290538"/>
    <s v="NULL"/>
    <x v="1"/>
  </r>
  <r>
    <s v="89CMAH2022000041R001520230290559"/>
    <s v="NULL"/>
    <x v="1"/>
  </r>
  <r>
    <s v="89CMAH2022000041R001520230290631"/>
    <s v="NULL"/>
    <x v="1"/>
  </r>
  <r>
    <s v="89CMAH2022000041R001520230290683"/>
    <s v="NULL"/>
    <x v="1"/>
  </r>
  <r>
    <s v="89CMAH2022000041R001520230290843"/>
    <s v="NULL"/>
    <x v="1"/>
  </r>
  <r>
    <s v="SNCN00000082"/>
    <s v="NULL"/>
    <x v="0"/>
  </r>
  <r>
    <s v="SNCN00000091"/>
    <s v="NULL"/>
    <x v="0"/>
  </r>
  <r>
    <s v="SNCN00000331"/>
    <s v="NULL"/>
    <x v="0"/>
  </r>
  <r>
    <s v="SNCN00000351"/>
    <s v="NULL"/>
    <x v="0"/>
  </r>
  <r>
    <s v="SNCN00000370"/>
    <s v="NULL"/>
    <x v="0"/>
  </r>
  <r>
    <s v="SNCN00000560"/>
    <s v="NULL"/>
    <x v="0"/>
  </r>
  <r>
    <s v="SNCN00000566"/>
    <s v="NULL"/>
    <x v="0"/>
  </r>
  <r>
    <s v="SNCN00000665"/>
    <s v="NULL"/>
    <x v="0"/>
  </r>
  <r>
    <s v="89CMAH2022000041R001520220603884"/>
    <s v="NULL"/>
    <x v="1"/>
  </r>
  <r>
    <s v="89CMAH2022000041R001520230085933"/>
    <s v="NULL"/>
    <x v="1"/>
  </r>
  <r>
    <s v="89CMAH2022000041R001520230086009"/>
    <s v="NULL"/>
    <x v="1"/>
  </r>
  <r>
    <s v="89CMAH2022000041R001520230178068"/>
    <s v="NULL"/>
    <x v="1"/>
  </r>
  <r>
    <s v="89CMAH2022000041R001520230234000"/>
    <s v="NULL"/>
    <x v="1"/>
  </r>
  <r>
    <s v="89CMAH2022000041R001520230234193"/>
    <s v="NULL"/>
    <x v="1"/>
  </r>
  <r>
    <s v="89CMAH2022000041R001520230234222"/>
    <s v="NULL"/>
    <x v="1"/>
  </r>
  <r>
    <s v="89CMAH2022000041R001520230234249"/>
    <s v="NULL"/>
    <x v="1"/>
  </r>
  <r>
    <s v="89CMAH2022000041R001520230234253"/>
    <s v="NULL"/>
    <x v="1"/>
  </r>
  <r>
    <s v="89CMAH2022000041R001520230234413"/>
    <s v="NULL"/>
    <x v="1"/>
  </r>
  <r>
    <s v="89CMAH2022000041R001520230234513"/>
    <s v="NULL"/>
    <x v="1"/>
  </r>
  <r>
    <s v="89CMAH2022000041R001520230234668"/>
    <s v="NULL"/>
    <x v="1"/>
  </r>
  <r>
    <s v="89CMAH2022000041R001520230234739"/>
    <s v="NULL"/>
    <x v="1"/>
  </r>
  <r>
    <s v="89CMAH2022000041R001520230289415"/>
    <s v="NULL"/>
    <x v="1"/>
  </r>
  <r>
    <s v="89CMAH2022000041R001520230289454"/>
    <s v="NULL"/>
    <x v="1"/>
  </r>
  <r>
    <s v="89CMAH2022000041R001520230289499"/>
    <s v="NULL"/>
    <x v="1"/>
  </r>
  <r>
    <s v="89CMAH2022000041R001520230289530"/>
    <s v="NULL"/>
    <x v="1"/>
  </r>
  <r>
    <s v="89CMAH2022000041R001520230289569"/>
    <s v="NULL"/>
    <x v="1"/>
  </r>
  <r>
    <s v="89CMAH2022000041R001520230289574"/>
    <s v="NULL"/>
    <x v="1"/>
  </r>
  <r>
    <s v="89CMAH2022000041R001520230289752"/>
    <s v="NULL"/>
    <x v="1"/>
  </r>
  <r>
    <s v="89CMAH2022000041R001520230289766"/>
    <s v="NULL"/>
    <x v="1"/>
  </r>
  <r>
    <s v="89CMAH2022000041R001520230289783"/>
    <s v="NULL"/>
    <x v="1"/>
  </r>
  <r>
    <s v="89CMAH2022000041R001520230289853"/>
    <s v="NULL"/>
    <x v="1"/>
  </r>
  <r>
    <s v="89CMAH2022000041R001520230289919"/>
    <s v="NULL"/>
    <x v="1"/>
  </r>
  <r>
    <s v="89CMAH2022000041R001520230289935"/>
    <s v="NULL"/>
    <x v="1"/>
  </r>
  <r>
    <s v="89CMAH2022000041R001520230289968"/>
    <s v="NULL"/>
    <x v="1"/>
  </r>
  <r>
    <s v="89CMAH2022000041R001520230289999"/>
    <s v="NULL"/>
    <x v="1"/>
  </r>
  <r>
    <s v="89CMAH2022000041R001520230290006"/>
    <s v="NULL"/>
    <x v="1"/>
  </r>
  <r>
    <s v="89CMAH2022000041R001520230290081"/>
    <s v="NULL"/>
    <x v="1"/>
  </r>
  <r>
    <s v="89CMAH2022000041R001520230290188"/>
    <s v="NULL"/>
    <x v="1"/>
  </r>
  <r>
    <s v="89CMAH2022000041R001520230290251"/>
    <s v="NULL"/>
    <x v="1"/>
  </r>
  <r>
    <s v="89CMAH2022000041R001520230290280"/>
    <s v="NULL"/>
    <x v="1"/>
  </r>
  <r>
    <s v="89CMAH2022000041R001520230290289"/>
    <s v="NULL"/>
    <x v="1"/>
  </r>
  <r>
    <s v="89CMAH2022000041R001520230290311"/>
    <s v="NULL"/>
    <x v="1"/>
  </r>
  <r>
    <s v="89CMAH2022000041R001520230290429"/>
    <s v="NULL"/>
    <x v="1"/>
  </r>
  <r>
    <s v="89CMAH2022000041R001520230290552"/>
    <s v="NULL"/>
    <x v="1"/>
  </r>
  <r>
    <s v="89CMAH2022000041R001520230290604"/>
    <s v="NULL"/>
    <x v="1"/>
  </r>
  <r>
    <s v="89CMAH2022000041R001520230290620"/>
    <s v="NULL"/>
    <x v="1"/>
  </r>
  <r>
    <s v="89CMAH2022000041R001520230290650"/>
    <s v="NULL"/>
    <x v="1"/>
  </r>
  <r>
    <s v="89CMAH2022000041R001520230290654"/>
    <s v="NULL"/>
    <x v="1"/>
  </r>
  <r>
    <s v="89CMAH2022000041R001520230290745"/>
    <s v="NULL"/>
    <x v="1"/>
  </r>
  <r>
    <s v="89CMAH2022000041R001520230290855"/>
    <s v="NULL"/>
    <x v="1"/>
  </r>
  <r>
    <s v="89CMAH2022000041R001520230290870"/>
    <s v="NULL"/>
    <x v="1"/>
  </r>
  <r>
    <s v="89CMAH2022000041R001520230290886"/>
    <s v="NULL"/>
    <x v="1"/>
  </r>
  <r>
    <s v="89CMAH2022000041R001520230290915"/>
    <s v="NULL"/>
    <x v="1"/>
  </r>
  <r>
    <s v="SNCN00000013"/>
    <s v="NULL"/>
    <x v="0"/>
  </r>
  <r>
    <s v="SNCN00000101"/>
    <s v="NULL"/>
    <x v="0"/>
  </r>
  <r>
    <s v="SNCN00000201"/>
    <s v="NULL"/>
    <x v="0"/>
  </r>
  <r>
    <s v="SNCN00000219"/>
    <s v="NULL"/>
    <x v="0"/>
  </r>
  <r>
    <s v="SNCN00000292"/>
    <s v="NULL"/>
    <x v="0"/>
  </r>
  <r>
    <s v="SNCN00000345"/>
    <s v="NULL"/>
    <x v="0"/>
  </r>
  <r>
    <s v="SNCN00000396"/>
    <s v="NULL"/>
    <x v="0"/>
  </r>
  <r>
    <s v="SNCN00000507"/>
    <s v="NULL"/>
    <x v="0"/>
  </r>
  <r>
    <s v="SNCN00000604"/>
    <s v="NULL"/>
    <x v="0"/>
  </r>
  <r>
    <s v="SNCN00000843"/>
    <s v="NULL"/>
    <x v="0"/>
  </r>
  <r>
    <s v="SNCN00000122"/>
    <s v="NULL"/>
    <x v="0"/>
  </r>
  <r>
    <s v="SNCN00000863"/>
    <s v="NULL"/>
    <x v="0"/>
  </r>
  <r>
    <s v="SNCN00000556"/>
    <s v="NULL"/>
    <x v="0"/>
  </r>
  <r>
    <s v="SNCN00000965"/>
    <s v="NULL"/>
    <x v="0"/>
  </r>
  <r>
    <s v="SNCN00000728"/>
    <s v="NULL"/>
    <x v="0"/>
  </r>
  <r>
    <s v="80CMAHFINERGETRAB000000000000001"/>
    <s v="NULL"/>
    <x v="1"/>
  </r>
  <r>
    <s v="SNCN00000721"/>
    <s v="NULL"/>
    <x v="0"/>
  </r>
  <r>
    <s v="SNCN00000471"/>
    <s v="NULL"/>
    <x v="0"/>
  </r>
  <r>
    <s v="SNCN00000753"/>
    <s v="NULL"/>
    <x v="0"/>
  </r>
  <r>
    <s v="SNCN00000716"/>
    <s v="NULL"/>
    <x v="0"/>
  </r>
  <r>
    <s v="SNCN00000814"/>
    <s v="NULL"/>
    <x v="0"/>
  </r>
  <r>
    <s v="SNCN00000967"/>
    <s v="NULL"/>
    <x v="0"/>
  </r>
  <r>
    <s v="SNCN00000500"/>
    <s v="NULL"/>
    <x v="0"/>
  </r>
  <r>
    <s v="SNCN00000769"/>
    <s v="NULL"/>
    <x v="0"/>
  </r>
  <r>
    <s v="31000310480999090069674380100000"/>
    <s v="NULL"/>
    <x v="2"/>
  </r>
  <r>
    <s v="SNCN00000578"/>
    <s v="NULL"/>
    <x v="0"/>
  </r>
  <r>
    <s v="SNCN00000542"/>
    <s v="NULL"/>
    <x v="0"/>
  </r>
  <r>
    <s v="80CMAHFINERGECAPF000000000000001"/>
    <s v="NULL"/>
    <x v="1"/>
  </r>
  <r>
    <s v="31000010632561149000000000000000"/>
    <s v="NULL"/>
    <x v="2"/>
  </r>
  <r>
    <s v="SNCN00000815"/>
    <s v="NULL"/>
    <x v="0"/>
  </r>
  <r>
    <s v="31000309803023096000000000000000"/>
    <s v="NULL"/>
    <x v="2"/>
  </r>
  <r>
    <s v="31000310178469091069674220100000"/>
    <s v="NULL"/>
    <x v="2"/>
  </r>
  <r>
    <s v="31CMAH0000000000R962304820250510"/>
    <s v="NULL"/>
    <x v="1"/>
  </r>
  <r>
    <s v="31CMAH0000000000R962304820252950"/>
    <s v="NULL"/>
    <x v="1"/>
  </r>
  <r>
    <s v="31CMAH0000000000R962304820295900"/>
    <s v="NULL"/>
    <x v="1"/>
  </r>
  <r>
    <s v="31CMAH0000000000R962304820319600"/>
    <s v="NULL"/>
    <x v="1"/>
  </r>
  <r>
    <s v="31CMAH0000000000R962304820359300"/>
    <s v="NULL"/>
    <x v="1"/>
  </r>
  <r>
    <s v="31CMAH0000000000R962304820383640"/>
    <s v="NULL"/>
    <x v="1"/>
  </r>
  <r>
    <s v="31CMAH0000000000R962304830386740"/>
    <s v="NULL"/>
    <x v="1"/>
  </r>
  <r>
    <s v="31CMAHenergyS1xS2OVER2ENFSMERT0C"/>
    <s v="NULL"/>
    <x v="1"/>
  </r>
  <r>
    <s v="82000000007011999000200000680818"/>
    <s v="NULL"/>
    <x v="3"/>
  </r>
  <r>
    <s v="89CMAH2022000041R001520220603902"/>
    <s v="NULL"/>
    <x v="1"/>
  </r>
  <r>
    <s v="89CMAH2022000041R001520230039721"/>
    <s v="NULL"/>
    <x v="1"/>
  </r>
  <r>
    <s v="89CMAH2022000041R001520230085936"/>
    <s v="NULL"/>
    <x v="1"/>
  </r>
  <r>
    <s v="89CMAH2022000041R001520230085973"/>
    <s v="NULL"/>
    <x v="1"/>
  </r>
  <r>
    <s v="89CMAH2022000041R001520230086025"/>
    <s v="NULL"/>
    <x v="1"/>
  </r>
  <r>
    <s v="89CMAH2022000041R001520230144736"/>
    <s v="NULL"/>
    <x v="1"/>
  </r>
  <r>
    <s v="89CMAH2022000041R001520230144796"/>
    <s v="NULL"/>
    <x v="1"/>
  </r>
  <r>
    <s v="89CMAH2022000041R001520230177873"/>
    <s v="NULL"/>
    <x v="1"/>
  </r>
  <r>
    <s v="89CMAH2022000041R001520230178000"/>
    <s v="NULL"/>
    <x v="1"/>
  </r>
  <r>
    <s v="89CMAH2022000041R001520230178352"/>
    <s v="NULL"/>
    <x v="1"/>
  </r>
  <r>
    <s v="89CMAH2022000041R001520230233973"/>
    <s v="NULL"/>
    <x v="1"/>
  </r>
  <r>
    <s v="89CMAH2022000041R001520230234128"/>
    <s v="NULL"/>
    <x v="1"/>
  </r>
  <r>
    <s v="89CMAH2022000041R001520230234135"/>
    <s v="NULL"/>
    <x v="1"/>
  </r>
  <r>
    <s v="89CMAH2022000041R001520230234157"/>
    <s v="NULL"/>
    <x v="1"/>
  </r>
  <r>
    <s v="89CMAH2022000041R001520230234226"/>
    <s v="NULL"/>
    <x v="1"/>
  </r>
  <r>
    <s v="89CMAH2022000041R001520230234282"/>
    <s v="NULL"/>
    <x v="1"/>
  </r>
  <r>
    <s v="89CMAH2022000041R001520230234343"/>
    <s v="NULL"/>
    <x v="1"/>
  </r>
  <r>
    <s v="89CMAH2022000041R001520230234361"/>
    <s v="NULL"/>
    <x v="1"/>
  </r>
  <r>
    <s v="89CMAH2022000041R001520230234382"/>
    <s v="NULL"/>
    <x v="1"/>
  </r>
  <r>
    <s v="89CMAH2022000041R001520230234455"/>
    <s v="NULL"/>
    <x v="1"/>
  </r>
  <r>
    <s v="89CMAH2022000041R001520230234679"/>
    <s v="NULL"/>
    <x v="1"/>
  </r>
  <r>
    <s v="89CMAH2022000041R001520230234688"/>
    <s v="NULL"/>
    <x v="1"/>
  </r>
  <r>
    <s v="89CMAH2022000041R001520230289340"/>
    <s v="NULL"/>
    <x v="1"/>
  </r>
  <r>
    <s v="89CMAH2022000041R001520230289360"/>
    <s v="NULL"/>
    <x v="1"/>
  </r>
  <r>
    <s v="89CMAH2022000041R001520230289427"/>
    <s v="NULL"/>
    <x v="1"/>
  </r>
  <r>
    <s v="89CMAH2022000041R001520230289665"/>
    <s v="NULL"/>
    <x v="1"/>
  </r>
  <r>
    <s v="89CMAH2022000041R001520230289677"/>
    <s v="NULL"/>
    <x v="1"/>
  </r>
  <r>
    <s v="89CMAH2022000041R001520230289827"/>
    <s v="NULL"/>
    <x v="1"/>
  </r>
  <r>
    <s v="89CMAH2022000041R001520230289836"/>
    <s v="NULL"/>
    <x v="1"/>
  </r>
  <r>
    <s v="89CMAH2022000041R001520230289883"/>
    <s v="NULL"/>
    <x v="1"/>
  </r>
  <r>
    <s v="89CMAH2022000041R001520230289896"/>
    <s v="NULL"/>
    <x v="1"/>
  </r>
  <r>
    <s v="89CMAH2022000041R001520230289980"/>
    <s v="NULL"/>
    <x v="1"/>
  </r>
  <r>
    <s v="89CMAH2022000041R001520230290074"/>
    <s v="NULL"/>
    <x v="1"/>
  </r>
  <r>
    <s v="89CMAH2022000041R001520230290085"/>
    <s v="NULL"/>
    <x v="1"/>
  </r>
  <r>
    <s v="89CMAH2022000041R001520230290148"/>
    <s v="NULL"/>
    <x v="1"/>
  </r>
  <r>
    <s v="89CMAH2022000041R001520230290305"/>
    <s v="NULL"/>
    <x v="1"/>
  </r>
  <r>
    <s v="89CMAH2022000041R001520230290384"/>
    <s v="NULL"/>
    <x v="1"/>
  </r>
  <r>
    <s v="89CMAH2022000041R001520230290596"/>
    <s v="NULL"/>
    <x v="1"/>
  </r>
  <r>
    <s v="89CMAH2022000041R001520230290648"/>
    <s v="NULL"/>
    <x v="1"/>
  </r>
  <r>
    <s v="89CMAH2022000041R001520230290656"/>
    <s v="NULL"/>
    <x v="1"/>
  </r>
  <r>
    <s v="89CMAH2022000041R001520230290666"/>
    <s v="NULL"/>
    <x v="1"/>
  </r>
  <r>
    <s v="89CMAH2022000041R001520230290690"/>
    <s v="NULL"/>
    <x v="1"/>
  </r>
  <r>
    <s v="89CMAH2022000041R001520230290694"/>
    <s v="NULL"/>
    <x v="1"/>
  </r>
  <r>
    <s v="89CMAH2022000041R001520230290718"/>
    <s v="NULL"/>
    <x v="1"/>
  </r>
  <r>
    <s v="89CMAH2022000041R001520230290724"/>
    <s v="NULL"/>
    <x v="1"/>
  </r>
  <r>
    <s v="89CMAH2022000041R001520230290785"/>
    <s v="NULL"/>
    <x v="1"/>
  </r>
  <r>
    <s v="89CMAH2022000041R001520230290865"/>
    <s v="NULL"/>
    <x v="1"/>
  </r>
  <r>
    <s v="89CMAH2022000041R001520230290867"/>
    <s v="NULL"/>
    <x v="1"/>
  </r>
  <r>
    <s v="SNCN00000031"/>
    <s v="NULL"/>
    <x v="0"/>
  </r>
  <r>
    <s v="SNCN00000070"/>
    <s v="NULL"/>
    <x v="0"/>
  </r>
  <r>
    <s v="SNCN00000080"/>
    <s v="NULL"/>
    <x v="0"/>
  </r>
  <r>
    <s v="SNCN00000096"/>
    <s v="NULL"/>
    <x v="0"/>
  </r>
  <r>
    <s v="SNCN00000192"/>
    <s v="NULL"/>
    <x v="0"/>
  </r>
  <r>
    <s v="SNCN00000199"/>
    <s v="NULL"/>
    <x v="0"/>
  </r>
  <r>
    <s v="SNCN00000245"/>
    <s v="NULL"/>
    <x v="0"/>
  </r>
  <r>
    <s v="SNCN00000365"/>
    <s v="NULL"/>
    <x v="0"/>
  </r>
  <r>
    <s v="SNCN00000447"/>
    <s v="NULL"/>
    <x v="0"/>
  </r>
  <r>
    <s v="SNCN00000494"/>
    <s v="NULL"/>
    <x v="0"/>
  </r>
  <r>
    <s v="SNCN00000925"/>
    <s v="NULL"/>
    <x v="0"/>
  </r>
  <r>
    <s v="SNCN00000936"/>
    <s v="NULL"/>
    <x v="0"/>
  </r>
  <r>
    <s v="SNCN00000985"/>
    <s v="NULL"/>
    <x v="0"/>
  </r>
  <r>
    <s v="31CMAH0000000000R599904815307790"/>
    <s v="NULL"/>
    <x v="1"/>
  </r>
  <r>
    <s v="31CMAH0000000000R962304830386760"/>
    <s v="NULL"/>
    <x v="1"/>
  </r>
  <r>
    <s v="31CMAH0000000000R962304830398060"/>
    <s v="NULL"/>
    <x v="1"/>
  </r>
  <r>
    <s v="82000000000054268000450000404379"/>
    <s v="NULL"/>
    <x v="3"/>
  </r>
  <r>
    <s v="82000000000102342000420000415032"/>
    <s v="NULL"/>
    <x v="3"/>
  </r>
  <r>
    <s v="82000000000137313000450000508004"/>
    <s v="NULL"/>
    <x v="3"/>
  </r>
  <r>
    <s v="82000000007000460000200000642784"/>
    <s v="NULL"/>
    <x v="3"/>
  </r>
  <r>
    <s v="82000000007000984000200000643418"/>
    <s v="NULL"/>
    <x v="3"/>
  </r>
  <r>
    <s v="82000000007003461000200000646094"/>
    <s v="NULL"/>
    <x v="3"/>
  </r>
  <r>
    <s v="82000000007008610000200000658707"/>
    <s v="NULL"/>
    <x v="3"/>
  </r>
  <r>
    <s v="82000000007011267000200000680169"/>
    <s v="NULL"/>
    <x v="3"/>
  </r>
  <r>
    <s v="89CMAH2022000041R001520230039289"/>
    <s v="NULL"/>
    <x v="1"/>
  </r>
  <r>
    <s v="89CMAH2022000041R001520230177921"/>
    <s v="NULL"/>
    <x v="1"/>
  </r>
  <r>
    <s v="89CMAH2022000041R001520230177981"/>
    <s v="NULL"/>
    <x v="1"/>
  </r>
  <r>
    <s v="89CMAH2022000041R001520230178200"/>
    <s v="NULL"/>
    <x v="1"/>
  </r>
  <r>
    <s v="89CMAH2022000041R001520230178293"/>
    <s v="NULL"/>
    <x v="1"/>
  </r>
  <r>
    <s v="89CMAH2022000041R001520230234117"/>
    <s v="NULL"/>
    <x v="1"/>
  </r>
  <r>
    <s v="89CMAH2022000041R001520230234216"/>
    <s v="NULL"/>
    <x v="1"/>
  </r>
  <r>
    <s v="89CMAH2022000041R001520230234260"/>
    <s v="NULL"/>
    <x v="1"/>
  </r>
  <r>
    <s v="89CMAH2022000041R001520230234273"/>
    <s v="NULL"/>
    <x v="1"/>
  </r>
  <r>
    <s v="89CMAH2022000041R001520230234372"/>
    <s v="NULL"/>
    <x v="1"/>
  </r>
  <r>
    <s v="89CMAH2022000041R001520230234427"/>
    <s v="NULL"/>
    <x v="1"/>
  </r>
  <r>
    <s v="89CMAH2022000041R001520230234612"/>
    <s v="NULL"/>
    <x v="1"/>
  </r>
  <r>
    <s v="89CMAH2022000041R001520230234697"/>
    <s v="NULL"/>
    <x v="1"/>
  </r>
  <r>
    <s v="89CMAH2022000041R001520230289291"/>
    <s v="NULL"/>
    <x v="1"/>
  </r>
  <r>
    <s v="89CMAH2022000041R001520230289519"/>
    <s v="NULL"/>
    <x v="1"/>
  </r>
  <r>
    <s v="89CMAH2022000041R001520230289527"/>
    <s v="NULL"/>
    <x v="1"/>
  </r>
  <r>
    <s v="89CMAH2022000041R001520230289723"/>
    <s v="NULL"/>
    <x v="1"/>
  </r>
  <r>
    <s v="89CMAH2022000041R001520230289769"/>
    <s v="NULL"/>
    <x v="1"/>
  </r>
  <r>
    <s v="89CMAH2022000041R001520230289851"/>
    <s v="NULL"/>
    <x v="1"/>
  </r>
  <r>
    <s v="89CMAH2022000041R001520230289902"/>
    <s v="NULL"/>
    <x v="1"/>
  </r>
  <r>
    <s v="89CMAH2022000041R001520230289921"/>
    <s v="NULL"/>
    <x v="1"/>
  </r>
  <r>
    <s v="89CMAH2022000041R001520230289958"/>
    <s v="NULL"/>
    <x v="1"/>
  </r>
  <r>
    <s v="89CMAH2022000041R001520230289974"/>
    <s v="NULL"/>
    <x v="1"/>
  </r>
  <r>
    <s v="89CMAH2022000041R001520230289992"/>
    <s v="NULL"/>
    <x v="1"/>
  </r>
  <r>
    <s v="89CMAH2022000041R001520230290005"/>
    <s v="NULL"/>
    <x v="1"/>
  </r>
  <r>
    <s v="89CMAH2022000041R001520230290054"/>
    <s v="NULL"/>
    <x v="1"/>
  </r>
  <r>
    <s v="89CMAH2022000041R001520230290090"/>
    <s v="NULL"/>
    <x v="1"/>
  </r>
  <r>
    <s v="89CMAH2022000041R001520230290100"/>
    <s v="NULL"/>
    <x v="1"/>
  </r>
  <r>
    <s v="89CMAH2022000041R001520230290131"/>
    <s v="NULL"/>
    <x v="1"/>
  </r>
  <r>
    <s v="89CMAH2022000041R001520230290149"/>
    <s v="NULL"/>
    <x v="1"/>
  </r>
  <r>
    <s v="89CMAH2022000041R001520230290249"/>
    <s v="NULL"/>
    <x v="1"/>
  </r>
  <r>
    <s v="89CMAH2022000041R001520230290265"/>
    <s v="NULL"/>
    <x v="1"/>
  </r>
  <r>
    <s v="89CMAH2022000041R001520230290324"/>
    <s v="NULL"/>
    <x v="1"/>
  </r>
  <r>
    <s v="89CMAH2022000041R001520230290348"/>
    <s v="NULL"/>
    <x v="1"/>
  </r>
  <r>
    <s v="89CMAH2022000041R001520230290354"/>
    <s v="NULL"/>
    <x v="1"/>
  </r>
  <r>
    <s v="89CMAH2022000041R001520230290356"/>
    <s v="NULL"/>
    <x v="1"/>
  </r>
  <r>
    <s v="89CMAH2022000041R001520230290377"/>
    <s v="NULL"/>
    <x v="1"/>
  </r>
  <r>
    <s v="89CMAH2022000041R001520230290456"/>
    <s v="NULL"/>
    <x v="1"/>
  </r>
  <r>
    <s v="89CMAH2022000041R001520230290461"/>
    <s v="NULL"/>
    <x v="1"/>
  </r>
  <r>
    <s v="89CMAH2022000041R001520230290652"/>
    <s v="NULL"/>
    <x v="1"/>
  </r>
  <r>
    <s v="89CMAH2022000041R001520230290708"/>
    <s v="NULL"/>
    <x v="1"/>
  </r>
  <r>
    <s v="89CMAH2022000041R001520230290769"/>
    <s v="NULL"/>
    <x v="1"/>
  </r>
  <r>
    <s v="89CMAH2022000041R001520230290856"/>
    <s v="NULL"/>
    <x v="1"/>
  </r>
  <r>
    <s v="SNCN00000025"/>
    <s v="NULL"/>
    <x v="0"/>
  </r>
  <r>
    <s v="SNCN00000057"/>
    <s v="NULL"/>
    <x v="0"/>
  </r>
  <r>
    <s v="SNCN00000156"/>
    <s v="NULL"/>
    <x v="0"/>
  </r>
  <r>
    <s v="SNCN00000179"/>
    <s v="NULL"/>
    <x v="0"/>
  </r>
  <r>
    <s v="SNCN00000290"/>
    <s v="NULL"/>
    <x v="0"/>
  </r>
  <r>
    <s v="SNCN00000367"/>
    <s v="NULL"/>
    <x v="0"/>
  </r>
  <r>
    <s v="SNCN00000382"/>
    <s v="NULL"/>
    <x v="0"/>
  </r>
  <r>
    <s v="SNCN00000610"/>
    <s v="NULL"/>
    <x v="0"/>
  </r>
  <r>
    <s v="SNCN00000944"/>
    <s v="NULL"/>
    <x v="0"/>
  </r>
  <r>
    <s v="31CMAH0000000000R262304820019220"/>
    <s v="NULL"/>
    <x v="1"/>
  </r>
  <r>
    <s v="31CMAH0000000000R262304820025410"/>
    <s v="NULL"/>
    <x v="1"/>
  </r>
  <r>
    <s v="31CMAH0000000000R962304820174780"/>
    <s v="NULL"/>
    <x v="1"/>
  </r>
  <r>
    <s v="31CMAH0000000000R962304820288710"/>
    <s v="NULL"/>
    <x v="1"/>
  </r>
  <r>
    <s v="31CMAH0000000000R962304820345590"/>
    <s v="NULL"/>
    <x v="1"/>
  </r>
  <r>
    <s v="31CMAHenergyS1xS2OVER1ENFGDRST0A"/>
    <s v="NULL"/>
    <x v="1"/>
  </r>
  <r>
    <s v="82000000007001990000200000644112"/>
    <s v="NULL"/>
    <x v="3"/>
  </r>
  <r>
    <s v="82000000007002087000200000644288"/>
    <s v="NULL"/>
    <x v="3"/>
  </r>
  <r>
    <s v="82000000007005586000200000648511"/>
    <s v="NULL"/>
    <x v="3"/>
  </r>
  <r>
    <s v="82000000007006339000200000646281"/>
    <s v="NULL"/>
    <x v="3"/>
  </r>
  <r>
    <s v="82000000007006385000200000424720"/>
    <s v="NULL"/>
    <x v="3"/>
  </r>
  <r>
    <s v="82000000007007710000200000685684"/>
    <s v="NULL"/>
    <x v="3"/>
  </r>
  <r>
    <s v="82000000007011483000200000680391"/>
    <s v="NULL"/>
    <x v="3"/>
  </r>
  <r>
    <s v="82000000007017957000200000761244"/>
    <s v="NULL"/>
    <x v="3"/>
  </r>
  <r>
    <s v="82000000007018038000200000658797"/>
    <s v="NULL"/>
    <x v="3"/>
  </r>
  <r>
    <s v="82000000007018695000200000560285"/>
    <s v="NULL"/>
    <x v="3"/>
  </r>
  <r>
    <s v="82000000008007606000530000886360"/>
    <s v="NULL"/>
    <x v="3"/>
  </r>
  <r>
    <s v="89CMAH2022000041R001520230085720"/>
    <s v="NULL"/>
    <x v="1"/>
  </r>
  <r>
    <s v="89CMAH2022000041R001520230144907"/>
    <s v="NULL"/>
    <x v="1"/>
  </r>
  <r>
    <s v="89CMAH2022000041R001520230177997"/>
    <s v="NULL"/>
    <x v="1"/>
  </r>
  <r>
    <s v="89CMAH2022000041R001520230178011"/>
    <s v="NULL"/>
    <x v="1"/>
  </r>
  <r>
    <s v="89CMAH2022000041R001520230178037"/>
    <s v="NULL"/>
    <x v="1"/>
  </r>
  <r>
    <s v="89CMAH2022000041R001520230178467"/>
    <s v="NULL"/>
    <x v="1"/>
  </r>
  <r>
    <s v="89CMAH2022000041R001520230178630"/>
    <s v="NULL"/>
    <x v="1"/>
  </r>
  <r>
    <s v="89CMAH2022000041R001520230234262"/>
    <s v="NULL"/>
    <x v="1"/>
  </r>
  <r>
    <s v="89CMAH2022000041R001520230234277"/>
    <s v="NULL"/>
    <x v="1"/>
  </r>
  <r>
    <s v="89CMAH2022000041R001520230234288"/>
    <s v="NULL"/>
    <x v="1"/>
  </r>
  <r>
    <s v="89CMAH2022000041R001520230234355"/>
    <s v="NULL"/>
    <x v="1"/>
  </r>
  <r>
    <s v="89CMAH2022000041R001520230234522"/>
    <s v="NULL"/>
    <x v="1"/>
  </r>
  <r>
    <s v="89CMAH2022000041R001520230234683"/>
    <s v="NULL"/>
    <x v="1"/>
  </r>
  <r>
    <s v="89CMAH2022000041R001520230234699"/>
    <s v="NULL"/>
    <x v="1"/>
  </r>
  <r>
    <s v="89CMAH2022000041R001520230234717"/>
    <s v="NULL"/>
    <x v="1"/>
  </r>
  <r>
    <s v="89CMAH2022000041R001520230289432"/>
    <s v="NULL"/>
    <x v="1"/>
  </r>
  <r>
    <s v="89CMAH2022000041R001520230289478"/>
    <s v="NULL"/>
    <x v="1"/>
  </r>
  <r>
    <s v="89CMAH2022000041R001520230289481"/>
    <s v="NULL"/>
    <x v="1"/>
  </r>
  <r>
    <s v="89CMAH2022000041R001520230289623"/>
    <s v="NULL"/>
    <x v="1"/>
  </r>
  <r>
    <s v="89CMAH2022000041R001520230289639"/>
    <s v="NULL"/>
    <x v="1"/>
  </r>
  <r>
    <s v="89CMAH2022000041R001520230289672"/>
    <s v="NULL"/>
    <x v="1"/>
  </r>
  <r>
    <s v="89CMAH2022000041R001520230289701"/>
    <s v="NULL"/>
    <x v="1"/>
  </r>
  <r>
    <s v="89CMAH2022000041R001520230289731"/>
    <s v="NULL"/>
    <x v="1"/>
  </r>
  <r>
    <s v="89CMAH2022000041R001520230289801"/>
    <s v="NULL"/>
    <x v="1"/>
  </r>
  <r>
    <s v="89CMAH2022000041R001520230289802"/>
    <s v="NULL"/>
    <x v="1"/>
  </r>
  <r>
    <s v="89CMAH2022000041R001520230289824"/>
    <s v="NULL"/>
    <x v="1"/>
  </r>
  <r>
    <s v="89CMAH2022000041R001520230289943"/>
    <s v="NULL"/>
    <x v="1"/>
  </r>
  <r>
    <s v="89CMAH2022000041R001520230290201"/>
    <s v="NULL"/>
    <x v="1"/>
  </r>
  <r>
    <s v="89CMAH2022000041R001520230290297"/>
    <s v="NULL"/>
    <x v="1"/>
  </r>
  <r>
    <s v="89CMAH2022000041R001520230290446"/>
    <s v="NULL"/>
    <x v="1"/>
  </r>
  <r>
    <s v="89CMAH2022000041R001520230290471"/>
    <s v="NULL"/>
    <x v="1"/>
  </r>
  <r>
    <s v="89CMAH2022000041R001520230290488"/>
    <s v="NULL"/>
    <x v="1"/>
  </r>
  <r>
    <s v="89CMAH2022000041R001520230290667"/>
    <s v="NULL"/>
    <x v="1"/>
  </r>
  <r>
    <s v="89CMAH2022000041R001520230290775"/>
    <s v="NULL"/>
    <x v="1"/>
  </r>
  <r>
    <s v="89CMAH2022000041R001520230290888"/>
    <s v="NULL"/>
    <x v="1"/>
  </r>
  <r>
    <s v="89CMAH2022000041R001520230290912"/>
    <s v="NULL"/>
    <x v="1"/>
  </r>
  <r>
    <s v="SNCN00000203"/>
    <s v="NULL"/>
    <x v="0"/>
  </r>
  <r>
    <s v="SNCN00000984"/>
    <s v="NULL"/>
    <x v="0"/>
  </r>
  <r>
    <s v="31000310193815091069674130100000"/>
    <s v="NULL"/>
    <x v="2"/>
  </r>
  <r>
    <s v="31CMAH0000000000R262304840020780"/>
    <s v="NULL"/>
    <x v="1"/>
  </r>
  <r>
    <s v="31CMAH0000000000R362304841024400"/>
    <s v="NULL"/>
    <x v="1"/>
  </r>
  <r>
    <s v="31CMAH0000000000R962304820228590"/>
    <s v="NULL"/>
    <x v="1"/>
  </r>
  <r>
    <s v="31CMAH0000000000R962304820338160"/>
    <s v="NULL"/>
    <x v="1"/>
  </r>
  <r>
    <s v="31CMAH0000000000R962304820340170"/>
    <s v="NULL"/>
    <x v="1"/>
  </r>
  <r>
    <s v="31CMAH0000000000R962304820358740"/>
    <s v="NULL"/>
    <x v="1"/>
  </r>
  <r>
    <s v="31CMAHenergyS1xS2OVER1ENFSMERT0G"/>
    <s v="NULL"/>
    <x v="1"/>
  </r>
  <r>
    <s v="82000000007001001000200000643427"/>
    <s v="NULL"/>
    <x v="3"/>
  </r>
  <r>
    <s v="82000000007003889000200000646623"/>
    <s v="NULL"/>
    <x v="3"/>
  </r>
  <r>
    <s v="82000000007010090000200000672579"/>
    <s v="NULL"/>
    <x v="3"/>
  </r>
  <r>
    <s v="82000000007010352000200000548039"/>
    <s v="NULL"/>
    <x v="3"/>
  </r>
  <r>
    <s v="82000000007011532000200000680996"/>
    <s v="NULL"/>
    <x v="3"/>
  </r>
  <r>
    <s v="82000000008007126000530000504892"/>
    <s v="NULL"/>
    <x v="3"/>
  </r>
  <r>
    <s v="890000201300031351000500C43636I0"/>
    <s v="NULL"/>
    <x v="4"/>
  </r>
  <r>
    <s v="89CMAH2022000041R001520220603846"/>
    <s v="NULL"/>
    <x v="1"/>
  </r>
  <r>
    <s v="89CMAH2022000041R001520230039454"/>
    <s v="NULL"/>
    <x v="1"/>
  </r>
  <r>
    <s v="89CMAH2022000041R001520230085841"/>
    <s v="NULL"/>
    <x v="1"/>
  </r>
  <r>
    <s v="89CMAH2022000041R001520230086181"/>
    <s v="NULL"/>
    <x v="1"/>
  </r>
  <r>
    <s v="89CMAH2022000041R001520230177906"/>
    <s v="NULL"/>
    <x v="1"/>
  </r>
  <r>
    <s v="89CMAH2022000041R001520230178027"/>
    <s v="NULL"/>
    <x v="1"/>
  </r>
  <r>
    <s v="89CMAH2022000041R001520230178149"/>
    <s v="NULL"/>
    <x v="1"/>
  </r>
  <r>
    <s v="89CMAH2022000041R001520230178177"/>
    <s v="NULL"/>
    <x v="1"/>
  </r>
  <r>
    <s v="89CMAH2022000041R001520230234119"/>
    <s v="NULL"/>
    <x v="1"/>
  </r>
  <r>
    <s v="89CMAH2022000041R001520230234140"/>
    <s v="NULL"/>
    <x v="1"/>
  </r>
  <r>
    <s v="89CMAH2022000041R001520230234217"/>
    <s v="NULL"/>
    <x v="1"/>
  </r>
  <r>
    <s v="89CMAH2022000041R001520230234393"/>
    <s v="NULL"/>
    <x v="1"/>
  </r>
  <r>
    <s v="89CMAH2022000041R001520230234462"/>
    <s v="NULL"/>
    <x v="1"/>
  </r>
  <r>
    <s v="89CMAH2022000041R001520230234678"/>
    <s v="NULL"/>
    <x v="1"/>
  </r>
  <r>
    <s v="89CMAH2022000041R001520230234716"/>
    <s v="NULL"/>
    <x v="1"/>
  </r>
  <r>
    <s v="89CMAH2022000041R001520230289320"/>
    <s v="NULL"/>
    <x v="1"/>
  </r>
  <r>
    <s v="89CMAH2022000041R001520230289406"/>
    <s v="NULL"/>
    <x v="1"/>
  </r>
  <r>
    <s v="89CMAH2022000041R001520230289564"/>
    <s v="NULL"/>
    <x v="1"/>
  </r>
  <r>
    <s v="89CMAH2022000041R001520230289652"/>
    <s v="NULL"/>
    <x v="1"/>
  </r>
  <r>
    <s v="89CMAH2022000041R001520230289697"/>
    <s v="NULL"/>
    <x v="1"/>
  </r>
  <r>
    <s v="89CMAH2022000041R001520230289716"/>
    <s v="NULL"/>
    <x v="1"/>
  </r>
  <r>
    <s v="89CMAH2022000041R001520230289733"/>
    <s v="NULL"/>
    <x v="1"/>
  </r>
  <r>
    <s v="89CMAH2022000041R001520230289761"/>
    <s v="NULL"/>
    <x v="1"/>
  </r>
  <r>
    <s v="89CMAH2022000041R001520230289787"/>
    <s v="NULL"/>
    <x v="1"/>
  </r>
  <r>
    <s v="89CMAH2022000041R001520230289796"/>
    <s v="NULL"/>
    <x v="1"/>
  </r>
  <r>
    <s v="89CMAH2022000041R001520230289815"/>
    <s v="NULL"/>
    <x v="1"/>
  </r>
  <r>
    <s v="89CMAH2022000041R001520230289861"/>
    <s v="NULL"/>
    <x v="1"/>
  </r>
  <r>
    <s v="89CMAH2022000041R001520230290040"/>
    <s v="NULL"/>
    <x v="1"/>
  </r>
  <r>
    <s v="89CMAH2022000041R001520230290070"/>
    <s v="NULL"/>
    <x v="1"/>
  </r>
  <r>
    <s v="89CMAH2022000041R001520230290187"/>
    <s v="NULL"/>
    <x v="1"/>
  </r>
  <r>
    <s v="89CMAH2022000041R001520230290290"/>
    <s v="NULL"/>
    <x v="1"/>
  </r>
  <r>
    <s v="89CMAH2022000041R001520230290401"/>
    <s v="NULL"/>
    <x v="1"/>
  </r>
  <r>
    <s v="89CMAH2022000041R001520230290566"/>
    <s v="NULL"/>
    <x v="1"/>
  </r>
  <r>
    <s v="89CMAH2022000041R001520230290569"/>
    <s v="NULL"/>
    <x v="1"/>
  </r>
  <r>
    <s v="89CMAH2022000041R001520230290646"/>
    <s v="NULL"/>
    <x v="1"/>
  </r>
  <r>
    <s v="89CMAH2022000041R001520230290744"/>
    <s v="NULL"/>
    <x v="1"/>
  </r>
  <r>
    <s v="89CMAH2022000041R001520230290824"/>
    <s v="NULL"/>
    <x v="1"/>
  </r>
  <r>
    <s v="89CMAH2022000041R001520230290828"/>
    <s v="NULL"/>
    <x v="1"/>
  </r>
  <r>
    <s v="89CMAH2022000041R001520230290895"/>
    <s v="NULL"/>
    <x v="1"/>
  </r>
  <r>
    <s v="SNCN00000151"/>
    <s v="NULL"/>
    <x v="0"/>
  </r>
  <r>
    <s v="SNCN00000322"/>
    <s v="NULL"/>
    <x v="0"/>
  </r>
  <r>
    <s v="SNCN00000377"/>
    <s v="NULL"/>
    <x v="0"/>
  </r>
  <r>
    <s v="SNCN00000485"/>
    <s v="NULL"/>
    <x v="0"/>
  </r>
  <r>
    <s v="SNCN00000746"/>
    <s v="NULL"/>
    <x v="0"/>
  </r>
  <r>
    <s v="SNCN00000977"/>
    <s v="NULL"/>
    <x v="0"/>
  </r>
  <r>
    <s v="SNCN00000979"/>
    <s v="NULL"/>
    <x v="0"/>
  </r>
  <r>
    <s v="SNCN00000981"/>
    <s v="NULL"/>
    <x v="0"/>
  </r>
  <r>
    <s v="31000310190837091069674630100000"/>
    <s v="NULL"/>
    <x v="2"/>
  </r>
  <r>
    <s v="31000310568892090069674230100000"/>
    <s v="NULL"/>
    <x v="2"/>
  </r>
  <r>
    <s v="31000050010765029000000000000000"/>
    <s v="NULL"/>
    <x v="2"/>
  </r>
  <r>
    <s v="31663600350114722363603501147220"/>
    <s v="NULL"/>
    <x v="2"/>
  </r>
  <r>
    <s v="31CMAH0000000000R262304820022810"/>
    <s v="NULL"/>
    <x v="1"/>
  </r>
  <r>
    <s v="31CMAH0000000000R262304840019840"/>
    <s v="NULL"/>
    <x v="1"/>
  </r>
  <r>
    <s v="31CMAH0000000000R599904815307260"/>
    <s v="NULL"/>
    <x v="1"/>
  </r>
  <r>
    <s v="31CMAH0000000000R962304820273750"/>
    <s v="NULL"/>
    <x v="1"/>
  </r>
  <r>
    <s v="31CMAH0000000000R962304820345600"/>
    <s v="NULL"/>
    <x v="1"/>
  </r>
  <r>
    <s v="31CMAH0000000000R962304820381260"/>
    <s v="NULL"/>
    <x v="1"/>
  </r>
  <r>
    <s v="31CMAH0000580004RXS0292898912000"/>
    <s v="NULL"/>
    <x v="1"/>
  </r>
  <r>
    <s v="82000000007004342000200000647209"/>
    <s v="NULL"/>
    <x v="3"/>
  </r>
  <r>
    <s v="82000000007004346000200000647206"/>
    <s v="NULL"/>
    <x v="3"/>
  </r>
  <r>
    <s v="82000000007004366000200000647130"/>
    <s v="NULL"/>
    <x v="3"/>
  </r>
  <r>
    <s v="82000000007006029000200000648810"/>
    <s v="NULL"/>
    <x v="3"/>
  </r>
  <r>
    <s v="82000000007006387000200000647511"/>
    <s v="NULL"/>
    <x v="3"/>
  </r>
  <r>
    <s v="82000000007008459000200000657382"/>
    <s v="NULL"/>
    <x v="3"/>
  </r>
  <r>
    <s v="82000000007011336000200000680755"/>
    <s v="NULL"/>
    <x v="3"/>
  </r>
  <r>
    <s v="89CMAH2022000041R001520230040011"/>
    <s v="NULL"/>
    <x v="1"/>
  </r>
  <r>
    <s v="89CMAH2022000041R001520230085855"/>
    <s v="NULL"/>
    <x v="1"/>
  </r>
  <r>
    <s v="89CMAH2022000041R001520230086085"/>
    <s v="NULL"/>
    <x v="1"/>
  </r>
  <r>
    <s v="89CMAH2022000041R001520230086160"/>
    <s v="NULL"/>
    <x v="1"/>
  </r>
  <r>
    <s v="89CMAH2022000041R001520230177878"/>
    <s v="NULL"/>
    <x v="1"/>
  </r>
  <r>
    <s v="89CMAH2022000041R001520230177930"/>
    <s v="NULL"/>
    <x v="1"/>
  </r>
  <r>
    <s v="89CMAH2022000041R001520230178032"/>
    <s v="NULL"/>
    <x v="1"/>
  </r>
  <r>
    <s v="89CMAH2022000041R001520230178053"/>
    <s v="NULL"/>
    <x v="1"/>
  </r>
  <r>
    <s v="89CMAH2022000041R001520230178190"/>
    <s v="NULL"/>
    <x v="1"/>
  </r>
  <r>
    <s v="89CMAH2022000041R001520230178544"/>
    <s v="NULL"/>
    <x v="1"/>
  </r>
  <r>
    <s v="89CMAH2022000041R001520230234036"/>
    <s v="NULL"/>
    <x v="1"/>
  </r>
  <r>
    <s v="89CMAH2022000041R001520230234132"/>
    <s v="NULL"/>
    <x v="1"/>
  </r>
  <r>
    <s v="89CMAH2022000041R001520230234292"/>
    <s v="NULL"/>
    <x v="1"/>
  </r>
  <r>
    <s v="89CMAH2022000041R001520230234332"/>
    <s v="NULL"/>
    <x v="1"/>
  </r>
  <r>
    <s v="89CMAH2022000041R001520230234438"/>
    <s v="NULL"/>
    <x v="1"/>
  </r>
  <r>
    <s v="89CMAH2022000041R001520230234469"/>
    <s v="NULL"/>
    <x v="1"/>
  </r>
  <r>
    <s v="89CMAH2022000041R001520230234500"/>
    <s v="NULL"/>
    <x v="1"/>
  </r>
  <r>
    <s v="89CMAH2022000041R001520230234507"/>
    <s v="NULL"/>
    <x v="1"/>
  </r>
  <r>
    <s v="89CMAH2022000041R001520230234684"/>
    <s v="NULL"/>
    <x v="1"/>
  </r>
  <r>
    <s v="89CMAH2022000041R001520230289293"/>
    <s v="NULL"/>
    <x v="1"/>
  </r>
  <r>
    <s v="89CMAH2022000041R001520230289344"/>
    <s v="NULL"/>
    <x v="1"/>
  </r>
  <r>
    <s v="89CMAH2022000041R001520230289367"/>
    <s v="NULL"/>
    <x v="1"/>
  </r>
  <r>
    <s v="89CMAH2022000041R001520230289394"/>
    <s v="NULL"/>
    <x v="1"/>
  </r>
  <r>
    <s v="89CMAH2022000041R001520230289440"/>
    <s v="NULL"/>
    <x v="1"/>
  </r>
  <r>
    <s v="89CMAH2022000041R001520230289466"/>
    <s v="NULL"/>
    <x v="1"/>
  </r>
  <r>
    <s v="89CMAH2022000041R001520230289522"/>
    <s v="NULL"/>
    <x v="1"/>
  </r>
  <r>
    <s v="89CMAH2022000041R001520230289591"/>
    <s v="NULL"/>
    <x v="1"/>
  </r>
  <r>
    <s v="89CMAH2022000041R001520230289663"/>
    <s v="NULL"/>
    <x v="1"/>
  </r>
  <r>
    <s v="89CMAH2022000041R001520230289713"/>
    <s v="NULL"/>
    <x v="1"/>
  </r>
  <r>
    <s v="89CMAH2022000041R001520230289823"/>
    <s v="NULL"/>
    <x v="1"/>
  </r>
  <r>
    <s v="89CMAH2022000041R001520230289838"/>
    <s v="NULL"/>
    <x v="1"/>
  </r>
  <r>
    <s v="89CMAH2022000041R001520230289916"/>
    <s v="NULL"/>
    <x v="1"/>
  </r>
  <r>
    <s v="89CMAH2022000041R001520230289928"/>
    <s v="NULL"/>
    <x v="1"/>
  </r>
  <r>
    <s v="89CMAH2022000041R001520230290008"/>
    <s v="NULL"/>
    <x v="1"/>
  </r>
  <r>
    <s v="89CMAH2022000041R001520230290083"/>
    <s v="NULL"/>
    <x v="1"/>
  </r>
  <r>
    <s v="89CMAH2022000041R001520230290093"/>
    <s v="NULL"/>
    <x v="1"/>
  </r>
  <r>
    <s v="89CMAH2022000041R001520230290154"/>
    <s v="NULL"/>
    <x v="1"/>
  </r>
  <r>
    <s v="89CMAH2022000041R001520230290294"/>
    <s v="NULL"/>
    <x v="1"/>
  </r>
  <r>
    <s v="89CMAH2022000041R001520230290370"/>
    <s v="NULL"/>
    <x v="1"/>
  </r>
  <r>
    <s v="89CMAH2022000041R001520230290416"/>
    <s v="NULL"/>
    <x v="1"/>
  </r>
  <r>
    <s v="89CMAH2022000041R001520230290476"/>
    <s v="NULL"/>
    <x v="1"/>
  </r>
  <r>
    <s v="89CMAH2022000041R001520230290519"/>
    <s v="NULL"/>
    <x v="1"/>
  </r>
  <r>
    <s v="89CMAH2022000041R001520230290544"/>
    <s v="NULL"/>
    <x v="1"/>
  </r>
  <r>
    <s v="89CMAH2022000041R001520230290561"/>
    <s v="NULL"/>
    <x v="1"/>
  </r>
  <r>
    <s v="89CMAH2022000041R001520230290635"/>
    <s v="NULL"/>
    <x v="1"/>
  </r>
  <r>
    <s v="89CMAH2022000041R001520230290680"/>
    <s v="NULL"/>
    <x v="1"/>
  </r>
  <r>
    <s v="89CMAH2022000041R001520230290681"/>
    <s v="NULL"/>
    <x v="1"/>
  </r>
  <r>
    <s v="89CMAH2022000041R001520230290725"/>
    <s v="NULL"/>
    <x v="1"/>
  </r>
  <r>
    <s v="89CMAH2022000041R001520230290784"/>
    <s v="NULL"/>
    <x v="1"/>
  </r>
  <r>
    <s v="89CMAH2022000041R001520230290845"/>
    <s v="NULL"/>
    <x v="1"/>
  </r>
  <r>
    <s v="89CMAH2022000041R001520230290868"/>
    <s v="NULL"/>
    <x v="1"/>
  </r>
  <r>
    <s v="89CMAH2022000041R001520230290882"/>
    <s v="NULL"/>
    <x v="1"/>
  </r>
  <r>
    <s v="89CMAH2022000041R001520230290905"/>
    <s v="NULL"/>
    <x v="1"/>
  </r>
  <r>
    <s v="89CMAH2022000041R001520230290906"/>
    <s v="NULL"/>
    <x v="1"/>
  </r>
  <r>
    <s v="SNCN00000216"/>
    <s v="NULL"/>
    <x v="0"/>
  </r>
  <r>
    <s v="SNCN00000334"/>
    <s v="NULL"/>
    <x v="0"/>
  </r>
  <r>
    <s v="SNCN00000420"/>
    <s v="NULL"/>
    <x v="0"/>
  </r>
  <r>
    <s v="SNCN00000491"/>
    <s v="NULL"/>
    <x v="0"/>
  </r>
  <r>
    <s v="SNCN00000766"/>
    <s v="NULL"/>
    <x v="0"/>
  </r>
  <r>
    <s v="SNCN00000804"/>
    <s v="NULL"/>
    <x v="0"/>
  </r>
  <r>
    <s v="SNCN00000879"/>
    <s v="NULL"/>
    <x v="0"/>
  </r>
  <r>
    <s v="SNCN00000890"/>
    <s v="NULL"/>
    <x v="0"/>
  </r>
  <r>
    <s v="31000800538759096000000000000000"/>
    <s v="NULL"/>
    <x v="2"/>
  </r>
  <r>
    <s v="31000310568934090069674340100000"/>
    <s v="NULL"/>
    <x v="2"/>
  </r>
  <r>
    <s v="31CMAH0000000000R162304848005620"/>
    <s v="NULL"/>
    <x v="1"/>
  </r>
  <r>
    <s v="31CMAH0000000000R962304820379000"/>
    <s v="NULL"/>
    <x v="1"/>
  </r>
  <r>
    <s v="31CMAH0000000000R962304820389300"/>
    <s v="NULL"/>
    <x v="1"/>
  </r>
  <r>
    <s v="31CMAH0000000000R962304820399850"/>
    <s v="NULL"/>
    <x v="1"/>
  </r>
  <r>
    <s v="31CMAH0000000000R962304830364570"/>
    <s v="NULL"/>
    <x v="1"/>
  </r>
  <r>
    <s v="31CMAHEUROSISTEMA000000000000000"/>
    <s v="NULL"/>
    <x v="1"/>
  </r>
  <r>
    <s v="82000000007001546000200000643806"/>
    <s v="NULL"/>
    <x v="3"/>
  </r>
  <r>
    <s v="82000000007001560000200000643810"/>
    <s v="NULL"/>
    <x v="3"/>
  </r>
  <r>
    <s v="82000000007002331000200000644573"/>
    <s v="NULL"/>
    <x v="3"/>
  </r>
  <r>
    <s v="82000000007003870000200000646612"/>
    <s v="NULL"/>
    <x v="3"/>
  </r>
  <r>
    <s v="82000000007004801000200000647752"/>
    <s v="NULL"/>
    <x v="3"/>
  </r>
  <r>
    <s v="82000000007004819000200000647743"/>
    <s v="NULL"/>
    <x v="3"/>
  </r>
  <r>
    <s v="82000000007008132000200000656212"/>
    <s v="NULL"/>
    <x v="3"/>
  </r>
  <r>
    <s v="89CMAH2022000041R001520230085408"/>
    <s v="NULL"/>
    <x v="1"/>
  </r>
  <r>
    <s v="89CMAH2022000041R001520230086049"/>
    <s v="NULL"/>
    <x v="1"/>
  </r>
  <r>
    <s v="89CMAH2022000041R001520230177989"/>
    <s v="NULL"/>
    <x v="1"/>
  </r>
  <r>
    <s v="89CMAH2022000041R001520230178144"/>
    <s v="NULL"/>
    <x v="1"/>
  </r>
  <r>
    <s v="89CMAH2022000041R001520230178496"/>
    <s v="NULL"/>
    <x v="1"/>
  </r>
  <r>
    <s v="89CMAH2022000041R001520230178557"/>
    <s v="NULL"/>
    <x v="1"/>
  </r>
  <r>
    <s v="89CMAH2022000041R001520230234082"/>
    <s v="NULL"/>
    <x v="1"/>
  </r>
  <r>
    <s v="89CMAH2022000041R001520230234252"/>
    <s v="NULL"/>
    <x v="1"/>
  </r>
  <r>
    <s v="89CMAH2022000041R001520230234317"/>
    <s v="NULL"/>
    <x v="1"/>
  </r>
  <r>
    <s v="89CMAH2022000041R001520230234399"/>
    <s v="NULL"/>
    <x v="1"/>
  </r>
  <r>
    <s v="89CMAH2022000041R001520230234408"/>
    <s v="NULL"/>
    <x v="1"/>
  </r>
  <r>
    <s v="89CMAH2022000041R001520230234422"/>
    <s v="NULL"/>
    <x v="1"/>
  </r>
  <r>
    <s v="89CMAH2022000041R001520230234457"/>
    <s v="NULL"/>
    <x v="1"/>
  </r>
  <r>
    <s v="89CMAH2022000041R001520230234489"/>
    <s v="NULL"/>
    <x v="1"/>
  </r>
  <r>
    <s v="89CMAH2022000041R001520230234640"/>
    <s v="NULL"/>
    <x v="1"/>
  </r>
  <r>
    <s v="89CMAH2022000041R001520230234671"/>
    <s v="NULL"/>
    <x v="1"/>
  </r>
  <r>
    <s v="89CMAH2022000041R001520230234690"/>
    <s v="NULL"/>
    <x v="1"/>
  </r>
  <r>
    <s v="89CMAH2022000041R001520230234695"/>
    <s v="NULL"/>
    <x v="1"/>
  </r>
  <r>
    <s v="89CMAH2022000041R001520230234709"/>
    <s v="NULL"/>
    <x v="1"/>
  </r>
  <r>
    <s v="89CMAH2022000041R001520230234728"/>
    <s v="NULL"/>
    <x v="1"/>
  </r>
  <r>
    <s v="89CMAH2022000041R001520230289332"/>
    <s v="NULL"/>
    <x v="1"/>
  </r>
  <r>
    <s v="89CMAH2022000041R001520230289333"/>
    <s v="NULL"/>
    <x v="1"/>
  </r>
  <r>
    <s v="89CMAH2022000041R001520230289435"/>
    <s v="NULL"/>
    <x v="1"/>
  </r>
  <r>
    <s v="89CMAH2022000041R001520230289467"/>
    <s v="NULL"/>
    <x v="1"/>
  </r>
  <r>
    <s v="89CMAH2022000041R001520230289516"/>
    <s v="NULL"/>
    <x v="1"/>
  </r>
  <r>
    <s v="89CMAH2022000041R001520230289558"/>
    <s v="NULL"/>
    <x v="1"/>
  </r>
  <r>
    <s v="89CMAH2022000041R001520230289636"/>
    <s v="NULL"/>
    <x v="1"/>
  </r>
  <r>
    <s v="89CMAH2022000041R001520230289739"/>
    <s v="NULL"/>
    <x v="1"/>
  </r>
  <r>
    <s v="89CMAH2022000041R001520230289757"/>
    <s v="NULL"/>
    <x v="1"/>
  </r>
  <r>
    <s v="89CMAH2022000041R001520230289771"/>
    <s v="NULL"/>
    <x v="1"/>
  </r>
  <r>
    <s v="89CMAH2022000041R001520230289812"/>
    <s v="NULL"/>
    <x v="1"/>
  </r>
  <r>
    <s v="89CMAH2022000041R001520230289967"/>
    <s v="NULL"/>
    <x v="1"/>
  </r>
  <r>
    <s v="89CMAH2022000041R001520230289997"/>
    <s v="NULL"/>
    <x v="1"/>
  </r>
  <r>
    <s v="89CMAH2022000041R001520230290032"/>
    <s v="NULL"/>
    <x v="1"/>
  </r>
  <r>
    <s v="89CMAH2022000041R001520230290089"/>
    <s v="NULL"/>
    <x v="1"/>
  </r>
  <r>
    <s v="89CMAH2022000041R001520230290136"/>
    <s v="NULL"/>
    <x v="1"/>
  </r>
  <r>
    <s v="89CMAH2022000041R001520230290191"/>
    <s v="NULL"/>
    <x v="1"/>
  </r>
  <r>
    <s v="89CMAH2022000041R001520230290210"/>
    <s v="NULL"/>
    <x v="1"/>
  </r>
  <r>
    <s v="89CMAH2022000041R001520230290250"/>
    <s v="NULL"/>
    <x v="1"/>
  </r>
  <r>
    <s v="89CMAH2022000041R001520230290326"/>
    <s v="NULL"/>
    <x v="1"/>
  </r>
  <r>
    <s v="89CMAH2022000041R001520230290359"/>
    <s v="NULL"/>
    <x v="1"/>
  </r>
  <r>
    <s v="89CMAH2022000041R001520230290410"/>
    <s v="NULL"/>
    <x v="1"/>
  </r>
  <r>
    <s v="89CMAH2022000041R001520230290421"/>
    <s v="NULL"/>
    <x v="1"/>
  </r>
  <r>
    <s v="89CMAH2022000041R001520230290449"/>
    <s v="NULL"/>
    <x v="1"/>
  </r>
  <r>
    <s v="89CMAH2022000041R001520230290453"/>
    <s v="NULL"/>
    <x v="1"/>
  </r>
  <r>
    <s v="89CMAH2022000041R001520230290505"/>
    <s v="NULL"/>
    <x v="1"/>
  </r>
  <r>
    <s v="89CMAH2022000041R001520230290554"/>
    <s v="NULL"/>
    <x v="1"/>
  </r>
  <r>
    <s v="89CMAH2022000041R001520230290668"/>
    <s v="NULL"/>
    <x v="1"/>
  </r>
  <r>
    <s v="89CMAH2022000041R001520230290735"/>
    <s v="NULL"/>
    <x v="1"/>
  </r>
  <r>
    <s v="89CMAH2022000041R001520230290848"/>
    <s v="NULL"/>
    <x v="1"/>
  </r>
  <r>
    <s v="89CMAH2022000041R001520230290887"/>
    <s v="NULL"/>
    <x v="1"/>
  </r>
  <r>
    <s v="SNCN00000095"/>
    <s v="NULL"/>
    <x v="0"/>
  </r>
  <r>
    <s v="SNCN00000248"/>
    <s v="NULL"/>
    <x v="0"/>
  </r>
  <r>
    <s v="SNCN00000402"/>
    <s v="NULL"/>
    <x v="0"/>
  </r>
  <r>
    <s v="SNCN00000405"/>
    <s v="NULL"/>
    <x v="0"/>
  </r>
  <r>
    <s v="SNCN00000463"/>
    <s v="NULL"/>
    <x v="0"/>
  </r>
  <r>
    <s v="SNCN00000597"/>
    <s v="NULL"/>
    <x v="0"/>
  </r>
  <r>
    <s v="31CMAH0000000000R262304820022630"/>
    <s v="NULL"/>
    <x v="1"/>
  </r>
  <r>
    <s v="31CMAH0000000000R262304840022010"/>
    <s v="NULL"/>
    <x v="1"/>
  </r>
  <r>
    <s v="31CMAH0000000000R962304820357170"/>
    <s v="NULL"/>
    <x v="1"/>
  </r>
  <r>
    <s v="31CMAH0000000000R962304820384930"/>
    <s v="NULL"/>
    <x v="1"/>
  </r>
  <r>
    <s v="31CMAH0000000000R962304820410130"/>
    <s v="NULL"/>
    <x v="1"/>
  </r>
  <r>
    <s v="31CMAH0000000000R962304840141090"/>
    <s v="NULL"/>
    <x v="1"/>
  </r>
  <r>
    <s v="82000000007006336000200000647123"/>
    <s v="NULL"/>
    <x v="3"/>
  </r>
  <r>
    <s v="82000000007006585000200000650362"/>
    <s v="NULL"/>
    <x v="3"/>
  </r>
  <r>
    <s v="82000000007008188000200000656462"/>
    <s v="NULL"/>
    <x v="3"/>
  </r>
  <r>
    <s v="82000000007017545000200000754949"/>
    <s v="NULL"/>
    <x v="3"/>
  </r>
  <r>
    <s v="316416SUPRIMENTOSPTTAE0AN0006000"/>
    <s v="NULL"/>
    <x v="5"/>
  </r>
  <r>
    <s v="31CMAH0000000000R262304820025720"/>
    <s v="NULL"/>
    <x v="1"/>
  </r>
  <r>
    <s v="31CMAH0000000000R262304840018380"/>
    <s v="NULL"/>
    <x v="1"/>
  </r>
  <r>
    <s v="31CMAH0000000000R262304840020050"/>
    <s v="NULL"/>
    <x v="1"/>
  </r>
  <r>
    <s v="31CMAH0000000000R962304820402570"/>
    <s v="NULL"/>
    <x v="1"/>
  </r>
  <r>
    <s v="31CMAHenergyS1xS2OVER1ENFSMERT0H"/>
    <s v="NULL"/>
    <x v="1"/>
  </r>
  <r>
    <s v="89CMAH2022000041R001520230040002"/>
    <s v="NULL"/>
    <x v="1"/>
  </r>
  <r>
    <s v="89CMAH2022000041R001520230144801"/>
    <s v="NULL"/>
    <x v="1"/>
  </r>
  <r>
    <s v="89CMAH2022000041R001520230144826"/>
    <s v="NULL"/>
    <x v="1"/>
  </r>
  <r>
    <s v="89CMAH2022000041R001520230145020"/>
    <s v="NULL"/>
    <x v="1"/>
  </r>
  <r>
    <s v="89CMAH2022000041R001520230177872"/>
    <s v="NULL"/>
    <x v="1"/>
  </r>
  <r>
    <s v="89CMAH2022000041R001520230177879"/>
    <s v="NULL"/>
    <x v="1"/>
  </r>
  <r>
    <s v="89CMAH2022000041R001520230177939"/>
    <s v="NULL"/>
    <x v="1"/>
  </r>
  <r>
    <s v="89CMAH2022000041R001520230178129"/>
    <s v="NULL"/>
    <x v="1"/>
  </r>
  <r>
    <s v="89CMAH2022000041R001520230178476"/>
    <s v="NULL"/>
    <x v="1"/>
  </r>
  <r>
    <s v="89CMAH2022000041R001520230178521"/>
    <s v="NULL"/>
    <x v="1"/>
  </r>
  <r>
    <s v="89CMAH2022000041R001520230178601"/>
    <s v="NULL"/>
    <x v="1"/>
  </r>
  <r>
    <s v="89CMAH2022000041R001520230233994"/>
    <s v="NULL"/>
    <x v="1"/>
  </r>
  <r>
    <s v="89CMAH2022000041R001520230234006"/>
    <s v="NULL"/>
    <x v="1"/>
  </r>
  <r>
    <s v="89CMAH2022000041R001520230234092"/>
    <s v="NULL"/>
    <x v="1"/>
  </r>
  <r>
    <s v="89CMAH2022000041R001520230234170"/>
    <s v="NULL"/>
    <x v="1"/>
  </r>
  <r>
    <s v="89CMAH2022000041R001520230234212"/>
    <s v="NULL"/>
    <x v="1"/>
  </r>
  <r>
    <s v="89CMAH2022000041R001520230234223"/>
    <s v="NULL"/>
    <x v="1"/>
  </r>
  <r>
    <s v="89CMAH2022000041R001520230234358"/>
    <s v="NULL"/>
    <x v="1"/>
  </r>
  <r>
    <s v="89CMAH2022000041R001520230234359"/>
    <s v="NULL"/>
    <x v="1"/>
  </r>
  <r>
    <s v="89CMAH2022000041R001520230234423"/>
    <s v="NULL"/>
    <x v="1"/>
  </r>
  <r>
    <s v="89CMAH2022000041R001520230234424"/>
    <s v="NULL"/>
    <x v="1"/>
  </r>
  <r>
    <s v="89CMAH2022000041R001520230234515"/>
    <s v="NULL"/>
    <x v="1"/>
  </r>
  <r>
    <s v="89CMAH2022000041R001520230234521"/>
    <s v="NULL"/>
    <x v="1"/>
  </r>
  <r>
    <s v="89CMAH2022000041R001520230234564"/>
    <s v="NULL"/>
    <x v="1"/>
  </r>
  <r>
    <s v="89CMAH2022000041R001520230234631"/>
    <s v="NULL"/>
    <x v="1"/>
  </r>
  <r>
    <s v="89CMAH2022000041R001520230234656"/>
    <s v="NULL"/>
    <x v="1"/>
  </r>
  <r>
    <s v="89CMAH2022000041R001520230234680"/>
    <s v="NULL"/>
    <x v="1"/>
  </r>
  <r>
    <s v="89CMAH2022000041R001520230289298"/>
    <s v="NULL"/>
    <x v="1"/>
  </r>
  <r>
    <s v="89CMAH2022000041R001520230289305"/>
    <s v="NULL"/>
    <x v="1"/>
  </r>
  <r>
    <s v="89CMAH2022000041R001520230289347"/>
    <s v="NULL"/>
    <x v="1"/>
  </r>
  <r>
    <s v="89CMAH2022000041R001520230289588"/>
    <s v="NULL"/>
    <x v="1"/>
  </r>
  <r>
    <s v="89CMAH2022000041R001520230289600"/>
    <s v="NULL"/>
    <x v="1"/>
  </r>
  <r>
    <s v="89CMAH2022000041R001520230289603"/>
    <s v="NULL"/>
    <x v="1"/>
  </r>
  <r>
    <s v="89CMAH2022000041R001520230289641"/>
    <s v="NULL"/>
    <x v="1"/>
  </r>
  <r>
    <s v="89CMAH2022000041R001520230289658"/>
    <s v="NULL"/>
    <x v="1"/>
  </r>
  <r>
    <s v="89CMAH2022000041R001520230289759"/>
    <s v="NULL"/>
    <x v="1"/>
  </r>
  <r>
    <s v="89CMAH2022000041R001520230289810"/>
    <s v="NULL"/>
    <x v="1"/>
  </r>
  <r>
    <s v="89CMAH2022000041R001520230289931"/>
    <s v="NULL"/>
    <x v="1"/>
  </r>
  <r>
    <s v="89CMAH2022000041R001520230289941"/>
    <s v="NULL"/>
    <x v="1"/>
  </r>
  <r>
    <s v="89CMAH2022000041R001520230290079"/>
    <s v="NULL"/>
    <x v="1"/>
  </r>
  <r>
    <s v="89CMAH2022000041R001520230290091"/>
    <s v="NULL"/>
    <x v="1"/>
  </r>
  <r>
    <s v="89CMAH2022000041R001520230290263"/>
    <s v="NULL"/>
    <x v="1"/>
  </r>
  <r>
    <s v="89CMAH2022000041R001520230290283"/>
    <s v="NULL"/>
    <x v="1"/>
  </r>
  <r>
    <s v="89CMAH2022000041R001520230290381"/>
    <s v="NULL"/>
    <x v="1"/>
  </r>
  <r>
    <s v="89CMAH2022000041R001520230290385"/>
    <s v="NULL"/>
    <x v="1"/>
  </r>
  <r>
    <s v="89CMAH2022000041R001520230290409"/>
    <s v="NULL"/>
    <x v="1"/>
  </r>
  <r>
    <s v="89CMAH2022000041R001520230290419"/>
    <s v="NULL"/>
    <x v="1"/>
  </r>
  <r>
    <s v="89CMAH2022000041R001520230290452"/>
    <s v="NULL"/>
    <x v="1"/>
  </r>
  <r>
    <s v="89CMAH2022000041R001520230290469"/>
    <s v="NULL"/>
    <x v="1"/>
  </r>
  <r>
    <s v="89CMAH2022000041R001520230290508"/>
    <s v="NULL"/>
    <x v="1"/>
  </r>
  <r>
    <s v="89CMAH2022000041R001520230290636"/>
    <s v="NULL"/>
    <x v="1"/>
  </r>
  <r>
    <s v="89CMAH2022000041R001520230290692"/>
    <s v="NULL"/>
    <x v="1"/>
  </r>
  <r>
    <s v="89CMAH2022000041R001520230290841"/>
    <s v="NULL"/>
    <x v="1"/>
  </r>
  <r>
    <s v="89CMAH2022000041R001520230290899"/>
    <s v="NULL"/>
    <x v="1"/>
  </r>
  <r>
    <s v="SNCN00000047"/>
    <s v="NULL"/>
    <x v="0"/>
  </r>
  <r>
    <s v="SNCN00000364"/>
    <s v="NULL"/>
    <x v="0"/>
  </r>
  <r>
    <s v="SNCN00000473"/>
    <s v="NULL"/>
    <x v="0"/>
  </r>
  <r>
    <s v="SNCN00000761"/>
    <s v="NULL"/>
    <x v="0"/>
  </r>
  <r>
    <s v="82000000007000526000200000530351"/>
    <s v="NULL"/>
    <x v="3"/>
  </r>
  <r>
    <s v="82000000007002443000200000644681"/>
    <s v="NULL"/>
    <x v="3"/>
  </r>
  <r>
    <s v="82000000007003302000200000645957"/>
    <s v="NULL"/>
    <x v="3"/>
  </r>
  <r>
    <s v="82000000007009175000200000663119"/>
    <s v="NULL"/>
    <x v="3"/>
  </r>
  <r>
    <s v="82000000007011502000200000681067"/>
    <s v="NULL"/>
    <x v="3"/>
  </r>
  <r>
    <s v="82000000007012034000200000680295"/>
    <s v="NULL"/>
    <x v="3"/>
  </r>
  <r>
    <s v="82000000007012750000200000684862"/>
    <s v="NULL"/>
    <x v="3"/>
  </r>
  <r>
    <s v="82000000007015046000200000672366"/>
    <s v="NULL"/>
    <x v="3"/>
  </r>
  <r>
    <s v="82000000007017946000200000761228"/>
    <s v="NULL"/>
    <x v="3"/>
  </r>
  <r>
    <s v="89CMAH2022000041R001520230085809"/>
    <s v="NULL"/>
    <x v="1"/>
  </r>
  <r>
    <s v="89CMAH2022000041R001520230145092"/>
    <s v="NULL"/>
    <x v="1"/>
  </r>
  <r>
    <s v="89CMAH2022000041R001520230177895"/>
    <s v="NULL"/>
    <x v="1"/>
  </r>
  <r>
    <s v="89CMAH2022000041R001520230177902"/>
    <s v="NULL"/>
    <x v="1"/>
  </r>
  <r>
    <s v="89CMAH2022000041R001520230177911"/>
    <s v="NULL"/>
    <x v="1"/>
  </r>
  <r>
    <s v="89CMAH2022000041R001520230178004"/>
    <s v="NULL"/>
    <x v="1"/>
  </r>
  <r>
    <s v="89CMAH2022000041R001520230178018"/>
    <s v="NULL"/>
    <x v="1"/>
  </r>
  <r>
    <s v="89CMAH2022000041R001520230178070"/>
    <s v="NULL"/>
    <x v="1"/>
  </r>
  <r>
    <s v="89CMAH2022000041R001520230178132"/>
    <s v="NULL"/>
    <x v="1"/>
  </r>
  <r>
    <s v="89CMAH2022000041R001520230233990"/>
    <s v="NULL"/>
    <x v="1"/>
  </r>
  <r>
    <s v="89CMAH2022000041R001520230234051"/>
    <s v="NULL"/>
    <x v="1"/>
  </r>
  <r>
    <s v="89CMAH2022000041R001520230234219"/>
    <s v="NULL"/>
    <x v="1"/>
  </r>
  <r>
    <s v="89CMAH2022000041R001520230234327"/>
    <s v="NULL"/>
    <x v="1"/>
  </r>
  <r>
    <s v="89CMAH2022000041R001520230234349"/>
    <s v="NULL"/>
    <x v="1"/>
  </r>
  <r>
    <s v="89CMAH2022000041R001520230234490"/>
    <s v="NULL"/>
    <x v="1"/>
  </r>
  <r>
    <s v="89CMAH2022000041R001520230234520"/>
    <s v="NULL"/>
    <x v="1"/>
  </r>
  <r>
    <s v="89CMAH2022000041R001520230234676"/>
    <s v="NULL"/>
    <x v="1"/>
  </r>
  <r>
    <s v="89CMAH2022000041R001520230289324"/>
    <s v="NULL"/>
    <x v="1"/>
  </r>
  <r>
    <s v="89CMAH2022000041R001520230289361"/>
    <s v="NULL"/>
    <x v="1"/>
  </r>
  <r>
    <s v="89CMAH2022000041R001520230289434"/>
    <s v="NULL"/>
    <x v="1"/>
  </r>
  <r>
    <s v="89CMAH2022000041R001520230289486"/>
    <s v="NULL"/>
    <x v="1"/>
  </r>
  <r>
    <s v="89CMAH2022000041R001520230289498"/>
    <s v="NULL"/>
    <x v="1"/>
  </r>
  <r>
    <s v="89CMAH2022000041R001520230289580"/>
    <s v="NULL"/>
    <x v="1"/>
  </r>
  <r>
    <s v="89CMAH2022000041R001520230289582"/>
    <s v="NULL"/>
    <x v="1"/>
  </r>
  <r>
    <s v="89CMAH2022000041R001520230289598"/>
    <s v="NULL"/>
    <x v="1"/>
  </r>
  <r>
    <s v="89CMAH2022000041R001520230289708"/>
    <s v="NULL"/>
    <x v="1"/>
  </r>
  <r>
    <s v="89CMAH2022000041R001520230289799"/>
    <s v="NULL"/>
    <x v="1"/>
  </r>
  <r>
    <s v="89CMAH2022000041R001520230289807"/>
    <s v="NULL"/>
    <x v="1"/>
  </r>
  <r>
    <s v="89CMAH2022000041R001520230289830"/>
    <s v="NULL"/>
    <x v="1"/>
  </r>
  <r>
    <s v="89CMAH2022000041R001520230289842"/>
    <s v="NULL"/>
    <x v="1"/>
  </r>
  <r>
    <s v="89CMAH2022000041R001520230289942"/>
    <s v="NULL"/>
    <x v="1"/>
  </r>
  <r>
    <s v="89CMAH2022000041R001520230290033"/>
    <s v="NULL"/>
    <x v="1"/>
  </r>
  <r>
    <s v="89CMAH2022000041R001520230290104"/>
    <s v="NULL"/>
    <x v="1"/>
  </r>
  <r>
    <s v="89CMAH2022000041R001520230290127"/>
    <s v="NULL"/>
    <x v="1"/>
  </r>
  <r>
    <s v="89CMAH2022000041R001520230290365"/>
    <s v="NULL"/>
    <x v="1"/>
  </r>
  <r>
    <s v="89CMAH2022000041R001520230290366"/>
    <s v="NULL"/>
    <x v="1"/>
  </r>
  <r>
    <s v="89CMAH2022000041R001520230290558"/>
    <s v="NULL"/>
    <x v="1"/>
  </r>
  <r>
    <s v="89CMAH2022000041R001520230290598"/>
    <s v="NULL"/>
    <x v="1"/>
  </r>
  <r>
    <s v="89CMAH2022000041R001520230290630"/>
    <s v="NULL"/>
    <x v="1"/>
  </r>
  <r>
    <s v="89CMAH2022000041R001520230290674"/>
    <s v="NULL"/>
    <x v="1"/>
  </r>
  <r>
    <s v="89CMAH2022000041R001520230290686"/>
    <s v="NULL"/>
    <x v="1"/>
  </r>
  <r>
    <s v="89CMAH2022000041R001520230290762"/>
    <s v="NULL"/>
    <x v="1"/>
  </r>
  <r>
    <s v="89CMAH2022000041R001520230290807"/>
    <s v="NULL"/>
    <x v="1"/>
  </r>
  <r>
    <s v="89CMAH2022000041R001520230290816"/>
    <s v="NULL"/>
    <x v="1"/>
  </r>
  <r>
    <s v="89CMAH2022000041R001520230290858"/>
    <s v="NULL"/>
    <x v="1"/>
  </r>
  <r>
    <s v="89CMAH2022000041R001520230290908"/>
    <s v="NULL"/>
    <x v="1"/>
  </r>
  <r>
    <s v="SNCN00000034"/>
    <s v="NULL"/>
    <x v="0"/>
  </r>
  <r>
    <s v="SNCN00000035"/>
    <s v="NULL"/>
    <x v="0"/>
  </r>
  <r>
    <s v="SNCN00000123"/>
    <s v="NULL"/>
    <x v="0"/>
  </r>
  <r>
    <s v="SNCN00000147"/>
    <s v="NULL"/>
    <x v="0"/>
  </r>
  <r>
    <s v="SNCN00000235"/>
    <s v="NULL"/>
    <x v="0"/>
  </r>
  <r>
    <s v="SNCN00000264"/>
    <s v="NULL"/>
    <x v="0"/>
  </r>
  <r>
    <s v="SNCN00000443"/>
    <s v="NULL"/>
    <x v="0"/>
  </r>
  <r>
    <s v="SNCN00000459"/>
    <s v="NULL"/>
    <x v="0"/>
  </r>
  <r>
    <s v="SNCN00000557"/>
    <s v="NULL"/>
    <x v="0"/>
  </r>
  <r>
    <s v="SNCN00000757"/>
    <s v="NULL"/>
    <x v="0"/>
  </r>
  <r>
    <s v="SNCN00000785"/>
    <s v="NULL"/>
    <x v="0"/>
  </r>
  <r>
    <s v="SNCN00000845"/>
    <s v="NULL"/>
    <x v="0"/>
  </r>
  <r>
    <s v="SNCN00000858"/>
    <s v="NULL"/>
    <x v="0"/>
  </r>
  <r>
    <s v="SNCN00000928"/>
    <s v="NULL"/>
    <x v="0"/>
  </r>
  <r>
    <s v="31000310568975090069674650100000"/>
    <s v="NULL"/>
    <x v="2"/>
  </r>
  <r>
    <s v="31000310171753091069673560100000"/>
    <s v="NULL"/>
    <x v="2"/>
  </r>
  <r>
    <s v="31000310568876090069674150100000"/>
    <s v="NULL"/>
    <x v="2"/>
  </r>
  <r>
    <s v="31CMAH0000000000R262304820020190"/>
    <s v="NULL"/>
    <x v="1"/>
  </r>
  <r>
    <s v="31CMAH0000000000R262304820023080"/>
    <s v="NULL"/>
    <x v="1"/>
  </r>
  <r>
    <s v="31CMAH0000000000R962304820241980"/>
    <s v="NULL"/>
    <x v="1"/>
  </r>
  <r>
    <s v="31CMAH0000000000R962304820345580"/>
    <s v="NULL"/>
    <x v="1"/>
  </r>
  <r>
    <s v="31CMAH0000000000R962304820409870"/>
    <s v="NULL"/>
    <x v="1"/>
  </r>
  <r>
    <s v="82000000007001158000200000643552"/>
    <s v="NULL"/>
    <x v="3"/>
  </r>
  <r>
    <s v="82000000007001747000200000644001"/>
    <s v="NULL"/>
    <x v="3"/>
  </r>
  <r>
    <s v="82000000007002272000200000644376"/>
    <s v="NULL"/>
    <x v="3"/>
  </r>
  <r>
    <s v="82000000007004295000200000647161"/>
    <s v="NULL"/>
    <x v="3"/>
  </r>
  <r>
    <s v="82000000007004367000200000647073"/>
    <s v="NULL"/>
    <x v="3"/>
  </r>
  <r>
    <s v="82000000007007261000200000652713"/>
    <s v="NULL"/>
    <x v="3"/>
  </r>
  <r>
    <s v="82000000007018692000200000643150"/>
    <s v="NULL"/>
    <x v="3"/>
  </r>
  <r>
    <s v="31CMAH0000000000R262304820019340"/>
    <s v="NULL"/>
    <x v="1"/>
  </r>
  <r>
    <s v="31CMAH0000000000R962304820336320"/>
    <s v="NULL"/>
    <x v="1"/>
  </r>
  <r>
    <s v="31CMAH0000000000R962304820373350"/>
    <s v="NULL"/>
    <x v="1"/>
  </r>
  <r>
    <s v="31CMAH0000000000R962304820412140"/>
    <s v="NULL"/>
    <x v="1"/>
  </r>
  <r>
    <s v="31CMAHbckstop2023BACK3ENFSMERT0I"/>
    <s v="NULL"/>
    <x v="1"/>
  </r>
  <r>
    <s v="82000000007004812000200000647771"/>
    <s v="NULL"/>
    <x v="3"/>
  </r>
  <r>
    <s v="82000000007004843000200000647754"/>
    <s v="NULL"/>
    <x v="3"/>
  </r>
  <r>
    <s v="82000000007007048000200000651897"/>
    <s v="NULL"/>
    <x v="3"/>
  </r>
  <r>
    <s v="82000000007007251000200000652692"/>
    <s v="NULL"/>
    <x v="3"/>
  </r>
  <r>
    <s v="82000000007008176000200000656457"/>
    <s v="NULL"/>
    <x v="3"/>
  </r>
  <r>
    <s v="89CMAH2022000041R001520220603126"/>
    <s v="NULL"/>
    <x v="1"/>
  </r>
  <r>
    <s v="89CMAH2022000041R001520230086170"/>
    <s v="NULL"/>
    <x v="1"/>
  </r>
  <r>
    <s v="89CMAH2022000041R001520230144677"/>
    <s v="NULL"/>
    <x v="1"/>
  </r>
  <r>
    <s v="89CMAH2022000041R001520230178076"/>
    <s v="NULL"/>
    <x v="1"/>
  </r>
  <r>
    <s v="89CMAH2022000041R001520230178135"/>
    <s v="NULL"/>
    <x v="1"/>
  </r>
  <r>
    <s v="89CMAH2022000041R001520230178215"/>
    <s v="NULL"/>
    <x v="1"/>
  </r>
  <r>
    <s v="89CMAH2022000041R001520230178290"/>
    <s v="NULL"/>
    <x v="1"/>
  </r>
  <r>
    <s v="89CMAH2022000041R001520230178355"/>
    <s v="NULL"/>
    <x v="1"/>
  </r>
  <r>
    <s v="89CMAH2022000041R001520230233991"/>
    <s v="NULL"/>
    <x v="1"/>
  </r>
  <r>
    <s v="89CMAH2022000041R001520230234060"/>
    <s v="NULL"/>
    <x v="1"/>
  </r>
  <r>
    <s v="89CMAH2022000041R001520230234177"/>
    <s v="NULL"/>
    <x v="1"/>
  </r>
  <r>
    <s v="89CMAH2022000041R001520230234196"/>
    <s v="NULL"/>
    <x v="1"/>
  </r>
  <r>
    <s v="89CMAH2022000041R001520230234200"/>
    <s v="NULL"/>
    <x v="1"/>
  </r>
  <r>
    <s v="89CMAH2022000041R001520230234227"/>
    <s v="NULL"/>
    <x v="1"/>
  </r>
  <r>
    <s v="89CMAH2022000041R001520230234321"/>
    <s v="NULL"/>
    <x v="1"/>
  </r>
  <r>
    <s v="89CMAH2022000041R001520230234390"/>
    <s v="NULL"/>
    <x v="1"/>
  </r>
  <r>
    <s v="89CMAH2022000041R001520230234512"/>
    <s v="NULL"/>
    <x v="1"/>
  </r>
  <r>
    <s v="89CMAH2022000041R001520230234585"/>
    <s v="NULL"/>
    <x v="1"/>
  </r>
  <r>
    <s v="89CMAH2022000041R001520230289366"/>
    <s v="NULL"/>
    <x v="1"/>
  </r>
  <r>
    <s v="89CMAH2022000041R001520230289452"/>
    <s v="NULL"/>
    <x v="1"/>
  </r>
  <r>
    <s v="89CMAH2022000041R001520230289480"/>
    <s v="NULL"/>
    <x v="1"/>
  </r>
  <r>
    <s v="89CMAH2022000041R001520230289506"/>
    <s v="NULL"/>
    <x v="1"/>
  </r>
  <r>
    <s v="89CMAH2022000041R001520230289524"/>
    <s v="NULL"/>
    <x v="1"/>
  </r>
  <r>
    <s v="89CMAH2022000041R001520230289607"/>
    <s v="NULL"/>
    <x v="1"/>
  </r>
  <r>
    <s v="89CMAH2022000041R001520230289634"/>
    <s v="NULL"/>
    <x v="1"/>
  </r>
  <r>
    <s v="89CMAH2022000041R001520230289737"/>
    <s v="NULL"/>
    <x v="1"/>
  </r>
  <r>
    <s v="89CMAH2022000041R001520230289753"/>
    <s v="NULL"/>
    <x v="1"/>
  </r>
  <r>
    <s v="89CMAH2022000041R001520230289755"/>
    <s v="NULL"/>
    <x v="1"/>
  </r>
  <r>
    <s v="89CMAH2022000041R001520230289789"/>
    <s v="NULL"/>
    <x v="1"/>
  </r>
  <r>
    <s v="89CMAH2022000041R001520230289821"/>
    <s v="NULL"/>
    <x v="1"/>
  </r>
  <r>
    <s v="89CMAH2022000041R001520230289956"/>
    <s v="NULL"/>
    <x v="1"/>
  </r>
  <r>
    <s v="89CMAH2022000041R001520230289959"/>
    <s v="NULL"/>
    <x v="1"/>
  </r>
  <r>
    <s v="89CMAH2022000041R001520230289977"/>
    <s v="NULL"/>
    <x v="1"/>
  </r>
  <r>
    <s v="89CMAH2022000041R001520230290058"/>
    <s v="NULL"/>
    <x v="1"/>
  </r>
  <r>
    <s v="89CMAH2022000041R001520230290114"/>
    <s v="NULL"/>
    <x v="1"/>
  </r>
  <r>
    <s v="89CMAH2022000041R001520230290237"/>
    <s v="NULL"/>
    <x v="1"/>
  </r>
  <r>
    <s v="89CMAH2022000041R001520230290358"/>
    <s v="NULL"/>
    <x v="1"/>
  </r>
  <r>
    <s v="89CMAH2022000041R001520230290369"/>
    <s v="NULL"/>
    <x v="1"/>
  </r>
  <r>
    <s v="89CMAH2022000041R001520230290397"/>
    <s v="NULL"/>
    <x v="1"/>
  </r>
  <r>
    <s v="89CMAH2022000041R001520230290404"/>
    <s v="NULL"/>
    <x v="1"/>
  </r>
  <r>
    <s v="89CMAH2022000041R001520230290434"/>
    <s v="NULL"/>
    <x v="1"/>
  </r>
  <r>
    <s v="89CMAH2022000041R001520230290451"/>
    <s v="NULL"/>
    <x v="1"/>
  </r>
  <r>
    <s v="89CMAH2022000041R001520230290611"/>
    <s v="NULL"/>
    <x v="1"/>
  </r>
  <r>
    <s v="89CMAH2022000041R001520230290712"/>
    <s v="NULL"/>
    <x v="1"/>
  </r>
  <r>
    <s v="89CMAH2022000041R001520230290739"/>
    <s v="NULL"/>
    <x v="1"/>
  </r>
  <r>
    <s v="89CMAH2022000041R001520230290844"/>
    <s v="NULL"/>
    <x v="1"/>
  </r>
  <r>
    <s v="89CMAH2022000041R001520230290876"/>
    <s v="NULL"/>
    <x v="1"/>
  </r>
  <r>
    <s v="89CMAH2022000041R001520230290916"/>
    <s v="NULL"/>
    <x v="1"/>
  </r>
  <r>
    <s v="89CMAH2022000041R001520230290927"/>
    <s v="NULL"/>
    <x v="1"/>
  </r>
  <r>
    <s v="SNCN00000100"/>
    <s v="NULL"/>
    <x v="0"/>
  </r>
  <r>
    <s v="SNCN00000181"/>
    <s v="NULL"/>
    <x v="0"/>
  </r>
  <r>
    <s v="SNCN00000186"/>
    <s v="NULL"/>
    <x v="0"/>
  </r>
  <r>
    <s v="SNCN00000189"/>
    <s v="NULL"/>
    <x v="0"/>
  </r>
  <r>
    <s v="SNCN00000213"/>
    <s v="NULL"/>
    <x v="0"/>
  </r>
  <r>
    <s v="SNCN00000258"/>
    <s v="NULL"/>
    <x v="0"/>
  </r>
  <r>
    <s v="SNCN00000273"/>
    <s v="NULL"/>
    <x v="0"/>
  </r>
  <r>
    <s v="SNCN00000326"/>
    <s v="NULL"/>
    <x v="0"/>
  </r>
  <r>
    <s v="SNCN00000373"/>
    <s v="NULL"/>
    <x v="0"/>
  </r>
  <r>
    <s v="SNCN00000549"/>
    <s v="NULL"/>
    <x v="0"/>
  </r>
  <r>
    <s v="SNCN00000639"/>
    <s v="NULL"/>
    <x v="0"/>
  </r>
  <r>
    <s v="SNCN00000734"/>
    <s v="NULL"/>
    <x v="0"/>
  </r>
  <r>
    <s v="SNCN00000942"/>
    <s v="NULL"/>
    <x v="0"/>
  </r>
  <r>
    <s v="89CMAH2022000041R001520220603537"/>
    <s v="NULL"/>
    <x v="1"/>
  </r>
  <r>
    <s v="89CMAH2022000041R001520230144802"/>
    <s v="NULL"/>
    <x v="1"/>
  </r>
  <r>
    <s v="89CMAH2022000041R001520230177901"/>
    <s v="NULL"/>
    <x v="1"/>
  </r>
  <r>
    <s v="89CMAH2022000041R001520230177923"/>
    <s v="NULL"/>
    <x v="1"/>
  </r>
  <r>
    <s v="89CMAH2022000041R001520230178471"/>
    <s v="NULL"/>
    <x v="1"/>
  </r>
  <r>
    <s v="89CMAH2022000041R001520230234324"/>
    <s v="NULL"/>
    <x v="1"/>
  </r>
  <r>
    <s v="89CMAH2022000041R001520230234328"/>
    <s v="NULL"/>
    <x v="1"/>
  </r>
  <r>
    <s v="89CMAH2022000041R001520230234449"/>
    <s v="NULL"/>
    <x v="1"/>
  </r>
  <r>
    <s v="89CMAH2022000041R001520230234484"/>
    <s v="NULL"/>
    <x v="1"/>
  </r>
  <r>
    <s v="89CMAH2022000041R001520230234495"/>
    <s v="NULL"/>
    <x v="1"/>
  </r>
  <r>
    <s v="89CMAH2022000041R001520230234718"/>
    <s v="NULL"/>
    <x v="1"/>
  </r>
  <r>
    <s v="89CMAH2022000041R001520230289279"/>
    <s v="NULL"/>
    <x v="1"/>
  </r>
  <r>
    <s v="89CMAH2022000041R001520230289284"/>
    <s v="NULL"/>
    <x v="1"/>
  </r>
  <r>
    <s v="89CMAH2022000041R001520230289316"/>
    <s v="NULL"/>
    <x v="1"/>
  </r>
  <r>
    <s v="89CMAH2022000041R001520230289363"/>
    <s v="NULL"/>
    <x v="1"/>
  </r>
  <r>
    <s v="89CMAH2022000041R001520230289500"/>
    <s v="NULL"/>
    <x v="1"/>
  </r>
  <r>
    <s v="89CMAH2022000041R001520230289557"/>
    <s v="NULL"/>
    <x v="1"/>
  </r>
  <r>
    <s v="89CMAH2022000041R001520230289570"/>
    <s v="NULL"/>
    <x v="1"/>
  </r>
  <r>
    <s v="89CMAH2022000041R001520230289590"/>
    <s v="NULL"/>
    <x v="1"/>
  </r>
  <r>
    <s v="89CMAH2022000041R001520230289625"/>
    <s v="NULL"/>
    <x v="1"/>
  </r>
  <r>
    <s v="89CMAH2022000041R001520230289695"/>
    <s v="NULL"/>
    <x v="1"/>
  </r>
  <r>
    <s v="89CMAH2022000041R001520230289770"/>
    <s v="NULL"/>
    <x v="1"/>
  </r>
  <r>
    <s v="89CMAH2022000041R001520230289804"/>
    <s v="NULL"/>
    <x v="1"/>
  </r>
  <r>
    <s v="89CMAH2022000041R001520230289868"/>
    <s v="NULL"/>
    <x v="1"/>
  </r>
  <r>
    <s v="89CMAH2022000041R001520230289870"/>
    <s v="NULL"/>
    <x v="1"/>
  </r>
  <r>
    <s v="89CMAH2022000041R001520230290002"/>
    <s v="NULL"/>
    <x v="1"/>
  </r>
  <r>
    <s v="89CMAH2022000041R001520230290018"/>
    <s v="NULL"/>
    <x v="1"/>
  </r>
  <r>
    <s v="89CMAH2022000041R001520230290041"/>
    <s v="NULL"/>
    <x v="1"/>
  </r>
  <r>
    <s v="89CMAH2022000041R001520230290205"/>
    <s v="NULL"/>
    <x v="1"/>
  </r>
  <r>
    <s v="89CMAH2022000041R001520230290229"/>
    <s v="NULL"/>
    <x v="1"/>
  </r>
  <r>
    <s v="89CMAH2022000041R001520230290308"/>
    <s v="NULL"/>
    <x v="1"/>
  </r>
  <r>
    <s v="89CMAH2022000041R001520230290334"/>
    <s v="NULL"/>
    <x v="1"/>
  </r>
  <r>
    <s v="89CMAH2022000041R001520230290346"/>
    <s v="NULL"/>
    <x v="1"/>
  </r>
  <r>
    <s v="89CMAH2022000041R001520230290389"/>
    <s v="NULL"/>
    <x v="1"/>
  </r>
  <r>
    <s v="89CMAH2022000041R001520230290403"/>
    <s v="NULL"/>
    <x v="1"/>
  </r>
  <r>
    <s v="89CMAH2022000041R001520230290407"/>
    <s v="NULL"/>
    <x v="1"/>
  </r>
  <r>
    <s v="89CMAH2022000041R001520230290425"/>
    <s v="NULL"/>
    <x v="1"/>
  </r>
  <r>
    <s v="89CMAH2022000041R001520230290428"/>
    <s v="NULL"/>
    <x v="1"/>
  </r>
  <r>
    <s v="89CMAH2022000041R001520230290450"/>
    <s v="NULL"/>
    <x v="1"/>
  </r>
  <r>
    <s v="89CMAH2022000041R001520230290483"/>
    <s v="NULL"/>
    <x v="1"/>
  </r>
  <r>
    <s v="89CMAH2022000041R001520230290520"/>
    <s v="NULL"/>
    <x v="1"/>
  </r>
  <r>
    <s v="89CMAH2022000041R001520230290533"/>
    <s v="NULL"/>
    <x v="1"/>
  </r>
  <r>
    <s v="89CMAH2022000041R001520230290603"/>
    <s v="NULL"/>
    <x v="1"/>
  </r>
  <r>
    <s v="89CMAH2022000041R001520230290615"/>
    <s v="NULL"/>
    <x v="1"/>
  </r>
  <r>
    <s v="89CMAH2022000041R001520230290732"/>
    <s v="NULL"/>
    <x v="1"/>
  </r>
  <r>
    <s v="89CMAH2022000041R001520230290740"/>
    <s v="NULL"/>
    <x v="1"/>
  </r>
  <r>
    <s v="89CMAH2022000041R001520230290788"/>
    <s v="NULL"/>
    <x v="1"/>
  </r>
  <r>
    <s v="89CMAH2022000041R001520230290821"/>
    <s v="NULL"/>
    <x v="1"/>
  </r>
  <r>
    <s v="89CMAH2022000041R001520230290827"/>
    <s v="NULL"/>
    <x v="1"/>
  </r>
  <r>
    <s v="89CMAH2022000041R001520230290901"/>
    <s v="NULL"/>
    <x v="1"/>
  </r>
  <r>
    <s v="89CMAH2022000041R001520230290926"/>
    <s v="NULL"/>
    <x v="1"/>
  </r>
  <r>
    <s v="SNCN00000196"/>
    <s v="NULL"/>
    <x v="0"/>
  </r>
  <r>
    <s v="SNCN00000638"/>
    <s v="NULL"/>
    <x v="0"/>
  </r>
  <r>
    <s v="SNCN00000745"/>
    <s v="NULL"/>
    <x v="0"/>
  </r>
  <r>
    <s v="SNCN00000882"/>
    <s v="NULL"/>
    <x v="0"/>
  </r>
  <r>
    <s v="SNCN00000947"/>
    <s v="NULL"/>
    <x v="0"/>
  </r>
  <r>
    <s v="31CMAH0000000000R262304840019830"/>
    <s v="NULL"/>
    <x v="1"/>
  </r>
  <r>
    <s v="31CMAH0000000000R262304840022330"/>
    <s v="NULL"/>
    <x v="1"/>
  </r>
  <r>
    <s v="31CMAH0000000000R962304820311050"/>
    <s v="NULL"/>
    <x v="1"/>
  </r>
  <r>
    <s v="31CMAH0000000000R962304820380160"/>
    <s v="NULL"/>
    <x v="1"/>
  </r>
  <r>
    <s v="31CMAH0000000000R962304820381270"/>
    <s v="NULL"/>
    <x v="1"/>
  </r>
  <r>
    <s v="31CMAH0000000000R962304820395580"/>
    <s v="NULL"/>
    <x v="1"/>
  </r>
  <r>
    <s v="31CMAH0000000000R962304820406830"/>
    <s v="NULL"/>
    <x v="1"/>
  </r>
  <r>
    <s v="82000000000116136000420000106336"/>
    <s v="NULL"/>
    <x v="3"/>
  </r>
  <r>
    <s v="82000000007002198000200000644518"/>
    <s v="NULL"/>
    <x v="3"/>
  </r>
  <r>
    <s v="82000000007004032000200000646698"/>
    <s v="NULL"/>
    <x v="3"/>
  </r>
  <r>
    <s v="82000000007004385000200000647178"/>
    <s v="NULL"/>
    <x v="3"/>
  </r>
  <r>
    <s v="82000000007012699000200000677718"/>
    <s v="NULL"/>
    <x v="3"/>
  </r>
  <r>
    <s v="89CMAH2022000041R001520230086292"/>
    <s v="NULL"/>
    <x v="1"/>
  </r>
  <r>
    <s v="89CMAH2022000041R001520230144657"/>
    <s v="NULL"/>
    <x v="1"/>
  </r>
  <r>
    <s v="89CMAH2022000041R001520230144866"/>
    <s v="NULL"/>
    <x v="1"/>
  </r>
  <r>
    <s v="89CMAH2022000041R001520230145010"/>
    <s v="NULL"/>
    <x v="1"/>
  </r>
  <r>
    <s v="89CMAH2022000041R001520230145195"/>
    <s v="NULL"/>
    <x v="1"/>
  </r>
  <r>
    <s v="89CMAH2022000041R001520230178107"/>
    <s v="NULL"/>
    <x v="1"/>
  </r>
  <r>
    <s v="89CMAH2022000041R001520230178291"/>
    <s v="NULL"/>
    <x v="1"/>
  </r>
  <r>
    <s v="89CMAH2022000041R001520230178572"/>
    <s v="NULL"/>
    <x v="1"/>
  </r>
  <r>
    <s v="89CMAH2022000041R001520230178632"/>
    <s v="NULL"/>
    <x v="1"/>
  </r>
  <r>
    <s v="89CMAH2022000041R001520230233996"/>
    <s v="NULL"/>
    <x v="1"/>
  </r>
  <r>
    <s v="89CMAH2022000041R001520230234106"/>
    <s v="NULL"/>
    <x v="1"/>
  </r>
  <r>
    <s v="89CMAH2022000041R001520230234137"/>
    <s v="NULL"/>
    <x v="1"/>
  </r>
  <r>
    <s v="89CMAH2022000041R001520230234265"/>
    <s v="NULL"/>
    <x v="1"/>
  </r>
  <r>
    <s v="89CMAH2022000041R001520230234290"/>
    <s v="NULL"/>
    <x v="1"/>
  </r>
  <r>
    <s v="89CMAH2022000041R001520230234444"/>
    <s v="NULL"/>
    <x v="1"/>
  </r>
  <r>
    <s v="89CMAH2022000041R001520230234734"/>
    <s v="NULL"/>
    <x v="1"/>
  </r>
  <r>
    <s v="89CMAH2022000041R001520230234735"/>
    <s v="NULL"/>
    <x v="1"/>
  </r>
  <r>
    <s v="89CMAH2022000041R001520230289523"/>
    <s v="NULL"/>
    <x v="1"/>
  </r>
  <r>
    <s v="89CMAH2022000041R001520230289627"/>
    <s v="NULL"/>
    <x v="1"/>
  </r>
  <r>
    <s v="89CMAH2022000041R001520230289794"/>
    <s v="NULL"/>
    <x v="1"/>
  </r>
  <r>
    <s v="89CMAH2022000041R001520230289840"/>
    <s v="NULL"/>
    <x v="1"/>
  </r>
  <r>
    <s v="89CMAH2022000041R001520230289849"/>
    <s v="NULL"/>
    <x v="1"/>
  </r>
  <r>
    <s v="89CMAH2022000041R001520230289920"/>
    <s v="NULL"/>
    <x v="1"/>
  </r>
  <r>
    <s v="89CMAH2022000041R001520230289970"/>
    <s v="NULL"/>
    <x v="1"/>
  </r>
  <r>
    <s v="89CMAH2022000041R001520230290022"/>
    <s v="NULL"/>
    <x v="1"/>
  </r>
  <r>
    <s v="89CMAH2022000041R001520230290025"/>
    <s v="NULL"/>
    <x v="1"/>
  </r>
  <r>
    <s v="89CMAH2022000041R001520230290029"/>
    <s v="NULL"/>
    <x v="1"/>
  </r>
  <r>
    <s v="89CMAH2022000041R001520230290034"/>
    <s v="NULL"/>
    <x v="1"/>
  </r>
  <r>
    <s v="89CMAH2022000041R001520230290045"/>
    <s v="NULL"/>
    <x v="1"/>
  </r>
  <r>
    <s v="89CMAH2022000041R001520230290048"/>
    <s v="NULL"/>
    <x v="1"/>
  </r>
  <r>
    <s v="89CMAH2022000041R001520230290068"/>
    <s v="NULL"/>
    <x v="1"/>
  </r>
  <r>
    <s v="89CMAH2022000041R001520230290071"/>
    <s v="NULL"/>
    <x v="1"/>
  </r>
  <r>
    <s v="89CMAH2022000041R001520230290078"/>
    <s v="NULL"/>
    <x v="1"/>
  </r>
  <r>
    <s v="89CMAH2022000041R001520230290234"/>
    <s v="NULL"/>
    <x v="1"/>
  </r>
  <r>
    <s v="89CMAH2022000041R001520230290337"/>
    <s v="NULL"/>
    <x v="1"/>
  </r>
  <r>
    <s v="89CMAH2022000041R001520230290371"/>
    <s v="NULL"/>
    <x v="1"/>
  </r>
  <r>
    <s v="89CMAH2022000041R001520230290402"/>
    <s v="NULL"/>
    <x v="1"/>
  </r>
  <r>
    <s v="89CMAH2022000041R001520230290423"/>
    <s v="NULL"/>
    <x v="1"/>
  </r>
  <r>
    <s v="89CMAH2022000041R001520230290478"/>
    <s v="NULL"/>
    <x v="1"/>
  </r>
  <r>
    <s v="89CMAH2022000041R001520230290498"/>
    <s v="NULL"/>
    <x v="1"/>
  </r>
  <r>
    <s v="89CMAH2022000041R001520230290506"/>
    <s v="NULL"/>
    <x v="1"/>
  </r>
  <r>
    <s v="89CMAH2022000041R001520230290518"/>
    <s v="NULL"/>
    <x v="1"/>
  </r>
  <r>
    <s v="89CMAH2022000041R001520230290547"/>
    <s v="NULL"/>
    <x v="1"/>
  </r>
  <r>
    <s v="89CMAH2022000041R001520230290575"/>
    <s v="NULL"/>
    <x v="1"/>
  </r>
  <r>
    <s v="89CMAH2022000041R001520230290605"/>
    <s v="NULL"/>
    <x v="1"/>
  </r>
  <r>
    <s v="89CMAH2022000041R001520230290726"/>
    <s v="NULL"/>
    <x v="1"/>
  </r>
  <r>
    <s v="89CMAH2022000041R001520230290781"/>
    <s v="NULL"/>
    <x v="1"/>
  </r>
  <r>
    <s v="89CMAH2022000041R001520230290799"/>
    <s v="NULL"/>
    <x v="1"/>
  </r>
  <r>
    <s v="89CMAH2022000041R001520230290808"/>
    <s v="NULL"/>
    <x v="1"/>
  </r>
  <r>
    <s v="SNCN00000073"/>
    <s v="NULL"/>
    <x v="0"/>
  </r>
  <r>
    <s v="SNCN00000125"/>
    <s v="NULL"/>
    <x v="0"/>
  </r>
  <r>
    <s v="SNCN00000576"/>
    <s v="NULL"/>
    <x v="0"/>
  </r>
  <r>
    <s v="SNCN00000948"/>
    <s v="NULL"/>
    <x v="0"/>
  </r>
  <r>
    <s v="31000010699891149000000000000000"/>
    <s v="NULL"/>
    <x v="2"/>
  </r>
  <r>
    <s v="31000300063544096000000000000000"/>
    <s v="NULL"/>
    <x v="2"/>
  </r>
  <r>
    <s v="31000010680591149000000000000000"/>
    <s v="NULL"/>
    <x v="2"/>
  </r>
  <r>
    <s v="31000303542734096000000000000000"/>
    <s v="NULL"/>
    <x v="2"/>
  </r>
  <r>
    <s v="31000310545486090069674280100000"/>
    <s v="NULL"/>
    <x v="2"/>
  </r>
  <r>
    <s v="31000050101080149000000000000000"/>
    <s v="NULL"/>
    <x v="2"/>
  </r>
  <r>
    <s v="31000310559875090069674310100000"/>
    <s v="NULL"/>
    <x v="2"/>
  </r>
  <r>
    <s v="31000311930032043000000000000000"/>
    <s v="NULL"/>
    <x v="2"/>
  </r>
  <r>
    <s v="31000310402829090069674720100000"/>
    <s v="NULL"/>
    <x v="2"/>
  </r>
  <r>
    <s v="31CMAH0000000000R162304840071020"/>
    <s v="NULL"/>
    <x v="1"/>
  </r>
  <r>
    <s v="31CMAH0000000000R162304880044030"/>
    <s v="NULL"/>
    <x v="1"/>
  </r>
  <r>
    <s v="31CMAH0000000000R262304840020020"/>
    <s v="NULL"/>
    <x v="1"/>
  </r>
  <r>
    <s v="31CMAH0000000000R599904815306540"/>
    <s v="NULL"/>
    <x v="1"/>
  </r>
  <r>
    <s v="31CMAH0000000000R962304820163410"/>
    <s v="NULL"/>
    <x v="1"/>
  </r>
  <r>
    <s v="31CMAH0000000000R962304820254330"/>
    <s v="NULL"/>
    <x v="1"/>
  </r>
  <r>
    <s v="31CMAH0000000000R962304820340440"/>
    <s v="NULL"/>
    <x v="1"/>
  </r>
  <r>
    <s v="31CMAH0000000000R962304820373100"/>
    <s v="NULL"/>
    <x v="1"/>
  </r>
  <r>
    <s v="31CMAH0000000000R962304820394290"/>
    <s v="NULL"/>
    <x v="1"/>
  </r>
  <r>
    <s v="82000000000153940000450000532666"/>
    <s v="NULL"/>
    <x v="3"/>
  </r>
  <r>
    <s v="82000000007000136000200000642311"/>
    <s v="NULL"/>
    <x v="3"/>
  </r>
  <r>
    <s v="82000000007000988000200000643411"/>
    <s v="NULL"/>
    <x v="3"/>
  </r>
  <r>
    <s v="82000000007003902000200000646635"/>
    <s v="NULL"/>
    <x v="3"/>
  </r>
  <r>
    <s v="82000000007011501000200000681068"/>
    <s v="NULL"/>
    <x v="3"/>
  </r>
  <r>
    <s v="89CMAH2022000041R001520220603045"/>
    <s v="NULL"/>
    <x v="1"/>
  </r>
  <r>
    <s v="89CMAH2022000041R001520230085844"/>
    <s v="NULL"/>
    <x v="1"/>
  </r>
  <r>
    <s v="89CMAH2022000041R001520230086268"/>
    <s v="NULL"/>
    <x v="1"/>
  </r>
  <r>
    <s v="89CMAH2022000041R001520230145030"/>
    <s v="NULL"/>
    <x v="1"/>
  </r>
  <r>
    <s v="89CMAH2022000041R001520230177937"/>
    <s v="NULL"/>
    <x v="1"/>
  </r>
  <r>
    <s v="89CMAH2022000041R001520230177958"/>
    <s v="NULL"/>
    <x v="1"/>
  </r>
  <r>
    <s v="89CMAH2022000041R001520230178063"/>
    <s v="NULL"/>
    <x v="1"/>
  </r>
  <r>
    <s v="89CMAH2022000041R001520230178580"/>
    <s v="NULL"/>
    <x v="1"/>
  </r>
  <r>
    <s v="89CMAH2022000041R001520230178613"/>
    <s v="NULL"/>
    <x v="1"/>
  </r>
  <r>
    <s v="89CMAH2022000041R001520230234100"/>
    <s v="NULL"/>
    <x v="1"/>
  </r>
  <r>
    <s v="89CMAH2022000041R001520230234174"/>
    <s v="NULL"/>
    <x v="1"/>
  </r>
  <r>
    <s v="89CMAH2022000041R001520230234215"/>
    <s v="NULL"/>
    <x v="1"/>
  </r>
  <r>
    <s v="89CMAH2022000041R001520230234348"/>
    <s v="NULL"/>
    <x v="1"/>
  </r>
  <r>
    <s v="89CMAH2022000041R001520230234404"/>
    <s v="NULL"/>
    <x v="1"/>
  </r>
  <r>
    <s v="89CMAH2022000041R001520230234465"/>
    <s v="NULL"/>
    <x v="1"/>
  </r>
  <r>
    <s v="89CMAH2022000041R001520230234477"/>
    <s v="NULL"/>
    <x v="1"/>
  </r>
  <r>
    <s v="89CMAH2022000041R001520230234502"/>
    <s v="NULL"/>
    <x v="1"/>
  </r>
  <r>
    <s v="89CMAH2022000041R001520230234530"/>
    <s v="NULL"/>
    <x v="1"/>
  </r>
  <r>
    <s v="89CMAH2022000041R001520230234711"/>
    <s v="NULL"/>
    <x v="1"/>
  </r>
  <r>
    <s v="89CMAH2022000041R001520230289282"/>
    <s v="NULL"/>
    <x v="1"/>
  </r>
  <r>
    <s v="89CMAH2022000041R001520230289285"/>
    <s v="NULL"/>
    <x v="1"/>
  </r>
  <r>
    <s v="89CMAH2022000041R001520230289453"/>
    <s v="NULL"/>
    <x v="1"/>
  </r>
  <r>
    <s v="89CMAH2022000041R001520230289528"/>
    <s v="NULL"/>
    <x v="1"/>
  </r>
  <r>
    <s v="89CMAH2022000041R001520230289555"/>
    <s v="NULL"/>
    <x v="1"/>
  </r>
  <r>
    <s v="89CMAH2022000041R001520230289568"/>
    <s v="NULL"/>
    <x v="1"/>
  </r>
  <r>
    <s v="89CMAH2022000041R001520230289618"/>
    <s v="NULL"/>
    <x v="1"/>
  </r>
  <r>
    <s v="89CMAH2022000041R001520230289635"/>
    <s v="NULL"/>
    <x v="1"/>
  </r>
  <r>
    <s v="89CMAH2022000041R001520230289779"/>
    <s v="NULL"/>
    <x v="1"/>
  </r>
  <r>
    <s v="89CMAH2022000041R001520230289795"/>
    <s v="NULL"/>
    <x v="1"/>
  </r>
  <r>
    <s v="89CMAH2022000041R001520230289879"/>
    <s v="NULL"/>
    <x v="1"/>
  </r>
  <r>
    <s v="89CMAH2022000041R001520230289894"/>
    <s v="NULL"/>
    <x v="1"/>
  </r>
  <r>
    <s v="89CMAH2022000041R001520230289932"/>
    <s v="NULL"/>
    <x v="1"/>
  </r>
  <r>
    <s v="89CMAH2022000041R001520230290010"/>
    <s v="NULL"/>
    <x v="1"/>
  </r>
  <r>
    <s v="89CMAH2022000041R001520230290102"/>
    <s v="NULL"/>
    <x v="1"/>
  </r>
  <r>
    <s v="89CMAH2022000041R001520230290108"/>
    <s v="NULL"/>
    <x v="1"/>
  </r>
  <r>
    <s v="89CMAH2022000041R001520230290156"/>
    <s v="NULL"/>
    <x v="1"/>
  </r>
  <r>
    <s v="89CMAH2022000041R001520230290236"/>
    <s v="NULL"/>
    <x v="1"/>
  </r>
  <r>
    <s v="89CMAH2022000041R001520230290336"/>
    <s v="NULL"/>
    <x v="1"/>
  </r>
  <r>
    <s v="89CMAH2022000041R001520230290396"/>
    <s v="NULL"/>
    <x v="1"/>
  </r>
  <r>
    <s v="89CMAH2022000041R001520230290399"/>
    <s v="NULL"/>
    <x v="1"/>
  </r>
  <r>
    <s v="89CMAH2022000041R001520230290585"/>
    <s v="NULL"/>
    <x v="1"/>
  </r>
  <r>
    <s v="89CMAH2022000041R001520230290594"/>
    <s v="NULL"/>
    <x v="1"/>
  </r>
  <r>
    <s v="89CMAH2022000041R001520230290601"/>
    <s v="NULL"/>
    <x v="1"/>
  </r>
  <r>
    <s v="89CMAH2022000041R001520230290731"/>
    <s v="NULL"/>
    <x v="1"/>
  </r>
  <r>
    <s v="89CMAH2022000041R001520230290755"/>
    <s v="NULL"/>
    <x v="1"/>
  </r>
  <r>
    <s v="89CMAH2022000041R001520230290764"/>
    <s v="NULL"/>
    <x v="1"/>
  </r>
  <r>
    <s v="89CMAH2022000041R001520230290805"/>
    <s v="NULL"/>
    <x v="1"/>
  </r>
  <r>
    <s v="89CMAH2022000041R001520230290806"/>
    <s v="NULL"/>
    <x v="1"/>
  </r>
  <r>
    <s v="89CMAH2022000041R001520230290809"/>
    <s v="NULL"/>
    <x v="1"/>
  </r>
  <r>
    <s v="89CMAH2022000041R001520230290864"/>
    <s v="NULL"/>
    <x v="1"/>
  </r>
  <r>
    <s v="SNCN00000112"/>
    <s v="NULL"/>
    <x v="0"/>
  </r>
  <r>
    <s v="SNCN00000121"/>
    <s v="NULL"/>
    <x v="0"/>
  </r>
  <r>
    <s v="SNCN00000148"/>
    <s v="NULL"/>
    <x v="0"/>
  </r>
  <r>
    <s v="SNCN00000220"/>
    <s v="NULL"/>
    <x v="0"/>
  </r>
  <r>
    <s v="SNCN00000236"/>
    <s v="NULL"/>
    <x v="0"/>
  </r>
  <r>
    <s v="SNCN00000311"/>
    <s v="NULL"/>
    <x v="0"/>
  </r>
  <r>
    <s v="SNCN00000336"/>
    <s v="NULL"/>
    <x v="0"/>
  </r>
  <r>
    <s v="SNCN00000423"/>
    <s v="NULL"/>
    <x v="0"/>
  </r>
  <r>
    <s v="SNCN00000861"/>
    <s v="NULL"/>
    <x v="0"/>
  </r>
  <r>
    <s v="SNCN00000866"/>
    <s v="NULL"/>
    <x v="0"/>
  </r>
  <r>
    <s v="SNCN00000926"/>
    <s v="NULL"/>
    <x v="0"/>
  </r>
  <r>
    <s v="SNCN00000954"/>
    <s v="NULL"/>
    <x v="0"/>
  </r>
  <r>
    <s v="31CMAH0000000000R262304840019270"/>
    <s v="NULL"/>
    <x v="1"/>
  </r>
  <r>
    <s v="31CMAH0000000000R262304840019610"/>
    <s v="NULL"/>
    <x v="1"/>
  </r>
  <r>
    <s v="31CMAH0000000000R262304840021030"/>
    <s v="NULL"/>
    <x v="1"/>
  </r>
  <r>
    <s v="31CMAH0000000000R962304820177650"/>
    <s v="NULL"/>
    <x v="1"/>
  </r>
  <r>
    <s v="31CMAH0000000000R962304820405670"/>
    <s v="NULL"/>
    <x v="1"/>
  </r>
  <r>
    <s v="31CMAH0000000000R962304870356080"/>
    <s v="NULL"/>
    <x v="1"/>
  </r>
  <r>
    <s v="31CMAH22222996020000000000000000"/>
    <s v="NULL"/>
    <x v="1"/>
  </r>
  <r>
    <s v="31CMAHenergyS1xS2OVER1ENFGDRST0G"/>
    <s v="NULL"/>
    <x v="1"/>
  </r>
  <r>
    <s v="82000000000126917000450000426454"/>
    <s v="NULL"/>
    <x v="3"/>
  </r>
  <r>
    <s v="31CMAH0000000000R162304880071650"/>
    <s v="NULL"/>
    <x v="1"/>
  </r>
  <r>
    <s v="31CMAH0000000000R262304840017920"/>
    <s v="NULL"/>
    <x v="1"/>
  </r>
  <r>
    <s v="31CMAH0000000000R262304840019810"/>
    <s v="NULL"/>
    <x v="1"/>
  </r>
  <r>
    <s v="31CMAH0000000000R962304820154140"/>
    <s v="NULL"/>
    <x v="1"/>
  </r>
  <r>
    <s v="31CMAH0000000000R962304820252720"/>
    <s v="NULL"/>
    <x v="1"/>
  </r>
  <r>
    <s v="31CMAH0000000000R962304820306080"/>
    <s v="NULL"/>
    <x v="1"/>
  </r>
  <r>
    <s v="31CMAH0000000000R962304820370880"/>
    <s v="NULL"/>
    <x v="1"/>
  </r>
  <r>
    <s v="31CMAH0000000000R962304880360060"/>
    <s v="NULL"/>
    <x v="1"/>
  </r>
  <r>
    <s v="82000000000110505000420000416255"/>
    <s v="NULL"/>
    <x v="3"/>
  </r>
  <r>
    <s v="31CMAH0000000000R262304820024990"/>
    <s v="NULL"/>
    <x v="1"/>
  </r>
  <r>
    <s v="31CMAH0000000000R962304820275080"/>
    <s v="NULL"/>
    <x v="1"/>
  </r>
  <r>
    <s v="31CMAH0000000000R962304820341100"/>
    <s v="NULL"/>
    <x v="1"/>
  </r>
  <r>
    <s v="31CMAH0000000000R962304820376940"/>
    <s v="NULL"/>
    <x v="1"/>
  </r>
  <r>
    <s v="31CMAH0000000000R962304820378990"/>
    <s v="NULL"/>
    <x v="1"/>
  </r>
  <r>
    <s v="31CMAH0000000000R962304820399860"/>
    <s v="NULL"/>
    <x v="1"/>
  </r>
  <r>
    <s v="31CMAH0000000000R962304820409450"/>
    <s v="NULL"/>
    <x v="1"/>
  </r>
  <r>
    <s v="31CMAH0000000000R262304820009380"/>
    <s v="NULL"/>
    <x v="1"/>
  </r>
  <r>
    <s v="31CMAH0000000000R262304820026620"/>
    <s v="NULL"/>
    <x v="1"/>
  </r>
  <r>
    <s v="31CMAH0000000000R262304840026320"/>
    <s v="NULL"/>
    <x v="1"/>
  </r>
  <r>
    <s v="31CMAH0000000000R362304820959710"/>
    <s v="NULL"/>
    <x v="1"/>
  </r>
  <r>
    <s v="31CMAH0000000000R962304820267450"/>
    <s v="NULL"/>
    <x v="1"/>
  </r>
  <r>
    <s v="31CMAH0000000000R962304820287070"/>
    <s v="NULL"/>
    <x v="1"/>
  </r>
  <r>
    <s v="31CMAH0000000000R962304820340160"/>
    <s v="NULL"/>
    <x v="1"/>
  </r>
  <r>
    <s v="31CMAH0000000000R962304820400490"/>
    <s v="NULL"/>
    <x v="1"/>
  </r>
  <r>
    <s v="31CMAH0000000000R962304820409480"/>
    <s v="NULL"/>
    <x v="1"/>
  </r>
  <r>
    <s v="82000000005051764000510000539884"/>
    <s v="NULL"/>
    <x v="3"/>
  </r>
  <r>
    <s v="82000000007001809000200000644022"/>
    <s v="NULL"/>
    <x v="3"/>
  </r>
  <r>
    <s v="82000000007003917000200000646647"/>
    <s v="NULL"/>
    <x v="3"/>
  </r>
  <r>
    <s v="82000000007011054000200000679688"/>
    <s v="NULL"/>
    <x v="3"/>
  </r>
  <r>
    <s v="82000000007014082000200000699415"/>
    <s v="NULL"/>
    <x v="3"/>
  </r>
  <r>
    <s v="82000000007017945000200000761225"/>
    <s v="NULL"/>
    <x v="3"/>
  </r>
  <r>
    <s v="82000000007000278000200000642324"/>
    <s v="NULL"/>
    <x v="3"/>
  </r>
  <r>
    <s v="82000000007000366000200000642347"/>
    <s v="NULL"/>
    <x v="3"/>
  </r>
  <r>
    <s v="82000000007001724000200000643953"/>
    <s v="NULL"/>
    <x v="3"/>
  </r>
  <r>
    <s v="82000000007004499000200000646460"/>
    <s v="NULL"/>
    <x v="3"/>
  </r>
  <r>
    <s v="82000000007007259000200000652691"/>
    <s v="NULL"/>
    <x v="3"/>
  </r>
  <r>
    <s v="82000000007008452000200000504772"/>
    <s v="NULL"/>
    <x v="3"/>
  </r>
  <r>
    <s v="82000000001101741000430000500573"/>
    <s v="NULL"/>
    <x v="3"/>
  </r>
  <r>
    <s v="82000000007001033000200000643474"/>
    <s v="NULL"/>
    <x v="3"/>
  </r>
  <r>
    <s v="82000000007001754000200000644039"/>
    <s v="NULL"/>
    <x v="3"/>
  </r>
  <r>
    <s v="82000000007002558000200000504441"/>
    <s v="NULL"/>
    <x v="3"/>
  </r>
  <r>
    <s v="82000000007004029000200000646697"/>
    <s v="NULL"/>
    <x v="3"/>
  </r>
  <r>
    <s v="82000000007011475000200000680485"/>
    <s v="NULL"/>
    <x v="3"/>
  </r>
  <r>
    <s v="82000000007012882000200000686599"/>
    <s v="NULL"/>
    <x v="3"/>
  </r>
  <r>
    <s v="82000000007014057000200000647586"/>
    <s v="NULL"/>
    <x v="3"/>
  </r>
  <r>
    <s v="8200000000701446500Y200000482336"/>
    <s v="NULL"/>
    <x v="3"/>
  </r>
  <r>
    <s v="82000000000980843000420000323920"/>
    <s v="NULL"/>
    <x v="3"/>
  </r>
  <r>
    <s v="82000000007000343000200000642336"/>
    <s v="NULL"/>
    <x v="3"/>
  </r>
  <r>
    <s v="82000000007000621000200000642974"/>
    <s v="NULL"/>
    <x v="3"/>
  </r>
  <r>
    <s v="82000000007001349000200000885934"/>
    <s v="NULL"/>
    <x v="3"/>
  </r>
  <r>
    <s v="82000000007001421000200000515327"/>
    <s v="NULL"/>
    <x v="3"/>
  </r>
  <r>
    <s v="82000000007001486000200000539668"/>
    <s v="NULL"/>
    <x v="3"/>
  </r>
  <r>
    <s v="82000000007002457000200000644695"/>
    <s v="NULL"/>
    <x v="3"/>
  </r>
  <r>
    <s v="82000000007005772000200000648727"/>
    <s v="NULL"/>
    <x v="3"/>
  </r>
  <r>
    <s v="82000000007010570000200000677718"/>
    <s v="NULL"/>
    <x v="3"/>
  </r>
  <r>
    <s v="82000000007011531000200000681021"/>
    <s v="NULL"/>
    <x v="3"/>
  </r>
  <r>
    <s v="82000000007011922000200000680257"/>
    <s v="NULL"/>
    <x v="3"/>
  </r>
  <r>
    <s v="82000000007012164000200000680448"/>
    <s v="NULL"/>
    <x v="3"/>
  </r>
  <r>
    <s v="89CMAH2022000041R001520230177993"/>
    <s v="NULL"/>
    <x v="1"/>
  </r>
  <r>
    <s v="89CMAH2022000041R001520230177998"/>
    <s v="NULL"/>
    <x v="1"/>
  </r>
  <r>
    <s v="89CMAH2022000041R001520230178020"/>
    <s v="NULL"/>
    <x v="1"/>
  </r>
  <r>
    <s v="89CMAH2022000041R001520230178095"/>
    <s v="NULL"/>
    <x v="1"/>
  </r>
  <r>
    <s v="89CMAH2022000041R001520230178454"/>
    <s v="NULL"/>
    <x v="1"/>
  </r>
  <r>
    <s v="89CMAH2022000041R001520230178466"/>
    <s v="NULL"/>
    <x v="1"/>
  </r>
  <r>
    <s v="89CMAH2022000041R001520230178628"/>
    <s v="NULL"/>
    <x v="1"/>
  </r>
  <r>
    <s v="89CMAH2022000041R001520230233976"/>
    <s v="NULL"/>
    <x v="1"/>
  </r>
  <r>
    <s v="89CMAH2022000041R001520230234235"/>
    <s v="NULL"/>
    <x v="1"/>
  </r>
  <r>
    <s v="89CMAH2022000041R001520230234244"/>
    <s v="NULL"/>
    <x v="1"/>
  </r>
  <r>
    <s v="89CMAH2022000041R001520230234250"/>
    <s v="NULL"/>
    <x v="1"/>
  </r>
  <r>
    <s v="89CMAH2022000041R001520230234479"/>
    <s v="NULL"/>
    <x v="1"/>
  </r>
  <r>
    <s v="89CMAH2022000041R001520230234546"/>
    <s v="NULL"/>
    <x v="1"/>
  </r>
  <r>
    <s v="89CMAH2022000041R001520230234704"/>
    <s v="NULL"/>
    <x v="1"/>
  </r>
  <r>
    <s v="89CMAH2022000041R001520230289309"/>
    <s v="NULL"/>
    <x v="1"/>
  </r>
  <r>
    <s v="89CMAH2022000041R001520230289319"/>
    <s v="NULL"/>
    <x v="1"/>
  </r>
  <r>
    <s v="89CMAH2022000041R001520230289346"/>
    <s v="NULL"/>
    <x v="1"/>
  </r>
  <r>
    <s v="89CMAH2022000041R001520230289425"/>
    <s v="NULL"/>
    <x v="1"/>
  </r>
  <r>
    <s v="89CMAH2022000041R001520230289473"/>
    <s v="NULL"/>
    <x v="1"/>
  </r>
  <r>
    <s v="89CMAH2022000041R001520230289485"/>
    <s v="NULL"/>
    <x v="1"/>
  </r>
  <r>
    <s v="89CMAH2022000041R001520230289534"/>
    <s v="NULL"/>
    <x v="1"/>
  </r>
  <r>
    <s v="89CMAH2022000041R001520230289587"/>
    <s v="NULL"/>
    <x v="1"/>
  </r>
  <r>
    <s v="89CMAH2022000041R001520230289621"/>
    <s v="NULL"/>
    <x v="1"/>
  </r>
  <r>
    <s v="89CMAH2022000041R001520230289624"/>
    <s v="NULL"/>
    <x v="1"/>
  </r>
  <r>
    <s v="89CMAH2022000041R001520230289654"/>
    <s v="NULL"/>
    <x v="1"/>
  </r>
  <r>
    <s v="89CMAH2022000041R001520230289699"/>
    <s v="NULL"/>
    <x v="1"/>
  </r>
  <r>
    <s v="89CMAH2022000041R001520230289822"/>
    <s v="NULL"/>
    <x v="1"/>
  </r>
  <r>
    <s v="89CMAH2022000041R001520230289839"/>
    <s v="NULL"/>
    <x v="1"/>
  </r>
  <r>
    <s v="89CMAH2022000041R001520230289857"/>
    <s v="NULL"/>
    <x v="1"/>
  </r>
  <r>
    <s v="89CMAH2022000041R001520230289880"/>
    <s v="NULL"/>
    <x v="1"/>
  </r>
  <r>
    <s v="89CMAH2022000041R001520230290026"/>
    <s v="NULL"/>
    <x v="1"/>
  </r>
  <r>
    <s v="89CMAH2022000041R001520230290066"/>
    <s v="NULL"/>
    <x v="1"/>
  </r>
  <r>
    <s v="89CMAH2022000041R001520230290110"/>
    <s v="NULL"/>
    <x v="1"/>
  </r>
  <r>
    <s v="89CMAH2022000041R001520230290124"/>
    <s v="NULL"/>
    <x v="1"/>
  </r>
  <r>
    <s v="89CMAH2022000041R001520230290139"/>
    <s v="NULL"/>
    <x v="1"/>
  </r>
  <r>
    <s v="89CMAH2022000041R001520230290198"/>
    <s v="NULL"/>
    <x v="1"/>
  </r>
  <r>
    <s v="89CMAH2022000041R001520230290364"/>
    <s v="NULL"/>
    <x v="1"/>
  </r>
  <r>
    <s v="89CMAH2022000041R001520230290395"/>
    <s v="NULL"/>
    <x v="1"/>
  </r>
  <r>
    <s v="89CMAH2022000041R001520230290583"/>
    <s v="NULL"/>
    <x v="1"/>
  </r>
  <r>
    <s v="89CMAH2022000041R001520230290612"/>
    <s v="NULL"/>
    <x v="1"/>
  </r>
  <r>
    <s v="89CMAH2022000041R001520230290834"/>
    <s v="NULL"/>
    <x v="1"/>
  </r>
  <r>
    <s v="89CMAH2022000041R001520230290897"/>
    <s v="NULL"/>
    <x v="1"/>
  </r>
  <r>
    <s v="89CMAH2022000041R001520230290904"/>
    <s v="NULL"/>
    <x v="1"/>
  </r>
  <r>
    <s v="SNCN00000050"/>
    <s v="NULL"/>
    <x v="0"/>
  </r>
  <r>
    <s v="SNCN00000062"/>
    <s v="NULL"/>
    <x v="0"/>
  </r>
  <r>
    <s v="SNCN00000223"/>
    <s v="NULL"/>
    <x v="0"/>
  </r>
  <r>
    <s v="SNCN00000253"/>
    <s v="NULL"/>
    <x v="0"/>
  </r>
  <r>
    <s v="SNCN00000417"/>
    <s v="NULL"/>
    <x v="0"/>
  </r>
  <r>
    <s v="SNCN00000891"/>
    <s v="NULL"/>
    <x v="0"/>
  </r>
  <r>
    <s v="SNCN00000929"/>
    <s v="NULL"/>
    <x v="0"/>
  </r>
  <r>
    <s v="89CMAH2022000041R001520220603892"/>
    <s v="NULL"/>
    <x v="1"/>
  </r>
  <r>
    <s v="89CMAH2022000041R001520230039285"/>
    <s v="NULL"/>
    <x v="1"/>
  </r>
  <r>
    <s v="89CMAH2022000041R001520230086161"/>
    <s v="NULL"/>
    <x v="1"/>
  </r>
  <r>
    <s v="89CMAH2022000041R001520230144899"/>
    <s v="NULL"/>
    <x v="1"/>
  </r>
  <r>
    <s v="89CMAH2022000041R001520230145033"/>
    <s v="NULL"/>
    <x v="1"/>
  </r>
  <r>
    <s v="89CMAH2022000041R001520230178123"/>
    <s v="NULL"/>
    <x v="1"/>
  </r>
  <r>
    <s v="89CMAH2022000041R001520230178131"/>
    <s v="NULL"/>
    <x v="1"/>
  </r>
  <r>
    <s v="89CMAH2022000041R001520230178271"/>
    <s v="NULL"/>
    <x v="1"/>
  </r>
  <r>
    <s v="89CMAH2022000041R001520230178397"/>
    <s v="NULL"/>
    <x v="1"/>
  </r>
  <r>
    <s v="89CMAH2022000041R001520230178561"/>
    <s v="NULL"/>
    <x v="1"/>
  </r>
  <r>
    <s v="89CMAH2022000041R001520230178603"/>
    <s v="NULL"/>
    <x v="1"/>
  </r>
  <r>
    <s v="89CMAH2022000041R001520230178643"/>
    <s v="NULL"/>
    <x v="1"/>
  </r>
  <r>
    <s v="89CMAH2022000041R001520230233980"/>
    <s v="NULL"/>
    <x v="1"/>
  </r>
  <r>
    <s v="89CMAH2022000041R001520230234118"/>
    <s v="NULL"/>
    <x v="1"/>
  </r>
  <r>
    <s v="89CMAH2022000041R001520230234289"/>
    <s v="NULL"/>
    <x v="1"/>
  </r>
  <r>
    <s v="89CMAH2022000041R001520230234415"/>
    <s v="NULL"/>
    <x v="1"/>
  </r>
  <r>
    <s v="89CMAH2022000041R001520230234425"/>
    <s v="NULL"/>
    <x v="1"/>
  </r>
  <r>
    <s v="89CMAH2022000041R001520230234486"/>
    <s v="NULL"/>
    <x v="1"/>
  </r>
  <r>
    <s v="89CMAH2022000041R001520230234519"/>
    <s v="NULL"/>
    <x v="1"/>
  </r>
  <r>
    <s v="89CMAH2022000041R001520230234537"/>
    <s v="NULL"/>
    <x v="1"/>
  </r>
  <r>
    <s v="89CMAH2022000041R001520230234667"/>
    <s v="NULL"/>
    <x v="1"/>
  </r>
  <r>
    <s v="89CMAH2022000041R001520230289304"/>
    <s v="NULL"/>
    <x v="1"/>
  </r>
  <r>
    <s v="89CMAH2022000041R001520230289365"/>
    <s v="NULL"/>
    <x v="1"/>
  </r>
  <r>
    <s v="89CMAH2022000041R001520230289407"/>
    <s v="NULL"/>
    <x v="1"/>
  </r>
  <r>
    <s v="89CMAH2022000041R001520230289444"/>
    <s v="NULL"/>
    <x v="1"/>
  </r>
  <r>
    <s v="89CMAH2022000041R001520230289474"/>
    <s v="NULL"/>
    <x v="1"/>
  </r>
  <r>
    <s v="89CMAH2022000041R001520230289476"/>
    <s v="NULL"/>
    <x v="1"/>
  </r>
  <r>
    <s v="89CMAH2022000041R001520230289541"/>
    <s v="NULL"/>
    <x v="1"/>
  </r>
  <r>
    <s v="89CMAH2022000041R001520230289756"/>
    <s v="NULL"/>
    <x v="1"/>
  </r>
  <r>
    <s v="89CMAH2022000041R001520230289806"/>
    <s v="NULL"/>
    <x v="1"/>
  </r>
  <r>
    <s v="89CMAH2022000041R001520230289829"/>
    <s v="NULL"/>
    <x v="1"/>
  </r>
  <r>
    <s v="89CMAH2022000041R001520230289843"/>
    <s v="NULL"/>
    <x v="1"/>
  </r>
  <r>
    <s v="89CMAH2022000041R001520230289876"/>
    <s v="NULL"/>
    <x v="1"/>
  </r>
  <r>
    <s v="89CMAH2022000041R001520230290030"/>
    <s v="NULL"/>
    <x v="1"/>
  </r>
  <r>
    <s v="89CMAH2022000041R001520230290037"/>
    <s v="NULL"/>
    <x v="1"/>
  </r>
  <r>
    <s v="89CMAH2022000041R001520230290053"/>
    <s v="NULL"/>
    <x v="1"/>
  </r>
  <r>
    <s v="89CMAH2022000041R001520230290095"/>
    <s v="NULL"/>
    <x v="1"/>
  </r>
  <r>
    <s v="89CMAH2022000041R001520230290134"/>
    <s v="NULL"/>
    <x v="1"/>
  </r>
  <r>
    <s v="89CMAH2022000041R001520230290235"/>
    <s v="NULL"/>
    <x v="1"/>
  </r>
  <r>
    <s v="89CMAH2022000041R001520230290302"/>
    <s v="NULL"/>
    <x v="1"/>
  </r>
  <r>
    <s v="89CMAH2022000041R001520230290304"/>
    <s v="NULL"/>
    <x v="1"/>
  </r>
  <r>
    <s v="89CMAH2022000041R001520230290322"/>
    <s v="NULL"/>
    <x v="1"/>
  </r>
  <r>
    <s v="89CMAH2022000041R001520230290343"/>
    <s v="NULL"/>
    <x v="1"/>
  </r>
  <r>
    <s v="89CMAH2022000041R001520230290406"/>
    <s v="NULL"/>
    <x v="1"/>
  </r>
  <r>
    <s v="89CMAH2022000041R001520230290417"/>
    <s v="NULL"/>
    <x v="1"/>
  </r>
  <r>
    <s v="89CMAH2022000041R001520230290436"/>
    <s v="NULL"/>
    <x v="1"/>
  </r>
  <r>
    <s v="89CMAH2022000041R001520230290466"/>
    <s v="NULL"/>
    <x v="1"/>
  </r>
  <r>
    <s v="89CMAH2022000041R001520230290531"/>
    <s v="NULL"/>
    <x v="1"/>
  </r>
  <r>
    <s v="89CMAH2022000041R001520230290539"/>
    <s v="NULL"/>
    <x v="1"/>
  </r>
  <r>
    <s v="89CMAH2022000041R001520230290555"/>
    <s v="NULL"/>
    <x v="1"/>
  </r>
  <r>
    <s v="89CMAH2022000041R001520230290600"/>
    <s v="NULL"/>
    <x v="1"/>
  </r>
  <r>
    <s v="89CMAH2022000041R001520230290707"/>
    <s v="NULL"/>
    <x v="1"/>
  </r>
  <r>
    <s v="89CMAH2022000041R001520230290720"/>
    <s v="NULL"/>
    <x v="1"/>
  </r>
  <r>
    <s v="89CMAH2022000041R001520230290773"/>
    <s v="NULL"/>
    <x v="1"/>
  </r>
  <r>
    <s v="89CMAH2022000041R001520230290780"/>
    <s v="NULL"/>
    <x v="1"/>
  </r>
  <r>
    <s v="89CMAH2022000041R001520230290883"/>
    <s v="NULL"/>
    <x v="1"/>
  </r>
  <r>
    <s v="SNCN00000117"/>
    <s v="NULL"/>
    <x v="0"/>
  </r>
  <r>
    <s v="SNCN00000438"/>
    <s v="NULL"/>
    <x v="0"/>
  </r>
  <r>
    <s v="SNCN00000627"/>
    <s v="NULL"/>
    <x v="0"/>
  </r>
  <r>
    <s v="SNCN00000920"/>
    <s v="NULL"/>
    <x v="0"/>
  </r>
  <r>
    <s v="31CMAH0000000000R599904815306350"/>
    <s v="NULL"/>
    <x v="1"/>
  </r>
  <r>
    <s v="31CMAH0000000000R962304820251290"/>
    <s v="NULL"/>
    <x v="1"/>
  </r>
  <r>
    <s v="31CMAH0000000000R962304820272590"/>
    <s v="NULL"/>
    <x v="1"/>
  </r>
  <r>
    <s v="31CMAH0000000000R962304820307860"/>
    <s v="NULL"/>
    <x v="1"/>
  </r>
  <r>
    <s v="31CMAH0000000000R962304820365800"/>
    <s v="NULL"/>
    <x v="1"/>
  </r>
  <r>
    <s v="31CMAH0000000000R962304820385020"/>
    <s v="NULL"/>
    <x v="1"/>
  </r>
  <r>
    <s v="31CMAH0000000000R962304870323050"/>
    <s v="NULL"/>
    <x v="1"/>
  </r>
  <r>
    <s v="31CMAHFDRESOLUCAO000000000000000"/>
    <s v="NULL"/>
    <x v="1"/>
  </r>
  <r>
    <s v="31CMAHFGDEPOSITOS000000000000000"/>
    <s v="NULL"/>
    <x v="1"/>
  </r>
  <r>
    <s v="82000000000116807000450000105698"/>
    <s v="NULL"/>
    <x v="3"/>
  </r>
  <r>
    <s v="89CMAH2022000041R001520230039414"/>
    <s v="NULL"/>
    <x v="1"/>
  </r>
  <r>
    <s v="89CMAH2022000041R001520230040123"/>
    <s v="NULL"/>
    <x v="1"/>
  </r>
  <r>
    <s v="89CMAH2022000041R001520230085528"/>
    <s v="NULL"/>
    <x v="1"/>
  </r>
  <r>
    <s v="89CMAH2022000041R001520230085777"/>
    <s v="NULL"/>
    <x v="1"/>
  </r>
  <r>
    <s v="89CMAH2022000041R001520230085860"/>
    <s v="NULL"/>
    <x v="1"/>
  </r>
  <r>
    <s v="89CMAH2022000041R001520230086051"/>
    <s v="NULL"/>
    <x v="1"/>
  </r>
  <r>
    <s v="89CMAH2022000041R001520230144812"/>
    <s v="NULL"/>
    <x v="1"/>
  </r>
  <r>
    <s v="89CMAH2022000041R001520230144893"/>
    <s v="NULL"/>
    <x v="1"/>
  </r>
  <r>
    <s v="89CMAH2022000041R001520230145032"/>
    <s v="NULL"/>
    <x v="1"/>
  </r>
  <r>
    <s v="89CMAH2022000041R001520230178054"/>
    <s v="NULL"/>
    <x v="1"/>
  </r>
  <r>
    <s v="89CMAH2022000041R001520230178114"/>
    <s v="NULL"/>
    <x v="1"/>
  </r>
  <r>
    <s v="89CMAH2022000041R001520230178165"/>
    <s v="NULL"/>
    <x v="1"/>
  </r>
  <r>
    <s v="89CMAH2022000041R001520230178263"/>
    <s v="NULL"/>
    <x v="1"/>
  </r>
  <r>
    <s v="89CMAH2022000041R001520230178286"/>
    <s v="NULL"/>
    <x v="1"/>
  </r>
  <r>
    <s v="89CMAH2022000041R001520230178612"/>
    <s v="NULL"/>
    <x v="1"/>
  </r>
  <r>
    <s v="89CMAH2022000041R001520230233998"/>
    <s v="NULL"/>
    <x v="1"/>
  </r>
  <r>
    <s v="89CMAH2022000041R001520230234009"/>
    <s v="NULL"/>
    <x v="1"/>
  </r>
  <r>
    <s v="89CMAH2022000041R001520230234031"/>
    <s v="NULL"/>
    <x v="1"/>
  </r>
  <r>
    <s v="89CMAH2022000041R001520230234114"/>
    <s v="NULL"/>
    <x v="1"/>
  </r>
  <r>
    <s v="89CMAH2022000041R001520230234211"/>
    <s v="NULL"/>
    <x v="1"/>
  </r>
  <r>
    <s v="89CMAH2022000041R001520230234337"/>
    <s v="NULL"/>
    <x v="1"/>
  </r>
  <r>
    <s v="89CMAH2022000041R001520230234367"/>
    <s v="NULL"/>
    <x v="1"/>
  </r>
  <r>
    <s v="89CMAH2022000041R001520230234578"/>
    <s v="NULL"/>
    <x v="1"/>
  </r>
  <r>
    <s v="89CMAH2022000041R001520230234602"/>
    <s v="NULL"/>
    <x v="1"/>
  </r>
  <r>
    <s v="89CMAH2022000041R001520230289280"/>
    <s v="NULL"/>
    <x v="1"/>
  </r>
  <r>
    <s v="89CMAH2022000041R001520230289348"/>
    <s v="NULL"/>
    <x v="1"/>
  </r>
  <r>
    <s v="89CMAH2022000041R001520230289354"/>
    <s v="NULL"/>
    <x v="1"/>
  </r>
  <r>
    <s v="89CMAH2022000041R001520230289438"/>
    <s v="NULL"/>
    <x v="1"/>
  </r>
  <r>
    <s v="89CMAH2022000041R001520230289489"/>
    <s v="NULL"/>
    <x v="1"/>
  </r>
  <r>
    <s v="89CMAH2022000041R001520230289560"/>
    <s v="NULL"/>
    <x v="1"/>
  </r>
  <r>
    <s v="89CMAH2022000041R001520230289604"/>
    <s v="NULL"/>
    <x v="1"/>
  </r>
  <r>
    <s v="89CMAH2022000041R001520230289667"/>
    <s v="NULL"/>
    <x v="1"/>
  </r>
  <r>
    <s v="89CMAH2022000041R001520230289671"/>
    <s v="NULL"/>
    <x v="1"/>
  </r>
  <r>
    <s v="89CMAH2022000041R001520230289679"/>
    <s v="NULL"/>
    <x v="1"/>
  </r>
  <r>
    <s v="89CMAH2022000041R001520230289696"/>
    <s v="NULL"/>
    <x v="1"/>
  </r>
  <r>
    <s v="89CMAH2022000041R001520230289705"/>
    <s v="NULL"/>
    <x v="1"/>
  </r>
  <r>
    <s v="89CMAH2022000041R001520230289736"/>
    <s v="NULL"/>
    <x v="1"/>
  </r>
  <r>
    <s v="89CMAH2022000041R001520230289776"/>
    <s v="NULL"/>
    <x v="1"/>
  </r>
  <r>
    <s v="89CMAH2022000041R001520230289780"/>
    <s v="NULL"/>
    <x v="1"/>
  </r>
  <r>
    <s v="89CMAH2022000041R001520230289831"/>
    <s v="NULL"/>
    <x v="1"/>
  </r>
  <r>
    <s v="89CMAH2022000041R001520230289855"/>
    <s v="NULL"/>
    <x v="1"/>
  </r>
  <r>
    <s v="89CMAH2022000041R001520230289873"/>
    <s v="NULL"/>
    <x v="1"/>
  </r>
  <r>
    <s v="89CMAH2022000041R001520230289874"/>
    <s v="NULL"/>
    <x v="1"/>
  </r>
  <r>
    <s v="89CMAH2022000041R001520230289924"/>
    <s v="NULL"/>
    <x v="1"/>
  </r>
  <r>
    <s v="89CMAH2022000041R001520230289927"/>
    <s v="NULL"/>
    <x v="1"/>
  </r>
  <r>
    <s v="89CMAH2022000041R001520230289963"/>
    <s v="NULL"/>
    <x v="1"/>
  </r>
  <r>
    <s v="89CMAH2022000041R001520230289981"/>
    <s v="NULL"/>
    <x v="1"/>
  </r>
  <r>
    <s v="89CMAH2022000041R001520230290014"/>
    <s v="NULL"/>
    <x v="1"/>
  </r>
  <r>
    <s v="89CMAH2022000041R001520230290027"/>
    <s v="NULL"/>
    <x v="1"/>
  </r>
  <r>
    <s v="89CMAH2022000041R001520230290073"/>
    <s v="NULL"/>
    <x v="1"/>
  </r>
  <r>
    <s v="89CMAH2022000041R001520230290076"/>
    <s v="NULL"/>
    <x v="1"/>
  </r>
  <r>
    <s v="89CMAH2022000041R001520230290117"/>
    <s v="NULL"/>
    <x v="1"/>
  </r>
  <r>
    <s v="89CMAH2022000041R001520230290165"/>
    <s v="NULL"/>
    <x v="1"/>
  </r>
  <r>
    <s v="89CMAH2022000041R001520230290183"/>
    <s v="NULL"/>
    <x v="1"/>
  </r>
  <r>
    <s v="89CMAH2022000041R001520230290192"/>
    <s v="NULL"/>
    <x v="1"/>
  </r>
  <r>
    <s v="89CMAH2022000041R001520230290207"/>
    <s v="NULL"/>
    <x v="1"/>
  </r>
  <r>
    <s v="89CMAH2022000041R001520230290273"/>
    <s v="NULL"/>
    <x v="1"/>
  </r>
  <r>
    <s v="89CMAH2022000041R001520230290279"/>
    <s v="NULL"/>
    <x v="1"/>
  </r>
  <r>
    <s v="89CMAH2022000041R001520230290314"/>
    <s v="NULL"/>
    <x v="1"/>
  </r>
  <r>
    <s v="89CMAH2022000041R001520230290341"/>
    <s v="NULL"/>
    <x v="1"/>
  </r>
  <r>
    <s v="89CMAH2022000041R001520230290477"/>
    <s v="NULL"/>
    <x v="1"/>
  </r>
  <r>
    <s v="89CMAH2022000041R001520230290623"/>
    <s v="NULL"/>
    <x v="1"/>
  </r>
  <r>
    <s v="89CMAH2022000041R001520230290626"/>
    <s v="NULL"/>
    <x v="1"/>
  </r>
  <r>
    <s v="89CMAH2022000041R001520230290687"/>
    <s v="NULL"/>
    <x v="1"/>
  </r>
  <r>
    <s v="89CMAH2022000041R001520230290761"/>
    <s v="NULL"/>
    <x v="1"/>
  </r>
  <r>
    <s v="89CMAH2022000041R001520230290763"/>
    <s v="NULL"/>
    <x v="1"/>
  </r>
  <r>
    <s v="89CMAH2022000041R001520230290798"/>
    <s v="NULL"/>
    <x v="1"/>
  </r>
  <r>
    <s v="SNCN00000173"/>
    <s v="NULL"/>
    <x v="0"/>
  </r>
  <r>
    <s v="SNCN00000261"/>
    <s v="NULL"/>
    <x v="0"/>
  </r>
  <r>
    <s v="SNCN00000300"/>
    <s v="NULL"/>
    <x v="0"/>
  </r>
  <r>
    <s v="SNCN00000477"/>
    <s v="NULL"/>
    <x v="0"/>
  </r>
  <r>
    <s v="SNCN00000480"/>
    <s v="NULL"/>
    <x v="0"/>
  </r>
  <r>
    <s v="SNCN00000619"/>
    <s v="NULL"/>
    <x v="0"/>
  </r>
  <r>
    <s v="SNCN00000624"/>
    <s v="NULL"/>
    <x v="0"/>
  </r>
  <r>
    <s v="SNCN00000682"/>
    <s v="NULL"/>
    <x v="0"/>
  </r>
  <r>
    <s v="SNCN00000724"/>
    <s v="NULL"/>
    <x v="0"/>
  </r>
  <r>
    <s v="SNCN00000969"/>
    <s v="NULL"/>
    <x v="0"/>
  </r>
  <r>
    <s v="SNCN00000983"/>
    <s v="NULL"/>
    <x v="0"/>
  </r>
  <r>
    <s v="89CMAH2022000041R001520220603915"/>
    <s v="NULL"/>
    <x v="1"/>
  </r>
  <r>
    <s v="89CMAH2022000041R001520230039420"/>
    <s v="NULL"/>
    <x v="1"/>
  </r>
  <r>
    <s v="89CMAH2022000041R001520230085760"/>
    <s v="NULL"/>
    <x v="1"/>
  </r>
  <r>
    <s v="89CMAH2022000041R001520230144850"/>
    <s v="NULL"/>
    <x v="1"/>
  </r>
  <r>
    <s v="89CMAH2022000041R001520230145008"/>
    <s v="NULL"/>
    <x v="1"/>
  </r>
  <r>
    <s v="89CMAH2022000041R001520230177882"/>
    <s v="NULL"/>
    <x v="1"/>
  </r>
  <r>
    <s v="89CMAH2022000041R001520230177975"/>
    <s v="NULL"/>
    <x v="1"/>
  </r>
  <r>
    <s v="89CMAH2022000041R001520230178455"/>
    <s v="NULL"/>
    <x v="1"/>
  </r>
  <r>
    <s v="89CMAH2022000041R001520230178456"/>
    <s v="NULL"/>
    <x v="1"/>
  </r>
  <r>
    <s v="89CMAH2022000041R001520230178463"/>
    <s v="NULL"/>
    <x v="1"/>
  </r>
  <r>
    <s v="89CMAH2022000041R001520230233968"/>
    <s v="NULL"/>
    <x v="1"/>
  </r>
  <r>
    <s v="89CMAH2022000041R001520230233995"/>
    <s v="NULL"/>
    <x v="1"/>
  </r>
  <r>
    <s v="89CMAH2022000041R001520230234001"/>
    <s v="NULL"/>
    <x v="1"/>
  </r>
  <r>
    <s v="89CMAH2022000041R001520230234144"/>
    <s v="NULL"/>
    <x v="1"/>
  </r>
  <r>
    <s v="89CMAH2022000041R001520230234231"/>
    <s v="NULL"/>
    <x v="1"/>
  </r>
  <r>
    <s v="89CMAH2022000041R001520230234471"/>
    <s v="NULL"/>
    <x v="1"/>
  </r>
  <r>
    <s v="89CMAH2022000041R001520230234487"/>
    <s v="NULL"/>
    <x v="1"/>
  </r>
  <r>
    <s v="89CMAH2022000041R001520230234600"/>
    <s v="NULL"/>
    <x v="1"/>
  </r>
  <r>
    <s v="89CMAH2022000041R001520230234720"/>
    <s v="NULL"/>
    <x v="1"/>
  </r>
  <r>
    <s v="89CMAH2022000041R001520230234737"/>
    <s v="NULL"/>
    <x v="1"/>
  </r>
  <r>
    <s v="89CMAH2022000041R001520230289419"/>
    <s v="NULL"/>
    <x v="1"/>
  </r>
  <r>
    <s v="89CMAH2022000041R001520230289420"/>
    <s v="NULL"/>
    <x v="1"/>
  </r>
  <r>
    <s v="89CMAH2022000041R001520230289464"/>
    <s v="NULL"/>
    <x v="1"/>
  </r>
  <r>
    <s v="89CMAH2022000041R001520230289475"/>
    <s v="NULL"/>
    <x v="1"/>
  </r>
  <r>
    <s v="89CMAH2022000041R001520230289484"/>
    <s v="NULL"/>
    <x v="1"/>
  </r>
  <r>
    <s v="89CMAH2022000041R001520230289507"/>
    <s v="NULL"/>
    <x v="1"/>
  </r>
  <r>
    <s v="89CMAH2022000041R001520230289559"/>
    <s v="NULL"/>
    <x v="1"/>
  </r>
  <r>
    <s v="89CMAH2022000041R001520230289565"/>
    <s v="NULL"/>
    <x v="1"/>
  </r>
  <r>
    <s v="89CMAH2022000041R001520230289649"/>
    <s v="NULL"/>
    <x v="1"/>
  </r>
  <r>
    <s v="89CMAH2022000041R001520230289686"/>
    <s v="NULL"/>
    <x v="1"/>
  </r>
  <r>
    <s v="89CMAH2022000041R001520230289722"/>
    <s v="NULL"/>
    <x v="1"/>
  </r>
  <r>
    <s v="89CMAH2022000041R001520230289734"/>
    <s v="NULL"/>
    <x v="1"/>
  </r>
  <r>
    <s v="89CMAH2022000041R001520230289788"/>
    <s v="NULL"/>
    <x v="1"/>
  </r>
  <r>
    <s v="89CMAH2022000041R001520230289803"/>
    <s v="NULL"/>
    <x v="1"/>
  </r>
  <r>
    <s v="89CMAH2022000041R001520230289995"/>
    <s v="NULL"/>
    <x v="1"/>
  </r>
  <r>
    <s v="89CMAH2022000041R001520230290060"/>
    <s v="NULL"/>
    <x v="1"/>
  </r>
  <r>
    <s v="89CMAH2022000041R001520230290121"/>
    <s v="NULL"/>
    <x v="1"/>
  </r>
  <r>
    <s v="89CMAH2022000041R001520230290157"/>
    <s v="NULL"/>
    <x v="1"/>
  </r>
  <r>
    <s v="89CMAH2022000041R001520230290164"/>
    <s v="NULL"/>
    <x v="1"/>
  </r>
  <r>
    <s v="89CMAH2022000041R001520230290208"/>
    <s v="NULL"/>
    <x v="1"/>
  </r>
  <r>
    <s v="89CMAH2022000041R001520230290217"/>
    <s v="NULL"/>
    <x v="1"/>
  </r>
  <r>
    <s v="89CMAH2022000041R001520230290285"/>
    <s v="NULL"/>
    <x v="1"/>
  </r>
  <r>
    <s v="89CMAH2022000041R001520230290316"/>
    <s v="NULL"/>
    <x v="1"/>
  </r>
  <r>
    <s v="89CMAH2022000041R001520230290362"/>
    <s v="NULL"/>
    <x v="1"/>
  </r>
  <r>
    <s v="89CMAH2022000041R001520230290408"/>
    <s v="NULL"/>
    <x v="1"/>
  </r>
  <r>
    <s v="89CMAH2022000041R001520230290411"/>
    <s v="NULL"/>
    <x v="1"/>
  </r>
  <r>
    <s v="89CMAH2022000041R001520230290443"/>
    <s v="NULL"/>
    <x v="1"/>
  </r>
  <r>
    <s v="89CMAH2022000041R001520230290504"/>
    <s v="NULL"/>
    <x v="1"/>
  </r>
  <r>
    <s v="89CMAH2022000041R001520230290537"/>
    <s v="NULL"/>
    <x v="1"/>
  </r>
  <r>
    <s v="89CMAH2022000041R001520230290693"/>
    <s v="NULL"/>
    <x v="1"/>
  </r>
  <r>
    <s v="89CMAH2022000041R001520230290701"/>
    <s v="NULL"/>
    <x v="1"/>
  </r>
  <r>
    <s v="89CMAH2022000041R001520230290747"/>
    <s v="NULL"/>
    <x v="1"/>
  </r>
  <r>
    <s v="89CMAH2022000041R001520230290839"/>
    <s v="NULL"/>
    <x v="1"/>
  </r>
  <r>
    <s v="89CMAH2022000041R001520230290851"/>
    <s v="NULL"/>
    <x v="1"/>
  </r>
  <r>
    <s v="89CMAH2022000041R001520230290911"/>
    <s v="NULL"/>
    <x v="1"/>
  </r>
  <r>
    <s v="SNCN00000002"/>
    <s v="NULL"/>
    <x v="0"/>
  </r>
  <r>
    <s v="SNCN00000018"/>
    <s v="NULL"/>
    <x v="0"/>
  </r>
  <r>
    <s v="SNCN00000061"/>
    <s v="NULL"/>
    <x v="0"/>
  </r>
  <r>
    <s v="SNCN00000358"/>
    <s v="NULL"/>
    <x v="0"/>
  </r>
  <r>
    <s v="SNCN00000487"/>
    <s v="NULL"/>
    <x v="0"/>
  </r>
  <r>
    <s v="SNCN00000741"/>
    <s v="NULL"/>
    <x v="0"/>
  </r>
  <r>
    <s v="SNCN00000923"/>
    <s v="NULL"/>
    <x v="0"/>
  </r>
  <r>
    <s v="82000000007003993000200000646848"/>
    <s v="NULL"/>
    <x v="3"/>
  </r>
  <r>
    <s v="82000000007004294000200000647159"/>
    <s v="NULL"/>
    <x v="3"/>
  </r>
  <r>
    <s v="82000000007006406000200000553993"/>
    <s v="NULL"/>
    <x v="3"/>
  </r>
  <r>
    <s v="82000000007012346000200000680664"/>
    <s v="NULL"/>
    <x v="3"/>
  </r>
  <r>
    <s v="82000000007012598000200000683286"/>
    <s v="NULL"/>
    <x v="3"/>
  </r>
  <r>
    <s v="89CMAH2022000041R001520230145179"/>
    <s v="NULL"/>
    <x v="1"/>
  </r>
  <r>
    <s v="89CMAH2022000041R001520230178161"/>
    <s v="NULL"/>
    <x v="1"/>
  </r>
  <r>
    <s v="89CMAH2022000041R001520230178163"/>
    <s v="NULL"/>
    <x v="1"/>
  </r>
  <r>
    <s v="89CMAH2022000041R001520230178602"/>
    <s v="NULL"/>
    <x v="1"/>
  </r>
  <r>
    <s v="89CMAH2022000041R001520230233974"/>
    <s v="NULL"/>
    <x v="1"/>
  </r>
  <r>
    <s v="89CMAH2022000041R001520230234049"/>
    <s v="NULL"/>
    <x v="1"/>
  </r>
  <r>
    <s v="89CMAH2022000041R001520230234095"/>
    <s v="NULL"/>
    <x v="1"/>
  </r>
  <r>
    <s v="89CMAH2022000041R001520230234130"/>
    <s v="NULL"/>
    <x v="1"/>
  </r>
  <r>
    <s v="89CMAH2022000041R001520230234150"/>
    <s v="NULL"/>
    <x v="1"/>
  </r>
  <r>
    <s v="89CMAH2022000041R001520230234156"/>
    <s v="NULL"/>
    <x v="1"/>
  </r>
  <r>
    <s v="89CMAH2022000041R001520230234195"/>
    <s v="NULL"/>
    <x v="1"/>
  </r>
  <r>
    <s v="89CMAH2022000041R001520230234459"/>
    <s v="NULL"/>
    <x v="1"/>
  </r>
  <r>
    <s v="89CMAH2022000041R001520230234481"/>
    <s v="NULL"/>
    <x v="1"/>
  </r>
  <r>
    <s v="89CMAH2022000041R001520230234630"/>
    <s v="NULL"/>
    <x v="1"/>
  </r>
  <r>
    <s v="89CMAH2022000041R001520230234721"/>
    <s v="NULL"/>
    <x v="1"/>
  </r>
  <r>
    <s v="89CMAH2022000041R001520230234741"/>
    <s v="NULL"/>
    <x v="1"/>
  </r>
  <r>
    <s v="89CMAH2022000041R001520230289287"/>
    <s v="NULL"/>
    <x v="1"/>
  </r>
  <r>
    <s v="89CMAH2022000041R001520230289321"/>
    <s v="NULL"/>
    <x v="1"/>
  </r>
  <r>
    <s v="89CMAH2022000041R001520230289342"/>
    <s v="NULL"/>
    <x v="1"/>
  </r>
  <r>
    <s v="89CMAH2022000041R001520230289345"/>
    <s v="NULL"/>
    <x v="1"/>
  </r>
  <r>
    <s v="89CMAH2022000041R001520230289417"/>
    <s v="NULL"/>
    <x v="1"/>
  </r>
  <r>
    <s v="89CMAH2022000041R001520230289502"/>
    <s v="NULL"/>
    <x v="1"/>
  </r>
  <r>
    <s v="89CMAH2022000041R001520230289531"/>
    <s v="NULL"/>
    <x v="1"/>
  </r>
  <r>
    <s v="89CMAH2022000041R001520230289762"/>
    <s v="NULL"/>
    <x v="1"/>
  </r>
  <r>
    <s v="89CMAH2022000041R001520230289774"/>
    <s v="NULL"/>
    <x v="1"/>
  </r>
  <r>
    <s v="89CMAH2022000041R001520230289808"/>
    <s v="NULL"/>
    <x v="1"/>
  </r>
  <r>
    <s v="89CMAH2022000041R001520230289817"/>
    <s v="NULL"/>
    <x v="1"/>
  </r>
  <r>
    <s v="89CMAH2022000041R001520230289841"/>
    <s v="NULL"/>
    <x v="1"/>
  </r>
  <r>
    <s v="89CMAH2022000041R001520230289938"/>
    <s v="NULL"/>
    <x v="1"/>
  </r>
  <r>
    <s v="89CMAH2022000041R001520230289969"/>
    <s v="NULL"/>
    <x v="1"/>
  </r>
  <r>
    <s v="89CMAH2022000041R001520230290049"/>
    <s v="NULL"/>
    <x v="1"/>
  </r>
  <r>
    <s v="89CMAH2022000041R001520230290122"/>
    <s v="NULL"/>
    <x v="1"/>
  </r>
  <r>
    <s v="89CMAH2022000041R001520230290133"/>
    <s v="NULL"/>
    <x v="1"/>
  </r>
  <r>
    <s v="89CMAH2022000041R001520230290142"/>
    <s v="NULL"/>
    <x v="1"/>
  </r>
  <r>
    <s v="89CMAH2022000041R001520230290261"/>
    <s v="NULL"/>
    <x v="1"/>
  </r>
  <r>
    <s v="89CMAH2022000041R001520230290315"/>
    <s v="NULL"/>
    <x v="1"/>
  </r>
  <r>
    <s v="89CMAH2022000041R001520230290335"/>
    <s v="NULL"/>
    <x v="1"/>
  </r>
  <r>
    <s v="89CMAH2022000041R001520230290382"/>
    <s v="NULL"/>
    <x v="1"/>
  </r>
  <r>
    <s v="89CMAH2022000041R001520230290383"/>
    <s v="NULL"/>
    <x v="1"/>
  </r>
  <r>
    <s v="89CMAH2022000041R001520230290455"/>
    <s v="NULL"/>
    <x v="1"/>
  </r>
  <r>
    <s v="89CMAH2022000041R001520230290463"/>
    <s v="NULL"/>
    <x v="1"/>
  </r>
  <r>
    <s v="89CMAH2022000041R001520230290489"/>
    <s v="NULL"/>
    <x v="1"/>
  </r>
  <r>
    <s v="89CMAH2022000041R001520230290608"/>
    <s v="NULL"/>
    <x v="1"/>
  </r>
  <r>
    <s v="89CMAH2022000041R001520230290610"/>
    <s v="NULL"/>
    <x v="1"/>
  </r>
  <r>
    <s v="89CMAH2022000041R001520230290618"/>
    <s v="NULL"/>
    <x v="1"/>
  </r>
  <r>
    <s v="89CMAH2022000041R001520230290675"/>
    <s v="NULL"/>
    <x v="1"/>
  </r>
  <r>
    <s v="89CMAH2022000041R001520230290713"/>
    <s v="NULL"/>
    <x v="1"/>
  </r>
  <r>
    <s v="89CMAH2022000041R001520230290829"/>
    <s v="NULL"/>
    <x v="1"/>
  </r>
  <r>
    <s v="SNCN00000254"/>
    <s v="NULL"/>
    <x v="0"/>
  </r>
  <r>
    <s v="SNCN00000598"/>
    <s v="NULL"/>
    <x v="0"/>
  </r>
  <r>
    <s v="31CMAH0000000000R362304880766500"/>
    <s v="NULL"/>
    <x v="1"/>
  </r>
  <r>
    <s v="31CMAH0000000000R962304820255470"/>
    <s v="NULL"/>
    <x v="1"/>
  </r>
  <r>
    <s v="31CMAH0000000000R962304820295820"/>
    <s v="NULL"/>
    <x v="1"/>
  </r>
  <r>
    <s v="31CMAH0000000000R962304820354640"/>
    <s v="NULL"/>
    <x v="1"/>
  </r>
  <r>
    <s v="31CMAH0000000000R962304870343130"/>
    <s v="NULL"/>
    <x v="1"/>
  </r>
  <r>
    <s v="31CMAHSINDEINVEST000000000000000"/>
    <s v="NULL"/>
    <x v="1"/>
  </r>
  <r>
    <s v="82000000007000344000200000642343"/>
    <s v="NULL"/>
    <x v="3"/>
  </r>
  <r>
    <s v="82000000007000464000200000607251"/>
    <s v="NULL"/>
    <x v="3"/>
  </r>
  <r>
    <s v="82000000007000646000200000643101"/>
    <s v="NULL"/>
    <x v="3"/>
  </r>
  <r>
    <s v="82000000007001030000200000643484"/>
    <s v="NULL"/>
    <x v="3"/>
  </r>
  <r>
    <s v="82000000007001701000200000643934"/>
    <s v="NULL"/>
    <x v="3"/>
  </r>
  <r>
    <s v="82000000007002425000200000644665"/>
    <s v="NULL"/>
    <x v="3"/>
  </r>
  <r>
    <s v="82000000007002570000200000504441"/>
    <s v="NULL"/>
    <x v="3"/>
  </r>
  <r>
    <s v="82000000007002797000200000645240"/>
    <s v="NULL"/>
    <x v="3"/>
  </r>
  <r>
    <s v="82000000007004283000200000647205"/>
    <s v="NULL"/>
    <x v="3"/>
  </r>
  <r>
    <s v="82000000007009536000200000644017"/>
    <s v="NULL"/>
    <x v="3"/>
  </r>
  <r>
    <s v="82000000007010061000200000672335"/>
    <s v="NULL"/>
    <x v="3"/>
  </r>
  <r>
    <s v="82000000007010200000200000673734"/>
    <s v="NULL"/>
    <x v="3"/>
  </r>
  <r>
    <s v="82000000007011193000200000680956"/>
    <s v="NULL"/>
    <x v="3"/>
  </r>
  <r>
    <s v="82000000007014362000200000655141"/>
    <s v="NULL"/>
    <x v="3"/>
  </r>
  <r>
    <s v="89CMAH2022000041R001520230085466"/>
    <s v="NULL"/>
    <x v="1"/>
  </r>
  <r>
    <s v="89CMAH2022000041R001520230086270"/>
    <s v="NULL"/>
    <x v="1"/>
  </r>
  <r>
    <s v="89CMAH2022000041R001520230144733"/>
    <s v="NULL"/>
    <x v="1"/>
  </r>
  <r>
    <s v="89CMAH2022000041R001520230144855"/>
    <s v="NULL"/>
    <x v="1"/>
  </r>
  <r>
    <s v="89CMAH2022000041R001520230177960"/>
    <s v="NULL"/>
    <x v="1"/>
  </r>
  <r>
    <s v="89CMAH2022000041R001520230178025"/>
    <s v="NULL"/>
    <x v="1"/>
  </r>
  <r>
    <s v="89CMAH2022000041R001520230178611"/>
    <s v="NULL"/>
    <x v="1"/>
  </r>
  <r>
    <s v="89CMAH2022000041R001520230178640"/>
    <s v="NULL"/>
    <x v="1"/>
  </r>
  <r>
    <s v="89CMAH2022000041R001520230234041"/>
    <s v="NULL"/>
    <x v="1"/>
  </r>
  <r>
    <s v="89CMAH2022000041R001520230234299"/>
    <s v="NULL"/>
    <x v="1"/>
  </r>
  <r>
    <s v="89CMAH2022000041R001520230234409"/>
    <s v="NULL"/>
    <x v="1"/>
  </r>
  <r>
    <s v="89CMAH2022000041R001520230234430"/>
    <s v="NULL"/>
    <x v="1"/>
  </r>
  <r>
    <s v="89CMAH2022000041R001520230234452"/>
    <s v="NULL"/>
    <x v="1"/>
  </r>
  <r>
    <s v="89CMAH2022000041R001520230234565"/>
    <s v="NULL"/>
    <x v="1"/>
  </r>
  <r>
    <s v="89CMAH2022000041R001520230234727"/>
    <s v="NULL"/>
    <x v="1"/>
  </r>
  <r>
    <s v="89CMAH2022000041R001520230234740"/>
    <s v="NULL"/>
    <x v="1"/>
  </r>
  <r>
    <s v="89CMAH2022000041R001520230289429"/>
    <s v="NULL"/>
    <x v="1"/>
  </r>
  <r>
    <s v="89CMAH2022000041R001520230289543"/>
    <s v="NULL"/>
    <x v="1"/>
  </r>
  <r>
    <s v="89CMAH2022000041R001520230289566"/>
    <s v="NULL"/>
    <x v="1"/>
  </r>
  <r>
    <s v="89CMAH2022000041R001520230289577"/>
    <s v="NULL"/>
    <x v="1"/>
  </r>
  <r>
    <s v="89CMAH2022000041R001520230289647"/>
    <s v="NULL"/>
    <x v="1"/>
  </r>
  <r>
    <s v="89CMAH2022000041R001520230289653"/>
    <s v="NULL"/>
    <x v="1"/>
  </r>
  <r>
    <s v="89CMAH2022000041R001520230289655"/>
    <s v="NULL"/>
    <x v="1"/>
  </r>
  <r>
    <s v="89CMAH2022000041R001520230289687"/>
    <s v="NULL"/>
    <x v="1"/>
  </r>
  <r>
    <s v="89CMAH2022000041R001520230289730"/>
    <s v="NULL"/>
    <x v="1"/>
  </r>
  <r>
    <s v="89CMAH2022000041R001520230289828"/>
    <s v="NULL"/>
    <x v="1"/>
  </r>
  <r>
    <s v="89CMAH2022000041R001520230289837"/>
    <s v="NULL"/>
    <x v="1"/>
  </r>
  <r>
    <s v="89CMAH2022000041R001520230289863"/>
    <s v="NULL"/>
    <x v="1"/>
  </r>
  <r>
    <s v="89CMAH2022000041R001520230289891"/>
    <s v="NULL"/>
    <x v="1"/>
  </r>
  <r>
    <s v="89CMAH2022000041R001520230289906"/>
    <s v="NULL"/>
    <x v="1"/>
  </r>
  <r>
    <s v="89CMAH2022000041R001520230289936"/>
    <s v="NULL"/>
    <x v="1"/>
  </r>
  <r>
    <s v="89CMAH2022000041R001520230289944"/>
    <s v="NULL"/>
    <x v="1"/>
  </r>
  <r>
    <s v="89CMAH2022000041R001520230289946"/>
    <s v="NULL"/>
    <x v="1"/>
  </r>
  <r>
    <s v="89CMAH2022000041R001520230289950"/>
    <s v="NULL"/>
    <x v="1"/>
  </r>
  <r>
    <s v="89CMAH2022000041R001520230289964"/>
    <s v="NULL"/>
    <x v="1"/>
  </r>
  <r>
    <s v="89CMAH2022000041R001520230289982"/>
    <s v="NULL"/>
    <x v="1"/>
  </r>
  <r>
    <s v="89CMAH2022000041R001520230290203"/>
    <s v="NULL"/>
    <x v="1"/>
  </r>
  <r>
    <s v="89CMAH2022000041R001520230290213"/>
    <s v="NULL"/>
    <x v="1"/>
  </r>
  <r>
    <s v="89CMAH2022000041R001520230290271"/>
    <s v="NULL"/>
    <x v="1"/>
  </r>
  <r>
    <s v="89CMAH2022000041R001520230290276"/>
    <s v="NULL"/>
    <x v="1"/>
  </r>
  <r>
    <s v="89CMAH2022000041R001520230290282"/>
    <s v="NULL"/>
    <x v="1"/>
  </r>
  <r>
    <s v="89CMAH2022000041R001520230290286"/>
    <s v="NULL"/>
    <x v="1"/>
  </r>
  <r>
    <s v="89CMAH2022000041R001520230290307"/>
    <s v="NULL"/>
    <x v="1"/>
  </r>
  <r>
    <s v="89CMAH2022000041R001520230290319"/>
    <s v="NULL"/>
    <x v="1"/>
  </r>
  <r>
    <s v="89CMAH2022000041R001520230290361"/>
    <s v="NULL"/>
    <x v="1"/>
  </r>
  <r>
    <s v="89CMAH2022000041R001520230290420"/>
    <s v="NULL"/>
    <x v="1"/>
  </r>
  <r>
    <s v="89CMAH2022000041R001520230290527"/>
    <s v="NULL"/>
    <x v="1"/>
  </r>
  <r>
    <s v="89CMAH2022000041R001520230290543"/>
    <s v="NULL"/>
    <x v="1"/>
  </r>
  <r>
    <s v="89CMAH2022000041R001520230290565"/>
    <s v="NULL"/>
    <x v="1"/>
  </r>
  <r>
    <s v="89CMAH2022000041R001520230290577"/>
    <s v="NULL"/>
    <x v="1"/>
  </r>
  <r>
    <s v="89CMAH2022000041R001520230290665"/>
    <s v="NULL"/>
    <x v="1"/>
  </r>
  <r>
    <s v="89CMAH2022000041R001520230290719"/>
    <s v="NULL"/>
    <x v="1"/>
  </r>
  <r>
    <s v="89CMAH2022000041R001520230290782"/>
    <s v="NULL"/>
    <x v="1"/>
  </r>
  <r>
    <s v="89CMAH2022000041R001520230290826"/>
    <s v="NULL"/>
    <x v="1"/>
  </r>
  <r>
    <s v="89CMAH2022000041R001520230290880"/>
    <s v="NULL"/>
    <x v="1"/>
  </r>
  <r>
    <s v="89CMAH2022000041R001520230290914"/>
    <s v="NULL"/>
    <x v="1"/>
  </r>
  <r>
    <s v="89CMAH2022000041R001520230290918"/>
    <s v="NULL"/>
    <x v="1"/>
  </r>
  <r>
    <s v="SNCN00000011"/>
    <s v="NULL"/>
    <x v="0"/>
  </r>
  <r>
    <s v="SNCN00000065"/>
    <s v="NULL"/>
    <x v="0"/>
  </r>
  <r>
    <s v="SNCN00000093"/>
    <s v="NULL"/>
    <x v="0"/>
  </r>
  <r>
    <s v="SNCN00000162"/>
    <s v="NULL"/>
    <x v="0"/>
  </r>
  <r>
    <s v="SNCN00000294"/>
    <s v="NULL"/>
    <x v="0"/>
  </r>
  <r>
    <s v="SNCN00000503"/>
    <s v="NULL"/>
    <x v="0"/>
  </r>
  <r>
    <s v="SNCN00000553"/>
    <s v="NULL"/>
    <x v="0"/>
  </r>
  <r>
    <s v="SNCN00000678"/>
    <s v="NULL"/>
    <x v="0"/>
  </r>
  <r>
    <s v="SNCN00000853"/>
    <s v="NULL"/>
    <x v="0"/>
  </r>
  <r>
    <s v="SNCN00000982"/>
    <s v="NULL"/>
    <x v="0"/>
  </r>
  <r>
    <s v="80CMAHFINERGEDSFR000000000000001"/>
    <s v="NULL"/>
    <x v="1"/>
  </r>
  <r>
    <s v="SNCN00000418"/>
    <s v="NULL"/>
    <x v="0"/>
  </r>
  <r>
    <s v="80CMAHFINERGEWCF0000000000000003"/>
    <s v="NULL"/>
    <x v="1"/>
  </r>
  <r>
    <s v="SNCN00000966"/>
    <s v="NULL"/>
    <x v="0"/>
  </r>
  <r>
    <s v="31000010813071149000000000000000"/>
    <s v="NULL"/>
    <x v="2"/>
  </r>
  <r>
    <s v="SNCN00000532"/>
    <s v="NULL"/>
    <x v="0"/>
  </r>
  <r>
    <s v="SNCN00000517"/>
    <s v="NULL"/>
    <x v="0"/>
  </r>
  <r>
    <s v="SNCN00000554"/>
    <s v="NULL"/>
    <x v="0"/>
  </r>
  <r>
    <s v="31000310568850090069674040100000"/>
    <s v="NULL"/>
    <x v="2"/>
  </r>
  <r>
    <s v="31000310172009091069674670100000"/>
    <s v="NULL"/>
    <x v="2"/>
  </r>
  <r>
    <s v="31CMAH0000000000R262304820026980"/>
    <s v="NULL"/>
    <x v="1"/>
  </r>
  <r>
    <s v="31CMAH0000000000R262304840025960"/>
    <s v="NULL"/>
    <x v="1"/>
  </r>
  <r>
    <s v="31CMAH0000000000R962304820242730"/>
    <s v="NULL"/>
    <x v="1"/>
  </r>
  <r>
    <s v="31CMAH0000000000R962304820376620"/>
    <s v="NULL"/>
    <x v="1"/>
  </r>
  <r>
    <s v="31CMAH0000000000R962304820380720"/>
    <s v="NULL"/>
    <x v="1"/>
  </r>
  <r>
    <s v="31CMAH0000000000R962304820381280"/>
    <s v="NULL"/>
    <x v="1"/>
  </r>
  <r>
    <s v="31CMAH0000000000R962304820393220"/>
    <s v="NULL"/>
    <x v="1"/>
  </r>
  <r>
    <s v="31CMAH00380018977363603800189779"/>
    <s v="NULL"/>
    <x v="1"/>
  </r>
  <r>
    <s v="31CMAHenergyS1xS2OVER1ENFSMERT0A"/>
    <s v="NULL"/>
    <x v="1"/>
  </r>
  <r>
    <s v="31CMAHrxohabS1xS2PMAPARREST00001"/>
    <s v="NULL"/>
    <x v="1"/>
  </r>
  <r>
    <s v="31000310526585090069674440100000"/>
    <s v="NULL"/>
    <x v="2"/>
  </r>
  <r>
    <s v="82000000007000206000200000642323"/>
    <s v="NULL"/>
    <x v="3"/>
  </r>
  <r>
    <s v="82000000007000547000200000642925"/>
    <s v="NULL"/>
    <x v="3"/>
  </r>
  <r>
    <s v="82000000007001278000200000643651"/>
    <s v="NULL"/>
    <x v="3"/>
  </r>
  <r>
    <s v="82000000007002004000200000644307"/>
    <s v="NULL"/>
    <x v="3"/>
  </r>
  <r>
    <s v="82000000007002476000200000644715"/>
    <s v="NULL"/>
    <x v="3"/>
  </r>
  <r>
    <s v="82000000007003455000200000646082"/>
    <s v="NULL"/>
    <x v="3"/>
  </r>
  <r>
    <s v="82000000007004026000200000646678"/>
    <s v="NULL"/>
    <x v="3"/>
  </r>
  <r>
    <s v="82000000007007661000200000654192"/>
    <s v="NULL"/>
    <x v="3"/>
  </r>
  <r>
    <s v="82000000007013662000200000661116"/>
    <s v="NULL"/>
    <x v="3"/>
  </r>
  <r>
    <s v="SNCN00000531"/>
    <s v="NULL"/>
    <x v="0"/>
  </r>
  <r>
    <s v="89CMAH2022000041R001520230085474"/>
    <s v="NULL"/>
    <x v="1"/>
  </r>
  <r>
    <s v="89CMAH2022000041R001520230144821"/>
    <s v="NULL"/>
    <x v="1"/>
  </r>
  <r>
    <s v="89CMAH2022000041R001520230145075"/>
    <s v="NULL"/>
    <x v="1"/>
  </r>
  <r>
    <s v="89CMAH2022000041R001520230177936"/>
    <s v="NULL"/>
    <x v="1"/>
  </r>
  <r>
    <s v="89CMAH2022000041R001520230177999"/>
    <s v="NULL"/>
    <x v="1"/>
  </r>
  <r>
    <s v="89CMAH2022000041R001520230178275"/>
    <s v="NULL"/>
    <x v="1"/>
  </r>
  <r>
    <s v="89CMAH2022000041R001520230178568"/>
    <s v="NULL"/>
    <x v="1"/>
  </r>
  <r>
    <s v="89CMAH2022000041R001520230178629"/>
    <s v="NULL"/>
    <x v="1"/>
  </r>
  <r>
    <s v="89CMAH2022000041R001520230234242"/>
    <s v="NULL"/>
    <x v="1"/>
  </r>
  <r>
    <s v="89CMAH2022000041R001520230234431"/>
    <s v="NULL"/>
    <x v="1"/>
  </r>
  <r>
    <s v="89CMAH2022000041R001520230234464"/>
    <s v="NULL"/>
    <x v="1"/>
  </r>
  <r>
    <s v="89CMAH2022000041R001520230234478"/>
    <s v="NULL"/>
    <x v="1"/>
  </r>
  <r>
    <s v="89CMAH2022000041R001520230234506"/>
    <s v="NULL"/>
    <x v="1"/>
  </r>
  <r>
    <s v="89CMAH2022000041R001520230234525"/>
    <s v="NULL"/>
    <x v="1"/>
  </r>
  <r>
    <s v="89CMAH2022000041R001520230234627"/>
    <s v="NULL"/>
    <x v="1"/>
  </r>
  <r>
    <s v="89CMAH2022000041R001520230234712"/>
    <s v="NULL"/>
    <x v="1"/>
  </r>
  <r>
    <s v="89CMAH2022000041R001520230289437"/>
    <s v="NULL"/>
    <x v="1"/>
  </r>
  <r>
    <s v="89CMAH2022000041R001520230289447"/>
    <s v="NULL"/>
    <x v="1"/>
  </r>
  <r>
    <s v="89CMAH2022000041R001520230289469"/>
    <s v="NULL"/>
    <x v="1"/>
  </r>
  <r>
    <s v="89CMAH2022000041R001520230289549"/>
    <s v="NULL"/>
    <x v="1"/>
  </r>
  <r>
    <s v="89CMAH2022000041R001520230289556"/>
    <s v="NULL"/>
    <x v="1"/>
  </r>
  <r>
    <s v="89CMAH2022000041R001520230289567"/>
    <s v="NULL"/>
    <x v="1"/>
  </r>
  <r>
    <s v="89CMAH2022000041R001520230289820"/>
    <s v="NULL"/>
    <x v="1"/>
  </r>
  <r>
    <s v="89CMAH2022000041R001520230289893"/>
    <s v="NULL"/>
    <x v="1"/>
  </r>
  <r>
    <s v="89CMAH2022000041R001520230289895"/>
    <s v="NULL"/>
    <x v="1"/>
  </r>
  <r>
    <s v="89CMAH2022000041R001520230289908"/>
    <s v="NULL"/>
    <x v="1"/>
  </r>
  <r>
    <s v="89CMAH2022000041R001520230290057"/>
    <s v="NULL"/>
    <x v="1"/>
  </r>
  <r>
    <s v="89CMAH2022000041R001520230290061"/>
    <s v="NULL"/>
    <x v="1"/>
  </r>
  <r>
    <s v="89CMAH2022000041R001520230290111"/>
    <s v="NULL"/>
    <x v="1"/>
  </r>
  <r>
    <s v="89CMAH2022000041R001520230290202"/>
    <s v="NULL"/>
    <x v="1"/>
  </r>
  <r>
    <s v="89CMAH2022000041R001520230290345"/>
    <s v="NULL"/>
    <x v="1"/>
  </r>
  <r>
    <s v="89CMAH2022000041R001520230290352"/>
    <s v="NULL"/>
    <x v="1"/>
  </r>
  <r>
    <s v="89CMAH2022000041R001520230290375"/>
    <s v="NULL"/>
    <x v="1"/>
  </r>
  <r>
    <s v="89CMAH2022000041R001520230290393"/>
    <s v="NULL"/>
    <x v="1"/>
  </r>
  <r>
    <s v="89CMAH2022000041R001520230290415"/>
    <s v="NULL"/>
    <x v="1"/>
  </r>
  <r>
    <s v="89CMAH2022000041R001520230290532"/>
    <s v="NULL"/>
    <x v="1"/>
  </r>
  <r>
    <s v="89CMAH2022000041R001520230290621"/>
    <s v="NULL"/>
    <x v="1"/>
  </r>
  <r>
    <s v="89CMAH2022000041R001520230290629"/>
    <s v="NULL"/>
    <x v="1"/>
  </r>
  <r>
    <s v="89CMAH2022000041R001520230290637"/>
    <s v="NULL"/>
    <x v="1"/>
  </r>
  <r>
    <s v="89CMAH2022000041R001520230290679"/>
    <s v="NULL"/>
    <x v="1"/>
  </r>
  <r>
    <s v="89CMAH2022000041R001520230290709"/>
    <s v="NULL"/>
    <x v="1"/>
  </r>
  <r>
    <s v="89CMAH2022000041R001520230290736"/>
    <s v="NULL"/>
    <x v="1"/>
  </r>
  <r>
    <s v="89CMAH2022000041R001520230290786"/>
    <s v="NULL"/>
    <x v="1"/>
  </r>
  <r>
    <s v="89CMAH2022000041R001520230290812"/>
    <s v="NULL"/>
    <x v="1"/>
  </r>
  <r>
    <s v="89CMAH2022000041R001520230290840"/>
    <s v="NULL"/>
    <x v="1"/>
  </r>
  <r>
    <s v="89CMAH2022000041R001520230290852"/>
    <s v="NULL"/>
    <x v="1"/>
  </r>
  <r>
    <s v="89CMAH2022000041R001520230290859"/>
    <s v="NULL"/>
    <x v="1"/>
  </r>
  <r>
    <s v="89CMAH2022000041R001520230290923"/>
    <s v="NULL"/>
    <x v="1"/>
  </r>
  <r>
    <s v="SNCN00000140"/>
    <s v="NULL"/>
    <x v="0"/>
  </r>
  <r>
    <s v="SNCN00000204"/>
    <s v="NULL"/>
    <x v="0"/>
  </r>
  <r>
    <s v="SNCN00000217"/>
    <s v="NULL"/>
    <x v="0"/>
  </r>
  <r>
    <s v="SNCN00000329"/>
    <s v="NULL"/>
    <x v="0"/>
  </r>
  <r>
    <s v="SNCN00000589"/>
    <s v="NULL"/>
    <x v="0"/>
  </r>
  <r>
    <s v="SNCN00000869"/>
    <s v="NULL"/>
    <x v="0"/>
  </r>
  <r>
    <s v="SNCN00000975"/>
    <s v="NULL"/>
    <x v="0"/>
  </r>
  <r>
    <s v="31023300900008282069674780100000"/>
    <s v="NULL"/>
    <x v="2"/>
  </r>
  <r>
    <s v="31CMAH0000000000R262304820009390"/>
    <s v="NULL"/>
    <x v="1"/>
  </r>
  <r>
    <s v="31CMAH0000000000R262304840018800"/>
    <s v="NULL"/>
    <x v="1"/>
  </r>
  <r>
    <s v="31CMAH0000000000R962304820072940"/>
    <s v="NULL"/>
    <x v="1"/>
  </r>
  <r>
    <s v="31CMAH0000000000R962304820383100"/>
    <s v="NULL"/>
    <x v="1"/>
  </r>
  <r>
    <s v="31CMAH5723667001R100399800000001"/>
    <s v="NULL"/>
    <x v="1"/>
  </r>
  <r>
    <s v="31CMAHenergyS1xS2OVER1ENFGDRST0C"/>
    <s v="NULL"/>
    <x v="1"/>
  </r>
  <r>
    <s v="82000000000144384000450000514295"/>
    <s v="NULL"/>
    <x v="3"/>
  </r>
  <r>
    <s v="82000000007000842000200000643290"/>
    <s v="NULL"/>
    <x v="3"/>
  </r>
  <r>
    <s v="82000000007001409000200000523062"/>
    <s v="NULL"/>
    <x v="3"/>
  </r>
  <r>
    <s v="82000000007001874000200000644183"/>
    <s v="NULL"/>
    <x v="3"/>
  </r>
  <r>
    <s v="82000000007004626000200000647487"/>
    <s v="NULL"/>
    <x v="3"/>
  </r>
  <r>
    <s v="82000000007007982000200000655745"/>
    <s v="NULL"/>
    <x v="3"/>
  </r>
  <r>
    <s v="82000000007008359000200000657067"/>
    <s v="NULL"/>
    <x v="3"/>
  </r>
  <r>
    <s v="82000000007008582000200000658454"/>
    <s v="NULL"/>
    <x v="3"/>
  </r>
  <r>
    <s v="82000000007011558000200000680359"/>
    <s v="NULL"/>
    <x v="3"/>
  </r>
  <r>
    <s v="82000000007017954000200000761236"/>
    <s v="NULL"/>
    <x v="3"/>
  </r>
  <r>
    <s v="82000000007017962000200000761242"/>
    <s v="NULL"/>
    <x v="3"/>
  </r>
  <r>
    <s v="890000201300031361000500C21737I0"/>
    <s v="NULL"/>
    <x v="4"/>
  </r>
  <r>
    <s v="890000201400015461000500C55286I0"/>
    <s v="NULL"/>
    <x v="4"/>
  </r>
  <r>
    <s v="89CMAH2022000041R001520230039468"/>
    <s v="NULL"/>
    <x v="1"/>
  </r>
  <r>
    <s v="89CMAH2022000041R001520230039793"/>
    <s v="NULL"/>
    <x v="1"/>
  </r>
  <r>
    <s v="89CMAH2022000041R001520230086301"/>
    <s v="NULL"/>
    <x v="1"/>
  </r>
  <r>
    <s v="89CMAH2022000041R001520230178103"/>
    <s v="NULL"/>
    <x v="1"/>
  </r>
  <r>
    <s v="89CMAH2022000041R001520230234035"/>
    <s v="NULL"/>
    <x v="1"/>
  </r>
  <r>
    <s v="89CMAH2022000041R001520230234096"/>
    <s v="NULL"/>
    <x v="1"/>
  </r>
  <r>
    <s v="89CMAH2022000041R001520230234160"/>
    <s v="NULL"/>
    <x v="1"/>
  </r>
  <r>
    <s v="89CMAH2022000041R001520230234186"/>
    <s v="NULL"/>
    <x v="1"/>
  </r>
  <r>
    <s v="89CMAH2022000041R001520230234234"/>
    <s v="NULL"/>
    <x v="1"/>
  </r>
  <r>
    <s v="89CMAH2022000041R001520230234238"/>
    <s v="NULL"/>
    <x v="1"/>
  </r>
  <r>
    <s v="89CMAH2022000041R001520230234347"/>
    <s v="NULL"/>
    <x v="1"/>
  </r>
  <r>
    <s v="89CMAH2022000041R001520230234412"/>
    <s v="NULL"/>
    <x v="1"/>
  </r>
  <r>
    <s v="89CMAH2022000041R001520230234466"/>
    <s v="NULL"/>
    <x v="1"/>
  </r>
  <r>
    <s v="89CMAH2022000041R001520230234491"/>
    <s v="NULL"/>
    <x v="1"/>
  </r>
  <r>
    <s v="89CMAH2022000041R001520230234508"/>
    <s v="NULL"/>
    <x v="1"/>
  </r>
  <r>
    <s v="89CMAH2022000041R001520230234510"/>
    <s v="NULL"/>
    <x v="1"/>
  </r>
  <r>
    <s v="89CMAH2022000041R001520230234635"/>
    <s v="NULL"/>
    <x v="1"/>
  </r>
  <r>
    <s v="89CMAH2022000041R001520230234662"/>
    <s v="NULL"/>
    <x v="1"/>
  </r>
  <r>
    <s v="89CMAH2022000041R001520230289368"/>
    <s v="NULL"/>
    <x v="1"/>
  </r>
  <r>
    <s v="89CMAH2022000041R001520230289369"/>
    <s v="NULL"/>
    <x v="1"/>
  </r>
  <r>
    <s v="89CMAH2022000041R001520230289451"/>
    <s v="NULL"/>
    <x v="1"/>
  </r>
  <r>
    <s v="89CMAH2022000041R001520230289479"/>
    <s v="NULL"/>
    <x v="1"/>
  </r>
  <r>
    <s v="89CMAH2022000041R001520230289482"/>
    <s v="NULL"/>
    <x v="1"/>
  </r>
  <r>
    <s v="89CMAH2022000041R001520230289544"/>
    <s v="NULL"/>
    <x v="1"/>
  </r>
  <r>
    <s v="89CMAH2022000041R001520230289584"/>
    <s v="NULL"/>
    <x v="1"/>
  </r>
  <r>
    <s v="89CMAH2022000041R001520230289633"/>
    <s v="NULL"/>
    <x v="1"/>
  </r>
  <r>
    <s v="89CMAH2022000041R001520230289637"/>
    <s v="NULL"/>
    <x v="1"/>
  </r>
  <r>
    <s v="89CMAH2022000041R001520230289661"/>
    <s v="NULL"/>
    <x v="1"/>
  </r>
  <r>
    <s v="89CMAH2022000041R001520230289680"/>
    <s v="NULL"/>
    <x v="1"/>
  </r>
  <r>
    <s v="89CMAH2022000041R001520230289684"/>
    <s v="NULL"/>
    <x v="1"/>
  </r>
  <r>
    <s v="89CMAH2022000041R001520230289754"/>
    <s v="NULL"/>
    <x v="1"/>
  </r>
  <r>
    <s v="89CMAH2022000041R001520230289871"/>
    <s v="NULL"/>
    <x v="1"/>
  </r>
  <r>
    <s v="89CMAH2022000041R001520230289976"/>
    <s v="NULL"/>
    <x v="1"/>
  </r>
  <r>
    <s v="89CMAH2022000041R001520230290009"/>
    <s v="NULL"/>
    <x v="1"/>
  </r>
  <r>
    <s v="89CMAH2022000041R001520230290103"/>
    <s v="NULL"/>
    <x v="1"/>
  </r>
  <r>
    <s v="89CMAH2022000041R001520230290171"/>
    <s v="NULL"/>
    <x v="1"/>
  </r>
  <r>
    <s v="89CMAH2022000041R001520230290175"/>
    <s v="NULL"/>
    <x v="1"/>
  </r>
  <r>
    <s v="89CMAH2022000041R001520230290244"/>
    <s v="NULL"/>
    <x v="1"/>
  </r>
  <r>
    <s v="89CMAH2022000041R001520230290426"/>
    <s v="NULL"/>
    <x v="1"/>
  </r>
  <r>
    <s v="89CMAH2022000041R001520230290438"/>
    <s v="NULL"/>
    <x v="1"/>
  </r>
  <r>
    <s v="89CMAH2022000041R001520230290480"/>
    <s v="NULL"/>
    <x v="1"/>
  </r>
  <r>
    <s v="89CMAH2022000041R001520230290568"/>
    <s v="NULL"/>
    <x v="1"/>
  </r>
  <r>
    <s v="89CMAH2022000041R001520230290625"/>
    <s v="NULL"/>
    <x v="1"/>
  </r>
  <r>
    <s v="89CMAH2022000041R001520230290653"/>
    <s v="NULL"/>
    <x v="1"/>
  </r>
  <r>
    <s v="89CMAH2022000041R001520230290772"/>
    <s v="NULL"/>
    <x v="1"/>
  </r>
  <r>
    <s v="89CMAH2022000041R001520230290779"/>
    <s v="NULL"/>
    <x v="1"/>
  </r>
  <r>
    <s v="89CMAH2022000041R001520230290819"/>
    <s v="NULL"/>
    <x v="1"/>
  </r>
  <r>
    <s v="SNCN00000064"/>
    <s v="NULL"/>
    <x v="0"/>
  </r>
  <r>
    <s v="SNCN00000187"/>
    <s v="NULL"/>
    <x v="0"/>
  </r>
  <r>
    <s v="SNCN00000287"/>
    <s v="NULL"/>
    <x v="0"/>
  </r>
  <r>
    <s v="SNCN00000341"/>
    <s v="NULL"/>
    <x v="0"/>
  </r>
  <r>
    <s v="SNCN00000363"/>
    <s v="NULL"/>
    <x v="0"/>
  </r>
  <r>
    <s v="SNCN00000725"/>
    <s v="NULL"/>
    <x v="0"/>
  </r>
  <r>
    <s v="SNCN00000938"/>
    <s v="NULL"/>
    <x v="0"/>
  </r>
  <r>
    <s v="31CMAH0000000000R962304820151190"/>
    <s v="NULL"/>
    <x v="1"/>
  </r>
  <r>
    <s v="31CMAH0000000000R962304820309480"/>
    <s v="NULL"/>
    <x v="1"/>
  </r>
  <r>
    <s v="31CMAH0000000000R962304820406080"/>
    <s v="NULL"/>
    <x v="1"/>
  </r>
  <r>
    <s v="31CMAH0000000000R962304820406090"/>
    <s v="NULL"/>
    <x v="1"/>
  </r>
  <r>
    <s v="31CMAH4668178902R000000000000000"/>
    <s v="NULL"/>
    <x v="1"/>
  </r>
  <r>
    <s v="82000000007007238000200000652671"/>
    <s v="NULL"/>
    <x v="3"/>
  </r>
  <r>
    <s v="82000000007008130000200000656210"/>
    <s v="NULL"/>
    <x v="3"/>
  </r>
  <r>
    <s v="82000000007017477000200000754446"/>
    <s v="NULL"/>
    <x v="3"/>
  </r>
  <r>
    <s v="82000000007018709000200000647497"/>
    <s v="NULL"/>
    <x v="3"/>
  </r>
  <r>
    <s v="31CMAH0000000000R962304820200900"/>
    <s v="NULL"/>
    <x v="1"/>
  </r>
  <r>
    <s v="31CMAH0000000000R962304820216980"/>
    <s v="NULL"/>
    <x v="1"/>
  </r>
  <r>
    <s v="31CMAH0000000000R962304820334150"/>
    <s v="NULL"/>
    <x v="1"/>
  </r>
  <r>
    <s v="31CMAH0000000000R962304820341720"/>
    <s v="NULL"/>
    <x v="1"/>
  </r>
  <r>
    <s v="31CMAH0000000000R962304820381290"/>
    <s v="NULL"/>
    <x v="1"/>
  </r>
  <r>
    <s v="31CMAH0000000000R962304820399740"/>
    <s v="NULL"/>
    <x v="1"/>
  </r>
  <r>
    <s v="31CMAH0000580004RXS0237370605000"/>
    <s v="NULL"/>
    <x v="1"/>
  </r>
  <r>
    <s v="31CMAHenergyS1xS2OVER1ENFSMERT0C"/>
    <s v="NULL"/>
    <x v="1"/>
  </r>
  <r>
    <s v="82000000007000870000200000643310"/>
    <s v="NULL"/>
    <x v="3"/>
  </r>
  <r>
    <s v="82000000007001252000200000643633"/>
    <s v="NULL"/>
    <x v="3"/>
  </r>
  <r>
    <s v="82000000007003950000200000646822"/>
    <s v="NULL"/>
    <x v="3"/>
  </r>
  <r>
    <s v="82000000007005725000200000648599"/>
    <s v="NULL"/>
    <x v="3"/>
  </r>
  <r>
    <s v="82000000007013026000200000688021"/>
    <s v="NULL"/>
    <x v="3"/>
  </r>
  <r>
    <s v="890000201300031341000500C39109I0"/>
    <s v="NULL"/>
    <x v="4"/>
  </r>
  <r>
    <s v="89CMAH2022000041R001520230085843"/>
    <s v="NULL"/>
    <x v="1"/>
  </r>
  <r>
    <s v="89CMAH2022000041R001520230085988"/>
    <s v="NULL"/>
    <x v="1"/>
  </r>
  <r>
    <s v="89CMAH2022000041R001520230086029"/>
    <s v="NULL"/>
    <x v="1"/>
  </r>
  <r>
    <s v="89CMAH2022000041R001520230144644"/>
    <s v="NULL"/>
    <x v="1"/>
  </r>
  <r>
    <s v="89CMAH2022000041R001520230144718"/>
    <s v="NULL"/>
    <x v="1"/>
  </r>
  <r>
    <s v="89CMAH2022000041R001520230144779"/>
    <s v="NULL"/>
    <x v="1"/>
  </r>
  <r>
    <s v="89CMAH2022000041R001520230178067"/>
    <s v="NULL"/>
    <x v="1"/>
  </r>
  <r>
    <s v="89CMAH2022000041R001520230178106"/>
    <s v="NULL"/>
    <x v="1"/>
  </r>
  <r>
    <s v="89CMAH2022000041R001520230178183"/>
    <s v="NULL"/>
    <x v="1"/>
  </r>
  <r>
    <s v="89CMAH2022000041R001520230178258"/>
    <s v="NULL"/>
    <x v="1"/>
  </r>
  <r>
    <s v="89CMAH2022000041R001520230178292"/>
    <s v="NULL"/>
    <x v="1"/>
  </r>
  <r>
    <s v="89CMAH2022000041R001520230178294"/>
    <s v="NULL"/>
    <x v="1"/>
  </r>
  <r>
    <s v="89CMAH2022000041R001520230178319"/>
    <s v="NULL"/>
    <x v="1"/>
  </r>
  <r>
    <s v="89CMAH2022000041R001520230178503"/>
    <s v="NULL"/>
    <x v="1"/>
  </r>
  <r>
    <s v="89CMAH2022000041R001520230178504"/>
    <s v="NULL"/>
    <x v="1"/>
  </r>
  <r>
    <s v="89CMAH2022000041R001520230234071"/>
    <s v="NULL"/>
    <x v="1"/>
  </r>
  <r>
    <s v="89CMAH2022000041R001520230234257"/>
    <s v="NULL"/>
    <x v="1"/>
  </r>
  <r>
    <s v="89CMAH2022000041R001520230234356"/>
    <s v="NULL"/>
    <x v="1"/>
  </r>
  <r>
    <s v="89CMAH2022000041R001520230234370"/>
    <s v="NULL"/>
    <x v="1"/>
  </r>
  <r>
    <s v="89CMAH2022000041R001520230234379"/>
    <s v="NULL"/>
    <x v="1"/>
  </r>
  <r>
    <s v="89CMAH2022000041R001520230234387"/>
    <s v="NULL"/>
    <x v="1"/>
  </r>
  <r>
    <s v="89CMAH2022000041R001520230234447"/>
    <s v="NULL"/>
    <x v="1"/>
  </r>
  <r>
    <s v="89CMAH2022000041R001520230234532"/>
    <s v="NULL"/>
    <x v="1"/>
  </r>
  <r>
    <s v="89CMAH2022000041R001520230234540"/>
    <s v="NULL"/>
    <x v="1"/>
  </r>
  <r>
    <s v="89CMAH2022000041R001520230234552"/>
    <s v="NULL"/>
    <x v="1"/>
  </r>
  <r>
    <s v="89CMAH2022000041R001520230234633"/>
    <s v="NULL"/>
    <x v="1"/>
  </r>
  <r>
    <s v="89CMAH2022000041R001520230234669"/>
    <s v="NULL"/>
    <x v="1"/>
  </r>
  <r>
    <s v="89CMAH2022000041R001520230234672"/>
    <s v="NULL"/>
    <x v="1"/>
  </r>
  <r>
    <s v="89CMAH2022000041R001520230234738"/>
    <s v="NULL"/>
    <x v="1"/>
  </r>
  <r>
    <s v="89CMAH2022000041R001520230289303"/>
    <s v="NULL"/>
    <x v="1"/>
  </r>
  <r>
    <s v="89CMAH2022000041R001520230289306"/>
    <s v="NULL"/>
    <x v="1"/>
  </r>
  <r>
    <s v="89CMAH2022000041R001520230289353"/>
    <s v="NULL"/>
    <x v="1"/>
  </r>
  <r>
    <s v="89CMAH2022000041R001520230289428"/>
    <s v="NULL"/>
    <x v="1"/>
  </r>
  <r>
    <s v="89CMAH2022000041R001520230289436"/>
    <s v="NULL"/>
    <x v="1"/>
  </r>
  <r>
    <s v="89CMAH2022000041R001520230289445"/>
    <s v="NULL"/>
    <x v="1"/>
  </r>
  <r>
    <s v="89CMAH2022000041R001520230289468"/>
    <s v="NULL"/>
    <x v="1"/>
  </r>
  <r>
    <s v="89CMAH2022000041R001520230289512"/>
    <s v="NULL"/>
    <x v="1"/>
  </r>
  <r>
    <s v="89CMAH2022000041R001520230289546"/>
    <s v="NULL"/>
    <x v="1"/>
  </r>
  <r>
    <s v="89CMAH2022000041R001520230289670"/>
    <s v="NULL"/>
    <x v="1"/>
  </r>
  <r>
    <s v="89CMAH2022000041R001520230289674"/>
    <s v="NULL"/>
    <x v="1"/>
  </r>
  <r>
    <s v="89CMAH2022000041R001520230289688"/>
    <s v="NULL"/>
    <x v="1"/>
  </r>
  <r>
    <s v="89CMAH2022000041R001520230289703"/>
    <s v="NULL"/>
    <x v="1"/>
  </r>
  <r>
    <s v="89CMAH2022000041R001520230289711"/>
    <s v="NULL"/>
    <x v="1"/>
  </r>
  <r>
    <s v="89CMAH2022000041R001520230289741"/>
    <s v="NULL"/>
    <x v="1"/>
  </r>
  <r>
    <s v="89CMAH2022000041R001520230289786"/>
    <s v="NULL"/>
    <x v="1"/>
  </r>
  <r>
    <s v="89CMAH2022000041R001520230289846"/>
    <s v="NULL"/>
    <x v="1"/>
  </r>
  <r>
    <s v="89CMAH2022000041R001520230289864"/>
    <s v="NULL"/>
    <x v="1"/>
  </r>
  <r>
    <s v="89CMAH2022000041R001520230289904"/>
    <s v="NULL"/>
    <x v="1"/>
  </r>
  <r>
    <s v="89CMAH2022000041R001520230289907"/>
    <s v="NULL"/>
    <x v="1"/>
  </r>
  <r>
    <s v="89CMAH2022000041R001520230289952"/>
    <s v="NULL"/>
    <x v="1"/>
  </r>
  <r>
    <s v="89CMAH2022000041R001520230289965"/>
    <s v="NULL"/>
    <x v="1"/>
  </r>
  <r>
    <s v="89CMAH2022000041R001520230289971"/>
    <s v="NULL"/>
    <x v="1"/>
  </r>
  <r>
    <s v="89CMAH2022000041R001520230289979"/>
    <s v="NULL"/>
    <x v="1"/>
  </r>
  <r>
    <s v="89CMAH2022000041R001520230289987"/>
    <s v="NULL"/>
    <x v="1"/>
  </r>
  <r>
    <s v="89CMAH2022000041R001520230290126"/>
    <s v="NULL"/>
    <x v="1"/>
  </r>
  <r>
    <s v="89CMAH2022000041R001520230290180"/>
    <s v="NULL"/>
    <x v="1"/>
  </r>
  <r>
    <s v="89CMAH2022000041R001520230290225"/>
    <s v="NULL"/>
    <x v="1"/>
  </r>
  <r>
    <s v="89CMAH2022000041R001520230290243"/>
    <s v="NULL"/>
    <x v="1"/>
  </r>
  <r>
    <s v="89CMAH2022000041R001520230290257"/>
    <s v="NULL"/>
    <x v="1"/>
  </r>
  <r>
    <s v="89CMAH2022000041R001520230290444"/>
    <s v="NULL"/>
    <x v="1"/>
  </r>
  <r>
    <s v="89CMAH2022000041R001520230290492"/>
    <s v="NULL"/>
    <x v="1"/>
  </r>
  <r>
    <s v="89CMAH2022000041R001520230290522"/>
    <s v="NULL"/>
    <x v="1"/>
  </r>
  <r>
    <s v="89CMAH2022000041R001520230290556"/>
    <s v="NULL"/>
    <x v="1"/>
  </r>
  <r>
    <s v="89CMAH2022000041R001520230290557"/>
    <s v="NULL"/>
    <x v="1"/>
  </r>
  <r>
    <s v="89CMAH2022000041R001520230290616"/>
    <s v="NULL"/>
    <x v="1"/>
  </r>
  <r>
    <s v="89CMAH2022000041R001520230290691"/>
    <s v="NULL"/>
    <x v="1"/>
  </r>
  <r>
    <s v="89CMAH2022000041R001520230290787"/>
    <s v="NULL"/>
    <x v="1"/>
  </r>
  <r>
    <s v="89CMAH2022000041R001520230290837"/>
    <s v="NULL"/>
    <x v="1"/>
  </r>
  <r>
    <s v="89CMAH2022000041R001520230290860"/>
    <s v="NULL"/>
    <x v="1"/>
  </r>
  <r>
    <s v="89CMAH2022000041R001520230290866"/>
    <s v="NULL"/>
    <x v="1"/>
  </r>
  <r>
    <s v="SNCN00000004"/>
    <s v="NULL"/>
    <x v="0"/>
  </r>
  <r>
    <s v="SNCN00000008"/>
    <s v="NULL"/>
    <x v="0"/>
  </r>
  <r>
    <s v="SNCN00000067"/>
    <s v="NULL"/>
    <x v="0"/>
  </r>
  <r>
    <s v="SNCN00000208"/>
    <s v="NULL"/>
    <x v="0"/>
  </r>
  <r>
    <s v="SNCN00000222"/>
    <s v="NULL"/>
    <x v="0"/>
  </r>
  <r>
    <s v="SNCN00000232"/>
    <s v="NULL"/>
    <x v="0"/>
  </r>
  <r>
    <s v="SNCN00000354"/>
    <s v="NULL"/>
    <x v="0"/>
  </r>
  <r>
    <s v="SNCN00000933"/>
    <s v="NULL"/>
    <x v="0"/>
  </r>
  <r>
    <s v="SNCN00000937"/>
    <s v="NULL"/>
    <x v="0"/>
  </r>
  <r>
    <s v="89CMAH2022000041R001520230085692"/>
    <s v="NULL"/>
    <x v="1"/>
  </r>
  <r>
    <s v="89CMAH2022000041R001520230178052"/>
    <s v="NULL"/>
    <x v="1"/>
  </r>
  <r>
    <s v="89CMAH2022000041R001520230178133"/>
    <s v="NULL"/>
    <x v="1"/>
  </r>
  <r>
    <s v="89CMAH2022000041R001520230234016"/>
    <s v="NULL"/>
    <x v="1"/>
  </r>
  <r>
    <s v="89CMAH2022000041R001520230234033"/>
    <s v="NULL"/>
    <x v="1"/>
  </r>
  <r>
    <s v="89CMAH2022000041R001520230234086"/>
    <s v="NULL"/>
    <x v="1"/>
  </r>
  <r>
    <s v="89CMAH2022000041R001520230234319"/>
    <s v="NULL"/>
    <x v="1"/>
  </r>
  <r>
    <s v="89CMAH2022000041R001520230234377"/>
    <s v="NULL"/>
    <x v="1"/>
  </r>
  <r>
    <s v="89CMAH2022000041R001520230234397"/>
    <s v="NULL"/>
    <x v="1"/>
  </r>
  <r>
    <s v="89CMAH2022000041R001520230234492"/>
    <s v="NULL"/>
    <x v="1"/>
  </r>
  <r>
    <s v="89CMAH2022000041R001520230234533"/>
    <s v="NULL"/>
    <x v="1"/>
  </r>
  <r>
    <s v="89CMAH2022000041R001520230234636"/>
    <s v="NULL"/>
    <x v="1"/>
  </r>
  <r>
    <s v="89CMAH2022000041R001520230234722"/>
    <s v="NULL"/>
    <x v="1"/>
  </r>
  <r>
    <s v="89CMAH2022000041R001520230289310"/>
    <s v="NULL"/>
    <x v="1"/>
  </r>
  <r>
    <s v="89CMAH2022000041R001520230289343"/>
    <s v="NULL"/>
    <x v="1"/>
  </r>
  <r>
    <s v="89CMAH2022000041R001520230289405"/>
    <s v="NULL"/>
    <x v="1"/>
  </r>
  <r>
    <s v="89CMAH2022000041R001520230289424"/>
    <s v="NULL"/>
    <x v="1"/>
  </r>
  <r>
    <s v="89CMAH2022000041R001520230289520"/>
    <s v="NULL"/>
    <x v="1"/>
  </r>
  <r>
    <s v="89CMAH2022000041R001520230289535"/>
    <s v="NULL"/>
    <x v="1"/>
  </r>
  <r>
    <s v="89CMAH2022000041R001520230289595"/>
    <s v="NULL"/>
    <x v="1"/>
  </r>
  <r>
    <s v="89CMAH2022000041R001520230289620"/>
    <s v="NULL"/>
    <x v="1"/>
  </r>
  <r>
    <s v="89CMAH2022000041R001520230289631"/>
    <s v="NULL"/>
    <x v="1"/>
  </r>
  <r>
    <s v="89CMAH2022000041R001520230289694"/>
    <s v="NULL"/>
    <x v="1"/>
  </r>
  <r>
    <s v="89CMAH2022000041R001520230289719"/>
    <s v="NULL"/>
    <x v="1"/>
  </r>
  <r>
    <s v="89CMAH2022000041R001520230289749"/>
    <s v="NULL"/>
    <x v="1"/>
  </r>
  <r>
    <s v="89CMAH2022000041R001520230289764"/>
    <s v="NULL"/>
    <x v="1"/>
  </r>
  <r>
    <s v="89CMAH2022000041R001520230289850"/>
    <s v="NULL"/>
    <x v="1"/>
  </r>
  <r>
    <s v="89CMAH2022000041R001520230289867"/>
    <s v="NULL"/>
    <x v="1"/>
  </r>
  <r>
    <s v="89CMAH2022000041R001520230289917"/>
    <s v="NULL"/>
    <x v="1"/>
  </r>
  <r>
    <s v="89CMAH2022000041R001520230289925"/>
    <s v="NULL"/>
    <x v="1"/>
  </r>
  <r>
    <s v="89CMAH2022000041R001520230289929"/>
    <s v="NULL"/>
    <x v="1"/>
  </r>
  <r>
    <s v="89CMAH2022000041R001520230289990"/>
    <s v="NULL"/>
    <x v="1"/>
  </r>
  <r>
    <s v="89CMAH2022000041R001520230290031"/>
    <s v="NULL"/>
    <x v="1"/>
  </r>
  <r>
    <s v="89CMAH2022000041R001520230290036"/>
    <s v="NULL"/>
    <x v="1"/>
  </r>
  <r>
    <s v="89CMAH2022000041R001520230290039"/>
    <s v="NULL"/>
    <x v="1"/>
  </r>
  <r>
    <s v="89CMAH2022000041R001520230290062"/>
    <s v="NULL"/>
    <x v="1"/>
  </r>
  <r>
    <s v="89CMAH2022000041R001520230290072"/>
    <s v="NULL"/>
    <x v="1"/>
  </r>
  <r>
    <s v="89CMAH2022000041R001520230290113"/>
    <s v="NULL"/>
    <x v="1"/>
  </r>
  <r>
    <s v="89CMAH2022000041R001520230290143"/>
    <s v="NULL"/>
    <x v="1"/>
  </r>
  <r>
    <s v="89CMAH2022000041R001520230290219"/>
    <s v="NULL"/>
    <x v="1"/>
  </r>
  <r>
    <s v="89CMAH2022000041R001520230290221"/>
    <s v="NULL"/>
    <x v="1"/>
  </r>
  <r>
    <s v="89CMAH2022000041R001520230290230"/>
    <s v="NULL"/>
    <x v="1"/>
  </r>
  <r>
    <s v="89CMAH2022000041R001520230290248"/>
    <s v="NULL"/>
    <x v="1"/>
  </r>
  <r>
    <s v="89CMAH2022000041R001520230290258"/>
    <s v="NULL"/>
    <x v="1"/>
  </r>
  <r>
    <s v="89CMAH2022000041R001520230290398"/>
    <s v="NULL"/>
    <x v="1"/>
  </r>
  <r>
    <s v="89CMAH2022000041R001520230290516"/>
    <s v="NULL"/>
    <x v="1"/>
  </r>
  <r>
    <s v="89CMAH2022000041R001520230290526"/>
    <s v="NULL"/>
    <x v="1"/>
  </r>
  <r>
    <s v="89CMAH2022000041R001520230290530"/>
    <s v="NULL"/>
    <x v="1"/>
  </r>
  <r>
    <s v="89CMAH2022000041R001520230290582"/>
    <s v="NULL"/>
    <x v="1"/>
  </r>
  <r>
    <s v="89CMAH2022000041R001520230290588"/>
    <s v="NULL"/>
    <x v="1"/>
  </r>
  <r>
    <s v="89CMAH2022000041R001520230290613"/>
    <s v="NULL"/>
    <x v="1"/>
  </r>
  <r>
    <s v="89CMAH2022000041R001520230290663"/>
    <s v="NULL"/>
    <x v="1"/>
  </r>
  <r>
    <s v="89CMAH2022000041R001520230290703"/>
    <s v="NULL"/>
    <x v="1"/>
  </r>
  <r>
    <s v="89CMAH2022000041R001520230290722"/>
    <s v="NULL"/>
    <x v="1"/>
  </r>
  <r>
    <s v="89CMAH2022000041R001520230290728"/>
    <s v="NULL"/>
    <x v="1"/>
  </r>
  <r>
    <s v="89CMAH2022000041R001520230290751"/>
    <s v="NULL"/>
    <x v="1"/>
  </r>
  <r>
    <s v="89CMAH2022000041R001520230290797"/>
    <s v="NULL"/>
    <x v="1"/>
  </r>
  <r>
    <s v="89CMAH2022000041R001520230290825"/>
    <s v="NULL"/>
    <x v="1"/>
  </r>
  <r>
    <s v="89CMAH2022000041R001520230290836"/>
    <s v="NULL"/>
    <x v="1"/>
  </r>
  <r>
    <s v="89CMAH2022000041R001520230290862"/>
    <s v="NULL"/>
    <x v="1"/>
  </r>
  <r>
    <s v="89CMAH2022000041R001520230290869"/>
    <s v="NULL"/>
    <x v="1"/>
  </r>
  <r>
    <s v="89CMAH2022000041R001520230290913"/>
    <s v="NULL"/>
    <x v="1"/>
  </r>
  <r>
    <s v="89CMAH2022000041R001520230290922"/>
    <s v="NULL"/>
    <x v="1"/>
  </r>
  <r>
    <s v="SNCN00000077"/>
    <s v="NULL"/>
    <x v="0"/>
  </r>
  <r>
    <s v="SNCN00000161"/>
    <s v="NULL"/>
    <x v="0"/>
  </r>
  <r>
    <s v="SNCN00000241"/>
    <s v="NULL"/>
    <x v="0"/>
  </r>
  <r>
    <s v="SNCN00000257"/>
    <s v="NULL"/>
    <x v="0"/>
  </r>
  <r>
    <s v="SNCN00000315"/>
    <s v="NULL"/>
    <x v="0"/>
  </r>
  <r>
    <s v="SNCN00000855"/>
    <s v="NULL"/>
    <x v="0"/>
  </r>
  <r>
    <s v="SNCN00000878"/>
    <s v="NULL"/>
    <x v="0"/>
  </r>
  <r>
    <s v="31CMAH0000000000R162304840738540"/>
    <s v="NULL"/>
    <x v="1"/>
  </r>
  <r>
    <s v="31CMAH0000000000R262304840018720"/>
    <s v="NULL"/>
    <x v="1"/>
  </r>
  <r>
    <s v="31CMAH0000000000R362304841016010"/>
    <s v="NULL"/>
    <x v="1"/>
  </r>
  <r>
    <s v="31CMAH0000000000R962304820309270"/>
    <s v="NULL"/>
    <x v="1"/>
  </r>
  <r>
    <s v="31CMAH0000000000R962304870326550"/>
    <s v="NULL"/>
    <x v="1"/>
  </r>
  <r>
    <s v="31CMAHhipotcS1xS2OVERPARREST0001"/>
    <s v="NULL"/>
    <x v="1"/>
  </r>
  <r>
    <s v="82000000007000589000200000642960"/>
    <s v="NULL"/>
    <x v="3"/>
  </r>
  <r>
    <s v="82000000007016717000200000674463"/>
    <s v="NULL"/>
    <x v="3"/>
  </r>
  <r>
    <s v="82000000007017961000200000761249"/>
    <s v="NULL"/>
    <x v="3"/>
  </r>
  <r>
    <s v="89CMAH2022000041R001520230040045"/>
    <s v="NULL"/>
    <x v="1"/>
  </r>
  <r>
    <s v="89CMAH2022000041R001520230085925"/>
    <s v="NULL"/>
    <x v="1"/>
  </r>
  <r>
    <s v="89CMAH2022000041R001520230086091"/>
    <s v="NULL"/>
    <x v="1"/>
  </r>
  <r>
    <s v="89CMAH2022000041R001520230145178"/>
    <s v="NULL"/>
    <x v="1"/>
  </r>
  <r>
    <s v="89CMAH2022000041R001520230178112"/>
    <s v="NULL"/>
    <x v="1"/>
  </r>
  <r>
    <s v="89CMAH2022000041R001520230178282"/>
    <s v="NULL"/>
    <x v="1"/>
  </r>
  <r>
    <s v="89CMAH2022000041R001520230233969"/>
    <s v="NULL"/>
    <x v="1"/>
  </r>
  <r>
    <s v="89CMAH2022000041R001520230234003"/>
    <s v="NULL"/>
    <x v="1"/>
  </r>
  <r>
    <s v="89CMAH2022000041R001520230234034"/>
    <s v="NULL"/>
    <x v="1"/>
  </r>
  <r>
    <s v="89CMAH2022000041R001520230234116"/>
    <s v="NULL"/>
    <x v="1"/>
  </r>
  <r>
    <s v="89CMAH2022000041R001520230234126"/>
    <s v="NULL"/>
    <x v="1"/>
  </r>
  <r>
    <s v="89CMAH2022000041R001520230234365"/>
    <s v="NULL"/>
    <x v="1"/>
  </r>
  <r>
    <s v="89CMAH2022000041R001520230234374"/>
    <s v="NULL"/>
    <x v="1"/>
  </r>
  <r>
    <s v="89CMAH2022000041R001520230234417"/>
    <s v="NULL"/>
    <x v="1"/>
  </r>
  <r>
    <s v="89CMAH2022000041R001520230234610"/>
    <s v="NULL"/>
    <x v="1"/>
  </r>
  <r>
    <s v="89CMAH2022000041R001520230289426"/>
    <s v="NULL"/>
    <x v="1"/>
  </r>
  <r>
    <s v="89CMAH2022000041R001520230289463"/>
    <s v="NULL"/>
    <x v="1"/>
  </r>
  <r>
    <s v="89CMAH2022000041R001520230289471"/>
    <s v="NULL"/>
    <x v="1"/>
  </r>
  <r>
    <s v="89CMAH2022000041R001520230289510"/>
    <s v="NULL"/>
    <x v="1"/>
  </r>
  <r>
    <s v="89CMAH2022000041R001520230289513"/>
    <s v="NULL"/>
    <x v="1"/>
  </r>
  <r>
    <s v="89CMAH2022000041R001520230289609"/>
    <s v="NULL"/>
    <x v="1"/>
  </r>
  <r>
    <s v="89CMAH2022000041R001520230289669"/>
    <s v="NULL"/>
    <x v="1"/>
  </r>
  <r>
    <s v="89CMAH2022000041R001520230289675"/>
    <s v="NULL"/>
    <x v="1"/>
  </r>
  <r>
    <s v="89CMAH2022000041R001520230289685"/>
    <s v="NULL"/>
    <x v="1"/>
  </r>
  <r>
    <s v="89CMAH2022000041R001520230289692"/>
    <s v="NULL"/>
    <x v="1"/>
  </r>
  <r>
    <s v="89CMAH2022000041R001520230289727"/>
    <s v="NULL"/>
    <x v="1"/>
  </r>
  <r>
    <s v="89CMAH2022000041R001520230289818"/>
    <s v="NULL"/>
    <x v="1"/>
  </r>
  <r>
    <s v="89CMAH2022000041R001520230289955"/>
    <s v="NULL"/>
    <x v="1"/>
  </r>
  <r>
    <s v="89CMAH2022000041R001520230289960"/>
    <s v="NULL"/>
    <x v="1"/>
  </r>
  <r>
    <s v="89CMAH2022000041R001520230290063"/>
    <s v="NULL"/>
    <x v="1"/>
  </r>
  <r>
    <s v="89CMAH2022000041R001520230290075"/>
    <s v="NULL"/>
    <x v="1"/>
  </r>
  <r>
    <s v="89CMAH2022000041R001520230290184"/>
    <s v="NULL"/>
    <x v="1"/>
  </r>
  <r>
    <s v="89CMAH2022000041R001520230290223"/>
    <s v="NULL"/>
    <x v="1"/>
  </r>
  <r>
    <s v="89CMAH2022000041R001520230290264"/>
    <s v="NULL"/>
    <x v="1"/>
  </r>
  <r>
    <s v="89CMAH2022000041R001520230290267"/>
    <s v="NULL"/>
    <x v="1"/>
  </r>
  <r>
    <s v="89CMAH2022000041R001520230290310"/>
    <s v="NULL"/>
    <x v="1"/>
  </r>
  <r>
    <s v="89CMAH2022000041R001520230290320"/>
    <s v="NULL"/>
    <x v="1"/>
  </r>
  <r>
    <s v="89CMAH2022000041R001520230290414"/>
    <s v="NULL"/>
    <x v="1"/>
  </r>
  <r>
    <s v="89CMAH2022000041R001520230290521"/>
    <s v="NULL"/>
    <x v="1"/>
  </r>
  <r>
    <s v="89CMAH2022000041R001520230290560"/>
    <s v="NULL"/>
    <x v="1"/>
  </r>
  <r>
    <s v="89CMAH2022000041R001520230290573"/>
    <s v="NULL"/>
    <x v="1"/>
  </r>
  <r>
    <s v="89CMAH2022000041R001520230290578"/>
    <s v="NULL"/>
    <x v="1"/>
  </r>
  <r>
    <s v="89CMAH2022000041R001520230290589"/>
    <s v="NULL"/>
    <x v="1"/>
  </r>
  <r>
    <s v="89CMAH2022000041R001520230290673"/>
    <s v="NULL"/>
    <x v="1"/>
  </r>
  <r>
    <s v="89CMAH2022000041R001520230290919"/>
    <s v="NULL"/>
    <x v="1"/>
  </r>
  <r>
    <s v="SNCN00000043"/>
    <s v="NULL"/>
    <x v="0"/>
  </r>
  <r>
    <s v="SNCN00000087"/>
    <s v="NULL"/>
    <x v="0"/>
  </r>
  <r>
    <s v="SNCN00000307"/>
    <s v="NULL"/>
    <x v="0"/>
  </r>
  <r>
    <s v="SNCN00000469"/>
    <s v="NULL"/>
    <x v="0"/>
  </r>
  <r>
    <s v="SNCN00000481"/>
    <s v="NULL"/>
    <x v="0"/>
  </r>
  <r>
    <s v="SNCN00000511"/>
    <s v="NULL"/>
    <x v="0"/>
  </r>
  <r>
    <s v="SNCN00000536"/>
    <s v="NULL"/>
    <x v="0"/>
  </r>
  <r>
    <s v="SNCN00000951"/>
    <s v="NULL"/>
    <x v="0"/>
  </r>
  <r>
    <s v="SNCN00000980"/>
    <s v="NULL"/>
    <x v="0"/>
  </r>
  <r>
    <s v="SNCN00000633"/>
    <s v="NULL"/>
    <x v="0"/>
  </r>
  <r>
    <s v="SNCN00000964"/>
    <s v="NULL"/>
    <x v="0"/>
  </r>
  <r>
    <s v="80CMAHTOTTI000000339379260000000"/>
    <s v="NULL"/>
    <x v="1"/>
  </r>
  <r>
    <s v="31000310192007091069674140100000"/>
    <s v="NULL"/>
    <x v="2"/>
  </r>
  <r>
    <s v="31000310195026091069674620100000"/>
    <s v="NULL"/>
    <x v="2"/>
  </r>
  <r>
    <s v="31000310531031090069674200100000"/>
    <s v="NULL"/>
    <x v="2"/>
  </r>
  <r>
    <s v="31CMAH0000000000R262304840018520"/>
    <s v="NULL"/>
    <x v="1"/>
  </r>
  <r>
    <s v="31CMAH0000000000R399904875248090"/>
    <s v="NULL"/>
    <x v="1"/>
  </r>
  <r>
    <s v="31CMAH0000000000R962304820340090"/>
    <s v="NULL"/>
    <x v="1"/>
  </r>
  <r>
    <s v="82000000000102341000420000415032"/>
    <s v="NULL"/>
    <x v="3"/>
  </r>
  <r>
    <s v="82000000000105981000450000410339"/>
    <s v="NULL"/>
    <x v="3"/>
  </r>
  <r>
    <s v="82000000007001741000200000643990"/>
    <s v="NULL"/>
    <x v="3"/>
  </r>
  <r>
    <s v="82000000007002183000200000644499"/>
    <s v="NULL"/>
    <x v="3"/>
  </r>
  <r>
    <s v="82000000007003209000200000645845"/>
    <s v="NULL"/>
    <x v="3"/>
  </r>
  <r>
    <s v="82000000007003329000200000720351"/>
    <s v="NULL"/>
    <x v="3"/>
  </r>
  <r>
    <s v="82000000007005804000200000648751"/>
    <s v="NULL"/>
    <x v="3"/>
  </r>
  <r>
    <s v="82000000007011487000200000680311"/>
    <s v="NULL"/>
    <x v="3"/>
  </r>
  <r>
    <s v="82000000007011520000200000679792"/>
    <s v="NULL"/>
    <x v="3"/>
  </r>
  <r>
    <s v="82000000007011547000200000679802"/>
    <s v="NULL"/>
    <x v="3"/>
  </r>
  <r>
    <s v="82000000007011563000200000680132"/>
    <s v="NULL"/>
    <x v="3"/>
  </r>
  <r>
    <s v="82000000007016719000200000540675"/>
    <s v="NULL"/>
    <x v="3"/>
  </r>
  <r>
    <s v="89CMAH2022000041R001520220603678"/>
    <s v="NULL"/>
    <x v="1"/>
  </r>
  <r>
    <s v="89CMAH2022000041R001520230040099"/>
    <s v="NULL"/>
    <x v="1"/>
  </r>
  <r>
    <s v="89CMAH2022000041R001520230085558"/>
    <s v="NULL"/>
    <x v="1"/>
  </r>
  <r>
    <s v="89CMAH2022000041R001520230086034"/>
    <s v="NULL"/>
    <x v="1"/>
  </r>
  <r>
    <s v="89CMAH2022000041R001520230086302"/>
    <s v="NULL"/>
    <x v="1"/>
  </r>
  <r>
    <s v="89CMAH2022000041R001520230145048"/>
    <s v="NULL"/>
    <x v="1"/>
  </r>
  <r>
    <s v="89CMAH2022000041R001520230178119"/>
    <s v="NULL"/>
    <x v="1"/>
  </r>
  <r>
    <s v="89CMAH2022000041R001520230178203"/>
    <s v="NULL"/>
    <x v="1"/>
  </r>
  <r>
    <s v="89CMAH2022000041R001520230233975"/>
    <s v="NULL"/>
    <x v="1"/>
  </r>
  <r>
    <s v="89CMAH2022000041R001520230233977"/>
    <s v="NULL"/>
    <x v="1"/>
  </r>
  <r>
    <s v="89CMAH2022000041R001520230234004"/>
    <s v="NULL"/>
    <x v="1"/>
  </r>
  <r>
    <s v="89CMAH2022000041R001520230234079"/>
    <s v="NULL"/>
    <x v="1"/>
  </r>
  <r>
    <s v="89CMAH2022000041R001520230234162"/>
    <s v="NULL"/>
    <x v="1"/>
  </r>
  <r>
    <s v="89CMAH2022000041R001520230234180"/>
    <s v="NULL"/>
    <x v="1"/>
  </r>
  <r>
    <s v="89CMAH2022000041R001520230234270"/>
    <s v="NULL"/>
    <x v="1"/>
  </r>
  <r>
    <s v="89CMAH2022000041R001520230234305"/>
    <s v="NULL"/>
    <x v="1"/>
  </r>
  <r>
    <s v="89CMAH2022000041R001520230234315"/>
    <s v="NULL"/>
    <x v="1"/>
  </r>
  <r>
    <s v="89CMAH2022000041R001520230234339"/>
    <s v="NULL"/>
    <x v="1"/>
  </r>
  <r>
    <s v="89CMAH2022000041R001520230234501"/>
    <s v="NULL"/>
    <x v="1"/>
  </r>
  <r>
    <s v="89CMAH2022000041R001520230234523"/>
    <s v="NULL"/>
    <x v="1"/>
  </r>
  <r>
    <s v="89CMAH2022000041R001520230289300"/>
    <s v="NULL"/>
    <x v="1"/>
  </r>
  <r>
    <s v="89CMAH2022000041R001520230289357"/>
    <s v="NULL"/>
    <x v="1"/>
  </r>
  <r>
    <s v="89CMAH2022000041R001520230289409"/>
    <s v="NULL"/>
    <x v="1"/>
  </r>
  <r>
    <s v="89CMAH2022000041R001520230289431"/>
    <s v="NULL"/>
    <x v="1"/>
  </r>
  <r>
    <s v="89CMAH2022000041R001520230289496"/>
    <s v="NULL"/>
    <x v="1"/>
  </r>
  <r>
    <s v="89CMAH2022000041R001520230289521"/>
    <s v="NULL"/>
    <x v="1"/>
  </r>
  <r>
    <s v="89CMAH2022000041R001520230289622"/>
    <s v="NULL"/>
    <x v="1"/>
  </r>
  <r>
    <s v="89CMAH2022000041R001520230289629"/>
    <s v="NULL"/>
    <x v="1"/>
  </r>
  <r>
    <s v="89CMAH2022000041R001520230289743"/>
    <s v="NULL"/>
    <x v="1"/>
  </r>
  <r>
    <s v="89CMAH2022000041R001520230289800"/>
    <s v="NULL"/>
    <x v="1"/>
  </r>
  <r>
    <s v="89CMAH2022000041R001520230289885"/>
    <s v="NULL"/>
    <x v="1"/>
  </r>
  <r>
    <s v="89CMAH2022000041R001520230289889"/>
    <s v="NULL"/>
    <x v="1"/>
  </r>
  <r>
    <s v="89CMAH2022000041R001520230289914"/>
    <s v="NULL"/>
    <x v="1"/>
  </r>
  <r>
    <s v="89CMAH2022000041R001520230289923"/>
    <s v="NULL"/>
    <x v="1"/>
  </r>
  <r>
    <s v="89CMAH2022000041R001520230289994"/>
    <s v="NULL"/>
    <x v="1"/>
  </r>
  <r>
    <s v="89CMAH2022000041R001520230290001"/>
    <s v="NULL"/>
    <x v="1"/>
  </r>
  <r>
    <s v="89CMAH2022000041R001520230290044"/>
    <s v="NULL"/>
    <x v="1"/>
  </r>
  <r>
    <s v="89CMAH2022000041R001520230290052"/>
    <s v="NULL"/>
    <x v="1"/>
  </r>
  <r>
    <s v="89CMAH2022000041R001520230290086"/>
    <s v="NULL"/>
    <x v="1"/>
  </r>
  <r>
    <s v="89CMAH2022000041R001520230290162"/>
    <s v="NULL"/>
    <x v="1"/>
  </r>
  <r>
    <s v="89CMAH2022000041R001520230290167"/>
    <s v="NULL"/>
    <x v="1"/>
  </r>
  <r>
    <s v="89CMAH2022000041R001520230290245"/>
    <s v="NULL"/>
    <x v="1"/>
  </r>
  <r>
    <s v="89CMAH2022000041R001520230290293"/>
    <s v="NULL"/>
    <x v="1"/>
  </r>
  <r>
    <s v="89CMAH2022000041R001520230290303"/>
    <s v="NULL"/>
    <x v="1"/>
  </r>
  <r>
    <s v="89CMAH2022000041R001520230290332"/>
    <s v="NULL"/>
    <x v="1"/>
  </r>
  <r>
    <s v="89CMAH2022000041R001520230290494"/>
    <s v="NULL"/>
    <x v="1"/>
  </r>
  <r>
    <s v="89CMAH2022000041R001520230290507"/>
    <s v="NULL"/>
    <x v="1"/>
  </r>
  <r>
    <s v="89CMAH2022000041R001520230290619"/>
    <s v="NULL"/>
    <x v="1"/>
  </r>
  <r>
    <s v="89CMAH2022000041R001520230290671"/>
    <s v="NULL"/>
    <x v="1"/>
  </r>
  <r>
    <s v="89CMAH2022000041R001520230290710"/>
    <s v="NULL"/>
    <x v="1"/>
  </r>
  <r>
    <s v="89CMAH2022000041R001520230290721"/>
    <s v="NULL"/>
    <x v="1"/>
  </r>
  <r>
    <s v="89CMAH2022000041R001520230290730"/>
    <s v="NULL"/>
    <x v="1"/>
  </r>
  <r>
    <s v="89CMAH2022000041R001520230290776"/>
    <s v="NULL"/>
    <x v="1"/>
  </r>
  <r>
    <s v="89CMAH2022000041R001520230290790"/>
    <s v="NULL"/>
    <x v="1"/>
  </r>
  <r>
    <s v="89CMAH2022000041R001520230290810"/>
    <s v="NULL"/>
    <x v="1"/>
  </r>
  <r>
    <s v="89CMAH2022000041R001520230290854"/>
    <s v="NULL"/>
    <x v="1"/>
  </r>
  <r>
    <s v="89CMAH2022000041R001520230290879"/>
    <s v="NULL"/>
    <x v="1"/>
  </r>
  <r>
    <s v="89CMAH2022000041R001520230290896"/>
    <s v="NULL"/>
    <x v="1"/>
  </r>
  <r>
    <s v="89CMAH2022000041R001520230290921"/>
    <s v="NULL"/>
    <x v="1"/>
  </r>
  <r>
    <s v="SNCN00000083"/>
    <s v="NULL"/>
    <x v="0"/>
  </r>
  <r>
    <s v="SNCN00000374"/>
    <s v="NULL"/>
    <x v="0"/>
  </r>
  <r>
    <s v="SNCN00000581"/>
    <s v="NULL"/>
    <x v="0"/>
  </r>
  <r>
    <s v="SNCN00000675"/>
    <s v="NULL"/>
    <x v="0"/>
  </r>
  <r>
    <s v="SNCN00000934"/>
    <s v="NULL"/>
    <x v="0"/>
  </r>
  <r>
    <s v="31CMAH0000000000R262304840019910"/>
    <s v="NULL"/>
    <x v="1"/>
  </r>
  <r>
    <s v="31CMAH0000000000R962304820340410"/>
    <s v="NULL"/>
    <x v="1"/>
  </r>
  <r>
    <s v="31CMAH0000000000R962304820358120"/>
    <s v="NULL"/>
    <x v="1"/>
  </r>
  <r>
    <s v="31CMAH0000000000R962304820369590"/>
    <s v="NULL"/>
    <x v="1"/>
  </r>
  <r>
    <s v="31CMAH0000000000R962304820383110"/>
    <s v="NULL"/>
    <x v="1"/>
  </r>
  <r>
    <s v="31CMAH0000000000R962304820384080"/>
    <s v="NULL"/>
    <x v="1"/>
  </r>
  <r>
    <s v="31CMAHenergyS1xS2OVER2ENFSMERT0A"/>
    <s v="NULL"/>
    <x v="1"/>
  </r>
  <r>
    <s v="31CMAHrxohabS1xS2PMAPARREST00002"/>
    <s v="NULL"/>
    <x v="1"/>
  </r>
  <r>
    <s v="82000000000070017000450000105698"/>
    <s v="NULL"/>
    <x v="3"/>
  </r>
  <r>
    <s v="82000000007002083000200000644283"/>
    <s v="NULL"/>
    <x v="3"/>
  </r>
  <r>
    <s v="82000000007002362000200000644602"/>
    <s v="NULL"/>
    <x v="3"/>
  </r>
  <r>
    <s v="82000000007003023000200000409193"/>
    <s v="NULL"/>
    <x v="3"/>
  </r>
  <r>
    <s v="82000000007003311000200000645952"/>
    <s v="NULL"/>
    <x v="3"/>
  </r>
  <r>
    <s v="82000000007003694000200000646244"/>
    <s v="NULL"/>
    <x v="3"/>
  </r>
  <r>
    <s v="82000000007008815000200000658942"/>
    <s v="NULL"/>
    <x v="3"/>
  </r>
  <r>
    <s v="82000000007011507000200000679781"/>
    <s v="NULL"/>
    <x v="3"/>
  </r>
  <r>
    <s v="82000000007017948000200000761227"/>
    <s v="NULL"/>
    <x v="3"/>
  </r>
  <r>
    <s v="89CMAH2022000041R001520220603311"/>
    <s v="NULL"/>
    <x v="1"/>
  </r>
  <r>
    <s v="89CMAH2022000041R001520230039925"/>
    <s v="NULL"/>
    <x v="1"/>
  </r>
  <r>
    <s v="89CMAH2022000041R001520230085648"/>
    <s v="NULL"/>
    <x v="1"/>
  </r>
  <r>
    <s v="89CMAH2022000041R001520230085687"/>
    <s v="NULL"/>
    <x v="1"/>
  </r>
  <r>
    <s v="89CMAH2022000041R001520230085710"/>
    <s v="NULL"/>
    <x v="1"/>
  </r>
  <r>
    <s v="89CMAH2022000041R001520230086093"/>
    <s v="NULL"/>
    <x v="1"/>
  </r>
  <r>
    <s v="89CMAH2022000041R001520230144910"/>
    <s v="NULL"/>
    <x v="1"/>
  </r>
  <r>
    <s v="89CMAH2022000041R001520230177986"/>
    <s v="NULL"/>
    <x v="1"/>
  </r>
  <r>
    <s v="89CMAH2022000041R001520230178071"/>
    <s v="NULL"/>
    <x v="1"/>
  </r>
  <r>
    <s v="89CMAH2022000041R001520230178086"/>
    <s v="NULL"/>
    <x v="1"/>
  </r>
  <r>
    <s v="89CMAH2022000041R001520230234057"/>
    <s v="NULL"/>
    <x v="1"/>
  </r>
  <r>
    <s v="89CMAH2022000041R001520230234239"/>
    <s v="NULL"/>
    <x v="1"/>
  </r>
  <r>
    <s v="89CMAH2022000041R001520230234297"/>
    <s v="NULL"/>
    <x v="1"/>
  </r>
  <r>
    <s v="89CMAH2022000041R001520230234378"/>
    <s v="NULL"/>
    <x v="1"/>
  </r>
  <r>
    <s v="89CMAH2022000041R001520230234388"/>
    <s v="NULL"/>
    <x v="1"/>
  </r>
  <r>
    <s v="89CMAH2022000041R001520230234553"/>
    <s v="NULL"/>
    <x v="1"/>
  </r>
  <r>
    <s v="89CMAH2022000041R001520230234632"/>
    <s v="NULL"/>
    <x v="1"/>
  </r>
  <r>
    <s v="89CMAH2022000041R001520230234653"/>
    <s v="NULL"/>
    <x v="1"/>
  </r>
  <r>
    <s v="89CMAH2022000041R001520230234685"/>
    <s v="NULL"/>
    <x v="1"/>
  </r>
  <r>
    <s v="89CMAH2022000041R001520230234701"/>
    <s v="NULL"/>
    <x v="1"/>
  </r>
  <r>
    <s v="89CMAH2022000041R001520230289294"/>
    <s v="NULL"/>
    <x v="1"/>
  </r>
  <r>
    <s v="89CMAH2022000041R001520230289302"/>
    <s v="NULL"/>
    <x v="1"/>
  </r>
  <r>
    <s v="89CMAH2022000041R001520230289317"/>
    <s v="NULL"/>
    <x v="1"/>
  </r>
  <r>
    <s v="89CMAH2022000041R001520230289448"/>
    <s v="NULL"/>
    <x v="1"/>
  </r>
  <r>
    <s v="89CMAH2022000041R001520230289456"/>
    <s v="NULL"/>
    <x v="1"/>
  </r>
  <r>
    <s v="89CMAH2022000041R001520230289483"/>
    <s v="NULL"/>
    <x v="1"/>
  </r>
  <r>
    <s v="89CMAH2022000041R001520230289562"/>
    <s v="NULL"/>
    <x v="1"/>
  </r>
  <r>
    <s v="89CMAH2022000041R001520230289608"/>
    <s v="NULL"/>
    <x v="1"/>
  </r>
  <r>
    <s v="89CMAH2022000041R001520230289642"/>
    <s v="NULL"/>
    <x v="1"/>
  </r>
  <r>
    <s v="89CMAH2022000041R001520230289714"/>
    <s v="NULL"/>
    <x v="1"/>
  </r>
  <r>
    <s v="89CMAH2022000041R001520230289744"/>
    <s v="NULL"/>
    <x v="1"/>
  </r>
  <r>
    <s v="89CMAH2022000041R001520230289758"/>
    <s v="NULL"/>
    <x v="1"/>
  </r>
  <r>
    <s v="89CMAH2022000041R001520230289978"/>
    <s v="NULL"/>
    <x v="1"/>
  </r>
  <r>
    <s v="89CMAH2022000041R001520230290056"/>
    <s v="NULL"/>
    <x v="1"/>
  </r>
  <r>
    <s v="89CMAH2022000041R001520230290084"/>
    <s v="NULL"/>
    <x v="1"/>
  </r>
  <r>
    <s v="89CMAH2022000041R001520230290145"/>
    <s v="NULL"/>
    <x v="1"/>
  </r>
  <r>
    <s v="89CMAH2022000041R001520230290246"/>
    <s v="NULL"/>
    <x v="1"/>
  </r>
  <r>
    <s v="89CMAH2022000041R001520230290306"/>
    <s v="NULL"/>
    <x v="1"/>
  </r>
  <r>
    <s v="89CMAH2022000041R001520230290536"/>
    <s v="NULL"/>
    <x v="1"/>
  </r>
  <r>
    <s v="89CMAH2022000041R001520230290548"/>
    <s v="NULL"/>
    <x v="1"/>
  </r>
  <r>
    <s v="89CMAH2022000041R001520230290579"/>
    <s v="NULL"/>
    <x v="1"/>
  </r>
  <r>
    <s v="89CMAH2022000041R001520230290602"/>
    <s v="NULL"/>
    <x v="1"/>
  </r>
  <r>
    <s v="89CMAH2022000041R001520230290717"/>
    <s v="NULL"/>
    <x v="1"/>
  </r>
  <r>
    <s v="89CMAH2022000041R001520230290746"/>
    <s v="NULL"/>
    <x v="1"/>
  </r>
  <r>
    <s v="89CMAH2022000041R001520230290766"/>
    <s v="NULL"/>
    <x v="1"/>
  </r>
  <r>
    <s v="89CMAH2022000041R001520230290801"/>
    <s v="NULL"/>
    <x v="1"/>
  </r>
  <r>
    <s v="SNCN00000188"/>
    <s v="NULL"/>
    <x v="0"/>
  </r>
  <r>
    <s v="SNCN00000210"/>
    <s v="NULL"/>
    <x v="0"/>
  </r>
  <r>
    <s v="SNCN00000247"/>
    <s v="NULL"/>
    <x v="0"/>
  </r>
  <r>
    <s v="SNCN00000256"/>
    <s v="NULL"/>
    <x v="0"/>
  </r>
  <r>
    <s v="SNCN00000266"/>
    <s v="NULL"/>
    <x v="0"/>
  </r>
  <r>
    <s v="SNCN00000277"/>
    <s v="NULL"/>
    <x v="0"/>
  </r>
  <r>
    <s v="SNCN00000353"/>
    <s v="NULL"/>
    <x v="0"/>
  </r>
  <r>
    <s v="SNCN00000547"/>
    <s v="NULL"/>
    <x v="0"/>
  </r>
  <r>
    <s v="SNCN00000548"/>
    <s v="NULL"/>
    <x v="0"/>
  </r>
  <r>
    <s v="SNCN00000567"/>
    <s v="NULL"/>
    <x v="0"/>
  </r>
  <r>
    <s v="SNCN00000640"/>
    <s v="NULL"/>
    <x v="0"/>
  </r>
  <r>
    <s v="31CMAH0000000000R262304820022860"/>
    <s v="NULL"/>
    <x v="1"/>
  </r>
  <r>
    <s v="31CMAH0000000000R262304820025250"/>
    <s v="NULL"/>
    <x v="1"/>
  </r>
  <r>
    <s v="31CMAH0000000000R599904833903700"/>
    <s v="NULL"/>
    <x v="1"/>
  </r>
  <r>
    <s v="31CMAH0000000000R962304820143820"/>
    <s v="NULL"/>
    <x v="1"/>
  </r>
  <r>
    <s v="31CMAH0000000000R962304820379540"/>
    <s v="NULL"/>
    <x v="1"/>
  </r>
  <r>
    <s v="31CMAH0000000000R962304830379180"/>
    <s v="NULL"/>
    <x v="1"/>
  </r>
  <r>
    <s v="31CMAH0000580004RXS0395875999000"/>
    <s v="NULL"/>
    <x v="1"/>
  </r>
  <r>
    <s v="82000000000120873000450000423976"/>
    <s v="NULL"/>
    <x v="3"/>
  </r>
  <r>
    <s v="82000000007009434000200000666453"/>
    <s v="NULL"/>
    <x v="3"/>
  </r>
  <r>
    <s v="82000000007015402000200000718470"/>
    <s v="NULL"/>
    <x v="3"/>
  </r>
  <r>
    <s v="82000000007017536000200000753926"/>
    <s v="NULL"/>
    <x v="3"/>
  </r>
  <r>
    <s v="31CMAH0000000000R962304820340080"/>
    <s v="NULL"/>
    <x v="1"/>
  </r>
  <r>
    <s v="31CMAH0000000000R962304820393090"/>
    <s v="NULL"/>
    <x v="1"/>
  </r>
  <r>
    <s v="31CMAH0000000000R962304820409440"/>
    <s v="NULL"/>
    <x v="1"/>
  </r>
  <r>
    <s v="31CMAHenergyS1xS2OVER2ENFGDRST0F"/>
    <s v="NULL"/>
    <x v="1"/>
  </r>
  <r>
    <s v="82000000000123267000450000416648"/>
    <s v="NULL"/>
    <x v="3"/>
  </r>
  <r>
    <s v="82000000007001276000200000643656"/>
    <s v="NULL"/>
    <x v="3"/>
  </r>
  <r>
    <s v="82000000007006028000200000648810"/>
    <s v="NULL"/>
    <x v="3"/>
  </r>
  <r>
    <s v="89CMAH2022000041R001520230085788"/>
    <s v="NULL"/>
    <x v="1"/>
  </r>
  <r>
    <s v="89CMAH2022000041R001520230144894"/>
    <s v="NULL"/>
    <x v="1"/>
  </r>
  <r>
    <s v="89CMAH2022000041R001520230145019"/>
    <s v="NULL"/>
    <x v="1"/>
  </r>
  <r>
    <s v="89CMAH2022000041R001520230145180"/>
    <s v="NULL"/>
    <x v="1"/>
  </r>
  <r>
    <s v="89CMAH2022000041R001520230177877"/>
    <s v="NULL"/>
    <x v="1"/>
  </r>
  <r>
    <s v="89CMAH2022000041R001520230178102"/>
    <s v="NULL"/>
    <x v="1"/>
  </r>
  <r>
    <s v="89CMAH2022000041R001520230178356"/>
    <s v="NULL"/>
    <x v="1"/>
  </r>
  <r>
    <s v="89CMAH2022000041R001520230233970"/>
    <s v="NULL"/>
    <x v="1"/>
  </r>
  <r>
    <s v="89CMAH2022000041R001520230233989"/>
    <s v="NULL"/>
    <x v="1"/>
  </r>
  <r>
    <s v="89CMAH2022000041R001520230234111"/>
    <s v="NULL"/>
    <x v="1"/>
  </r>
  <r>
    <s v="89CMAH2022000041R001520230234283"/>
    <s v="NULL"/>
    <x v="1"/>
  </r>
  <r>
    <s v="89CMAH2022000041R001520230234405"/>
    <s v="NULL"/>
    <x v="1"/>
  </r>
  <r>
    <s v="89CMAH2022000041R001520230234517"/>
    <s v="NULL"/>
    <x v="1"/>
  </r>
  <r>
    <s v="89CMAH2022000041R001520230234657"/>
    <s v="NULL"/>
    <x v="1"/>
  </r>
  <r>
    <s v="89CMAH2022000041R001520230234692"/>
    <s v="NULL"/>
    <x v="1"/>
  </r>
  <r>
    <s v="89CMAH2022000041R001520230234743"/>
    <s v="NULL"/>
    <x v="1"/>
  </r>
  <r>
    <s v="89CMAH2022000041R001520230289314"/>
    <s v="NULL"/>
    <x v="1"/>
  </r>
  <r>
    <s v="89CMAH2022000041R001520230289325"/>
    <s v="NULL"/>
    <x v="1"/>
  </r>
  <r>
    <s v="89CMAH2022000041R001520230289341"/>
    <s v="NULL"/>
    <x v="1"/>
  </r>
  <r>
    <s v="89CMAH2022000041R001520230289411"/>
    <s v="NULL"/>
    <x v="1"/>
  </r>
  <r>
    <s v="89CMAH2022000041R001520230289494"/>
    <s v="NULL"/>
    <x v="1"/>
  </r>
  <r>
    <s v="89CMAH2022000041R001520230289515"/>
    <s v="NULL"/>
    <x v="1"/>
  </r>
  <r>
    <s v="89CMAH2022000041R001520230289617"/>
    <s v="NULL"/>
    <x v="1"/>
  </r>
  <r>
    <s v="89CMAH2022000041R001520230289638"/>
    <s v="NULL"/>
    <x v="1"/>
  </r>
  <r>
    <s v="89CMAH2022000041R001520230289682"/>
    <s v="NULL"/>
    <x v="1"/>
  </r>
  <r>
    <s v="89CMAH2022000041R001520230289816"/>
    <s v="NULL"/>
    <x v="1"/>
  </r>
  <r>
    <s v="89CMAH2022000041R001520230289862"/>
    <s v="NULL"/>
    <x v="1"/>
  </r>
  <r>
    <s v="89CMAH2022000041R001520230289884"/>
    <s v="NULL"/>
    <x v="1"/>
  </r>
  <r>
    <s v="89CMAH2022000041R001520230289892"/>
    <s v="NULL"/>
    <x v="1"/>
  </r>
  <r>
    <s v="89CMAH2022000041R001520230289899"/>
    <s v="NULL"/>
    <x v="1"/>
  </r>
  <r>
    <s v="89CMAH2022000041R001520230289998"/>
    <s v="NULL"/>
    <x v="1"/>
  </r>
  <r>
    <s v="89CMAH2022000041R001520230290003"/>
    <s v="NULL"/>
    <x v="1"/>
  </r>
  <r>
    <s v="89CMAH2022000041R001520230290067"/>
    <s v="NULL"/>
    <x v="1"/>
  </r>
  <r>
    <s v="89CMAH2022000041R001520230290125"/>
    <s v="NULL"/>
    <x v="1"/>
  </r>
  <r>
    <s v="89CMAH2022000041R001520230290268"/>
    <s v="NULL"/>
    <x v="1"/>
  </r>
  <r>
    <s v="89CMAH2022000041R001520230290288"/>
    <s v="NULL"/>
    <x v="1"/>
  </r>
  <r>
    <s v="89CMAH2022000041R001520230290295"/>
    <s v="NULL"/>
    <x v="1"/>
  </r>
  <r>
    <s v="89CMAH2022000041R001520230290317"/>
    <s v="NULL"/>
    <x v="1"/>
  </r>
  <r>
    <s v="89CMAH2022000041R001520230290353"/>
    <s v="NULL"/>
    <x v="1"/>
  </r>
  <r>
    <s v="89CMAH2022000041R001520230290391"/>
    <s v="NULL"/>
    <x v="1"/>
  </r>
  <r>
    <s v="89CMAH2022000041R001520230290392"/>
    <s v="NULL"/>
    <x v="1"/>
  </r>
  <r>
    <s v="89CMAH2022000041R001520230290418"/>
    <s v="NULL"/>
    <x v="1"/>
  </r>
  <r>
    <s v="89CMAH2022000041R001520230290487"/>
    <s v="NULL"/>
    <x v="1"/>
  </r>
  <r>
    <s v="89CMAH2022000041R001520230290496"/>
    <s v="NULL"/>
    <x v="1"/>
  </r>
  <r>
    <s v="89CMAH2022000041R001520230290501"/>
    <s v="NULL"/>
    <x v="1"/>
  </r>
  <r>
    <s v="89CMAH2022000041R001520230290513"/>
    <s v="NULL"/>
    <x v="1"/>
  </r>
  <r>
    <s v="89CMAH2022000041R001520230290545"/>
    <s v="NULL"/>
    <x v="1"/>
  </r>
  <r>
    <s v="89CMAH2022000041R001520230290599"/>
    <s v="NULL"/>
    <x v="1"/>
  </r>
  <r>
    <s v="89CMAH2022000041R001520230290664"/>
    <s v="NULL"/>
    <x v="1"/>
  </r>
  <r>
    <s v="89CMAH2022000041R001520230290682"/>
    <s v="NULL"/>
    <x v="1"/>
  </r>
  <r>
    <s v="89CMAH2022000041R001520230290688"/>
    <s v="NULL"/>
    <x v="1"/>
  </r>
  <r>
    <s v="89CMAH2022000041R001520230290723"/>
    <s v="NULL"/>
    <x v="1"/>
  </r>
  <r>
    <s v="89CMAH2022000041R001520230290831"/>
    <s v="NULL"/>
    <x v="1"/>
  </r>
  <r>
    <s v="89CMAH2022000041R001520230290842"/>
    <s v="NULL"/>
    <x v="1"/>
  </r>
  <r>
    <s v="SNCN00000022"/>
    <s v="NULL"/>
    <x v="0"/>
  </r>
  <r>
    <s v="SNCN00000033"/>
    <s v="NULL"/>
    <x v="0"/>
  </r>
  <r>
    <s v="SNCN00000040"/>
    <s v="NULL"/>
    <x v="0"/>
  </r>
  <r>
    <s v="SNCN00000875"/>
    <s v="NULL"/>
    <x v="0"/>
  </r>
  <r>
    <s v="SNCN00000972"/>
    <s v="NULL"/>
    <x v="0"/>
  </r>
  <r>
    <s v="SNCN00000978"/>
    <s v="NULL"/>
    <x v="0"/>
  </r>
  <r>
    <s v="89CMAH2022000041R001520220603932"/>
    <s v="NULL"/>
    <x v="1"/>
  </r>
  <r>
    <s v="89CMAH2022000041R001520230039733"/>
    <s v="NULL"/>
    <x v="1"/>
  </r>
  <r>
    <s v="89CMAH2022000041R001520230085475"/>
    <s v="NULL"/>
    <x v="1"/>
  </r>
  <r>
    <s v="89CMAH2022000041R001520230177919"/>
    <s v="NULL"/>
    <x v="1"/>
  </r>
  <r>
    <s v="89CMAH2022000041R001520230178001"/>
    <s v="NULL"/>
    <x v="1"/>
  </r>
  <r>
    <s v="89CMAH2022000041R001520230178128"/>
    <s v="NULL"/>
    <x v="1"/>
  </r>
  <r>
    <s v="89CMAH2022000041R001520230178173"/>
    <s v="NULL"/>
    <x v="1"/>
  </r>
  <r>
    <s v="89CMAH2022000041R001520230178316"/>
    <s v="NULL"/>
    <x v="1"/>
  </r>
  <r>
    <s v="89CMAH2022000041R001520230178583"/>
    <s v="NULL"/>
    <x v="1"/>
  </r>
  <r>
    <s v="89CMAH2022000041R001520230234022"/>
    <s v="NULL"/>
    <x v="1"/>
  </r>
  <r>
    <s v="89CMAH2022000041R001520230234129"/>
    <s v="NULL"/>
    <x v="1"/>
  </r>
  <r>
    <s v="89CMAH2022000041R001520230234301"/>
    <s v="NULL"/>
    <x v="1"/>
  </r>
  <r>
    <s v="89CMAH2022000041R001520230234338"/>
    <s v="NULL"/>
    <x v="1"/>
  </r>
  <r>
    <s v="89CMAH2022000041R001520230234426"/>
    <s v="NULL"/>
    <x v="1"/>
  </r>
  <r>
    <s v="89CMAH2022000041R001520230234480"/>
    <s v="NULL"/>
    <x v="1"/>
  </r>
  <r>
    <s v="89CMAH2022000041R001520230234618"/>
    <s v="NULL"/>
    <x v="1"/>
  </r>
  <r>
    <s v="89CMAH2022000041R001520230234670"/>
    <s v="NULL"/>
    <x v="1"/>
  </r>
  <r>
    <s v="89CMAH2022000041R001520230234673"/>
    <s v="NULL"/>
    <x v="1"/>
  </r>
  <r>
    <s v="89CMAH2022000041R001520230234726"/>
    <s v="NULL"/>
    <x v="1"/>
  </r>
  <r>
    <s v="89CMAH2022000041R001520230289337"/>
    <s v="NULL"/>
    <x v="1"/>
  </r>
  <r>
    <s v="89CMAH2022000041R001520230289470"/>
    <s v="NULL"/>
    <x v="1"/>
  </r>
  <r>
    <s v="89CMAH2022000041R001520230289490"/>
    <s v="NULL"/>
    <x v="1"/>
  </r>
  <r>
    <s v="89CMAH2022000041R001520230289526"/>
    <s v="NULL"/>
    <x v="1"/>
  </r>
  <r>
    <s v="89CMAH2022000041R001520230289601"/>
    <s v="NULL"/>
    <x v="1"/>
  </r>
  <r>
    <s v="89CMAH2022000041R001520230289614"/>
    <s v="NULL"/>
    <x v="1"/>
  </r>
  <r>
    <s v="89CMAH2022000041R001520230289660"/>
    <s v="NULL"/>
    <x v="1"/>
  </r>
  <r>
    <s v="89CMAH2022000041R001520230289706"/>
    <s v="NULL"/>
    <x v="1"/>
  </r>
  <r>
    <s v="89CMAH2022000041R001520230289856"/>
    <s v="NULL"/>
    <x v="1"/>
  </r>
  <r>
    <s v="89CMAH2022000041R001520230289860"/>
    <s v="NULL"/>
    <x v="1"/>
  </r>
  <r>
    <s v="89CMAH2022000041R001520230289872"/>
    <s v="NULL"/>
    <x v="1"/>
  </r>
  <r>
    <s v="89CMAH2022000041R001520230289897"/>
    <s v="NULL"/>
    <x v="1"/>
  </r>
  <r>
    <s v="89CMAH2022000041R001520230290046"/>
    <s v="NULL"/>
    <x v="1"/>
  </r>
  <r>
    <s v="89CMAH2022000041R001520230290059"/>
    <s v="NULL"/>
    <x v="1"/>
  </r>
  <r>
    <s v="89CMAH2022000041R001520230290140"/>
    <s v="NULL"/>
    <x v="1"/>
  </r>
  <r>
    <s v="89CMAH2022000041R001520230290228"/>
    <s v="NULL"/>
    <x v="1"/>
  </r>
  <r>
    <s v="89CMAH2022000041R001520230290500"/>
    <s v="NULL"/>
    <x v="1"/>
  </r>
  <r>
    <s v="89CMAH2022000041R001520230290697"/>
    <s v="NULL"/>
    <x v="1"/>
  </r>
  <r>
    <s v="89CMAH2022000041R001520230290699"/>
    <s v="NULL"/>
    <x v="1"/>
  </r>
  <r>
    <s v="89CMAH2022000041R001520230290796"/>
    <s v="NULL"/>
    <x v="1"/>
  </r>
  <r>
    <s v="89CMAH2022000041R001520230290803"/>
    <s v="NULL"/>
    <x v="1"/>
  </r>
  <r>
    <s v="89CMAH2022000041R001520230290881"/>
    <s v="NULL"/>
    <x v="1"/>
  </r>
  <r>
    <s v="SNCN00000126"/>
    <s v="NULL"/>
    <x v="0"/>
  </r>
  <r>
    <s v="SNCN00000135"/>
    <s v="NULL"/>
    <x v="0"/>
  </r>
  <r>
    <s v="SNCN00000306"/>
    <s v="NULL"/>
    <x v="0"/>
  </r>
  <r>
    <s v="SNCN00000340"/>
    <s v="NULL"/>
    <x v="0"/>
  </r>
  <r>
    <s v="SNCN00000371"/>
    <s v="NULL"/>
    <x v="0"/>
  </r>
  <r>
    <s v="SNCN00000429"/>
    <s v="NULL"/>
    <x v="0"/>
  </r>
  <r>
    <s v="SNCN00000484"/>
    <s v="NULL"/>
    <x v="0"/>
  </r>
  <r>
    <s v="SNCN00000596"/>
    <s v="NULL"/>
    <x v="0"/>
  </r>
  <r>
    <s v="SNCN00000650"/>
    <s v="NULL"/>
    <x v="0"/>
  </r>
  <r>
    <s v="31CMAH0000000000R262304840020120"/>
    <s v="NULL"/>
    <x v="1"/>
  </r>
  <r>
    <s v="31CMAH0000000000R962304820111240"/>
    <s v="NULL"/>
    <x v="1"/>
  </r>
  <r>
    <s v="31CMAH0000000000R962304820150010"/>
    <s v="NULL"/>
    <x v="1"/>
  </r>
  <r>
    <s v="31CMAH0000000000R962304820205570"/>
    <s v="NULL"/>
    <x v="1"/>
  </r>
  <r>
    <s v="31CMAH0000000000R962304820225180"/>
    <s v="NULL"/>
    <x v="1"/>
  </r>
  <r>
    <s v="31CMAH0000000000R962304820309470"/>
    <s v="NULL"/>
    <x v="1"/>
  </r>
  <r>
    <s v="31CMAH0000000000R962304820320590"/>
    <s v="NULL"/>
    <x v="1"/>
  </r>
  <r>
    <s v="31CMAH0000000000R962304820325080"/>
    <s v="NULL"/>
    <x v="1"/>
  </r>
  <r>
    <s v="31CMAH0000000000R962304820340070"/>
    <s v="NULL"/>
    <x v="1"/>
  </r>
  <r>
    <s v="31CMAH0000000000R962304820346880"/>
    <s v="NULL"/>
    <x v="1"/>
  </r>
  <r>
    <s v="31CMAH0000000000R962304820372510"/>
    <s v="NULL"/>
    <x v="1"/>
  </r>
  <r>
    <s v="31CMAH0000000000R962304880186890"/>
    <s v="NULL"/>
    <x v="1"/>
  </r>
  <r>
    <s v="31CMAH00380016879363603800168799"/>
    <s v="NULL"/>
    <x v="1"/>
  </r>
  <r>
    <s v="31CMAHenergyS1xS2OVER2ENFGDRST0H"/>
    <s v="NULL"/>
    <x v="1"/>
  </r>
  <r>
    <s v="82000000005034180000510000723244"/>
    <s v="NULL"/>
    <x v="3"/>
  </r>
  <r>
    <s v="82000000007000312000200000560596"/>
    <s v="NULL"/>
    <x v="3"/>
  </r>
  <r>
    <s v="82000000007006382000200000647500"/>
    <s v="NULL"/>
    <x v="3"/>
  </r>
  <r>
    <s v="82000000007007770000200000654459"/>
    <s v="NULL"/>
    <x v="3"/>
  </r>
  <r>
    <s v="82000000007011203000200000681045"/>
    <s v="NULL"/>
    <x v="3"/>
  </r>
  <r>
    <s v="82000000007017949000200000761230"/>
    <s v="NULL"/>
    <x v="3"/>
  </r>
  <r>
    <s v="82000000008007126000530000885059"/>
    <s v="NULL"/>
    <x v="3"/>
  </r>
  <r>
    <s v="89CMAH2022000041R001520220602738"/>
    <s v="NULL"/>
    <x v="1"/>
  </r>
  <r>
    <s v="89CMAH2022000041R001520230039639"/>
    <s v="NULL"/>
    <x v="1"/>
  </r>
  <r>
    <s v="89CMAH2022000041R001520230085849"/>
    <s v="NULL"/>
    <x v="1"/>
  </r>
  <r>
    <s v="89CMAH2022000041R001520230085881"/>
    <s v="NULL"/>
    <x v="1"/>
  </r>
  <r>
    <s v="89CMAH2022000041R001520230144715"/>
    <s v="NULL"/>
    <x v="1"/>
  </r>
  <r>
    <s v="89CMAH2022000041R001520230144721"/>
    <s v="NULL"/>
    <x v="1"/>
  </r>
  <r>
    <s v="89CMAH2022000041R001520230177962"/>
    <s v="NULL"/>
    <x v="1"/>
  </r>
  <r>
    <s v="89CMAH2022000041R001520230178618"/>
    <s v="NULL"/>
    <x v="1"/>
  </r>
  <r>
    <s v="89CMAH2022000041R001520230234084"/>
    <s v="NULL"/>
    <x v="1"/>
  </r>
  <r>
    <s v="89CMAH2022000041R001520230234281"/>
    <s v="NULL"/>
    <x v="1"/>
  </r>
  <r>
    <s v="89CMAH2022000041R001520230234285"/>
    <s v="NULL"/>
    <x v="1"/>
  </r>
  <r>
    <s v="89CMAH2022000041R001520230234303"/>
    <s v="NULL"/>
    <x v="1"/>
  </r>
  <r>
    <s v="89CMAH2022000041R001520230234345"/>
    <s v="NULL"/>
    <x v="1"/>
  </r>
  <r>
    <s v="89CMAH2022000041R001520230234454"/>
    <s v="NULL"/>
    <x v="1"/>
  </r>
  <r>
    <s v="89CMAH2022000041R001520230234534"/>
    <s v="NULL"/>
    <x v="1"/>
  </r>
  <r>
    <s v="89CMAH2022000041R001520230234562"/>
    <s v="NULL"/>
    <x v="1"/>
  </r>
  <r>
    <s v="89CMAH2022000041R001520230289278"/>
    <s v="NULL"/>
    <x v="1"/>
  </r>
  <r>
    <s v="89CMAH2022000041R001520230289281"/>
    <s v="NULL"/>
    <x v="1"/>
  </r>
  <r>
    <s v="89CMAH2022000041R001520230289326"/>
    <s v="NULL"/>
    <x v="1"/>
  </r>
  <r>
    <s v="89CMAH2022000041R001520230289328"/>
    <s v="NULL"/>
    <x v="1"/>
  </r>
  <r>
    <s v="89CMAH2022000041R001520230289336"/>
    <s v="NULL"/>
    <x v="1"/>
  </r>
  <r>
    <s v="89CMAH2022000041R001520230289414"/>
    <s v="NULL"/>
    <x v="1"/>
  </r>
  <r>
    <s v="89CMAH2022000041R001520230289459"/>
    <s v="NULL"/>
    <x v="1"/>
  </r>
  <r>
    <s v="89CMAH2022000041R001520230289508"/>
    <s v="NULL"/>
    <x v="1"/>
  </r>
  <r>
    <s v="89CMAH2022000041R001520230289517"/>
    <s v="NULL"/>
    <x v="1"/>
  </r>
  <r>
    <s v="89CMAH2022000041R001520230289632"/>
    <s v="NULL"/>
    <x v="1"/>
  </r>
  <r>
    <s v="89CMAH2022000041R001520230289681"/>
    <s v="NULL"/>
    <x v="1"/>
  </r>
  <r>
    <s v="89CMAH2022000041R001520230289747"/>
    <s v="NULL"/>
    <x v="1"/>
  </r>
  <r>
    <s v="89CMAH2022000041R001520230289826"/>
    <s v="NULL"/>
    <x v="1"/>
  </r>
  <r>
    <s v="89CMAH2022000041R001520230289903"/>
    <s v="NULL"/>
    <x v="1"/>
  </r>
  <r>
    <s v="89CMAH2022000041R001520230290012"/>
    <s v="NULL"/>
    <x v="1"/>
  </r>
  <r>
    <s v="89CMAH2022000041R001520230290064"/>
    <s v="NULL"/>
    <x v="1"/>
  </r>
  <r>
    <s v="89CMAH2022000041R001520230290088"/>
    <s v="NULL"/>
    <x v="1"/>
  </r>
  <r>
    <s v="89CMAH2022000041R001520230290137"/>
    <s v="NULL"/>
    <x v="1"/>
  </r>
  <r>
    <s v="89CMAH2022000041R001520230290152"/>
    <s v="NULL"/>
    <x v="1"/>
  </r>
  <r>
    <s v="89CMAH2022000041R001520230290222"/>
    <s v="NULL"/>
    <x v="1"/>
  </r>
  <r>
    <s v="89CMAH2022000041R001520230290227"/>
    <s v="NULL"/>
    <x v="1"/>
  </r>
  <r>
    <s v="89CMAH2022000041R001520230290240"/>
    <s v="NULL"/>
    <x v="1"/>
  </r>
  <r>
    <s v="89CMAH2022000041R001520230290284"/>
    <s v="NULL"/>
    <x v="1"/>
  </r>
  <r>
    <s v="89CMAH2022000041R001520230290339"/>
    <s v="NULL"/>
    <x v="1"/>
  </r>
  <r>
    <s v="89CMAH2022000041R001520230290380"/>
    <s v="NULL"/>
    <x v="1"/>
  </r>
  <r>
    <s v="89CMAH2022000041R001520230290462"/>
    <s v="NULL"/>
    <x v="1"/>
  </r>
  <r>
    <s v="89CMAH2022000041R001520230290479"/>
    <s v="NULL"/>
    <x v="1"/>
  </r>
  <r>
    <s v="89CMAH2022000041R001520230290587"/>
    <s v="NULL"/>
    <x v="1"/>
  </r>
  <r>
    <s v="89CMAH2022000041R001520230290595"/>
    <s v="NULL"/>
    <x v="1"/>
  </r>
  <r>
    <s v="89CMAH2022000041R001520230290634"/>
    <s v="NULL"/>
    <x v="1"/>
  </r>
  <r>
    <s v="89CMAH2022000041R001520230290661"/>
    <s v="NULL"/>
    <x v="1"/>
  </r>
  <r>
    <s v="89CMAH2022000041R001520230290748"/>
    <s v="NULL"/>
    <x v="1"/>
  </r>
  <r>
    <s v="89CMAH2022000041R001520230290753"/>
    <s v="NULL"/>
    <x v="1"/>
  </r>
  <r>
    <s v="SNCN00000030"/>
    <s v="NULL"/>
    <x v="0"/>
  </r>
  <r>
    <s v="SNCN00000144"/>
    <s v="NULL"/>
    <x v="0"/>
  </r>
  <r>
    <s v="SNCN00000215"/>
    <s v="NULL"/>
    <x v="0"/>
  </r>
  <r>
    <s v="SNCN00000246"/>
    <s v="NULL"/>
    <x v="0"/>
  </r>
  <r>
    <s v="SNCN00000309"/>
    <s v="NULL"/>
    <x v="0"/>
  </r>
  <r>
    <s v="SNCN00000350"/>
    <s v="NULL"/>
    <x v="0"/>
  </r>
  <r>
    <s v="SNCN00000522"/>
    <s v="NULL"/>
    <x v="0"/>
  </r>
  <r>
    <s v="SNCN00000708"/>
    <s v="NULL"/>
    <x v="0"/>
  </r>
  <r>
    <s v="SNCN00000921"/>
    <s v="NULL"/>
    <x v="0"/>
  </r>
  <r>
    <s v="31CMAH0000000000R162304880023020"/>
    <s v="NULL"/>
    <x v="1"/>
  </r>
  <r>
    <s v="31CMAH0000000000R262304820022840"/>
    <s v="NULL"/>
    <x v="1"/>
  </r>
  <r>
    <s v="31CMAH3884865000R000000000000000"/>
    <s v="NULL"/>
    <x v="1"/>
  </r>
  <r>
    <s v="31CMAHhipotcS1xS2OVERPARREST0002"/>
    <s v="NULL"/>
    <x v="1"/>
  </r>
  <r>
    <s v="82000000000113621000450000421091"/>
    <s v="NULL"/>
    <x v="3"/>
  </r>
  <r>
    <s v="82000000007002772000200000645216"/>
    <s v="NULL"/>
    <x v="3"/>
  </r>
  <r>
    <s v="82000000007004389000200000647221"/>
    <s v="NULL"/>
    <x v="3"/>
  </r>
  <r>
    <s v="82000000007006089000200000617450"/>
    <s v="NULL"/>
    <x v="3"/>
  </r>
  <r>
    <s v="82000000007008372000200000657142"/>
    <s v="NULL"/>
    <x v="3"/>
  </r>
  <r>
    <s v="82000000007008800000200000660403"/>
    <s v="NULL"/>
    <x v="3"/>
  </r>
  <r>
    <s v="82000000007010020000200000672052"/>
    <s v="NULL"/>
    <x v="3"/>
  </r>
  <r>
    <s v="82000000007011454000200000680873"/>
    <s v="NULL"/>
    <x v="3"/>
  </r>
  <r>
    <s v="82001120230000046000007401715685"/>
    <s v="NULL"/>
    <x v="3"/>
  </r>
  <r>
    <s v="89CMAH2022000041R001520230039452"/>
    <s v="NULL"/>
    <x v="1"/>
  </r>
  <r>
    <s v="89CMAH2022000041R001520230039736"/>
    <s v="NULL"/>
    <x v="1"/>
  </r>
  <r>
    <s v="89CMAH2022000041R001520230039763"/>
    <s v="NULL"/>
    <x v="1"/>
  </r>
  <r>
    <s v="89CMAH2022000041R001520230085742"/>
    <s v="NULL"/>
    <x v="1"/>
  </r>
  <r>
    <s v="89CMAH2022000041R001520230086016"/>
    <s v="NULL"/>
    <x v="1"/>
  </r>
  <r>
    <s v="89CMAH2022000041R001520230178124"/>
    <s v="NULL"/>
    <x v="1"/>
  </r>
  <r>
    <s v="89CMAH2022000041R001520230178269"/>
    <s v="NULL"/>
    <x v="1"/>
  </r>
  <r>
    <s v="89CMAH2022000041R001520230178350"/>
    <s v="NULL"/>
    <x v="1"/>
  </r>
  <r>
    <s v="89CMAH2022000041R001520230178408"/>
    <s v="NULL"/>
    <x v="1"/>
  </r>
  <r>
    <s v="89CMAH2022000041R001520230178584"/>
    <s v="NULL"/>
    <x v="1"/>
  </r>
  <r>
    <s v="89CMAH2022000041R001520230178614"/>
    <s v="NULL"/>
    <x v="1"/>
  </r>
  <r>
    <s v="89CMAH2022000041R001520230234245"/>
    <s v="NULL"/>
    <x v="1"/>
  </r>
  <r>
    <s v="89CMAH2022000041R001520230234354"/>
    <s v="NULL"/>
    <x v="1"/>
  </r>
  <r>
    <s v="89CMAH2022000041R001520230234366"/>
    <s v="NULL"/>
    <x v="1"/>
  </r>
  <r>
    <s v="89CMAH2022000041R001520230234511"/>
    <s v="NULL"/>
    <x v="1"/>
  </r>
  <r>
    <s v="89CMAH2022000041R001520230234655"/>
    <s v="NULL"/>
    <x v="1"/>
  </r>
  <r>
    <s v="89CMAH2022000041R001520230234659"/>
    <s v="NULL"/>
    <x v="1"/>
  </r>
  <r>
    <s v="89CMAH2022000041R001520230234713"/>
    <s v="NULL"/>
    <x v="1"/>
  </r>
  <r>
    <s v="89CMAH2022000041R001520230289315"/>
    <s v="NULL"/>
    <x v="1"/>
  </r>
  <r>
    <s v="89CMAH2022000041R001520230289334"/>
    <s v="NULL"/>
    <x v="1"/>
  </r>
  <r>
    <s v="89CMAH2022000041R001520230289395"/>
    <s v="NULL"/>
    <x v="1"/>
  </r>
  <r>
    <s v="89CMAH2022000041R001520230289442"/>
    <s v="NULL"/>
    <x v="1"/>
  </r>
  <r>
    <s v="89CMAH2022000041R001520230289561"/>
    <s v="NULL"/>
    <x v="1"/>
  </r>
  <r>
    <s v="89CMAH2022000041R001520230289563"/>
    <s v="NULL"/>
    <x v="1"/>
  </r>
  <r>
    <s v="89CMAH2022000041R001520230289602"/>
    <s v="NULL"/>
    <x v="1"/>
  </r>
  <r>
    <s v="89CMAH2022000041R001520230289657"/>
    <s v="NULL"/>
    <x v="1"/>
  </r>
  <r>
    <s v="89CMAH2022000041R001520230289702"/>
    <s v="NULL"/>
    <x v="1"/>
  </r>
  <r>
    <s v="89CMAH2022000041R001520230289709"/>
    <s v="NULL"/>
    <x v="1"/>
  </r>
  <r>
    <s v="89CMAH2022000041R001520230289847"/>
    <s v="NULL"/>
    <x v="1"/>
  </r>
  <r>
    <s v="89CMAH2022000041R001520230289911"/>
    <s v="NULL"/>
    <x v="1"/>
  </r>
  <r>
    <s v="89CMAH2022000041R001520230290170"/>
    <s v="NULL"/>
    <x v="1"/>
  </r>
  <r>
    <s v="89CMAH2022000041R001520230290255"/>
    <s v="NULL"/>
    <x v="1"/>
  </r>
  <r>
    <s v="89CMAH2022000041R001520230290277"/>
    <s v="NULL"/>
    <x v="1"/>
  </r>
  <r>
    <s v="89CMAH2022000041R001520230290540"/>
    <s v="NULL"/>
    <x v="1"/>
  </r>
  <r>
    <s v="89CMAH2022000041R001520230290549"/>
    <s v="NULL"/>
    <x v="1"/>
  </r>
  <r>
    <s v="89CMAH2022000041R001520230290564"/>
    <s v="NULL"/>
    <x v="1"/>
  </r>
  <r>
    <s v="89CMAH2022000041R001520230290768"/>
    <s v="NULL"/>
    <x v="1"/>
  </r>
  <r>
    <s v="89CMAH2022000041R001520230290783"/>
    <s v="NULL"/>
    <x v="1"/>
  </r>
  <r>
    <s v="89CMAH2022000041R001520230290853"/>
    <s v="NULL"/>
    <x v="1"/>
  </r>
  <r>
    <s v="89CMAH2022000041R001520230290873"/>
    <s v="NULL"/>
    <x v="1"/>
  </r>
  <r>
    <s v="SNCN00000044"/>
    <s v="NULL"/>
    <x v="0"/>
  </r>
  <r>
    <s v="SNCN00000086"/>
    <s v="NULL"/>
    <x v="0"/>
  </r>
  <r>
    <s v="SNCN00000407"/>
    <s v="NULL"/>
    <x v="0"/>
  </r>
  <r>
    <s v="SNCN00000415"/>
    <s v="NULL"/>
    <x v="0"/>
  </r>
  <r>
    <s v="SNCN00000551"/>
    <s v="NULL"/>
    <x v="0"/>
  </r>
  <r>
    <s v="SNCN00000973"/>
    <s v="NULL"/>
    <x v="0"/>
  </r>
</pivotCacheRecords>
</file>

<file path=xl/pivotCache/pivotCacheRecords2.xml><?xml version="1.0" encoding="utf-8"?>
<pivotCacheRecords xmlns="http://schemas.openxmlformats.org/spreadsheetml/2006/main" xmlns:r="http://schemas.openxmlformats.org/officeDocument/2006/relationships" count="51">
  <r>
    <s v="ACCMLTD_IMPRMNT_INSTRMNT"/>
    <n v="2020862"/>
    <n v="0"/>
    <n v="0"/>
    <n v="0"/>
    <n v="0"/>
    <x v="0"/>
    <x v="0"/>
    <x v="0"/>
    <x v="0"/>
  </r>
  <r>
    <s v="ACCNTNG_CLSSFCTN"/>
    <n v="2020862"/>
    <n v="0"/>
    <n v="0"/>
    <n v="0"/>
    <n v="0"/>
    <x v="0"/>
    <x v="0"/>
    <x v="0"/>
    <x v="0"/>
  </r>
  <r>
    <s v="COD_SOC"/>
    <n v="2020862"/>
    <n v="0"/>
    <n v="0"/>
    <n v="0"/>
    <n v="0"/>
    <x v="0"/>
    <x v="0"/>
    <x v="0"/>
    <x v="0"/>
  </r>
  <r>
    <s v="DFLT_STTS_INSTRMNT"/>
    <n v="2020862"/>
    <n v="0"/>
    <n v="0"/>
    <n v="0"/>
    <n v="0"/>
    <x v="0"/>
    <x v="0"/>
    <x v="0"/>
    <x v="0"/>
  </r>
  <r>
    <s v="FLG_INSTRMNT_CNCLLD"/>
    <n v="0"/>
    <n v="2020862"/>
    <n v="0"/>
    <n v="0"/>
    <n v="0"/>
    <x v="1"/>
    <x v="1"/>
    <x v="1"/>
    <x v="1"/>
  </r>
  <r>
    <s v="GRSS_CRRYNG_AMNT_INSTRMNT"/>
    <n v="2020862"/>
    <n v="0"/>
    <n v="0"/>
    <n v="0"/>
    <n v="0"/>
    <x v="0"/>
    <x v="0"/>
    <x v="0"/>
    <x v="0"/>
  </r>
  <r>
    <s v="IMPRMNT_STTS"/>
    <n v="2020862"/>
    <n v="0"/>
    <n v="0"/>
    <n v="0"/>
    <n v="0"/>
    <x v="0"/>
    <x v="0"/>
    <x v="0"/>
    <x v="0"/>
  </r>
  <r>
    <s v="OFF_BLNC_SHT_AMNT_INSTRMNT"/>
    <n v="2020862"/>
    <n v="0"/>
    <n v="0"/>
    <n v="0"/>
    <n v="0"/>
    <x v="0"/>
    <x v="0"/>
    <x v="0"/>
    <x v="0"/>
  </r>
  <r>
    <s v="PRFRMNG_STTS"/>
    <n v="2020862"/>
    <n v="0"/>
    <n v="0"/>
    <n v="0"/>
    <n v="0"/>
    <x v="0"/>
    <x v="0"/>
    <x v="0"/>
    <x v="0"/>
  </r>
  <r>
    <s v="PRVSNS_OFF_BLNC_SHT"/>
    <n v="2020862"/>
    <n v="0"/>
    <n v="0"/>
    <n v="0"/>
    <n v="0"/>
    <x v="0"/>
    <x v="0"/>
    <x v="0"/>
    <x v="0"/>
  </r>
  <r>
    <s v="RWA"/>
    <n v="2020838"/>
    <n v="24"/>
    <n v="0"/>
    <n v="0"/>
    <n v="0"/>
    <x v="0"/>
    <x v="0"/>
    <x v="0"/>
    <x v="0"/>
  </r>
  <r>
    <s v="TYP_INSTRMNT"/>
    <n v="2020862"/>
    <n v="0"/>
    <n v="0"/>
    <n v="0"/>
    <n v="0"/>
    <x v="0"/>
    <x v="0"/>
    <x v="0"/>
    <x v="0"/>
  </r>
  <r>
    <s v="NT_LN_LSS_PRVSN_OFF_BLNC"/>
    <n v="2016743"/>
    <n v="0"/>
    <n v="454"/>
    <n v="0"/>
    <n v="3665"/>
    <x v="2"/>
    <x v="0"/>
    <x v="2"/>
    <x v="2"/>
  </r>
  <r>
    <s v="AVRG_BLNC"/>
    <n v="1999977"/>
    <n v="0"/>
    <n v="17220"/>
    <n v="0"/>
    <n v="3665"/>
    <x v="3"/>
    <x v="0"/>
    <x v="0"/>
    <x v="3"/>
  </r>
  <r>
    <s v="INTRNL_TRNSFR_RT"/>
    <n v="1922105"/>
    <n v="1"/>
    <n v="52234"/>
    <n v="42857"/>
    <n v="3665"/>
    <x v="3"/>
    <x v="0"/>
    <x v="0"/>
    <x v="3"/>
  </r>
  <r>
    <s v="NT_LN_LSS_PRVSN"/>
    <n v="2016735"/>
    <n v="8"/>
    <n v="454"/>
    <n v="0"/>
    <n v="3665"/>
    <x v="3"/>
    <x v="0"/>
    <x v="0"/>
    <x v="3"/>
  </r>
  <r>
    <s v="ACCMLTD_CHNGS_FV_CR_INSTRMNT"/>
    <n v="2020862"/>
    <n v="0"/>
    <n v="0"/>
    <n v="0"/>
    <n v="0"/>
    <x v="0"/>
    <x v="0"/>
    <x v="0"/>
    <x v="0"/>
  </r>
  <r>
    <s v="AVRG_BLNC_OFF_BLNC"/>
    <n v="2016743"/>
    <n v="0"/>
    <n v="454"/>
    <n v="0"/>
    <n v="3665"/>
    <x v="2"/>
    <x v="0"/>
    <x v="2"/>
    <x v="2"/>
  </r>
  <r>
    <s v="BSNSS_AREA"/>
    <n v="1698475"/>
    <n v="0"/>
    <n v="160239"/>
    <n v="158483"/>
    <n v="3665"/>
    <x v="3"/>
    <x v="0"/>
    <x v="0"/>
    <x v="3"/>
  </r>
  <r>
    <s v="BSNSS_AREA_CCRR"/>
    <n v="1952146"/>
    <n v="0"/>
    <n v="65051"/>
    <n v="0"/>
    <n v="3665"/>
    <x v="4"/>
    <x v="0"/>
    <x v="0"/>
    <x v="4"/>
  </r>
  <r>
    <s v="BSNSS_AREA_DSTNTN"/>
    <n v="2020862"/>
    <n v="0"/>
    <n v="0"/>
    <n v="0"/>
    <n v="0"/>
    <x v="0"/>
    <x v="0"/>
    <x v="0"/>
    <x v="0"/>
  </r>
  <r>
    <s v="CNCLLD_INSTRMNT_STTS"/>
    <n v="0"/>
    <n v="0"/>
    <n v="0"/>
    <n v="2020862"/>
    <n v="0"/>
    <x v="2"/>
    <x v="2"/>
    <x v="2"/>
    <x v="2"/>
  </r>
  <r>
    <s v="COD_SOC_DSTNTN"/>
    <n v="2020862"/>
    <n v="0"/>
    <n v="0"/>
    <n v="0"/>
    <n v="0"/>
    <x v="0"/>
    <x v="0"/>
    <x v="0"/>
    <x v="0"/>
  </r>
  <r>
    <s v="COD_SOC_INTRGRP"/>
    <n v="0"/>
    <n v="0"/>
    <n v="0"/>
    <n v="2020862"/>
    <n v="0"/>
    <x v="2"/>
    <x v="2"/>
    <x v="2"/>
    <x v="2"/>
  </r>
  <r>
    <s v="DT_RFRNC"/>
    <n v="2020862"/>
    <n v="0"/>
    <n v="0"/>
    <n v="0"/>
    <n v="0"/>
    <x v="0"/>
    <x v="0"/>
    <x v="0"/>
    <x v="0"/>
  </r>
  <r>
    <s v="FLG_INTRBSNSS"/>
    <n v="2020862"/>
    <n v="0"/>
    <n v="0"/>
    <n v="0"/>
    <n v="0"/>
    <x v="0"/>
    <x v="0"/>
    <x v="0"/>
    <x v="0"/>
  </r>
  <r>
    <s v="GNS_FNNCL_TRNSCTN_EXCHNG_CCRR"/>
    <n v="0"/>
    <n v="0"/>
    <n v="0"/>
    <n v="2017197"/>
    <n v="3665"/>
    <x v="4"/>
    <x v="0"/>
    <x v="0"/>
    <x v="4"/>
  </r>
  <r>
    <s v="GNS_FNNCL_TRNSCTN_EXCHNG_DFFRNCS"/>
    <n v="1816745"/>
    <n v="0"/>
    <n v="446"/>
    <n v="200006"/>
    <n v="3665"/>
    <x v="4"/>
    <x v="0"/>
    <x v="0"/>
    <x v="4"/>
  </r>
  <r>
    <s v="GRSS_CMMSSN_EXPNS"/>
    <n v="1856278"/>
    <n v="0"/>
    <n v="2436"/>
    <n v="158483"/>
    <n v="3665"/>
    <x v="4"/>
    <x v="3"/>
    <x v="0"/>
    <x v="4"/>
  </r>
  <r>
    <s v="GRSS_CMMSSN_EXPNS_CCRR"/>
    <n v="0"/>
    <n v="0"/>
    <n v="0"/>
    <n v="2017197"/>
    <n v="3665"/>
    <x v="4"/>
    <x v="3"/>
    <x v="0"/>
    <x v="4"/>
  </r>
  <r>
    <s v="GRSS_CMMSSN_EXPNS_OFF_BLNC"/>
    <n v="1856204"/>
    <n v="0"/>
    <n v="2531"/>
    <n v="158462"/>
    <n v="3665"/>
    <x v="4"/>
    <x v="3"/>
    <x v="0"/>
    <x v="4"/>
  </r>
  <r>
    <s v="GRSS_CMMSSN_EXPNS_OFF_BLNC_CCRR"/>
    <n v="0"/>
    <n v="0"/>
    <n v="0"/>
    <n v="2017197"/>
    <n v="3665"/>
    <x v="4"/>
    <x v="3"/>
    <x v="0"/>
    <x v="4"/>
  </r>
  <r>
    <s v="GRSS_CMMSSN_INCM"/>
    <n v="1849078"/>
    <n v="0"/>
    <n v="9636"/>
    <n v="158483"/>
    <n v="3665"/>
    <x v="4"/>
    <x v="3"/>
    <x v="0"/>
    <x v="4"/>
  </r>
  <r>
    <s v="GRSS_CMMSSN_INCM_CCRR"/>
    <n v="0"/>
    <n v="0"/>
    <n v="0"/>
    <n v="2017197"/>
    <n v="3665"/>
    <x v="4"/>
    <x v="3"/>
    <x v="0"/>
    <x v="4"/>
  </r>
  <r>
    <s v="GRSS_CMMSSN_INCM_OFF_BLNC"/>
    <n v="1849458"/>
    <n v="0"/>
    <n v="9256"/>
    <n v="158483"/>
    <n v="3665"/>
    <x v="4"/>
    <x v="3"/>
    <x v="0"/>
    <x v="4"/>
  </r>
  <r>
    <s v="GRSS_CMMSSN_INCM_OFF_BLNC_CCRR"/>
    <n v="0"/>
    <n v="0"/>
    <n v="0"/>
    <n v="2017197"/>
    <n v="3665"/>
    <x v="4"/>
    <x v="3"/>
    <x v="0"/>
    <x v="4"/>
  </r>
  <r>
    <s v="GRSS_INTRST_EXPNS"/>
    <n v="1816745"/>
    <n v="0"/>
    <n v="446"/>
    <n v="200006"/>
    <n v="3665"/>
    <x v="4"/>
    <x v="0"/>
    <x v="0"/>
    <x v="4"/>
  </r>
  <r>
    <s v="GRSS_INTRST_EXPNS_CCRR"/>
    <n v="0"/>
    <n v="0"/>
    <n v="0"/>
    <n v="2017197"/>
    <n v="3665"/>
    <x v="4"/>
    <x v="0"/>
    <x v="0"/>
    <x v="4"/>
  </r>
  <r>
    <s v="GRSS_INTRST_INCM"/>
    <n v="1815954"/>
    <n v="0"/>
    <n v="446"/>
    <n v="201588"/>
    <n v="3665"/>
    <x v="4"/>
    <x v="0"/>
    <x v="0"/>
    <x v="4"/>
  </r>
  <r>
    <s v="GRSS_INTRST_INCM_CCRR"/>
    <n v="0"/>
    <n v="0"/>
    <n v="0"/>
    <n v="2017197"/>
    <n v="3665"/>
    <x v="4"/>
    <x v="0"/>
    <x v="0"/>
    <x v="4"/>
  </r>
  <r>
    <s v="IDCMB"/>
    <n v="2020862"/>
    <n v="0"/>
    <n v="0"/>
    <n v="0"/>
    <n v="0"/>
    <x v="0"/>
    <x v="2"/>
    <x v="0"/>
    <x v="0"/>
  </r>
  <r>
    <s v="INSTRMNT_ID"/>
    <n v="2020862"/>
    <n v="0"/>
    <n v="0"/>
    <n v="0"/>
    <n v="0"/>
    <x v="0"/>
    <x v="0"/>
    <x v="0"/>
    <x v="0"/>
  </r>
  <r>
    <s v="INTRBSNSS_ADJ_COD"/>
    <n v="2020862"/>
    <n v="0"/>
    <n v="0"/>
    <n v="0"/>
    <n v="0"/>
    <x v="0"/>
    <x v="0"/>
    <x v="0"/>
    <x v="0"/>
  </r>
  <r>
    <s v="INTRNL_TRNSFR_RT_OFF_BLNC"/>
    <n v="0"/>
    <n v="0"/>
    <n v="0"/>
    <n v="2020862"/>
    <n v="0"/>
    <x v="5"/>
    <x v="0"/>
    <x v="3"/>
    <x v="5"/>
  </r>
  <r>
    <s v="LCL_INSTMRNT_ID"/>
    <n v="2020862"/>
    <n v="0"/>
    <n v="0"/>
    <n v="0"/>
    <n v="0"/>
    <x v="0"/>
    <x v="2"/>
    <x v="0"/>
    <x v="0"/>
  </r>
  <r>
    <s v="MNGMNT_PRDCT"/>
    <n v="1892168"/>
    <n v="0"/>
    <n v="2344"/>
    <n v="122685"/>
    <n v="3665"/>
    <x v="4"/>
    <x v="0"/>
    <x v="0"/>
    <x v="4"/>
  </r>
  <r>
    <s v="NW_BSNSS"/>
    <n v="0"/>
    <n v="0"/>
    <n v="0"/>
    <n v="2017197"/>
    <n v="3665"/>
    <x v="2"/>
    <x v="0"/>
    <x v="2"/>
    <x v="2"/>
  </r>
  <r>
    <s v="RWA_OFF_BLNC"/>
    <n v="0"/>
    <n v="0"/>
    <n v="0"/>
    <n v="2020862"/>
    <n v="0"/>
    <x v="5"/>
    <x v="0"/>
    <x v="3"/>
    <x v="5"/>
  </r>
  <r>
    <s v="SSTNBL_CTGRY"/>
    <n v="0"/>
    <n v="0"/>
    <n v="0"/>
    <n v="2020862"/>
    <n v="0"/>
    <x v="2"/>
    <x v="0"/>
    <x v="2"/>
    <x v="2"/>
  </r>
  <r>
    <s v="SSTNBL_INDCTR"/>
    <n v="0"/>
    <n v="0"/>
    <n v="0"/>
    <n v="2020862"/>
    <n v="0"/>
    <x v="2"/>
    <x v="0"/>
    <x v="2"/>
    <x v="2"/>
  </r>
  <r>
    <s v="SUBPORTFOLIO_ID"/>
    <n v="2020862"/>
    <n v="0"/>
    <n v="0"/>
    <n v="0"/>
    <n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10" firstHeaderRow="1" firstDataRow="1" firstDataCol="1"/>
  <pivotFields count="3">
    <pivotField dataField="1" showAll="0"/>
    <pivotField showAll="0"/>
    <pivotField axis="axisRow" showAll="0">
      <items count="7">
        <item x="4"/>
        <item x="1"/>
        <item x="3"/>
        <item x="0"/>
        <item x="5"/>
        <item x="2"/>
        <item t="default"/>
      </items>
    </pivotField>
  </pivotFields>
  <rowFields count="1">
    <field x="2"/>
  </rowFields>
  <rowItems count="7">
    <i>
      <x/>
    </i>
    <i>
      <x v="1"/>
    </i>
    <i>
      <x v="2"/>
    </i>
    <i>
      <x v="3"/>
    </i>
    <i>
      <x v="4"/>
    </i>
    <i>
      <x v="5"/>
    </i>
    <i t="grand">
      <x/>
    </i>
  </rowItems>
  <colItems count="1">
    <i/>
  </colItems>
  <dataFields count="1">
    <dataField name="Count of instrmnt_id" fld="0" subtotal="count" baseField="0" baseItem="0" numFmtId="3"/>
  </dataFields>
  <formats count="3">
    <format dxfId="28">
      <pivotArea outline="0" collapsedLevelsAreSubtotals="1" fieldPosition="0"/>
    </format>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41:P4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3"/>
        <item x="2"/>
        <item x="4"/>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2">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33:P3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showAll="0" defaultSubtotal="0"/>
    <pivotField axis="axisRow" dataField="1" showAll="0" defaultSubtotal="0">
      <items count="6">
        <item h="1" x="2"/>
        <item x="4"/>
        <item x="3"/>
        <item x="0"/>
        <item h="1" x="5"/>
        <item h="1" x="1"/>
      </items>
    </pivotField>
  </pivotFields>
  <rowFields count="1">
    <field x="9"/>
  </rowFields>
  <rowItems count="4">
    <i>
      <x v="1"/>
    </i>
    <i>
      <x v="2"/>
    </i>
    <i>
      <x v="3"/>
    </i>
    <i t="grand">
      <x/>
    </i>
  </rowItems>
  <colItems count="1">
    <i/>
  </colItems>
  <pageFields count="1">
    <pageField fld="7" hier="-1"/>
  </pageFields>
  <dataFields count="1">
    <dataField name="Count of Status teste" fld="9" subtotal="count" baseField="0" baseItem="0"/>
  </dataFields>
  <chartFormats count="4">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3"/>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10"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11:P1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3"/>
        <item x="2"/>
        <item x="4"/>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7">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O1:P6" firstHeaderRow="1" firstDataRow="1" firstDataCol="1"/>
  <pivotFields count="10">
    <pivotField showAll="0"/>
    <pivotField numFmtId="3" showAll="0"/>
    <pivotField numFmtId="3" showAll="0"/>
    <pivotField numFmtId="3" showAll="0"/>
    <pivotField numFmtId="3" showAll="0" defaultSubtotal="0"/>
    <pivotField numFmtId="3" showAll="0"/>
    <pivotField showAll="0"/>
    <pivotField axis="axisRow" dataField="1" showAll="0">
      <items count="5">
        <item x="2"/>
        <item x="3"/>
        <item x="1"/>
        <item x="0"/>
        <item t="default"/>
      </items>
    </pivotField>
    <pivotField showAll="0" defaultSubtotal="0"/>
    <pivotField showAll="0" defaultSubtotal="0"/>
  </pivotFields>
  <rowFields count="1">
    <field x="7"/>
  </rowFields>
  <rowItems count="5">
    <i>
      <x/>
    </i>
    <i>
      <x v="1"/>
    </i>
    <i>
      <x v="2"/>
    </i>
    <i>
      <x v="3"/>
    </i>
    <i t="grand">
      <x/>
    </i>
  </rowItems>
  <colItems count="1">
    <i/>
  </colItems>
  <dataFields count="1">
    <dataField name="Count of Alterações Corp" fld="7" subtotal="count" baseField="0" baseItem="0"/>
  </dataFields>
  <chartFormats count="5">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7" count="1" selected="0">
            <x v="3"/>
          </reference>
        </references>
      </pivotArea>
    </chartFormat>
    <chartFormat chart="4" format="54">
      <pivotArea type="data" outline="0" fieldPosition="0">
        <references count="2">
          <reference field="4294967294" count="1" selected="0">
            <x v="0"/>
          </reference>
          <reference field="7" count="1" selected="0">
            <x v="2"/>
          </reference>
        </references>
      </pivotArea>
    </chartFormat>
    <chartFormat chart="4" format="55">
      <pivotArea type="data" outline="0" fieldPosition="0">
        <references count="2">
          <reference field="4294967294" count="1" selected="0">
            <x v="0"/>
          </reference>
          <reference field="7" count="1" selected="0">
            <x v="0"/>
          </reference>
        </references>
      </pivotArea>
    </chartFormat>
    <chartFormat chart="4" format="5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24:P28"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axis="axisRow" dataField="1" showAll="0" defaultSubtotal="0">
      <items count="4">
        <item x="0"/>
        <item x="2"/>
        <item x="3"/>
        <item x="1"/>
      </items>
    </pivotField>
    <pivotField showAll="0" defaultSubtotal="0"/>
  </pivotFields>
  <rowFields count="1">
    <field x="8"/>
  </rowFields>
  <rowItems count="4">
    <i>
      <x/>
    </i>
    <i>
      <x v="1"/>
    </i>
    <i>
      <x v="2"/>
    </i>
    <i t="grand">
      <x/>
    </i>
  </rowItems>
  <colItems count="1">
    <i/>
  </colItems>
  <pageFields count="1">
    <pageField fld="7" hier="-1"/>
  </pageFields>
  <dataFields count="1">
    <dataField name="Count of Status base" fld="8"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umo_Origem" sourceName="Resumo Origem">
  <extLst>
    <x:ext xmlns:x15="http://schemas.microsoft.com/office/spreadsheetml/2010/11/main" uri="{2F2917AC-EB37-4324-AD4E-5DD8C200BD13}">
      <x15:tableSlicerCache tableId="2"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_Universo" sourceName="Status Universo">
  <extLst>
    <x:ext xmlns:x15="http://schemas.microsoft.com/office/spreadsheetml/2010/11/main" uri="{2F2917AC-EB37-4324-AD4E-5DD8C200BD13}">
      <x15:tableSlicerCache tableId="2" column="2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wner" sourceName="Owner">
  <extLst>
    <x:ext xmlns:x15="http://schemas.microsoft.com/office/spreadsheetml/2010/11/main" uri="{2F2917AC-EB37-4324-AD4E-5DD8C200BD13}">
      <x15:tableSlicerCache tableId="2"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1_FR___1_MIS" sourceName="1 FR - 1 MIS">
  <extLst>
    <x:ext xmlns:x15="http://schemas.microsoft.com/office/spreadsheetml/2010/11/main" uri="{2F2917AC-EB37-4324-AD4E-5DD8C200BD13}">
      <x15:tableSlicerCache tableId="2"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1_FR___N_MIS" sourceName="1 FR - N MIS">
  <extLst>
    <x:ext xmlns:x15="http://schemas.microsoft.com/office/spreadsheetml/2010/11/main" uri="{2F2917AC-EB37-4324-AD4E-5DD8C200BD13}">
      <x15:tableSlicerCache tableId="2"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_FR___N_MIS" sourceName="N FR - N MIS">
  <extLst>
    <x:ext xmlns:x15="http://schemas.microsoft.com/office/spreadsheetml/2010/11/main" uri="{2F2917AC-EB37-4324-AD4E-5DD8C200BD13}">
      <x15:tableSlicerCache tableId="2" column="2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lumn1"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umo Origem" cache="Slicer_Resumo_Origem" caption="Origem" columnCount="5" style="Right" rowHeight="234950"/>
  <slicer name="Status Universo" cache="Slicer_Status_Universo" caption="Status Universo" columnCount="5" style="Right" rowHeight="234950"/>
  <slicer name="Owner" cache="Slicer_Owner" caption="Owner" columnCount="5" style="Right" rowHeight="234950"/>
  <slicer name="1 FR - 1 MIS" cache="Slicer_1_FR___1_MIS" caption="Status 1-1" columnCount="5" style="Right" rowHeight="234950"/>
  <slicer name="1 FR - N MIS" cache="Slicer_1_FR___N_MIS" caption="Status 1-N" columnCount="5" style="Right" rowHeight="234950"/>
  <slicer name="N FR - N MIS" cache="Slicer_N_FR___N_MIS" caption="Status N-N" columnCount="5" style="Right" rowHeight="234950"/>
  <slicer name="Column1" cache="Slicer_Column1" caption="Column1" rowHeight="234950"/>
</slicers>
</file>

<file path=xl/tables/table1.xml><?xml version="1.0" encoding="utf-8"?>
<table xmlns="http://schemas.openxmlformats.org/spreadsheetml/2006/main" id="2" name="Table13" displayName="Table13" ref="B20:X71" totalsRowShown="0" headerRowDxfId="25" dataDxfId="24" tableBorderDxfId="23" dataCellStyle="Percent">
  <autoFilter ref="B20:X71"/>
  <tableColumns count="23">
    <tableColumn id="1" name="Campo" dataDxfId="22"/>
    <tableColumn id="2" name="# Instrumentos" dataDxfId="21"/>
    <tableColumn id="3" name="%" dataDxfId="20" dataCellStyle="Percent">
      <calculatedColumnFormula>C21/$AH21</calculatedColumnFormula>
    </tableColumn>
    <tableColumn id="4" name="# Instrumentos " dataDxfId="19"/>
    <tableColumn id="5" name="% " dataDxfId="18" dataCellStyle="Percent">
      <calculatedColumnFormula>E21/$AH21</calculatedColumnFormula>
    </tableColumn>
    <tableColumn id="6" name="# Instrumentos  " dataDxfId="17"/>
    <tableColumn id="7" name="%  " dataDxfId="16" dataCellStyle="Percent">
      <calculatedColumnFormula>G21/$AH21</calculatedColumnFormula>
    </tableColumn>
    <tableColumn id="8" name="# Instrumentos   " dataDxfId="15"/>
    <tableColumn id="9" name="%   " dataDxfId="14" dataCellStyle="Percent">
      <calculatedColumnFormula>I21/$AH21</calculatedColumnFormula>
    </tableColumn>
    <tableColumn id="10" name="# Instrumentos   2" dataDxfId="13"/>
    <tableColumn id="11" name="%   3" dataDxfId="12" dataCellStyle="Percent">
      <calculatedColumnFormula>K21/$AH21</calculatedColumnFormula>
    </tableColumn>
    <tableColumn id="12" name="# Instrumentos    " dataDxfId="11"/>
    <tableColumn id="13" name="%    " dataDxfId="10" dataCellStyle="Percent">
      <calculatedColumnFormula>M21/$AH21</calculatedColumnFormula>
    </tableColumn>
    <tableColumn id="14" name="Status do campo" dataDxfId="9"/>
    <tableColumn id="15" name="Data Status" dataDxfId="8" dataCellStyle="Percent"/>
    <tableColumn id="16" name="Origem" dataDxfId="7" dataCellStyle="Percent"/>
    <tableColumn id="17" name="Resumo Origem" dataDxfId="6" dataCellStyle="Percent">
      <calculatedColumnFormula>IF(OR(Q21="CT207",Q21="CT209",Q21="CT211"),"Rentabilidade",IF(Q21="Corporativo","Corporativo",IF(Q21="Calculado","Calculado",IF(Q21="LT ESTR","LT ESTR", IF(Q21="Modelo Verde","Modelo Verde",NA)))))</calculatedColumnFormula>
    </tableColumn>
    <tableColumn id="18" name="Alterações Corp" dataDxfId="5" dataCellStyle="Percent"/>
    <tableColumn id="19" name="1 FR - 1 MIS" dataDxfId="4" dataCellStyle="Percent"/>
    <tableColumn id="20" name="1 FR - N MIS" dataDxfId="3" dataCellStyle="Percent"/>
    <tableColumn id="21" name="Status Universo" dataDxfId="2" dataCellStyle="Percent">
      <calculatedColumnFormula>IF(AND(T21="OK",U21="OK"),"OK",IF(AND(T21="Not Started",U21="Not Started"),"Not Started",IF(AND(T21="NOK",U21="NOK"),"NOK",IF(AND(T21="WIP",U21="WIP"),"WIP",IF(AND(OR(T21="OK",U21="OK"))*(OR(T21="NOK",U21="NOK")),"NOK","NA")))))</calculatedColumnFormula>
    </tableColumn>
    <tableColumn id="22" name="N FR - N MIS" dataDxfId="1" dataCellStyle="Percent"/>
    <tableColumn id="23" name="Owner" dataDxfId="0" dataCellStyle="Percent">
      <calculatedColumnFormula>IF(OR(O21="Em teste",O21="Em análise de requisitos"),"Test Team",IF(OR(O21="Em Correção",O21="Em Implementação"),"IT Team",IF(O21="Concluído","Fechado","NA")))</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AL20:AL72" totalsRowShown="0">
  <autoFilter ref="AL20:AL72">
    <filterColumn colId="0">
      <filters>
        <filter val="A Considerar"/>
      </filters>
    </filterColumn>
  </autoFilter>
  <tableColumns count="1">
    <tableColumn id="1" name="Column1">
      <calculatedColumnFormula>IF(S20 &lt;&gt; "Removido 22/12/2023", "A Considerar", "Removido")</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07/relationships/slicer" Target="../slicers/slicer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0.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8"/>
  <sheetViews>
    <sheetView topLeftCell="F1" workbookViewId="0">
      <selection activeCell="N5" sqref="N5"/>
    </sheetView>
  </sheetViews>
  <sheetFormatPr defaultRowHeight="14.4" x14ac:dyDescent="0.3"/>
  <cols>
    <col min="1" max="1" width="11.44140625" hidden="1" customWidth="1"/>
    <col min="2" max="2" width="14.6640625" hidden="1" customWidth="1"/>
    <col min="3" max="3" width="8.5546875" hidden="1" customWidth="1"/>
    <col min="4" max="4" width="0" hidden="1" customWidth="1"/>
    <col min="5" max="5" width="1.88671875" hidden="1" customWidth="1"/>
    <col min="6" max="6" width="4.5546875" customWidth="1"/>
    <col min="7" max="7" width="15.44140625" bestFit="1" customWidth="1"/>
    <col min="8" max="8" width="9.109375" bestFit="1" customWidth="1"/>
    <col min="9" max="9" width="17.33203125" bestFit="1" customWidth="1"/>
    <col min="10" max="10" width="4.6640625" customWidth="1"/>
    <col min="11" max="11" width="6.33203125" customWidth="1"/>
    <col min="12" max="12" width="5.109375" customWidth="1"/>
    <col min="13" max="13" width="6.44140625" bestFit="1" customWidth="1"/>
    <col min="14" max="14" width="19.44140625" bestFit="1" customWidth="1"/>
    <col min="15" max="15" width="12.21875" bestFit="1" customWidth="1"/>
  </cols>
  <sheetData>
    <row r="1" spans="1:15" x14ac:dyDescent="0.3">
      <c r="E1" s="6"/>
    </row>
    <row r="2" spans="1:15" x14ac:dyDescent="0.3">
      <c r="A2" s="5" t="s">
        <v>0</v>
      </c>
      <c r="E2" s="6"/>
    </row>
    <row r="3" spans="1:15" x14ac:dyDescent="0.3">
      <c r="E3" s="6"/>
      <c r="G3" t="s">
        <v>7</v>
      </c>
      <c r="H3" s="4">
        <v>2017197</v>
      </c>
      <c r="K3" s="2"/>
      <c r="N3" t="s">
        <v>3859</v>
      </c>
    </row>
    <row r="4" spans="1:15" x14ac:dyDescent="0.3">
      <c r="A4" t="s">
        <v>1</v>
      </c>
      <c r="B4" s="4">
        <v>2020862</v>
      </c>
      <c r="E4" s="6"/>
    </row>
    <row r="5" spans="1:15" x14ac:dyDescent="0.3">
      <c r="E5" s="6"/>
      <c r="G5" t="s">
        <v>3832</v>
      </c>
      <c r="H5" s="4">
        <v>1226331</v>
      </c>
      <c r="I5" s="57">
        <f>H5/$H$3</f>
        <v>0.60793814386993439</v>
      </c>
    </row>
    <row r="6" spans="1:15" x14ac:dyDescent="0.3">
      <c r="A6" s="5" t="s">
        <v>4</v>
      </c>
      <c r="E6" s="6"/>
      <c r="G6" t="s">
        <v>3833</v>
      </c>
      <c r="H6" s="4">
        <v>668181</v>
      </c>
      <c r="I6" s="57">
        <f>H6/$H$3</f>
        <v>0.33124231297191103</v>
      </c>
      <c r="K6" s="65"/>
      <c r="N6" t="s">
        <v>3833</v>
      </c>
      <c r="O6" s="93">
        <v>632383</v>
      </c>
    </row>
    <row r="7" spans="1:15" x14ac:dyDescent="0.3">
      <c r="E7" s="6"/>
      <c r="F7" s="167"/>
      <c r="G7" s="76" t="s">
        <v>3834</v>
      </c>
      <c r="H7" s="77">
        <v>0</v>
      </c>
      <c r="I7" s="57">
        <f>H7/$H$3</f>
        <v>0</v>
      </c>
    </row>
    <row r="8" spans="1:15" x14ac:dyDescent="0.3">
      <c r="A8" t="s">
        <v>1</v>
      </c>
      <c r="B8" s="4">
        <v>7480477</v>
      </c>
      <c r="E8" s="6"/>
      <c r="F8" s="167"/>
      <c r="G8" s="76" t="s">
        <v>3835</v>
      </c>
      <c r="H8" s="77">
        <v>122685</v>
      </c>
      <c r="I8" s="57">
        <f>H8/$H$3</f>
        <v>6.0819543158154604E-2</v>
      </c>
      <c r="L8" s="4"/>
    </row>
    <row r="9" spans="1:15" x14ac:dyDescent="0.3">
      <c r="B9" s="4"/>
      <c r="E9" s="6"/>
      <c r="H9" s="4"/>
      <c r="I9" s="57"/>
      <c r="L9" s="4"/>
    </row>
    <row r="10" spans="1:15" x14ac:dyDescent="0.3">
      <c r="B10" s="4"/>
      <c r="E10" s="6"/>
      <c r="H10" s="4"/>
      <c r="I10" s="57"/>
      <c r="L10" s="4"/>
    </row>
    <row r="11" spans="1:15" x14ac:dyDescent="0.3">
      <c r="A11" t="s">
        <v>5</v>
      </c>
      <c r="B11" s="4">
        <v>5835277</v>
      </c>
      <c r="E11" s="6"/>
      <c r="I11" s="3"/>
      <c r="L11" s="4"/>
    </row>
    <row r="12" spans="1:15" x14ac:dyDescent="0.3">
      <c r="A12" t="s">
        <v>6</v>
      </c>
      <c r="B12" s="4">
        <v>7172852</v>
      </c>
      <c r="E12" s="6"/>
      <c r="G12" t="s">
        <v>8</v>
      </c>
      <c r="H12" s="4">
        <v>3665</v>
      </c>
      <c r="I12" s="2"/>
    </row>
    <row r="13" spans="1:15" x14ac:dyDescent="0.3">
      <c r="E13" s="6"/>
      <c r="H13" s="22"/>
    </row>
    <row r="14" spans="1:15" x14ac:dyDescent="0.3">
      <c r="E14" s="6"/>
      <c r="H14" s="1"/>
      <c r="I14" s="1"/>
      <c r="L14" s="3"/>
    </row>
    <row r="15" spans="1:15" x14ac:dyDescent="0.3">
      <c r="E15" s="6"/>
      <c r="L15" s="2"/>
    </row>
    <row r="16" spans="1:15" x14ac:dyDescent="0.3">
      <c r="E16" s="6"/>
      <c r="H16" s="4"/>
    </row>
    <row r="17" spans="5:10" x14ac:dyDescent="0.3">
      <c r="E17" s="6"/>
      <c r="H17" s="1"/>
    </row>
    <row r="18" spans="5:10" x14ac:dyDescent="0.3">
      <c r="E18" s="6"/>
      <c r="H18" s="4"/>
    </row>
    <row r="19" spans="5:10" x14ac:dyDescent="0.3">
      <c r="E19" s="6"/>
      <c r="H19" s="4"/>
      <c r="J19" s="2"/>
    </row>
    <row r="20" spans="5:10" x14ac:dyDescent="0.3">
      <c r="E20" s="6"/>
      <c r="H20" s="4"/>
    </row>
    <row r="21" spans="5:10" x14ac:dyDescent="0.3">
      <c r="E21" s="6"/>
      <c r="H21" s="4"/>
    </row>
    <row r="22" spans="5:10" x14ac:dyDescent="0.3">
      <c r="E22" s="6"/>
      <c r="H22" s="4"/>
    </row>
    <row r="23" spans="5:10" x14ac:dyDescent="0.3">
      <c r="E23" s="6"/>
    </row>
    <row r="24" spans="5:10" x14ac:dyDescent="0.3">
      <c r="E24" s="6"/>
    </row>
    <row r="25" spans="5:10" x14ac:dyDescent="0.3">
      <c r="E25" s="6"/>
    </row>
    <row r="26" spans="5:10" x14ac:dyDescent="0.3">
      <c r="E26" s="6"/>
    </row>
    <row r="28" spans="5:10" x14ac:dyDescent="0.3">
      <c r="H28" s="3"/>
    </row>
  </sheetData>
  <mergeCells count="1">
    <mergeCell ref="F7: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Q28"/>
  <sheetViews>
    <sheetView workbookViewId="0">
      <selection activeCell="G22" sqref="G22"/>
    </sheetView>
  </sheetViews>
  <sheetFormatPr defaultRowHeight="14.4" x14ac:dyDescent="0.3"/>
  <cols>
    <col min="1" max="1" width="11.33203125" bestFit="1" customWidth="1"/>
    <col min="2" max="2" width="6.5546875" bestFit="1" customWidth="1"/>
    <col min="4" max="13" width="6.5546875" bestFit="1" customWidth="1"/>
    <col min="14" max="17" width="6.6640625" bestFit="1" customWidth="1"/>
  </cols>
  <sheetData>
    <row r="2" spans="1:17" x14ac:dyDescent="0.3">
      <c r="D2" s="12">
        <v>45313</v>
      </c>
      <c r="E2" s="12">
        <v>45314</v>
      </c>
      <c r="F2" s="12">
        <v>45315</v>
      </c>
      <c r="G2" s="12">
        <v>45316</v>
      </c>
      <c r="H2" s="12">
        <v>45317</v>
      </c>
      <c r="I2" s="14">
        <v>45318</v>
      </c>
      <c r="J2" s="14">
        <v>45319</v>
      </c>
      <c r="K2" s="12">
        <v>45320</v>
      </c>
      <c r="L2" s="12">
        <v>45321</v>
      </c>
      <c r="M2" s="12">
        <v>45322</v>
      </c>
      <c r="N2" s="12">
        <v>45323</v>
      </c>
      <c r="O2" s="12">
        <v>45324</v>
      </c>
      <c r="P2" s="12">
        <v>45325</v>
      </c>
      <c r="Q2" s="12">
        <v>45326</v>
      </c>
    </row>
    <row r="3" spans="1:17" x14ac:dyDescent="0.3">
      <c r="A3" s="11" t="s">
        <v>3685</v>
      </c>
      <c r="B3" s="11" t="s">
        <v>3686</v>
      </c>
      <c r="I3" s="15"/>
      <c r="J3" s="15"/>
    </row>
    <row r="4" spans="1:17" x14ac:dyDescent="0.3">
      <c r="A4" s="11" t="s">
        <v>3687</v>
      </c>
      <c r="B4" s="13">
        <v>45317</v>
      </c>
      <c r="F4" s="17" t="s">
        <v>3694</v>
      </c>
      <c r="G4" s="16"/>
      <c r="H4" t="s">
        <v>3693</v>
      </c>
      <c r="I4" s="15"/>
      <c r="J4" s="15"/>
      <c r="K4" s="21" t="s">
        <v>3695</v>
      </c>
    </row>
    <row r="5" spans="1:17" x14ac:dyDescent="0.3">
      <c r="A5" s="11" t="s">
        <v>3688</v>
      </c>
      <c r="B5" s="13">
        <v>45315</v>
      </c>
      <c r="F5" s="18" t="s">
        <v>3694</v>
      </c>
      <c r="H5" s="21" t="s">
        <v>3695</v>
      </c>
      <c r="I5" s="15"/>
      <c r="J5" s="15"/>
    </row>
    <row r="6" spans="1:17" x14ac:dyDescent="0.3">
      <c r="A6" s="11" t="s">
        <v>3689</v>
      </c>
      <c r="B6" s="13">
        <v>45320</v>
      </c>
      <c r="E6" s="17" t="s">
        <v>3694</v>
      </c>
      <c r="F6" s="16"/>
      <c r="G6" s="19" t="s">
        <v>3693</v>
      </c>
      <c r="H6" s="21" t="s">
        <v>3695</v>
      </c>
      <c r="I6" s="15"/>
      <c r="J6" s="15"/>
      <c r="K6" t="s">
        <v>3693</v>
      </c>
    </row>
    <row r="7" spans="1:17" x14ac:dyDescent="0.3">
      <c r="A7" s="11" t="s">
        <v>3690</v>
      </c>
      <c r="B7" s="13">
        <v>45315</v>
      </c>
      <c r="E7" s="18" t="s">
        <v>3694</v>
      </c>
      <c r="F7" t="s">
        <v>3693</v>
      </c>
      <c r="G7" s="21" t="s">
        <v>3695</v>
      </c>
      <c r="I7" s="15"/>
      <c r="J7" s="15"/>
    </row>
    <row r="8" spans="1:17" x14ac:dyDescent="0.3">
      <c r="A8" s="11" t="s">
        <v>3691</v>
      </c>
      <c r="B8" s="13">
        <v>45320</v>
      </c>
      <c r="E8" s="17" t="s">
        <v>3694</v>
      </c>
      <c r="H8" s="16"/>
      <c r="I8" s="15"/>
      <c r="J8" s="15"/>
      <c r="K8" t="s">
        <v>3693</v>
      </c>
      <c r="L8" s="21" t="s">
        <v>3695</v>
      </c>
    </row>
    <row r="9" spans="1:17" x14ac:dyDescent="0.3">
      <c r="A9" s="11" t="s">
        <v>3692</v>
      </c>
      <c r="B9" s="13">
        <v>45316</v>
      </c>
      <c r="G9" t="s">
        <v>3693</v>
      </c>
      <c r="H9" s="17" t="s">
        <v>3694</v>
      </c>
      <c r="I9" s="15"/>
      <c r="J9" s="15"/>
      <c r="K9" s="20" t="s">
        <v>3693</v>
      </c>
      <c r="N9" s="21" t="s">
        <v>3695</v>
      </c>
    </row>
    <row r="15" spans="1:17" x14ac:dyDescent="0.3">
      <c r="B15" t="s">
        <v>3697</v>
      </c>
      <c r="C15" t="s">
        <v>3698</v>
      </c>
    </row>
    <row r="16" spans="1:17" x14ac:dyDescent="0.3">
      <c r="A16">
        <v>84</v>
      </c>
      <c r="B16" t="s">
        <v>3696</v>
      </c>
      <c r="C16" t="s">
        <v>3694</v>
      </c>
    </row>
    <row r="17" spans="1:3" x14ac:dyDescent="0.3">
      <c r="B17" t="s">
        <v>3699</v>
      </c>
      <c r="C17" t="s">
        <v>3704</v>
      </c>
    </row>
    <row r="20" spans="1:3" x14ac:dyDescent="0.3">
      <c r="A20">
        <v>83</v>
      </c>
      <c r="B20" t="s">
        <v>3696</v>
      </c>
      <c r="C20" t="s">
        <v>3700</v>
      </c>
    </row>
    <row r="25" spans="1:3" x14ac:dyDescent="0.3">
      <c r="B25" t="s">
        <v>3701</v>
      </c>
    </row>
    <row r="27" spans="1:3" x14ac:dyDescent="0.3">
      <c r="C27" t="s">
        <v>3702</v>
      </c>
    </row>
    <row r="28" spans="1:3" x14ac:dyDescent="0.3">
      <c r="C28" t="s">
        <v>3703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666"/>
  <sheetViews>
    <sheetView workbookViewId="0">
      <selection activeCell="L6" sqref="L6"/>
    </sheetView>
  </sheetViews>
  <sheetFormatPr defaultRowHeight="14.4" x14ac:dyDescent="0.3"/>
  <cols>
    <col min="1" max="1" width="38.6640625" bestFit="1" customWidth="1"/>
    <col min="9" max="9" width="18.44140625" bestFit="1" customWidth="1"/>
    <col min="10" max="10" width="19.5546875" bestFit="1" customWidth="1"/>
  </cols>
  <sheetData>
    <row r="1" spans="1:10" x14ac:dyDescent="0.3">
      <c r="A1" s="7" t="s">
        <v>9</v>
      </c>
      <c r="B1" s="7" t="s">
        <v>10</v>
      </c>
      <c r="C1" t="s">
        <v>3677</v>
      </c>
    </row>
    <row r="2" spans="1:10" x14ac:dyDescent="0.3">
      <c r="A2" s="7" t="s">
        <v>11</v>
      </c>
      <c r="B2" s="7" t="s">
        <v>12</v>
      </c>
      <c r="C2" t="s">
        <v>3</v>
      </c>
    </row>
    <row r="3" spans="1:10" x14ac:dyDescent="0.3">
      <c r="A3" s="7" t="s">
        <v>13</v>
      </c>
      <c r="B3" s="7" t="s">
        <v>12</v>
      </c>
      <c r="C3" t="s">
        <v>3</v>
      </c>
      <c r="I3" s="8" t="s">
        <v>3681</v>
      </c>
      <c r="J3" t="s">
        <v>3684</v>
      </c>
    </row>
    <row r="4" spans="1:10" x14ac:dyDescent="0.3">
      <c r="A4" s="7" t="s">
        <v>14</v>
      </c>
      <c r="B4" s="7" t="s">
        <v>12</v>
      </c>
      <c r="C4" t="s">
        <v>3</v>
      </c>
      <c r="I4" s="9" t="s">
        <v>3680</v>
      </c>
      <c r="J4" s="1">
        <v>6</v>
      </c>
    </row>
    <row r="5" spans="1:10" x14ac:dyDescent="0.3">
      <c r="A5" s="7" t="s">
        <v>15</v>
      </c>
      <c r="B5" s="7" t="s">
        <v>12</v>
      </c>
      <c r="C5" t="s">
        <v>2</v>
      </c>
      <c r="I5" s="9" t="s">
        <v>2</v>
      </c>
      <c r="J5" s="1">
        <v>2844</v>
      </c>
    </row>
    <row r="6" spans="1:10" x14ac:dyDescent="0.3">
      <c r="A6" s="7" t="s">
        <v>16</v>
      </c>
      <c r="B6" s="7" t="s">
        <v>12</v>
      </c>
      <c r="I6" s="9" t="s">
        <v>3678</v>
      </c>
      <c r="J6" s="1">
        <v>331</v>
      </c>
    </row>
    <row r="7" spans="1:10" x14ac:dyDescent="0.3">
      <c r="A7" s="7" t="s">
        <v>17</v>
      </c>
      <c r="B7" s="7" t="s">
        <v>12</v>
      </c>
      <c r="I7" s="9" t="s">
        <v>3</v>
      </c>
      <c r="J7" s="1">
        <v>417</v>
      </c>
    </row>
    <row r="8" spans="1:10" x14ac:dyDescent="0.3">
      <c r="A8" s="7" t="s">
        <v>18</v>
      </c>
      <c r="B8" s="7" t="s">
        <v>12</v>
      </c>
      <c r="I8" s="9" t="s">
        <v>3679</v>
      </c>
      <c r="J8" s="1">
        <v>1</v>
      </c>
    </row>
    <row r="9" spans="1:10" x14ac:dyDescent="0.3">
      <c r="A9" s="7" t="s">
        <v>19</v>
      </c>
      <c r="B9" s="7" t="s">
        <v>12</v>
      </c>
      <c r="C9" t="s">
        <v>2</v>
      </c>
      <c r="I9" s="9" t="s">
        <v>3682</v>
      </c>
      <c r="J9" s="1">
        <v>66</v>
      </c>
    </row>
    <row r="10" spans="1:10" x14ac:dyDescent="0.3">
      <c r="A10" s="7" t="s">
        <v>20</v>
      </c>
      <c r="B10" s="7" t="s">
        <v>12</v>
      </c>
      <c r="C10" t="s">
        <v>2</v>
      </c>
      <c r="I10" s="9" t="s">
        <v>3683</v>
      </c>
      <c r="J10" s="1">
        <v>3665</v>
      </c>
    </row>
    <row r="11" spans="1:10" x14ac:dyDescent="0.3">
      <c r="A11" s="7" t="s">
        <v>21</v>
      </c>
      <c r="B11" s="7" t="s">
        <v>12</v>
      </c>
      <c r="C11" t="s">
        <v>2</v>
      </c>
    </row>
    <row r="12" spans="1:10" x14ac:dyDescent="0.3">
      <c r="A12" s="7" t="s">
        <v>22</v>
      </c>
      <c r="B12" s="7" t="s">
        <v>12</v>
      </c>
      <c r="C12" t="s">
        <v>3678</v>
      </c>
    </row>
    <row r="13" spans="1:10" x14ac:dyDescent="0.3">
      <c r="A13" s="7" t="s">
        <v>23</v>
      </c>
      <c r="B13" s="7" t="s">
        <v>12</v>
      </c>
      <c r="C13" t="s">
        <v>3678</v>
      </c>
    </row>
    <row r="14" spans="1:10" x14ac:dyDescent="0.3">
      <c r="A14" s="7" t="s">
        <v>24</v>
      </c>
      <c r="B14" s="7" t="s">
        <v>12</v>
      </c>
      <c r="C14" t="s">
        <v>3678</v>
      </c>
    </row>
    <row r="15" spans="1:10" x14ac:dyDescent="0.3">
      <c r="A15" s="7" t="s">
        <v>25</v>
      </c>
      <c r="B15" s="7" t="s">
        <v>12</v>
      </c>
      <c r="C15" t="s">
        <v>3678</v>
      </c>
    </row>
    <row r="16" spans="1:10" x14ac:dyDescent="0.3">
      <c r="A16" s="7" t="s">
        <v>26</v>
      </c>
      <c r="B16" s="7" t="s">
        <v>12</v>
      </c>
      <c r="C16" t="s">
        <v>3678</v>
      </c>
    </row>
    <row r="17" spans="1:3" x14ac:dyDescent="0.3">
      <c r="A17" s="7" t="s">
        <v>27</v>
      </c>
      <c r="B17" s="7" t="s">
        <v>12</v>
      </c>
      <c r="C17" t="s">
        <v>3678</v>
      </c>
    </row>
    <row r="18" spans="1:3" x14ac:dyDescent="0.3">
      <c r="A18" s="7" t="s">
        <v>28</v>
      </c>
      <c r="B18" s="7" t="s">
        <v>12</v>
      </c>
      <c r="C18" t="s">
        <v>3678</v>
      </c>
    </row>
    <row r="19" spans="1:3" x14ac:dyDescent="0.3">
      <c r="A19" s="7" t="s">
        <v>29</v>
      </c>
      <c r="B19" s="7" t="s">
        <v>12</v>
      </c>
      <c r="C19" t="s">
        <v>3678</v>
      </c>
    </row>
    <row r="20" spans="1:3" x14ac:dyDescent="0.3">
      <c r="A20" s="7" t="s">
        <v>30</v>
      </c>
      <c r="B20" s="7" t="s">
        <v>12</v>
      </c>
      <c r="C20" t="s">
        <v>3678</v>
      </c>
    </row>
    <row r="21" spans="1:3" x14ac:dyDescent="0.3">
      <c r="A21" s="7" t="s">
        <v>31</v>
      </c>
      <c r="B21" s="7" t="s">
        <v>12</v>
      </c>
      <c r="C21" t="s">
        <v>2</v>
      </c>
    </row>
    <row r="22" spans="1:3" x14ac:dyDescent="0.3">
      <c r="A22" s="7" t="s">
        <v>32</v>
      </c>
      <c r="B22" s="7" t="s">
        <v>12</v>
      </c>
      <c r="C22" t="s">
        <v>2</v>
      </c>
    </row>
    <row r="23" spans="1:3" x14ac:dyDescent="0.3">
      <c r="A23" s="7" t="s">
        <v>33</v>
      </c>
      <c r="B23" s="7" t="s">
        <v>12</v>
      </c>
      <c r="C23" t="s">
        <v>2</v>
      </c>
    </row>
    <row r="24" spans="1:3" x14ac:dyDescent="0.3">
      <c r="A24" s="7" t="s">
        <v>34</v>
      </c>
      <c r="B24" s="7" t="s">
        <v>12</v>
      </c>
      <c r="C24" t="s">
        <v>2</v>
      </c>
    </row>
    <row r="25" spans="1:3" x14ac:dyDescent="0.3">
      <c r="A25" s="7" t="s">
        <v>35</v>
      </c>
      <c r="B25" s="7" t="s">
        <v>12</v>
      </c>
      <c r="C25" t="s">
        <v>2</v>
      </c>
    </row>
    <row r="26" spans="1:3" x14ac:dyDescent="0.3">
      <c r="A26" s="7" t="s">
        <v>36</v>
      </c>
      <c r="B26" s="7" t="s">
        <v>12</v>
      </c>
      <c r="C26" t="s">
        <v>2</v>
      </c>
    </row>
    <row r="27" spans="1:3" x14ac:dyDescent="0.3">
      <c r="A27" s="7" t="s">
        <v>37</v>
      </c>
      <c r="B27" s="7" t="s">
        <v>12</v>
      </c>
      <c r="C27" t="s">
        <v>2</v>
      </c>
    </row>
    <row r="28" spans="1:3" x14ac:dyDescent="0.3">
      <c r="A28" s="7" t="s">
        <v>38</v>
      </c>
      <c r="B28" s="7" t="s">
        <v>12</v>
      </c>
      <c r="C28" t="s">
        <v>2</v>
      </c>
    </row>
    <row r="29" spans="1:3" x14ac:dyDescent="0.3">
      <c r="A29" s="7" t="s">
        <v>39</v>
      </c>
      <c r="B29" s="7" t="s">
        <v>12</v>
      </c>
      <c r="C29" t="s">
        <v>2</v>
      </c>
    </row>
    <row r="30" spans="1:3" x14ac:dyDescent="0.3">
      <c r="A30" s="7" t="s">
        <v>40</v>
      </c>
      <c r="B30" s="7" t="s">
        <v>12</v>
      </c>
      <c r="C30" t="s">
        <v>2</v>
      </c>
    </row>
    <row r="31" spans="1:3" x14ac:dyDescent="0.3">
      <c r="A31" s="7" t="s">
        <v>41</v>
      </c>
      <c r="B31" s="7" t="s">
        <v>12</v>
      </c>
      <c r="C31" t="s">
        <v>2</v>
      </c>
    </row>
    <row r="32" spans="1:3" x14ac:dyDescent="0.3">
      <c r="A32" s="7" t="s">
        <v>42</v>
      </c>
      <c r="B32" s="7" t="s">
        <v>12</v>
      </c>
      <c r="C32" t="s">
        <v>2</v>
      </c>
    </row>
    <row r="33" spans="1:3" x14ac:dyDescent="0.3">
      <c r="A33" s="7" t="s">
        <v>43</v>
      </c>
      <c r="B33" s="7" t="s">
        <v>12</v>
      </c>
      <c r="C33" t="s">
        <v>2</v>
      </c>
    </row>
    <row r="34" spans="1:3" x14ac:dyDescent="0.3">
      <c r="A34" s="7" t="s">
        <v>44</v>
      </c>
      <c r="B34" s="7" t="s">
        <v>12</v>
      </c>
      <c r="C34" t="s">
        <v>2</v>
      </c>
    </row>
    <row r="35" spans="1:3" x14ac:dyDescent="0.3">
      <c r="A35" s="7" t="s">
        <v>45</v>
      </c>
      <c r="B35" s="7" t="s">
        <v>12</v>
      </c>
      <c r="C35" t="s">
        <v>2</v>
      </c>
    </row>
    <row r="36" spans="1:3" x14ac:dyDescent="0.3">
      <c r="A36" s="7" t="s">
        <v>46</v>
      </c>
      <c r="B36" s="7" t="s">
        <v>12</v>
      </c>
      <c r="C36" t="s">
        <v>2</v>
      </c>
    </row>
    <row r="37" spans="1:3" x14ac:dyDescent="0.3">
      <c r="A37" s="7" t="s">
        <v>47</v>
      </c>
      <c r="B37" s="7" t="s">
        <v>12</v>
      </c>
      <c r="C37" t="s">
        <v>2</v>
      </c>
    </row>
    <row r="38" spans="1:3" x14ac:dyDescent="0.3">
      <c r="A38" s="7" t="s">
        <v>48</v>
      </c>
      <c r="B38" s="7" t="s">
        <v>12</v>
      </c>
      <c r="C38" t="s">
        <v>2</v>
      </c>
    </row>
    <row r="39" spans="1:3" x14ac:dyDescent="0.3">
      <c r="A39" s="7" t="s">
        <v>49</v>
      </c>
      <c r="B39" s="7" t="s">
        <v>12</v>
      </c>
      <c r="C39" t="s">
        <v>2</v>
      </c>
    </row>
    <row r="40" spans="1:3" x14ac:dyDescent="0.3">
      <c r="A40" s="7" t="s">
        <v>50</v>
      </c>
      <c r="B40" s="7" t="s">
        <v>12</v>
      </c>
      <c r="C40" t="s">
        <v>2</v>
      </c>
    </row>
    <row r="41" spans="1:3" x14ac:dyDescent="0.3">
      <c r="A41" s="7" t="s">
        <v>51</v>
      </c>
      <c r="B41" s="7" t="s">
        <v>12</v>
      </c>
      <c r="C41" t="s">
        <v>2</v>
      </c>
    </row>
    <row r="42" spans="1:3" x14ac:dyDescent="0.3">
      <c r="A42" s="7" t="s">
        <v>52</v>
      </c>
      <c r="B42" s="7" t="s">
        <v>12</v>
      </c>
      <c r="C42" t="s">
        <v>2</v>
      </c>
    </row>
    <row r="43" spans="1:3" x14ac:dyDescent="0.3">
      <c r="A43" s="7" t="s">
        <v>53</v>
      </c>
      <c r="B43" s="7" t="s">
        <v>12</v>
      </c>
      <c r="C43" t="s">
        <v>2</v>
      </c>
    </row>
    <row r="44" spans="1:3" x14ac:dyDescent="0.3">
      <c r="A44" s="7" t="s">
        <v>54</v>
      </c>
      <c r="B44" s="7" t="s">
        <v>12</v>
      </c>
      <c r="C44" t="s">
        <v>2</v>
      </c>
    </row>
    <row r="45" spans="1:3" x14ac:dyDescent="0.3">
      <c r="A45" s="7" t="s">
        <v>55</v>
      </c>
      <c r="B45" s="7" t="s">
        <v>12</v>
      </c>
      <c r="C45" t="s">
        <v>2</v>
      </c>
    </row>
    <row r="46" spans="1:3" x14ac:dyDescent="0.3">
      <c r="A46" s="7" t="s">
        <v>56</v>
      </c>
      <c r="B46" s="7" t="s">
        <v>12</v>
      </c>
      <c r="C46" t="s">
        <v>2</v>
      </c>
    </row>
    <row r="47" spans="1:3" x14ac:dyDescent="0.3">
      <c r="A47" s="7" t="s">
        <v>57</v>
      </c>
      <c r="B47" s="7" t="s">
        <v>12</v>
      </c>
      <c r="C47" t="s">
        <v>2</v>
      </c>
    </row>
    <row r="48" spans="1:3" x14ac:dyDescent="0.3">
      <c r="A48" s="7" t="s">
        <v>58</v>
      </c>
      <c r="B48" s="7" t="s">
        <v>12</v>
      </c>
      <c r="C48" t="s">
        <v>2</v>
      </c>
    </row>
    <row r="49" spans="1:3" x14ac:dyDescent="0.3">
      <c r="A49" s="7" t="s">
        <v>59</v>
      </c>
      <c r="B49" s="7" t="s">
        <v>12</v>
      </c>
      <c r="C49" t="s">
        <v>2</v>
      </c>
    </row>
    <row r="50" spans="1:3" x14ac:dyDescent="0.3">
      <c r="A50" s="7" t="s">
        <v>60</v>
      </c>
      <c r="B50" s="7" t="s">
        <v>12</v>
      </c>
      <c r="C50" t="s">
        <v>2</v>
      </c>
    </row>
    <row r="51" spans="1:3" x14ac:dyDescent="0.3">
      <c r="A51" s="7" t="s">
        <v>61</v>
      </c>
      <c r="B51" s="7" t="s">
        <v>12</v>
      </c>
      <c r="C51" t="s">
        <v>2</v>
      </c>
    </row>
    <row r="52" spans="1:3" x14ac:dyDescent="0.3">
      <c r="A52" s="7" t="s">
        <v>62</v>
      </c>
      <c r="B52" s="7" t="s">
        <v>12</v>
      </c>
      <c r="C52" t="s">
        <v>2</v>
      </c>
    </row>
    <row r="53" spans="1:3" x14ac:dyDescent="0.3">
      <c r="A53" s="7" t="s">
        <v>63</v>
      </c>
      <c r="B53" s="7" t="s">
        <v>12</v>
      </c>
      <c r="C53" t="s">
        <v>2</v>
      </c>
    </row>
    <row r="54" spans="1:3" x14ac:dyDescent="0.3">
      <c r="A54" s="7" t="s">
        <v>64</v>
      </c>
      <c r="B54" s="7" t="s">
        <v>12</v>
      </c>
      <c r="C54" t="s">
        <v>2</v>
      </c>
    </row>
    <row r="55" spans="1:3" x14ac:dyDescent="0.3">
      <c r="A55" s="7" t="s">
        <v>65</v>
      </c>
      <c r="B55" s="7" t="s">
        <v>12</v>
      </c>
      <c r="C55" t="s">
        <v>2</v>
      </c>
    </row>
    <row r="56" spans="1:3" x14ac:dyDescent="0.3">
      <c r="A56" s="7" t="s">
        <v>66</v>
      </c>
      <c r="B56" s="7" t="s">
        <v>12</v>
      </c>
      <c r="C56" t="s">
        <v>2</v>
      </c>
    </row>
    <row r="57" spans="1:3" x14ac:dyDescent="0.3">
      <c r="A57" s="7" t="s">
        <v>67</v>
      </c>
      <c r="B57" s="7" t="s">
        <v>12</v>
      </c>
      <c r="C57" t="s">
        <v>2</v>
      </c>
    </row>
    <row r="58" spans="1:3" x14ac:dyDescent="0.3">
      <c r="A58" s="7" t="s">
        <v>68</v>
      </c>
      <c r="B58" s="7" t="s">
        <v>12</v>
      </c>
      <c r="C58" t="s">
        <v>3</v>
      </c>
    </row>
    <row r="59" spans="1:3" x14ac:dyDescent="0.3">
      <c r="A59" s="7" t="s">
        <v>69</v>
      </c>
      <c r="B59" s="7" t="s">
        <v>12</v>
      </c>
      <c r="C59" t="s">
        <v>3</v>
      </c>
    </row>
    <row r="60" spans="1:3" x14ac:dyDescent="0.3">
      <c r="A60" s="7" t="s">
        <v>70</v>
      </c>
      <c r="B60" s="7" t="s">
        <v>12</v>
      </c>
      <c r="C60" t="s">
        <v>3</v>
      </c>
    </row>
    <row r="61" spans="1:3" x14ac:dyDescent="0.3">
      <c r="A61" s="7" t="s">
        <v>71</v>
      </c>
      <c r="B61" s="7" t="s">
        <v>12</v>
      </c>
      <c r="C61" t="s">
        <v>3</v>
      </c>
    </row>
    <row r="62" spans="1:3" x14ac:dyDescent="0.3">
      <c r="A62" s="7" t="s">
        <v>72</v>
      </c>
      <c r="B62" s="7" t="s">
        <v>12</v>
      </c>
      <c r="C62" t="s">
        <v>3</v>
      </c>
    </row>
    <row r="63" spans="1:3" x14ac:dyDescent="0.3">
      <c r="A63" s="7" t="s">
        <v>73</v>
      </c>
      <c r="B63" s="7" t="s">
        <v>12</v>
      </c>
      <c r="C63" t="s">
        <v>3</v>
      </c>
    </row>
    <row r="64" spans="1:3" x14ac:dyDescent="0.3">
      <c r="A64" s="7" t="s">
        <v>74</v>
      </c>
      <c r="B64" s="7" t="s">
        <v>12</v>
      </c>
      <c r="C64" t="s">
        <v>3</v>
      </c>
    </row>
    <row r="65" spans="1:3" x14ac:dyDescent="0.3">
      <c r="A65" s="7" t="s">
        <v>75</v>
      </c>
      <c r="B65" s="7" t="s">
        <v>12</v>
      </c>
      <c r="C65" t="s">
        <v>2</v>
      </c>
    </row>
    <row r="66" spans="1:3" x14ac:dyDescent="0.3">
      <c r="A66" s="7" t="s">
        <v>76</v>
      </c>
      <c r="B66" s="7" t="s">
        <v>12</v>
      </c>
      <c r="C66" t="s">
        <v>2</v>
      </c>
    </row>
    <row r="67" spans="1:3" x14ac:dyDescent="0.3">
      <c r="A67" s="7" t="s">
        <v>77</v>
      </c>
      <c r="B67" s="7" t="s">
        <v>12</v>
      </c>
      <c r="C67" t="s">
        <v>2</v>
      </c>
    </row>
    <row r="68" spans="1:3" x14ac:dyDescent="0.3">
      <c r="A68" s="7" t="s">
        <v>78</v>
      </c>
      <c r="B68" s="7" t="s">
        <v>12</v>
      </c>
      <c r="C68" t="s">
        <v>2</v>
      </c>
    </row>
    <row r="69" spans="1:3" x14ac:dyDescent="0.3">
      <c r="A69" s="7" t="s">
        <v>79</v>
      </c>
      <c r="B69" s="7" t="s">
        <v>12</v>
      </c>
      <c r="C69" t="s">
        <v>3678</v>
      </c>
    </row>
    <row r="70" spans="1:3" x14ac:dyDescent="0.3">
      <c r="A70" s="7" t="s">
        <v>80</v>
      </c>
      <c r="B70" s="7" t="s">
        <v>12</v>
      </c>
      <c r="C70" t="s">
        <v>3678</v>
      </c>
    </row>
    <row r="71" spans="1:3" x14ac:dyDescent="0.3">
      <c r="A71" s="7" t="s">
        <v>81</v>
      </c>
      <c r="B71" s="7" t="s">
        <v>12</v>
      </c>
      <c r="C71" t="s">
        <v>3678</v>
      </c>
    </row>
    <row r="72" spans="1:3" x14ac:dyDescent="0.3">
      <c r="A72" s="7" t="s">
        <v>82</v>
      </c>
      <c r="B72" s="7" t="s">
        <v>12</v>
      </c>
      <c r="C72" t="s">
        <v>3678</v>
      </c>
    </row>
    <row r="73" spans="1:3" x14ac:dyDescent="0.3">
      <c r="A73" s="7" t="s">
        <v>83</v>
      </c>
      <c r="B73" s="7" t="s">
        <v>12</v>
      </c>
      <c r="C73" t="s">
        <v>3678</v>
      </c>
    </row>
    <row r="74" spans="1:3" x14ac:dyDescent="0.3">
      <c r="A74" s="7" t="s">
        <v>84</v>
      </c>
      <c r="B74" s="7" t="s">
        <v>12</v>
      </c>
      <c r="C74" t="s">
        <v>3678</v>
      </c>
    </row>
    <row r="75" spans="1:3" x14ac:dyDescent="0.3">
      <c r="A75" s="7" t="s">
        <v>85</v>
      </c>
      <c r="B75" s="7" t="s">
        <v>12</v>
      </c>
      <c r="C75" t="s">
        <v>3678</v>
      </c>
    </row>
    <row r="76" spans="1:3" x14ac:dyDescent="0.3">
      <c r="A76" s="7" t="s">
        <v>86</v>
      </c>
      <c r="B76" s="7" t="s">
        <v>12</v>
      </c>
      <c r="C76" t="s">
        <v>3678</v>
      </c>
    </row>
    <row r="77" spans="1:3" x14ac:dyDescent="0.3">
      <c r="A77" s="7" t="s">
        <v>87</v>
      </c>
      <c r="B77" s="7" t="s">
        <v>12</v>
      </c>
      <c r="C77" t="s">
        <v>2</v>
      </c>
    </row>
    <row r="78" spans="1:3" x14ac:dyDescent="0.3">
      <c r="A78" s="7" t="s">
        <v>88</v>
      </c>
      <c r="B78" s="7" t="s">
        <v>12</v>
      </c>
      <c r="C78" t="s">
        <v>2</v>
      </c>
    </row>
    <row r="79" spans="1:3" x14ac:dyDescent="0.3">
      <c r="A79" s="7" t="s">
        <v>89</v>
      </c>
      <c r="B79" s="7" t="s">
        <v>12</v>
      </c>
      <c r="C79" t="s">
        <v>2</v>
      </c>
    </row>
    <row r="80" spans="1:3" x14ac:dyDescent="0.3">
      <c r="A80" s="7" t="s">
        <v>90</v>
      </c>
      <c r="B80" s="7" t="s">
        <v>12</v>
      </c>
      <c r="C80" t="s">
        <v>2</v>
      </c>
    </row>
    <row r="81" spans="1:3" x14ac:dyDescent="0.3">
      <c r="A81" s="7" t="s">
        <v>91</v>
      </c>
      <c r="B81" s="7" t="s">
        <v>12</v>
      </c>
      <c r="C81" t="s">
        <v>2</v>
      </c>
    </row>
    <row r="82" spans="1:3" x14ac:dyDescent="0.3">
      <c r="A82" s="7" t="s">
        <v>92</v>
      </c>
      <c r="B82" s="7" t="s">
        <v>12</v>
      </c>
      <c r="C82" t="s">
        <v>2</v>
      </c>
    </row>
    <row r="83" spans="1:3" x14ac:dyDescent="0.3">
      <c r="A83" s="7" t="s">
        <v>93</v>
      </c>
      <c r="B83" s="7" t="s">
        <v>12</v>
      </c>
      <c r="C83" t="s">
        <v>2</v>
      </c>
    </row>
    <row r="84" spans="1:3" x14ac:dyDescent="0.3">
      <c r="A84" s="7" t="s">
        <v>94</v>
      </c>
      <c r="B84" s="7" t="s">
        <v>12</v>
      </c>
      <c r="C84" t="s">
        <v>2</v>
      </c>
    </row>
    <row r="85" spans="1:3" x14ac:dyDescent="0.3">
      <c r="A85" s="7" t="s">
        <v>95</v>
      </c>
      <c r="B85" s="7" t="s">
        <v>12</v>
      </c>
      <c r="C85" t="s">
        <v>2</v>
      </c>
    </row>
    <row r="86" spans="1:3" x14ac:dyDescent="0.3">
      <c r="A86" s="7" t="s">
        <v>96</v>
      </c>
      <c r="B86" s="7" t="s">
        <v>12</v>
      </c>
      <c r="C86" t="s">
        <v>2</v>
      </c>
    </row>
    <row r="87" spans="1:3" x14ac:dyDescent="0.3">
      <c r="A87" s="7" t="s">
        <v>97</v>
      </c>
      <c r="B87" s="7" t="s">
        <v>12</v>
      </c>
      <c r="C87" t="s">
        <v>2</v>
      </c>
    </row>
    <row r="88" spans="1:3" x14ac:dyDescent="0.3">
      <c r="A88" s="7" t="s">
        <v>98</v>
      </c>
      <c r="B88" s="7" t="s">
        <v>12</v>
      </c>
      <c r="C88" t="s">
        <v>2</v>
      </c>
    </row>
    <row r="89" spans="1:3" x14ac:dyDescent="0.3">
      <c r="A89" s="7" t="s">
        <v>99</v>
      </c>
      <c r="B89" s="7" t="s">
        <v>12</v>
      </c>
      <c r="C89" t="s">
        <v>2</v>
      </c>
    </row>
    <row r="90" spans="1:3" x14ac:dyDescent="0.3">
      <c r="A90" s="7" t="s">
        <v>100</v>
      </c>
      <c r="B90" s="7" t="s">
        <v>12</v>
      </c>
      <c r="C90" t="s">
        <v>2</v>
      </c>
    </row>
    <row r="91" spans="1:3" x14ac:dyDescent="0.3">
      <c r="A91" s="7" t="s">
        <v>101</v>
      </c>
      <c r="B91" s="7" t="s">
        <v>12</v>
      </c>
      <c r="C91" t="s">
        <v>2</v>
      </c>
    </row>
    <row r="92" spans="1:3" x14ac:dyDescent="0.3">
      <c r="A92" s="7" t="s">
        <v>102</v>
      </c>
      <c r="B92" s="7" t="s">
        <v>12</v>
      </c>
      <c r="C92" t="s">
        <v>2</v>
      </c>
    </row>
    <row r="93" spans="1:3" x14ac:dyDescent="0.3">
      <c r="A93" s="7" t="s">
        <v>103</v>
      </c>
      <c r="B93" s="7" t="s">
        <v>12</v>
      </c>
      <c r="C93" t="s">
        <v>2</v>
      </c>
    </row>
    <row r="94" spans="1:3" x14ac:dyDescent="0.3">
      <c r="A94" s="7" t="s">
        <v>104</v>
      </c>
      <c r="B94" s="7" t="s">
        <v>12</v>
      </c>
      <c r="C94" t="s">
        <v>2</v>
      </c>
    </row>
    <row r="95" spans="1:3" x14ac:dyDescent="0.3">
      <c r="A95" s="7" t="s">
        <v>105</v>
      </c>
      <c r="B95" s="7" t="s">
        <v>12</v>
      </c>
      <c r="C95" t="s">
        <v>2</v>
      </c>
    </row>
    <row r="96" spans="1:3" x14ac:dyDescent="0.3">
      <c r="A96" s="7" t="s">
        <v>106</v>
      </c>
      <c r="B96" s="7" t="s">
        <v>12</v>
      </c>
      <c r="C96" t="s">
        <v>2</v>
      </c>
    </row>
    <row r="97" spans="1:3" x14ac:dyDescent="0.3">
      <c r="A97" s="7" t="s">
        <v>107</v>
      </c>
      <c r="B97" s="7" t="s">
        <v>12</v>
      </c>
      <c r="C97" t="s">
        <v>2</v>
      </c>
    </row>
    <row r="98" spans="1:3" x14ac:dyDescent="0.3">
      <c r="A98" s="7" t="s">
        <v>108</v>
      </c>
      <c r="B98" s="7" t="s">
        <v>12</v>
      </c>
      <c r="C98" t="s">
        <v>2</v>
      </c>
    </row>
    <row r="99" spans="1:3" x14ac:dyDescent="0.3">
      <c r="A99" s="7" t="s">
        <v>109</v>
      </c>
      <c r="B99" s="7" t="s">
        <v>12</v>
      </c>
      <c r="C99" t="s">
        <v>2</v>
      </c>
    </row>
    <row r="100" spans="1:3" x14ac:dyDescent="0.3">
      <c r="A100" s="7" t="s">
        <v>110</v>
      </c>
      <c r="B100" s="7" t="s">
        <v>12</v>
      </c>
      <c r="C100" t="s">
        <v>2</v>
      </c>
    </row>
    <row r="101" spans="1:3" x14ac:dyDescent="0.3">
      <c r="A101" s="7" t="s">
        <v>111</v>
      </c>
      <c r="B101" s="7" t="s">
        <v>12</v>
      </c>
      <c r="C101" t="s">
        <v>2</v>
      </c>
    </row>
    <row r="102" spans="1:3" x14ac:dyDescent="0.3">
      <c r="A102" s="7" t="s">
        <v>112</v>
      </c>
      <c r="B102" s="7" t="s">
        <v>12</v>
      </c>
      <c r="C102" t="s">
        <v>2</v>
      </c>
    </row>
    <row r="103" spans="1:3" x14ac:dyDescent="0.3">
      <c r="A103" s="7" t="s">
        <v>113</v>
      </c>
      <c r="B103" s="7" t="s">
        <v>12</v>
      </c>
      <c r="C103" t="s">
        <v>2</v>
      </c>
    </row>
    <row r="104" spans="1:3" x14ac:dyDescent="0.3">
      <c r="A104" s="7" t="s">
        <v>114</v>
      </c>
      <c r="B104" s="7" t="s">
        <v>12</v>
      </c>
      <c r="C104" t="s">
        <v>2</v>
      </c>
    </row>
    <row r="105" spans="1:3" x14ac:dyDescent="0.3">
      <c r="A105" s="7" t="s">
        <v>115</v>
      </c>
      <c r="B105" s="7" t="s">
        <v>12</v>
      </c>
      <c r="C105" t="s">
        <v>2</v>
      </c>
    </row>
    <row r="106" spans="1:3" x14ac:dyDescent="0.3">
      <c r="A106" s="7" t="s">
        <v>116</v>
      </c>
      <c r="B106" s="7" t="s">
        <v>12</v>
      </c>
      <c r="C106" t="s">
        <v>2</v>
      </c>
    </row>
    <row r="107" spans="1:3" x14ac:dyDescent="0.3">
      <c r="A107" s="7" t="s">
        <v>117</v>
      </c>
      <c r="B107" s="7" t="s">
        <v>12</v>
      </c>
      <c r="C107" t="s">
        <v>2</v>
      </c>
    </row>
    <row r="108" spans="1:3" x14ac:dyDescent="0.3">
      <c r="A108" s="7" t="s">
        <v>118</v>
      </c>
      <c r="B108" s="7" t="s">
        <v>12</v>
      </c>
      <c r="C108" t="s">
        <v>2</v>
      </c>
    </row>
    <row r="109" spans="1:3" x14ac:dyDescent="0.3">
      <c r="A109" s="7" t="s">
        <v>119</v>
      </c>
      <c r="B109" s="7" t="s">
        <v>12</v>
      </c>
      <c r="C109" t="s">
        <v>2</v>
      </c>
    </row>
    <row r="110" spans="1:3" x14ac:dyDescent="0.3">
      <c r="A110" s="7" t="s">
        <v>120</v>
      </c>
      <c r="B110" s="7" t="s">
        <v>12</v>
      </c>
      <c r="C110" t="s">
        <v>2</v>
      </c>
    </row>
    <row r="111" spans="1:3" x14ac:dyDescent="0.3">
      <c r="A111" s="7" t="s">
        <v>121</v>
      </c>
      <c r="B111" s="7" t="s">
        <v>12</v>
      </c>
      <c r="C111" t="s">
        <v>2</v>
      </c>
    </row>
    <row r="112" spans="1:3" x14ac:dyDescent="0.3">
      <c r="A112" s="7" t="s">
        <v>122</v>
      </c>
      <c r="B112" s="7" t="s">
        <v>12</v>
      </c>
      <c r="C112" t="s">
        <v>2</v>
      </c>
    </row>
    <row r="113" spans="1:3" x14ac:dyDescent="0.3">
      <c r="A113" s="7" t="s">
        <v>123</v>
      </c>
      <c r="B113" s="7" t="s">
        <v>12</v>
      </c>
      <c r="C113" t="s">
        <v>2</v>
      </c>
    </row>
    <row r="114" spans="1:3" x14ac:dyDescent="0.3">
      <c r="A114" s="7" t="s">
        <v>124</v>
      </c>
      <c r="B114" s="7" t="s">
        <v>12</v>
      </c>
      <c r="C114" t="s">
        <v>2</v>
      </c>
    </row>
    <row r="115" spans="1:3" x14ac:dyDescent="0.3">
      <c r="A115" s="7" t="s">
        <v>125</v>
      </c>
      <c r="B115" s="7" t="s">
        <v>12</v>
      </c>
      <c r="C115" t="s">
        <v>2</v>
      </c>
    </row>
    <row r="116" spans="1:3" x14ac:dyDescent="0.3">
      <c r="A116" s="7" t="s">
        <v>126</v>
      </c>
      <c r="B116" s="7" t="s">
        <v>12</v>
      </c>
      <c r="C116" t="s">
        <v>2</v>
      </c>
    </row>
    <row r="117" spans="1:3" x14ac:dyDescent="0.3">
      <c r="A117" s="7" t="s">
        <v>127</v>
      </c>
      <c r="B117" s="7" t="s">
        <v>12</v>
      </c>
      <c r="C117" t="s">
        <v>2</v>
      </c>
    </row>
    <row r="118" spans="1:3" x14ac:dyDescent="0.3">
      <c r="A118" s="7" t="s">
        <v>128</v>
      </c>
      <c r="B118" s="7" t="s">
        <v>12</v>
      </c>
      <c r="C118" t="s">
        <v>2</v>
      </c>
    </row>
    <row r="119" spans="1:3" x14ac:dyDescent="0.3">
      <c r="A119" s="7" t="s">
        <v>129</v>
      </c>
      <c r="B119" s="7" t="s">
        <v>12</v>
      </c>
      <c r="C119" t="s">
        <v>2</v>
      </c>
    </row>
    <row r="120" spans="1:3" x14ac:dyDescent="0.3">
      <c r="A120" s="7" t="s">
        <v>130</v>
      </c>
      <c r="B120" s="7" t="s">
        <v>12</v>
      </c>
      <c r="C120" t="s">
        <v>2</v>
      </c>
    </row>
    <row r="121" spans="1:3" x14ac:dyDescent="0.3">
      <c r="A121" s="7" t="s">
        <v>131</v>
      </c>
      <c r="B121" s="7" t="s">
        <v>12</v>
      </c>
      <c r="C121" t="s">
        <v>2</v>
      </c>
    </row>
    <row r="122" spans="1:3" x14ac:dyDescent="0.3">
      <c r="A122" s="7" t="s">
        <v>132</v>
      </c>
      <c r="B122" s="7" t="s">
        <v>12</v>
      </c>
      <c r="C122" t="s">
        <v>2</v>
      </c>
    </row>
    <row r="123" spans="1:3" x14ac:dyDescent="0.3">
      <c r="A123" s="7" t="s">
        <v>133</v>
      </c>
      <c r="B123" s="7" t="s">
        <v>12</v>
      </c>
      <c r="C123" t="s">
        <v>2</v>
      </c>
    </row>
    <row r="124" spans="1:3" x14ac:dyDescent="0.3">
      <c r="A124" s="7" t="s">
        <v>134</v>
      </c>
      <c r="B124" s="7" t="s">
        <v>12</v>
      </c>
      <c r="C124" t="s">
        <v>2</v>
      </c>
    </row>
    <row r="125" spans="1:3" x14ac:dyDescent="0.3">
      <c r="A125" s="7" t="s">
        <v>135</v>
      </c>
      <c r="B125" s="7" t="s">
        <v>12</v>
      </c>
      <c r="C125" t="s">
        <v>2</v>
      </c>
    </row>
    <row r="126" spans="1:3" x14ac:dyDescent="0.3">
      <c r="A126" s="7" t="s">
        <v>136</v>
      </c>
      <c r="B126" s="7" t="s">
        <v>12</v>
      </c>
      <c r="C126" t="s">
        <v>2</v>
      </c>
    </row>
    <row r="127" spans="1:3" x14ac:dyDescent="0.3">
      <c r="A127" s="7" t="s">
        <v>137</v>
      </c>
      <c r="B127" s="7" t="s">
        <v>12</v>
      </c>
      <c r="C127" t="s">
        <v>2</v>
      </c>
    </row>
    <row r="128" spans="1:3" x14ac:dyDescent="0.3">
      <c r="A128" s="7" t="s">
        <v>138</v>
      </c>
      <c r="B128" s="7" t="s">
        <v>12</v>
      </c>
      <c r="C128" t="s">
        <v>3</v>
      </c>
    </row>
    <row r="129" spans="1:3" x14ac:dyDescent="0.3">
      <c r="A129" s="7" t="s">
        <v>139</v>
      </c>
      <c r="B129" s="7" t="s">
        <v>12</v>
      </c>
      <c r="C129" t="s">
        <v>3</v>
      </c>
    </row>
    <row r="130" spans="1:3" x14ac:dyDescent="0.3">
      <c r="A130" s="7" t="s">
        <v>140</v>
      </c>
      <c r="B130" s="7" t="s">
        <v>12</v>
      </c>
      <c r="C130" t="s">
        <v>3</v>
      </c>
    </row>
    <row r="131" spans="1:3" x14ac:dyDescent="0.3">
      <c r="A131" s="7" t="s">
        <v>141</v>
      </c>
      <c r="B131" s="7" t="s">
        <v>12</v>
      </c>
      <c r="C131" t="s">
        <v>3</v>
      </c>
    </row>
    <row r="132" spans="1:3" x14ac:dyDescent="0.3">
      <c r="A132" s="7" t="s">
        <v>142</v>
      </c>
      <c r="B132" s="7" t="s">
        <v>12</v>
      </c>
      <c r="C132" t="s">
        <v>3</v>
      </c>
    </row>
    <row r="133" spans="1:3" x14ac:dyDescent="0.3">
      <c r="A133" s="7" t="s">
        <v>143</v>
      </c>
      <c r="B133" s="7" t="s">
        <v>12</v>
      </c>
      <c r="C133" t="s">
        <v>3</v>
      </c>
    </row>
    <row r="134" spans="1:3" x14ac:dyDescent="0.3">
      <c r="A134" s="7" t="s">
        <v>144</v>
      </c>
      <c r="B134" s="7" t="s">
        <v>12</v>
      </c>
      <c r="C134" t="s">
        <v>3</v>
      </c>
    </row>
    <row r="135" spans="1:3" x14ac:dyDescent="0.3">
      <c r="A135" s="7" t="s">
        <v>145</v>
      </c>
      <c r="B135" s="7" t="s">
        <v>12</v>
      </c>
      <c r="C135" t="s">
        <v>3</v>
      </c>
    </row>
    <row r="136" spans="1:3" x14ac:dyDescent="0.3">
      <c r="A136" s="7" t="s">
        <v>146</v>
      </c>
      <c r="B136" s="7" t="s">
        <v>12</v>
      </c>
      <c r="C136" t="s">
        <v>3</v>
      </c>
    </row>
    <row r="137" spans="1:3" x14ac:dyDescent="0.3">
      <c r="A137" s="7" t="s">
        <v>147</v>
      </c>
      <c r="B137" s="7" t="s">
        <v>12</v>
      </c>
      <c r="C137" t="s">
        <v>2</v>
      </c>
    </row>
    <row r="138" spans="1:3" x14ac:dyDescent="0.3">
      <c r="A138" s="7" t="s">
        <v>148</v>
      </c>
      <c r="B138" s="7" t="s">
        <v>12</v>
      </c>
      <c r="C138" t="s">
        <v>2</v>
      </c>
    </row>
    <row r="139" spans="1:3" x14ac:dyDescent="0.3">
      <c r="A139" s="7" t="s">
        <v>149</v>
      </c>
      <c r="B139" s="7" t="s">
        <v>12</v>
      </c>
      <c r="C139" t="s">
        <v>2</v>
      </c>
    </row>
    <row r="140" spans="1:3" x14ac:dyDescent="0.3">
      <c r="A140" s="7" t="s">
        <v>150</v>
      </c>
      <c r="B140" s="7" t="s">
        <v>12</v>
      </c>
      <c r="C140" t="s">
        <v>2</v>
      </c>
    </row>
    <row r="141" spans="1:3" x14ac:dyDescent="0.3">
      <c r="A141" s="7" t="s">
        <v>151</v>
      </c>
      <c r="B141" s="7" t="s">
        <v>12</v>
      </c>
      <c r="C141" t="s">
        <v>2</v>
      </c>
    </row>
    <row r="142" spans="1:3" x14ac:dyDescent="0.3">
      <c r="A142" s="7" t="s">
        <v>152</v>
      </c>
      <c r="B142" s="7" t="s">
        <v>12</v>
      </c>
      <c r="C142" t="s">
        <v>2</v>
      </c>
    </row>
    <row r="143" spans="1:3" x14ac:dyDescent="0.3">
      <c r="A143" s="7" t="s">
        <v>153</v>
      </c>
      <c r="B143" s="7" t="s">
        <v>12</v>
      </c>
      <c r="C143" t="s">
        <v>2</v>
      </c>
    </row>
    <row r="144" spans="1:3" x14ac:dyDescent="0.3">
      <c r="A144" s="7" t="s">
        <v>154</v>
      </c>
      <c r="B144" s="7" t="s">
        <v>12</v>
      </c>
      <c r="C144" t="s">
        <v>2</v>
      </c>
    </row>
    <row r="145" spans="1:3" x14ac:dyDescent="0.3">
      <c r="A145" s="7" t="s">
        <v>155</v>
      </c>
      <c r="B145" s="7" t="s">
        <v>12</v>
      </c>
      <c r="C145" t="s">
        <v>2</v>
      </c>
    </row>
    <row r="146" spans="1:3" x14ac:dyDescent="0.3">
      <c r="A146" s="7" t="s">
        <v>156</v>
      </c>
      <c r="B146" s="7" t="s">
        <v>12</v>
      </c>
      <c r="C146" t="s">
        <v>2</v>
      </c>
    </row>
    <row r="147" spans="1:3" x14ac:dyDescent="0.3">
      <c r="A147" s="7" t="s">
        <v>157</v>
      </c>
      <c r="B147" s="7" t="s">
        <v>12</v>
      </c>
      <c r="C147" t="s">
        <v>2</v>
      </c>
    </row>
    <row r="148" spans="1:3" x14ac:dyDescent="0.3">
      <c r="A148" s="7" t="s">
        <v>158</v>
      </c>
      <c r="B148" s="7" t="s">
        <v>12</v>
      </c>
      <c r="C148" t="s">
        <v>3678</v>
      </c>
    </row>
    <row r="149" spans="1:3" x14ac:dyDescent="0.3">
      <c r="A149" s="7" t="s">
        <v>159</v>
      </c>
      <c r="B149" s="7" t="s">
        <v>12</v>
      </c>
      <c r="C149" t="s">
        <v>3678</v>
      </c>
    </row>
    <row r="150" spans="1:3" x14ac:dyDescent="0.3">
      <c r="A150" s="7" t="s">
        <v>160</v>
      </c>
      <c r="B150" s="7" t="s">
        <v>12</v>
      </c>
      <c r="C150" t="s">
        <v>3678</v>
      </c>
    </row>
    <row r="151" spans="1:3" x14ac:dyDescent="0.3">
      <c r="A151" s="7" t="s">
        <v>161</v>
      </c>
      <c r="B151" s="7" t="s">
        <v>12</v>
      </c>
      <c r="C151" t="s">
        <v>3678</v>
      </c>
    </row>
    <row r="152" spans="1:3" x14ac:dyDescent="0.3">
      <c r="A152" s="7" t="s">
        <v>162</v>
      </c>
      <c r="B152" s="7" t="s">
        <v>12</v>
      </c>
      <c r="C152" t="s">
        <v>3678</v>
      </c>
    </row>
    <row r="153" spans="1:3" x14ac:dyDescent="0.3">
      <c r="A153" s="7" t="s">
        <v>163</v>
      </c>
      <c r="B153" s="7" t="s">
        <v>12</v>
      </c>
      <c r="C153" t="s">
        <v>3678</v>
      </c>
    </row>
    <row r="154" spans="1:3" x14ac:dyDescent="0.3">
      <c r="A154" s="7" t="s">
        <v>164</v>
      </c>
      <c r="B154" s="7" t="s">
        <v>12</v>
      </c>
      <c r="C154" t="s">
        <v>2</v>
      </c>
    </row>
    <row r="155" spans="1:3" x14ac:dyDescent="0.3">
      <c r="A155" s="7" t="s">
        <v>165</v>
      </c>
      <c r="B155" s="7" t="s">
        <v>12</v>
      </c>
      <c r="C155" t="s">
        <v>2</v>
      </c>
    </row>
    <row r="156" spans="1:3" x14ac:dyDescent="0.3">
      <c r="A156" s="7" t="s">
        <v>166</v>
      </c>
      <c r="B156" s="7" t="s">
        <v>12</v>
      </c>
      <c r="C156" t="s">
        <v>2</v>
      </c>
    </row>
    <row r="157" spans="1:3" x14ac:dyDescent="0.3">
      <c r="A157" s="7" t="s">
        <v>167</v>
      </c>
      <c r="B157" s="7" t="s">
        <v>12</v>
      </c>
      <c r="C157" t="s">
        <v>2</v>
      </c>
    </row>
    <row r="158" spans="1:3" x14ac:dyDescent="0.3">
      <c r="A158" s="7" t="s">
        <v>168</v>
      </c>
      <c r="B158" s="7" t="s">
        <v>12</v>
      </c>
      <c r="C158" t="s">
        <v>2</v>
      </c>
    </row>
    <row r="159" spans="1:3" x14ac:dyDescent="0.3">
      <c r="A159" s="7" t="s">
        <v>169</v>
      </c>
      <c r="B159" s="7" t="s">
        <v>12</v>
      </c>
      <c r="C159" t="s">
        <v>2</v>
      </c>
    </row>
    <row r="160" spans="1:3" x14ac:dyDescent="0.3">
      <c r="A160" s="7" t="s">
        <v>170</v>
      </c>
      <c r="B160" s="7" t="s">
        <v>12</v>
      </c>
      <c r="C160" t="s">
        <v>2</v>
      </c>
    </row>
    <row r="161" spans="1:3" x14ac:dyDescent="0.3">
      <c r="A161" s="7" t="s">
        <v>171</v>
      </c>
      <c r="B161" s="7" t="s">
        <v>12</v>
      </c>
      <c r="C161" t="s">
        <v>2</v>
      </c>
    </row>
    <row r="162" spans="1:3" x14ac:dyDescent="0.3">
      <c r="A162" s="7" t="s">
        <v>172</v>
      </c>
      <c r="B162" s="7" t="s">
        <v>12</v>
      </c>
      <c r="C162" t="s">
        <v>2</v>
      </c>
    </row>
    <row r="163" spans="1:3" x14ac:dyDescent="0.3">
      <c r="A163" s="7" t="s">
        <v>173</v>
      </c>
      <c r="B163" s="7" t="s">
        <v>12</v>
      </c>
      <c r="C163" t="s">
        <v>2</v>
      </c>
    </row>
    <row r="164" spans="1:3" x14ac:dyDescent="0.3">
      <c r="A164" s="7" t="s">
        <v>174</v>
      </c>
      <c r="B164" s="7" t="s">
        <v>12</v>
      </c>
      <c r="C164" t="s">
        <v>2</v>
      </c>
    </row>
    <row r="165" spans="1:3" x14ac:dyDescent="0.3">
      <c r="A165" s="7" t="s">
        <v>175</v>
      </c>
      <c r="B165" s="7" t="s">
        <v>12</v>
      </c>
      <c r="C165" t="s">
        <v>2</v>
      </c>
    </row>
    <row r="166" spans="1:3" x14ac:dyDescent="0.3">
      <c r="A166" s="7" t="s">
        <v>176</v>
      </c>
      <c r="B166" s="7" t="s">
        <v>12</v>
      </c>
      <c r="C166" t="s">
        <v>2</v>
      </c>
    </row>
    <row r="167" spans="1:3" x14ac:dyDescent="0.3">
      <c r="A167" s="7" t="s">
        <v>177</v>
      </c>
      <c r="B167" s="7" t="s">
        <v>12</v>
      </c>
      <c r="C167" t="s">
        <v>3678</v>
      </c>
    </row>
    <row r="168" spans="1:3" x14ac:dyDescent="0.3">
      <c r="A168" s="7" t="s">
        <v>178</v>
      </c>
      <c r="B168" s="7" t="s">
        <v>12</v>
      </c>
      <c r="C168" t="s">
        <v>3678</v>
      </c>
    </row>
    <row r="169" spans="1:3" x14ac:dyDescent="0.3">
      <c r="A169" s="7" t="s">
        <v>179</v>
      </c>
      <c r="B169" s="7" t="s">
        <v>12</v>
      </c>
      <c r="C169" t="s">
        <v>3678</v>
      </c>
    </row>
    <row r="170" spans="1:3" x14ac:dyDescent="0.3">
      <c r="A170" s="7" t="s">
        <v>180</v>
      </c>
      <c r="B170" s="7" t="s">
        <v>12</v>
      </c>
      <c r="C170" t="s">
        <v>3678</v>
      </c>
    </row>
    <row r="171" spans="1:3" x14ac:dyDescent="0.3">
      <c r="A171" s="7" t="s">
        <v>181</v>
      </c>
      <c r="B171" s="7" t="s">
        <v>12</v>
      </c>
      <c r="C171" t="s">
        <v>3678</v>
      </c>
    </row>
    <row r="172" spans="1:3" x14ac:dyDescent="0.3">
      <c r="A172" s="7" t="s">
        <v>182</v>
      </c>
      <c r="B172" s="7" t="s">
        <v>12</v>
      </c>
      <c r="C172" t="s">
        <v>3678</v>
      </c>
    </row>
    <row r="173" spans="1:3" x14ac:dyDescent="0.3">
      <c r="A173" s="7" t="s">
        <v>183</v>
      </c>
      <c r="B173" s="7" t="s">
        <v>12</v>
      </c>
      <c r="C173" t="s">
        <v>3678</v>
      </c>
    </row>
    <row r="174" spans="1:3" x14ac:dyDescent="0.3">
      <c r="A174" s="7" t="s">
        <v>184</v>
      </c>
      <c r="B174" s="7" t="s">
        <v>12</v>
      </c>
      <c r="C174" t="s">
        <v>3678</v>
      </c>
    </row>
    <row r="175" spans="1:3" x14ac:dyDescent="0.3">
      <c r="A175" s="7" t="s">
        <v>185</v>
      </c>
      <c r="B175" s="7" t="s">
        <v>12</v>
      </c>
      <c r="C175" t="s">
        <v>3678</v>
      </c>
    </row>
    <row r="176" spans="1:3" x14ac:dyDescent="0.3">
      <c r="A176" s="7" t="s">
        <v>186</v>
      </c>
      <c r="B176" s="7" t="s">
        <v>12</v>
      </c>
      <c r="C176" t="s">
        <v>3678</v>
      </c>
    </row>
    <row r="177" spans="1:3" x14ac:dyDescent="0.3">
      <c r="A177" s="7" t="s">
        <v>187</v>
      </c>
      <c r="B177" s="7" t="s">
        <v>12</v>
      </c>
      <c r="C177" t="s">
        <v>3678</v>
      </c>
    </row>
    <row r="178" spans="1:3" x14ac:dyDescent="0.3">
      <c r="A178" s="7" t="s">
        <v>188</v>
      </c>
      <c r="B178" s="7" t="s">
        <v>12</v>
      </c>
      <c r="C178" t="s">
        <v>3678</v>
      </c>
    </row>
    <row r="179" spans="1:3" x14ac:dyDescent="0.3">
      <c r="A179" s="7" t="s">
        <v>189</v>
      </c>
      <c r="B179" s="7" t="s">
        <v>12</v>
      </c>
      <c r="C179" t="s">
        <v>3678</v>
      </c>
    </row>
    <row r="180" spans="1:3" x14ac:dyDescent="0.3">
      <c r="A180" s="7" t="s">
        <v>190</v>
      </c>
      <c r="B180" s="7" t="s">
        <v>12</v>
      </c>
      <c r="C180" t="s">
        <v>3678</v>
      </c>
    </row>
    <row r="181" spans="1:3" x14ac:dyDescent="0.3">
      <c r="A181" s="7" t="s">
        <v>191</v>
      </c>
      <c r="B181" s="7" t="s">
        <v>12</v>
      </c>
      <c r="C181" t="s">
        <v>2</v>
      </c>
    </row>
    <row r="182" spans="1:3" x14ac:dyDescent="0.3">
      <c r="A182" s="7" t="s">
        <v>192</v>
      </c>
      <c r="B182" s="7" t="s">
        <v>12</v>
      </c>
      <c r="C182" t="s">
        <v>2</v>
      </c>
    </row>
    <row r="183" spans="1:3" x14ac:dyDescent="0.3">
      <c r="A183" s="7" t="s">
        <v>193</v>
      </c>
      <c r="B183" s="7" t="s">
        <v>12</v>
      </c>
      <c r="C183" t="s">
        <v>2</v>
      </c>
    </row>
    <row r="184" spans="1:3" x14ac:dyDescent="0.3">
      <c r="A184" s="7" t="s">
        <v>194</v>
      </c>
      <c r="B184" s="7" t="s">
        <v>12</v>
      </c>
      <c r="C184" t="s">
        <v>2</v>
      </c>
    </row>
    <row r="185" spans="1:3" x14ac:dyDescent="0.3">
      <c r="A185" s="7" t="s">
        <v>195</v>
      </c>
      <c r="B185" s="7" t="s">
        <v>12</v>
      </c>
      <c r="C185" t="s">
        <v>2</v>
      </c>
    </row>
    <row r="186" spans="1:3" x14ac:dyDescent="0.3">
      <c r="A186" s="7" t="s">
        <v>196</v>
      </c>
      <c r="B186" s="7" t="s">
        <v>12</v>
      </c>
      <c r="C186" t="s">
        <v>2</v>
      </c>
    </row>
    <row r="187" spans="1:3" x14ac:dyDescent="0.3">
      <c r="A187" s="7" t="s">
        <v>197</v>
      </c>
      <c r="B187" s="7" t="s">
        <v>12</v>
      </c>
      <c r="C187" t="s">
        <v>2</v>
      </c>
    </row>
    <row r="188" spans="1:3" x14ac:dyDescent="0.3">
      <c r="A188" s="7" t="s">
        <v>198</v>
      </c>
      <c r="B188" s="7" t="s">
        <v>12</v>
      </c>
      <c r="C188" t="s">
        <v>2</v>
      </c>
    </row>
    <row r="189" spans="1:3" x14ac:dyDescent="0.3">
      <c r="A189" s="7" t="s">
        <v>199</v>
      </c>
      <c r="B189" s="7" t="s">
        <v>12</v>
      </c>
      <c r="C189" t="s">
        <v>2</v>
      </c>
    </row>
    <row r="190" spans="1:3" x14ac:dyDescent="0.3">
      <c r="A190" s="7" t="s">
        <v>200</v>
      </c>
      <c r="B190" s="7" t="s">
        <v>12</v>
      </c>
      <c r="C190" t="s">
        <v>2</v>
      </c>
    </row>
    <row r="191" spans="1:3" x14ac:dyDescent="0.3">
      <c r="A191" s="7" t="s">
        <v>201</v>
      </c>
      <c r="B191" s="7" t="s">
        <v>12</v>
      </c>
      <c r="C191" t="s">
        <v>2</v>
      </c>
    </row>
    <row r="192" spans="1:3" x14ac:dyDescent="0.3">
      <c r="A192" s="7" t="s">
        <v>202</v>
      </c>
      <c r="B192" s="7" t="s">
        <v>12</v>
      </c>
      <c r="C192" t="s">
        <v>2</v>
      </c>
    </row>
    <row r="193" spans="1:3" x14ac:dyDescent="0.3">
      <c r="A193" s="7" t="s">
        <v>203</v>
      </c>
      <c r="B193" s="7" t="s">
        <v>12</v>
      </c>
      <c r="C193" t="s">
        <v>2</v>
      </c>
    </row>
    <row r="194" spans="1:3" x14ac:dyDescent="0.3">
      <c r="A194" s="7" t="s">
        <v>204</v>
      </c>
      <c r="B194" s="7" t="s">
        <v>12</v>
      </c>
      <c r="C194" t="s">
        <v>2</v>
      </c>
    </row>
    <row r="195" spans="1:3" x14ac:dyDescent="0.3">
      <c r="A195" s="7" t="s">
        <v>205</v>
      </c>
      <c r="B195" s="7" t="s">
        <v>12</v>
      </c>
      <c r="C195" t="s">
        <v>2</v>
      </c>
    </row>
    <row r="196" spans="1:3" x14ac:dyDescent="0.3">
      <c r="A196" s="7" t="s">
        <v>206</v>
      </c>
      <c r="B196" s="7" t="s">
        <v>12</v>
      </c>
      <c r="C196" t="s">
        <v>2</v>
      </c>
    </row>
    <row r="197" spans="1:3" x14ac:dyDescent="0.3">
      <c r="A197" s="7" t="s">
        <v>207</v>
      </c>
      <c r="B197" s="7" t="s">
        <v>12</v>
      </c>
      <c r="C197" t="s">
        <v>2</v>
      </c>
    </row>
    <row r="198" spans="1:3" x14ac:dyDescent="0.3">
      <c r="A198" s="7" t="s">
        <v>208</v>
      </c>
      <c r="B198" s="7" t="s">
        <v>12</v>
      </c>
      <c r="C198" t="s">
        <v>2</v>
      </c>
    </row>
    <row r="199" spans="1:3" x14ac:dyDescent="0.3">
      <c r="A199" s="7" t="s">
        <v>209</v>
      </c>
      <c r="B199" s="7" t="s">
        <v>12</v>
      </c>
      <c r="C199" t="s">
        <v>2</v>
      </c>
    </row>
    <row r="200" spans="1:3" x14ac:dyDescent="0.3">
      <c r="A200" s="7" t="s">
        <v>210</v>
      </c>
      <c r="B200" s="7" t="s">
        <v>12</v>
      </c>
      <c r="C200" t="s">
        <v>2</v>
      </c>
    </row>
    <row r="201" spans="1:3" x14ac:dyDescent="0.3">
      <c r="A201" s="7" t="s">
        <v>211</v>
      </c>
      <c r="B201" s="7" t="s">
        <v>12</v>
      </c>
      <c r="C201" t="s">
        <v>2</v>
      </c>
    </row>
    <row r="202" spans="1:3" x14ac:dyDescent="0.3">
      <c r="A202" s="7" t="s">
        <v>212</v>
      </c>
      <c r="B202" s="7" t="s">
        <v>12</v>
      </c>
      <c r="C202" t="s">
        <v>2</v>
      </c>
    </row>
    <row r="203" spans="1:3" x14ac:dyDescent="0.3">
      <c r="A203" s="7" t="s">
        <v>213</v>
      </c>
      <c r="B203" s="7" t="s">
        <v>12</v>
      </c>
      <c r="C203" t="s">
        <v>2</v>
      </c>
    </row>
    <row r="204" spans="1:3" x14ac:dyDescent="0.3">
      <c r="A204" s="7" t="s">
        <v>214</v>
      </c>
      <c r="B204" s="7" t="s">
        <v>12</v>
      </c>
      <c r="C204" t="s">
        <v>2</v>
      </c>
    </row>
    <row r="205" spans="1:3" x14ac:dyDescent="0.3">
      <c r="A205" s="7" t="s">
        <v>215</v>
      </c>
      <c r="B205" s="7" t="s">
        <v>12</v>
      </c>
      <c r="C205" t="s">
        <v>2</v>
      </c>
    </row>
    <row r="206" spans="1:3" x14ac:dyDescent="0.3">
      <c r="A206" s="7" t="s">
        <v>216</v>
      </c>
      <c r="B206" s="7" t="s">
        <v>12</v>
      </c>
      <c r="C206" t="s">
        <v>2</v>
      </c>
    </row>
    <row r="207" spans="1:3" x14ac:dyDescent="0.3">
      <c r="A207" s="7" t="s">
        <v>217</v>
      </c>
      <c r="B207" s="7" t="s">
        <v>12</v>
      </c>
      <c r="C207" t="s">
        <v>2</v>
      </c>
    </row>
    <row r="208" spans="1:3" x14ac:dyDescent="0.3">
      <c r="A208" s="7" t="s">
        <v>218</v>
      </c>
      <c r="B208" s="7" t="s">
        <v>12</v>
      </c>
      <c r="C208" t="s">
        <v>2</v>
      </c>
    </row>
    <row r="209" spans="1:3" x14ac:dyDescent="0.3">
      <c r="A209" s="7" t="s">
        <v>219</v>
      </c>
      <c r="B209" s="7" t="s">
        <v>12</v>
      </c>
      <c r="C209" t="s">
        <v>2</v>
      </c>
    </row>
    <row r="210" spans="1:3" x14ac:dyDescent="0.3">
      <c r="A210" s="7" t="s">
        <v>220</v>
      </c>
      <c r="B210" s="7" t="s">
        <v>12</v>
      </c>
      <c r="C210" t="s">
        <v>2</v>
      </c>
    </row>
    <row r="211" spans="1:3" x14ac:dyDescent="0.3">
      <c r="A211" s="7" t="s">
        <v>221</v>
      </c>
      <c r="B211" s="7" t="s">
        <v>12</v>
      </c>
      <c r="C211" t="s">
        <v>2</v>
      </c>
    </row>
    <row r="212" spans="1:3" x14ac:dyDescent="0.3">
      <c r="A212" s="7" t="s">
        <v>222</v>
      </c>
      <c r="B212" s="7" t="s">
        <v>12</v>
      </c>
      <c r="C212" t="s">
        <v>2</v>
      </c>
    </row>
    <row r="213" spans="1:3" x14ac:dyDescent="0.3">
      <c r="A213" s="7" t="s">
        <v>223</v>
      </c>
      <c r="B213" s="7" t="s">
        <v>12</v>
      </c>
      <c r="C213" t="s">
        <v>2</v>
      </c>
    </row>
    <row r="214" spans="1:3" x14ac:dyDescent="0.3">
      <c r="A214" s="7" t="s">
        <v>224</v>
      </c>
      <c r="B214" s="7" t="s">
        <v>12</v>
      </c>
      <c r="C214" t="s">
        <v>2</v>
      </c>
    </row>
    <row r="215" spans="1:3" x14ac:dyDescent="0.3">
      <c r="A215" s="7" t="s">
        <v>225</v>
      </c>
      <c r="B215" s="7" t="s">
        <v>12</v>
      </c>
      <c r="C215" t="s">
        <v>2</v>
      </c>
    </row>
    <row r="216" spans="1:3" x14ac:dyDescent="0.3">
      <c r="A216" s="7" t="s">
        <v>226</v>
      </c>
      <c r="B216" s="7" t="s">
        <v>12</v>
      </c>
      <c r="C216" t="s">
        <v>2</v>
      </c>
    </row>
    <row r="217" spans="1:3" x14ac:dyDescent="0.3">
      <c r="A217" s="7" t="s">
        <v>227</v>
      </c>
      <c r="B217" s="7" t="s">
        <v>12</v>
      </c>
      <c r="C217" t="s">
        <v>2</v>
      </c>
    </row>
    <row r="218" spans="1:3" x14ac:dyDescent="0.3">
      <c r="A218" s="7" t="s">
        <v>228</v>
      </c>
      <c r="B218" s="7" t="s">
        <v>12</v>
      </c>
      <c r="C218" t="s">
        <v>2</v>
      </c>
    </row>
    <row r="219" spans="1:3" x14ac:dyDescent="0.3">
      <c r="A219" s="7" t="s">
        <v>229</v>
      </c>
      <c r="B219" s="7" t="s">
        <v>12</v>
      </c>
      <c r="C219" t="s">
        <v>2</v>
      </c>
    </row>
    <row r="220" spans="1:3" x14ac:dyDescent="0.3">
      <c r="A220" s="7" t="s">
        <v>230</v>
      </c>
      <c r="B220" s="7" t="s">
        <v>12</v>
      </c>
      <c r="C220" t="s">
        <v>2</v>
      </c>
    </row>
    <row r="221" spans="1:3" x14ac:dyDescent="0.3">
      <c r="A221" s="7" t="s">
        <v>231</v>
      </c>
      <c r="B221" s="7" t="s">
        <v>12</v>
      </c>
      <c r="C221" t="s">
        <v>2</v>
      </c>
    </row>
    <row r="222" spans="1:3" x14ac:dyDescent="0.3">
      <c r="A222" s="7" t="s">
        <v>232</v>
      </c>
      <c r="B222" s="7" t="s">
        <v>12</v>
      </c>
      <c r="C222" t="s">
        <v>2</v>
      </c>
    </row>
    <row r="223" spans="1:3" x14ac:dyDescent="0.3">
      <c r="A223" s="7" t="s">
        <v>233</v>
      </c>
      <c r="B223" s="7" t="s">
        <v>12</v>
      </c>
      <c r="C223" t="s">
        <v>2</v>
      </c>
    </row>
    <row r="224" spans="1:3" x14ac:dyDescent="0.3">
      <c r="A224" s="7" t="s">
        <v>234</v>
      </c>
      <c r="B224" s="7" t="s">
        <v>12</v>
      </c>
      <c r="C224" t="s">
        <v>2</v>
      </c>
    </row>
    <row r="225" spans="1:3" x14ac:dyDescent="0.3">
      <c r="A225" s="7" t="s">
        <v>235</v>
      </c>
      <c r="B225" s="7" t="s">
        <v>12</v>
      </c>
      <c r="C225" t="s">
        <v>2</v>
      </c>
    </row>
    <row r="226" spans="1:3" x14ac:dyDescent="0.3">
      <c r="A226" s="7" t="s">
        <v>236</v>
      </c>
      <c r="B226" s="7" t="s">
        <v>12</v>
      </c>
      <c r="C226" t="s">
        <v>2</v>
      </c>
    </row>
    <row r="227" spans="1:3" x14ac:dyDescent="0.3">
      <c r="A227" s="7" t="s">
        <v>237</v>
      </c>
      <c r="B227" s="7" t="s">
        <v>12</v>
      </c>
      <c r="C227" t="s">
        <v>2</v>
      </c>
    </row>
    <row r="228" spans="1:3" x14ac:dyDescent="0.3">
      <c r="A228" s="7" t="s">
        <v>238</v>
      </c>
      <c r="B228" s="7" t="s">
        <v>12</v>
      </c>
      <c r="C228" t="s">
        <v>2</v>
      </c>
    </row>
    <row r="229" spans="1:3" x14ac:dyDescent="0.3">
      <c r="A229" s="7" t="s">
        <v>239</v>
      </c>
      <c r="B229" s="7" t="s">
        <v>12</v>
      </c>
      <c r="C229" t="s">
        <v>2</v>
      </c>
    </row>
    <row r="230" spans="1:3" x14ac:dyDescent="0.3">
      <c r="A230" s="7" t="s">
        <v>240</v>
      </c>
      <c r="B230" s="7" t="s">
        <v>12</v>
      </c>
      <c r="C230" t="s">
        <v>2</v>
      </c>
    </row>
    <row r="231" spans="1:3" x14ac:dyDescent="0.3">
      <c r="A231" s="7" t="s">
        <v>241</v>
      </c>
      <c r="B231" s="7" t="s">
        <v>12</v>
      </c>
      <c r="C231" t="s">
        <v>2</v>
      </c>
    </row>
    <row r="232" spans="1:3" x14ac:dyDescent="0.3">
      <c r="A232" s="7" t="s">
        <v>242</v>
      </c>
      <c r="B232" s="7" t="s">
        <v>12</v>
      </c>
      <c r="C232" t="s">
        <v>3</v>
      </c>
    </row>
    <row r="233" spans="1:3" x14ac:dyDescent="0.3">
      <c r="A233" s="7" t="s">
        <v>243</v>
      </c>
      <c r="B233" s="7" t="s">
        <v>12</v>
      </c>
      <c r="C233" t="s">
        <v>3</v>
      </c>
    </row>
    <row r="234" spans="1:3" x14ac:dyDescent="0.3">
      <c r="A234" s="7" t="s">
        <v>244</v>
      </c>
      <c r="B234" s="7" t="s">
        <v>12</v>
      </c>
      <c r="C234" t="s">
        <v>3</v>
      </c>
    </row>
    <row r="235" spans="1:3" x14ac:dyDescent="0.3">
      <c r="A235" s="7" t="s">
        <v>245</v>
      </c>
      <c r="B235" s="7" t="s">
        <v>12</v>
      </c>
      <c r="C235" t="s">
        <v>3</v>
      </c>
    </row>
    <row r="236" spans="1:3" x14ac:dyDescent="0.3">
      <c r="A236" s="7" t="s">
        <v>246</v>
      </c>
      <c r="B236" s="7" t="s">
        <v>12</v>
      </c>
      <c r="C236" t="s">
        <v>3</v>
      </c>
    </row>
    <row r="237" spans="1:3" x14ac:dyDescent="0.3">
      <c r="A237" s="7" t="s">
        <v>247</v>
      </c>
      <c r="B237" s="7" t="s">
        <v>12</v>
      </c>
      <c r="C237" t="s">
        <v>3</v>
      </c>
    </row>
    <row r="238" spans="1:3" x14ac:dyDescent="0.3">
      <c r="A238" s="7" t="s">
        <v>248</v>
      </c>
      <c r="B238" s="7" t="s">
        <v>12</v>
      </c>
      <c r="C238" t="s">
        <v>3</v>
      </c>
    </row>
    <row r="239" spans="1:3" x14ac:dyDescent="0.3">
      <c r="A239" s="7" t="s">
        <v>249</v>
      </c>
      <c r="B239" s="7" t="s">
        <v>12</v>
      </c>
      <c r="C239" t="s">
        <v>3</v>
      </c>
    </row>
    <row r="240" spans="1:3" x14ac:dyDescent="0.3">
      <c r="A240" s="7" t="s">
        <v>250</v>
      </c>
      <c r="B240" s="7" t="s">
        <v>12</v>
      </c>
      <c r="C240" t="s">
        <v>3</v>
      </c>
    </row>
    <row r="241" spans="1:3" x14ac:dyDescent="0.3">
      <c r="A241" s="7" t="s">
        <v>251</v>
      </c>
      <c r="B241" s="7" t="s">
        <v>12</v>
      </c>
      <c r="C241" t="s">
        <v>2</v>
      </c>
    </row>
    <row r="242" spans="1:3" x14ac:dyDescent="0.3">
      <c r="A242" s="7" t="s">
        <v>252</v>
      </c>
      <c r="B242" s="7" t="s">
        <v>12</v>
      </c>
      <c r="C242" t="s">
        <v>2</v>
      </c>
    </row>
    <row r="243" spans="1:3" x14ac:dyDescent="0.3">
      <c r="A243" s="7" t="s">
        <v>253</v>
      </c>
      <c r="B243" s="7" t="s">
        <v>12</v>
      </c>
      <c r="C243" t="s">
        <v>2</v>
      </c>
    </row>
    <row r="244" spans="1:3" x14ac:dyDescent="0.3">
      <c r="A244" s="7" t="s">
        <v>254</v>
      </c>
      <c r="B244" s="7" t="s">
        <v>12</v>
      </c>
      <c r="C244" t="s">
        <v>2</v>
      </c>
    </row>
    <row r="245" spans="1:3" x14ac:dyDescent="0.3">
      <c r="A245" s="7" t="s">
        <v>255</v>
      </c>
      <c r="B245" s="7" t="s">
        <v>12</v>
      </c>
      <c r="C245" t="s">
        <v>2</v>
      </c>
    </row>
    <row r="246" spans="1:3" x14ac:dyDescent="0.3">
      <c r="A246" s="7" t="s">
        <v>256</v>
      </c>
      <c r="B246" s="7" t="s">
        <v>12</v>
      </c>
      <c r="C246" t="s">
        <v>2</v>
      </c>
    </row>
    <row r="247" spans="1:3" x14ac:dyDescent="0.3">
      <c r="A247" s="7" t="s">
        <v>257</v>
      </c>
      <c r="B247" s="7" t="s">
        <v>12</v>
      </c>
      <c r="C247" t="s">
        <v>2</v>
      </c>
    </row>
    <row r="248" spans="1:3" x14ac:dyDescent="0.3">
      <c r="A248" s="7" t="s">
        <v>258</v>
      </c>
      <c r="B248" s="7" t="s">
        <v>12</v>
      </c>
      <c r="C248" t="s">
        <v>2</v>
      </c>
    </row>
    <row r="249" spans="1:3" x14ac:dyDescent="0.3">
      <c r="A249" s="7" t="s">
        <v>259</v>
      </c>
      <c r="B249" s="7" t="s">
        <v>12</v>
      </c>
      <c r="C249" t="s">
        <v>2</v>
      </c>
    </row>
    <row r="250" spans="1:3" x14ac:dyDescent="0.3">
      <c r="A250" s="7" t="s">
        <v>260</v>
      </c>
      <c r="B250" s="7" t="s">
        <v>12</v>
      </c>
      <c r="C250" t="s">
        <v>2</v>
      </c>
    </row>
    <row r="251" spans="1:3" x14ac:dyDescent="0.3">
      <c r="A251" s="7" t="s">
        <v>261</v>
      </c>
      <c r="B251" s="7" t="s">
        <v>12</v>
      </c>
      <c r="C251" t="s">
        <v>2</v>
      </c>
    </row>
    <row r="252" spans="1:3" x14ac:dyDescent="0.3">
      <c r="A252" s="7" t="s">
        <v>262</v>
      </c>
      <c r="B252" s="7" t="s">
        <v>12</v>
      </c>
      <c r="C252" t="s">
        <v>2</v>
      </c>
    </row>
    <row r="253" spans="1:3" x14ac:dyDescent="0.3">
      <c r="A253" s="7" t="s">
        <v>263</v>
      </c>
      <c r="B253" s="7" t="s">
        <v>12</v>
      </c>
      <c r="C253" t="s">
        <v>2</v>
      </c>
    </row>
    <row r="254" spans="1:3" x14ac:dyDescent="0.3">
      <c r="A254" s="7" t="s">
        <v>264</v>
      </c>
      <c r="B254" s="7" t="s">
        <v>12</v>
      </c>
      <c r="C254" t="s">
        <v>2</v>
      </c>
    </row>
    <row r="255" spans="1:3" x14ac:dyDescent="0.3">
      <c r="A255" s="7" t="s">
        <v>265</v>
      </c>
      <c r="B255" s="7" t="s">
        <v>12</v>
      </c>
      <c r="C255" t="s">
        <v>2</v>
      </c>
    </row>
    <row r="256" spans="1:3" x14ac:dyDescent="0.3">
      <c r="A256" s="7" t="s">
        <v>266</v>
      </c>
      <c r="B256" s="7" t="s">
        <v>12</v>
      </c>
      <c r="C256" t="s">
        <v>2</v>
      </c>
    </row>
    <row r="257" spans="1:3" x14ac:dyDescent="0.3">
      <c r="A257" s="7" t="s">
        <v>267</v>
      </c>
      <c r="B257" s="7" t="s">
        <v>12</v>
      </c>
      <c r="C257" t="s">
        <v>2</v>
      </c>
    </row>
    <row r="258" spans="1:3" x14ac:dyDescent="0.3">
      <c r="A258" s="7" t="s">
        <v>268</v>
      </c>
      <c r="B258" s="7" t="s">
        <v>12</v>
      </c>
      <c r="C258" t="s">
        <v>2</v>
      </c>
    </row>
    <row r="259" spans="1:3" x14ac:dyDescent="0.3">
      <c r="A259" s="7" t="s">
        <v>269</v>
      </c>
      <c r="B259" s="7" t="s">
        <v>12</v>
      </c>
      <c r="C259" t="s">
        <v>2</v>
      </c>
    </row>
    <row r="260" spans="1:3" x14ac:dyDescent="0.3">
      <c r="A260" s="7" t="s">
        <v>270</v>
      </c>
      <c r="B260" s="7" t="s">
        <v>12</v>
      </c>
      <c r="C260" t="s">
        <v>2</v>
      </c>
    </row>
    <row r="261" spans="1:3" x14ac:dyDescent="0.3">
      <c r="A261" s="7" t="s">
        <v>271</v>
      </c>
      <c r="B261" s="7" t="s">
        <v>12</v>
      </c>
      <c r="C261" t="s">
        <v>2</v>
      </c>
    </row>
    <row r="262" spans="1:3" x14ac:dyDescent="0.3">
      <c r="A262" s="7" t="s">
        <v>272</v>
      </c>
      <c r="B262" s="7" t="s">
        <v>12</v>
      </c>
      <c r="C262" t="s">
        <v>2</v>
      </c>
    </row>
    <row r="263" spans="1:3" x14ac:dyDescent="0.3">
      <c r="A263" s="7" t="s">
        <v>273</v>
      </c>
      <c r="B263" s="7" t="s">
        <v>12</v>
      </c>
      <c r="C263" t="s">
        <v>2</v>
      </c>
    </row>
    <row r="264" spans="1:3" x14ac:dyDescent="0.3">
      <c r="A264" s="7" t="s">
        <v>274</v>
      </c>
      <c r="B264" s="7" t="s">
        <v>12</v>
      </c>
      <c r="C264" t="s">
        <v>2</v>
      </c>
    </row>
    <row r="265" spans="1:3" x14ac:dyDescent="0.3">
      <c r="A265" s="7" t="s">
        <v>275</v>
      </c>
      <c r="B265" s="7" t="s">
        <v>12</v>
      </c>
      <c r="C265" t="s">
        <v>2</v>
      </c>
    </row>
    <row r="266" spans="1:3" x14ac:dyDescent="0.3">
      <c r="A266" s="7" t="s">
        <v>276</v>
      </c>
      <c r="B266" s="7" t="s">
        <v>12</v>
      </c>
      <c r="C266" t="s">
        <v>2</v>
      </c>
    </row>
    <row r="267" spans="1:3" x14ac:dyDescent="0.3">
      <c r="A267" s="7" t="s">
        <v>277</v>
      </c>
      <c r="B267" s="7" t="s">
        <v>12</v>
      </c>
      <c r="C267" t="s">
        <v>2</v>
      </c>
    </row>
    <row r="268" spans="1:3" x14ac:dyDescent="0.3">
      <c r="A268" s="7" t="s">
        <v>278</v>
      </c>
      <c r="B268" s="7" t="s">
        <v>12</v>
      </c>
      <c r="C268" t="s">
        <v>2</v>
      </c>
    </row>
    <row r="269" spans="1:3" x14ac:dyDescent="0.3">
      <c r="A269" s="7" t="s">
        <v>279</v>
      </c>
      <c r="B269" s="7" t="s">
        <v>12</v>
      </c>
      <c r="C269" t="s">
        <v>2</v>
      </c>
    </row>
    <row r="270" spans="1:3" x14ac:dyDescent="0.3">
      <c r="A270" s="7" t="s">
        <v>280</v>
      </c>
      <c r="B270" s="7" t="s">
        <v>12</v>
      </c>
      <c r="C270" t="s">
        <v>2</v>
      </c>
    </row>
    <row r="271" spans="1:3" x14ac:dyDescent="0.3">
      <c r="A271" s="7" t="s">
        <v>281</v>
      </c>
      <c r="B271" s="7" t="s">
        <v>12</v>
      </c>
      <c r="C271" t="s">
        <v>2</v>
      </c>
    </row>
    <row r="272" spans="1:3" x14ac:dyDescent="0.3">
      <c r="A272" s="7" t="s">
        <v>282</v>
      </c>
      <c r="B272" s="7" t="s">
        <v>12</v>
      </c>
      <c r="C272" t="s">
        <v>2</v>
      </c>
    </row>
    <row r="273" spans="1:3" x14ac:dyDescent="0.3">
      <c r="A273" s="7" t="s">
        <v>283</v>
      </c>
      <c r="B273" s="7" t="s">
        <v>12</v>
      </c>
      <c r="C273" t="s">
        <v>2</v>
      </c>
    </row>
    <row r="274" spans="1:3" x14ac:dyDescent="0.3">
      <c r="A274" s="7" t="s">
        <v>284</v>
      </c>
      <c r="B274" s="7" t="s">
        <v>12</v>
      </c>
      <c r="C274" t="s">
        <v>2</v>
      </c>
    </row>
    <row r="275" spans="1:3" x14ac:dyDescent="0.3">
      <c r="A275" s="7" t="s">
        <v>285</v>
      </c>
      <c r="B275" s="7" t="s">
        <v>12</v>
      </c>
      <c r="C275" t="s">
        <v>2</v>
      </c>
    </row>
    <row r="276" spans="1:3" x14ac:dyDescent="0.3">
      <c r="A276" s="7" t="s">
        <v>286</v>
      </c>
      <c r="B276" s="7" t="s">
        <v>12</v>
      </c>
      <c r="C276" t="s">
        <v>2</v>
      </c>
    </row>
    <row r="277" spans="1:3" x14ac:dyDescent="0.3">
      <c r="A277" s="7" t="s">
        <v>287</v>
      </c>
      <c r="B277" s="7" t="s">
        <v>12</v>
      </c>
      <c r="C277" t="s">
        <v>2</v>
      </c>
    </row>
    <row r="278" spans="1:3" x14ac:dyDescent="0.3">
      <c r="A278" s="7" t="s">
        <v>288</v>
      </c>
      <c r="B278" s="7" t="s">
        <v>12</v>
      </c>
      <c r="C278" t="s">
        <v>2</v>
      </c>
    </row>
    <row r="279" spans="1:3" x14ac:dyDescent="0.3">
      <c r="A279" s="7" t="s">
        <v>289</v>
      </c>
      <c r="B279" s="7" t="s">
        <v>12</v>
      </c>
      <c r="C279" t="s">
        <v>2</v>
      </c>
    </row>
    <row r="280" spans="1:3" x14ac:dyDescent="0.3">
      <c r="A280" s="7" t="s">
        <v>290</v>
      </c>
      <c r="B280" s="7" t="s">
        <v>12</v>
      </c>
      <c r="C280" t="s">
        <v>2</v>
      </c>
    </row>
    <row r="281" spans="1:3" x14ac:dyDescent="0.3">
      <c r="A281" s="7" t="s">
        <v>291</v>
      </c>
      <c r="B281" s="7" t="s">
        <v>12</v>
      </c>
      <c r="C281" t="s">
        <v>2</v>
      </c>
    </row>
    <row r="282" spans="1:3" x14ac:dyDescent="0.3">
      <c r="A282" s="7" t="s">
        <v>292</v>
      </c>
      <c r="B282" s="7" t="s">
        <v>12</v>
      </c>
      <c r="C282" t="s">
        <v>2</v>
      </c>
    </row>
    <row r="283" spans="1:3" x14ac:dyDescent="0.3">
      <c r="A283" s="7" t="s">
        <v>293</v>
      </c>
      <c r="B283" s="7" t="s">
        <v>12</v>
      </c>
      <c r="C283" t="s">
        <v>2</v>
      </c>
    </row>
    <row r="284" spans="1:3" x14ac:dyDescent="0.3">
      <c r="A284" s="7" t="s">
        <v>294</v>
      </c>
      <c r="B284" s="7" t="s">
        <v>12</v>
      </c>
      <c r="C284" t="s">
        <v>2</v>
      </c>
    </row>
    <row r="285" spans="1:3" x14ac:dyDescent="0.3">
      <c r="A285" s="7" t="s">
        <v>295</v>
      </c>
      <c r="B285" s="7" t="s">
        <v>12</v>
      </c>
      <c r="C285" t="s">
        <v>2</v>
      </c>
    </row>
    <row r="286" spans="1:3" x14ac:dyDescent="0.3">
      <c r="A286" s="7" t="s">
        <v>296</v>
      </c>
      <c r="B286" s="7" t="s">
        <v>12</v>
      </c>
      <c r="C286" t="s">
        <v>2</v>
      </c>
    </row>
    <row r="287" spans="1:3" x14ac:dyDescent="0.3">
      <c r="A287" s="7" t="s">
        <v>297</v>
      </c>
      <c r="B287" s="7" t="s">
        <v>12</v>
      </c>
      <c r="C287" t="s">
        <v>2</v>
      </c>
    </row>
    <row r="288" spans="1:3" x14ac:dyDescent="0.3">
      <c r="A288" s="7" t="s">
        <v>298</v>
      </c>
      <c r="B288" s="7" t="s">
        <v>12</v>
      </c>
      <c r="C288" t="s">
        <v>2</v>
      </c>
    </row>
    <row r="289" spans="1:3" x14ac:dyDescent="0.3">
      <c r="A289" s="7" t="s">
        <v>299</v>
      </c>
      <c r="B289" s="7" t="s">
        <v>12</v>
      </c>
      <c r="C289" t="s">
        <v>2</v>
      </c>
    </row>
    <row r="290" spans="1:3" x14ac:dyDescent="0.3">
      <c r="A290" s="7" t="s">
        <v>300</v>
      </c>
      <c r="B290" s="7" t="s">
        <v>12</v>
      </c>
      <c r="C290" t="s">
        <v>2</v>
      </c>
    </row>
    <row r="291" spans="1:3" x14ac:dyDescent="0.3">
      <c r="A291" s="7" t="s">
        <v>301</v>
      </c>
      <c r="B291" s="7" t="s">
        <v>12</v>
      </c>
      <c r="C291" t="s">
        <v>3</v>
      </c>
    </row>
    <row r="292" spans="1:3" x14ac:dyDescent="0.3">
      <c r="A292" s="7" t="s">
        <v>302</v>
      </c>
      <c r="B292" s="7" t="s">
        <v>12</v>
      </c>
      <c r="C292" t="s">
        <v>3</v>
      </c>
    </row>
    <row r="293" spans="1:3" x14ac:dyDescent="0.3">
      <c r="A293" s="7" t="s">
        <v>303</v>
      </c>
      <c r="B293" s="7" t="s">
        <v>12</v>
      </c>
      <c r="C293" t="s">
        <v>3</v>
      </c>
    </row>
    <row r="294" spans="1:3" x14ac:dyDescent="0.3">
      <c r="A294" s="7" t="s">
        <v>304</v>
      </c>
      <c r="B294" s="7" t="s">
        <v>12</v>
      </c>
      <c r="C294" t="s">
        <v>3</v>
      </c>
    </row>
    <row r="295" spans="1:3" x14ac:dyDescent="0.3">
      <c r="A295" s="7" t="s">
        <v>305</v>
      </c>
      <c r="B295" s="7" t="s">
        <v>12</v>
      </c>
      <c r="C295" t="s">
        <v>3</v>
      </c>
    </row>
    <row r="296" spans="1:3" x14ac:dyDescent="0.3">
      <c r="A296" s="7" t="s">
        <v>306</v>
      </c>
      <c r="B296" s="7" t="s">
        <v>12</v>
      </c>
      <c r="C296" t="s">
        <v>3</v>
      </c>
    </row>
    <row r="297" spans="1:3" x14ac:dyDescent="0.3">
      <c r="A297" s="7" t="s">
        <v>307</v>
      </c>
      <c r="B297" s="7" t="s">
        <v>12</v>
      </c>
      <c r="C297" t="s">
        <v>3</v>
      </c>
    </row>
    <row r="298" spans="1:3" x14ac:dyDescent="0.3">
      <c r="A298" s="7" t="s">
        <v>308</v>
      </c>
      <c r="B298" s="7" t="s">
        <v>12</v>
      </c>
      <c r="C298" t="s">
        <v>2</v>
      </c>
    </row>
    <row r="299" spans="1:3" x14ac:dyDescent="0.3">
      <c r="A299" s="7" t="s">
        <v>309</v>
      </c>
      <c r="B299" s="7" t="s">
        <v>12</v>
      </c>
      <c r="C299" t="s">
        <v>2</v>
      </c>
    </row>
    <row r="300" spans="1:3" x14ac:dyDescent="0.3">
      <c r="A300" s="7" t="s">
        <v>310</v>
      </c>
      <c r="B300" s="7" t="s">
        <v>12</v>
      </c>
      <c r="C300" t="s">
        <v>2</v>
      </c>
    </row>
    <row r="301" spans="1:3" x14ac:dyDescent="0.3">
      <c r="A301" s="7" t="s">
        <v>311</v>
      </c>
      <c r="B301" s="7" t="s">
        <v>12</v>
      </c>
      <c r="C301" t="s">
        <v>2</v>
      </c>
    </row>
    <row r="302" spans="1:3" x14ac:dyDescent="0.3">
      <c r="A302" s="7" t="s">
        <v>312</v>
      </c>
      <c r="B302" s="7" t="s">
        <v>12</v>
      </c>
      <c r="C302" t="s">
        <v>2</v>
      </c>
    </row>
    <row r="303" spans="1:3" x14ac:dyDescent="0.3">
      <c r="A303" s="7" t="s">
        <v>313</v>
      </c>
      <c r="B303" s="7" t="s">
        <v>12</v>
      </c>
      <c r="C303" t="s">
        <v>2</v>
      </c>
    </row>
    <row r="304" spans="1:3" x14ac:dyDescent="0.3">
      <c r="A304" s="7" t="s">
        <v>314</v>
      </c>
      <c r="B304" s="7" t="s">
        <v>12</v>
      </c>
      <c r="C304" t="s">
        <v>2</v>
      </c>
    </row>
    <row r="305" spans="1:3" x14ac:dyDescent="0.3">
      <c r="A305" s="7" t="s">
        <v>315</v>
      </c>
      <c r="B305" s="7" t="s">
        <v>12</v>
      </c>
      <c r="C305" t="s">
        <v>2</v>
      </c>
    </row>
    <row r="306" spans="1:3" x14ac:dyDescent="0.3">
      <c r="A306" s="7" t="s">
        <v>316</v>
      </c>
      <c r="B306" s="7" t="s">
        <v>12</v>
      </c>
      <c r="C306" t="s">
        <v>2</v>
      </c>
    </row>
    <row r="307" spans="1:3" x14ac:dyDescent="0.3">
      <c r="A307" s="7" t="s">
        <v>317</v>
      </c>
      <c r="B307" s="7" t="s">
        <v>12</v>
      </c>
      <c r="C307" t="s">
        <v>2</v>
      </c>
    </row>
    <row r="308" spans="1:3" x14ac:dyDescent="0.3">
      <c r="A308" s="7" t="s">
        <v>318</v>
      </c>
      <c r="B308" s="7" t="s">
        <v>12</v>
      </c>
      <c r="C308" t="s">
        <v>2</v>
      </c>
    </row>
    <row r="309" spans="1:3" x14ac:dyDescent="0.3">
      <c r="A309" s="7" t="s">
        <v>319</v>
      </c>
      <c r="B309" s="7" t="s">
        <v>12</v>
      </c>
      <c r="C309" t="s">
        <v>2</v>
      </c>
    </row>
    <row r="310" spans="1:3" x14ac:dyDescent="0.3">
      <c r="A310" s="7" t="s">
        <v>320</v>
      </c>
      <c r="B310" s="7" t="s">
        <v>12</v>
      </c>
      <c r="C310" t="s">
        <v>2</v>
      </c>
    </row>
    <row r="311" spans="1:3" x14ac:dyDescent="0.3">
      <c r="A311" s="7" t="s">
        <v>321</v>
      </c>
      <c r="B311" s="7" t="s">
        <v>12</v>
      </c>
      <c r="C311" t="s">
        <v>2</v>
      </c>
    </row>
    <row r="312" spans="1:3" x14ac:dyDescent="0.3">
      <c r="A312" s="7" t="s">
        <v>322</v>
      </c>
      <c r="B312" s="7" t="s">
        <v>12</v>
      </c>
      <c r="C312" t="s">
        <v>2</v>
      </c>
    </row>
    <row r="313" spans="1:3" x14ac:dyDescent="0.3">
      <c r="A313" s="7" t="s">
        <v>323</v>
      </c>
      <c r="B313" s="7" t="s">
        <v>12</v>
      </c>
      <c r="C313" t="s">
        <v>2</v>
      </c>
    </row>
    <row r="314" spans="1:3" x14ac:dyDescent="0.3">
      <c r="A314" s="7" t="s">
        <v>324</v>
      </c>
      <c r="B314" s="7" t="s">
        <v>12</v>
      </c>
      <c r="C314" t="s">
        <v>2</v>
      </c>
    </row>
    <row r="315" spans="1:3" x14ac:dyDescent="0.3">
      <c r="A315" s="7" t="s">
        <v>325</v>
      </c>
      <c r="B315" s="7" t="s">
        <v>12</v>
      </c>
      <c r="C315" t="s">
        <v>2</v>
      </c>
    </row>
    <row r="316" spans="1:3" x14ac:dyDescent="0.3">
      <c r="A316" s="7" t="s">
        <v>326</v>
      </c>
      <c r="B316" s="7" t="s">
        <v>12</v>
      </c>
      <c r="C316" t="s">
        <v>2</v>
      </c>
    </row>
    <row r="317" spans="1:3" x14ac:dyDescent="0.3">
      <c r="A317" s="7" t="s">
        <v>327</v>
      </c>
      <c r="B317" s="7" t="s">
        <v>12</v>
      </c>
      <c r="C317" t="s">
        <v>2</v>
      </c>
    </row>
    <row r="318" spans="1:3" x14ac:dyDescent="0.3">
      <c r="A318" s="7" t="s">
        <v>328</v>
      </c>
      <c r="B318" s="7" t="s">
        <v>12</v>
      </c>
      <c r="C318" t="s">
        <v>2</v>
      </c>
    </row>
    <row r="319" spans="1:3" x14ac:dyDescent="0.3">
      <c r="A319" s="7" t="s">
        <v>329</v>
      </c>
      <c r="B319" s="7" t="s">
        <v>12</v>
      </c>
      <c r="C319" t="s">
        <v>2</v>
      </c>
    </row>
    <row r="320" spans="1:3" x14ac:dyDescent="0.3">
      <c r="A320" s="7" t="s">
        <v>330</v>
      </c>
      <c r="B320" s="7" t="s">
        <v>12</v>
      </c>
      <c r="C320" t="s">
        <v>2</v>
      </c>
    </row>
    <row r="321" spans="1:3" x14ac:dyDescent="0.3">
      <c r="A321" s="7" t="s">
        <v>331</v>
      </c>
      <c r="B321" s="7" t="s">
        <v>12</v>
      </c>
      <c r="C321" t="s">
        <v>2</v>
      </c>
    </row>
    <row r="322" spans="1:3" x14ac:dyDescent="0.3">
      <c r="A322" s="7" t="s">
        <v>332</v>
      </c>
      <c r="B322" s="7" t="s">
        <v>12</v>
      </c>
      <c r="C322" t="s">
        <v>2</v>
      </c>
    </row>
    <row r="323" spans="1:3" x14ac:dyDescent="0.3">
      <c r="A323" s="7" t="s">
        <v>333</v>
      </c>
      <c r="B323" s="7" t="s">
        <v>12</v>
      </c>
      <c r="C323" t="s">
        <v>2</v>
      </c>
    </row>
    <row r="324" spans="1:3" x14ac:dyDescent="0.3">
      <c r="A324" s="7" t="s">
        <v>334</v>
      </c>
      <c r="B324" s="7" t="s">
        <v>12</v>
      </c>
      <c r="C324" t="s">
        <v>2</v>
      </c>
    </row>
    <row r="325" spans="1:3" x14ac:dyDescent="0.3">
      <c r="A325" s="7" t="s">
        <v>335</v>
      </c>
      <c r="B325" s="7" t="s">
        <v>12</v>
      </c>
      <c r="C325" t="s">
        <v>2</v>
      </c>
    </row>
    <row r="326" spans="1:3" x14ac:dyDescent="0.3">
      <c r="A326" s="7" t="s">
        <v>336</v>
      </c>
      <c r="B326" s="7" t="s">
        <v>12</v>
      </c>
      <c r="C326" t="s">
        <v>2</v>
      </c>
    </row>
    <row r="327" spans="1:3" x14ac:dyDescent="0.3">
      <c r="A327" s="7" t="s">
        <v>337</v>
      </c>
      <c r="B327" s="7" t="s">
        <v>12</v>
      </c>
      <c r="C327" t="s">
        <v>2</v>
      </c>
    </row>
    <row r="328" spans="1:3" x14ac:dyDescent="0.3">
      <c r="A328" s="7" t="s">
        <v>338</v>
      </c>
      <c r="B328" s="7" t="s">
        <v>12</v>
      </c>
      <c r="C328" t="s">
        <v>2</v>
      </c>
    </row>
    <row r="329" spans="1:3" x14ac:dyDescent="0.3">
      <c r="A329" s="7" t="s">
        <v>339</v>
      </c>
      <c r="B329" s="7" t="s">
        <v>12</v>
      </c>
      <c r="C329" t="s">
        <v>2</v>
      </c>
    </row>
    <row r="330" spans="1:3" x14ac:dyDescent="0.3">
      <c r="A330" s="7" t="s">
        <v>340</v>
      </c>
      <c r="B330" s="7" t="s">
        <v>12</v>
      </c>
      <c r="C330" t="s">
        <v>2</v>
      </c>
    </row>
    <row r="331" spans="1:3" x14ac:dyDescent="0.3">
      <c r="A331" s="7" t="s">
        <v>341</v>
      </c>
      <c r="B331" s="7" t="s">
        <v>12</v>
      </c>
      <c r="C331" t="s">
        <v>2</v>
      </c>
    </row>
    <row r="332" spans="1:3" x14ac:dyDescent="0.3">
      <c r="A332" s="7" t="s">
        <v>342</v>
      </c>
      <c r="B332" s="7" t="s">
        <v>12</v>
      </c>
      <c r="C332" t="s">
        <v>2</v>
      </c>
    </row>
    <row r="333" spans="1:3" x14ac:dyDescent="0.3">
      <c r="A333" s="7" t="s">
        <v>343</v>
      </c>
      <c r="B333" s="7" t="s">
        <v>12</v>
      </c>
      <c r="C333" t="s">
        <v>2</v>
      </c>
    </row>
    <row r="334" spans="1:3" x14ac:dyDescent="0.3">
      <c r="A334" s="7" t="s">
        <v>344</v>
      </c>
      <c r="B334" s="7" t="s">
        <v>12</v>
      </c>
      <c r="C334" t="s">
        <v>2</v>
      </c>
    </row>
    <row r="335" spans="1:3" x14ac:dyDescent="0.3">
      <c r="A335" s="7" t="s">
        <v>345</v>
      </c>
      <c r="B335" s="7" t="s">
        <v>12</v>
      </c>
      <c r="C335" t="s">
        <v>2</v>
      </c>
    </row>
    <row r="336" spans="1:3" x14ac:dyDescent="0.3">
      <c r="A336" s="7" t="s">
        <v>346</v>
      </c>
      <c r="B336" s="7" t="s">
        <v>12</v>
      </c>
      <c r="C336" t="s">
        <v>2</v>
      </c>
    </row>
    <row r="337" spans="1:3" x14ac:dyDescent="0.3">
      <c r="A337" s="7" t="s">
        <v>347</v>
      </c>
      <c r="B337" s="7" t="s">
        <v>12</v>
      </c>
      <c r="C337" t="s">
        <v>2</v>
      </c>
    </row>
    <row r="338" spans="1:3" x14ac:dyDescent="0.3">
      <c r="A338" s="7" t="s">
        <v>348</v>
      </c>
      <c r="B338" s="7" t="s">
        <v>12</v>
      </c>
      <c r="C338" t="s">
        <v>2</v>
      </c>
    </row>
    <row r="339" spans="1:3" x14ac:dyDescent="0.3">
      <c r="A339" s="7" t="s">
        <v>349</v>
      </c>
      <c r="B339" s="7" t="s">
        <v>12</v>
      </c>
      <c r="C339" t="s">
        <v>2</v>
      </c>
    </row>
    <row r="340" spans="1:3" x14ac:dyDescent="0.3">
      <c r="A340" s="7" t="s">
        <v>350</v>
      </c>
      <c r="B340" s="7" t="s">
        <v>12</v>
      </c>
      <c r="C340" t="s">
        <v>2</v>
      </c>
    </row>
    <row r="341" spans="1:3" x14ac:dyDescent="0.3">
      <c r="A341" s="7" t="s">
        <v>351</v>
      </c>
      <c r="B341" s="7" t="s">
        <v>12</v>
      </c>
      <c r="C341" t="s">
        <v>2</v>
      </c>
    </row>
    <row r="342" spans="1:3" x14ac:dyDescent="0.3">
      <c r="A342" s="7" t="s">
        <v>352</v>
      </c>
      <c r="B342" s="7" t="s">
        <v>12</v>
      </c>
      <c r="C342" t="s">
        <v>2</v>
      </c>
    </row>
    <row r="343" spans="1:3" x14ac:dyDescent="0.3">
      <c r="A343" s="7" t="s">
        <v>353</v>
      </c>
      <c r="B343" s="7" t="s">
        <v>12</v>
      </c>
      <c r="C343" t="s">
        <v>2</v>
      </c>
    </row>
    <row r="344" spans="1:3" x14ac:dyDescent="0.3">
      <c r="A344" s="7" t="s">
        <v>354</v>
      </c>
      <c r="B344" s="7" t="s">
        <v>12</v>
      </c>
      <c r="C344" t="s">
        <v>2</v>
      </c>
    </row>
    <row r="345" spans="1:3" x14ac:dyDescent="0.3">
      <c r="A345" s="7" t="s">
        <v>355</v>
      </c>
      <c r="B345" s="7" t="s">
        <v>12</v>
      </c>
      <c r="C345" t="s">
        <v>2</v>
      </c>
    </row>
    <row r="346" spans="1:3" x14ac:dyDescent="0.3">
      <c r="A346" s="7" t="s">
        <v>356</v>
      </c>
      <c r="B346" s="7" t="s">
        <v>12</v>
      </c>
      <c r="C346" t="s">
        <v>2</v>
      </c>
    </row>
    <row r="347" spans="1:3" x14ac:dyDescent="0.3">
      <c r="A347" s="7" t="s">
        <v>357</v>
      </c>
      <c r="B347" s="7" t="s">
        <v>12</v>
      </c>
      <c r="C347" t="s">
        <v>2</v>
      </c>
    </row>
    <row r="348" spans="1:3" x14ac:dyDescent="0.3">
      <c r="A348" s="7" t="s">
        <v>358</v>
      </c>
      <c r="B348" s="7" t="s">
        <v>12</v>
      </c>
      <c r="C348" t="s">
        <v>2</v>
      </c>
    </row>
    <row r="349" spans="1:3" x14ac:dyDescent="0.3">
      <c r="A349" s="7" t="s">
        <v>359</v>
      </c>
      <c r="B349" s="7" t="s">
        <v>12</v>
      </c>
      <c r="C349" t="s">
        <v>2</v>
      </c>
    </row>
    <row r="350" spans="1:3" x14ac:dyDescent="0.3">
      <c r="A350" s="7" t="s">
        <v>360</v>
      </c>
      <c r="B350" s="7" t="s">
        <v>12</v>
      </c>
      <c r="C350" t="s">
        <v>2</v>
      </c>
    </row>
    <row r="351" spans="1:3" x14ac:dyDescent="0.3">
      <c r="A351" s="7" t="s">
        <v>361</v>
      </c>
      <c r="B351" s="7" t="s">
        <v>12</v>
      </c>
      <c r="C351" t="s">
        <v>2</v>
      </c>
    </row>
    <row r="352" spans="1:3" x14ac:dyDescent="0.3">
      <c r="A352" s="7" t="s">
        <v>362</v>
      </c>
      <c r="B352" s="7" t="s">
        <v>12</v>
      </c>
      <c r="C352" t="s">
        <v>3</v>
      </c>
    </row>
    <row r="353" spans="1:3" x14ac:dyDescent="0.3">
      <c r="A353" s="7" t="s">
        <v>363</v>
      </c>
      <c r="B353" s="7" t="s">
        <v>12</v>
      </c>
      <c r="C353" t="s">
        <v>3</v>
      </c>
    </row>
    <row r="354" spans="1:3" x14ac:dyDescent="0.3">
      <c r="A354" s="7" t="s">
        <v>364</v>
      </c>
      <c r="B354" s="7" t="s">
        <v>12</v>
      </c>
      <c r="C354" t="s">
        <v>3</v>
      </c>
    </row>
    <row r="355" spans="1:3" x14ac:dyDescent="0.3">
      <c r="A355" s="7" t="s">
        <v>365</v>
      </c>
      <c r="B355" s="7" t="s">
        <v>12</v>
      </c>
      <c r="C355" t="s">
        <v>3</v>
      </c>
    </row>
    <row r="356" spans="1:3" x14ac:dyDescent="0.3">
      <c r="A356" s="7" t="s">
        <v>366</v>
      </c>
      <c r="B356" s="7" t="s">
        <v>12</v>
      </c>
      <c r="C356" t="s">
        <v>3</v>
      </c>
    </row>
    <row r="357" spans="1:3" x14ac:dyDescent="0.3">
      <c r="A357" s="7" t="s">
        <v>367</v>
      </c>
      <c r="B357" s="7" t="s">
        <v>12</v>
      </c>
      <c r="C357" t="s">
        <v>3</v>
      </c>
    </row>
    <row r="358" spans="1:3" x14ac:dyDescent="0.3">
      <c r="A358" s="7" t="s">
        <v>368</v>
      </c>
      <c r="B358" s="7" t="s">
        <v>12</v>
      </c>
      <c r="C358" t="s">
        <v>3</v>
      </c>
    </row>
    <row r="359" spans="1:3" x14ac:dyDescent="0.3">
      <c r="A359" s="7" t="s">
        <v>369</v>
      </c>
      <c r="B359" s="7" t="s">
        <v>12</v>
      </c>
      <c r="C359" t="s">
        <v>3</v>
      </c>
    </row>
    <row r="360" spans="1:3" x14ac:dyDescent="0.3">
      <c r="A360" s="7" t="s">
        <v>370</v>
      </c>
      <c r="B360" s="7" t="s">
        <v>12</v>
      </c>
      <c r="C360" t="s">
        <v>3</v>
      </c>
    </row>
    <row r="361" spans="1:3" x14ac:dyDescent="0.3">
      <c r="A361" s="7" t="s">
        <v>371</v>
      </c>
      <c r="B361" s="7" t="s">
        <v>12</v>
      </c>
      <c r="C361" t="s">
        <v>2</v>
      </c>
    </row>
    <row r="362" spans="1:3" x14ac:dyDescent="0.3">
      <c r="A362" s="7" t="s">
        <v>372</v>
      </c>
      <c r="B362" s="7" t="s">
        <v>12</v>
      </c>
      <c r="C362" t="s">
        <v>2</v>
      </c>
    </row>
    <row r="363" spans="1:3" x14ac:dyDescent="0.3">
      <c r="A363" s="7" t="s">
        <v>373</v>
      </c>
      <c r="B363" s="7" t="s">
        <v>12</v>
      </c>
      <c r="C363" t="s">
        <v>2</v>
      </c>
    </row>
    <row r="364" spans="1:3" x14ac:dyDescent="0.3">
      <c r="A364" s="7" t="s">
        <v>374</v>
      </c>
      <c r="B364" s="7" t="s">
        <v>12</v>
      </c>
      <c r="C364" t="s">
        <v>2</v>
      </c>
    </row>
    <row r="365" spans="1:3" x14ac:dyDescent="0.3">
      <c r="A365" s="7" t="s">
        <v>375</v>
      </c>
      <c r="B365" s="7" t="s">
        <v>12</v>
      </c>
      <c r="C365" t="s">
        <v>2</v>
      </c>
    </row>
    <row r="366" spans="1:3" x14ac:dyDescent="0.3">
      <c r="A366" s="7" t="s">
        <v>376</v>
      </c>
      <c r="B366" s="7" t="s">
        <v>12</v>
      </c>
      <c r="C366" t="s">
        <v>2</v>
      </c>
    </row>
    <row r="367" spans="1:3" x14ac:dyDescent="0.3">
      <c r="A367" s="7" t="s">
        <v>377</v>
      </c>
      <c r="B367" s="7" t="s">
        <v>12</v>
      </c>
      <c r="C367" t="s">
        <v>2</v>
      </c>
    </row>
    <row r="368" spans="1:3" x14ac:dyDescent="0.3">
      <c r="A368" s="7" t="s">
        <v>378</v>
      </c>
      <c r="B368" s="7" t="s">
        <v>12</v>
      </c>
      <c r="C368" t="s">
        <v>2</v>
      </c>
    </row>
    <row r="369" spans="1:3" x14ac:dyDescent="0.3">
      <c r="A369" s="7" t="s">
        <v>379</v>
      </c>
      <c r="B369" s="7" t="s">
        <v>12</v>
      </c>
      <c r="C369" t="s">
        <v>2</v>
      </c>
    </row>
    <row r="370" spans="1:3" x14ac:dyDescent="0.3">
      <c r="A370" s="7" t="s">
        <v>380</v>
      </c>
      <c r="B370" s="7" t="s">
        <v>12</v>
      </c>
      <c r="C370" t="s">
        <v>2</v>
      </c>
    </row>
    <row r="371" spans="1:3" x14ac:dyDescent="0.3">
      <c r="A371" s="7" t="s">
        <v>381</v>
      </c>
      <c r="B371" s="7" t="s">
        <v>12</v>
      </c>
      <c r="C371" t="s">
        <v>2</v>
      </c>
    </row>
    <row r="372" spans="1:3" x14ac:dyDescent="0.3">
      <c r="A372" s="7" t="s">
        <v>382</v>
      </c>
      <c r="B372" s="7" t="s">
        <v>12</v>
      </c>
      <c r="C372" t="s">
        <v>2</v>
      </c>
    </row>
    <row r="373" spans="1:3" x14ac:dyDescent="0.3">
      <c r="A373" s="7" t="s">
        <v>383</v>
      </c>
      <c r="B373" s="7" t="s">
        <v>12</v>
      </c>
      <c r="C373" t="s">
        <v>2</v>
      </c>
    </row>
    <row r="374" spans="1:3" x14ac:dyDescent="0.3">
      <c r="A374" s="7" t="s">
        <v>384</v>
      </c>
      <c r="B374" s="7" t="s">
        <v>12</v>
      </c>
      <c r="C374" t="s">
        <v>2</v>
      </c>
    </row>
    <row r="375" spans="1:3" x14ac:dyDescent="0.3">
      <c r="A375" s="7" t="s">
        <v>385</v>
      </c>
      <c r="B375" s="7" t="s">
        <v>12</v>
      </c>
      <c r="C375" t="s">
        <v>2</v>
      </c>
    </row>
    <row r="376" spans="1:3" x14ac:dyDescent="0.3">
      <c r="A376" s="7" t="s">
        <v>386</v>
      </c>
      <c r="B376" s="7" t="s">
        <v>12</v>
      </c>
      <c r="C376" t="s">
        <v>2</v>
      </c>
    </row>
    <row r="377" spans="1:3" x14ac:dyDescent="0.3">
      <c r="A377" s="7" t="s">
        <v>387</v>
      </c>
      <c r="B377" s="7" t="s">
        <v>12</v>
      </c>
      <c r="C377" t="s">
        <v>2</v>
      </c>
    </row>
    <row r="378" spans="1:3" x14ac:dyDescent="0.3">
      <c r="A378" s="7" t="s">
        <v>388</v>
      </c>
      <c r="B378" s="7" t="s">
        <v>12</v>
      </c>
      <c r="C378" t="s">
        <v>2</v>
      </c>
    </row>
    <row r="379" spans="1:3" x14ac:dyDescent="0.3">
      <c r="A379" s="7" t="s">
        <v>389</v>
      </c>
      <c r="B379" s="7" t="s">
        <v>12</v>
      </c>
      <c r="C379" t="s">
        <v>2</v>
      </c>
    </row>
    <row r="380" spans="1:3" x14ac:dyDescent="0.3">
      <c r="A380" s="7" t="s">
        <v>390</v>
      </c>
      <c r="B380" s="7" t="s">
        <v>12</v>
      </c>
      <c r="C380" t="s">
        <v>2</v>
      </c>
    </row>
    <row r="381" spans="1:3" x14ac:dyDescent="0.3">
      <c r="A381" s="7" t="s">
        <v>391</v>
      </c>
      <c r="B381" s="7" t="s">
        <v>12</v>
      </c>
      <c r="C381" t="s">
        <v>2</v>
      </c>
    </row>
    <row r="382" spans="1:3" x14ac:dyDescent="0.3">
      <c r="A382" s="7" t="s">
        <v>392</v>
      </c>
      <c r="B382" s="7" t="s">
        <v>12</v>
      </c>
      <c r="C382" t="s">
        <v>2</v>
      </c>
    </row>
    <row r="383" spans="1:3" x14ac:dyDescent="0.3">
      <c r="A383" s="7" t="s">
        <v>393</v>
      </c>
      <c r="B383" s="7" t="s">
        <v>12</v>
      </c>
      <c r="C383" t="s">
        <v>2</v>
      </c>
    </row>
    <row r="384" spans="1:3" x14ac:dyDescent="0.3">
      <c r="A384" s="7" t="s">
        <v>394</v>
      </c>
      <c r="B384" s="7" t="s">
        <v>12</v>
      </c>
      <c r="C384" t="s">
        <v>2</v>
      </c>
    </row>
    <row r="385" spans="1:3" x14ac:dyDescent="0.3">
      <c r="A385" s="7" t="s">
        <v>395</v>
      </c>
      <c r="B385" s="7" t="s">
        <v>12</v>
      </c>
      <c r="C385" t="s">
        <v>2</v>
      </c>
    </row>
    <row r="386" spans="1:3" x14ac:dyDescent="0.3">
      <c r="A386" s="7" t="s">
        <v>396</v>
      </c>
      <c r="B386" s="7" t="s">
        <v>12</v>
      </c>
      <c r="C386" t="s">
        <v>2</v>
      </c>
    </row>
    <row r="387" spans="1:3" x14ac:dyDescent="0.3">
      <c r="A387" s="7" t="s">
        <v>397</v>
      </c>
      <c r="B387" s="7" t="s">
        <v>12</v>
      </c>
      <c r="C387" t="s">
        <v>2</v>
      </c>
    </row>
    <row r="388" spans="1:3" x14ac:dyDescent="0.3">
      <c r="A388" s="7" t="s">
        <v>398</v>
      </c>
      <c r="B388" s="7" t="s">
        <v>12</v>
      </c>
      <c r="C388" t="s">
        <v>2</v>
      </c>
    </row>
    <row r="389" spans="1:3" x14ac:dyDescent="0.3">
      <c r="A389" s="7" t="s">
        <v>399</v>
      </c>
      <c r="B389" s="7" t="s">
        <v>12</v>
      </c>
      <c r="C389" t="s">
        <v>2</v>
      </c>
    </row>
    <row r="390" spans="1:3" x14ac:dyDescent="0.3">
      <c r="A390" s="7" t="s">
        <v>400</v>
      </c>
      <c r="B390" s="7" t="s">
        <v>12</v>
      </c>
      <c r="C390" t="s">
        <v>2</v>
      </c>
    </row>
    <row r="391" spans="1:3" x14ac:dyDescent="0.3">
      <c r="A391" s="7" t="s">
        <v>401</v>
      </c>
      <c r="B391" s="7" t="s">
        <v>12</v>
      </c>
      <c r="C391" t="s">
        <v>2</v>
      </c>
    </row>
    <row r="392" spans="1:3" x14ac:dyDescent="0.3">
      <c r="A392" s="7" t="s">
        <v>402</v>
      </c>
      <c r="B392" s="7" t="s">
        <v>12</v>
      </c>
      <c r="C392" t="s">
        <v>2</v>
      </c>
    </row>
    <row r="393" spans="1:3" x14ac:dyDescent="0.3">
      <c r="A393" s="7" t="s">
        <v>403</v>
      </c>
      <c r="B393" s="7" t="s">
        <v>12</v>
      </c>
      <c r="C393" t="s">
        <v>2</v>
      </c>
    </row>
    <row r="394" spans="1:3" x14ac:dyDescent="0.3">
      <c r="A394" s="7" t="s">
        <v>404</v>
      </c>
      <c r="B394" s="7" t="s">
        <v>12</v>
      </c>
      <c r="C394" t="s">
        <v>2</v>
      </c>
    </row>
    <row r="395" spans="1:3" x14ac:dyDescent="0.3">
      <c r="A395" s="7" t="s">
        <v>405</v>
      </c>
      <c r="B395" s="7" t="s">
        <v>12</v>
      </c>
      <c r="C395" t="s">
        <v>2</v>
      </c>
    </row>
    <row r="396" spans="1:3" x14ac:dyDescent="0.3">
      <c r="A396" s="7" t="s">
        <v>406</v>
      </c>
      <c r="B396" s="7" t="s">
        <v>12</v>
      </c>
      <c r="C396" t="s">
        <v>2</v>
      </c>
    </row>
    <row r="397" spans="1:3" x14ac:dyDescent="0.3">
      <c r="A397" s="7" t="s">
        <v>407</v>
      </c>
      <c r="B397" s="7" t="s">
        <v>12</v>
      </c>
      <c r="C397" t="s">
        <v>2</v>
      </c>
    </row>
    <row r="398" spans="1:3" x14ac:dyDescent="0.3">
      <c r="A398" s="7" t="s">
        <v>408</v>
      </c>
      <c r="B398" s="7" t="s">
        <v>12</v>
      </c>
      <c r="C398" t="s">
        <v>2</v>
      </c>
    </row>
    <row r="399" spans="1:3" x14ac:dyDescent="0.3">
      <c r="A399" s="7" t="s">
        <v>409</v>
      </c>
      <c r="B399" s="7" t="s">
        <v>12</v>
      </c>
      <c r="C399" t="s">
        <v>2</v>
      </c>
    </row>
    <row r="400" spans="1:3" x14ac:dyDescent="0.3">
      <c r="A400" s="7" t="s">
        <v>410</v>
      </c>
      <c r="B400" s="7" t="s">
        <v>12</v>
      </c>
      <c r="C400" t="s">
        <v>2</v>
      </c>
    </row>
    <row r="401" spans="1:3" x14ac:dyDescent="0.3">
      <c r="A401" s="7" t="s">
        <v>411</v>
      </c>
      <c r="B401" s="7" t="s">
        <v>12</v>
      </c>
      <c r="C401" t="s">
        <v>2</v>
      </c>
    </row>
    <row r="402" spans="1:3" x14ac:dyDescent="0.3">
      <c r="A402" s="7" t="s">
        <v>412</v>
      </c>
      <c r="B402" s="7" t="s">
        <v>12</v>
      </c>
      <c r="C402" t="s">
        <v>2</v>
      </c>
    </row>
    <row r="403" spans="1:3" x14ac:dyDescent="0.3">
      <c r="A403" s="7" t="s">
        <v>413</v>
      </c>
      <c r="B403" s="7" t="s">
        <v>12</v>
      </c>
      <c r="C403" t="s">
        <v>2</v>
      </c>
    </row>
    <row r="404" spans="1:3" x14ac:dyDescent="0.3">
      <c r="A404" s="7" t="s">
        <v>414</v>
      </c>
      <c r="B404" s="7" t="s">
        <v>12</v>
      </c>
      <c r="C404" t="s">
        <v>2</v>
      </c>
    </row>
    <row r="405" spans="1:3" x14ac:dyDescent="0.3">
      <c r="A405" s="7" t="s">
        <v>415</v>
      </c>
      <c r="B405" s="7" t="s">
        <v>12</v>
      </c>
      <c r="C405" t="s">
        <v>2</v>
      </c>
    </row>
    <row r="406" spans="1:3" x14ac:dyDescent="0.3">
      <c r="A406" s="7" t="s">
        <v>416</v>
      </c>
      <c r="B406" s="7" t="s">
        <v>12</v>
      </c>
      <c r="C406" t="s">
        <v>2</v>
      </c>
    </row>
    <row r="407" spans="1:3" x14ac:dyDescent="0.3">
      <c r="A407" s="7" t="s">
        <v>417</v>
      </c>
      <c r="B407" s="7" t="s">
        <v>12</v>
      </c>
      <c r="C407" t="s">
        <v>2</v>
      </c>
    </row>
    <row r="408" spans="1:3" x14ac:dyDescent="0.3">
      <c r="A408" s="7" t="s">
        <v>418</v>
      </c>
      <c r="B408" s="7" t="s">
        <v>12</v>
      </c>
      <c r="C408" t="s">
        <v>2</v>
      </c>
    </row>
    <row r="409" spans="1:3" x14ac:dyDescent="0.3">
      <c r="A409" s="7" t="s">
        <v>419</v>
      </c>
      <c r="B409" s="7" t="s">
        <v>12</v>
      </c>
      <c r="C409" t="s">
        <v>2</v>
      </c>
    </row>
    <row r="410" spans="1:3" x14ac:dyDescent="0.3">
      <c r="A410" s="7" t="s">
        <v>420</v>
      </c>
      <c r="B410" s="7" t="s">
        <v>12</v>
      </c>
      <c r="C410" t="s">
        <v>3</v>
      </c>
    </row>
    <row r="411" spans="1:3" x14ac:dyDescent="0.3">
      <c r="A411" s="7" t="s">
        <v>421</v>
      </c>
      <c r="B411" s="7" t="s">
        <v>12</v>
      </c>
      <c r="C411" t="s">
        <v>3</v>
      </c>
    </row>
    <row r="412" spans="1:3" x14ac:dyDescent="0.3">
      <c r="A412" s="7" t="s">
        <v>422</v>
      </c>
      <c r="B412" s="7" t="s">
        <v>12</v>
      </c>
      <c r="C412" t="s">
        <v>3</v>
      </c>
    </row>
    <row r="413" spans="1:3" x14ac:dyDescent="0.3">
      <c r="A413" s="7" t="s">
        <v>423</v>
      </c>
      <c r="B413" s="7" t="s">
        <v>12</v>
      </c>
      <c r="C413" t="s">
        <v>3</v>
      </c>
    </row>
    <row r="414" spans="1:3" x14ac:dyDescent="0.3">
      <c r="A414" s="7" t="s">
        <v>424</v>
      </c>
      <c r="B414" s="7" t="s">
        <v>12</v>
      </c>
      <c r="C414" t="s">
        <v>3</v>
      </c>
    </row>
    <row r="415" spans="1:3" x14ac:dyDescent="0.3">
      <c r="A415" s="7" t="s">
        <v>425</v>
      </c>
      <c r="B415" s="7" t="s">
        <v>12</v>
      </c>
      <c r="C415" t="s">
        <v>3</v>
      </c>
    </row>
    <row r="416" spans="1:3" x14ac:dyDescent="0.3">
      <c r="A416" s="7" t="s">
        <v>426</v>
      </c>
      <c r="B416" s="7" t="s">
        <v>12</v>
      </c>
      <c r="C416" t="s">
        <v>3</v>
      </c>
    </row>
    <row r="417" spans="1:3" x14ac:dyDescent="0.3">
      <c r="A417" s="7" t="s">
        <v>427</v>
      </c>
      <c r="B417" s="7" t="s">
        <v>12</v>
      </c>
      <c r="C417" t="s">
        <v>3</v>
      </c>
    </row>
    <row r="418" spans="1:3" x14ac:dyDescent="0.3">
      <c r="A418" s="7" t="s">
        <v>428</v>
      </c>
      <c r="B418" s="7" t="s">
        <v>12</v>
      </c>
      <c r="C418" t="s">
        <v>3</v>
      </c>
    </row>
    <row r="419" spans="1:3" x14ac:dyDescent="0.3">
      <c r="A419" s="7" t="s">
        <v>429</v>
      </c>
      <c r="B419" s="7" t="s">
        <v>12</v>
      </c>
      <c r="C419" t="s">
        <v>3</v>
      </c>
    </row>
    <row r="420" spans="1:3" x14ac:dyDescent="0.3">
      <c r="A420" s="7" t="s">
        <v>430</v>
      </c>
      <c r="B420" s="7" t="s">
        <v>12</v>
      </c>
    </row>
    <row r="421" spans="1:3" x14ac:dyDescent="0.3">
      <c r="A421" s="7" t="s">
        <v>431</v>
      </c>
      <c r="B421" s="7" t="s">
        <v>12</v>
      </c>
    </row>
    <row r="422" spans="1:3" x14ac:dyDescent="0.3">
      <c r="A422" s="7" t="s">
        <v>432</v>
      </c>
      <c r="B422" s="7" t="s">
        <v>12</v>
      </c>
    </row>
    <row r="423" spans="1:3" x14ac:dyDescent="0.3">
      <c r="A423" s="7" t="s">
        <v>433</v>
      </c>
      <c r="B423" s="7" t="s">
        <v>12</v>
      </c>
    </row>
    <row r="424" spans="1:3" x14ac:dyDescent="0.3">
      <c r="A424" s="7" t="s">
        <v>434</v>
      </c>
      <c r="B424" s="7" t="s">
        <v>12</v>
      </c>
      <c r="C424" t="s">
        <v>2</v>
      </c>
    </row>
    <row r="425" spans="1:3" x14ac:dyDescent="0.3">
      <c r="A425" s="7" t="s">
        <v>435</v>
      </c>
      <c r="B425" s="7" t="s">
        <v>12</v>
      </c>
      <c r="C425" t="s">
        <v>2</v>
      </c>
    </row>
    <row r="426" spans="1:3" x14ac:dyDescent="0.3">
      <c r="A426" s="7" t="s">
        <v>436</v>
      </c>
      <c r="B426" s="7" t="s">
        <v>12</v>
      </c>
      <c r="C426" t="s">
        <v>2</v>
      </c>
    </row>
    <row r="427" spans="1:3" x14ac:dyDescent="0.3">
      <c r="A427" s="7" t="s">
        <v>437</v>
      </c>
      <c r="B427" s="7" t="s">
        <v>12</v>
      </c>
      <c r="C427" t="s">
        <v>2</v>
      </c>
    </row>
    <row r="428" spans="1:3" x14ac:dyDescent="0.3">
      <c r="A428" s="7" t="s">
        <v>438</v>
      </c>
      <c r="B428" s="7" t="s">
        <v>12</v>
      </c>
      <c r="C428" t="s">
        <v>2</v>
      </c>
    </row>
    <row r="429" spans="1:3" x14ac:dyDescent="0.3">
      <c r="A429" s="7" t="s">
        <v>439</v>
      </c>
      <c r="B429" s="7" t="s">
        <v>12</v>
      </c>
      <c r="C429" t="s">
        <v>2</v>
      </c>
    </row>
    <row r="430" spans="1:3" x14ac:dyDescent="0.3">
      <c r="A430" s="7" t="s">
        <v>440</v>
      </c>
      <c r="B430" s="7" t="s">
        <v>12</v>
      </c>
      <c r="C430" t="s">
        <v>2</v>
      </c>
    </row>
    <row r="431" spans="1:3" x14ac:dyDescent="0.3">
      <c r="A431" s="7" t="s">
        <v>441</v>
      </c>
      <c r="B431" s="7" t="s">
        <v>12</v>
      </c>
      <c r="C431" t="s">
        <v>3678</v>
      </c>
    </row>
    <row r="432" spans="1:3" x14ac:dyDescent="0.3">
      <c r="A432" s="7" t="s">
        <v>442</v>
      </c>
      <c r="B432" s="7" t="s">
        <v>12</v>
      </c>
      <c r="C432" t="s">
        <v>3678</v>
      </c>
    </row>
    <row r="433" spans="1:3" x14ac:dyDescent="0.3">
      <c r="A433" s="7" t="s">
        <v>443</v>
      </c>
      <c r="B433" s="7" t="s">
        <v>12</v>
      </c>
      <c r="C433" t="s">
        <v>3678</v>
      </c>
    </row>
    <row r="434" spans="1:3" x14ac:dyDescent="0.3">
      <c r="A434" s="7" t="s">
        <v>444</v>
      </c>
      <c r="B434" s="7" t="s">
        <v>12</v>
      </c>
      <c r="C434" t="s">
        <v>2</v>
      </c>
    </row>
    <row r="435" spans="1:3" x14ac:dyDescent="0.3">
      <c r="A435" s="7" t="s">
        <v>445</v>
      </c>
      <c r="B435" s="7" t="s">
        <v>12</v>
      </c>
      <c r="C435" t="s">
        <v>2</v>
      </c>
    </row>
    <row r="436" spans="1:3" x14ac:dyDescent="0.3">
      <c r="A436" s="7" t="s">
        <v>446</v>
      </c>
      <c r="B436" s="7" t="s">
        <v>12</v>
      </c>
      <c r="C436" t="s">
        <v>2</v>
      </c>
    </row>
    <row r="437" spans="1:3" x14ac:dyDescent="0.3">
      <c r="A437" s="7" t="s">
        <v>447</v>
      </c>
      <c r="B437" s="7" t="s">
        <v>12</v>
      </c>
      <c r="C437" t="s">
        <v>2</v>
      </c>
    </row>
    <row r="438" spans="1:3" x14ac:dyDescent="0.3">
      <c r="A438" s="7" t="s">
        <v>448</v>
      </c>
      <c r="B438" s="7" t="s">
        <v>12</v>
      </c>
      <c r="C438" t="s">
        <v>2</v>
      </c>
    </row>
    <row r="439" spans="1:3" x14ac:dyDescent="0.3">
      <c r="A439" s="7" t="s">
        <v>449</v>
      </c>
      <c r="B439" s="7" t="s">
        <v>12</v>
      </c>
      <c r="C439" t="s">
        <v>2</v>
      </c>
    </row>
    <row r="440" spans="1:3" x14ac:dyDescent="0.3">
      <c r="A440" s="7" t="s">
        <v>450</v>
      </c>
      <c r="B440" s="7" t="s">
        <v>12</v>
      </c>
      <c r="C440" t="s">
        <v>2</v>
      </c>
    </row>
    <row r="441" spans="1:3" x14ac:dyDescent="0.3">
      <c r="A441" s="7" t="s">
        <v>451</v>
      </c>
      <c r="B441" s="7" t="s">
        <v>12</v>
      </c>
      <c r="C441" t="s">
        <v>3678</v>
      </c>
    </row>
    <row r="442" spans="1:3" x14ac:dyDescent="0.3">
      <c r="A442" s="7" t="s">
        <v>452</v>
      </c>
      <c r="B442" s="7" t="s">
        <v>12</v>
      </c>
      <c r="C442" t="s">
        <v>3678</v>
      </c>
    </row>
    <row r="443" spans="1:3" x14ac:dyDescent="0.3">
      <c r="A443" s="7" t="s">
        <v>453</v>
      </c>
      <c r="B443" s="7" t="s">
        <v>12</v>
      </c>
      <c r="C443" t="s">
        <v>3678</v>
      </c>
    </row>
    <row r="444" spans="1:3" x14ac:dyDescent="0.3">
      <c r="A444" s="7" t="s">
        <v>454</v>
      </c>
      <c r="B444" s="7" t="s">
        <v>12</v>
      </c>
      <c r="C444" t="s">
        <v>3678</v>
      </c>
    </row>
    <row r="445" spans="1:3" x14ac:dyDescent="0.3">
      <c r="A445" s="7" t="s">
        <v>455</v>
      </c>
      <c r="B445" s="7" t="s">
        <v>12</v>
      </c>
      <c r="C445" t="s">
        <v>3678</v>
      </c>
    </row>
    <row r="446" spans="1:3" x14ac:dyDescent="0.3">
      <c r="A446" s="7" t="s">
        <v>456</v>
      </c>
      <c r="B446" s="7" t="s">
        <v>12</v>
      </c>
      <c r="C446" t="s">
        <v>3678</v>
      </c>
    </row>
    <row r="447" spans="1:3" x14ac:dyDescent="0.3">
      <c r="A447" s="7" t="s">
        <v>457</v>
      </c>
      <c r="B447" s="7" t="s">
        <v>12</v>
      </c>
      <c r="C447" t="s">
        <v>3678</v>
      </c>
    </row>
    <row r="448" spans="1:3" x14ac:dyDescent="0.3">
      <c r="A448" s="7" t="s">
        <v>458</v>
      </c>
      <c r="B448" s="7" t="s">
        <v>12</v>
      </c>
      <c r="C448" t="s">
        <v>2</v>
      </c>
    </row>
    <row r="449" spans="1:3" x14ac:dyDescent="0.3">
      <c r="A449" s="7" t="s">
        <v>459</v>
      </c>
      <c r="B449" s="7" t="s">
        <v>12</v>
      </c>
      <c r="C449" t="s">
        <v>2</v>
      </c>
    </row>
    <row r="450" spans="1:3" x14ac:dyDescent="0.3">
      <c r="A450" s="7" t="s">
        <v>460</v>
      </c>
      <c r="B450" s="7" t="s">
        <v>12</v>
      </c>
      <c r="C450" t="s">
        <v>2</v>
      </c>
    </row>
    <row r="451" spans="1:3" x14ac:dyDescent="0.3">
      <c r="A451" s="7" t="s">
        <v>461</v>
      </c>
      <c r="B451" s="7" t="s">
        <v>12</v>
      </c>
      <c r="C451" t="s">
        <v>2</v>
      </c>
    </row>
    <row r="452" spans="1:3" x14ac:dyDescent="0.3">
      <c r="A452" s="7" t="s">
        <v>462</v>
      </c>
      <c r="B452" s="7" t="s">
        <v>12</v>
      </c>
      <c r="C452" t="s">
        <v>2</v>
      </c>
    </row>
    <row r="453" spans="1:3" x14ac:dyDescent="0.3">
      <c r="A453" s="7" t="s">
        <v>463</v>
      </c>
      <c r="B453" s="7" t="s">
        <v>12</v>
      </c>
      <c r="C453" t="s">
        <v>2</v>
      </c>
    </row>
    <row r="454" spans="1:3" x14ac:dyDescent="0.3">
      <c r="A454" s="7" t="s">
        <v>464</v>
      </c>
      <c r="B454" s="7" t="s">
        <v>12</v>
      </c>
      <c r="C454" t="s">
        <v>2</v>
      </c>
    </row>
    <row r="455" spans="1:3" x14ac:dyDescent="0.3">
      <c r="A455" s="7" t="s">
        <v>465</v>
      </c>
      <c r="B455" s="7" t="s">
        <v>12</v>
      </c>
      <c r="C455" t="s">
        <v>2</v>
      </c>
    </row>
    <row r="456" spans="1:3" x14ac:dyDescent="0.3">
      <c r="A456" s="7" t="s">
        <v>466</v>
      </c>
      <c r="B456" s="7" t="s">
        <v>12</v>
      </c>
      <c r="C456" t="s">
        <v>2</v>
      </c>
    </row>
    <row r="457" spans="1:3" x14ac:dyDescent="0.3">
      <c r="A457" s="7" t="s">
        <v>467</v>
      </c>
      <c r="B457" s="7" t="s">
        <v>12</v>
      </c>
      <c r="C457" t="s">
        <v>2</v>
      </c>
    </row>
    <row r="458" spans="1:3" x14ac:dyDescent="0.3">
      <c r="A458" s="7" t="s">
        <v>468</v>
      </c>
      <c r="B458" s="7" t="s">
        <v>12</v>
      </c>
      <c r="C458" t="s">
        <v>2</v>
      </c>
    </row>
    <row r="459" spans="1:3" x14ac:dyDescent="0.3">
      <c r="A459" s="7" t="s">
        <v>469</v>
      </c>
      <c r="B459" s="7" t="s">
        <v>12</v>
      </c>
      <c r="C459" t="s">
        <v>2</v>
      </c>
    </row>
    <row r="460" spans="1:3" x14ac:dyDescent="0.3">
      <c r="A460" s="7" t="s">
        <v>470</v>
      </c>
      <c r="B460" s="7" t="s">
        <v>12</v>
      </c>
      <c r="C460" t="s">
        <v>2</v>
      </c>
    </row>
    <row r="461" spans="1:3" x14ac:dyDescent="0.3">
      <c r="A461" s="7" t="s">
        <v>471</v>
      </c>
      <c r="B461" s="7" t="s">
        <v>12</v>
      </c>
      <c r="C461" t="s">
        <v>2</v>
      </c>
    </row>
    <row r="462" spans="1:3" x14ac:dyDescent="0.3">
      <c r="A462" s="7" t="s">
        <v>472</v>
      </c>
      <c r="B462" s="7" t="s">
        <v>12</v>
      </c>
      <c r="C462" t="s">
        <v>2</v>
      </c>
    </row>
    <row r="463" spans="1:3" x14ac:dyDescent="0.3">
      <c r="A463" s="7" t="s">
        <v>473</v>
      </c>
      <c r="B463" s="7" t="s">
        <v>12</v>
      </c>
      <c r="C463" t="s">
        <v>2</v>
      </c>
    </row>
    <row r="464" spans="1:3" x14ac:dyDescent="0.3">
      <c r="A464" s="7" t="s">
        <v>474</v>
      </c>
      <c r="B464" s="7" t="s">
        <v>12</v>
      </c>
      <c r="C464" t="s">
        <v>2</v>
      </c>
    </row>
    <row r="465" spans="1:3" x14ac:dyDescent="0.3">
      <c r="A465" s="7" t="s">
        <v>475</v>
      </c>
      <c r="B465" s="7" t="s">
        <v>12</v>
      </c>
      <c r="C465" t="s">
        <v>2</v>
      </c>
    </row>
    <row r="466" spans="1:3" x14ac:dyDescent="0.3">
      <c r="A466" s="7" t="s">
        <v>476</v>
      </c>
      <c r="B466" s="7" t="s">
        <v>12</v>
      </c>
      <c r="C466" t="s">
        <v>2</v>
      </c>
    </row>
    <row r="467" spans="1:3" x14ac:dyDescent="0.3">
      <c r="A467" s="7" t="s">
        <v>477</v>
      </c>
      <c r="B467" s="7" t="s">
        <v>12</v>
      </c>
      <c r="C467" t="s">
        <v>2</v>
      </c>
    </row>
    <row r="468" spans="1:3" x14ac:dyDescent="0.3">
      <c r="A468" s="7" t="s">
        <v>478</v>
      </c>
      <c r="B468" s="7" t="s">
        <v>12</v>
      </c>
      <c r="C468" t="s">
        <v>2</v>
      </c>
    </row>
    <row r="469" spans="1:3" x14ac:dyDescent="0.3">
      <c r="A469" s="7" t="s">
        <v>479</v>
      </c>
      <c r="B469" s="7" t="s">
        <v>12</v>
      </c>
      <c r="C469" t="s">
        <v>2</v>
      </c>
    </row>
    <row r="470" spans="1:3" x14ac:dyDescent="0.3">
      <c r="A470" s="7" t="s">
        <v>480</v>
      </c>
      <c r="B470" s="7" t="s">
        <v>12</v>
      </c>
      <c r="C470" t="s">
        <v>2</v>
      </c>
    </row>
    <row r="471" spans="1:3" x14ac:dyDescent="0.3">
      <c r="A471" s="7" t="s">
        <v>481</v>
      </c>
      <c r="B471" s="7" t="s">
        <v>12</v>
      </c>
      <c r="C471" t="s">
        <v>2</v>
      </c>
    </row>
    <row r="472" spans="1:3" x14ac:dyDescent="0.3">
      <c r="A472" s="7" t="s">
        <v>482</v>
      </c>
      <c r="B472" s="7" t="s">
        <v>12</v>
      </c>
      <c r="C472" t="s">
        <v>2</v>
      </c>
    </row>
    <row r="473" spans="1:3" x14ac:dyDescent="0.3">
      <c r="A473" s="7" t="s">
        <v>483</v>
      </c>
      <c r="B473" s="7" t="s">
        <v>12</v>
      </c>
      <c r="C473" t="s">
        <v>2</v>
      </c>
    </row>
    <row r="474" spans="1:3" x14ac:dyDescent="0.3">
      <c r="A474" s="7" t="s">
        <v>484</v>
      </c>
      <c r="B474" s="7" t="s">
        <v>12</v>
      </c>
      <c r="C474" t="s">
        <v>2</v>
      </c>
    </row>
    <row r="475" spans="1:3" x14ac:dyDescent="0.3">
      <c r="A475" s="7" t="s">
        <v>485</v>
      </c>
      <c r="B475" s="7" t="s">
        <v>12</v>
      </c>
      <c r="C475" t="s">
        <v>2</v>
      </c>
    </row>
    <row r="476" spans="1:3" x14ac:dyDescent="0.3">
      <c r="A476" s="7" t="s">
        <v>486</v>
      </c>
      <c r="B476" s="7" t="s">
        <v>12</v>
      </c>
      <c r="C476" t="s">
        <v>2</v>
      </c>
    </row>
    <row r="477" spans="1:3" x14ac:dyDescent="0.3">
      <c r="A477" s="7" t="s">
        <v>487</v>
      </c>
      <c r="B477" s="7" t="s">
        <v>12</v>
      </c>
      <c r="C477" t="s">
        <v>2</v>
      </c>
    </row>
    <row r="478" spans="1:3" x14ac:dyDescent="0.3">
      <c r="A478" s="7" t="s">
        <v>488</v>
      </c>
      <c r="B478" s="7" t="s">
        <v>12</v>
      </c>
      <c r="C478" t="s">
        <v>2</v>
      </c>
    </row>
    <row r="479" spans="1:3" x14ac:dyDescent="0.3">
      <c r="A479" s="7" t="s">
        <v>489</v>
      </c>
      <c r="B479" s="7" t="s">
        <v>12</v>
      </c>
      <c r="C479" t="s">
        <v>2</v>
      </c>
    </row>
    <row r="480" spans="1:3" x14ac:dyDescent="0.3">
      <c r="A480" s="7" t="s">
        <v>490</v>
      </c>
      <c r="B480" s="7" t="s">
        <v>12</v>
      </c>
      <c r="C480" t="s">
        <v>2</v>
      </c>
    </row>
    <row r="481" spans="1:3" x14ac:dyDescent="0.3">
      <c r="A481" s="7" t="s">
        <v>491</v>
      </c>
      <c r="B481" s="7" t="s">
        <v>12</v>
      </c>
      <c r="C481" t="s">
        <v>2</v>
      </c>
    </row>
    <row r="482" spans="1:3" x14ac:dyDescent="0.3">
      <c r="A482" s="7" t="s">
        <v>492</v>
      </c>
      <c r="B482" s="7" t="s">
        <v>12</v>
      </c>
      <c r="C482" t="s">
        <v>2</v>
      </c>
    </row>
    <row r="483" spans="1:3" x14ac:dyDescent="0.3">
      <c r="A483" s="7" t="s">
        <v>493</v>
      </c>
      <c r="B483" s="7" t="s">
        <v>12</v>
      </c>
      <c r="C483" t="s">
        <v>2</v>
      </c>
    </row>
    <row r="484" spans="1:3" x14ac:dyDescent="0.3">
      <c r="A484" s="7" t="s">
        <v>494</v>
      </c>
      <c r="B484" s="7" t="s">
        <v>12</v>
      </c>
      <c r="C484" t="s">
        <v>2</v>
      </c>
    </row>
    <row r="485" spans="1:3" x14ac:dyDescent="0.3">
      <c r="A485" s="7" t="s">
        <v>495</v>
      </c>
      <c r="B485" s="7" t="s">
        <v>12</v>
      </c>
      <c r="C485" t="s">
        <v>2</v>
      </c>
    </row>
    <row r="486" spans="1:3" x14ac:dyDescent="0.3">
      <c r="A486" s="7" t="s">
        <v>496</v>
      </c>
      <c r="B486" s="7" t="s">
        <v>12</v>
      </c>
      <c r="C486" t="s">
        <v>2</v>
      </c>
    </row>
    <row r="487" spans="1:3" x14ac:dyDescent="0.3">
      <c r="A487" s="7" t="s">
        <v>497</v>
      </c>
      <c r="B487" s="7" t="s">
        <v>12</v>
      </c>
      <c r="C487" t="s">
        <v>2</v>
      </c>
    </row>
    <row r="488" spans="1:3" x14ac:dyDescent="0.3">
      <c r="A488" s="7" t="s">
        <v>498</v>
      </c>
      <c r="B488" s="7" t="s">
        <v>12</v>
      </c>
      <c r="C488" t="s">
        <v>2</v>
      </c>
    </row>
    <row r="489" spans="1:3" x14ac:dyDescent="0.3">
      <c r="A489" s="7" t="s">
        <v>499</v>
      </c>
      <c r="B489" s="7" t="s">
        <v>12</v>
      </c>
      <c r="C489" t="s">
        <v>2</v>
      </c>
    </row>
    <row r="490" spans="1:3" x14ac:dyDescent="0.3">
      <c r="A490" s="7" t="s">
        <v>500</v>
      </c>
      <c r="B490" s="7" t="s">
        <v>12</v>
      </c>
      <c r="C490" t="s">
        <v>2</v>
      </c>
    </row>
    <row r="491" spans="1:3" x14ac:dyDescent="0.3">
      <c r="A491" s="7" t="s">
        <v>501</v>
      </c>
      <c r="B491" s="7" t="s">
        <v>12</v>
      </c>
      <c r="C491" t="s">
        <v>2</v>
      </c>
    </row>
    <row r="492" spans="1:3" x14ac:dyDescent="0.3">
      <c r="A492" s="7" t="s">
        <v>502</v>
      </c>
      <c r="B492" s="7" t="s">
        <v>12</v>
      </c>
      <c r="C492" t="s">
        <v>2</v>
      </c>
    </row>
    <row r="493" spans="1:3" x14ac:dyDescent="0.3">
      <c r="A493" s="7" t="s">
        <v>503</v>
      </c>
      <c r="B493" s="7" t="s">
        <v>12</v>
      </c>
      <c r="C493" t="s">
        <v>2</v>
      </c>
    </row>
    <row r="494" spans="1:3" x14ac:dyDescent="0.3">
      <c r="A494" s="7" t="s">
        <v>504</v>
      </c>
      <c r="B494" s="7" t="s">
        <v>12</v>
      </c>
      <c r="C494" t="s">
        <v>2</v>
      </c>
    </row>
    <row r="495" spans="1:3" x14ac:dyDescent="0.3">
      <c r="A495" s="7" t="s">
        <v>505</v>
      </c>
      <c r="B495" s="7" t="s">
        <v>12</v>
      </c>
      <c r="C495" t="s">
        <v>2</v>
      </c>
    </row>
    <row r="496" spans="1:3" x14ac:dyDescent="0.3">
      <c r="A496" s="7" t="s">
        <v>506</v>
      </c>
      <c r="B496" s="7" t="s">
        <v>12</v>
      </c>
      <c r="C496" t="s">
        <v>2</v>
      </c>
    </row>
    <row r="497" spans="1:3" x14ac:dyDescent="0.3">
      <c r="A497" s="7" t="s">
        <v>507</v>
      </c>
      <c r="B497" s="7" t="s">
        <v>12</v>
      </c>
      <c r="C497" t="s">
        <v>2</v>
      </c>
    </row>
    <row r="498" spans="1:3" x14ac:dyDescent="0.3">
      <c r="A498" s="7" t="s">
        <v>508</v>
      </c>
      <c r="B498" s="7" t="s">
        <v>12</v>
      </c>
      <c r="C498" t="s">
        <v>2</v>
      </c>
    </row>
    <row r="499" spans="1:3" x14ac:dyDescent="0.3">
      <c r="A499" s="7" t="s">
        <v>509</v>
      </c>
      <c r="B499" s="7" t="s">
        <v>12</v>
      </c>
      <c r="C499" t="s">
        <v>2</v>
      </c>
    </row>
    <row r="500" spans="1:3" x14ac:dyDescent="0.3">
      <c r="A500" s="7" t="s">
        <v>510</v>
      </c>
      <c r="B500" s="7" t="s">
        <v>12</v>
      </c>
      <c r="C500" t="s">
        <v>2</v>
      </c>
    </row>
    <row r="501" spans="1:3" x14ac:dyDescent="0.3">
      <c r="A501" s="7" t="s">
        <v>511</v>
      </c>
      <c r="B501" s="7" t="s">
        <v>12</v>
      </c>
      <c r="C501" t="s">
        <v>2</v>
      </c>
    </row>
    <row r="502" spans="1:3" x14ac:dyDescent="0.3">
      <c r="A502" s="7" t="s">
        <v>512</v>
      </c>
      <c r="B502" s="7" t="s">
        <v>12</v>
      </c>
      <c r="C502" t="s">
        <v>3</v>
      </c>
    </row>
    <row r="503" spans="1:3" x14ac:dyDescent="0.3">
      <c r="A503" s="7" t="s">
        <v>513</v>
      </c>
      <c r="B503" s="7" t="s">
        <v>12</v>
      </c>
      <c r="C503" t="s">
        <v>3</v>
      </c>
    </row>
    <row r="504" spans="1:3" x14ac:dyDescent="0.3">
      <c r="A504" s="7" t="s">
        <v>514</v>
      </c>
      <c r="B504" s="7" t="s">
        <v>12</v>
      </c>
      <c r="C504" t="s">
        <v>3</v>
      </c>
    </row>
    <row r="505" spans="1:3" x14ac:dyDescent="0.3">
      <c r="A505" s="7" t="s">
        <v>515</v>
      </c>
      <c r="B505" s="7" t="s">
        <v>12</v>
      </c>
      <c r="C505" t="s">
        <v>3</v>
      </c>
    </row>
    <row r="506" spans="1:3" x14ac:dyDescent="0.3">
      <c r="A506" s="7" t="s">
        <v>516</v>
      </c>
      <c r="B506" s="7" t="s">
        <v>12</v>
      </c>
      <c r="C506" t="s">
        <v>3</v>
      </c>
    </row>
    <row r="507" spans="1:3" x14ac:dyDescent="0.3">
      <c r="A507" s="7" t="s">
        <v>517</v>
      </c>
      <c r="B507" s="7" t="s">
        <v>12</v>
      </c>
      <c r="C507" t="s">
        <v>3</v>
      </c>
    </row>
    <row r="508" spans="1:3" x14ac:dyDescent="0.3">
      <c r="A508" s="7" t="s">
        <v>518</v>
      </c>
      <c r="B508" s="7" t="s">
        <v>12</v>
      </c>
      <c r="C508" t="s">
        <v>3</v>
      </c>
    </row>
    <row r="509" spans="1:3" x14ac:dyDescent="0.3">
      <c r="A509" s="7" t="s">
        <v>519</v>
      </c>
      <c r="B509" s="7" t="s">
        <v>12</v>
      </c>
      <c r="C509" t="s">
        <v>3</v>
      </c>
    </row>
    <row r="510" spans="1:3" x14ac:dyDescent="0.3">
      <c r="A510" s="7" t="s">
        <v>520</v>
      </c>
      <c r="B510" s="7" t="s">
        <v>12</v>
      </c>
      <c r="C510" t="s">
        <v>3</v>
      </c>
    </row>
    <row r="511" spans="1:3" x14ac:dyDescent="0.3">
      <c r="A511" s="7" t="s">
        <v>521</v>
      </c>
      <c r="B511" s="7" t="s">
        <v>12</v>
      </c>
      <c r="C511" t="s">
        <v>3678</v>
      </c>
    </row>
    <row r="512" spans="1:3" x14ac:dyDescent="0.3">
      <c r="A512" s="7" t="s">
        <v>522</v>
      </c>
      <c r="B512" s="7" t="s">
        <v>12</v>
      </c>
      <c r="C512" t="s">
        <v>2</v>
      </c>
    </row>
    <row r="513" spans="1:3" x14ac:dyDescent="0.3">
      <c r="A513" s="7" t="s">
        <v>523</v>
      </c>
      <c r="B513" s="7" t="s">
        <v>12</v>
      </c>
      <c r="C513" t="s">
        <v>2</v>
      </c>
    </row>
    <row r="514" spans="1:3" x14ac:dyDescent="0.3">
      <c r="A514" s="7" t="s">
        <v>524</v>
      </c>
      <c r="B514" s="7" t="s">
        <v>12</v>
      </c>
      <c r="C514" t="s">
        <v>2</v>
      </c>
    </row>
    <row r="515" spans="1:3" x14ac:dyDescent="0.3">
      <c r="A515" s="7" t="s">
        <v>525</v>
      </c>
      <c r="B515" s="7" t="s">
        <v>12</v>
      </c>
      <c r="C515" t="s">
        <v>2</v>
      </c>
    </row>
    <row r="516" spans="1:3" x14ac:dyDescent="0.3">
      <c r="A516" s="7" t="s">
        <v>526</v>
      </c>
      <c r="B516" s="7" t="s">
        <v>12</v>
      </c>
      <c r="C516" t="s">
        <v>2</v>
      </c>
    </row>
    <row r="517" spans="1:3" x14ac:dyDescent="0.3">
      <c r="A517" s="7" t="s">
        <v>527</v>
      </c>
      <c r="B517" s="7" t="s">
        <v>12</v>
      </c>
      <c r="C517" t="s">
        <v>2</v>
      </c>
    </row>
    <row r="518" spans="1:3" x14ac:dyDescent="0.3">
      <c r="A518" s="7" t="s">
        <v>528</v>
      </c>
      <c r="B518" s="7" t="s">
        <v>12</v>
      </c>
      <c r="C518" t="s">
        <v>2</v>
      </c>
    </row>
    <row r="519" spans="1:3" x14ac:dyDescent="0.3">
      <c r="A519" s="7" t="s">
        <v>529</v>
      </c>
      <c r="B519" s="7" t="s">
        <v>12</v>
      </c>
      <c r="C519" t="s">
        <v>2</v>
      </c>
    </row>
    <row r="520" spans="1:3" x14ac:dyDescent="0.3">
      <c r="A520" s="7" t="s">
        <v>530</v>
      </c>
      <c r="B520" s="7" t="s">
        <v>12</v>
      </c>
      <c r="C520" t="s">
        <v>2</v>
      </c>
    </row>
    <row r="521" spans="1:3" x14ac:dyDescent="0.3">
      <c r="A521" s="7" t="s">
        <v>531</v>
      </c>
      <c r="B521" s="7" t="s">
        <v>12</v>
      </c>
      <c r="C521" t="s">
        <v>2</v>
      </c>
    </row>
    <row r="522" spans="1:3" x14ac:dyDescent="0.3">
      <c r="A522" s="7" t="s">
        <v>532</v>
      </c>
      <c r="B522" s="7" t="s">
        <v>12</v>
      </c>
      <c r="C522" t="s">
        <v>2</v>
      </c>
    </row>
    <row r="523" spans="1:3" x14ac:dyDescent="0.3">
      <c r="A523" s="7" t="s">
        <v>533</v>
      </c>
      <c r="B523" s="7" t="s">
        <v>12</v>
      </c>
      <c r="C523" t="s">
        <v>2</v>
      </c>
    </row>
    <row r="524" spans="1:3" x14ac:dyDescent="0.3">
      <c r="A524" s="7" t="s">
        <v>534</v>
      </c>
      <c r="B524" s="7" t="s">
        <v>12</v>
      </c>
      <c r="C524" t="s">
        <v>2</v>
      </c>
    </row>
    <row r="525" spans="1:3" x14ac:dyDescent="0.3">
      <c r="A525" s="7" t="s">
        <v>535</v>
      </c>
      <c r="B525" s="7" t="s">
        <v>12</v>
      </c>
      <c r="C525" t="s">
        <v>2</v>
      </c>
    </row>
    <row r="526" spans="1:3" x14ac:dyDescent="0.3">
      <c r="A526" s="7" t="s">
        <v>536</v>
      </c>
      <c r="B526" s="7" t="s">
        <v>12</v>
      </c>
      <c r="C526" t="s">
        <v>2</v>
      </c>
    </row>
    <row r="527" spans="1:3" x14ac:dyDescent="0.3">
      <c r="A527" s="7" t="s">
        <v>537</v>
      </c>
      <c r="B527" s="7" t="s">
        <v>12</v>
      </c>
      <c r="C527" t="s">
        <v>2</v>
      </c>
    </row>
    <row r="528" spans="1:3" x14ac:dyDescent="0.3">
      <c r="A528" s="7" t="s">
        <v>538</v>
      </c>
      <c r="B528" s="7" t="s">
        <v>12</v>
      </c>
      <c r="C528" t="s">
        <v>2</v>
      </c>
    </row>
    <row r="529" spans="1:3" x14ac:dyDescent="0.3">
      <c r="A529" s="7" t="s">
        <v>539</v>
      </c>
      <c r="B529" s="7" t="s">
        <v>12</v>
      </c>
      <c r="C529" t="s">
        <v>2</v>
      </c>
    </row>
    <row r="530" spans="1:3" x14ac:dyDescent="0.3">
      <c r="A530" s="7" t="s">
        <v>540</v>
      </c>
      <c r="B530" s="7" t="s">
        <v>12</v>
      </c>
      <c r="C530" t="s">
        <v>2</v>
      </c>
    </row>
    <row r="531" spans="1:3" x14ac:dyDescent="0.3">
      <c r="A531" s="7" t="s">
        <v>541</v>
      </c>
      <c r="B531" s="7" t="s">
        <v>12</v>
      </c>
      <c r="C531" t="s">
        <v>2</v>
      </c>
    </row>
    <row r="532" spans="1:3" x14ac:dyDescent="0.3">
      <c r="A532" s="7" t="s">
        <v>542</v>
      </c>
      <c r="B532" s="7" t="s">
        <v>12</v>
      </c>
      <c r="C532" t="s">
        <v>2</v>
      </c>
    </row>
    <row r="533" spans="1:3" x14ac:dyDescent="0.3">
      <c r="A533" s="7" t="s">
        <v>543</v>
      </c>
      <c r="B533" s="7" t="s">
        <v>12</v>
      </c>
      <c r="C533" t="s">
        <v>2</v>
      </c>
    </row>
    <row r="534" spans="1:3" x14ac:dyDescent="0.3">
      <c r="A534" s="7" t="s">
        <v>544</v>
      </c>
      <c r="B534" s="7" t="s">
        <v>12</v>
      </c>
      <c r="C534" t="s">
        <v>2</v>
      </c>
    </row>
    <row r="535" spans="1:3" x14ac:dyDescent="0.3">
      <c r="A535" s="7" t="s">
        <v>545</v>
      </c>
      <c r="B535" s="7" t="s">
        <v>12</v>
      </c>
      <c r="C535" t="s">
        <v>2</v>
      </c>
    </row>
    <row r="536" spans="1:3" x14ac:dyDescent="0.3">
      <c r="A536" s="7" t="s">
        <v>546</v>
      </c>
      <c r="B536" s="7" t="s">
        <v>12</v>
      </c>
      <c r="C536" t="s">
        <v>2</v>
      </c>
    </row>
    <row r="537" spans="1:3" x14ac:dyDescent="0.3">
      <c r="A537" s="7" t="s">
        <v>547</v>
      </c>
      <c r="B537" s="7" t="s">
        <v>12</v>
      </c>
      <c r="C537" t="s">
        <v>2</v>
      </c>
    </row>
    <row r="538" spans="1:3" x14ac:dyDescent="0.3">
      <c r="A538" s="7" t="s">
        <v>548</v>
      </c>
      <c r="B538" s="7" t="s">
        <v>12</v>
      </c>
      <c r="C538" t="s">
        <v>2</v>
      </c>
    </row>
    <row r="539" spans="1:3" x14ac:dyDescent="0.3">
      <c r="A539" s="7" t="s">
        <v>549</v>
      </c>
      <c r="B539" s="7" t="s">
        <v>12</v>
      </c>
      <c r="C539" t="s">
        <v>2</v>
      </c>
    </row>
    <row r="540" spans="1:3" x14ac:dyDescent="0.3">
      <c r="A540" s="7" t="s">
        <v>550</v>
      </c>
      <c r="B540" s="7" t="s">
        <v>12</v>
      </c>
      <c r="C540" t="s">
        <v>2</v>
      </c>
    </row>
    <row r="541" spans="1:3" x14ac:dyDescent="0.3">
      <c r="A541" s="7" t="s">
        <v>551</v>
      </c>
      <c r="B541" s="7" t="s">
        <v>12</v>
      </c>
      <c r="C541" t="s">
        <v>2</v>
      </c>
    </row>
    <row r="542" spans="1:3" x14ac:dyDescent="0.3">
      <c r="A542" s="7" t="s">
        <v>552</v>
      </c>
      <c r="B542" s="7" t="s">
        <v>12</v>
      </c>
      <c r="C542" t="s">
        <v>2</v>
      </c>
    </row>
    <row r="543" spans="1:3" x14ac:dyDescent="0.3">
      <c r="A543" s="7" t="s">
        <v>553</v>
      </c>
      <c r="B543" s="7" t="s">
        <v>12</v>
      </c>
      <c r="C543" t="s">
        <v>2</v>
      </c>
    </row>
    <row r="544" spans="1:3" x14ac:dyDescent="0.3">
      <c r="A544" s="7" t="s">
        <v>554</v>
      </c>
      <c r="B544" s="7" t="s">
        <v>12</v>
      </c>
      <c r="C544" t="s">
        <v>2</v>
      </c>
    </row>
    <row r="545" spans="1:3" x14ac:dyDescent="0.3">
      <c r="A545" s="7" t="s">
        <v>555</v>
      </c>
      <c r="B545" s="7" t="s">
        <v>12</v>
      </c>
      <c r="C545" t="s">
        <v>2</v>
      </c>
    </row>
    <row r="546" spans="1:3" x14ac:dyDescent="0.3">
      <c r="A546" s="7" t="s">
        <v>556</v>
      </c>
      <c r="B546" s="7" t="s">
        <v>12</v>
      </c>
      <c r="C546" t="s">
        <v>2</v>
      </c>
    </row>
    <row r="547" spans="1:3" x14ac:dyDescent="0.3">
      <c r="A547" s="7" t="s">
        <v>557</v>
      </c>
      <c r="B547" s="7" t="s">
        <v>12</v>
      </c>
      <c r="C547" t="s">
        <v>2</v>
      </c>
    </row>
    <row r="548" spans="1:3" x14ac:dyDescent="0.3">
      <c r="A548" s="7" t="s">
        <v>558</v>
      </c>
      <c r="B548" s="7" t="s">
        <v>12</v>
      </c>
      <c r="C548" t="s">
        <v>2</v>
      </c>
    </row>
    <row r="549" spans="1:3" x14ac:dyDescent="0.3">
      <c r="A549" s="7" t="s">
        <v>559</v>
      </c>
      <c r="B549" s="7" t="s">
        <v>12</v>
      </c>
      <c r="C549" t="s">
        <v>2</v>
      </c>
    </row>
    <row r="550" spans="1:3" x14ac:dyDescent="0.3">
      <c r="A550" s="7" t="s">
        <v>560</v>
      </c>
      <c r="B550" s="7" t="s">
        <v>12</v>
      </c>
      <c r="C550" t="s">
        <v>2</v>
      </c>
    </row>
    <row r="551" spans="1:3" x14ac:dyDescent="0.3">
      <c r="A551" s="7" t="s">
        <v>561</v>
      </c>
      <c r="B551" s="7" t="s">
        <v>12</v>
      </c>
      <c r="C551" t="s">
        <v>2</v>
      </c>
    </row>
    <row r="552" spans="1:3" x14ac:dyDescent="0.3">
      <c r="A552" s="7" t="s">
        <v>562</v>
      </c>
      <c r="B552" s="7" t="s">
        <v>12</v>
      </c>
      <c r="C552" t="s">
        <v>2</v>
      </c>
    </row>
    <row r="553" spans="1:3" x14ac:dyDescent="0.3">
      <c r="A553" s="7" t="s">
        <v>563</v>
      </c>
      <c r="B553" s="7" t="s">
        <v>12</v>
      </c>
      <c r="C553" t="s">
        <v>2</v>
      </c>
    </row>
    <row r="554" spans="1:3" x14ac:dyDescent="0.3">
      <c r="A554" s="7" t="s">
        <v>564</v>
      </c>
      <c r="B554" s="7" t="s">
        <v>12</v>
      </c>
      <c r="C554" t="s">
        <v>2</v>
      </c>
    </row>
    <row r="555" spans="1:3" x14ac:dyDescent="0.3">
      <c r="A555" s="7" t="s">
        <v>565</v>
      </c>
      <c r="B555" s="7" t="s">
        <v>12</v>
      </c>
      <c r="C555" t="s">
        <v>2</v>
      </c>
    </row>
    <row r="556" spans="1:3" x14ac:dyDescent="0.3">
      <c r="A556" s="7" t="s">
        <v>566</v>
      </c>
      <c r="B556" s="7" t="s">
        <v>12</v>
      </c>
      <c r="C556" t="s">
        <v>2</v>
      </c>
    </row>
    <row r="557" spans="1:3" x14ac:dyDescent="0.3">
      <c r="A557" s="7" t="s">
        <v>567</v>
      </c>
      <c r="B557" s="7" t="s">
        <v>12</v>
      </c>
      <c r="C557" t="s">
        <v>2</v>
      </c>
    </row>
    <row r="558" spans="1:3" x14ac:dyDescent="0.3">
      <c r="A558" s="7" t="s">
        <v>568</v>
      </c>
      <c r="B558" s="7" t="s">
        <v>12</v>
      </c>
      <c r="C558" t="s">
        <v>2</v>
      </c>
    </row>
    <row r="559" spans="1:3" x14ac:dyDescent="0.3">
      <c r="A559" s="7" t="s">
        <v>569</v>
      </c>
      <c r="B559" s="7" t="s">
        <v>12</v>
      </c>
      <c r="C559" t="s">
        <v>3</v>
      </c>
    </row>
    <row r="560" spans="1:3" x14ac:dyDescent="0.3">
      <c r="A560" s="7" t="s">
        <v>570</v>
      </c>
      <c r="B560" s="7" t="s">
        <v>12</v>
      </c>
      <c r="C560" t="s">
        <v>3</v>
      </c>
    </row>
    <row r="561" spans="1:3" x14ac:dyDescent="0.3">
      <c r="A561" s="7" t="s">
        <v>571</v>
      </c>
      <c r="B561" s="7" t="s">
        <v>12</v>
      </c>
      <c r="C561" t="s">
        <v>3</v>
      </c>
    </row>
    <row r="562" spans="1:3" x14ac:dyDescent="0.3">
      <c r="A562" s="7" t="s">
        <v>572</v>
      </c>
      <c r="B562" s="7" t="s">
        <v>12</v>
      </c>
      <c r="C562" t="s">
        <v>3</v>
      </c>
    </row>
    <row r="563" spans="1:3" x14ac:dyDescent="0.3">
      <c r="A563" s="7" t="s">
        <v>573</v>
      </c>
      <c r="B563" s="7" t="s">
        <v>12</v>
      </c>
      <c r="C563" t="s">
        <v>3</v>
      </c>
    </row>
    <row r="564" spans="1:3" x14ac:dyDescent="0.3">
      <c r="A564" s="7" t="s">
        <v>574</v>
      </c>
      <c r="B564" s="7" t="s">
        <v>12</v>
      </c>
      <c r="C564" t="s">
        <v>3</v>
      </c>
    </row>
    <row r="565" spans="1:3" x14ac:dyDescent="0.3">
      <c r="A565" s="7" t="s">
        <v>575</v>
      </c>
      <c r="B565" s="7" t="s">
        <v>12</v>
      </c>
      <c r="C565" t="s">
        <v>3</v>
      </c>
    </row>
    <row r="566" spans="1:3" x14ac:dyDescent="0.3">
      <c r="A566" s="7" t="s">
        <v>576</v>
      </c>
      <c r="B566" s="7" t="s">
        <v>12</v>
      </c>
      <c r="C566" t="s">
        <v>3</v>
      </c>
    </row>
    <row r="567" spans="1:3" x14ac:dyDescent="0.3">
      <c r="A567" s="7" t="s">
        <v>577</v>
      </c>
      <c r="B567" s="7" t="s">
        <v>12</v>
      </c>
      <c r="C567" t="s">
        <v>3</v>
      </c>
    </row>
    <row r="568" spans="1:3" x14ac:dyDescent="0.3">
      <c r="A568" s="7" t="s">
        <v>578</v>
      </c>
      <c r="B568" s="7" t="s">
        <v>12</v>
      </c>
      <c r="C568" t="s">
        <v>3</v>
      </c>
    </row>
    <row r="569" spans="1:3" x14ac:dyDescent="0.3">
      <c r="A569" s="7" t="s">
        <v>579</v>
      </c>
      <c r="B569" s="7" t="s">
        <v>12</v>
      </c>
      <c r="C569" t="s">
        <v>3</v>
      </c>
    </row>
    <row r="570" spans="1:3" x14ac:dyDescent="0.3">
      <c r="A570" s="7" t="s">
        <v>580</v>
      </c>
      <c r="B570" s="7" t="s">
        <v>12</v>
      </c>
      <c r="C570" t="s">
        <v>3</v>
      </c>
    </row>
    <row r="571" spans="1:3" x14ac:dyDescent="0.3">
      <c r="A571" s="7" t="s">
        <v>581</v>
      </c>
      <c r="B571" s="7" t="s">
        <v>12</v>
      </c>
      <c r="C571" t="s">
        <v>3</v>
      </c>
    </row>
    <row r="572" spans="1:3" x14ac:dyDescent="0.3">
      <c r="A572" s="7" t="s">
        <v>582</v>
      </c>
      <c r="B572" s="7" t="s">
        <v>12</v>
      </c>
      <c r="C572" t="s">
        <v>3</v>
      </c>
    </row>
    <row r="573" spans="1:3" x14ac:dyDescent="0.3">
      <c r="A573" s="7" t="s">
        <v>583</v>
      </c>
      <c r="B573" s="7" t="s">
        <v>12</v>
      </c>
      <c r="C573" t="s">
        <v>2</v>
      </c>
    </row>
    <row r="574" spans="1:3" x14ac:dyDescent="0.3">
      <c r="A574" s="7" t="s">
        <v>584</v>
      </c>
      <c r="B574" s="7" t="s">
        <v>12</v>
      </c>
      <c r="C574" t="s">
        <v>2</v>
      </c>
    </row>
    <row r="575" spans="1:3" x14ac:dyDescent="0.3">
      <c r="A575" s="7" t="s">
        <v>585</v>
      </c>
      <c r="B575" s="7" t="s">
        <v>12</v>
      </c>
      <c r="C575" t="s">
        <v>2</v>
      </c>
    </row>
    <row r="576" spans="1:3" x14ac:dyDescent="0.3">
      <c r="A576" s="7" t="s">
        <v>586</v>
      </c>
      <c r="B576" s="7" t="s">
        <v>12</v>
      </c>
      <c r="C576" t="s">
        <v>2</v>
      </c>
    </row>
    <row r="577" spans="1:3" x14ac:dyDescent="0.3">
      <c r="A577" s="7" t="s">
        <v>587</v>
      </c>
      <c r="B577" s="7" t="s">
        <v>12</v>
      </c>
      <c r="C577" t="s">
        <v>2</v>
      </c>
    </row>
    <row r="578" spans="1:3" x14ac:dyDescent="0.3">
      <c r="A578" s="7" t="s">
        <v>588</v>
      </c>
      <c r="B578" s="7" t="s">
        <v>12</v>
      </c>
      <c r="C578" t="s">
        <v>2</v>
      </c>
    </row>
    <row r="579" spans="1:3" x14ac:dyDescent="0.3">
      <c r="A579" s="7" t="s">
        <v>589</v>
      </c>
      <c r="B579" s="7" t="s">
        <v>12</v>
      </c>
      <c r="C579" t="s">
        <v>2</v>
      </c>
    </row>
    <row r="580" spans="1:3" x14ac:dyDescent="0.3">
      <c r="A580" s="7" t="s">
        <v>590</v>
      </c>
      <c r="B580" s="7" t="s">
        <v>12</v>
      </c>
      <c r="C580" t="s">
        <v>3678</v>
      </c>
    </row>
    <row r="581" spans="1:3" x14ac:dyDescent="0.3">
      <c r="A581" s="7" t="s">
        <v>591</v>
      </c>
      <c r="B581" s="7" t="s">
        <v>12</v>
      </c>
      <c r="C581" t="s">
        <v>3678</v>
      </c>
    </row>
    <row r="582" spans="1:3" x14ac:dyDescent="0.3">
      <c r="A582" s="7" t="s">
        <v>592</v>
      </c>
      <c r="B582" s="7" t="s">
        <v>12</v>
      </c>
      <c r="C582" t="s">
        <v>3678</v>
      </c>
    </row>
    <row r="583" spans="1:3" x14ac:dyDescent="0.3">
      <c r="A583" s="7" t="s">
        <v>593</v>
      </c>
      <c r="B583" s="7" t="s">
        <v>12</v>
      </c>
      <c r="C583" t="s">
        <v>3678</v>
      </c>
    </row>
    <row r="584" spans="1:3" x14ac:dyDescent="0.3">
      <c r="A584" s="7" t="s">
        <v>594</v>
      </c>
      <c r="B584" s="7" t="s">
        <v>12</v>
      </c>
      <c r="C584" t="s">
        <v>3678</v>
      </c>
    </row>
    <row r="585" spans="1:3" x14ac:dyDescent="0.3">
      <c r="A585" s="7" t="s">
        <v>595</v>
      </c>
      <c r="B585" s="7" t="s">
        <v>12</v>
      </c>
      <c r="C585" t="s">
        <v>3678</v>
      </c>
    </row>
    <row r="586" spans="1:3" x14ac:dyDescent="0.3">
      <c r="A586" s="7" t="s">
        <v>596</v>
      </c>
      <c r="B586" s="7" t="s">
        <v>12</v>
      </c>
      <c r="C586" t="s">
        <v>2</v>
      </c>
    </row>
    <row r="587" spans="1:3" x14ac:dyDescent="0.3">
      <c r="A587" s="7" t="s">
        <v>597</v>
      </c>
      <c r="B587" s="7" t="s">
        <v>12</v>
      </c>
      <c r="C587" t="s">
        <v>2</v>
      </c>
    </row>
    <row r="588" spans="1:3" x14ac:dyDescent="0.3">
      <c r="A588" s="7" t="s">
        <v>598</v>
      </c>
      <c r="B588" s="7" t="s">
        <v>12</v>
      </c>
      <c r="C588" t="s">
        <v>2</v>
      </c>
    </row>
    <row r="589" spans="1:3" x14ac:dyDescent="0.3">
      <c r="A589" s="7" t="s">
        <v>599</v>
      </c>
      <c r="B589" s="7" t="s">
        <v>12</v>
      </c>
      <c r="C589" t="s">
        <v>2</v>
      </c>
    </row>
    <row r="590" spans="1:3" x14ac:dyDescent="0.3">
      <c r="A590" s="7" t="s">
        <v>600</v>
      </c>
      <c r="B590" s="7" t="s">
        <v>12</v>
      </c>
      <c r="C590" t="s">
        <v>2</v>
      </c>
    </row>
    <row r="591" spans="1:3" x14ac:dyDescent="0.3">
      <c r="A591" s="7" t="s">
        <v>601</v>
      </c>
      <c r="B591" s="7" t="s">
        <v>12</v>
      </c>
      <c r="C591" t="s">
        <v>2</v>
      </c>
    </row>
    <row r="592" spans="1:3" x14ac:dyDescent="0.3">
      <c r="A592" s="7" t="s">
        <v>602</v>
      </c>
      <c r="B592" s="7" t="s">
        <v>12</v>
      </c>
      <c r="C592" t="s">
        <v>2</v>
      </c>
    </row>
    <row r="593" spans="1:3" x14ac:dyDescent="0.3">
      <c r="A593" s="7" t="s">
        <v>603</v>
      </c>
      <c r="B593" s="7" t="s">
        <v>12</v>
      </c>
      <c r="C593" t="s">
        <v>2</v>
      </c>
    </row>
    <row r="594" spans="1:3" x14ac:dyDescent="0.3">
      <c r="A594" s="7" t="s">
        <v>604</v>
      </c>
      <c r="B594" s="7" t="s">
        <v>12</v>
      </c>
      <c r="C594" t="s">
        <v>2</v>
      </c>
    </row>
    <row r="595" spans="1:3" x14ac:dyDescent="0.3">
      <c r="A595" s="7" t="s">
        <v>605</v>
      </c>
      <c r="B595" s="7" t="s">
        <v>12</v>
      </c>
      <c r="C595" t="s">
        <v>2</v>
      </c>
    </row>
    <row r="596" spans="1:3" x14ac:dyDescent="0.3">
      <c r="A596" s="7" t="s">
        <v>606</v>
      </c>
      <c r="B596" s="7" t="s">
        <v>12</v>
      </c>
      <c r="C596" t="s">
        <v>2</v>
      </c>
    </row>
    <row r="597" spans="1:3" x14ac:dyDescent="0.3">
      <c r="A597" s="7" t="s">
        <v>607</v>
      </c>
      <c r="B597" s="7" t="s">
        <v>12</v>
      </c>
      <c r="C597" t="s">
        <v>2</v>
      </c>
    </row>
    <row r="598" spans="1:3" x14ac:dyDescent="0.3">
      <c r="A598" s="7" t="s">
        <v>608</v>
      </c>
      <c r="B598" s="7" t="s">
        <v>12</v>
      </c>
      <c r="C598" t="s">
        <v>2</v>
      </c>
    </row>
    <row r="599" spans="1:3" x14ac:dyDescent="0.3">
      <c r="A599" s="7" t="s">
        <v>609</v>
      </c>
      <c r="B599" s="7" t="s">
        <v>12</v>
      </c>
      <c r="C599" t="s">
        <v>2</v>
      </c>
    </row>
    <row r="600" spans="1:3" x14ac:dyDescent="0.3">
      <c r="A600" s="7" t="s">
        <v>610</v>
      </c>
      <c r="B600" s="7" t="s">
        <v>12</v>
      </c>
      <c r="C600" t="s">
        <v>2</v>
      </c>
    </row>
    <row r="601" spans="1:3" x14ac:dyDescent="0.3">
      <c r="A601" s="7" t="s">
        <v>611</v>
      </c>
      <c r="B601" s="7" t="s">
        <v>12</v>
      </c>
      <c r="C601" t="s">
        <v>2</v>
      </c>
    </row>
    <row r="602" spans="1:3" x14ac:dyDescent="0.3">
      <c r="A602" s="7" t="s">
        <v>612</v>
      </c>
      <c r="B602" s="7" t="s">
        <v>12</v>
      </c>
      <c r="C602" t="s">
        <v>2</v>
      </c>
    </row>
    <row r="603" spans="1:3" x14ac:dyDescent="0.3">
      <c r="A603" s="7" t="s">
        <v>613</v>
      </c>
      <c r="B603" s="7" t="s">
        <v>12</v>
      </c>
      <c r="C603" t="s">
        <v>2</v>
      </c>
    </row>
    <row r="604" spans="1:3" x14ac:dyDescent="0.3">
      <c r="A604" s="7" t="s">
        <v>614</v>
      </c>
      <c r="B604" s="7" t="s">
        <v>12</v>
      </c>
      <c r="C604" t="s">
        <v>2</v>
      </c>
    </row>
    <row r="605" spans="1:3" x14ac:dyDescent="0.3">
      <c r="A605" s="7" t="s">
        <v>615</v>
      </c>
      <c r="B605" s="7" t="s">
        <v>12</v>
      </c>
      <c r="C605" t="s">
        <v>2</v>
      </c>
    </row>
    <row r="606" spans="1:3" x14ac:dyDescent="0.3">
      <c r="A606" s="7" t="s">
        <v>616</v>
      </c>
      <c r="B606" s="7" t="s">
        <v>12</v>
      </c>
      <c r="C606" t="s">
        <v>2</v>
      </c>
    </row>
    <row r="607" spans="1:3" x14ac:dyDescent="0.3">
      <c r="A607" s="7" t="s">
        <v>617</v>
      </c>
      <c r="B607" s="7" t="s">
        <v>12</v>
      </c>
      <c r="C607" t="s">
        <v>2</v>
      </c>
    </row>
    <row r="608" spans="1:3" x14ac:dyDescent="0.3">
      <c r="A608" s="7" t="s">
        <v>618</v>
      </c>
      <c r="B608" s="7" t="s">
        <v>12</v>
      </c>
      <c r="C608" t="s">
        <v>2</v>
      </c>
    </row>
    <row r="609" spans="1:3" x14ac:dyDescent="0.3">
      <c r="A609" s="7" t="s">
        <v>619</v>
      </c>
      <c r="B609" s="7" t="s">
        <v>12</v>
      </c>
      <c r="C609" t="s">
        <v>2</v>
      </c>
    </row>
    <row r="610" spans="1:3" x14ac:dyDescent="0.3">
      <c r="A610" s="7" t="s">
        <v>620</v>
      </c>
      <c r="B610" s="7" t="s">
        <v>12</v>
      </c>
      <c r="C610" t="s">
        <v>2</v>
      </c>
    </row>
    <row r="611" spans="1:3" x14ac:dyDescent="0.3">
      <c r="A611" s="7" t="s">
        <v>621</v>
      </c>
      <c r="B611" s="7" t="s">
        <v>12</v>
      </c>
      <c r="C611" t="s">
        <v>2</v>
      </c>
    </row>
    <row r="612" spans="1:3" x14ac:dyDescent="0.3">
      <c r="A612" s="7" t="s">
        <v>622</v>
      </c>
      <c r="B612" s="7" t="s">
        <v>12</v>
      </c>
      <c r="C612" t="s">
        <v>2</v>
      </c>
    </row>
    <row r="613" spans="1:3" x14ac:dyDescent="0.3">
      <c r="A613" s="7" t="s">
        <v>623</v>
      </c>
      <c r="B613" s="7" t="s">
        <v>12</v>
      </c>
      <c r="C613" t="s">
        <v>2</v>
      </c>
    </row>
    <row r="614" spans="1:3" x14ac:dyDescent="0.3">
      <c r="A614" s="7" t="s">
        <v>624</v>
      </c>
      <c r="B614" s="7" t="s">
        <v>12</v>
      </c>
      <c r="C614" t="s">
        <v>2</v>
      </c>
    </row>
    <row r="615" spans="1:3" x14ac:dyDescent="0.3">
      <c r="A615" s="7" t="s">
        <v>625</v>
      </c>
      <c r="B615" s="7" t="s">
        <v>12</v>
      </c>
      <c r="C615" t="s">
        <v>2</v>
      </c>
    </row>
    <row r="616" spans="1:3" x14ac:dyDescent="0.3">
      <c r="A616" s="7" t="s">
        <v>626</v>
      </c>
      <c r="B616" s="7" t="s">
        <v>12</v>
      </c>
      <c r="C616" t="s">
        <v>2</v>
      </c>
    </row>
    <row r="617" spans="1:3" x14ac:dyDescent="0.3">
      <c r="A617" s="7" t="s">
        <v>627</v>
      </c>
      <c r="B617" s="7" t="s">
        <v>12</v>
      </c>
      <c r="C617" t="s">
        <v>2</v>
      </c>
    </row>
    <row r="618" spans="1:3" x14ac:dyDescent="0.3">
      <c r="A618" s="7" t="s">
        <v>628</v>
      </c>
      <c r="B618" s="7" t="s">
        <v>12</v>
      </c>
      <c r="C618" t="s">
        <v>2</v>
      </c>
    </row>
    <row r="619" spans="1:3" x14ac:dyDescent="0.3">
      <c r="A619" s="7" t="s">
        <v>629</v>
      </c>
      <c r="B619" s="7" t="s">
        <v>12</v>
      </c>
      <c r="C619" t="s">
        <v>2</v>
      </c>
    </row>
    <row r="620" spans="1:3" x14ac:dyDescent="0.3">
      <c r="A620" s="7" t="s">
        <v>630</v>
      </c>
      <c r="B620" s="7" t="s">
        <v>12</v>
      </c>
      <c r="C620" t="s">
        <v>2</v>
      </c>
    </row>
    <row r="621" spans="1:3" x14ac:dyDescent="0.3">
      <c r="A621" s="7" t="s">
        <v>631</v>
      </c>
      <c r="B621" s="7" t="s">
        <v>12</v>
      </c>
      <c r="C621" t="s">
        <v>2</v>
      </c>
    </row>
    <row r="622" spans="1:3" x14ac:dyDescent="0.3">
      <c r="A622" s="7" t="s">
        <v>632</v>
      </c>
      <c r="B622" s="7" t="s">
        <v>12</v>
      </c>
      <c r="C622" t="s">
        <v>2</v>
      </c>
    </row>
    <row r="623" spans="1:3" x14ac:dyDescent="0.3">
      <c r="A623" s="7" t="s">
        <v>633</v>
      </c>
      <c r="B623" s="7" t="s">
        <v>12</v>
      </c>
      <c r="C623" t="s">
        <v>2</v>
      </c>
    </row>
    <row r="624" spans="1:3" x14ac:dyDescent="0.3">
      <c r="A624" s="7" t="s">
        <v>634</v>
      </c>
      <c r="B624" s="7" t="s">
        <v>12</v>
      </c>
      <c r="C624" t="s">
        <v>2</v>
      </c>
    </row>
    <row r="625" spans="1:3" x14ac:dyDescent="0.3">
      <c r="A625" s="7" t="s">
        <v>635</v>
      </c>
      <c r="B625" s="7" t="s">
        <v>12</v>
      </c>
      <c r="C625" t="s">
        <v>2</v>
      </c>
    </row>
    <row r="626" spans="1:3" x14ac:dyDescent="0.3">
      <c r="A626" s="7" t="s">
        <v>636</v>
      </c>
      <c r="B626" s="7" t="s">
        <v>12</v>
      </c>
      <c r="C626" t="s">
        <v>2</v>
      </c>
    </row>
    <row r="627" spans="1:3" x14ac:dyDescent="0.3">
      <c r="A627" s="7" t="s">
        <v>637</v>
      </c>
      <c r="B627" s="7" t="s">
        <v>12</v>
      </c>
      <c r="C627" t="s">
        <v>2</v>
      </c>
    </row>
    <row r="628" spans="1:3" x14ac:dyDescent="0.3">
      <c r="A628" s="7" t="s">
        <v>638</v>
      </c>
      <c r="B628" s="7" t="s">
        <v>12</v>
      </c>
      <c r="C628" t="s">
        <v>2</v>
      </c>
    </row>
    <row r="629" spans="1:3" x14ac:dyDescent="0.3">
      <c r="A629" s="7" t="s">
        <v>639</v>
      </c>
      <c r="B629" s="7" t="s">
        <v>12</v>
      </c>
      <c r="C629" t="s">
        <v>2</v>
      </c>
    </row>
    <row r="630" spans="1:3" x14ac:dyDescent="0.3">
      <c r="A630" s="7" t="s">
        <v>640</v>
      </c>
      <c r="B630" s="7" t="s">
        <v>12</v>
      </c>
      <c r="C630" t="s">
        <v>3</v>
      </c>
    </row>
    <row r="631" spans="1:3" x14ac:dyDescent="0.3">
      <c r="A631" s="7" t="s">
        <v>641</v>
      </c>
      <c r="B631" s="7" t="s">
        <v>12</v>
      </c>
      <c r="C631" t="s">
        <v>3</v>
      </c>
    </row>
    <row r="632" spans="1:3" x14ac:dyDescent="0.3">
      <c r="A632" s="7" t="s">
        <v>642</v>
      </c>
      <c r="B632" s="7" t="s">
        <v>12</v>
      </c>
      <c r="C632" t="s">
        <v>3</v>
      </c>
    </row>
    <row r="633" spans="1:3" x14ac:dyDescent="0.3">
      <c r="A633" s="7" t="s">
        <v>643</v>
      </c>
      <c r="B633" s="7" t="s">
        <v>12</v>
      </c>
      <c r="C633" t="s">
        <v>3</v>
      </c>
    </row>
    <row r="634" spans="1:3" x14ac:dyDescent="0.3">
      <c r="A634" s="7" t="s">
        <v>644</v>
      </c>
      <c r="B634" s="7" t="s">
        <v>12</v>
      </c>
      <c r="C634" t="s">
        <v>3</v>
      </c>
    </row>
    <row r="635" spans="1:3" x14ac:dyDescent="0.3">
      <c r="A635" s="7" t="s">
        <v>645</v>
      </c>
      <c r="B635" s="7" t="s">
        <v>12</v>
      </c>
      <c r="C635" t="s">
        <v>3</v>
      </c>
    </row>
    <row r="636" spans="1:3" x14ac:dyDescent="0.3">
      <c r="A636" s="7" t="s">
        <v>646</v>
      </c>
      <c r="B636" s="7" t="s">
        <v>12</v>
      </c>
    </row>
    <row r="637" spans="1:3" x14ac:dyDescent="0.3">
      <c r="A637" s="7" t="s">
        <v>647</v>
      </c>
      <c r="B637" s="7" t="s">
        <v>12</v>
      </c>
    </row>
    <row r="638" spans="1:3" x14ac:dyDescent="0.3">
      <c r="A638" s="7" t="s">
        <v>648</v>
      </c>
      <c r="B638" s="7" t="s">
        <v>12</v>
      </c>
    </row>
    <row r="639" spans="1:3" x14ac:dyDescent="0.3">
      <c r="A639" s="7" t="s">
        <v>649</v>
      </c>
      <c r="B639" s="7" t="s">
        <v>12</v>
      </c>
    </row>
    <row r="640" spans="1:3" x14ac:dyDescent="0.3">
      <c r="A640" s="7" t="s">
        <v>650</v>
      </c>
      <c r="B640" s="7" t="s">
        <v>12</v>
      </c>
    </row>
    <row r="641" spans="1:3" x14ac:dyDescent="0.3">
      <c r="A641" s="7" t="s">
        <v>651</v>
      </c>
      <c r="B641" s="7" t="s">
        <v>12</v>
      </c>
    </row>
    <row r="642" spans="1:3" x14ac:dyDescent="0.3">
      <c r="A642" s="7" t="s">
        <v>652</v>
      </c>
      <c r="B642" s="7" t="s">
        <v>12</v>
      </c>
    </row>
    <row r="643" spans="1:3" x14ac:dyDescent="0.3">
      <c r="A643" s="7" t="s">
        <v>653</v>
      </c>
      <c r="B643" s="7" t="s">
        <v>12</v>
      </c>
    </row>
    <row r="644" spans="1:3" x14ac:dyDescent="0.3">
      <c r="A644" s="7" t="s">
        <v>654</v>
      </c>
      <c r="B644" s="7" t="s">
        <v>12</v>
      </c>
    </row>
    <row r="645" spans="1:3" x14ac:dyDescent="0.3">
      <c r="A645" s="7" t="s">
        <v>655</v>
      </c>
      <c r="B645" s="7" t="s">
        <v>12</v>
      </c>
    </row>
    <row r="646" spans="1:3" x14ac:dyDescent="0.3">
      <c r="A646" s="7" t="s">
        <v>656</v>
      </c>
      <c r="B646" s="7" t="s">
        <v>12</v>
      </c>
      <c r="C646" t="s">
        <v>2</v>
      </c>
    </row>
    <row r="647" spans="1:3" x14ac:dyDescent="0.3">
      <c r="A647" s="7" t="s">
        <v>657</v>
      </c>
      <c r="B647" s="7" t="s">
        <v>12</v>
      </c>
      <c r="C647" t="s">
        <v>2</v>
      </c>
    </row>
    <row r="648" spans="1:3" x14ac:dyDescent="0.3">
      <c r="A648" s="7" t="s">
        <v>658</v>
      </c>
      <c r="B648" s="7" t="s">
        <v>12</v>
      </c>
      <c r="C648" t="s">
        <v>2</v>
      </c>
    </row>
    <row r="649" spans="1:3" x14ac:dyDescent="0.3">
      <c r="A649" s="7" t="s">
        <v>659</v>
      </c>
      <c r="B649" s="7" t="s">
        <v>12</v>
      </c>
      <c r="C649" t="s">
        <v>2</v>
      </c>
    </row>
    <row r="650" spans="1:3" x14ac:dyDescent="0.3">
      <c r="A650" s="7" t="s">
        <v>660</v>
      </c>
      <c r="B650" s="7" t="s">
        <v>12</v>
      </c>
      <c r="C650" t="s">
        <v>2</v>
      </c>
    </row>
    <row r="651" spans="1:3" x14ac:dyDescent="0.3">
      <c r="A651" s="7" t="s">
        <v>661</v>
      </c>
      <c r="B651" s="7" t="s">
        <v>12</v>
      </c>
      <c r="C651" t="s">
        <v>2</v>
      </c>
    </row>
    <row r="652" spans="1:3" x14ac:dyDescent="0.3">
      <c r="A652" s="7" t="s">
        <v>662</v>
      </c>
      <c r="B652" s="7" t="s">
        <v>12</v>
      </c>
      <c r="C652" t="s">
        <v>2</v>
      </c>
    </row>
    <row r="653" spans="1:3" x14ac:dyDescent="0.3">
      <c r="A653" s="7" t="s">
        <v>663</v>
      </c>
      <c r="B653" s="7" t="s">
        <v>12</v>
      </c>
      <c r="C653" t="s">
        <v>2</v>
      </c>
    </row>
    <row r="654" spans="1:3" x14ac:dyDescent="0.3">
      <c r="A654" s="7" t="s">
        <v>664</v>
      </c>
      <c r="B654" s="7" t="s">
        <v>12</v>
      </c>
      <c r="C654" t="s">
        <v>2</v>
      </c>
    </row>
    <row r="655" spans="1:3" x14ac:dyDescent="0.3">
      <c r="A655" s="7" t="s">
        <v>665</v>
      </c>
      <c r="B655" s="7" t="s">
        <v>12</v>
      </c>
      <c r="C655" t="s">
        <v>3678</v>
      </c>
    </row>
    <row r="656" spans="1:3" x14ac:dyDescent="0.3">
      <c r="A656" s="7" t="s">
        <v>666</v>
      </c>
      <c r="B656" s="7" t="s">
        <v>12</v>
      </c>
      <c r="C656" t="s">
        <v>3678</v>
      </c>
    </row>
    <row r="657" spans="1:3" x14ac:dyDescent="0.3">
      <c r="A657" s="7" t="s">
        <v>667</v>
      </c>
      <c r="B657" s="7" t="s">
        <v>12</v>
      </c>
      <c r="C657" t="s">
        <v>3678</v>
      </c>
    </row>
    <row r="658" spans="1:3" x14ac:dyDescent="0.3">
      <c r="A658" s="7" t="s">
        <v>668</v>
      </c>
      <c r="B658" s="7" t="s">
        <v>12</v>
      </c>
      <c r="C658" t="s">
        <v>3680</v>
      </c>
    </row>
    <row r="659" spans="1:3" x14ac:dyDescent="0.3">
      <c r="A659" s="7" t="s">
        <v>669</v>
      </c>
      <c r="B659" s="7" t="s">
        <v>12</v>
      </c>
      <c r="C659" t="s">
        <v>2</v>
      </c>
    </row>
    <row r="660" spans="1:3" x14ac:dyDescent="0.3">
      <c r="A660" s="7" t="s">
        <v>670</v>
      </c>
      <c r="B660" s="7" t="s">
        <v>12</v>
      </c>
      <c r="C660" t="s">
        <v>2</v>
      </c>
    </row>
    <row r="661" spans="1:3" x14ac:dyDescent="0.3">
      <c r="A661" s="7" t="s">
        <v>671</v>
      </c>
      <c r="B661" s="7" t="s">
        <v>12</v>
      </c>
      <c r="C661" t="s">
        <v>2</v>
      </c>
    </row>
    <row r="662" spans="1:3" x14ac:dyDescent="0.3">
      <c r="A662" s="7" t="s">
        <v>672</v>
      </c>
      <c r="B662" s="7" t="s">
        <v>12</v>
      </c>
      <c r="C662" t="s">
        <v>2</v>
      </c>
    </row>
    <row r="663" spans="1:3" x14ac:dyDescent="0.3">
      <c r="A663" s="7" t="s">
        <v>673</v>
      </c>
      <c r="B663" s="7" t="s">
        <v>12</v>
      </c>
      <c r="C663" t="s">
        <v>2</v>
      </c>
    </row>
    <row r="664" spans="1:3" x14ac:dyDescent="0.3">
      <c r="A664" s="7" t="s">
        <v>674</v>
      </c>
      <c r="B664" s="7" t="s">
        <v>12</v>
      </c>
      <c r="C664" t="s">
        <v>2</v>
      </c>
    </row>
    <row r="665" spans="1:3" x14ac:dyDescent="0.3">
      <c r="A665" s="7" t="s">
        <v>675</v>
      </c>
      <c r="B665" s="7" t="s">
        <v>12</v>
      </c>
      <c r="C665" t="s">
        <v>2</v>
      </c>
    </row>
    <row r="666" spans="1:3" x14ac:dyDescent="0.3">
      <c r="A666" s="7" t="s">
        <v>676</v>
      </c>
      <c r="B666" s="7" t="s">
        <v>12</v>
      </c>
      <c r="C666" t="s">
        <v>2</v>
      </c>
    </row>
    <row r="667" spans="1:3" x14ac:dyDescent="0.3">
      <c r="A667" s="7" t="s">
        <v>677</v>
      </c>
      <c r="B667" s="7" t="s">
        <v>12</v>
      </c>
      <c r="C667" t="s">
        <v>2</v>
      </c>
    </row>
    <row r="668" spans="1:3" x14ac:dyDescent="0.3">
      <c r="A668" s="7" t="s">
        <v>678</v>
      </c>
      <c r="B668" s="7" t="s">
        <v>12</v>
      </c>
      <c r="C668" t="s">
        <v>2</v>
      </c>
    </row>
    <row r="669" spans="1:3" x14ac:dyDescent="0.3">
      <c r="A669" s="7" t="s">
        <v>679</v>
      </c>
      <c r="B669" s="7" t="s">
        <v>12</v>
      </c>
      <c r="C669" t="s">
        <v>2</v>
      </c>
    </row>
    <row r="670" spans="1:3" x14ac:dyDescent="0.3">
      <c r="A670" s="7" t="s">
        <v>680</v>
      </c>
      <c r="B670" s="7" t="s">
        <v>12</v>
      </c>
      <c r="C670" t="s">
        <v>2</v>
      </c>
    </row>
    <row r="671" spans="1:3" x14ac:dyDescent="0.3">
      <c r="A671" s="7" t="s">
        <v>681</v>
      </c>
      <c r="B671" s="7" t="s">
        <v>12</v>
      </c>
      <c r="C671" t="s">
        <v>2</v>
      </c>
    </row>
    <row r="672" spans="1:3" x14ac:dyDescent="0.3">
      <c r="A672" s="7" t="s">
        <v>682</v>
      </c>
      <c r="B672" s="7" t="s">
        <v>12</v>
      </c>
      <c r="C672" t="s">
        <v>2</v>
      </c>
    </row>
    <row r="673" spans="1:3" x14ac:dyDescent="0.3">
      <c r="A673" s="7" t="s">
        <v>683</v>
      </c>
      <c r="B673" s="7" t="s">
        <v>12</v>
      </c>
      <c r="C673" t="s">
        <v>2</v>
      </c>
    </row>
    <row r="674" spans="1:3" x14ac:dyDescent="0.3">
      <c r="A674" s="7" t="s">
        <v>684</v>
      </c>
      <c r="B674" s="7" t="s">
        <v>12</v>
      </c>
      <c r="C674" t="s">
        <v>2</v>
      </c>
    </row>
    <row r="675" spans="1:3" x14ac:dyDescent="0.3">
      <c r="A675" s="7" t="s">
        <v>685</v>
      </c>
      <c r="B675" s="7" t="s">
        <v>12</v>
      </c>
      <c r="C675" t="s">
        <v>2</v>
      </c>
    </row>
    <row r="676" spans="1:3" x14ac:dyDescent="0.3">
      <c r="A676" s="7" t="s">
        <v>686</v>
      </c>
      <c r="B676" s="7" t="s">
        <v>12</v>
      </c>
      <c r="C676" t="s">
        <v>2</v>
      </c>
    </row>
    <row r="677" spans="1:3" x14ac:dyDescent="0.3">
      <c r="A677" s="7" t="s">
        <v>687</v>
      </c>
      <c r="B677" s="7" t="s">
        <v>12</v>
      </c>
      <c r="C677" t="s">
        <v>2</v>
      </c>
    </row>
    <row r="678" spans="1:3" x14ac:dyDescent="0.3">
      <c r="A678" s="7" t="s">
        <v>688</v>
      </c>
      <c r="B678" s="7" t="s">
        <v>12</v>
      </c>
      <c r="C678" t="s">
        <v>2</v>
      </c>
    </row>
    <row r="679" spans="1:3" x14ac:dyDescent="0.3">
      <c r="A679" s="7" t="s">
        <v>689</v>
      </c>
      <c r="B679" s="7" t="s">
        <v>12</v>
      </c>
      <c r="C679" t="s">
        <v>2</v>
      </c>
    </row>
    <row r="680" spans="1:3" x14ac:dyDescent="0.3">
      <c r="A680" s="7" t="s">
        <v>690</v>
      </c>
      <c r="B680" s="7" t="s">
        <v>12</v>
      </c>
      <c r="C680" t="s">
        <v>2</v>
      </c>
    </row>
    <row r="681" spans="1:3" x14ac:dyDescent="0.3">
      <c r="A681" s="7" t="s">
        <v>691</v>
      </c>
      <c r="B681" s="7" t="s">
        <v>12</v>
      </c>
      <c r="C681" t="s">
        <v>2</v>
      </c>
    </row>
    <row r="682" spans="1:3" x14ac:dyDescent="0.3">
      <c r="A682" s="7" t="s">
        <v>692</v>
      </c>
      <c r="B682" s="7" t="s">
        <v>12</v>
      </c>
      <c r="C682" t="s">
        <v>2</v>
      </c>
    </row>
    <row r="683" spans="1:3" x14ac:dyDescent="0.3">
      <c r="A683" s="7" t="s">
        <v>693</v>
      </c>
      <c r="B683" s="7" t="s">
        <v>12</v>
      </c>
      <c r="C683" t="s">
        <v>2</v>
      </c>
    </row>
    <row r="684" spans="1:3" x14ac:dyDescent="0.3">
      <c r="A684" s="7" t="s">
        <v>694</v>
      </c>
      <c r="B684" s="7" t="s">
        <v>12</v>
      </c>
      <c r="C684" t="s">
        <v>2</v>
      </c>
    </row>
    <row r="685" spans="1:3" x14ac:dyDescent="0.3">
      <c r="A685" s="7" t="s">
        <v>695</v>
      </c>
      <c r="B685" s="7" t="s">
        <v>12</v>
      </c>
      <c r="C685" t="s">
        <v>2</v>
      </c>
    </row>
    <row r="686" spans="1:3" x14ac:dyDescent="0.3">
      <c r="A686" s="7" t="s">
        <v>696</v>
      </c>
      <c r="B686" s="7" t="s">
        <v>12</v>
      </c>
      <c r="C686" t="s">
        <v>2</v>
      </c>
    </row>
    <row r="687" spans="1:3" x14ac:dyDescent="0.3">
      <c r="A687" s="7" t="s">
        <v>697</v>
      </c>
      <c r="B687" s="7" t="s">
        <v>12</v>
      </c>
      <c r="C687" t="s">
        <v>2</v>
      </c>
    </row>
    <row r="688" spans="1:3" x14ac:dyDescent="0.3">
      <c r="A688" s="7" t="s">
        <v>698</v>
      </c>
      <c r="B688" s="7" t="s">
        <v>12</v>
      </c>
      <c r="C688" t="s">
        <v>2</v>
      </c>
    </row>
    <row r="689" spans="1:3" x14ac:dyDescent="0.3">
      <c r="A689" s="7" t="s">
        <v>699</v>
      </c>
      <c r="B689" s="7" t="s">
        <v>12</v>
      </c>
      <c r="C689" t="s">
        <v>2</v>
      </c>
    </row>
    <row r="690" spans="1:3" x14ac:dyDescent="0.3">
      <c r="A690" s="7" t="s">
        <v>700</v>
      </c>
      <c r="B690" s="7" t="s">
        <v>12</v>
      </c>
      <c r="C690" t="s">
        <v>2</v>
      </c>
    </row>
    <row r="691" spans="1:3" x14ac:dyDescent="0.3">
      <c r="A691" s="7" t="s">
        <v>701</v>
      </c>
      <c r="B691" s="7" t="s">
        <v>12</v>
      </c>
      <c r="C691" t="s">
        <v>2</v>
      </c>
    </row>
    <row r="692" spans="1:3" x14ac:dyDescent="0.3">
      <c r="A692" s="7" t="s">
        <v>702</v>
      </c>
      <c r="B692" s="7" t="s">
        <v>12</v>
      </c>
      <c r="C692" t="s">
        <v>2</v>
      </c>
    </row>
    <row r="693" spans="1:3" x14ac:dyDescent="0.3">
      <c r="A693" s="7" t="s">
        <v>703</v>
      </c>
      <c r="B693" s="7" t="s">
        <v>12</v>
      </c>
      <c r="C693" t="s">
        <v>2</v>
      </c>
    </row>
    <row r="694" spans="1:3" x14ac:dyDescent="0.3">
      <c r="A694" s="7" t="s">
        <v>704</v>
      </c>
      <c r="B694" s="7" t="s">
        <v>12</v>
      </c>
      <c r="C694" t="s">
        <v>2</v>
      </c>
    </row>
    <row r="695" spans="1:3" x14ac:dyDescent="0.3">
      <c r="A695" s="7" t="s">
        <v>705</v>
      </c>
      <c r="B695" s="7" t="s">
        <v>12</v>
      </c>
      <c r="C695" t="s">
        <v>2</v>
      </c>
    </row>
    <row r="696" spans="1:3" x14ac:dyDescent="0.3">
      <c r="A696" s="7" t="s">
        <v>706</v>
      </c>
      <c r="B696" s="7" t="s">
        <v>12</v>
      </c>
      <c r="C696" t="s">
        <v>2</v>
      </c>
    </row>
    <row r="697" spans="1:3" x14ac:dyDescent="0.3">
      <c r="A697" s="7" t="s">
        <v>707</v>
      </c>
      <c r="B697" s="7" t="s">
        <v>12</v>
      </c>
      <c r="C697" t="s">
        <v>2</v>
      </c>
    </row>
    <row r="698" spans="1:3" x14ac:dyDescent="0.3">
      <c r="A698" s="7" t="s">
        <v>708</v>
      </c>
      <c r="B698" s="7" t="s">
        <v>12</v>
      </c>
      <c r="C698" t="s">
        <v>2</v>
      </c>
    </row>
    <row r="699" spans="1:3" x14ac:dyDescent="0.3">
      <c r="A699" s="7" t="s">
        <v>709</v>
      </c>
      <c r="B699" s="7" t="s">
        <v>12</v>
      </c>
      <c r="C699" t="s">
        <v>2</v>
      </c>
    </row>
    <row r="700" spans="1:3" x14ac:dyDescent="0.3">
      <c r="A700" s="7" t="s">
        <v>710</v>
      </c>
      <c r="B700" s="7" t="s">
        <v>12</v>
      </c>
      <c r="C700" t="s">
        <v>2</v>
      </c>
    </row>
    <row r="701" spans="1:3" x14ac:dyDescent="0.3">
      <c r="A701" s="7" t="s">
        <v>711</v>
      </c>
      <c r="B701" s="7" t="s">
        <v>12</v>
      </c>
      <c r="C701" t="s">
        <v>2</v>
      </c>
    </row>
    <row r="702" spans="1:3" x14ac:dyDescent="0.3">
      <c r="A702" s="7" t="s">
        <v>712</v>
      </c>
      <c r="B702" s="7" t="s">
        <v>12</v>
      </c>
      <c r="C702" t="s">
        <v>2</v>
      </c>
    </row>
    <row r="703" spans="1:3" x14ac:dyDescent="0.3">
      <c r="A703" s="7" t="s">
        <v>713</v>
      </c>
      <c r="B703" s="7" t="s">
        <v>12</v>
      </c>
      <c r="C703" t="s">
        <v>2</v>
      </c>
    </row>
    <row r="704" spans="1:3" x14ac:dyDescent="0.3">
      <c r="A704" s="7" t="s">
        <v>714</v>
      </c>
      <c r="B704" s="7" t="s">
        <v>12</v>
      </c>
      <c r="C704" t="s">
        <v>2</v>
      </c>
    </row>
    <row r="705" spans="1:3" x14ac:dyDescent="0.3">
      <c r="A705" s="7" t="s">
        <v>715</v>
      </c>
      <c r="B705" s="7" t="s">
        <v>12</v>
      </c>
      <c r="C705" t="s">
        <v>2</v>
      </c>
    </row>
    <row r="706" spans="1:3" x14ac:dyDescent="0.3">
      <c r="A706" s="7" t="s">
        <v>716</v>
      </c>
      <c r="B706" s="7" t="s">
        <v>12</v>
      </c>
      <c r="C706" t="s">
        <v>2</v>
      </c>
    </row>
    <row r="707" spans="1:3" x14ac:dyDescent="0.3">
      <c r="A707" s="7" t="s">
        <v>717</v>
      </c>
      <c r="B707" s="7" t="s">
        <v>12</v>
      </c>
      <c r="C707" t="s">
        <v>2</v>
      </c>
    </row>
    <row r="708" spans="1:3" x14ac:dyDescent="0.3">
      <c r="A708" s="7" t="s">
        <v>718</v>
      </c>
      <c r="B708" s="7" t="s">
        <v>12</v>
      </c>
      <c r="C708" t="s">
        <v>2</v>
      </c>
    </row>
    <row r="709" spans="1:3" x14ac:dyDescent="0.3">
      <c r="A709" s="7" t="s">
        <v>719</v>
      </c>
      <c r="B709" s="7" t="s">
        <v>12</v>
      </c>
      <c r="C709" t="s">
        <v>2</v>
      </c>
    </row>
    <row r="710" spans="1:3" x14ac:dyDescent="0.3">
      <c r="A710" s="7" t="s">
        <v>720</v>
      </c>
      <c r="B710" s="7" t="s">
        <v>12</v>
      </c>
      <c r="C710" t="s">
        <v>2</v>
      </c>
    </row>
    <row r="711" spans="1:3" x14ac:dyDescent="0.3">
      <c r="A711" s="7" t="s">
        <v>721</v>
      </c>
      <c r="B711" s="7" t="s">
        <v>12</v>
      </c>
      <c r="C711" t="s">
        <v>2</v>
      </c>
    </row>
    <row r="712" spans="1:3" x14ac:dyDescent="0.3">
      <c r="A712" s="7" t="s">
        <v>722</v>
      </c>
      <c r="B712" s="7" t="s">
        <v>12</v>
      </c>
      <c r="C712" t="s">
        <v>2</v>
      </c>
    </row>
    <row r="713" spans="1:3" x14ac:dyDescent="0.3">
      <c r="A713" s="7" t="s">
        <v>723</v>
      </c>
      <c r="B713" s="7" t="s">
        <v>12</v>
      </c>
      <c r="C713" t="s">
        <v>2</v>
      </c>
    </row>
    <row r="714" spans="1:3" x14ac:dyDescent="0.3">
      <c r="A714" s="7" t="s">
        <v>724</v>
      </c>
      <c r="B714" s="7" t="s">
        <v>12</v>
      </c>
      <c r="C714" t="s">
        <v>3</v>
      </c>
    </row>
    <row r="715" spans="1:3" x14ac:dyDescent="0.3">
      <c r="A715" s="7" t="s">
        <v>725</v>
      </c>
      <c r="B715" s="7" t="s">
        <v>12</v>
      </c>
    </row>
    <row r="716" spans="1:3" x14ac:dyDescent="0.3">
      <c r="A716" s="7" t="s">
        <v>726</v>
      </c>
      <c r="B716" s="7" t="s">
        <v>12</v>
      </c>
      <c r="C716" t="s">
        <v>2</v>
      </c>
    </row>
    <row r="717" spans="1:3" x14ac:dyDescent="0.3">
      <c r="A717" s="7" t="s">
        <v>727</v>
      </c>
      <c r="B717" s="7" t="s">
        <v>12</v>
      </c>
      <c r="C717" t="s">
        <v>2</v>
      </c>
    </row>
    <row r="718" spans="1:3" x14ac:dyDescent="0.3">
      <c r="A718" s="7" t="s">
        <v>728</v>
      </c>
      <c r="B718" s="7" t="s">
        <v>12</v>
      </c>
      <c r="C718" t="s">
        <v>2</v>
      </c>
    </row>
    <row r="719" spans="1:3" x14ac:dyDescent="0.3">
      <c r="A719" s="7" t="s">
        <v>729</v>
      </c>
      <c r="B719" s="7" t="s">
        <v>12</v>
      </c>
      <c r="C719" t="s">
        <v>2</v>
      </c>
    </row>
    <row r="720" spans="1:3" x14ac:dyDescent="0.3">
      <c r="A720" s="7" t="s">
        <v>730</v>
      </c>
      <c r="B720" s="7" t="s">
        <v>12</v>
      </c>
      <c r="C720" t="s">
        <v>3678</v>
      </c>
    </row>
    <row r="721" spans="1:3" x14ac:dyDescent="0.3">
      <c r="A721" s="7" t="s">
        <v>731</v>
      </c>
      <c r="B721" s="7" t="s">
        <v>12</v>
      </c>
      <c r="C721" t="s">
        <v>3678</v>
      </c>
    </row>
    <row r="722" spans="1:3" x14ac:dyDescent="0.3">
      <c r="A722" s="7" t="s">
        <v>732</v>
      </c>
      <c r="B722" s="7" t="s">
        <v>12</v>
      </c>
      <c r="C722" t="s">
        <v>3678</v>
      </c>
    </row>
    <row r="723" spans="1:3" x14ac:dyDescent="0.3">
      <c r="A723" s="7" t="s">
        <v>733</v>
      </c>
      <c r="B723" s="7" t="s">
        <v>12</v>
      </c>
      <c r="C723" t="s">
        <v>3678</v>
      </c>
    </row>
    <row r="724" spans="1:3" x14ac:dyDescent="0.3">
      <c r="A724" s="7" t="s">
        <v>734</v>
      </c>
      <c r="B724" s="7" t="s">
        <v>12</v>
      </c>
      <c r="C724" t="s">
        <v>3678</v>
      </c>
    </row>
    <row r="725" spans="1:3" x14ac:dyDescent="0.3">
      <c r="A725" s="7" t="s">
        <v>735</v>
      </c>
      <c r="B725" s="7" t="s">
        <v>12</v>
      </c>
      <c r="C725" t="s">
        <v>3678</v>
      </c>
    </row>
    <row r="726" spans="1:3" x14ac:dyDescent="0.3">
      <c r="A726" s="7" t="s">
        <v>736</v>
      </c>
      <c r="B726" s="7" t="s">
        <v>12</v>
      </c>
      <c r="C726" t="s">
        <v>3678</v>
      </c>
    </row>
    <row r="727" spans="1:3" x14ac:dyDescent="0.3">
      <c r="A727" s="7" t="s">
        <v>737</v>
      </c>
      <c r="B727" s="7" t="s">
        <v>12</v>
      </c>
      <c r="C727" t="s">
        <v>3678</v>
      </c>
    </row>
    <row r="728" spans="1:3" x14ac:dyDescent="0.3">
      <c r="A728" s="7" t="s">
        <v>738</v>
      </c>
      <c r="B728" s="7" t="s">
        <v>12</v>
      </c>
      <c r="C728" t="s">
        <v>3678</v>
      </c>
    </row>
    <row r="729" spans="1:3" x14ac:dyDescent="0.3">
      <c r="A729" s="7" t="s">
        <v>739</v>
      </c>
      <c r="B729" s="7" t="s">
        <v>12</v>
      </c>
      <c r="C729" t="s">
        <v>3678</v>
      </c>
    </row>
    <row r="730" spans="1:3" x14ac:dyDescent="0.3">
      <c r="A730" s="7" t="s">
        <v>740</v>
      </c>
      <c r="B730" s="7" t="s">
        <v>12</v>
      </c>
      <c r="C730" t="s">
        <v>2</v>
      </c>
    </row>
    <row r="731" spans="1:3" x14ac:dyDescent="0.3">
      <c r="A731" s="7" t="s">
        <v>741</v>
      </c>
      <c r="B731" s="7" t="s">
        <v>12</v>
      </c>
      <c r="C731" t="s">
        <v>2</v>
      </c>
    </row>
    <row r="732" spans="1:3" x14ac:dyDescent="0.3">
      <c r="A732" s="7" t="s">
        <v>742</v>
      </c>
      <c r="B732" s="7" t="s">
        <v>12</v>
      </c>
      <c r="C732" t="s">
        <v>2</v>
      </c>
    </row>
    <row r="733" spans="1:3" x14ac:dyDescent="0.3">
      <c r="A733" s="7" t="s">
        <v>743</v>
      </c>
      <c r="B733" s="7" t="s">
        <v>12</v>
      </c>
      <c r="C733" t="s">
        <v>2</v>
      </c>
    </row>
    <row r="734" spans="1:3" x14ac:dyDescent="0.3">
      <c r="A734" s="7" t="s">
        <v>744</v>
      </c>
      <c r="B734" s="7" t="s">
        <v>12</v>
      </c>
      <c r="C734" t="s">
        <v>2</v>
      </c>
    </row>
    <row r="735" spans="1:3" x14ac:dyDescent="0.3">
      <c r="A735" s="7" t="s">
        <v>745</v>
      </c>
      <c r="B735" s="7" t="s">
        <v>12</v>
      </c>
      <c r="C735" t="s">
        <v>2</v>
      </c>
    </row>
    <row r="736" spans="1:3" x14ac:dyDescent="0.3">
      <c r="A736" s="7" t="s">
        <v>746</v>
      </c>
      <c r="B736" s="7" t="s">
        <v>12</v>
      </c>
      <c r="C736" t="s">
        <v>2</v>
      </c>
    </row>
    <row r="737" spans="1:3" x14ac:dyDescent="0.3">
      <c r="A737" s="7" t="s">
        <v>747</v>
      </c>
      <c r="B737" s="7" t="s">
        <v>12</v>
      </c>
      <c r="C737" t="s">
        <v>3678</v>
      </c>
    </row>
    <row r="738" spans="1:3" x14ac:dyDescent="0.3">
      <c r="A738" s="7" t="s">
        <v>748</v>
      </c>
      <c r="B738" s="7" t="s">
        <v>12</v>
      </c>
      <c r="C738" t="s">
        <v>3678</v>
      </c>
    </row>
    <row r="739" spans="1:3" x14ac:dyDescent="0.3">
      <c r="A739" s="7" t="s">
        <v>749</v>
      </c>
      <c r="B739" s="7" t="s">
        <v>12</v>
      </c>
      <c r="C739" t="s">
        <v>3678</v>
      </c>
    </row>
    <row r="740" spans="1:3" x14ac:dyDescent="0.3">
      <c r="A740" s="7" t="s">
        <v>750</v>
      </c>
      <c r="B740" s="7" t="s">
        <v>12</v>
      </c>
      <c r="C740" t="s">
        <v>3678</v>
      </c>
    </row>
    <row r="741" spans="1:3" x14ac:dyDescent="0.3">
      <c r="A741" s="7" t="s">
        <v>751</v>
      </c>
      <c r="B741" s="7" t="s">
        <v>12</v>
      </c>
      <c r="C741" t="s">
        <v>3678</v>
      </c>
    </row>
    <row r="742" spans="1:3" x14ac:dyDescent="0.3">
      <c r="A742" s="7" t="s">
        <v>752</v>
      </c>
      <c r="B742" s="7" t="s">
        <v>12</v>
      </c>
      <c r="C742" t="s">
        <v>3678</v>
      </c>
    </row>
    <row r="743" spans="1:3" x14ac:dyDescent="0.3">
      <c r="A743" s="7" t="s">
        <v>753</v>
      </c>
      <c r="B743" s="7" t="s">
        <v>12</v>
      </c>
      <c r="C743" t="s">
        <v>3678</v>
      </c>
    </row>
    <row r="744" spans="1:3" x14ac:dyDescent="0.3">
      <c r="A744" s="7" t="s">
        <v>754</v>
      </c>
      <c r="B744" s="7" t="s">
        <v>12</v>
      </c>
      <c r="C744" t="s">
        <v>2</v>
      </c>
    </row>
    <row r="745" spans="1:3" x14ac:dyDescent="0.3">
      <c r="A745" s="7" t="s">
        <v>755</v>
      </c>
      <c r="B745" s="7" t="s">
        <v>12</v>
      </c>
      <c r="C745" t="s">
        <v>2</v>
      </c>
    </row>
    <row r="746" spans="1:3" x14ac:dyDescent="0.3">
      <c r="A746" s="7" t="s">
        <v>756</v>
      </c>
      <c r="B746" s="7" t="s">
        <v>12</v>
      </c>
      <c r="C746" t="s">
        <v>2</v>
      </c>
    </row>
    <row r="747" spans="1:3" x14ac:dyDescent="0.3">
      <c r="A747" s="7" t="s">
        <v>757</v>
      </c>
      <c r="B747" s="7" t="s">
        <v>12</v>
      </c>
      <c r="C747" t="s">
        <v>2</v>
      </c>
    </row>
    <row r="748" spans="1:3" x14ac:dyDescent="0.3">
      <c r="A748" s="7" t="s">
        <v>758</v>
      </c>
      <c r="B748" s="7" t="s">
        <v>12</v>
      </c>
      <c r="C748" t="s">
        <v>2</v>
      </c>
    </row>
    <row r="749" spans="1:3" x14ac:dyDescent="0.3">
      <c r="A749" s="7" t="s">
        <v>759</v>
      </c>
      <c r="B749" s="7" t="s">
        <v>12</v>
      </c>
      <c r="C749" t="s">
        <v>2</v>
      </c>
    </row>
    <row r="750" spans="1:3" x14ac:dyDescent="0.3">
      <c r="A750" s="7" t="s">
        <v>760</v>
      </c>
      <c r="B750" s="7" t="s">
        <v>12</v>
      </c>
      <c r="C750" t="s">
        <v>2</v>
      </c>
    </row>
    <row r="751" spans="1:3" x14ac:dyDescent="0.3">
      <c r="A751" s="7" t="s">
        <v>761</v>
      </c>
      <c r="B751" s="7" t="s">
        <v>12</v>
      </c>
      <c r="C751" t="s">
        <v>2</v>
      </c>
    </row>
    <row r="752" spans="1:3" x14ac:dyDescent="0.3">
      <c r="A752" s="7" t="s">
        <v>762</v>
      </c>
      <c r="B752" s="7" t="s">
        <v>12</v>
      </c>
      <c r="C752" t="s">
        <v>2</v>
      </c>
    </row>
    <row r="753" spans="1:3" x14ac:dyDescent="0.3">
      <c r="A753" s="7" t="s">
        <v>763</v>
      </c>
      <c r="B753" s="7" t="s">
        <v>12</v>
      </c>
      <c r="C753" t="s">
        <v>2</v>
      </c>
    </row>
    <row r="754" spans="1:3" x14ac:dyDescent="0.3">
      <c r="A754" s="7" t="s">
        <v>764</v>
      </c>
      <c r="B754" s="7" t="s">
        <v>12</v>
      </c>
      <c r="C754" t="s">
        <v>2</v>
      </c>
    </row>
    <row r="755" spans="1:3" x14ac:dyDescent="0.3">
      <c r="A755" s="7" t="s">
        <v>765</v>
      </c>
      <c r="B755" s="7" t="s">
        <v>12</v>
      </c>
      <c r="C755" t="s">
        <v>2</v>
      </c>
    </row>
    <row r="756" spans="1:3" x14ac:dyDescent="0.3">
      <c r="A756" s="7" t="s">
        <v>766</v>
      </c>
      <c r="B756" s="7" t="s">
        <v>12</v>
      </c>
      <c r="C756" t="s">
        <v>2</v>
      </c>
    </row>
    <row r="757" spans="1:3" x14ac:dyDescent="0.3">
      <c r="A757" s="7" t="s">
        <v>767</v>
      </c>
      <c r="B757" s="7" t="s">
        <v>12</v>
      </c>
      <c r="C757" t="s">
        <v>2</v>
      </c>
    </row>
    <row r="758" spans="1:3" x14ac:dyDescent="0.3">
      <c r="A758" s="7" t="s">
        <v>768</v>
      </c>
      <c r="B758" s="7" t="s">
        <v>12</v>
      </c>
      <c r="C758" t="s">
        <v>2</v>
      </c>
    </row>
    <row r="759" spans="1:3" x14ac:dyDescent="0.3">
      <c r="A759" s="7" t="s">
        <v>769</v>
      </c>
      <c r="B759" s="7" t="s">
        <v>12</v>
      </c>
      <c r="C759" t="s">
        <v>2</v>
      </c>
    </row>
    <row r="760" spans="1:3" x14ac:dyDescent="0.3">
      <c r="A760" s="7" t="s">
        <v>770</v>
      </c>
      <c r="B760" s="7" t="s">
        <v>12</v>
      </c>
      <c r="C760" t="s">
        <v>2</v>
      </c>
    </row>
    <row r="761" spans="1:3" x14ac:dyDescent="0.3">
      <c r="A761" s="7" t="s">
        <v>771</v>
      </c>
      <c r="B761" s="7" t="s">
        <v>12</v>
      </c>
      <c r="C761" t="s">
        <v>2</v>
      </c>
    </row>
    <row r="762" spans="1:3" x14ac:dyDescent="0.3">
      <c r="A762" s="7" t="s">
        <v>772</v>
      </c>
      <c r="B762" s="7" t="s">
        <v>12</v>
      </c>
      <c r="C762" t="s">
        <v>2</v>
      </c>
    </row>
    <row r="763" spans="1:3" x14ac:dyDescent="0.3">
      <c r="A763" s="7" t="s">
        <v>773</v>
      </c>
      <c r="B763" s="7" t="s">
        <v>12</v>
      </c>
      <c r="C763" t="s">
        <v>2</v>
      </c>
    </row>
    <row r="764" spans="1:3" x14ac:dyDescent="0.3">
      <c r="A764" s="7" t="s">
        <v>774</v>
      </c>
      <c r="B764" s="7" t="s">
        <v>12</v>
      </c>
      <c r="C764" t="s">
        <v>2</v>
      </c>
    </row>
    <row r="765" spans="1:3" x14ac:dyDescent="0.3">
      <c r="A765" s="7" t="s">
        <v>775</v>
      </c>
      <c r="B765" s="7" t="s">
        <v>12</v>
      </c>
      <c r="C765" t="s">
        <v>2</v>
      </c>
    </row>
    <row r="766" spans="1:3" x14ac:dyDescent="0.3">
      <c r="A766" s="7" t="s">
        <v>776</v>
      </c>
      <c r="B766" s="7" t="s">
        <v>12</v>
      </c>
      <c r="C766" t="s">
        <v>2</v>
      </c>
    </row>
    <row r="767" spans="1:3" x14ac:dyDescent="0.3">
      <c r="A767" s="7" t="s">
        <v>777</v>
      </c>
      <c r="B767" s="7" t="s">
        <v>12</v>
      </c>
      <c r="C767" t="s">
        <v>2</v>
      </c>
    </row>
    <row r="768" spans="1:3" x14ac:dyDescent="0.3">
      <c r="A768" s="7" t="s">
        <v>778</v>
      </c>
      <c r="B768" s="7" t="s">
        <v>12</v>
      </c>
      <c r="C768" t="s">
        <v>2</v>
      </c>
    </row>
    <row r="769" spans="1:3" x14ac:dyDescent="0.3">
      <c r="A769" s="7" t="s">
        <v>779</v>
      </c>
      <c r="B769" s="7" t="s">
        <v>12</v>
      </c>
      <c r="C769" t="s">
        <v>2</v>
      </c>
    </row>
    <row r="770" spans="1:3" x14ac:dyDescent="0.3">
      <c r="A770" s="7" t="s">
        <v>780</v>
      </c>
      <c r="B770" s="7" t="s">
        <v>12</v>
      </c>
      <c r="C770" t="s">
        <v>2</v>
      </c>
    </row>
    <row r="771" spans="1:3" x14ac:dyDescent="0.3">
      <c r="A771" s="7" t="s">
        <v>781</v>
      </c>
      <c r="B771" s="7" t="s">
        <v>12</v>
      </c>
      <c r="C771" t="s">
        <v>2</v>
      </c>
    </row>
    <row r="772" spans="1:3" x14ac:dyDescent="0.3">
      <c r="A772" s="7" t="s">
        <v>782</v>
      </c>
      <c r="B772" s="7" t="s">
        <v>12</v>
      </c>
      <c r="C772" t="s">
        <v>2</v>
      </c>
    </row>
    <row r="773" spans="1:3" x14ac:dyDescent="0.3">
      <c r="A773" s="7" t="s">
        <v>783</v>
      </c>
      <c r="B773" s="7" t="s">
        <v>12</v>
      </c>
      <c r="C773" t="s">
        <v>2</v>
      </c>
    </row>
    <row r="774" spans="1:3" x14ac:dyDescent="0.3">
      <c r="A774" s="7" t="s">
        <v>784</v>
      </c>
      <c r="B774" s="7" t="s">
        <v>12</v>
      </c>
      <c r="C774" t="s">
        <v>2</v>
      </c>
    </row>
    <row r="775" spans="1:3" x14ac:dyDescent="0.3">
      <c r="A775" s="7" t="s">
        <v>785</v>
      </c>
      <c r="B775" s="7" t="s">
        <v>12</v>
      </c>
      <c r="C775" t="s">
        <v>2</v>
      </c>
    </row>
    <row r="776" spans="1:3" x14ac:dyDescent="0.3">
      <c r="A776" s="7" t="s">
        <v>786</v>
      </c>
      <c r="B776" s="7" t="s">
        <v>12</v>
      </c>
      <c r="C776" t="s">
        <v>2</v>
      </c>
    </row>
    <row r="777" spans="1:3" x14ac:dyDescent="0.3">
      <c r="A777" s="7" t="s">
        <v>787</v>
      </c>
      <c r="B777" s="7" t="s">
        <v>12</v>
      </c>
      <c r="C777" t="s">
        <v>2</v>
      </c>
    </row>
    <row r="778" spans="1:3" x14ac:dyDescent="0.3">
      <c r="A778" s="7" t="s">
        <v>788</v>
      </c>
      <c r="B778" s="7" t="s">
        <v>12</v>
      </c>
      <c r="C778" t="s">
        <v>2</v>
      </c>
    </row>
    <row r="779" spans="1:3" x14ac:dyDescent="0.3">
      <c r="A779" s="7" t="s">
        <v>789</v>
      </c>
      <c r="B779" s="7" t="s">
        <v>12</v>
      </c>
      <c r="C779" t="s">
        <v>2</v>
      </c>
    </row>
    <row r="780" spans="1:3" x14ac:dyDescent="0.3">
      <c r="A780" s="7" t="s">
        <v>790</v>
      </c>
      <c r="B780" s="7" t="s">
        <v>12</v>
      </c>
      <c r="C780" t="s">
        <v>2</v>
      </c>
    </row>
    <row r="781" spans="1:3" x14ac:dyDescent="0.3">
      <c r="A781" s="7" t="s">
        <v>791</v>
      </c>
      <c r="B781" s="7" t="s">
        <v>12</v>
      </c>
      <c r="C781" t="s">
        <v>2</v>
      </c>
    </row>
    <row r="782" spans="1:3" x14ac:dyDescent="0.3">
      <c r="A782" s="7" t="s">
        <v>792</v>
      </c>
      <c r="B782" s="7" t="s">
        <v>12</v>
      </c>
      <c r="C782" t="s">
        <v>2</v>
      </c>
    </row>
    <row r="783" spans="1:3" x14ac:dyDescent="0.3">
      <c r="A783" s="7" t="s">
        <v>793</v>
      </c>
      <c r="B783" s="7" t="s">
        <v>12</v>
      </c>
      <c r="C783" t="s">
        <v>2</v>
      </c>
    </row>
    <row r="784" spans="1:3" x14ac:dyDescent="0.3">
      <c r="A784" s="7" t="s">
        <v>794</v>
      </c>
      <c r="B784" s="7" t="s">
        <v>12</v>
      </c>
      <c r="C784" t="s">
        <v>2</v>
      </c>
    </row>
    <row r="785" spans="1:3" x14ac:dyDescent="0.3">
      <c r="A785" s="7" t="s">
        <v>795</v>
      </c>
      <c r="B785" s="7" t="s">
        <v>12</v>
      </c>
      <c r="C785" t="s">
        <v>2</v>
      </c>
    </row>
    <row r="786" spans="1:3" x14ac:dyDescent="0.3">
      <c r="A786" s="7" t="s">
        <v>796</v>
      </c>
      <c r="B786" s="7" t="s">
        <v>12</v>
      </c>
      <c r="C786" t="s">
        <v>2</v>
      </c>
    </row>
    <row r="787" spans="1:3" x14ac:dyDescent="0.3">
      <c r="A787" s="7" t="s">
        <v>797</v>
      </c>
      <c r="B787" s="7" t="s">
        <v>12</v>
      </c>
      <c r="C787" t="s">
        <v>2</v>
      </c>
    </row>
    <row r="788" spans="1:3" x14ac:dyDescent="0.3">
      <c r="A788" s="7" t="s">
        <v>798</v>
      </c>
      <c r="B788" s="7" t="s">
        <v>12</v>
      </c>
      <c r="C788" t="s">
        <v>2</v>
      </c>
    </row>
    <row r="789" spans="1:3" x14ac:dyDescent="0.3">
      <c r="A789" s="7" t="s">
        <v>799</v>
      </c>
      <c r="B789" s="7" t="s">
        <v>12</v>
      </c>
      <c r="C789" t="s">
        <v>2</v>
      </c>
    </row>
    <row r="790" spans="1:3" x14ac:dyDescent="0.3">
      <c r="A790" s="7" t="s">
        <v>800</v>
      </c>
      <c r="B790" s="7" t="s">
        <v>12</v>
      </c>
      <c r="C790" t="s">
        <v>2</v>
      </c>
    </row>
    <row r="791" spans="1:3" x14ac:dyDescent="0.3">
      <c r="A791" s="7" t="s">
        <v>801</v>
      </c>
      <c r="B791" s="7" t="s">
        <v>12</v>
      </c>
      <c r="C791" t="s">
        <v>2</v>
      </c>
    </row>
    <row r="792" spans="1:3" x14ac:dyDescent="0.3">
      <c r="A792" s="7" t="s">
        <v>802</v>
      </c>
      <c r="B792" s="7" t="s">
        <v>12</v>
      </c>
      <c r="C792" t="s">
        <v>2</v>
      </c>
    </row>
    <row r="793" spans="1:3" x14ac:dyDescent="0.3">
      <c r="A793" s="7" t="s">
        <v>803</v>
      </c>
      <c r="B793" s="7" t="s">
        <v>12</v>
      </c>
      <c r="C793" t="s">
        <v>2</v>
      </c>
    </row>
    <row r="794" spans="1:3" x14ac:dyDescent="0.3">
      <c r="A794" s="7" t="s">
        <v>804</v>
      </c>
      <c r="B794" s="7" t="s">
        <v>12</v>
      </c>
      <c r="C794" t="s">
        <v>3</v>
      </c>
    </row>
    <row r="795" spans="1:3" x14ac:dyDescent="0.3">
      <c r="A795" s="7" t="s">
        <v>805</v>
      </c>
      <c r="B795" s="7" t="s">
        <v>12</v>
      </c>
      <c r="C795" t="s">
        <v>3</v>
      </c>
    </row>
    <row r="796" spans="1:3" x14ac:dyDescent="0.3">
      <c r="A796" s="7" t="s">
        <v>806</v>
      </c>
      <c r="B796" s="7" t="s">
        <v>12</v>
      </c>
      <c r="C796" t="s">
        <v>3</v>
      </c>
    </row>
    <row r="797" spans="1:3" x14ac:dyDescent="0.3">
      <c r="A797" s="7" t="s">
        <v>807</v>
      </c>
      <c r="B797" s="7" t="s">
        <v>12</v>
      </c>
      <c r="C797" t="s">
        <v>3</v>
      </c>
    </row>
    <row r="798" spans="1:3" x14ac:dyDescent="0.3">
      <c r="A798" s="7" t="s">
        <v>808</v>
      </c>
      <c r="B798" s="7" t="s">
        <v>12</v>
      </c>
      <c r="C798" t="s">
        <v>3</v>
      </c>
    </row>
    <row r="799" spans="1:3" x14ac:dyDescent="0.3">
      <c r="A799" s="7" t="s">
        <v>809</v>
      </c>
      <c r="B799" s="7" t="s">
        <v>12</v>
      </c>
      <c r="C799" t="s">
        <v>3</v>
      </c>
    </row>
    <row r="800" spans="1:3" x14ac:dyDescent="0.3">
      <c r="A800" s="7" t="s">
        <v>810</v>
      </c>
      <c r="B800" s="7" t="s">
        <v>12</v>
      </c>
      <c r="C800" t="s">
        <v>3</v>
      </c>
    </row>
    <row r="801" spans="1:3" x14ac:dyDescent="0.3">
      <c r="A801" s="7" t="s">
        <v>811</v>
      </c>
      <c r="B801" s="7" t="s">
        <v>12</v>
      </c>
      <c r="C801" t="s">
        <v>2</v>
      </c>
    </row>
    <row r="802" spans="1:3" x14ac:dyDescent="0.3">
      <c r="A802" s="7" t="s">
        <v>812</v>
      </c>
      <c r="B802" s="7" t="s">
        <v>12</v>
      </c>
      <c r="C802" t="s">
        <v>2</v>
      </c>
    </row>
    <row r="803" spans="1:3" x14ac:dyDescent="0.3">
      <c r="A803" s="7" t="s">
        <v>813</v>
      </c>
      <c r="B803" s="7" t="s">
        <v>12</v>
      </c>
      <c r="C803" t="s">
        <v>2</v>
      </c>
    </row>
    <row r="804" spans="1:3" x14ac:dyDescent="0.3">
      <c r="A804" s="7" t="s">
        <v>814</v>
      </c>
      <c r="B804" s="7" t="s">
        <v>12</v>
      </c>
      <c r="C804" t="s">
        <v>2</v>
      </c>
    </row>
    <row r="805" spans="1:3" x14ac:dyDescent="0.3">
      <c r="A805" s="7" t="s">
        <v>815</v>
      </c>
      <c r="B805" s="7" t="s">
        <v>12</v>
      </c>
      <c r="C805" t="s">
        <v>2</v>
      </c>
    </row>
    <row r="806" spans="1:3" x14ac:dyDescent="0.3">
      <c r="A806" s="7" t="s">
        <v>816</v>
      </c>
      <c r="B806" s="7" t="s">
        <v>12</v>
      </c>
      <c r="C806" t="s">
        <v>2</v>
      </c>
    </row>
    <row r="807" spans="1:3" x14ac:dyDescent="0.3">
      <c r="A807" s="7" t="s">
        <v>817</v>
      </c>
      <c r="B807" s="7" t="s">
        <v>12</v>
      </c>
      <c r="C807" t="s">
        <v>2</v>
      </c>
    </row>
    <row r="808" spans="1:3" x14ac:dyDescent="0.3">
      <c r="A808" s="7" t="s">
        <v>818</v>
      </c>
      <c r="B808" s="7" t="s">
        <v>12</v>
      </c>
      <c r="C808" t="s">
        <v>2</v>
      </c>
    </row>
    <row r="809" spans="1:3" x14ac:dyDescent="0.3">
      <c r="A809" s="7" t="s">
        <v>819</v>
      </c>
      <c r="B809" s="7" t="s">
        <v>12</v>
      </c>
      <c r="C809" t="s">
        <v>2</v>
      </c>
    </row>
    <row r="810" spans="1:3" x14ac:dyDescent="0.3">
      <c r="A810" s="7" t="s">
        <v>820</v>
      </c>
      <c r="B810" s="7" t="s">
        <v>12</v>
      </c>
      <c r="C810" t="s">
        <v>2</v>
      </c>
    </row>
    <row r="811" spans="1:3" x14ac:dyDescent="0.3">
      <c r="A811" s="7" t="s">
        <v>821</v>
      </c>
      <c r="B811" s="7" t="s">
        <v>12</v>
      </c>
      <c r="C811" t="s">
        <v>2</v>
      </c>
    </row>
    <row r="812" spans="1:3" x14ac:dyDescent="0.3">
      <c r="A812" s="7" t="s">
        <v>822</v>
      </c>
      <c r="B812" s="7" t="s">
        <v>12</v>
      </c>
      <c r="C812" t="s">
        <v>2</v>
      </c>
    </row>
    <row r="813" spans="1:3" x14ac:dyDescent="0.3">
      <c r="A813" s="7" t="s">
        <v>823</v>
      </c>
      <c r="B813" s="7" t="s">
        <v>12</v>
      </c>
      <c r="C813" t="s">
        <v>2</v>
      </c>
    </row>
    <row r="814" spans="1:3" x14ac:dyDescent="0.3">
      <c r="A814" s="7" t="s">
        <v>824</v>
      </c>
      <c r="B814" s="7" t="s">
        <v>12</v>
      </c>
      <c r="C814" t="s">
        <v>2</v>
      </c>
    </row>
    <row r="815" spans="1:3" x14ac:dyDescent="0.3">
      <c r="A815" s="7" t="s">
        <v>825</v>
      </c>
      <c r="B815" s="7" t="s">
        <v>12</v>
      </c>
      <c r="C815" t="s">
        <v>2</v>
      </c>
    </row>
    <row r="816" spans="1:3" x14ac:dyDescent="0.3">
      <c r="A816" s="7" t="s">
        <v>826</v>
      </c>
      <c r="B816" s="7" t="s">
        <v>12</v>
      </c>
      <c r="C816" t="s">
        <v>2</v>
      </c>
    </row>
    <row r="817" spans="1:3" x14ac:dyDescent="0.3">
      <c r="A817" s="7" t="s">
        <v>827</v>
      </c>
      <c r="B817" s="7" t="s">
        <v>12</v>
      </c>
      <c r="C817" t="s">
        <v>2</v>
      </c>
    </row>
    <row r="818" spans="1:3" x14ac:dyDescent="0.3">
      <c r="A818" s="7" t="s">
        <v>828</v>
      </c>
      <c r="B818" s="7" t="s">
        <v>12</v>
      </c>
      <c r="C818" t="s">
        <v>2</v>
      </c>
    </row>
    <row r="819" spans="1:3" x14ac:dyDescent="0.3">
      <c r="A819" s="7" t="s">
        <v>829</v>
      </c>
      <c r="B819" s="7" t="s">
        <v>12</v>
      </c>
      <c r="C819" t="s">
        <v>2</v>
      </c>
    </row>
    <row r="820" spans="1:3" x14ac:dyDescent="0.3">
      <c r="A820" s="7" t="s">
        <v>830</v>
      </c>
      <c r="B820" s="7" t="s">
        <v>12</v>
      </c>
      <c r="C820" t="s">
        <v>2</v>
      </c>
    </row>
    <row r="821" spans="1:3" x14ac:dyDescent="0.3">
      <c r="A821" s="7" t="s">
        <v>831</v>
      </c>
      <c r="B821" s="7" t="s">
        <v>12</v>
      </c>
      <c r="C821" t="s">
        <v>2</v>
      </c>
    </row>
    <row r="822" spans="1:3" x14ac:dyDescent="0.3">
      <c r="A822" s="7" t="s">
        <v>832</v>
      </c>
      <c r="B822" s="7" t="s">
        <v>12</v>
      </c>
      <c r="C822" t="s">
        <v>2</v>
      </c>
    </row>
    <row r="823" spans="1:3" x14ac:dyDescent="0.3">
      <c r="A823" s="7" t="s">
        <v>833</v>
      </c>
      <c r="B823" s="7" t="s">
        <v>12</v>
      </c>
      <c r="C823" t="s">
        <v>2</v>
      </c>
    </row>
    <row r="824" spans="1:3" x14ac:dyDescent="0.3">
      <c r="A824" s="7" t="s">
        <v>834</v>
      </c>
      <c r="B824" s="7" t="s">
        <v>12</v>
      </c>
      <c r="C824" t="s">
        <v>2</v>
      </c>
    </row>
    <row r="825" spans="1:3" x14ac:dyDescent="0.3">
      <c r="A825" s="7" t="s">
        <v>835</v>
      </c>
      <c r="B825" s="7" t="s">
        <v>12</v>
      </c>
      <c r="C825" t="s">
        <v>2</v>
      </c>
    </row>
    <row r="826" spans="1:3" x14ac:dyDescent="0.3">
      <c r="A826" s="7" t="s">
        <v>836</v>
      </c>
      <c r="B826" s="7" t="s">
        <v>12</v>
      </c>
      <c r="C826" t="s">
        <v>2</v>
      </c>
    </row>
    <row r="827" spans="1:3" x14ac:dyDescent="0.3">
      <c r="A827" s="7" t="s">
        <v>837</v>
      </c>
      <c r="B827" s="7" t="s">
        <v>12</v>
      </c>
      <c r="C827" t="s">
        <v>2</v>
      </c>
    </row>
    <row r="828" spans="1:3" x14ac:dyDescent="0.3">
      <c r="A828" s="7" t="s">
        <v>838</v>
      </c>
      <c r="B828" s="7" t="s">
        <v>12</v>
      </c>
      <c r="C828" t="s">
        <v>2</v>
      </c>
    </row>
    <row r="829" spans="1:3" x14ac:dyDescent="0.3">
      <c r="A829" s="7" t="s">
        <v>839</v>
      </c>
      <c r="B829" s="7" t="s">
        <v>12</v>
      </c>
      <c r="C829" t="s">
        <v>2</v>
      </c>
    </row>
    <row r="830" spans="1:3" x14ac:dyDescent="0.3">
      <c r="A830" s="7" t="s">
        <v>840</v>
      </c>
      <c r="B830" s="7" t="s">
        <v>12</v>
      </c>
      <c r="C830" t="s">
        <v>2</v>
      </c>
    </row>
    <row r="831" spans="1:3" x14ac:dyDescent="0.3">
      <c r="A831" s="7" t="s">
        <v>841</v>
      </c>
      <c r="B831" s="7" t="s">
        <v>12</v>
      </c>
      <c r="C831" t="s">
        <v>2</v>
      </c>
    </row>
    <row r="832" spans="1:3" x14ac:dyDescent="0.3">
      <c r="A832" s="7" t="s">
        <v>842</v>
      </c>
      <c r="B832" s="7" t="s">
        <v>12</v>
      </c>
      <c r="C832" t="s">
        <v>2</v>
      </c>
    </row>
    <row r="833" spans="1:3" x14ac:dyDescent="0.3">
      <c r="A833" s="7" t="s">
        <v>843</v>
      </c>
      <c r="B833" s="7" t="s">
        <v>12</v>
      </c>
      <c r="C833" t="s">
        <v>2</v>
      </c>
    </row>
    <row r="834" spans="1:3" x14ac:dyDescent="0.3">
      <c r="A834" s="7" t="s">
        <v>844</v>
      </c>
      <c r="B834" s="7" t="s">
        <v>12</v>
      </c>
      <c r="C834" t="s">
        <v>2</v>
      </c>
    </row>
    <row r="835" spans="1:3" x14ac:dyDescent="0.3">
      <c r="A835" s="7" t="s">
        <v>845</v>
      </c>
      <c r="B835" s="7" t="s">
        <v>12</v>
      </c>
      <c r="C835" t="s">
        <v>2</v>
      </c>
    </row>
    <row r="836" spans="1:3" x14ac:dyDescent="0.3">
      <c r="A836" s="7" t="s">
        <v>846</v>
      </c>
      <c r="B836" s="7" t="s">
        <v>12</v>
      </c>
      <c r="C836" t="s">
        <v>2</v>
      </c>
    </row>
    <row r="837" spans="1:3" x14ac:dyDescent="0.3">
      <c r="A837" s="7" t="s">
        <v>847</v>
      </c>
      <c r="B837" s="7" t="s">
        <v>12</v>
      </c>
      <c r="C837" t="s">
        <v>2</v>
      </c>
    </row>
    <row r="838" spans="1:3" x14ac:dyDescent="0.3">
      <c r="A838" s="7" t="s">
        <v>848</v>
      </c>
      <c r="B838" s="7" t="s">
        <v>12</v>
      </c>
      <c r="C838" t="s">
        <v>2</v>
      </c>
    </row>
    <row r="839" spans="1:3" x14ac:dyDescent="0.3">
      <c r="A839" s="7" t="s">
        <v>849</v>
      </c>
      <c r="B839" s="7" t="s">
        <v>12</v>
      </c>
      <c r="C839" t="s">
        <v>2</v>
      </c>
    </row>
    <row r="840" spans="1:3" x14ac:dyDescent="0.3">
      <c r="A840" s="7" t="s">
        <v>850</v>
      </c>
      <c r="B840" s="7" t="s">
        <v>12</v>
      </c>
      <c r="C840" t="s">
        <v>2</v>
      </c>
    </row>
    <row r="841" spans="1:3" x14ac:dyDescent="0.3">
      <c r="A841" s="7" t="s">
        <v>851</v>
      </c>
      <c r="B841" s="7" t="s">
        <v>12</v>
      </c>
      <c r="C841" t="s">
        <v>2</v>
      </c>
    </row>
    <row r="842" spans="1:3" x14ac:dyDescent="0.3">
      <c r="A842" s="7" t="s">
        <v>852</v>
      </c>
      <c r="B842" s="7" t="s">
        <v>12</v>
      </c>
      <c r="C842" t="s">
        <v>2</v>
      </c>
    </row>
    <row r="843" spans="1:3" x14ac:dyDescent="0.3">
      <c r="A843" s="7" t="s">
        <v>853</v>
      </c>
      <c r="B843" s="7" t="s">
        <v>12</v>
      </c>
      <c r="C843" t="s">
        <v>2</v>
      </c>
    </row>
    <row r="844" spans="1:3" x14ac:dyDescent="0.3">
      <c r="A844" s="7" t="s">
        <v>854</v>
      </c>
      <c r="B844" s="7" t="s">
        <v>12</v>
      </c>
      <c r="C844" t="s">
        <v>2</v>
      </c>
    </row>
    <row r="845" spans="1:3" x14ac:dyDescent="0.3">
      <c r="A845" s="7" t="s">
        <v>855</v>
      </c>
      <c r="B845" s="7" t="s">
        <v>12</v>
      </c>
      <c r="C845" t="s">
        <v>2</v>
      </c>
    </row>
    <row r="846" spans="1:3" x14ac:dyDescent="0.3">
      <c r="A846" s="7" t="s">
        <v>856</v>
      </c>
      <c r="B846" s="7" t="s">
        <v>12</v>
      </c>
      <c r="C846" t="s">
        <v>2</v>
      </c>
    </row>
    <row r="847" spans="1:3" x14ac:dyDescent="0.3">
      <c r="A847" s="7" t="s">
        <v>857</v>
      </c>
      <c r="B847" s="7" t="s">
        <v>12</v>
      </c>
      <c r="C847" t="s">
        <v>2</v>
      </c>
    </row>
    <row r="848" spans="1:3" x14ac:dyDescent="0.3">
      <c r="A848" s="7" t="s">
        <v>858</v>
      </c>
      <c r="B848" s="7" t="s">
        <v>12</v>
      </c>
      <c r="C848" t="s">
        <v>3</v>
      </c>
    </row>
    <row r="849" spans="1:3" x14ac:dyDescent="0.3">
      <c r="A849" s="7" t="s">
        <v>859</v>
      </c>
      <c r="B849" s="7" t="s">
        <v>12</v>
      </c>
      <c r="C849" t="s">
        <v>3</v>
      </c>
    </row>
    <row r="850" spans="1:3" x14ac:dyDescent="0.3">
      <c r="A850" s="7" t="s">
        <v>860</v>
      </c>
      <c r="B850" s="7" t="s">
        <v>12</v>
      </c>
      <c r="C850" t="s">
        <v>3</v>
      </c>
    </row>
    <row r="851" spans="1:3" x14ac:dyDescent="0.3">
      <c r="A851" s="7" t="s">
        <v>861</v>
      </c>
      <c r="B851" s="7" t="s">
        <v>12</v>
      </c>
      <c r="C851" t="s">
        <v>3</v>
      </c>
    </row>
    <row r="852" spans="1:3" x14ac:dyDescent="0.3">
      <c r="A852" s="7" t="s">
        <v>862</v>
      </c>
      <c r="B852" s="7" t="s">
        <v>12</v>
      </c>
      <c r="C852" t="s">
        <v>2</v>
      </c>
    </row>
    <row r="853" spans="1:3" x14ac:dyDescent="0.3">
      <c r="A853" s="7" t="s">
        <v>863</v>
      </c>
      <c r="B853" s="7" t="s">
        <v>12</v>
      </c>
      <c r="C853" t="s">
        <v>2</v>
      </c>
    </row>
    <row r="854" spans="1:3" x14ac:dyDescent="0.3">
      <c r="A854" s="7" t="s">
        <v>864</v>
      </c>
      <c r="B854" s="7" t="s">
        <v>12</v>
      </c>
      <c r="C854" t="s">
        <v>2</v>
      </c>
    </row>
    <row r="855" spans="1:3" x14ac:dyDescent="0.3">
      <c r="A855" s="7" t="s">
        <v>865</v>
      </c>
      <c r="B855" s="7" t="s">
        <v>12</v>
      </c>
      <c r="C855" t="s">
        <v>2</v>
      </c>
    </row>
    <row r="856" spans="1:3" x14ac:dyDescent="0.3">
      <c r="A856" s="7" t="s">
        <v>866</v>
      </c>
      <c r="B856" s="7" t="s">
        <v>12</v>
      </c>
      <c r="C856" t="s">
        <v>2</v>
      </c>
    </row>
    <row r="857" spans="1:3" x14ac:dyDescent="0.3">
      <c r="A857" s="7" t="s">
        <v>867</v>
      </c>
      <c r="B857" s="7" t="s">
        <v>12</v>
      </c>
      <c r="C857" t="s">
        <v>2</v>
      </c>
    </row>
    <row r="858" spans="1:3" x14ac:dyDescent="0.3">
      <c r="A858" s="7" t="s">
        <v>868</v>
      </c>
      <c r="B858" s="7" t="s">
        <v>12</v>
      </c>
      <c r="C858" t="s">
        <v>2</v>
      </c>
    </row>
    <row r="859" spans="1:3" x14ac:dyDescent="0.3">
      <c r="A859" s="7" t="s">
        <v>869</v>
      </c>
      <c r="B859" s="7" t="s">
        <v>12</v>
      </c>
      <c r="C859" t="s">
        <v>2</v>
      </c>
    </row>
    <row r="860" spans="1:3" x14ac:dyDescent="0.3">
      <c r="A860" s="7" t="s">
        <v>870</v>
      </c>
      <c r="B860" s="7" t="s">
        <v>12</v>
      </c>
      <c r="C860" t="s">
        <v>2</v>
      </c>
    </row>
    <row r="861" spans="1:3" x14ac:dyDescent="0.3">
      <c r="A861" s="7" t="s">
        <v>871</v>
      </c>
      <c r="B861" s="7" t="s">
        <v>12</v>
      </c>
      <c r="C861" t="s">
        <v>2</v>
      </c>
    </row>
    <row r="862" spans="1:3" x14ac:dyDescent="0.3">
      <c r="A862" s="7" t="s">
        <v>872</v>
      </c>
      <c r="B862" s="7" t="s">
        <v>12</v>
      </c>
      <c r="C862" t="s">
        <v>3678</v>
      </c>
    </row>
    <row r="863" spans="1:3" x14ac:dyDescent="0.3">
      <c r="A863" s="7" t="s">
        <v>873</v>
      </c>
      <c r="B863" s="7" t="s">
        <v>12</v>
      </c>
      <c r="C863" t="s">
        <v>3678</v>
      </c>
    </row>
    <row r="864" spans="1:3" x14ac:dyDescent="0.3">
      <c r="A864" s="7" t="s">
        <v>874</v>
      </c>
      <c r="B864" s="7" t="s">
        <v>12</v>
      </c>
      <c r="C864" t="s">
        <v>2</v>
      </c>
    </row>
    <row r="865" spans="1:3" x14ac:dyDescent="0.3">
      <c r="A865" s="7" t="s">
        <v>875</v>
      </c>
      <c r="B865" s="7" t="s">
        <v>12</v>
      </c>
      <c r="C865" t="s">
        <v>2</v>
      </c>
    </row>
    <row r="866" spans="1:3" x14ac:dyDescent="0.3">
      <c r="A866" s="7" t="s">
        <v>876</v>
      </c>
      <c r="B866" s="7" t="s">
        <v>12</v>
      </c>
      <c r="C866" t="s">
        <v>2</v>
      </c>
    </row>
    <row r="867" spans="1:3" x14ac:dyDescent="0.3">
      <c r="A867" s="7" t="s">
        <v>877</v>
      </c>
      <c r="B867" s="7" t="s">
        <v>12</v>
      </c>
      <c r="C867" t="s">
        <v>2</v>
      </c>
    </row>
    <row r="868" spans="1:3" x14ac:dyDescent="0.3">
      <c r="A868" s="7" t="s">
        <v>878</v>
      </c>
      <c r="B868" s="7" t="s">
        <v>12</v>
      </c>
      <c r="C868" t="s">
        <v>2</v>
      </c>
    </row>
    <row r="869" spans="1:3" x14ac:dyDescent="0.3">
      <c r="A869" s="7" t="s">
        <v>879</v>
      </c>
      <c r="B869" s="7" t="s">
        <v>12</v>
      </c>
      <c r="C869" t="s">
        <v>2</v>
      </c>
    </row>
    <row r="870" spans="1:3" x14ac:dyDescent="0.3">
      <c r="A870" s="7" t="s">
        <v>880</v>
      </c>
      <c r="B870" s="7" t="s">
        <v>12</v>
      </c>
      <c r="C870" t="s">
        <v>2</v>
      </c>
    </row>
    <row r="871" spans="1:3" x14ac:dyDescent="0.3">
      <c r="A871" s="7" t="s">
        <v>881</v>
      </c>
      <c r="B871" s="7" t="s">
        <v>12</v>
      </c>
      <c r="C871" t="s">
        <v>2</v>
      </c>
    </row>
    <row r="872" spans="1:3" x14ac:dyDescent="0.3">
      <c r="A872" s="7" t="s">
        <v>882</v>
      </c>
      <c r="B872" s="7" t="s">
        <v>12</v>
      </c>
      <c r="C872" t="s">
        <v>2</v>
      </c>
    </row>
    <row r="873" spans="1:3" x14ac:dyDescent="0.3">
      <c r="A873" s="7" t="s">
        <v>883</v>
      </c>
      <c r="B873" s="7" t="s">
        <v>12</v>
      </c>
      <c r="C873" t="s">
        <v>2</v>
      </c>
    </row>
    <row r="874" spans="1:3" x14ac:dyDescent="0.3">
      <c r="A874" s="7" t="s">
        <v>884</v>
      </c>
      <c r="B874" s="7" t="s">
        <v>12</v>
      </c>
      <c r="C874" t="s">
        <v>2</v>
      </c>
    </row>
    <row r="875" spans="1:3" x14ac:dyDescent="0.3">
      <c r="A875" s="7" t="s">
        <v>885</v>
      </c>
      <c r="B875" s="7" t="s">
        <v>12</v>
      </c>
      <c r="C875" t="s">
        <v>3678</v>
      </c>
    </row>
    <row r="876" spans="1:3" x14ac:dyDescent="0.3">
      <c r="A876" s="7" t="s">
        <v>886</v>
      </c>
      <c r="B876" s="7" t="s">
        <v>12</v>
      </c>
      <c r="C876" t="s">
        <v>3678</v>
      </c>
    </row>
    <row r="877" spans="1:3" x14ac:dyDescent="0.3">
      <c r="A877" s="7" t="s">
        <v>887</v>
      </c>
      <c r="B877" s="7" t="s">
        <v>12</v>
      </c>
      <c r="C877" t="s">
        <v>3678</v>
      </c>
    </row>
    <row r="878" spans="1:3" x14ac:dyDescent="0.3">
      <c r="A878" s="7" t="s">
        <v>888</v>
      </c>
      <c r="B878" s="7" t="s">
        <v>12</v>
      </c>
      <c r="C878" t="s">
        <v>3678</v>
      </c>
    </row>
    <row r="879" spans="1:3" x14ac:dyDescent="0.3">
      <c r="A879" s="7" t="s">
        <v>889</v>
      </c>
      <c r="B879" s="7" t="s">
        <v>12</v>
      </c>
      <c r="C879" t="s">
        <v>3678</v>
      </c>
    </row>
    <row r="880" spans="1:3" x14ac:dyDescent="0.3">
      <c r="A880" s="7" t="s">
        <v>890</v>
      </c>
      <c r="B880" s="7" t="s">
        <v>12</v>
      </c>
      <c r="C880" t="s">
        <v>3678</v>
      </c>
    </row>
    <row r="881" spans="1:3" x14ac:dyDescent="0.3">
      <c r="A881" s="7" t="s">
        <v>891</v>
      </c>
      <c r="B881" s="7" t="s">
        <v>12</v>
      </c>
      <c r="C881" t="s">
        <v>3678</v>
      </c>
    </row>
    <row r="882" spans="1:3" x14ac:dyDescent="0.3">
      <c r="A882" s="7" t="s">
        <v>892</v>
      </c>
      <c r="B882" s="7" t="s">
        <v>12</v>
      </c>
      <c r="C882" t="s">
        <v>3678</v>
      </c>
    </row>
    <row r="883" spans="1:3" x14ac:dyDescent="0.3">
      <c r="A883" s="7" t="s">
        <v>893</v>
      </c>
      <c r="B883" s="7" t="s">
        <v>12</v>
      </c>
      <c r="C883" t="s">
        <v>3678</v>
      </c>
    </row>
    <row r="884" spans="1:3" x14ac:dyDescent="0.3">
      <c r="A884" s="7" t="s">
        <v>894</v>
      </c>
      <c r="B884" s="7" t="s">
        <v>12</v>
      </c>
      <c r="C884" t="s">
        <v>3678</v>
      </c>
    </row>
    <row r="885" spans="1:3" x14ac:dyDescent="0.3">
      <c r="A885" s="7" t="s">
        <v>895</v>
      </c>
      <c r="B885" s="7" t="s">
        <v>12</v>
      </c>
      <c r="C885" t="s">
        <v>3678</v>
      </c>
    </row>
    <row r="886" spans="1:3" x14ac:dyDescent="0.3">
      <c r="A886" s="7" t="s">
        <v>896</v>
      </c>
      <c r="B886" s="7" t="s">
        <v>12</v>
      </c>
      <c r="C886" t="s">
        <v>3678</v>
      </c>
    </row>
    <row r="887" spans="1:3" x14ac:dyDescent="0.3">
      <c r="A887" s="7" t="s">
        <v>897</v>
      </c>
      <c r="B887" s="7" t="s">
        <v>12</v>
      </c>
      <c r="C887" t="s">
        <v>3678</v>
      </c>
    </row>
    <row r="888" spans="1:3" x14ac:dyDescent="0.3">
      <c r="A888" s="7" t="s">
        <v>898</v>
      </c>
      <c r="B888" s="7" t="s">
        <v>12</v>
      </c>
      <c r="C888" t="s">
        <v>3678</v>
      </c>
    </row>
    <row r="889" spans="1:3" x14ac:dyDescent="0.3">
      <c r="A889" s="7" t="s">
        <v>899</v>
      </c>
      <c r="B889" s="7" t="s">
        <v>12</v>
      </c>
      <c r="C889" t="s">
        <v>3678</v>
      </c>
    </row>
    <row r="890" spans="1:3" x14ac:dyDescent="0.3">
      <c r="A890" s="7" t="s">
        <v>900</v>
      </c>
      <c r="B890" s="7" t="s">
        <v>12</v>
      </c>
      <c r="C890" t="s">
        <v>3678</v>
      </c>
    </row>
    <row r="891" spans="1:3" x14ac:dyDescent="0.3">
      <c r="A891" s="7" t="s">
        <v>901</v>
      </c>
      <c r="B891" s="7" t="s">
        <v>12</v>
      </c>
      <c r="C891" t="s">
        <v>3678</v>
      </c>
    </row>
    <row r="892" spans="1:3" x14ac:dyDescent="0.3">
      <c r="A892" s="7" t="s">
        <v>902</v>
      </c>
      <c r="B892" s="7" t="s">
        <v>12</v>
      </c>
      <c r="C892" t="s">
        <v>3678</v>
      </c>
    </row>
    <row r="893" spans="1:3" x14ac:dyDescent="0.3">
      <c r="A893" s="7" t="s">
        <v>903</v>
      </c>
      <c r="B893" s="7" t="s">
        <v>12</v>
      </c>
      <c r="C893" t="s">
        <v>3678</v>
      </c>
    </row>
    <row r="894" spans="1:3" x14ac:dyDescent="0.3">
      <c r="A894" s="7" t="s">
        <v>904</v>
      </c>
      <c r="B894" s="7" t="s">
        <v>12</v>
      </c>
      <c r="C894" t="s">
        <v>3678</v>
      </c>
    </row>
    <row r="895" spans="1:3" x14ac:dyDescent="0.3">
      <c r="A895" s="7" t="s">
        <v>905</v>
      </c>
      <c r="B895" s="7" t="s">
        <v>12</v>
      </c>
      <c r="C895" t="s">
        <v>3678</v>
      </c>
    </row>
    <row r="896" spans="1:3" x14ac:dyDescent="0.3">
      <c r="A896" s="7" t="s">
        <v>906</v>
      </c>
      <c r="B896" s="7" t="s">
        <v>12</v>
      </c>
      <c r="C896" t="s">
        <v>3678</v>
      </c>
    </row>
    <row r="897" spans="1:3" x14ac:dyDescent="0.3">
      <c r="A897" s="7" t="s">
        <v>907</v>
      </c>
      <c r="B897" s="7" t="s">
        <v>12</v>
      </c>
      <c r="C897" t="s">
        <v>3680</v>
      </c>
    </row>
    <row r="898" spans="1:3" x14ac:dyDescent="0.3">
      <c r="A898" s="7" t="s">
        <v>908</v>
      </c>
      <c r="B898" s="7" t="s">
        <v>12</v>
      </c>
      <c r="C898" t="s">
        <v>2</v>
      </c>
    </row>
    <row r="899" spans="1:3" x14ac:dyDescent="0.3">
      <c r="A899" s="7" t="s">
        <v>909</v>
      </c>
      <c r="B899" s="7" t="s">
        <v>12</v>
      </c>
      <c r="C899" t="s">
        <v>2</v>
      </c>
    </row>
    <row r="900" spans="1:3" x14ac:dyDescent="0.3">
      <c r="A900" s="7" t="s">
        <v>910</v>
      </c>
      <c r="B900" s="7" t="s">
        <v>12</v>
      </c>
      <c r="C900" t="s">
        <v>2</v>
      </c>
    </row>
    <row r="901" spans="1:3" x14ac:dyDescent="0.3">
      <c r="A901" s="7" t="s">
        <v>911</v>
      </c>
      <c r="B901" s="7" t="s">
        <v>12</v>
      </c>
      <c r="C901" t="s">
        <v>2</v>
      </c>
    </row>
    <row r="902" spans="1:3" x14ac:dyDescent="0.3">
      <c r="A902" s="7" t="s">
        <v>912</v>
      </c>
      <c r="B902" s="7" t="s">
        <v>12</v>
      </c>
      <c r="C902" t="s">
        <v>2</v>
      </c>
    </row>
    <row r="903" spans="1:3" x14ac:dyDescent="0.3">
      <c r="A903" s="7" t="s">
        <v>913</v>
      </c>
      <c r="B903" s="7" t="s">
        <v>12</v>
      </c>
      <c r="C903" t="s">
        <v>2</v>
      </c>
    </row>
    <row r="904" spans="1:3" x14ac:dyDescent="0.3">
      <c r="A904" s="7" t="s">
        <v>914</v>
      </c>
      <c r="B904" s="7" t="s">
        <v>12</v>
      </c>
      <c r="C904" t="s">
        <v>2</v>
      </c>
    </row>
    <row r="905" spans="1:3" x14ac:dyDescent="0.3">
      <c r="A905" s="7" t="s">
        <v>915</v>
      </c>
      <c r="B905" s="7" t="s">
        <v>12</v>
      </c>
      <c r="C905" t="s">
        <v>2</v>
      </c>
    </row>
    <row r="906" spans="1:3" x14ac:dyDescent="0.3">
      <c r="A906" s="7" t="s">
        <v>916</v>
      </c>
      <c r="B906" s="7" t="s">
        <v>12</v>
      </c>
      <c r="C906" t="s">
        <v>2</v>
      </c>
    </row>
    <row r="907" spans="1:3" x14ac:dyDescent="0.3">
      <c r="A907" s="7" t="s">
        <v>917</v>
      </c>
      <c r="B907" s="7" t="s">
        <v>12</v>
      </c>
      <c r="C907" t="s">
        <v>2</v>
      </c>
    </row>
    <row r="908" spans="1:3" x14ac:dyDescent="0.3">
      <c r="A908" s="7" t="s">
        <v>918</v>
      </c>
      <c r="B908" s="7" t="s">
        <v>12</v>
      </c>
      <c r="C908" t="s">
        <v>2</v>
      </c>
    </row>
    <row r="909" spans="1:3" x14ac:dyDescent="0.3">
      <c r="A909" s="7" t="s">
        <v>919</v>
      </c>
      <c r="B909" s="7" t="s">
        <v>12</v>
      </c>
      <c r="C909" t="s">
        <v>2</v>
      </c>
    </row>
    <row r="910" spans="1:3" x14ac:dyDescent="0.3">
      <c r="A910" s="7" t="s">
        <v>920</v>
      </c>
      <c r="B910" s="7" t="s">
        <v>12</v>
      </c>
      <c r="C910" t="s">
        <v>2</v>
      </c>
    </row>
    <row r="911" spans="1:3" x14ac:dyDescent="0.3">
      <c r="A911" s="7" t="s">
        <v>921</v>
      </c>
      <c r="B911" s="7" t="s">
        <v>12</v>
      </c>
      <c r="C911" t="s">
        <v>2</v>
      </c>
    </row>
    <row r="912" spans="1:3" x14ac:dyDescent="0.3">
      <c r="A912" s="7" t="s">
        <v>922</v>
      </c>
      <c r="B912" s="7" t="s">
        <v>12</v>
      </c>
      <c r="C912" t="s">
        <v>2</v>
      </c>
    </row>
    <row r="913" spans="1:3" x14ac:dyDescent="0.3">
      <c r="A913" s="7" t="s">
        <v>923</v>
      </c>
      <c r="B913" s="7" t="s">
        <v>12</v>
      </c>
      <c r="C913" t="s">
        <v>2</v>
      </c>
    </row>
    <row r="914" spans="1:3" x14ac:dyDescent="0.3">
      <c r="A914" s="7" t="s">
        <v>924</v>
      </c>
      <c r="B914" s="7" t="s">
        <v>12</v>
      </c>
      <c r="C914" t="s">
        <v>2</v>
      </c>
    </row>
    <row r="915" spans="1:3" x14ac:dyDescent="0.3">
      <c r="A915" s="7" t="s">
        <v>925</v>
      </c>
      <c r="B915" s="7" t="s">
        <v>12</v>
      </c>
      <c r="C915" t="s">
        <v>2</v>
      </c>
    </row>
    <row r="916" spans="1:3" x14ac:dyDescent="0.3">
      <c r="A916" s="7" t="s">
        <v>926</v>
      </c>
      <c r="B916" s="7" t="s">
        <v>12</v>
      </c>
      <c r="C916" t="s">
        <v>2</v>
      </c>
    </row>
    <row r="917" spans="1:3" x14ac:dyDescent="0.3">
      <c r="A917" s="7" t="s">
        <v>927</v>
      </c>
      <c r="B917" s="7" t="s">
        <v>12</v>
      </c>
      <c r="C917" t="s">
        <v>2</v>
      </c>
    </row>
    <row r="918" spans="1:3" x14ac:dyDescent="0.3">
      <c r="A918" s="7" t="s">
        <v>928</v>
      </c>
      <c r="B918" s="7" t="s">
        <v>12</v>
      </c>
      <c r="C918" t="s">
        <v>2</v>
      </c>
    </row>
    <row r="919" spans="1:3" x14ac:dyDescent="0.3">
      <c r="A919" s="7" t="s">
        <v>929</v>
      </c>
      <c r="B919" s="7" t="s">
        <v>12</v>
      </c>
      <c r="C919" t="s">
        <v>2</v>
      </c>
    </row>
    <row r="920" spans="1:3" x14ac:dyDescent="0.3">
      <c r="A920" s="7" t="s">
        <v>930</v>
      </c>
      <c r="B920" s="7" t="s">
        <v>12</v>
      </c>
      <c r="C920" t="s">
        <v>2</v>
      </c>
    </row>
    <row r="921" spans="1:3" x14ac:dyDescent="0.3">
      <c r="A921" s="7" t="s">
        <v>931</v>
      </c>
      <c r="B921" s="7" t="s">
        <v>12</v>
      </c>
      <c r="C921" t="s">
        <v>2</v>
      </c>
    </row>
    <row r="922" spans="1:3" x14ac:dyDescent="0.3">
      <c r="A922" s="7" t="s">
        <v>932</v>
      </c>
      <c r="B922" s="7" t="s">
        <v>12</v>
      </c>
      <c r="C922" t="s">
        <v>2</v>
      </c>
    </row>
    <row r="923" spans="1:3" x14ac:dyDescent="0.3">
      <c r="A923" s="7" t="s">
        <v>933</v>
      </c>
      <c r="B923" s="7" t="s">
        <v>12</v>
      </c>
      <c r="C923" t="s">
        <v>2</v>
      </c>
    </row>
    <row r="924" spans="1:3" x14ac:dyDescent="0.3">
      <c r="A924" s="7" t="s">
        <v>934</v>
      </c>
      <c r="B924" s="7" t="s">
        <v>12</v>
      </c>
      <c r="C924" t="s">
        <v>2</v>
      </c>
    </row>
    <row r="925" spans="1:3" x14ac:dyDescent="0.3">
      <c r="A925" s="7" t="s">
        <v>935</v>
      </c>
      <c r="B925" s="7" t="s">
        <v>12</v>
      </c>
      <c r="C925" t="s">
        <v>2</v>
      </c>
    </row>
    <row r="926" spans="1:3" x14ac:dyDescent="0.3">
      <c r="A926" s="7" t="s">
        <v>936</v>
      </c>
      <c r="B926" s="7" t="s">
        <v>12</v>
      </c>
      <c r="C926" t="s">
        <v>2</v>
      </c>
    </row>
    <row r="927" spans="1:3" x14ac:dyDescent="0.3">
      <c r="A927" s="7" t="s">
        <v>937</v>
      </c>
      <c r="B927" s="7" t="s">
        <v>12</v>
      </c>
      <c r="C927" t="s">
        <v>2</v>
      </c>
    </row>
    <row r="928" spans="1:3" x14ac:dyDescent="0.3">
      <c r="A928" s="7" t="s">
        <v>938</v>
      </c>
      <c r="B928" s="7" t="s">
        <v>12</v>
      </c>
      <c r="C928" t="s">
        <v>2</v>
      </c>
    </row>
    <row r="929" spans="1:3" x14ac:dyDescent="0.3">
      <c r="A929" s="7" t="s">
        <v>939</v>
      </c>
      <c r="B929" s="7" t="s">
        <v>12</v>
      </c>
      <c r="C929" t="s">
        <v>2</v>
      </c>
    </row>
    <row r="930" spans="1:3" x14ac:dyDescent="0.3">
      <c r="A930" s="7" t="s">
        <v>940</v>
      </c>
      <c r="B930" s="7" t="s">
        <v>12</v>
      </c>
      <c r="C930" t="s">
        <v>2</v>
      </c>
    </row>
    <row r="931" spans="1:3" x14ac:dyDescent="0.3">
      <c r="A931" s="7" t="s">
        <v>941</v>
      </c>
      <c r="B931" s="7" t="s">
        <v>12</v>
      </c>
      <c r="C931" t="s">
        <v>2</v>
      </c>
    </row>
    <row r="932" spans="1:3" x14ac:dyDescent="0.3">
      <c r="A932" s="7" t="s">
        <v>942</v>
      </c>
      <c r="B932" s="7" t="s">
        <v>12</v>
      </c>
      <c r="C932" t="s">
        <v>2</v>
      </c>
    </row>
    <row r="933" spans="1:3" x14ac:dyDescent="0.3">
      <c r="A933" s="7" t="s">
        <v>943</v>
      </c>
      <c r="B933" s="7" t="s">
        <v>12</v>
      </c>
      <c r="C933" t="s">
        <v>2</v>
      </c>
    </row>
    <row r="934" spans="1:3" x14ac:dyDescent="0.3">
      <c r="A934" s="7" t="s">
        <v>944</v>
      </c>
      <c r="B934" s="7" t="s">
        <v>12</v>
      </c>
      <c r="C934" t="s">
        <v>2</v>
      </c>
    </row>
    <row r="935" spans="1:3" x14ac:dyDescent="0.3">
      <c r="A935" s="7" t="s">
        <v>945</v>
      </c>
      <c r="B935" s="7" t="s">
        <v>12</v>
      </c>
      <c r="C935" t="s">
        <v>2</v>
      </c>
    </row>
    <row r="936" spans="1:3" x14ac:dyDescent="0.3">
      <c r="A936" s="7" t="s">
        <v>946</v>
      </c>
      <c r="B936" s="7" t="s">
        <v>12</v>
      </c>
      <c r="C936" t="s">
        <v>2</v>
      </c>
    </row>
    <row r="937" spans="1:3" x14ac:dyDescent="0.3">
      <c r="A937" s="7" t="s">
        <v>947</v>
      </c>
      <c r="B937" s="7" t="s">
        <v>12</v>
      </c>
      <c r="C937" t="s">
        <v>2</v>
      </c>
    </row>
    <row r="938" spans="1:3" x14ac:dyDescent="0.3">
      <c r="A938" s="7" t="s">
        <v>948</v>
      </c>
      <c r="B938" s="7" t="s">
        <v>12</v>
      </c>
      <c r="C938" t="s">
        <v>2</v>
      </c>
    </row>
    <row r="939" spans="1:3" x14ac:dyDescent="0.3">
      <c r="A939" s="7" t="s">
        <v>949</v>
      </c>
      <c r="B939" s="7" t="s">
        <v>12</v>
      </c>
      <c r="C939" t="s">
        <v>2</v>
      </c>
    </row>
    <row r="940" spans="1:3" x14ac:dyDescent="0.3">
      <c r="A940" s="7" t="s">
        <v>950</v>
      </c>
      <c r="B940" s="7" t="s">
        <v>12</v>
      </c>
      <c r="C940" t="s">
        <v>2</v>
      </c>
    </row>
    <row r="941" spans="1:3" x14ac:dyDescent="0.3">
      <c r="A941" s="7" t="s">
        <v>951</v>
      </c>
      <c r="B941" s="7" t="s">
        <v>12</v>
      </c>
      <c r="C941" t="s">
        <v>2</v>
      </c>
    </row>
    <row r="942" spans="1:3" x14ac:dyDescent="0.3">
      <c r="A942" s="7" t="s">
        <v>952</v>
      </c>
      <c r="B942" s="7" t="s">
        <v>12</v>
      </c>
      <c r="C942" t="s">
        <v>2</v>
      </c>
    </row>
    <row r="943" spans="1:3" x14ac:dyDescent="0.3">
      <c r="A943" s="7" t="s">
        <v>953</v>
      </c>
      <c r="B943" s="7" t="s">
        <v>12</v>
      </c>
      <c r="C943" t="s">
        <v>2</v>
      </c>
    </row>
    <row r="944" spans="1:3" x14ac:dyDescent="0.3">
      <c r="A944" s="7" t="s">
        <v>954</v>
      </c>
      <c r="B944" s="7" t="s">
        <v>12</v>
      </c>
      <c r="C944" t="s">
        <v>2</v>
      </c>
    </row>
    <row r="945" spans="1:3" x14ac:dyDescent="0.3">
      <c r="A945" s="7" t="s">
        <v>955</v>
      </c>
      <c r="B945" s="7" t="s">
        <v>12</v>
      </c>
      <c r="C945" t="s">
        <v>2</v>
      </c>
    </row>
    <row r="946" spans="1:3" x14ac:dyDescent="0.3">
      <c r="A946" s="7" t="s">
        <v>956</v>
      </c>
      <c r="B946" s="7" t="s">
        <v>12</v>
      </c>
      <c r="C946" t="s">
        <v>2</v>
      </c>
    </row>
    <row r="947" spans="1:3" x14ac:dyDescent="0.3">
      <c r="A947" s="7" t="s">
        <v>957</v>
      </c>
      <c r="B947" s="7" t="s">
        <v>12</v>
      </c>
      <c r="C947" t="s">
        <v>2</v>
      </c>
    </row>
    <row r="948" spans="1:3" x14ac:dyDescent="0.3">
      <c r="A948" s="7" t="s">
        <v>958</v>
      </c>
      <c r="B948" s="7" t="s">
        <v>12</v>
      </c>
      <c r="C948" t="s">
        <v>2</v>
      </c>
    </row>
    <row r="949" spans="1:3" x14ac:dyDescent="0.3">
      <c r="A949" s="7" t="s">
        <v>959</v>
      </c>
      <c r="B949" s="7" t="s">
        <v>12</v>
      </c>
      <c r="C949" t="s">
        <v>2</v>
      </c>
    </row>
    <row r="950" spans="1:3" x14ac:dyDescent="0.3">
      <c r="A950" s="7" t="s">
        <v>960</v>
      </c>
      <c r="B950" s="7" t="s">
        <v>12</v>
      </c>
      <c r="C950" t="s">
        <v>3</v>
      </c>
    </row>
    <row r="951" spans="1:3" x14ac:dyDescent="0.3">
      <c r="A951" s="7" t="s">
        <v>961</v>
      </c>
      <c r="B951" s="7" t="s">
        <v>12</v>
      </c>
      <c r="C951" t="s">
        <v>3</v>
      </c>
    </row>
    <row r="952" spans="1:3" x14ac:dyDescent="0.3">
      <c r="A952" s="7" t="s">
        <v>962</v>
      </c>
      <c r="B952" s="7" t="s">
        <v>12</v>
      </c>
      <c r="C952" t="s">
        <v>3</v>
      </c>
    </row>
    <row r="953" spans="1:3" x14ac:dyDescent="0.3">
      <c r="A953" s="7" t="s">
        <v>963</v>
      </c>
      <c r="B953" s="7" t="s">
        <v>12</v>
      </c>
      <c r="C953" t="s">
        <v>3</v>
      </c>
    </row>
    <row r="954" spans="1:3" x14ac:dyDescent="0.3">
      <c r="A954" s="7" t="s">
        <v>964</v>
      </c>
      <c r="B954" s="7" t="s">
        <v>12</v>
      </c>
      <c r="C954" t="s">
        <v>3</v>
      </c>
    </row>
    <row r="955" spans="1:3" x14ac:dyDescent="0.3">
      <c r="A955" s="7" t="s">
        <v>965</v>
      </c>
      <c r="B955" s="7" t="s">
        <v>12</v>
      </c>
      <c r="C955" t="s">
        <v>3</v>
      </c>
    </row>
    <row r="956" spans="1:3" x14ac:dyDescent="0.3">
      <c r="A956" s="7" t="s">
        <v>966</v>
      </c>
      <c r="B956" s="7" t="s">
        <v>12</v>
      </c>
      <c r="C956" t="s">
        <v>3</v>
      </c>
    </row>
    <row r="957" spans="1:3" x14ac:dyDescent="0.3">
      <c r="A957" s="7" t="s">
        <v>967</v>
      </c>
      <c r="B957" s="7" t="s">
        <v>12</v>
      </c>
      <c r="C957" t="s">
        <v>3</v>
      </c>
    </row>
    <row r="958" spans="1:3" x14ac:dyDescent="0.3">
      <c r="A958" s="7" t="s">
        <v>968</v>
      </c>
      <c r="B958" s="7" t="s">
        <v>12</v>
      </c>
      <c r="C958" t="s">
        <v>3</v>
      </c>
    </row>
    <row r="959" spans="1:3" x14ac:dyDescent="0.3">
      <c r="A959" s="7" t="s">
        <v>969</v>
      </c>
      <c r="B959" s="7" t="s">
        <v>12</v>
      </c>
      <c r="C959" t="s">
        <v>2</v>
      </c>
    </row>
    <row r="960" spans="1:3" x14ac:dyDescent="0.3">
      <c r="A960" s="7" t="s">
        <v>970</v>
      </c>
      <c r="B960" s="7" t="s">
        <v>12</v>
      </c>
      <c r="C960" t="s">
        <v>2</v>
      </c>
    </row>
    <row r="961" spans="1:3" x14ac:dyDescent="0.3">
      <c r="A961" s="7" t="s">
        <v>971</v>
      </c>
      <c r="B961" s="7" t="s">
        <v>12</v>
      </c>
      <c r="C961" t="s">
        <v>2</v>
      </c>
    </row>
    <row r="962" spans="1:3" x14ac:dyDescent="0.3">
      <c r="A962" s="7" t="s">
        <v>972</v>
      </c>
      <c r="B962" s="7" t="s">
        <v>12</v>
      </c>
      <c r="C962" t="s">
        <v>2</v>
      </c>
    </row>
    <row r="963" spans="1:3" x14ac:dyDescent="0.3">
      <c r="A963" s="7" t="s">
        <v>973</v>
      </c>
      <c r="B963" s="7" t="s">
        <v>12</v>
      </c>
      <c r="C963" t="s">
        <v>2</v>
      </c>
    </row>
    <row r="964" spans="1:3" x14ac:dyDescent="0.3">
      <c r="A964" s="7" t="s">
        <v>974</v>
      </c>
      <c r="B964" s="7" t="s">
        <v>12</v>
      </c>
      <c r="C964" t="s">
        <v>2</v>
      </c>
    </row>
    <row r="965" spans="1:3" x14ac:dyDescent="0.3">
      <c r="A965" s="7" t="s">
        <v>975</v>
      </c>
      <c r="B965" s="7" t="s">
        <v>12</v>
      </c>
      <c r="C965" t="s">
        <v>2</v>
      </c>
    </row>
    <row r="966" spans="1:3" x14ac:dyDescent="0.3">
      <c r="A966" s="7" t="s">
        <v>976</v>
      </c>
      <c r="B966" s="7" t="s">
        <v>12</v>
      </c>
      <c r="C966" t="s">
        <v>2</v>
      </c>
    </row>
    <row r="967" spans="1:3" x14ac:dyDescent="0.3">
      <c r="A967" s="7" t="s">
        <v>977</v>
      </c>
      <c r="B967" s="7" t="s">
        <v>12</v>
      </c>
      <c r="C967" t="s">
        <v>2</v>
      </c>
    </row>
    <row r="968" spans="1:3" x14ac:dyDescent="0.3">
      <c r="A968" s="7" t="s">
        <v>978</v>
      </c>
      <c r="B968" s="7" t="s">
        <v>12</v>
      </c>
      <c r="C968" t="s">
        <v>2</v>
      </c>
    </row>
    <row r="969" spans="1:3" x14ac:dyDescent="0.3">
      <c r="A969" s="7" t="s">
        <v>979</v>
      </c>
      <c r="B969" s="7" t="s">
        <v>12</v>
      </c>
      <c r="C969" t="s">
        <v>2</v>
      </c>
    </row>
    <row r="970" spans="1:3" x14ac:dyDescent="0.3">
      <c r="A970" s="7" t="s">
        <v>980</v>
      </c>
      <c r="B970" s="7" t="s">
        <v>12</v>
      </c>
      <c r="C970" t="s">
        <v>2</v>
      </c>
    </row>
    <row r="971" spans="1:3" x14ac:dyDescent="0.3">
      <c r="A971" s="7" t="s">
        <v>981</v>
      </c>
      <c r="B971" s="7" t="s">
        <v>12</v>
      </c>
      <c r="C971" t="s">
        <v>2</v>
      </c>
    </row>
    <row r="972" spans="1:3" x14ac:dyDescent="0.3">
      <c r="A972" s="7" t="s">
        <v>982</v>
      </c>
      <c r="B972" s="7" t="s">
        <v>12</v>
      </c>
      <c r="C972" t="s">
        <v>2</v>
      </c>
    </row>
    <row r="973" spans="1:3" x14ac:dyDescent="0.3">
      <c r="A973" s="7" t="s">
        <v>983</v>
      </c>
      <c r="B973" s="7" t="s">
        <v>12</v>
      </c>
      <c r="C973" t="s">
        <v>2</v>
      </c>
    </row>
    <row r="974" spans="1:3" x14ac:dyDescent="0.3">
      <c r="A974" s="7" t="s">
        <v>984</v>
      </c>
      <c r="B974" s="7" t="s">
        <v>12</v>
      </c>
      <c r="C974" t="s">
        <v>2</v>
      </c>
    </row>
    <row r="975" spans="1:3" x14ac:dyDescent="0.3">
      <c r="A975" s="7" t="s">
        <v>985</v>
      </c>
      <c r="B975" s="7" t="s">
        <v>12</v>
      </c>
      <c r="C975" t="s">
        <v>2</v>
      </c>
    </row>
    <row r="976" spans="1:3" x14ac:dyDescent="0.3">
      <c r="A976" s="7" t="s">
        <v>986</v>
      </c>
      <c r="B976" s="7" t="s">
        <v>12</v>
      </c>
      <c r="C976" t="s">
        <v>2</v>
      </c>
    </row>
    <row r="977" spans="1:3" x14ac:dyDescent="0.3">
      <c r="A977" s="7" t="s">
        <v>987</v>
      </c>
      <c r="B977" s="7" t="s">
        <v>12</v>
      </c>
      <c r="C977" t="s">
        <v>2</v>
      </c>
    </row>
    <row r="978" spans="1:3" x14ac:dyDescent="0.3">
      <c r="A978" s="7" t="s">
        <v>988</v>
      </c>
      <c r="B978" s="7" t="s">
        <v>12</v>
      </c>
      <c r="C978" t="s">
        <v>2</v>
      </c>
    </row>
    <row r="979" spans="1:3" x14ac:dyDescent="0.3">
      <c r="A979" s="7" t="s">
        <v>989</v>
      </c>
      <c r="B979" s="7" t="s">
        <v>12</v>
      </c>
      <c r="C979" t="s">
        <v>2</v>
      </c>
    </row>
    <row r="980" spans="1:3" x14ac:dyDescent="0.3">
      <c r="A980" s="7" t="s">
        <v>990</v>
      </c>
      <c r="B980" s="7" t="s">
        <v>12</v>
      </c>
      <c r="C980" t="s">
        <v>2</v>
      </c>
    </row>
    <row r="981" spans="1:3" x14ac:dyDescent="0.3">
      <c r="A981" s="7" t="s">
        <v>991</v>
      </c>
      <c r="B981" s="7" t="s">
        <v>12</v>
      </c>
      <c r="C981" t="s">
        <v>2</v>
      </c>
    </row>
    <row r="982" spans="1:3" x14ac:dyDescent="0.3">
      <c r="A982" s="7" t="s">
        <v>992</v>
      </c>
      <c r="B982" s="7" t="s">
        <v>12</v>
      </c>
      <c r="C982" t="s">
        <v>2</v>
      </c>
    </row>
    <row r="983" spans="1:3" x14ac:dyDescent="0.3">
      <c r="A983" s="7" t="s">
        <v>993</v>
      </c>
      <c r="B983" s="7" t="s">
        <v>12</v>
      </c>
      <c r="C983" t="s">
        <v>2</v>
      </c>
    </row>
    <row r="984" spans="1:3" x14ac:dyDescent="0.3">
      <c r="A984" s="7" t="s">
        <v>994</v>
      </c>
      <c r="B984" s="7" t="s">
        <v>12</v>
      </c>
      <c r="C984" t="s">
        <v>2</v>
      </c>
    </row>
    <row r="985" spans="1:3" x14ac:dyDescent="0.3">
      <c r="A985" s="7" t="s">
        <v>995</v>
      </c>
      <c r="B985" s="7" t="s">
        <v>12</v>
      </c>
      <c r="C985" t="s">
        <v>2</v>
      </c>
    </row>
    <row r="986" spans="1:3" x14ac:dyDescent="0.3">
      <c r="A986" s="7" t="s">
        <v>996</v>
      </c>
      <c r="B986" s="7" t="s">
        <v>12</v>
      </c>
      <c r="C986" t="s">
        <v>2</v>
      </c>
    </row>
    <row r="987" spans="1:3" x14ac:dyDescent="0.3">
      <c r="A987" s="7" t="s">
        <v>997</v>
      </c>
      <c r="B987" s="7" t="s">
        <v>12</v>
      </c>
      <c r="C987" t="s">
        <v>2</v>
      </c>
    </row>
    <row r="988" spans="1:3" x14ac:dyDescent="0.3">
      <c r="A988" s="7" t="s">
        <v>998</v>
      </c>
      <c r="B988" s="7" t="s">
        <v>12</v>
      </c>
      <c r="C988" t="s">
        <v>2</v>
      </c>
    </row>
    <row r="989" spans="1:3" x14ac:dyDescent="0.3">
      <c r="A989" s="7" t="s">
        <v>999</v>
      </c>
      <c r="B989" s="7" t="s">
        <v>12</v>
      </c>
      <c r="C989" t="s">
        <v>2</v>
      </c>
    </row>
    <row r="990" spans="1:3" x14ac:dyDescent="0.3">
      <c r="A990" s="7" t="s">
        <v>1000</v>
      </c>
      <c r="B990" s="7" t="s">
        <v>12</v>
      </c>
      <c r="C990" t="s">
        <v>2</v>
      </c>
    </row>
    <row r="991" spans="1:3" x14ac:dyDescent="0.3">
      <c r="A991" s="7" t="s">
        <v>1001</v>
      </c>
      <c r="B991" s="7" t="s">
        <v>12</v>
      </c>
      <c r="C991" t="s">
        <v>2</v>
      </c>
    </row>
    <row r="992" spans="1:3" x14ac:dyDescent="0.3">
      <c r="A992" s="7" t="s">
        <v>1002</v>
      </c>
      <c r="B992" s="7" t="s">
        <v>12</v>
      </c>
      <c r="C992" t="s">
        <v>2</v>
      </c>
    </row>
    <row r="993" spans="1:3" x14ac:dyDescent="0.3">
      <c r="A993" s="7" t="s">
        <v>1003</v>
      </c>
      <c r="B993" s="7" t="s">
        <v>12</v>
      </c>
      <c r="C993" t="s">
        <v>2</v>
      </c>
    </row>
    <row r="994" spans="1:3" x14ac:dyDescent="0.3">
      <c r="A994" s="7" t="s">
        <v>1004</v>
      </c>
      <c r="B994" s="7" t="s">
        <v>12</v>
      </c>
      <c r="C994" t="s">
        <v>2</v>
      </c>
    </row>
    <row r="995" spans="1:3" x14ac:dyDescent="0.3">
      <c r="A995" s="7" t="s">
        <v>1005</v>
      </c>
      <c r="B995" s="7" t="s">
        <v>12</v>
      </c>
      <c r="C995" t="s">
        <v>2</v>
      </c>
    </row>
    <row r="996" spans="1:3" x14ac:dyDescent="0.3">
      <c r="A996" s="7" t="s">
        <v>1006</v>
      </c>
      <c r="B996" s="7" t="s">
        <v>12</v>
      </c>
      <c r="C996" t="s">
        <v>2</v>
      </c>
    </row>
    <row r="997" spans="1:3" x14ac:dyDescent="0.3">
      <c r="A997" s="7" t="s">
        <v>1007</v>
      </c>
      <c r="B997" s="7" t="s">
        <v>12</v>
      </c>
      <c r="C997" t="s">
        <v>2</v>
      </c>
    </row>
    <row r="998" spans="1:3" x14ac:dyDescent="0.3">
      <c r="A998" s="7" t="s">
        <v>1008</v>
      </c>
      <c r="B998" s="7" t="s">
        <v>12</v>
      </c>
      <c r="C998" t="s">
        <v>2</v>
      </c>
    </row>
    <row r="999" spans="1:3" x14ac:dyDescent="0.3">
      <c r="A999" s="7" t="s">
        <v>1009</v>
      </c>
      <c r="B999" s="7" t="s">
        <v>12</v>
      </c>
      <c r="C999" t="s">
        <v>2</v>
      </c>
    </row>
    <row r="1000" spans="1:3" x14ac:dyDescent="0.3">
      <c r="A1000" s="7" t="s">
        <v>1010</v>
      </c>
      <c r="B1000" s="7" t="s">
        <v>12</v>
      </c>
      <c r="C1000" t="s">
        <v>2</v>
      </c>
    </row>
    <row r="1001" spans="1:3" x14ac:dyDescent="0.3">
      <c r="A1001" s="7" t="s">
        <v>1011</v>
      </c>
      <c r="B1001" s="7" t="s">
        <v>12</v>
      </c>
      <c r="C1001" t="s">
        <v>2</v>
      </c>
    </row>
    <row r="1002" spans="1:3" x14ac:dyDescent="0.3">
      <c r="A1002" s="7" t="s">
        <v>1012</v>
      </c>
      <c r="B1002" s="7" t="s">
        <v>12</v>
      </c>
      <c r="C1002" t="s">
        <v>2</v>
      </c>
    </row>
    <row r="1003" spans="1:3" x14ac:dyDescent="0.3">
      <c r="A1003" s="7" t="s">
        <v>1013</v>
      </c>
      <c r="B1003" s="7" t="s">
        <v>12</v>
      </c>
      <c r="C1003" t="s">
        <v>2</v>
      </c>
    </row>
    <row r="1004" spans="1:3" x14ac:dyDescent="0.3">
      <c r="A1004" s="7" t="s">
        <v>1014</v>
      </c>
      <c r="B1004" s="7" t="s">
        <v>12</v>
      </c>
      <c r="C1004" t="s">
        <v>2</v>
      </c>
    </row>
    <row r="1005" spans="1:3" x14ac:dyDescent="0.3">
      <c r="A1005" s="7" t="s">
        <v>1015</v>
      </c>
      <c r="B1005" s="7" t="s">
        <v>12</v>
      </c>
      <c r="C1005" t="s">
        <v>2</v>
      </c>
    </row>
    <row r="1006" spans="1:3" x14ac:dyDescent="0.3">
      <c r="A1006" s="7" t="s">
        <v>1016</v>
      </c>
      <c r="B1006" s="7" t="s">
        <v>12</v>
      </c>
      <c r="C1006" t="s">
        <v>2</v>
      </c>
    </row>
    <row r="1007" spans="1:3" x14ac:dyDescent="0.3">
      <c r="A1007" s="7" t="s">
        <v>1017</v>
      </c>
      <c r="B1007" s="7" t="s">
        <v>12</v>
      </c>
      <c r="C1007" t="s">
        <v>2</v>
      </c>
    </row>
    <row r="1008" spans="1:3" x14ac:dyDescent="0.3">
      <c r="A1008" s="7" t="s">
        <v>1018</v>
      </c>
      <c r="B1008" s="7" t="s">
        <v>12</v>
      </c>
      <c r="C1008" t="s">
        <v>2</v>
      </c>
    </row>
    <row r="1009" spans="1:3" x14ac:dyDescent="0.3">
      <c r="A1009" s="7" t="s">
        <v>1019</v>
      </c>
      <c r="B1009" s="7" t="s">
        <v>12</v>
      </c>
      <c r="C1009" t="s">
        <v>2</v>
      </c>
    </row>
    <row r="1010" spans="1:3" x14ac:dyDescent="0.3">
      <c r="A1010" s="7" t="s">
        <v>1020</v>
      </c>
      <c r="B1010" s="7" t="s">
        <v>12</v>
      </c>
      <c r="C1010" t="s">
        <v>2</v>
      </c>
    </row>
    <row r="1011" spans="1:3" x14ac:dyDescent="0.3">
      <c r="A1011" s="7" t="s">
        <v>1021</v>
      </c>
      <c r="B1011" s="7" t="s">
        <v>12</v>
      </c>
      <c r="C1011" t="s">
        <v>2</v>
      </c>
    </row>
    <row r="1012" spans="1:3" x14ac:dyDescent="0.3">
      <c r="A1012" s="7" t="s">
        <v>1022</v>
      </c>
      <c r="B1012" s="7" t="s">
        <v>12</v>
      </c>
      <c r="C1012" t="s">
        <v>2</v>
      </c>
    </row>
    <row r="1013" spans="1:3" x14ac:dyDescent="0.3">
      <c r="A1013" s="7" t="s">
        <v>1023</v>
      </c>
      <c r="B1013" s="7" t="s">
        <v>12</v>
      </c>
      <c r="C1013" t="s">
        <v>2</v>
      </c>
    </row>
    <row r="1014" spans="1:3" x14ac:dyDescent="0.3">
      <c r="A1014" s="7" t="s">
        <v>1024</v>
      </c>
      <c r="B1014" s="7" t="s">
        <v>12</v>
      </c>
      <c r="C1014" t="s">
        <v>2</v>
      </c>
    </row>
    <row r="1015" spans="1:3" x14ac:dyDescent="0.3">
      <c r="A1015" s="7" t="s">
        <v>1025</v>
      </c>
      <c r="B1015" s="7" t="s">
        <v>12</v>
      </c>
      <c r="C1015" t="s">
        <v>2</v>
      </c>
    </row>
    <row r="1016" spans="1:3" x14ac:dyDescent="0.3">
      <c r="A1016" s="7" t="s">
        <v>1026</v>
      </c>
      <c r="B1016" s="7" t="s">
        <v>12</v>
      </c>
      <c r="C1016" t="s">
        <v>2</v>
      </c>
    </row>
    <row r="1017" spans="1:3" x14ac:dyDescent="0.3">
      <c r="A1017" s="7" t="s">
        <v>1027</v>
      </c>
      <c r="B1017" s="7" t="s">
        <v>12</v>
      </c>
      <c r="C1017" t="s">
        <v>3</v>
      </c>
    </row>
    <row r="1018" spans="1:3" x14ac:dyDescent="0.3">
      <c r="A1018" s="7" t="s">
        <v>1028</v>
      </c>
      <c r="B1018" s="7" t="s">
        <v>12</v>
      </c>
      <c r="C1018" t="s">
        <v>3</v>
      </c>
    </row>
    <row r="1019" spans="1:3" x14ac:dyDescent="0.3">
      <c r="A1019" s="7" t="s">
        <v>1029</v>
      </c>
      <c r="B1019" s="7" t="s">
        <v>12</v>
      </c>
      <c r="C1019" t="s">
        <v>3</v>
      </c>
    </row>
    <row r="1020" spans="1:3" x14ac:dyDescent="0.3">
      <c r="A1020" s="7" t="s">
        <v>1030</v>
      </c>
      <c r="B1020" s="7" t="s">
        <v>12</v>
      </c>
      <c r="C1020" t="s">
        <v>3</v>
      </c>
    </row>
    <row r="1021" spans="1:3" x14ac:dyDescent="0.3">
      <c r="A1021" s="7" t="s">
        <v>1031</v>
      </c>
      <c r="B1021" s="7" t="s">
        <v>12</v>
      </c>
      <c r="C1021" t="s">
        <v>3</v>
      </c>
    </row>
    <row r="1022" spans="1:3" x14ac:dyDescent="0.3">
      <c r="A1022" s="7" t="s">
        <v>1032</v>
      </c>
      <c r="B1022" s="7" t="s">
        <v>12</v>
      </c>
      <c r="C1022" t="s">
        <v>3</v>
      </c>
    </row>
    <row r="1023" spans="1:3" x14ac:dyDescent="0.3">
      <c r="A1023" s="7" t="s">
        <v>1033</v>
      </c>
      <c r="B1023" s="7" t="s">
        <v>12</v>
      </c>
      <c r="C1023" t="s">
        <v>3</v>
      </c>
    </row>
    <row r="1024" spans="1:3" x14ac:dyDescent="0.3">
      <c r="A1024" s="7" t="s">
        <v>1034</v>
      </c>
      <c r="B1024" s="7" t="s">
        <v>12</v>
      </c>
      <c r="C1024" t="s">
        <v>3</v>
      </c>
    </row>
    <row r="1025" spans="1:3" x14ac:dyDescent="0.3">
      <c r="A1025" s="7" t="s">
        <v>1035</v>
      </c>
      <c r="B1025" s="7" t="s">
        <v>12</v>
      </c>
      <c r="C1025" t="s">
        <v>2</v>
      </c>
    </row>
    <row r="1026" spans="1:3" x14ac:dyDescent="0.3">
      <c r="A1026" s="7" t="s">
        <v>1036</v>
      </c>
      <c r="B1026" s="7" t="s">
        <v>12</v>
      </c>
      <c r="C1026" t="s">
        <v>2</v>
      </c>
    </row>
    <row r="1027" spans="1:3" x14ac:dyDescent="0.3">
      <c r="A1027" s="7" t="s">
        <v>1037</v>
      </c>
      <c r="B1027" s="7" t="s">
        <v>12</v>
      </c>
      <c r="C1027" t="s">
        <v>2</v>
      </c>
    </row>
    <row r="1028" spans="1:3" x14ac:dyDescent="0.3">
      <c r="A1028" s="7" t="s">
        <v>1038</v>
      </c>
      <c r="B1028" s="7" t="s">
        <v>12</v>
      </c>
      <c r="C1028" t="s">
        <v>2</v>
      </c>
    </row>
    <row r="1029" spans="1:3" x14ac:dyDescent="0.3">
      <c r="A1029" s="7" t="s">
        <v>1039</v>
      </c>
      <c r="B1029" s="7" t="s">
        <v>12</v>
      </c>
      <c r="C1029" t="s">
        <v>2</v>
      </c>
    </row>
    <row r="1030" spans="1:3" x14ac:dyDescent="0.3">
      <c r="A1030" s="7" t="s">
        <v>1040</v>
      </c>
      <c r="B1030" s="7" t="s">
        <v>12</v>
      </c>
      <c r="C1030" t="s">
        <v>2</v>
      </c>
    </row>
    <row r="1031" spans="1:3" x14ac:dyDescent="0.3">
      <c r="A1031" s="7" t="s">
        <v>1041</v>
      </c>
      <c r="B1031" s="7" t="s">
        <v>12</v>
      </c>
      <c r="C1031" t="s">
        <v>2</v>
      </c>
    </row>
    <row r="1032" spans="1:3" x14ac:dyDescent="0.3">
      <c r="A1032" s="7" t="s">
        <v>1042</v>
      </c>
      <c r="B1032" s="7" t="s">
        <v>12</v>
      </c>
      <c r="C1032" t="s">
        <v>2</v>
      </c>
    </row>
    <row r="1033" spans="1:3" x14ac:dyDescent="0.3">
      <c r="A1033" s="7" t="s">
        <v>1043</v>
      </c>
      <c r="B1033" s="7" t="s">
        <v>12</v>
      </c>
      <c r="C1033" t="s">
        <v>2</v>
      </c>
    </row>
    <row r="1034" spans="1:3" x14ac:dyDescent="0.3">
      <c r="A1034" s="7" t="s">
        <v>1044</v>
      </c>
      <c r="B1034" s="7" t="s">
        <v>12</v>
      </c>
      <c r="C1034" t="s">
        <v>2</v>
      </c>
    </row>
    <row r="1035" spans="1:3" x14ac:dyDescent="0.3">
      <c r="A1035" s="7" t="s">
        <v>1045</v>
      </c>
      <c r="B1035" s="7" t="s">
        <v>12</v>
      </c>
      <c r="C1035" t="s">
        <v>2</v>
      </c>
    </row>
    <row r="1036" spans="1:3" x14ac:dyDescent="0.3">
      <c r="A1036" s="7" t="s">
        <v>1046</v>
      </c>
      <c r="B1036" s="7" t="s">
        <v>12</v>
      </c>
      <c r="C1036" t="s">
        <v>2</v>
      </c>
    </row>
    <row r="1037" spans="1:3" x14ac:dyDescent="0.3">
      <c r="A1037" s="7" t="s">
        <v>1047</v>
      </c>
      <c r="B1037" s="7" t="s">
        <v>12</v>
      </c>
      <c r="C1037" t="s">
        <v>2</v>
      </c>
    </row>
    <row r="1038" spans="1:3" x14ac:dyDescent="0.3">
      <c r="A1038" s="7" t="s">
        <v>1048</v>
      </c>
      <c r="B1038" s="7" t="s">
        <v>12</v>
      </c>
      <c r="C1038" t="s">
        <v>2</v>
      </c>
    </row>
    <row r="1039" spans="1:3" x14ac:dyDescent="0.3">
      <c r="A1039" s="7" t="s">
        <v>1049</v>
      </c>
      <c r="B1039" s="7" t="s">
        <v>12</v>
      </c>
      <c r="C1039" t="s">
        <v>2</v>
      </c>
    </row>
    <row r="1040" spans="1:3" x14ac:dyDescent="0.3">
      <c r="A1040" s="7" t="s">
        <v>1050</v>
      </c>
      <c r="B1040" s="7" t="s">
        <v>12</v>
      </c>
      <c r="C1040" t="s">
        <v>2</v>
      </c>
    </row>
    <row r="1041" spans="1:3" x14ac:dyDescent="0.3">
      <c r="A1041" s="7" t="s">
        <v>1051</v>
      </c>
      <c r="B1041" s="7" t="s">
        <v>12</v>
      </c>
      <c r="C1041" t="s">
        <v>2</v>
      </c>
    </row>
    <row r="1042" spans="1:3" x14ac:dyDescent="0.3">
      <c r="A1042" s="7" t="s">
        <v>1052</v>
      </c>
      <c r="B1042" s="7" t="s">
        <v>12</v>
      </c>
      <c r="C1042" t="s">
        <v>2</v>
      </c>
    </row>
    <row r="1043" spans="1:3" x14ac:dyDescent="0.3">
      <c r="A1043" s="7" t="s">
        <v>1053</v>
      </c>
      <c r="B1043" s="7" t="s">
        <v>12</v>
      </c>
      <c r="C1043" t="s">
        <v>2</v>
      </c>
    </row>
    <row r="1044" spans="1:3" x14ac:dyDescent="0.3">
      <c r="A1044" s="7" t="s">
        <v>1054</v>
      </c>
      <c r="B1044" s="7" t="s">
        <v>12</v>
      </c>
      <c r="C1044" t="s">
        <v>2</v>
      </c>
    </row>
    <row r="1045" spans="1:3" x14ac:dyDescent="0.3">
      <c r="A1045" s="7" t="s">
        <v>1055</v>
      </c>
      <c r="B1045" s="7" t="s">
        <v>12</v>
      </c>
      <c r="C1045" t="s">
        <v>2</v>
      </c>
    </row>
    <row r="1046" spans="1:3" x14ac:dyDescent="0.3">
      <c r="A1046" s="7" t="s">
        <v>1056</v>
      </c>
      <c r="B1046" s="7" t="s">
        <v>12</v>
      </c>
      <c r="C1046" t="s">
        <v>2</v>
      </c>
    </row>
    <row r="1047" spans="1:3" x14ac:dyDescent="0.3">
      <c r="A1047" s="7" t="s">
        <v>1057</v>
      </c>
      <c r="B1047" s="7" t="s">
        <v>12</v>
      </c>
      <c r="C1047" t="s">
        <v>2</v>
      </c>
    </row>
    <row r="1048" spans="1:3" x14ac:dyDescent="0.3">
      <c r="A1048" s="7" t="s">
        <v>1058</v>
      </c>
      <c r="B1048" s="7" t="s">
        <v>12</v>
      </c>
      <c r="C1048" t="s">
        <v>2</v>
      </c>
    </row>
    <row r="1049" spans="1:3" x14ac:dyDescent="0.3">
      <c r="A1049" s="7" t="s">
        <v>1059</v>
      </c>
      <c r="B1049" s="7" t="s">
        <v>12</v>
      </c>
      <c r="C1049" t="s">
        <v>2</v>
      </c>
    </row>
    <row r="1050" spans="1:3" x14ac:dyDescent="0.3">
      <c r="A1050" s="7" t="s">
        <v>1060</v>
      </c>
      <c r="B1050" s="7" t="s">
        <v>12</v>
      </c>
      <c r="C1050" t="s">
        <v>2</v>
      </c>
    </row>
    <row r="1051" spans="1:3" x14ac:dyDescent="0.3">
      <c r="A1051" s="7" t="s">
        <v>1061</v>
      </c>
      <c r="B1051" s="7" t="s">
        <v>12</v>
      </c>
      <c r="C1051" t="s">
        <v>2</v>
      </c>
    </row>
    <row r="1052" spans="1:3" x14ac:dyDescent="0.3">
      <c r="A1052" s="7" t="s">
        <v>1062</v>
      </c>
      <c r="B1052" s="7" t="s">
        <v>12</v>
      </c>
      <c r="C1052" t="s">
        <v>2</v>
      </c>
    </row>
    <row r="1053" spans="1:3" x14ac:dyDescent="0.3">
      <c r="A1053" s="7" t="s">
        <v>1063</v>
      </c>
      <c r="B1053" s="7" t="s">
        <v>12</v>
      </c>
      <c r="C1053" t="s">
        <v>2</v>
      </c>
    </row>
    <row r="1054" spans="1:3" x14ac:dyDescent="0.3">
      <c r="A1054" s="7" t="s">
        <v>1064</v>
      </c>
      <c r="B1054" s="7" t="s">
        <v>12</v>
      </c>
      <c r="C1054" t="s">
        <v>2</v>
      </c>
    </row>
    <row r="1055" spans="1:3" x14ac:dyDescent="0.3">
      <c r="A1055" s="7" t="s">
        <v>1065</v>
      </c>
      <c r="B1055" s="7" t="s">
        <v>12</v>
      </c>
      <c r="C1055" t="s">
        <v>2</v>
      </c>
    </row>
    <row r="1056" spans="1:3" x14ac:dyDescent="0.3">
      <c r="A1056" s="7" t="s">
        <v>1066</v>
      </c>
      <c r="B1056" s="7" t="s">
        <v>12</v>
      </c>
      <c r="C1056" t="s">
        <v>2</v>
      </c>
    </row>
    <row r="1057" spans="1:3" x14ac:dyDescent="0.3">
      <c r="A1057" s="7" t="s">
        <v>1067</v>
      </c>
      <c r="B1057" s="7" t="s">
        <v>12</v>
      </c>
      <c r="C1057" t="s">
        <v>2</v>
      </c>
    </row>
    <row r="1058" spans="1:3" x14ac:dyDescent="0.3">
      <c r="A1058" s="7" t="s">
        <v>1068</v>
      </c>
      <c r="B1058" s="7" t="s">
        <v>12</v>
      </c>
      <c r="C1058" t="s">
        <v>2</v>
      </c>
    </row>
    <row r="1059" spans="1:3" x14ac:dyDescent="0.3">
      <c r="A1059" s="7" t="s">
        <v>1069</v>
      </c>
      <c r="B1059" s="7" t="s">
        <v>12</v>
      </c>
      <c r="C1059" t="s">
        <v>2</v>
      </c>
    </row>
    <row r="1060" spans="1:3" x14ac:dyDescent="0.3">
      <c r="A1060" s="7" t="s">
        <v>1070</v>
      </c>
      <c r="B1060" s="7" t="s">
        <v>12</v>
      </c>
      <c r="C1060" t="s">
        <v>2</v>
      </c>
    </row>
    <row r="1061" spans="1:3" x14ac:dyDescent="0.3">
      <c r="A1061" s="7" t="s">
        <v>1071</v>
      </c>
      <c r="B1061" s="7" t="s">
        <v>12</v>
      </c>
      <c r="C1061" t="s">
        <v>2</v>
      </c>
    </row>
    <row r="1062" spans="1:3" x14ac:dyDescent="0.3">
      <c r="A1062" s="7" t="s">
        <v>1072</v>
      </c>
      <c r="B1062" s="7" t="s">
        <v>12</v>
      </c>
      <c r="C1062" t="s">
        <v>2</v>
      </c>
    </row>
    <row r="1063" spans="1:3" x14ac:dyDescent="0.3">
      <c r="A1063" s="7" t="s">
        <v>1073</v>
      </c>
      <c r="B1063" s="7" t="s">
        <v>12</v>
      </c>
      <c r="C1063" t="s">
        <v>2</v>
      </c>
    </row>
    <row r="1064" spans="1:3" x14ac:dyDescent="0.3">
      <c r="A1064" s="7" t="s">
        <v>1074</v>
      </c>
      <c r="B1064" s="7" t="s">
        <v>12</v>
      </c>
      <c r="C1064" t="s">
        <v>2</v>
      </c>
    </row>
    <row r="1065" spans="1:3" x14ac:dyDescent="0.3">
      <c r="A1065" s="7" t="s">
        <v>1075</v>
      </c>
      <c r="B1065" s="7" t="s">
        <v>12</v>
      </c>
      <c r="C1065" t="s">
        <v>2</v>
      </c>
    </row>
    <row r="1066" spans="1:3" x14ac:dyDescent="0.3">
      <c r="A1066" s="7" t="s">
        <v>1076</v>
      </c>
      <c r="B1066" s="7" t="s">
        <v>12</v>
      </c>
      <c r="C1066" t="s">
        <v>2</v>
      </c>
    </row>
    <row r="1067" spans="1:3" x14ac:dyDescent="0.3">
      <c r="A1067" s="7" t="s">
        <v>1077</v>
      </c>
      <c r="B1067" s="7" t="s">
        <v>12</v>
      </c>
      <c r="C1067" t="s">
        <v>2</v>
      </c>
    </row>
    <row r="1068" spans="1:3" x14ac:dyDescent="0.3">
      <c r="A1068" s="7" t="s">
        <v>1078</v>
      </c>
      <c r="B1068" s="7" t="s">
        <v>12</v>
      </c>
      <c r="C1068" t="s">
        <v>2</v>
      </c>
    </row>
    <row r="1069" spans="1:3" x14ac:dyDescent="0.3">
      <c r="A1069" s="7" t="s">
        <v>1079</v>
      </c>
      <c r="B1069" s="7" t="s">
        <v>12</v>
      </c>
      <c r="C1069" t="s">
        <v>2</v>
      </c>
    </row>
    <row r="1070" spans="1:3" x14ac:dyDescent="0.3">
      <c r="A1070" s="7" t="s">
        <v>1080</v>
      </c>
      <c r="B1070" s="7" t="s">
        <v>12</v>
      </c>
      <c r="C1070" t="s">
        <v>2</v>
      </c>
    </row>
    <row r="1071" spans="1:3" x14ac:dyDescent="0.3">
      <c r="A1071" s="7" t="s">
        <v>1081</v>
      </c>
      <c r="B1071" s="7" t="s">
        <v>12</v>
      </c>
      <c r="C1071" t="s">
        <v>2</v>
      </c>
    </row>
    <row r="1072" spans="1:3" x14ac:dyDescent="0.3">
      <c r="A1072" s="7" t="s">
        <v>1082</v>
      </c>
      <c r="B1072" s="7" t="s">
        <v>12</v>
      </c>
      <c r="C1072" t="s">
        <v>2</v>
      </c>
    </row>
    <row r="1073" spans="1:3" x14ac:dyDescent="0.3">
      <c r="A1073" s="7" t="s">
        <v>1083</v>
      </c>
      <c r="B1073" s="7" t="s">
        <v>12</v>
      </c>
      <c r="C1073" t="s">
        <v>2</v>
      </c>
    </row>
    <row r="1074" spans="1:3" x14ac:dyDescent="0.3">
      <c r="A1074" s="7" t="s">
        <v>1084</v>
      </c>
      <c r="B1074" s="7" t="s">
        <v>12</v>
      </c>
      <c r="C1074" t="s">
        <v>2</v>
      </c>
    </row>
    <row r="1075" spans="1:3" x14ac:dyDescent="0.3">
      <c r="A1075" s="7" t="s">
        <v>1085</v>
      </c>
      <c r="B1075" s="7" t="s">
        <v>12</v>
      </c>
      <c r="C1075" t="s">
        <v>2</v>
      </c>
    </row>
    <row r="1076" spans="1:3" x14ac:dyDescent="0.3">
      <c r="A1076" s="7" t="s">
        <v>1086</v>
      </c>
      <c r="B1076" s="7" t="s">
        <v>12</v>
      </c>
      <c r="C1076" t="s">
        <v>2</v>
      </c>
    </row>
    <row r="1077" spans="1:3" x14ac:dyDescent="0.3">
      <c r="A1077" s="7" t="s">
        <v>1087</v>
      </c>
      <c r="B1077" s="7" t="s">
        <v>12</v>
      </c>
      <c r="C1077" t="s">
        <v>2</v>
      </c>
    </row>
    <row r="1078" spans="1:3" x14ac:dyDescent="0.3">
      <c r="A1078" s="7" t="s">
        <v>1088</v>
      </c>
      <c r="B1078" s="7" t="s">
        <v>12</v>
      </c>
      <c r="C1078" t="s">
        <v>2</v>
      </c>
    </row>
    <row r="1079" spans="1:3" x14ac:dyDescent="0.3">
      <c r="A1079" s="7" t="s">
        <v>1089</v>
      </c>
      <c r="B1079" s="7" t="s">
        <v>12</v>
      </c>
      <c r="C1079" t="s">
        <v>2</v>
      </c>
    </row>
    <row r="1080" spans="1:3" x14ac:dyDescent="0.3">
      <c r="A1080" s="7" t="s">
        <v>1090</v>
      </c>
      <c r="B1080" s="7" t="s">
        <v>12</v>
      </c>
      <c r="C1080" t="s">
        <v>2</v>
      </c>
    </row>
    <row r="1081" spans="1:3" x14ac:dyDescent="0.3">
      <c r="A1081" s="7" t="s">
        <v>1091</v>
      </c>
      <c r="B1081" s="7" t="s">
        <v>12</v>
      </c>
      <c r="C1081" t="s">
        <v>2</v>
      </c>
    </row>
    <row r="1082" spans="1:3" x14ac:dyDescent="0.3">
      <c r="A1082" s="7" t="s">
        <v>1092</v>
      </c>
      <c r="B1082" s="7" t="s">
        <v>12</v>
      </c>
      <c r="C1082" t="s">
        <v>2</v>
      </c>
    </row>
    <row r="1083" spans="1:3" x14ac:dyDescent="0.3">
      <c r="A1083" s="7" t="s">
        <v>1093</v>
      </c>
      <c r="B1083" s="7" t="s">
        <v>12</v>
      </c>
      <c r="C1083" t="s">
        <v>2</v>
      </c>
    </row>
    <row r="1084" spans="1:3" x14ac:dyDescent="0.3">
      <c r="A1084" s="7" t="s">
        <v>1094</v>
      </c>
      <c r="B1084" s="7" t="s">
        <v>12</v>
      </c>
      <c r="C1084" t="s">
        <v>2</v>
      </c>
    </row>
    <row r="1085" spans="1:3" x14ac:dyDescent="0.3">
      <c r="A1085" s="7" t="s">
        <v>1095</v>
      </c>
      <c r="B1085" s="7" t="s">
        <v>12</v>
      </c>
      <c r="C1085" t="s">
        <v>2</v>
      </c>
    </row>
    <row r="1086" spans="1:3" x14ac:dyDescent="0.3">
      <c r="A1086" s="7" t="s">
        <v>1096</v>
      </c>
      <c r="B1086" s="7" t="s">
        <v>12</v>
      </c>
      <c r="C1086" t="s">
        <v>2</v>
      </c>
    </row>
    <row r="1087" spans="1:3" x14ac:dyDescent="0.3">
      <c r="A1087" s="7" t="s">
        <v>1097</v>
      </c>
      <c r="B1087" s="7" t="s">
        <v>12</v>
      </c>
      <c r="C1087" t="s">
        <v>2</v>
      </c>
    </row>
    <row r="1088" spans="1:3" x14ac:dyDescent="0.3">
      <c r="A1088" s="7" t="s">
        <v>1098</v>
      </c>
      <c r="B1088" s="7" t="s">
        <v>12</v>
      </c>
      <c r="C1088" t="s">
        <v>2</v>
      </c>
    </row>
    <row r="1089" spans="1:3" x14ac:dyDescent="0.3">
      <c r="A1089" s="7" t="s">
        <v>1099</v>
      </c>
      <c r="B1089" s="7" t="s">
        <v>12</v>
      </c>
      <c r="C1089" t="s">
        <v>3</v>
      </c>
    </row>
    <row r="1090" spans="1:3" x14ac:dyDescent="0.3">
      <c r="A1090" s="7" t="s">
        <v>1100</v>
      </c>
      <c r="B1090" s="7" t="s">
        <v>12</v>
      </c>
      <c r="C1090" t="s">
        <v>3</v>
      </c>
    </row>
    <row r="1091" spans="1:3" x14ac:dyDescent="0.3">
      <c r="A1091" s="7" t="s">
        <v>1101</v>
      </c>
      <c r="B1091" s="7" t="s">
        <v>12</v>
      </c>
      <c r="C1091" t="s">
        <v>3</v>
      </c>
    </row>
    <row r="1092" spans="1:3" x14ac:dyDescent="0.3">
      <c r="A1092" s="7" t="s">
        <v>1102</v>
      </c>
      <c r="B1092" s="7" t="s">
        <v>12</v>
      </c>
      <c r="C1092" t="s">
        <v>3</v>
      </c>
    </row>
    <row r="1093" spans="1:3" x14ac:dyDescent="0.3">
      <c r="A1093" s="7" t="s">
        <v>1103</v>
      </c>
      <c r="B1093" s="7" t="s">
        <v>12</v>
      </c>
      <c r="C1093" t="s">
        <v>3</v>
      </c>
    </row>
    <row r="1094" spans="1:3" x14ac:dyDescent="0.3">
      <c r="A1094" s="7" t="s">
        <v>1104</v>
      </c>
      <c r="B1094" s="7" t="s">
        <v>12</v>
      </c>
      <c r="C1094" t="s">
        <v>3</v>
      </c>
    </row>
    <row r="1095" spans="1:3" x14ac:dyDescent="0.3">
      <c r="A1095" s="7" t="s">
        <v>1105</v>
      </c>
      <c r="B1095" s="7" t="s">
        <v>12</v>
      </c>
      <c r="C1095" t="s">
        <v>3</v>
      </c>
    </row>
    <row r="1096" spans="1:3" x14ac:dyDescent="0.3">
      <c r="A1096" s="7" t="s">
        <v>1106</v>
      </c>
      <c r="B1096" s="7" t="s">
        <v>12</v>
      </c>
    </row>
    <row r="1097" spans="1:3" x14ac:dyDescent="0.3">
      <c r="A1097" s="7" t="s">
        <v>1107</v>
      </c>
      <c r="B1097" s="7" t="s">
        <v>12</v>
      </c>
    </row>
    <row r="1098" spans="1:3" x14ac:dyDescent="0.3">
      <c r="A1098" s="7" t="s">
        <v>1108</v>
      </c>
      <c r="B1098" s="7" t="s">
        <v>12</v>
      </c>
    </row>
    <row r="1099" spans="1:3" x14ac:dyDescent="0.3">
      <c r="A1099" s="7" t="s">
        <v>1109</v>
      </c>
      <c r="B1099" s="7" t="s">
        <v>12</v>
      </c>
    </row>
    <row r="1100" spans="1:3" x14ac:dyDescent="0.3">
      <c r="A1100" s="7" t="s">
        <v>1110</v>
      </c>
      <c r="B1100" s="7" t="s">
        <v>12</v>
      </c>
    </row>
    <row r="1101" spans="1:3" x14ac:dyDescent="0.3">
      <c r="A1101" s="7" t="s">
        <v>1111</v>
      </c>
      <c r="B1101" s="7" t="s">
        <v>12</v>
      </c>
    </row>
    <row r="1102" spans="1:3" x14ac:dyDescent="0.3">
      <c r="A1102" s="7" t="s">
        <v>1112</v>
      </c>
      <c r="B1102" s="7" t="s">
        <v>12</v>
      </c>
    </row>
    <row r="1103" spans="1:3" x14ac:dyDescent="0.3">
      <c r="A1103" s="7" t="s">
        <v>1113</v>
      </c>
      <c r="B1103" s="7" t="s">
        <v>12</v>
      </c>
    </row>
    <row r="1104" spans="1:3" x14ac:dyDescent="0.3">
      <c r="A1104" s="7" t="s">
        <v>1114</v>
      </c>
      <c r="B1104" s="7" t="s">
        <v>12</v>
      </c>
    </row>
    <row r="1105" spans="1:3" x14ac:dyDescent="0.3">
      <c r="A1105" s="7" t="s">
        <v>1115</v>
      </c>
      <c r="B1105" s="7" t="s">
        <v>12</v>
      </c>
    </row>
    <row r="1106" spans="1:3" x14ac:dyDescent="0.3">
      <c r="A1106" s="7" t="s">
        <v>1116</v>
      </c>
      <c r="B1106" s="7" t="s">
        <v>12</v>
      </c>
    </row>
    <row r="1107" spans="1:3" x14ac:dyDescent="0.3">
      <c r="A1107" s="7" t="s">
        <v>1117</v>
      </c>
      <c r="B1107" s="7" t="s">
        <v>12</v>
      </c>
    </row>
    <row r="1108" spans="1:3" x14ac:dyDescent="0.3">
      <c r="A1108" s="7" t="s">
        <v>1118</v>
      </c>
      <c r="B1108" s="7" t="s">
        <v>12</v>
      </c>
    </row>
    <row r="1109" spans="1:3" x14ac:dyDescent="0.3">
      <c r="A1109" s="7" t="s">
        <v>1119</v>
      </c>
      <c r="B1109" s="7" t="s">
        <v>12</v>
      </c>
    </row>
    <row r="1110" spans="1:3" x14ac:dyDescent="0.3">
      <c r="A1110" s="7" t="s">
        <v>1120</v>
      </c>
      <c r="B1110" s="7" t="s">
        <v>12</v>
      </c>
    </row>
    <row r="1111" spans="1:3" x14ac:dyDescent="0.3">
      <c r="A1111" s="7" t="s">
        <v>1121</v>
      </c>
      <c r="B1111" s="7" t="s">
        <v>12</v>
      </c>
    </row>
    <row r="1112" spans="1:3" x14ac:dyDescent="0.3">
      <c r="A1112" s="7" t="s">
        <v>1122</v>
      </c>
      <c r="B1112" s="7" t="s">
        <v>12</v>
      </c>
    </row>
    <row r="1113" spans="1:3" x14ac:dyDescent="0.3">
      <c r="A1113" s="7" t="s">
        <v>1123</v>
      </c>
      <c r="B1113" s="7" t="s">
        <v>12</v>
      </c>
      <c r="C1113" t="s">
        <v>2</v>
      </c>
    </row>
    <row r="1114" spans="1:3" x14ac:dyDescent="0.3">
      <c r="A1114" s="7" t="s">
        <v>1124</v>
      </c>
      <c r="B1114" s="7" t="s">
        <v>12</v>
      </c>
      <c r="C1114" t="s">
        <v>3678</v>
      </c>
    </row>
    <row r="1115" spans="1:3" x14ac:dyDescent="0.3">
      <c r="A1115" s="7" t="s">
        <v>1125</v>
      </c>
      <c r="B1115" s="7" t="s">
        <v>12</v>
      </c>
      <c r="C1115" t="s">
        <v>3678</v>
      </c>
    </row>
    <row r="1116" spans="1:3" x14ac:dyDescent="0.3">
      <c r="A1116" s="7" t="s">
        <v>1126</v>
      </c>
      <c r="B1116" s="7" t="s">
        <v>12</v>
      </c>
      <c r="C1116" t="s">
        <v>3678</v>
      </c>
    </row>
    <row r="1117" spans="1:3" x14ac:dyDescent="0.3">
      <c r="A1117" s="7" t="s">
        <v>1127</v>
      </c>
      <c r="B1117" s="7" t="s">
        <v>12</v>
      </c>
      <c r="C1117" t="s">
        <v>3678</v>
      </c>
    </row>
    <row r="1118" spans="1:3" x14ac:dyDescent="0.3">
      <c r="A1118" s="7" t="s">
        <v>1128</v>
      </c>
      <c r="B1118" s="7" t="s">
        <v>12</v>
      </c>
      <c r="C1118" t="s">
        <v>3678</v>
      </c>
    </row>
    <row r="1119" spans="1:3" x14ac:dyDescent="0.3">
      <c r="A1119" s="7" t="s">
        <v>1129</v>
      </c>
      <c r="B1119" s="7" t="s">
        <v>12</v>
      </c>
      <c r="C1119" t="s">
        <v>2</v>
      </c>
    </row>
    <row r="1120" spans="1:3" x14ac:dyDescent="0.3">
      <c r="A1120" s="7" t="s">
        <v>1130</v>
      </c>
      <c r="B1120" s="7" t="s">
        <v>12</v>
      </c>
      <c r="C1120" t="s">
        <v>2</v>
      </c>
    </row>
    <row r="1121" spans="1:3" x14ac:dyDescent="0.3">
      <c r="A1121" s="7" t="s">
        <v>1131</v>
      </c>
      <c r="B1121" s="7" t="s">
        <v>12</v>
      </c>
      <c r="C1121" t="s">
        <v>2</v>
      </c>
    </row>
    <row r="1122" spans="1:3" x14ac:dyDescent="0.3">
      <c r="A1122" s="7" t="s">
        <v>1132</v>
      </c>
      <c r="B1122" s="7" t="s">
        <v>12</v>
      </c>
      <c r="C1122" t="s">
        <v>2</v>
      </c>
    </row>
    <row r="1123" spans="1:3" x14ac:dyDescent="0.3">
      <c r="A1123" s="7" t="s">
        <v>1133</v>
      </c>
      <c r="B1123" s="7" t="s">
        <v>12</v>
      </c>
      <c r="C1123" t="s">
        <v>2</v>
      </c>
    </row>
    <row r="1124" spans="1:3" x14ac:dyDescent="0.3">
      <c r="A1124" s="7" t="s">
        <v>1134</v>
      </c>
      <c r="B1124" s="7" t="s">
        <v>12</v>
      </c>
      <c r="C1124" t="s">
        <v>2</v>
      </c>
    </row>
    <row r="1125" spans="1:3" x14ac:dyDescent="0.3">
      <c r="A1125" s="7" t="s">
        <v>1135</v>
      </c>
      <c r="B1125" s="7" t="s">
        <v>12</v>
      </c>
      <c r="C1125" t="s">
        <v>2</v>
      </c>
    </row>
    <row r="1126" spans="1:3" x14ac:dyDescent="0.3">
      <c r="A1126" s="7" t="s">
        <v>1136</v>
      </c>
      <c r="B1126" s="7" t="s">
        <v>12</v>
      </c>
      <c r="C1126" t="s">
        <v>2</v>
      </c>
    </row>
    <row r="1127" spans="1:3" x14ac:dyDescent="0.3">
      <c r="A1127" s="7" t="s">
        <v>1137</v>
      </c>
      <c r="B1127" s="7" t="s">
        <v>12</v>
      </c>
      <c r="C1127" t="s">
        <v>2</v>
      </c>
    </row>
    <row r="1128" spans="1:3" x14ac:dyDescent="0.3">
      <c r="A1128" s="7" t="s">
        <v>1138</v>
      </c>
      <c r="B1128" s="7" t="s">
        <v>12</v>
      </c>
      <c r="C1128" t="s">
        <v>2</v>
      </c>
    </row>
    <row r="1129" spans="1:3" x14ac:dyDescent="0.3">
      <c r="A1129" s="7" t="s">
        <v>1139</v>
      </c>
      <c r="B1129" s="7" t="s">
        <v>12</v>
      </c>
      <c r="C1129" t="s">
        <v>2</v>
      </c>
    </row>
    <row r="1130" spans="1:3" x14ac:dyDescent="0.3">
      <c r="A1130" s="7" t="s">
        <v>1140</v>
      </c>
      <c r="B1130" s="7" t="s">
        <v>12</v>
      </c>
      <c r="C1130" t="s">
        <v>2</v>
      </c>
    </row>
    <row r="1131" spans="1:3" x14ac:dyDescent="0.3">
      <c r="A1131" s="7" t="s">
        <v>1141</v>
      </c>
      <c r="B1131" s="7" t="s">
        <v>12</v>
      </c>
      <c r="C1131" t="s">
        <v>2</v>
      </c>
    </row>
    <row r="1132" spans="1:3" x14ac:dyDescent="0.3">
      <c r="A1132" s="7" t="s">
        <v>1142</v>
      </c>
      <c r="B1132" s="7" t="s">
        <v>12</v>
      </c>
      <c r="C1132" t="s">
        <v>2</v>
      </c>
    </row>
    <row r="1133" spans="1:3" x14ac:dyDescent="0.3">
      <c r="A1133" s="7" t="s">
        <v>1143</v>
      </c>
      <c r="B1133" s="7" t="s">
        <v>12</v>
      </c>
      <c r="C1133" t="s">
        <v>2</v>
      </c>
    </row>
    <row r="1134" spans="1:3" x14ac:dyDescent="0.3">
      <c r="A1134" s="7" t="s">
        <v>1144</v>
      </c>
      <c r="B1134" s="7" t="s">
        <v>12</v>
      </c>
      <c r="C1134" t="s">
        <v>2</v>
      </c>
    </row>
    <row r="1135" spans="1:3" x14ac:dyDescent="0.3">
      <c r="A1135" s="7" t="s">
        <v>1145</v>
      </c>
      <c r="B1135" s="7" t="s">
        <v>12</v>
      </c>
      <c r="C1135" t="s">
        <v>2</v>
      </c>
    </row>
    <row r="1136" spans="1:3" x14ac:dyDescent="0.3">
      <c r="A1136" s="7" t="s">
        <v>1146</v>
      </c>
      <c r="B1136" s="7" t="s">
        <v>12</v>
      </c>
      <c r="C1136" t="s">
        <v>2</v>
      </c>
    </row>
    <row r="1137" spans="1:3" x14ac:dyDescent="0.3">
      <c r="A1137" s="7" t="s">
        <v>1147</v>
      </c>
      <c r="B1137" s="7" t="s">
        <v>12</v>
      </c>
      <c r="C1137" t="s">
        <v>2</v>
      </c>
    </row>
    <row r="1138" spans="1:3" x14ac:dyDescent="0.3">
      <c r="A1138" s="7" t="s">
        <v>1148</v>
      </c>
      <c r="B1138" s="7" t="s">
        <v>12</v>
      </c>
      <c r="C1138" t="s">
        <v>2</v>
      </c>
    </row>
    <row r="1139" spans="1:3" x14ac:dyDescent="0.3">
      <c r="A1139" s="7" t="s">
        <v>1149</v>
      </c>
      <c r="B1139" s="7" t="s">
        <v>12</v>
      </c>
      <c r="C1139" t="s">
        <v>2</v>
      </c>
    </row>
    <row r="1140" spans="1:3" x14ac:dyDescent="0.3">
      <c r="A1140" s="7" t="s">
        <v>1150</v>
      </c>
      <c r="B1140" s="7" t="s">
        <v>12</v>
      </c>
      <c r="C1140" t="s">
        <v>2</v>
      </c>
    </row>
    <row r="1141" spans="1:3" x14ac:dyDescent="0.3">
      <c r="A1141" s="7" t="s">
        <v>1151</v>
      </c>
      <c r="B1141" s="7" t="s">
        <v>12</v>
      </c>
      <c r="C1141" t="s">
        <v>2</v>
      </c>
    </row>
    <row r="1142" spans="1:3" x14ac:dyDescent="0.3">
      <c r="A1142" s="7" t="s">
        <v>1152</v>
      </c>
      <c r="B1142" s="7" t="s">
        <v>12</v>
      </c>
      <c r="C1142" t="s">
        <v>2</v>
      </c>
    </row>
    <row r="1143" spans="1:3" x14ac:dyDescent="0.3">
      <c r="A1143" s="7" t="s">
        <v>1153</v>
      </c>
      <c r="B1143" s="7" t="s">
        <v>12</v>
      </c>
      <c r="C1143" t="s">
        <v>2</v>
      </c>
    </row>
    <row r="1144" spans="1:3" x14ac:dyDescent="0.3">
      <c r="A1144" s="7" t="s">
        <v>1154</v>
      </c>
      <c r="B1144" s="7" t="s">
        <v>12</v>
      </c>
      <c r="C1144" t="s">
        <v>2</v>
      </c>
    </row>
    <row r="1145" spans="1:3" x14ac:dyDescent="0.3">
      <c r="A1145" s="7" t="s">
        <v>1155</v>
      </c>
      <c r="B1145" s="7" t="s">
        <v>12</v>
      </c>
      <c r="C1145" t="s">
        <v>2</v>
      </c>
    </row>
    <row r="1146" spans="1:3" x14ac:dyDescent="0.3">
      <c r="A1146" s="7" t="s">
        <v>1156</v>
      </c>
      <c r="B1146" s="7" t="s">
        <v>12</v>
      </c>
      <c r="C1146" t="s">
        <v>2</v>
      </c>
    </row>
    <row r="1147" spans="1:3" x14ac:dyDescent="0.3">
      <c r="A1147" s="7" t="s">
        <v>1157</v>
      </c>
      <c r="B1147" s="7" t="s">
        <v>12</v>
      </c>
      <c r="C1147" t="s">
        <v>2</v>
      </c>
    </row>
    <row r="1148" spans="1:3" x14ac:dyDescent="0.3">
      <c r="A1148" s="7" t="s">
        <v>1158</v>
      </c>
      <c r="B1148" s="7" t="s">
        <v>12</v>
      </c>
      <c r="C1148" t="s">
        <v>2</v>
      </c>
    </row>
    <row r="1149" spans="1:3" x14ac:dyDescent="0.3">
      <c r="A1149" s="7" t="s">
        <v>1159</v>
      </c>
      <c r="B1149" s="7" t="s">
        <v>12</v>
      </c>
      <c r="C1149" t="s">
        <v>2</v>
      </c>
    </row>
    <row r="1150" spans="1:3" x14ac:dyDescent="0.3">
      <c r="A1150" s="7" t="s">
        <v>1160</v>
      </c>
      <c r="B1150" s="7" t="s">
        <v>12</v>
      </c>
      <c r="C1150" t="s">
        <v>2</v>
      </c>
    </row>
    <row r="1151" spans="1:3" x14ac:dyDescent="0.3">
      <c r="A1151" s="7" t="s">
        <v>1161</v>
      </c>
      <c r="B1151" s="7" t="s">
        <v>12</v>
      </c>
      <c r="C1151" t="s">
        <v>2</v>
      </c>
    </row>
    <row r="1152" spans="1:3" x14ac:dyDescent="0.3">
      <c r="A1152" s="7" t="s">
        <v>1162</v>
      </c>
      <c r="B1152" s="7" t="s">
        <v>12</v>
      </c>
      <c r="C1152" t="s">
        <v>2</v>
      </c>
    </row>
    <row r="1153" spans="1:3" x14ac:dyDescent="0.3">
      <c r="A1153" s="7" t="s">
        <v>1163</v>
      </c>
      <c r="B1153" s="7" t="s">
        <v>12</v>
      </c>
      <c r="C1153" t="s">
        <v>2</v>
      </c>
    </row>
    <row r="1154" spans="1:3" x14ac:dyDescent="0.3">
      <c r="A1154" s="7" t="s">
        <v>1164</v>
      </c>
      <c r="B1154" s="7" t="s">
        <v>12</v>
      </c>
      <c r="C1154" t="s">
        <v>2</v>
      </c>
    </row>
    <row r="1155" spans="1:3" x14ac:dyDescent="0.3">
      <c r="A1155" s="7" t="s">
        <v>1165</v>
      </c>
      <c r="B1155" s="7" t="s">
        <v>12</v>
      </c>
      <c r="C1155" t="s">
        <v>2</v>
      </c>
    </row>
    <row r="1156" spans="1:3" x14ac:dyDescent="0.3">
      <c r="A1156" s="7" t="s">
        <v>1166</v>
      </c>
      <c r="B1156" s="7" t="s">
        <v>12</v>
      </c>
      <c r="C1156" t="s">
        <v>2</v>
      </c>
    </row>
    <row r="1157" spans="1:3" x14ac:dyDescent="0.3">
      <c r="A1157" s="7" t="s">
        <v>1167</v>
      </c>
      <c r="B1157" s="7" t="s">
        <v>12</v>
      </c>
      <c r="C1157" t="s">
        <v>2</v>
      </c>
    </row>
    <row r="1158" spans="1:3" x14ac:dyDescent="0.3">
      <c r="A1158" s="7" t="s">
        <v>1168</v>
      </c>
      <c r="B1158" s="7" t="s">
        <v>12</v>
      </c>
      <c r="C1158" t="s">
        <v>2</v>
      </c>
    </row>
    <row r="1159" spans="1:3" x14ac:dyDescent="0.3">
      <c r="A1159" s="7" t="s">
        <v>1169</v>
      </c>
      <c r="B1159" s="7" t="s">
        <v>12</v>
      </c>
      <c r="C1159" t="s">
        <v>2</v>
      </c>
    </row>
    <row r="1160" spans="1:3" x14ac:dyDescent="0.3">
      <c r="A1160" s="7" t="s">
        <v>1170</v>
      </c>
      <c r="B1160" s="7" t="s">
        <v>12</v>
      </c>
      <c r="C1160" t="s">
        <v>2</v>
      </c>
    </row>
    <row r="1161" spans="1:3" x14ac:dyDescent="0.3">
      <c r="A1161" s="7" t="s">
        <v>1171</v>
      </c>
      <c r="B1161" s="7" t="s">
        <v>12</v>
      </c>
      <c r="C1161" t="s">
        <v>2</v>
      </c>
    </row>
    <row r="1162" spans="1:3" x14ac:dyDescent="0.3">
      <c r="A1162" s="7" t="s">
        <v>1172</v>
      </c>
      <c r="B1162" s="7" t="s">
        <v>12</v>
      </c>
      <c r="C1162" t="s">
        <v>2</v>
      </c>
    </row>
    <row r="1163" spans="1:3" x14ac:dyDescent="0.3">
      <c r="A1163" s="7" t="s">
        <v>1173</v>
      </c>
      <c r="B1163" s="7" t="s">
        <v>12</v>
      </c>
      <c r="C1163" t="s">
        <v>2</v>
      </c>
    </row>
    <row r="1164" spans="1:3" x14ac:dyDescent="0.3">
      <c r="A1164" s="7" t="s">
        <v>1174</v>
      </c>
      <c r="B1164" s="7" t="s">
        <v>12</v>
      </c>
      <c r="C1164" t="s">
        <v>2</v>
      </c>
    </row>
    <row r="1165" spans="1:3" x14ac:dyDescent="0.3">
      <c r="A1165" s="7" t="s">
        <v>1175</v>
      </c>
      <c r="B1165" s="7" t="s">
        <v>12</v>
      </c>
      <c r="C1165" t="s">
        <v>2</v>
      </c>
    </row>
    <row r="1166" spans="1:3" x14ac:dyDescent="0.3">
      <c r="A1166" s="7" t="s">
        <v>1176</v>
      </c>
      <c r="B1166" s="7" t="s">
        <v>12</v>
      </c>
      <c r="C1166" t="s">
        <v>2</v>
      </c>
    </row>
    <row r="1167" spans="1:3" x14ac:dyDescent="0.3">
      <c r="A1167" s="7" t="s">
        <v>1177</v>
      </c>
      <c r="B1167" s="7" t="s">
        <v>12</v>
      </c>
      <c r="C1167" t="s">
        <v>2</v>
      </c>
    </row>
    <row r="1168" spans="1:3" x14ac:dyDescent="0.3">
      <c r="A1168" s="7" t="s">
        <v>1178</v>
      </c>
      <c r="B1168" s="7" t="s">
        <v>12</v>
      </c>
      <c r="C1168" t="s">
        <v>2</v>
      </c>
    </row>
    <row r="1169" spans="1:3" x14ac:dyDescent="0.3">
      <c r="A1169" s="7" t="s">
        <v>1179</v>
      </c>
      <c r="B1169" s="7" t="s">
        <v>12</v>
      </c>
      <c r="C1169" t="s">
        <v>2</v>
      </c>
    </row>
    <row r="1170" spans="1:3" x14ac:dyDescent="0.3">
      <c r="A1170" s="7" t="s">
        <v>1180</v>
      </c>
      <c r="B1170" s="7" t="s">
        <v>12</v>
      </c>
      <c r="C1170" t="s">
        <v>2</v>
      </c>
    </row>
    <row r="1171" spans="1:3" x14ac:dyDescent="0.3">
      <c r="A1171" s="7" t="s">
        <v>1181</v>
      </c>
      <c r="B1171" s="7" t="s">
        <v>12</v>
      </c>
      <c r="C1171" t="s">
        <v>2</v>
      </c>
    </row>
    <row r="1172" spans="1:3" x14ac:dyDescent="0.3">
      <c r="A1172" s="7" t="s">
        <v>1182</v>
      </c>
      <c r="B1172" s="7" t="s">
        <v>12</v>
      </c>
      <c r="C1172" t="s">
        <v>2</v>
      </c>
    </row>
    <row r="1173" spans="1:3" x14ac:dyDescent="0.3">
      <c r="A1173" s="7" t="s">
        <v>1183</v>
      </c>
      <c r="B1173" s="7" t="s">
        <v>12</v>
      </c>
      <c r="C1173" t="s">
        <v>2</v>
      </c>
    </row>
    <row r="1174" spans="1:3" x14ac:dyDescent="0.3">
      <c r="A1174" s="7" t="s">
        <v>1184</v>
      </c>
      <c r="B1174" s="7" t="s">
        <v>12</v>
      </c>
      <c r="C1174" t="s">
        <v>2</v>
      </c>
    </row>
    <row r="1175" spans="1:3" x14ac:dyDescent="0.3">
      <c r="A1175" s="7" t="s">
        <v>1185</v>
      </c>
      <c r="B1175" s="7" t="s">
        <v>12</v>
      </c>
      <c r="C1175" t="s">
        <v>2</v>
      </c>
    </row>
    <row r="1176" spans="1:3" x14ac:dyDescent="0.3">
      <c r="A1176" s="7" t="s">
        <v>1186</v>
      </c>
      <c r="B1176" s="7" t="s">
        <v>12</v>
      </c>
      <c r="C1176" t="s">
        <v>2</v>
      </c>
    </row>
    <row r="1177" spans="1:3" x14ac:dyDescent="0.3">
      <c r="A1177" s="7" t="s">
        <v>1187</v>
      </c>
      <c r="B1177" s="7" t="s">
        <v>12</v>
      </c>
      <c r="C1177" t="s">
        <v>3</v>
      </c>
    </row>
    <row r="1178" spans="1:3" x14ac:dyDescent="0.3">
      <c r="A1178" s="7" t="s">
        <v>1188</v>
      </c>
      <c r="B1178" s="7" t="s">
        <v>12</v>
      </c>
      <c r="C1178" t="s">
        <v>3</v>
      </c>
    </row>
    <row r="1179" spans="1:3" x14ac:dyDescent="0.3">
      <c r="A1179" s="7" t="s">
        <v>1189</v>
      </c>
      <c r="B1179" s="7" t="s">
        <v>12</v>
      </c>
      <c r="C1179" t="s">
        <v>3</v>
      </c>
    </row>
    <row r="1180" spans="1:3" x14ac:dyDescent="0.3">
      <c r="A1180" s="7" t="s">
        <v>1190</v>
      </c>
      <c r="B1180" s="7" t="s">
        <v>12</v>
      </c>
      <c r="C1180" t="s">
        <v>3</v>
      </c>
    </row>
    <row r="1181" spans="1:3" x14ac:dyDescent="0.3">
      <c r="A1181" s="7" t="s">
        <v>1191</v>
      </c>
      <c r="B1181" s="7" t="s">
        <v>12</v>
      </c>
      <c r="C1181" t="s">
        <v>3</v>
      </c>
    </row>
    <row r="1182" spans="1:3" x14ac:dyDescent="0.3">
      <c r="A1182" s="7" t="s">
        <v>1192</v>
      </c>
      <c r="B1182" s="7" t="s">
        <v>12</v>
      </c>
      <c r="C1182" t="s">
        <v>3</v>
      </c>
    </row>
    <row r="1183" spans="1:3" x14ac:dyDescent="0.3">
      <c r="A1183" s="7" t="s">
        <v>1193</v>
      </c>
      <c r="B1183" s="7" t="s">
        <v>12</v>
      </c>
      <c r="C1183" t="s">
        <v>3</v>
      </c>
    </row>
    <row r="1184" spans="1:3" x14ac:dyDescent="0.3">
      <c r="A1184" s="7" t="s">
        <v>1194</v>
      </c>
      <c r="B1184" s="7" t="s">
        <v>12</v>
      </c>
      <c r="C1184" t="s">
        <v>3</v>
      </c>
    </row>
    <row r="1185" spans="1:3" x14ac:dyDescent="0.3">
      <c r="A1185" s="7" t="s">
        <v>1195</v>
      </c>
      <c r="B1185" s="7" t="s">
        <v>12</v>
      </c>
      <c r="C1185" t="s">
        <v>3</v>
      </c>
    </row>
    <row r="1186" spans="1:3" x14ac:dyDescent="0.3">
      <c r="A1186" s="7" t="s">
        <v>1196</v>
      </c>
      <c r="B1186" s="7" t="s">
        <v>12</v>
      </c>
      <c r="C1186" t="s">
        <v>3</v>
      </c>
    </row>
    <row r="1187" spans="1:3" x14ac:dyDescent="0.3">
      <c r="A1187" s="7" t="s">
        <v>1197</v>
      </c>
      <c r="B1187" s="7" t="s">
        <v>12</v>
      </c>
      <c r="C1187" t="s">
        <v>2</v>
      </c>
    </row>
    <row r="1188" spans="1:3" x14ac:dyDescent="0.3">
      <c r="A1188" s="7" t="s">
        <v>1198</v>
      </c>
      <c r="B1188" s="7" t="s">
        <v>12</v>
      </c>
      <c r="C1188" t="s">
        <v>2</v>
      </c>
    </row>
    <row r="1189" spans="1:3" x14ac:dyDescent="0.3">
      <c r="A1189" s="7" t="s">
        <v>1199</v>
      </c>
      <c r="B1189" s="7" t="s">
        <v>12</v>
      </c>
      <c r="C1189" t="s">
        <v>3678</v>
      </c>
    </row>
    <row r="1190" spans="1:3" x14ac:dyDescent="0.3">
      <c r="A1190" s="7" t="s">
        <v>1200</v>
      </c>
      <c r="B1190" s="7" t="s">
        <v>12</v>
      </c>
      <c r="C1190" t="s">
        <v>2</v>
      </c>
    </row>
    <row r="1191" spans="1:3" x14ac:dyDescent="0.3">
      <c r="A1191" s="7" t="s">
        <v>1201</v>
      </c>
      <c r="B1191" s="7" t="s">
        <v>12</v>
      </c>
      <c r="C1191" t="s">
        <v>2</v>
      </c>
    </row>
    <row r="1192" spans="1:3" x14ac:dyDescent="0.3">
      <c r="A1192" s="7" t="s">
        <v>1202</v>
      </c>
      <c r="B1192" s="7" t="s">
        <v>12</v>
      </c>
      <c r="C1192" t="s">
        <v>2</v>
      </c>
    </row>
    <row r="1193" spans="1:3" x14ac:dyDescent="0.3">
      <c r="A1193" s="7" t="s">
        <v>1203</v>
      </c>
      <c r="B1193" s="7" t="s">
        <v>12</v>
      </c>
      <c r="C1193" t="s">
        <v>2</v>
      </c>
    </row>
    <row r="1194" spans="1:3" x14ac:dyDescent="0.3">
      <c r="A1194" s="7" t="s">
        <v>1204</v>
      </c>
      <c r="B1194" s="7" t="s">
        <v>12</v>
      </c>
      <c r="C1194" t="s">
        <v>2</v>
      </c>
    </row>
    <row r="1195" spans="1:3" x14ac:dyDescent="0.3">
      <c r="A1195" s="7" t="s">
        <v>1205</v>
      </c>
      <c r="B1195" s="7" t="s">
        <v>12</v>
      </c>
      <c r="C1195" t="s">
        <v>2</v>
      </c>
    </row>
    <row r="1196" spans="1:3" x14ac:dyDescent="0.3">
      <c r="A1196" s="7" t="s">
        <v>1206</v>
      </c>
      <c r="B1196" s="7" t="s">
        <v>12</v>
      </c>
      <c r="C1196" t="s">
        <v>3678</v>
      </c>
    </row>
    <row r="1197" spans="1:3" x14ac:dyDescent="0.3">
      <c r="A1197" s="7" t="s">
        <v>1207</v>
      </c>
      <c r="B1197" s="7" t="s">
        <v>12</v>
      </c>
      <c r="C1197" t="s">
        <v>3678</v>
      </c>
    </row>
    <row r="1198" spans="1:3" x14ac:dyDescent="0.3">
      <c r="A1198" s="7" t="s">
        <v>1208</v>
      </c>
      <c r="B1198" s="7" t="s">
        <v>12</v>
      </c>
      <c r="C1198" t="s">
        <v>3678</v>
      </c>
    </row>
    <row r="1199" spans="1:3" x14ac:dyDescent="0.3">
      <c r="A1199" s="7" t="s">
        <v>1209</v>
      </c>
      <c r="B1199" s="7" t="s">
        <v>12</v>
      </c>
      <c r="C1199" t="s">
        <v>3678</v>
      </c>
    </row>
    <row r="1200" spans="1:3" x14ac:dyDescent="0.3">
      <c r="A1200" s="7" t="s">
        <v>1210</v>
      </c>
      <c r="B1200" s="7" t="s">
        <v>12</v>
      </c>
      <c r="C1200" t="s">
        <v>3678</v>
      </c>
    </row>
    <row r="1201" spans="1:3" x14ac:dyDescent="0.3">
      <c r="A1201" s="7" t="s">
        <v>1211</v>
      </c>
      <c r="B1201" s="7" t="s">
        <v>12</v>
      </c>
      <c r="C1201" t="s">
        <v>2</v>
      </c>
    </row>
    <row r="1202" spans="1:3" x14ac:dyDescent="0.3">
      <c r="A1202" s="7" t="s">
        <v>1212</v>
      </c>
      <c r="B1202" s="7" t="s">
        <v>12</v>
      </c>
      <c r="C1202" t="s">
        <v>2</v>
      </c>
    </row>
    <row r="1203" spans="1:3" x14ac:dyDescent="0.3">
      <c r="A1203" s="7" t="s">
        <v>1213</v>
      </c>
      <c r="B1203" s="7" t="s">
        <v>12</v>
      </c>
      <c r="C1203" t="s">
        <v>2</v>
      </c>
    </row>
    <row r="1204" spans="1:3" x14ac:dyDescent="0.3">
      <c r="A1204" s="7" t="s">
        <v>1214</v>
      </c>
      <c r="B1204" s="7" t="s">
        <v>12</v>
      </c>
      <c r="C1204" t="s">
        <v>2</v>
      </c>
    </row>
    <row r="1205" spans="1:3" x14ac:dyDescent="0.3">
      <c r="A1205" s="7" t="s">
        <v>1215</v>
      </c>
      <c r="B1205" s="7" t="s">
        <v>12</v>
      </c>
      <c r="C1205" t="s">
        <v>2</v>
      </c>
    </row>
    <row r="1206" spans="1:3" x14ac:dyDescent="0.3">
      <c r="A1206" s="7" t="s">
        <v>1216</v>
      </c>
      <c r="B1206" s="7" t="s">
        <v>12</v>
      </c>
      <c r="C1206" t="s">
        <v>2</v>
      </c>
    </row>
    <row r="1207" spans="1:3" x14ac:dyDescent="0.3">
      <c r="A1207" s="7" t="s">
        <v>1217</v>
      </c>
      <c r="B1207" s="7" t="s">
        <v>12</v>
      </c>
      <c r="C1207" t="s">
        <v>2</v>
      </c>
    </row>
    <row r="1208" spans="1:3" x14ac:dyDescent="0.3">
      <c r="A1208" s="7" t="s">
        <v>1218</v>
      </c>
      <c r="B1208" s="7" t="s">
        <v>12</v>
      </c>
      <c r="C1208" t="s">
        <v>2</v>
      </c>
    </row>
    <row r="1209" spans="1:3" x14ac:dyDescent="0.3">
      <c r="A1209" s="7" t="s">
        <v>1219</v>
      </c>
      <c r="B1209" s="7" t="s">
        <v>12</v>
      </c>
      <c r="C1209" t="s">
        <v>2</v>
      </c>
    </row>
    <row r="1210" spans="1:3" x14ac:dyDescent="0.3">
      <c r="A1210" s="7" t="s">
        <v>1220</v>
      </c>
      <c r="B1210" s="7" t="s">
        <v>12</v>
      </c>
      <c r="C1210" t="s">
        <v>2</v>
      </c>
    </row>
    <row r="1211" spans="1:3" x14ac:dyDescent="0.3">
      <c r="A1211" s="7" t="s">
        <v>1221</v>
      </c>
      <c r="B1211" s="7" t="s">
        <v>12</v>
      </c>
      <c r="C1211" t="s">
        <v>2</v>
      </c>
    </row>
    <row r="1212" spans="1:3" x14ac:dyDescent="0.3">
      <c r="A1212" s="7" t="s">
        <v>1222</v>
      </c>
      <c r="B1212" s="7" t="s">
        <v>12</v>
      </c>
      <c r="C1212" t="s">
        <v>2</v>
      </c>
    </row>
    <row r="1213" spans="1:3" x14ac:dyDescent="0.3">
      <c r="A1213" s="7" t="s">
        <v>1223</v>
      </c>
      <c r="B1213" s="7" t="s">
        <v>12</v>
      </c>
      <c r="C1213" t="s">
        <v>2</v>
      </c>
    </row>
    <row r="1214" spans="1:3" x14ac:dyDescent="0.3">
      <c r="A1214" s="7" t="s">
        <v>1224</v>
      </c>
      <c r="B1214" s="7" t="s">
        <v>12</v>
      </c>
      <c r="C1214" t="s">
        <v>2</v>
      </c>
    </row>
    <row r="1215" spans="1:3" x14ac:dyDescent="0.3">
      <c r="A1215" s="7" t="s">
        <v>1225</v>
      </c>
      <c r="B1215" s="7" t="s">
        <v>12</v>
      </c>
      <c r="C1215" t="s">
        <v>2</v>
      </c>
    </row>
    <row r="1216" spans="1:3" x14ac:dyDescent="0.3">
      <c r="A1216" s="7" t="s">
        <v>1226</v>
      </c>
      <c r="B1216" s="7" t="s">
        <v>12</v>
      </c>
      <c r="C1216" t="s">
        <v>2</v>
      </c>
    </row>
    <row r="1217" spans="1:3" x14ac:dyDescent="0.3">
      <c r="A1217" s="7" t="s">
        <v>1227</v>
      </c>
      <c r="B1217" s="7" t="s">
        <v>12</v>
      </c>
      <c r="C1217" t="s">
        <v>2</v>
      </c>
    </row>
    <row r="1218" spans="1:3" x14ac:dyDescent="0.3">
      <c r="A1218" s="7" t="s">
        <v>1228</v>
      </c>
      <c r="B1218" s="7" t="s">
        <v>12</v>
      </c>
      <c r="C1218" t="s">
        <v>2</v>
      </c>
    </row>
    <row r="1219" spans="1:3" x14ac:dyDescent="0.3">
      <c r="A1219" s="7" t="s">
        <v>1229</v>
      </c>
      <c r="B1219" s="7" t="s">
        <v>12</v>
      </c>
      <c r="C1219" t="s">
        <v>2</v>
      </c>
    </row>
    <row r="1220" spans="1:3" x14ac:dyDescent="0.3">
      <c r="A1220" s="7" t="s">
        <v>1230</v>
      </c>
      <c r="B1220" s="7" t="s">
        <v>12</v>
      </c>
      <c r="C1220" t="s">
        <v>2</v>
      </c>
    </row>
    <row r="1221" spans="1:3" x14ac:dyDescent="0.3">
      <c r="A1221" s="7" t="s">
        <v>1231</v>
      </c>
      <c r="B1221" s="7" t="s">
        <v>12</v>
      </c>
      <c r="C1221" t="s">
        <v>2</v>
      </c>
    </row>
    <row r="1222" spans="1:3" x14ac:dyDescent="0.3">
      <c r="A1222" s="7" t="s">
        <v>1232</v>
      </c>
      <c r="B1222" s="7" t="s">
        <v>12</v>
      </c>
      <c r="C1222" t="s">
        <v>2</v>
      </c>
    </row>
    <row r="1223" spans="1:3" x14ac:dyDescent="0.3">
      <c r="A1223" s="7" t="s">
        <v>1233</v>
      </c>
      <c r="B1223" s="7" t="s">
        <v>12</v>
      </c>
      <c r="C1223" t="s">
        <v>2</v>
      </c>
    </row>
    <row r="1224" spans="1:3" x14ac:dyDescent="0.3">
      <c r="A1224" s="7" t="s">
        <v>1234</v>
      </c>
      <c r="B1224" s="7" t="s">
        <v>12</v>
      </c>
      <c r="C1224" t="s">
        <v>2</v>
      </c>
    </row>
    <row r="1225" spans="1:3" x14ac:dyDescent="0.3">
      <c r="A1225" s="7" t="s">
        <v>1235</v>
      </c>
      <c r="B1225" s="7" t="s">
        <v>12</v>
      </c>
      <c r="C1225" t="s">
        <v>2</v>
      </c>
    </row>
    <row r="1226" spans="1:3" x14ac:dyDescent="0.3">
      <c r="A1226" s="7" t="s">
        <v>1236</v>
      </c>
      <c r="B1226" s="7" t="s">
        <v>12</v>
      </c>
      <c r="C1226" t="s">
        <v>2</v>
      </c>
    </row>
    <row r="1227" spans="1:3" x14ac:dyDescent="0.3">
      <c r="A1227" s="7" t="s">
        <v>1237</v>
      </c>
      <c r="B1227" s="7" t="s">
        <v>12</v>
      </c>
      <c r="C1227" t="s">
        <v>2</v>
      </c>
    </row>
    <row r="1228" spans="1:3" x14ac:dyDescent="0.3">
      <c r="A1228" s="7" t="s">
        <v>1238</v>
      </c>
      <c r="B1228" s="7" t="s">
        <v>12</v>
      </c>
      <c r="C1228" t="s">
        <v>2</v>
      </c>
    </row>
    <row r="1229" spans="1:3" x14ac:dyDescent="0.3">
      <c r="A1229" s="7" t="s">
        <v>1239</v>
      </c>
      <c r="B1229" s="7" t="s">
        <v>12</v>
      </c>
      <c r="C1229" t="s">
        <v>2</v>
      </c>
    </row>
    <row r="1230" spans="1:3" x14ac:dyDescent="0.3">
      <c r="A1230" s="7" t="s">
        <v>1240</v>
      </c>
      <c r="B1230" s="7" t="s">
        <v>12</v>
      </c>
      <c r="C1230" t="s">
        <v>2</v>
      </c>
    </row>
    <row r="1231" spans="1:3" x14ac:dyDescent="0.3">
      <c r="A1231" s="7" t="s">
        <v>1241</v>
      </c>
      <c r="B1231" s="7" t="s">
        <v>12</v>
      </c>
      <c r="C1231" t="s">
        <v>2</v>
      </c>
    </row>
    <row r="1232" spans="1:3" x14ac:dyDescent="0.3">
      <c r="A1232" s="7" t="s">
        <v>1242</v>
      </c>
      <c r="B1232" s="7" t="s">
        <v>12</v>
      </c>
      <c r="C1232" t="s">
        <v>2</v>
      </c>
    </row>
    <row r="1233" spans="1:3" x14ac:dyDescent="0.3">
      <c r="A1233" s="7" t="s">
        <v>1243</v>
      </c>
      <c r="B1233" s="7" t="s">
        <v>12</v>
      </c>
      <c r="C1233" t="s">
        <v>2</v>
      </c>
    </row>
    <row r="1234" spans="1:3" x14ac:dyDescent="0.3">
      <c r="A1234" s="7" t="s">
        <v>1244</v>
      </c>
      <c r="B1234" s="7" t="s">
        <v>12</v>
      </c>
      <c r="C1234" t="s">
        <v>2</v>
      </c>
    </row>
    <row r="1235" spans="1:3" x14ac:dyDescent="0.3">
      <c r="A1235" s="7" t="s">
        <v>1245</v>
      </c>
      <c r="B1235" s="7" t="s">
        <v>12</v>
      </c>
      <c r="C1235" t="s">
        <v>2</v>
      </c>
    </row>
    <row r="1236" spans="1:3" x14ac:dyDescent="0.3">
      <c r="A1236" s="7" t="s">
        <v>1246</v>
      </c>
      <c r="B1236" s="7" t="s">
        <v>12</v>
      </c>
      <c r="C1236" t="s">
        <v>2</v>
      </c>
    </row>
    <row r="1237" spans="1:3" x14ac:dyDescent="0.3">
      <c r="A1237" s="7" t="s">
        <v>1247</v>
      </c>
      <c r="B1237" s="7" t="s">
        <v>12</v>
      </c>
      <c r="C1237" t="s">
        <v>2</v>
      </c>
    </row>
    <row r="1238" spans="1:3" x14ac:dyDescent="0.3">
      <c r="A1238" s="7" t="s">
        <v>1248</v>
      </c>
      <c r="B1238" s="7" t="s">
        <v>12</v>
      </c>
      <c r="C1238" t="s">
        <v>2</v>
      </c>
    </row>
    <row r="1239" spans="1:3" x14ac:dyDescent="0.3">
      <c r="A1239" s="7" t="s">
        <v>1249</v>
      </c>
      <c r="B1239" s="7" t="s">
        <v>12</v>
      </c>
      <c r="C1239" t="s">
        <v>2</v>
      </c>
    </row>
    <row r="1240" spans="1:3" x14ac:dyDescent="0.3">
      <c r="A1240" s="7" t="s">
        <v>1250</v>
      </c>
      <c r="B1240" s="7" t="s">
        <v>12</v>
      </c>
      <c r="C1240" t="s">
        <v>2</v>
      </c>
    </row>
    <row r="1241" spans="1:3" x14ac:dyDescent="0.3">
      <c r="A1241" s="7" t="s">
        <v>1251</v>
      </c>
      <c r="B1241" s="7" t="s">
        <v>12</v>
      </c>
      <c r="C1241" t="s">
        <v>2</v>
      </c>
    </row>
    <row r="1242" spans="1:3" x14ac:dyDescent="0.3">
      <c r="A1242" s="7" t="s">
        <v>1252</v>
      </c>
      <c r="B1242" s="7" t="s">
        <v>12</v>
      </c>
      <c r="C1242" t="s">
        <v>2</v>
      </c>
    </row>
    <row r="1243" spans="1:3" x14ac:dyDescent="0.3">
      <c r="A1243" s="7" t="s">
        <v>1253</v>
      </c>
      <c r="B1243" s="7" t="s">
        <v>12</v>
      </c>
      <c r="C1243" t="s">
        <v>2</v>
      </c>
    </row>
    <row r="1244" spans="1:3" x14ac:dyDescent="0.3">
      <c r="A1244" s="7" t="s">
        <v>1254</v>
      </c>
      <c r="B1244" s="7" t="s">
        <v>12</v>
      </c>
      <c r="C1244" t="s">
        <v>2</v>
      </c>
    </row>
    <row r="1245" spans="1:3" x14ac:dyDescent="0.3">
      <c r="A1245" s="7" t="s">
        <v>1255</v>
      </c>
      <c r="B1245" s="7" t="s">
        <v>12</v>
      </c>
      <c r="C1245" t="s">
        <v>2</v>
      </c>
    </row>
    <row r="1246" spans="1:3" x14ac:dyDescent="0.3">
      <c r="A1246" s="7" t="s">
        <v>1256</v>
      </c>
      <c r="B1246" s="7" t="s">
        <v>12</v>
      </c>
      <c r="C1246" t="s">
        <v>2</v>
      </c>
    </row>
    <row r="1247" spans="1:3" x14ac:dyDescent="0.3">
      <c r="A1247" s="7" t="s">
        <v>1257</v>
      </c>
      <c r="B1247" s="7" t="s">
        <v>12</v>
      </c>
      <c r="C1247" t="s">
        <v>2</v>
      </c>
    </row>
    <row r="1248" spans="1:3" x14ac:dyDescent="0.3">
      <c r="A1248" s="7" t="s">
        <v>1258</v>
      </c>
      <c r="B1248" s="7" t="s">
        <v>12</v>
      </c>
      <c r="C1248" t="s">
        <v>2</v>
      </c>
    </row>
    <row r="1249" spans="1:3" x14ac:dyDescent="0.3">
      <c r="A1249" s="7" t="s">
        <v>1259</v>
      </c>
      <c r="B1249" s="7" t="s">
        <v>12</v>
      </c>
      <c r="C1249" t="s">
        <v>2</v>
      </c>
    </row>
    <row r="1250" spans="1:3" x14ac:dyDescent="0.3">
      <c r="A1250" s="7" t="s">
        <v>1260</v>
      </c>
      <c r="B1250" s="7" t="s">
        <v>12</v>
      </c>
      <c r="C1250" t="s">
        <v>2</v>
      </c>
    </row>
    <row r="1251" spans="1:3" x14ac:dyDescent="0.3">
      <c r="A1251" s="7" t="s">
        <v>1261</v>
      </c>
      <c r="B1251" s="7" t="s">
        <v>12</v>
      </c>
      <c r="C1251" t="s">
        <v>2</v>
      </c>
    </row>
    <row r="1252" spans="1:3" x14ac:dyDescent="0.3">
      <c r="A1252" s="7" t="s">
        <v>1262</v>
      </c>
      <c r="B1252" s="7" t="s">
        <v>12</v>
      </c>
      <c r="C1252" t="s">
        <v>2</v>
      </c>
    </row>
    <row r="1253" spans="1:3" x14ac:dyDescent="0.3">
      <c r="A1253" s="7" t="s">
        <v>1263</v>
      </c>
      <c r="B1253" s="7" t="s">
        <v>12</v>
      </c>
      <c r="C1253" t="s">
        <v>2</v>
      </c>
    </row>
    <row r="1254" spans="1:3" x14ac:dyDescent="0.3">
      <c r="A1254" s="7" t="s">
        <v>1264</v>
      </c>
      <c r="B1254" s="7" t="s">
        <v>12</v>
      </c>
      <c r="C1254" t="s">
        <v>2</v>
      </c>
    </row>
    <row r="1255" spans="1:3" x14ac:dyDescent="0.3">
      <c r="A1255" s="7" t="s">
        <v>1265</v>
      </c>
      <c r="B1255" s="7" t="s">
        <v>12</v>
      </c>
      <c r="C1255" t="s">
        <v>2</v>
      </c>
    </row>
    <row r="1256" spans="1:3" x14ac:dyDescent="0.3">
      <c r="A1256" s="7" t="s">
        <v>1266</v>
      </c>
      <c r="B1256" s="7" t="s">
        <v>12</v>
      </c>
      <c r="C1256" t="s">
        <v>2</v>
      </c>
    </row>
    <row r="1257" spans="1:3" x14ac:dyDescent="0.3">
      <c r="A1257" s="7" t="s">
        <v>1267</v>
      </c>
      <c r="B1257" s="7" t="s">
        <v>12</v>
      </c>
      <c r="C1257" t="s">
        <v>2</v>
      </c>
    </row>
    <row r="1258" spans="1:3" x14ac:dyDescent="0.3">
      <c r="A1258" s="7" t="s">
        <v>1268</v>
      </c>
      <c r="B1258" s="7" t="s">
        <v>12</v>
      </c>
      <c r="C1258" t="s">
        <v>2</v>
      </c>
    </row>
    <row r="1259" spans="1:3" x14ac:dyDescent="0.3">
      <c r="A1259" s="7" t="s">
        <v>1269</v>
      </c>
      <c r="B1259" s="7" t="s">
        <v>12</v>
      </c>
      <c r="C1259" t="s">
        <v>2</v>
      </c>
    </row>
    <row r="1260" spans="1:3" x14ac:dyDescent="0.3">
      <c r="A1260" s="7" t="s">
        <v>1270</v>
      </c>
      <c r="B1260" s="7" t="s">
        <v>12</v>
      </c>
      <c r="C1260" t="s">
        <v>2</v>
      </c>
    </row>
    <row r="1261" spans="1:3" x14ac:dyDescent="0.3">
      <c r="A1261" s="7" t="s">
        <v>1271</v>
      </c>
      <c r="B1261" s="7" t="s">
        <v>12</v>
      </c>
      <c r="C1261" t="s">
        <v>2</v>
      </c>
    </row>
    <row r="1262" spans="1:3" x14ac:dyDescent="0.3">
      <c r="A1262" s="7" t="s">
        <v>1272</v>
      </c>
      <c r="B1262" s="7" t="s">
        <v>12</v>
      </c>
      <c r="C1262" t="s">
        <v>2</v>
      </c>
    </row>
    <row r="1263" spans="1:3" x14ac:dyDescent="0.3">
      <c r="A1263" s="7" t="s">
        <v>1273</v>
      </c>
      <c r="B1263" s="7" t="s">
        <v>12</v>
      </c>
      <c r="C1263" t="s">
        <v>2</v>
      </c>
    </row>
    <row r="1264" spans="1:3" x14ac:dyDescent="0.3">
      <c r="A1264" s="7" t="s">
        <v>1274</v>
      </c>
      <c r="B1264" s="7" t="s">
        <v>12</v>
      </c>
      <c r="C1264" t="s">
        <v>2</v>
      </c>
    </row>
    <row r="1265" spans="1:3" x14ac:dyDescent="0.3">
      <c r="A1265" s="7" t="s">
        <v>1275</v>
      </c>
      <c r="B1265" s="7" t="s">
        <v>12</v>
      </c>
      <c r="C1265" t="s">
        <v>3</v>
      </c>
    </row>
    <row r="1266" spans="1:3" x14ac:dyDescent="0.3">
      <c r="A1266" s="7" t="s">
        <v>1276</v>
      </c>
      <c r="B1266" s="7" t="s">
        <v>12</v>
      </c>
      <c r="C1266" t="s">
        <v>3</v>
      </c>
    </row>
    <row r="1267" spans="1:3" x14ac:dyDescent="0.3">
      <c r="A1267" s="7" t="s">
        <v>1277</v>
      </c>
      <c r="B1267" s="7" t="s">
        <v>12</v>
      </c>
      <c r="C1267" t="s">
        <v>3</v>
      </c>
    </row>
    <row r="1268" spans="1:3" x14ac:dyDescent="0.3">
      <c r="A1268" s="7" t="s">
        <v>1278</v>
      </c>
      <c r="B1268" s="7" t="s">
        <v>12</v>
      </c>
      <c r="C1268" t="s">
        <v>3</v>
      </c>
    </row>
    <row r="1269" spans="1:3" x14ac:dyDescent="0.3">
      <c r="A1269" s="7" t="s">
        <v>1279</v>
      </c>
      <c r="B1269" s="7" t="s">
        <v>12</v>
      </c>
      <c r="C1269" t="s">
        <v>3</v>
      </c>
    </row>
    <row r="1270" spans="1:3" x14ac:dyDescent="0.3">
      <c r="A1270" s="7" t="s">
        <v>1280</v>
      </c>
      <c r="B1270" s="7" t="s">
        <v>12</v>
      </c>
      <c r="C1270" t="s">
        <v>3</v>
      </c>
    </row>
    <row r="1271" spans="1:3" x14ac:dyDescent="0.3">
      <c r="A1271" s="7" t="s">
        <v>1281</v>
      </c>
      <c r="B1271" s="7" t="s">
        <v>12</v>
      </c>
      <c r="C1271" t="s">
        <v>2</v>
      </c>
    </row>
    <row r="1272" spans="1:3" x14ac:dyDescent="0.3">
      <c r="A1272" s="7" t="s">
        <v>1282</v>
      </c>
      <c r="B1272" s="7" t="s">
        <v>12</v>
      </c>
      <c r="C1272" t="s">
        <v>2</v>
      </c>
    </row>
    <row r="1273" spans="1:3" x14ac:dyDescent="0.3">
      <c r="A1273" s="7" t="s">
        <v>1283</v>
      </c>
      <c r="B1273" s="7" t="s">
        <v>12</v>
      </c>
      <c r="C1273" t="s">
        <v>2</v>
      </c>
    </row>
    <row r="1274" spans="1:3" x14ac:dyDescent="0.3">
      <c r="A1274" s="7" t="s">
        <v>1284</v>
      </c>
      <c r="B1274" s="7" t="s">
        <v>12</v>
      </c>
      <c r="C1274" t="s">
        <v>2</v>
      </c>
    </row>
    <row r="1275" spans="1:3" x14ac:dyDescent="0.3">
      <c r="A1275" s="7" t="s">
        <v>1285</v>
      </c>
      <c r="B1275" s="7" t="s">
        <v>12</v>
      </c>
      <c r="C1275" t="s">
        <v>2</v>
      </c>
    </row>
    <row r="1276" spans="1:3" x14ac:dyDescent="0.3">
      <c r="A1276" s="7" t="s">
        <v>1286</v>
      </c>
      <c r="B1276" s="7" t="s">
        <v>12</v>
      </c>
      <c r="C1276" t="s">
        <v>2</v>
      </c>
    </row>
    <row r="1277" spans="1:3" x14ac:dyDescent="0.3">
      <c r="A1277" s="7" t="s">
        <v>1287</v>
      </c>
      <c r="B1277" s="7" t="s">
        <v>12</v>
      </c>
      <c r="C1277" t="s">
        <v>2</v>
      </c>
    </row>
    <row r="1278" spans="1:3" x14ac:dyDescent="0.3">
      <c r="A1278" s="7" t="s">
        <v>1288</v>
      </c>
      <c r="B1278" s="7" t="s">
        <v>12</v>
      </c>
      <c r="C1278" t="s">
        <v>2</v>
      </c>
    </row>
    <row r="1279" spans="1:3" x14ac:dyDescent="0.3">
      <c r="A1279" s="7" t="s">
        <v>1289</v>
      </c>
      <c r="B1279" s="7" t="s">
        <v>12</v>
      </c>
      <c r="C1279" t="s">
        <v>2</v>
      </c>
    </row>
    <row r="1280" spans="1:3" x14ac:dyDescent="0.3">
      <c r="A1280" s="7" t="s">
        <v>1290</v>
      </c>
      <c r="B1280" s="7" t="s">
        <v>12</v>
      </c>
      <c r="C1280" t="s">
        <v>2</v>
      </c>
    </row>
    <row r="1281" spans="1:3" x14ac:dyDescent="0.3">
      <c r="A1281" s="7" t="s">
        <v>1291</v>
      </c>
      <c r="B1281" s="7" t="s">
        <v>12</v>
      </c>
      <c r="C1281" t="s">
        <v>2</v>
      </c>
    </row>
    <row r="1282" spans="1:3" x14ac:dyDescent="0.3">
      <c r="A1282" s="7" t="s">
        <v>1292</v>
      </c>
      <c r="B1282" s="7" t="s">
        <v>12</v>
      </c>
      <c r="C1282" t="s">
        <v>2</v>
      </c>
    </row>
    <row r="1283" spans="1:3" x14ac:dyDescent="0.3">
      <c r="A1283" s="7" t="s">
        <v>1293</v>
      </c>
      <c r="B1283" s="7" t="s">
        <v>12</v>
      </c>
      <c r="C1283" t="s">
        <v>2</v>
      </c>
    </row>
    <row r="1284" spans="1:3" x14ac:dyDescent="0.3">
      <c r="A1284" s="7" t="s">
        <v>1294</v>
      </c>
      <c r="B1284" s="7" t="s">
        <v>12</v>
      </c>
      <c r="C1284" t="s">
        <v>2</v>
      </c>
    </row>
    <row r="1285" spans="1:3" x14ac:dyDescent="0.3">
      <c r="A1285" s="7" t="s">
        <v>1295</v>
      </c>
      <c r="B1285" s="7" t="s">
        <v>12</v>
      </c>
      <c r="C1285" t="s">
        <v>2</v>
      </c>
    </row>
    <row r="1286" spans="1:3" x14ac:dyDescent="0.3">
      <c r="A1286" s="7" t="s">
        <v>1296</v>
      </c>
      <c r="B1286" s="7" t="s">
        <v>12</v>
      </c>
      <c r="C1286" t="s">
        <v>2</v>
      </c>
    </row>
    <row r="1287" spans="1:3" x14ac:dyDescent="0.3">
      <c r="A1287" s="7" t="s">
        <v>1297</v>
      </c>
      <c r="B1287" s="7" t="s">
        <v>12</v>
      </c>
      <c r="C1287" t="s">
        <v>2</v>
      </c>
    </row>
    <row r="1288" spans="1:3" x14ac:dyDescent="0.3">
      <c r="A1288" s="7" t="s">
        <v>1298</v>
      </c>
      <c r="B1288" s="7" t="s">
        <v>12</v>
      </c>
      <c r="C1288" t="s">
        <v>2</v>
      </c>
    </row>
    <row r="1289" spans="1:3" x14ac:dyDescent="0.3">
      <c r="A1289" s="7" t="s">
        <v>1299</v>
      </c>
      <c r="B1289" s="7" t="s">
        <v>12</v>
      </c>
      <c r="C1289" t="s">
        <v>2</v>
      </c>
    </row>
    <row r="1290" spans="1:3" x14ac:dyDescent="0.3">
      <c r="A1290" s="7" t="s">
        <v>1300</v>
      </c>
      <c r="B1290" s="7" t="s">
        <v>12</v>
      </c>
      <c r="C1290" t="s">
        <v>2</v>
      </c>
    </row>
    <row r="1291" spans="1:3" x14ac:dyDescent="0.3">
      <c r="A1291" s="7" t="s">
        <v>1301</v>
      </c>
      <c r="B1291" s="7" t="s">
        <v>12</v>
      </c>
      <c r="C1291" t="s">
        <v>2</v>
      </c>
    </row>
    <row r="1292" spans="1:3" x14ac:dyDescent="0.3">
      <c r="A1292" s="7" t="s">
        <v>1302</v>
      </c>
      <c r="B1292" s="7" t="s">
        <v>12</v>
      </c>
      <c r="C1292" t="s">
        <v>2</v>
      </c>
    </row>
    <row r="1293" spans="1:3" x14ac:dyDescent="0.3">
      <c r="A1293" s="7" t="s">
        <v>1303</v>
      </c>
      <c r="B1293" s="7" t="s">
        <v>12</v>
      </c>
      <c r="C1293" t="s">
        <v>2</v>
      </c>
    </row>
    <row r="1294" spans="1:3" x14ac:dyDescent="0.3">
      <c r="A1294" s="7" t="s">
        <v>1304</v>
      </c>
      <c r="B1294" s="7" t="s">
        <v>12</v>
      </c>
      <c r="C1294" t="s">
        <v>2</v>
      </c>
    </row>
    <row r="1295" spans="1:3" x14ac:dyDescent="0.3">
      <c r="A1295" s="7" t="s">
        <v>1305</v>
      </c>
      <c r="B1295" s="7" t="s">
        <v>12</v>
      </c>
      <c r="C1295" t="s">
        <v>2</v>
      </c>
    </row>
    <row r="1296" spans="1:3" x14ac:dyDescent="0.3">
      <c r="A1296" s="7" t="s">
        <v>1306</v>
      </c>
      <c r="B1296" s="7" t="s">
        <v>12</v>
      </c>
      <c r="C1296" t="s">
        <v>2</v>
      </c>
    </row>
    <row r="1297" spans="1:3" x14ac:dyDescent="0.3">
      <c r="A1297" s="7" t="s">
        <v>1307</v>
      </c>
      <c r="B1297" s="7" t="s">
        <v>12</v>
      </c>
      <c r="C1297" t="s">
        <v>2</v>
      </c>
    </row>
    <row r="1298" spans="1:3" x14ac:dyDescent="0.3">
      <c r="A1298" s="7" t="s">
        <v>1308</v>
      </c>
      <c r="B1298" s="7" t="s">
        <v>12</v>
      </c>
      <c r="C1298" t="s">
        <v>2</v>
      </c>
    </row>
    <row r="1299" spans="1:3" x14ac:dyDescent="0.3">
      <c r="A1299" s="7" t="s">
        <v>1309</v>
      </c>
      <c r="B1299" s="7" t="s">
        <v>12</v>
      </c>
      <c r="C1299" t="s">
        <v>2</v>
      </c>
    </row>
    <row r="1300" spans="1:3" x14ac:dyDescent="0.3">
      <c r="A1300" s="7" t="s">
        <v>1310</v>
      </c>
      <c r="B1300" s="7" t="s">
        <v>12</v>
      </c>
      <c r="C1300" t="s">
        <v>2</v>
      </c>
    </row>
    <row r="1301" spans="1:3" x14ac:dyDescent="0.3">
      <c r="A1301" s="7" t="s">
        <v>1311</v>
      </c>
      <c r="B1301" s="7" t="s">
        <v>12</v>
      </c>
      <c r="C1301" t="s">
        <v>2</v>
      </c>
    </row>
    <row r="1302" spans="1:3" x14ac:dyDescent="0.3">
      <c r="A1302" s="7" t="s">
        <v>1312</v>
      </c>
      <c r="B1302" s="7" t="s">
        <v>12</v>
      </c>
      <c r="C1302" t="s">
        <v>2</v>
      </c>
    </row>
    <row r="1303" spans="1:3" x14ac:dyDescent="0.3">
      <c r="A1303" s="7" t="s">
        <v>1313</v>
      </c>
      <c r="B1303" s="7" t="s">
        <v>12</v>
      </c>
      <c r="C1303" t="s">
        <v>2</v>
      </c>
    </row>
    <row r="1304" spans="1:3" x14ac:dyDescent="0.3">
      <c r="A1304" s="7" t="s">
        <v>1314</v>
      </c>
      <c r="B1304" s="7" t="s">
        <v>12</v>
      </c>
      <c r="C1304" t="s">
        <v>2</v>
      </c>
    </row>
    <row r="1305" spans="1:3" x14ac:dyDescent="0.3">
      <c r="A1305" s="7" t="s">
        <v>1315</v>
      </c>
      <c r="B1305" s="7" t="s">
        <v>12</v>
      </c>
      <c r="C1305" t="s">
        <v>2</v>
      </c>
    </row>
    <row r="1306" spans="1:3" x14ac:dyDescent="0.3">
      <c r="A1306" s="7" t="s">
        <v>1316</v>
      </c>
      <c r="B1306" s="7" t="s">
        <v>12</v>
      </c>
      <c r="C1306" t="s">
        <v>2</v>
      </c>
    </row>
    <row r="1307" spans="1:3" x14ac:dyDescent="0.3">
      <c r="A1307" s="7" t="s">
        <v>1317</v>
      </c>
      <c r="B1307" s="7" t="s">
        <v>12</v>
      </c>
      <c r="C1307" t="s">
        <v>2</v>
      </c>
    </row>
    <row r="1308" spans="1:3" x14ac:dyDescent="0.3">
      <c r="A1308" s="7" t="s">
        <v>1318</v>
      </c>
      <c r="B1308" s="7" t="s">
        <v>12</v>
      </c>
      <c r="C1308" t="s">
        <v>2</v>
      </c>
    </row>
    <row r="1309" spans="1:3" x14ac:dyDescent="0.3">
      <c r="A1309" s="7" t="s">
        <v>1319</v>
      </c>
      <c r="B1309" s="7" t="s">
        <v>12</v>
      </c>
      <c r="C1309" t="s">
        <v>2</v>
      </c>
    </row>
    <row r="1310" spans="1:3" x14ac:dyDescent="0.3">
      <c r="A1310" s="7" t="s">
        <v>1320</v>
      </c>
      <c r="B1310" s="7" t="s">
        <v>12</v>
      </c>
      <c r="C1310" t="s">
        <v>2</v>
      </c>
    </row>
    <row r="1311" spans="1:3" x14ac:dyDescent="0.3">
      <c r="A1311" s="7" t="s">
        <v>1321</v>
      </c>
      <c r="B1311" s="7" t="s">
        <v>12</v>
      </c>
      <c r="C1311" t="s">
        <v>2</v>
      </c>
    </row>
    <row r="1312" spans="1:3" x14ac:dyDescent="0.3">
      <c r="A1312" s="7" t="s">
        <v>1322</v>
      </c>
      <c r="B1312" s="7" t="s">
        <v>12</v>
      </c>
      <c r="C1312" t="s">
        <v>2</v>
      </c>
    </row>
    <row r="1313" spans="1:3" x14ac:dyDescent="0.3">
      <c r="A1313" s="7" t="s">
        <v>1323</v>
      </c>
      <c r="B1313" s="7" t="s">
        <v>12</v>
      </c>
      <c r="C1313" t="s">
        <v>2</v>
      </c>
    </row>
    <row r="1314" spans="1:3" x14ac:dyDescent="0.3">
      <c r="A1314" s="7" t="s">
        <v>1324</v>
      </c>
      <c r="B1314" s="7" t="s">
        <v>12</v>
      </c>
      <c r="C1314" t="s">
        <v>2</v>
      </c>
    </row>
    <row r="1315" spans="1:3" x14ac:dyDescent="0.3">
      <c r="A1315" s="7" t="s">
        <v>1325</v>
      </c>
      <c r="B1315" s="7" t="s">
        <v>12</v>
      </c>
      <c r="C1315" t="s">
        <v>2</v>
      </c>
    </row>
    <row r="1316" spans="1:3" x14ac:dyDescent="0.3">
      <c r="A1316" s="7" t="s">
        <v>1326</v>
      </c>
      <c r="B1316" s="7" t="s">
        <v>12</v>
      </c>
      <c r="C1316" t="s">
        <v>2</v>
      </c>
    </row>
    <row r="1317" spans="1:3" x14ac:dyDescent="0.3">
      <c r="A1317" s="7" t="s">
        <v>1327</v>
      </c>
      <c r="B1317" s="7" t="s">
        <v>12</v>
      </c>
      <c r="C1317" t="s">
        <v>2</v>
      </c>
    </row>
    <row r="1318" spans="1:3" x14ac:dyDescent="0.3">
      <c r="A1318" s="7" t="s">
        <v>1328</v>
      </c>
      <c r="B1318" s="7" t="s">
        <v>12</v>
      </c>
      <c r="C1318" t="s">
        <v>2</v>
      </c>
    </row>
    <row r="1319" spans="1:3" x14ac:dyDescent="0.3">
      <c r="A1319" s="7" t="s">
        <v>1329</v>
      </c>
      <c r="B1319" s="7" t="s">
        <v>12</v>
      </c>
      <c r="C1319" t="s">
        <v>2</v>
      </c>
    </row>
    <row r="1320" spans="1:3" x14ac:dyDescent="0.3">
      <c r="A1320" s="7" t="s">
        <v>1330</v>
      </c>
      <c r="B1320" s="7" t="s">
        <v>12</v>
      </c>
      <c r="C1320" t="s">
        <v>2</v>
      </c>
    </row>
    <row r="1321" spans="1:3" x14ac:dyDescent="0.3">
      <c r="A1321" s="7" t="s">
        <v>1331</v>
      </c>
      <c r="B1321" s="7" t="s">
        <v>12</v>
      </c>
      <c r="C1321" t="s">
        <v>2</v>
      </c>
    </row>
    <row r="1322" spans="1:3" x14ac:dyDescent="0.3">
      <c r="A1322" s="7" t="s">
        <v>1332</v>
      </c>
      <c r="B1322" s="7" t="s">
        <v>12</v>
      </c>
      <c r="C1322" t="s">
        <v>2</v>
      </c>
    </row>
    <row r="1323" spans="1:3" x14ac:dyDescent="0.3">
      <c r="A1323" s="7" t="s">
        <v>1333</v>
      </c>
      <c r="B1323" s="7" t="s">
        <v>12</v>
      </c>
      <c r="C1323" t="s">
        <v>2</v>
      </c>
    </row>
    <row r="1324" spans="1:3" x14ac:dyDescent="0.3">
      <c r="A1324" s="7" t="s">
        <v>1334</v>
      </c>
      <c r="B1324" s="7" t="s">
        <v>12</v>
      </c>
      <c r="C1324" t="s">
        <v>2</v>
      </c>
    </row>
    <row r="1325" spans="1:3" x14ac:dyDescent="0.3">
      <c r="A1325" s="7" t="s">
        <v>1335</v>
      </c>
      <c r="B1325" s="7" t="s">
        <v>12</v>
      </c>
      <c r="C1325" t="s">
        <v>3</v>
      </c>
    </row>
    <row r="1326" spans="1:3" x14ac:dyDescent="0.3">
      <c r="A1326" s="7" t="s">
        <v>1336</v>
      </c>
      <c r="B1326" s="7" t="s">
        <v>12</v>
      </c>
      <c r="C1326" t="s">
        <v>3</v>
      </c>
    </row>
    <row r="1327" spans="1:3" x14ac:dyDescent="0.3">
      <c r="A1327" s="7" t="s">
        <v>1337</v>
      </c>
      <c r="B1327" s="7" t="s">
        <v>12</v>
      </c>
      <c r="C1327" t="s">
        <v>3</v>
      </c>
    </row>
    <row r="1328" spans="1:3" x14ac:dyDescent="0.3">
      <c r="A1328" s="7" t="s">
        <v>1338</v>
      </c>
      <c r="B1328" s="7" t="s">
        <v>12</v>
      </c>
      <c r="C1328" t="s">
        <v>3</v>
      </c>
    </row>
    <row r="1329" spans="1:3" x14ac:dyDescent="0.3">
      <c r="A1329" s="7" t="s">
        <v>1339</v>
      </c>
      <c r="B1329" s="7" t="s">
        <v>12</v>
      </c>
      <c r="C1329" t="s">
        <v>3</v>
      </c>
    </row>
    <row r="1330" spans="1:3" x14ac:dyDescent="0.3">
      <c r="A1330" s="7" t="s">
        <v>1340</v>
      </c>
      <c r="B1330" s="7" t="s">
        <v>12</v>
      </c>
      <c r="C1330" t="s">
        <v>3</v>
      </c>
    </row>
    <row r="1331" spans="1:3" x14ac:dyDescent="0.3">
      <c r="A1331" s="7" t="s">
        <v>1341</v>
      </c>
      <c r="B1331" s="7" t="s">
        <v>12</v>
      </c>
      <c r="C1331" t="s">
        <v>3</v>
      </c>
    </row>
    <row r="1332" spans="1:3" x14ac:dyDescent="0.3">
      <c r="A1332" s="7" t="s">
        <v>1342</v>
      </c>
      <c r="B1332" s="7" t="s">
        <v>12</v>
      </c>
      <c r="C1332" t="s">
        <v>3</v>
      </c>
    </row>
    <row r="1333" spans="1:3" x14ac:dyDescent="0.3">
      <c r="A1333" s="7" t="s">
        <v>1343</v>
      </c>
      <c r="B1333" s="7" t="s">
        <v>12</v>
      </c>
      <c r="C1333" t="s">
        <v>3</v>
      </c>
    </row>
    <row r="1334" spans="1:3" x14ac:dyDescent="0.3">
      <c r="A1334" s="7" t="s">
        <v>1344</v>
      </c>
      <c r="B1334" s="7" t="s">
        <v>12</v>
      </c>
      <c r="C1334" t="s">
        <v>3</v>
      </c>
    </row>
    <row r="1335" spans="1:3" x14ac:dyDescent="0.3">
      <c r="A1335" s="7" t="s">
        <v>1345</v>
      </c>
      <c r="B1335" s="7" t="s">
        <v>12</v>
      </c>
      <c r="C1335" t="s">
        <v>3</v>
      </c>
    </row>
    <row r="1336" spans="1:3" x14ac:dyDescent="0.3">
      <c r="A1336" s="7" t="s">
        <v>1346</v>
      </c>
      <c r="B1336" s="7" t="s">
        <v>12</v>
      </c>
      <c r="C1336" t="s">
        <v>2</v>
      </c>
    </row>
    <row r="1337" spans="1:3" x14ac:dyDescent="0.3">
      <c r="A1337" s="7" t="s">
        <v>1347</v>
      </c>
      <c r="B1337" s="7" t="s">
        <v>12</v>
      </c>
      <c r="C1337" t="s">
        <v>2</v>
      </c>
    </row>
    <row r="1338" spans="1:3" x14ac:dyDescent="0.3">
      <c r="A1338" s="7" t="s">
        <v>1348</v>
      </c>
      <c r="B1338" s="7" t="s">
        <v>12</v>
      </c>
      <c r="C1338" t="s">
        <v>2</v>
      </c>
    </row>
    <row r="1339" spans="1:3" x14ac:dyDescent="0.3">
      <c r="A1339" s="7" t="s">
        <v>1349</v>
      </c>
      <c r="B1339" s="7" t="s">
        <v>12</v>
      </c>
      <c r="C1339" t="s">
        <v>2</v>
      </c>
    </row>
    <row r="1340" spans="1:3" x14ac:dyDescent="0.3">
      <c r="A1340" s="7" t="s">
        <v>1350</v>
      </c>
      <c r="B1340" s="7" t="s">
        <v>12</v>
      </c>
      <c r="C1340" t="s">
        <v>2</v>
      </c>
    </row>
    <row r="1341" spans="1:3" x14ac:dyDescent="0.3">
      <c r="A1341" s="7" t="s">
        <v>1351</v>
      </c>
      <c r="B1341" s="7" t="s">
        <v>12</v>
      </c>
      <c r="C1341" t="s">
        <v>2</v>
      </c>
    </row>
    <row r="1342" spans="1:3" x14ac:dyDescent="0.3">
      <c r="A1342" s="7" t="s">
        <v>1352</v>
      </c>
      <c r="B1342" s="7" t="s">
        <v>12</v>
      </c>
      <c r="C1342" t="s">
        <v>2</v>
      </c>
    </row>
    <row r="1343" spans="1:3" x14ac:dyDescent="0.3">
      <c r="A1343" s="7" t="s">
        <v>1353</v>
      </c>
      <c r="B1343" s="7" t="s">
        <v>12</v>
      </c>
      <c r="C1343" t="s">
        <v>3678</v>
      </c>
    </row>
    <row r="1344" spans="1:3" x14ac:dyDescent="0.3">
      <c r="A1344" s="7" t="s">
        <v>1354</v>
      </c>
      <c r="B1344" s="7" t="s">
        <v>12</v>
      </c>
      <c r="C1344" t="s">
        <v>3678</v>
      </c>
    </row>
    <row r="1345" spans="1:3" x14ac:dyDescent="0.3">
      <c r="A1345" s="7" t="s">
        <v>1355</v>
      </c>
      <c r="B1345" s="7" t="s">
        <v>12</v>
      </c>
      <c r="C1345" t="s">
        <v>3678</v>
      </c>
    </row>
    <row r="1346" spans="1:3" x14ac:dyDescent="0.3">
      <c r="A1346" s="7" t="s">
        <v>1356</v>
      </c>
      <c r="B1346" s="7" t="s">
        <v>12</v>
      </c>
      <c r="C1346" t="s">
        <v>3678</v>
      </c>
    </row>
    <row r="1347" spans="1:3" x14ac:dyDescent="0.3">
      <c r="A1347" s="7" t="s">
        <v>1357</v>
      </c>
      <c r="B1347" s="7" t="s">
        <v>12</v>
      </c>
      <c r="C1347" t="s">
        <v>2</v>
      </c>
    </row>
    <row r="1348" spans="1:3" x14ac:dyDescent="0.3">
      <c r="A1348" s="7" t="s">
        <v>1358</v>
      </c>
      <c r="B1348" s="7" t="s">
        <v>12</v>
      </c>
      <c r="C1348" t="s">
        <v>2</v>
      </c>
    </row>
    <row r="1349" spans="1:3" x14ac:dyDescent="0.3">
      <c r="A1349" s="7" t="s">
        <v>1359</v>
      </c>
      <c r="B1349" s="7" t="s">
        <v>12</v>
      </c>
      <c r="C1349" t="s">
        <v>2</v>
      </c>
    </row>
    <row r="1350" spans="1:3" x14ac:dyDescent="0.3">
      <c r="A1350" s="7" t="s">
        <v>1360</v>
      </c>
      <c r="B1350" s="7" t="s">
        <v>12</v>
      </c>
      <c r="C1350" t="s">
        <v>2</v>
      </c>
    </row>
    <row r="1351" spans="1:3" x14ac:dyDescent="0.3">
      <c r="A1351" s="7" t="s">
        <v>1361</v>
      </c>
      <c r="B1351" s="7" t="s">
        <v>12</v>
      </c>
      <c r="C1351" t="s">
        <v>2</v>
      </c>
    </row>
    <row r="1352" spans="1:3" x14ac:dyDescent="0.3">
      <c r="A1352" s="7" t="s">
        <v>1362</v>
      </c>
      <c r="B1352" s="7" t="s">
        <v>12</v>
      </c>
      <c r="C1352" t="s">
        <v>3678</v>
      </c>
    </row>
    <row r="1353" spans="1:3" x14ac:dyDescent="0.3">
      <c r="A1353" s="7" t="s">
        <v>1363</v>
      </c>
      <c r="B1353" s="7" t="s">
        <v>12</v>
      </c>
      <c r="C1353" t="s">
        <v>3678</v>
      </c>
    </row>
    <row r="1354" spans="1:3" x14ac:dyDescent="0.3">
      <c r="A1354" s="7" t="s">
        <v>1364</v>
      </c>
      <c r="B1354" s="7" t="s">
        <v>12</v>
      </c>
      <c r="C1354" t="s">
        <v>3678</v>
      </c>
    </row>
    <row r="1355" spans="1:3" x14ac:dyDescent="0.3">
      <c r="A1355" s="7" t="s">
        <v>1365</v>
      </c>
      <c r="B1355" s="7" t="s">
        <v>12</v>
      </c>
      <c r="C1355" t="s">
        <v>3678</v>
      </c>
    </row>
    <row r="1356" spans="1:3" x14ac:dyDescent="0.3">
      <c r="A1356" s="7" t="s">
        <v>1366</v>
      </c>
      <c r="B1356" s="7" t="s">
        <v>12</v>
      </c>
      <c r="C1356" t="s">
        <v>2</v>
      </c>
    </row>
    <row r="1357" spans="1:3" x14ac:dyDescent="0.3">
      <c r="A1357" s="7" t="s">
        <v>1367</v>
      </c>
      <c r="B1357" s="7" t="s">
        <v>12</v>
      </c>
      <c r="C1357" t="s">
        <v>2</v>
      </c>
    </row>
    <row r="1358" spans="1:3" x14ac:dyDescent="0.3">
      <c r="A1358" s="7" t="s">
        <v>1368</v>
      </c>
      <c r="B1358" s="7" t="s">
        <v>12</v>
      </c>
      <c r="C1358" t="s">
        <v>2</v>
      </c>
    </row>
    <row r="1359" spans="1:3" x14ac:dyDescent="0.3">
      <c r="A1359" s="7" t="s">
        <v>1369</v>
      </c>
      <c r="B1359" s="7" t="s">
        <v>12</v>
      </c>
      <c r="C1359" t="s">
        <v>2</v>
      </c>
    </row>
    <row r="1360" spans="1:3" x14ac:dyDescent="0.3">
      <c r="A1360" s="7" t="s">
        <v>1370</v>
      </c>
      <c r="B1360" s="7" t="s">
        <v>12</v>
      </c>
      <c r="C1360" t="s">
        <v>2</v>
      </c>
    </row>
    <row r="1361" spans="1:3" x14ac:dyDescent="0.3">
      <c r="A1361" s="7" t="s">
        <v>1371</v>
      </c>
      <c r="B1361" s="7" t="s">
        <v>12</v>
      </c>
      <c r="C1361" t="s">
        <v>2</v>
      </c>
    </row>
    <row r="1362" spans="1:3" x14ac:dyDescent="0.3">
      <c r="A1362" s="7" t="s">
        <v>1372</v>
      </c>
      <c r="B1362" s="7" t="s">
        <v>12</v>
      </c>
      <c r="C1362" t="s">
        <v>3678</v>
      </c>
    </row>
    <row r="1363" spans="1:3" x14ac:dyDescent="0.3">
      <c r="A1363" s="7" t="s">
        <v>1373</v>
      </c>
      <c r="B1363" s="7" t="s">
        <v>12</v>
      </c>
      <c r="C1363" t="s">
        <v>3678</v>
      </c>
    </row>
    <row r="1364" spans="1:3" x14ac:dyDescent="0.3">
      <c r="A1364" s="7" t="s">
        <v>1374</v>
      </c>
      <c r="B1364" s="7" t="s">
        <v>12</v>
      </c>
      <c r="C1364" t="s">
        <v>3678</v>
      </c>
    </row>
    <row r="1365" spans="1:3" x14ac:dyDescent="0.3">
      <c r="A1365" s="7" t="s">
        <v>1375</v>
      </c>
      <c r="B1365" s="7" t="s">
        <v>12</v>
      </c>
      <c r="C1365" t="s">
        <v>3678</v>
      </c>
    </row>
    <row r="1366" spans="1:3" x14ac:dyDescent="0.3">
      <c r="A1366" s="7" t="s">
        <v>1376</v>
      </c>
      <c r="B1366" s="7" t="s">
        <v>12</v>
      </c>
      <c r="C1366" t="s">
        <v>3678</v>
      </c>
    </row>
    <row r="1367" spans="1:3" x14ac:dyDescent="0.3">
      <c r="A1367" s="7" t="s">
        <v>1377</v>
      </c>
      <c r="B1367" s="7" t="s">
        <v>12</v>
      </c>
      <c r="C1367" t="s">
        <v>3678</v>
      </c>
    </row>
    <row r="1368" spans="1:3" x14ac:dyDescent="0.3">
      <c r="A1368" s="7" t="s">
        <v>1378</v>
      </c>
      <c r="B1368" s="7" t="s">
        <v>12</v>
      </c>
      <c r="C1368" t="s">
        <v>3678</v>
      </c>
    </row>
    <row r="1369" spans="1:3" x14ac:dyDescent="0.3">
      <c r="A1369" s="7" t="s">
        <v>1379</v>
      </c>
      <c r="B1369" s="7" t="s">
        <v>12</v>
      </c>
      <c r="C1369" t="s">
        <v>3678</v>
      </c>
    </row>
    <row r="1370" spans="1:3" x14ac:dyDescent="0.3">
      <c r="A1370" s="7" t="s">
        <v>1380</v>
      </c>
      <c r="B1370" s="7" t="s">
        <v>12</v>
      </c>
      <c r="C1370" t="s">
        <v>2</v>
      </c>
    </row>
    <row r="1371" spans="1:3" x14ac:dyDescent="0.3">
      <c r="A1371" s="7" t="s">
        <v>1381</v>
      </c>
      <c r="B1371" s="7" t="s">
        <v>12</v>
      </c>
      <c r="C1371" t="s">
        <v>2</v>
      </c>
    </row>
    <row r="1372" spans="1:3" x14ac:dyDescent="0.3">
      <c r="A1372" s="7" t="s">
        <v>1382</v>
      </c>
      <c r="B1372" s="7" t="s">
        <v>12</v>
      </c>
      <c r="C1372" t="s">
        <v>2</v>
      </c>
    </row>
    <row r="1373" spans="1:3" x14ac:dyDescent="0.3">
      <c r="A1373" s="7" t="s">
        <v>1383</v>
      </c>
      <c r="B1373" s="7" t="s">
        <v>12</v>
      </c>
      <c r="C1373" t="s">
        <v>2</v>
      </c>
    </row>
    <row r="1374" spans="1:3" x14ac:dyDescent="0.3">
      <c r="A1374" s="7" t="s">
        <v>1384</v>
      </c>
      <c r="B1374" s="7" t="s">
        <v>12</v>
      </c>
      <c r="C1374" t="s">
        <v>2</v>
      </c>
    </row>
    <row r="1375" spans="1:3" x14ac:dyDescent="0.3">
      <c r="A1375" s="7" t="s">
        <v>1385</v>
      </c>
      <c r="B1375" s="7" t="s">
        <v>12</v>
      </c>
      <c r="C1375" t="s">
        <v>2</v>
      </c>
    </row>
    <row r="1376" spans="1:3" x14ac:dyDescent="0.3">
      <c r="A1376" s="7" t="s">
        <v>1386</v>
      </c>
      <c r="B1376" s="7" t="s">
        <v>12</v>
      </c>
      <c r="C1376" t="s">
        <v>2</v>
      </c>
    </row>
    <row r="1377" spans="1:3" x14ac:dyDescent="0.3">
      <c r="A1377" s="7" t="s">
        <v>1387</v>
      </c>
      <c r="B1377" s="7" t="s">
        <v>12</v>
      </c>
      <c r="C1377" t="s">
        <v>2</v>
      </c>
    </row>
    <row r="1378" spans="1:3" x14ac:dyDescent="0.3">
      <c r="A1378" s="7" t="s">
        <v>1388</v>
      </c>
      <c r="B1378" s="7" t="s">
        <v>12</v>
      </c>
      <c r="C1378" t="s">
        <v>2</v>
      </c>
    </row>
    <row r="1379" spans="1:3" x14ac:dyDescent="0.3">
      <c r="A1379" s="7" t="s">
        <v>1389</v>
      </c>
      <c r="B1379" s="7" t="s">
        <v>12</v>
      </c>
      <c r="C1379" t="s">
        <v>2</v>
      </c>
    </row>
    <row r="1380" spans="1:3" x14ac:dyDescent="0.3">
      <c r="A1380" s="7" t="s">
        <v>1390</v>
      </c>
      <c r="B1380" s="7" t="s">
        <v>12</v>
      </c>
      <c r="C1380" t="s">
        <v>2</v>
      </c>
    </row>
    <row r="1381" spans="1:3" x14ac:dyDescent="0.3">
      <c r="A1381" s="7" t="s">
        <v>1391</v>
      </c>
      <c r="B1381" s="7" t="s">
        <v>12</v>
      </c>
      <c r="C1381" t="s">
        <v>2</v>
      </c>
    </row>
    <row r="1382" spans="1:3" x14ac:dyDescent="0.3">
      <c r="A1382" s="7" t="s">
        <v>1392</v>
      </c>
      <c r="B1382" s="7" t="s">
        <v>12</v>
      </c>
      <c r="C1382" t="s">
        <v>2</v>
      </c>
    </row>
    <row r="1383" spans="1:3" x14ac:dyDescent="0.3">
      <c r="A1383" s="7" t="s">
        <v>1393</v>
      </c>
      <c r="B1383" s="7" t="s">
        <v>12</v>
      </c>
      <c r="C1383" t="s">
        <v>2</v>
      </c>
    </row>
    <row r="1384" spans="1:3" x14ac:dyDescent="0.3">
      <c r="A1384" s="7" t="s">
        <v>1394</v>
      </c>
      <c r="B1384" s="7" t="s">
        <v>12</v>
      </c>
      <c r="C1384" t="s">
        <v>2</v>
      </c>
    </row>
    <row r="1385" spans="1:3" x14ac:dyDescent="0.3">
      <c r="A1385" s="7" t="s">
        <v>1395</v>
      </c>
      <c r="B1385" s="7" t="s">
        <v>12</v>
      </c>
      <c r="C1385" t="s">
        <v>2</v>
      </c>
    </row>
    <row r="1386" spans="1:3" x14ac:dyDescent="0.3">
      <c r="A1386" s="7" t="s">
        <v>1396</v>
      </c>
      <c r="B1386" s="7" t="s">
        <v>12</v>
      </c>
      <c r="C1386" t="s">
        <v>2</v>
      </c>
    </row>
    <row r="1387" spans="1:3" x14ac:dyDescent="0.3">
      <c r="A1387" s="7" t="s">
        <v>1397</v>
      </c>
      <c r="B1387" s="7" t="s">
        <v>12</v>
      </c>
      <c r="C1387" t="s">
        <v>2</v>
      </c>
    </row>
    <row r="1388" spans="1:3" x14ac:dyDescent="0.3">
      <c r="A1388" s="7" t="s">
        <v>1398</v>
      </c>
      <c r="B1388" s="7" t="s">
        <v>12</v>
      </c>
      <c r="C1388" t="s">
        <v>2</v>
      </c>
    </row>
    <row r="1389" spans="1:3" x14ac:dyDescent="0.3">
      <c r="A1389" s="7" t="s">
        <v>1399</v>
      </c>
      <c r="B1389" s="7" t="s">
        <v>12</v>
      </c>
      <c r="C1389" t="s">
        <v>2</v>
      </c>
    </row>
    <row r="1390" spans="1:3" x14ac:dyDescent="0.3">
      <c r="A1390" s="7" t="s">
        <v>1400</v>
      </c>
      <c r="B1390" s="7" t="s">
        <v>12</v>
      </c>
      <c r="C1390" t="s">
        <v>2</v>
      </c>
    </row>
    <row r="1391" spans="1:3" x14ac:dyDescent="0.3">
      <c r="A1391" s="7" t="s">
        <v>1401</v>
      </c>
      <c r="B1391" s="7" t="s">
        <v>12</v>
      </c>
      <c r="C1391" t="s">
        <v>2</v>
      </c>
    </row>
    <row r="1392" spans="1:3" x14ac:dyDescent="0.3">
      <c r="A1392" s="7" t="s">
        <v>1402</v>
      </c>
      <c r="B1392" s="7" t="s">
        <v>12</v>
      </c>
      <c r="C1392" t="s">
        <v>2</v>
      </c>
    </row>
    <row r="1393" spans="1:3" x14ac:dyDescent="0.3">
      <c r="A1393" s="7" t="s">
        <v>1403</v>
      </c>
      <c r="B1393" s="7" t="s">
        <v>12</v>
      </c>
      <c r="C1393" t="s">
        <v>2</v>
      </c>
    </row>
    <row r="1394" spans="1:3" x14ac:dyDescent="0.3">
      <c r="A1394" s="7" t="s">
        <v>1404</v>
      </c>
      <c r="B1394" s="7" t="s">
        <v>12</v>
      </c>
      <c r="C1394" t="s">
        <v>2</v>
      </c>
    </row>
    <row r="1395" spans="1:3" x14ac:dyDescent="0.3">
      <c r="A1395" s="7" t="s">
        <v>1405</v>
      </c>
      <c r="B1395" s="7" t="s">
        <v>12</v>
      </c>
      <c r="C1395" t="s">
        <v>2</v>
      </c>
    </row>
    <row r="1396" spans="1:3" x14ac:dyDescent="0.3">
      <c r="A1396" s="7" t="s">
        <v>1406</v>
      </c>
      <c r="B1396" s="7" t="s">
        <v>12</v>
      </c>
      <c r="C1396" t="s">
        <v>2</v>
      </c>
    </row>
    <row r="1397" spans="1:3" x14ac:dyDescent="0.3">
      <c r="A1397" s="7" t="s">
        <v>1407</v>
      </c>
      <c r="B1397" s="7" t="s">
        <v>12</v>
      </c>
      <c r="C1397" t="s">
        <v>2</v>
      </c>
    </row>
    <row r="1398" spans="1:3" x14ac:dyDescent="0.3">
      <c r="A1398" s="7" t="s">
        <v>1408</v>
      </c>
      <c r="B1398" s="7" t="s">
        <v>12</v>
      </c>
      <c r="C1398" t="s">
        <v>2</v>
      </c>
    </row>
    <row r="1399" spans="1:3" x14ac:dyDescent="0.3">
      <c r="A1399" s="7" t="s">
        <v>1409</v>
      </c>
      <c r="B1399" s="7" t="s">
        <v>12</v>
      </c>
      <c r="C1399" t="s">
        <v>2</v>
      </c>
    </row>
    <row r="1400" spans="1:3" x14ac:dyDescent="0.3">
      <c r="A1400" s="7" t="s">
        <v>1410</v>
      </c>
      <c r="B1400" s="7" t="s">
        <v>12</v>
      </c>
      <c r="C1400" t="s">
        <v>2</v>
      </c>
    </row>
    <row r="1401" spans="1:3" x14ac:dyDescent="0.3">
      <c r="A1401" s="7" t="s">
        <v>1411</v>
      </c>
      <c r="B1401" s="7" t="s">
        <v>12</v>
      </c>
      <c r="C1401" t="s">
        <v>2</v>
      </c>
    </row>
    <row r="1402" spans="1:3" x14ac:dyDescent="0.3">
      <c r="A1402" s="7" t="s">
        <v>1412</v>
      </c>
      <c r="B1402" s="7" t="s">
        <v>12</v>
      </c>
      <c r="C1402" t="s">
        <v>2</v>
      </c>
    </row>
    <row r="1403" spans="1:3" x14ac:dyDescent="0.3">
      <c r="A1403" s="7" t="s">
        <v>1413</v>
      </c>
      <c r="B1403" s="7" t="s">
        <v>12</v>
      </c>
      <c r="C1403" t="s">
        <v>2</v>
      </c>
    </row>
    <row r="1404" spans="1:3" x14ac:dyDescent="0.3">
      <c r="A1404" s="7" t="s">
        <v>1414</v>
      </c>
      <c r="B1404" s="7" t="s">
        <v>12</v>
      </c>
      <c r="C1404" t="s">
        <v>2</v>
      </c>
    </row>
    <row r="1405" spans="1:3" x14ac:dyDescent="0.3">
      <c r="A1405" s="7" t="s">
        <v>1415</v>
      </c>
      <c r="B1405" s="7" t="s">
        <v>12</v>
      </c>
      <c r="C1405" t="s">
        <v>2</v>
      </c>
    </row>
    <row r="1406" spans="1:3" x14ac:dyDescent="0.3">
      <c r="A1406" s="7" t="s">
        <v>1416</v>
      </c>
      <c r="B1406" s="7" t="s">
        <v>12</v>
      </c>
      <c r="C1406" t="s">
        <v>2</v>
      </c>
    </row>
    <row r="1407" spans="1:3" x14ac:dyDescent="0.3">
      <c r="A1407" s="7" t="s">
        <v>1417</v>
      </c>
      <c r="B1407" s="7" t="s">
        <v>12</v>
      </c>
      <c r="C1407" t="s">
        <v>3</v>
      </c>
    </row>
    <row r="1408" spans="1:3" x14ac:dyDescent="0.3">
      <c r="A1408" s="7" t="s">
        <v>1418</v>
      </c>
      <c r="B1408" s="7" t="s">
        <v>12</v>
      </c>
      <c r="C1408" t="s">
        <v>3</v>
      </c>
    </row>
    <row r="1409" spans="1:3" x14ac:dyDescent="0.3">
      <c r="A1409" s="7" t="s">
        <v>1419</v>
      </c>
      <c r="B1409" s="7" t="s">
        <v>12</v>
      </c>
      <c r="C1409" t="s">
        <v>3</v>
      </c>
    </row>
    <row r="1410" spans="1:3" x14ac:dyDescent="0.3">
      <c r="A1410" s="7" t="s">
        <v>1420</v>
      </c>
      <c r="B1410" s="7" t="s">
        <v>12</v>
      </c>
      <c r="C1410" t="s">
        <v>3</v>
      </c>
    </row>
    <row r="1411" spans="1:3" x14ac:dyDescent="0.3">
      <c r="A1411" s="7" t="s">
        <v>1421</v>
      </c>
      <c r="B1411" s="7" t="s">
        <v>12</v>
      </c>
      <c r="C1411" t="s">
        <v>3</v>
      </c>
    </row>
    <row r="1412" spans="1:3" x14ac:dyDescent="0.3">
      <c r="A1412" s="7" t="s">
        <v>1422</v>
      </c>
      <c r="B1412" s="7" t="s">
        <v>12</v>
      </c>
      <c r="C1412" t="s">
        <v>2</v>
      </c>
    </row>
    <row r="1413" spans="1:3" x14ac:dyDescent="0.3">
      <c r="A1413" s="7" t="s">
        <v>1423</v>
      </c>
      <c r="B1413" s="7" t="s">
        <v>12</v>
      </c>
      <c r="C1413" t="s">
        <v>2</v>
      </c>
    </row>
    <row r="1414" spans="1:3" x14ac:dyDescent="0.3">
      <c r="A1414" s="7" t="s">
        <v>1424</v>
      </c>
      <c r="B1414" s="7" t="s">
        <v>12</v>
      </c>
      <c r="C1414" t="s">
        <v>2</v>
      </c>
    </row>
    <row r="1415" spans="1:3" x14ac:dyDescent="0.3">
      <c r="A1415" s="7" t="s">
        <v>1425</v>
      </c>
      <c r="B1415" s="7" t="s">
        <v>12</v>
      </c>
      <c r="C1415" t="s">
        <v>2</v>
      </c>
    </row>
    <row r="1416" spans="1:3" x14ac:dyDescent="0.3">
      <c r="A1416" s="7" t="s">
        <v>1426</v>
      </c>
      <c r="B1416" s="7" t="s">
        <v>12</v>
      </c>
      <c r="C1416" t="s">
        <v>2</v>
      </c>
    </row>
    <row r="1417" spans="1:3" x14ac:dyDescent="0.3">
      <c r="A1417" s="7" t="s">
        <v>1427</v>
      </c>
      <c r="B1417" s="7" t="s">
        <v>12</v>
      </c>
      <c r="C1417" t="s">
        <v>2</v>
      </c>
    </row>
    <row r="1418" spans="1:3" x14ac:dyDescent="0.3">
      <c r="A1418" s="7" t="s">
        <v>1428</v>
      </c>
      <c r="B1418" s="7" t="s">
        <v>12</v>
      </c>
      <c r="C1418" t="s">
        <v>2</v>
      </c>
    </row>
    <row r="1419" spans="1:3" x14ac:dyDescent="0.3">
      <c r="A1419" s="7" t="s">
        <v>1429</v>
      </c>
      <c r="B1419" s="7" t="s">
        <v>12</v>
      </c>
      <c r="C1419" t="s">
        <v>2</v>
      </c>
    </row>
    <row r="1420" spans="1:3" x14ac:dyDescent="0.3">
      <c r="A1420" s="7" t="s">
        <v>1430</v>
      </c>
      <c r="B1420" s="7" t="s">
        <v>12</v>
      </c>
      <c r="C1420" t="s">
        <v>2</v>
      </c>
    </row>
    <row r="1421" spans="1:3" x14ac:dyDescent="0.3">
      <c r="A1421" s="7" t="s">
        <v>1431</v>
      </c>
      <c r="B1421" s="7" t="s">
        <v>12</v>
      </c>
      <c r="C1421" t="s">
        <v>2</v>
      </c>
    </row>
    <row r="1422" spans="1:3" x14ac:dyDescent="0.3">
      <c r="A1422" s="7" t="s">
        <v>1432</v>
      </c>
      <c r="B1422" s="7" t="s">
        <v>12</v>
      </c>
      <c r="C1422" t="s">
        <v>2</v>
      </c>
    </row>
    <row r="1423" spans="1:3" x14ac:dyDescent="0.3">
      <c r="A1423" s="7" t="s">
        <v>1433</v>
      </c>
      <c r="B1423" s="7" t="s">
        <v>12</v>
      </c>
      <c r="C1423" t="s">
        <v>2</v>
      </c>
    </row>
    <row r="1424" spans="1:3" x14ac:dyDescent="0.3">
      <c r="A1424" s="7" t="s">
        <v>1434</v>
      </c>
      <c r="B1424" s="7" t="s">
        <v>12</v>
      </c>
      <c r="C1424" t="s">
        <v>2</v>
      </c>
    </row>
    <row r="1425" spans="1:3" x14ac:dyDescent="0.3">
      <c r="A1425" s="7" t="s">
        <v>1435</v>
      </c>
      <c r="B1425" s="7" t="s">
        <v>12</v>
      </c>
      <c r="C1425" t="s">
        <v>2</v>
      </c>
    </row>
    <row r="1426" spans="1:3" x14ac:dyDescent="0.3">
      <c r="A1426" s="7" t="s">
        <v>1436</v>
      </c>
      <c r="B1426" s="7" t="s">
        <v>12</v>
      </c>
      <c r="C1426" t="s">
        <v>2</v>
      </c>
    </row>
    <row r="1427" spans="1:3" x14ac:dyDescent="0.3">
      <c r="A1427" s="7" t="s">
        <v>1437</v>
      </c>
      <c r="B1427" s="7" t="s">
        <v>12</v>
      </c>
      <c r="C1427" t="s">
        <v>2</v>
      </c>
    </row>
    <row r="1428" spans="1:3" x14ac:dyDescent="0.3">
      <c r="A1428" s="7" t="s">
        <v>1438</v>
      </c>
      <c r="B1428" s="7" t="s">
        <v>12</v>
      </c>
      <c r="C1428" t="s">
        <v>2</v>
      </c>
    </row>
    <row r="1429" spans="1:3" x14ac:dyDescent="0.3">
      <c r="A1429" s="7" t="s">
        <v>1439</v>
      </c>
      <c r="B1429" s="7" t="s">
        <v>12</v>
      </c>
      <c r="C1429" t="s">
        <v>2</v>
      </c>
    </row>
    <row r="1430" spans="1:3" x14ac:dyDescent="0.3">
      <c r="A1430" s="7" t="s">
        <v>1440</v>
      </c>
      <c r="B1430" s="7" t="s">
        <v>12</v>
      </c>
      <c r="C1430" t="s">
        <v>2</v>
      </c>
    </row>
    <row r="1431" spans="1:3" x14ac:dyDescent="0.3">
      <c r="A1431" s="7" t="s">
        <v>1441</v>
      </c>
      <c r="B1431" s="7" t="s">
        <v>12</v>
      </c>
      <c r="C1431" t="s">
        <v>2</v>
      </c>
    </row>
    <row r="1432" spans="1:3" x14ac:dyDescent="0.3">
      <c r="A1432" s="7" t="s">
        <v>1442</v>
      </c>
      <c r="B1432" s="7" t="s">
        <v>12</v>
      </c>
      <c r="C1432" t="s">
        <v>2</v>
      </c>
    </row>
    <row r="1433" spans="1:3" x14ac:dyDescent="0.3">
      <c r="A1433" s="7" t="s">
        <v>1443</v>
      </c>
      <c r="B1433" s="7" t="s">
        <v>12</v>
      </c>
      <c r="C1433" t="s">
        <v>2</v>
      </c>
    </row>
    <row r="1434" spans="1:3" x14ac:dyDescent="0.3">
      <c r="A1434" s="7" t="s">
        <v>1444</v>
      </c>
      <c r="B1434" s="7" t="s">
        <v>12</v>
      </c>
      <c r="C1434" t="s">
        <v>2</v>
      </c>
    </row>
    <row r="1435" spans="1:3" x14ac:dyDescent="0.3">
      <c r="A1435" s="7" t="s">
        <v>1445</v>
      </c>
      <c r="B1435" s="7" t="s">
        <v>12</v>
      </c>
      <c r="C1435" t="s">
        <v>2</v>
      </c>
    </row>
    <row r="1436" spans="1:3" x14ac:dyDescent="0.3">
      <c r="A1436" s="7" t="s">
        <v>1446</v>
      </c>
      <c r="B1436" s="7" t="s">
        <v>12</v>
      </c>
      <c r="C1436" t="s">
        <v>2</v>
      </c>
    </row>
    <row r="1437" spans="1:3" x14ac:dyDescent="0.3">
      <c r="A1437" s="7" t="s">
        <v>1447</v>
      </c>
      <c r="B1437" s="7" t="s">
        <v>12</v>
      </c>
      <c r="C1437" t="s">
        <v>2</v>
      </c>
    </row>
    <row r="1438" spans="1:3" x14ac:dyDescent="0.3">
      <c r="A1438" s="7" t="s">
        <v>1448</v>
      </c>
      <c r="B1438" s="7" t="s">
        <v>12</v>
      </c>
      <c r="C1438" t="s">
        <v>2</v>
      </c>
    </row>
    <row r="1439" spans="1:3" x14ac:dyDescent="0.3">
      <c r="A1439" s="7" t="s">
        <v>1449</v>
      </c>
      <c r="B1439" s="7" t="s">
        <v>12</v>
      </c>
      <c r="C1439" t="s">
        <v>2</v>
      </c>
    </row>
    <row r="1440" spans="1:3" x14ac:dyDescent="0.3">
      <c r="A1440" s="7" t="s">
        <v>1450</v>
      </c>
      <c r="B1440" s="7" t="s">
        <v>12</v>
      </c>
      <c r="C1440" t="s">
        <v>2</v>
      </c>
    </row>
    <row r="1441" spans="1:3" x14ac:dyDescent="0.3">
      <c r="A1441" s="7" t="s">
        <v>1451</v>
      </c>
      <c r="B1441" s="7" t="s">
        <v>12</v>
      </c>
      <c r="C1441" t="s">
        <v>2</v>
      </c>
    </row>
    <row r="1442" spans="1:3" x14ac:dyDescent="0.3">
      <c r="A1442" s="7" t="s">
        <v>1452</v>
      </c>
      <c r="B1442" s="7" t="s">
        <v>12</v>
      </c>
      <c r="C1442" t="s">
        <v>2</v>
      </c>
    </row>
    <row r="1443" spans="1:3" x14ac:dyDescent="0.3">
      <c r="A1443" s="7" t="s">
        <v>1453</v>
      </c>
      <c r="B1443" s="7" t="s">
        <v>12</v>
      </c>
      <c r="C1443" t="s">
        <v>2</v>
      </c>
    </row>
    <row r="1444" spans="1:3" x14ac:dyDescent="0.3">
      <c r="A1444" s="7" t="s">
        <v>1454</v>
      </c>
      <c r="B1444" s="7" t="s">
        <v>12</v>
      </c>
      <c r="C1444" t="s">
        <v>2</v>
      </c>
    </row>
    <row r="1445" spans="1:3" x14ac:dyDescent="0.3">
      <c r="A1445" s="7" t="s">
        <v>1455</v>
      </c>
      <c r="B1445" s="7" t="s">
        <v>12</v>
      </c>
      <c r="C1445" t="s">
        <v>2</v>
      </c>
    </row>
    <row r="1446" spans="1:3" x14ac:dyDescent="0.3">
      <c r="A1446" s="7" t="s">
        <v>1456</v>
      </c>
      <c r="B1446" s="7" t="s">
        <v>12</v>
      </c>
      <c r="C1446" t="s">
        <v>2</v>
      </c>
    </row>
    <row r="1447" spans="1:3" x14ac:dyDescent="0.3">
      <c r="A1447" s="7" t="s">
        <v>1457</v>
      </c>
      <c r="B1447" s="7" t="s">
        <v>12</v>
      </c>
      <c r="C1447" t="s">
        <v>2</v>
      </c>
    </row>
    <row r="1448" spans="1:3" x14ac:dyDescent="0.3">
      <c r="A1448" s="7" t="s">
        <v>1458</v>
      </c>
      <c r="B1448" s="7" t="s">
        <v>12</v>
      </c>
      <c r="C1448" t="s">
        <v>2</v>
      </c>
    </row>
    <row r="1449" spans="1:3" x14ac:dyDescent="0.3">
      <c r="A1449" s="7" t="s">
        <v>1459</v>
      </c>
      <c r="B1449" s="7" t="s">
        <v>12</v>
      </c>
      <c r="C1449" t="s">
        <v>2</v>
      </c>
    </row>
    <row r="1450" spans="1:3" x14ac:dyDescent="0.3">
      <c r="A1450" s="7" t="s">
        <v>1460</v>
      </c>
      <c r="B1450" s="7" t="s">
        <v>12</v>
      </c>
      <c r="C1450" t="s">
        <v>2</v>
      </c>
    </row>
    <row r="1451" spans="1:3" x14ac:dyDescent="0.3">
      <c r="A1451" s="7" t="s">
        <v>1461</v>
      </c>
      <c r="B1451" s="7" t="s">
        <v>12</v>
      </c>
      <c r="C1451" t="s">
        <v>2</v>
      </c>
    </row>
    <row r="1452" spans="1:3" x14ac:dyDescent="0.3">
      <c r="A1452" s="7" t="s">
        <v>1462</v>
      </c>
      <c r="B1452" s="7" t="s">
        <v>12</v>
      </c>
      <c r="C1452" t="s">
        <v>2</v>
      </c>
    </row>
    <row r="1453" spans="1:3" x14ac:dyDescent="0.3">
      <c r="A1453" s="7" t="s">
        <v>1463</v>
      </c>
      <c r="B1453" s="7" t="s">
        <v>12</v>
      </c>
      <c r="C1453" t="s">
        <v>2</v>
      </c>
    </row>
    <row r="1454" spans="1:3" x14ac:dyDescent="0.3">
      <c r="A1454" s="7" t="s">
        <v>1464</v>
      </c>
      <c r="B1454" s="7" t="s">
        <v>12</v>
      </c>
      <c r="C1454" t="s">
        <v>2</v>
      </c>
    </row>
    <row r="1455" spans="1:3" x14ac:dyDescent="0.3">
      <c r="A1455" s="7" t="s">
        <v>1465</v>
      </c>
      <c r="B1455" s="7" t="s">
        <v>12</v>
      </c>
      <c r="C1455" t="s">
        <v>3</v>
      </c>
    </row>
    <row r="1456" spans="1:3" x14ac:dyDescent="0.3">
      <c r="A1456" s="7" t="s">
        <v>1466</v>
      </c>
      <c r="B1456" s="7" t="s">
        <v>12</v>
      </c>
      <c r="C1456" t="s">
        <v>3</v>
      </c>
    </row>
    <row r="1457" spans="1:3" x14ac:dyDescent="0.3">
      <c r="A1457" s="7" t="s">
        <v>1467</v>
      </c>
      <c r="B1457" s="7" t="s">
        <v>12</v>
      </c>
      <c r="C1457" t="s">
        <v>3</v>
      </c>
    </row>
    <row r="1458" spans="1:3" x14ac:dyDescent="0.3">
      <c r="A1458" s="7" t="s">
        <v>1468</v>
      </c>
      <c r="B1458" s="7" t="s">
        <v>12</v>
      </c>
      <c r="C1458" t="s">
        <v>3</v>
      </c>
    </row>
    <row r="1459" spans="1:3" x14ac:dyDescent="0.3">
      <c r="A1459" s="7" t="s">
        <v>1469</v>
      </c>
      <c r="B1459" s="7" t="s">
        <v>12</v>
      </c>
      <c r="C1459" t="s">
        <v>3</v>
      </c>
    </row>
    <row r="1460" spans="1:3" x14ac:dyDescent="0.3">
      <c r="A1460" s="7" t="s">
        <v>1470</v>
      </c>
      <c r="B1460" s="7" t="s">
        <v>12</v>
      </c>
      <c r="C1460" t="s">
        <v>3</v>
      </c>
    </row>
    <row r="1461" spans="1:3" x14ac:dyDescent="0.3">
      <c r="A1461" s="7" t="s">
        <v>1471</v>
      </c>
      <c r="B1461" s="7" t="s">
        <v>12</v>
      </c>
      <c r="C1461" t="s">
        <v>3</v>
      </c>
    </row>
    <row r="1462" spans="1:3" x14ac:dyDescent="0.3">
      <c r="A1462" s="7" t="s">
        <v>1472</v>
      </c>
      <c r="B1462" s="7" t="s">
        <v>12</v>
      </c>
      <c r="C1462" t="s">
        <v>3</v>
      </c>
    </row>
    <row r="1463" spans="1:3" x14ac:dyDescent="0.3">
      <c r="A1463" s="7" t="s">
        <v>1473</v>
      </c>
      <c r="B1463" s="7" t="s">
        <v>12</v>
      </c>
      <c r="C1463" t="s">
        <v>2</v>
      </c>
    </row>
    <row r="1464" spans="1:3" x14ac:dyDescent="0.3">
      <c r="A1464" s="7" t="s">
        <v>1474</v>
      </c>
      <c r="B1464" s="7" t="s">
        <v>12</v>
      </c>
      <c r="C1464" t="s">
        <v>2</v>
      </c>
    </row>
    <row r="1465" spans="1:3" x14ac:dyDescent="0.3">
      <c r="A1465" s="7" t="s">
        <v>1475</v>
      </c>
      <c r="B1465" s="7" t="s">
        <v>12</v>
      </c>
      <c r="C1465" t="s">
        <v>2</v>
      </c>
    </row>
    <row r="1466" spans="1:3" x14ac:dyDescent="0.3">
      <c r="A1466" s="7" t="s">
        <v>1476</v>
      </c>
      <c r="B1466" s="7" t="s">
        <v>12</v>
      </c>
      <c r="C1466" t="s">
        <v>2</v>
      </c>
    </row>
    <row r="1467" spans="1:3" x14ac:dyDescent="0.3">
      <c r="A1467" s="7" t="s">
        <v>1477</v>
      </c>
      <c r="B1467" s="7" t="s">
        <v>12</v>
      </c>
      <c r="C1467" t="s">
        <v>2</v>
      </c>
    </row>
    <row r="1468" spans="1:3" x14ac:dyDescent="0.3">
      <c r="A1468" s="7" t="s">
        <v>1478</v>
      </c>
      <c r="B1468" s="7" t="s">
        <v>12</v>
      </c>
      <c r="C1468" t="s">
        <v>2</v>
      </c>
    </row>
    <row r="1469" spans="1:3" x14ac:dyDescent="0.3">
      <c r="A1469" s="7" t="s">
        <v>1479</v>
      </c>
      <c r="B1469" s="7" t="s">
        <v>12</v>
      </c>
      <c r="C1469" t="s">
        <v>2</v>
      </c>
    </row>
    <row r="1470" spans="1:3" x14ac:dyDescent="0.3">
      <c r="A1470" s="7" t="s">
        <v>1480</v>
      </c>
      <c r="B1470" s="7" t="s">
        <v>12</v>
      </c>
      <c r="C1470" t="s">
        <v>2</v>
      </c>
    </row>
    <row r="1471" spans="1:3" x14ac:dyDescent="0.3">
      <c r="A1471" s="7" t="s">
        <v>1481</v>
      </c>
      <c r="B1471" s="7" t="s">
        <v>12</v>
      </c>
      <c r="C1471" t="s">
        <v>2</v>
      </c>
    </row>
    <row r="1472" spans="1:3" x14ac:dyDescent="0.3">
      <c r="A1472" s="7" t="s">
        <v>1482</v>
      </c>
      <c r="B1472" s="7" t="s">
        <v>12</v>
      </c>
      <c r="C1472" t="s">
        <v>2</v>
      </c>
    </row>
    <row r="1473" spans="1:3" x14ac:dyDescent="0.3">
      <c r="A1473" s="7" t="s">
        <v>1483</v>
      </c>
      <c r="B1473" s="7" t="s">
        <v>12</v>
      </c>
      <c r="C1473" t="s">
        <v>2</v>
      </c>
    </row>
    <row r="1474" spans="1:3" x14ac:dyDescent="0.3">
      <c r="A1474" s="7" t="s">
        <v>1484</v>
      </c>
      <c r="B1474" s="7" t="s">
        <v>12</v>
      </c>
      <c r="C1474" t="s">
        <v>2</v>
      </c>
    </row>
    <row r="1475" spans="1:3" x14ac:dyDescent="0.3">
      <c r="A1475" s="7" t="s">
        <v>1485</v>
      </c>
      <c r="B1475" s="7" t="s">
        <v>12</v>
      </c>
      <c r="C1475" t="s">
        <v>2</v>
      </c>
    </row>
    <row r="1476" spans="1:3" x14ac:dyDescent="0.3">
      <c r="A1476" s="7" t="s">
        <v>1486</v>
      </c>
      <c r="B1476" s="7" t="s">
        <v>12</v>
      </c>
      <c r="C1476" t="s">
        <v>2</v>
      </c>
    </row>
    <row r="1477" spans="1:3" x14ac:dyDescent="0.3">
      <c r="A1477" s="7" t="s">
        <v>1487</v>
      </c>
      <c r="B1477" s="7" t="s">
        <v>12</v>
      </c>
      <c r="C1477" t="s">
        <v>2</v>
      </c>
    </row>
    <row r="1478" spans="1:3" x14ac:dyDescent="0.3">
      <c r="A1478" s="7" t="s">
        <v>1488</v>
      </c>
      <c r="B1478" s="7" t="s">
        <v>12</v>
      </c>
      <c r="C1478" t="s">
        <v>2</v>
      </c>
    </row>
    <row r="1479" spans="1:3" x14ac:dyDescent="0.3">
      <c r="A1479" s="7" t="s">
        <v>1489</v>
      </c>
      <c r="B1479" s="7" t="s">
        <v>12</v>
      </c>
      <c r="C1479" t="s">
        <v>2</v>
      </c>
    </row>
    <row r="1480" spans="1:3" x14ac:dyDescent="0.3">
      <c r="A1480" s="7" t="s">
        <v>1490</v>
      </c>
      <c r="B1480" s="7" t="s">
        <v>12</v>
      </c>
      <c r="C1480" t="s">
        <v>2</v>
      </c>
    </row>
    <row r="1481" spans="1:3" x14ac:dyDescent="0.3">
      <c r="A1481" s="7" t="s">
        <v>1491</v>
      </c>
      <c r="B1481" s="7" t="s">
        <v>12</v>
      </c>
      <c r="C1481" t="s">
        <v>2</v>
      </c>
    </row>
    <row r="1482" spans="1:3" x14ac:dyDescent="0.3">
      <c r="A1482" s="7" t="s">
        <v>1492</v>
      </c>
      <c r="B1482" s="7" t="s">
        <v>12</v>
      </c>
      <c r="C1482" t="s">
        <v>2</v>
      </c>
    </row>
    <row r="1483" spans="1:3" x14ac:dyDescent="0.3">
      <c r="A1483" s="7" t="s">
        <v>1493</v>
      </c>
      <c r="B1483" s="7" t="s">
        <v>12</v>
      </c>
      <c r="C1483" t="s">
        <v>2</v>
      </c>
    </row>
    <row r="1484" spans="1:3" x14ac:dyDescent="0.3">
      <c r="A1484" s="7" t="s">
        <v>1494</v>
      </c>
      <c r="B1484" s="7" t="s">
        <v>12</v>
      </c>
      <c r="C1484" t="s">
        <v>2</v>
      </c>
    </row>
    <row r="1485" spans="1:3" x14ac:dyDescent="0.3">
      <c r="A1485" s="7" t="s">
        <v>1495</v>
      </c>
      <c r="B1485" s="7" t="s">
        <v>12</v>
      </c>
      <c r="C1485" t="s">
        <v>2</v>
      </c>
    </row>
    <row r="1486" spans="1:3" x14ac:dyDescent="0.3">
      <c r="A1486" s="7" t="s">
        <v>1496</v>
      </c>
      <c r="B1486" s="7" t="s">
        <v>12</v>
      </c>
      <c r="C1486" t="s">
        <v>2</v>
      </c>
    </row>
    <row r="1487" spans="1:3" x14ac:dyDescent="0.3">
      <c r="A1487" s="7" t="s">
        <v>1497</v>
      </c>
      <c r="B1487" s="7" t="s">
        <v>12</v>
      </c>
      <c r="C1487" t="s">
        <v>2</v>
      </c>
    </row>
    <row r="1488" spans="1:3" x14ac:dyDescent="0.3">
      <c r="A1488" s="7" t="s">
        <v>1498</v>
      </c>
      <c r="B1488" s="7" t="s">
        <v>12</v>
      </c>
      <c r="C1488" t="s">
        <v>2</v>
      </c>
    </row>
    <row r="1489" spans="1:3" x14ac:dyDescent="0.3">
      <c r="A1489" s="7" t="s">
        <v>1499</v>
      </c>
      <c r="B1489" s="7" t="s">
        <v>12</v>
      </c>
      <c r="C1489" t="s">
        <v>2</v>
      </c>
    </row>
    <row r="1490" spans="1:3" x14ac:dyDescent="0.3">
      <c r="A1490" s="7" t="s">
        <v>1500</v>
      </c>
      <c r="B1490" s="7" t="s">
        <v>12</v>
      </c>
      <c r="C1490" t="s">
        <v>2</v>
      </c>
    </row>
    <row r="1491" spans="1:3" x14ac:dyDescent="0.3">
      <c r="A1491" s="7" t="s">
        <v>1501</v>
      </c>
      <c r="B1491" s="7" t="s">
        <v>12</v>
      </c>
      <c r="C1491" t="s">
        <v>2</v>
      </c>
    </row>
    <row r="1492" spans="1:3" x14ac:dyDescent="0.3">
      <c r="A1492" s="7" t="s">
        <v>1502</v>
      </c>
      <c r="B1492" s="7" t="s">
        <v>12</v>
      </c>
      <c r="C1492" t="s">
        <v>2</v>
      </c>
    </row>
    <row r="1493" spans="1:3" x14ac:dyDescent="0.3">
      <c r="A1493" s="7" t="s">
        <v>1503</v>
      </c>
      <c r="B1493" s="7" t="s">
        <v>12</v>
      </c>
      <c r="C1493" t="s">
        <v>2</v>
      </c>
    </row>
    <row r="1494" spans="1:3" x14ac:dyDescent="0.3">
      <c r="A1494" s="7" t="s">
        <v>1504</v>
      </c>
      <c r="B1494" s="7" t="s">
        <v>12</v>
      </c>
      <c r="C1494" t="s">
        <v>2</v>
      </c>
    </row>
    <row r="1495" spans="1:3" x14ac:dyDescent="0.3">
      <c r="A1495" s="7" t="s">
        <v>1505</v>
      </c>
      <c r="B1495" s="7" t="s">
        <v>12</v>
      </c>
      <c r="C1495" t="s">
        <v>2</v>
      </c>
    </row>
    <row r="1496" spans="1:3" x14ac:dyDescent="0.3">
      <c r="A1496" s="7" t="s">
        <v>1506</v>
      </c>
      <c r="B1496" s="7" t="s">
        <v>12</v>
      </c>
      <c r="C1496" t="s">
        <v>2</v>
      </c>
    </row>
    <row r="1497" spans="1:3" x14ac:dyDescent="0.3">
      <c r="A1497" s="7" t="s">
        <v>1507</v>
      </c>
      <c r="B1497" s="7" t="s">
        <v>12</v>
      </c>
      <c r="C1497" t="s">
        <v>2</v>
      </c>
    </row>
    <row r="1498" spans="1:3" x14ac:dyDescent="0.3">
      <c r="A1498" s="7" t="s">
        <v>1508</v>
      </c>
      <c r="B1498" s="7" t="s">
        <v>12</v>
      </c>
      <c r="C1498" t="s">
        <v>2</v>
      </c>
    </row>
    <row r="1499" spans="1:3" x14ac:dyDescent="0.3">
      <c r="A1499" s="7" t="s">
        <v>1509</v>
      </c>
      <c r="B1499" s="7" t="s">
        <v>12</v>
      </c>
      <c r="C1499" t="s">
        <v>2</v>
      </c>
    </row>
    <row r="1500" spans="1:3" x14ac:dyDescent="0.3">
      <c r="A1500" s="7" t="s">
        <v>1510</v>
      </c>
      <c r="B1500" s="7" t="s">
        <v>12</v>
      </c>
      <c r="C1500" t="s">
        <v>2</v>
      </c>
    </row>
    <row r="1501" spans="1:3" x14ac:dyDescent="0.3">
      <c r="A1501" s="7" t="s">
        <v>1511</v>
      </c>
      <c r="B1501" s="7" t="s">
        <v>12</v>
      </c>
      <c r="C1501" t="s">
        <v>2</v>
      </c>
    </row>
    <row r="1502" spans="1:3" x14ac:dyDescent="0.3">
      <c r="A1502" s="7" t="s">
        <v>1512</v>
      </c>
      <c r="B1502" s="7" t="s">
        <v>12</v>
      </c>
      <c r="C1502" t="s">
        <v>2</v>
      </c>
    </row>
    <row r="1503" spans="1:3" x14ac:dyDescent="0.3">
      <c r="A1503" s="7" t="s">
        <v>1513</v>
      </c>
      <c r="B1503" s="7" t="s">
        <v>12</v>
      </c>
      <c r="C1503" t="s">
        <v>2</v>
      </c>
    </row>
    <row r="1504" spans="1:3" x14ac:dyDescent="0.3">
      <c r="A1504" s="7" t="s">
        <v>1514</v>
      </c>
      <c r="B1504" s="7" t="s">
        <v>12</v>
      </c>
      <c r="C1504" t="s">
        <v>2</v>
      </c>
    </row>
    <row r="1505" spans="1:3" x14ac:dyDescent="0.3">
      <c r="A1505" s="7" t="s">
        <v>1515</v>
      </c>
      <c r="B1505" s="7" t="s">
        <v>12</v>
      </c>
      <c r="C1505" t="s">
        <v>2</v>
      </c>
    </row>
    <row r="1506" spans="1:3" x14ac:dyDescent="0.3">
      <c r="A1506" s="7" t="s">
        <v>1516</v>
      </c>
      <c r="B1506" s="7" t="s">
        <v>12</v>
      </c>
      <c r="C1506" t="s">
        <v>2</v>
      </c>
    </row>
    <row r="1507" spans="1:3" x14ac:dyDescent="0.3">
      <c r="A1507" s="7" t="s">
        <v>1517</v>
      </c>
      <c r="B1507" s="7" t="s">
        <v>12</v>
      </c>
      <c r="C1507" t="s">
        <v>2</v>
      </c>
    </row>
    <row r="1508" spans="1:3" x14ac:dyDescent="0.3">
      <c r="A1508" s="7" t="s">
        <v>1518</v>
      </c>
      <c r="B1508" s="7" t="s">
        <v>12</v>
      </c>
      <c r="C1508" t="s">
        <v>3</v>
      </c>
    </row>
    <row r="1509" spans="1:3" x14ac:dyDescent="0.3">
      <c r="A1509" s="7" t="s">
        <v>1519</v>
      </c>
      <c r="B1509" s="7" t="s">
        <v>12</v>
      </c>
      <c r="C1509" t="s">
        <v>3</v>
      </c>
    </row>
    <row r="1510" spans="1:3" x14ac:dyDescent="0.3">
      <c r="A1510" s="7" t="s">
        <v>1520</v>
      </c>
      <c r="B1510" s="7" t="s">
        <v>12</v>
      </c>
      <c r="C1510" t="s">
        <v>3</v>
      </c>
    </row>
    <row r="1511" spans="1:3" x14ac:dyDescent="0.3">
      <c r="A1511" s="7" t="s">
        <v>1521</v>
      </c>
      <c r="B1511" s="7" t="s">
        <v>12</v>
      </c>
      <c r="C1511" t="s">
        <v>3</v>
      </c>
    </row>
    <row r="1512" spans="1:3" x14ac:dyDescent="0.3">
      <c r="A1512" s="7" t="s">
        <v>1522</v>
      </c>
      <c r="B1512" s="7" t="s">
        <v>12</v>
      </c>
      <c r="C1512" t="s">
        <v>3</v>
      </c>
    </row>
    <row r="1513" spans="1:3" x14ac:dyDescent="0.3">
      <c r="A1513" s="7" t="s">
        <v>1523</v>
      </c>
      <c r="B1513" s="7" t="s">
        <v>12</v>
      </c>
      <c r="C1513" t="s">
        <v>3</v>
      </c>
    </row>
    <row r="1514" spans="1:3" x14ac:dyDescent="0.3">
      <c r="A1514" s="7" t="s">
        <v>1524</v>
      </c>
      <c r="B1514" s="7" t="s">
        <v>12</v>
      </c>
      <c r="C1514" t="s">
        <v>3</v>
      </c>
    </row>
    <row r="1515" spans="1:3" x14ac:dyDescent="0.3">
      <c r="A1515" s="7" t="s">
        <v>1525</v>
      </c>
      <c r="B1515" s="7" t="s">
        <v>12</v>
      </c>
      <c r="C1515" t="s">
        <v>3</v>
      </c>
    </row>
    <row r="1516" spans="1:3" x14ac:dyDescent="0.3">
      <c r="A1516" s="7" t="s">
        <v>1526</v>
      </c>
      <c r="B1516" s="7" t="s">
        <v>12</v>
      </c>
      <c r="C1516" t="s">
        <v>3</v>
      </c>
    </row>
    <row r="1517" spans="1:3" x14ac:dyDescent="0.3">
      <c r="A1517" s="7" t="s">
        <v>1527</v>
      </c>
      <c r="B1517" s="7" t="s">
        <v>12</v>
      </c>
      <c r="C1517" t="s">
        <v>3</v>
      </c>
    </row>
    <row r="1518" spans="1:3" x14ac:dyDescent="0.3">
      <c r="A1518" s="7" t="s">
        <v>1528</v>
      </c>
      <c r="B1518" s="7" t="s">
        <v>12</v>
      </c>
      <c r="C1518" t="s">
        <v>3</v>
      </c>
    </row>
    <row r="1519" spans="1:3" x14ac:dyDescent="0.3">
      <c r="A1519" s="7" t="s">
        <v>1529</v>
      </c>
      <c r="B1519" s="7" t="s">
        <v>12</v>
      </c>
      <c r="C1519" t="s">
        <v>3</v>
      </c>
    </row>
    <row r="1520" spans="1:3" x14ac:dyDescent="0.3">
      <c r="A1520" s="7" t="s">
        <v>1530</v>
      </c>
      <c r="B1520" s="7" t="s">
        <v>12</v>
      </c>
      <c r="C1520" t="s">
        <v>3</v>
      </c>
    </row>
    <row r="1521" spans="1:3" x14ac:dyDescent="0.3">
      <c r="A1521" s="7" t="s">
        <v>1531</v>
      </c>
      <c r="B1521" s="7" t="s">
        <v>12</v>
      </c>
      <c r="C1521" t="s">
        <v>3</v>
      </c>
    </row>
    <row r="1522" spans="1:3" x14ac:dyDescent="0.3">
      <c r="A1522" s="7" t="s">
        <v>1532</v>
      </c>
      <c r="B1522" s="7" t="s">
        <v>12</v>
      </c>
      <c r="C1522" t="s">
        <v>3</v>
      </c>
    </row>
    <row r="1523" spans="1:3" x14ac:dyDescent="0.3">
      <c r="A1523" s="7" t="s">
        <v>1533</v>
      </c>
      <c r="B1523" s="7" t="s">
        <v>12</v>
      </c>
      <c r="C1523" t="s">
        <v>2</v>
      </c>
    </row>
    <row r="1524" spans="1:3" x14ac:dyDescent="0.3">
      <c r="A1524" s="7" t="s">
        <v>1534</v>
      </c>
      <c r="B1524" s="7" t="s">
        <v>12</v>
      </c>
      <c r="C1524" t="s">
        <v>3</v>
      </c>
    </row>
    <row r="1525" spans="1:3" x14ac:dyDescent="0.3">
      <c r="A1525" s="7" t="s">
        <v>1535</v>
      </c>
      <c r="B1525" s="7" t="s">
        <v>12</v>
      </c>
      <c r="C1525" t="s">
        <v>3</v>
      </c>
    </row>
    <row r="1526" spans="1:3" x14ac:dyDescent="0.3">
      <c r="A1526" s="7" t="s">
        <v>1536</v>
      </c>
      <c r="B1526" s="7" t="s">
        <v>12</v>
      </c>
      <c r="C1526" t="s">
        <v>3</v>
      </c>
    </row>
    <row r="1527" spans="1:3" x14ac:dyDescent="0.3">
      <c r="A1527" s="7" t="s">
        <v>1537</v>
      </c>
      <c r="B1527" s="7" t="s">
        <v>12</v>
      </c>
      <c r="C1527" t="s">
        <v>3</v>
      </c>
    </row>
    <row r="1528" spans="1:3" x14ac:dyDescent="0.3">
      <c r="A1528" s="7" t="s">
        <v>1538</v>
      </c>
      <c r="B1528" s="7" t="s">
        <v>12</v>
      </c>
      <c r="C1528" t="s">
        <v>3</v>
      </c>
    </row>
    <row r="1529" spans="1:3" x14ac:dyDescent="0.3">
      <c r="A1529" s="7" t="s">
        <v>1539</v>
      </c>
      <c r="B1529" s="7" t="s">
        <v>12</v>
      </c>
      <c r="C1529" t="s">
        <v>3</v>
      </c>
    </row>
    <row r="1530" spans="1:3" x14ac:dyDescent="0.3">
      <c r="A1530" s="7" t="s">
        <v>1540</v>
      </c>
      <c r="B1530" s="7" t="s">
        <v>12</v>
      </c>
      <c r="C1530" t="s">
        <v>3</v>
      </c>
    </row>
    <row r="1531" spans="1:3" x14ac:dyDescent="0.3">
      <c r="A1531" s="7" t="s">
        <v>1541</v>
      </c>
      <c r="B1531" s="7" t="s">
        <v>12</v>
      </c>
      <c r="C1531" t="s">
        <v>3</v>
      </c>
    </row>
    <row r="1532" spans="1:3" x14ac:dyDescent="0.3">
      <c r="A1532" s="7" t="s">
        <v>1542</v>
      </c>
      <c r="B1532" s="7" t="s">
        <v>12</v>
      </c>
    </row>
    <row r="1533" spans="1:3" x14ac:dyDescent="0.3">
      <c r="A1533" s="7" t="s">
        <v>1543</v>
      </c>
      <c r="B1533" s="7" t="s">
        <v>12</v>
      </c>
      <c r="C1533" t="s">
        <v>3</v>
      </c>
    </row>
    <row r="1534" spans="1:3" x14ac:dyDescent="0.3">
      <c r="A1534" s="7" t="s">
        <v>1544</v>
      </c>
      <c r="B1534" s="7" t="s">
        <v>12</v>
      </c>
      <c r="C1534" t="s">
        <v>3</v>
      </c>
    </row>
    <row r="1535" spans="1:3" x14ac:dyDescent="0.3">
      <c r="A1535" s="7" t="s">
        <v>1545</v>
      </c>
      <c r="B1535" s="7" t="s">
        <v>12</v>
      </c>
      <c r="C1535" t="s">
        <v>2</v>
      </c>
    </row>
    <row r="1536" spans="1:3" x14ac:dyDescent="0.3">
      <c r="A1536" s="7" t="s">
        <v>1546</v>
      </c>
      <c r="B1536" s="7" t="s">
        <v>12</v>
      </c>
    </row>
    <row r="1537" spans="1:3" x14ac:dyDescent="0.3">
      <c r="A1537" s="7" t="s">
        <v>1547</v>
      </c>
      <c r="B1537" s="7" t="s">
        <v>12</v>
      </c>
      <c r="C1537" t="s">
        <v>3</v>
      </c>
    </row>
    <row r="1538" spans="1:3" x14ac:dyDescent="0.3">
      <c r="A1538" s="7" t="s">
        <v>1548</v>
      </c>
      <c r="B1538" s="7" t="s">
        <v>12</v>
      </c>
    </row>
    <row r="1539" spans="1:3" x14ac:dyDescent="0.3">
      <c r="A1539" s="7" t="s">
        <v>1549</v>
      </c>
      <c r="B1539" s="7" t="s">
        <v>12</v>
      </c>
    </row>
    <row r="1540" spans="1:3" x14ac:dyDescent="0.3">
      <c r="A1540" s="7" t="s">
        <v>1550</v>
      </c>
      <c r="B1540" s="7" t="s">
        <v>12</v>
      </c>
      <c r="C1540" t="s">
        <v>2</v>
      </c>
    </row>
    <row r="1541" spans="1:3" x14ac:dyDescent="0.3">
      <c r="A1541" s="7" t="s">
        <v>1551</v>
      </c>
      <c r="B1541" s="7" t="s">
        <v>12</v>
      </c>
      <c r="C1541" t="s">
        <v>2</v>
      </c>
    </row>
    <row r="1542" spans="1:3" x14ac:dyDescent="0.3">
      <c r="A1542" s="7" t="s">
        <v>1552</v>
      </c>
      <c r="B1542" s="7" t="s">
        <v>12</v>
      </c>
      <c r="C1542" t="s">
        <v>2</v>
      </c>
    </row>
    <row r="1543" spans="1:3" x14ac:dyDescent="0.3">
      <c r="A1543" s="7" t="s">
        <v>1553</v>
      </c>
      <c r="B1543" s="7" t="s">
        <v>12</v>
      </c>
      <c r="C1543" t="s">
        <v>2</v>
      </c>
    </row>
    <row r="1544" spans="1:3" x14ac:dyDescent="0.3">
      <c r="A1544" s="7" t="s">
        <v>1554</v>
      </c>
      <c r="B1544" s="7" t="s">
        <v>12</v>
      </c>
      <c r="C1544" t="s">
        <v>2</v>
      </c>
    </row>
    <row r="1545" spans="1:3" x14ac:dyDescent="0.3">
      <c r="A1545" s="7" t="s">
        <v>1555</v>
      </c>
      <c r="B1545" s="7" t="s">
        <v>12</v>
      </c>
      <c r="C1545" t="s">
        <v>2</v>
      </c>
    </row>
    <row r="1546" spans="1:3" x14ac:dyDescent="0.3">
      <c r="A1546" s="7" t="s">
        <v>1556</v>
      </c>
      <c r="B1546" s="7" t="s">
        <v>12</v>
      </c>
      <c r="C1546" t="s">
        <v>2</v>
      </c>
    </row>
    <row r="1547" spans="1:3" x14ac:dyDescent="0.3">
      <c r="A1547" s="7" t="s">
        <v>1557</v>
      </c>
      <c r="B1547" s="7" t="s">
        <v>12</v>
      </c>
      <c r="C1547" t="s">
        <v>2</v>
      </c>
    </row>
    <row r="1548" spans="1:3" x14ac:dyDescent="0.3">
      <c r="A1548" s="7" t="s">
        <v>1558</v>
      </c>
      <c r="B1548" s="7" t="s">
        <v>12</v>
      </c>
      <c r="C1548" t="s">
        <v>3678</v>
      </c>
    </row>
    <row r="1549" spans="1:3" x14ac:dyDescent="0.3">
      <c r="A1549" s="7" t="s">
        <v>1559</v>
      </c>
      <c r="B1549" s="7" t="s">
        <v>12</v>
      </c>
      <c r="C1549" t="s">
        <v>2</v>
      </c>
    </row>
    <row r="1550" spans="1:3" x14ac:dyDescent="0.3">
      <c r="A1550" s="7" t="s">
        <v>1560</v>
      </c>
      <c r="B1550" s="7" t="s">
        <v>12</v>
      </c>
      <c r="C1550" t="s">
        <v>2</v>
      </c>
    </row>
    <row r="1551" spans="1:3" x14ac:dyDescent="0.3">
      <c r="A1551" s="7" t="s">
        <v>1561</v>
      </c>
      <c r="B1551" s="7" t="s">
        <v>12</v>
      </c>
      <c r="C1551" t="s">
        <v>2</v>
      </c>
    </row>
    <row r="1552" spans="1:3" x14ac:dyDescent="0.3">
      <c r="A1552" s="7" t="s">
        <v>1562</v>
      </c>
      <c r="B1552" s="7" t="s">
        <v>12</v>
      </c>
      <c r="C1552" t="s">
        <v>2</v>
      </c>
    </row>
    <row r="1553" spans="1:3" x14ac:dyDescent="0.3">
      <c r="A1553" s="7" t="s">
        <v>1563</v>
      </c>
      <c r="B1553" s="7" t="s">
        <v>12</v>
      </c>
      <c r="C1553" t="s">
        <v>2</v>
      </c>
    </row>
    <row r="1554" spans="1:3" x14ac:dyDescent="0.3">
      <c r="A1554" s="7" t="s">
        <v>1564</v>
      </c>
      <c r="B1554" s="7" t="s">
        <v>12</v>
      </c>
      <c r="C1554" t="s">
        <v>2</v>
      </c>
    </row>
    <row r="1555" spans="1:3" x14ac:dyDescent="0.3">
      <c r="A1555" s="7" t="s">
        <v>1565</v>
      </c>
      <c r="B1555" s="7" t="s">
        <v>12</v>
      </c>
      <c r="C1555" t="s">
        <v>2</v>
      </c>
    </row>
    <row r="1556" spans="1:3" x14ac:dyDescent="0.3">
      <c r="A1556" s="7" t="s">
        <v>1566</v>
      </c>
      <c r="B1556" s="7" t="s">
        <v>12</v>
      </c>
      <c r="C1556" t="s">
        <v>2</v>
      </c>
    </row>
    <row r="1557" spans="1:3" x14ac:dyDescent="0.3">
      <c r="A1557" s="7" t="s">
        <v>1567</v>
      </c>
      <c r="B1557" s="7" t="s">
        <v>12</v>
      </c>
      <c r="C1557" t="s">
        <v>2</v>
      </c>
    </row>
    <row r="1558" spans="1:3" x14ac:dyDescent="0.3">
      <c r="A1558" s="7" t="s">
        <v>1568</v>
      </c>
      <c r="B1558" s="7" t="s">
        <v>12</v>
      </c>
      <c r="C1558" t="s">
        <v>2</v>
      </c>
    </row>
    <row r="1559" spans="1:3" x14ac:dyDescent="0.3">
      <c r="A1559" s="7" t="s">
        <v>1569</v>
      </c>
      <c r="B1559" s="7" t="s">
        <v>12</v>
      </c>
      <c r="C1559" t="s">
        <v>2</v>
      </c>
    </row>
    <row r="1560" spans="1:3" x14ac:dyDescent="0.3">
      <c r="A1560" s="7" t="s">
        <v>1570</v>
      </c>
      <c r="B1560" s="7" t="s">
        <v>12</v>
      </c>
      <c r="C1560" t="s">
        <v>2</v>
      </c>
    </row>
    <row r="1561" spans="1:3" x14ac:dyDescent="0.3">
      <c r="A1561" s="7" t="s">
        <v>1571</v>
      </c>
      <c r="B1561" s="7" t="s">
        <v>12</v>
      </c>
      <c r="C1561" t="s">
        <v>2</v>
      </c>
    </row>
    <row r="1562" spans="1:3" x14ac:dyDescent="0.3">
      <c r="A1562" s="7" t="s">
        <v>1572</v>
      </c>
      <c r="B1562" s="7" t="s">
        <v>12</v>
      </c>
      <c r="C1562" t="s">
        <v>2</v>
      </c>
    </row>
    <row r="1563" spans="1:3" x14ac:dyDescent="0.3">
      <c r="A1563" s="7" t="s">
        <v>1573</v>
      </c>
      <c r="B1563" s="7" t="s">
        <v>12</v>
      </c>
      <c r="C1563" t="s">
        <v>2</v>
      </c>
    </row>
    <row r="1564" spans="1:3" x14ac:dyDescent="0.3">
      <c r="A1564" s="7" t="s">
        <v>1574</v>
      </c>
      <c r="B1564" s="7" t="s">
        <v>12</v>
      </c>
      <c r="C1564" t="s">
        <v>2</v>
      </c>
    </row>
    <row r="1565" spans="1:3" x14ac:dyDescent="0.3">
      <c r="A1565" s="7" t="s">
        <v>1575</v>
      </c>
      <c r="B1565" s="7" t="s">
        <v>12</v>
      </c>
      <c r="C1565" t="s">
        <v>2</v>
      </c>
    </row>
    <row r="1566" spans="1:3" x14ac:dyDescent="0.3">
      <c r="A1566" s="7" t="s">
        <v>1576</v>
      </c>
      <c r="B1566" s="7" t="s">
        <v>12</v>
      </c>
      <c r="C1566" t="s">
        <v>2</v>
      </c>
    </row>
    <row r="1567" spans="1:3" x14ac:dyDescent="0.3">
      <c r="A1567" s="7" t="s">
        <v>1577</v>
      </c>
      <c r="B1567" s="7" t="s">
        <v>12</v>
      </c>
      <c r="C1567" t="s">
        <v>2</v>
      </c>
    </row>
    <row r="1568" spans="1:3" x14ac:dyDescent="0.3">
      <c r="A1568" s="7" t="s">
        <v>1578</v>
      </c>
      <c r="B1568" s="7" t="s">
        <v>12</v>
      </c>
      <c r="C1568" t="s">
        <v>2</v>
      </c>
    </row>
    <row r="1569" spans="1:3" x14ac:dyDescent="0.3">
      <c r="A1569" s="7" t="s">
        <v>1579</v>
      </c>
      <c r="B1569" s="7" t="s">
        <v>12</v>
      </c>
      <c r="C1569" t="s">
        <v>2</v>
      </c>
    </row>
    <row r="1570" spans="1:3" x14ac:dyDescent="0.3">
      <c r="A1570" s="7" t="s">
        <v>1580</v>
      </c>
      <c r="B1570" s="7" t="s">
        <v>12</v>
      </c>
      <c r="C1570" t="s">
        <v>2</v>
      </c>
    </row>
    <row r="1571" spans="1:3" x14ac:dyDescent="0.3">
      <c r="A1571" s="7" t="s">
        <v>1581</v>
      </c>
      <c r="B1571" s="7" t="s">
        <v>12</v>
      </c>
      <c r="C1571" t="s">
        <v>2</v>
      </c>
    </row>
    <row r="1572" spans="1:3" x14ac:dyDescent="0.3">
      <c r="A1572" s="7" t="s">
        <v>1582</v>
      </c>
      <c r="B1572" s="7" t="s">
        <v>12</v>
      </c>
      <c r="C1572" t="s">
        <v>2</v>
      </c>
    </row>
    <row r="1573" spans="1:3" x14ac:dyDescent="0.3">
      <c r="A1573" s="7" t="s">
        <v>1583</v>
      </c>
      <c r="B1573" s="7" t="s">
        <v>12</v>
      </c>
      <c r="C1573" t="s">
        <v>2</v>
      </c>
    </row>
    <row r="1574" spans="1:3" x14ac:dyDescent="0.3">
      <c r="A1574" s="7" t="s">
        <v>1584</v>
      </c>
      <c r="B1574" s="7" t="s">
        <v>12</v>
      </c>
      <c r="C1574" t="s">
        <v>2</v>
      </c>
    </row>
    <row r="1575" spans="1:3" x14ac:dyDescent="0.3">
      <c r="A1575" s="7" t="s">
        <v>1585</v>
      </c>
      <c r="B1575" s="7" t="s">
        <v>12</v>
      </c>
      <c r="C1575" t="s">
        <v>2</v>
      </c>
    </row>
    <row r="1576" spans="1:3" x14ac:dyDescent="0.3">
      <c r="A1576" s="7" t="s">
        <v>1586</v>
      </c>
      <c r="B1576" s="7" t="s">
        <v>12</v>
      </c>
      <c r="C1576" t="s">
        <v>2</v>
      </c>
    </row>
    <row r="1577" spans="1:3" x14ac:dyDescent="0.3">
      <c r="A1577" s="7" t="s">
        <v>1587</v>
      </c>
      <c r="B1577" s="7" t="s">
        <v>12</v>
      </c>
      <c r="C1577" t="s">
        <v>2</v>
      </c>
    </row>
    <row r="1578" spans="1:3" x14ac:dyDescent="0.3">
      <c r="A1578" s="7" t="s">
        <v>1588</v>
      </c>
      <c r="B1578" s="7" t="s">
        <v>12</v>
      </c>
      <c r="C1578" t="s">
        <v>2</v>
      </c>
    </row>
    <row r="1579" spans="1:3" x14ac:dyDescent="0.3">
      <c r="A1579" s="7" t="s">
        <v>1589</v>
      </c>
      <c r="B1579" s="7" t="s">
        <v>12</v>
      </c>
      <c r="C1579" t="s">
        <v>2</v>
      </c>
    </row>
    <row r="1580" spans="1:3" x14ac:dyDescent="0.3">
      <c r="A1580" s="7" t="s">
        <v>1590</v>
      </c>
      <c r="B1580" s="7" t="s">
        <v>12</v>
      </c>
      <c r="C1580" t="s">
        <v>2</v>
      </c>
    </row>
    <row r="1581" spans="1:3" x14ac:dyDescent="0.3">
      <c r="A1581" s="7" t="s">
        <v>1591</v>
      </c>
      <c r="B1581" s="7" t="s">
        <v>12</v>
      </c>
      <c r="C1581" t="s">
        <v>2</v>
      </c>
    </row>
    <row r="1582" spans="1:3" x14ac:dyDescent="0.3">
      <c r="A1582" s="7" t="s">
        <v>1592</v>
      </c>
      <c r="B1582" s="7" t="s">
        <v>12</v>
      </c>
      <c r="C1582" t="s">
        <v>2</v>
      </c>
    </row>
    <row r="1583" spans="1:3" x14ac:dyDescent="0.3">
      <c r="A1583" s="7" t="s">
        <v>1593</v>
      </c>
      <c r="B1583" s="7" t="s">
        <v>12</v>
      </c>
      <c r="C1583" t="s">
        <v>2</v>
      </c>
    </row>
    <row r="1584" spans="1:3" x14ac:dyDescent="0.3">
      <c r="A1584" s="7" t="s">
        <v>1594</v>
      </c>
      <c r="B1584" s="7" t="s">
        <v>12</v>
      </c>
      <c r="C1584" t="s">
        <v>2</v>
      </c>
    </row>
    <row r="1585" spans="1:3" x14ac:dyDescent="0.3">
      <c r="A1585" s="7" t="s">
        <v>1595</v>
      </c>
      <c r="B1585" s="7" t="s">
        <v>12</v>
      </c>
      <c r="C1585" t="s">
        <v>2</v>
      </c>
    </row>
    <row r="1586" spans="1:3" x14ac:dyDescent="0.3">
      <c r="A1586" s="7" t="s">
        <v>1596</v>
      </c>
      <c r="B1586" s="7" t="s">
        <v>12</v>
      </c>
      <c r="C1586" t="s">
        <v>2</v>
      </c>
    </row>
    <row r="1587" spans="1:3" x14ac:dyDescent="0.3">
      <c r="A1587" s="7" t="s">
        <v>1597</v>
      </c>
      <c r="B1587" s="7" t="s">
        <v>12</v>
      </c>
      <c r="C1587" t="s">
        <v>2</v>
      </c>
    </row>
    <row r="1588" spans="1:3" x14ac:dyDescent="0.3">
      <c r="A1588" s="7" t="s">
        <v>1598</v>
      </c>
      <c r="B1588" s="7" t="s">
        <v>12</v>
      </c>
      <c r="C1588" t="s">
        <v>2</v>
      </c>
    </row>
    <row r="1589" spans="1:3" x14ac:dyDescent="0.3">
      <c r="A1589" s="7" t="s">
        <v>1599</v>
      </c>
      <c r="B1589" s="7" t="s">
        <v>12</v>
      </c>
      <c r="C1589" t="s">
        <v>2</v>
      </c>
    </row>
    <row r="1590" spans="1:3" x14ac:dyDescent="0.3">
      <c r="A1590" s="7" t="s">
        <v>1600</v>
      </c>
      <c r="B1590" s="7" t="s">
        <v>12</v>
      </c>
      <c r="C1590" t="s">
        <v>2</v>
      </c>
    </row>
    <row r="1591" spans="1:3" x14ac:dyDescent="0.3">
      <c r="A1591" s="7" t="s">
        <v>1601</v>
      </c>
      <c r="B1591" s="7" t="s">
        <v>12</v>
      </c>
      <c r="C1591" t="s">
        <v>2</v>
      </c>
    </row>
    <row r="1592" spans="1:3" x14ac:dyDescent="0.3">
      <c r="A1592" s="7" t="s">
        <v>1602</v>
      </c>
      <c r="B1592" s="7" t="s">
        <v>12</v>
      </c>
      <c r="C1592" t="s">
        <v>2</v>
      </c>
    </row>
    <row r="1593" spans="1:3" x14ac:dyDescent="0.3">
      <c r="A1593" s="7" t="s">
        <v>1603</v>
      </c>
      <c r="B1593" s="7" t="s">
        <v>12</v>
      </c>
      <c r="C1593" t="s">
        <v>2</v>
      </c>
    </row>
    <row r="1594" spans="1:3" x14ac:dyDescent="0.3">
      <c r="A1594" s="7" t="s">
        <v>1604</v>
      </c>
      <c r="B1594" s="7" t="s">
        <v>12</v>
      </c>
      <c r="C1594" t="s">
        <v>2</v>
      </c>
    </row>
    <row r="1595" spans="1:3" x14ac:dyDescent="0.3">
      <c r="A1595" s="7" t="s">
        <v>1605</v>
      </c>
      <c r="B1595" s="7" t="s">
        <v>12</v>
      </c>
      <c r="C1595" t="s">
        <v>2</v>
      </c>
    </row>
    <row r="1596" spans="1:3" x14ac:dyDescent="0.3">
      <c r="A1596" s="7" t="s">
        <v>1606</v>
      </c>
      <c r="B1596" s="7" t="s">
        <v>12</v>
      </c>
      <c r="C1596" t="s">
        <v>2</v>
      </c>
    </row>
    <row r="1597" spans="1:3" x14ac:dyDescent="0.3">
      <c r="A1597" s="7" t="s">
        <v>1607</v>
      </c>
      <c r="B1597" s="7" t="s">
        <v>12</v>
      </c>
      <c r="C1597" t="s">
        <v>3</v>
      </c>
    </row>
    <row r="1598" spans="1:3" x14ac:dyDescent="0.3">
      <c r="A1598" s="7" t="s">
        <v>1608</v>
      </c>
      <c r="B1598" s="7" t="s">
        <v>12</v>
      </c>
      <c r="C1598" t="s">
        <v>3</v>
      </c>
    </row>
    <row r="1599" spans="1:3" x14ac:dyDescent="0.3">
      <c r="A1599" s="7" t="s">
        <v>1609</v>
      </c>
      <c r="B1599" s="7" t="s">
        <v>12</v>
      </c>
      <c r="C1599" t="s">
        <v>3</v>
      </c>
    </row>
    <row r="1600" spans="1:3" x14ac:dyDescent="0.3">
      <c r="A1600" s="7" t="s">
        <v>1610</v>
      </c>
      <c r="B1600" s="7" t="s">
        <v>12</v>
      </c>
      <c r="C1600" t="s">
        <v>3</v>
      </c>
    </row>
    <row r="1601" spans="1:3" x14ac:dyDescent="0.3">
      <c r="A1601" s="7" t="s">
        <v>1611</v>
      </c>
      <c r="B1601" s="7" t="s">
        <v>12</v>
      </c>
      <c r="C1601" t="s">
        <v>3</v>
      </c>
    </row>
    <row r="1602" spans="1:3" x14ac:dyDescent="0.3">
      <c r="A1602" s="7" t="s">
        <v>1612</v>
      </c>
      <c r="B1602" s="7" t="s">
        <v>12</v>
      </c>
      <c r="C1602" t="s">
        <v>3</v>
      </c>
    </row>
    <row r="1603" spans="1:3" x14ac:dyDescent="0.3">
      <c r="A1603" s="7" t="s">
        <v>1613</v>
      </c>
      <c r="B1603" s="7" t="s">
        <v>12</v>
      </c>
      <c r="C1603" t="s">
        <v>3</v>
      </c>
    </row>
    <row r="1604" spans="1:3" x14ac:dyDescent="0.3">
      <c r="A1604" s="7" t="s">
        <v>1614</v>
      </c>
      <c r="B1604" s="7" t="s">
        <v>12</v>
      </c>
      <c r="C1604" t="s">
        <v>3</v>
      </c>
    </row>
    <row r="1605" spans="1:3" x14ac:dyDescent="0.3">
      <c r="A1605" s="7" t="s">
        <v>1615</v>
      </c>
      <c r="B1605" s="7" t="s">
        <v>12</v>
      </c>
      <c r="C1605" t="s">
        <v>3</v>
      </c>
    </row>
    <row r="1606" spans="1:3" x14ac:dyDescent="0.3">
      <c r="A1606" s="7" t="s">
        <v>1616</v>
      </c>
      <c r="B1606" s="7" t="s">
        <v>12</v>
      </c>
      <c r="C1606" t="s">
        <v>3</v>
      </c>
    </row>
    <row r="1607" spans="1:3" x14ac:dyDescent="0.3">
      <c r="A1607" s="7" t="s">
        <v>1617</v>
      </c>
      <c r="B1607" s="7" t="s">
        <v>12</v>
      </c>
      <c r="C1607" t="s">
        <v>3</v>
      </c>
    </row>
    <row r="1608" spans="1:3" x14ac:dyDescent="0.3">
      <c r="A1608" s="7" t="s">
        <v>1618</v>
      </c>
      <c r="B1608" s="7" t="s">
        <v>12</v>
      </c>
      <c r="C1608" t="s">
        <v>3</v>
      </c>
    </row>
    <row r="1609" spans="1:3" x14ac:dyDescent="0.3">
      <c r="A1609" s="7" t="s">
        <v>1619</v>
      </c>
      <c r="B1609" s="7" t="s">
        <v>12</v>
      </c>
      <c r="C1609" t="s">
        <v>3</v>
      </c>
    </row>
    <row r="1610" spans="1:3" x14ac:dyDescent="0.3">
      <c r="A1610" s="7" t="s">
        <v>1620</v>
      </c>
      <c r="B1610" s="7" t="s">
        <v>12</v>
      </c>
      <c r="C1610" t="s">
        <v>2</v>
      </c>
    </row>
    <row r="1611" spans="1:3" x14ac:dyDescent="0.3">
      <c r="A1611" s="7" t="s">
        <v>1621</v>
      </c>
      <c r="B1611" s="7" t="s">
        <v>12</v>
      </c>
      <c r="C1611" t="s">
        <v>2</v>
      </c>
    </row>
    <row r="1612" spans="1:3" x14ac:dyDescent="0.3">
      <c r="A1612" s="7" t="s">
        <v>1622</v>
      </c>
      <c r="B1612" s="7" t="s">
        <v>12</v>
      </c>
      <c r="C1612" t="s">
        <v>2</v>
      </c>
    </row>
    <row r="1613" spans="1:3" x14ac:dyDescent="0.3">
      <c r="A1613" s="7" t="s">
        <v>1623</v>
      </c>
      <c r="B1613" s="7" t="s">
        <v>12</v>
      </c>
      <c r="C1613" t="s">
        <v>3678</v>
      </c>
    </row>
    <row r="1614" spans="1:3" x14ac:dyDescent="0.3">
      <c r="A1614" s="7" t="s">
        <v>1624</v>
      </c>
      <c r="B1614" s="7" t="s">
        <v>12</v>
      </c>
      <c r="C1614" t="s">
        <v>3678</v>
      </c>
    </row>
    <row r="1615" spans="1:3" x14ac:dyDescent="0.3">
      <c r="A1615" s="7" t="s">
        <v>1625</v>
      </c>
      <c r="B1615" s="7" t="s">
        <v>12</v>
      </c>
      <c r="C1615" t="s">
        <v>3678</v>
      </c>
    </row>
    <row r="1616" spans="1:3" x14ac:dyDescent="0.3">
      <c r="A1616" s="7" t="s">
        <v>1626</v>
      </c>
      <c r="B1616" s="7" t="s">
        <v>12</v>
      </c>
      <c r="C1616" t="s">
        <v>3678</v>
      </c>
    </row>
    <row r="1617" spans="1:3" x14ac:dyDescent="0.3">
      <c r="A1617" s="7" t="s">
        <v>1627</v>
      </c>
      <c r="B1617" s="7" t="s">
        <v>12</v>
      </c>
      <c r="C1617" t="s">
        <v>3678</v>
      </c>
    </row>
    <row r="1618" spans="1:3" x14ac:dyDescent="0.3">
      <c r="A1618" s="7" t="s">
        <v>1628</v>
      </c>
      <c r="B1618" s="7" t="s">
        <v>12</v>
      </c>
      <c r="C1618" t="s">
        <v>3678</v>
      </c>
    </row>
    <row r="1619" spans="1:3" x14ac:dyDescent="0.3">
      <c r="A1619" s="7" t="s">
        <v>1629</v>
      </c>
      <c r="B1619" s="7" t="s">
        <v>12</v>
      </c>
      <c r="C1619" t="s">
        <v>3678</v>
      </c>
    </row>
    <row r="1620" spans="1:3" x14ac:dyDescent="0.3">
      <c r="A1620" s="7" t="s">
        <v>1630</v>
      </c>
      <c r="B1620" s="7" t="s">
        <v>12</v>
      </c>
      <c r="C1620" t="s">
        <v>3678</v>
      </c>
    </row>
    <row r="1621" spans="1:3" x14ac:dyDescent="0.3">
      <c r="A1621" s="7" t="s">
        <v>1631</v>
      </c>
      <c r="B1621" s="7" t="s">
        <v>12</v>
      </c>
      <c r="C1621" t="s">
        <v>2</v>
      </c>
    </row>
    <row r="1622" spans="1:3" x14ac:dyDescent="0.3">
      <c r="A1622" s="7" t="s">
        <v>1632</v>
      </c>
      <c r="B1622" s="7" t="s">
        <v>12</v>
      </c>
      <c r="C1622" t="s">
        <v>2</v>
      </c>
    </row>
    <row r="1623" spans="1:3" x14ac:dyDescent="0.3">
      <c r="A1623" s="7" t="s">
        <v>1633</v>
      </c>
      <c r="B1623" s="7" t="s">
        <v>12</v>
      </c>
      <c r="C1623" t="s">
        <v>2</v>
      </c>
    </row>
    <row r="1624" spans="1:3" x14ac:dyDescent="0.3">
      <c r="A1624" s="7" t="s">
        <v>1634</v>
      </c>
      <c r="B1624" s="7" t="s">
        <v>12</v>
      </c>
      <c r="C1624" t="s">
        <v>2</v>
      </c>
    </row>
    <row r="1625" spans="1:3" x14ac:dyDescent="0.3">
      <c r="A1625" s="7" t="s">
        <v>1635</v>
      </c>
      <c r="B1625" s="7" t="s">
        <v>12</v>
      </c>
      <c r="C1625" t="s">
        <v>2</v>
      </c>
    </row>
    <row r="1626" spans="1:3" x14ac:dyDescent="0.3">
      <c r="A1626" s="7" t="s">
        <v>1636</v>
      </c>
      <c r="B1626" s="7" t="s">
        <v>12</v>
      </c>
      <c r="C1626" t="s">
        <v>2</v>
      </c>
    </row>
    <row r="1627" spans="1:3" x14ac:dyDescent="0.3">
      <c r="A1627" s="7" t="s">
        <v>1637</v>
      </c>
      <c r="B1627" s="7" t="s">
        <v>12</v>
      </c>
      <c r="C1627" t="s">
        <v>2</v>
      </c>
    </row>
    <row r="1628" spans="1:3" x14ac:dyDescent="0.3">
      <c r="A1628" s="7" t="s">
        <v>1638</v>
      </c>
      <c r="B1628" s="7" t="s">
        <v>12</v>
      </c>
      <c r="C1628" t="s">
        <v>2</v>
      </c>
    </row>
    <row r="1629" spans="1:3" x14ac:dyDescent="0.3">
      <c r="A1629" s="7" t="s">
        <v>1639</v>
      </c>
      <c r="B1629" s="7" t="s">
        <v>12</v>
      </c>
      <c r="C1629" t="s">
        <v>2</v>
      </c>
    </row>
    <row r="1630" spans="1:3" x14ac:dyDescent="0.3">
      <c r="A1630" s="7" t="s">
        <v>1640</v>
      </c>
      <c r="B1630" s="7" t="s">
        <v>12</v>
      </c>
      <c r="C1630" t="s">
        <v>2</v>
      </c>
    </row>
    <row r="1631" spans="1:3" x14ac:dyDescent="0.3">
      <c r="A1631" s="7" t="s">
        <v>1641</v>
      </c>
      <c r="B1631" s="7" t="s">
        <v>12</v>
      </c>
      <c r="C1631" t="s">
        <v>2</v>
      </c>
    </row>
    <row r="1632" spans="1:3" x14ac:dyDescent="0.3">
      <c r="A1632" s="7" t="s">
        <v>1642</v>
      </c>
      <c r="B1632" s="7" t="s">
        <v>12</v>
      </c>
      <c r="C1632" t="s">
        <v>2</v>
      </c>
    </row>
    <row r="1633" spans="1:3" x14ac:dyDescent="0.3">
      <c r="A1633" s="7" t="s">
        <v>1643</v>
      </c>
      <c r="B1633" s="7" t="s">
        <v>12</v>
      </c>
      <c r="C1633" t="s">
        <v>2</v>
      </c>
    </row>
    <row r="1634" spans="1:3" x14ac:dyDescent="0.3">
      <c r="A1634" s="7" t="s">
        <v>1644</v>
      </c>
      <c r="B1634" s="7" t="s">
        <v>12</v>
      </c>
      <c r="C1634" t="s">
        <v>2</v>
      </c>
    </row>
    <row r="1635" spans="1:3" x14ac:dyDescent="0.3">
      <c r="A1635" s="7" t="s">
        <v>1645</v>
      </c>
      <c r="B1635" s="7" t="s">
        <v>12</v>
      </c>
      <c r="C1635" t="s">
        <v>2</v>
      </c>
    </row>
    <row r="1636" spans="1:3" x14ac:dyDescent="0.3">
      <c r="A1636" s="7" t="s">
        <v>1646</v>
      </c>
      <c r="B1636" s="7" t="s">
        <v>12</v>
      </c>
      <c r="C1636" t="s">
        <v>2</v>
      </c>
    </row>
    <row r="1637" spans="1:3" x14ac:dyDescent="0.3">
      <c r="A1637" s="7" t="s">
        <v>1647</v>
      </c>
      <c r="B1637" s="7" t="s">
        <v>12</v>
      </c>
      <c r="C1637" t="s">
        <v>2</v>
      </c>
    </row>
    <row r="1638" spans="1:3" x14ac:dyDescent="0.3">
      <c r="A1638" s="7" t="s">
        <v>1648</v>
      </c>
      <c r="B1638" s="7" t="s">
        <v>12</v>
      </c>
      <c r="C1638" t="s">
        <v>2</v>
      </c>
    </row>
    <row r="1639" spans="1:3" x14ac:dyDescent="0.3">
      <c r="A1639" s="7" t="s">
        <v>1649</v>
      </c>
      <c r="B1639" s="7" t="s">
        <v>12</v>
      </c>
      <c r="C1639" t="s">
        <v>2</v>
      </c>
    </row>
    <row r="1640" spans="1:3" x14ac:dyDescent="0.3">
      <c r="A1640" s="7" t="s">
        <v>1650</v>
      </c>
      <c r="B1640" s="7" t="s">
        <v>12</v>
      </c>
      <c r="C1640" t="s">
        <v>2</v>
      </c>
    </row>
    <row r="1641" spans="1:3" x14ac:dyDescent="0.3">
      <c r="A1641" s="7" t="s">
        <v>1651</v>
      </c>
      <c r="B1641" s="7" t="s">
        <v>12</v>
      </c>
      <c r="C1641" t="s">
        <v>2</v>
      </c>
    </row>
    <row r="1642" spans="1:3" x14ac:dyDescent="0.3">
      <c r="A1642" s="7" t="s">
        <v>1652</v>
      </c>
      <c r="B1642" s="7" t="s">
        <v>12</v>
      </c>
      <c r="C1642" t="s">
        <v>2</v>
      </c>
    </row>
    <row r="1643" spans="1:3" x14ac:dyDescent="0.3">
      <c r="A1643" s="7" t="s">
        <v>1653</v>
      </c>
      <c r="B1643" s="7" t="s">
        <v>12</v>
      </c>
      <c r="C1643" t="s">
        <v>2</v>
      </c>
    </row>
    <row r="1644" spans="1:3" x14ac:dyDescent="0.3">
      <c r="A1644" s="7" t="s">
        <v>1654</v>
      </c>
      <c r="B1644" s="7" t="s">
        <v>12</v>
      </c>
      <c r="C1644" t="s">
        <v>2</v>
      </c>
    </row>
    <row r="1645" spans="1:3" x14ac:dyDescent="0.3">
      <c r="A1645" s="7" t="s">
        <v>1655</v>
      </c>
      <c r="B1645" s="7" t="s">
        <v>12</v>
      </c>
      <c r="C1645" t="s">
        <v>2</v>
      </c>
    </row>
    <row r="1646" spans="1:3" x14ac:dyDescent="0.3">
      <c r="A1646" s="7" t="s">
        <v>1656</v>
      </c>
      <c r="B1646" s="7" t="s">
        <v>12</v>
      </c>
      <c r="C1646" t="s">
        <v>2</v>
      </c>
    </row>
    <row r="1647" spans="1:3" x14ac:dyDescent="0.3">
      <c r="A1647" s="7" t="s">
        <v>1657</v>
      </c>
      <c r="B1647" s="7" t="s">
        <v>12</v>
      </c>
      <c r="C1647" t="s">
        <v>2</v>
      </c>
    </row>
    <row r="1648" spans="1:3" x14ac:dyDescent="0.3">
      <c r="A1648" s="7" t="s">
        <v>1658</v>
      </c>
      <c r="B1648" s="7" t="s">
        <v>12</v>
      </c>
      <c r="C1648" t="s">
        <v>2</v>
      </c>
    </row>
    <row r="1649" spans="1:3" x14ac:dyDescent="0.3">
      <c r="A1649" s="7" t="s">
        <v>1659</v>
      </c>
      <c r="B1649" s="7" t="s">
        <v>12</v>
      </c>
      <c r="C1649" t="s">
        <v>2</v>
      </c>
    </row>
    <row r="1650" spans="1:3" x14ac:dyDescent="0.3">
      <c r="A1650" s="7" t="s">
        <v>1660</v>
      </c>
      <c r="B1650" s="7" t="s">
        <v>12</v>
      </c>
      <c r="C1650" t="s">
        <v>2</v>
      </c>
    </row>
    <row r="1651" spans="1:3" x14ac:dyDescent="0.3">
      <c r="A1651" s="7" t="s">
        <v>1661</v>
      </c>
      <c r="B1651" s="7" t="s">
        <v>12</v>
      </c>
      <c r="C1651" t="s">
        <v>2</v>
      </c>
    </row>
    <row r="1652" spans="1:3" x14ac:dyDescent="0.3">
      <c r="A1652" s="7" t="s">
        <v>1662</v>
      </c>
      <c r="B1652" s="7" t="s">
        <v>12</v>
      </c>
      <c r="C1652" t="s">
        <v>2</v>
      </c>
    </row>
    <row r="1653" spans="1:3" x14ac:dyDescent="0.3">
      <c r="A1653" s="7" t="s">
        <v>1663</v>
      </c>
      <c r="B1653" s="7" t="s">
        <v>12</v>
      </c>
      <c r="C1653" t="s">
        <v>2</v>
      </c>
    </row>
    <row r="1654" spans="1:3" x14ac:dyDescent="0.3">
      <c r="A1654" s="7" t="s">
        <v>1664</v>
      </c>
      <c r="B1654" s="7" t="s">
        <v>12</v>
      </c>
      <c r="C1654" t="s">
        <v>2</v>
      </c>
    </row>
    <row r="1655" spans="1:3" x14ac:dyDescent="0.3">
      <c r="A1655" s="7" t="s">
        <v>1665</v>
      </c>
      <c r="B1655" s="7" t="s">
        <v>12</v>
      </c>
      <c r="C1655" t="s">
        <v>2</v>
      </c>
    </row>
    <row r="1656" spans="1:3" x14ac:dyDescent="0.3">
      <c r="A1656" s="7" t="s">
        <v>1666</v>
      </c>
      <c r="B1656" s="7" t="s">
        <v>12</v>
      </c>
      <c r="C1656" t="s">
        <v>2</v>
      </c>
    </row>
    <row r="1657" spans="1:3" x14ac:dyDescent="0.3">
      <c r="A1657" s="7" t="s">
        <v>1667</v>
      </c>
      <c r="B1657" s="7" t="s">
        <v>12</v>
      </c>
      <c r="C1657" t="s">
        <v>2</v>
      </c>
    </row>
    <row r="1658" spans="1:3" x14ac:dyDescent="0.3">
      <c r="A1658" s="7" t="s">
        <v>1668</v>
      </c>
      <c r="B1658" s="7" t="s">
        <v>12</v>
      </c>
      <c r="C1658" t="s">
        <v>2</v>
      </c>
    </row>
    <row r="1659" spans="1:3" x14ac:dyDescent="0.3">
      <c r="A1659" s="7" t="s">
        <v>1669</v>
      </c>
      <c r="B1659" s="7" t="s">
        <v>12</v>
      </c>
      <c r="C1659" t="s">
        <v>2</v>
      </c>
    </row>
    <row r="1660" spans="1:3" x14ac:dyDescent="0.3">
      <c r="A1660" s="7" t="s">
        <v>1670</v>
      </c>
      <c r="B1660" s="7" t="s">
        <v>12</v>
      </c>
      <c r="C1660" t="s">
        <v>2</v>
      </c>
    </row>
    <row r="1661" spans="1:3" x14ac:dyDescent="0.3">
      <c r="A1661" s="7" t="s">
        <v>1671</v>
      </c>
      <c r="B1661" s="7" t="s">
        <v>12</v>
      </c>
      <c r="C1661" t="s">
        <v>2</v>
      </c>
    </row>
    <row r="1662" spans="1:3" x14ac:dyDescent="0.3">
      <c r="A1662" s="7" t="s">
        <v>1672</v>
      </c>
      <c r="B1662" s="7" t="s">
        <v>12</v>
      </c>
      <c r="C1662" t="s">
        <v>2</v>
      </c>
    </row>
    <row r="1663" spans="1:3" x14ac:dyDescent="0.3">
      <c r="A1663" s="7" t="s">
        <v>1673</v>
      </c>
      <c r="B1663" s="7" t="s">
        <v>12</v>
      </c>
      <c r="C1663" t="s">
        <v>2</v>
      </c>
    </row>
    <row r="1664" spans="1:3" x14ac:dyDescent="0.3">
      <c r="A1664" s="7" t="s">
        <v>1674</v>
      </c>
      <c r="B1664" s="7" t="s">
        <v>12</v>
      </c>
      <c r="C1664" t="s">
        <v>3</v>
      </c>
    </row>
    <row r="1665" spans="1:3" x14ac:dyDescent="0.3">
      <c r="A1665" s="7" t="s">
        <v>1675</v>
      </c>
      <c r="B1665" s="7" t="s">
        <v>12</v>
      </c>
      <c r="C1665" t="s">
        <v>3</v>
      </c>
    </row>
    <row r="1666" spans="1:3" x14ac:dyDescent="0.3">
      <c r="A1666" s="7" t="s">
        <v>1676</v>
      </c>
      <c r="B1666" s="7" t="s">
        <v>12</v>
      </c>
      <c r="C1666" t="s">
        <v>3</v>
      </c>
    </row>
    <row r="1667" spans="1:3" x14ac:dyDescent="0.3">
      <c r="A1667" s="7" t="s">
        <v>1677</v>
      </c>
      <c r="B1667" s="7" t="s">
        <v>12</v>
      </c>
      <c r="C1667" t="s">
        <v>3</v>
      </c>
    </row>
    <row r="1668" spans="1:3" x14ac:dyDescent="0.3">
      <c r="A1668" s="7" t="s">
        <v>1678</v>
      </c>
      <c r="B1668" s="7" t="s">
        <v>12</v>
      </c>
      <c r="C1668" t="s">
        <v>3</v>
      </c>
    </row>
    <row r="1669" spans="1:3" x14ac:dyDescent="0.3">
      <c r="A1669" s="7" t="s">
        <v>1679</v>
      </c>
      <c r="B1669" s="7" t="s">
        <v>12</v>
      </c>
      <c r="C1669" t="s">
        <v>3</v>
      </c>
    </row>
    <row r="1670" spans="1:3" x14ac:dyDescent="0.3">
      <c r="A1670" s="7" t="s">
        <v>1680</v>
      </c>
      <c r="B1670" s="7" t="s">
        <v>12</v>
      </c>
      <c r="C1670" t="s">
        <v>3</v>
      </c>
    </row>
    <row r="1671" spans="1:3" x14ac:dyDescent="0.3">
      <c r="A1671" s="7" t="s">
        <v>1681</v>
      </c>
      <c r="B1671" s="7" t="s">
        <v>12</v>
      </c>
      <c r="C1671" t="s">
        <v>3</v>
      </c>
    </row>
    <row r="1672" spans="1:3" x14ac:dyDescent="0.3">
      <c r="A1672" s="7" t="s">
        <v>1682</v>
      </c>
      <c r="B1672" s="7" t="s">
        <v>12</v>
      </c>
      <c r="C1672" t="s">
        <v>3</v>
      </c>
    </row>
    <row r="1673" spans="1:3" x14ac:dyDescent="0.3">
      <c r="A1673" s="7" t="s">
        <v>1683</v>
      </c>
      <c r="B1673" s="7" t="s">
        <v>12</v>
      </c>
      <c r="C1673" t="s">
        <v>2</v>
      </c>
    </row>
    <row r="1674" spans="1:3" x14ac:dyDescent="0.3">
      <c r="A1674" s="7" t="s">
        <v>1684</v>
      </c>
      <c r="B1674" s="7" t="s">
        <v>12</v>
      </c>
      <c r="C1674" t="s">
        <v>2</v>
      </c>
    </row>
    <row r="1675" spans="1:3" x14ac:dyDescent="0.3">
      <c r="A1675" s="7" t="s">
        <v>1685</v>
      </c>
      <c r="B1675" s="7" t="s">
        <v>12</v>
      </c>
      <c r="C1675" t="s">
        <v>2</v>
      </c>
    </row>
    <row r="1676" spans="1:3" x14ac:dyDescent="0.3">
      <c r="A1676" s="7" t="s">
        <v>1686</v>
      </c>
      <c r="B1676" s="7" t="s">
        <v>12</v>
      </c>
      <c r="C1676" t="s">
        <v>2</v>
      </c>
    </row>
    <row r="1677" spans="1:3" x14ac:dyDescent="0.3">
      <c r="A1677" s="7" t="s">
        <v>1687</v>
      </c>
      <c r="B1677" s="7" t="s">
        <v>12</v>
      </c>
      <c r="C1677" t="s">
        <v>2</v>
      </c>
    </row>
    <row r="1678" spans="1:3" x14ac:dyDescent="0.3">
      <c r="A1678" s="7" t="s">
        <v>1688</v>
      </c>
      <c r="B1678" s="7" t="s">
        <v>12</v>
      </c>
      <c r="C1678" t="s">
        <v>2</v>
      </c>
    </row>
    <row r="1679" spans="1:3" x14ac:dyDescent="0.3">
      <c r="A1679" s="7" t="s">
        <v>1689</v>
      </c>
      <c r="B1679" s="7" t="s">
        <v>12</v>
      </c>
      <c r="C1679" t="s">
        <v>3678</v>
      </c>
    </row>
    <row r="1680" spans="1:3" x14ac:dyDescent="0.3">
      <c r="A1680" s="7" t="s">
        <v>1690</v>
      </c>
      <c r="B1680" s="7" t="s">
        <v>12</v>
      </c>
      <c r="C1680" t="s">
        <v>3678</v>
      </c>
    </row>
    <row r="1681" spans="1:3" x14ac:dyDescent="0.3">
      <c r="A1681" s="7" t="s">
        <v>1691</v>
      </c>
      <c r="B1681" s="7" t="s">
        <v>12</v>
      </c>
      <c r="C1681" t="s">
        <v>3678</v>
      </c>
    </row>
    <row r="1682" spans="1:3" x14ac:dyDescent="0.3">
      <c r="A1682" s="7" t="s">
        <v>1692</v>
      </c>
      <c r="B1682" s="7" t="s">
        <v>12</v>
      </c>
      <c r="C1682" t="s">
        <v>3678</v>
      </c>
    </row>
    <row r="1683" spans="1:3" x14ac:dyDescent="0.3">
      <c r="A1683" s="7" t="s">
        <v>1693</v>
      </c>
      <c r="B1683" s="7" t="s">
        <v>12</v>
      </c>
      <c r="C1683" t="s">
        <v>3678</v>
      </c>
    </row>
    <row r="1684" spans="1:3" x14ac:dyDescent="0.3">
      <c r="A1684" s="7" t="s">
        <v>1694</v>
      </c>
      <c r="B1684" s="7" t="s">
        <v>12</v>
      </c>
      <c r="C1684" t="s">
        <v>3678</v>
      </c>
    </row>
    <row r="1685" spans="1:3" x14ac:dyDescent="0.3">
      <c r="A1685" s="7" t="s">
        <v>1695</v>
      </c>
      <c r="B1685" s="7" t="s">
        <v>12</v>
      </c>
      <c r="C1685" t="s">
        <v>3678</v>
      </c>
    </row>
    <row r="1686" spans="1:3" x14ac:dyDescent="0.3">
      <c r="A1686" s="7" t="s">
        <v>1696</v>
      </c>
      <c r="B1686" s="7" t="s">
        <v>12</v>
      </c>
      <c r="C1686" t="s">
        <v>3678</v>
      </c>
    </row>
    <row r="1687" spans="1:3" x14ac:dyDescent="0.3">
      <c r="A1687" s="7" t="s">
        <v>1697</v>
      </c>
      <c r="B1687" s="7" t="s">
        <v>12</v>
      </c>
      <c r="C1687" t="s">
        <v>3678</v>
      </c>
    </row>
    <row r="1688" spans="1:3" x14ac:dyDescent="0.3">
      <c r="A1688" s="7" t="s">
        <v>1698</v>
      </c>
      <c r="B1688" s="7" t="s">
        <v>12</v>
      </c>
      <c r="C1688" t="s">
        <v>3678</v>
      </c>
    </row>
    <row r="1689" spans="1:3" x14ac:dyDescent="0.3">
      <c r="A1689" s="7" t="s">
        <v>1699</v>
      </c>
      <c r="B1689" s="7" t="s">
        <v>12</v>
      </c>
      <c r="C1689" t="s">
        <v>3678</v>
      </c>
    </row>
    <row r="1690" spans="1:3" x14ac:dyDescent="0.3">
      <c r="A1690" s="7" t="s">
        <v>1700</v>
      </c>
      <c r="B1690" s="7" t="s">
        <v>12</v>
      </c>
      <c r="C1690" t="s">
        <v>2</v>
      </c>
    </row>
    <row r="1691" spans="1:3" x14ac:dyDescent="0.3">
      <c r="A1691" s="7" t="s">
        <v>1701</v>
      </c>
      <c r="B1691" s="7" t="s">
        <v>12</v>
      </c>
      <c r="C1691" t="s">
        <v>2</v>
      </c>
    </row>
    <row r="1692" spans="1:3" x14ac:dyDescent="0.3">
      <c r="A1692" s="7" t="s">
        <v>1702</v>
      </c>
      <c r="B1692" s="7" t="s">
        <v>12</v>
      </c>
      <c r="C1692" t="s">
        <v>2</v>
      </c>
    </row>
    <row r="1693" spans="1:3" x14ac:dyDescent="0.3">
      <c r="A1693" s="7" t="s">
        <v>1703</v>
      </c>
      <c r="B1693" s="7" t="s">
        <v>12</v>
      </c>
      <c r="C1693" t="s">
        <v>2</v>
      </c>
    </row>
    <row r="1694" spans="1:3" x14ac:dyDescent="0.3">
      <c r="A1694" s="7" t="s">
        <v>1704</v>
      </c>
      <c r="B1694" s="7" t="s">
        <v>12</v>
      </c>
      <c r="C1694" t="s">
        <v>2</v>
      </c>
    </row>
    <row r="1695" spans="1:3" x14ac:dyDescent="0.3">
      <c r="A1695" s="7" t="s">
        <v>1705</v>
      </c>
      <c r="B1695" s="7" t="s">
        <v>12</v>
      </c>
      <c r="C1695" t="s">
        <v>2</v>
      </c>
    </row>
    <row r="1696" spans="1:3" x14ac:dyDescent="0.3">
      <c r="A1696" s="7" t="s">
        <v>1706</v>
      </c>
      <c r="B1696" s="7" t="s">
        <v>12</v>
      </c>
      <c r="C1696" t="s">
        <v>2</v>
      </c>
    </row>
    <row r="1697" spans="1:3" x14ac:dyDescent="0.3">
      <c r="A1697" s="7" t="s">
        <v>1707</v>
      </c>
      <c r="B1697" s="7" t="s">
        <v>12</v>
      </c>
      <c r="C1697" t="s">
        <v>2</v>
      </c>
    </row>
    <row r="1698" spans="1:3" x14ac:dyDescent="0.3">
      <c r="A1698" s="7" t="s">
        <v>1708</v>
      </c>
      <c r="B1698" s="7" t="s">
        <v>12</v>
      </c>
      <c r="C1698" t="s">
        <v>2</v>
      </c>
    </row>
    <row r="1699" spans="1:3" x14ac:dyDescent="0.3">
      <c r="A1699" s="7" t="s">
        <v>1709</v>
      </c>
      <c r="B1699" s="7" t="s">
        <v>12</v>
      </c>
      <c r="C1699" t="s">
        <v>2</v>
      </c>
    </row>
    <row r="1700" spans="1:3" x14ac:dyDescent="0.3">
      <c r="A1700" s="7" t="s">
        <v>1710</v>
      </c>
      <c r="B1700" s="7" t="s">
        <v>12</v>
      </c>
      <c r="C1700" t="s">
        <v>2</v>
      </c>
    </row>
    <row r="1701" spans="1:3" x14ac:dyDescent="0.3">
      <c r="A1701" s="7" t="s">
        <v>1711</v>
      </c>
      <c r="B1701" s="7" t="s">
        <v>12</v>
      </c>
      <c r="C1701" t="s">
        <v>2</v>
      </c>
    </row>
    <row r="1702" spans="1:3" x14ac:dyDescent="0.3">
      <c r="A1702" s="7" t="s">
        <v>1712</v>
      </c>
      <c r="B1702" s="7" t="s">
        <v>12</v>
      </c>
      <c r="C1702" t="s">
        <v>2</v>
      </c>
    </row>
    <row r="1703" spans="1:3" x14ac:dyDescent="0.3">
      <c r="A1703" s="7" t="s">
        <v>1713</v>
      </c>
      <c r="B1703" s="7" t="s">
        <v>12</v>
      </c>
      <c r="C1703" t="s">
        <v>2</v>
      </c>
    </row>
    <row r="1704" spans="1:3" x14ac:dyDescent="0.3">
      <c r="A1704" s="7" t="s">
        <v>1714</v>
      </c>
      <c r="B1704" s="7" t="s">
        <v>12</v>
      </c>
      <c r="C1704" t="s">
        <v>2</v>
      </c>
    </row>
    <row r="1705" spans="1:3" x14ac:dyDescent="0.3">
      <c r="A1705" s="7" t="s">
        <v>1715</v>
      </c>
      <c r="B1705" s="7" t="s">
        <v>12</v>
      </c>
      <c r="C1705" t="s">
        <v>2</v>
      </c>
    </row>
    <row r="1706" spans="1:3" x14ac:dyDescent="0.3">
      <c r="A1706" s="7" t="s">
        <v>1716</v>
      </c>
      <c r="B1706" s="7" t="s">
        <v>12</v>
      </c>
      <c r="C1706" t="s">
        <v>2</v>
      </c>
    </row>
    <row r="1707" spans="1:3" x14ac:dyDescent="0.3">
      <c r="A1707" s="7" t="s">
        <v>1717</v>
      </c>
      <c r="B1707" s="7" t="s">
        <v>12</v>
      </c>
      <c r="C1707" t="s">
        <v>2</v>
      </c>
    </row>
    <row r="1708" spans="1:3" x14ac:dyDescent="0.3">
      <c r="A1708" s="7" t="s">
        <v>1718</v>
      </c>
      <c r="B1708" s="7" t="s">
        <v>12</v>
      </c>
      <c r="C1708" t="s">
        <v>2</v>
      </c>
    </row>
    <row r="1709" spans="1:3" x14ac:dyDescent="0.3">
      <c r="A1709" s="7" t="s">
        <v>1719</v>
      </c>
      <c r="B1709" s="7" t="s">
        <v>12</v>
      </c>
      <c r="C1709" t="s">
        <v>2</v>
      </c>
    </row>
    <row r="1710" spans="1:3" x14ac:dyDescent="0.3">
      <c r="A1710" s="7" t="s">
        <v>1720</v>
      </c>
      <c r="B1710" s="7" t="s">
        <v>12</v>
      </c>
      <c r="C1710" t="s">
        <v>2</v>
      </c>
    </row>
    <row r="1711" spans="1:3" x14ac:dyDescent="0.3">
      <c r="A1711" s="7" t="s">
        <v>1721</v>
      </c>
      <c r="B1711" s="7" t="s">
        <v>12</v>
      </c>
      <c r="C1711" t="s">
        <v>2</v>
      </c>
    </row>
    <row r="1712" spans="1:3" x14ac:dyDescent="0.3">
      <c r="A1712" s="7" t="s">
        <v>1722</v>
      </c>
      <c r="B1712" s="7" t="s">
        <v>12</v>
      </c>
      <c r="C1712" t="s">
        <v>2</v>
      </c>
    </row>
    <row r="1713" spans="1:3" x14ac:dyDescent="0.3">
      <c r="A1713" s="7" t="s">
        <v>1723</v>
      </c>
      <c r="B1713" s="7" t="s">
        <v>12</v>
      </c>
      <c r="C1713" t="s">
        <v>2</v>
      </c>
    </row>
    <row r="1714" spans="1:3" x14ac:dyDescent="0.3">
      <c r="A1714" s="7" t="s">
        <v>1724</v>
      </c>
      <c r="B1714" s="7" t="s">
        <v>12</v>
      </c>
      <c r="C1714" t="s">
        <v>2</v>
      </c>
    </row>
    <row r="1715" spans="1:3" x14ac:dyDescent="0.3">
      <c r="A1715" s="7" t="s">
        <v>1725</v>
      </c>
      <c r="B1715" s="7" t="s">
        <v>12</v>
      </c>
      <c r="C1715" t="s">
        <v>2</v>
      </c>
    </row>
    <row r="1716" spans="1:3" x14ac:dyDescent="0.3">
      <c r="A1716" s="7" t="s">
        <v>1726</v>
      </c>
      <c r="B1716" s="7" t="s">
        <v>12</v>
      </c>
      <c r="C1716" t="s">
        <v>2</v>
      </c>
    </row>
    <row r="1717" spans="1:3" x14ac:dyDescent="0.3">
      <c r="A1717" s="7" t="s">
        <v>1727</v>
      </c>
      <c r="B1717" s="7" t="s">
        <v>12</v>
      </c>
      <c r="C1717" t="s">
        <v>2</v>
      </c>
    </row>
    <row r="1718" spans="1:3" x14ac:dyDescent="0.3">
      <c r="A1718" s="7" t="s">
        <v>1728</v>
      </c>
      <c r="B1718" s="7" t="s">
        <v>12</v>
      </c>
      <c r="C1718" t="s">
        <v>2</v>
      </c>
    </row>
    <row r="1719" spans="1:3" x14ac:dyDescent="0.3">
      <c r="A1719" s="7" t="s">
        <v>1729</v>
      </c>
      <c r="B1719" s="7" t="s">
        <v>12</v>
      </c>
      <c r="C1719" t="s">
        <v>2</v>
      </c>
    </row>
    <row r="1720" spans="1:3" x14ac:dyDescent="0.3">
      <c r="A1720" s="7" t="s">
        <v>1730</v>
      </c>
      <c r="B1720" s="7" t="s">
        <v>12</v>
      </c>
      <c r="C1720" t="s">
        <v>2</v>
      </c>
    </row>
    <row r="1721" spans="1:3" x14ac:dyDescent="0.3">
      <c r="A1721" s="7" t="s">
        <v>1731</v>
      </c>
      <c r="B1721" s="7" t="s">
        <v>12</v>
      </c>
      <c r="C1721" t="s">
        <v>2</v>
      </c>
    </row>
    <row r="1722" spans="1:3" x14ac:dyDescent="0.3">
      <c r="A1722" s="7" t="s">
        <v>1732</v>
      </c>
      <c r="B1722" s="7" t="s">
        <v>12</v>
      </c>
      <c r="C1722" t="s">
        <v>2</v>
      </c>
    </row>
    <row r="1723" spans="1:3" x14ac:dyDescent="0.3">
      <c r="A1723" s="7" t="s">
        <v>1733</v>
      </c>
      <c r="B1723" s="7" t="s">
        <v>12</v>
      </c>
      <c r="C1723" t="s">
        <v>2</v>
      </c>
    </row>
    <row r="1724" spans="1:3" x14ac:dyDescent="0.3">
      <c r="A1724" s="7" t="s">
        <v>1734</v>
      </c>
      <c r="B1724" s="7" t="s">
        <v>12</v>
      </c>
      <c r="C1724" t="s">
        <v>2</v>
      </c>
    </row>
    <row r="1725" spans="1:3" x14ac:dyDescent="0.3">
      <c r="A1725" s="7" t="s">
        <v>1735</v>
      </c>
      <c r="B1725" s="7" t="s">
        <v>12</v>
      </c>
      <c r="C1725" t="s">
        <v>2</v>
      </c>
    </row>
    <row r="1726" spans="1:3" x14ac:dyDescent="0.3">
      <c r="A1726" s="7" t="s">
        <v>1736</v>
      </c>
      <c r="B1726" s="7" t="s">
        <v>12</v>
      </c>
      <c r="C1726" t="s">
        <v>3</v>
      </c>
    </row>
    <row r="1727" spans="1:3" x14ac:dyDescent="0.3">
      <c r="A1727" s="7" t="s">
        <v>1737</v>
      </c>
      <c r="B1727" s="7" t="s">
        <v>12</v>
      </c>
      <c r="C1727" t="s">
        <v>3</v>
      </c>
    </row>
    <row r="1728" spans="1:3" x14ac:dyDescent="0.3">
      <c r="A1728" s="7" t="s">
        <v>1738</v>
      </c>
      <c r="B1728" s="7" t="s">
        <v>12</v>
      </c>
    </row>
    <row r="1729" spans="1:3" x14ac:dyDescent="0.3">
      <c r="A1729" s="7" t="s">
        <v>1739</v>
      </c>
      <c r="B1729" s="7" t="s">
        <v>12</v>
      </c>
      <c r="C1729" t="s">
        <v>2</v>
      </c>
    </row>
    <row r="1730" spans="1:3" x14ac:dyDescent="0.3">
      <c r="A1730" s="7" t="s">
        <v>1740</v>
      </c>
      <c r="B1730" s="7" t="s">
        <v>12</v>
      </c>
      <c r="C1730" t="s">
        <v>2</v>
      </c>
    </row>
    <row r="1731" spans="1:3" x14ac:dyDescent="0.3">
      <c r="A1731" s="7" t="s">
        <v>1741</v>
      </c>
      <c r="B1731" s="7" t="s">
        <v>12</v>
      </c>
      <c r="C1731" t="s">
        <v>2</v>
      </c>
    </row>
    <row r="1732" spans="1:3" x14ac:dyDescent="0.3">
      <c r="A1732" s="7" t="s">
        <v>1742</v>
      </c>
      <c r="B1732" s="7" t="s">
        <v>12</v>
      </c>
      <c r="C1732" t="s">
        <v>2</v>
      </c>
    </row>
    <row r="1733" spans="1:3" x14ac:dyDescent="0.3">
      <c r="A1733" s="7" t="s">
        <v>1743</v>
      </c>
      <c r="B1733" s="7" t="s">
        <v>12</v>
      </c>
      <c r="C1733" t="s">
        <v>2</v>
      </c>
    </row>
    <row r="1734" spans="1:3" x14ac:dyDescent="0.3">
      <c r="A1734" s="7" t="s">
        <v>1744</v>
      </c>
      <c r="B1734" s="7" t="s">
        <v>12</v>
      </c>
      <c r="C1734" t="s">
        <v>2</v>
      </c>
    </row>
    <row r="1735" spans="1:3" x14ac:dyDescent="0.3">
      <c r="A1735" s="7" t="s">
        <v>1745</v>
      </c>
      <c r="B1735" s="7" t="s">
        <v>12</v>
      </c>
      <c r="C1735" t="s">
        <v>2</v>
      </c>
    </row>
    <row r="1736" spans="1:3" x14ac:dyDescent="0.3">
      <c r="A1736" s="7" t="s">
        <v>1746</v>
      </c>
      <c r="B1736" s="7" t="s">
        <v>12</v>
      </c>
      <c r="C1736" t="s">
        <v>3678</v>
      </c>
    </row>
    <row r="1737" spans="1:3" x14ac:dyDescent="0.3">
      <c r="A1737" s="7" t="s">
        <v>1747</v>
      </c>
      <c r="B1737" s="7" t="s">
        <v>12</v>
      </c>
      <c r="C1737" t="s">
        <v>3678</v>
      </c>
    </row>
    <row r="1738" spans="1:3" x14ac:dyDescent="0.3">
      <c r="A1738" s="7" t="s">
        <v>1748</v>
      </c>
      <c r="B1738" s="7" t="s">
        <v>12</v>
      </c>
      <c r="C1738" t="s">
        <v>3678</v>
      </c>
    </row>
    <row r="1739" spans="1:3" x14ac:dyDescent="0.3">
      <c r="A1739" s="7" t="s">
        <v>1749</v>
      </c>
      <c r="B1739" s="7" t="s">
        <v>12</v>
      </c>
      <c r="C1739" t="s">
        <v>3678</v>
      </c>
    </row>
    <row r="1740" spans="1:3" x14ac:dyDescent="0.3">
      <c r="A1740" s="7" t="s">
        <v>1750</v>
      </c>
      <c r="B1740" s="7" t="s">
        <v>12</v>
      </c>
      <c r="C1740" t="s">
        <v>3678</v>
      </c>
    </row>
    <row r="1741" spans="1:3" x14ac:dyDescent="0.3">
      <c r="A1741" s="7" t="s">
        <v>1751</v>
      </c>
      <c r="B1741" s="7" t="s">
        <v>12</v>
      </c>
      <c r="C1741" t="s">
        <v>3678</v>
      </c>
    </row>
    <row r="1742" spans="1:3" x14ac:dyDescent="0.3">
      <c r="A1742" s="7" t="s">
        <v>1752</v>
      </c>
      <c r="B1742" s="7" t="s">
        <v>12</v>
      </c>
      <c r="C1742" t="s">
        <v>3680</v>
      </c>
    </row>
    <row r="1743" spans="1:3" x14ac:dyDescent="0.3">
      <c r="A1743" s="7" t="s">
        <v>1753</v>
      </c>
      <c r="B1743" s="7" t="s">
        <v>12</v>
      </c>
      <c r="C1743" t="s">
        <v>2</v>
      </c>
    </row>
    <row r="1744" spans="1:3" x14ac:dyDescent="0.3">
      <c r="A1744" s="7" t="s">
        <v>1754</v>
      </c>
      <c r="B1744" s="7" t="s">
        <v>12</v>
      </c>
      <c r="C1744" t="s">
        <v>2</v>
      </c>
    </row>
    <row r="1745" spans="1:3" x14ac:dyDescent="0.3">
      <c r="A1745" s="7" t="s">
        <v>1755</v>
      </c>
      <c r="B1745" s="7" t="s">
        <v>12</v>
      </c>
      <c r="C1745" t="s">
        <v>2</v>
      </c>
    </row>
    <row r="1746" spans="1:3" x14ac:dyDescent="0.3">
      <c r="A1746" s="7" t="s">
        <v>1756</v>
      </c>
      <c r="B1746" s="7" t="s">
        <v>12</v>
      </c>
      <c r="C1746" t="s">
        <v>2</v>
      </c>
    </row>
    <row r="1747" spans="1:3" x14ac:dyDescent="0.3">
      <c r="A1747" s="7" t="s">
        <v>1757</v>
      </c>
      <c r="B1747" s="7" t="s">
        <v>12</v>
      </c>
      <c r="C1747" t="s">
        <v>2</v>
      </c>
    </row>
    <row r="1748" spans="1:3" x14ac:dyDescent="0.3">
      <c r="A1748" s="7" t="s">
        <v>1758</v>
      </c>
      <c r="B1748" s="7" t="s">
        <v>12</v>
      </c>
      <c r="C1748" t="s">
        <v>2</v>
      </c>
    </row>
    <row r="1749" spans="1:3" x14ac:dyDescent="0.3">
      <c r="A1749" s="7" t="s">
        <v>1759</v>
      </c>
      <c r="B1749" s="7" t="s">
        <v>12</v>
      </c>
      <c r="C1749" t="s">
        <v>2</v>
      </c>
    </row>
    <row r="1750" spans="1:3" x14ac:dyDescent="0.3">
      <c r="A1750" s="7" t="s">
        <v>1760</v>
      </c>
      <c r="B1750" s="7" t="s">
        <v>12</v>
      </c>
      <c r="C1750" t="s">
        <v>2</v>
      </c>
    </row>
    <row r="1751" spans="1:3" x14ac:dyDescent="0.3">
      <c r="A1751" s="7" t="s">
        <v>1761</v>
      </c>
      <c r="B1751" s="7" t="s">
        <v>12</v>
      </c>
      <c r="C1751" t="s">
        <v>2</v>
      </c>
    </row>
    <row r="1752" spans="1:3" x14ac:dyDescent="0.3">
      <c r="A1752" s="7" t="s">
        <v>1762</v>
      </c>
      <c r="B1752" s="7" t="s">
        <v>12</v>
      </c>
      <c r="C1752" t="s">
        <v>2</v>
      </c>
    </row>
    <row r="1753" spans="1:3" x14ac:dyDescent="0.3">
      <c r="A1753" s="7" t="s">
        <v>1763</v>
      </c>
      <c r="B1753" s="7" t="s">
        <v>12</v>
      </c>
      <c r="C1753" t="s">
        <v>2</v>
      </c>
    </row>
    <row r="1754" spans="1:3" x14ac:dyDescent="0.3">
      <c r="A1754" s="7" t="s">
        <v>1764</v>
      </c>
      <c r="B1754" s="7" t="s">
        <v>12</v>
      </c>
      <c r="C1754" t="s">
        <v>2</v>
      </c>
    </row>
    <row r="1755" spans="1:3" x14ac:dyDescent="0.3">
      <c r="A1755" s="7" t="s">
        <v>1765</v>
      </c>
      <c r="B1755" s="7" t="s">
        <v>12</v>
      </c>
      <c r="C1755" t="s">
        <v>2</v>
      </c>
    </row>
    <row r="1756" spans="1:3" x14ac:dyDescent="0.3">
      <c r="A1756" s="7" t="s">
        <v>1766</v>
      </c>
      <c r="B1756" s="7" t="s">
        <v>12</v>
      </c>
      <c r="C1756" t="s">
        <v>2</v>
      </c>
    </row>
    <row r="1757" spans="1:3" x14ac:dyDescent="0.3">
      <c r="A1757" s="7" t="s">
        <v>1767</v>
      </c>
      <c r="B1757" s="7" t="s">
        <v>12</v>
      </c>
      <c r="C1757" t="s">
        <v>2</v>
      </c>
    </row>
    <row r="1758" spans="1:3" x14ac:dyDescent="0.3">
      <c r="A1758" s="7" t="s">
        <v>1768</v>
      </c>
      <c r="B1758" s="7" t="s">
        <v>12</v>
      </c>
      <c r="C1758" t="s">
        <v>2</v>
      </c>
    </row>
    <row r="1759" spans="1:3" x14ac:dyDescent="0.3">
      <c r="A1759" s="7" t="s">
        <v>1769</v>
      </c>
      <c r="B1759" s="7" t="s">
        <v>12</v>
      </c>
      <c r="C1759" t="s">
        <v>2</v>
      </c>
    </row>
    <row r="1760" spans="1:3" x14ac:dyDescent="0.3">
      <c r="A1760" s="7" t="s">
        <v>1770</v>
      </c>
      <c r="B1760" s="7" t="s">
        <v>12</v>
      </c>
      <c r="C1760" t="s">
        <v>2</v>
      </c>
    </row>
    <row r="1761" spans="1:3" x14ac:dyDescent="0.3">
      <c r="A1761" s="7" t="s">
        <v>1771</v>
      </c>
      <c r="B1761" s="7" t="s">
        <v>12</v>
      </c>
      <c r="C1761" t="s">
        <v>2</v>
      </c>
    </row>
    <row r="1762" spans="1:3" x14ac:dyDescent="0.3">
      <c r="A1762" s="7" t="s">
        <v>1772</v>
      </c>
      <c r="B1762" s="7" t="s">
        <v>12</v>
      </c>
      <c r="C1762" t="s">
        <v>2</v>
      </c>
    </row>
    <row r="1763" spans="1:3" x14ac:dyDescent="0.3">
      <c r="A1763" s="7" t="s">
        <v>1773</v>
      </c>
      <c r="B1763" s="7" t="s">
        <v>12</v>
      </c>
      <c r="C1763" t="s">
        <v>2</v>
      </c>
    </row>
    <row r="1764" spans="1:3" x14ac:dyDescent="0.3">
      <c r="A1764" s="7" t="s">
        <v>1774</v>
      </c>
      <c r="B1764" s="7" t="s">
        <v>12</v>
      </c>
      <c r="C1764" t="s">
        <v>2</v>
      </c>
    </row>
    <row r="1765" spans="1:3" x14ac:dyDescent="0.3">
      <c r="A1765" s="7" t="s">
        <v>1775</v>
      </c>
      <c r="B1765" s="7" t="s">
        <v>12</v>
      </c>
      <c r="C1765" t="s">
        <v>2</v>
      </c>
    </row>
    <row r="1766" spans="1:3" x14ac:dyDescent="0.3">
      <c r="A1766" s="7" t="s">
        <v>1776</v>
      </c>
      <c r="B1766" s="7" t="s">
        <v>12</v>
      </c>
      <c r="C1766" t="s">
        <v>2</v>
      </c>
    </row>
    <row r="1767" spans="1:3" x14ac:dyDescent="0.3">
      <c r="A1767" s="7" t="s">
        <v>1777</v>
      </c>
      <c r="B1767" s="7" t="s">
        <v>12</v>
      </c>
      <c r="C1767" t="s">
        <v>2</v>
      </c>
    </row>
    <row r="1768" spans="1:3" x14ac:dyDescent="0.3">
      <c r="A1768" s="7" t="s">
        <v>1778</v>
      </c>
      <c r="B1768" s="7" t="s">
        <v>12</v>
      </c>
      <c r="C1768" t="s">
        <v>2</v>
      </c>
    </row>
    <row r="1769" spans="1:3" x14ac:dyDescent="0.3">
      <c r="A1769" s="7" t="s">
        <v>1779</v>
      </c>
      <c r="B1769" s="7" t="s">
        <v>12</v>
      </c>
      <c r="C1769" t="s">
        <v>2</v>
      </c>
    </row>
    <row r="1770" spans="1:3" x14ac:dyDescent="0.3">
      <c r="A1770" s="7" t="s">
        <v>1780</v>
      </c>
      <c r="B1770" s="7" t="s">
        <v>12</v>
      </c>
      <c r="C1770" t="s">
        <v>2</v>
      </c>
    </row>
    <row r="1771" spans="1:3" x14ac:dyDescent="0.3">
      <c r="A1771" s="7" t="s">
        <v>1781</v>
      </c>
      <c r="B1771" s="7" t="s">
        <v>12</v>
      </c>
      <c r="C1771" t="s">
        <v>2</v>
      </c>
    </row>
    <row r="1772" spans="1:3" x14ac:dyDescent="0.3">
      <c r="A1772" s="7" t="s">
        <v>1782</v>
      </c>
      <c r="B1772" s="7" t="s">
        <v>12</v>
      </c>
      <c r="C1772" t="s">
        <v>2</v>
      </c>
    </row>
    <row r="1773" spans="1:3" x14ac:dyDescent="0.3">
      <c r="A1773" s="7" t="s">
        <v>1783</v>
      </c>
      <c r="B1773" s="7" t="s">
        <v>12</v>
      </c>
      <c r="C1773" t="s">
        <v>2</v>
      </c>
    </row>
    <row r="1774" spans="1:3" x14ac:dyDescent="0.3">
      <c r="A1774" s="7" t="s">
        <v>1784</v>
      </c>
      <c r="B1774" s="7" t="s">
        <v>12</v>
      </c>
      <c r="C1774" t="s">
        <v>2</v>
      </c>
    </row>
    <row r="1775" spans="1:3" x14ac:dyDescent="0.3">
      <c r="A1775" s="7" t="s">
        <v>1785</v>
      </c>
      <c r="B1775" s="7" t="s">
        <v>12</v>
      </c>
      <c r="C1775" t="s">
        <v>2</v>
      </c>
    </row>
    <row r="1776" spans="1:3" x14ac:dyDescent="0.3">
      <c r="A1776" s="7" t="s">
        <v>1786</v>
      </c>
      <c r="B1776" s="7" t="s">
        <v>12</v>
      </c>
      <c r="C1776" t="s">
        <v>2</v>
      </c>
    </row>
    <row r="1777" spans="1:3" x14ac:dyDescent="0.3">
      <c r="A1777" s="7" t="s">
        <v>1787</v>
      </c>
      <c r="B1777" s="7" t="s">
        <v>12</v>
      </c>
      <c r="C1777" t="s">
        <v>2</v>
      </c>
    </row>
    <row r="1778" spans="1:3" x14ac:dyDescent="0.3">
      <c r="A1778" s="7" t="s">
        <v>1788</v>
      </c>
      <c r="B1778" s="7" t="s">
        <v>12</v>
      </c>
      <c r="C1778" t="s">
        <v>2</v>
      </c>
    </row>
    <row r="1779" spans="1:3" x14ac:dyDescent="0.3">
      <c r="A1779" s="7" t="s">
        <v>1789</v>
      </c>
      <c r="B1779" s="7" t="s">
        <v>12</v>
      </c>
      <c r="C1779" t="s">
        <v>2</v>
      </c>
    </row>
    <row r="1780" spans="1:3" x14ac:dyDescent="0.3">
      <c r="A1780" s="7" t="s">
        <v>1790</v>
      </c>
      <c r="B1780" s="7" t="s">
        <v>12</v>
      </c>
      <c r="C1780" t="s">
        <v>2</v>
      </c>
    </row>
    <row r="1781" spans="1:3" x14ac:dyDescent="0.3">
      <c r="A1781" s="7" t="s">
        <v>1791</v>
      </c>
      <c r="B1781" s="7" t="s">
        <v>12</v>
      </c>
      <c r="C1781" t="s">
        <v>2</v>
      </c>
    </row>
    <row r="1782" spans="1:3" x14ac:dyDescent="0.3">
      <c r="A1782" s="7" t="s">
        <v>1792</v>
      </c>
      <c r="B1782" s="7" t="s">
        <v>12</v>
      </c>
      <c r="C1782" t="s">
        <v>3</v>
      </c>
    </row>
    <row r="1783" spans="1:3" x14ac:dyDescent="0.3">
      <c r="A1783" s="7" t="s">
        <v>1793</v>
      </c>
      <c r="B1783" s="7" t="s">
        <v>12</v>
      </c>
      <c r="C1783" t="s">
        <v>3</v>
      </c>
    </row>
    <row r="1784" spans="1:3" x14ac:dyDescent="0.3">
      <c r="A1784" s="7" t="s">
        <v>1794</v>
      </c>
      <c r="B1784" s="7" t="s">
        <v>12</v>
      </c>
      <c r="C1784" t="s">
        <v>3</v>
      </c>
    </row>
    <row r="1785" spans="1:3" x14ac:dyDescent="0.3">
      <c r="A1785" s="7" t="s">
        <v>1795</v>
      </c>
      <c r="B1785" s="7" t="s">
        <v>12</v>
      </c>
      <c r="C1785" t="s">
        <v>3</v>
      </c>
    </row>
    <row r="1786" spans="1:3" x14ac:dyDescent="0.3">
      <c r="A1786" s="7" t="s">
        <v>1796</v>
      </c>
      <c r="B1786" s="7" t="s">
        <v>12</v>
      </c>
      <c r="C1786" t="s">
        <v>3</v>
      </c>
    </row>
    <row r="1787" spans="1:3" x14ac:dyDescent="0.3">
      <c r="A1787" s="7" t="s">
        <v>1797</v>
      </c>
      <c r="B1787" s="7" t="s">
        <v>12</v>
      </c>
      <c r="C1787" t="s">
        <v>3</v>
      </c>
    </row>
    <row r="1788" spans="1:3" x14ac:dyDescent="0.3">
      <c r="A1788" s="7" t="s">
        <v>1798</v>
      </c>
      <c r="B1788" s="7" t="s">
        <v>12</v>
      </c>
      <c r="C1788" t="s">
        <v>3</v>
      </c>
    </row>
    <row r="1789" spans="1:3" x14ac:dyDescent="0.3">
      <c r="A1789" s="7" t="s">
        <v>1799</v>
      </c>
      <c r="B1789" s="7" t="s">
        <v>12</v>
      </c>
      <c r="C1789" t="s">
        <v>3</v>
      </c>
    </row>
    <row r="1790" spans="1:3" x14ac:dyDescent="0.3">
      <c r="A1790" s="7" t="s">
        <v>1800</v>
      </c>
      <c r="B1790" s="7" t="s">
        <v>12</v>
      </c>
    </row>
    <row r="1791" spans="1:3" x14ac:dyDescent="0.3">
      <c r="A1791" s="7" t="s">
        <v>1801</v>
      </c>
      <c r="B1791" s="7" t="s">
        <v>12</v>
      </c>
    </row>
    <row r="1792" spans="1:3" x14ac:dyDescent="0.3">
      <c r="A1792" s="7" t="s">
        <v>1802</v>
      </c>
      <c r="B1792" s="7" t="s">
        <v>12</v>
      </c>
    </row>
    <row r="1793" spans="1:3" x14ac:dyDescent="0.3">
      <c r="A1793" s="7" t="s">
        <v>1803</v>
      </c>
      <c r="B1793" s="7" t="s">
        <v>12</v>
      </c>
    </row>
    <row r="1794" spans="1:3" x14ac:dyDescent="0.3">
      <c r="A1794" s="7" t="s">
        <v>1804</v>
      </c>
      <c r="B1794" s="7" t="s">
        <v>12</v>
      </c>
      <c r="C1794" t="s">
        <v>2</v>
      </c>
    </row>
    <row r="1795" spans="1:3" x14ac:dyDescent="0.3">
      <c r="A1795" s="7" t="s">
        <v>1805</v>
      </c>
      <c r="B1795" s="7" t="s">
        <v>12</v>
      </c>
      <c r="C1795" t="s">
        <v>2</v>
      </c>
    </row>
    <row r="1796" spans="1:3" x14ac:dyDescent="0.3">
      <c r="A1796" s="7" t="s">
        <v>1806</v>
      </c>
      <c r="B1796" s="7" t="s">
        <v>12</v>
      </c>
      <c r="C1796" t="s">
        <v>2</v>
      </c>
    </row>
    <row r="1797" spans="1:3" x14ac:dyDescent="0.3">
      <c r="A1797" s="7" t="s">
        <v>1807</v>
      </c>
      <c r="B1797" s="7" t="s">
        <v>12</v>
      </c>
      <c r="C1797" t="s">
        <v>2</v>
      </c>
    </row>
    <row r="1798" spans="1:3" x14ac:dyDescent="0.3">
      <c r="A1798" s="7" t="s">
        <v>1808</v>
      </c>
      <c r="B1798" s="7" t="s">
        <v>12</v>
      </c>
      <c r="C1798" t="s">
        <v>2</v>
      </c>
    </row>
    <row r="1799" spans="1:3" x14ac:dyDescent="0.3">
      <c r="A1799" s="7" t="s">
        <v>1809</v>
      </c>
      <c r="B1799" s="7" t="s">
        <v>12</v>
      </c>
      <c r="C1799" t="s">
        <v>2</v>
      </c>
    </row>
    <row r="1800" spans="1:3" x14ac:dyDescent="0.3">
      <c r="A1800" s="7" t="s">
        <v>1810</v>
      </c>
      <c r="B1800" s="7" t="s">
        <v>12</v>
      </c>
      <c r="C1800" t="s">
        <v>2</v>
      </c>
    </row>
    <row r="1801" spans="1:3" x14ac:dyDescent="0.3">
      <c r="A1801" s="7" t="s">
        <v>1811</v>
      </c>
      <c r="B1801" s="7" t="s">
        <v>12</v>
      </c>
      <c r="C1801" t="s">
        <v>3678</v>
      </c>
    </row>
    <row r="1802" spans="1:3" x14ac:dyDescent="0.3">
      <c r="A1802" s="7" t="s">
        <v>1812</v>
      </c>
      <c r="B1802" s="7" t="s">
        <v>12</v>
      </c>
      <c r="C1802" t="s">
        <v>3678</v>
      </c>
    </row>
    <row r="1803" spans="1:3" x14ac:dyDescent="0.3">
      <c r="A1803" s="7" t="s">
        <v>1813</v>
      </c>
      <c r="B1803" s="7" t="s">
        <v>12</v>
      </c>
      <c r="C1803" t="s">
        <v>3678</v>
      </c>
    </row>
    <row r="1804" spans="1:3" x14ac:dyDescent="0.3">
      <c r="A1804" s="7" t="s">
        <v>1814</v>
      </c>
      <c r="B1804" s="7" t="s">
        <v>12</v>
      </c>
      <c r="C1804" t="s">
        <v>3678</v>
      </c>
    </row>
    <row r="1805" spans="1:3" x14ac:dyDescent="0.3">
      <c r="A1805" s="7" t="s">
        <v>1815</v>
      </c>
      <c r="B1805" s="7" t="s">
        <v>12</v>
      </c>
      <c r="C1805" t="s">
        <v>3678</v>
      </c>
    </row>
    <row r="1806" spans="1:3" x14ac:dyDescent="0.3">
      <c r="A1806" s="7" t="s">
        <v>1816</v>
      </c>
      <c r="B1806" s="7" t="s">
        <v>12</v>
      </c>
      <c r="C1806" t="s">
        <v>3678</v>
      </c>
    </row>
    <row r="1807" spans="1:3" x14ac:dyDescent="0.3">
      <c r="A1807" s="7" t="s">
        <v>1817</v>
      </c>
      <c r="B1807" s="7" t="s">
        <v>12</v>
      </c>
      <c r="C1807" t="s">
        <v>3678</v>
      </c>
    </row>
    <row r="1808" spans="1:3" x14ac:dyDescent="0.3">
      <c r="A1808" s="7" t="s">
        <v>1818</v>
      </c>
      <c r="B1808" s="7" t="s">
        <v>12</v>
      </c>
      <c r="C1808" t="s">
        <v>2</v>
      </c>
    </row>
    <row r="1809" spans="1:3" x14ac:dyDescent="0.3">
      <c r="A1809" s="7" t="s">
        <v>1819</v>
      </c>
      <c r="B1809" s="7" t="s">
        <v>12</v>
      </c>
      <c r="C1809" t="s">
        <v>2</v>
      </c>
    </row>
    <row r="1810" spans="1:3" x14ac:dyDescent="0.3">
      <c r="A1810" s="7" t="s">
        <v>1820</v>
      </c>
      <c r="B1810" s="7" t="s">
        <v>12</v>
      </c>
      <c r="C1810" t="s">
        <v>2</v>
      </c>
    </row>
    <row r="1811" spans="1:3" x14ac:dyDescent="0.3">
      <c r="A1811" s="7" t="s">
        <v>1821</v>
      </c>
      <c r="B1811" s="7" t="s">
        <v>12</v>
      </c>
      <c r="C1811" t="s">
        <v>2</v>
      </c>
    </row>
    <row r="1812" spans="1:3" x14ac:dyDescent="0.3">
      <c r="A1812" s="7" t="s">
        <v>1822</v>
      </c>
      <c r="B1812" s="7" t="s">
        <v>12</v>
      </c>
      <c r="C1812" t="s">
        <v>2</v>
      </c>
    </row>
    <row r="1813" spans="1:3" x14ac:dyDescent="0.3">
      <c r="A1813" s="7" t="s">
        <v>1823</v>
      </c>
      <c r="B1813" s="7" t="s">
        <v>12</v>
      </c>
      <c r="C1813" t="s">
        <v>2</v>
      </c>
    </row>
    <row r="1814" spans="1:3" x14ac:dyDescent="0.3">
      <c r="A1814" s="7" t="s">
        <v>1824</v>
      </c>
      <c r="B1814" s="7" t="s">
        <v>12</v>
      </c>
      <c r="C1814" t="s">
        <v>2</v>
      </c>
    </row>
    <row r="1815" spans="1:3" x14ac:dyDescent="0.3">
      <c r="A1815" s="7" t="s">
        <v>1825</v>
      </c>
      <c r="B1815" s="7" t="s">
        <v>12</v>
      </c>
      <c r="C1815" t="s">
        <v>2</v>
      </c>
    </row>
    <row r="1816" spans="1:3" x14ac:dyDescent="0.3">
      <c r="A1816" s="7" t="s">
        <v>1826</v>
      </c>
      <c r="B1816" s="7" t="s">
        <v>12</v>
      </c>
      <c r="C1816" t="s">
        <v>2</v>
      </c>
    </row>
    <row r="1817" spans="1:3" x14ac:dyDescent="0.3">
      <c r="A1817" s="7" t="s">
        <v>1827</v>
      </c>
      <c r="B1817" s="7" t="s">
        <v>12</v>
      </c>
      <c r="C1817" t="s">
        <v>2</v>
      </c>
    </row>
    <row r="1818" spans="1:3" x14ac:dyDescent="0.3">
      <c r="A1818" s="7" t="s">
        <v>1828</v>
      </c>
      <c r="B1818" s="7" t="s">
        <v>12</v>
      </c>
      <c r="C1818" t="s">
        <v>2</v>
      </c>
    </row>
    <row r="1819" spans="1:3" x14ac:dyDescent="0.3">
      <c r="A1819" s="7" t="s">
        <v>1829</v>
      </c>
      <c r="B1819" s="7" t="s">
        <v>12</v>
      </c>
      <c r="C1819" t="s">
        <v>2</v>
      </c>
    </row>
    <row r="1820" spans="1:3" x14ac:dyDescent="0.3">
      <c r="A1820" s="7" t="s">
        <v>1830</v>
      </c>
      <c r="B1820" s="7" t="s">
        <v>12</v>
      </c>
      <c r="C1820" t="s">
        <v>2</v>
      </c>
    </row>
    <row r="1821" spans="1:3" x14ac:dyDescent="0.3">
      <c r="A1821" s="7" t="s">
        <v>1831</v>
      </c>
      <c r="B1821" s="7" t="s">
        <v>12</v>
      </c>
      <c r="C1821" t="s">
        <v>2</v>
      </c>
    </row>
    <row r="1822" spans="1:3" x14ac:dyDescent="0.3">
      <c r="A1822" s="7" t="s">
        <v>1832</v>
      </c>
      <c r="B1822" s="7" t="s">
        <v>12</v>
      </c>
      <c r="C1822" t="s">
        <v>2</v>
      </c>
    </row>
    <row r="1823" spans="1:3" x14ac:dyDescent="0.3">
      <c r="A1823" s="7" t="s">
        <v>1833</v>
      </c>
      <c r="B1823" s="7" t="s">
        <v>12</v>
      </c>
      <c r="C1823" t="s">
        <v>2</v>
      </c>
    </row>
    <row r="1824" spans="1:3" x14ac:dyDescent="0.3">
      <c r="A1824" s="7" t="s">
        <v>1834</v>
      </c>
      <c r="B1824" s="7" t="s">
        <v>12</v>
      </c>
      <c r="C1824" t="s">
        <v>2</v>
      </c>
    </row>
    <row r="1825" spans="1:3" x14ac:dyDescent="0.3">
      <c r="A1825" s="7" t="s">
        <v>1835</v>
      </c>
      <c r="B1825" s="7" t="s">
        <v>12</v>
      </c>
      <c r="C1825" t="s">
        <v>2</v>
      </c>
    </row>
    <row r="1826" spans="1:3" x14ac:dyDescent="0.3">
      <c r="A1826" s="7" t="s">
        <v>1836</v>
      </c>
      <c r="B1826" s="7" t="s">
        <v>12</v>
      </c>
      <c r="C1826" t="s">
        <v>2</v>
      </c>
    </row>
    <row r="1827" spans="1:3" x14ac:dyDescent="0.3">
      <c r="A1827" s="7" t="s">
        <v>1837</v>
      </c>
      <c r="B1827" s="7" t="s">
        <v>12</v>
      </c>
      <c r="C1827" t="s">
        <v>2</v>
      </c>
    </row>
    <row r="1828" spans="1:3" x14ac:dyDescent="0.3">
      <c r="A1828" s="7" t="s">
        <v>1838</v>
      </c>
      <c r="B1828" s="7" t="s">
        <v>12</v>
      </c>
      <c r="C1828" t="s">
        <v>2</v>
      </c>
    </row>
    <row r="1829" spans="1:3" x14ac:dyDescent="0.3">
      <c r="A1829" s="7" t="s">
        <v>1839</v>
      </c>
      <c r="B1829" s="7" t="s">
        <v>12</v>
      </c>
      <c r="C1829" t="s">
        <v>2</v>
      </c>
    </row>
    <row r="1830" spans="1:3" x14ac:dyDescent="0.3">
      <c r="A1830" s="7" t="s">
        <v>1840</v>
      </c>
      <c r="B1830" s="7" t="s">
        <v>12</v>
      </c>
      <c r="C1830" t="s">
        <v>2</v>
      </c>
    </row>
    <row r="1831" spans="1:3" x14ac:dyDescent="0.3">
      <c r="A1831" s="7" t="s">
        <v>1841</v>
      </c>
      <c r="B1831" s="7" t="s">
        <v>12</v>
      </c>
      <c r="C1831" t="s">
        <v>2</v>
      </c>
    </row>
    <row r="1832" spans="1:3" x14ac:dyDescent="0.3">
      <c r="A1832" s="7" t="s">
        <v>1842</v>
      </c>
      <c r="B1832" s="7" t="s">
        <v>12</v>
      </c>
      <c r="C1832" t="s">
        <v>2</v>
      </c>
    </row>
    <row r="1833" spans="1:3" x14ac:dyDescent="0.3">
      <c r="A1833" s="7" t="s">
        <v>1843</v>
      </c>
      <c r="B1833" s="7" t="s">
        <v>12</v>
      </c>
      <c r="C1833" t="s">
        <v>2</v>
      </c>
    </row>
    <row r="1834" spans="1:3" x14ac:dyDescent="0.3">
      <c r="A1834" s="7" t="s">
        <v>1844</v>
      </c>
      <c r="B1834" s="7" t="s">
        <v>12</v>
      </c>
      <c r="C1834" t="s">
        <v>2</v>
      </c>
    </row>
    <row r="1835" spans="1:3" x14ac:dyDescent="0.3">
      <c r="A1835" s="7" t="s">
        <v>1845</v>
      </c>
      <c r="B1835" s="7" t="s">
        <v>12</v>
      </c>
      <c r="C1835" t="s">
        <v>2</v>
      </c>
    </row>
    <row r="1836" spans="1:3" x14ac:dyDescent="0.3">
      <c r="A1836" s="7" t="s">
        <v>1846</v>
      </c>
      <c r="B1836" s="7" t="s">
        <v>12</v>
      </c>
      <c r="C1836" t="s">
        <v>2</v>
      </c>
    </row>
    <row r="1837" spans="1:3" x14ac:dyDescent="0.3">
      <c r="A1837" s="7" t="s">
        <v>1847</v>
      </c>
      <c r="B1837" s="7" t="s">
        <v>12</v>
      </c>
      <c r="C1837" t="s">
        <v>2</v>
      </c>
    </row>
    <row r="1838" spans="1:3" x14ac:dyDescent="0.3">
      <c r="A1838" s="7" t="s">
        <v>1848</v>
      </c>
      <c r="B1838" s="7" t="s">
        <v>12</v>
      </c>
      <c r="C1838" t="s">
        <v>2</v>
      </c>
    </row>
    <row r="1839" spans="1:3" x14ac:dyDescent="0.3">
      <c r="A1839" s="7" t="s">
        <v>1849</v>
      </c>
      <c r="B1839" s="7" t="s">
        <v>12</v>
      </c>
      <c r="C1839" t="s">
        <v>2</v>
      </c>
    </row>
    <row r="1840" spans="1:3" x14ac:dyDescent="0.3">
      <c r="A1840" s="7" t="s">
        <v>1850</v>
      </c>
      <c r="B1840" s="7" t="s">
        <v>12</v>
      </c>
      <c r="C1840" t="s">
        <v>2</v>
      </c>
    </row>
    <row r="1841" spans="1:3" x14ac:dyDescent="0.3">
      <c r="A1841" s="7" t="s">
        <v>1851</v>
      </c>
      <c r="B1841" s="7" t="s">
        <v>12</v>
      </c>
      <c r="C1841" t="s">
        <v>2</v>
      </c>
    </row>
    <row r="1842" spans="1:3" x14ac:dyDescent="0.3">
      <c r="A1842" s="7" t="s">
        <v>1852</v>
      </c>
      <c r="B1842" s="7" t="s">
        <v>12</v>
      </c>
      <c r="C1842" t="s">
        <v>2</v>
      </c>
    </row>
    <row r="1843" spans="1:3" x14ac:dyDescent="0.3">
      <c r="A1843" s="7" t="s">
        <v>1853</v>
      </c>
      <c r="B1843" s="7" t="s">
        <v>12</v>
      </c>
      <c r="C1843" t="s">
        <v>2</v>
      </c>
    </row>
    <row r="1844" spans="1:3" x14ac:dyDescent="0.3">
      <c r="A1844" s="7" t="s">
        <v>1854</v>
      </c>
      <c r="B1844" s="7" t="s">
        <v>12</v>
      </c>
      <c r="C1844" t="s">
        <v>2</v>
      </c>
    </row>
    <row r="1845" spans="1:3" x14ac:dyDescent="0.3">
      <c r="A1845" s="7" t="s">
        <v>1855</v>
      </c>
      <c r="B1845" s="7" t="s">
        <v>12</v>
      </c>
      <c r="C1845" t="s">
        <v>2</v>
      </c>
    </row>
    <row r="1846" spans="1:3" x14ac:dyDescent="0.3">
      <c r="A1846" s="7" t="s">
        <v>1856</v>
      </c>
      <c r="B1846" s="7" t="s">
        <v>12</v>
      </c>
      <c r="C1846" t="s">
        <v>2</v>
      </c>
    </row>
    <row r="1847" spans="1:3" x14ac:dyDescent="0.3">
      <c r="A1847" s="7" t="s">
        <v>1857</v>
      </c>
      <c r="B1847" s="7" t="s">
        <v>12</v>
      </c>
      <c r="C1847" t="s">
        <v>2</v>
      </c>
    </row>
    <row r="1848" spans="1:3" x14ac:dyDescent="0.3">
      <c r="A1848" s="7" t="s">
        <v>1858</v>
      </c>
      <c r="B1848" s="7" t="s">
        <v>12</v>
      </c>
      <c r="C1848" t="s">
        <v>2</v>
      </c>
    </row>
    <row r="1849" spans="1:3" x14ac:dyDescent="0.3">
      <c r="A1849" s="7" t="s">
        <v>1859</v>
      </c>
      <c r="B1849" s="7" t="s">
        <v>12</v>
      </c>
      <c r="C1849" t="s">
        <v>2</v>
      </c>
    </row>
    <row r="1850" spans="1:3" x14ac:dyDescent="0.3">
      <c r="A1850" s="7" t="s">
        <v>1860</v>
      </c>
      <c r="B1850" s="7" t="s">
        <v>12</v>
      </c>
      <c r="C1850" t="s">
        <v>2</v>
      </c>
    </row>
    <row r="1851" spans="1:3" x14ac:dyDescent="0.3">
      <c r="A1851" s="7" t="s">
        <v>1861</v>
      </c>
      <c r="B1851" s="7" t="s">
        <v>12</v>
      </c>
      <c r="C1851" t="s">
        <v>2</v>
      </c>
    </row>
    <row r="1852" spans="1:3" x14ac:dyDescent="0.3">
      <c r="A1852" s="7" t="s">
        <v>1862</v>
      </c>
      <c r="B1852" s="7" t="s">
        <v>12</v>
      </c>
      <c r="C1852" t="s">
        <v>2</v>
      </c>
    </row>
    <row r="1853" spans="1:3" x14ac:dyDescent="0.3">
      <c r="A1853" s="7" t="s">
        <v>1863</v>
      </c>
      <c r="B1853" s="7" t="s">
        <v>12</v>
      </c>
      <c r="C1853" t="s">
        <v>2</v>
      </c>
    </row>
    <row r="1854" spans="1:3" x14ac:dyDescent="0.3">
      <c r="A1854" s="7" t="s">
        <v>1864</v>
      </c>
      <c r="B1854" s="7" t="s">
        <v>12</v>
      </c>
      <c r="C1854" t="s">
        <v>2</v>
      </c>
    </row>
    <row r="1855" spans="1:3" x14ac:dyDescent="0.3">
      <c r="A1855" s="7" t="s">
        <v>1865</v>
      </c>
      <c r="B1855" s="7" t="s">
        <v>12</v>
      </c>
      <c r="C1855" t="s">
        <v>2</v>
      </c>
    </row>
    <row r="1856" spans="1:3" x14ac:dyDescent="0.3">
      <c r="A1856" s="7" t="s">
        <v>1866</v>
      </c>
      <c r="B1856" s="7" t="s">
        <v>12</v>
      </c>
      <c r="C1856" t="s">
        <v>2</v>
      </c>
    </row>
    <row r="1857" spans="1:3" x14ac:dyDescent="0.3">
      <c r="A1857" s="7" t="s">
        <v>1867</v>
      </c>
      <c r="B1857" s="7" t="s">
        <v>12</v>
      </c>
      <c r="C1857" t="s">
        <v>2</v>
      </c>
    </row>
    <row r="1858" spans="1:3" x14ac:dyDescent="0.3">
      <c r="A1858" s="7" t="s">
        <v>1868</v>
      </c>
      <c r="B1858" s="7" t="s">
        <v>12</v>
      </c>
      <c r="C1858" t="s">
        <v>2</v>
      </c>
    </row>
    <row r="1859" spans="1:3" x14ac:dyDescent="0.3">
      <c r="A1859" s="7" t="s">
        <v>1869</v>
      </c>
      <c r="B1859" s="7" t="s">
        <v>12</v>
      </c>
      <c r="C1859" t="s">
        <v>2</v>
      </c>
    </row>
    <row r="1860" spans="1:3" x14ac:dyDescent="0.3">
      <c r="A1860" s="7" t="s">
        <v>1870</v>
      </c>
      <c r="B1860" s="7" t="s">
        <v>12</v>
      </c>
      <c r="C1860" t="s">
        <v>2</v>
      </c>
    </row>
    <row r="1861" spans="1:3" x14ac:dyDescent="0.3">
      <c r="A1861" s="7" t="s">
        <v>1871</v>
      </c>
      <c r="B1861" s="7" t="s">
        <v>12</v>
      </c>
      <c r="C1861" t="s">
        <v>2</v>
      </c>
    </row>
    <row r="1862" spans="1:3" x14ac:dyDescent="0.3">
      <c r="A1862" s="7" t="s">
        <v>1872</v>
      </c>
      <c r="B1862" s="7" t="s">
        <v>12</v>
      </c>
      <c r="C1862" t="s">
        <v>3</v>
      </c>
    </row>
    <row r="1863" spans="1:3" x14ac:dyDescent="0.3">
      <c r="A1863" s="7" t="s">
        <v>1873</v>
      </c>
      <c r="B1863" s="7" t="s">
        <v>12</v>
      </c>
      <c r="C1863" t="s">
        <v>3</v>
      </c>
    </row>
    <row r="1864" spans="1:3" x14ac:dyDescent="0.3">
      <c r="A1864" s="7" t="s">
        <v>1874</v>
      </c>
      <c r="B1864" s="7" t="s">
        <v>12</v>
      </c>
      <c r="C1864" t="s">
        <v>3</v>
      </c>
    </row>
    <row r="1865" spans="1:3" x14ac:dyDescent="0.3">
      <c r="A1865" s="7" t="s">
        <v>1875</v>
      </c>
      <c r="B1865" s="7" t="s">
        <v>12</v>
      </c>
      <c r="C1865" t="s">
        <v>3</v>
      </c>
    </row>
    <row r="1866" spans="1:3" x14ac:dyDescent="0.3">
      <c r="A1866" s="7" t="s">
        <v>1876</v>
      </c>
      <c r="B1866" s="7" t="s">
        <v>12</v>
      </c>
      <c r="C1866" t="s">
        <v>3</v>
      </c>
    </row>
    <row r="1867" spans="1:3" x14ac:dyDescent="0.3">
      <c r="A1867" s="7" t="s">
        <v>1877</v>
      </c>
      <c r="B1867" s="7" t="s">
        <v>12</v>
      </c>
      <c r="C1867" t="s">
        <v>3</v>
      </c>
    </row>
    <row r="1868" spans="1:3" x14ac:dyDescent="0.3">
      <c r="A1868" s="7" t="s">
        <v>1878</v>
      </c>
      <c r="B1868" s="7" t="s">
        <v>12</v>
      </c>
      <c r="C1868" t="s">
        <v>3</v>
      </c>
    </row>
    <row r="1869" spans="1:3" x14ac:dyDescent="0.3">
      <c r="A1869" s="7" t="s">
        <v>1879</v>
      </c>
      <c r="B1869" s="7" t="s">
        <v>12</v>
      </c>
      <c r="C1869" t="s">
        <v>3</v>
      </c>
    </row>
    <row r="1870" spans="1:3" x14ac:dyDescent="0.3">
      <c r="A1870" s="7" t="s">
        <v>1880</v>
      </c>
      <c r="B1870" s="7" t="s">
        <v>12</v>
      </c>
    </row>
    <row r="1871" spans="1:3" x14ac:dyDescent="0.3">
      <c r="A1871" s="7" t="s">
        <v>1881</v>
      </c>
      <c r="B1871" s="7" t="s">
        <v>12</v>
      </c>
    </row>
    <row r="1872" spans="1:3" x14ac:dyDescent="0.3">
      <c r="A1872" s="7" t="s">
        <v>1882</v>
      </c>
      <c r="B1872" s="7" t="s">
        <v>12</v>
      </c>
      <c r="C1872" t="s">
        <v>2</v>
      </c>
    </row>
    <row r="1873" spans="1:3" x14ac:dyDescent="0.3">
      <c r="A1873" s="7" t="s">
        <v>1883</v>
      </c>
      <c r="B1873" s="7" t="s">
        <v>12</v>
      </c>
      <c r="C1873" t="s">
        <v>2</v>
      </c>
    </row>
    <row r="1874" spans="1:3" x14ac:dyDescent="0.3">
      <c r="A1874" s="7" t="s">
        <v>1884</v>
      </c>
      <c r="B1874" s="7" t="s">
        <v>12</v>
      </c>
      <c r="C1874" t="s">
        <v>2</v>
      </c>
    </row>
    <row r="1875" spans="1:3" x14ac:dyDescent="0.3">
      <c r="A1875" s="7" t="s">
        <v>1885</v>
      </c>
      <c r="B1875" s="7" t="s">
        <v>12</v>
      </c>
      <c r="C1875" t="s">
        <v>2</v>
      </c>
    </row>
    <row r="1876" spans="1:3" x14ac:dyDescent="0.3">
      <c r="A1876" s="7" t="s">
        <v>1886</v>
      </c>
      <c r="B1876" s="7" t="s">
        <v>12</v>
      </c>
      <c r="C1876" t="s">
        <v>2</v>
      </c>
    </row>
    <row r="1877" spans="1:3" x14ac:dyDescent="0.3">
      <c r="A1877" s="7" t="s">
        <v>1887</v>
      </c>
      <c r="B1877" s="7" t="s">
        <v>12</v>
      </c>
      <c r="C1877" t="s">
        <v>2</v>
      </c>
    </row>
    <row r="1878" spans="1:3" x14ac:dyDescent="0.3">
      <c r="A1878" s="7" t="s">
        <v>1888</v>
      </c>
      <c r="B1878" s="7" t="s">
        <v>12</v>
      </c>
      <c r="C1878" t="s">
        <v>3678</v>
      </c>
    </row>
    <row r="1879" spans="1:3" x14ac:dyDescent="0.3">
      <c r="A1879" s="7" t="s">
        <v>1889</v>
      </c>
      <c r="B1879" s="7" t="s">
        <v>12</v>
      </c>
      <c r="C1879" t="s">
        <v>3678</v>
      </c>
    </row>
    <row r="1880" spans="1:3" x14ac:dyDescent="0.3">
      <c r="A1880" s="7" t="s">
        <v>1890</v>
      </c>
      <c r="B1880" s="7" t="s">
        <v>12</v>
      </c>
      <c r="C1880" t="s">
        <v>3678</v>
      </c>
    </row>
    <row r="1881" spans="1:3" x14ac:dyDescent="0.3">
      <c r="A1881" s="7" t="s">
        <v>1891</v>
      </c>
      <c r="B1881" s="7" t="s">
        <v>12</v>
      </c>
      <c r="C1881" t="s">
        <v>3678</v>
      </c>
    </row>
    <row r="1882" spans="1:3" x14ac:dyDescent="0.3">
      <c r="A1882" s="7" t="s">
        <v>1892</v>
      </c>
      <c r="B1882" s="7" t="s">
        <v>12</v>
      </c>
      <c r="C1882" t="s">
        <v>3678</v>
      </c>
    </row>
    <row r="1883" spans="1:3" x14ac:dyDescent="0.3">
      <c r="A1883" s="7" t="s">
        <v>1893</v>
      </c>
      <c r="B1883" s="7" t="s">
        <v>12</v>
      </c>
      <c r="C1883" t="s">
        <v>3678</v>
      </c>
    </row>
    <row r="1884" spans="1:3" x14ac:dyDescent="0.3">
      <c r="A1884" s="7" t="s">
        <v>1894</v>
      </c>
      <c r="B1884" s="7" t="s">
        <v>12</v>
      </c>
      <c r="C1884" t="s">
        <v>3678</v>
      </c>
    </row>
    <row r="1885" spans="1:3" x14ac:dyDescent="0.3">
      <c r="A1885" s="7" t="s">
        <v>1895</v>
      </c>
      <c r="B1885" s="7" t="s">
        <v>12</v>
      </c>
      <c r="C1885" t="s">
        <v>2</v>
      </c>
    </row>
    <row r="1886" spans="1:3" x14ac:dyDescent="0.3">
      <c r="A1886" s="7" t="s">
        <v>1896</v>
      </c>
      <c r="B1886" s="7" t="s">
        <v>12</v>
      </c>
      <c r="C1886" t="s">
        <v>2</v>
      </c>
    </row>
    <row r="1887" spans="1:3" x14ac:dyDescent="0.3">
      <c r="A1887" s="7" t="s">
        <v>1897</v>
      </c>
      <c r="B1887" s="7" t="s">
        <v>12</v>
      </c>
      <c r="C1887" t="s">
        <v>2</v>
      </c>
    </row>
    <row r="1888" spans="1:3" x14ac:dyDescent="0.3">
      <c r="A1888" s="7" t="s">
        <v>1898</v>
      </c>
      <c r="B1888" s="7" t="s">
        <v>12</v>
      </c>
      <c r="C1888" t="s">
        <v>2</v>
      </c>
    </row>
    <row r="1889" spans="1:3" x14ac:dyDescent="0.3">
      <c r="A1889" s="7" t="s">
        <v>1899</v>
      </c>
      <c r="B1889" s="7" t="s">
        <v>12</v>
      </c>
      <c r="C1889" t="s">
        <v>2</v>
      </c>
    </row>
    <row r="1890" spans="1:3" x14ac:dyDescent="0.3">
      <c r="A1890" s="7" t="s">
        <v>1900</v>
      </c>
      <c r="B1890" s="7" t="s">
        <v>12</v>
      </c>
      <c r="C1890" t="s">
        <v>2</v>
      </c>
    </row>
    <row r="1891" spans="1:3" x14ac:dyDescent="0.3">
      <c r="A1891" s="7" t="s">
        <v>1901</v>
      </c>
      <c r="B1891" s="7" t="s">
        <v>12</v>
      </c>
      <c r="C1891" t="s">
        <v>2</v>
      </c>
    </row>
    <row r="1892" spans="1:3" x14ac:dyDescent="0.3">
      <c r="A1892" s="7" t="s">
        <v>1902</v>
      </c>
      <c r="B1892" s="7" t="s">
        <v>12</v>
      </c>
      <c r="C1892" t="s">
        <v>2</v>
      </c>
    </row>
    <row r="1893" spans="1:3" x14ac:dyDescent="0.3">
      <c r="A1893" s="7" t="s">
        <v>1903</v>
      </c>
      <c r="B1893" s="7" t="s">
        <v>12</v>
      </c>
      <c r="C1893" t="s">
        <v>2</v>
      </c>
    </row>
    <row r="1894" spans="1:3" x14ac:dyDescent="0.3">
      <c r="A1894" s="7" t="s">
        <v>1904</v>
      </c>
      <c r="B1894" s="7" t="s">
        <v>12</v>
      </c>
      <c r="C1894" t="s">
        <v>2</v>
      </c>
    </row>
    <row r="1895" spans="1:3" x14ac:dyDescent="0.3">
      <c r="A1895" s="7" t="s">
        <v>1905</v>
      </c>
      <c r="B1895" s="7" t="s">
        <v>12</v>
      </c>
      <c r="C1895" t="s">
        <v>2</v>
      </c>
    </row>
    <row r="1896" spans="1:3" x14ac:dyDescent="0.3">
      <c r="A1896" s="7" t="s">
        <v>1906</v>
      </c>
      <c r="B1896" s="7" t="s">
        <v>12</v>
      </c>
      <c r="C1896" t="s">
        <v>2</v>
      </c>
    </row>
    <row r="1897" spans="1:3" x14ac:dyDescent="0.3">
      <c r="A1897" s="7" t="s">
        <v>1907</v>
      </c>
      <c r="B1897" s="7" t="s">
        <v>12</v>
      </c>
      <c r="C1897" t="s">
        <v>2</v>
      </c>
    </row>
    <row r="1898" spans="1:3" x14ac:dyDescent="0.3">
      <c r="A1898" s="7" t="s">
        <v>1908</v>
      </c>
      <c r="B1898" s="7" t="s">
        <v>12</v>
      </c>
      <c r="C1898" t="s">
        <v>2</v>
      </c>
    </row>
    <row r="1899" spans="1:3" x14ac:dyDescent="0.3">
      <c r="A1899" s="7" t="s">
        <v>1909</v>
      </c>
      <c r="B1899" s="7" t="s">
        <v>12</v>
      </c>
      <c r="C1899" t="s">
        <v>2</v>
      </c>
    </row>
    <row r="1900" spans="1:3" x14ac:dyDescent="0.3">
      <c r="A1900" s="7" t="s">
        <v>1910</v>
      </c>
      <c r="B1900" s="7" t="s">
        <v>12</v>
      </c>
      <c r="C1900" t="s">
        <v>2</v>
      </c>
    </row>
    <row r="1901" spans="1:3" x14ac:dyDescent="0.3">
      <c r="A1901" s="7" t="s">
        <v>1911</v>
      </c>
      <c r="B1901" s="7" t="s">
        <v>12</v>
      </c>
      <c r="C1901" t="s">
        <v>2</v>
      </c>
    </row>
    <row r="1902" spans="1:3" x14ac:dyDescent="0.3">
      <c r="A1902" s="7" t="s">
        <v>1912</v>
      </c>
      <c r="B1902" s="7" t="s">
        <v>12</v>
      </c>
      <c r="C1902" t="s">
        <v>2</v>
      </c>
    </row>
    <row r="1903" spans="1:3" x14ac:dyDescent="0.3">
      <c r="A1903" s="7" t="s">
        <v>1913</v>
      </c>
      <c r="B1903" s="7" t="s">
        <v>12</v>
      </c>
      <c r="C1903" t="s">
        <v>2</v>
      </c>
    </row>
    <row r="1904" spans="1:3" x14ac:dyDescent="0.3">
      <c r="A1904" s="7" t="s">
        <v>1914</v>
      </c>
      <c r="B1904" s="7" t="s">
        <v>12</v>
      </c>
      <c r="C1904" t="s">
        <v>2</v>
      </c>
    </row>
    <row r="1905" spans="1:3" x14ac:dyDescent="0.3">
      <c r="A1905" s="7" t="s">
        <v>1915</v>
      </c>
      <c r="B1905" s="7" t="s">
        <v>12</v>
      </c>
      <c r="C1905" t="s">
        <v>2</v>
      </c>
    </row>
    <row r="1906" spans="1:3" x14ac:dyDescent="0.3">
      <c r="A1906" s="7" t="s">
        <v>1916</v>
      </c>
      <c r="B1906" s="7" t="s">
        <v>12</v>
      </c>
      <c r="C1906" t="s">
        <v>2</v>
      </c>
    </row>
    <row r="1907" spans="1:3" x14ac:dyDescent="0.3">
      <c r="A1907" s="7" t="s">
        <v>1917</v>
      </c>
      <c r="B1907" s="7" t="s">
        <v>12</v>
      </c>
      <c r="C1907" t="s">
        <v>2</v>
      </c>
    </row>
    <row r="1908" spans="1:3" x14ac:dyDescent="0.3">
      <c r="A1908" s="7" t="s">
        <v>1918</v>
      </c>
      <c r="B1908" s="7" t="s">
        <v>12</v>
      </c>
      <c r="C1908" t="s">
        <v>2</v>
      </c>
    </row>
    <row r="1909" spans="1:3" x14ac:dyDescent="0.3">
      <c r="A1909" s="7" t="s">
        <v>1919</v>
      </c>
      <c r="B1909" s="7" t="s">
        <v>12</v>
      </c>
      <c r="C1909" t="s">
        <v>2</v>
      </c>
    </row>
    <row r="1910" spans="1:3" x14ac:dyDescent="0.3">
      <c r="A1910" s="7" t="s">
        <v>1920</v>
      </c>
      <c r="B1910" s="7" t="s">
        <v>12</v>
      </c>
      <c r="C1910" t="s">
        <v>2</v>
      </c>
    </row>
    <row r="1911" spans="1:3" x14ac:dyDescent="0.3">
      <c r="A1911" s="7" t="s">
        <v>1921</v>
      </c>
      <c r="B1911" s="7" t="s">
        <v>12</v>
      </c>
      <c r="C1911" t="s">
        <v>2</v>
      </c>
    </row>
    <row r="1912" spans="1:3" x14ac:dyDescent="0.3">
      <c r="A1912" s="7" t="s">
        <v>1922</v>
      </c>
      <c r="B1912" s="7" t="s">
        <v>12</v>
      </c>
      <c r="C1912" t="s">
        <v>2</v>
      </c>
    </row>
    <row r="1913" spans="1:3" x14ac:dyDescent="0.3">
      <c r="A1913" s="7" t="s">
        <v>1923</v>
      </c>
      <c r="B1913" s="7" t="s">
        <v>12</v>
      </c>
      <c r="C1913" t="s">
        <v>2</v>
      </c>
    </row>
    <row r="1914" spans="1:3" x14ac:dyDescent="0.3">
      <c r="A1914" s="7" t="s">
        <v>1924</v>
      </c>
      <c r="B1914" s="7" t="s">
        <v>12</v>
      </c>
      <c r="C1914" t="s">
        <v>2</v>
      </c>
    </row>
    <row r="1915" spans="1:3" x14ac:dyDescent="0.3">
      <c r="A1915" s="7" t="s">
        <v>1925</v>
      </c>
      <c r="B1915" s="7" t="s">
        <v>12</v>
      </c>
      <c r="C1915" t="s">
        <v>2</v>
      </c>
    </row>
    <row r="1916" spans="1:3" x14ac:dyDescent="0.3">
      <c r="A1916" s="7" t="s">
        <v>1926</v>
      </c>
      <c r="B1916" s="7" t="s">
        <v>12</v>
      </c>
      <c r="C1916" t="s">
        <v>2</v>
      </c>
    </row>
    <row r="1917" spans="1:3" x14ac:dyDescent="0.3">
      <c r="A1917" s="7" t="s">
        <v>1927</v>
      </c>
      <c r="B1917" s="7" t="s">
        <v>12</v>
      </c>
      <c r="C1917" t="s">
        <v>2</v>
      </c>
    </row>
    <row r="1918" spans="1:3" x14ac:dyDescent="0.3">
      <c r="A1918" s="7" t="s">
        <v>1928</v>
      </c>
      <c r="B1918" s="7" t="s">
        <v>12</v>
      </c>
      <c r="C1918" t="s">
        <v>2</v>
      </c>
    </row>
    <row r="1919" spans="1:3" x14ac:dyDescent="0.3">
      <c r="A1919" s="7" t="s">
        <v>1929</v>
      </c>
      <c r="B1919" s="7" t="s">
        <v>12</v>
      </c>
      <c r="C1919" t="s">
        <v>2</v>
      </c>
    </row>
    <row r="1920" spans="1:3" x14ac:dyDescent="0.3">
      <c r="A1920" s="7" t="s">
        <v>1930</v>
      </c>
      <c r="B1920" s="7" t="s">
        <v>12</v>
      </c>
      <c r="C1920" t="s">
        <v>2</v>
      </c>
    </row>
    <row r="1921" spans="1:3" x14ac:dyDescent="0.3">
      <c r="A1921" s="7" t="s">
        <v>1931</v>
      </c>
      <c r="B1921" s="7" t="s">
        <v>12</v>
      </c>
      <c r="C1921" t="s">
        <v>2</v>
      </c>
    </row>
    <row r="1922" spans="1:3" x14ac:dyDescent="0.3">
      <c r="A1922" s="7" t="s">
        <v>1932</v>
      </c>
      <c r="B1922" s="7" t="s">
        <v>12</v>
      </c>
      <c r="C1922" t="s">
        <v>2</v>
      </c>
    </row>
    <row r="1923" spans="1:3" x14ac:dyDescent="0.3">
      <c r="A1923" s="7" t="s">
        <v>1933</v>
      </c>
      <c r="B1923" s="7" t="s">
        <v>12</v>
      </c>
      <c r="C1923" t="s">
        <v>2</v>
      </c>
    </row>
    <row r="1924" spans="1:3" x14ac:dyDescent="0.3">
      <c r="A1924" s="7" t="s">
        <v>1934</v>
      </c>
      <c r="B1924" s="7" t="s">
        <v>12</v>
      </c>
      <c r="C1924" t="s">
        <v>2</v>
      </c>
    </row>
    <row r="1925" spans="1:3" x14ac:dyDescent="0.3">
      <c r="A1925" s="7" t="s">
        <v>1935</v>
      </c>
      <c r="B1925" s="7" t="s">
        <v>12</v>
      </c>
      <c r="C1925" t="s">
        <v>2</v>
      </c>
    </row>
    <row r="1926" spans="1:3" x14ac:dyDescent="0.3">
      <c r="A1926" s="7" t="s">
        <v>1936</v>
      </c>
      <c r="B1926" s="7" t="s">
        <v>12</v>
      </c>
      <c r="C1926" t="s">
        <v>2</v>
      </c>
    </row>
    <row r="1927" spans="1:3" x14ac:dyDescent="0.3">
      <c r="A1927" s="7" t="s">
        <v>1937</v>
      </c>
      <c r="B1927" s="7" t="s">
        <v>12</v>
      </c>
      <c r="C1927" t="s">
        <v>2</v>
      </c>
    </row>
    <row r="1928" spans="1:3" x14ac:dyDescent="0.3">
      <c r="A1928" s="7" t="s">
        <v>1938</v>
      </c>
      <c r="B1928" s="7" t="s">
        <v>12</v>
      </c>
      <c r="C1928" t="s">
        <v>2</v>
      </c>
    </row>
    <row r="1929" spans="1:3" x14ac:dyDescent="0.3">
      <c r="A1929" s="7" t="s">
        <v>1939</v>
      </c>
      <c r="B1929" s="7" t="s">
        <v>12</v>
      </c>
      <c r="C1929" t="s">
        <v>2</v>
      </c>
    </row>
    <row r="1930" spans="1:3" x14ac:dyDescent="0.3">
      <c r="A1930" s="7" t="s">
        <v>1940</v>
      </c>
      <c r="B1930" s="7" t="s">
        <v>12</v>
      </c>
      <c r="C1930" t="s">
        <v>2</v>
      </c>
    </row>
    <row r="1931" spans="1:3" x14ac:dyDescent="0.3">
      <c r="A1931" s="7" t="s">
        <v>1941</v>
      </c>
      <c r="B1931" s="7" t="s">
        <v>12</v>
      </c>
      <c r="C1931" t="s">
        <v>2</v>
      </c>
    </row>
    <row r="1932" spans="1:3" x14ac:dyDescent="0.3">
      <c r="A1932" s="7" t="s">
        <v>1942</v>
      </c>
      <c r="B1932" s="7" t="s">
        <v>12</v>
      </c>
      <c r="C1932" t="s">
        <v>2</v>
      </c>
    </row>
    <row r="1933" spans="1:3" x14ac:dyDescent="0.3">
      <c r="A1933" s="7" t="s">
        <v>1943</v>
      </c>
      <c r="B1933" s="7" t="s">
        <v>12</v>
      </c>
      <c r="C1933" t="s">
        <v>2</v>
      </c>
    </row>
    <row r="1934" spans="1:3" x14ac:dyDescent="0.3">
      <c r="A1934" s="7" t="s">
        <v>1944</v>
      </c>
      <c r="B1934" s="7" t="s">
        <v>12</v>
      </c>
      <c r="C1934" t="s">
        <v>2</v>
      </c>
    </row>
    <row r="1935" spans="1:3" x14ac:dyDescent="0.3">
      <c r="A1935" s="7" t="s">
        <v>1945</v>
      </c>
      <c r="B1935" s="7" t="s">
        <v>12</v>
      </c>
      <c r="C1935" t="s">
        <v>2</v>
      </c>
    </row>
    <row r="1936" spans="1:3" x14ac:dyDescent="0.3">
      <c r="A1936" s="7" t="s">
        <v>1946</v>
      </c>
      <c r="B1936" s="7" t="s">
        <v>12</v>
      </c>
      <c r="C1936" t="s">
        <v>3</v>
      </c>
    </row>
    <row r="1937" spans="1:3" x14ac:dyDescent="0.3">
      <c r="A1937" s="7" t="s">
        <v>1947</v>
      </c>
      <c r="B1937" s="7" t="s">
        <v>12</v>
      </c>
      <c r="C1937" t="s">
        <v>3</v>
      </c>
    </row>
    <row r="1938" spans="1:3" x14ac:dyDescent="0.3">
      <c r="A1938" s="7" t="s">
        <v>1948</v>
      </c>
      <c r="B1938" s="7" t="s">
        <v>12</v>
      </c>
      <c r="C1938" t="s">
        <v>3</v>
      </c>
    </row>
    <row r="1939" spans="1:3" x14ac:dyDescent="0.3">
      <c r="A1939" s="7" t="s">
        <v>1949</v>
      </c>
      <c r="B1939" s="7" t="s">
        <v>12</v>
      </c>
      <c r="C1939" t="s">
        <v>3</v>
      </c>
    </row>
    <row r="1940" spans="1:3" x14ac:dyDescent="0.3">
      <c r="A1940" s="7" t="s">
        <v>1950</v>
      </c>
      <c r="B1940" s="7" t="s">
        <v>12</v>
      </c>
      <c r="C1940" t="s">
        <v>3</v>
      </c>
    </row>
    <row r="1941" spans="1:3" x14ac:dyDescent="0.3">
      <c r="A1941" s="7" t="s">
        <v>1951</v>
      </c>
      <c r="B1941" s="7" t="s">
        <v>12</v>
      </c>
      <c r="C1941" t="s">
        <v>3</v>
      </c>
    </row>
    <row r="1942" spans="1:3" x14ac:dyDescent="0.3">
      <c r="A1942" s="7" t="s">
        <v>1952</v>
      </c>
      <c r="B1942" s="7" t="s">
        <v>12</v>
      </c>
      <c r="C1942" t="s">
        <v>2</v>
      </c>
    </row>
    <row r="1943" spans="1:3" x14ac:dyDescent="0.3">
      <c r="A1943" s="7" t="s">
        <v>1953</v>
      </c>
      <c r="B1943" s="7" t="s">
        <v>12</v>
      </c>
      <c r="C1943" t="s">
        <v>2</v>
      </c>
    </row>
    <row r="1944" spans="1:3" x14ac:dyDescent="0.3">
      <c r="A1944" s="7" t="s">
        <v>1954</v>
      </c>
      <c r="B1944" s="7" t="s">
        <v>12</v>
      </c>
      <c r="C1944" t="s">
        <v>2</v>
      </c>
    </row>
    <row r="1945" spans="1:3" x14ac:dyDescent="0.3">
      <c r="A1945" s="7" t="s">
        <v>1955</v>
      </c>
      <c r="B1945" s="7" t="s">
        <v>12</v>
      </c>
      <c r="C1945" t="s">
        <v>2</v>
      </c>
    </row>
    <row r="1946" spans="1:3" x14ac:dyDescent="0.3">
      <c r="A1946" s="7" t="s">
        <v>1956</v>
      </c>
      <c r="B1946" s="7" t="s">
        <v>12</v>
      </c>
      <c r="C1946" t="s">
        <v>2</v>
      </c>
    </row>
    <row r="1947" spans="1:3" x14ac:dyDescent="0.3">
      <c r="A1947" s="7" t="s">
        <v>1957</v>
      </c>
      <c r="B1947" s="7" t="s">
        <v>12</v>
      </c>
      <c r="C1947" t="s">
        <v>2</v>
      </c>
    </row>
    <row r="1948" spans="1:3" x14ac:dyDescent="0.3">
      <c r="A1948" s="7" t="s">
        <v>1958</v>
      </c>
      <c r="B1948" s="7" t="s">
        <v>12</v>
      </c>
      <c r="C1948" t="s">
        <v>3678</v>
      </c>
    </row>
    <row r="1949" spans="1:3" x14ac:dyDescent="0.3">
      <c r="A1949" s="7" t="s">
        <v>1959</v>
      </c>
      <c r="B1949" s="7" t="s">
        <v>12</v>
      </c>
      <c r="C1949" t="s">
        <v>3678</v>
      </c>
    </row>
    <row r="1950" spans="1:3" x14ac:dyDescent="0.3">
      <c r="A1950" s="7" t="s">
        <v>1960</v>
      </c>
      <c r="B1950" s="7" t="s">
        <v>12</v>
      </c>
      <c r="C1950" t="s">
        <v>3678</v>
      </c>
    </row>
    <row r="1951" spans="1:3" x14ac:dyDescent="0.3">
      <c r="A1951" s="7" t="s">
        <v>1961</v>
      </c>
      <c r="B1951" s="7" t="s">
        <v>12</v>
      </c>
      <c r="C1951" t="s">
        <v>3678</v>
      </c>
    </row>
    <row r="1952" spans="1:3" x14ac:dyDescent="0.3">
      <c r="A1952" s="7" t="s">
        <v>1962</v>
      </c>
      <c r="B1952" s="7" t="s">
        <v>12</v>
      </c>
      <c r="C1952" t="s">
        <v>3679</v>
      </c>
    </row>
    <row r="1953" spans="1:3" x14ac:dyDescent="0.3">
      <c r="A1953" s="7" t="s">
        <v>1963</v>
      </c>
      <c r="B1953" s="7" t="s">
        <v>12</v>
      </c>
      <c r="C1953" t="s">
        <v>2</v>
      </c>
    </row>
    <row r="1954" spans="1:3" x14ac:dyDescent="0.3">
      <c r="A1954" s="7" t="s">
        <v>1964</v>
      </c>
      <c r="B1954" s="7" t="s">
        <v>12</v>
      </c>
      <c r="C1954" t="s">
        <v>2</v>
      </c>
    </row>
    <row r="1955" spans="1:3" x14ac:dyDescent="0.3">
      <c r="A1955" s="7" t="s">
        <v>1965</v>
      </c>
      <c r="B1955" s="7" t="s">
        <v>12</v>
      </c>
      <c r="C1955" t="s">
        <v>2</v>
      </c>
    </row>
    <row r="1956" spans="1:3" x14ac:dyDescent="0.3">
      <c r="A1956" s="7" t="s">
        <v>1966</v>
      </c>
      <c r="B1956" s="7" t="s">
        <v>12</v>
      </c>
      <c r="C1956" t="s">
        <v>2</v>
      </c>
    </row>
    <row r="1957" spans="1:3" x14ac:dyDescent="0.3">
      <c r="A1957" s="7" t="s">
        <v>1967</v>
      </c>
      <c r="B1957" s="7" t="s">
        <v>12</v>
      </c>
      <c r="C1957" t="s">
        <v>2</v>
      </c>
    </row>
    <row r="1958" spans="1:3" x14ac:dyDescent="0.3">
      <c r="A1958" s="7" t="s">
        <v>1968</v>
      </c>
      <c r="B1958" s="7" t="s">
        <v>12</v>
      </c>
      <c r="C1958" t="s">
        <v>2</v>
      </c>
    </row>
    <row r="1959" spans="1:3" x14ac:dyDescent="0.3">
      <c r="A1959" s="7" t="s">
        <v>1969</v>
      </c>
      <c r="B1959" s="7" t="s">
        <v>12</v>
      </c>
      <c r="C1959" t="s">
        <v>2</v>
      </c>
    </row>
    <row r="1960" spans="1:3" x14ac:dyDescent="0.3">
      <c r="A1960" s="7" t="s">
        <v>1970</v>
      </c>
      <c r="B1960" s="7" t="s">
        <v>12</v>
      </c>
      <c r="C1960" t="s">
        <v>2</v>
      </c>
    </row>
    <row r="1961" spans="1:3" x14ac:dyDescent="0.3">
      <c r="A1961" s="7" t="s">
        <v>1971</v>
      </c>
      <c r="B1961" s="7" t="s">
        <v>12</v>
      </c>
      <c r="C1961" t="s">
        <v>2</v>
      </c>
    </row>
    <row r="1962" spans="1:3" x14ac:dyDescent="0.3">
      <c r="A1962" s="7" t="s">
        <v>1972</v>
      </c>
      <c r="B1962" s="7" t="s">
        <v>12</v>
      </c>
      <c r="C1962" t="s">
        <v>2</v>
      </c>
    </row>
    <row r="1963" spans="1:3" x14ac:dyDescent="0.3">
      <c r="A1963" s="7" t="s">
        <v>1973</v>
      </c>
      <c r="B1963" s="7" t="s">
        <v>12</v>
      </c>
      <c r="C1963" t="s">
        <v>2</v>
      </c>
    </row>
    <row r="1964" spans="1:3" x14ac:dyDescent="0.3">
      <c r="A1964" s="7" t="s">
        <v>1974</v>
      </c>
      <c r="B1964" s="7" t="s">
        <v>12</v>
      </c>
      <c r="C1964" t="s">
        <v>2</v>
      </c>
    </row>
    <row r="1965" spans="1:3" x14ac:dyDescent="0.3">
      <c r="A1965" s="7" t="s">
        <v>1975</v>
      </c>
      <c r="B1965" s="7" t="s">
        <v>12</v>
      </c>
      <c r="C1965" t="s">
        <v>2</v>
      </c>
    </row>
    <row r="1966" spans="1:3" x14ac:dyDescent="0.3">
      <c r="A1966" s="7" t="s">
        <v>1976</v>
      </c>
      <c r="B1966" s="7" t="s">
        <v>12</v>
      </c>
      <c r="C1966" t="s">
        <v>2</v>
      </c>
    </row>
    <row r="1967" spans="1:3" x14ac:dyDescent="0.3">
      <c r="A1967" s="7" t="s">
        <v>1977</v>
      </c>
      <c r="B1967" s="7" t="s">
        <v>12</v>
      </c>
      <c r="C1967" t="s">
        <v>2</v>
      </c>
    </row>
    <row r="1968" spans="1:3" x14ac:dyDescent="0.3">
      <c r="A1968" s="7" t="s">
        <v>1978</v>
      </c>
      <c r="B1968" s="7" t="s">
        <v>12</v>
      </c>
      <c r="C1968" t="s">
        <v>2</v>
      </c>
    </row>
    <row r="1969" spans="1:3" x14ac:dyDescent="0.3">
      <c r="A1969" s="7" t="s">
        <v>1979</v>
      </c>
      <c r="B1969" s="7" t="s">
        <v>12</v>
      </c>
      <c r="C1969" t="s">
        <v>2</v>
      </c>
    </row>
    <row r="1970" spans="1:3" x14ac:dyDescent="0.3">
      <c r="A1970" s="7" t="s">
        <v>1980</v>
      </c>
      <c r="B1970" s="7" t="s">
        <v>12</v>
      </c>
      <c r="C1970" t="s">
        <v>2</v>
      </c>
    </row>
    <row r="1971" spans="1:3" x14ac:dyDescent="0.3">
      <c r="A1971" s="7" t="s">
        <v>1981</v>
      </c>
      <c r="B1971" s="7" t="s">
        <v>12</v>
      </c>
      <c r="C1971" t="s">
        <v>2</v>
      </c>
    </row>
    <row r="1972" spans="1:3" x14ac:dyDescent="0.3">
      <c r="A1972" s="7" t="s">
        <v>1982</v>
      </c>
      <c r="B1972" s="7" t="s">
        <v>12</v>
      </c>
      <c r="C1972" t="s">
        <v>2</v>
      </c>
    </row>
    <row r="1973" spans="1:3" x14ac:dyDescent="0.3">
      <c r="A1973" s="7" t="s">
        <v>1983</v>
      </c>
      <c r="B1973" s="7" t="s">
        <v>12</v>
      </c>
      <c r="C1973" t="s">
        <v>2</v>
      </c>
    </row>
    <row r="1974" spans="1:3" x14ac:dyDescent="0.3">
      <c r="A1974" s="7" t="s">
        <v>1984</v>
      </c>
      <c r="B1974" s="7" t="s">
        <v>12</v>
      </c>
      <c r="C1974" t="s">
        <v>2</v>
      </c>
    </row>
    <row r="1975" spans="1:3" x14ac:dyDescent="0.3">
      <c r="A1975" s="7" t="s">
        <v>1985</v>
      </c>
      <c r="B1975" s="7" t="s">
        <v>12</v>
      </c>
      <c r="C1975" t="s">
        <v>2</v>
      </c>
    </row>
    <row r="1976" spans="1:3" x14ac:dyDescent="0.3">
      <c r="A1976" s="7" t="s">
        <v>1986</v>
      </c>
      <c r="B1976" s="7" t="s">
        <v>12</v>
      </c>
      <c r="C1976" t="s">
        <v>2</v>
      </c>
    </row>
    <row r="1977" spans="1:3" x14ac:dyDescent="0.3">
      <c r="A1977" s="7" t="s">
        <v>1987</v>
      </c>
      <c r="B1977" s="7" t="s">
        <v>12</v>
      </c>
      <c r="C1977" t="s">
        <v>2</v>
      </c>
    </row>
    <row r="1978" spans="1:3" x14ac:dyDescent="0.3">
      <c r="A1978" s="7" t="s">
        <v>1988</v>
      </c>
      <c r="B1978" s="7" t="s">
        <v>12</v>
      </c>
      <c r="C1978" t="s">
        <v>2</v>
      </c>
    </row>
    <row r="1979" spans="1:3" x14ac:dyDescent="0.3">
      <c r="A1979" s="7" t="s">
        <v>1989</v>
      </c>
      <c r="B1979" s="7" t="s">
        <v>12</v>
      </c>
      <c r="C1979" t="s">
        <v>2</v>
      </c>
    </row>
    <row r="1980" spans="1:3" x14ac:dyDescent="0.3">
      <c r="A1980" s="7" t="s">
        <v>1990</v>
      </c>
      <c r="B1980" s="7" t="s">
        <v>12</v>
      </c>
      <c r="C1980" t="s">
        <v>2</v>
      </c>
    </row>
    <row r="1981" spans="1:3" x14ac:dyDescent="0.3">
      <c r="A1981" s="7" t="s">
        <v>1991</v>
      </c>
      <c r="B1981" s="7" t="s">
        <v>12</v>
      </c>
      <c r="C1981" t="s">
        <v>2</v>
      </c>
    </row>
    <row r="1982" spans="1:3" x14ac:dyDescent="0.3">
      <c r="A1982" s="7" t="s">
        <v>1992</v>
      </c>
      <c r="B1982" s="7" t="s">
        <v>12</v>
      </c>
      <c r="C1982" t="s">
        <v>2</v>
      </c>
    </row>
    <row r="1983" spans="1:3" x14ac:dyDescent="0.3">
      <c r="A1983" s="7" t="s">
        <v>1993</v>
      </c>
      <c r="B1983" s="7" t="s">
        <v>12</v>
      </c>
      <c r="C1983" t="s">
        <v>2</v>
      </c>
    </row>
    <row r="1984" spans="1:3" x14ac:dyDescent="0.3">
      <c r="A1984" s="7" t="s">
        <v>1994</v>
      </c>
      <c r="B1984" s="7" t="s">
        <v>12</v>
      </c>
      <c r="C1984" t="s">
        <v>2</v>
      </c>
    </row>
    <row r="1985" spans="1:3" x14ac:dyDescent="0.3">
      <c r="A1985" s="7" t="s">
        <v>1995</v>
      </c>
      <c r="B1985" s="7" t="s">
        <v>12</v>
      </c>
      <c r="C1985" t="s">
        <v>2</v>
      </c>
    </row>
    <row r="1986" spans="1:3" x14ac:dyDescent="0.3">
      <c r="A1986" s="7" t="s">
        <v>1996</v>
      </c>
      <c r="B1986" s="7" t="s">
        <v>12</v>
      </c>
      <c r="C1986" t="s">
        <v>2</v>
      </c>
    </row>
    <row r="1987" spans="1:3" x14ac:dyDescent="0.3">
      <c r="A1987" s="7" t="s">
        <v>1997</v>
      </c>
      <c r="B1987" s="7" t="s">
        <v>12</v>
      </c>
      <c r="C1987" t="s">
        <v>2</v>
      </c>
    </row>
    <row r="1988" spans="1:3" x14ac:dyDescent="0.3">
      <c r="A1988" s="7" t="s">
        <v>1998</v>
      </c>
      <c r="B1988" s="7" t="s">
        <v>12</v>
      </c>
      <c r="C1988" t="s">
        <v>2</v>
      </c>
    </row>
    <row r="1989" spans="1:3" x14ac:dyDescent="0.3">
      <c r="A1989" s="7" t="s">
        <v>1999</v>
      </c>
      <c r="B1989" s="7" t="s">
        <v>12</v>
      </c>
      <c r="C1989" t="s">
        <v>2</v>
      </c>
    </row>
    <row r="1990" spans="1:3" x14ac:dyDescent="0.3">
      <c r="A1990" s="7" t="s">
        <v>2000</v>
      </c>
      <c r="B1990" s="7" t="s">
        <v>12</v>
      </c>
      <c r="C1990" t="s">
        <v>2</v>
      </c>
    </row>
    <row r="1991" spans="1:3" x14ac:dyDescent="0.3">
      <c r="A1991" s="7" t="s">
        <v>2001</v>
      </c>
      <c r="B1991" s="7" t="s">
        <v>12</v>
      </c>
      <c r="C1991" t="s">
        <v>2</v>
      </c>
    </row>
    <row r="1992" spans="1:3" x14ac:dyDescent="0.3">
      <c r="A1992" s="7" t="s">
        <v>2002</v>
      </c>
      <c r="B1992" s="7" t="s">
        <v>12</v>
      </c>
      <c r="C1992" t="s">
        <v>2</v>
      </c>
    </row>
    <row r="1993" spans="1:3" x14ac:dyDescent="0.3">
      <c r="A1993" s="7" t="s">
        <v>2003</v>
      </c>
      <c r="B1993" s="7" t="s">
        <v>12</v>
      </c>
      <c r="C1993" t="s">
        <v>2</v>
      </c>
    </row>
    <row r="1994" spans="1:3" x14ac:dyDescent="0.3">
      <c r="A1994" s="7" t="s">
        <v>2004</v>
      </c>
      <c r="B1994" s="7" t="s">
        <v>12</v>
      </c>
      <c r="C1994" t="s">
        <v>2</v>
      </c>
    </row>
    <row r="1995" spans="1:3" x14ac:dyDescent="0.3">
      <c r="A1995" s="7" t="s">
        <v>2005</v>
      </c>
      <c r="B1995" s="7" t="s">
        <v>12</v>
      </c>
      <c r="C1995" t="s">
        <v>2</v>
      </c>
    </row>
    <row r="1996" spans="1:3" x14ac:dyDescent="0.3">
      <c r="A1996" s="7" t="s">
        <v>2006</v>
      </c>
      <c r="B1996" s="7" t="s">
        <v>12</v>
      </c>
      <c r="C1996" t="s">
        <v>2</v>
      </c>
    </row>
    <row r="1997" spans="1:3" x14ac:dyDescent="0.3">
      <c r="A1997" s="7" t="s">
        <v>2007</v>
      </c>
      <c r="B1997" s="7" t="s">
        <v>12</v>
      </c>
      <c r="C1997" t="s">
        <v>2</v>
      </c>
    </row>
    <row r="1998" spans="1:3" x14ac:dyDescent="0.3">
      <c r="A1998" s="7" t="s">
        <v>2008</v>
      </c>
      <c r="B1998" s="7" t="s">
        <v>12</v>
      </c>
      <c r="C1998" t="s">
        <v>2</v>
      </c>
    </row>
    <row r="1999" spans="1:3" x14ac:dyDescent="0.3">
      <c r="A1999" s="7" t="s">
        <v>2009</v>
      </c>
      <c r="B1999" s="7" t="s">
        <v>12</v>
      </c>
      <c r="C1999" t="s">
        <v>2</v>
      </c>
    </row>
    <row r="2000" spans="1:3" x14ac:dyDescent="0.3">
      <c r="A2000" s="7" t="s">
        <v>2010</v>
      </c>
      <c r="B2000" s="7" t="s">
        <v>12</v>
      </c>
      <c r="C2000" t="s">
        <v>2</v>
      </c>
    </row>
    <row r="2001" spans="1:3" x14ac:dyDescent="0.3">
      <c r="A2001" s="7" t="s">
        <v>2011</v>
      </c>
      <c r="B2001" s="7" t="s">
        <v>12</v>
      </c>
      <c r="C2001" t="s">
        <v>2</v>
      </c>
    </row>
    <row r="2002" spans="1:3" x14ac:dyDescent="0.3">
      <c r="A2002" s="7" t="s">
        <v>2012</v>
      </c>
      <c r="B2002" s="7" t="s">
        <v>12</v>
      </c>
      <c r="C2002" t="s">
        <v>2</v>
      </c>
    </row>
    <row r="2003" spans="1:3" x14ac:dyDescent="0.3">
      <c r="A2003" s="7" t="s">
        <v>2013</v>
      </c>
      <c r="B2003" s="7" t="s">
        <v>12</v>
      </c>
      <c r="C2003" t="s">
        <v>2</v>
      </c>
    </row>
    <row r="2004" spans="1:3" x14ac:dyDescent="0.3">
      <c r="A2004" s="7" t="s">
        <v>2014</v>
      </c>
      <c r="B2004" s="7" t="s">
        <v>12</v>
      </c>
      <c r="C2004" t="s">
        <v>2</v>
      </c>
    </row>
    <row r="2005" spans="1:3" x14ac:dyDescent="0.3">
      <c r="A2005" s="7" t="s">
        <v>2015</v>
      </c>
      <c r="B2005" s="7" t="s">
        <v>12</v>
      </c>
      <c r="C2005" t="s">
        <v>2</v>
      </c>
    </row>
    <row r="2006" spans="1:3" x14ac:dyDescent="0.3">
      <c r="A2006" s="7" t="s">
        <v>2016</v>
      </c>
      <c r="B2006" s="7" t="s">
        <v>12</v>
      </c>
      <c r="C2006" t="s">
        <v>2</v>
      </c>
    </row>
    <row r="2007" spans="1:3" x14ac:dyDescent="0.3">
      <c r="A2007" s="7" t="s">
        <v>2017</v>
      </c>
      <c r="B2007" s="7" t="s">
        <v>12</v>
      </c>
      <c r="C2007" t="s">
        <v>2</v>
      </c>
    </row>
    <row r="2008" spans="1:3" x14ac:dyDescent="0.3">
      <c r="A2008" s="7" t="s">
        <v>2018</v>
      </c>
      <c r="B2008" s="7" t="s">
        <v>12</v>
      </c>
      <c r="C2008" t="s">
        <v>2</v>
      </c>
    </row>
    <row r="2009" spans="1:3" x14ac:dyDescent="0.3">
      <c r="A2009" s="7" t="s">
        <v>2019</v>
      </c>
      <c r="B2009" s="7" t="s">
        <v>12</v>
      </c>
      <c r="C2009" t="s">
        <v>2</v>
      </c>
    </row>
    <row r="2010" spans="1:3" x14ac:dyDescent="0.3">
      <c r="A2010" s="7" t="s">
        <v>2020</v>
      </c>
      <c r="B2010" s="7" t="s">
        <v>12</v>
      </c>
      <c r="C2010" t="s">
        <v>2</v>
      </c>
    </row>
    <row r="2011" spans="1:3" x14ac:dyDescent="0.3">
      <c r="A2011" s="7" t="s">
        <v>2021</v>
      </c>
      <c r="B2011" s="7" t="s">
        <v>12</v>
      </c>
      <c r="C2011" t="s">
        <v>2</v>
      </c>
    </row>
    <row r="2012" spans="1:3" x14ac:dyDescent="0.3">
      <c r="A2012" s="7" t="s">
        <v>2022</v>
      </c>
      <c r="B2012" s="7" t="s">
        <v>12</v>
      </c>
      <c r="C2012" t="s">
        <v>3</v>
      </c>
    </row>
    <row r="2013" spans="1:3" x14ac:dyDescent="0.3">
      <c r="A2013" s="7" t="s">
        <v>2023</v>
      </c>
      <c r="B2013" s="7" t="s">
        <v>12</v>
      </c>
      <c r="C2013" t="s">
        <v>3</v>
      </c>
    </row>
    <row r="2014" spans="1:3" x14ac:dyDescent="0.3">
      <c r="A2014" s="7" t="s">
        <v>2024</v>
      </c>
      <c r="B2014" s="7" t="s">
        <v>12</v>
      </c>
      <c r="C2014" t="s">
        <v>3</v>
      </c>
    </row>
    <row r="2015" spans="1:3" x14ac:dyDescent="0.3">
      <c r="A2015" s="7" t="s">
        <v>2025</v>
      </c>
      <c r="B2015" s="7" t="s">
        <v>12</v>
      </c>
      <c r="C2015" t="s">
        <v>3</v>
      </c>
    </row>
    <row r="2016" spans="1:3" x14ac:dyDescent="0.3">
      <c r="A2016" s="7" t="s">
        <v>2026</v>
      </c>
      <c r="B2016" s="7" t="s">
        <v>12</v>
      </c>
      <c r="C2016" t="s">
        <v>3678</v>
      </c>
    </row>
    <row r="2017" spans="1:3" x14ac:dyDescent="0.3">
      <c r="A2017" s="7" t="s">
        <v>2027</v>
      </c>
      <c r="B2017" s="7" t="s">
        <v>12</v>
      </c>
      <c r="C2017" t="s">
        <v>3678</v>
      </c>
    </row>
    <row r="2018" spans="1:3" x14ac:dyDescent="0.3">
      <c r="A2018" s="7" t="s">
        <v>2028</v>
      </c>
      <c r="B2018" s="7" t="s">
        <v>12</v>
      </c>
      <c r="C2018" t="s">
        <v>3678</v>
      </c>
    </row>
    <row r="2019" spans="1:3" x14ac:dyDescent="0.3">
      <c r="A2019" s="7" t="s">
        <v>2029</v>
      </c>
      <c r="B2019" s="7" t="s">
        <v>12</v>
      </c>
      <c r="C2019" t="s">
        <v>3678</v>
      </c>
    </row>
    <row r="2020" spans="1:3" x14ac:dyDescent="0.3">
      <c r="A2020" s="7" t="s">
        <v>2030</v>
      </c>
      <c r="B2020" s="7" t="s">
        <v>12</v>
      </c>
      <c r="C2020" t="s">
        <v>3678</v>
      </c>
    </row>
    <row r="2021" spans="1:3" x14ac:dyDescent="0.3">
      <c r="A2021" s="7" t="s">
        <v>2031</v>
      </c>
      <c r="B2021" s="7" t="s">
        <v>12</v>
      </c>
      <c r="C2021" t="s">
        <v>3678</v>
      </c>
    </row>
    <row r="2022" spans="1:3" x14ac:dyDescent="0.3">
      <c r="A2022" s="7" t="s">
        <v>2032</v>
      </c>
      <c r="B2022" s="7" t="s">
        <v>12</v>
      </c>
      <c r="C2022" t="s">
        <v>3678</v>
      </c>
    </row>
    <row r="2023" spans="1:3" x14ac:dyDescent="0.3">
      <c r="A2023" s="7" t="s">
        <v>2033</v>
      </c>
      <c r="B2023" s="7" t="s">
        <v>12</v>
      </c>
      <c r="C2023" t="s">
        <v>3678</v>
      </c>
    </row>
    <row r="2024" spans="1:3" x14ac:dyDescent="0.3">
      <c r="A2024" s="7" t="s">
        <v>2034</v>
      </c>
      <c r="B2024" s="7" t="s">
        <v>12</v>
      </c>
      <c r="C2024" t="s">
        <v>3678</v>
      </c>
    </row>
    <row r="2025" spans="1:3" x14ac:dyDescent="0.3">
      <c r="A2025" s="7" t="s">
        <v>2035</v>
      </c>
      <c r="B2025" s="7" t="s">
        <v>12</v>
      </c>
      <c r="C2025" t="s">
        <v>2</v>
      </c>
    </row>
    <row r="2026" spans="1:3" x14ac:dyDescent="0.3">
      <c r="A2026" s="7" t="s">
        <v>2036</v>
      </c>
      <c r="B2026" s="7" t="s">
        <v>12</v>
      </c>
      <c r="C2026" t="s">
        <v>2</v>
      </c>
    </row>
    <row r="2027" spans="1:3" x14ac:dyDescent="0.3">
      <c r="A2027" s="7" t="s">
        <v>2037</v>
      </c>
      <c r="B2027" s="7" t="s">
        <v>12</v>
      </c>
      <c r="C2027" t="s">
        <v>2</v>
      </c>
    </row>
    <row r="2028" spans="1:3" x14ac:dyDescent="0.3">
      <c r="A2028" s="7" t="s">
        <v>2038</v>
      </c>
      <c r="B2028" s="7" t="s">
        <v>12</v>
      </c>
      <c r="C2028" t="s">
        <v>2</v>
      </c>
    </row>
    <row r="2029" spans="1:3" x14ac:dyDescent="0.3">
      <c r="A2029" s="7" t="s">
        <v>2039</v>
      </c>
      <c r="B2029" s="7" t="s">
        <v>12</v>
      </c>
      <c r="C2029" t="s">
        <v>2</v>
      </c>
    </row>
    <row r="2030" spans="1:3" x14ac:dyDescent="0.3">
      <c r="A2030" s="7" t="s">
        <v>2040</v>
      </c>
      <c r="B2030" s="7" t="s">
        <v>12</v>
      </c>
      <c r="C2030" t="s">
        <v>2</v>
      </c>
    </row>
    <row r="2031" spans="1:3" x14ac:dyDescent="0.3">
      <c r="A2031" s="7" t="s">
        <v>2041</v>
      </c>
      <c r="B2031" s="7" t="s">
        <v>12</v>
      </c>
      <c r="C2031" t="s">
        <v>2</v>
      </c>
    </row>
    <row r="2032" spans="1:3" x14ac:dyDescent="0.3">
      <c r="A2032" s="7" t="s">
        <v>2042</v>
      </c>
      <c r="B2032" s="7" t="s">
        <v>12</v>
      </c>
      <c r="C2032" t="s">
        <v>2</v>
      </c>
    </row>
    <row r="2033" spans="1:3" x14ac:dyDescent="0.3">
      <c r="A2033" s="7" t="s">
        <v>2043</v>
      </c>
      <c r="B2033" s="7" t="s">
        <v>12</v>
      </c>
      <c r="C2033" t="s">
        <v>2</v>
      </c>
    </row>
    <row r="2034" spans="1:3" x14ac:dyDescent="0.3">
      <c r="A2034" s="7" t="s">
        <v>2044</v>
      </c>
      <c r="B2034" s="7" t="s">
        <v>12</v>
      </c>
      <c r="C2034" t="s">
        <v>2</v>
      </c>
    </row>
    <row r="2035" spans="1:3" x14ac:dyDescent="0.3">
      <c r="A2035" s="7" t="s">
        <v>2045</v>
      </c>
      <c r="B2035" s="7" t="s">
        <v>12</v>
      </c>
      <c r="C2035" t="s">
        <v>2</v>
      </c>
    </row>
    <row r="2036" spans="1:3" x14ac:dyDescent="0.3">
      <c r="A2036" s="7" t="s">
        <v>2046</v>
      </c>
      <c r="B2036" s="7" t="s">
        <v>12</v>
      </c>
      <c r="C2036" t="s">
        <v>2</v>
      </c>
    </row>
    <row r="2037" spans="1:3" x14ac:dyDescent="0.3">
      <c r="A2037" s="7" t="s">
        <v>2047</v>
      </c>
      <c r="B2037" s="7" t="s">
        <v>12</v>
      </c>
      <c r="C2037" t="s">
        <v>2</v>
      </c>
    </row>
    <row r="2038" spans="1:3" x14ac:dyDescent="0.3">
      <c r="A2038" s="7" t="s">
        <v>2048</v>
      </c>
      <c r="B2038" s="7" t="s">
        <v>12</v>
      </c>
      <c r="C2038" t="s">
        <v>2</v>
      </c>
    </row>
    <row r="2039" spans="1:3" x14ac:dyDescent="0.3">
      <c r="A2039" s="7" t="s">
        <v>2049</v>
      </c>
      <c r="B2039" s="7" t="s">
        <v>12</v>
      </c>
      <c r="C2039" t="s">
        <v>2</v>
      </c>
    </row>
    <row r="2040" spans="1:3" x14ac:dyDescent="0.3">
      <c r="A2040" s="7" t="s">
        <v>2050</v>
      </c>
      <c r="B2040" s="7" t="s">
        <v>12</v>
      </c>
      <c r="C2040" t="s">
        <v>2</v>
      </c>
    </row>
    <row r="2041" spans="1:3" x14ac:dyDescent="0.3">
      <c r="A2041" s="7" t="s">
        <v>2051</v>
      </c>
      <c r="B2041" s="7" t="s">
        <v>12</v>
      </c>
      <c r="C2041" t="s">
        <v>2</v>
      </c>
    </row>
    <row r="2042" spans="1:3" x14ac:dyDescent="0.3">
      <c r="A2042" s="7" t="s">
        <v>2052</v>
      </c>
      <c r="B2042" s="7" t="s">
        <v>12</v>
      </c>
      <c r="C2042" t="s">
        <v>2</v>
      </c>
    </row>
    <row r="2043" spans="1:3" x14ac:dyDescent="0.3">
      <c r="A2043" s="7" t="s">
        <v>2053</v>
      </c>
      <c r="B2043" s="7" t="s">
        <v>12</v>
      </c>
      <c r="C2043" t="s">
        <v>2</v>
      </c>
    </row>
    <row r="2044" spans="1:3" x14ac:dyDescent="0.3">
      <c r="A2044" s="7" t="s">
        <v>2054</v>
      </c>
      <c r="B2044" s="7" t="s">
        <v>12</v>
      </c>
      <c r="C2044" t="s">
        <v>2</v>
      </c>
    </row>
    <row r="2045" spans="1:3" x14ac:dyDescent="0.3">
      <c r="A2045" s="7" t="s">
        <v>2055</v>
      </c>
      <c r="B2045" s="7" t="s">
        <v>12</v>
      </c>
      <c r="C2045" t="s">
        <v>2</v>
      </c>
    </row>
    <row r="2046" spans="1:3" x14ac:dyDescent="0.3">
      <c r="A2046" s="7" t="s">
        <v>2056</v>
      </c>
      <c r="B2046" s="7" t="s">
        <v>12</v>
      </c>
      <c r="C2046" t="s">
        <v>2</v>
      </c>
    </row>
    <row r="2047" spans="1:3" x14ac:dyDescent="0.3">
      <c r="A2047" s="7" t="s">
        <v>2057</v>
      </c>
      <c r="B2047" s="7" t="s">
        <v>12</v>
      </c>
      <c r="C2047" t="s">
        <v>2</v>
      </c>
    </row>
    <row r="2048" spans="1:3" x14ac:dyDescent="0.3">
      <c r="A2048" s="7" t="s">
        <v>2058</v>
      </c>
      <c r="B2048" s="7" t="s">
        <v>12</v>
      </c>
      <c r="C2048" t="s">
        <v>2</v>
      </c>
    </row>
    <row r="2049" spans="1:3" x14ac:dyDescent="0.3">
      <c r="A2049" s="7" t="s">
        <v>2059</v>
      </c>
      <c r="B2049" s="7" t="s">
        <v>12</v>
      </c>
      <c r="C2049" t="s">
        <v>2</v>
      </c>
    </row>
    <row r="2050" spans="1:3" x14ac:dyDescent="0.3">
      <c r="A2050" s="7" t="s">
        <v>2060</v>
      </c>
      <c r="B2050" s="7" t="s">
        <v>12</v>
      </c>
      <c r="C2050" t="s">
        <v>2</v>
      </c>
    </row>
    <row r="2051" spans="1:3" x14ac:dyDescent="0.3">
      <c r="A2051" s="7" t="s">
        <v>2061</v>
      </c>
      <c r="B2051" s="7" t="s">
        <v>12</v>
      </c>
      <c r="C2051" t="s">
        <v>2</v>
      </c>
    </row>
    <row r="2052" spans="1:3" x14ac:dyDescent="0.3">
      <c r="A2052" s="7" t="s">
        <v>2062</v>
      </c>
      <c r="B2052" s="7" t="s">
        <v>12</v>
      </c>
      <c r="C2052" t="s">
        <v>2</v>
      </c>
    </row>
    <row r="2053" spans="1:3" x14ac:dyDescent="0.3">
      <c r="A2053" s="7" t="s">
        <v>2063</v>
      </c>
      <c r="B2053" s="7" t="s">
        <v>12</v>
      </c>
      <c r="C2053" t="s">
        <v>2</v>
      </c>
    </row>
    <row r="2054" spans="1:3" x14ac:dyDescent="0.3">
      <c r="A2054" s="7" t="s">
        <v>2064</v>
      </c>
      <c r="B2054" s="7" t="s">
        <v>12</v>
      </c>
      <c r="C2054" t="s">
        <v>2</v>
      </c>
    </row>
    <row r="2055" spans="1:3" x14ac:dyDescent="0.3">
      <c r="A2055" s="7" t="s">
        <v>2065</v>
      </c>
      <c r="B2055" s="7" t="s">
        <v>12</v>
      </c>
      <c r="C2055" t="s">
        <v>2</v>
      </c>
    </row>
    <row r="2056" spans="1:3" x14ac:dyDescent="0.3">
      <c r="A2056" s="7" t="s">
        <v>2066</v>
      </c>
      <c r="B2056" s="7" t="s">
        <v>12</v>
      </c>
      <c r="C2056" t="s">
        <v>2</v>
      </c>
    </row>
    <row r="2057" spans="1:3" x14ac:dyDescent="0.3">
      <c r="A2057" s="7" t="s">
        <v>2067</v>
      </c>
      <c r="B2057" s="7" t="s">
        <v>12</v>
      </c>
      <c r="C2057" t="s">
        <v>2</v>
      </c>
    </row>
    <row r="2058" spans="1:3" x14ac:dyDescent="0.3">
      <c r="A2058" s="7" t="s">
        <v>2068</v>
      </c>
      <c r="B2058" s="7" t="s">
        <v>12</v>
      </c>
      <c r="C2058" t="s">
        <v>2</v>
      </c>
    </row>
    <row r="2059" spans="1:3" x14ac:dyDescent="0.3">
      <c r="A2059" s="7" t="s">
        <v>2069</v>
      </c>
      <c r="B2059" s="7" t="s">
        <v>12</v>
      </c>
      <c r="C2059" t="s">
        <v>2</v>
      </c>
    </row>
    <row r="2060" spans="1:3" x14ac:dyDescent="0.3">
      <c r="A2060" s="7" t="s">
        <v>2070</v>
      </c>
      <c r="B2060" s="7" t="s">
        <v>12</v>
      </c>
      <c r="C2060" t="s">
        <v>2</v>
      </c>
    </row>
    <row r="2061" spans="1:3" x14ac:dyDescent="0.3">
      <c r="A2061" s="7" t="s">
        <v>2071</v>
      </c>
      <c r="B2061" s="7" t="s">
        <v>12</v>
      </c>
      <c r="C2061" t="s">
        <v>2</v>
      </c>
    </row>
    <row r="2062" spans="1:3" x14ac:dyDescent="0.3">
      <c r="A2062" s="7" t="s">
        <v>2072</v>
      </c>
      <c r="B2062" s="7" t="s">
        <v>12</v>
      </c>
      <c r="C2062" t="s">
        <v>2</v>
      </c>
    </row>
    <row r="2063" spans="1:3" x14ac:dyDescent="0.3">
      <c r="A2063" s="7" t="s">
        <v>2073</v>
      </c>
      <c r="B2063" s="7" t="s">
        <v>12</v>
      </c>
      <c r="C2063" t="s">
        <v>2</v>
      </c>
    </row>
    <row r="2064" spans="1:3" x14ac:dyDescent="0.3">
      <c r="A2064" s="7" t="s">
        <v>2074</v>
      </c>
      <c r="B2064" s="7" t="s">
        <v>12</v>
      </c>
      <c r="C2064" t="s">
        <v>2</v>
      </c>
    </row>
    <row r="2065" spans="1:3" x14ac:dyDescent="0.3">
      <c r="A2065" s="7" t="s">
        <v>2075</v>
      </c>
      <c r="B2065" s="7" t="s">
        <v>12</v>
      </c>
      <c r="C2065" t="s">
        <v>2</v>
      </c>
    </row>
    <row r="2066" spans="1:3" x14ac:dyDescent="0.3">
      <c r="A2066" s="7" t="s">
        <v>2076</v>
      </c>
      <c r="B2066" s="7" t="s">
        <v>12</v>
      </c>
      <c r="C2066" t="s">
        <v>2</v>
      </c>
    </row>
    <row r="2067" spans="1:3" x14ac:dyDescent="0.3">
      <c r="A2067" s="7" t="s">
        <v>2077</v>
      </c>
      <c r="B2067" s="7" t="s">
        <v>12</v>
      </c>
      <c r="C2067" t="s">
        <v>2</v>
      </c>
    </row>
    <row r="2068" spans="1:3" x14ac:dyDescent="0.3">
      <c r="A2068" s="7" t="s">
        <v>2078</v>
      </c>
      <c r="B2068" s="7" t="s">
        <v>12</v>
      </c>
      <c r="C2068" t="s">
        <v>2</v>
      </c>
    </row>
    <row r="2069" spans="1:3" x14ac:dyDescent="0.3">
      <c r="A2069" s="7" t="s">
        <v>2079</v>
      </c>
      <c r="B2069" s="7" t="s">
        <v>12</v>
      </c>
      <c r="C2069" t="s">
        <v>2</v>
      </c>
    </row>
    <row r="2070" spans="1:3" x14ac:dyDescent="0.3">
      <c r="A2070" s="7" t="s">
        <v>2080</v>
      </c>
      <c r="B2070" s="7" t="s">
        <v>12</v>
      </c>
      <c r="C2070" t="s">
        <v>2</v>
      </c>
    </row>
    <row r="2071" spans="1:3" x14ac:dyDescent="0.3">
      <c r="A2071" s="7" t="s">
        <v>2081</v>
      </c>
      <c r="B2071" s="7" t="s">
        <v>12</v>
      </c>
      <c r="C2071" t="s">
        <v>3</v>
      </c>
    </row>
    <row r="2072" spans="1:3" x14ac:dyDescent="0.3">
      <c r="A2072" s="7" t="s">
        <v>2082</v>
      </c>
      <c r="B2072" s="7" t="s">
        <v>12</v>
      </c>
      <c r="C2072" t="s">
        <v>3</v>
      </c>
    </row>
    <row r="2073" spans="1:3" x14ac:dyDescent="0.3">
      <c r="A2073" s="7" t="s">
        <v>2083</v>
      </c>
      <c r="B2073" s="7" t="s">
        <v>12</v>
      </c>
      <c r="C2073" t="s">
        <v>3</v>
      </c>
    </row>
    <row r="2074" spans="1:3" x14ac:dyDescent="0.3">
      <c r="A2074" s="7" t="s">
        <v>2084</v>
      </c>
      <c r="B2074" s="7" t="s">
        <v>12</v>
      </c>
      <c r="C2074" t="s">
        <v>3</v>
      </c>
    </row>
    <row r="2075" spans="1:3" x14ac:dyDescent="0.3">
      <c r="A2075" s="7" t="s">
        <v>2085</v>
      </c>
      <c r="B2075" s="7" t="s">
        <v>12</v>
      </c>
      <c r="C2075" t="s">
        <v>3</v>
      </c>
    </row>
    <row r="2076" spans="1:3" x14ac:dyDescent="0.3">
      <c r="A2076" s="7" t="s">
        <v>2086</v>
      </c>
      <c r="B2076" s="7" t="s">
        <v>12</v>
      </c>
      <c r="C2076" t="s">
        <v>3</v>
      </c>
    </row>
    <row r="2077" spans="1:3" x14ac:dyDescent="0.3">
      <c r="A2077" s="7" t="s">
        <v>2087</v>
      </c>
      <c r="B2077" s="7" t="s">
        <v>12</v>
      </c>
      <c r="C2077" t="s">
        <v>3</v>
      </c>
    </row>
    <row r="2078" spans="1:3" x14ac:dyDescent="0.3">
      <c r="A2078" s="7" t="s">
        <v>2088</v>
      </c>
      <c r="B2078" s="7" t="s">
        <v>12</v>
      </c>
      <c r="C2078" t="s">
        <v>3</v>
      </c>
    </row>
    <row r="2079" spans="1:3" x14ac:dyDescent="0.3">
      <c r="A2079" s="7" t="s">
        <v>2089</v>
      </c>
      <c r="B2079" s="7" t="s">
        <v>12</v>
      </c>
      <c r="C2079" t="s">
        <v>3</v>
      </c>
    </row>
    <row r="2080" spans="1:3" x14ac:dyDescent="0.3">
      <c r="A2080" s="7" t="s">
        <v>2090</v>
      </c>
      <c r="B2080" s="7" t="s">
        <v>12</v>
      </c>
      <c r="C2080" t="s">
        <v>3</v>
      </c>
    </row>
    <row r="2081" spans="1:3" x14ac:dyDescent="0.3">
      <c r="A2081" s="7" t="s">
        <v>2091</v>
      </c>
      <c r="B2081" s="7" t="s">
        <v>12</v>
      </c>
      <c r="C2081" t="s">
        <v>3</v>
      </c>
    </row>
    <row r="2082" spans="1:3" x14ac:dyDescent="0.3">
      <c r="A2082" s="7" t="s">
        <v>2092</v>
      </c>
      <c r="B2082" s="7" t="s">
        <v>12</v>
      </c>
      <c r="C2082" t="s">
        <v>3</v>
      </c>
    </row>
    <row r="2083" spans="1:3" x14ac:dyDescent="0.3">
      <c r="A2083" s="7" t="s">
        <v>2093</v>
      </c>
      <c r="B2083" s="7" t="s">
        <v>12</v>
      </c>
      <c r="C2083" t="s">
        <v>3</v>
      </c>
    </row>
    <row r="2084" spans="1:3" x14ac:dyDescent="0.3">
      <c r="A2084" s="7" t="s">
        <v>2094</v>
      </c>
      <c r="B2084" s="7" t="s">
        <v>12</v>
      </c>
      <c r="C2084" t="s">
        <v>3</v>
      </c>
    </row>
    <row r="2085" spans="1:3" x14ac:dyDescent="0.3">
      <c r="A2085" s="7" t="s">
        <v>2095</v>
      </c>
      <c r="B2085" s="7" t="s">
        <v>12</v>
      </c>
    </row>
    <row r="2086" spans="1:3" x14ac:dyDescent="0.3">
      <c r="A2086" s="7" t="s">
        <v>2096</v>
      </c>
      <c r="B2086" s="7" t="s">
        <v>12</v>
      </c>
    </row>
    <row r="2087" spans="1:3" x14ac:dyDescent="0.3">
      <c r="A2087" s="7" t="s">
        <v>2097</v>
      </c>
      <c r="B2087" s="7" t="s">
        <v>12</v>
      </c>
    </row>
    <row r="2088" spans="1:3" x14ac:dyDescent="0.3">
      <c r="A2088" s="7" t="s">
        <v>2098</v>
      </c>
      <c r="B2088" s="7" t="s">
        <v>12</v>
      </c>
      <c r="C2088" t="s">
        <v>2</v>
      </c>
    </row>
    <row r="2089" spans="1:3" x14ac:dyDescent="0.3">
      <c r="A2089" s="7" t="s">
        <v>2099</v>
      </c>
      <c r="B2089" s="7" t="s">
        <v>12</v>
      </c>
      <c r="C2089" t="s">
        <v>2</v>
      </c>
    </row>
    <row r="2090" spans="1:3" x14ac:dyDescent="0.3">
      <c r="A2090" s="7" t="s">
        <v>2100</v>
      </c>
      <c r="B2090" s="7" t="s">
        <v>12</v>
      </c>
      <c r="C2090" t="s">
        <v>2</v>
      </c>
    </row>
    <row r="2091" spans="1:3" x14ac:dyDescent="0.3">
      <c r="A2091" s="7" t="s">
        <v>2101</v>
      </c>
      <c r="B2091" s="7" t="s">
        <v>12</v>
      </c>
      <c r="C2091" t="s">
        <v>2</v>
      </c>
    </row>
    <row r="2092" spans="1:3" x14ac:dyDescent="0.3">
      <c r="A2092" s="7" t="s">
        <v>2102</v>
      </c>
      <c r="B2092" s="7" t="s">
        <v>12</v>
      </c>
      <c r="C2092" t="s">
        <v>2</v>
      </c>
    </row>
    <row r="2093" spans="1:3" x14ac:dyDescent="0.3">
      <c r="A2093" s="7" t="s">
        <v>2103</v>
      </c>
      <c r="B2093" s="7" t="s">
        <v>12</v>
      </c>
      <c r="C2093" t="s">
        <v>3678</v>
      </c>
    </row>
    <row r="2094" spans="1:3" x14ac:dyDescent="0.3">
      <c r="A2094" s="7" t="s">
        <v>2104</v>
      </c>
      <c r="B2094" s="7" t="s">
        <v>12</v>
      </c>
      <c r="C2094" t="s">
        <v>3678</v>
      </c>
    </row>
    <row r="2095" spans="1:3" x14ac:dyDescent="0.3">
      <c r="A2095" s="7" t="s">
        <v>2105</v>
      </c>
      <c r="B2095" s="7" t="s">
        <v>12</v>
      </c>
      <c r="C2095" t="s">
        <v>3678</v>
      </c>
    </row>
    <row r="2096" spans="1:3" x14ac:dyDescent="0.3">
      <c r="A2096" s="7" t="s">
        <v>2106</v>
      </c>
      <c r="B2096" s="7" t="s">
        <v>12</v>
      </c>
      <c r="C2096" t="s">
        <v>3678</v>
      </c>
    </row>
    <row r="2097" spans="1:3" x14ac:dyDescent="0.3">
      <c r="A2097" s="7" t="s">
        <v>2107</v>
      </c>
      <c r="B2097" s="7" t="s">
        <v>12</v>
      </c>
      <c r="C2097" t="s">
        <v>3678</v>
      </c>
    </row>
    <row r="2098" spans="1:3" x14ac:dyDescent="0.3">
      <c r="A2098" s="7" t="s">
        <v>2108</v>
      </c>
      <c r="B2098" s="7" t="s">
        <v>12</v>
      </c>
      <c r="C2098" t="s">
        <v>3678</v>
      </c>
    </row>
    <row r="2099" spans="1:3" x14ac:dyDescent="0.3">
      <c r="A2099" s="7" t="s">
        <v>2109</v>
      </c>
      <c r="B2099" s="7" t="s">
        <v>12</v>
      </c>
      <c r="C2099" t="s">
        <v>3678</v>
      </c>
    </row>
    <row r="2100" spans="1:3" x14ac:dyDescent="0.3">
      <c r="A2100" s="7" t="s">
        <v>2110</v>
      </c>
      <c r="B2100" s="7" t="s">
        <v>12</v>
      </c>
      <c r="C2100" t="s">
        <v>2</v>
      </c>
    </row>
    <row r="2101" spans="1:3" x14ac:dyDescent="0.3">
      <c r="A2101" s="7" t="s">
        <v>2111</v>
      </c>
      <c r="B2101" s="7" t="s">
        <v>12</v>
      </c>
      <c r="C2101" t="s">
        <v>2</v>
      </c>
    </row>
    <row r="2102" spans="1:3" x14ac:dyDescent="0.3">
      <c r="A2102" s="7" t="s">
        <v>2112</v>
      </c>
      <c r="B2102" s="7" t="s">
        <v>12</v>
      </c>
      <c r="C2102" t="s">
        <v>2</v>
      </c>
    </row>
    <row r="2103" spans="1:3" x14ac:dyDescent="0.3">
      <c r="A2103" s="7" t="s">
        <v>2113</v>
      </c>
      <c r="B2103" s="7" t="s">
        <v>12</v>
      </c>
      <c r="C2103" t="s">
        <v>2</v>
      </c>
    </row>
    <row r="2104" spans="1:3" x14ac:dyDescent="0.3">
      <c r="A2104" s="7" t="s">
        <v>2114</v>
      </c>
      <c r="B2104" s="7" t="s">
        <v>12</v>
      </c>
      <c r="C2104" t="s">
        <v>2</v>
      </c>
    </row>
    <row r="2105" spans="1:3" x14ac:dyDescent="0.3">
      <c r="A2105" s="7" t="s">
        <v>2115</v>
      </c>
      <c r="B2105" s="7" t="s">
        <v>12</v>
      </c>
      <c r="C2105" t="s">
        <v>3678</v>
      </c>
    </row>
    <row r="2106" spans="1:3" x14ac:dyDescent="0.3">
      <c r="A2106" s="7" t="s">
        <v>2116</v>
      </c>
      <c r="B2106" s="7" t="s">
        <v>12</v>
      </c>
      <c r="C2106" t="s">
        <v>3678</v>
      </c>
    </row>
    <row r="2107" spans="1:3" x14ac:dyDescent="0.3">
      <c r="A2107" s="7" t="s">
        <v>2117</v>
      </c>
      <c r="B2107" s="7" t="s">
        <v>12</v>
      </c>
      <c r="C2107" t="s">
        <v>3678</v>
      </c>
    </row>
    <row r="2108" spans="1:3" x14ac:dyDescent="0.3">
      <c r="A2108" s="7" t="s">
        <v>2118</v>
      </c>
      <c r="B2108" s="7" t="s">
        <v>12</v>
      </c>
      <c r="C2108" t="s">
        <v>3678</v>
      </c>
    </row>
    <row r="2109" spans="1:3" x14ac:dyDescent="0.3">
      <c r="A2109" s="7" t="s">
        <v>2119</v>
      </c>
      <c r="B2109" s="7" t="s">
        <v>12</v>
      </c>
      <c r="C2109" t="s">
        <v>3678</v>
      </c>
    </row>
    <row r="2110" spans="1:3" x14ac:dyDescent="0.3">
      <c r="A2110" s="7" t="s">
        <v>2120</v>
      </c>
      <c r="B2110" s="7" t="s">
        <v>12</v>
      </c>
      <c r="C2110" t="s">
        <v>2</v>
      </c>
    </row>
    <row r="2111" spans="1:3" x14ac:dyDescent="0.3">
      <c r="A2111" s="7" t="s">
        <v>2121</v>
      </c>
      <c r="B2111" s="7" t="s">
        <v>12</v>
      </c>
      <c r="C2111" t="s">
        <v>2</v>
      </c>
    </row>
    <row r="2112" spans="1:3" x14ac:dyDescent="0.3">
      <c r="A2112" s="7" t="s">
        <v>2122</v>
      </c>
      <c r="B2112" s="7" t="s">
        <v>12</v>
      </c>
      <c r="C2112" t="s">
        <v>2</v>
      </c>
    </row>
    <row r="2113" spans="1:3" x14ac:dyDescent="0.3">
      <c r="A2113" s="7" t="s">
        <v>2123</v>
      </c>
      <c r="B2113" s="7" t="s">
        <v>12</v>
      </c>
      <c r="C2113" t="s">
        <v>2</v>
      </c>
    </row>
    <row r="2114" spans="1:3" x14ac:dyDescent="0.3">
      <c r="A2114" s="7" t="s">
        <v>2124</v>
      </c>
      <c r="B2114" s="7" t="s">
        <v>12</v>
      </c>
      <c r="C2114" t="s">
        <v>2</v>
      </c>
    </row>
    <row r="2115" spans="1:3" x14ac:dyDescent="0.3">
      <c r="A2115" s="7" t="s">
        <v>2125</v>
      </c>
      <c r="B2115" s="7" t="s">
        <v>12</v>
      </c>
      <c r="C2115" t="s">
        <v>2</v>
      </c>
    </row>
    <row r="2116" spans="1:3" x14ac:dyDescent="0.3">
      <c r="A2116" s="7" t="s">
        <v>2126</v>
      </c>
      <c r="B2116" s="7" t="s">
        <v>12</v>
      </c>
      <c r="C2116" t="s">
        <v>2</v>
      </c>
    </row>
    <row r="2117" spans="1:3" x14ac:dyDescent="0.3">
      <c r="A2117" s="7" t="s">
        <v>2127</v>
      </c>
      <c r="B2117" s="7" t="s">
        <v>12</v>
      </c>
      <c r="C2117" t="s">
        <v>2</v>
      </c>
    </row>
    <row r="2118" spans="1:3" x14ac:dyDescent="0.3">
      <c r="A2118" s="7" t="s">
        <v>2128</v>
      </c>
      <c r="B2118" s="7" t="s">
        <v>12</v>
      </c>
      <c r="C2118" t="s">
        <v>2</v>
      </c>
    </row>
    <row r="2119" spans="1:3" x14ac:dyDescent="0.3">
      <c r="A2119" s="7" t="s">
        <v>2129</v>
      </c>
      <c r="B2119" s="7" t="s">
        <v>12</v>
      </c>
      <c r="C2119" t="s">
        <v>2</v>
      </c>
    </row>
    <row r="2120" spans="1:3" x14ac:dyDescent="0.3">
      <c r="A2120" s="7" t="s">
        <v>2130</v>
      </c>
      <c r="B2120" s="7" t="s">
        <v>12</v>
      </c>
      <c r="C2120" t="s">
        <v>2</v>
      </c>
    </row>
    <row r="2121" spans="1:3" x14ac:dyDescent="0.3">
      <c r="A2121" s="7" t="s">
        <v>2131</v>
      </c>
      <c r="B2121" s="7" t="s">
        <v>12</v>
      </c>
      <c r="C2121" t="s">
        <v>2</v>
      </c>
    </row>
    <row r="2122" spans="1:3" x14ac:dyDescent="0.3">
      <c r="A2122" s="7" t="s">
        <v>2132</v>
      </c>
      <c r="B2122" s="7" t="s">
        <v>12</v>
      </c>
      <c r="C2122" t="s">
        <v>2</v>
      </c>
    </row>
    <row r="2123" spans="1:3" x14ac:dyDescent="0.3">
      <c r="A2123" s="7" t="s">
        <v>2133</v>
      </c>
      <c r="B2123" s="7" t="s">
        <v>12</v>
      </c>
      <c r="C2123" t="s">
        <v>2</v>
      </c>
    </row>
    <row r="2124" spans="1:3" x14ac:dyDescent="0.3">
      <c r="A2124" s="7" t="s">
        <v>2134</v>
      </c>
      <c r="B2124" s="7" t="s">
        <v>12</v>
      </c>
      <c r="C2124" t="s">
        <v>2</v>
      </c>
    </row>
    <row r="2125" spans="1:3" x14ac:dyDescent="0.3">
      <c r="A2125" s="7" t="s">
        <v>2135</v>
      </c>
      <c r="B2125" s="7" t="s">
        <v>12</v>
      </c>
      <c r="C2125" t="s">
        <v>2</v>
      </c>
    </row>
    <row r="2126" spans="1:3" x14ac:dyDescent="0.3">
      <c r="A2126" s="7" t="s">
        <v>2136</v>
      </c>
      <c r="B2126" s="7" t="s">
        <v>12</v>
      </c>
      <c r="C2126" t="s">
        <v>2</v>
      </c>
    </row>
    <row r="2127" spans="1:3" x14ac:dyDescent="0.3">
      <c r="A2127" s="7" t="s">
        <v>2137</v>
      </c>
      <c r="B2127" s="7" t="s">
        <v>12</v>
      </c>
      <c r="C2127" t="s">
        <v>2</v>
      </c>
    </row>
    <row r="2128" spans="1:3" x14ac:dyDescent="0.3">
      <c r="A2128" s="7" t="s">
        <v>2138</v>
      </c>
      <c r="B2128" s="7" t="s">
        <v>12</v>
      </c>
      <c r="C2128" t="s">
        <v>2</v>
      </c>
    </row>
    <row r="2129" spans="1:3" x14ac:dyDescent="0.3">
      <c r="A2129" s="7" t="s">
        <v>2139</v>
      </c>
      <c r="B2129" s="7" t="s">
        <v>12</v>
      </c>
      <c r="C2129" t="s">
        <v>2</v>
      </c>
    </row>
    <row r="2130" spans="1:3" x14ac:dyDescent="0.3">
      <c r="A2130" s="7" t="s">
        <v>2140</v>
      </c>
      <c r="B2130" s="7" t="s">
        <v>12</v>
      </c>
      <c r="C2130" t="s">
        <v>2</v>
      </c>
    </row>
    <row r="2131" spans="1:3" x14ac:dyDescent="0.3">
      <c r="A2131" s="7" t="s">
        <v>2141</v>
      </c>
      <c r="B2131" s="7" t="s">
        <v>12</v>
      </c>
      <c r="C2131" t="s">
        <v>2</v>
      </c>
    </row>
    <row r="2132" spans="1:3" x14ac:dyDescent="0.3">
      <c r="A2132" s="7" t="s">
        <v>2142</v>
      </c>
      <c r="B2132" s="7" t="s">
        <v>12</v>
      </c>
      <c r="C2132" t="s">
        <v>2</v>
      </c>
    </row>
    <row r="2133" spans="1:3" x14ac:dyDescent="0.3">
      <c r="A2133" s="7" t="s">
        <v>2143</v>
      </c>
      <c r="B2133" s="7" t="s">
        <v>12</v>
      </c>
      <c r="C2133" t="s">
        <v>2</v>
      </c>
    </row>
    <row r="2134" spans="1:3" x14ac:dyDescent="0.3">
      <c r="A2134" s="7" t="s">
        <v>2144</v>
      </c>
      <c r="B2134" s="7" t="s">
        <v>12</v>
      </c>
      <c r="C2134" t="s">
        <v>2</v>
      </c>
    </row>
    <row r="2135" spans="1:3" x14ac:dyDescent="0.3">
      <c r="A2135" s="7" t="s">
        <v>2145</v>
      </c>
      <c r="B2135" s="7" t="s">
        <v>12</v>
      </c>
      <c r="C2135" t="s">
        <v>2</v>
      </c>
    </row>
    <row r="2136" spans="1:3" x14ac:dyDescent="0.3">
      <c r="A2136" s="7" t="s">
        <v>2146</v>
      </c>
      <c r="B2136" s="7" t="s">
        <v>12</v>
      </c>
      <c r="C2136" t="s">
        <v>2</v>
      </c>
    </row>
    <row r="2137" spans="1:3" x14ac:dyDescent="0.3">
      <c r="A2137" s="7" t="s">
        <v>2147</v>
      </c>
      <c r="B2137" s="7" t="s">
        <v>12</v>
      </c>
      <c r="C2137" t="s">
        <v>2</v>
      </c>
    </row>
    <row r="2138" spans="1:3" x14ac:dyDescent="0.3">
      <c r="A2138" s="7" t="s">
        <v>2148</v>
      </c>
      <c r="B2138" s="7" t="s">
        <v>12</v>
      </c>
      <c r="C2138" t="s">
        <v>2</v>
      </c>
    </row>
    <row r="2139" spans="1:3" x14ac:dyDescent="0.3">
      <c r="A2139" s="7" t="s">
        <v>2149</v>
      </c>
      <c r="B2139" s="7" t="s">
        <v>12</v>
      </c>
      <c r="C2139" t="s">
        <v>2</v>
      </c>
    </row>
    <row r="2140" spans="1:3" x14ac:dyDescent="0.3">
      <c r="A2140" s="7" t="s">
        <v>2150</v>
      </c>
      <c r="B2140" s="7" t="s">
        <v>12</v>
      </c>
      <c r="C2140" t="s">
        <v>2</v>
      </c>
    </row>
    <row r="2141" spans="1:3" x14ac:dyDescent="0.3">
      <c r="A2141" s="7" t="s">
        <v>2151</v>
      </c>
      <c r="B2141" s="7" t="s">
        <v>12</v>
      </c>
      <c r="C2141" t="s">
        <v>2</v>
      </c>
    </row>
    <row r="2142" spans="1:3" x14ac:dyDescent="0.3">
      <c r="A2142" s="7" t="s">
        <v>2152</v>
      </c>
      <c r="B2142" s="7" t="s">
        <v>12</v>
      </c>
      <c r="C2142" t="s">
        <v>2</v>
      </c>
    </row>
    <row r="2143" spans="1:3" x14ac:dyDescent="0.3">
      <c r="A2143" s="7" t="s">
        <v>2153</v>
      </c>
      <c r="B2143" s="7" t="s">
        <v>12</v>
      </c>
      <c r="C2143" t="s">
        <v>2</v>
      </c>
    </row>
    <row r="2144" spans="1:3" x14ac:dyDescent="0.3">
      <c r="A2144" s="7" t="s">
        <v>2154</v>
      </c>
      <c r="B2144" s="7" t="s">
        <v>12</v>
      </c>
      <c r="C2144" t="s">
        <v>2</v>
      </c>
    </row>
    <row r="2145" spans="1:3" x14ac:dyDescent="0.3">
      <c r="A2145" s="7" t="s">
        <v>2155</v>
      </c>
      <c r="B2145" s="7" t="s">
        <v>12</v>
      </c>
      <c r="C2145" t="s">
        <v>2</v>
      </c>
    </row>
    <row r="2146" spans="1:3" x14ac:dyDescent="0.3">
      <c r="A2146" s="7" t="s">
        <v>2156</v>
      </c>
      <c r="B2146" s="7" t="s">
        <v>12</v>
      </c>
      <c r="C2146" t="s">
        <v>2</v>
      </c>
    </row>
    <row r="2147" spans="1:3" x14ac:dyDescent="0.3">
      <c r="A2147" s="7" t="s">
        <v>2157</v>
      </c>
      <c r="B2147" s="7" t="s">
        <v>12</v>
      </c>
      <c r="C2147" t="s">
        <v>2</v>
      </c>
    </row>
    <row r="2148" spans="1:3" x14ac:dyDescent="0.3">
      <c r="A2148" s="7" t="s">
        <v>2158</v>
      </c>
      <c r="B2148" s="7" t="s">
        <v>12</v>
      </c>
      <c r="C2148" t="s">
        <v>2</v>
      </c>
    </row>
    <row r="2149" spans="1:3" x14ac:dyDescent="0.3">
      <c r="A2149" s="7" t="s">
        <v>2159</v>
      </c>
      <c r="B2149" s="7" t="s">
        <v>12</v>
      </c>
      <c r="C2149" t="s">
        <v>2</v>
      </c>
    </row>
    <row r="2150" spans="1:3" x14ac:dyDescent="0.3">
      <c r="A2150" s="7" t="s">
        <v>2160</v>
      </c>
      <c r="B2150" s="7" t="s">
        <v>12</v>
      </c>
      <c r="C2150" t="s">
        <v>2</v>
      </c>
    </row>
    <row r="2151" spans="1:3" x14ac:dyDescent="0.3">
      <c r="A2151" s="7" t="s">
        <v>2161</v>
      </c>
      <c r="B2151" s="7" t="s">
        <v>12</v>
      </c>
      <c r="C2151" t="s">
        <v>2</v>
      </c>
    </row>
    <row r="2152" spans="1:3" x14ac:dyDescent="0.3">
      <c r="A2152" s="7" t="s">
        <v>2162</v>
      </c>
      <c r="B2152" s="7" t="s">
        <v>12</v>
      </c>
      <c r="C2152" t="s">
        <v>2</v>
      </c>
    </row>
    <row r="2153" spans="1:3" x14ac:dyDescent="0.3">
      <c r="A2153" s="7" t="s">
        <v>2163</v>
      </c>
      <c r="B2153" s="7" t="s">
        <v>12</v>
      </c>
      <c r="C2153" t="s">
        <v>2</v>
      </c>
    </row>
    <row r="2154" spans="1:3" x14ac:dyDescent="0.3">
      <c r="A2154" s="7" t="s">
        <v>2164</v>
      </c>
      <c r="B2154" s="7" t="s">
        <v>12</v>
      </c>
      <c r="C2154" t="s">
        <v>2</v>
      </c>
    </row>
    <row r="2155" spans="1:3" x14ac:dyDescent="0.3">
      <c r="A2155" s="7" t="s">
        <v>2165</v>
      </c>
      <c r="B2155" s="7" t="s">
        <v>12</v>
      </c>
      <c r="C2155" t="s">
        <v>2</v>
      </c>
    </row>
    <row r="2156" spans="1:3" x14ac:dyDescent="0.3">
      <c r="A2156" s="7" t="s">
        <v>2166</v>
      </c>
      <c r="B2156" s="7" t="s">
        <v>12</v>
      </c>
      <c r="C2156" t="s">
        <v>2</v>
      </c>
    </row>
    <row r="2157" spans="1:3" x14ac:dyDescent="0.3">
      <c r="A2157" s="7" t="s">
        <v>2167</v>
      </c>
      <c r="B2157" s="7" t="s">
        <v>12</v>
      </c>
      <c r="C2157" t="s">
        <v>2</v>
      </c>
    </row>
    <row r="2158" spans="1:3" x14ac:dyDescent="0.3">
      <c r="A2158" s="7" t="s">
        <v>2168</v>
      </c>
      <c r="B2158" s="7" t="s">
        <v>12</v>
      </c>
      <c r="C2158" t="s">
        <v>2</v>
      </c>
    </row>
    <row r="2159" spans="1:3" x14ac:dyDescent="0.3">
      <c r="A2159" s="7" t="s">
        <v>2169</v>
      </c>
      <c r="B2159" s="7" t="s">
        <v>12</v>
      </c>
      <c r="C2159" t="s">
        <v>3</v>
      </c>
    </row>
    <row r="2160" spans="1:3" x14ac:dyDescent="0.3">
      <c r="A2160" s="7" t="s">
        <v>2170</v>
      </c>
      <c r="B2160" s="7" t="s">
        <v>12</v>
      </c>
      <c r="C2160" t="s">
        <v>3</v>
      </c>
    </row>
    <row r="2161" spans="1:3" x14ac:dyDescent="0.3">
      <c r="A2161" s="7" t="s">
        <v>2171</v>
      </c>
      <c r="B2161" s="7" t="s">
        <v>12</v>
      </c>
      <c r="C2161" t="s">
        <v>3</v>
      </c>
    </row>
    <row r="2162" spans="1:3" x14ac:dyDescent="0.3">
      <c r="A2162" s="7" t="s">
        <v>2172</v>
      </c>
      <c r="B2162" s="7" t="s">
        <v>12</v>
      </c>
      <c r="C2162" t="s">
        <v>3</v>
      </c>
    </row>
    <row r="2163" spans="1:3" x14ac:dyDescent="0.3">
      <c r="A2163" s="7" t="s">
        <v>2173</v>
      </c>
      <c r="B2163" s="7" t="s">
        <v>12</v>
      </c>
      <c r="C2163" t="s">
        <v>3</v>
      </c>
    </row>
    <row r="2164" spans="1:3" x14ac:dyDescent="0.3">
      <c r="A2164" s="7" t="s">
        <v>2174</v>
      </c>
      <c r="B2164" s="7" t="s">
        <v>12</v>
      </c>
      <c r="C2164" t="s">
        <v>3</v>
      </c>
    </row>
    <row r="2165" spans="1:3" x14ac:dyDescent="0.3">
      <c r="A2165" s="7" t="s">
        <v>2175</v>
      </c>
      <c r="B2165" s="7" t="s">
        <v>12</v>
      </c>
      <c r="C2165" t="s">
        <v>3</v>
      </c>
    </row>
    <row r="2166" spans="1:3" x14ac:dyDescent="0.3">
      <c r="A2166" s="7" t="s">
        <v>2176</v>
      </c>
      <c r="B2166" s="7" t="s">
        <v>12</v>
      </c>
      <c r="C2166" t="s">
        <v>3</v>
      </c>
    </row>
    <row r="2167" spans="1:3" x14ac:dyDescent="0.3">
      <c r="A2167" s="7" t="s">
        <v>2177</v>
      </c>
      <c r="B2167" s="7" t="s">
        <v>12</v>
      </c>
      <c r="C2167" t="s">
        <v>3</v>
      </c>
    </row>
    <row r="2168" spans="1:3" x14ac:dyDescent="0.3">
      <c r="A2168" s="7" t="s">
        <v>2178</v>
      </c>
      <c r="B2168" s="7" t="s">
        <v>12</v>
      </c>
      <c r="C2168" t="s">
        <v>3</v>
      </c>
    </row>
    <row r="2169" spans="1:3" x14ac:dyDescent="0.3">
      <c r="A2169" s="7" t="s">
        <v>2179</v>
      </c>
      <c r="B2169" s="7" t="s">
        <v>12</v>
      </c>
      <c r="C2169" t="s">
        <v>3</v>
      </c>
    </row>
    <row r="2170" spans="1:3" x14ac:dyDescent="0.3">
      <c r="A2170" s="7" t="s">
        <v>2180</v>
      </c>
      <c r="B2170" s="7" t="s">
        <v>12</v>
      </c>
      <c r="C2170" t="s">
        <v>3</v>
      </c>
    </row>
    <row r="2171" spans="1:3" x14ac:dyDescent="0.3">
      <c r="A2171" s="7" t="s">
        <v>2181</v>
      </c>
      <c r="B2171" s="7" t="s">
        <v>12</v>
      </c>
      <c r="C2171" t="s">
        <v>3</v>
      </c>
    </row>
    <row r="2172" spans="1:3" x14ac:dyDescent="0.3">
      <c r="A2172" s="7" t="s">
        <v>2182</v>
      </c>
      <c r="B2172" s="7" t="s">
        <v>12</v>
      </c>
      <c r="C2172" t="s">
        <v>2</v>
      </c>
    </row>
    <row r="2173" spans="1:3" x14ac:dyDescent="0.3">
      <c r="A2173" s="7" t="s">
        <v>2183</v>
      </c>
      <c r="B2173" s="7" t="s">
        <v>12</v>
      </c>
      <c r="C2173" t="s">
        <v>2</v>
      </c>
    </row>
    <row r="2174" spans="1:3" x14ac:dyDescent="0.3">
      <c r="A2174" s="7" t="s">
        <v>2184</v>
      </c>
      <c r="B2174" s="7" t="s">
        <v>12</v>
      </c>
      <c r="C2174" t="s">
        <v>2</v>
      </c>
    </row>
    <row r="2175" spans="1:3" x14ac:dyDescent="0.3">
      <c r="A2175" s="7" t="s">
        <v>2185</v>
      </c>
      <c r="B2175" s="7" t="s">
        <v>12</v>
      </c>
      <c r="C2175" t="s">
        <v>2</v>
      </c>
    </row>
    <row r="2176" spans="1:3" x14ac:dyDescent="0.3">
      <c r="A2176" s="7" t="s">
        <v>2186</v>
      </c>
      <c r="B2176" s="7" t="s">
        <v>12</v>
      </c>
      <c r="C2176" t="s">
        <v>2</v>
      </c>
    </row>
    <row r="2177" spans="1:3" x14ac:dyDescent="0.3">
      <c r="A2177" s="7" t="s">
        <v>2187</v>
      </c>
      <c r="B2177" s="7" t="s">
        <v>12</v>
      </c>
      <c r="C2177" t="s">
        <v>2</v>
      </c>
    </row>
    <row r="2178" spans="1:3" x14ac:dyDescent="0.3">
      <c r="A2178" s="7" t="s">
        <v>2188</v>
      </c>
      <c r="B2178" s="7" t="s">
        <v>12</v>
      </c>
      <c r="C2178" t="s">
        <v>2</v>
      </c>
    </row>
    <row r="2179" spans="1:3" x14ac:dyDescent="0.3">
      <c r="A2179" s="7" t="s">
        <v>2189</v>
      </c>
      <c r="B2179" s="7" t="s">
        <v>12</v>
      </c>
      <c r="C2179" t="s">
        <v>2</v>
      </c>
    </row>
    <row r="2180" spans="1:3" x14ac:dyDescent="0.3">
      <c r="A2180" s="7" t="s">
        <v>2190</v>
      </c>
      <c r="B2180" s="7" t="s">
        <v>12</v>
      </c>
      <c r="C2180" t="s">
        <v>2</v>
      </c>
    </row>
    <row r="2181" spans="1:3" x14ac:dyDescent="0.3">
      <c r="A2181" s="7" t="s">
        <v>2191</v>
      </c>
      <c r="B2181" s="7" t="s">
        <v>12</v>
      </c>
      <c r="C2181" t="s">
        <v>2</v>
      </c>
    </row>
    <row r="2182" spans="1:3" x14ac:dyDescent="0.3">
      <c r="A2182" s="7" t="s">
        <v>2192</v>
      </c>
      <c r="B2182" s="7" t="s">
        <v>12</v>
      </c>
      <c r="C2182" t="s">
        <v>2</v>
      </c>
    </row>
    <row r="2183" spans="1:3" x14ac:dyDescent="0.3">
      <c r="A2183" s="7" t="s">
        <v>2193</v>
      </c>
      <c r="B2183" s="7" t="s">
        <v>12</v>
      </c>
      <c r="C2183" t="s">
        <v>2</v>
      </c>
    </row>
    <row r="2184" spans="1:3" x14ac:dyDescent="0.3">
      <c r="A2184" s="7" t="s">
        <v>2194</v>
      </c>
      <c r="B2184" s="7" t="s">
        <v>12</v>
      </c>
      <c r="C2184" t="s">
        <v>2</v>
      </c>
    </row>
    <row r="2185" spans="1:3" x14ac:dyDescent="0.3">
      <c r="A2185" s="7" t="s">
        <v>2195</v>
      </c>
      <c r="B2185" s="7" t="s">
        <v>12</v>
      </c>
      <c r="C2185" t="s">
        <v>2</v>
      </c>
    </row>
    <row r="2186" spans="1:3" x14ac:dyDescent="0.3">
      <c r="A2186" s="7" t="s">
        <v>2196</v>
      </c>
      <c r="B2186" s="7" t="s">
        <v>12</v>
      </c>
      <c r="C2186" t="s">
        <v>2</v>
      </c>
    </row>
    <row r="2187" spans="1:3" x14ac:dyDescent="0.3">
      <c r="A2187" s="7" t="s">
        <v>2197</v>
      </c>
      <c r="B2187" s="7" t="s">
        <v>12</v>
      </c>
      <c r="C2187" t="s">
        <v>2</v>
      </c>
    </row>
    <row r="2188" spans="1:3" x14ac:dyDescent="0.3">
      <c r="A2188" s="7" t="s">
        <v>2198</v>
      </c>
      <c r="B2188" s="7" t="s">
        <v>12</v>
      </c>
      <c r="C2188" t="s">
        <v>2</v>
      </c>
    </row>
    <row r="2189" spans="1:3" x14ac:dyDescent="0.3">
      <c r="A2189" s="7" t="s">
        <v>2199</v>
      </c>
      <c r="B2189" s="7" t="s">
        <v>12</v>
      </c>
      <c r="C2189" t="s">
        <v>2</v>
      </c>
    </row>
    <row r="2190" spans="1:3" x14ac:dyDescent="0.3">
      <c r="A2190" s="7" t="s">
        <v>2200</v>
      </c>
      <c r="B2190" s="7" t="s">
        <v>12</v>
      </c>
      <c r="C2190" t="s">
        <v>2</v>
      </c>
    </row>
    <row r="2191" spans="1:3" x14ac:dyDescent="0.3">
      <c r="A2191" s="7" t="s">
        <v>2201</v>
      </c>
      <c r="B2191" s="7" t="s">
        <v>12</v>
      </c>
      <c r="C2191" t="s">
        <v>2</v>
      </c>
    </row>
    <row r="2192" spans="1:3" x14ac:dyDescent="0.3">
      <c r="A2192" s="7" t="s">
        <v>2202</v>
      </c>
      <c r="B2192" s="7" t="s">
        <v>12</v>
      </c>
      <c r="C2192" t="s">
        <v>2</v>
      </c>
    </row>
    <row r="2193" spans="1:3" x14ac:dyDescent="0.3">
      <c r="A2193" s="7" t="s">
        <v>2203</v>
      </c>
      <c r="B2193" s="7" t="s">
        <v>12</v>
      </c>
      <c r="C2193" t="s">
        <v>2</v>
      </c>
    </row>
    <row r="2194" spans="1:3" x14ac:dyDescent="0.3">
      <c r="A2194" s="7" t="s">
        <v>2204</v>
      </c>
      <c r="B2194" s="7" t="s">
        <v>12</v>
      </c>
      <c r="C2194" t="s">
        <v>2</v>
      </c>
    </row>
    <row r="2195" spans="1:3" x14ac:dyDescent="0.3">
      <c r="A2195" s="7" t="s">
        <v>2205</v>
      </c>
      <c r="B2195" s="7" t="s">
        <v>12</v>
      </c>
      <c r="C2195" t="s">
        <v>2</v>
      </c>
    </row>
    <row r="2196" spans="1:3" x14ac:dyDescent="0.3">
      <c r="A2196" s="7" t="s">
        <v>2206</v>
      </c>
      <c r="B2196" s="7" t="s">
        <v>12</v>
      </c>
      <c r="C2196" t="s">
        <v>2</v>
      </c>
    </row>
    <row r="2197" spans="1:3" x14ac:dyDescent="0.3">
      <c r="A2197" s="7" t="s">
        <v>2207</v>
      </c>
      <c r="B2197" s="7" t="s">
        <v>12</v>
      </c>
      <c r="C2197" t="s">
        <v>2</v>
      </c>
    </row>
    <row r="2198" spans="1:3" x14ac:dyDescent="0.3">
      <c r="A2198" s="7" t="s">
        <v>2208</v>
      </c>
      <c r="B2198" s="7" t="s">
        <v>12</v>
      </c>
      <c r="C2198" t="s">
        <v>2</v>
      </c>
    </row>
    <row r="2199" spans="1:3" x14ac:dyDescent="0.3">
      <c r="A2199" s="7" t="s">
        <v>2209</v>
      </c>
      <c r="B2199" s="7" t="s">
        <v>12</v>
      </c>
      <c r="C2199" t="s">
        <v>2</v>
      </c>
    </row>
    <row r="2200" spans="1:3" x14ac:dyDescent="0.3">
      <c r="A2200" s="7" t="s">
        <v>2210</v>
      </c>
      <c r="B2200" s="7" t="s">
        <v>12</v>
      </c>
      <c r="C2200" t="s">
        <v>2</v>
      </c>
    </row>
    <row r="2201" spans="1:3" x14ac:dyDescent="0.3">
      <c r="A2201" s="7" t="s">
        <v>2211</v>
      </c>
      <c r="B2201" s="7" t="s">
        <v>12</v>
      </c>
      <c r="C2201" t="s">
        <v>2</v>
      </c>
    </row>
    <row r="2202" spans="1:3" x14ac:dyDescent="0.3">
      <c r="A2202" s="7" t="s">
        <v>2212</v>
      </c>
      <c r="B2202" s="7" t="s">
        <v>12</v>
      </c>
      <c r="C2202" t="s">
        <v>2</v>
      </c>
    </row>
    <row r="2203" spans="1:3" x14ac:dyDescent="0.3">
      <c r="A2203" s="7" t="s">
        <v>2213</v>
      </c>
      <c r="B2203" s="7" t="s">
        <v>12</v>
      </c>
      <c r="C2203" t="s">
        <v>2</v>
      </c>
    </row>
    <row r="2204" spans="1:3" x14ac:dyDescent="0.3">
      <c r="A2204" s="7" t="s">
        <v>2214</v>
      </c>
      <c r="B2204" s="7" t="s">
        <v>12</v>
      </c>
      <c r="C2204" t="s">
        <v>2</v>
      </c>
    </row>
    <row r="2205" spans="1:3" x14ac:dyDescent="0.3">
      <c r="A2205" s="7" t="s">
        <v>2215</v>
      </c>
      <c r="B2205" s="7" t="s">
        <v>12</v>
      </c>
      <c r="C2205" t="s">
        <v>2</v>
      </c>
    </row>
    <row r="2206" spans="1:3" x14ac:dyDescent="0.3">
      <c r="A2206" s="7" t="s">
        <v>2216</v>
      </c>
      <c r="B2206" s="7" t="s">
        <v>12</v>
      </c>
      <c r="C2206" t="s">
        <v>2</v>
      </c>
    </row>
    <row r="2207" spans="1:3" x14ac:dyDescent="0.3">
      <c r="A2207" s="7" t="s">
        <v>2217</v>
      </c>
      <c r="B2207" s="7" t="s">
        <v>12</v>
      </c>
      <c r="C2207" t="s">
        <v>2</v>
      </c>
    </row>
    <row r="2208" spans="1:3" x14ac:dyDescent="0.3">
      <c r="A2208" s="7" t="s">
        <v>2218</v>
      </c>
      <c r="B2208" s="7" t="s">
        <v>12</v>
      </c>
      <c r="C2208" t="s">
        <v>2</v>
      </c>
    </row>
    <row r="2209" spans="1:3" x14ac:dyDescent="0.3">
      <c r="A2209" s="7" t="s">
        <v>2219</v>
      </c>
      <c r="B2209" s="7" t="s">
        <v>12</v>
      </c>
      <c r="C2209" t="s">
        <v>2</v>
      </c>
    </row>
    <row r="2210" spans="1:3" x14ac:dyDescent="0.3">
      <c r="A2210" s="7" t="s">
        <v>2220</v>
      </c>
      <c r="B2210" s="7" t="s">
        <v>12</v>
      </c>
      <c r="C2210" t="s">
        <v>2</v>
      </c>
    </row>
    <row r="2211" spans="1:3" x14ac:dyDescent="0.3">
      <c r="A2211" s="7" t="s">
        <v>2221</v>
      </c>
      <c r="B2211" s="7" t="s">
        <v>12</v>
      </c>
      <c r="C2211" t="s">
        <v>2</v>
      </c>
    </row>
    <row r="2212" spans="1:3" x14ac:dyDescent="0.3">
      <c r="A2212" s="7" t="s">
        <v>2222</v>
      </c>
      <c r="B2212" s="7" t="s">
        <v>12</v>
      </c>
      <c r="C2212" t="s">
        <v>2</v>
      </c>
    </row>
    <row r="2213" spans="1:3" x14ac:dyDescent="0.3">
      <c r="A2213" s="7" t="s">
        <v>2223</v>
      </c>
      <c r="B2213" s="7" t="s">
        <v>12</v>
      </c>
      <c r="C2213" t="s">
        <v>2</v>
      </c>
    </row>
    <row r="2214" spans="1:3" x14ac:dyDescent="0.3">
      <c r="A2214" s="7" t="s">
        <v>2224</v>
      </c>
      <c r="B2214" s="7" t="s">
        <v>12</v>
      </c>
      <c r="C2214" t="s">
        <v>2</v>
      </c>
    </row>
    <row r="2215" spans="1:3" x14ac:dyDescent="0.3">
      <c r="A2215" s="7" t="s">
        <v>2225</v>
      </c>
      <c r="B2215" s="7" t="s">
        <v>12</v>
      </c>
      <c r="C2215" t="s">
        <v>2</v>
      </c>
    </row>
    <row r="2216" spans="1:3" x14ac:dyDescent="0.3">
      <c r="A2216" s="7" t="s">
        <v>2226</v>
      </c>
      <c r="B2216" s="7" t="s">
        <v>12</v>
      </c>
      <c r="C2216" t="s">
        <v>2</v>
      </c>
    </row>
    <row r="2217" spans="1:3" x14ac:dyDescent="0.3">
      <c r="A2217" s="7" t="s">
        <v>2227</v>
      </c>
      <c r="B2217" s="7" t="s">
        <v>12</v>
      </c>
      <c r="C2217" t="s">
        <v>2</v>
      </c>
    </row>
    <row r="2218" spans="1:3" x14ac:dyDescent="0.3">
      <c r="A2218" s="7" t="s">
        <v>2228</v>
      </c>
      <c r="B2218" s="7" t="s">
        <v>12</v>
      </c>
      <c r="C2218" t="s">
        <v>2</v>
      </c>
    </row>
    <row r="2219" spans="1:3" x14ac:dyDescent="0.3">
      <c r="A2219" s="7" t="s">
        <v>2229</v>
      </c>
      <c r="B2219" s="7" t="s">
        <v>12</v>
      </c>
      <c r="C2219" t="s">
        <v>2</v>
      </c>
    </row>
    <row r="2220" spans="1:3" x14ac:dyDescent="0.3">
      <c r="A2220" s="7" t="s">
        <v>2230</v>
      </c>
      <c r="B2220" s="7" t="s">
        <v>12</v>
      </c>
      <c r="C2220" t="s">
        <v>2</v>
      </c>
    </row>
    <row r="2221" spans="1:3" x14ac:dyDescent="0.3">
      <c r="A2221" s="7" t="s">
        <v>2231</v>
      </c>
      <c r="B2221" s="7" t="s">
        <v>12</v>
      </c>
      <c r="C2221" t="s">
        <v>2</v>
      </c>
    </row>
    <row r="2222" spans="1:3" x14ac:dyDescent="0.3">
      <c r="A2222" s="7" t="s">
        <v>2232</v>
      </c>
      <c r="B2222" s="7" t="s">
        <v>12</v>
      </c>
      <c r="C2222" t="s">
        <v>2</v>
      </c>
    </row>
    <row r="2223" spans="1:3" x14ac:dyDescent="0.3">
      <c r="A2223" s="7" t="s">
        <v>2233</v>
      </c>
      <c r="B2223" s="7" t="s">
        <v>12</v>
      </c>
      <c r="C2223" t="s">
        <v>3</v>
      </c>
    </row>
    <row r="2224" spans="1:3" x14ac:dyDescent="0.3">
      <c r="A2224" s="7" t="s">
        <v>2234</v>
      </c>
      <c r="B2224" s="7" t="s">
        <v>12</v>
      </c>
      <c r="C2224" t="s">
        <v>3</v>
      </c>
    </row>
    <row r="2225" spans="1:3" x14ac:dyDescent="0.3">
      <c r="A2225" s="7" t="s">
        <v>2235</v>
      </c>
      <c r="B2225" s="7" t="s">
        <v>12</v>
      </c>
      <c r="C2225" t="s">
        <v>3</v>
      </c>
    </row>
    <row r="2226" spans="1:3" x14ac:dyDescent="0.3">
      <c r="A2226" s="7" t="s">
        <v>2236</v>
      </c>
      <c r="B2226" s="7" t="s">
        <v>12</v>
      </c>
      <c r="C2226" t="s">
        <v>3</v>
      </c>
    </row>
    <row r="2227" spans="1:3" x14ac:dyDescent="0.3">
      <c r="A2227" s="7" t="s">
        <v>2237</v>
      </c>
      <c r="B2227" s="7" t="s">
        <v>12</v>
      </c>
      <c r="C2227" t="s">
        <v>3</v>
      </c>
    </row>
    <row r="2228" spans="1:3" x14ac:dyDescent="0.3">
      <c r="A2228" s="7" t="s">
        <v>2238</v>
      </c>
      <c r="B2228" s="7" t="s">
        <v>12</v>
      </c>
      <c r="C2228" t="s">
        <v>2</v>
      </c>
    </row>
    <row r="2229" spans="1:3" x14ac:dyDescent="0.3">
      <c r="A2229" s="7" t="s">
        <v>2239</v>
      </c>
      <c r="B2229" s="7" t="s">
        <v>12</v>
      </c>
      <c r="C2229" t="s">
        <v>2</v>
      </c>
    </row>
    <row r="2230" spans="1:3" x14ac:dyDescent="0.3">
      <c r="A2230" s="7" t="s">
        <v>2240</v>
      </c>
      <c r="B2230" s="7" t="s">
        <v>12</v>
      </c>
      <c r="C2230" t="s">
        <v>2</v>
      </c>
    </row>
    <row r="2231" spans="1:3" x14ac:dyDescent="0.3">
      <c r="A2231" s="7" t="s">
        <v>2241</v>
      </c>
      <c r="B2231" s="7" t="s">
        <v>12</v>
      </c>
      <c r="C2231" t="s">
        <v>2</v>
      </c>
    </row>
    <row r="2232" spans="1:3" x14ac:dyDescent="0.3">
      <c r="A2232" s="7" t="s">
        <v>2242</v>
      </c>
      <c r="B2232" s="7" t="s">
        <v>12</v>
      </c>
      <c r="C2232" t="s">
        <v>2</v>
      </c>
    </row>
    <row r="2233" spans="1:3" x14ac:dyDescent="0.3">
      <c r="A2233" s="7" t="s">
        <v>2243</v>
      </c>
      <c r="B2233" s="7" t="s">
        <v>12</v>
      </c>
      <c r="C2233" t="s">
        <v>2</v>
      </c>
    </row>
    <row r="2234" spans="1:3" x14ac:dyDescent="0.3">
      <c r="A2234" s="7" t="s">
        <v>2244</v>
      </c>
      <c r="B2234" s="7" t="s">
        <v>12</v>
      </c>
      <c r="C2234" t="s">
        <v>2</v>
      </c>
    </row>
    <row r="2235" spans="1:3" x14ac:dyDescent="0.3">
      <c r="A2235" s="7" t="s">
        <v>2245</v>
      </c>
      <c r="B2235" s="7" t="s">
        <v>12</v>
      </c>
      <c r="C2235" t="s">
        <v>3678</v>
      </c>
    </row>
    <row r="2236" spans="1:3" x14ac:dyDescent="0.3">
      <c r="A2236" s="7" t="s">
        <v>2246</v>
      </c>
      <c r="B2236" s="7" t="s">
        <v>12</v>
      </c>
      <c r="C2236" t="s">
        <v>3678</v>
      </c>
    </row>
    <row r="2237" spans="1:3" x14ac:dyDescent="0.3">
      <c r="A2237" s="7" t="s">
        <v>2247</v>
      </c>
      <c r="B2237" s="7" t="s">
        <v>12</v>
      </c>
      <c r="C2237" t="s">
        <v>3678</v>
      </c>
    </row>
    <row r="2238" spans="1:3" x14ac:dyDescent="0.3">
      <c r="A2238" s="7" t="s">
        <v>2248</v>
      </c>
      <c r="B2238" s="7" t="s">
        <v>12</v>
      </c>
      <c r="C2238" t="s">
        <v>3678</v>
      </c>
    </row>
    <row r="2239" spans="1:3" x14ac:dyDescent="0.3">
      <c r="A2239" s="7" t="s">
        <v>2249</v>
      </c>
      <c r="B2239" s="7" t="s">
        <v>12</v>
      </c>
      <c r="C2239" t="s">
        <v>3678</v>
      </c>
    </row>
    <row r="2240" spans="1:3" x14ac:dyDescent="0.3">
      <c r="A2240" s="7" t="s">
        <v>2250</v>
      </c>
      <c r="B2240" s="7" t="s">
        <v>12</v>
      </c>
      <c r="C2240" t="s">
        <v>2</v>
      </c>
    </row>
    <row r="2241" spans="1:3" x14ac:dyDescent="0.3">
      <c r="A2241" s="7" t="s">
        <v>2251</v>
      </c>
      <c r="B2241" s="7" t="s">
        <v>12</v>
      </c>
      <c r="C2241" t="s">
        <v>2</v>
      </c>
    </row>
    <row r="2242" spans="1:3" x14ac:dyDescent="0.3">
      <c r="A2242" s="7" t="s">
        <v>2252</v>
      </c>
      <c r="B2242" s="7" t="s">
        <v>12</v>
      </c>
      <c r="C2242" t="s">
        <v>2</v>
      </c>
    </row>
    <row r="2243" spans="1:3" x14ac:dyDescent="0.3">
      <c r="A2243" s="7" t="s">
        <v>2253</v>
      </c>
      <c r="B2243" s="7" t="s">
        <v>12</v>
      </c>
      <c r="C2243" t="s">
        <v>2</v>
      </c>
    </row>
    <row r="2244" spans="1:3" x14ac:dyDescent="0.3">
      <c r="A2244" s="7" t="s">
        <v>2254</v>
      </c>
      <c r="B2244" s="7" t="s">
        <v>12</v>
      </c>
      <c r="C2244" t="s">
        <v>2</v>
      </c>
    </row>
    <row r="2245" spans="1:3" x14ac:dyDescent="0.3">
      <c r="A2245" s="7" t="s">
        <v>2255</v>
      </c>
      <c r="B2245" s="7" t="s">
        <v>12</v>
      </c>
      <c r="C2245" t="s">
        <v>2</v>
      </c>
    </row>
    <row r="2246" spans="1:3" x14ac:dyDescent="0.3">
      <c r="A2246" s="7" t="s">
        <v>2256</v>
      </c>
      <c r="B2246" s="7" t="s">
        <v>12</v>
      </c>
      <c r="C2246" t="s">
        <v>2</v>
      </c>
    </row>
    <row r="2247" spans="1:3" x14ac:dyDescent="0.3">
      <c r="A2247" s="7" t="s">
        <v>2257</v>
      </c>
      <c r="B2247" s="7" t="s">
        <v>12</v>
      </c>
      <c r="C2247" t="s">
        <v>2</v>
      </c>
    </row>
    <row r="2248" spans="1:3" x14ac:dyDescent="0.3">
      <c r="A2248" s="7" t="s">
        <v>2258</v>
      </c>
      <c r="B2248" s="7" t="s">
        <v>12</v>
      </c>
      <c r="C2248" t="s">
        <v>2</v>
      </c>
    </row>
    <row r="2249" spans="1:3" x14ac:dyDescent="0.3">
      <c r="A2249" s="7" t="s">
        <v>2259</v>
      </c>
      <c r="B2249" s="7" t="s">
        <v>12</v>
      </c>
      <c r="C2249" t="s">
        <v>2</v>
      </c>
    </row>
    <row r="2250" spans="1:3" x14ac:dyDescent="0.3">
      <c r="A2250" s="7" t="s">
        <v>2260</v>
      </c>
      <c r="B2250" s="7" t="s">
        <v>12</v>
      </c>
      <c r="C2250" t="s">
        <v>2</v>
      </c>
    </row>
    <row r="2251" spans="1:3" x14ac:dyDescent="0.3">
      <c r="A2251" s="7" t="s">
        <v>2261</v>
      </c>
      <c r="B2251" s="7" t="s">
        <v>12</v>
      </c>
      <c r="C2251" t="s">
        <v>2</v>
      </c>
    </row>
    <row r="2252" spans="1:3" x14ac:dyDescent="0.3">
      <c r="A2252" s="7" t="s">
        <v>2262</v>
      </c>
      <c r="B2252" s="7" t="s">
        <v>12</v>
      </c>
      <c r="C2252" t="s">
        <v>2</v>
      </c>
    </row>
    <row r="2253" spans="1:3" x14ac:dyDescent="0.3">
      <c r="A2253" s="7" t="s">
        <v>2263</v>
      </c>
      <c r="B2253" s="7" t="s">
        <v>12</v>
      </c>
      <c r="C2253" t="s">
        <v>2</v>
      </c>
    </row>
    <row r="2254" spans="1:3" x14ac:dyDescent="0.3">
      <c r="A2254" s="7" t="s">
        <v>2264</v>
      </c>
      <c r="B2254" s="7" t="s">
        <v>12</v>
      </c>
      <c r="C2254" t="s">
        <v>2</v>
      </c>
    </row>
    <row r="2255" spans="1:3" x14ac:dyDescent="0.3">
      <c r="A2255" s="7" t="s">
        <v>2265</v>
      </c>
      <c r="B2255" s="7" t="s">
        <v>12</v>
      </c>
      <c r="C2255" t="s">
        <v>2</v>
      </c>
    </row>
    <row r="2256" spans="1:3" x14ac:dyDescent="0.3">
      <c r="A2256" s="7" t="s">
        <v>2266</v>
      </c>
      <c r="B2256" s="7" t="s">
        <v>12</v>
      </c>
      <c r="C2256" t="s">
        <v>2</v>
      </c>
    </row>
    <row r="2257" spans="1:3" x14ac:dyDescent="0.3">
      <c r="A2257" s="7" t="s">
        <v>2267</v>
      </c>
      <c r="B2257" s="7" t="s">
        <v>12</v>
      </c>
      <c r="C2257" t="s">
        <v>2</v>
      </c>
    </row>
    <row r="2258" spans="1:3" x14ac:dyDescent="0.3">
      <c r="A2258" s="7" t="s">
        <v>2268</v>
      </c>
      <c r="B2258" s="7" t="s">
        <v>12</v>
      </c>
      <c r="C2258" t="s">
        <v>2</v>
      </c>
    </row>
    <row r="2259" spans="1:3" x14ac:dyDescent="0.3">
      <c r="A2259" s="7" t="s">
        <v>2269</v>
      </c>
      <c r="B2259" s="7" t="s">
        <v>12</v>
      </c>
      <c r="C2259" t="s">
        <v>2</v>
      </c>
    </row>
    <row r="2260" spans="1:3" x14ac:dyDescent="0.3">
      <c r="A2260" s="7" t="s">
        <v>2270</v>
      </c>
      <c r="B2260" s="7" t="s">
        <v>12</v>
      </c>
      <c r="C2260" t="s">
        <v>2</v>
      </c>
    </row>
    <row r="2261" spans="1:3" x14ac:dyDescent="0.3">
      <c r="A2261" s="7" t="s">
        <v>2271</v>
      </c>
      <c r="B2261" s="7" t="s">
        <v>12</v>
      </c>
      <c r="C2261" t="s">
        <v>2</v>
      </c>
    </row>
    <row r="2262" spans="1:3" x14ac:dyDescent="0.3">
      <c r="A2262" s="7" t="s">
        <v>2272</v>
      </c>
      <c r="B2262" s="7" t="s">
        <v>12</v>
      </c>
      <c r="C2262" t="s">
        <v>2</v>
      </c>
    </row>
    <row r="2263" spans="1:3" x14ac:dyDescent="0.3">
      <c r="A2263" s="7" t="s">
        <v>2273</v>
      </c>
      <c r="B2263" s="7" t="s">
        <v>12</v>
      </c>
      <c r="C2263" t="s">
        <v>2</v>
      </c>
    </row>
    <row r="2264" spans="1:3" x14ac:dyDescent="0.3">
      <c r="A2264" s="7" t="s">
        <v>2274</v>
      </c>
      <c r="B2264" s="7" t="s">
        <v>12</v>
      </c>
      <c r="C2264" t="s">
        <v>2</v>
      </c>
    </row>
    <row r="2265" spans="1:3" x14ac:dyDescent="0.3">
      <c r="A2265" s="7" t="s">
        <v>2275</v>
      </c>
      <c r="B2265" s="7" t="s">
        <v>12</v>
      </c>
      <c r="C2265" t="s">
        <v>2</v>
      </c>
    </row>
    <row r="2266" spans="1:3" x14ac:dyDescent="0.3">
      <c r="A2266" s="7" t="s">
        <v>2276</v>
      </c>
      <c r="B2266" s="7" t="s">
        <v>12</v>
      </c>
      <c r="C2266" t="s">
        <v>2</v>
      </c>
    </row>
    <row r="2267" spans="1:3" x14ac:dyDescent="0.3">
      <c r="A2267" s="7" t="s">
        <v>2277</v>
      </c>
      <c r="B2267" s="7" t="s">
        <v>12</v>
      </c>
      <c r="C2267" t="s">
        <v>2</v>
      </c>
    </row>
    <row r="2268" spans="1:3" x14ac:dyDescent="0.3">
      <c r="A2268" s="7" t="s">
        <v>2278</v>
      </c>
      <c r="B2268" s="7" t="s">
        <v>12</v>
      </c>
      <c r="C2268" t="s">
        <v>2</v>
      </c>
    </row>
    <row r="2269" spans="1:3" x14ac:dyDescent="0.3">
      <c r="A2269" s="7" t="s">
        <v>2279</v>
      </c>
      <c r="B2269" s="7" t="s">
        <v>12</v>
      </c>
      <c r="C2269" t="s">
        <v>2</v>
      </c>
    </row>
    <row r="2270" spans="1:3" x14ac:dyDescent="0.3">
      <c r="A2270" s="7" t="s">
        <v>2280</v>
      </c>
      <c r="B2270" s="7" t="s">
        <v>12</v>
      </c>
      <c r="C2270" t="s">
        <v>2</v>
      </c>
    </row>
    <row r="2271" spans="1:3" x14ac:dyDescent="0.3">
      <c r="A2271" s="7" t="s">
        <v>2281</v>
      </c>
      <c r="B2271" s="7" t="s">
        <v>12</v>
      </c>
      <c r="C2271" t="s">
        <v>2</v>
      </c>
    </row>
    <row r="2272" spans="1:3" x14ac:dyDescent="0.3">
      <c r="A2272" s="7" t="s">
        <v>2282</v>
      </c>
      <c r="B2272" s="7" t="s">
        <v>12</v>
      </c>
      <c r="C2272" t="s">
        <v>2</v>
      </c>
    </row>
    <row r="2273" spans="1:3" x14ac:dyDescent="0.3">
      <c r="A2273" s="7" t="s">
        <v>2283</v>
      </c>
      <c r="B2273" s="7" t="s">
        <v>12</v>
      </c>
      <c r="C2273" t="s">
        <v>2</v>
      </c>
    </row>
    <row r="2274" spans="1:3" x14ac:dyDescent="0.3">
      <c r="A2274" s="7" t="s">
        <v>2284</v>
      </c>
      <c r="B2274" s="7" t="s">
        <v>12</v>
      </c>
      <c r="C2274" t="s">
        <v>2</v>
      </c>
    </row>
    <row r="2275" spans="1:3" x14ac:dyDescent="0.3">
      <c r="A2275" s="7" t="s">
        <v>2285</v>
      </c>
      <c r="B2275" s="7" t="s">
        <v>12</v>
      </c>
      <c r="C2275" t="s">
        <v>2</v>
      </c>
    </row>
    <row r="2276" spans="1:3" x14ac:dyDescent="0.3">
      <c r="A2276" s="7" t="s">
        <v>2286</v>
      </c>
      <c r="B2276" s="7" t="s">
        <v>12</v>
      </c>
      <c r="C2276" t="s">
        <v>2</v>
      </c>
    </row>
    <row r="2277" spans="1:3" x14ac:dyDescent="0.3">
      <c r="A2277" s="7" t="s">
        <v>2287</v>
      </c>
      <c r="B2277" s="7" t="s">
        <v>12</v>
      </c>
      <c r="C2277" t="s">
        <v>2</v>
      </c>
    </row>
    <row r="2278" spans="1:3" x14ac:dyDescent="0.3">
      <c r="A2278" s="7" t="s">
        <v>2288</v>
      </c>
      <c r="B2278" s="7" t="s">
        <v>12</v>
      </c>
      <c r="C2278" t="s">
        <v>2</v>
      </c>
    </row>
    <row r="2279" spans="1:3" x14ac:dyDescent="0.3">
      <c r="A2279" s="7" t="s">
        <v>2289</v>
      </c>
      <c r="B2279" s="7" t="s">
        <v>12</v>
      </c>
      <c r="C2279" t="s">
        <v>2</v>
      </c>
    </row>
    <row r="2280" spans="1:3" x14ac:dyDescent="0.3">
      <c r="A2280" s="7" t="s">
        <v>2290</v>
      </c>
      <c r="B2280" s="7" t="s">
        <v>12</v>
      </c>
      <c r="C2280" t="s">
        <v>2</v>
      </c>
    </row>
    <row r="2281" spans="1:3" x14ac:dyDescent="0.3">
      <c r="A2281" s="7" t="s">
        <v>2291</v>
      </c>
      <c r="B2281" s="7" t="s">
        <v>12</v>
      </c>
      <c r="C2281" t="s">
        <v>2</v>
      </c>
    </row>
    <row r="2282" spans="1:3" x14ac:dyDescent="0.3">
      <c r="A2282" s="7" t="s">
        <v>2292</v>
      </c>
      <c r="B2282" s="7" t="s">
        <v>12</v>
      </c>
      <c r="C2282" t="s">
        <v>2</v>
      </c>
    </row>
    <row r="2283" spans="1:3" x14ac:dyDescent="0.3">
      <c r="A2283" s="7" t="s">
        <v>2293</v>
      </c>
      <c r="B2283" s="7" t="s">
        <v>12</v>
      </c>
      <c r="C2283" t="s">
        <v>2</v>
      </c>
    </row>
    <row r="2284" spans="1:3" x14ac:dyDescent="0.3">
      <c r="A2284" s="7" t="s">
        <v>2294</v>
      </c>
      <c r="B2284" s="7" t="s">
        <v>12</v>
      </c>
      <c r="C2284" t="s">
        <v>2</v>
      </c>
    </row>
    <row r="2285" spans="1:3" x14ac:dyDescent="0.3">
      <c r="A2285" s="7" t="s">
        <v>2295</v>
      </c>
      <c r="B2285" s="7" t="s">
        <v>12</v>
      </c>
      <c r="C2285" t="s">
        <v>2</v>
      </c>
    </row>
    <row r="2286" spans="1:3" x14ac:dyDescent="0.3">
      <c r="A2286" s="7" t="s">
        <v>2296</v>
      </c>
      <c r="B2286" s="7" t="s">
        <v>12</v>
      </c>
      <c r="C2286" t="s">
        <v>2</v>
      </c>
    </row>
    <row r="2287" spans="1:3" x14ac:dyDescent="0.3">
      <c r="A2287" s="7" t="s">
        <v>2297</v>
      </c>
      <c r="B2287" s="7" t="s">
        <v>12</v>
      </c>
      <c r="C2287" t="s">
        <v>2</v>
      </c>
    </row>
    <row r="2288" spans="1:3" x14ac:dyDescent="0.3">
      <c r="A2288" s="7" t="s">
        <v>2298</v>
      </c>
      <c r="B2288" s="7" t="s">
        <v>12</v>
      </c>
      <c r="C2288" t="s">
        <v>2</v>
      </c>
    </row>
    <row r="2289" spans="1:3" x14ac:dyDescent="0.3">
      <c r="A2289" s="7" t="s">
        <v>2299</v>
      </c>
      <c r="B2289" s="7" t="s">
        <v>12</v>
      </c>
      <c r="C2289" t="s">
        <v>3</v>
      </c>
    </row>
    <row r="2290" spans="1:3" x14ac:dyDescent="0.3">
      <c r="A2290" s="7" t="s">
        <v>2300</v>
      </c>
      <c r="B2290" s="7" t="s">
        <v>12</v>
      </c>
      <c r="C2290" t="s">
        <v>3</v>
      </c>
    </row>
    <row r="2291" spans="1:3" x14ac:dyDescent="0.3">
      <c r="A2291" s="7" t="s">
        <v>2301</v>
      </c>
      <c r="B2291" s="7" t="s">
        <v>12</v>
      </c>
      <c r="C2291" t="s">
        <v>3</v>
      </c>
    </row>
    <row r="2292" spans="1:3" x14ac:dyDescent="0.3">
      <c r="A2292" s="7" t="s">
        <v>2302</v>
      </c>
      <c r="B2292" s="7" t="s">
        <v>12</v>
      </c>
      <c r="C2292" t="s">
        <v>3</v>
      </c>
    </row>
    <row r="2293" spans="1:3" x14ac:dyDescent="0.3">
      <c r="A2293" s="7" t="s">
        <v>2303</v>
      </c>
      <c r="B2293" s="7" t="s">
        <v>12</v>
      </c>
    </row>
    <row r="2294" spans="1:3" x14ac:dyDescent="0.3">
      <c r="A2294" s="7" t="s">
        <v>2304</v>
      </c>
      <c r="B2294" s="7" t="s">
        <v>12</v>
      </c>
    </row>
    <row r="2295" spans="1:3" x14ac:dyDescent="0.3">
      <c r="A2295" s="7" t="s">
        <v>2305</v>
      </c>
      <c r="B2295" s="7" t="s">
        <v>12</v>
      </c>
    </row>
    <row r="2296" spans="1:3" x14ac:dyDescent="0.3">
      <c r="A2296" s="7" t="s">
        <v>2306</v>
      </c>
      <c r="B2296" s="7" t="s">
        <v>12</v>
      </c>
    </row>
    <row r="2297" spans="1:3" x14ac:dyDescent="0.3">
      <c r="A2297" s="7" t="s">
        <v>2307</v>
      </c>
      <c r="B2297" s="7" t="s">
        <v>12</v>
      </c>
    </row>
    <row r="2298" spans="1:3" x14ac:dyDescent="0.3">
      <c r="A2298" s="7" t="s">
        <v>2308</v>
      </c>
      <c r="B2298" s="7" t="s">
        <v>12</v>
      </c>
    </row>
    <row r="2299" spans="1:3" x14ac:dyDescent="0.3">
      <c r="A2299" s="7" t="s">
        <v>2309</v>
      </c>
      <c r="B2299" s="7" t="s">
        <v>12</v>
      </c>
    </row>
    <row r="2300" spans="1:3" x14ac:dyDescent="0.3">
      <c r="A2300" s="7" t="s">
        <v>2310</v>
      </c>
      <c r="B2300" s="7" t="s">
        <v>12</v>
      </c>
    </row>
    <row r="2301" spans="1:3" x14ac:dyDescent="0.3">
      <c r="A2301" s="7" t="s">
        <v>2311</v>
      </c>
      <c r="B2301" s="7" t="s">
        <v>12</v>
      </c>
    </row>
    <row r="2302" spans="1:3" x14ac:dyDescent="0.3">
      <c r="A2302" s="7" t="s">
        <v>2312</v>
      </c>
      <c r="B2302" s="7" t="s">
        <v>12</v>
      </c>
      <c r="C2302" t="s">
        <v>2</v>
      </c>
    </row>
    <row r="2303" spans="1:3" x14ac:dyDescent="0.3">
      <c r="A2303" s="7" t="s">
        <v>2313</v>
      </c>
      <c r="B2303" s="7" t="s">
        <v>12</v>
      </c>
      <c r="C2303" t="s">
        <v>2</v>
      </c>
    </row>
    <row r="2304" spans="1:3" x14ac:dyDescent="0.3">
      <c r="A2304" s="7" t="s">
        <v>2314</v>
      </c>
      <c r="B2304" s="7" t="s">
        <v>12</v>
      </c>
      <c r="C2304" t="s">
        <v>2</v>
      </c>
    </row>
    <row r="2305" spans="1:3" x14ac:dyDescent="0.3">
      <c r="A2305" s="7" t="s">
        <v>2315</v>
      </c>
      <c r="B2305" s="7" t="s">
        <v>12</v>
      </c>
      <c r="C2305" t="s">
        <v>2</v>
      </c>
    </row>
    <row r="2306" spans="1:3" x14ac:dyDescent="0.3">
      <c r="A2306" s="7" t="s">
        <v>2316</v>
      </c>
      <c r="B2306" s="7" t="s">
        <v>12</v>
      </c>
      <c r="C2306" t="s">
        <v>2</v>
      </c>
    </row>
    <row r="2307" spans="1:3" x14ac:dyDescent="0.3">
      <c r="A2307" s="7" t="s">
        <v>2317</v>
      </c>
      <c r="B2307" s="7" t="s">
        <v>12</v>
      </c>
      <c r="C2307" t="s">
        <v>2</v>
      </c>
    </row>
    <row r="2308" spans="1:3" x14ac:dyDescent="0.3">
      <c r="A2308" s="7" t="s">
        <v>2318</v>
      </c>
      <c r="B2308" s="7" t="s">
        <v>12</v>
      </c>
      <c r="C2308" t="s">
        <v>2</v>
      </c>
    </row>
    <row r="2309" spans="1:3" x14ac:dyDescent="0.3">
      <c r="A2309" s="7" t="s">
        <v>2319</v>
      </c>
      <c r="B2309" s="7" t="s">
        <v>12</v>
      </c>
      <c r="C2309" t="s">
        <v>2</v>
      </c>
    </row>
    <row r="2310" spans="1:3" x14ac:dyDescent="0.3">
      <c r="A2310" s="7" t="s">
        <v>2320</v>
      </c>
      <c r="B2310" s="7" t="s">
        <v>12</v>
      </c>
      <c r="C2310" t="s">
        <v>2</v>
      </c>
    </row>
    <row r="2311" spans="1:3" x14ac:dyDescent="0.3">
      <c r="A2311" s="7" t="s">
        <v>2321</v>
      </c>
      <c r="B2311" s="7" t="s">
        <v>12</v>
      </c>
      <c r="C2311" t="s">
        <v>3678</v>
      </c>
    </row>
    <row r="2312" spans="1:3" x14ac:dyDescent="0.3">
      <c r="A2312" s="7" t="s">
        <v>2322</v>
      </c>
      <c r="B2312" s="7" t="s">
        <v>12</v>
      </c>
      <c r="C2312" t="s">
        <v>3678</v>
      </c>
    </row>
    <row r="2313" spans="1:3" x14ac:dyDescent="0.3">
      <c r="A2313" s="7" t="s">
        <v>2323</v>
      </c>
      <c r="B2313" s="7" t="s">
        <v>12</v>
      </c>
      <c r="C2313" t="s">
        <v>3678</v>
      </c>
    </row>
    <row r="2314" spans="1:3" x14ac:dyDescent="0.3">
      <c r="A2314" s="7" t="s">
        <v>2324</v>
      </c>
      <c r="B2314" s="7" t="s">
        <v>12</v>
      </c>
      <c r="C2314" t="s">
        <v>3678</v>
      </c>
    </row>
    <row r="2315" spans="1:3" x14ac:dyDescent="0.3">
      <c r="A2315" s="7" t="s">
        <v>2325</v>
      </c>
      <c r="B2315" s="7" t="s">
        <v>12</v>
      </c>
      <c r="C2315" t="s">
        <v>3678</v>
      </c>
    </row>
    <row r="2316" spans="1:3" x14ac:dyDescent="0.3">
      <c r="A2316" s="7" t="s">
        <v>2326</v>
      </c>
      <c r="B2316" s="7" t="s">
        <v>12</v>
      </c>
      <c r="C2316" t="s">
        <v>2</v>
      </c>
    </row>
    <row r="2317" spans="1:3" x14ac:dyDescent="0.3">
      <c r="A2317" s="7" t="s">
        <v>2327</v>
      </c>
      <c r="B2317" s="7" t="s">
        <v>12</v>
      </c>
      <c r="C2317" t="s">
        <v>2</v>
      </c>
    </row>
    <row r="2318" spans="1:3" x14ac:dyDescent="0.3">
      <c r="A2318" s="7" t="s">
        <v>2328</v>
      </c>
      <c r="B2318" s="7" t="s">
        <v>12</v>
      </c>
      <c r="C2318" t="s">
        <v>2</v>
      </c>
    </row>
    <row r="2319" spans="1:3" x14ac:dyDescent="0.3">
      <c r="A2319" s="7" t="s">
        <v>2329</v>
      </c>
      <c r="B2319" s="7" t="s">
        <v>12</v>
      </c>
      <c r="C2319" t="s">
        <v>2</v>
      </c>
    </row>
    <row r="2320" spans="1:3" x14ac:dyDescent="0.3">
      <c r="A2320" s="7" t="s">
        <v>2330</v>
      </c>
      <c r="B2320" s="7" t="s">
        <v>12</v>
      </c>
      <c r="C2320" t="s">
        <v>2</v>
      </c>
    </row>
    <row r="2321" spans="1:3" x14ac:dyDescent="0.3">
      <c r="A2321" s="7" t="s">
        <v>2331</v>
      </c>
      <c r="B2321" s="7" t="s">
        <v>12</v>
      </c>
      <c r="C2321" t="s">
        <v>2</v>
      </c>
    </row>
    <row r="2322" spans="1:3" x14ac:dyDescent="0.3">
      <c r="A2322" s="7" t="s">
        <v>2332</v>
      </c>
      <c r="B2322" s="7" t="s">
        <v>12</v>
      </c>
      <c r="C2322" t="s">
        <v>2</v>
      </c>
    </row>
    <row r="2323" spans="1:3" x14ac:dyDescent="0.3">
      <c r="A2323" s="7" t="s">
        <v>2333</v>
      </c>
      <c r="B2323" s="7" t="s">
        <v>12</v>
      </c>
      <c r="C2323" t="s">
        <v>2</v>
      </c>
    </row>
    <row r="2324" spans="1:3" x14ac:dyDescent="0.3">
      <c r="A2324" s="7" t="s">
        <v>2334</v>
      </c>
      <c r="B2324" s="7" t="s">
        <v>12</v>
      </c>
      <c r="C2324" t="s">
        <v>2</v>
      </c>
    </row>
    <row r="2325" spans="1:3" x14ac:dyDescent="0.3">
      <c r="A2325" s="7" t="s">
        <v>2335</v>
      </c>
      <c r="B2325" s="7" t="s">
        <v>12</v>
      </c>
      <c r="C2325" t="s">
        <v>2</v>
      </c>
    </row>
    <row r="2326" spans="1:3" x14ac:dyDescent="0.3">
      <c r="A2326" s="7" t="s">
        <v>2336</v>
      </c>
      <c r="B2326" s="7" t="s">
        <v>12</v>
      </c>
      <c r="C2326" t="s">
        <v>2</v>
      </c>
    </row>
    <row r="2327" spans="1:3" x14ac:dyDescent="0.3">
      <c r="A2327" s="7" t="s">
        <v>2337</v>
      </c>
      <c r="B2327" s="7" t="s">
        <v>12</v>
      </c>
      <c r="C2327" t="s">
        <v>2</v>
      </c>
    </row>
    <row r="2328" spans="1:3" x14ac:dyDescent="0.3">
      <c r="A2328" s="7" t="s">
        <v>2338</v>
      </c>
      <c r="B2328" s="7" t="s">
        <v>12</v>
      </c>
      <c r="C2328" t="s">
        <v>2</v>
      </c>
    </row>
    <row r="2329" spans="1:3" x14ac:dyDescent="0.3">
      <c r="A2329" s="7" t="s">
        <v>2339</v>
      </c>
      <c r="B2329" s="7" t="s">
        <v>12</v>
      </c>
      <c r="C2329" t="s">
        <v>2</v>
      </c>
    </row>
    <row r="2330" spans="1:3" x14ac:dyDescent="0.3">
      <c r="A2330" s="7" t="s">
        <v>2340</v>
      </c>
      <c r="B2330" s="7" t="s">
        <v>12</v>
      </c>
      <c r="C2330" t="s">
        <v>2</v>
      </c>
    </row>
    <row r="2331" spans="1:3" x14ac:dyDescent="0.3">
      <c r="A2331" s="7" t="s">
        <v>2341</v>
      </c>
      <c r="B2331" s="7" t="s">
        <v>12</v>
      </c>
      <c r="C2331" t="s">
        <v>2</v>
      </c>
    </row>
    <row r="2332" spans="1:3" x14ac:dyDescent="0.3">
      <c r="A2332" s="7" t="s">
        <v>2342</v>
      </c>
      <c r="B2332" s="7" t="s">
        <v>12</v>
      </c>
      <c r="C2332" t="s">
        <v>2</v>
      </c>
    </row>
    <row r="2333" spans="1:3" x14ac:dyDescent="0.3">
      <c r="A2333" s="7" t="s">
        <v>2343</v>
      </c>
      <c r="B2333" s="7" t="s">
        <v>12</v>
      </c>
      <c r="C2333" t="s">
        <v>2</v>
      </c>
    </row>
    <row r="2334" spans="1:3" x14ac:dyDescent="0.3">
      <c r="A2334" s="7" t="s">
        <v>2344</v>
      </c>
      <c r="B2334" s="7" t="s">
        <v>12</v>
      </c>
      <c r="C2334" t="s">
        <v>2</v>
      </c>
    </row>
    <row r="2335" spans="1:3" x14ac:dyDescent="0.3">
      <c r="A2335" s="7" t="s">
        <v>2345</v>
      </c>
      <c r="B2335" s="7" t="s">
        <v>12</v>
      </c>
      <c r="C2335" t="s">
        <v>2</v>
      </c>
    </row>
    <row r="2336" spans="1:3" x14ac:dyDescent="0.3">
      <c r="A2336" s="7" t="s">
        <v>2346</v>
      </c>
      <c r="B2336" s="7" t="s">
        <v>12</v>
      </c>
      <c r="C2336" t="s">
        <v>2</v>
      </c>
    </row>
    <row r="2337" spans="1:3" x14ac:dyDescent="0.3">
      <c r="A2337" s="7" t="s">
        <v>2347</v>
      </c>
      <c r="B2337" s="7" t="s">
        <v>12</v>
      </c>
      <c r="C2337" t="s">
        <v>2</v>
      </c>
    </row>
    <row r="2338" spans="1:3" x14ac:dyDescent="0.3">
      <c r="A2338" s="7" t="s">
        <v>2348</v>
      </c>
      <c r="B2338" s="7" t="s">
        <v>12</v>
      </c>
      <c r="C2338" t="s">
        <v>2</v>
      </c>
    </row>
    <row r="2339" spans="1:3" x14ac:dyDescent="0.3">
      <c r="A2339" s="7" t="s">
        <v>2349</v>
      </c>
      <c r="B2339" s="7" t="s">
        <v>12</v>
      </c>
      <c r="C2339" t="s">
        <v>2</v>
      </c>
    </row>
    <row r="2340" spans="1:3" x14ac:dyDescent="0.3">
      <c r="A2340" s="7" t="s">
        <v>2350</v>
      </c>
      <c r="B2340" s="7" t="s">
        <v>12</v>
      </c>
      <c r="C2340" t="s">
        <v>2</v>
      </c>
    </row>
    <row r="2341" spans="1:3" x14ac:dyDescent="0.3">
      <c r="A2341" s="7" t="s">
        <v>2351</v>
      </c>
      <c r="B2341" s="7" t="s">
        <v>12</v>
      </c>
      <c r="C2341" t="s">
        <v>2</v>
      </c>
    </row>
    <row r="2342" spans="1:3" x14ac:dyDescent="0.3">
      <c r="A2342" s="7" t="s">
        <v>2352</v>
      </c>
      <c r="B2342" s="7" t="s">
        <v>12</v>
      </c>
      <c r="C2342" t="s">
        <v>2</v>
      </c>
    </row>
    <row r="2343" spans="1:3" x14ac:dyDescent="0.3">
      <c r="A2343" s="7" t="s">
        <v>2353</v>
      </c>
      <c r="B2343" s="7" t="s">
        <v>12</v>
      </c>
      <c r="C2343" t="s">
        <v>2</v>
      </c>
    </row>
    <row r="2344" spans="1:3" x14ac:dyDescent="0.3">
      <c r="A2344" s="7" t="s">
        <v>2354</v>
      </c>
      <c r="B2344" s="7" t="s">
        <v>12</v>
      </c>
      <c r="C2344" t="s">
        <v>2</v>
      </c>
    </row>
    <row r="2345" spans="1:3" x14ac:dyDescent="0.3">
      <c r="A2345" s="7" t="s">
        <v>2355</v>
      </c>
      <c r="B2345" s="7" t="s">
        <v>12</v>
      </c>
      <c r="C2345" t="s">
        <v>2</v>
      </c>
    </row>
    <row r="2346" spans="1:3" x14ac:dyDescent="0.3">
      <c r="A2346" s="7" t="s">
        <v>2356</v>
      </c>
      <c r="B2346" s="7" t="s">
        <v>12</v>
      </c>
      <c r="C2346" t="s">
        <v>2</v>
      </c>
    </row>
    <row r="2347" spans="1:3" x14ac:dyDescent="0.3">
      <c r="A2347" s="7" t="s">
        <v>2357</v>
      </c>
      <c r="B2347" s="7" t="s">
        <v>12</v>
      </c>
      <c r="C2347" t="s">
        <v>2</v>
      </c>
    </row>
    <row r="2348" spans="1:3" x14ac:dyDescent="0.3">
      <c r="A2348" s="7" t="s">
        <v>2358</v>
      </c>
      <c r="B2348" s="7" t="s">
        <v>12</v>
      </c>
      <c r="C2348" t="s">
        <v>2</v>
      </c>
    </row>
    <row r="2349" spans="1:3" x14ac:dyDescent="0.3">
      <c r="A2349" s="7" t="s">
        <v>2359</v>
      </c>
      <c r="B2349" s="7" t="s">
        <v>12</v>
      </c>
      <c r="C2349" t="s">
        <v>2</v>
      </c>
    </row>
    <row r="2350" spans="1:3" x14ac:dyDescent="0.3">
      <c r="A2350" s="7" t="s">
        <v>2360</v>
      </c>
      <c r="B2350" s="7" t="s">
        <v>12</v>
      </c>
      <c r="C2350" t="s">
        <v>2</v>
      </c>
    </row>
    <row r="2351" spans="1:3" x14ac:dyDescent="0.3">
      <c r="A2351" s="7" t="s">
        <v>2361</v>
      </c>
      <c r="B2351" s="7" t="s">
        <v>12</v>
      </c>
      <c r="C2351" t="s">
        <v>2</v>
      </c>
    </row>
    <row r="2352" spans="1:3" x14ac:dyDescent="0.3">
      <c r="A2352" s="7" t="s">
        <v>2362</v>
      </c>
      <c r="B2352" s="7" t="s">
        <v>12</v>
      </c>
      <c r="C2352" t="s">
        <v>2</v>
      </c>
    </row>
    <row r="2353" spans="1:3" x14ac:dyDescent="0.3">
      <c r="A2353" s="7" t="s">
        <v>2363</v>
      </c>
      <c r="B2353" s="7" t="s">
        <v>12</v>
      </c>
      <c r="C2353" t="s">
        <v>2</v>
      </c>
    </row>
    <row r="2354" spans="1:3" x14ac:dyDescent="0.3">
      <c r="A2354" s="7" t="s">
        <v>2364</v>
      </c>
      <c r="B2354" s="7" t="s">
        <v>12</v>
      </c>
      <c r="C2354" t="s">
        <v>2</v>
      </c>
    </row>
    <row r="2355" spans="1:3" x14ac:dyDescent="0.3">
      <c r="A2355" s="7" t="s">
        <v>2365</v>
      </c>
      <c r="B2355" s="7" t="s">
        <v>12</v>
      </c>
      <c r="C2355" t="s">
        <v>2</v>
      </c>
    </row>
    <row r="2356" spans="1:3" x14ac:dyDescent="0.3">
      <c r="A2356" s="7" t="s">
        <v>2366</v>
      </c>
      <c r="B2356" s="7" t="s">
        <v>12</v>
      </c>
      <c r="C2356" t="s">
        <v>2</v>
      </c>
    </row>
    <row r="2357" spans="1:3" x14ac:dyDescent="0.3">
      <c r="A2357" s="7" t="s">
        <v>2367</v>
      </c>
      <c r="B2357" s="7" t="s">
        <v>12</v>
      </c>
      <c r="C2357" t="s">
        <v>2</v>
      </c>
    </row>
    <row r="2358" spans="1:3" x14ac:dyDescent="0.3">
      <c r="A2358" s="7" t="s">
        <v>2368</v>
      </c>
      <c r="B2358" s="7" t="s">
        <v>12</v>
      </c>
      <c r="C2358" t="s">
        <v>2</v>
      </c>
    </row>
    <row r="2359" spans="1:3" x14ac:dyDescent="0.3">
      <c r="A2359" s="7" t="s">
        <v>2369</v>
      </c>
      <c r="B2359" s="7" t="s">
        <v>12</v>
      </c>
      <c r="C2359" t="s">
        <v>2</v>
      </c>
    </row>
    <row r="2360" spans="1:3" x14ac:dyDescent="0.3">
      <c r="A2360" s="7" t="s">
        <v>2370</v>
      </c>
      <c r="B2360" s="7" t="s">
        <v>12</v>
      </c>
      <c r="C2360" t="s">
        <v>2</v>
      </c>
    </row>
    <row r="2361" spans="1:3" x14ac:dyDescent="0.3">
      <c r="A2361" s="7" t="s">
        <v>2371</v>
      </c>
      <c r="B2361" s="7" t="s">
        <v>12</v>
      </c>
      <c r="C2361" t="s">
        <v>2</v>
      </c>
    </row>
    <row r="2362" spans="1:3" x14ac:dyDescent="0.3">
      <c r="A2362" s="7" t="s">
        <v>2372</v>
      </c>
      <c r="B2362" s="7" t="s">
        <v>12</v>
      </c>
      <c r="C2362" t="s">
        <v>2</v>
      </c>
    </row>
    <row r="2363" spans="1:3" x14ac:dyDescent="0.3">
      <c r="A2363" s="7" t="s">
        <v>2373</v>
      </c>
      <c r="B2363" s="7" t="s">
        <v>12</v>
      </c>
      <c r="C2363" t="s">
        <v>2</v>
      </c>
    </row>
    <row r="2364" spans="1:3" x14ac:dyDescent="0.3">
      <c r="A2364" s="7" t="s">
        <v>2374</v>
      </c>
      <c r="B2364" s="7" t="s">
        <v>12</v>
      </c>
      <c r="C2364" t="s">
        <v>2</v>
      </c>
    </row>
    <row r="2365" spans="1:3" x14ac:dyDescent="0.3">
      <c r="A2365" s="7" t="s">
        <v>2375</v>
      </c>
      <c r="B2365" s="7" t="s">
        <v>12</v>
      </c>
      <c r="C2365" t="s">
        <v>2</v>
      </c>
    </row>
    <row r="2366" spans="1:3" x14ac:dyDescent="0.3">
      <c r="A2366" s="7" t="s">
        <v>2376</v>
      </c>
      <c r="B2366" s="7" t="s">
        <v>12</v>
      </c>
      <c r="C2366" t="s">
        <v>3</v>
      </c>
    </row>
    <row r="2367" spans="1:3" x14ac:dyDescent="0.3">
      <c r="A2367" s="7" t="s">
        <v>2377</v>
      </c>
      <c r="B2367" s="7" t="s">
        <v>12</v>
      </c>
      <c r="C2367" t="s">
        <v>3</v>
      </c>
    </row>
    <row r="2368" spans="1:3" x14ac:dyDescent="0.3">
      <c r="A2368" s="7" t="s">
        <v>2378</v>
      </c>
      <c r="B2368" s="7" t="s">
        <v>12</v>
      </c>
      <c r="C2368" t="s">
        <v>3</v>
      </c>
    </row>
    <row r="2369" spans="1:3" x14ac:dyDescent="0.3">
      <c r="A2369" s="7" t="s">
        <v>2379</v>
      </c>
      <c r="B2369" s="7" t="s">
        <v>12</v>
      </c>
      <c r="C2369" t="s">
        <v>3</v>
      </c>
    </row>
    <row r="2370" spans="1:3" x14ac:dyDescent="0.3">
      <c r="A2370" s="7" t="s">
        <v>2380</v>
      </c>
      <c r="B2370" s="7" t="s">
        <v>12</v>
      </c>
      <c r="C2370" t="s">
        <v>3</v>
      </c>
    </row>
    <row r="2371" spans="1:3" x14ac:dyDescent="0.3">
      <c r="A2371" s="7" t="s">
        <v>2381</v>
      </c>
      <c r="B2371" s="7" t="s">
        <v>12</v>
      </c>
      <c r="C2371" t="s">
        <v>3</v>
      </c>
    </row>
    <row r="2372" spans="1:3" x14ac:dyDescent="0.3">
      <c r="A2372" s="7" t="s">
        <v>2382</v>
      </c>
      <c r="B2372" s="7" t="s">
        <v>12</v>
      </c>
      <c r="C2372" t="s">
        <v>3</v>
      </c>
    </row>
    <row r="2373" spans="1:3" x14ac:dyDescent="0.3">
      <c r="A2373" s="7" t="s">
        <v>2383</v>
      </c>
      <c r="B2373" s="7" t="s">
        <v>12</v>
      </c>
      <c r="C2373" t="s">
        <v>3</v>
      </c>
    </row>
    <row r="2374" spans="1:3" x14ac:dyDescent="0.3">
      <c r="A2374" s="7" t="s">
        <v>2384</v>
      </c>
      <c r="B2374" s="7" t="s">
        <v>12</v>
      </c>
      <c r="C2374" t="s">
        <v>3</v>
      </c>
    </row>
    <row r="2375" spans="1:3" x14ac:dyDescent="0.3">
      <c r="A2375" s="7" t="s">
        <v>2385</v>
      </c>
      <c r="B2375" s="7" t="s">
        <v>12</v>
      </c>
      <c r="C2375" t="s">
        <v>3</v>
      </c>
    </row>
    <row r="2376" spans="1:3" x14ac:dyDescent="0.3">
      <c r="A2376" s="7" t="s">
        <v>2386</v>
      </c>
      <c r="B2376" s="7" t="s">
        <v>12</v>
      </c>
      <c r="C2376" t="s">
        <v>3</v>
      </c>
    </row>
    <row r="2377" spans="1:3" x14ac:dyDescent="0.3">
      <c r="A2377" s="7" t="s">
        <v>2387</v>
      </c>
      <c r="B2377" s="7" t="s">
        <v>12</v>
      </c>
      <c r="C2377" t="s">
        <v>3</v>
      </c>
    </row>
    <row r="2378" spans="1:3" x14ac:dyDescent="0.3">
      <c r="A2378" s="7" t="s">
        <v>2388</v>
      </c>
      <c r="B2378" s="7" t="s">
        <v>12</v>
      </c>
      <c r="C2378" t="s">
        <v>2</v>
      </c>
    </row>
    <row r="2379" spans="1:3" x14ac:dyDescent="0.3">
      <c r="A2379" s="7" t="s">
        <v>2389</v>
      </c>
      <c r="B2379" s="7" t="s">
        <v>12</v>
      </c>
      <c r="C2379" t="s">
        <v>2</v>
      </c>
    </row>
    <row r="2380" spans="1:3" x14ac:dyDescent="0.3">
      <c r="A2380" s="7" t="s">
        <v>2390</v>
      </c>
      <c r="B2380" s="7" t="s">
        <v>12</v>
      </c>
      <c r="C2380" t="s">
        <v>2</v>
      </c>
    </row>
    <row r="2381" spans="1:3" x14ac:dyDescent="0.3">
      <c r="A2381" s="7" t="s">
        <v>2391</v>
      </c>
      <c r="B2381" s="7" t="s">
        <v>12</v>
      </c>
      <c r="C2381" t="s">
        <v>2</v>
      </c>
    </row>
    <row r="2382" spans="1:3" x14ac:dyDescent="0.3">
      <c r="A2382" s="7" t="s">
        <v>2392</v>
      </c>
      <c r="B2382" s="7" t="s">
        <v>12</v>
      </c>
      <c r="C2382" t="s">
        <v>2</v>
      </c>
    </row>
    <row r="2383" spans="1:3" x14ac:dyDescent="0.3">
      <c r="A2383" s="7" t="s">
        <v>2393</v>
      </c>
      <c r="B2383" s="7" t="s">
        <v>12</v>
      </c>
      <c r="C2383" t="s">
        <v>2</v>
      </c>
    </row>
    <row r="2384" spans="1:3" x14ac:dyDescent="0.3">
      <c r="A2384" s="7" t="s">
        <v>2394</v>
      </c>
      <c r="B2384" s="7" t="s">
        <v>12</v>
      </c>
      <c r="C2384" t="s">
        <v>2</v>
      </c>
    </row>
    <row r="2385" spans="1:3" x14ac:dyDescent="0.3">
      <c r="A2385" s="7" t="s">
        <v>2395</v>
      </c>
      <c r="B2385" s="7" t="s">
        <v>12</v>
      </c>
      <c r="C2385" t="s">
        <v>2</v>
      </c>
    </row>
    <row r="2386" spans="1:3" x14ac:dyDescent="0.3">
      <c r="A2386" s="7" t="s">
        <v>2396</v>
      </c>
      <c r="B2386" s="7" t="s">
        <v>12</v>
      </c>
      <c r="C2386" t="s">
        <v>3678</v>
      </c>
    </row>
    <row r="2387" spans="1:3" x14ac:dyDescent="0.3">
      <c r="A2387" s="7" t="s">
        <v>2397</v>
      </c>
      <c r="B2387" s="7" t="s">
        <v>12</v>
      </c>
      <c r="C2387" t="s">
        <v>2</v>
      </c>
    </row>
    <row r="2388" spans="1:3" x14ac:dyDescent="0.3">
      <c r="A2388" s="7" t="s">
        <v>2398</v>
      </c>
      <c r="B2388" s="7" t="s">
        <v>12</v>
      </c>
      <c r="C2388" t="s">
        <v>2</v>
      </c>
    </row>
    <row r="2389" spans="1:3" x14ac:dyDescent="0.3">
      <c r="A2389" s="7" t="s">
        <v>2399</v>
      </c>
      <c r="B2389" s="7" t="s">
        <v>12</v>
      </c>
      <c r="C2389" t="s">
        <v>2</v>
      </c>
    </row>
    <row r="2390" spans="1:3" x14ac:dyDescent="0.3">
      <c r="A2390" s="7" t="s">
        <v>2400</v>
      </c>
      <c r="B2390" s="7" t="s">
        <v>12</v>
      </c>
      <c r="C2390" t="s">
        <v>2</v>
      </c>
    </row>
    <row r="2391" spans="1:3" x14ac:dyDescent="0.3">
      <c r="A2391" s="7" t="s">
        <v>2401</v>
      </c>
      <c r="B2391" s="7" t="s">
        <v>12</v>
      </c>
      <c r="C2391" t="s">
        <v>2</v>
      </c>
    </row>
    <row r="2392" spans="1:3" x14ac:dyDescent="0.3">
      <c r="A2392" s="7" t="s">
        <v>2402</v>
      </c>
      <c r="B2392" s="7" t="s">
        <v>12</v>
      </c>
      <c r="C2392" t="s">
        <v>2</v>
      </c>
    </row>
    <row r="2393" spans="1:3" x14ac:dyDescent="0.3">
      <c r="A2393" s="7" t="s">
        <v>2403</v>
      </c>
      <c r="B2393" s="7" t="s">
        <v>12</v>
      </c>
      <c r="C2393" t="s">
        <v>2</v>
      </c>
    </row>
    <row r="2394" spans="1:3" x14ac:dyDescent="0.3">
      <c r="A2394" s="7" t="s">
        <v>2404</v>
      </c>
      <c r="B2394" s="7" t="s">
        <v>12</v>
      </c>
      <c r="C2394" t="s">
        <v>2</v>
      </c>
    </row>
    <row r="2395" spans="1:3" x14ac:dyDescent="0.3">
      <c r="A2395" s="7" t="s">
        <v>2405</v>
      </c>
      <c r="B2395" s="7" t="s">
        <v>12</v>
      </c>
      <c r="C2395" t="s">
        <v>3678</v>
      </c>
    </row>
    <row r="2396" spans="1:3" x14ac:dyDescent="0.3">
      <c r="A2396" s="7" t="s">
        <v>2406</v>
      </c>
      <c r="B2396" s="7" t="s">
        <v>12</v>
      </c>
      <c r="C2396" t="s">
        <v>2</v>
      </c>
    </row>
    <row r="2397" spans="1:3" x14ac:dyDescent="0.3">
      <c r="A2397" s="7" t="s">
        <v>2407</v>
      </c>
      <c r="B2397" s="7" t="s">
        <v>12</v>
      </c>
      <c r="C2397" t="s">
        <v>2</v>
      </c>
    </row>
    <row r="2398" spans="1:3" x14ac:dyDescent="0.3">
      <c r="A2398" s="7" t="s">
        <v>2408</v>
      </c>
      <c r="B2398" s="7" t="s">
        <v>12</v>
      </c>
      <c r="C2398" t="s">
        <v>2</v>
      </c>
    </row>
    <row r="2399" spans="1:3" x14ac:dyDescent="0.3">
      <c r="A2399" s="7" t="s">
        <v>2409</v>
      </c>
      <c r="B2399" s="7" t="s">
        <v>12</v>
      </c>
      <c r="C2399" t="s">
        <v>2</v>
      </c>
    </row>
    <row r="2400" spans="1:3" x14ac:dyDescent="0.3">
      <c r="A2400" s="7" t="s">
        <v>2410</v>
      </c>
      <c r="B2400" s="7" t="s">
        <v>12</v>
      </c>
      <c r="C2400" t="s">
        <v>2</v>
      </c>
    </row>
    <row r="2401" spans="1:3" x14ac:dyDescent="0.3">
      <c r="A2401" s="7" t="s">
        <v>2411</v>
      </c>
      <c r="B2401" s="7" t="s">
        <v>12</v>
      </c>
      <c r="C2401" t="s">
        <v>2</v>
      </c>
    </row>
    <row r="2402" spans="1:3" x14ac:dyDescent="0.3">
      <c r="A2402" s="7" t="s">
        <v>2412</v>
      </c>
      <c r="B2402" s="7" t="s">
        <v>12</v>
      </c>
      <c r="C2402" t="s">
        <v>2</v>
      </c>
    </row>
    <row r="2403" spans="1:3" x14ac:dyDescent="0.3">
      <c r="A2403" s="7" t="s">
        <v>2413</v>
      </c>
      <c r="B2403" s="7" t="s">
        <v>12</v>
      </c>
      <c r="C2403" t="s">
        <v>2</v>
      </c>
    </row>
    <row r="2404" spans="1:3" x14ac:dyDescent="0.3">
      <c r="A2404" s="7" t="s">
        <v>2414</v>
      </c>
      <c r="B2404" s="7" t="s">
        <v>12</v>
      </c>
      <c r="C2404" t="s">
        <v>2</v>
      </c>
    </row>
    <row r="2405" spans="1:3" x14ac:dyDescent="0.3">
      <c r="A2405" s="7" t="s">
        <v>2415</v>
      </c>
      <c r="B2405" s="7" t="s">
        <v>12</v>
      </c>
      <c r="C2405" t="s">
        <v>2</v>
      </c>
    </row>
    <row r="2406" spans="1:3" x14ac:dyDescent="0.3">
      <c r="A2406" s="7" t="s">
        <v>2416</v>
      </c>
      <c r="B2406" s="7" t="s">
        <v>12</v>
      </c>
      <c r="C2406" t="s">
        <v>2</v>
      </c>
    </row>
    <row r="2407" spans="1:3" x14ac:dyDescent="0.3">
      <c r="A2407" s="7" t="s">
        <v>2417</v>
      </c>
      <c r="B2407" s="7" t="s">
        <v>12</v>
      </c>
      <c r="C2407" t="s">
        <v>2</v>
      </c>
    </row>
    <row r="2408" spans="1:3" x14ac:dyDescent="0.3">
      <c r="A2408" s="7" t="s">
        <v>2418</v>
      </c>
      <c r="B2408" s="7" t="s">
        <v>12</v>
      </c>
      <c r="C2408" t="s">
        <v>2</v>
      </c>
    </row>
    <row r="2409" spans="1:3" x14ac:dyDescent="0.3">
      <c r="A2409" s="7" t="s">
        <v>2419</v>
      </c>
      <c r="B2409" s="7" t="s">
        <v>12</v>
      </c>
      <c r="C2409" t="s">
        <v>2</v>
      </c>
    </row>
    <row r="2410" spans="1:3" x14ac:dyDescent="0.3">
      <c r="A2410" s="7" t="s">
        <v>2420</v>
      </c>
      <c r="B2410" s="7" t="s">
        <v>12</v>
      </c>
      <c r="C2410" t="s">
        <v>2</v>
      </c>
    </row>
    <row r="2411" spans="1:3" x14ac:dyDescent="0.3">
      <c r="A2411" s="7" t="s">
        <v>2421</v>
      </c>
      <c r="B2411" s="7" t="s">
        <v>12</v>
      </c>
      <c r="C2411" t="s">
        <v>2</v>
      </c>
    </row>
    <row r="2412" spans="1:3" x14ac:dyDescent="0.3">
      <c r="A2412" s="7" t="s">
        <v>2422</v>
      </c>
      <c r="B2412" s="7" t="s">
        <v>12</v>
      </c>
      <c r="C2412" t="s">
        <v>3678</v>
      </c>
    </row>
    <row r="2413" spans="1:3" x14ac:dyDescent="0.3">
      <c r="A2413" s="7" t="s">
        <v>2423</v>
      </c>
      <c r="B2413" s="7" t="s">
        <v>12</v>
      </c>
      <c r="C2413" t="s">
        <v>3678</v>
      </c>
    </row>
    <row r="2414" spans="1:3" x14ac:dyDescent="0.3">
      <c r="A2414" s="7" t="s">
        <v>2424</v>
      </c>
      <c r="B2414" s="7" t="s">
        <v>12</v>
      </c>
      <c r="C2414" t="s">
        <v>3678</v>
      </c>
    </row>
    <row r="2415" spans="1:3" x14ac:dyDescent="0.3">
      <c r="A2415" s="7" t="s">
        <v>2425</v>
      </c>
      <c r="B2415" s="7" t="s">
        <v>12</v>
      </c>
      <c r="C2415" t="s">
        <v>3678</v>
      </c>
    </row>
    <row r="2416" spans="1:3" x14ac:dyDescent="0.3">
      <c r="A2416" s="7" t="s">
        <v>2426</v>
      </c>
      <c r="B2416" s="7" t="s">
        <v>12</v>
      </c>
      <c r="C2416" t="s">
        <v>3678</v>
      </c>
    </row>
    <row r="2417" spans="1:3" x14ac:dyDescent="0.3">
      <c r="A2417" s="7" t="s">
        <v>2427</v>
      </c>
      <c r="B2417" s="7" t="s">
        <v>12</v>
      </c>
      <c r="C2417" t="s">
        <v>3678</v>
      </c>
    </row>
    <row r="2418" spans="1:3" x14ac:dyDescent="0.3">
      <c r="A2418" s="7" t="s">
        <v>2428</v>
      </c>
      <c r="B2418" s="7" t="s">
        <v>12</v>
      </c>
      <c r="C2418" t="s">
        <v>3678</v>
      </c>
    </row>
    <row r="2419" spans="1:3" x14ac:dyDescent="0.3">
      <c r="A2419" s="7" t="s">
        <v>2429</v>
      </c>
      <c r="B2419" s="7" t="s">
        <v>12</v>
      </c>
      <c r="C2419" t="s">
        <v>3678</v>
      </c>
    </row>
    <row r="2420" spans="1:3" x14ac:dyDescent="0.3">
      <c r="A2420" s="7" t="s">
        <v>2430</v>
      </c>
      <c r="B2420" s="7" t="s">
        <v>12</v>
      </c>
      <c r="C2420" t="s">
        <v>3678</v>
      </c>
    </row>
    <row r="2421" spans="1:3" x14ac:dyDescent="0.3">
      <c r="A2421" s="7" t="s">
        <v>2431</v>
      </c>
      <c r="B2421" s="7" t="s">
        <v>12</v>
      </c>
      <c r="C2421" t="s">
        <v>3678</v>
      </c>
    </row>
    <row r="2422" spans="1:3" x14ac:dyDescent="0.3">
      <c r="A2422" s="7" t="s">
        <v>2432</v>
      </c>
      <c r="B2422" s="7" t="s">
        <v>12</v>
      </c>
      <c r="C2422" t="s">
        <v>3678</v>
      </c>
    </row>
    <row r="2423" spans="1:3" x14ac:dyDescent="0.3">
      <c r="A2423" s="7" t="s">
        <v>2433</v>
      </c>
      <c r="B2423" s="7" t="s">
        <v>12</v>
      </c>
      <c r="C2423" t="s">
        <v>3678</v>
      </c>
    </row>
    <row r="2424" spans="1:3" x14ac:dyDescent="0.3">
      <c r="A2424" s="7" t="s">
        <v>2434</v>
      </c>
      <c r="B2424" s="7" t="s">
        <v>12</v>
      </c>
      <c r="C2424" t="s">
        <v>3678</v>
      </c>
    </row>
    <row r="2425" spans="1:3" x14ac:dyDescent="0.3">
      <c r="A2425" s="7" t="s">
        <v>2435</v>
      </c>
      <c r="B2425" s="7" t="s">
        <v>12</v>
      </c>
      <c r="C2425" t="s">
        <v>3678</v>
      </c>
    </row>
    <row r="2426" spans="1:3" x14ac:dyDescent="0.3">
      <c r="A2426" s="7" t="s">
        <v>2436</v>
      </c>
      <c r="B2426" s="7" t="s">
        <v>12</v>
      </c>
      <c r="C2426" t="s">
        <v>3678</v>
      </c>
    </row>
    <row r="2427" spans="1:3" x14ac:dyDescent="0.3">
      <c r="A2427" s="7" t="s">
        <v>2437</v>
      </c>
      <c r="B2427" s="7" t="s">
        <v>12</v>
      </c>
      <c r="C2427" t="s">
        <v>3678</v>
      </c>
    </row>
    <row r="2428" spans="1:3" x14ac:dyDescent="0.3">
      <c r="A2428" s="7" t="s">
        <v>2438</v>
      </c>
      <c r="B2428" s="7" t="s">
        <v>12</v>
      </c>
      <c r="C2428" t="s">
        <v>3678</v>
      </c>
    </row>
    <row r="2429" spans="1:3" x14ac:dyDescent="0.3">
      <c r="A2429" s="7" t="s">
        <v>2439</v>
      </c>
      <c r="B2429" s="7" t="s">
        <v>12</v>
      </c>
      <c r="C2429" t="s">
        <v>3678</v>
      </c>
    </row>
    <row r="2430" spans="1:3" x14ac:dyDescent="0.3">
      <c r="A2430" s="7" t="s">
        <v>2440</v>
      </c>
      <c r="B2430" s="7" t="s">
        <v>12</v>
      </c>
      <c r="C2430" t="s">
        <v>3678</v>
      </c>
    </row>
    <row r="2431" spans="1:3" x14ac:dyDescent="0.3">
      <c r="A2431" s="7" t="s">
        <v>2441</v>
      </c>
      <c r="B2431" s="7" t="s">
        <v>12</v>
      </c>
      <c r="C2431" t="s">
        <v>3678</v>
      </c>
    </row>
    <row r="2432" spans="1:3" x14ac:dyDescent="0.3">
      <c r="A2432" s="7" t="s">
        <v>2442</v>
      </c>
      <c r="B2432" s="7" t="s">
        <v>12</v>
      </c>
      <c r="C2432" t="s">
        <v>3678</v>
      </c>
    </row>
    <row r="2433" spans="1:3" x14ac:dyDescent="0.3">
      <c r="A2433" s="7" t="s">
        <v>2443</v>
      </c>
      <c r="B2433" s="7" t="s">
        <v>12</v>
      </c>
      <c r="C2433" t="s">
        <v>3678</v>
      </c>
    </row>
    <row r="2434" spans="1:3" x14ac:dyDescent="0.3">
      <c r="A2434" s="7" t="s">
        <v>2444</v>
      </c>
      <c r="B2434" s="7" t="s">
        <v>12</v>
      </c>
      <c r="C2434" t="s">
        <v>3678</v>
      </c>
    </row>
    <row r="2435" spans="1:3" x14ac:dyDescent="0.3">
      <c r="A2435" s="7" t="s">
        <v>2445</v>
      </c>
      <c r="B2435" s="7" t="s">
        <v>12</v>
      </c>
      <c r="C2435" t="s">
        <v>3678</v>
      </c>
    </row>
    <row r="2436" spans="1:3" x14ac:dyDescent="0.3">
      <c r="A2436" s="7" t="s">
        <v>2446</v>
      </c>
      <c r="B2436" s="7" t="s">
        <v>12</v>
      </c>
      <c r="C2436" t="s">
        <v>3678</v>
      </c>
    </row>
    <row r="2437" spans="1:3" x14ac:dyDescent="0.3">
      <c r="A2437" s="7" t="s">
        <v>2447</v>
      </c>
      <c r="B2437" s="7" t="s">
        <v>12</v>
      </c>
      <c r="C2437" t="s">
        <v>3678</v>
      </c>
    </row>
    <row r="2438" spans="1:3" x14ac:dyDescent="0.3">
      <c r="A2438" s="7" t="s">
        <v>2448</v>
      </c>
      <c r="B2438" s="7" t="s">
        <v>12</v>
      </c>
      <c r="C2438" t="s">
        <v>3678</v>
      </c>
    </row>
    <row r="2439" spans="1:3" x14ac:dyDescent="0.3">
      <c r="A2439" s="7" t="s">
        <v>2449</v>
      </c>
      <c r="B2439" s="7" t="s">
        <v>12</v>
      </c>
      <c r="C2439" t="s">
        <v>3678</v>
      </c>
    </row>
    <row r="2440" spans="1:3" x14ac:dyDescent="0.3">
      <c r="A2440" s="7" t="s">
        <v>2450</v>
      </c>
      <c r="B2440" s="7" t="s">
        <v>12</v>
      </c>
      <c r="C2440" t="s">
        <v>3678</v>
      </c>
    </row>
    <row r="2441" spans="1:3" x14ac:dyDescent="0.3">
      <c r="A2441" s="7" t="s">
        <v>2451</v>
      </c>
      <c r="B2441" s="7" t="s">
        <v>12</v>
      </c>
      <c r="C2441" t="s">
        <v>3678</v>
      </c>
    </row>
    <row r="2442" spans="1:3" x14ac:dyDescent="0.3">
      <c r="A2442" s="7" t="s">
        <v>2452</v>
      </c>
      <c r="B2442" s="7" t="s">
        <v>12</v>
      </c>
      <c r="C2442" t="s">
        <v>3678</v>
      </c>
    </row>
    <row r="2443" spans="1:3" x14ac:dyDescent="0.3">
      <c r="A2443" s="7" t="s">
        <v>2453</v>
      </c>
      <c r="B2443" s="7" t="s">
        <v>12</v>
      </c>
      <c r="C2443" t="s">
        <v>3678</v>
      </c>
    </row>
    <row r="2444" spans="1:3" x14ac:dyDescent="0.3">
      <c r="A2444" s="7" t="s">
        <v>2454</v>
      </c>
      <c r="B2444" s="7" t="s">
        <v>12</v>
      </c>
      <c r="C2444" t="s">
        <v>3678</v>
      </c>
    </row>
    <row r="2445" spans="1:3" x14ac:dyDescent="0.3">
      <c r="A2445" s="7" t="s">
        <v>2455</v>
      </c>
      <c r="B2445" s="7" t="s">
        <v>12</v>
      </c>
      <c r="C2445" t="s">
        <v>2</v>
      </c>
    </row>
    <row r="2446" spans="1:3" x14ac:dyDescent="0.3">
      <c r="A2446" s="7" t="s">
        <v>2456</v>
      </c>
      <c r="B2446" s="7" t="s">
        <v>12</v>
      </c>
      <c r="C2446" t="s">
        <v>2</v>
      </c>
    </row>
    <row r="2447" spans="1:3" x14ac:dyDescent="0.3">
      <c r="A2447" s="7" t="s">
        <v>2457</v>
      </c>
      <c r="B2447" s="7" t="s">
        <v>12</v>
      </c>
      <c r="C2447" t="s">
        <v>2</v>
      </c>
    </row>
    <row r="2448" spans="1:3" x14ac:dyDescent="0.3">
      <c r="A2448" s="7" t="s">
        <v>2458</v>
      </c>
      <c r="B2448" s="7" t="s">
        <v>12</v>
      </c>
      <c r="C2448" t="s">
        <v>2</v>
      </c>
    </row>
    <row r="2449" spans="1:3" x14ac:dyDescent="0.3">
      <c r="A2449" s="7" t="s">
        <v>2459</v>
      </c>
      <c r="B2449" s="7" t="s">
        <v>12</v>
      </c>
      <c r="C2449" t="s">
        <v>2</v>
      </c>
    </row>
    <row r="2450" spans="1:3" x14ac:dyDescent="0.3">
      <c r="A2450" s="7" t="s">
        <v>2460</v>
      </c>
      <c r="B2450" s="7" t="s">
        <v>12</v>
      </c>
      <c r="C2450" t="s">
        <v>2</v>
      </c>
    </row>
    <row r="2451" spans="1:3" x14ac:dyDescent="0.3">
      <c r="A2451" s="7" t="s">
        <v>2461</v>
      </c>
      <c r="B2451" s="7" t="s">
        <v>12</v>
      </c>
      <c r="C2451" t="s">
        <v>2</v>
      </c>
    </row>
    <row r="2452" spans="1:3" x14ac:dyDescent="0.3">
      <c r="A2452" s="7" t="s">
        <v>2462</v>
      </c>
      <c r="B2452" s="7" t="s">
        <v>12</v>
      </c>
      <c r="C2452" t="s">
        <v>2</v>
      </c>
    </row>
    <row r="2453" spans="1:3" x14ac:dyDescent="0.3">
      <c r="A2453" s="7" t="s">
        <v>2463</v>
      </c>
      <c r="B2453" s="7" t="s">
        <v>12</v>
      </c>
      <c r="C2453" t="s">
        <v>2</v>
      </c>
    </row>
    <row r="2454" spans="1:3" x14ac:dyDescent="0.3">
      <c r="A2454" s="7" t="s">
        <v>2464</v>
      </c>
      <c r="B2454" s="7" t="s">
        <v>12</v>
      </c>
      <c r="C2454" t="s">
        <v>2</v>
      </c>
    </row>
    <row r="2455" spans="1:3" x14ac:dyDescent="0.3">
      <c r="A2455" s="7" t="s">
        <v>2465</v>
      </c>
      <c r="B2455" s="7" t="s">
        <v>12</v>
      </c>
      <c r="C2455" t="s">
        <v>2</v>
      </c>
    </row>
    <row r="2456" spans="1:3" x14ac:dyDescent="0.3">
      <c r="A2456" s="7" t="s">
        <v>2466</v>
      </c>
      <c r="B2456" s="7" t="s">
        <v>12</v>
      </c>
      <c r="C2456" t="s">
        <v>2</v>
      </c>
    </row>
    <row r="2457" spans="1:3" x14ac:dyDescent="0.3">
      <c r="A2457" s="7" t="s">
        <v>2467</v>
      </c>
      <c r="B2457" s="7" t="s">
        <v>12</v>
      </c>
      <c r="C2457" t="s">
        <v>2</v>
      </c>
    </row>
    <row r="2458" spans="1:3" x14ac:dyDescent="0.3">
      <c r="A2458" s="7" t="s">
        <v>2468</v>
      </c>
      <c r="B2458" s="7" t="s">
        <v>12</v>
      </c>
      <c r="C2458" t="s">
        <v>2</v>
      </c>
    </row>
    <row r="2459" spans="1:3" x14ac:dyDescent="0.3">
      <c r="A2459" s="7" t="s">
        <v>2469</v>
      </c>
      <c r="B2459" s="7" t="s">
        <v>12</v>
      </c>
      <c r="C2459" t="s">
        <v>2</v>
      </c>
    </row>
    <row r="2460" spans="1:3" x14ac:dyDescent="0.3">
      <c r="A2460" s="7" t="s">
        <v>2470</v>
      </c>
      <c r="B2460" s="7" t="s">
        <v>12</v>
      </c>
      <c r="C2460" t="s">
        <v>2</v>
      </c>
    </row>
    <row r="2461" spans="1:3" x14ac:dyDescent="0.3">
      <c r="A2461" s="7" t="s">
        <v>2471</v>
      </c>
      <c r="B2461" s="7" t="s">
        <v>12</v>
      </c>
      <c r="C2461" t="s">
        <v>2</v>
      </c>
    </row>
    <row r="2462" spans="1:3" x14ac:dyDescent="0.3">
      <c r="A2462" s="7" t="s">
        <v>2472</v>
      </c>
      <c r="B2462" s="7" t="s">
        <v>12</v>
      </c>
      <c r="C2462" t="s">
        <v>2</v>
      </c>
    </row>
    <row r="2463" spans="1:3" x14ac:dyDescent="0.3">
      <c r="A2463" s="7" t="s">
        <v>2473</v>
      </c>
      <c r="B2463" s="7" t="s">
        <v>12</v>
      </c>
      <c r="C2463" t="s">
        <v>2</v>
      </c>
    </row>
    <row r="2464" spans="1:3" x14ac:dyDescent="0.3">
      <c r="A2464" s="7" t="s">
        <v>2474</v>
      </c>
      <c r="B2464" s="7" t="s">
        <v>12</v>
      </c>
      <c r="C2464" t="s">
        <v>2</v>
      </c>
    </row>
    <row r="2465" spans="1:3" x14ac:dyDescent="0.3">
      <c r="A2465" s="7" t="s">
        <v>2475</v>
      </c>
      <c r="B2465" s="7" t="s">
        <v>12</v>
      </c>
      <c r="C2465" t="s">
        <v>2</v>
      </c>
    </row>
    <row r="2466" spans="1:3" x14ac:dyDescent="0.3">
      <c r="A2466" s="7" t="s">
        <v>2476</v>
      </c>
      <c r="B2466" s="7" t="s">
        <v>12</v>
      </c>
      <c r="C2466" t="s">
        <v>2</v>
      </c>
    </row>
    <row r="2467" spans="1:3" x14ac:dyDescent="0.3">
      <c r="A2467" s="7" t="s">
        <v>2477</v>
      </c>
      <c r="B2467" s="7" t="s">
        <v>12</v>
      </c>
      <c r="C2467" t="s">
        <v>2</v>
      </c>
    </row>
    <row r="2468" spans="1:3" x14ac:dyDescent="0.3">
      <c r="A2468" s="7" t="s">
        <v>2478</v>
      </c>
      <c r="B2468" s="7" t="s">
        <v>12</v>
      </c>
      <c r="C2468" t="s">
        <v>2</v>
      </c>
    </row>
    <row r="2469" spans="1:3" x14ac:dyDescent="0.3">
      <c r="A2469" s="7" t="s">
        <v>2479</v>
      </c>
      <c r="B2469" s="7" t="s">
        <v>12</v>
      </c>
      <c r="C2469" t="s">
        <v>2</v>
      </c>
    </row>
    <row r="2470" spans="1:3" x14ac:dyDescent="0.3">
      <c r="A2470" s="7" t="s">
        <v>2480</v>
      </c>
      <c r="B2470" s="7" t="s">
        <v>12</v>
      </c>
      <c r="C2470" t="s">
        <v>2</v>
      </c>
    </row>
    <row r="2471" spans="1:3" x14ac:dyDescent="0.3">
      <c r="A2471" s="7" t="s">
        <v>2481</v>
      </c>
      <c r="B2471" s="7" t="s">
        <v>12</v>
      </c>
      <c r="C2471" t="s">
        <v>2</v>
      </c>
    </row>
    <row r="2472" spans="1:3" x14ac:dyDescent="0.3">
      <c r="A2472" s="7" t="s">
        <v>2482</v>
      </c>
      <c r="B2472" s="7" t="s">
        <v>12</v>
      </c>
      <c r="C2472" t="s">
        <v>2</v>
      </c>
    </row>
    <row r="2473" spans="1:3" x14ac:dyDescent="0.3">
      <c r="A2473" s="7" t="s">
        <v>2483</v>
      </c>
      <c r="B2473" s="7" t="s">
        <v>12</v>
      </c>
      <c r="C2473" t="s">
        <v>2</v>
      </c>
    </row>
    <row r="2474" spans="1:3" x14ac:dyDescent="0.3">
      <c r="A2474" s="7" t="s">
        <v>2484</v>
      </c>
      <c r="B2474" s="7" t="s">
        <v>12</v>
      </c>
      <c r="C2474" t="s">
        <v>2</v>
      </c>
    </row>
    <row r="2475" spans="1:3" x14ac:dyDescent="0.3">
      <c r="A2475" s="7" t="s">
        <v>2485</v>
      </c>
      <c r="B2475" s="7" t="s">
        <v>12</v>
      </c>
      <c r="C2475" t="s">
        <v>2</v>
      </c>
    </row>
    <row r="2476" spans="1:3" x14ac:dyDescent="0.3">
      <c r="A2476" s="7" t="s">
        <v>2486</v>
      </c>
      <c r="B2476" s="7" t="s">
        <v>12</v>
      </c>
      <c r="C2476" t="s">
        <v>2</v>
      </c>
    </row>
    <row r="2477" spans="1:3" x14ac:dyDescent="0.3">
      <c r="A2477" s="7" t="s">
        <v>2487</v>
      </c>
      <c r="B2477" s="7" t="s">
        <v>12</v>
      </c>
      <c r="C2477" t="s">
        <v>2</v>
      </c>
    </row>
    <row r="2478" spans="1:3" x14ac:dyDescent="0.3">
      <c r="A2478" s="7" t="s">
        <v>2488</v>
      </c>
      <c r="B2478" s="7" t="s">
        <v>12</v>
      </c>
      <c r="C2478" t="s">
        <v>2</v>
      </c>
    </row>
    <row r="2479" spans="1:3" x14ac:dyDescent="0.3">
      <c r="A2479" s="7" t="s">
        <v>2489</v>
      </c>
      <c r="B2479" s="7" t="s">
        <v>12</v>
      </c>
      <c r="C2479" t="s">
        <v>2</v>
      </c>
    </row>
    <row r="2480" spans="1:3" x14ac:dyDescent="0.3">
      <c r="A2480" s="7" t="s">
        <v>2490</v>
      </c>
      <c r="B2480" s="7" t="s">
        <v>12</v>
      </c>
      <c r="C2480" t="s">
        <v>2</v>
      </c>
    </row>
    <row r="2481" spans="1:3" x14ac:dyDescent="0.3">
      <c r="A2481" s="7" t="s">
        <v>2491</v>
      </c>
      <c r="B2481" s="7" t="s">
        <v>12</v>
      </c>
      <c r="C2481" t="s">
        <v>2</v>
      </c>
    </row>
    <row r="2482" spans="1:3" x14ac:dyDescent="0.3">
      <c r="A2482" s="7" t="s">
        <v>2492</v>
      </c>
      <c r="B2482" s="7" t="s">
        <v>12</v>
      </c>
      <c r="C2482" t="s">
        <v>2</v>
      </c>
    </row>
    <row r="2483" spans="1:3" x14ac:dyDescent="0.3">
      <c r="A2483" s="7" t="s">
        <v>2493</v>
      </c>
      <c r="B2483" s="7" t="s">
        <v>12</v>
      </c>
      <c r="C2483" t="s">
        <v>2</v>
      </c>
    </row>
    <row r="2484" spans="1:3" x14ac:dyDescent="0.3">
      <c r="A2484" s="7" t="s">
        <v>2494</v>
      </c>
      <c r="B2484" s="7" t="s">
        <v>12</v>
      </c>
      <c r="C2484" t="s">
        <v>2</v>
      </c>
    </row>
    <row r="2485" spans="1:3" x14ac:dyDescent="0.3">
      <c r="A2485" s="7" t="s">
        <v>2495</v>
      </c>
      <c r="B2485" s="7" t="s">
        <v>12</v>
      </c>
      <c r="C2485" t="s">
        <v>2</v>
      </c>
    </row>
    <row r="2486" spans="1:3" x14ac:dyDescent="0.3">
      <c r="A2486" s="7" t="s">
        <v>2496</v>
      </c>
      <c r="B2486" s="7" t="s">
        <v>12</v>
      </c>
      <c r="C2486" t="s">
        <v>2</v>
      </c>
    </row>
    <row r="2487" spans="1:3" x14ac:dyDescent="0.3">
      <c r="A2487" s="7" t="s">
        <v>2497</v>
      </c>
      <c r="B2487" s="7" t="s">
        <v>12</v>
      </c>
      <c r="C2487" t="s">
        <v>2</v>
      </c>
    </row>
    <row r="2488" spans="1:3" x14ac:dyDescent="0.3">
      <c r="A2488" s="7" t="s">
        <v>2498</v>
      </c>
      <c r="B2488" s="7" t="s">
        <v>12</v>
      </c>
      <c r="C2488" t="s">
        <v>3</v>
      </c>
    </row>
    <row r="2489" spans="1:3" x14ac:dyDescent="0.3">
      <c r="A2489" s="7" t="s">
        <v>2499</v>
      </c>
      <c r="B2489" s="7" t="s">
        <v>12</v>
      </c>
      <c r="C2489" t="s">
        <v>3</v>
      </c>
    </row>
    <row r="2490" spans="1:3" x14ac:dyDescent="0.3">
      <c r="A2490" s="7" t="s">
        <v>2500</v>
      </c>
      <c r="B2490" s="7" t="s">
        <v>12</v>
      </c>
      <c r="C2490" t="s">
        <v>3</v>
      </c>
    </row>
    <row r="2491" spans="1:3" x14ac:dyDescent="0.3">
      <c r="A2491" s="7" t="s">
        <v>2501</v>
      </c>
      <c r="B2491" s="7" t="s">
        <v>12</v>
      </c>
      <c r="C2491" t="s">
        <v>3</v>
      </c>
    </row>
    <row r="2492" spans="1:3" x14ac:dyDescent="0.3">
      <c r="A2492" s="7" t="s">
        <v>2502</v>
      </c>
      <c r="B2492" s="7" t="s">
        <v>12</v>
      </c>
      <c r="C2492" t="s">
        <v>3</v>
      </c>
    </row>
    <row r="2493" spans="1:3" x14ac:dyDescent="0.3">
      <c r="A2493" s="7" t="s">
        <v>2503</v>
      </c>
      <c r="B2493" s="7" t="s">
        <v>12</v>
      </c>
      <c r="C2493" t="s">
        <v>3</v>
      </c>
    </row>
    <row r="2494" spans="1:3" x14ac:dyDescent="0.3">
      <c r="A2494" s="7" t="s">
        <v>2504</v>
      </c>
      <c r="B2494" s="7" t="s">
        <v>12</v>
      </c>
      <c r="C2494" t="s">
        <v>3</v>
      </c>
    </row>
    <row r="2495" spans="1:3" x14ac:dyDescent="0.3">
      <c r="A2495" s="7" t="s">
        <v>2505</v>
      </c>
      <c r="B2495" s="7" t="s">
        <v>12</v>
      </c>
      <c r="C2495" t="s">
        <v>2</v>
      </c>
    </row>
    <row r="2496" spans="1:3" x14ac:dyDescent="0.3">
      <c r="A2496" s="7" t="s">
        <v>2506</v>
      </c>
      <c r="B2496" s="7" t="s">
        <v>12</v>
      </c>
      <c r="C2496" t="s">
        <v>2</v>
      </c>
    </row>
    <row r="2497" spans="1:3" x14ac:dyDescent="0.3">
      <c r="A2497" s="7" t="s">
        <v>2507</v>
      </c>
      <c r="B2497" s="7" t="s">
        <v>12</v>
      </c>
      <c r="C2497" t="s">
        <v>2</v>
      </c>
    </row>
    <row r="2498" spans="1:3" x14ac:dyDescent="0.3">
      <c r="A2498" s="7" t="s">
        <v>2508</v>
      </c>
      <c r="B2498" s="7" t="s">
        <v>12</v>
      </c>
      <c r="C2498" t="s">
        <v>2</v>
      </c>
    </row>
    <row r="2499" spans="1:3" x14ac:dyDescent="0.3">
      <c r="A2499" s="7" t="s">
        <v>2509</v>
      </c>
      <c r="B2499" s="7" t="s">
        <v>12</v>
      </c>
      <c r="C2499" t="s">
        <v>2</v>
      </c>
    </row>
    <row r="2500" spans="1:3" x14ac:dyDescent="0.3">
      <c r="A2500" s="7" t="s">
        <v>2510</v>
      </c>
      <c r="B2500" s="7" t="s">
        <v>12</v>
      </c>
      <c r="C2500" t="s">
        <v>2</v>
      </c>
    </row>
    <row r="2501" spans="1:3" x14ac:dyDescent="0.3">
      <c r="A2501" s="7" t="s">
        <v>2511</v>
      </c>
      <c r="B2501" s="7" t="s">
        <v>12</v>
      </c>
      <c r="C2501" t="s">
        <v>2</v>
      </c>
    </row>
    <row r="2502" spans="1:3" x14ac:dyDescent="0.3">
      <c r="A2502" s="7" t="s">
        <v>2512</v>
      </c>
      <c r="B2502" s="7" t="s">
        <v>12</v>
      </c>
      <c r="C2502" t="s">
        <v>2</v>
      </c>
    </row>
    <row r="2503" spans="1:3" x14ac:dyDescent="0.3">
      <c r="A2503" s="7" t="s">
        <v>2513</v>
      </c>
      <c r="B2503" s="7" t="s">
        <v>12</v>
      </c>
      <c r="C2503" t="s">
        <v>2</v>
      </c>
    </row>
    <row r="2504" spans="1:3" x14ac:dyDescent="0.3">
      <c r="A2504" s="7" t="s">
        <v>2514</v>
      </c>
      <c r="B2504" s="7" t="s">
        <v>12</v>
      </c>
      <c r="C2504" t="s">
        <v>2</v>
      </c>
    </row>
    <row r="2505" spans="1:3" x14ac:dyDescent="0.3">
      <c r="A2505" s="7" t="s">
        <v>2515</v>
      </c>
      <c r="B2505" s="7" t="s">
        <v>12</v>
      </c>
      <c r="C2505" t="s">
        <v>2</v>
      </c>
    </row>
    <row r="2506" spans="1:3" x14ac:dyDescent="0.3">
      <c r="A2506" s="7" t="s">
        <v>2516</v>
      </c>
      <c r="B2506" s="7" t="s">
        <v>12</v>
      </c>
      <c r="C2506" t="s">
        <v>2</v>
      </c>
    </row>
    <row r="2507" spans="1:3" x14ac:dyDescent="0.3">
      <c r="A2507" s="7" t="s">
        <v>2517</v>
      </c>
      <c r="B2507" s="7" t="s">
        <v>12</v>
      </c>
      <c r="C2507" t="s">
        <v>2</v>
      </c>
    </row>
    <row r="2508" spans="1:3" x14ac:dyDescent="0.3">
      <c r="A2508" s="7" t="s">
        <v>2518</v>
      </c>
      <c r="B2508" s="7" t="s">
        <v>12</v>
      </c>
      <c r="C2508" t="s">
        <v>2</v>
      </c>
    </row>
    <row r="2509" spans="1:3" x14ac:dyDescent="0.3">
      <c r="A2509" s="7" t="s">
        <v>2519</v>
      </c>
      <c r="B2509" s="7" t="s">
        <v>12</v>
      </c>
      <c r="C2509" t="s">
        <v>2</v>
      </c>
    </row>
    <row r="2510" spans="1:3" x14ac:dyDescent="0.3">
      <c r="A2510" s="7" t="s">
        <v>2520</v>
      </c>
      <c r="B2510" s="7" t="s">
        <v>12</v>
      </c>
      <c r="C2510" t="s">
        <v>2</v>
      </c>
    </row>
    <row r="2511" spans="1:3" x14ac:dyDescent="0.3">
      <c r="A2511" s="7" t="s">
        <v>2521</v>
      </c>
      <c r="B2511" s="7" t="s">
        <v>12</v>
      </c>
      <c r="C2511" t="s">
        <v>2</v>
      </c>
    </row>
    <row r="2512" spans="1:3" x14ac:dyDescent="0.3">
      <c r="A2512" s="7" t="s">
        <v>2522</v>
      </c>
      <c r="B2512" s="7" t="s">
        <v>12</v>
      </c>
      <c r="C2512" t="s">
        <v>2</v>
      </c>
    </row>
    <row r="2513" spans="1:3" x14ac:dyDescent="0.3">
      <c r="A2513" s="7" t="s">
        <v>2523</v>
      </c>
      <c r="B2513" s="7" t="s">
        <v>12</v>
      </c>
      <c r="C2513" t="s">
        <v>2</v>
      </c>
    </row>
    <row r="2514" spans="1:3" x14ac:dyDescent="0.3">
      <c r="A2514" s="7" t="s">
        <v>2524</v>
      </c>
      <c r="B2514" s="7" t="s">
        <v>12</v>
      </c>
      <c r="C2514" t="s">
        <v>2</v>
      </c>
    </row>
    <row r="2515" spans="1:3" x14ac:dyDescent="0.3">
      <c r="A2515" s="7" t="s">
        <v>2525</v>
      </c>
      <c r="B2515" s="7" t="s">
        <v>12</v>
      </c>
      <c r="C2515" t="s">
        <v>2</v>
      </c>
    </row>
    <row r="2516" spans="1:3" x14ac:dyDescent="0.3">
      <c r="A2516" s="7" t="s">
        <v>2526</v>
      </c>
      <c r="B2516" s="7" t="s">
        <v>12</v>
      </c>
      <c r="C2516" t="s">
        <v>2</v>
      </c>
    </row>
    <row r="2517" spans="1:3" x14ac:dyDescent="0.3">
      <c r="A2517" s="7" t="s">
        <v>2527</v>
      </c>
      <c r="B2517" s="7" t="s">
        <v>12</v>
      </c>
      <c r="C2517" t="s">
        <v>2</v>
      </c>
    </row>
    <row r="2518" spans="1:3" x14ac:dyDescent="0.3">
      <c r="A2518" s="7" t="s">
        <v>2528</v>
      </c>
      <c r="B2518" s="7" t="s">
        <v>12</v>
      </c>
      <c r="C2518" t="s">
        <v>2</v>
      </c>
    </row>
    <row r="2519" spans="1:3" x14ac:dyDescent="0.3">
      <c r="A2519" s="7" t="s">
        <v>2529</v>
      </c>
      <c r="B2519" s="7" t="s">
        <v>12</v>
      </c>
      <c r="C2519" t="s">
        <v>2</v>
      </c>
    </row>
    <row r="2520" spans="1:3" x14ac:dyDescent="0.3">
      <c r="A2520" s="7" t="s">
        <v>2530</v>
      </c>
      <c r="B2520" s="7" t="s">
        <v>12</v>
      </c>
      <c r="C2520" t="s">
        <v>2</v>
      </c>
    </row>
    <row r="2521" spans="1:3" x14ac:dyDescent="0.3">
      <c r="A2521" s="7" t="s">
        <v>2531</v>
      </c>
      <c r="B2521" s="7" t="s">
        <v>12</v>
      </c>
      <c r="C2521" t="s">
        <v>2</v>
      </c>
    </row>
    <row r="2522" spans="1:3" x14ac:dyDescent="0.3">
      <c r="A2522" s="7" t="s">
        <v>2532</v>
      </c>
      <c r="B2522" s="7" t="s">
        <v>12</v>
      </c>
      <c r="C2522" t="s">
        <v>2</v>
      </c>
    </row>
    <row r="2523" spans="1:3" x14ac:dyDescent="0.3">
      <c r="A2523" s="7" t="s">
        <v>2533</v>
      </c>
      <c r="B2523" s="7" t="s">
        <v>12</v>
      </c>
      <c r="C2523" t="s">
        <v>2</v>
      </c>
    </row>
    <row r="2524" spans="1:3" x14ac:dyDescent="0.3">
      <c r="A2524" s="7" t="s">
        <v>2534</v>
      </c>
      <c r="B2524" s="7" t="s">
        <v>12</v>
      </c>
      <c r="C2524" t="s">
        <v>2</v>
      </c>
    </row>
    <row r="2525" spans="1:3" x14ac:dyDescent="0.3">
      <c r="A2525" s="7" t="s">
        <v>2535</v>
      </c>
      <c r="B2525" s="7" t="s">
        <v>12</v>
      </c>
      <c r="C2525" t="s">
        <v>2</v>
      </c>
    </row>
    <row r="2526" spans="1:3" x14ac:dyDescent="0.3">
      <c r="A2526" s="7" t="s">
        <v>2536</v>
      </c>
      <c r="B2526" s="7" t="s">
        <v>12</v>
      </c>
      <c r="C2526" t="s">
        <v>2</v>
      </c>
    </row>
    <row r="2527" spans="1:3" x14ac:dyDescent="0.3">
      <c r="A2527" s="7" t="s">
        <v>2537</v>
      </c>
      <c r="B2527" s="7" t="s">
        <v>12</v>
      </c>
      <c r="C2527" t="s">
        <v>2</v>
      </c>
    </row>
    <row r="2528" spans="1:3" x14ac:dyDescent="0.3">
      <c r="A2528" s="7" t="s">
        <v>2538</v>
      </c>
      <c r="B2528" s="7" t="s">
        <v>12</v>
      </c>
      <c r="C2528" t="s">
        <v>2</v>
      </c>
    </row>
    <row r="2529" spans="1:3" x14ac:dyDescent="0.3">
      <c r="A2529" s="7" t="s">
        <v>2539</v>
      </c>
      <c r="B2529" s="7" t="s">
        <v>12</v>
      </c>
      <c r="C2529" t="s">
        <v>2</v>
      </c>
    </row>
    <row r="2530" spans="1:3" x14ac:dyDescent="0.3">
      <c r="A2530" s="7" t="s">
        <v>2540</v>
      </c>
      <c r="B2530" s="7" t="s">
        <v>12</v>
      </c>
      <c r="C2530" t="s">
        <v>2</v>
      </c>
    </row>
    <row r="2531" spans="1:3" x14ac:dyDescent="0.3">
      <c r="A2531" s="7" t="s">
        <v>2541</v>
      </c>
      <c r="B2531" s="7" t="s">
        <v>12</v>
      </c>
      <c r="C2531" t="s">
        <v>2</v>
      </c>
    </row>
    <row r="2532" spans="1:3" x14ac:dyDescent="0.3">
      <c r="A2532" s="7" t="s">
        <v>2542</v>
      </c>
      <c r="B2532" s="7" t="s">
        <v>12</v>
      </c>
      <c r="C2532" t="s">
        <v>2</v>
      </c>
    </row>
    <row r="2533" spans="1:3" x14ac:dyDescent="0.3">
      <c r="A2533" s="7" t="s">
        <v>2543</v>
      </c>
      <c r="B2533" s="7" t="s">
        <v>12</v>
      </c>
      <c r="C2533" t="s">
        <v>2</v>
      </c>
    </row>
    <row r="2534" spans="1:3" x14ac:dyDescent="0.3">
      <c r="A2534" s="7" t="s">
        <v>2544</v>
      </c>
      <c r="B2534" s="7" t="s">
        <v>12</v>
      </c>
      <c r="C2534" t="s">
        <v>2</v>
      </c>
    </row>
    <row r="2535" spans="1:3" x14ac:dyDescent="0.3">
      <c r="A2535" s="7" t="s">
        <v>2545</v>
      </c>
      <c r="B2535" s="7" t="s">
        <v>12</v>
      </c>
      <c r="C2535" t="s">
        <v>2</v>
      </c>
    </row>
    <row r="2536" spans="1:3" x14ac:dyDescent="0.3">
      <c r="A2536" s="7" t="s">
        <v>2546</v>
      </c>
      <c r="B2536" s="7" t="s">
        <v>12</v>
      </c>
      <c r="C2536" t="s">
        <v>2</v>
      </c>
    </row>
    <row r="2537" spans="1:3" x14ac:dyDescent="0.3">
      <c r="A2537" s="7" t="s">
        <v>2547</v>
      </c>
      <c r="B2537" s="7" t="s">
        <v>12</v>
      </c>
      <c r="C2537" t="s">
        <v>2</v>
      </c>
    </row>
    <row r="2538" spans="1:3" x14ac:dyDescent="0.3">
      <c r="A2538" s="7" t="s">
        <v>2548</v>
      </c>
      <c r="B2538" s="7" t="s">
        <v>12</v>
      </c>
      <c r="C2538" t="s">
        <v>2</v>
      </c>
    </row>
    <row r="2539" spans="1:3" x14ac:dyDescent="0.3">
      <c r="A2539" s="7" t="s">
        <v>2549</v>
      </c>
      <c r="B2539" s="7" t="s">
        <v>12</v>
      </c>
      <c r="C2539" t="s">
        <v>2</v>
      </c>
    </row>
    <row r="2540" spans="1:3" x14ac:dyDescent="0.3">
      <c r="A2540" s="7" t="s">
        <v>2550</v>
      </c>
      <c r="B2540" s="7" t="s">
        <v>12</v>
      </c>
      <c r="C2540" t="s">
        <v>2</v>
      </c>
    </row>
    <row r="2541" spans="1:3" x14ac:dyDescent="0.3">
      <c r="A2541" s="7" t="s">
        <v>2551</v>
      </c>
      <c r="B2541" s="7" t="s">
        <v>12</v>
      </c>
      <c r="C2541" t="s">
        <v>2</v>
      </c>
    </row>
    <row r="2542" spans="1:3" x14ac:dyDescent="0.3">
      <c r="A2542" s="7" t="s">
        <v>2552</v>
      </c>
      <c r="B2542" s="7" t="s">
        <v>12</v>
      </c>
      <c r="C2542" t="s">
        <v>2</v>
      </c>
    </row>
    <row r="2543" spans="1:3" x14ac:dyDescent="0.3">
      <c r="A2543" s="7" t="s">
        <v>2553</v>
      </c>
      <c r="B2543" s="7" t="s">
        <v>12</v>
      </c>
      <c r="C2543" t="s">
        <v>2</v>
      </c>
    </row>
    <row r="2544" spans="1:3" x14ac:dyDescent="0.3">
      <c r="A2544" s="7" t="s">
        <v>2554</v>
      </c>
      <c r="B2544" s="7" t="s">
        <v>12</v>
      </c>
      <c r="C2544" t="s">
        <v>2</v>
      </c>
    </row>
    <row r="2545" spans="1:3" x14ac:dyDescent="0.3">
      <c r="A2545" s="7" t="s">
        <v>2555</v>
      </c>
      <c r="B2545" s="7" t="s">
        <v>12</v>
      </c>
      <c r="C2545" t="s">
        <v>2</v>
      </c>
    </row>
    <row r="2546" spans="1:3" x14ac:dyDescent="0.3">
      <c r="A2546" s="7" t="s">
        <v>2556</v>
      </c>
      <c r="B2546" s="7" t="s">
        <v>12</v>
      </c>
      <c r="C2546" t="s">
        <v>2</v>
      </c>
    </row>
    <row r="2547" spans="1:3" x14ac:dyDescent="0.3">
      <c r="A2547" s="7" t="s">
        <v>2557</v>
      </c>
      <c r="B2547" s="7" t="s">
        <v>12</v>
      </c>
      <c r="C2547" t="s">
        <v>2</v>
      </c>
    </row>
    <row r="2548" spans="1:3" x14ac:dyDescent="0.3">
      <c r="A2548" s="7" t="s">
        <v>2558</v>
      </c>
      <c r="B2548" s="7" t="s">
        <v>12</v>
      </c>
      <c r="C2548" t="s">
        <v>2</v>
      </c>
    </row>
    <row r="2549" spans="1:3" x14ac:dyDescent="0.3">
      <c r="A2549" s="7" t="s">
        <v>2559</v>
      </c>
      <c r="B2549" s="7" t="s">
        <v>12</v>
      </c>
      <c r="C2549" t="s">
        <v>2</v>
      </c>
    </row>
    <row r="2550" spans="1:3" x14ac:dyDescent="0.3">
      <c r="A2550" s="7" t="s">
        <v>2560</v>
      </c>
      <c r="B2550" s="7" t="s">
        <v>12</v>
      </c>
      <c r="C2550" t="s">
        <v>2</v>
      </c>
    </row>
    <row r="2551" spans="1:3" x14ac:dyDescent="0.3">
      <c r="A2551" s="7" t="s">
        <v>2561</v>
      </c>
      <c r="B2551" s="7" t="s">
        <v>12</v>
      </c>
      <c r="C2551" t="s">
        <v>3</v>
      </c>
    </row>
    <row r="2552" spans="1:3" x14ac:dyDescent="0.3">
      <c r="A2552" s="7" t="s">
        <v>2562</v>
      </c>
      <c r="B2552" s="7" t="s">
        <v>12</v>
      </c>
      <c r="C2552" t="s">
        <v>3</v>
      </c>
    </row>
    <row r="2553" spans="1:3" x14ac:dyDescent="0.3">
      <c r="A2553" s="7" t="s">
        <v>2563</v>
      </c>
      <c r="B2553" s="7" t="s">
        <v>12</v>
      </c>
      <c r="C2553" t="s">
        <v>3</v>
      </c>
    </row>
    <row r="2554" spans="1:3" x14ac:dyDescent="0.3">
      <c r="A2554" s="7" t="s">
        <v>2564</v>
      </c>
      <c r="B2554" s="7" t="s">
        <v>12</v>
      </c>
      <c r="C2554" t="s">
        <v>3</v>
      </c>
    </row>
    <row r="2555" spans="1:3" x14ac:dyDescent="0.3">
      <c r="A2555" s="7" t="s">
        <v>2565</v>
      </c>
      <c r="B2555" s="7" t="s">
        <v>12</v>
      </c>
      <c r="C2555" t="s">
        <v>2</v>
      </c>
    </row>
    <row r="2556" spans="1:3" x14ac:dyDescent="0.3">
      <c r="A2556" s="7" t="s">
        <v>2566</v>
      </c>
      <c r="B2556" s="7" t="s">
        <v>12</v>
      </c>
      <c r="C2556" t="s">
        <v>2</v>
      </c>
    </row>
    <row r="2557" spans="1:3" x14ac:dyDescent="0.3">
      <c r="A2557" s="7" t="s">
        <v>2567</v>
      </c>
      <c r="B2557" s="7" t="s">
        <v>12</v>
      </c>
      <c r="C2557" t="s">
        <v>2</v>
      </c>
    </row>
    <row r="2558" spans="1:3" x14ac:dyDescent="0.3">
      <c r="A2558" s="7" t="s">
        <v>2568</v>
      </c>
      <c r="B2558" s="7" t="s">
        <v>12</v>
      </c>
      <c r="C2558" t="s">
        <v>2</v>
      </c>
    </row>
    <row r="2559" spans="1:3" x14ac:dyDescent="0.3">
      <c r="A2559" s="7" t="s">
        <v>2569</v>
      </c>
      <c r="B2559" s="7" t="s">
        <v>12</v>
      </c>
      <c r="C2559" t="s">
        <v>2</v>
      </c>
    </row>
    <row r="2560" spans="1:3" x14ac:dyDescent="0.3">
      <c r="A2560" s="7" t="s">
        <v>2570</v>
      </c>
      <c r="B2560" s="7" t="s">
        <v>12</v>
      </c>
      <c r="C2560" t="s">
        <v>2</v>
      </c>
    </row>
    <row r="2561" spans="1:3" x14ac:dyDescent="0.3">
      <c r="A2561" s="7" t="s">
        <v>2571</v>
      </c>
      <c r="B2561" s="7" t="s">
        <v>12</v>
      </c>
      <c r="C2561" t="s">
        <v>2</v>
      </c>
    </row>
    <row r="2562" spans="1:3" x14ac:dyDescent="0.3">
      <c r="A2562" s="7" t="s">
        <v>2572</v>
      </c>
      <c r="B2562" s="7" t="s">
        <v>12</v>
      </c>
      <c r="C2562" t="s">
        <v>2</v>
      </c>
    </row>
    <row r="2563" spans="1:3" x14ac:dyDescent="0.3">
      <c r="A2563" s="7" t="s">
        <v>2573</v>
      </c>
      <c r="B2563" s="7" t="s">
        <v>12</v>
      </c>
      <c r="C2563" t="s">
        <v>2</v>
      </c>
    </row>
    <row r="2564" spans="1:3" x14ac:dyDescent="0.3">
      <c r="A2564" s="7" t="s">
        <v>2574</v>
      </c>
      <c r="B2564" s="7" t="s">
        <v>12</v>
      </c>
      <c r="C2564" t="s">
        <v>3678</v>
      </c>
    </row>
    <row r="2565" spans="1:3" x14ac:dyDescent="0.3">
      <c r="A2565" s="7" t="s">
        <v>2575</v>
      </c>
      <c r="B2565" s="7" t="s">
        <v>12</v>
      </c>
      <c r="C2565" t="s">
        <v>2</v>
      </c>
    </row>
    <row r="2566" spans="1:3" x14ac:dyDescent="0.3">
      <c r="A2566" s="7" t="s">
        <v>2576</v>
      </c>
      <c r="B2566" s="7" t="s">
        <v>12</v>
      </c>
      <c r="C2566" t="s">
        <v>2</v>
      </c>
    </row>
    <row r="2567" spans="1:3" x14ac:dyDescent="0.3">
      <c r="A2567" s="7" t="s">
        <v>2577</v>
      </c>
      <c r="B2567" s="7" t="s">
        <v>12</v>
      </c>
      <c r="C2567" t="s">
        <v>2</v>
      </c>
    </row>
    <row r="2568" spans="1:3" x14ac:dyDescent="0.3">
      <c r="A2568" s="7" t="s">
        <v>2578</v>
      </c>
      <c r="B2568" s="7" t="s">
        <v>12</v>
      </c>
      <c r="C2568" t="s">
        <v>2</v>
      </c>
    </row>
    <row r="2569" spans="1:3" x14ac:dyDescent="0.3">
      <c r="A2569" s="7" t="s">
        <v>2579</v>
      </c>
      <c r="B2569" s="7" t="s">
        <v>12</v>
      </c>
      <c r="C2569" t="s">
        <v>2</v>
      </c>
    </row>
    <row r="2570" spans="1:3" x14ac:dyDescent="0.3">
      <c r="A2570" s="7" t="s">
        <v>2580</v>
      </c>
      <c r="B2570" s="7" t="s">
        <v>12</v>
      </c>
      <c r="C2570" t="s">
        <v>2</v>
      </c>
    </row>
    <row r="2571" spans="1:3" x14ac:dyDescent="0.3">
      <c r="A2571" s="7" t="s">
        <v>2581</v>
      </c>
      <c r="B2571" s="7" t="s">
        <v>12</v>
      </c>
      <c r="C2571" t="s">
        <v>2</v>
      </c>
    </row>
    <row r="2572" spans="1:3" x14ac:dyDescent="0.3">
      <c r="A2572" s="7" t="s">
        <v>2582</v>
      </c>
      <c r="B2572" s="7" t="s">
        <v>12</v>
      </c>
      <c r="C2572" t="s">
        <v>2</v>
      </c>
    </row>
    <row r="2573" spans="1:3" x14ac:dyDescent="0.3">
      <c r="A2573" s="7" t="s">
        <v>2583</v>
      </c>
      <c r="B2573" s="7" t="s">
        <v>12</v>
      </c>
      <c r="C2573" t="s">
        <v>2</v>
      </c>
    </row>
    <row r="2574" spans="1:3" x14ac:dyDescent="0.3">
      <c r="A2574" s="7" t="s">
        <v>2584</v>
      </c>
      <c r="B2574" s="7" t="s">
        <v>12</v>
      </c>
      <c r="C2574" t="s">
        <v>2</v>
      </c>
    </row>
    <row r="2575" spans="1:3" x14ac:dyDescent="0.3">
      <c r="A2575" s="7" t="s">
        <v>2585</v>
      </c>
      <c r="B2575" s="7" t="s">
        <v>12</v>
      </c>
      <c r="C2575" t="s">
        <v>2</v>
      </c>
    </row>
    <row r="2576" spans="1:3" x14ac:dyDescent="0.3">
      <c r="A2576" s="7" t="s">
        <v>2586</v>
      </c>
      <c r="B2576" s="7" t="s">
        <v>12</v>
      </c>
      <c r="C2576" t="s">
        <v>2</v>
      </c>
    </row>
    <row r="2577" spans="1:3" x14ac:dyDescent="0.3">
      <c r="A2577" s="7" t="s">
        <v>2587</v>
      </c>
      <c r="B2577" s="7" t="s">
        <v>12</v>
      </c>
      <c r="C2577" t="s">
        <v>2</v>
      </c>
    </row>
    <row r="2578" spans="1:3" x14ac:dyDescent="0.3">
      <c r="A2578" s="7" t="s">
        <v>2588</v>
      </c>
      <c r="B2578" s="7" t="s">
        <v>12</v>
      </c>
      <c r="C2578" t="s">
        <v>2</v>
      </c>
    </row>
    <row r="2579" spans="1:3" x14ac:dyDescent="0.3">
      <c r="A2579" s="7" t="s">
        <v>2589</v>
      </c>
      <c r="B2579" s="7" t="s">
        <v>12</v>
      </c>
      <c r="C2579" t="s">
        <v>2</v>
      </c>
    </row>
    <row r="2580" spans="1:3" x14ac:dyDescent="0.3">
      <c r="A2580" s="7" t="s">
        <v>2590</v>
      </c>
      <c r="B2580" s="7" t="s">
        <v>12</v>
      </c>
      <c r="C2580" t="s">
        <v>2</v>
      </c>
    </row>
    <row r="2581" spans="1:3" x14ac:dyDescent="0.3">
      <c r="A2581" s="7" t="s">
        <v>2591</v>
      </c>
      <c r="B2581" s="7" t="s">
        <v>12</v>
      </c>
      <c r="C2581" t="s">
        <v>2</v>
      </c>
    </row>
    <row r="2582" spans="1:3" x14ac:dyDescent="0.3">
      <c r="A2582" s="7" t="s">
        <v>2592</v>
      </c>
      <c r="B2582" s="7" t="s">
        <v>12</v>
      </c>
      <c r="C2582" t="s">
        <v>2</v>
      </c>
    </row>
    <row r="2583" spans="1:3" x14ac:dyDescent="0.3">
      <c r="A2583" s="7" t="s">
        <v>2593</v>
      </c>
      <c r="B2583" s="7" t="s">
        <v>12</v>
      </c>
      <c r="C2583" t="s">
        <v>2</v>
      </c>
    </row>
    <row r="2584" spans="1:3" x14ac:dyDescent="0.3">
      <c r="A2584" s="7" t="s">
        <v>2594</v>
      </c>
      <c r="B2584" s="7" t="s">
        <v>12</v>
      </c>
      <c r="C2584" t="s">
        <v>2</v>
      </c>
    </row>
    <row r="2585" spans="1:3" x14ac:dyDescent="0.3">
      <c r="A2585" s="7" t="s">
        <v>2595</v>
      </c>
      <c r="B2585" s="7" t="s">
        <v>12</v>
      </c>
      <c r="C2585" t="s">
        <v>2</v>
      </c>
    </row>
    <row r="2586" spans="1:3" x14ac:dyDescent="0.3">
      <c r="A2586" s="7" t="s">
        <v>2596</v>
      </c>
      <c r="B2586" s="7" t="s">
        <v>12</v>
      </c>
      <c r="C2586" t="s">
        <v>2</v>
      </c>
    </row>
    <row r="2587" spans="1:3" x14ac:dyDescent="0.3">
      <c r="A2587" s="7" t="s">
        <v>2597</v>
      </c>
      <c r="B2587" s="7" t="s">
        <v>12</v>
      </c>
      <c r="C2587" t="s">
        <v>2</v>
      </c>
    </row>
    <row r="2588" spans="1:3" x14ac:dyDescent="0.3">
      <c r="A2588" s="7" t="s">
        <v>2598</v>
      </c>
      <c r="B2588" s="7" t="s">
        <v>12</v>
      </c>
      <c r="C2588" t="s">
        <v>2</v>
      </c>
    </row>
    <row r="2589" spans="1:3" x14ac:dyDescent="0.3">
      <c r="A2589" s="7" t="s">
        <v>2599</v>
      </c>
      <c r="B2589" s="7" t="s">
        <v>12</v>
      </c>
      <c r="C2589" t="s">
        <v>2</v>
      </c>
    </row>
    <row r="2590" spans="1:3" x14ac:dyDescent="0.3">
      <c r="A2590" s="7" t="s">
        <v>2600</v>
      </c>
      <c r="B2590" s="7" t="s">
        <v>12</v>
      </c>
      <c r="C2590" t="s">
        <v>2</v>
      </c>
    </row>
    <row r="2591" spans="1:3" x14ac:dyDescent="0.3">
      <c r="A2591" s="7" t="s">
        <v>2601</v>
      </c>
      <c r="B2591" s="7" t="s">
        <v>12</v>
      </c>
      <c r="C2591" t="s">
        <v>2</v>
      </c>
    </row>
    <row r="2592" spans="1:3" x14ac:dyDescent="0.3">
      <c r="A2592" s="7" t="s">
        <v>2602</v>
      </c>
      <c r="B2592" s="7" t="s">
        <v>12</v>
      </c>
      <c r="C2592" t="s">
        <v>2</v>
      </c>
    </row>
    <row r="2593" spans="1:3" x14ac:dyDescent="0.3">
      <c r="A2593" s="7" t="s">
        <v>2603</v>
      </c>
      <c r="B2593" s="7" t="s">
        <v>12</v>
      </c>
      <c r="C2593" t="s">
        <v>2</v>
      </c>
    </row>
    <row r="2594" spans="1:3" x14ac:dyDescent="0.3">
      <c r="A2594" s="7" t="s">
        <v>2604</v>
      </c>
      <c r="B2594" s="7" t="s">
        <v>12</v>
      </c>
      <c r="C2594" t="s">
        <v>2</v>
      </c>
    </row>
    <row r="2595" spans="1:3" x14ac:dyDescent="0.3">
      <c r="A2595" s="7" t="s">
        <v>2605</v>
      </c>
      <c r="B2595" s="7" t="s">
        <v>12</v>
      </c>
      <c r="C2595" t="s">
        <v>2</v>
      </c>
    </row>
    <row r="2596" spans="1:3" x14ac:dyDescent="0.3">
      <c r="A2596" s="7" t="s">
        <v>2606</v>
      </c>
      <c r="B2596" s="7" t="s">
        <v>12</v>
      </c>
      <c r="C2596" t="s">
        <v>2</v>
      </c>
    </row>
    <row r="2597" spans="1:3" x14ac:dyDescent="0.3">
      <c r="A2597" s="7" t="s">
        <v>2607</v>
      </c>
      <c r="B2597" s="7" t="s">
        <v>12</v>
      </c>
      <c r="C2597" t="s">
        <v>2</v>
      </c>
    </row>
    <row r="2598" spans="1:3" x14ac:dyDescent="0.3">
      <c r="A2598" s="7" t="s">
        <v>2608</v>
      </c>
      <c r="B2598" s="7" t="s">
        <v>12</v>
      </c>
      <c r="C2598" t="s">
        <v>2</v>
      </c>
    </row>
    <row r="2599" spans="1:3" x14ac:dyDescent="0.3">
      <c r="A2599" s="7" t="s">
        <v>2609</v>
      </c>
      <c r="B2599" s="7" t="s">
        <v>12</v>
      </c>
      <c r="C2599" t="s">
        <v>2</v>
      </c>
    </row>
    <row r="2600" spans="1:3" x14ac:dyDescent="0.3">
      <c r="A2600" s="7" t="s">
        <v>2610</v>
      </c>
      <c r="B2600" s="7" t="s">
        <v>12</v>
      </c>
      <c r="C2600" t="s">
        <v>2</v>
      </c>
    </row>
    <row r="2601" spans="1:3" x14ac:dyDescent="0.3">
      <c r="A2601" s="7" t="s">
        <v>2611</v>
      </c>
      <c r="B2601" s="7" t="s">
        <v>12</v>
      </c>
      <c r="C2601" t="s">
        <v>2</v>
      </c>
    </row>
    <row r="2602" spans="1:3" x14ac:dyDescent="0.3">
      <c r="A2602" s="7" t="s">
        <v>2612</v>
      </c>
      <c r="B2602" s="7" t="s">
        <v>12</v>
      </c>
      <c r="C2602" t="s">
        <v>2</v>
      </c>
    </row>
    <row r="2603" spans="1:3" x14ac:dyDescent="0.3">
      <c r="A2603" s="7" t="s">
        <v>2613</v>
      </c>
      <c r="B2603" s="7" t="s">
        <v>12</v>
      </c>
      <c r="C2603" t="s">
        <v>2</v>
      </c>
    </row>
    <row r="2604" spans="1:3" x14ac:dyDescent="0.3">
      <c r="A2604" s="7" t="s">
        <v>2614</v>
      </c>
      <c r="B2604" s="7" t="s">
        <v>12</v>
      </c>
      <c r="C2604" t="s">
        <v>2</v>
      </c>
    </row>
    <row r="2605" spans="1:3" x14ac:dyDescent="0.3">
      <c r="A2605" s="7" t="s">
        <v>2615</v>
      </c>
      <c r="B2605" s="7" t="s">
        <v>12</v>
      </c>
      <c r="C2605" t="s">
        <v>2</v>
      </c>
    </row>
    <row r="2606" spans="1:3" x14ac:dyDescent="0.3">
      <c r="A2606" s="7" t="s">
        <v>2616</v>
      </c>
      <c r="B2606" s="7" t="s">
        <v>12</v>
      </c>
      <c r="C2606" t="s">
        <v>2</v>
      </c>
    </row>
    <row r="2607" spans="1:3" x14ac:dyDescent="0.3">
      <c r="A2607" s="7" t="s">
        <v>2617</v>
      </c>
      <c r="B2607" s="7" t="s">
        <v>12</v>
      </c>
      <c r="C2607" t="s">
        <v>2</v>
      </c>
    </row>
    <row r="2608" spans="1:3" x14ac:dyDescent="0.3">
      <c r="A2608" s="7" t="s">
        <v>2618</v>
      </c>
      <c r="B2608" s="7" t="s">
        <v>12</v>
      </c>
      <c r="C2608" t="s">
        <v>2</v>
      </c>
    </row>
    <row r="2609" spans="1:3" x14ac:dyDescent="0.3">
      <c r="A2609" s="7" t="s">
        <v>2619</v>
      </c>
      <c r="B2609" s="7" t="s">
        <v>12</v>
      </c>
      <c r="C2609" t="s">
        <v>2</v>
      </c>
    </row>
    <row r="2610" spans="1:3" x14ac:dyDescent="0.3">
      <c r="A2610" s="7" t="s">
        <v>2620</v>
      </c>
      <c r="B2610" s="7" t="s">
        <v>12</v>
      </c>
      <c r="C2610" t="s">
        <v>2</v>
      </c>
    </row>
    <row r="2611" spans="1:3" x14ac:dyDescent="0.3">
      <c r="A2611" s="7" t="s">
        <v>2621</v>
      </c>
      <c r="B2611" s="7" t="s">
        <v>12</v>
      </c>
      <c r="C2611" t="s">
        <v>2</v>
      </c>
    </row>
    <row r="2612" spans="1:3" x14ac:dyDescent="0.3">
      <c r="A2612" s="7" t="s">
        <v>2622</v>
      </c>
      <c r="B2612" s="7" t="s">
        <v>12</v>
      </c>
      <c r="C2612" t="s">
        <v>2</v>
      </c>
    </row>
    <row r="2613" spans="1:3" x14ac:dyDescent="0.3">
      <c r="A2613" s="7" t="s">
        <v>2623</v>
      </c>
      <c r="B2613" s="7" t="s">
        <v>12</v>
      </c>
      <c r="C2613" t="s">
        <v>2</v>
      </c>
    </row>
    <row r="2614" spans="1:3" x14ac:dyDescent="0.3">
      <c r="A2614" s="7" t="s">
        <v>2624</v>
      </c>
      <c r="B2614" s="7" t="s">
        <v>12</v>
      </c>
      <c r="C2614" t="s">
        <v>2</v>
      </c>
    </row>
    <row r="2615" spans="1:3" x14ac:dyDescent="0.3">
      <c r="A2615" s="7" t="s">
        <v>2625</v>
      </c>
      <c r="B2615" s="7" t="s">
        <v>12</v>
      </c>
      <c r="C2615" t="s">
        <v>2</v>
      </c>
    </row>
    <row r="2616" spans="1:3" x14ac:dyDescent="0.3">
      <c r="A2616" s="7" t="s">
        <v>2626</v>
      </c>
      <c r="B2616" s="7" t="s">
        <v>12</v>
      </c>
      <c r="C2616" t="s">
        <v>2</v>
      </c>
    </row>
    <row r="2617" spans="1:3" x14ac:dyDescent="0.3">
      <c r="A2617" s="7" t="s">
        <v>2627</v>
      </c>
      <c r="B2617" s="7" t="s">
        <v>12</v>
      </c>
      <c r="C2617" t="s">
        <v>2</v>
      </c>
    </row>
    <row r="2618" spans="1:3" x14ac:dyDescent="0.3">
      <c r="A2618" s="7" t="s">
        <v>2628</v>
      </c>
      <c r="B2618" s="7" t="s">
        <v>12</v>
      </c>
      <c r="C2618" t="s">
        <v>2</v>
      </c>
    </row>
    <row r="2619" spans="1:3" x14ac:dyDescent="0.3">
      <c r="A2619" s="7" t="s">
        <v>2629</v>
      </c>
      <c r="B2619" s="7" t="s">
        <v>12</v>
      </c>
      <c r="C2619" t="s">
        <v>2</v>
      </c>
    </row>
    <row r="2620" spans="1:3" x14ac:dyDescent="0.3">
      <c r="A2620" s="7" t="s">
        <v>2630</v>
      </c>
      <c r="B2620" s="7" t="s">
        <v>12</v>
      </c>
      <c r="C2620" t="s">
        <v>2</v>
      </c>
    </row>
    <row r="2621" spans="1:3" x14ac:dyDescent="0.3">
      <c r="A2621" s="7" t="s">
        <v>2631</v>
      </c>
      <c r="B2621" s="7" t="s">
        <v>12</v>
      </c>
      <c r="C2621" t="s">
        <v>2</v>
      </c>
    </row>
    <row r="2622" spans="1:3" x14ac:dyDescent="0.3">
      <c r="A2622" s="7" t="s">
        <v>2632</v>
      </c>
      <c r="B2622" s="7" t="s">
        <v>12</v>
      </c>
      <c r="C2622" t="s">
        <v>2</v>
      </c>
    </row>
    <row r="2623" spans="1:3" x14ac:dyDescent="0.3">
      <c r="A2623" s="7" t="s">
        <v>2633</v>
      </c>
      <c r="B2623" s="7" t="s">
        <v>12</v>
      </c>
      <c r="C2623" t="s">
        <v>2</v>
      </c>
    </row>
    <row r="2624" spans="1:3" x14ac:dyDescent="0.3">
      <c r="A2624" s="7" t="s">
        <v>2634</v>
      </c>
      <c r="B2624" s="7" t="s">
        <v>12</v>
      </c>
      <c r="C2624" t="s">
        <v>2</v>
      </c>
    </row>
    <row r="2625" spans="1:3" x14ac:dyDescent="0.3">
      <c r="A2625" s="7" t="s">
        <v>2635</v>
      </c>
      <c r="B2625" s="7" t="s">
        <v>12</v>
      </c>
      <c r="C2625" t="s">
        <v>2</v>
      </c>
    </row>
    <row r="2626" spans="1:3" x14ac:dyDescent="0.3">
      <c r="A2626" s="7" t="s">
        <v>2636</v>
      </c>
      <c r="B2626" s="7" t="s">
        <v>12</v>
      </c>
      <c r="C2626" t="s">
        <v>2</v>
      </c>
    </row>
    <row r="2627" spans="1:3" x14ac:dyDescent="0.3">
      <c r="A2627" s="7" t="s">
        <v>2637</v>
      </c>
      <c r="B2627" s="7" t="s">
        <v>12</v>
      </c>
      <c r="C2627" t="s">
        <v>2</v>
      </c>
    </row>
    <row r="2628" spans="1:3" x14ac:dyDescent="0.3">
      <c r="A2628" s="7" t="s">
        <v>2638</v>
      </c>
      <c r="B2628" s="7" t="s">
        <v>12</v>
      </c>
      <c r="C2628" t="s">
        <v>2</v>
      </c>
    </row>
    <row r="2629" spans="1:3" x14ac:dyDescent="0.3">
      <c r="A2629" s="7" t="s">
        <v>2639</v>
      </c>
      <c r="B2629" s="7" t="s">
        <v>12</v>
      </c>
      <c r="C2629" t="s">
        <v>2</v>
      </c>
    </row>
    <row r="2630" spans="1:3" x14ac:dyDescent="0.3">
      <c r="A2630" s="7" t="s">
        <v>2640</v>
      </c>
      <c r="B2630" s="7" t="s">
        <v>12</v>
      </c>
      <c r="C2630" t="s">
        <v>2</v>
      </c>
    </row>
    <row r="2631" spans="1:3" x14ac:dyDescent="0.3">
      <c r="A2631" s="7" t="s">
        <v>2641</v>
      </c>
      <c r="B2631" s="7" t="s">
        <v>12</v>
      </c>
      <c r="C2631" t="s">
        <v>2</v>
      </c>
    </row>
    <row r="2632" spans="1:3" x14ac:dyDescent="0.3">
      <c r="A2632" s="7" t="s">
        <v>2642</v>
      </c>
      <c r="B2632" s="7" t="s">
        <v>12</v>
      </c>
      <c r="C2632" t="s">
        <v>3</v>
      </c>
    </row>
    <row r="2633" spans="1:3" x14ac:dyDescent="0.3">
      <c r="A2633" s="7" t="s">
        <v>2643</v>
      </c>
      <c r="B2633" s="7" t="s">
        <v>12</v>
      </c>
      <c r="C2633" t="s">
        <v>3</v>
      </c>
    </row>
    <row r="2634" spans="1:3" x14ac:dyDescent="0.3">
      <c r="A2634" s="7" t="s">
        <v>2644</v>
      </c>
      <c r="B2634" s="7" t="s">
        <v>12</v>
      </c>
      <c r="C2634" t="s">
        <v>3</v>
      </c>
    </row>
    <row r="2635" spans="1:3" x14ac:dyDescent="0.3">
      <c r="A2635" s="7" t="s">
        <v>2645</v>
      </c>
      <c r="B2635" s="7" t="s">
        <v>12</v>
      </c>
      <c r="C2635" t="s">
        <v>3</v>
      </c>
    </row>
    <row r="2636" spans="1:3" x14ac:dyDescent="0.3">
      <c r="A2636" s="7" t="s">
        <v>2646</v>
      </c>
      <c r="B2636" s="7" t="s">
        <v>12</v>
      </c>
      <c r="C2636" t="s">
        <v>3</v>
      </c>
    </row>
    <row r="2637" spans="1:3" x14ac:dyDescent="0.3">
      <c r="A2637" s="7" t="s">
        <v>2647</v>
      </c>
      <c r="B2637" s="7" t="s">
        <v>12</v>
      </c>
      <c r="C2637" t="s">
        <v>3</v>
      </c>
    </row>
    <row r="2638" spans="1:3" x14ac:dyDescent="0.3">
      <c r="A2638" s="7" t="s">
        <v>2648</v>
      </c>
      <c r="B2638" s="7" t="s">
        <v>12</v>
      </c>
      <c r="C2638" t="s">
        <v>3</v>
      </c>
    </row>
    <row r="2639" spans="1:3" x14ac:dyDescent="0.3">
      <c r="A2639" s="7" t="s">
        <v>2649</v>
      </c>
      <c r="B2639" s="7" t="s">
        <v>12</v>
      </c>
      <c r="C2639" t="s">
        <v>3</v>
      </c>
    </row>
    <row r="2640" spans="1:3" x14ac:dyDescent="0.3">
      <c r="A2640" s="7" t="s">
        <v>2650</v>
      </c>
      <c r="B2640" s="7" t="s">
        <v>12</v>
      </c>
      <c r="C2640" t="s">
        <v>3</v>
      </c>
    </row>
    <row r="2641" spans="1:3" x14ac:dyDescent="0.3">
      <c r="A2641" s="7" t="s">
        <v>2651</v>
      </c>
      <c r="B2641" s="7" t="s">
        <v>12</v>
      </c>
      <c r="C2641" t="s">
        <v>3</v>
      </c>
    </row>
    <row r="2642" spans="1:3" x14ac:dyDescent="0.3">
      <c r="A2642" s="7" t="s">
        <v>2652</v>
      </c>
      <c r="B2642" s="7" t="s">
        <v>12</v>
      </c>
      <c r="C2642" t="s">
        <v>3</v>
      </c>
    </row>
    <row r="2643" spans="1:3" x14ac:dyDescent="0.3">
      <c r="A2643" s="7" t="s">
        <v>2653</v>
      </c>
      <c r="B2643" s="7" t="s">
        <v>12</v>
      </c>
      <c r="C2643" t="s">
        <v>2</v>
      </c>
    </row>
    <row r="2644" spans="1:3" x14ac:dyDescent="0.3">
      <c r="A2644" s="7" t="s">
        <v>2654</v>
      </c>
      <c r="B2644" s="7" t="s">
        <v>12</v>
      </c>
      <c r="C2644" t="s">
        <v>2</v>
      </c>
    </row>
    <row r="2645" spans="1:3" x14ac:dyDescent="0.3">
      <c r="A2645" s="7" t="s">
        <v>2655</v>
      </c>
      <c r="B2645" s="7" t="s">
        <v>12</v>
      </c>
      <c r="C2645" t="s">
        <v>2</v>
      </c>
    </row>
    <row r="2646" spans="1:3" x14ac:dyDescent="0.3">
      <c r="A2646" s="7" t="s">
        <v>2656</v>
      </c>
      <c r="B2646" s="7" t="s">
        <v>12</v>
      </c>
      <c r="C2646" t="s">
        <v>2</v>
      </c>
    </row>
    <row r="2647" spans="1:3" x14ac:dyDescent="0.3">
      <c r="A2647" s="7" t="s">
        <v>2657</v>
      </c>
      <c r="B2647" s="7" t="s">
        <v>12</v>
      </c>
      <c r="C2647" t="s">
        <v>2</v>
      </c>
    </row>
    <row r="2648" spans="1:3" x14ac:dyDescent="0.3">
      <c r="A2648" s="7" t="s">
        <v>2658</v>
      </c>
      <c r="B2648" s="7" t="s">
        <v>12</v>
      </c>
      <c r="C2648" t="s">
        <v>2</v>
      </c>
    </row>
    <row r="2649" spans="1:3" x14ac:dyDescent="0.3">
      <c r="A2649" s="7" t="s">
        <v>2659</v>
      </c>
      <c r="B2649" s="7" t="s">
        <v>12</v>
      </c>
      <c r="C2649" t="s">
        <v>2</v>
      </c>
    </row>
    <row r="2650" spans="1:3" x14ac:dyDescent="0.3">
      <c r="A2650" s="7" t="s">
        <v>2660</v>
      </c>
      <c r="B2650" s="7" t="s">
        <v>12</v>
      </c>
      <c r="C2650" t="s">
        <v>2</v>
      </c>
    </row>
    <row r="2651" spans="1:3" x14ac:dyDescent="0.3">
      <c r="A2651" s="7" t="s">
        <v>2661</v>
      </c>
      <c r="B2651" s="7" t="s">
        <v>12</v>
      </c>
      <c r="C2651" t="s">
        <v>2</v>
      </c>
    </row>
    <row r="2652" spans="1:3" x14ac:dyDescent="0.3">
      <c r="A2652" s="7" t="s">
        <v>2662</v>
      </c>
      <c r="B2652" s="7" t="s">
        <v>12</v>
      </c>
      <c r="C2652" t="s">
        <v>2</v>
      </c>
    </row>
    <row r="2653" spans="1:3" x14ac:dyDescent="0.3">
      <c r="A2653" s="7" t="s">
        <v>2663</v>
      </c>
      <c r="B2653" s="7" t="s">
        <v>12</v>
      </c>
      <c r="C2653" t="s">
        <v>2</v>
      </c>
    </row>
    <row r="2654" spans="1:3" x14ac:dyDescent="0.3">
      <c r="A2654" s="7" t="s">
        <v>2664</v>
      </c>
      <c r="B2654" s="7" t="s">
        <v>12</v>
      </c>
      <c r="C2654" t="s">
        <v>2</v>
      </c>
    </row>
    <row r="2655" spans="1:3" x14ac:dyDescent="0.3">
      <c r="A2655" s="7" t="s">
        <v>2665</v>
      </c>
      <c r="B2655" s="7" t="s">
        <v>12</v>
      </c>
      <c r="C2655" t="s">
        <v>2</v>
      </c>
    </row>
    <row r="2656" spans="1:3" x14ac:dyDescent="0.3">
      <c r="A2656" s="7" t="s">
        <v>2666</v>
      </c>
      <c r="B2656" s="7" t="s">
        <v>12</v>
      </c>
      <c r="C2656" t="s">
        <v>2</v>
      </c>
    </row>
    <row r="2657" spans="1:3" x14ac:dyDescent="0.3">
      <c r="A2657" s="7" t="s">
        <v>2667</v>
      </c>
      <c r="B2657" s="7" t="s">
        <v>12</v>
      </c>
      <c r="C2657" t="s">
        <v>2</v>
      </c>
    </row>
    <row r="2658" spans="1:3" x14ac:dyDescent="0.3">
      <c r="A2658" s="7" t="s">
        <v>2668</v>
      </c>
      <c r="B2658" s="7" t="s">
        <v>12</v>
      </c>
      <c r="C2658" t="s">
        <v>2</v>
      </c>
    </row>
    <row r="2659" spans="1:3" x14ac:dyDescent="0.3">
      <c r="A2659" s="7" t="s">
        <v>2669</v>
      </c>
      <c r="B2659" s="7" t="s">
        <v>12</v>
      </c>
      <c r="C2659" t="s">
        <v>2</v>
      </c>
    </row>
    <row r="2660" spans="1:3" x14ac:dyDescent="0.3">
      <c r="A2660" s="7" t="s">
        <v>2670</v>
      </c>
      <c r="B2660" s="7" t="s">
        <v>12</v>
      </c>
      <c r="C2660" t="s">
        <v>2</v>
      </c>
    </row>
    <row r="2661" spans="1:3" x14ac:dyDescent="0.3">
      <c r="A2661" s="7" t="s">
        <v>2671</v>
      </c>
      <c r="B2661" s="7" t="s">
        <v>12</v>
      </c>
      <c r="C2661" t="s">
        <v>2</v>
      </c>
    </row>
    <row r="2662" spans="1:3" x14ac:dyDescent="0.3">
      <c r="A2662" s="7" t="s">
        <v>2672</v>
      </c>
      <c r="B2662" s="7" t="s">
        <v>12</v>
      </c>
      <c r="C2662" t="s">
        <v>2</v>
      </c>
    </row>
    <row r="2663" spans="1:3" x14ac:dyDescent="0.3">
      <c r="A2663" s="7" t="s">
        <v>2673</v>
      </c>
      <c r="B2663" s="7" t="s">
        <v>12</v>
      </c>
      <c r="C2663" t="s">
        <v>2</v>
      </c>
    </row>
    <row r="2664" spans="1:3" x14ac:dyDescent="0.3">
      <c r="A2664" s="7" t="s">
        <v>2674</v>
      </c>
      <c r="B2664" s="7" t="s">
        <v>12</v>
      </c>
      <c r="C2664" t="s">
        <v>2</v>
      </c>
    </row>
    <row r="2665" spans="1:3" x14ac:dyDescent="0.3">
      <c r="A2665" s="7" t="s">
        <v>2675</v>
      </c>
      <c r="B2665" s="7" t="s">
        <v>12</v>
      </c>
      <c r="C2665" t="s">
        <v>2</v>
      </c>
    </row>
    <row r="2666" spans="1:3" x14ac:dyDescent="0.3">
      <c r="A2666" s="7" t="s">
        <v>2676</v>
      </c>
      <c r="B2666" s="7" t="s">
        <v>12</v>
      </c>
      <c r="C2666" t="s">
        <v>2</v>
      </c>
    </row>
    <row r="2667" spans="1:3" x14ac:dyDescent="0.3">
      <c r="A2667" s="7" t="s">
        <v>2677</v>
      </c>
      <c r="B2667" s="7" t="s">
        <v>12</v>
      </c>
      <c r="C2667" t="s">
        <v>2</v>
      </c>
    </row>
    <row r="2668" spans="1:3" x14ac:dyDescent="0.3">
      <c r="A2668" s="7" t="s">
        <v>2678</v>
      </c>
      <c r="B2668" s="7" t="s">
        <v>12</v>
      </c>
      <c r="C2668" t="s">
        <v>2</v>
      </c>
    </row>
    <row r="2669" spans="1:3" x14ac:dyDescent="0.3">
      <c r="A2669" s="7" t="s">
        <v>2679</v>
      </c>
      <c r="B2669" s="7" t="s">
        <v>12</v>
      </c>
      <c r="C2669" t="s">
        <v>2</v>
      </c>
    </row>
    <row r="2670" spans="1:3" x14ac:dyDescent="0.3">
      <c r="A2670" s="7" t="s">
        <v>2680</v>
      </c>
      <c r="B2670" s="7" t="s">
        <v>12</v>
      </c>
      <c r="C2670" t="s">
        <v>2</v>
      </c>
    </row>
    <row r="2671" spans="1:3" x14ac:dyDescent="0.3">
      <c r="A2671" s="7" t="s">
        <v>2681</v>
      </c>
      <c r="B2671" s="7" t="s">
        <v>12</v>
      </c>
      <c r="C2671" t="s">
        <v>2</v>
      </c>
    </row>
    <row r="2672" spans="1:3" x14ac:dyDescent="0.3">
      <c r="A2672" s="7" t="s">
        <v>2682</v>
      </c>
      <c r="B2672" s="7" t="s">
        <v>12</v>
      </c>
      <c r="C2672" t="s">
        <v>2</v>
      </c>
    </row>
    <row r="2673" spans="1:3" x14ac:dyDescent="0.3">
      <c r="A2673" s="7" t="s">
        <v>2683</v>
      </c>
      <c r="B2673" s="7" t="s">
        <v>12</v>
      </c>
      <c r="C2673" t="s">
        <v>2</v>
      </c>
    </row>
    <row r="2674" spans="1:3" x14ac:dyDescent="0.3">
      <c r="A2674" s="7" t="s">
        <v>2684</v>
      </c>
      <c r="B2674" s="7" t="s">
        <v>12</v>
      </c>
      <c r="C2674" t="s">
        <v>2</v>
      </c>
    </row>
    <row r="2675" spans="1:3" x14ac:dyDescent="0.3">
      <c r="A2675" s="7" t="s">
        <v>2685</v>
      </c>
      <c r="B2675" s="7" t="s">
        <v>12</v>
      </c>
      <c r="C2675" t="s">
        <v>2</v>
      </c>
    </row>
    <row r="2676" spans="1:3" x14ac:dyDescent="0.3">
      <c r="A2676" s="7" t="s">
        <v>2686</v>
      </c>
      <c r="B2676" s="7" t="s">
        <v>12</v>
      </c>
      <c r="C2676" t="s">
        <v>2</v>
      </c>
    </row>
    <row r="2677" spans="1:3" x14ac:dyDescent="0.3">
      <c r="A2677" s="7" t="s">
        <v>2687</v>
      </c>
      <c r="B2677" s="7" t="s">
        <v>12</v>
      </c>
      <c r="C2677" t="s">
        <v>2</v>
      </c>
    </row>
    <row r="2678" spans="1:3" x14ac:dyDescent="0.3">
      <c r="A2678" s="7" t="s">
        <v>2688</v>
      </c>
      <c r="B2678" s="7" t="s">
        <v>12</v>
      </c>
      <c r="C2678" t="s">
        <v>2</v>
      </c>
    </row>
    <row r="2679" spans="1:3" x14ac:dyDescent="0.3">
      <c r="A2679" s="7" t="s">
        <v>2689</v>
      </c>
      <c r="B2679" s="7" t="s">
        <v>12</v>
      </c>
      <c r="C2679" t="s">
        <v>2</v>
      </c>
    </row>
    <row r="2680" spans="1:3" x14ac:dyDescent="0.3">
      <c r="A2680" s="7" t="s">
        <v>2690</v>
      </c>
      <c r="B2680" s="7" t="s">
        <v>12</v>
      </c>
      <c r="C2680" t="s">
        <v>2</v>
      </c>
    </row>
    <row r="2681" spans="1:3" x14ac:dyDescent="0.3">
      <c r="A2681" s="7" t="s">
        <v>2691</v>
      </c>
      <c r="B2681" s="7" t="s">
        <v>12</v>
      </c>
      <c r="C2681" t="s">
        <v>2</v>
      </c>
    </row>
    <row r="2682" spans="1:3" x14ac:dyDescent="0.3">
      <c r="A2682" s="7" t="s">
        <v>2692</v>
      </c>
      <c r="B2682" s="7" t="s">
        <v>12</v>
      </c>
      <c r="C2682" t="s">
        <v>2</v>
      </c>
    </row>
    <row r="2683" spans="1:3" x14ac:dyDescent="0.3">
      <c r="A2683" s="7" t="s">
        <v>2693</v>
      </c>
      <c r="B2683" s="7" t="s">
        <v>12</v>
      </c>
      <c r="C2683" t="s">
        <v>2</v>
      </c>
    </row>
    <row r="2684" spans="1:3" x14ac:dyDescent="0.3">
      <c r="A2684" s="7" t="s">
        <v>2694</v>
      </c>
      <c r="B2684" s="7" t="s">
        <v>12</v>
      </c>
      <c r="C2684" t="s">
        <v>2</v>
      </c>
    </row>
    <row r="2685" spans="1:3" x14ac:dyDescent="0.3">
      <c r="A2685" s="7" t="s">
        <v>2695</v>
      </c>
      <c r="B2685" s="7" t="s">
        <v>12</v>
      </c>
      <c r="C2685" t="s">
        <v>2</v>
      </c>
    </row>
    <row r="2686" spans="1:3" x14ac:dyDescent="0.3">
      <c r="A2686" s="7" t="s">
        <v>2696</v>
      </c>
      <c r="B2686" s="7" t="s">
        <v>12</v>
      </c>
      <c r="C2686" t="s">
        <v>2</v>
      </c>
    </row>
    <row r="2687" spans="1:3" x14ac:dyDescent="0.3">
      <c r="A2687" s="7" t="s">
        <v>2697</v>
      </c>
      <c r="B2687" s="7" t="s">
        <v>12</v>
      </c>
      <c r="C2687" t="s">
        <v>2</v>
      </c>
    </row>
    <row r="2688" spans="1:3" x14ac:dyDescent="0.3">
      <c r="A2688" s="7" t="s">
        <v>2698</v>
      </c>
      <c r="B2688" s="7" t="s">
        <v>12</v>
      </c>
      <c r="C2688" t="s">
        <v>2</v>
      </c>
    </row>
    <row r="2689" spans="1:3" x14ac:dyDescent="0.3">
      <c r="A2689" s="7" t="s">
        <v>2699</v>
      </c>
      <c r="B2689" s="7" t="s">
        <v>12</v>
      </c>
      <c r="C2689" t="s">
        <v>2</v>
      </c>
    </row>
    <row r="2690" spans="1:3" x14ac:dyDescent="0.3">
      <c r="A2690" s="7" t="s">
        <v>2700</v>
      </c>
      <c r="B2690" s="7" t="s">
        <v>12</v>
      </c>
      <c r="C2690" t="s">
        <v>2</v>
      </c>
    </row>
    <row r="2691" spans="1:3" x14ac:dyDescent="0.3">
      <c r="A2691" s="7" t="s">
        <v>2701</v>
      </c>
      <c r="B2691" s="7" t="s">
        <v>12</v>
      </c>
      <c r="C2691" t="s">
        <v>2</v>
      </c>
    </row>
    <row r="2692" spans="1:3" x14ac:dyDescent="0.3">
      <c r="A2692" s="7" t="s">
        <v>2702</v>
      </c>
      <c r="B2692" s="7" t="s">
        <v>12</v>
      </c>
      <c r="C2692" t="s">
        <v>2</v>
      </c>
    </row>
    <row r="2693" spans="1:3" x14ac:dyDescent="0.3">
      <c r="A2693" s="7" t="s">
        <v>2703</v>
      </c>
      <c r="B2693" s="7" t="s">
        <v>12</v>
      </c>
      <c r="C2693" t="s">
        <v>2</v>
      </c>
    </row>
    <row r="2694" spans="1:3" x14ac:dyDescent="0.3">
      <c r="A2694" s="7" t="s">
        <v>2704</v>
      </c>
      <c r="B2694" s="7" t="s">
        <v>12</v>
      </c>
      <c r="C2694" t="s">
        <v>2</v>
      </c>
    </row>
    <row r="2695" spans="1:3" x14ac:dyDescent="0.3">
      <c r="A2695" s="7" t="s">
        <v>2705</v>
      </c>
      <c r="B2695" s="7" t="s">
        <v>12</v>
      </c>
      <c r="C2695" t="s">
        <v>2</v>
      </c>
    </row>
    <row r="2696" spans="1:3" x14ac:dyDescent="0.3">
      <c r="A2696" s="7" t="s">
        <v>2706</v>
      </c>
      <c r="B2696" s="7" t="s">
        <v>12</v>
      </c>
      <c r="C2696" t="s">
        <v>2</v>
      </c>
    </row>
    <row r="2697" spans="1:3" x14ac:dyDescent="0.3">
      <c r="A2697" s="7" t="s">
        <v>2707</v>
      </c>
      <c r="B2697" s="7" t="s">
        <v>12</v>
      </c>
      <c r="C2697" t="s">
        <v>2</v>
      </c>
    </row>
    <row r="2698" spans="1:3" x14ac:dyDescent="0.3">
      <c r="A2698" s="7" t="s">
        <v>2708</v>
      </c>
      <c r="B2698" s="7" t="s">
        <v>12</v>
      </c>
      <c r="C2698" t="s">
        <v>3</v>
      </c>
    </row>
    <row r="2699" spans="1:3" x14ac:dyDescent="0.3">
      <c r="A2699" s="7" t="s">
        <v>2709</v>
      </c>
      <c r="B2699" s="7" t="s">
        <v>12</v>
      </c>
      <c r="C2699" t="s">
        <v>3</v>
      </c>
    </row>
    <row r="2700" spans="1:3" x14ac:dyDescent="0.3">
      <c r="A2700" s="7" t="s">
        <v>2710</v>
      </c>
      <c r="B2700" s="7" t="s">
        <v>12</v>
      </c>
      <c r="C2700" t="s">
        <v>3</v>
      </c>
    </row>
    <row r="2701" spans="1:3" x14ac:dyDescent="0.3">
      <c r="A2701" s="7" t="s">
        <v>2711</v>
      </c>
      <c r="B2701" s="7" t="s">
        <v>12</v>
      </c>
      <c r="C2701" t="s">
        <v>3</v>
      </c>
    </row>
    <row r="2702" spans="1:3" x14ac:dyDescent="0.3">
      <c r="A2702" s="7" t="s">
        <v>2712</v>
      </c>
      <c r="B2702" s="7" t="s">
        <v>12</v>
      </c>
      <c r="C2702" t="s">
        <v>3</v>
      </c>
    </row>
    <row r="2703" spans="1:3" x14ac:dyDescent="0.3">
      <c r="A2703" s="7" t="s">
        <v>2713</v>
      </c>
      <c r="B2703" s="7" t="s">
        <v>12</v>
      </c>
      <c r="C2703" t="s">
        <v>3</v>
      </c>
    </row>
    <row r="2704" spans="1:3" x14ac:dyDescent="0.3">
      <c r="A2704" s="7" t="s">
        <v>2714</v>
      </c>
      <c r="B2704" s="7" t="s">
        <v>12</v>
      </c>
      <c r="C2704" t="s">
        <v>3</v>
      </c>
    </row>
    <row r="2705" spans="1:3" x14ac:dyDescent="0.3">
      <c r="A2705" s="7" t="s">
        <v>2715</v>
      </c>
      <c r="B2705" s="7" t="s">
        <v>12</v>
      </c>
      <c r="C2705" t="s">
        <v>3678</v>
      </c>
    </row>
    <row r="2706" spans="1:3" x14ac:dyDescent="0.3">
      <c r="A2706" s="7" t="s">
        <v>2716</v>
      </c>
      <c r="B2706" s="7" t="s">
        <v>12</v>
      </c>
      <c r="C2706" t="s">
        <v>3678</v>
      </c>
    </row>
    <row r="2707" spans="1:3" x14ac:dyDescent="0.3">
      <c r="A2707" s="7" t="s">
        <v>2717</v>
      </c>
      <c r="B2707" s="7" t="s">
        <v>12</v>
      </c>
      <c r="C2707" t="s">
        <v>3678</v>
      </c>
    </row>
    <row r="2708" spans="1:3" x14ac:dyDescent="0.3">
      <c r="A2708" s="7" t="s">
        <v>2718</v>
      </c>
      <c r="B2708" s="7" t="s">
        <v>12</v>
      </c>
      <c r="C2708" t="s">
        <v>3678</v>
      </c>
    </row>
    <row r="2709" spans="1:3" x14ac:dyDescent="0.3">
      <c r="A2709" s="7" t="s">
        <v>2719</v>
      </c>
      <c r="B2709" s="7" t="s">
        <v>12</v>
      </c>
      <c r="C2709" t="s">
        <v>3678</v>
      </c>
    </row>
    <row r="2710" spans="1:3" x14ac:dyDescent="0.3">
      <c r="A2710" s="7" t="s">
        <v>2720</v>
      </c>
      <c r="B2710" s="7" t="s">
        <v>12</v>
      </c>
      <c r="C2710" t="s">
        <v>2</v>
      </c>
    </row>
    <row r="2711" spans="1:3" x14ac:dyDescent="0.3">
      <c r="A2711" s="7" t="s">
        <v>2721</v>
      </c>
      <c r="B2711" s="7" t="s">
        <v>12</v>
      </c>
      <c r="C2711" t="s">
        <v>2</v>
      </c>
    </row>
    <row r="2712" spans="1:3" x14ac:dyDescent="0.3">
      <c r="A2712" s="7" t="s">
        <v>2722</v>
      </c>
      <c r="B2712" s="7" t="s">
        <v>12</v>
      </c>
      <c r="C2712" t="s">
        <v>2</v>
      </c>
    </row>
    <row r="2713" spans="1:3" x14ac:dyDescent="0.3">
      <c r="A2713" s="7" t="s">
        <v>2723</v>
      </c>
      <c r="B2713" s="7" t="s">
        <v>12</v>
      </c>
      <c r="C2713" t="s">
        <v>2</v>
      </c>
    </row>
    <row r="2714" spans="1:3" x14ac:dyDescent="0.3">
      <c r="A2714" s="7" t="s">
        <v>2724</v>
      </c>
      <c r="B2714" s="7" t="s">
        <v>12</v>
      </c>
      <c r="C2714" t="s">
        <v>2</v>
      </c>
    </row>
    <row r="2715" spans="1:3" x14ac:dyDescent="0.3">
      <c r="A2715" s="7" t="s">
        <v>2725</v>
      </c>
      <c r="B2715" s="7" t="s">
        <v>12</v>
      </c>
      <c r="C2715" t="s">
        <v>2</v>
      </c>
    </row>
    <row r="2716" spans="1:3" x14ac:dyDescent="0.3">
      <c r="A2716" s="7" t="s">
        <v>2726</v>
      </c>
      <c r="B2716" s="7" t="s">
        <v>12</v>
      </c>
      <c r="C2716" t="s">
        <v>2</v>
      </c>
    </row>
    <row r="2717" spans="1:3" x14ac:dyDescent="0.3">
      <c r="A2717" s="7" t="s">
        <v>2727</v>
      </c>
      <c r="B2717" s="7" t="s">
        <v>12</v>
      </c>
      <c r="C2717" t="s">
        <v>2</v>
      </c>
    </row>
    <row r="2718" spans="1:3" x14ac:dyDescent="0.3">
      <c r="A2718" s="7" t="s">
        <v>2728</v>
      </c>
      <c r="B2718" s="7" t="s">
        <v>12</v>
      </c>
      <c r="C2718" t="s">
        <v>2</v>
      </c>
    </row>
    <row r="2719" spans="1:3" x14ac:dyDescent="0.3">
      <c r="A2719" s="7" t="s">
        <v>2729</v>
      </c>
      <c r="B2719" s="7" t="s">
        <v>12</v>
      </c>
      <c r="C2719" t="s">
        <v>2</v>
      </c>
    </row>
    <row r="2720" spans="1:3" x14ac:dyDescent="0.3">
      <c r="A2720" s="7" t="s">
        <v>2730</v>
      </c>
      <c r="B2720" s="7" t="s">
        <v>12</v>
      </c>
      <c r="C2720" t="s">
        <v>2</v>
      </c>
    </row>
    <row r="2721" spans="1:3" x14ac:dyDescent="0.3">
      <c r="A2721" s="7" t="s">
        <v>2731</v>
      </c>
      <c r="B2721" s="7" t="s">
        <v>12</v>
      </c>
      <c r="C2721" t="s">
        <v>2</v>
      </c>
    </row>
    <row r="2722" spans="1:3" x14ac:dyDescent="0.3">
      <c r="A2722" s="7" t="s">
        <v>2732</v>
      </c>
      <c r="B2722" s="7" t="s">
        <v>12</v>
      </c>
      <c r="C2722" t="s">
        <v>2</v>
      </c>
    </row>
    <row r="2723" spans="1:3" x14ac:dyDescent="0.3">
      <c r="A2723" s="7" t="s">
        <v>2733</v>
      </c>
      <c r="B2723" s="7" t="s">
        <v>12</v>
      </c>
      <c r="C2723" t="s">
        <v>2</v>
      </c>
    </row>
    <row r="2724" spans="1:3" x14ac:dyDescent="0.3">
      <c r="A2724" s="7" t="s">
        <v>2734</v>
      </c>
      <c r="B2724" s="7" t="s">
        <v>12</v>
      </c>
      <c r="C2724" t="s">
        <v>2</v>
      </c>
    </row>
    <row r="2725" spans="1:3" x14ac:dyDescent="0.3">
      <c r="A2725" s="7" t="s">
        <v>2735</v>
      </c>
      <c r="B2725" s="7" t="s">
        <v>12</v>
      </c>
      <c r="C2725" t="s">
        <v>2</v>
      </c>
    </row>
    <row r="2726" spans="1:3" x14ac:dyDescent="0.3">
      <c r="A2726" s="7" t="s">
        <v>2736</v>
      </c>
      <c r="B2726" s="7" t="s">
        <v>12</v>
      </c>
      <c r="C2726" t="s">
        <v>2</v>
      </c>
    </row>
    <row r="2727" spans="1:3" x14ac:dyDescent="0.3">
      <c r="A2727" s="7" t="s">
        <v>2737</v>
      </c>
      <c r="B2727" s="7" t="s">
        <v>12</v>
      </c>
      <c r="C2727" t="s">
        <v>2</v>
      </c>
    </row>
    <row r="2728" spans="1:3" x14ac:dyDescent="0.3">
      <c r="A2728" s="7" t="s">
        <v>2738</v>
      </c>
      <c r="B2728" s="7" t="s">
        <v>12</v>
      </c>
      <c r="C2728" t="s">
        <v>2</v>
      </c>
    </row>
    <row r="2729" spans="1:3" x14ac:dyDescent="0.3">
      <c r="A2729" s="7" t="s">
        <v>2739</v>
      </c>
      <c r="B2729" s="7" t="s">
        <v>12</v>
      </c>
      <c r="C2729" t="s">
        <v>2</v>
      </c>
    </row>
    <row r="2730" spans="1:3" x14ac:dyDescent="0.3">
      <c r="A2730" s="7" t="s">
        <v>2740</v>
      </c>
      <c r="B2730" s="7" t="s">
        <v>12</v>
      </c>
      <c r="C2730" t="s">
        <v>2</v>
      </c>
    </row>
    <row r="2731" spans="1:3" x14ac:dyDescent="0.3">
      <c r="A2731" s="7" t="s">
        <v>2741</v>
      </c>
      <c r="B2731" s="7" t="s">
        <v>12</v>
      </c>
      <c r="C2731" t="s">
        <v>2</v>
      </c>
    </row>
    <row r="2732" spans="1:3" x14ac:dyDescent="0.3">
      <c r="A2732" s="7" t="s">
        <v>2742</v>
      </c>
      <c r="B2732" s="7" t="s">
        <v>12</v>
      </c>
      <c r="C2732" t="s">
        <v>2</v>
      </c>
    </row>
    <row r="2733" spans="1:3" x14ac:dyDescent="0.3">
      <c r="A2733" s="7" t="s">
        <v>2743</v>
      </c>
      <c r="B2733" s="7" t="s">
        <v>12</v>
      </c>
      <c r="C2733" t="s">
        <v>2</v>
      </c>
    </row>
    <row r="2734" spans="1:3" x14ac:dyDescent="0.3">
      <c r="A2734" s="7" t="s">
        <v>2744</v>
      </c>
      <c r="B2734" s="7" t="s">
        <v>12</v>
      </c>
      <c r="C2734" t="s">
        <v>2</v>
      </c>
    </row>
    <row r="2735" spans="1:3" x14ac:dyDescent="0.3">
      <c r="A2735" s="7" t="s">
        <v>2745</v>
      </c>
      <c r="B2735" s="7" t="s">
        <v>12</v>
      </c>
      <c r="C2735" t="s">
        <v>2</v>
      </c>
    </row>
    <row r="2736" spans="1:3" x14ac:dyDescent="0.3">
      <c r="A2736" s="7" t="s">
        <v>2746</v>
      </c>
      <c r="B2736" s="7" t="s">
        <v>12</v>
      </c>
      <c r="C2736" t="s">
        <v>2</v>
      </c>
    </row>
    <row r="2737" spans="1:3" x14ac:dyDescent="0.3">
      <c r="A2737" s="7" t="s">
        <v>2747</v>
      </c>
      <c r="B2737" s="7" t="s">
        <v>12</v>
      </c>
      <c r="C2737" t="s">
        <v>2</v>
      </c>
    </row>
    <row r="2738" spans="1:3" x14ac:dyDescent="0.3">
      <c r="A2738" s="7" t="s">
        <v>2748</v>
      </c>
      <c r="B2738" s="7" t="s">
        <v>12</v>
      </c>
      <c r="C2738" t="s">
        <v>2</v>
      </c>
    </row>
    <row r="2739" spans="1:3" x14ac:dyDescent="0.3">
      <c r="A2739" s="7" t="s">
        <v>2749</v>
      </c>
      <c r="B2739" s="7" t="s">
        <v>12</v>
      </c>
      <c r="C2739" t="s">
        <v>2</v>
      </c>
    </row>
    <row r="2740" spans="1:3" x14ac:dyDescent="0.3">
      <c r="A2740" s="7" t="s">
        <v>2750</v>
      </c>
      <c r="B2740" s="7" t="s">
        <v>12</v>
      </c>
      <c r="C2740" t="s">
        <v>2</v>
      </c>
    </row>
    <row r="2741" spans="1:3" x14ac:dyDescent="0.3">
      <c r="A2741" s="7" t="s">
        <v>2751</v>
      </c>
      <c r="B2741" s="7" t="s">
        <v>12</v>
      </c>
      <c r="C2741" t="s">
        <v>2</v>
      </c>
    </row>
    <row r="2742" spans="1:3" x14ac:dyDescent="0.3">
      <c r="A2742" s="7" t="s">
        <v>2752</v>
      </c>
      <c r="B2742" s="7" t="s">
        <v>12</v>
      </c>
      <c r="C2742" t="s">
        <v>2</v>
      </c>
    </row>
    <row r="2743" spans="1:3" x14ac:dyDescent="0.3">
      <c r="A2743" s="7" t="s">
        <v>2753</v>
      </c>
      <c r="B2743" s="7" t="s">
        <v>12</v>
      </c>
      <c r="C2743" t="s">
        <v>2</v>
      </c>
    </row>
    <row r="2744" spans="1:3" x14ac:dyDescent="0.3">
      <c r="A2744" s="7" t="s">
        <v>2754</v>
      </c>
      <c r="B2744" s="7" t="s">
        <v>12</v>
      </c>
      <c r="C2744" t="s">
        <v>2</v>
      </c>
    </row>
    <row r="2745" spans="1:3" x14ac:dyDescent="0.3">
      <c r="A2745" s="7" t="s">
        <v>2755</v>
      </c>
      <c r="B2745" s="7" t="s">
        <v>12</v>
      </c>
      <c r="C2745" t="s">
        <v>2</v>
      </c>
    </row>
    <row r="2746" spans="1:3" x14ac:dyDescent="0.3">
      <c r="A2746" s="7" t="s">
        <v>2756</v>
      </c>
      <c r="B2746" s="7" t="s">
        <v>12</v>
      </c>
      <c r="C2746" t="s">
        <v>2</v>
      </c>
    </row>
    <row r="2747" spans="1:3" x14ac:dyDescent="0.3">
      <c r="A2747" s="7" t="s">
        <v>2757</v>
      </c>
      <c r="B2747" s="7" t="s">
        <v>12</v>
      </c>
      <c r="C2747" t="s">
        <v>2</v>
      </c>
    </row>
    <row r="2748" spans="1:3" x14ac:dyDescent="0.3">
      <c r="A2748" s="7" t="s">
        <v>2758</v>
      </c>
      <c r="B2748" s="7" t="s">
        <v>12</v>
      </c>
      <c r="C2748" t="s">
        <v>2</v>
      </c>
    </row>
    <row r="2749" spans="1:3" x14ac:dyDescent="0.3">
      <c r="A2749" s="7" t="s">
        <v>2759</v>
      </c>
      <c r="B2749" s="7" t="s">
        <v>12</v>
      </c>
      <c r="C2749" t="s">
        <v>2</v>
      </c>
    </row>
    <row r="2750" spans="1:3" x14ac:dyDescent="0.3">
      <c r="A2750" s="7" t="s">
        <v>2760</v>
      </c>
      <c r="B2750" s="7" t="s">
        <v>12</v>
      </c>
      <c r="C2750" t="s">
        <v>2</v>
      </c>
    </row>
    <row r="2751" spans="1:3" x14ac:dyDescent="0.3">
      <c r="A2751" s="7" t="s">
        <v>2761</v>
      </c>
      <c r="B2751" s="7" t="s">
        <v>12</v>
      </c>
      <c r="C2751" t="s">
        <v>2</v>
      </c>
    </row>
    <row r="2752" spans="1:3" x14ac:dyDescent="0.3">
      <c r="A2752" s="7" t="s">
        <v>2762</v>
      </c>
      <c r="B2752" s="7" t="s">
        <v>12</v>
      </c>
      <c r="C2752" t="s">
        <v>2</v>
      </c>
    </row>
    <row r="2753" spans="1:3" x14ac:dyDescent="0.3">
      <c r="A2753" s="7" t="s">
        <v>2763</v>
      </c>
      <c r="B2753" s="7" t="s">
        <v>12</v>
      </c>
      <c r="C2753" t="s">
        <v>2</v>
      </c>
    </row>
    <row r="2754" spans="1:3" x14ac:dyDescent="0.3">
      <c r="A2754" s="7" t="s">
        <v>2764</v>
      </c>
      <c r="B2754" s="7" t="s">
        <v>12</v>
      </c>
      <c r="C2754" t="s">
        <v>2</v>
      </c>
    </row>
    <row r="2755" spans="1:3" x14ac:dyDescent="0.3">
      <c r="A2755" s="7" t="s">
        <v>2765</v>
      </c>
      <c r="B2755" s="7" t="s">
        <v>12</v>
      </c>
      <c r="C2755" t="s">
        <v>2</v>
      </c>
    </row>
    <row r="2756" spans="1:3" x14ac:dyDescent="0.3">
      <c r="A2756" s="7" t="s">
        <v>2766</v>
      </c>
      <c r="B2756" s="7" t="s">
        <v>12</v>
      </c>
      <c r="C2756" t="s">
        <v>2</v>
      </c>
    </row>
    <row r="2757" spans="1:3" x14ac:dyDescent="0.3">
      <c r="A2757" s="7" t="s">
        <v>2767</v>
      </c>
      <c r="B2757" s="7" t="s">
        <v>12</v>
      </c>
      <c r="C2757" t="s">
        <v>2</v>
      </c>
    </row>
    <row r="2758" spans="1:3" x14ac:dyDescent="0.3">
      <c r="A2758" s="7" t="s">
        <v>2768</v>
      </c>
      <c r="B2758" s="7" t="s">
        <v>12</v>
      </c>
      <c r="C2758" t="s">
        <v>3</v>
      </c>
    </row>
    <row r="2759" spans="1:3" x14ac:dyDescent="0.3">
      <c r="A2759" s="7" t="s">
        <v>2769</v>
      </c>
      <c r="B2759" s="7" t="s">
        <v>12</v>
      </c>
      <c r="C2759" t="s">
        <v>3</v>
      </c>
    </row>
    <row r="2760" spans="1:3" x14ac:dyDescent="0.3">
      <c r="A2760" s="7" t="s">
        <v>2770</v>
      </c>
      <c r="B2760" s="7" t="s">
        <v>12</v>
      </c>
      <c r="C2760" t="s">
        <v>2</v>
      </c>
    </row>
    <row r="2761" spans="1:3" x14ac:dyDescent="0.3">
      <c r="A2761" s="7" t="s">
        <v>2771</v>
      </c>
      <c r="B2761" s="7" t="s">
        <v>12</v>
      </c>
      <c r="C2761" t="s">
        <v>2</v>
      </c>
    </row>
    <row r="2762" spans="1:3" x14ac:dyDescent="0.3">
      <c r="A2762" s="7" t="s">
        <v>2772</v>
      </c>
      <c r="B2762" s="7" t="s">
        <v>12</v>
      </c>
      <c r="C2762" t="s">
        <v>2</v>
      </c>
    </row>
    <row r="2763" spans="1:3" x14ac:dyDescent="0.3">
      <c r="A2763" s="7" t="s">
        <v>2773</v>
      </c>
      <c r="B2763" s="7" t="s">
        <v>12</v>
      </c>
      <c r="C2763" t="s">
        <v>2</v>
      </c>
    </row>
    <row r="2764" spans="1:3" x14ac:dyDescent="0.3">
      <c r="A2764" s="7" t="s">
        <v>2774</v>
      </c>
      <c r="B2764" s="7" t="s">
        <v>12</v>
      </c>
      <c r="C2764" t="s">
        <v>2</v>
      </c>
    </row>
    <row r="2765" spans="1:3" x14ac:dyDescent="0.3">
      <c r="A2765" s="7" t="s">
        <v>2775</v>
      </c>
      <c r="B2765" s="7" t="s">
        <v>12</v>
      </c>
      <c r="C2765" t="s">
        <v>2</v>
      </c>
    </row>
    <row r="2766" spans="1:3" x14ac:dyDescent="0.3">
      <c r="A2766" s="7" t="s">
        <v>2776</v>
      </c>
      <c r="B2766" s="7" t="s">
        <v>12</v>
      </c>
      <c r="C2766" t="s">
        <v>3678</v>
      </c>
    </row>
    <row r="2767" spans="1:3" x14ac:dyDescent="0.3">
      <c r="A2767" s="7" t="s">
        <v>2777</v>
      </c>
      <c r="B2767" s="7" t="s">
        <v>12</v>
      </c>
      <c r="C2767" t="s">
        <v>3678</v>
      </c>
    </row>
    <row r="2768" spans="1:3" x14ac:dyDescent="0.3">
      <c r="A2768" s="7" t="s">
        <v>2778</v>
      </c>
      <c r="B2768" s="7" t="s">
        <v>12</v>
      </c>
      <c r="C2768" t="s">
        <v>3678</v>
      </c>
    </row>
    <row r="2769" spans="1:3" x14ac:dyDescent="0.3">
      <c r="A2769" s="7" t="s">
        <v>2779</v>
      </c>
      <c r="B2769" s="7" t="s">
        <v>12</v>
      </c>
      <c r="C2769" t="s">
        <v>3678</v>
      </c>
    </row>
    <row r="2770" spans="1:3" x14ac:dyDescent="0.3">
      <c r="A2770" s="7" t="s">
        <v>2780</v>
      </c>
      <c r="B2770" s="7" t="s">
        <v>12</v>
      </c>
      <c r="C2770" t="s">
        <v>3678</v>
      </c>
    </row>
    <row r="2771" spans="1:3" x14ac:dyDescent="0.3">
      <c r="A2771" s="7" t="s">
        <v>2781</v>
      </c>
      <c r="B2771" s="7" t="s">
        <v>12</v>
      </c>
      <c r="C2771" t="s">
        <v>3678</v>
      </c>
    </row>
    <row r="2772" spans="1:3" x14ac:dyDescent="0.3">
      <c r="A2772" s="7" t="s">
        <v>2782</v>
      </c>
      <c r="B2772" s="7" t="s">
        <v>12</v>
      </c>
      <c r="C2772" t="s">
        <v>3678</v>
      </c>
    </row>
    <row r="2773" spans="1:3" x14ac:dyDescent="0.3">
      <c r="A2773" s="7" t="s">
        <v>2783</v>
      </c>
      <c r="B2773" s="7" t="s">
        <v>12</v>
      </c>
      <c r="C2773" t="s">
        <v>3678</v>
      </c>
    </row>
    <row r="2774" spans="1:3" x14ac:dyDescent="0.3">
      <c r="A2774" s="7" t="s">
        <v>2784</v>
      </c>
      <c r="B2774" s="7" t="s">
        <v>12</v>
      </c>
      <c r="C2774" t="s">
        <v>3678</v>
      </c>
    </row>
    <row r="2775" spans="1:3" x14ac:dyDescent="0.3">
      <c r="A2775" s="7" t="s">
        <v>2785</v>
      </c>
      <c r="B2775" s="7" t="s">
        <v>12</v>
      </c>
      <c r="C2775" t="s">
        <v>3678</v>
      </c>
    </row>
    <row r="2776" spans="1:3" x14ac:dyDescent="0.3">
      <c r="A2776" s="7" t="s">
        <v>2786</v>
      </c>
      <c r="B2776" s="7" t="s">
        <v>12</v>
      </c>
      <c r="C2776" t="s">
        <v>3678</v>
      </c>
    </row>
    <row r="2777" spans="1:3" x14ac:dyDescent="0.3">
      <c r="A2777" s="7" t="s">
        <v>2787</v>
      </c>
      <c r="B2777" s="7" t="s">
        <v>12</v>
      </c>
      <c r="C2777" t="s">
        <v>3678</v>
      </c>
    </row>
    <row r="2778" spans="1:3" x14ac:dyDescent="0.3">
      <c r="A2778" s="7" t="s">
        <v>2788</v>
      </c>
      <c r="B2778" s="7" t="s">
        <v>12</v>
      </c>
      <c r="C2778" t="s">
        <v>3678</v>
      </c>
    </row>
    <row r="2779" spans="1:3" x14ac:dyDescent="0.3">
      <c r="A2779" s="7" t="s">
        <v>2789</v>
      </c>
      <c r="B2779" s="7" t="s">
        <v>12</v>
      </c>
      <c r="C2779" t="s">
        <v>3678</v>
      </c>
    </row>
    <row r="2780" spans="1:3" x14ac:dyDescent="0.3">
      <c r="A2780" s="7" t="s">
        <v>2790</v>
      </c>
      <c r="B2780" s="7" t="s">
        <v>12</v>
      </c>
      <c r="C2780" t="s">
        <v>2</v>
      </c>
    </row>
    <row r="2781" spans="1:3" x14ac:dyDescent="0.3">
      <c r="A2781" s="7" t="s">
        <v>2791</v>
      </c>
      <c r="B2781" s="7" t="s">
        <v>12</v>
      </c>
      <c r="C2781" t="s">
        <v>2</v>
      </c>
    </row>
    <row r="2782" spans="1:3" x14ac:dyDescent="0.3">
      <c r="A2782" s="7" t="s">
        <v>2792</v>
      </c>
      <c r="B2782" s="7" t="s">
        <v>12</v>
      </c>
      <c r="C2782" t="s">
        <v>2</v>
      </c>
    </row>
    <row r="2783" spans="1:3" x14ac:dyDescent="0.3">
      <c r="A2783" s="7" t="s">
        <v>2793</v>
      </c>
      <c r="B2783" s="7" t="s">
        <v>12</v>
      </c>
      <c r="C2783" t="s">
        <v>2</v>
      </c>
    </row>
    <row r="2784" spans="1:3" x14ac:dyDescent="0.3">
      <c r="A2784" s="7" t="s">
        <v>2794</v>
      </c>
      <c r="B2784" s="7" t="s">
        <v>12</v>
      </c>
      <c r="C2784" t="s">
        <v>2</v>
      </c>
    </row>
    <row r="2785" spans="1:3" x14ac:dyDescent="0.3">
      <c r="A2785" s="7" t="s">
        <v>2795</v>
      </c>
      <c r="B2785" s="7" t="s">
        <v>12</v>
      </c>
      <c r="C2785" t="s">
        <v>2</v>
      </c>
    </row>
    <row r="2786" spans="1:3" x14ac:dyDescent="0.3">
      <c r="A2786" s="7" t="s">
        <v>2796</v>
      </c>
      <c r="B2786" s="7" t="s">
        <v>12</v>
      </c>
      <c r="C2786" t="s">
        <v>2</v>
      </c>
    </row>
    <row r="2787" spans="1:3" x14ac:dyDescent="0.3">
      <c r="A2787" s="7" t="s">
        <v>2797</v>
      </c>
      <c r="B2787" s="7" t="s">
        <v>12</v>
      </c>
      <c r="C2787" t="s">
        <v>2</v>
      </c>
    </row>
    <row r="2788" spans="1:3" x14ac:dyDescent="0.3">
      <c r="A2788" s="7" t="s">
        <v>2798</v>
      </c>
      <c r="B2788" s="7" t="s">
        <v>12</v>
      </c>
      <c r="C2788" t="s">
        <v>2</v>
      </c>
    </row>
    <row r="2789" spans="1:3" x14ac:dyDescent="0.3">
      <c r="A2789" s="7" t="s">
        <v>2799</v>
      </c>
      <c r="B2789" s="7" t="s">
        <v>12</v>
      </c>
      <c r="C2789" t="s">
        <v>2</v>
      </c>
    </row>
    <row r="2790" spans="1:3" x14ac:dyDescent="0.3">
      <c r="A2790" s="7" t="s">
        <v>2800</v>
      </c>
      <c r="B2790" s="7" t="s">
        <v>12</v>
      </c>
      <c r="C2790" t="s">
        <v>2</v>
      </c>
    </row>
    <row r="2791" spans="1:3" x14ac:dyDescent="0.3">
      <c r="A2791" s="7" t="s">
        <v>2801</v>
      </c>
      <c r="B2791" s="7" t="s">
        <v>12</v>
      </c>
      <c r="C2791" t="s">
        <v>2</v>
      </c>
    </row>
    <row r="2792" spans="1:3" x14ac:dyDescent="0.3">
      <c r="A2792" s="7" t="s">
        <v>2802</v>
      </c>
      <c r="B2792" s="7" t="s">
        <v>12</v>
      </c>
      <c r="C2792" t="s">
        <v>2</v>
      </c>
    </row>
    <row r="2793" spans="1:3" x14ac:dyDescent="0.3">
      <c r="A2793" s="7" t="s">
        <v>2803</v>
      </c>
      <c r="B2793" s="7" t="s">
        <v>12</v>
      </c>
      <c r="C2793" t="s">
        <v>2</v>
      </c>
    </row>
    <row r="2794" spans="1:3" x14ac:dyDescent="0.3">
      <c r="A2794" s="7" t="s">
        <v>2804</v>
      </c>
      <c r="B2794" s="7" t="s">
        <v>12</v>
      </c>
      <c r="C2794" t="s">
        <v>2</v>
      </c>
    </row>
    <row r="2795" spans="1:3" x14ac:dyDescent="0.3">
      <c r="A2795" s="7" t="s">
        <v>2805</v>
      </c>
      <c r="B2795" s="7" t="s">
        <v>12</v>
      </c>
      <c r="C2795" t="s">
        <v>2</v>
      </c>
    </row>
    <row r="2796" spans="1:3" x14ac:dyDescent="0.3">
      <c r="A2796" s="7" t="s">
        <v>2806</v>
      </c>
      <c r="B2796" s="7" t="s">
        <v>12</v>
      </c>
      <c r="C2796" t="s">
        <v>2</v>
      </c>
    </row>
    <row r="2797" spans="1:3" x14ac:dyDescent="0.3">
      <c r="A2797" s="7" t="s">
        <v>2807</v>
      </c>
      <c r="B2797" s="7" t="s">
        <v>12</v>
      </c>
      <c r="C2797" t="s">
        <v>2</v>
      </c>
    </row>
    <row r="2798" spans="1:3" x14ac:dyDescent="0.3">
      <c r="A2798" s="7" t="s">
        <v>2808</v>
      </c>
      <c r="B2798" s="7" t="s">
        <v>12</v>
      </c>
      <c r="C2798" t="s">
        <v>2</v>
      </c>
    </row>
    <row r="2799" spans="1:3" x14ac:dyDescent="0.3">
      <c r="A2799" s="7" t="s">
        <v>2809</v>
      </c>
      <c r="B2799" s="7" t="s">
        <v>12</v>
      </c>
      <c r="C2799" t="s">
        <v>2</v>
      </c>
    </row>
    <row r="2800" spans="1:3" x14ac:dyDescent="0.3">
      <c r="A2800" s="7" t="s">
        <v>2810</v>
      </c>
      <c r="B2800" s="7" t="s">
        <v>12</v>
      </c>
      <c r="C2800" t="s">
        <v>2</v>
      </c>
    </row>
    <row r="2801" spans="1:3" x14ac:dyDescent="0.3">
      <c r="A2801" s="7" t="s">
        <v>2811</v>
      </c>
      <c r="B2801" s="7" t="s">
        <v>12</v>
      </c>
      <c r="C2801" t="s">
        <v>2</v>
      </c>
    </row>
    <row r="2802" spans="1:3" x14ac:dyDescent="0.3">
      <c r="A2802" s="7" t="s">
        <v>2812</v>
      </c>
      <c r="B2802" s="7" t="s">
        <v>12</v>
      </c>
      <c r="C2802" t="s">
        <v>2</v>
      </c>
    </row>
    <row r="2803" spans="1:3" x14ac:dyDescent="0.3">
      <c r="A2803" s="7" t="s">
        <v>2813</v>
      </c>
      <c r="B2803" s="7" t="s">
        <v>12</v>
      </c>
      <c r="C2803" t="s">
        <v>2</v>
      </c>
    </row>
    <row r="2804" spans="1:3" x14ac:dyDescent="0.3">
      <c r="A2804" s="7" t="s">
        <v>2814</v>
      </c>
      <c r="B2804" s="7" t="s">
        <v>12</v>
      </c>
      <c r="C2804" t="s">
        <v>2</v>
      </c>
    </row>
    <row r="2805" spans="1:3" x14ac:dyDescent="0.3">
      <c r="A2805" s="7" t="s">
        <v>2815</v>
      </c>
      <c r="B2805" s="7" t="s">
        <v>12</v>
      </c>
      <c r="C2805" t="s">
        <v>2</v>
      </c>
    </row>
    <row r="2806" spans="1:3" x14ac:dyDescent="0.3">
      <c r="A2806" s="7" t="s">
        <v>2816</v>
      </c>
      <c r="B2806" s="7" t="s">
        <v>12</v>
      </c>
      <c r="C2806" t="s">
        <v>2</v>
      </c>
    </row>
    <row r="2807" spans="1:3" x14ac:dyDescent="0.3">
      <c r="A2807" s="7" t="s">
        <v>2817</v>
      </c>
      <c r="B2807" s="7" t="s">
        <v>12</v>
      </c>
      <c r="C2807" t="s">
        <v>2</v>
      </c>
    </row>
    <row r="2808" spans="1:3" x14ac:dyDescent="0.3">
      <c r="A2808" s="7" t="s">
        <v>2818</v>
      </c>
      <c r="B2808" s="7" t="s">
        <v>12</v>
      </c>
      <c r="C2808" t="s">
        <v>2</v>
      </c>
    </row>
    <row r="2809" spans="1:3" x14ac:dyDescent="0.3">
      <c r="A2809" s="7" t="s">
        <v>2819</v>
      </c>
      <c r="B2809" s="7" t="s">
        <v>12</v>
      </c>
      <c r="C2809" t="s">
        <v>2</v>
      </c>
    </row>
    <row r="2810" spans="1:3" x14ac:dyDescent="0.3">
      <c r="A2810" s="7" t="s">
        <v>2820</v>
      </c>
      <c r="B2810" s="7" t="s">
        <v>12</v>
      </c>
      <c r="C2810" t="s">
        <v>2</v>
      </c>
    </row>
    <row r="2811" spans="1:3" x14ac:dyDescent="0.3">
      <c r="A2811" s="7" t="s">
        <v>2821</v>
      </c>
      <c r="B2811" s="7" t="s">
        <v>12</v>
      </c>
      <c r="C2811" t="s">
        <v>2</v>
      </c>
    </row>
    <row r="2812" spans="1:3" x14ac:dyDescent="0.3">
      <c r="A2812" s="7" t="s">
        <v>2822</v>
      </c>
      <c r="B2812" s="7" t="s">
        <v>12</v>
      </c>
      <c r="C2812" t="s">
        <v>2</v>
      </c>
    </row>
    <row r="2813" spans="1:3" x14ac:dyDescent="0.3">
      <c r="A2813" s="7" t="s">
        <v>2823</v>
      </c>
      <c r="B2813" s="7" t="s">
        <v>12</v>
      </c>
      <c r="C2813" t="s">
        <v>2</v>
      </c>
    </row>
    <row r="2814" spans="1:3" x14ac:dyDescent="0.3">
      <c r="A2814" s="7" t="s">
        <v>2824</v>
      </c>
      <c r="B2814" s="7" t="s">
        <v>12</v>
      </c>
      <c r="C2814" t="s">
        <v>2</v>
      </c>
    </row>
    <row r="2815" spans="1:3" x14ac:dyDescent="0.3">
      <c r="A2815" s="7" t="s">
        <v>2825</v>
      </c>
      <c r="B2815" s="7" t="s">
        <v>12</v>
      </c>
      <c r="C2815" t="s">
        <v>2</v>
      </c>
    </row>
    <row r="2816" spans="1:3" x14ac:dyDescent="0.3">
      <c r="A2816" s="7" t="s">
        <v>2826</v>
      </c>
      <c r="B2816" s="7" t="s">
        <v>12</v>
      </c>
      <c r="C2816" t="s">
        <v>2</v>
      </c>
    </row>
    <row r="2817" spans="1:3" x14ac:dyDescent="0.3">
      <c r="A2817" s="7" t="s">
        <v>2827</v>
      </c>
      <c r="B2817" s="7" t="s">
        <v>12</v>
      </c>
      <c r="C2817" t="s">
        <v>2</v>
      </c>
    </row>
    <row r="2818" spans="1:3" x14ac:dyDescent="0.3">
      <c r="A2818" s="7" t="s">
        <v>2828</v>
      </c>
      <c r="B2818" s="7" t="s">
        <v>12</v>
      </c>
      <c r="C2818" t="s">
        <v>2</v>
      </c>
    </row>
    <row r="2819" spans="1:3" x14ac:dyDescent="0.3">
      <c r="A2819" s="7" t="s">
        <v>2829</v>
      </c>
      <c r="B2819" s="7" t="s">
        <v>12</v>
      </c>
      <c r="C2819" t="s">
        <v>2</v>
      </c>
    </row>
    <row r="2820" spans="1:3" x14ac:dyDescent="0.3">
      <c r="A2820" s="7" t="s">
        <v>2830</v>
      </c>
      <c r="B2820" s="7" t="s">
        <v>12</v>
      </c>
      <c r="C2820" t="s">
        <v>2</v>
      </c>
    </row>
    <row r="2821" spans="1:3" x14ac:dyDescent="0.3">
      <c r="A2821" s="7" t="s">
        <v>2831</v>
      </c>
      <c r="B2821" s="7" t="s">
        <v>12</v>
      </c>
      <c r="C2821" t="s">
        <v>2</v>
      </c>
    </row>
    <row r="2822" spans="1:3" x14ac:dyDescent="0.3">
      <c r="A2822" s="7" t="s">
        <v>2832</v>
      </c>
      <c r="B2822" s="7" t="s">
        <v>12</v>
      </c>
      <c r="C2822" t="s">
        <v>2</v>
      </c>
    </row>
    <row r="2823" spans="1:3" x14ac:dyDescent="0.3">
      <c r="A2823" s="7" t="s">
        <v>2833</v>
      </c>
      <c r="B2823" s="7" t="s">
        <v>12</v>
      </c>
      <c r="C2823" t="s">
        <v>2</v>
      </c>
    </row>
    <row r="2824" spans="1:3" x14ac:dyDescent="0.3">
      <c r="A2824" s="7" t="s">
        <v>2834</v>
      </c>
      <c r="B2824" s="7" t="s">
        <v>12</v>
      </c>
      <c r="C2824" t="s">
        <v>2</v>
      </c>
    </row>
    <row r="2825" spans="1:3" x14ac:dyDescent="0.3">
      <c r="A2825" s="7" t="s">
        <v>2835</v>
      </c>
      <c r="B2825" s="7" t="s">
        <v>12</v>
      </c>
      <c r="C2825" t="s">
        <v>2</v>
      </c>
    </row>
    <row r="2826" spans="1:3" x14ac:dyDescent="0.3">
      <c r="A2826" s="7" t="s">
        <v>2836</v>
      </c>
      <c r="B2826" s="7" t="s">
        <v>12</v>
      </c>
      <c r="C2826" t="s">
        <v>2</v>
      </c>
    </row>
    <row r="2827" spans="1:3" x14ac:dyDescent="0.3">
      <c r="A2827" s="7" t="s">
        <v>2837</v>
      </c>
      <c r="B2827" s="7" t="s">
        <v>12</v>
      </c>
      <c r="C2827" t="s">
        <v>2</v>
      </c>
    </row>
    <row r="2828" spans="1:3" x14ac:dyDescent="0.3">
      <c r="A2828" s="7" t="s">
        <v>2838</v>
      </c>
      <c r="B2828" s="7" t="s">
        <v>12</v>
      </c>
      <c r="C2828" t="s">
        <v>2</v>
      </c>
    </row>
    <row r="2829" spans="1:3" x14ac:dyDescent="0.3">
      <c r="A2829" s="7" t="s">
        <v>2839</v>
      </c>
      <c r="B2829" s="7" t="s">
        <v>12</v>
      </c>
      <c r="C2829" t="s">
        <v>2</v>
      </c>
    </row>
    <row r="2830" spans="1:3" x14ac:dyDescent="0.3">
      <c r="A2830" s="7" t="s">
        <v>2840</v>
      </c>
      <c r="B2830" s="7" t="s">
        <v>12</v>
      </c>
      <c r="C2830" t="s">
        <v>2</v>
      </c>
    </row>
    <row r="2831" spans="1:3" x14ac:dyDescent="0.3">
      <c r="A2831" s="7" t="s">
        <v>2841</v>
      </c>
      <c r="B2831" s="7" t="s">
        <v>12</v>
      </c>
      <c r="C2831" t="s">
        <v>2</v>
      </c>
    </row>
    <row r="2832" spans="1:3" x14ac:dyDescent="0.3">
      <c r="A2832" s="7" t="s">
        <v>2842</v>
      </c>
      <c r="B2832" s="7" t="s">
        <v>12</v>
      </c>
      <c r="C2832" t="s">
        <v>2</v>
      </c>
    </row>
    <row r="2833" spans="1:3" x14ac:dyDescent="0.3">
      <c r="A2833" s="7" t="s">
        <v>2843</v>
      </c>
      <c r="B2833" s="7" t="s">
        <v>12</v>
      </c>
      <c r="C2833" t="s">
        <v>2</v>
      </c>
    </row>
    <row r="2834" spans="1:3" x14ac:dyDescent="0.3">
      <c r="A2834" s="7" t="s">
        <v>2844</v>
      </c>
      <c r="B2834" s="7" t="s">
        <v>12</v>
      </c>
      <c r="C2834" t="s">
        <v>2</v>
      </c>
    </row>
    <row r="2835" spans="1:3" x14ac:dyDescent="0.3">
      <c r="A2835" s="7" t="s">
        <v>2845</v>
      </c>
      <c r="B2835" s="7" t="s">
        <v>12</v>
      </c>
      <c r="C2835" t="s">
        <v>2</v>
      </c>
    </row>
    <row r="2836" spans="1:3" x14ac:dyDescent="0.3">
      <c r="A2836" s="7" t="s">
        <v>2846</v>
      </c>
      <c r="B2836" s="7" t="s">
        <v>12</v>
      </c>
      <c r="C2836" t="s">
        <v>2</v>
      </c>
    </row>
    <row r="2837" spans="1:3" x14ac:dyDescent="0.3">
      <c r="A2837" s="7" t="s">
        <v>2847</v>
      </c>
      <c r="B2837" s="7" t="s">
        <v>12</v>
      </c>
      <c r="C2837" t="s">
        <v>3</v>
      </c>
    </row>
    <row r="2838" spans="1:3" x14ac:dyDescent="0.3">
      <c r="A2838" s="7" t="s">
        <v>2848</v>
      </c>
      <c r="B2838" s="7" t="s">
        <v>12</v>
      </c>
      <c r="C2838" t="s">
        <v>3</v>
      </c>
    </row>
    <row r="2839" spans="1:3" x14ac:dyDescent="0.3">
      <c r="A2839" s="7" t="s">
        <v>2849</v>
      </c>
      <c r="B2839" s="7" t="s">
        <v>12</v>
      </c>
      <c r="C2839" t="s">
        <v>3</v>
      </c>
    </row>
    <row r="2840" spans="1:3" x14ac:dyDescent="0.3">
      <c r="A2840" s="7" t="s">
        <v>2850</v>
      </c>
      <c r="B2840" s="7" t="s">
        <v>12</v>
      </c>
      <c r="C2840" t="s">
        <v>3</v>
      </c>
    </row>
    <row r="2841" spans="1:3" x14ac:dyDescent="0.3">
      <c r="A2841" s="7" t="s">
        <v>2851</v>
      </c>
      <c r="B2841" s="7" t="s">
        <v>12</v>
      </c>
      <c r="C2841" t="s">
        <v>3</v>
      </c>
    </row>
    <row r="2842" spans="1:3" x14ac:dyDescent="0.3">
      <c r="A2842" s="7" t="s">
        <v>2852</v>
      </c>
      <c r="B2842" s="7" t="s">
        <v>12</v>
      </c>
      <c r="C2842" t="s">
        <v>3</v>
      </c>
    </row>
    <row r="2843" spans="1:3" x14ac:dyDescent="0.3">
      <c r="A2843" s="7" t="s">
        <v>2853</v>
      </c>
      <c r="B2843" s="7" t="s">
        <v>12</v>
      </c>
      <c r="C2843" t="s">
        <v>3</v>
      </c>
    </row>
    <row r="2844" spans="1:3" x14ac:dyDescent="0.3">
      <c r="A2844" s="7" t="s">
        <v>2854</v>
      </c>
      <c r="B2844" s="7" t="s">
        <v>12</v>
      </c>
      <c r="C2844" t="s">
        <v>3</v>
      </c>
    </row>
    <row r="2845" spans="1:3" x14ac:dyDescent="0.3">
      <c r="A2845" s="7" t="s">
        <v>2855</v>
      </c>
      <c r="B2845" s="7" t="s">
        <v>12</v>
      </c>
      <c r="C2845" t="s">
        <v>3</v>
      </c>
    </row>
    <row r="2846" spans="1:3" x14ac:dyDescent="0.3">
      <c r="A2846" s="7" t="s">
        <v>2856</v>
      </c>
      <c r="B2846" s="7" t="s">
        <v>12</v>
      </c>
      <c r="C2846" t="s">
        <v>3</v>
      </c>
    </row>
    <row r="2847" spans="1:3" x14ac:dyDescent="0.3">
      <c r="A2847" s="7" t="s">
        <v>2857</v>
      </c>
      <c r="B2847" s="7" t="s">
        <v>12</v>
      </c>
      <c r="C2847" t="s">
        <v>2</v>
      </c>
    </row>
    <row r="2848" spans="1:3" x14ac:dyDescent="0.3">
      <c r="A2848" s="7" t="s">
        <v>2858</v>
      </c>
      <c r="B2848" s="7" t="s">
        <v>12</v>
      </c>
      <c r="C2848" t="s">
        <v>3</v>
      </c>
    </row>
    <row r="2849" spans="1:3" x14ac:dyDescent="0.3">
      <c r="A2849" s="7" t="s">
        <v>2859</v>
      </c>
      <c r="B2849" s="7" t="s">
        <v>12</v>
      </c>
      <c r="C2849" t="s">
        <v>2</v>
      </c>
    </row>
    <row r="2850" spans="1:3" x14ac:dyDescent="0.3">
      <c r="A2850" s="7" t="s">
        <v>2860</v>
      </c>
      <c r="B2850" s="7" t="s">
        <v>12</v>
      </c>
      <c r="C2850" t="s">
        <v>3</v>
      </c>
    </row>
    <row r="2851" spans="1:3" x14ac:dyDescent="0.3">
      <c r="A2851" s="7" t="s">
        <v>2861</v>
      </c>
      <c r="B2851" s="7" t="s">
        <v>12</v>
      </c>
    </row>
    <row r="2852" spans="1:3" x14ac:dyDescent="0.3">
      <c r="A2852" s="7" t="s">
        <v>2862</v>
      </c>
      <c r="B2852" s="7" t="s">
        <v>12</v>
      </c>
      <c r="C2852" t="s">
        <v>3</v>
      </c>
    </row>
    <row r="2853" spans="1:3" x14ac:dyDescent="0.3">
      <c r="A2853" s="7" t="s">
        <v>2863</v>
      </c>
      <c r="B2853" s="7" t="s">
        <v>12</v>
      </c>
      <c r="C2853" t="s">
        <v>3</v>
      </c>
    </row>
    <row r="2854" spans="1:3" x14ac:dyDescent="0.3">
      <c r="A2854" s="7" t="s">
        <v>2864</v>
      </c>
      <c r="B2854" s="7" t="s">
        <v>12</v>
      </c>
      <c r="C2854" t="s">
        <v>3</v>
      </c>
    </row>
    <row r="2855" spans="1:3" x14ac:dyDescent="0.3">
      <c r="A2855" s="7" t="s">
        <v>2865</v>
      </c>
      <c r="B2855" s="7" t="s">
        <v>12</v>
      </c>
    </row>
    <row r="2856" spans="1:3" x14ac:dyDescent="0.3">
      <c r="A2856" s="7" t="s">
        <v>2866</v>
      </c>
      <c r="B2856" s="7" t="s">
        <v>12</v>
      </c>
    </row>
    <row r="2857" spans="1:3" x14ac:dyDescent="0.3">
      <c r="A2857" s="7" t="s">
        <v>2867</v>
      </c>
      <c r="B2857" s="7" t="s">
        <v>12</v>
      </c>
      <c r="C2857" t="s">
        <v>2</v>
      </c>
    </row>
    <row r="2858" spans="1:3" x14ac:dyDescent="0.3">
      <c r="A2858" s="7" t="s">
        <v>2868</v>
      </c>
      <c r="B2858" s="7" t="s">
        <v>12</v>
      </c>
      <c r="C2858" t="s">
        <v>2</v>
      </c>
    </row>
    <row r="2859" spans="1:3" x14ac:dyDescent="0.3">
      <c r="A2859" s="7" t="s">
        <v>2869</v>
      </c>
      <c r="B2859" s="7" t="s">
        <v>12</v>
      </c>
      <c r="C2859" t="s">
        <v>2</v>
      </c>
    </row>
    <row r="2860" spans="1:3" x14ac:dyDescent="0.3">
      <c r="A2860" s="7" t="s">
        <v>2870</v>
      </c>
      <c r="B2860" s="7" t="s">
        <v>12</v>
      </c>
      <c r="C2860" t="s">
        <v>2</v>
      </c>
    </row>
    <row r="2861" spans="1:3" x14ac:dyDescent="0.3">
      <c r="A2861" s="7" t="s">
        <v>2871</v>
      </c>
      <c r="B2861" s="7" t="s">
        <v>12</v>
      </c>
      <c r="C2861" t="s">
        <v>2</v>
      </c>
    </row>
    <row r="2862" spans="1:3" x14ac:dyDescent="0.3">
      <c r="A2862" s="7" t="s">
        <v>2872</v>
      </c>
      <c r="B2862" s="7" t="s">
        <v>12</v>
      </c>
      <c r="C2862" t="s">
        <v>2</v>
      </c>
    </row>
    <row r="2863" spans="1:3" x14ac:dyDescent="0.3">
      <c r="A2863" s="7" t="s">
        <v>2873</v>
      </c>
      <c r="B2863" s="7" t="s">
        <v>12</v>
      </c>
      <c r="C2863" t="s">
        <v>2</v>
      </c>
    </row>
    <row r="2864" spans="1:3" x14ac:dyDescent="0.3">
      <c r="A2864" s="7" t="s">
        <v>2874</v>
      </c>
      <c r="B2864" s="7" t="s">
        <v>12</v>
      </c>
      <c r="C2864" t="s">
        <v>2</v>
      </c>
    </row>
    <row r="2865" spans="1:3" x14ac:dyDescent="0.3">
      <c r="A2865" s="7" t="s">
        <v>2875</v>
      </c>
      <c r="B2865" s="7" t="s">
        <v>12</v>
      </c>
      <c r="C2865" t="s">
        <v>2</v>
      </c>
    </row>
    <row r="2866" spans="1:3" x14ac:dyDescent="0.3">
      <c r="A2866" s="7" t="s">
        <v>2876</v>
      </c>
      <c r="B2866" s="7" t="s">
        <v>12</v>
      </c>
      <c r="C2866" t="s">
        <v>2</v>
      </c>
    </row>
    <row r="2867" spans="1:3" x14ac:dyDescent="0.3">
      <c r="A2867" s="7" t="s">
        <v>2877</v>
      </c>
      <c r="B2867" s="7" t="s">
        <v>12</v>
      </c>
    </row>
    <row r="2868" spans="1:3" x14ac:dyDescent="0.3">
      <c r="A2868" s="7" t="s">
        <v>2878</v>
      </c>
      <c r="B2868" s="7" t="s">
        <v>12</v>
      </c>
      <c r="C2868" t="s">
        <v>3678</v>
      </c>
    </row>
    <row r="2869" spans="1:3" x14ac:dyDescent="0.3">
      <c r="A2869" s="7" t="s">
        <v>2879</v>
      </c>
      <c r="B2869" s="7" t="s">
        <v>12</v>
      </c>
      <c r="C2869" t="s">
        <v>3678</v>
      </c>
    </row>
    <row r="2870" spans="1:3" x14ac:dyDescent="0.3">
      <c r="A2870" s="7" t="s">
        <v>2880</v>
      </c>
      <c r="B2870" s="7" t="s">
        <v>12</v>
      </c>
      <c r="C2870" t="s">
        <v>3678</v>
      </c>
    </row>
    <row r="2871" spans="1:3" x14ac:dyDescent="0.3">
      <c r="A2871" s="7" t="s">
        <v>2881</v>
      </c>
      <c r="B2871" s="7" t="s">
        <v>12</v>
      </c>
      <c r="C2871" t="s">
        <v>3678</v>
      </c>
    </row>
    <row r="2872" spans="1:3" x14ac:dyDescent="0.3">
      <c r="A2872" s="7" t="s">
        <v>2882</v>
      </c>
      <c r="B2872" s="7" t="s">
        <v>12</v>
      </c>
      <c r="C2872" t="s">
        <v>3678</v>
      </c>
    </row>
    <row r="2873" spans="1:3" x14ac:dyDescent="0.3">
      <c r="A2873" s="7" t="s">
        <v>2883</v>
      </c>
      <c r="B2873" s="7" t="s">
        <v>12</v>
      </c>
      <c r="C2873" t="s">
        <v>3678</v>
      </c>
    </row>
    <row r="2874" spans="1:3" x14ac:dyDescent="0.3">
      <c r="A2874" s="7" t="s">
        <v>2884</v>
      </c>
      <c r="B2874" s="7" t="s">
        <v>12</v>
      </c>
      <c r="C2874" t="s">
        <v>3678</v>
      </c>
    </row>
    <row r="2875" spans="1:3" x14ac:dyDescent="0.3">
      <c r="A2875" s="7" t="s">
        <v>2885</v>
      </c>
      <c r="B2875" s="7" t="s">
        <v>12</v>
      </c>
      <c r="C2875" t="s">
        <v>3678</v>
      </c>
    </row>
    <row r="2876" spans="1:3" x14ac:dyDescent="0.3">
      <c r="A2876" s="7" t="s">
        <v>2886</v>
      </c>
      <c r="B2876" s="7" t="s">
        <v>12</v>
      </c>
      <c r="C2876" t="s">
        <v>3678</v>
      </c>
    </row>
    <row r="2877" spans="1:3" x14ac:dyDescent="0.3">
      <c r="A2877" s="7" t="s">
        <v>2887</v>
      </c>
      <c r="B2877" s="7" t="s">
        <v>12</v>
      </c>
      <c r="C2877" t="s">
        <v>3</v>
      </c>
    </row>
    <row r="2878" spans="1:3" x14ac:dyDescent="0.3">
      <c r="A2878" s="7" t="s">
        <v>2888</v>
      </c>
      <c r="B2878" s="7" t="s">
        <v>12</v>
      </c>
      <c r="C2878" t="s">
        <v>2</v>
      </c>
    </row>
    <row r="2879" spans="1:3" x14ac:dyDescent="0.3">
      <c r="A2879" s="7" t="s">
        <v>2889</v>
      </c>
      <c r="B2879" s="7" t="s">
        <v>12</v>
      </c>
      <c r="C2879" t="s">
        <v>2</v>
      </c>
    </row>
    <row r="2880" spans="1:3" x14ac:dyDescent="0.3">
      <c r="A2880" s="7" t="s">
        <v>2890</v>
      </c>
      <c r="B2880" s="7" t="s">
        <v>12</v>
      </c>
      <c r="C2880" t="s">
        <v>2</v>
      </c>
    </row>
    <row r="2881" spans="1:3" x14ac:dyDescent="0.3">
      <c r="A2881" s="7" t="s">
        <v>2891</v>
      </c>
      <c r="B2881" s="7" t="s">
        <v>12</v>
      </c>
      <c r="C2881" t="s">
        <v>2</v>
      </c>
    </row>
    <row r="2882" spans="1:3" x14ac:dyDescent="0.3">
      <c r="A2882" s="7" t="s">
        <v>2892</v>
      </c>
      <c r="B2882" s="7" t="s">
        <v>12</v>
      </c>
      <c r="C2882" t="s">
        <v>2</v>
      </c>
    </row>
    <row r="2883" spans="1:3" x14ac:dyDescent="0.3">
      <c r="A2883" s="7" t="s">
        <v>2893</v>
      </c>
      <c r="B2883" s="7" t="s">
        <v>12</v>
      </c>
      <c r="C2883" t="s">
        <v>2</v>
      </c>
    </row>
    <row r="2884" spans="1:3" x14ac:dyDescent="0.3">
      <c r="A2884" s="7" t="s">
        <v>2894</v>
      </c>
      <c r="B2884" s="7" t="s">
        <v>12</v>
      </c>
      <c r="C2884" t="s">
        <v>2</v>
      </c>
    </row>
    <row r="2885" spans="1:3" x14ac:dyDescent="0.3">
      <c r="A2885" s="7" t="s">
        <v>2895</v>
      </c>
      <c r="B2885" s="7" t="s">
        <v>12</v>
      </c>
      <c r="C2885" t="s">
        <v>2</v>
      </c>
    </row>
    <row r="2886" spans="1:3" x14ac:dyDescent="0.3">
      <c r="A2886" s="7" t="s">
        <v>2896</v>
      </c>
      <c r="B2886" s="7" t="s">
        <v>12</v>
      </c>
      <c r="C2886" t="s">
        <v>2</v>
      </c>
    </row>
    <row r="2887" spans="1:3" x14ac:dyDescent="0.3">
      <c r="A2887" s="7" t="s">
        <v>2897</v>
      </c>
      <c r="B2887" s="7" t="s">
        <v>12</v>
      </c>
      <c r="C2887" t="s">
        <v>2</v>
      </c>
    </row>
    <row r="2888" spans="1:3" x14ac:dyDescent="0.3">
      <c r="A2888" s="7" t="s">
        <v>2898</v>
      </c>
      <c r="B2888" s="7" t="s">
        <v>12</v>
      </c>
      <c r="C2888" t="s">
        <v>2</v>
      </c>
    </row>
    <row r="2889" spans="1:3" x14ac:dyDescent="0.3">
      <c r="A2889" s="7" t="s">
        <v>2899</v>
      </c>
      <c r="B2889" s="7" t="s">
        <v>12</v>
      </c>
      <c r="C2889" t="s">
        <v>2</v>
      </c>
    </row>
    <row r="2890" spans="1:3" x14ac:dyDescent="0.3">
      <c r="A2890" s="7" t="s">
        <v>2900</v>
      </c>
      <c r="B2890" s="7" t="s">
        <v>12</v>
      </c>
      <c r="C2890" t="s">
        <v>2</v>
      </c>
    </row>
    <row r="2891" spans="1:3" x14ac:dyDescent="0.3">
      <c r="A2891" s="7" t="s">
        <v>2901</v>
      </c>
      <c r="B2891" s="7" t="s">
        <v>12</v>
      </c>
      <c r="C2891" t="s">
        <v>2</v>
      </c>
    </row>
    <row r="2892" spans="1:3" x14ac:dyDescent="0.3">
      <c r="A2892" s="7" t="s">
        <v>2902</v>
      </c>
      <c r="B2892" s="7" t="s">
        <v>12</v>
      </c>
      <c r="C2892" t="s">
        <v>2</v>
      </c>
    </row>
    <row r="2893" spans="1:3" x14ac:dyDescent="0.3">
      <c r="A2893" s="7" t="s">
        <v>2903</v>
      </c>
      <c r="B2893" s="7" t="s">
        <v>12</v>
      </c>
      <c r="C2893" t="s">
        <v>2</v>
      </c>
    </row>
    <row r="2894" spans="1:3" x14ac:dyDescent="0.3">
      <c r="A2894" s="7" t="s">
        <v>2904</v>
      </c>
      <c r="B2894" s="7" t="s">
        <v>12</v>
      </c>
      <c r="C2894" t="s">
        <v>2</v>
      </c>
    </row>
    <row r="2895" spans="1:3" x14ac:dyDescent="0.3">
      <c r="A2895" s="7" t="s">
        <v>2905</v>
      </c>
      <c r="B2895" s="7" t="s">
        <v>12</v>
      </c>
      <c r="C2895" t="s">
        <v>2</v>
      </c>
    </row>
    <row r="2896" spans="1:3" x14ac:dyDescent="0.3">
      <c r="A2896" s="7" t="s">
        <v>2906</v>
      </c>
      <c r="B2896" s="7" t="s">
        <v>12</v>
      </c>
      <c r="C2896" t="s">
        <v>2</v>
      </c>
    </row>
    <row r="2897" spans="1:3" x14ac:dyDescent="0.3">
      <c r="A2897" s="7" t="s">
        <v>2907</v>
      </c>
      <c r="B2897" s="7" t="s">
        <v>12</v>
      </c>
      <c r="C2897" t="s">
        <v>2</v>
      </c>
    </row>
    <row r="2898" spans="1:3" x14ac:dyDescent="0.3">
      <c r="A2898" s="7" t="s">
        <v>2908</v>
      </c>
      <c r="B2898" s="7" t="s">
        <v>12</v>
      </c>
      <c r="C2898" t="s">
        <v>2</v>
      </c>
    </row>
    <row r="2899" spans="1:3" x14ac:dyDescent="0.3">
      <c r="A2899" s="7" t="s">
        <v>2909</v>
      </c>
      <c r="B2899" s="7" t="s">
        <v>12</v>
      </c>
      <c r="C2899" t="s">
        <v>2</v>
      </c>
    </row>
    <row r="2900" spans="1:3" x14ac:dyDescent="0.3">
      <c r="A2900" s="7" t="s">
        <v>2910</v>
      </c>
      <c r="B2900" s="7" t="s">
        <v>12</v>
      </c>
      <c r="C2900" t="s">
        <v>2</v>
      </c>
    </row>
    <row r="2901" spans="1:3" x14ac:dyDescent="0.3">
      <c r="A2901" s="7" t="s">
        <v>2911</v>
      </c>
      <c r="B2901" s="7" t="s">
        <v>12</v>
      </c>
      <c r="C2901" t="s">
        <v>2</v>
      </c>
    </row>
    <row r="2902" spans="1:3" x14ac:dyDescent="0.3">
      <c r="A2902" s="7" t="s">
        <v>2912</v>
      </c>
      <c r="B2902" s="7" t="s">
        <v>12</v>
      </c>
      <c r="C2902" t="s">
        <v>2</v>
      </c>
    </row>
    <row r="2903" spans="1:3" x14ac:dyDescent="0.3">
      <c r="A2903" s="7" t="s">
        <v>2913</v>
      </c>
      <c r="B2903" s="7" t="s">
        <v>12</v>
      </c>
      <c r="C2903" t="s">
        <v>2</v>
      </c>
    </row>
    <row r="2904" spans="1:3" x14ac:dyDescent="0.3">
      <c r="A2904" s="7" t="s">
        <v>2914</v>
      </c>
      <c r="B2904" s="7" t="s">
        <v>12</v>
      </c>
      <c r="C2904" t="s">
        <v>2</v>
      </c>
    </row>
    <row r="2905" spans="1:3" x14ac:dyDescent="0.3">
      <c r="A2905" s="7" t="s">
        <v>2915</v>
      </c>
      <c r="B2905" s="7" t="s">
        <v>12</v>
      </c>
      <c r="C2905" t="s">
        <v>2</v>
      </c>
    </row>
    <row r="2906" spans="1:3" x14ac:dyDescent="0.3">
      <c r="A2906" s="7" t="s">
        <v>2916</v>
      </c>
      <c r="B2906" s="7" t="s">
        <v>12</v>
      </c>
      <c r="C2906" t="s">
        <v>2</v>
      </c>
    </row>
    <row r="2907" spans="1:3" x14ac:dyDescent="0.3">
      <c r="A2907" s="7" t="s">
        <v>2917</v>
      </c>
      <c r="B2907" s="7" t="s">
        <v>12</v>
      </c>
      <c r="C2907" t="s">
        <v>2</v>
      </c>
    </row>
    <row r="2908" spans="1:3" x14ac:dyDescent="0.3">
      <c r="A2908" s="7" t="s">
        <v>2918</v>
      </c>
      <c r="B2908" s="7" t="s">
        <v>12</v>
      </c>
      <c r="C2908" t="s">
        <v>2</v>
      </c>
    </row>
    <row r="2909" spans="1:3" x14ac:dyDescent="0.3">
      <c r="A2909" s="7" t="s">
        <v>2919</v>
      </c>
      <c r="B2909" s="7" t="s">
        <v>12</v>
      </c>
      <c r="C2909" t="s">
        <v>2</v>
      </c>
    </row>
    <row r="2910" spans="1:3" x14ac:dyDescent="0.3">
      <c r="A2910" s="7" t="s">
        <v>2920</v>
      </c>
      <c r="B2910" s="7" t="s">
        <v>12</v>
      </c>
      <c r="C2910" t="s">
        <v>2</v>
      </c>
    </row>
    <row r="2911" spans="1:3" x14ac:dyDescent="0.3">
      <c r="A2911" s="7" t="s">
        <v>2921</v>
      </c>
      <c r="B2911" s="7" t="s">
        <v>12</v>
      </c>
      <c r="C2911" t="s">
        <v>2</v>
      </c>
    </row>
    <row r="2912" spans="1:3" x14ac:dyDescent="0.3">
      <c r="A2912" s="7" t="s">
        <v>2922</v>
      </c>
      <c r="B2912" s="7" t="s">
        <v>12</v>
      </c>
      <c r="C2912" t="s">
        <v>2</v>
      </c>
    </row>
    <row r="2913" spans="1:3" x14ac:dyDescent="0.3">
      <c r="A2913" s="7" t="s">
        <v>2923</v>
      </c>
      <c r="B2913" s="7" t="s">
        <v>12</v>
      </c>
      <c r="C2913" t="s">
        <v>2</v>
      </c>
    </row>
    <row r="2914" spans="1:3" x14ac:dyDescent="0.3">
      <c r="A2914" s="7" t="s">
        <v>2924</v>
      </c>
      <c r="B2914" s="7" t="s">
        <v>12</v>
      </c>
      <c r="C2914" t="s">
        <v>2</v>
      </c>
    </row>
    <row r="2915" spans="1:3" x14ac:dyDescent="0.3">
      <c r="A2915" s="7" t="s">
        <v>2925</v>
      </c>
      <c r="B2915" s="7" t="s">
        <v>12</v>
      </c>
      <c r="C2915" t="s">
        <v>2</v>
      </c>
    </row>
    <row r="2916" spans="1:3" x14ac:dyDescent="0.3">
      <c r="A2916" s="7" t="s">
        <v>2926</v>
      </c>
      <c r="B2916" s="7" t="s">
        <v>12</v>
      </c>
      <c r="C2916" t="s">
        <v>2</v>
      </c>
    </row>
    <row r="2917" spans="1:3" x14ac:dyDescent="0.3">
      <c r="A2917" s="7" t="s">
        <v>2927</v>
      </c>
      <c r="B2917" s="7" t="s">
        <v>12</v>
      </c>
      <c r="C2917" t="s">
        <v>2</v>
      </c>
    </row>
    <row r="2918" spans="1:3" x14ac:dyDescent="0.3">
      <c r="A2918" s="7" t="s">
        <v>2928</v>
      </c>
      <c r="B2918" s="7" t="s">
        <v>12</v>
      </c>
      <c r="C2918" t="s">
        <v>2</v>
      </c>
    </row>
    <row r="2919" spans="1:3" x14ac:dyDescent="0.3">
      <c r="A2919" s="7" t="s">
        <v>2929</v>
      </c>
      <c r="B2919" s="7" t="s">
        <v>12</v>
      </c>
      <c r="C2919" t="s">
        <v>2</v>
      </c>
    </row>
    <row r="2920" spans="1:3" x14ac:dyDescent="0.3">
      <c r="A2920" s="7" t="s">
        <v>2930</v>
      </c>
      <c r="B2920" s="7" t="s">
        <v>12</v>
      </c>
      <c r="C2920" t="s">
        <v>2</v>
      </c>
    </row>
    <row r="2921" spans="1:3" x14ac:dyDescent="0.3">
      <c r="A2921" s="7" t="s">
        <v>2931</v>
      </c>
      <c r="B2921" s="7" t="s">
        <v>12</v>
      </c>
      <c r="C2921" t="s">
        <v>2</v>
      </c>
    </row>
    <row r="2922" spans="1:3" x14ac:dyDescent="0.3">
      <c r="A2922" s="7" t="s">
        <v>2932</v>
      </c>
      <c r="B2922" s="7" t="s">
        <v>12</v>
      </c>
      <c r="C2922" t="s">
        <v>2</v>
      </c>
    </row>
    <row r="2923" spans="1:3" x14ac:dyDescent="0.3">
      <c r="A2923" s="7" t="s">
        <v>2933</v>
      </c>
      <c r="B2923" s="7" t="s">
        <v>12</v>
      </c>
      <c r="C2923" t="s">
        <v>2</v>
      </c>
    </row>
    <row r="2924" spans="1:3" x14ac:dyDescent="0.3">
      <c r="A2924" s="7" t="s">
        <v>2934</v>
      </c>
      <c r="B2924" s="7" t="s">
        <v>12</v>
      </c>
      <c r="C2924" t="s">
        <v>2</v>
      </c>
    </row>
    <row r="2925" spans="1:3" x14ac:dyDescent="0.3">
      <c r="A2925" s="7" t="s">
        <v>2935</v>
      </c>
      <c r="B2925" s="7" t="s">
        <v>12</v>
      </c>
      <c r="C2925" t="s">
        <v>2</v>
      </c>
    </row>
    <row r="2926" spans="1:3" x14ac:dyDescent="0.3">
      <c r="A2926" s="7" t="s">
        <v>2936</v>
      </c>
      <c r="B2926" s="7" t="s">
        <v>12</v>
      </c>
      <c r="C2926" t="s">
        <v>3</v>
      </c>
    </row>
    <row r="2927" spans="1:3" x14ac:dyDescent="0.3">
      <c r="A2927" s="7" t="s">
        <v>2937</v>
      </c>
      <c r="B2927" s="7" t="s">
        <v>12</v>
      </c>
      <c r="C2927" t="s">
        <v>3</v>
      </c>
    </row>
    <row r="2928" spans="1:3" x14ac:dyDescent="0.3">
      <c r="A2928" s="7" t="s">
        <v>2938</v>
      </c>
      <c r="B2928" s="7" t="s">
        <v>12</v>
      </c>
      <c r="C2928" t="s">
        <v>3</v>
      </c>
    </row>
    <row r="2929" spans="1:3" x14ac:dyDescent="0.3">
      <c r="A2929" s="7" t="s">
        <v>2939</v>
      </c>
      <c r="B2929" s="7" t="s">
        <v>12</v>
      </c>
      <c r="C2929" t="s">
        <v>3</v>
      </c>
    </row>
    <row r="2930" spans="1:3" x14ac:dyDescent="0.3">
      <c r="A2930" s="7" t="s">
        <v>2940</v>
      </c>
      <c r="B2930" s="7" t="s">
        <v>12</v>
      </c>
      <c r="C2930" t="s">
        <v>3</v>
      </c>
    </row>
    <row r="2931" spans="1:3" x14ac:dyDescent="0.3">
      <c r="A2931" s="7" t="s">
        <v>2941</v>
      </c>
      <c r="B2931" s="7" t="s">
        <v>12</v>
      </c>
      <c r="C2931" t="s">
        <v>3</v>
      </c>
    </row>
    <row r="2932" spans="1:3" x14ac:dyDescent="0.3">
      <c r="A2932" s="7" t="s">
        <v>2942</v>
      </c>
      <c r="B2932" s="7" t="s">
        <v>12</v>
      </c>
      <c r="C2932" t="s">
        <v>3</v>
      </c>
    </row>
    <row r="2933" spans="1:3" x14ac:dyDescent="0.3">
      <c r="A2933" s="7" t="s">
        <v>2943</v>
      </c>
      <c r="B2933" s="7" t="s">
        <v>12</v>
      </c>
    </row>
    <row r="2934" spans="1:3" x14ac:dyDescent="0.3">
      <c r="A2934" s="7" t="s">
        <v>2944</v>
      </c>
      <c r="B2934" s="7" t="s">
        <v>12</v>
      </c>
      <c r="C2934" t="s">
        <v>2</v>
      </c>
    </row>
    <row r="2935" spans="1:3" x14ac:dyDescent="0.3">
      <c r="A2935" s="7" t="s">
        <v>2945</v>
      </c>
      <c r="B2935" s="7" t="s">
        <v>12</v>
      </c>
      <c r="C2935" t="s">
        <v>2</v>
      </c>
    </row>
    <row r="2936" spans="1:3" x14ac:dyDescent="0.3">
      <c r="A2936" s="7" t="s">
        <v>2946</v>
      </c>
      <c r="B2936" s="7" t="s">
        <v>12</v>
      </c>
      <c r="C2936" t="s">
        <v>2</v>
      </c>
    </row>
    <row r="2937" spans="1:3" x14ac:dyDescent="0.3">
      <c r="A2937" s="7" t="s">
        <v>2947</v>
      </c>
      <c r="B2937" s="7" t="s">
        <v>12</v>
      </c>
      <c r="C2937" t="s">
        <v>2</v>
      </c>
    </row>
    <row r="2938" spans="1:3" x14ac:dyDescent="0.3">
      <c r="A2938" s="7" t="s">
        <v>2948</v>
      </c>
      <c r="B2938" s="7" t="s">
        <v>12</v>
      </c>
      <c r="C2938" t="s">
        <v>2</v>
      </c>
    </row>
    <row r="2939" spans="1:3" x14ac:dyDescent="0.3">
      <c r="A2939" s="7" t="s">
        <v>2949</v>
      </c>
      <c r="B2939" s="7" t="s">
        <v>12</v>
      </c>
      <c r="C2939" t="s">
        <v>2</v>
      </c>
    </row>
    <row r="2940" spans="1:3" x14ac:dyDescent="0.3">
      <c r="A2940" s="7" t="s">
        <v>2950</v>
      </c>
      <c r="B2940" s="7" t="s">
        <v>12</v>
      </c>
      <c r="C2940" t="s">
        <v>3678</v>
      </c>
    </row>
    <row r="2941" spans="1:3" x14ac:dyDescent="0.3">
      <c r="A2941" s="7" t="s">
        <v>2951</v>
      </c>
      <c r="B2941" s="7" t="s">
        <v>12</v>
      </c>
      <c r="C2941" t="s">
        <v>3678</v>
      </c>
    </row>
    <row r="2942" spans="1:3" x14ac:dyDescent="0.3">
      <c r="A2942" s="7" t="s">
        <v>2952</v>
      </c>
      <c r="B2942" s="7" t="s">
        <v>12</v>
      </c>
      <c r="C2942" t="s">
        <v>3678</v>
      </c>
    </row>
    <row r="2943" spans="1:3" x14ac:dyDescent="0.3">
      <c r="A2943" s="7" t="s">
        <v>2953</v>
      </c>
      <c r="B2943" s="7" t="s">
        <v>12</v>
      </c>
      <c r="C2943" t="s">
        <v>3678</v>
      </c>
    </row>
    <row r="2944" spans="1:3" x14ac:dyDescent="0.3">
      <c r="A2944" s="7" t="s">
        <v>2954</v>
      </c>
      <c r="B2944" s="7" t="s">
        <v>12</v>
      </c>
      <c r="C2944" t="s">
        <v>3678</v>
      </c>
    </row>
    <row r="2945" spans="1:3" x14ac:dyDescent="0.3">
      <c r="A2945" s="7" t="s">
        <v>2955</v>
      </c>
      <c r="B2945" s="7" t="s">
        <v>12</v>
      </c>
      <c r="C2945" t="s">
        <v>3678</v>
      </c>
    </row>
    <row r="2946" spans="1:3" x14ac:dyDescent="0.3">
      <c r="A2946" s="7" t="s">
        <v>2956</v>
      </c>
      <c r="B2946" s="7" t="s">
        <v>12</v>
      </c>
      <c r="C2946" t="s">
        <v>3678</v>
      </c>
    </row>
    <row r="2947" spans="1:3" x14ac:dyDescent="0.3">
      <c r="A2947" s="7" t="s">
        <v>2957</v>
      </c>
      <c r="B2947" s="7" t="s">
        <v>12</v>
      </c>
      <c r="C2947" t="s">
        <v>3678</v>
      </c>
    </row>
    <row r="2948" spans="1:3" x14ac:dyDescent="0.3">
      <c r="A2948" s="7" t="s">
        <v>2958</v>
      </c>
      <c r="B2948" s="7" t="s">
        <v>12</v>
      </c>
      <c r="C2948" t="s">
        <v>3678</v>
      </c>
    </row>
    <row r="2949" spans="1:3" x14ac:dyDescent="0.3">
      <c r="A2949" s="7" t="s">
        <v>2959</v>
      </c>
      <c r="B2949" s="7" t="s">
        <v>12</v>
      </c>
      <c r="C2949" t="s">
        <v>3678</v>
      </c>
    </row>
    <row r="2950" spans="1:3" x14ac:dyDescent="0.3">
      <c r="A2950" s="7" t="s">
        <v>2960</v>
      </c>
      <c r="B2950" s="7" t="s">
        <v>12</v>
      </c>
      <c r="C2950" t="s">
        <v>3678</v>
      </c>
    </row>
    <row r="2951" spans="1:3" x14ac:dyDescent="0.3">
      <c r="A2951" s="7" t="s">
        <v>2961</v>
      </c>
      <c r="B2951" s="7" t="s">
        <v>12</v>
      </c>
      <c r="C2951" t="s">
        <v>3680</v>
      </c>
    </row>
    <row r="2952" spans="1:3" x14ac:dyDescent="0.3">
      <c r="A2952" s="7" t="s">
        <v>2962</v>
      </c>
      <c r="B2952" s="7" t="s">
        <v>12</v>
      </c>
      <c r="C2952" t="s">
        <v>3680</v>
      </c>
    </row>
    <row r="2953" spans="1:3" x14ac:dyDescent="0.3">
      <c r="A2953" s="7" t="s">
        <v>2963</v>
      </c>
      <c r="B2953" s="7" t="s">
        <v>12</v>
      </c>
      <c r="C2953" t="s">
        <v>2</v>
      </c>
    </row>
    <row r="2954" spans="1:3" x14ac:dyDescent="0.3">
      <c r="A2954" s="7" t="s">
        <v>2964</v>
      </c>
      <c r="B2954" s="7" t="s">
        <v>12</v>
      </c>
      <c r="C2954" t="s">
        <v>2</v>
      </c>
    </row>
    <row r="2955" spans="1:3" x14ac:dyDescent="0.3">
      <c r="A2955" s="7" t="s">
        <v>2965</v>
      </c>
      <c r="B2955" s="7" t="s">
        <v>12</v>
      </c>
      <c r="C2955" t="s">
        <v>2</v>
      </c>
    </row>
    <row r="2956" spans="1:3" x14ac:dyDescent="0.3">
      <c r="A2956" s="7" t="s">
        <v>2966</v>
      </c>
      <c r="B2956" s="7" t="s">
        <v>12</v>
      </c>
      <c r="C2956" t="s">
        <v>2</v>
      </c>
    </row>
    <row r="2957" spans="1:3" x14ac:dyDescent="0.3">
      <c r="A2957" s="7" t="s">
        <v>2967</v>
      </c>
      <c r="B2957" s="7" t="s">
        <v>12</v>
      </c>
      <c r="C2957" t="s">
        <v>2</v>
      </c>
    </row>
    <row r="2958" spans="1:3" x14ac:dyDescent="0.3">
      <c r="A2958" s="7" t="s">
        <v>2968</v>
      </c>
      <c r="B2958" s="7" t="s">
        <v>12</v>
      </c>
      <c r="C2958" t="s">
        <v>2</v>
      </c>
    </row>
    <row r="2959" spans="1:3" x14ac:dyDescent="0.3">
      <c r="A2959" s="7" t="s">
        <v>2969</v>
      </c>
      <c r="B2959" s="7" t="s">
        <v>12</v>
      </c>
      <c r="C2959" t="s">
        <v>2</v>
      </c>
    </row>
    <row r="2960" spans="1:3" x14ac:dyDescent="0.3">
      <c r="A2960" s="7" t="s">
        <v>2970</v>
      </c>
      <c r="B2960" s="7" t="s">
        <v>12</v>
      </c>
      <c r="C2960" t="s">
        <v>2</v>
      </c>
    </row>
    <row r="2961" spans="1:3" x14ac:dyDescent="0.3">
      <c r="A2961" s="7" t="s">
        <v>2971</v>
      </c>
      <c r="B2961" s="7" t="s">
        <v>12</v>
      </c>
      <c r="C2961" t="s">
        <v>2</v>
      </c>
    </row>
    <row r="2962" spans="1:3" x14ac:dyDescent="0.3">
      <c r="A2962" s="7" t="s">
        <v>2972</v>
      </c>
      <c r="B2962" s="7" t="s">
        <v>12</v>
      </c>
      <c r="C2962" t="s">
        <v>2</v>
      </c>
    </row>
    <row r="2963" spans="1:3" x14ac:dyDescent="0.3">
      <c r="A2963" s="7" t="s">
        <v>2973</v>
      </c>
      <c r="B2963" s="7" t="s">
        <v>12</v>
      </c>
      <c r="C2963" t="s">
        <v>2</v>
      </c>
    </row>
    <row r="2964" spans="1:3" x14ac:dyDescent="0.3">
      <c r="A2964" s="7" t="s">
        <v>2974</v>
      </c>
      <c r="B2964" s="7" t="s">
        <v>12</v>
      </c>
      <c r="C2964" t="s">
        <v>2</v>
      </c>
    </row>
    <row r="2965" spans="1:3" x14ac:dyDescent="0.3">
      <c r="A2965" s="7" t="s">
        <v>2975</v>
      </c>
      <c r="B2965" s="7" t="s">
        <v>12</v>
      </c>
      <c r="C2965" t="s">
        <v>2</v>
      </c>
    </row>
    <row r="2966" spans="1:3" x14ac:dyDescent="0.3">
      <c r="A2966" s="7" t="s">
        <v>2976</v>
      </c>
      <c r="B2966" s="7" t="s">
        <v>12</v>
      </c>
      <c r="C2966" t="s">
        <v>2</v>
      </c>
    </row>
    <row r="2967" spans="1:3" x14ac:dyDescent="0.3">
      <c r="A2967" s="7" t="s">
        <v>2977</v>
      </c>
      <c r="B2967" s="7" t="s">
        <v>12</v>
      </c>
      <c r="C2967" t="s">
        <v>2</v>
      </c>
    </row>
    <row r="2968" spans="1:3" x14ac:dyDescent="0.3">
      <c r="A2968" s="7" t="s">
        <v>2978</v>
      </c>
      <c r="B2968" s="7" t="s">
        <v>12</v>
      </c>
      <c r="C2968" t="s">
        <v>2</v>
      </c>
    </row>
    <row r="2969" spans="1:3" x14ac:dyDescent="0.3">
      <c r="A2969" s="7" t="s">
        <v>2979</v>
      </c>
      <c r="B2969" s="7" t="s">
        <v>12</v>
      </c>
      <c r="C2969" t="s">
        <v>2</v>
      </c>
    </row>
    <row r="2970" spans="1:3" x14ac:dyDescent="0.3">
      <c r="A2970" s="7" t="s">
        <v>2980</v>
      </c>
      <c r="B2970" s="7" t="s">
        <v>12</v>
      </c>
      <c r="C2970" t="s">
        <v>2</v>
      </c>
    </row>
    <row r="2971" spans="1:3" x14ac:dyDescent="0.3">
      <c r="A2971" s="7" t="s">
        <v>2981</v>
      </c>
      <c r="B2971" s="7" t="s">
        <v>12</v>
      </c>
      <c r="C2971" t="s">
        <v>2</v>
      </c>
    </row>
    <row r="2972" spans="1:3" x14ac:dyDescent="0.3">
      <c r="A2972" s="7" t="s">
        <v>2982</v>
      </c>
      <c r="B2972" s="7" t="s">
        <v>12</v>
      </c>
      <c r="C2972" t="s">
        <v>2</v>
      </c>
    </row>
    <row r="2973" spans="1:3" x14ac:dyDescent="0.3">
      <c r="A2973" s="7" t="s">
        <v>2983</v>
      </c>
      <c r="B2973" s="7" t="s">
        <v>12</v>
      </c>
      <c r="C2973" t="s">
        <v>2</v>
      </c>
    </row>
    <row r="2974" spans="1:3" x14ac:dyDescent="0.3">
      <c r="A2974" s="7" t="s">
        <v>2984</v>
      </c>
      <c r="B2974" s="7" t="s">
        <v>12</v>
      </c>
      <c r="C2974" t="s">
        <v>2</v>
      </c>
    </row>
    <row r="2975" spans="1:3" x14ac:dyDescent="0.3">
      <c r="A2975" s="7" t="s">
        <v>2985</v>
      </c>
      <c r="B2975" s="7" t="s">
        <v>12</v>
      </c>
      <c r="C2975" t="s">
        <v>2</v>
      </c>
    </row>
    <row r="2976" spans="1:3" x14ac:dyDescent="0.3">
      <c r="A2976" s="7" t="s">
        <v>2986</v>
      </c>
      <c r="B2976" s="7" t="s">
        <v>12</v>
      </c>
      <c r="C2976" t="s">
        <v>2</v>
      </c>
    </row>
    <row r="2977" spans="1:3" x14ac:dyDescent="0.3">
      <c r="A2977" s="7" t="s">
        <v>2987</v>
      </c>
      <c r="B2977" s="7" t="s">
        <v>12</v>
      </c>
      <c r="C2977" t="s">
        <v>2</v>
      </c>
    </row>
    <row r="2978" spans="1:3" x14ac:dyDescent="0.3">
      <c r="A2978" s="7" t="s">
        <v>2988</v>
      </c>
      <c r="B2978" s="7" t="s">
        <v>12</v>
      </c>
      <c r="C2978" t="s">
        <v>2</v>
      </c>
    </row>
    <row r="2979" spans="1:3" x14ac:dyDescent="0.3">
      <c r="A2979" s="7" t="s">
        <v>2989</v>
      </c>
      <c r="B2979" s="7" t="s">
        <v>12</v>
      </c>
      <c r="C2979" t="s">
        <v>2</v>
      </c>
    </row>
    <row r="2980" spans="1:3" x14ac:dyDescent="0.3">
      <c r="A2980" s="7" t="s">
        <v>2990</v>
      </c>
      <c r="B2980" s="7" t="s">
        <v>12</v>
      </c>
      <c r="C2980" t="s">
        <v>2</v>
      </c>
    </row>
    <row r="2981" spans="1:3" x14ac:dyDescent="0.3">
      <c r="A2981" s="7" t="s">
        <v>2991</v>
      </c>
      <c r="B2981" s="7" t="s">
        <v>12</v>
      </c>
      <c r="C2981" t="s">
        <v>2</v>
      </c>
    </row>
    <row r="2982" spans="1:3" x14ac:dyDescent="0.3">
      <c r="A2982" s="7" t="s">
        <v>2992</v>
      </c>
      <c r="B2982" s="7" t="s">
        <v>12</v>
      </c>
      <c r="C2982" t="s">
        <v>2</v>
      </c>
    </row>
    <row r="2983" spans="1:3" x14ac:dyDescent="0.3">
      <c r="A2983" s="7" t="s">
        <v>2993</v>
      </c>
      <c r="B2983" s="7" t="s">
        <v>12</v>
      </c>
      <c r="C2983" t="s">
        <v>2</v>
      </c>
    </row>
    <row r="2984" spans="1:3" x14ac:dyDescent="0.3">
      <c r="A2984" s="7" t="s">
        <v>2994</v>
      </c>
      <c r="B2984" s="7" t="s">
        <v>12</v>
      </c>
      <c r="C2984" t="s">
        <v>2</v>
      </c>
    </row>
    <row r="2985" spans="1:3" x14ac:dyDescent="0.3">
      <c r="A2985" s="7" t="s">
        <v>2995</v>
      </c>
      <c r="B2985" s="7" t="s">
        <v>12</v>
      </c>
      <c r="C2985" t="s">
        <v>2</v>
      </c>
    </row>
    <row r="2986" spans="1:3" x14ac:dyDescent="0.3">
      <c r="A2986" s="7" t="s">
        <v>2996</v>
      </c>
      <c r="B2986" s="7" t="s">
        <v>12</v>
      </c>
      <c r="C2986" t="s">
        <v>2</v>
      </c>
    </row>
    <row r="2987" spans="1:3" x14ac:dyDescent="0.3">
      <c r="A2987" s="7" t="s">
        <v>2997</v>
      </c>
      <c r="B2987" s="7" t="s">
        <v>12</v>
      </c>
      <c r="C2987" t="s">
        <v>2</v>
      </c>
    </row>
    <row r="2988" spans="1:3" x14ac:dyDescent="0.3">
      <c r="A2988" s="7" t="s">
        <v>2998</v>
      </c>
      <c r="B2988" s="7" t="s">
        <v>12</v>
      </c>
      <c r="C2988" t="s">
        <v>2</v>
      </c>
    </row>
    <row r="2989" spans="1:3" x14ac:dyDescent="0.3">
      <c r="A2989" s="7" t="s">
        <v>2999</v>
      </c>
      <c r="B2989" s="7" t="s">
        <v>12</v>
      </c>
      <c r="C2989" t="s">
        <v>2</v>
      </c>
    </row>
    <row r="2990" spans="1:3" x14ac:dyDescent="0.3">
      <c r="A2990" s="7" t="s">
        <v>3000</v>
      </c>
      <c r="B2990" s="7" t="s">
        <v>12</v>
      </c>
      <c r="C2990" t="s">
        <v>2</v>
      </c>
    </row>
    <row r="2991" spans="1:3" x14ac:dyDescent="0.3">
      <c r="A2991" s="7" t="s">
        <v>3001</v>
      </c>
      <c r="B2991" s="7" t="s">
        <v>12</v>
      </c>
      <c r="C2991" t="s">
        <v>2</v>
      </c>
    </row>
    <row r="2992" spans="1:3" x14ac:dyDescent="0.3">
      <c r="A2992" s="7" t="s">
        <v>3002</v>
      </c>
      <c r="B2992" s="7" t="s">
        <v>12</v>
      </c>
      <c r="C2992" t="s">
        <v>2</v>
      </c>
    </row>
    <row r="2993" spans="1:3" x14ac:dyDescent="0.3">
      <c r="A2993" s="7" t="s">
        <v>3003</v>
      </c>
      <c r="B2993" s="7" t="s">
        <v>12</v>
      </c>
      <c r="C2993" t="s">
        <v>2</v>
      </c>
    </row>
    <row r="2994" spans="1:3" x14ac:dyDescent="0.3">
      <c r="A2994" s="7" t="s">
        <v>3004</v>
      </c>
      <c r="B2994" s="7" t="s">
        <v>12</v>
      </c>
      <c r="C2994" t="s">
        <v>2</v>
      </c>
    </row>
    <row r="2995" spans="1:3" x14ac:dyDescent="0.3">
      <c r="A2995" s="7" t="s">
        <v>3005</v>
      </c>
      <c r="B2995" s="7" t="s">
        <v>12</v>
      </c>
      <c r="C2995" t="s">
        <v>2</v>
      </c>
    </row>
    <row r="2996" spans="1:3" x14ac:dyDescent="0.3">
      <c r="A2996" s="7" t="s">
        <v>3006</v>
      </c>
      <c r="B2996" s="7" t="s">
        <v>12</v>
      </c>
      <c r="C2996" t="s">
        <v>2</v>
      </c>
    </row>
    <row r="2997" spans="1:3" x14ac:dyDescent="0.3">
      <c r="A2997" s="7" t="s">
        <v>3007</v>
      </c>
      <c r="B2997" s="7" t="s">
        <v>12</v>
      </c>
      <c r="C2997" t="s">
        <v>2</v>
      </c>
    </row>
    <row r="2998" spans="1:3" x14ac:dyDescent="0.3">
      <c r="A2998" s="7" t="s">
        <v>3008</v>
      </c>
      <c r="B2998" s="7" t="s">
        <v>12</v>
      </c>
      <c r="C2998" t="s">
        <v>2</v>
      </c>
    </row>
    <row r="2999" spans="1:3" x14ac:dyDescent="0.3">
      <c r="A2999" s="7" t="s">
        <v>3009</v>
      </c>
      <c r="B2999" s="7" t="s">
        <v>12</v>
      </c>
      <c r="C2999" t="s">
        <v>2</v>
      </c>
    </row>
    <row r="3000" spans="1:3" x14ac:dyDescent="0.3">
      <c r="A3000" s="7" t="s">
        <v>3010</v>
      </c>
      <c r="B3000" s="7" t="s">
        <v>12</v>
      </c>
      <c r="C3000" t="s">
        <v>3</v>
      </c>
    </row>
    <row r="3001" spans="1:3" x14ac:dyDescent="0.3">
      <c r="A3001" s="7" t="s">
        <v>3011</v>
      </c>
      <c r="B3001" s="7" t="s">
        <v>12</v>
      </c>
      <c r="C3001" t="s">
        <v>3</v>
      </c>
    </row>
    <row r="3002" spans="1:3" x14ac:dyDescent="0.3">
      <c r="A3002" s="7" t="s">
        <v>3012</v>
      </c>
      <c r="B3002" s="7" t="s">
        <v>12</v>
      </c>
      <c r="C3002" t="s">
        <v>3</v>
      </c>
    </row>
    <row r="3003" spans="1:3" x14ac:dyDescent="0.3">
      <c r="A3003" s="7" t="s">
        <v>3013</v>
      </c>
      <c r="B3003" s="7" t="s">
        <v>12</v>
      </c>
      <c r="C3003" t="s">
        <v>3</v>
      </c>
    </row>
    <row r="3004" spans="1:3" x14ac:dyDescent="0.3">
      <c r="A3004" s="7" t="s">
        <v>3014</v>
      </c>
      <c r="B3004" s="7" t="s">
        <v>12</v>
      </c>
      <c r="C3004" t="s">
        <v>3</v>
      </c>
    </row>
    <row r="3005" spans="1:3" x14ac:dyDescent="0.3">
      <c r="A3005" s="7" t="s">
        <v>3015</v>
      </c>
      <c r="B3005" s="7" t="s">
        <v>12</v>
      </c>
      <c r="C3005" t="s">
        <v>3</v>
      </c>
    </row>
    <row r="3006" spans="1:3" x14ac:dyDescent="0.3">
      <c r="A3006" s="7" t="s">
        <v>3016</v>
      </c>
      <c r="B3006" s="7" t="s">
        <v>12</v>
      </c>
      <c r="C3006" t="s">
        <v>3</v>
      </c>
    </row>
    <row r="3007" spans="1:3" x14ac:dyDescent="0.3">
      <c r="A3007" s="7" t="s">
        <v>3017</v>
      </c>
      <c r="B3007" s="7" t="s">
        <v>12</v>
      </c>
      <c r="C3007" t="s">
        <v>2</v>
      </c>
    </row>
    <row r="3008" spans="1:3" x14ac:dyDescent="0.3">
      <c r="A3008" s="7" t="s">
        <v>3018</v>
      </c>
      <c r="B3008" s="7" t="s">
        <v>12</v>
      </c>
      <c r="C3008" t="s">
        <v>2</v>
      </c>
    </row>
    <row r="3009" spans="1:3" x14ac:dyDescent="0.3">
      <c r="A3009" s="7" t="s">
        <v>3019</v>
      </c>
      <c r="B3009" s="7" t="s">
        <v>12</v>
      </c>
      <c r="C3009" t="s">
        <v>2</v>
      </c>
    </row>
    <row r="3010" spans="1:3" x14ac:dyDescent="0.3">
      <c r="A3010" s="7" t="s">
        <v>3020</v>
      </c>
      <c r="B3010" s="7" t="s">
        <v>12</v>
      </c>
      <c r="C3010" t="s">
        <v>2</v>
      </c>
    </row>
    <row r="3011" spans="1:3" x14ac:dyDescent="0.3">
      <c r="A3011" s="7" t="s">
        <v>3021</v>
      </c>
      <c r="B3011" s="7" t="s">
        <v>12</v>
      </c>
      <c r="C3011" t="s">
        <v>2</v>
      </c>
    </row>
    <row r="3012" spans="1:3" x14ac:dyDescent="0.3">
      <c r="A3012" s="7" t="s">
        <v>3022</v>
      </c>
      <c r="B3012" s="7" t="s">
        <v>12</v>
      </c>
      <c r="C3012" t="s">
        <v>3678</v>
      </c>
    </row>
    <row r="3013" spans="1:3" x14ac:dyDescent="0.3">
      <c r="A3013" s="7" t="s">
        <v>3023</v>
      </c>
      <c r="B3013" s="7" t="s">
        <v>12</v>
      </c>
      <c r="C3013" t="s">
        <v>3678</v>
      </c>
    </row>
    <row r="3014" spans="1:3" x14ac:dyDescent="0.3">
      <c r="A3014" s="7" t="s">
        <v>3024</v>
      </c>
      <c r="B3014" s="7" t="s">
        <v>12</v>
      </c>
      <c r="C3014" t="s">
        <v>3678</v>
      </c>
    </row>
    <row r="3015" spans="1:3" x14ac:dyDescent="0.3">
      <c r="A3015" s="7" t="s">
        <v>3025</v>
      </c>
      <c r="B3015" s="7" t="s">
        <v>12</v>
      </c>
      <c r="C3015" t="s">
        <v>3678</v>
      </c>
    </row>
    <row r="3016" spans="1:3" x14ac:dyDescent="0.3">
      <c r="A3016" s="7" t="s">
        <v>3026</v>
      </c>
      <c r="B3016" s="7" t="s">
        <v>12</v>
      </c>
      <c r="C3016" t="s">
        <v>2</v>
      </c>
    </row>
    <row r="3017" spans="1:3" x14ac:dyDescent="0.3">
      <c r="A3017" s="7" t="s">
        <v>3027</v>
      </c>
      <c r="B3017" s="7" t="s">
        <v>12</v>
      </c>
      <c r="C3017" t="s">
        <v>2</v>
      </c>
    </row>
    <row r="3018" spans="1:3" x14ac:dyDescent="0.3">
      <c r="A3018" s="7" t="s">
        <v>3028</v>
      </c>
      <c r="B3018" s="7" t="s">
        <v>12</v>
      </c>
      <c r="C3018" t="s">
        <v>2</v>
      </c>
    </row>
    <row r="3019" spans="1:3" x14ac:dyDescent="0.3">
      <c r="A3019" s="7" t="s">
        <v>3029</v>
      </c>
      <c r="B3019" s="7" t="s">
        <v>12</v>
      </c>
      <c r="C3019" t="s">
        <v>2</v>
      </c>
    </row>
    <row r="3020" spans="1:3" x14ac:dyDescent="0.3">
      <c r="A3020" s="7" t="s">
        <v>3030</v>
      </c>
      <c r="B3020" s="7" t="s">
        <v>12</v>
      </c>
      <c r="C3020" t="s">
        <v>2</v>
      </c>
    </row>
    <row r="3021" spans="1:3" x14ac:dyDescent="0.3">
      <c r="A3021" s="7" t="s">
        <v>3031</v>
      </c>
      <c r="B3021" s="7" t="s">
        <v>12</v>
      </c>
      <c r="C3021" t="s">
        <v>2</v>
      </c>
    </row>
    <row r="3022" spans="1:3" x14ac:dyDescent="0.3">
      <c r="A3022" s="7" t="s">
        <v>3032</v>
      </c>
      <c r="B3022" s="7" t="s">
        <v>12</v>
      </c>
      <c r="C3022" t="s">
        <v>2</v>
      </c>
    </row>
    <row r="3023" spans="1:3" x14ac:dyDescent="0.3">
      <c r="A3023" s="7" t="s">
        <v>3033</v>
      </c>
      <c r="B3023" s="7" t="s">
        <v>12</v>
      </c>
      <c r="C3023" t="s">
        <v>2</v>
      </c>
    </row>
    <row r="3024" spans="1:3" x14ac:dyDescent="0.3">
      <c r="A3024" s="7" t="s">
        <v>3034</v>
      </c>
      <c r="B3024" s="7" t="s">
        <v>12</v>
      </c>
      <c r="C3024" t="s">
        <v>3678</v>
      </c>
    </row>
    <row r="3025" spans="1:3" x14ac:dyDescent="0.3">
      <c r="A3025" s="7" t="s">
        <v>3035</v>
      </c>
      <c r="B3025" s="7" t="s">
        <v>12</v>
      </c>
      <c r="C3025" t="s">
        <v>3678</v>
      </c>
    </row>
    <row r="3026" spans="1:3" x14ac:dyDescent="0.3">
      <c r="A3026" s="7" t="s">
        <v>3036</v>
      </c>
      <c r="B3026" s="7" t="s">
        <v>12</v>
      </c>
      <c r="C3026" t="s">
        <v>3678</v>
      </c>
    </row>
    <row r="3027" spans="1:3" x14ac:dyDescent="0.3">
      <c r="A3027" s="7" t="s">
        <v>3037</v>
      </c>
      <c r="B3027" s="7" t="s">
        <v>12</v>
      </c>
      <c r="C3027" t="s">
        <v>3678</v>
      </c>
    </row>
    <row r="3028" spans="1:3" x14ac:dyDescent="0.3">
      <c r="A3028" s="7" t="s">
        <v>3038</v>
      </c>
      <c r="B3028" s="7" t="s">
        <v>12</v>
      </c>
      <c r="C3028" t="s">
        <v>3678</v>
      </c>
    </row>
    <row r="3029" spans="1:3" x14ac:dyDescent="0.3">
      <c r="A3029" s="7" t="s">
        <v>3039</v>
      </c>
      <c r="B3029" s="7" t="s">
        <v>12</v>
      </c>
      <c r="C3029" t="s">
        <v>3680</v>
      </c>
    </row>
    <row r="3030" spans="1:3" x14ac:dyDescent="0.3">
      <c r="A3030" s="7" t="s">
        <v>3040</v>
      </c>
      <c r="B3030" s="7" t="s">
        <v>12</v>
      </c>
      <c r="C3030" t="s">
        <v>2</v>
      </c>
    </row>
    <row r="3031" spans="1:3" x14ac:dyDescent="0.3">
      <c r="A3031" s="7" t="s">
        <v>3041</v>
      </c>
      <c r="B3031" s="7" t="s">
        <v>12</v>
      </c>
      <c r="C3031" t="s">
        <v>2</v>
      </c>
    </row>
    <row r="3032" spans="1:3" x14ac:dyDescent="0.3">
      <c r="A3032" s="7" t="s">
        <v>3042</v>
      </c>
      <c r="B3032" s="7" t="s">
        <v>12</v>
      </c>
      <c r="C3032" t="s">
        <v>2</v>
      </c>
    </row>
    <row r="3033" spans="1:3" x14ac:dyDescent="0.3">
      <c r="A3033" s="7" t="s">
        <v>3043</v>
      </c>
      <c r="B3033" s="7" t="s">
        <v>12</v>
      </c>
      <c r="C3033" t="s">
        <v>2</v>
      </c>
    </row>
    <row r="3034" spans="1:3" x14ac:dyDescent="0.3">
      <c r="A3034" s="7" t="s">
        <v>3044</v>
      </c>
      <c r="B3034" s="7" t="s">
        <v>12</v>
      </c>
      <c r="C3034" t="s">
        <v>2</v>
      </c>
    </row>
    <row r="3035" spans="1:3" x14ac:dyDescent="0.3">
      <c r="A3035" s="7" t="s">
        <v>3045</v>
      </c>
      <c r="B3035" s="7" t="s">
        <v>12</v>
      </c>
      <c r="C3035" t="s">
        <v>2</v>
      </c>
    </row>
    <row r="3036" spans="1:3" x14ac:dyDescent="0.3">
      <c r="A3036" s="7" t="s">
        <v>3046</v>
      </c>
      <c r="B3036" s="7" t="s">
        <v>12</v>
      </c>
      <c r="C3036" t="s">
        <v>2</v>
      </c>
    </row>
    <row r="3037" spans="1:3" x14ac:dyDescent="0.3">
      <c r="A3037" s="7" t="s">
        <v>3047</v>
      </c>
      <c r="B3037" s="7" t="s">
        <v>12</v>
      </c>
      <c r="C3037" t="s">
        <v>2</v>
      </c>
    </row>
    <row r="3038" spans="1:3" x14ac:dyDescent="0.3">
      <c r="A3038" s="7" t="s">
        <v>3048</v>
      </c>
      <c r="B3038" s="7" t="s">
        <v>12</v>
      </c>
      <c r="C3038" t="s">
        <v>2</v>
      </c>
    </row>
    <row r="3039" spans="1:3" x14ac:dyDescent="0.3">
      <c r="A3039" s="7" t="s">
        <v>3049</v>
      </c>
      <c r="B3039" s="7" t="s">
        <v>12</v>
      </c>
      <c r="C3039" t="s">
        <v>2</v>
      </c>
    </row>
    <row r="3040" spans="1:3" x14ac:dyDescent="0.3">
      <c r="A3040" s="7" t="s">
        <v>3050</v>
      </c>
      <c r="B3040" s="7" t="s">
        <v>12</v>
      </c>
      <c r="C3040" t="s">
        <v>2</v>
      </c>
    </row>
    <row r="3041" spans="1:3" x14ac:dyDescent="0.3">
      <c r="A3041" s="7" t="s">
        <v>3051</v>
      </c>
      <c r="B3041" s="7" t="s">
        <v>12</v>
      </c>
      <c r="C3041" t="s">
        <v>2</v>
      </c>
    </row>
    <row r="3042" spans="1:3" x14ac:dyDescent="0.3">
      <c r="A3042" s="7" t="s">
        <v>3052</v>
      </c>
      <c r="B3042" s="7" t="s">
        <v>12</v>
      </c>
      <c r="C3042" t="s">
        <v>2</v>
      </c>
    </row>
    <row r="3043" spans="1:3" x14ac:dyDescent="0.3">
      <c r="A3043" s="7" t="s">
        <v>3053</v>
      </c>
      <c r="B3043" s="7" t="s">
        <v>12</v>
      </c>
      <c r="C3043" t="s">
        <v>2</v>
      </c>
    </row>
    <row r="3044" spans="1:3" x14ac:dyDescent="0.3">
      <c r="A3044" s="7" t="s">
        <v>3054</v>
      </c>
      <c r="B3044" s="7" t="s">
        <v>12</v>
      </c>
      <c r="C3044" t="s">
        <v>2</v>
      </c>
    </row>
    <row r="3045" spans="1:3" x14ac:dyDescent="0.3">
      <c r="A3045" s="7" t="s">
        <v>3055</v>
      </c>
      <c r="B3045" s="7" t="s">
        <v>12</v>
      </c>
      <c r="C3045" t="s">
        <v>2</v>
      </c>
    </row>
    <row r="3046" spans="1:3" x14ac:dyDescent="0.3">
      <c r="A3046" s="7" t="s">
        <v>3056</v>
      </c>
      <c r="B3046" s="7" t="s">
        <v>12</v>
      </c>
      <c r="C3046" t="s">
        <v>2</v>
      </c>
    </row>
    <row r="3047" spans="1:3" x14ac:dyDescent="0.3">
      <c r="A3047" s="7" t="s">
        <v>3057</v>
      </c>
      <c r="B3047" s="7" t="s">
        <v>12</v>
      </c>
      <c r="C3047" t="s">
        <v>2</v>
      </c>
    </row>
    <row r="3048" spans="1:3" x14ac:dyDescent="0.3">
      <c r="A3048" s="7" t="s">
        <v>3058</v>
      </c>
      <c r="B3048" s="7" t="s">
        <v>12</v>
      </c>
      <c r="C3048" t="s">
        <v>2</v>
      </c>
    </row>
    <row r="3049" spans="1:3" x14ac:dyDescent="0.3">
      <c r="A3049" s="7" t="s">
        <v>3059</v>
      </c>
      <c r="B3049" s="7" t="s">
        <v>12</v>
      </c>
      <c r="C3049" t="s">
        <v>2</v>
      </c>
    </row>
    <row r="3050" spans="1:3" x14ac:dyDescent="0.3">
      <c r="A3050" s="7" t="s">
        <v>3060</v>
      </c>
      <c r="B3050" s="7" t="s">
        <v>12</v>
      </c>
      <c r="C3050" t="s">
        <v>2</v>
      </c>
    </row>
    <row r="3051" spans="1:3" x14ac:dyDescent="0.3">
      <c r="A3051" s="7" t="s">
        <v>3061</v>
      </c>
      <c r="B3051" s="7" t="s">
        <v>12</v>
      </c>
      <c r="C3051" t="s">
        <v>2</v>
      </c>
    </row>
    <row r="3052" spans="1:3" x14ac:dyDescent="0.3">
      <c r="A3052" s="7" t="s">
        <v>3062</v>
      </c>
      <c r="B3052" s="7" t="s">
        <v>12</v>
      </c>
      <c r="C3052" t="s">
        <v>2</v>
      </c>
    </row>
    <row r="3053" spans="1:3" x14ac:dyDescent="0.3">
      <c r="A3053" s="7" t="s">
        <v>3063</v>
      </c>
      <c r="B3053" s="7" t="s">
        <v>12</v>
      </c>
      <c r="C3053" t="s">
        <v>2</v>
      </c>
    </row>
    <row r="3054" spans="1:3" x14ac:dyDescent="0.3">
      <c r="A3054" s="7" t="s">
        <v>3064</v>
      </c>
      <c r="B3054" s="7" t="s">
        <v>12</v>
      </c>
      <c r="C3054" t="s">
        <v>2</v>
      </c>
    </row>
    <row r="3055" spans="1:3" x14ac:dyDescent="0.3">
      <c r="A3055" s="7" t="s">
        <v>3065</v>
      </c>
      <c r="B3055" s="7" t="s">
        <v>12</v>
      </c>
      <c r="C3055" t="s">
        <v>2</v>
      </c>
    </row>
    <row r="3056" spans="1:3" x14ac:dyDescent="0.3">
      <c r="A3056" s="7" t="s">
        <v>3066</v>
      </c>
      <c r="B3056" s="7" t="s">
        <v>12</v>
      </c>
      <c r="C3056" t="s">
        <v>2</v>
      </c>
    </row>
    <row r="3057" spans="1:3" x14ac:dyDescent="0.3">
      <c r="A3057" s="7" t="s">
        <v>3067</v>
      </c>
      <c r="B3057" s="7" t="s">
        <v>12</v>
      </c>
      <c r="C3057" t="s">
        <v>2</v>
      </c>
    </row>
    <row r="3058" spans="1:3" x14ac:dyDescent="0.3">
      <c r="A3058" s="7" t="s">
        <v>3068</v>
      </c>
      <c r="B3058" s="7" t="s">
        <v>12</v>
      </c>
      <c r="C3058" t="s">
        <v>2</v>
      </c>
    </row>
    <row r="3059" spans="1:3" x14ac:dyDescent="0.3">
      <c r="A3059" s="7" t="s">
        <v>3069</v>
      </c>
      <c r="B3059" s="7" t="s">
        <v>12</v>
      </c>
      <c r="C3059" t="s">
        <v>2</v>
      </c>
    </row>
    <row r="3060" spans="1:3" x14ac:dyDescent="0.3">
      <c r="A3060" s="7" t="s">
        <v>3070</v>
      </c>
      <c r="B3060" s="7" t="s">
        <v>12</v>
      </c>
      <c r="C3060" t="s">
        <v>2</v>
      </c>
    </row>
    <row r="3061" spans="1:3" x14ac:dyDescent="0.3">
      <c r="A3061" s="7" t="s">
        <v>3071</v>
      </c>
      <c r="B3061" s="7" t="s">
        <v>12</v>
      </c>
      <c r="C3061" t="s">
        <v>2</v>
      </c>
    </row>
    <row r="3062" spans="1:3" x14ac:dyDescent="0.3">
      <c r="A3062" s="7" t="s">
        <v>3072</v>
      </c>
      <c r="B3062" s="7" t="s">
        <v>12</v>
      </c>
      <c r="C3062" t="s">
        <v>2</v>
      </c>
    </row>
    <row r="3063" spans="1:3" x14ac:dyDescent="0.3">
      <c r="A3063" s="7" t="s">
        <v>3073</v>
      </c>
      <c r="B3063" s="7" t="s">
        <v>12</v>
      </c>
      <c r="C3063" t="s">
        <v>2</v>
      </c>
    </row>
    <row r="3064" spans="1:3" x14ac:dyDescent="0.3">
      <c r="A3064" s="7" t="s">
        <v>3074</v>
      </c>
      <c r="B3064" s="7" t="s">
        <v>12</v>
      </c>
      <c r="C3064" t="s">
        <v>2</v>
      </c>
    </row>
    <row r="3065" spans="1:3" x14ac:dyDescent="0.3">
      <c r="A3065" s="7" t="s">
        <v>3075</v>
      </c>
      <c r="B3065" s="7" t="s">
        <v>12</v>
      </c>
      <c r="C3065" t="s">
        <v>2</v>
      </c>
    </row>
    <row r="3066" spans="1:3" x14ac:dyDescent="0.3">
      <c r="A3066" s="7" t="s">
        <v>3076</v>
      </c>
      <c r="B3066" s="7" t="s">
        <v>12</v>
      </c>
      <c r="C3066" t="s">
        <v>2</v>
      </c>
    </row>
    <row r="3067" spans="1:3" x14ac:dyDescent="0.3">
      <c r="A3067" s="7" t="s">
        <v>3077</v>
      </c>
      <c r="B3067" s="7" t="s">
        <v>12</v>
      </c>
      <c r="C3067" t="s">
        <v>2</v>
      </c>
    </row>
    <row r="3068" spans="1:3" x14ac:dyDescent="0.3">
      <c r="A3068" s="7" t="s">
        <v>3078</v>
      </c>
      <c r="B3068" s="7" t="s">
        <v>12</v>
      </c>
      <c r="C3068" t="s">
        <v>2</v>
      </c>
    </row>
    <row r="3069" spans="1:3" x14ac:dyDescent="0.3">
      <c r="A3069" s="7" t="s">
        <v>3079</v>
      </c>
      <c r="B3069" s="7" t="s">
        <v>12</v>
      </c>
      <c r="C3069" t="s">
        <v>2</v>
      </c>
    </row>
    <row r="3070" spans="1:3" x14ac:dyDescent="0.3">
      <c r="A3070" s="7" t="s">
        <v>3080</v>
      </c>
      <c r="B3070" s="7" t="s">
        <v>12</v>
      </c>
      <c r="C3070" t="s">
        <v>2</v>
      </c>
    </row>
    <row r="3071" spans="1:3" x14ac:dyDescent="0.3">
      <c r="A3071" s="7" t="s">
        <v>3081</v>
      </c>
      <c r="B3071" s="7" t="s">
        <v>12</v>
      </c>
      <c r="C3071" t="s">
        <v>2</v>
      </c>
    </row>
    <row r="3072" spans="1:3" x14ac:dyDescent="0.3">
      <c r="A3072" s="7" t="s">
        <v>3082</v>
      </c>
      <c r="B3072" s="7" t="s">
        <v>12</v>
      </c>
      <c r="C3072" t="s">
        <v>2</v>
      </c>
    </row>
    <row r="3073" spans="1:3" x14ac:dyDescent="0.3">
      <c r="A3073" s="7" t="s">
        <v>3083</v>
      </c>
      <c r="B3073" s="7" t="s">
        <v>12</v>
      </c>
      <c r="C3073" t="s">
        <v>2</v>
      </c>
    </row>
    <row r="3074" spans="1:3" x14ac:dyDescent="0.3">
      <c r="A3074" s="7" t="s">
        <v>3084</v>
      </c>
      <c r="B3074" s="7" t="s">
        <v>12</v>
      </c>
      <c r="C3074" t="s">
        <v>2</v>
      </c>
    </row>
    <row r="3075" spans="1:3" x14ac:dyDescent="0.3">
      <c r="A3075" s="7" t="s">
        <v>3085</v>
      </c>
      <c r="B3075" s="7" t="s">
        <v>12</v>
      </c>
      <c r="C3075" t="s">
        <v>2</v>
      </c>
    </row>
    <row r="3076" spans="1:3" x14ac:dyDescent="0.3">
      <c r="A3076" s="7" t="s">
        <v>3086</v>
      </c>
      <c r="B3076" s="7" t="s">
        <v>12</v>
      </c>
      <c r="C3076" t="s">
        <v>2</v>
      </c>
    </row>
    <row r="3077" spans="1:3" x14ac:dyDescent="0.3">
      <c r="A3077" s="7" t="s">
        <v>3087</v>
      </c>
      <c r="B3077" s="7" t="s">
        <v>12</v>
      </c>
      <c r="C3077" t="s">
        <v>2</v>
      </c>
    </row>
    <row r="3078" spans="1:3" x14ac:dyDescent="0.3">
      <c r="A3078" s="7" t="s">
        <v>3088</v>
      </c>
      <c r="B3078" s="7" t="s">
        <v>12</v>
      </c>
      <c r="C3078" t="s">
        <v>2</v>
      </c>
    </row>
    <row r="3079" spans="1:3" x14ac:dyDescent="0.3">
      <c r="A3079" s="7" t="s">
        <v>3089</v>
      </c>
      <c r="B3079" s="7" t="s">
        <v>12</v>
      </c>
      <c r="C3079" t="s">
        <v>2</v>
      </c>
    </row>
    <row r="3080" spans="1:3" x14ac:dyDescent="0.3">
      <c r="A3080" s="7" t="s">
        <v>3090</v>
      </c>
      <c r="B3080" s="7" t="s">
        <v>12</v>
      </c>
      <c r="C3080" t="s">
        <v>2</v>
      </c>
    </row>
    <row r="3081" spans="1:3" x14ac:dyDescent="0.3">
      <c r="A3081" s="7" t="s">
        <v>3091</v>
      </c>
      <c r="B3081" s="7" t="s">
        <v>12</v>
      </c>
      <c r="C3081" t="s">
        <v>2</v>
      </c>
    </row>
    <row r="3082" spans="1:3" x14ac:dyDescent="0.3">
      <c r="A3082" s="7" t="s">
        <v>3092</v>
      </c>
      <c r="B3082" s="7" t="s">
        <v>12</v>
      </c>
      <c r="C3082" t="s">
        <v>2</v>
      </c>
    </row>
    <row r="3083" spans="1:3" x14ac:dyDescent="0.3">
      <c r="A3083" s="7" t="s">
        <v>3093</v>
      </c>
      <c r="B3083" s="7" t="s">
        <v>12</v>
      </c>
      <c r="C3083" t="s">
        <v>2</v>
      </c>
    </row>
    <row r="3084" spans="1:3" x14ac:dyDescent="0.3">
      <c r="A3084" s="7" t="s">
        <v>3094</v>
      </c>
      <c r="B3084" s="7" t="s">
        <v>12</v>
      </c>
      <c r="C3084" t="s">
        <v>2</v>
      </c>
    </row>
    <row r="3085" spans="1:3" x14ac:dyDescent="0.3">
      <c r="A3085" s="7" t="s">
        <v>3095</v>
      </c>
      <c r="B3085" s="7" t="s">
        <v>12</v>
      </c>
      <c r="C3085" t="s">
        <v>2</v>
      </c>
    </row>
    <row r="3086" spans="1:3" x14ac:dyDescent="0.3">
      <c r="A3086" s="7" t="s">
        <v>3096</v>
      </c>
      <c r="B3086" s="7" t="s">
        <v>12</v>
      </c>
      <c r="C3086" t="s">
        <v>2</v>
      </c>
    </row>
    <row r="3087" spans="1:3" x14ac:dyDescent="0.3">
      <c r="A3087" s="7" t="s">
        <v>3097</v>
      </c>
      <c r="B3087" s="7" t="s">
        <v>12</v>
      </c>
      <c r="C3087" t="s">
        <v>2</v>
      </c>
    </row>
    <row r="3088" spans="1:3" x14ac:dyDescent="0.3">
      <c r="A3088" s="7" t="s">
        <v>3098</v>
      </c>
      <c r="B3088" s="7" t="s">
        <v>12</v>
      </c>
      <c r="C3088" t="s">
        <v>2</v>
      </c>
    </row>
    <row r="3089" spans="1:3" x14ac:dyDescent="0.3">
      <c r="A3089" s="7" t="s">
        <v>3099</v>
      </c>
      <c r="B3089" s="7" t="s">
        <v>12</v>
      </c>
      <c r="C3089" t="s">
        <v>2</v>
      </c>
    </row>
    <row r="3090" spans="1:3" x14ac:dyDescent="0.3">
      <c r="A3090" s="7" t="s">
        <v>3100</v>
      </c>
      <c r="B3090" s="7" t="s">
        <v>12</v>
      </c>
      <c r="C3090" t="s">
        <v>2</v>
      </c>
    </row>
    <row r="3091" spans="1:3" x14ac:dyDescent="0.3">
      <c r="A3091" s="7" t="s">
        <v>3101</v>
      </c>
      <c r="B3091" s="7" t="s">
        <v>12</v>
      </c>
      <c r="C3091" t="s">
        <v>2</v>
      </c>
    </row>
    <row r="3092" spans="1:3" x14ac:dyDescent="0.3">
      <c r="A3092" s="7" t="s">
        <v>3102</v>
      </c>
      <c r="B3092" s="7" t="s">
        <v>12</v>
      </c>
      <c r="C3092" t="s">
        <v>2</v>
      </c>
    </row>
    <row r="3093" spans="1:3" x14ac:dyDescent="0.3">
      <c r="A3093" s="7" t="s">
        <v>3103</v>
      </c>
      <c r="B3093" s="7" t="s">
        <v>12</v>
      </c>
      <c r="C3093" t="s">
        <v>2</v>
      </c>
    </row>
    <row r="3094" spans="1:3" x14ac:dyDescent="0.3">
      <c r="A3094" s="7" t="s">
        <v>3104</v>
      </c>
      <c r="B3094" s="7" t="s">
        <v>12</v>
      </c>
      <c r="C3094" t="s">
        <v>2</v>
      </c>
    </row>
    <row r="3095" spans="1:3" x14ac:dyDescent="0.3">
      <c r="A3095" s="7" t="s">
        <v>3105</v>
      </c>
      <c r="B3095" s="7" t="s">
        <v>12</v>
      </c>
      <c r="C3095" t="s">
        <v>2</v>
      </c>
    </row>
    <row r="3096" spans="1:3" x14ac:dyDescent="0.3">
      <c r="A3096" s="7" t="s">
        <v>3106</v>
      </c>
      <c r="B3096" s="7" t="s">
        <v>12</v>
      </c>
      <c r="C3096" t="s">
        <v>2</v>
      </c>
    </row>
    <row r="3097" spans="1:3" x14ac:dyDescent="0.3">
      <c r="A3097" s="7" t="s">
        <v>3107</v>
      </c>
      <c r="B3097" s="7" t="s">
        <v>12</v>
      </c>
      <c r="C3097" t="s">
        <v>2</v>
      </c>
    </row>
    <row r="3098" spans="1:3" x14ac:dyDescent="0.3">
      <c r="A3098" s="7" t="s">
        <v>3108</v>
      </c>
      <c r="B3098" s="7" t="s">
        <v>12</v>
      </c>
      <c r="C3098" t="s">
        <v>2</v>
      </c>
    </row>
    <row r="3099" spans="1:3" x14ac:dyDescent="0.3">
      <c r="A3099" s="7" t="s">
        <v>3109</v>
      </c>
      <c r="B3099" s="7" t="s">
        <v>12</v>
      </c>
      <c r="C3099" t="s">
        <v>2</v>
      </c>
    </row>
    <row r="3100" spans="1:3" x14ac:dyDescent="0.3">
      <c r="A3100" s="7" t="s">
        <v>3110</v>
      </c>
      <c r="B3100" s="7" t="s">
        <v>12</v>
      </c>
      <c r="C3100" t="s">
        <v>3</v>
      </c>
    </row>
    <row r="3101" spans="1:3" x14ac:dyDescent="0.3">
      <c r="A3101" s="7" t="s">
        <v>3111</v>
      </c>
      <c r="B3101" s="7" t="s">
        <v>12</v>
      </c>
      <c r="C3101" t="s">
        <v>3</v>
      </c>
    </row>
    <row r="3102" spans="1:3" x14ac:dyDescent="0.3">
      <c r="A3102" s="7" t="s">
        <v>3112</v>
      </c>
      <c r="B3102" s="7" t="s">
        <v>12</v>
      </c>
      <c r="C3102" t="s">
        <v>3</v>
      </c>
    </row>
    <row r="3103" spans="1:3" x14ac:dyDescent="0.3">
      <c r="A3103" s="7" t="s">
        <v>3113</v>
      </c>
      <c r="B3103" s="7" t="s">
        <v>12</v>
      </c>
      <c r="C3103" t="s">
        <v>3</v>
      </c>
    </row>
    <row r="3104" spans="1:3" x14ac:dyDescent="0.3">
      <c r="A3104" s="7" t="s">
        <v>3114</v>
      </c>
      <c r="B3104" s="7" t="s">
        <v>12</v>
      </c>
      <c r="C3104" t="s">
        <v>3</v>
      </c>
    </row>
    <row r="3105" spans="1:3" x14ac:dyDescent="0.3">
      <c r="A3105" s="7" t="s">
        <v>3115</v>
      </c>
      <c r="B3105" s="7" t="s">
        <v>12</v>
      </c>
      <c r="C3105" t="s">
        <v>3</v>
      </c>
    </row>
    <row r="3106" spans="1:3" x14ac:dyDescent="0.3">
      <c r="A3106" s="7" t="s">
        <v>3116</v>
      </c>
      <c r="B3106" s="7" t="s">
        <v>12</v>
      </c>
      <c r="C3106" t="s">
        <v>3</v>
      </c>
    </row>
    <row r="3107" spans="1:3" x14ac:dyDescent="0.3">
      <c r="A3107" s="7" t="s">
        <v>3117</v>
      </c>
      <c r="B3107" s="7" t="s">
        <v>12</v>
      </c>
      <c r="C3107" t="s">
        <v>3</v>
      </c>
    </row>
    <row r="3108" spans="1:3" x14ac:dyDescent="0.3">
      <c r="A3108" s="7" t="s">
        <v>3118</v>
      </c>
      <c r="B3108" s="7" t="s">
        <v>12</v>
      </c>
      <c r="C3108" t="s">
        <v>3</v>
      </c>
    </row>
    <row r="3109" spans="1:3" x14ac:dyDescent="0.3">
      <c r="A3109" s="7" t="s">
        <v>3119</v>
      </c>
      <c r="B3109" s="7" t="s">
        <v>12</v>
      </c>
      <c r="C3109" t="s">
        <v>2</v>
      </c>
    </row>
    <row r="3110" spans="1:3" x14ac:dyDescent="0.3">
      <c r="A3110" s="7" t="s">
        <v>3120</v>
      </c>
      <c r="B3110" s="7" t="s">
        <v>12</v>
      </c>
      <c r="C3110" t="s">
        <v>2</v>
      </c>
    </row>
    <row r="3111" spans="1:3" x14ac:dyDescent="0.3">
      <c r="A3111" s="7" t="s">
        <v>3121</v>
      </c>
      <c r="B3111" s="7" t="s">
        <v>12</v>
      </c>
      <c r="C3111" t="s">
        <v>2</v>
      </c>
    </row>
    <row r="3112" spans="1:3" x14ac:dyDescent="0.3">
      <c r="A3112" s="7" t="s">
        <v>3122</v>
      </c>
      <c r="B3112" s="7" t="s">
        <v>12</v>
      </c>
      <c r="C3112" t="s">
        <v>2</v>
      </c>
    </row>
    <row r="3113" spans="1:3" x14ac:dyDescent="0.3">
      <c r="A3113" s="7" t="s">
        <v>3123</v>
      </c>
      <c r="B3113" s="7" t="s">
        <v>12</v>
      </c>
      <c r="C3113" t="s">
        <v>2</v>
      </c>
    </row>
    <row r="3114" spans="1:3" x14ac:dyDescent="0.3">
      <c r="A3114" s="7" t="s">
        <v>3124</v>
      </c>
      <c r="B3114" s="7" t="s">
        <v>12</v>
      </c>
      <c r="C3114" t="s">
        <v>2</v>
      </c>
    </row>
    <row r="3115" spans="1:3" x14ac:dyDescent="0.3">
      <c r="A3115" s="7" t="s">
        <v>3125</v>
      </c>
      <c r="B3115" s="7" t="s">
        <v>12</v>
      </c>
      <c r="C3115" t="s">
        <v>2</v>
      </c>
    </row>
    <row r="3116" spans="1:3" x14ac:dyDescent="0.3">
      <c r="A3116" s="7" t="s">
        <v>3126</v>
      </c>
      <c r="B3116" s="7" t="s">
        <v>12</v>
      </c>
      <c r="C3116" t="s">
        <v>2</v>
      </c>
    </row>
    <row r="3117" spans="1:3" x14ac:dyDescent="0.3">
      <c r="A3117" s="7" t="s">
        <v>3127</v>
      </c>
      <c r="B3117" s="7" t="s">
        <v>12</v>
      </c>
      <c r="C3117" t="s">
        <v>2</v>
      </c>
    </row>
    <row r="3118" spans="1:3" x14ac:dyDescent="0.3">
      <c r="A3118" s="7" t="s">
        <v>3128</v>
      </c>
      <c r="B3118" s="7" t="s">
        <v>12</v>
      </c>
      <c r="C3118" t="s">
        <v>2</v>
      </c>
    </row>
    <row r="3119" spans="1:3" x14ac:dyDescent="0.3">
      <c r="A3119" s="7" t="s">
        <v>3129</v>
      </c>
      <c r="B3119" s="7" t="s">
        <v>12</v>
      </c>
      <c r="C3119" t="s">
        <v>2</v>
      </c>
    </row>
    <row r="3120" spans="1:3" x14ac:dyDescent="0.3">
      <c r="A3120" s="7" t="s">
        <v>3130</v>
      </c>
      <c r="B3120" s="7" t="s">
        <v>12</v>
      </c>
      <c r="C3120" t="s">
        <v>2</v>
      </c>
    </row>
    <row r="3121" spans="1:3" x14ac:dyDescent="0.3">
      <c r="A3121" s="7" t="s">
        <v>3131</v>
      </c>
      <c r="B3121" s="7" t="s">
        <v>12</v>
      </c>
      <c r="C3121" t="s">
        <v>2</v>
      </c>
    </row>
    <row r="3122" spans="1:3" x14ac:dyDescent="0.3">
      <c r="A3122" s="7" t="s">
        <v>3132</v>
      </c>
      <c r="B3122" s="7" t="s">
        <v>12</v>
      </c>
      <c r="C3122" t="s">
        <v>2</v>
      </c>
    </row>
    <row r="3123" spans="1:3" x14ac:dyDescent="0.3">
      <c r="A3123" s="7" t="s">
        <v>3133</v>
      </c>
      <c r="B3123" s="7" t="s">
        <v>12</v>
      </c>
      <c r="C3123" t="s">
        <v>2</v>
      </c>
    </row>
    <row r="3124" spans="1:3" x14ac:dyDescent="0.3">
      <c r="A3124" s="7" t="s">
        <v>3134</v>
      </c>
      <c r="B3124" s="7" t="s">
        <v>12</v>
      </c>
      <c r="C3124" t="s">
        <v>2</v>
      </c>
    </row>
    <row r="3125" spans="1:3" x14ac:dyDescent="0.3">
      <c r="A3125" s="7" t="s">
        <v>3135</v>
      </c>
      <c r="B3125" s="7" t="s">
        <v>12</v>
      </c>
      <c r="C3125" t="s">
        <v>2</v>
      </c>
    </row>
    <row r="3126" spans="1:3" x14ac:dyDescent="0.3">
      <c r="A3126" s="7" t="s">
        <v>3136</v>
      </c>
      <c r="B3126" s="7" t="s">
        <v>12</v>
      </c>
      <c r="C3126" t="s">
        <v>2</v>
      </c>
    </row>
    <row r="3127" spans="1:3" x14ac:dyDescent="0.3">
      <c r="A3127" s="7" t="s">
        <v>3137</v>
      </c>
      <c r="B3127" s="7" t="s">
        <v>12</v>
      </c>
      <c r="C3127" t="s">
        <v>2</v>
      </c>
    </row>
    <row r="3128" spans="1:3" x14ac:dyDescent="0.3">
      <c r="A3128" s="7" t="s">
        <v>3138</v>
      </c>
      <c r="B3128" s="7" t="s">
        <v>12</v>
      </c>
      <c r="C3128" t="s">
        <v>2</v>
      </c>
    </row>
    <row r="3129" spans="1:3" x14ac:dyDescent="0.3">
      <c r="A3129" s="7" t="s">
        <v>3139</v>
      </c>
      <c r="B3129" s="7" t="s">
        <v>12</v>
      </c>
      <c r="C3129" t="s">
        <v>2</v>
      </c>
    </row>
    <row r="3130" spans="1:3" x14ac:dyDescent="0.3">
      <c r="A3130" s="7" t="s">
        <v>3140</v>
      </c>
      <c r="B3130" s="7" t="s">
        <v>12</v>
      </c>
      <c r="C3130" t="s">
        <v>2</v>
      </c>
    </row>
    <row r="3131" spans="1:3" x14ac:dyDescent="0.3">
      <c r="A3131" s="7" t="s">
        <v>3141</v>
      </c>
      <c r="B3131" s="7" t="s">
        <v>12</v>
      </c>
      <c r="C3131" t="s">
        <v>2</v>
      </c>
    </row>
    <row r="3132" spans="1:3" x14ac:dyDescent="0.3">
      <c r="A3132" s="7" t="s">
        <v>3142</v>
      </c>
      <c r="B3132" s="7" t="s">
        <v>12</v>
      </c>
      <c r="C3132" t="s">
        <v>2</v>
      </c>
    </row>
    <row r="3133" spans="1:3" x14ac:dyDescent="0.3">
      <c r="A3133" s="7" t="s">
        <v>3143</v>
      </c>
      <c r="B3133" s="7" t="s">
        <v>12</v>
      </c>
      <c r="C3133" t="s">
        <v>2</v>
      </c>
    </row>
    <row r="3134" spans="1:3" x14ac:dyDescent="0.3">
      <c r="A3134" s="7" t="s">
        <v>3144</v>
      </c>
      <c r="B3134" s="7" t="s">
        <v>12</v>
      </c>
      <c r="C3134" t="s">
        <v>2</v>
      </c>
    </row>
    <row r="3135" spans="1:3" x14ac:dyDescent="0.3">
      <c r="A3135" s="7" t="s">
        <v>3145</v>
      </c>
      <c r="B3135" s="7" t="s">
        <v>12</v>
      </c>
      <c r="C3135" t="s">
        <v>2</v>
      </c>
    </row>
    <row r="3136" spans="1:3" x14ac:dyDescent="0.3">
      <c r="A3136" s="7" t="s">
        <v>3146</v>
      </c>
      <c r="B3136" s="7" t="s">
        <v>12</v>
      </c>
      <c r="C3136" t="s">
        <v>2</v>
      </c>
    </row>
    <row r="3137" spans="1:3" x14ac:dyDescent="0.3">
      <c r="A3137" s="7" t="s">
        <v>3147</v>
      </c>
      <c r="B3137" s="7" t="s">
        <v>12</v>
      </c>
      <c r="C3137" t="s">
        <v>2</v>
      </c>
    </row>
    <row r="3138" spans="1:3" x14ac:dyDescent="0.3">
      <c r="A3138" s="7" t="s">
        <v>3148</v>
      </c>
      <c r="B3138" s="7" t="s">
        <v>12</v>
      </c>
      <c r="C3138" t="s">
        <v>2</v>
      </c>
    </row>
    <row r="3139" spans="1:3" x14ac:dyDescent="0.3">
      <c r="A3139" s="7" t="s">
        <v>3149</v>
      </c>
      <c r="B3139" s="7" t="s">
        <v>12</v>
      </c>
      <c r="C3139" t="s">
        <v>2</v>
      </c>
    </row>
    <row r="3140" spans="1:3" x14ac:dyDescent="0.3">
      <c r="A3140" s="7" t="s">
        <v>3150</v>
      </c>
      <c r="B3140" s="7" t="s">
        <v>12</v>
      </c>
      <c r="C3140" t="s">
        <v>2</v>
      </c>
    </row>
    <row r="3141" spans="1:3" x14ac:dyDescent="0.3">
      <c r="A3141" s="7" t="s">
        <v>3151</v>
      </c>
      <c r="B3141" s="7" t="s">
        <v>12</v>
      </c>
      <c r="C3141" t="s">
        <v>2</v>
      </c>
    </row>
    <row r="3142" spans="1:3" x14ac:dyDescent="0.3">
      <c r="A3142" s="7" t="s">
        <v>3152</v>
      </c>
      <c r="B3142" s="7" t="s">
        <v>12</v>
      </c>
      <c r="C3142" t="s">
        <v>2</v>
      </c>
    </row>
    <row r="3143" spans="1:3" x14ac:dyDescent="0.3">
      <c r="A3143" s="7" t="s">
        <v>3153</v>
      </c>
      <c r="B3143" s="7" t="s">
        <v>12</v>
      </c>
      <c r="C3143" t="s">
        <v>2</v>
      </c>
    </row>
    <row r="3144" spans="1:3" x14ac:dyDescent="0.3">
      <c r="A3144" s="7" t="s">
        <v>3154</v>
      </c>
      <c r="B3144" s="7" t="s">
        <v>12</v>
      </c>
      <c r="C3144" t="s">
        <v>2</v>
      </c>
    </row>
    <row r="3145" spans="1:3" x14ac:dyDescent="0.3">
      <c r="A3145" s="7" t="s">
        <v>3155</v>
      </c>
      <c r="B3145" s="7" t="s">
        <v>12</v>
      </c>
      <c r="C3145" t="s">
        <v>2</v>
      </c>
    </row>
    <row r="3146" spans="1:3" x14ac:dyDescent="0.3">
      <c r="A3146" s="7" t="s">
        <v>3156</v>
      </c>
      <c r="B3146" s="7" t="s">
        <v>12</v>
      </c>
      <c r="C3146" t="s">
        <v>2</v>
      </c>
    </row>
    <row r="3147" spans="1:3" x14ac:dyDescent="0.3">
      <c r="A3147" s="7" t="s">
        <v>3157</v>
      </c>
      <c r="B3147" s="7" t="s">
        <v>12</v>
      </c>
      <c r="C3147" t="s">
        <v>2</v>
      </c>
    </row>
    <row r="3148" spans="1:3" x14ac:dyDescent="0.3">
      <c r="A3148" s="7" t="s">
        <v>3158</v>
      </c>
      <c r="B3148" s="7" t="s">
        <v>12</v>
      </c>
      <c r="C3148" t="s">
        <v>2</v>
      </c>
    </row>
    <row r="3149" spans="1:3" x14ac:dyDescent="0.3">
      <c r="A3149" s="7" t="s">
        <v>3159</v>
      </c>
      <c r="B3149" s="7" t="s">
        <v>12</v>
      </c>
      <c r="C3149" t="s">
        <v>2</v>
      </c>
    </row>
    <row r="3150" spans="1:3" x14ac:dyDescent="0.3">
      <c r="A3150" s="7" t="s">
        <v>3160</v>
      </c>
      <c r="B3150" s="7" t="s">
        <v>12</v>
      </c>
      <c r="C3150" t="s">
        <v>2</v>
      </c>
    </row>
    <row r="3151" spans="1:3" x14ac:dyDescent="0.3">
      <c r="A3151" s="7" t="s">
        <v>3161</v>
      </c>
      <c r="B3151" s="7" t="s">
        <v>12</v>
      </c>
      <c r="C3151" t="s">
        <v>2</v>
      </c>
    </row>
    <row r="3152" spans="1:3" x14ac:dyDescent="0.3">
      <c r="A3152" s="7" t="s">
        <v>3162</v>
      </c>
      <c r="B3152" s="7" t="s">
        <v>12</v>
      </c>
      <c r="C3152" t="s">
        <v>2</v>
      </c>
    </row>
    <row r="3153" spans="1:3" x14ac:dyDescent="0.3">
      <c r="A3153" s="7" t="s">
        <v>3163</v>
      </c>
      <c r="B3153" s="7" t="s">
        <v>12</v>
      </c>
      <c r="C3153" t="s">
        <v>2</v>
      </c>
    </row>
    <row r="3154" spans="1:3" x14ac:dyDescent="0.3">
      <c r="A3154" s="7" t="s">
        <v>3164</v>
      </c>
      <c r="B3154" s="7" t="s">
        <v>12</v>
      </c>
      <c r="C3154" t="s">
        <v>2</v>
      </c>
    </row>
    <row r="3155" spans="1:3" x14ac:dyDescent="0.3">
      <c r="A3155" s="7" t="s">
        <v>3165</v>
      </c>
      <c r="B3155" s="7" t="s">
        <v>12</v>
      </c>
      <c r="C3155" t="s">
        <v>2</v>
      </c>
    </row>
    <row r="3156" spans="1:3" x14ac:dyDescent="0.3">
      <c r="A3156" s="7" t="s">
        <v>3166</v>
      </c>
      <c r="B3156" s="7" t="s">
        <v>12</v>
      </c>
      <c r="C3156" t="s">
        <v>2</v>
      </c>
    </row>
    <row r="3157" spans="1:3" x14ac:dyDescent="0.3">
      <c r="A3157" s="7" t="s">
        <v>3167</v>
      </c>
      <c r="B3157" s="7" t="s">
        <v>12</v>
      </c>
      <c r="C3157" t="s">
        <v>2</v>
      </c>
    </row>
    <row r="3158" spans="1:3" x14ac:dyDescent="0.3">
      <c r="A3158" s="7" t="s">
        <v>3168</v>
      </c>
      <c r="B3158" s="7" t="s">
        <v>12</v>
      </c>
      <c r="C3158" t="s">
        <v>2</v>
      </c>
    </row>
    <row r="3159" spans="1:3" x14ac:dyDescent="0.3">
      <c r="A3159" s="7" t="s">
        <v>3169</v>
      </c>
      <c r="B3159" s="7" t="s">
        <v>12</v>
      </c>
      <c r="C3159" t="s">
        <v>2</v>
      </c>
    </row>
    <row r="3160" spans="1:3" x14ac:dyDescent="0.3">
      <c r="A3160" s="7" t="s">
        <v>3170</v>
      </c>
      <c r="B3160" s="7" t="s">
        <v>12</v>
      </c>
      <c r="C3160" t="s">
        <v>2</v>
      </c>
    </row>
    <row r="3161" spans="1:3" x14ac:dyDescent="0.3">
      <c r="A3161" s="7" t="s">
        <v>3171</v>
      </c>
      <c r="B3161" s="7" t="s">
        <v>12</v>
      </c>
      <c r="C3161" t="s">
        <v>2</v>
      </c>
    </row>
    <row r="3162" spans="1:3" x14ac:dyDescent="0.3">
      <c r="A3162" s="7" t="s">
        <v>3172</v>
      </c>
      <c r="B3162" s="7" t="s">
        <v>12</v>
      </c>
      <c r="C3162" t="s">
        <v>2</v>
      </c>
    </row>
    <row r="3163" spans="1:3" x14ac:dyDescent="0.3">
      <c r="A3163" s="7" t="s">
        <v>3173</v>
      </c>
      <c r="B3163" s="7" t="s">
        <v>12</v>
      </c>
      <c r="C3163" t="s">
        <v>2</v>
      </c>
    </row>
    <row r="3164" spans="1:3" x14ac:dyDescent="0.3">
      <c r="A3164" s="7" t="s">
        <v>3174</v>
      </c>
      <c r="B3164" s="7" t="s">
        <v>12</v>
      </c>
      <c r="C3164" t="s">
        <v>2</v>
      </c>
    </row>
    <row r="3165" spans="1:3" x14ac:dyDescent="0.3">
      <c r="A3165" s="7" t="s">
        <v>3175</v>
      </c>
      <c r="B3165" s="7" t="s">
        <v>12</v>
      </c>
      <c r="C3165" t="s">
        <v>2</v>
      </c>
    </row>
    <row r="3166" spans="1:3" x14ac:dyDescent="0.3">
      <c r="A3166" s="7" t="s">
        <v>3176</v>
      </c>
      <c r="B3166" s="7" t="s">
        <v>12</v>
      </c>
      <c r="C3166" t="s">
        <v>2</v>
      </c>
    </row>
    <row r="3167" spans="1:3" x14ac:dyDescent="0.3">
      <c r="A3167" s="7" t="s">
        <v>3177</v>
      </c>
      <c r="B3167" s="7" t="s">
        <v>12</v>
      </c>
      <c r="C3167" t="s">
        <v>2</v>
      </c>
    </row>
    <row r="3168" spans="1:3" x14ac:dyDescent="0.3">
      <c r="A3168" s="7" t="s">
        <v>3178</v>
      </c>
      <c r="B3168" s="7" t="s">
        <v>12</v>
      </c>
      <c r="C3168" t="s">
        <v>2</v>
      </c>
    </row>
    <row r="3169" spans="1:3" x14ac:dyDescent="0.3">
      <c r="A3169" s="7" t="s">
        <v>3179</v>
      </c>
      <c r="B3169" s="7" t="s">
        <v>12</v>
      </c>
      <c r="C3169" t="s">
        <v>2</v>
      </c>
    </row>
    <row r="3170" spans="1:3" x14ac:dyDescent="0.3">
      <c r="A3170" s="7" t="s">
        <v>3180</v>
      </c>
      <c r="B3170" s="7" t="s">
        <v>12</v>
      </c>
      <c r="C3170" t="s">
        <v>2</v>
      </c>
    </row>
    <row r="3171" spans="1:3" x14ac:dyDescent="0.3">
      <c r="A3171" s="7" t="s">
        <v>3181</v>
      </c>
      <c r="B3171" s="7" t="s">
        <v>12</v>
      </c>
      <c r="C3171" t="s">
        <v>2</v>
      </c>
    </row>
    <row r="3172" spans="1:3" x14ac:dyDescent="0.3">
      <c r="A3172" s="7" t="s">
        <v>3182</v>
      </c>
      <c r="B3172" s="7" t="s">
        <v>12</v>
      </c>
      <c r="C3172" t="s">
        <v>3</v>
      </c>
    </row>
    <row r="3173" spans="1:3" x14ac:dyDescent="0.3">
      <c r="A3173" s="7" t="s">
        <v>3183</v>
      </c>
      <c r="B3173" s="7" t="s">
        <v>12</v>
      </c>
      <c r="C3173" t="s">
        <v>3</v>
      </c>
    </row>
    <row r="3174" spans="1:3" x14ac:dyDescent="0.3">
      <c r="A3174" s="7" t="s">
        <v>3184</v>
      </c>
      <c r="B3174" s="7" t="s">
        <v>12</v>
      </c>
      <c r="C3174" t="s">
        <v>3</v>
      </c>
    </row>
    <row r="3175" spans="1:3" x14ac:dyDescent="0.3">
      <c r="A3175" s="7" t="s">
        <v>3185</v>
      </c>
      <c r="B3175" s="7" t="s">
        <v>12</v>
      </c>
      <c r="C3175" t="s">
        <v>3</v>
      </c>
    </row>
    <row r="3176" spans="1:3" x14ac:dyDescent="0.3">
      <c r="A3176" s="7" t="s">
        <v>3186</v>
      </c>
      <c r="B3176" s="7" t="s">
        <v>12</v>
      </c>
      <c r="C3176" t="s">
        <v>3</v>
      </c>
    </row>
    <row r="3177" spans="1:3" x14ac:dyDescent="0.3">
      <c r="A3177" s="7" t="s">
        <v>3187</v>
      </c>
      <c r="B3177" s="7" t="s">
        <v>12</v>
      </c>
      <c r="C3177" t="s">
        <v>3</v>
      </c>
    </row>
    <row r="3178" spans="1:3" x14ac:dyDescent="0.3">
      <c r="A3178" s="7" t="s">
        <v>3188</v>
      </c>
      <c r="B3178" s="7" t="s">
        <v>12</v>
      </c>
      <c r="C3178" t="s">
        <v>3</v>
      </c>
    </row>
    <row r="3179" spans="1:3" x14ac:dyDescent="0.3">
      <c r="A3179" s="7" t="s">
        <v>3189</v>
      </c>
      <c r="B3179" s="7" t="s">
        <v>12</v>
      </c>
      <c r="C3179" t="s">
        <v>2</v>
      </c>
    </row>
    <row r="3180" spans="1:3" x14ac:dyDescent="0.3">
      <c r="A3180" s="7" t="s">
        <v>3190</v>
      </c>
      <c r="B3180" s="7" t="s">
        <v>12</v>
      </c>
      <c r="C3180" t="s">
        <v>2</v>
      </c>
    </row>
    <row r="3181" spans="1:3" x14ac:dyDescent="0.3">
      <c r="A3181" s="7" t="s">
        <v>3191</v>
      </c>
      <c r="B3181" s="7" t="s">
        <v>12</v>
      </c>
      <c r="C3181" t="s">
        <v>2</v>
      </c>
    </row>
    <row r="3182" spans="1:3" x14ac:dyDescent="0.3">
      <c r="A3182" s="7" t="s">
        <v>3192</v>
      </c>
      <c r="B3182" s="7" t="s">
        <v>12</v>
      </c>
      <c r="C3182" t="s">
        <v>2</v>
      </c>
    </row>
    <row r="3183" spans="1:3" x14ac:dyDescent="0.3">
      <c r="A3183" s="7" t="s">
        <v>3193</v>
      </c>
      <c r="B3183" s="7" t="s">
        <v>12</v>
      </c>
      <c r="C3183" t="s">
        <v>2</v>
      </c>
    </row>
    <row r="3184" spans="1:3" x14ac:dyDescent="0.3">
      <c r="A3184" s="7" t="s">
        <v>3194</v>
      </c>
      <c r="B3184" s="7" t="s">
        <v>12</v>
      </c>
      <c r="C3184" t="s">
        <v>2</v>
      </c>
    </row>
    <row r="3185" spans="1:3" x14ac:dyDescent="0.3">
      <c r="A3185" s="7" t="s">
        <v>3195</v>
      </c>
      <c r="B3185" s="7" t="s">
        <v>12</v>
      </c>
      <c r="C3185" t="s">
        <v>3678</v>
      </c>
    </row>
    <row r="3186" spans="1:3" x14ac:dyDescent="0.3">
      <c r="A3186" s="7" t="s">
        <v>3196</v>
      </c>
      <c r="B3186" s="7" t="s">
        <v>12</v>
      </c>
      <c r="C3186" t="s">
        <v>3678</v>
      </c>
    </row>
    <row r="3187" spans="1:3" x14ac:dyDescent="0.3">
      <c r="A3187" s="7" t="s">
        <v>3197</v>
      </c>
      <c r="B3187" s="7" t="s">
        <v>12</v>
      </c>
      <c r="C3187" t="s">
        <v>3678</v>
      </c>
    </row>
    <row r="3188" spans="1:3" x14ac:dyDescent="0.3">
      <c r="A3188" s="7" t="s">
        <v>3198</v>
      </c>
      <c r="B3188" s="7" t="s">
        <v>12</v>
      </c>
      <c r="C3188" t="s">
        <v>2</v>
      </c>
    </row>
    <row r="3189" spans="1:3" x14ac:dyDescent="0.3">
      <c r="A3189" s="7" t="s">
        <v>3199</v>
      </c>
      <c r="B3189" s="7" t="s">
        <v>12</v>
      </c>
      <c r="C3189" t="s">
        <v>2</v>
      </c>
    </row>
    <row r="3190" spans="1:3" x14ac:dyDescent="0.3">
      <c r="A3190" s="7" t="s">
        <v>3200</v>
      </c>
      <c r="B3190" s="7" t="s">
        <v>12</v>
      </c>
      <c r="C3190" t="s">
        <v>2</v>
      </c>
    </row>
    <row r="3191" spans="1:3" x14ac:dyDescent="0.3">
      <c r="A3191" s="7" t="s">
        <v>3201</v>
      </c>
      <c r="B3191" s="7" t="s">
        <v>12</v>
      </c>
      <c r="C3191" t="s">
        <v>2</v>
      </c>
    </row>
    <row r="3192" spans="1:3" x14ac:dyDescent="0.3">
      <c r="A3192" s="7" t="s">
        <v>3202</v>
      </c>
      <c r="B3192" s="7" t="s">
        <v>12</v>
      </c>
      <c r="C3192" t="s">
        <v>2</v>
      </c>
    </row>
    <row r="3193" spans="1:3" x14ac:dyDescent="0.3">
      <c r="A3193" s="7" t="s">
        <v>3203</v>
      </c>
      <c r="B3193" s="7" t="s">
        <v>12</v>
      </c>
      <c r="C3193" t="s">
        <v>2</v>
      </c>
    </row>
    <row r="3194" spans="1:3" x14ac:dyDescent="0.3">
      <c r="A3194" s="7" t="s">
        <v>3204</v>
      </c>
      <c r="B3194" s="7" t="s">
        <v>12</v>
      </c>
      <c r="C3194" t="s">
        <v>2</v>
      </c>
    </row>
    <row r="3195" spans="1:3" x14ac:dyDescent="0.3">
      <c r="A3195" s="7" t="s">
        <v>3205</v>
      </c>
      <c r="B3195" s="7" t="s">
        <v>12</v>
      </c>
      <c r="C3195" t="s">
        <v>2</v>
      </c>
    </row>
    <row r="3196" spans="1:3" x14ac:dyDescent="0.3">
      <c r="A3196" s="7" t="s">
        <v>3206</v>
      </c>
      <c r="B3196" s="7" t="s">
        <v>12</v>
      </c>
      <c r="C3196" t="s">
        <v>2</v>
      </c>
    </row>
    <row r="3197" spans="1:3" x14ac:dyDescent="0.3">
      <c r="A3197" s="7" t="s">
        <v>3207</v>
      </c>
      <c r="B3197" s="7" t="s">
        <v>12</v>
      </c>
      <c r="C3197" t="s">
        <v>2</v>
      </c>
    </row>
    <row r="3198" spans="1:3" x14ac:dyDescent="0.3">
      <c r="A3198" s="7" t="s">
        <v>3208</v>
      </c>
      <c r="B3198" s="7" t="s">
        <v>12</v>
      </c>
      <c r="C3198" t="s">
        <v>2</v>
      </c>
    </row>
    <row r="3199" spans="1:3" x14ac:dyDescent="0.3">
      <c r="A3199" s="7" t="s">
        <v>3209</v>
      </c>
      <c r="B3199" s="7" t="s">
        <v>12</v>
      </c>
      <c r="C3199" t="s">
        <v>2</v>
      </c>
    </row>
    <row r="3200" spans="1:3" x14ac:dyDescent="0.3">
      <c r="A3200" s="7" t="s">
        <v>3210</v>
      </c>
      <c r="B3200" s="7" t="s">
        <v>12</v>
      </c>
      <c r="C3200" t="s">
        <v>2</v>
      </c>
    </row>
    <row r="3201" spans="1:3" x14ac:dyDescent="0.3">
      <c r="A3201" s="7" t="s">
        <v>3211</v>
      </c>
      <c r="B3201" s="7" t="s">
        <v>12</v>
      </c>
      <c r="C3201" t="s">
        <v>2</v>
      </c>
    </row>
    <row r="3202" spans="1:3" x14ac:dyDescent="0.3">
      <c r="A3202" s="7" t="s">
        <v>3212</v>
      </c>
      <c r="B3202" s="7" t="s">
        <v>12</v>
      </c>
      <c r="C3202" t="s">
        <v>2</v>
      </c>
    </row>
    <row r="3203" spans="1:3" x14ac:dyDescent="0.3">
      <c r="A3203" s="7" t="s">
        <v>3213</v>
      </c>
      <c r="B3203" s="7" t="s">
        <v>12</v>
      </c>
      <c r="C3203" t="s">
        <v>2</v>
      </c>
    </row>
    <row r="3204" spans="1:3" x14ac:dyDescent="0.3">
      <c r="A3204" s="7" t="s">
        <v>3214</v>
      </c>
      <c r="B3204" s="7" t="s">
        <v>12</v>
      </c>
      <c r="C3204" t="s">
        <v>2</v>
      </c>
    </row>
    <row r="3205" spans="1:3" x14ac:dyDescent="0.3">
      <c r="A3205" s="7" t="s">
        <v>3215</v>
      </c>
      <c r="B3205" s="7" t="s">
        <v>12</v>
      </c>
      <c r="C3205" t="s">
        <v>2</v>
      </c>
    </row>
    <row r="3206" spans="1:3" x14ac:dyDescent="0.3">
      <c r="A3206" s="7" t="s">
        <v>3216</v>
      </c>
      <c r="B3206" s="7" t="s">
        <v>12</v>
      </c>
      <c r="C3206" t="s">
        <v>2</v>
      </c>
    </row>
    <row r="3207" spans="1:3" x14ac:dyDescent="0.3">
      <c r="A3207" s="7" t="s">
        <v>3217</v>
      </c>
      <c r="B3207" s="7" t="s">
        <v>12</v>
      </c>
      <c r="C3207" t="s">
        <v>2</v>
      </c>
    </row>
    <row r="3208" spans="1:3" x14ac:dyDescent="0.3">
      <c r="A3208" s="7" t="s">
        <v>3218</v>
      </c>
      <c r="B3208" s="7" t="s">
        <v>12</v>
      </c>
      <c r="C3208" t="s">
        <v>2</v>
      </c>
    </row>
    <row r="3209" spans="1:3" x14ac:dyDescent="0.3">
      <c r="A3209" s="7" t="s">
        <v>3219</v>
      </c>
      <c r="B3209" s="7" t="s">
        <v>12</v>
      </c>
      <c r="C3209" t="s">
        <v>2</v>
      </c>
    </row>
    <row r="3210" spans="1:3" x14ac:dyDescent="0.3">
      <c r="A3210" s="7" t="s">
        <v>3220</v>
      </c>
      <c r="B3210" s="7" t="s">
        <v>12</v>
      </c>
      <c r="C3210" t="s">
        <v>2</v>
      </c>
    </row>
    <row r="3211" spans="1:3" x14ac:dyDescent="0.3">
      <c r="A3211" s="7" t="s">
        <v>3221</v>
      </c>
      <c r="B3211" s="7" t="s">
        <v>12</v>
      </c>
      <c r="C3211" t="s">
        <v>2</v>
      </c>
    </row>
    <row r="3212" spans="1:3" x14ac:dyDescent="0.3">
      <c r="A3212" s="7" t="s">
        <v>3222</v>
      </c>
      <c r="B3212" s="7" t="s">
        <v>12</v>
      </c>
      <c r="C3212" t="s">
        <v>2</v>
      </c>
    </row>
    <row r="3213" spans="1:3" x14ac:dyDescent="0.3">
      <c r="A3213" s="7" t="s">
        <v>3223</v>
      </c>
      <c r="B3213" s="7" t="s">
        <v>12</v>
      </c>
      <c r="C3213" t="s">
        <v>2</v>
      </c>
    </row>
    <row r="3214" spans="1:3" x14ac:dyDescent="0.3">
      <c r="A3214" s="7" t="s">
        <v>3224</v>
      </c>
      <c r="B3214" s="7" t="s">
        <v>12</v>
      </c>
      <c r="C3214" t="s">
        <v>2</v>
      </c>
    </row>
    <row r="3215" spans="1:3" x14ac:dyDescent="0.3">
      <c r="A3215" s="7" t="s">
        <v>3225</v>
      </c>
      <c r="B3215" s="7" t="s">
        <v>12</v>
      </c>
      <c r="C3215" t="s">
        <v>2</v>
      </c>
    </row>
    <row r="3216" spans="1:3" x14ac:dyDescent="0.3">
      <c r="A3216" s="7" t="s">
        <v>3226</v>
      </c>
      <c r="B3216" s="7" t="s">
        <v>12</v>
      </c>
      <c r="C3216" t="s">
        <v>2</v>
      </c>
    </row>
    <row r="3217" spans="1:3" x14ac:dyDescent="0.3">
      <c r="A3217" s="7" t="s">
        <v>3227</v>
      </c>
      <c r="B3217" s="7" t="s">
        <v>12</v>
      </c>
      <c r="C3217" t="s">
        <v>2</v>
      </c>
    </row>
    <row r="3218" spans="1:3" x14ac:dyDescent="0.3">
      <c r="A3218" s="7" t="s">
        <v>3228</v>
      </c>
      <c r="B3218" s="7" t="s">
        <v>12</v>
      </c>
      <c r="C3218" t="s">
        <v>2</v>
      </c>
    </row>
    <row r="3219" spans="1:3" x14ac:dyDescent="0.3">
      <c r="A3219" s="7" t="s">
        <v>3229</v>
      </c>
      <c r="B3219" s="7" t="s">
        <v>12</v>
      </c>
      <c r="C3219" t="s">
        <v>2</v>
      </c>
    </row>
    <row r="3220" spans="1:3" x14ac:dyDescent="0.3">
      <c r="A3220" s="7" t="s">
        <v>3230</v>
      </c>
      <c r="B3220" s="7" t="s">
        <v>12</v>
      </c>
      <c r="C3220" t="s">
        <v>2</v>
      </c>
    </row>
    <row r="3221" spans="1:3" x14ac:dyDescent="0.3">
      <c r="A3221" s="7" t="s">
        <v>3231</v>
      </c>
      <c r="B3221" s="7" t="s">
        <v>12</v>
      </c>
      <c r="C3221" t="s">
        <v>2</v>
      </c>
    </row>
    <row r="3222" spans="1:3" x14ac:dyDescent="0.3">
      <c r="A3222" s="7" t="s">
        <v>3232</v>
      </c>
      <c r="B3222" s="7" t="s">
        <v>12</v>
      </c>
      <c r="C3222" t="s">
        <v>2</v>
      </c>
    </row>
    <row r="3223" spans="1:3" x14ac:dyDescent="0.3">
      <c r="A3223" s="7" t="s">
        <v>3233</v>
      </c>
      <c r="B3223" s="7" t="s">
        <v>12</v>
      </c>
      <c r="C3223" t="s">
        <v>2</v>
      </c>
    </row>
    <row r="3224" spans="1:3" x14ac:dyDescent="0.3">
      <c r="A3224" s="7" t="s">
        <v>3234</v>
      </c>
      <c r="B3224" s="7" t="s">
        <v>12</v>
      </c>
      <c r="C3224" t="s">
        <v>2</v>
      </c>
    </row>
    <row r="3225" spans="1:3" x14ac:dyDescent="0.3">
      <c r="A3225" s="7" t="s">
        <v>3235</v>
      </c>
      <c r="B3225" s="7" t="s">
        <v>12</v>
      </c>
      <c r="C3225" t="s">
        <v>2</v>
      </c>
    </row>
    <row r="3226" spans="1:3" x14ac:dyDescent="0.3">
      <c r="A3226" s="7" t="s">
        <v>3236</v>
      </c>
      <c r="B3226" s="7" t="s">
        <v>12</v>
      </c>
      <c r="C3226" t="s">
        <v>2</v>
      </c>
    </row>
    <row r="3227" spans="1:3" x14ac:dyDescent="0.3">
      <c r="A3227" s="7" t="s">
        <v>3237</v>
      </c>
      <c r="B3227" s="7" t="s">
        <v>12</v>
      </c>
      <c r="C3227" t="s">
        <v>2</v>
      </c>
    </row>
    <row r="3228" spans="1:3" x14ac:dyDescent="0.3">
      <c r="A3228" s="7" t="s">
        <v>3238</v>
      </c>
      <c r="B3228" s="7" t="s">
        <v>12</v>
      </c>
      <c r="C3228" t="s">
        <v>2</v>
      </c>
    </row>
    <row r="3229" spans="1:3" x14ac:dyDescent="0.3">
      <c r="A3229" s="7" t="s">
        <v>3239</v>
      </c>
      <c r="B3229" s="7" t="s">
        <v>12</v>
      </c>
      <c r="C3229" t="s">
        <v>2</v>
      </c>
    </row>
    <row r="3230" spans="1:3" x14ac:dyDescent="0.3">
      <c r="A3230" s="7" t="s">
        <v>3240</v>
      </c>
      <c r="B3230" s="7" t="s">
        <v>12</v>
      </c>
      <c r="C3230" t="s">
        <v>2</v>
      </c>
    </row>
    <row r="3231" spans="1:3" x14ac:dyDescent="0.3">
      <c r="A3231" s="7" t="s">
        <v>3241</v>
      </c>
      <c r="B3231" s="7" t="s">
        <v>12</v>
      </c>
      <c r="C3231" t="s">
        <v>2</v>
      </c>
    </row>
    <row r="3232" spans="1:3" x14ac:dyDescent="0.3">
      <c r="A3232" s="7" t="s">
        <v>3242</v>
      </c>
      <c r="B3232" s="7" t="s">
        <v>12</v>
      </c>
      <c r="C3232" t="s">
        <v>2</v>
      </c>
    </row>
    <row r="3233" spans="1:3" x14ac:dyDescent="0.3">
      <c r="A3233" s="7" t="s">
        <v>3243</v>
      </c>
      <c r="B3233" s="7" t="s">
        <v>12</v>
      </c>
      <c r="C3233" t="s">
        <v>3</v>
      </c>
    </row>
    <row r="3234" spans="1:3" x14ac:dyDescent="0.3">
      <c r="A3234" s="7" t="s">
        <v>3244</v>
      </c>
      <c r="B3234" s="7" t="s">
        <v>12</v>
      </c>
      <c r="C3234" t="s">
        <v>3</v>
      </c>
    </row>
    <row r="3235" spans="1:3" x14ac:dyDescent="0.3">
      <c r="A3235" s="7" t="s">
        <v>3245</v>
      </c>
      <c r="B3235" s="7" t="s">
        <v>12</v>
      </c>
      <c r="C3235" t="s">
        <v>3</v>
      </c>
    </row>
    <row r="3236" spans="1:3" x14ac:dyDescent="0.3">
      <c r="A3236" s="7" t="s">
        <v>3246</v>
      </c>
      <c r="B3236" s="7" t="s">
        <v>12</v>
      </c>
      <c r="C3236" t="s">
        <v>3</v>
      </c>
    </row>
    <row r="3237" spans="1:3" x14ac:dyDescent="0.3">
      <c r="A3237" s="7" t="s">
        <v>3247</v>
      </c>
      <c r="B3237" s="7" t="s">
        <v>12</v>
      </c>
      <c r="C3237" t="s">
        <v>3</v>
      </c>
    </row>
    <row r="3238" spans="1:3" x14ac:dyDescent="0.3">
      <c r="A3238" s="7" t="s">
        <v>3248</v>
      </c>
      <c r="B3238" s="7" t="s">
        <v>12</v>
      </c>
      <c r="C3238" t="s">
        <v>3</v>
      </c>
    </row>
    <row r="3239" spans="1:3" x14ac:dyDescent="0.3">
      <c r="A3239" s="7" t="s">
        <v>3249</v>
      </c>
      <c r="B3239" s="7" t="s">
        <v>12</v>
      </c>
      <c r="C3239" t="s">
        <v>3</v>
      </c>
    </row>
    <row r="3240" spans="1:3" x14ac:dyDescent="0.3">
      <c r="A3240" s="7" t="s">
        <v>3250</v>
      </c>
      <c r="B3240" s="7" t="s">
        <v>12</v>
      </c>
      <c r="C3240" t="s">
        <v>3</v>
      </c>
    </row>
    <row r="3241" spans="1:3" x14ac:dyDescent="0.3">
      <c r="A3241" s="7" t="s">
        <v>3251</v>
      </c>
      <c r="B3241" s="7" t="s">
        <v>12</v>
      </c>
      <c r="C3241" t="s">
        <v>3</v>
      </c>
    </row>
    <row r="3242" spans="1:3" x14ac:dyDescent="0.3">
      <c r="A3242" s="7" t="s">
        <v>3252</v>
      </c>
      <c r="B3242" s="7" t="s">
        <v>12</v>
      </c>
      <c r="C3242" t="s">
        <v>3</v>
      </c>
    </row>
    <row r="3243" spans="1:3" x14ac:dyDescent="0.3">
      <c r="A3243" s="7" t="s">
        <v>3253</v>
      </c>
      <c r="B3243" s="7" t="s">
        <v>12</v>
      </c>
      <c r="C3243" t="s">
        <v>3</v>
      </c>
    </row>
    <row r="3244" spans="1:3" x14ac:dyDescent="0.3">
      <c r="A3244" s="7" t="s">
        <v>3254</v>
      </c>
      <c r="B3244" s="7" t="s">
        <v>12</v>
      </c>
      <c r="C3244" t="s">
        <v>2</v>
      </c>
    </row>
    <row r="3245" spans="1:3" x14ac:dyDescent="0.3">
      <c r="A3245" s="7" t="s">
        <v>3255</v>
      </c>
      <c r="B3245" s="7" t="s">
        <v>12</v>
      </c>
    </row>
    <row r="3246" spans="1:3" x14ac:dyDescent="0.3">
      <c r="A3246" s="7" t="s">
        <v>3256</v>
      </c>
      <c r="B3246" s="7" t="s">
        <v>12</v>
      </c>
    </row>
    <row r="3247" spans="1:3" x14ac:dyDescent="0.3">
      <c r="A3247" s="7" t="s">
        <v>3257</v>
      </c>
      <c r="B3247" s="7" t="s">
        <v>12</v>
      </c>
    </row>
    <row r="3248" spans="1:3" x14ac:dyDescent="0.3">
      <c r="A3248" s="7" t="s">
        <v>3258</v>
      </c>
      <c r="B3248" s="7" t="s">
        <v>12</v>
      </c>
      <c r="C3248" t="s">
        <v>2</v>
      </c>
    </row>
    <row r="3249" spans="1:3" x14ac:dyDescent="0.3">
      <c r="A3249" s="7" t="s">
        <v>3259</v>
      </c>
      <c r="B3249" s="7" t="s">
        <v>12</v>
      </c>
      <c r="C3249" t="s">
        <v>2</v>
      </c>
    </row>
    <row r="3250" spans="1:3" x14ac:dyDescent="0.3">
      <c r="A3250" s="7" t="s">
        <v>3260</v>
      </c>
      <c r="B3250" s="7" t="s">
        <v>12</v>
      </c>
      <c r="C3250" t="s">
        <v>2</v>
      </c>
    </row>
    <row r="3251" spans="1:3" x14ac:dyDescent="0.3">
      <c r="A3251" s="7" t="s">
        <v>3261</v>
      </c>
      <c r="B3251" s="7" t="s">
        <v>12</v>
      </c>
      <c r="C3251" t="s">
        <v>3678</v>
      </c>
    </row>
    <row r="3252" spans="1:3" x14ac:dyDescent="0.3">
      <c r="A3252" s="7" t="s">
        <v>3262</v>
      </c>
      <c r="B3252" s="7" t="s">
        <v>12</v>
      </c>
      <c r="C3252" t="s">
        <v>3678</v>
      </c>
    </row>
    <row r="3253" spans="1:3" x14ac:dyDescent="0.3">
      <c r="A3253" s="7" t="s">
        <v>3263</v>
      </c>
      <c r="B3253" s="7" t="s">
        <v>12</v>
      </c>
      <c r="C3253" t="s">
        <v>3678</v>
      </c>
    </row>
    <row r="3254" spans="1:3" x14ac:dyDescent="0.3">
      <c r="A3254" s="7" t="s">
        <v>3264</v>
      </c>
      <c r="B3254" s="7" t="s">
        <v>12</v>
      </c>
      <c r="C3254" t="s">
        <v>3678</v>
      </c>
    </row>
    <row r="3255" spans="1:3" x14ac:dyDescent="0.3">
      <c r="A3255" s="7" t="s">
        <v>3265</v>
      </c>
      <c r="B3255" s="7" t="s">
        <v>12</v>
      </c>
      <c r="C3255" t="s">
        <v>3678</v>
      </c>
    </row>
    <row r="3256" spans="1:3" x14ac:dyDescent="0.3">
      <c r="A3256" s="7" t="s">
        <v>3266</v>
      </c>
      <c r="B3256" s="7" t="s">
        <v>12</v>
      </c>
      <c r="C3256" t="s">
        <v>3678</v>
      </c>
    </row>
    <row r="3257" spans="1:3" x14ac:dyDescent="0.3">
      <c r="A3257" s="7" t="s">
        <v>3267</v>
      </c>
      <c r="B3257" s="7" t="s">
        <v>12</v>
      </c>
      <c r="C3257" t="s">
        <v>3678</v>
      </c>
    </row>
    <row r="3258" spans="1:3" x14ac:dyDescent="0.3">
      <c r="A3258" s="7" t="s">
        <v>3268</v>
      </c>
      <c r="B3258" s="7" t="s">
        <v>12</v>
      </c>
      <c r="C3258" t="s">
        <v>3678</v>
      </c>
    </row>
    <row r="3259" spans="1:3" x14ac:dyDescent="0.3">
      <c r="A3259" s="7" t="s">
        <v>3269</v>
      </c>
      <c r="B3259" s="7" t="s">
        <v>12</v>
      </c>
      <c r="C3259" t="s">
        <v>3678</v>
      </c>
    </row>
    <row r="3260" spans="1:3" x14ac:dyDescent="0.3">
      <c r="A3260" s="7" t="s">
        <v>3270</v>
      </c>
      <c r="B3260" s="7" t="s">
        <v>12</v>
      </c>
      <c r="C3260" t="s">
        <v>3678</v>
      </c>
    </row>
    <row r="3261" spans="1:3" x14ac:dyDescent="0.3">
      <c r="A3261" s="7" t="s">
        <v>3271</v>
      </c>
      <c r="B3261" s="7" t="s">
        <v>12</v>
      </c>
      <c r="C3261" t="s">
        <v>3678</v>
      </c>
    </row>
    <row r="3262" spans="1:3" x14ac:dyDescent="0.3">
      <c r="A3262" s="7" t="s">
        <v>3272</v>
      </c>
      <c r="B3262" s="7" t="s">
        <v>12</v>
      </c>
      <c r="C3262" t="s">
        <v>3678</v>
      </c>
    </row>
    <row r="3263" spans="1:3" x14ac:dyDescent="0.3">
      <c r="A3263" s="7" t="s">
        <v>3273</v>
      </c>
      <c r="B3263" s="7" t="s">
        <v>12</v>
      </c>
      <c r="C3263" t="s">
        <v>2</v>
      </c>
    </row>
    <row r="3264" spans="1:3" x14ac:dyDescent="0.3">
      <c r="A3264" s="7" t="s">
        <v>3274</v>
      </c>
      <c r="B3264" s="7" t="s">
        <v>12</v>
      </c>
      <c r="C3264" t="s">
        <v>2</v>
      </c>
    </row>
    <row r="3265" spans="1:3" x14ac:dyDescent="0.3">
      <c r="A3265" s="7" t="s">
        <v>3275</v>
      </c>
      <c r="B3265" s="7" t="s">
        <v>12</v>
      </c>
      <c r="C3265" t="s">
        <v>2</v>
      </c>
    </row>
    <row r="3266" spans="1:3" x14ac:dyDescent="0.3">
      <c r="A3266" s="7" t="s">
        <v>3276</v>
      </c>
      <c r="B3266" s="7" t="s">
        <v>12</v>
      </c>
      <c r="C3266" t="s">
        <v>2</v>
      </c>
    </row>
    <row r="3267" spans="1:3" x14ac:dyDescent="0.3">
      <c r="A3267" s="7" t="s">
        <v>3277</v>
      </c>
      <c r="B3267" s="7" t="s">
        <v>12</v>
      </c>
      <c r="C3267" t="s">
        <v>2</v>
      </c>
    </row>
    <row r="3268" spans="1:3" x14ac:dyDescent="0.3">
      <c r="A3268" s="7" t="s">
        <v>3278</v>
      </c>
      <c r="B3268" s="7" t="s">
        <v>12</v>
      </c>
      <c r="C3268" t="s">
        <v>2</v>
      </c>
    </row>
    <row r="3269" spans="1:3" x14ac:dyDescent="0.3">
      <c r="A3269" s="7" t="s">
        <v>3279</v>
      </c>
      <c r="B3269" s="7" t="s">
        <v>12</v>
      </c>
      <c r="C3269" t="s">
        <v>2</v>
      </c>
    </row>
    <row r="3270" spans="1:3" x14ac:dyDescent="0.3">
      <c r="A3270" s="7" t="s">
        <v>3280</v>
      </c>
      <c r="B3270" s="7" t="s">
        <v>12</v>
      </c>
      <c r="C3270" t="s">
        <v>2</v>
      </c>
    </row>
    <row r="3271" spans="1:3" x14ac:dyDescent="0.3">
      <c r="A3271" s="7" t="s">
        <v>3281</v>
      </c>
      <c r="B3271" s="7" t="s">
        <v>12</v>
      </c>
      <c r="C3271" t="s">
        <v>2</v>
      </c>
    </row>
    <row r="3272" spans="1:3" x14ac:dyDescent="0.3">
      <c r="A3272" s="7" t="s">
        <v>3282</v>
      </c>
      <c r="B3272" s="7" t="s">
        <v>12</v>
      </c>
      <c r="C3272" t="s">
        <v>2</v>
      </c>
    </row>
    <row r="3273" spans="1:3" x14ac:dyDescent="0.3">
      <c r="A3273" s="7" t="s">
        <v>3283</v>
      </c>
      <c r="B3273" s="7" t="s">
        <v>12</v>
      </c>
      <c r="C3273" t="s">
        <v>2</v>
      </c>
    </row>
    <row r="3274" spans="1:3" x14ac:dyDescent="0.3">
      <c r="A3274" s="7" t="s">
        <v>3284</v>
      </c>
      <c r="B3274" s="7" t="s">
        <v>12</v>
      </c>
      <c r="C3274" t="s">
        <v>2</v>
      </c>
    </row>
    <row r="3275" spans="1:3" x14ac:dyDescent="0.3">
      <c r="A3275" s="7" t="s">
        <v>3285</v>
      </c>
      <c r="B3275" s="7" t="s">
        <v>12</v>
      </c>
      <c r="C3275" t="s">
        <v>2</v>
      </c>
    </row>
    <row r="3276" spans="1:3" x14ac:dyDescent="0.3">
      <c r="A3276" s="7" t="s">
        <v>3286</v>
      </c>
      <c r="B3276" s="7" t="s">
        <v>12</v>
      </c>
      <c r="C3276" t="s">
        <v>2</v>
      </c>
    </row>
    <row r="3277" spans="1:3" x14ac:dyDescent="0.3">
      <c r="A3277" s="7" t="s">
        <v>3287</v>
      </c>
      <c r="B3277" s="7" t="s">
        <v>12</v>
      </c>
      <c r="C3277" t="s">
        <v>2</v>
      </c>
    </row>
    <row r="3278" spans="1:3" x14ac:dyDescent="0.3">
      <c r="A3278" s="7" t="s">
        <v>3288</v>
      </c>
      <c r="B3278" s="7" t="s">
        <v>12</v>
      </c>
      <c r="C3278" t="s">
        <v>2</v>
      </c>
    </row>
    <row r="3279" spans="1:3" x14ac:dyDescent="0.3">
      <c r="A3279" s="7" t="s">
        <v>3289</v>
      </c>
      <c r="B3279" s="7" t="s">
        <v>12</v>
      </c>
      <c r="C3279" t="s">
        <v>2</v>
      </c>
    </row>
    <row r="3280" spans="1:3" x14ac:dyDescent="0.3">
      <c r="A3280" s="7" t="s">
        <v>3290</v>
      </c>
      <c r="B3280" s="7" t="s">
        <v>12</v>
      </c>
      <c r="C3280" t="s">
        <v>2</v>
      </c>
    </row>
    <row r="3281" spans="1:3" x14ac:dyDescent="0.3">
      <c r="A3281" s="7" t="s">
        <v>3291</v>
      </c>
      <c r="B3281" s="7" t="s">
        <v>12</v>
      </c>
      <c r="C3281" t="s">
        <v>2</v>
      </c>
    </row>
    <row r="3282" spans="1:3" x14ac:dyDescent="0.3">
      <c r="A3282" s="7" t="s">
        <v>3292</v>
      </c>
      <c r="B3282" s="7" t="s">
        <v>12</v>
      </c>
      <c r="C3282" t="s">
        <v>2</v>
      </c>
    </row>
    <row r="3283" spans="1:3" x14ac:dyDescent="0.3">
      <c r="A3283" s="7" t="s">
        <v>3293</v>
      </c>
      <c r="B3283" s="7" t="s">
        <v>12</v>
      </c>
      <c r="C3283" t="s">
        <v>2</v>
      </c>
    </row>
    <row r="3284" spans="1:3" x14ac:dyDescent="0.3">
      <c r="A3284" s="7" t="s">
        <v>3294</v>
      </c>
      <c r="B3284" s="7" t="s">
        <v>12</v>
      </c>
      <c r="C3284" t="s">
        <v>2</v>
      </c>
    </row>
    <row r="3285" spans="1:3" x14ac:dyDescent="0.3">
      <c r="A3285" s="7" t="s">
        <v>3295</v>
      </c>
      <c r="B3285" s="7" t="s">
        <v>12</v>
      </c>
      <c r="C3285" t="s">
        <v>2</v>
      </c>
    </row>
    <row r="3286" spans="1:3" x14ac:dyDescent="0.3">
      <c r="A3286" s="7" t="s">
        <v>3296</v>
      </c>
      <c r="B3286" s="7" t="s">
        <v>12</v>
      </c>
      <c r="C3286" t="s">
        <v>2</v>
      </c>
    </row>
    <row r="3287" spans="1:3" x14ac:dyDescent="0.3">
      <c r="A3287" s="7" t="s">
        <v>3297</v>
      </c>
      <c r="B3287" s="7" t="s">
        <v>12</v>
      </c>
      <c r="C3287" t="s">
        <v>2</v>
      </c>
    </row>
    <row r="3288" spans="1:3" x14ac:dyDescent="0.3">
      <c r="A3288" s="7" t="s">
        <v>3298</v>
      </c>
      <c r="B3288" s="7" t="s">
        <v>12</v>
      </c>
      <c r="C3288" t="s">
        <v>2</v>
      </c>
    </row>
    <row r="3289" spans="1:3" x14ac:dyDescent="0.3">
      <c r="A3289" s="7" t="s">
        <v>3299</v>
      </c>
      <c r="B3289" s="7" t="s">
        <v>12</v>
      </c>
      <c r="C3289" t="s">
        <v>2</v>
      </c>
    </row>
    <row r="3290" spans="1:3" x14ac:dyDescent="0.3">
      <c r="A3290" s="7" t="s">
        <v>3300</v>
      </c>
      <c r="B3290" s="7" t="s">
        <v>12</v>
      </c>
      <c r="C3290" t="s">
        <v>2</v>
      </c>
    </row>
    <row r="3291" spans="1:3" x14ac:dyDescent="0.3">
      <c r="A3291" s="7" t="s">
        <v>3301</v>
      </c>
      <c r="B3291" s="7" t="s">
        <v>12</v>
      </c>
      <c r="C3291" t="s">
        <v>2</v>
      </c>
    </row>
    <row r="3292" spans="1:3" x14ac:dyDescent="0.3">
      <c r="A3292" s="7" t="s">
        <v>3302</v>
      </c>
      <c r="B3292" s="7" t="s">
        <v>12</v>
      </c>
      <c r="C3292" t="s">
        <v>2</v>
      </c>
    </row>
    <row r="3293" spans="1:3" x14ac:dyDescent="0.3">
      <c r="A3293" s="7" t="s">
        <v>3303</v>
      </c>
      <c r="B3293" s="7" t="s">
        <v>12</v>
      </c>
      <c r="C3293" t="s">
        <v>2</v>
      </c>
    </row>
    <row r="3294" spans="1:3" x14ac:dyDescent="0.3">
      <c r="A3294" s="7" t="s">
        <v>3304</v>
      </c>
      <c r="B3294" s="7" t="s">
        <v>12</v>
      </c>
      <c r="C3294" t="s">
        <v>2</v>
      </c>
    </row>
    <row r="3295" spans="1:3" x14ac:dyDescent="0.3">
      <c r="A3295" s="7" t="s">
        <v>3305</v>
      </c>
      <c r="B3295" s="7" t="s">
        <v>12</v>
      </c>
      <c r="C3295" t="s">
        <v>2</v>
      </c>
    </row>
    <row r="3296" spans="1:3" x14ac:dyDescent="0.3">
      <c r="A3296" s="7" t="s">
        <v>3306</v>
      </c>
      <c r="B3296" s="7" t="s">
        <v>12</v>
      </c>
      <c r="C3296" t="s">
        <v>2</v>
      </c>
    </row>
    <row r="3297" spans="1:3" x14ac:dyDescent="0.3">
      <c r="A3297" s="7" t="s">
        <v>3307</v>
      </c>
      <c r="B3297" s="7" t="s">
        <v>12</v>
      </c>
      <c r="C3297" t="s">
        <v>2</v>
      </c>
    </row>
    <row r="3298" spans="1:3" x14ac:dyDescent="0.3">
      <c r="A3298" s="7" t="s">
        <v>3308</v>
      </c>
      <c r="B3298" s="7" t="s">
        <v>12</v>
      </c>
      <c r="C3298" t="s">
        <v>2</v>
      </c>
    </row>
    <row r="3299" spans="1:3" x14ac:dyDescent="0.3">
      <c r="A3299" s="7" t="s">
        <v>3309</v>
      </c>
      <c r="B3299" s="7" t="s">
        <v>12</v>
      </c>
      <c r="C3299" t="s">
        <v>2</v>
      </c>
    </row>
    <row r="3300" spans="1:3" x14ac:dyDescent="0.3">
      <c r="A3300" s="7" t="s">
        <v>3310</v>
      </c>
      <c r="B3300" s="7" t="s">
        <v>12</v>
      </c>
      <c r="C3300" t="s">
        <v>2</v>
      </c>
    </row>
    <row r="3301" spans="1:3" x14ac:dyDescent="0.3">
      <c r="A3301" s="7" t="s">
        <v>3311</v>
      </c>
      <c r="B3301" s="7" t="s">
        <v>12</v>
      </c>
      <c r="C3301" t="s">
        <v>2</v>
      </c>
    </row>
    <row r="3302" spans="1:3" x14ac:dyDescent="0.3">
      <c r="A3302" s="7" t="s">
        <v>3312</v>
      </c>
      <c r="B3302" s="7" t="s">
        <v>12</v>
      </c>
      <c r="C3302" t="s">
        <v>2</v>
      </c>
    </row>
    <row r="3303" spans="1:3" x14ac:dyDescent="0.3">
      <c r="A3303" s="7" t="s">
        <v>3313</v>
      </c>
      <c r="B3303" s="7" t="s">
        <v>12</v>
      </c>
      <c r="C3303" t="s">
        <v>2</v>
      </c>
    </row>
    <row r="3304" spans="1:3" x14ac:dyDescent="0.3">
      <c r="A3304" s="7" t="s">
        <v>3314</v>
      </c>
      <c r="B3304" s="7" t="s">
        <v>12</v>
      </c>
      <c r="C3304" t="s">
        <v>2</v>
      </c>
    </row>
    <row r="3305" spans="1:3" x14ac:dyDescent="0.3">
      <c r="A3305" s="7" t="s">
        <v>3315</v>
      </c>
      <c r="B3305" s="7" t="s">
        <v>12</v>
      </c>
      <c r="C3305" t="s">
        <v>2</v>
      </c>
    </row>
    <row r="3306" spans="1:3" x14ac:dyDescent="0.3">
      <c r="A3306" s="7" t="s">
        <v>3316</v>
      </c>
      <c r="B3306" s="7" t="s">
        <v>12</v>
      </c>
      <c r="C3306" t="s">
        <v>2</v>
      </c>
    </row>
    <row r="3307" spans="1:3" x14ac:dyDescent="0.3">
      <c r="A3307" s="7" t="s">
        <v>3317</v>
      </c>
      <c r="B3307" s="7" t="s">
        <v>12</v>
      </c>
      <c r="C3307" t="s">
        <v>2</v>
      </c>
    </row>
    <row r="3308" spans="1:3" x14ac:dyDescent="0.3">
      <c r="A3308" s="7" t="s">
        <v>3318</v>
      </c>
      <c r="B3308" s="7" t="s">
        <v>12</v>
      </c>
      <c r="C3308" t="s">
        <v>2</v>
      </c>
    </row>
    <row r="3309" spans="1:3" x14ac:dyDescent="0.3">
      <c r="A3309" s="7" t="s">
        <v>3319</v>
      </c>
      <c r="B3309" s="7" t="s">
        <v>12</v>
      </c>
      <c r="C3309" t="s">
        <v>2</v>
      </c>
    </row>
    <row r="3310" spans="1:3" x14ac:dyDescent="0.3">
      <c r="A3310" s="7" t="s">
        <v>3320</v>
      </c>
      <c r="B3310" s="7" t="s">
        <v>12</v>
      </c>
      <c r="C3310" t="s">
        <v>2</v>
      </c>
    </row>
    <row r="3311" spans="1:3" x14ac:dyDescent="0.3">
      <c r="A3311" s="7" t="s">
        <v>3321</v>
      </c>
      <c r="B3311" s="7" t="s">
        <v>12</v>
      </c>
      <c r="C3311" t="s">
        <v>2</v>
      </c>
    </row>
    <row r="3312" spans="1:3" x14ac:dyDescent="0.3">
      <c r="A3312" s="7" t="s">
        <v>3322</v>
      </c>
      <c r="B3312" s="7" t="s">
        <v>12</v>
      </c>
      <c r="C3312" t="s">
        <v>2</v>
      </c>
    </row>
    <row r="3313" spans="1:3" x14ac:dyDescent="0.3">
      <c r="A3313" s="7" t="s">
        <v>3323</v>
      </c>
      <c r="B3313" s="7" t="s">
        <v>12</v>
      </c>
      <c r="C3313" t="s">
        <v>2</v>
      </c>
    </row>
    <row r="3314" spans="1:3" x14ac:dyDescent="0.3">
      <c r="A3314" s="7" t="s">
        <v>3324</v>
      </c>
      <c r="B3314" s="7" t="s">
        <v>12</v>
      </c>
      <c r="C3314" t="s">
        <v>2</v>
      </c>
    </row>
    <row r="3315" spans="1:3" x14ac:dyDescent="0.3">
      <c r="A3315" s="7" t="s">
        <v>3325</v>
      </c>
      <c r="B3315" s="7" t="s">
        <v>12</v>
      </c>
      <c r="C3315" t="s">
        <v>2</v>
      </c>
    </row>
    <row r="3316" spans="1:3" x14ac:dyDescent="0.3">
      <c r="A3316" s="7" t="s">
        <v>3326</v>
      </c>
      <c r="B3316" s="7" t="s">
        <v>12</v>
      </c>
      <c r="C3316" t="s">
        <v>2</v>
      </c>
    </row>
    <row r="3317" spans="1:3" x14ac:dyDescent="0.3">
      <c r="A3317" s="7" t="s">
        <v>3327</v>
      </c>
      <c r="B3317" s="7" t="s">
        <v>12</v>
      </c>
      <c r="C3317" t="s">
        <v>2</v>
      </c>
    </row>
    <row r="3318" spans="1:3" x14ac:dyDescent="0.3">
      <c r="A3318" s="7" t="s">
        <v>3328</v>
      </c>
      <c r="B3318" s="7" t="s">
        <v>12</v>
      </c>
      <c r="C3318" t="s">
        <v>2</v>
      </c>
    </row>
    <row r="3319" spans="1:3" x14ac:dyDescent="0.3">
      <c r="A3319" s="7" t="s">
        <v>3329</v>
      </c>
      <c r="B3319" s="7" t="s">
        <v>12</v>
      </c>
      <c r="C3319" t="s">
        <v>2</v>
      </c>
    </row>
    <row r="3320" spans="1:3" x14ac:dyDescent="0.3">
      <c r="A3320" s="7" t="s">
        <v>3330</v>
      </c>
      <c r="B3320" s="7" t="s">
        <v>12</v>
      </c>
      <c r="C3320" t="s">
        <v>2</v>
      </c>
    </row>
    <row r="3321" spans="1:3" x14ac:dyDescent="0.3">
      <c r="A3321" s="7" t="s">
        <v>3331</v>
      </c>
      <c r="B3321" s="7" t="s">
        <v>12</v>
      </c>
      <c r="C3321" t="s">
        <v>2</v>
      </c>
    </row>
    <row r="3322" spans="1:3" x14ac:dyDescent="0.3">
      <c r="A3322" s="7" t="s">
        <v>3332</v>
      </c>
      <c r="B3322" s="7" t="s">
        <v>12</v>
      </c>
      <c r="C3322" t="s">
        <v>3</v>
      </c>
    </row>
    <row r="3323" spans="1:3" x14ac:dyDescent="0.3">
      <c r="A3323" s="7" t="s">
        <v>3333</v>
      </c>
      <c r="B3323" s="7" t="s">
        <v>12</v>
      </c>
      <c r="C3323" t="s">
        <v>3</v>
      </c>
    </row>
    <row r="3324" spans="1:3" x14ac:dyDescent="0.3">
      <c r="A3324" s="7" t="s">
        <v>3334</v>
      </c>
      <c r="B3324" s="7" t="s">
        <v>12</v>
      </c>
      <c r="C3324" t="s">
        <v>3</v>
      </c>
    </row>
    <row r="3325" spans="1:3" x14ac:dyDescent="0.3">
      <c r="A3325" s="7" t="s">
        <v>3335</v>
      </c>
      <c r="B3325" s="7" t="s">
        <v>12</v>
      </c>
      <c r="C3325" t="s">
        <v>3</v>
      </c>
    </row>
    <row r="3326" spans="1:3" x14ac:dyDescent="0.3">
      <c r="A3326" s="7" t="s">
        <v>3336</v>
      </c>
      <c r="B3326" s="7" t="s">
        <v>12</v>
      </c>
      <c r="C3326" t="s">
        <v>3</v>
      </c>
    </row>
    <row r="3327" spans="1:3" x14ac:dyDescent="0.3">
      <c r="A3327" s="7" t="s">
        <v>3337</v>
      </c>
      <c r="B3327" s="7" t="s">
        <v>12</v>
      </c>
      <c r="C3327" t="s">
        <v>2</v>
      </c>
    </row>
    <row r="3328" spans="1:3" x14ac:dyDescent="0.3">
      <c r="A3328" s="7" t="s">
        <v>3338</v>
      </c>
      <c r="B3328" s="7" t="s">
        <v>12</v>
      </c>
      <c r="C3328" t="s">
        <v>2</v>
      </c>
    </row>
    <row r="3329" spans="1:3" x14ac:dyDescent="0.3">
      <c r="A3329" s="7" t="s">
        <v>3339</v>
      </c>
      <c r="B3329" s="7" t="s">
        <v>12</v>
      </c>
      <c r="C3329" t="s">
        <v>2</v>
      </c>
    </row>
    <row r="3330" spans="1:3" x14ac:dyDescent="0.3">
      <c r="A3330" s="7" t="s">
        <v>3340</v>
      </c>
      <c r="B3330" s="7" t="s">
        <v>12</v>
      </c>
      <c r="C3330" t="s">
        <v>2</v>
      </c>
    </row>
    <row r="3331" spans="1:3" x14ac:dyDescent="0.3">
      <c r="A3331" s="7" t="s">
        <v>3341</v>
      </c>
      <c r="B3331" s="7" t="s">
        <v>12</v>
      </c>
      <c r="C3331" t="s">
        <v>2</v>
      </c>
    </row>
    <row r="3332" spans="1:3" x14ac:dyDescent="0.3">
      <c r="A3332" s="7" t="s">
        <v>3342</v>
      </c>
      <c r="B3332" s="7" t="s">
        <v>12</v>
      </c>
      <c r="C3332" t="s">
        <v>2</v>
      </c>
    </row>
    <row r="3333" spans="1:3" x14ac:dyDescent="0.3">
      <c r="A3333" s="7" t="s">
        <v>3343</v>
      </c>
      <c r="B3333" s="7" t="s">
        <v>12</v>
      </c>
      <c r="C3333" t="s">
        <v>2</v>
      </c>
    </row>
    <row r="3334" spans="1:3" x14ac:dyDescent="0.3">
      <c r="A3334" s="7" t="s">
        <v>3344</v>
      </c>
      <c r="B3334" s="7" t="s">
        <v>12</v>
      </c>
      <c r="C3334" t="s">
        <v>2</v>
      </c>
    </row>
    <row r="3335" spans="1:3" x14ac:dyDescent="0.3">
      <c r="A3335" s="7" t="s">
        <v>3345</v>
      </c>
      <c r="B3335" s="7" t="s">
        <v>12</v>
      </c>
      <c r="C3335" t="s">
        <v>3678</v>
      </c>
    </row>
    <row r="3336" spans="1:3" x14ac:dyDescent="0.3">
      <c r="A3336" s="7" t="s">
        <v>3346</v>
      </c>
      <c r="B3336" s="7" t="s">
        <v>12</v>
      </c>
      <c r="C3336" t="s">
        <v>3678</v>
      </c>
    </row>
    <row r="3337" spans="1:3" x14ac:dyDescent="0.3">
      <c r="A3337" s="7" t="s">
        <v>3347</v>
      </c>
      <c r="B3337" s="7" t="s">
        <v>12</v>
      </c>
      <c r="C3337" t="s">
        <v>3678</v>
      </c>
    </row>
    <row r="3338" spans="1:3" x14ac:dyDescent="0.3">
      <c r="A3338" s="7" t="s">
        <v>3348</v>
      </c>
      <c r="B3338" s="7" t="s">
        <v>12</v>
      </c>
      <c r="C3338" t="s">
        <v>3678</v>
      </c>
    </row>
    <row r="3339" spans="1:3" x14ac:dyDescent="0.3">
      <c r="A3339" s="7" t="s">
        <v>3349</v>
      </c>
      <c r="B3339" s="7" t="s">
        <v>12</v>
      </c>
      <c r="C3339" t="s">
        <v>3678</v>
      </c>
    </row>
    <row r="3340" spans="1:3" x14ac:dyDescent="0.3">
      <c r="A3340" s="7" t="s">
        <v>3350</v>
      </c>
      <c r="B3340" s="7" t="s">
        <v>12</v>
      </c>
      <c r="C3340" t="s">
        <v>3678</v>
      </c>
    </row>
    <row r="3341" spans="1:3" x14ac:dyDescent="0.3">
      <c r="A3341" s="7" t="s">
        <v>3351</v>
      </c>
      <c r="B3341" s="7" t="s">
        <v>12</v>
      </c>
      <c r="C3341" t="s">
        <v>3678</v>
      </c>
    </row>
    <row r="3342" spans="1:3" x14ac:dyDescent="0.3">
      <c r="A3342" s="7" t="s">
        <v>3352</v>
      </c>
      <c r="B3342" s="7" t="s">
        <v>12</v>
      </c>
      <c r="C3342" t="s">
        <v>3678</v>
      </c>
    </row>
    <row r="3343" spans="1:3" x14ac:dyDescent="0.3">
      <c r="A3343" s="7" t="s">
        <v>3353</v>
      </c>
      <c r="B3343" s="7" t="s">
        <v>12</v>
      </c>
      <c r="C3343" t="s">
        <v>3678</v>
      </c>
    </row>
    <row r="3344" spans="1:3" x14ac:dyDescent="0.3">
      <c r="A3344" s="7" t="s">
        <v>3354</v>
      </c>
      <c r="B3344" s="7" t="s">
        <v>12</v>
      </c>
      <c r="C3344" t="s">
        <v>2</v>
      </c>
    </row>
    <row r="3345" spans="1:3" x14ac:dyDescent="0.3">
      <c r="A3345" s="7" t="s">
        <v>3355</v>
      </c>
      <c r="B3345" s="7" t="s">
        <v>12</v>
      </c>
      <c r="C3345" t="s">
        <v>2</v>
      </c>
    </row>
    <row r="3346" spans="1:3" x14ac:dyDescent="0.3">
      <c r="A3346" s="7" t="s">
        <v>3356</v>
      </c>
      <c r="B3346" s="7" t="s">
        <v>12</v>
      </c>
      <c r="C3346" t="s">
        <v>2</v>
      </c>
    </row>
    <row r="3347" spans="1:3" x14ac:dyDescent="0.3">
      <c r="A3347" s="7" t="s">
        <v>3357</v>
      </c>
      <c r="B3347" s="7" t="s">
        <v>12</v>
      </c>
      <c r="C3347" t="s">
        <v>2</v>
      </c>
    </row>
    <row r="3348" spans="1:3" x14ac:dyDescent="0.3">
      <c r="A3348" s="7" t="s">
        <v>3358</v>
      </c>
      <c r="B3348" s="7" t="s">
        <v>12</v>
      </c>
      <c r="C3348" t="s">
        <v>2</v>
      </c>
    </row>
    <row r="3349" spans="1:3" x14ac:dyDescent="0.3">
      <c r="A3349" s="7" t="s">
        <v>3359</v>
      </c>
      <c r="B3349" s="7" t="s">
        <v>12</v>
      </c>
      <c r="C3349" t="s">
        <v>2</v>
      </c>
    </row>
    <row r="3350" spans="1:3" x14ac:dyDescent="0.3">
      <c r="A3350" s="7" t="s">
        <v>3360</v>
      </c>
      <c r="B3350" s="7" t="s">
        <v>12</v>
      </c>
      <c r="C3350" t="s">
        <v>2</v>
      </c>
    </row>
    <row r="3351" spans="1:3" x14ac:dyDescent="0.3">
      <c r="A3351" s="7" t="s">
        <v>3361</v>
      </c>
      <c r="B3351" s="7" t="s">
        <v>12</v>
      </c>
      <c r="C3351" t="s">
        <v>2</v>
      </c>
    </row>
    <row r="3352" spans="1:3" x14ac:dyDescent="0.3">
      <c r="A3352" s="7" t="s">
        <v>3362</v>
      </c>
      <c r="B3352" s="7" t="s">
        <v>12</v>
      </c>
      <c r="C3352" t="s">
        <v>2</v>
      </c>
    </row>
    <row r="3353" spans="1:3" x14ac:dyDescent="0.3">
      <c r="A3353" s="7" t="s">
        <v>3363</v>
      </c>
      <c r="B3353" s="7" t="s">
        <v>12</v>
      </c>
      <c r="C3353" t="s">
        <v>2</v>
      </c>
    </row>
    <row r="3354" spans="1:3" x14ac:dyDescent="0.3">
      <c r="A3354" s="7" t="s">
        <v>3364</v>
      </c>
      <c r="B3354" s="7" t="s">
        <v>12</v>
      </c>
      <c r="C3354" t="s">
        <v>2</v>
      </c>
    </row>
    <row r="3355" spans="1:3" x14ac:dyDescent="0.3">
      <c r="A3355" s="7" t="s">
        <v>3365</v>
      </c>
      <c r="B3355" s="7" t="s">
        <v>12</v>
      </c>
      <c r="C3355" t="s">
        <v>2</v>
      </c>
    </row>
    <row r="3356" spans="1:3" x14ac:dyDescent="0.3">
      <c r="A3356" s="7" t="s">
        <v>3366</v>
      </c>
      <c r="B3356" s="7" t="s">
        <v>12</v>
      </c>
      <c r="C3356" t="s">
        <v>2</v>
      </c>
    </row>
    <row r="3357" spans="1:3" x14ac:dyDescent="0.3">
      <c r="A3357" s="7" t="s">
        <v>3367</v>
      </c>
      <c r="B3357" s="7" t="s">
        <v>12</v>
      </c>
      <c r="C3357" t="s">
        <v>2</v>
      </c>
    </row>
    <row r="3358" spans="1:3" x14ac:dyDescent="0.3">
      <c r="A3358" s="7" t="s">
        <v>3368</v>
      </c>
      <c r="B3358" s="7" t="s">
        <v>12</v>
      </c>
      <c r="C3358" t="s">
        <v>2</v>
      </c>
    </row>
    <row r="3359" spans="1:3" x14ac:dyDescent="0.3">
      <c r="A3359" s="7" t="s">
        <v>3369</v>
      </c>
      <c r="B3359" s="7" t="s">
        <v>12</v>
      </c>
      <c r="C3359" t="s">
        <v>2</v>
      </c>
    </row>
    <row r="3360" spans="1:3" x14ac:dyDescent="0.3">
      <c r="A3360" s="7" t="s">
        <v>3370</v>
      </c>
      <c r="B3360" s="7" t="s">
        <v>12</v>
      </c>
      <c r="C3360" t="s">
        <v>2</v>
      </c>
    </row>
    <row r="3361" spans="1:3" x14ac:dyDescent="0.3">
      <c r="A3361" s="7" t="s">
        <v>3371</v>
      </c>
      <c r="B3361" s="7" t="s">
        <v>12</v>
      </c>
      <c r="C3361" t="s">
        <v>2</v>
      </c>
    </row>
    <row r="3362" spans="1:3" x14ac:dyDescent="0.3">
      <c r="A3362" s="7" t="s">
        <v>3372</v>
      </c>
      <c r="B3362" s="7" t="s">
        <v>12</v>
      </c>
      <c r="C3362" t="s">
        <v>2</v>
      </c>
    </row>
    <row r="3363" spans="1:3" x14ac:dyDescent="0.3">
      <c r="A3363" s="7" t="s">
        <v>3373</v>
      </c>
      <c r="B3363" s="7" t="s">
        <v>12</v>
      </c>
      <c r="C3363" t="s">
        <v>2</v>
      </c>
    </row>
    <row r="3364" spans="1:3" x14ac:dyDescent="0.3">
      <c r="A3364" s="7" t="s">
        <v>3374</v>
      </c>
      <c r="B3364" s="7" t="s">
        <v>12</v>
      </c>
      <c r="C3364" t="s">
        <v>2</v>
      </c>
    </row>
    <row r="3365" spans="1:3" x14ac:dyDescent="0.3">
      <c r="A3365" s="7" t="s">
        <v>3375</v>
      </c>
      <c r="B3365" s="7" t="s">
        <v>12</v>
      </c>
      <c r="C3365" t="s">
        <v>2</v>
      </c>
    </row>
    <row r="3366" spans="1:3" x14ac:dyDescent="0.3">
      <c r="A3366" s="7" t="s">
        <v>3376</v>
      </c>
      <c r="B3366" s="7" t="s">
        <v>12</v>
      </c>
      <c r="C3366" t="s">
        <v>2</v>
      </c>
    </row>
    <row r="3367" spans="1:3" x14ac:dyDescent="0.3">
      <c r="A3367" s="7" t="s">
        <v>3377</v>
      </c>
      <c r="B3367" s="7" t="s">
        <v>12</v>
      </c>
      <c r="C3367" t="s">
        <v>2</v>
      </c>
    </row>
    <row r="3368" spans="1:3" x14ac:dyDescent="0.3">
      <c r="A3368" s="7" t="s">
        <v>3378</v>
      </c>
      <c r="B3368" s="7" t="s">
        <v>12</v>
      </c>
      <c r="C3368" t="s">
        <v>2</v>
      </c>
    </row>
    <row r="3369" spans="1:3" x14ac:dyDescent="0.3">
      <c r="A3369" s="7" t="s">
        <v>3379</v>
      </c>
      <c r="B3369" s="7" t="s">
        <v>12</v>
      </c>
      <c r="C3369" t="s">
        <v>2</v>
      </c>
    </row>
    <row r="3370" spans="1:3" x14ac:dyDescent="0.3">
      <c r="A3370" s="7" t="s">
        <v>3380</v>
      </c>
      <c r="B3370" s="7" t="s">
        <v>12</v>
      </c>
      <c r="C3370" t="s">
        <v>2</v>
      </c>
    </row>
    <row r="3371" spans="1:3" x14ac:dyDescent="0.3">
      <c r="A3371" s="7" t="s">
        <v>3381</v>
      </c>
      <c r="B3371" s="7" t="s">
        <v>12</v>
      </c>
      <c r="C3371" t="s">
        <v>2</v>
      </c>
    </row>
    <row r="3372" spans="1:3" x14ac:dyDescent="0.3">
      <c r="A3372" s="7" t="s">
        <v>3382</v>
      </c>
      <c r="B3372" s="7" t="s">
        <v>12</v>
      </c>
      <c r="C3372" t="s">
        <v>2</v>
      </c>
    </row>
    <row r="3373" spans="1:3" x14ac:dyDescent="0.3">
      <c r="A3373" s="7" t="s">
        <v>3383</v>
      </c>
      <c r="B3373" s="7" t="s">
        <v>12</v>
      </c>
      <c r="C3373" t="s">
        <v>2</v>
      </c>
    </row>
    <row r="3374" spans="1:3" x14ac:dyDescent="0.3">
      <c r="A3374" s="7" t="s">
        <v>3384</v>
      </c>
      <c r="B3374" s="7" t="s">
        <v>12</v>
      </c>
      <c r="C3374" t="s">
        <v>2</v>
      </c>
    </row>
    <row r="3375" spans="1:3" x14ac:dyDescent="0.3">
      <c r="A3375" s="7" t="s">
        <v>3385</v>
      </c>
      <c r="B3375" s="7" t="s">
        <v>12</v>
      </c>
      <c r="C3375" t="s">
        <v>2</v>
      </c>
    </row>
    <row r="3376" spans="1:3" x14ac:dyDescent="0.3">
      <c r="A3376" s="7" t="s">
        <v>3386</v>
      </c>
      <c r="B3376" s="7" t="s">
        <v>12</v>
      </c>
      <c r="C3376" t="s">
        <v>2</v>
      </c>
    </row>
    <row r="3377" spans="1:3" x14ac:dyDescent="0.3">
      <c r="A3377" s="7" t="s">
        <v>3387</v>
      </c>
      <c r="B3377" s="7" t="s">
        <v>12</v>
      </c>
      <c r="C3377" t="s">
        <v>2</v>
      </c>
    </row>
    <row r="3378" spans="1:3" x14ac:dyDescent="0.3">
      <c r="A3378" s="7" t="s">
        <v>3388</v>
      </c>
      <c r="B3378" s="7" t="s">
        <v>12</v>
      </c>
      <c r="C3378" t="s">
        <v>2</v>
      </c>
    </row>
    <row r="3379" spans="1:3" x14ac:dyDescent="0.3">
      <c r="A3379" s="7" t="s">
        <v>3389</v>
      </c>
      <c r="B3379" s="7" t="s">
        <v>12</v>
      </c>
      <c r="C3379" t="s">
        <v>2</v>
      </c>
    </row>
    <row r="3380" spans="1:3" x14ac:dyDescent="0.3">
      <c r="A3380" s="7" t="s">
        <v>3390</v>
      </c>
      <c r="B3380" s="7" t="s">
        <v>12</v>
      </c>
      <c r="C3380" t="s">
        <v>2</v>
      </c>
    </row>
    <row r="3381" spans="1:3" x14ac:dyDescent="0.3">
      <c r="A3381" s="7" t="s">
        <v>3391</v>
      </c>
      <c r="B3381" s="7" t="s">
        <v>12</v>
      </c>
      <c r="C3381" t="s">
        <v>2</v>
      </c>
    </row>
    <row r="3382" spans="1:3" x14ac:dyDescent="0.3">
      <c r="A3382" s="7" t="s">
        <v>3392</v>
      </c>
      <c r="B3382" s="7" t="s">
        <v>12</v>
      </c>
      <c r="C3382" t="s">
        <v>2</v>
      </c>
    </row>
    <row r="3383" spans="1:3" x14ac:dyDescent="0.3">
      <c r="A3383" s="7" t="s">
        <v>3393</v>
      </c>
      <c r="B3383" s="7" t="s">
        <v>12</v>
      </c>
      <c r="C3383" t="s">
        <v>2</v>
      </c>
    </row>
    <row r="3384" spans="1:3" x14ac:dyDescent="0.3">
      <c r="A3384" s="7" t="s">
        <v>3394</v>
      </c>
      <c r="B3384" s="7" t="s">
        <v>12</v>
      </c>
      <c r="C3384" t="s">
        <v>2</v>
      </c>
    </row>
    <row r="3385" spans="1:3" x14ac:dyDescent="0.3">
      <c r="A3385" s="7" t="s">
        <v>3395</v>
      </c>
      <c r="B3385" s="7" t="s">
        <v>12</v>
      </c>
      <c r="C3385" t="s">
        <v>2</v>
      </c>
    </row>
    <row r="3386" spans="1:3" x14ac:dyDescent="0.3">
      <c r="A3386" s="7" t="s">
        <v>3396</v>
      </c>
      <c r="B3386" s="7" t="s">
        <v>12</v>
      </c>
      <c r="C3386" t="s">
        <v>2</v>
      </c>
    </row>
    <row r="3387" spans="1:3" x14ac:dyDescent="0.3">
      <c r="A3387" s="7" t="s">
        <v>3397</v>
      </c>
      <c r="B3387" s="7" t="s">
        <v>12</v>
      </c>
      <c r="C3387" t="s">
        <v>2</v>
      </c>
    </row>
    <row r="3388" spans="1:3" x14ac:dyDescent="0.3">
      <c r="A3388" s="7" t="s">
        <v>3398</v>
      </c>
      <c r="B3388" s="7" t="s">
        <v>12</v>
      </c>
      <c r="C3388" t="s">
        <v>2</v>
      </c>
    </row>
    <row r="3389" spans="1:3" x14ac:dyDescent="0.3">
      <c r="A3389" s="7" t="s">
        <v>3399</v>
      </c>
      <c r="B3389" s="7" t="s">
        <v>12</v>
      </c>
      <c r="C3389" t="s">
        <v>2</v>
      </c>
    </row>
    <row r="3390" spans="1:3" x14ac:dyDescent="0.3">
      <c r="A3390" s="7" t="s">
        <v>3400</v>
      </c>
      <c r="B3390" s="7" t="s">
        <v>12</v>
      </c>
      <c r="C3390" t="s">
        <v>3</v>
      </c>
    </row>
    <row r="3391" spans="1:3" x14ac:dyDescent="0.3">
      <c r="A3391" s="7" t="s">
        <v>3401</v>
      </c>
      <c r="B3391" s="7" t="s">
        <v>12</v>
      </c>
      <c r="C3391" t="s">
        <v>3</v>
      </c>
    </row>
    <row r="3392" spans="1:3" x14ac:dyDescent="0.3">
      <c r="A3392" s="7" t="s">
        <v>3402</v>
      </c>
      <c r="B3392" s="7" t="s">
        <v>12</v>
      </c>
      <c r="C3392" t="s">
        <v>3</v>
      </c>
    </row>
    <row r="3393" spans="1:3" x14ac:dyDescent="0.3">
      <c r="A3393" s="7" t="s">
        <v>3403</v>
      </c>
      <c r="B3393" s="7" t="s">
        <v>12</v>
      </c>
      <c r="C3393" t="s">
        <v>3</v>
      </c>
    </row>
    <row r="3394" spans="1:3" x14ac:dyDescent="0.3">
      <c r="A3394" s="7" t="s">
        <v>3404</v>
      </c>
      <c r="B3394" s="7" t="s">
        <v>12</v>
      </c>
      <c r="C3394" t="s">
        <v>3</v>
      </c>
    </row>
    <row r="3395" spans="1:3" x14ac:dyDescent="0.3">
      <c r="A3395" s="7" t="s">
        <v>3405</v>
      </c>
      <c r="B3395" s="7" t="s">
        <v>12</v>
      </c>
      <c r="C3395" t="s">
        <v>3</v>
      </c>
    </row>
    <row r="3396" spans="1:3" x14ac:dyDescent="0.3">
      <c r="A3396" s="7" t="s">
        <v>3406</v>
      </c>
      <c r="B3396" s="7" t="s">
        <v>12</v>
      </c>
      <c r="C3396" t="s">
        <v>3</v>
      </c>
    </row>
    <row r="3397" spans="1:3" x14ac:dyDescent="0.3">
      <c r="A3397" s="7" t="s">
        <v>3407</v>
      </c>
      <c r="B3397" s="7" t="s">
        <v>12</v>
      </c>
      <c r="C3397" t="s">
        <v>3</v>
      </c>
    </row>
    <row r="3398" spans="1:3" x14ac:dyDescent="0.3">
      <c r="A3398" s="7" t="s">
        <v>3408</v>
      </c>
      <c r="B3398" s="7" t="s">
        <v>12</v>
      </c>
      <c r="C3398" t="s">
        <v>3</v>
      </c>
    </row>
    <row r="3399" spans="1:3" x14ac:dyDescent="0.3">
      <c r="A3399" s="7" t="s">
        <v>3409</v>
      </c>
      <c r="B3399" s="7" t="s">
        <v>12</v>
      </c>
      <c r="C3399" t="s">
        <v>3</v>
      </c>
    </row>
    <row r="3400" spans="1:3" x14ac:dyDescent="0.3">
      <c r="A3400" s="7" t="s">
        <v>3410</v>
      </c>
      <c r="B3400" s="7" t="s">
        <v>12</v>
      </c>
      <c r="C3400" t="s">
        <v>3</v>
      </c>
    </row>
    <row r="3401" spans="1:3" x14ac:dyDescent="0.3">
      <c r="A3401" s="7" t="s">
        <v>3411</v>
      </c>
      <c r="B3401" s="7" t="s">
        <v>12</v>
      </c>
      <c r="C3401" t="s">
        <v>2</v>
      </c>
    </row>
    <row r="3402" spans="1:3" x14ac:dyDescent="0.3">
      <c r="A3402" s="7" t="s">
        <v>3412</v>
      </c>
      <c r="B3402" s="7" t="s">
        <v>12</v>
      </c>
      <c r="C3402" t="s">
        <v>2</v>
      </c>
    </row>
    <row r="3403" spans="1:3" x14ac:dyDescent="0.3">
      <c r="A3403" s="7" t="s">
        <v>3413</v>
      </c>
      <c r="B3403" s="7" t="s">
        <v>12</v>
      </c>
      <c r="C3403" t="s">
        <v>2</v>
      </c>
    </row>
    <row r="3404" spans="1:3" x14ac:dyDescent="0.3">
      <c r="A3404" s="7" t="s">
        <v>3414</v>
      </c>
      <c r="B3404" s="7" t="s">
        <v>12</v>
      </c>
      <c r="C3404" t="s">
        <v>2</v>
      </c>
    </row>
    <row r="3405" spans="1:3" x14ac:dyDescent="0.3">
      <c r="A3405" s="7" t="s">
        <v>3415</v>
      </c>
      <c r="B3405" s="7" t="s">
        <v>12</v>
      </c>
      <c r="C3405" t="s">
        <v>2</v>
      </c>
    </row>
    <row r="3406" spans="1:3" x14ac:dyDescent="0.3">
      <c r="A3406" s="7" t="s">
        <v>3416</v>
      </c>
      <c r="B3406" s="7" t="s">
        <v>12</v>
      </c>
      <c r="C3406" t="s">
        <v>2</v>
      </c>
    </row>
    <row r="3407" spans="1:3" x14ac:dyDescent="0.3">
      <c r="A3407" s="7" t="s">
        <v>3417</v>
      </c>
      <c r="B3407" s="7" t="s">
        <v>12</v>
      </c>
      <c r="C3407" t="s">
        <v>2</v>
      </c>
    </row>
    <row r="3408" spans="1:3" x14ac:dyDescent="0.3">
      <c r="A3408" s="7" t="s">
        <v>3418</v>
      </c>
      <c r="B3408" s="7" t="s">
        <v>12</v>
      </c>
      <c r="C3408" t="s">
        <v>3678</v>
      </c>
    </row>
    <row r="3409" spans="1:3" x14ac:dyDescent="0.3">
      <c r="A3409" s="7" t="s">
        <v>3419</v>
      </c>
      <c r="B3409" s="7" t="s">
        <v>12</v>
      </c>
      <c r="C3409" t="s">
        <v>3678</v>
      </c>
    </row>
    <row r="3410" spans="1:3" x14ac:dyDescent="0.3">
      <c r="A3410" s="7" t="s">
        <v>3420</v>
      </c>
      <c r="B3410" s="7" t="s">
        <v>12</v>
      </c>
      <c r="C3410" t="s">
        <v>3678</v>
      </c>
    </row>
    <row r="3411" spans="1:3" x14ac:dyDescent="0.3">
      <c r="A3411" s="7" t="s">
        <v>3421</v>
      </c>
      <c r="B3411" s="7" t="s">
        <v>12</v>
      </c>
      <c r="C3411" t="s">
        <v>3678</v>
      </c>
    </row>
    <row r="3412" spans="1:3" x14ac:dyDescent="0.3">
      <c r="A3412" s="7" t="s">
        <v>3422</v>
      </c>
      <c r="B3412" s="7" t="s">
        <v>12</v>
      </c>
      <c r="C3412" t="s">
        <v>2</v>
      </c>
    </row>
    <row r="3413" spans="1:3" x14ac:dyDescent="0.3">
      <c r="A3413" s="7" t="s">
        <v>3423</v>
      </c>
      <c r="B3413" s="7" t="s">
        <v>12</v>
      </c>
      <c r="C3413" t="s">
        <v>2</v>
      </c>
    </row>
    <row r="3414" spans="1:3" x14ac:dyDescent="0.3">
      <c r="A3414" s="7" t="s">
        <v>3424</v>
      </c>
      <c r="B3414" s="7" t="s">
        <v>12</v>
      </c>
      <c r="C3414" t="s">
        <v>2</v>
      </c>
    </row>
    <row r="3415" spans="1:3" x14ac:dyDescent="0.3">
      <c r="A3415" s="7" t="s">
        <v>3425</v>
      </c>
      <c r="B3415" s="7" t="s">
        <v>12</v>
      </c>
      <c r="C3415" t="s">
        <v>2</v>
      </c>
    </row>
    <row r="3416" spans="1:3" x14ac:dyDescent="0.3">
      <c r="A3416" s="7" t="s">
        <v>3426</v>
      </c>
      <c r="B3416" s="7" t="s">
        <v>12</v>
      </c>
      <c r="C3416" t="s">
        <v>3678</v>
      </c>
    </row>
    <row r="3417" spans="1:3" x14ac:dyDescent="0.3">
      <c r="A3417" s="7" t="s">
        <v>3427</v>
      </c>
      <c r="B3417" s="7" t="s">
        <v>12</v>
      </c>
      <c r="C3417" t="s">
        <v>3678</v>
      </c>
    </row>
    <row r="3418" spans="1:3" x14ac:dyDescent="0.3">
      <c r="A3418" s="7" t="s">
        <v>3428</v>
      </c>
      <c r="B3418" s="7" t="s">
        <v>12</v>
      </c>
      <c r="C3418" t="s">
        <v>3678</v>
      </c>
    </row>
    <row r="3419" spans="1:3" x14ac:dyDescent="0.3">
      <c r="A3419" s="7" t="s">
        <v>3429</v>
      </c>
      <c r="B3419" s="7" t="s">
        <v>12</v>
      </c>
      <c r="C3419" t="s">
        <v>2</v>
      </c>
    </row>
    <row r="3420" spans="1:3" x14ac:dyDescent="0.3">
      <c r="A3420" s="7" t="s">
        <v>3430</v>
      </c>
      <c r="B3420" s="7" t="s">
        <v>12</v>
      </c>
      <c r="C3420" t="s">
        <v>2</v>
      </c>
    </row>
    <row r="3421" spans="1:3" x14ac:dyDescent="0.3">
      <c r="A3421" s="7" t="s">
        <v>3431</v>
      </c>
      <c r="B3421" s="7" t="s">
        <v>12</v>
      </c>
      <c r="C3421" t="s">
        <v>2</v>
      </c>
    </row>
    <row r="3422" spans="1:3" x14ac:dyDescent="0.3">
      <c r="A3422" s="7" t="s">
        <v>3432</v>
      </c>
      <c r="B3422" s="7" t="s">
        <v>12</v>
      </c>
      <c r="C3422" t="s">
        <v>2</v>
      </c>
    </row>
    <row r="3423" spans="1:3" x14ac:dyDescent="0.3">
      <c r="A3423" s="7" t="s">
        <v>3433</v>
      </c>
      <c r="B3423" s="7" t="s">
        <v>12</v>
      </c>
      <c r="C3423" t="s">
        <v>2</v>
      </c>
    </row>
    <row r="3424" spans="1:3" x14ac:dyDescent="0.3">
      <c r="A3424" s="7" t="s">
        <v>3434</v>
      </c>
      <c r="B3424" s="7" t="s">
        <v>12</v>
      </c>
      <c r="C3424" t="s">
        <v>2</v>
      </c>
    </row>
    <row r="3425" spans="1:3" x14ac:dyDescent="0.3">
      <c r="A3425" s="7" t="s">
        <v>3435</v>
      </c>
      <c r="B3425" s="7" t="s">
        <v>12</v>
      </c>
      <c r="C3425" t="s">
        <v>2</v>
      </c>
    </row>
    <row r="3426" spans="1:3" x14ac:dyDescent="0.3">
      <c r="A3426" s="7" t="s">
        <v>3436</v>
      </c>
      <c r="B3426" s="7" t="s">
        <v>12</v>
      </c>
      <c r="C3426" t="s">
        <v>2</v>
      </c>
    </row>
    <row r="3427" spans="1:3" x14ac:dyDescent="0.3">
      <c r="A3427" s="7" t="s">
        <v>3437</v>
      </c>
      <c r="B3427" s="7" t="s">
        <v>12</v>
      </c>
      <c r="C3427" t="s">
        <v>2</v>
      </c>
    </row>
    <row r="3428" spans="1:3" x14ac:dyDescent="0.3">
      <c r="A3428" s="7" t="s">
        <v>3438</v>
      </c>
      <c r="B3428" s="7" t="s">
        <v>12</v>
      </c>
      <c r="C3428" t="s">
        <v>2</v>
      </c>
    </row>
    <row r="3429" spans="1:3" x14ac:dyDescent="0.3">
      <c r="A3429" s="7" t="s">
        <v>3439</v>
      </c>
      <c r="B3429" s="7" t="s">
        <v>12</v>
      </c>
      <c r="C3429" t="s">
        <v>2</v>
      </c>
    </row>
    <row r="3430" spans="1:3" x14ac:dyDescent="0.3">
      <c r="A3430" s="7" t="s">
        <v>3440</v>
      </c>
      <c r="B3430" s="7" t="s">
        <v>12</v>
      </c>
      <c r="C3430" t="s">
        <v>2</v>
      </c>
    </row>
    <row r="3431" spans="1:3" x14ac:dyDescent="0.3">
      <c r="A3431" s="7" t="s">
        <v>3441</v>
      </c>
      <c r="B3431" s="7" t="s">
        <v>12</v>
      </c>
      <c r="C3431" t="s">
        <v>2</v>
      </c>
    </row>
    <row r="3432" spans="1:3" x14ac:dyDescent="0.3">
      <c r="A3432" s="7" t="s">
        <v>3442</v>
      </c>
      <c r="B3432" s="7" t="s">
        <v>12</v>
      </c>
      <c r="C3432" t="s">
        <v>2</v>
      </c>
    </row>
    <row r="3433" spans="1:3" x14ac:dyDescent="0.3">
      <c r="A3433" s="7" t="s">
        <v>3443</v>
      </c>
      <c r="B3433" s="7" t="s">
        <v>12</v>
      </c>
      <c r="C3433" t="s">
        <v>2</v>
      </c>
    </row>
    <row r="3434" spans="1:3" x14ac:dyDescent="0.3">
      <c r="A3434" s="7" t="s">
        <v>3444</v>
      </c>
      <c r="B3434" s="7" t="s">
        <v>12</v>
      </c>
      <c r="C3434" t="s">
        <v>2</v>
      </c>
    </row>
    <row r="3435" spans="1:3" x14ac:dyDescent="0.3">
      <c r="A3435" s="7" t="s">
        <v>3445</v>
      </c>
      <c r="B3435" s="7" t="s">
        <v>12</v>
      </c>
      <c r="C3435" t="s">
        <v>2</v>
      </c>
    </row>
    <row r="3436" spans="1:3" x14ac:dyDescent="0.3">
      <c r="A3436" s="7" t="s">
        <v>3446</v>
      </c>
      <c r="B3436" s="7" t="s">
        <v>12</v>
      </c>
      <c r="C3436" t="s">
        <v>2</v>
      </c>
    </row>
    <row r="3437" spans="1:3" x14ac:dyDescent="0.3">
      <c r="A3437" s="7" t="s">
        <v>3447</v>
      </c>
      <c r="B3437" s="7" t="s">
        <v>12</v>
      </c>
      <c r="C3437" t="s">
        <v>2</v>
      </c>
    </row>
    <row r="3438" spans="1:3" x14ac:dyDescent="0.3">
      <c r="A3438" s="7" t="s">
        <v>3448</v>
      </c>
      <c r="B3438" s="7" t="s">
        <v>12</v>
      </c>
      <c r="C3438" t="s">
        <v>2</v>
      </c>
    </row>
    <row r="3439" spans="1:3" x14ac:dyDescent="0.3">
      <c r="A3439" s="7" t="s">
        <v>3449</v>
      </c>
      <c r="B3439" s="7" t="s">
        <v>12</v>
      </c>
      <c r="C3439" t="s">
        <v>2</v>
      </c>
    </row>
    <row r="3440" spans="1:3" x14ac:dyDescent="0.3">
      <c r="A3440" s="7" t="s">
        <v>3450</v>
      </c>
      <c r="B3440" s="7" t="s">
        <v>12</v>
      </c>
      <c r="C3440" t="s">
        <v>2</v>
      </c>
    </row>
    <row r="3441" spans="1:3" x14ac:dyDescent="0.3">
      <c r="A3441" s="7" t="s">
        <v>3451</v>
      </c>
      <c r="B3441" s="7" t="s">
        <v>12</v>
      </c>
      <c r="C3441" t="s">
        <v>2</v>
      </c>
    </row>
    <row r="3442" spans="1:3" x14ac:dyDescent="0.3">
      <c r="A3442" s="7" t="s">
        <v>3452</v>
      </c>
      <c r="B3442" s="7" t="s">
        <v>12</v>
      </c>
      <c r="C3442" t="s">
        <v>2</v>
      </c>
    </row>
    <row r="3443" spans="1:3" x14ac:dyDescent="0.3">
      <c r="A3443" s="7" t="s">
        <v>3453</v>
      </c>
      <c r="B3443" s="7" t="s">
        <v>12</v>
      </c>
      <c r="C3443" t="s">
        <v>2</v>
      </c>
    </row>
    <row r="3444" spans="1:3" x14ac:dyDescent="0.3">
      <c r="A3444" s="7" t="s">
        <v>3454</v>
      </c>
      <c r="B3444" s="7" t="s">
        <v>12</v>
      </c>
      <c r="C3444" t="s">
        <v>2</v>
      </c>
    </row>
    <row r="3445" spans="1:3" x14ac:dyDescent="0.3">
      <c r="A3445" s="7" t="s">
        <v>3455</v>
      </c>
      <c r="B3445" s="7" t="s">
        <v>12</v>
      </c>
      <c r="C3445" t="s">
        <v>2</v>
      </c>
    </row>
    <row r="3446" spans="1:3" x14ac:dyDescent="0.3">
      <c r="A3446" s="7" t="s">
        <v>3456</v>
      </c>
      <c r="B3446" s="7" t="s">
        <v>12</v>
      </c>
      <c r="C3446" t="s">
        <v>2</v>
      </c>
    </row>
    <row r="3447" spans="1:3" x14ac:dyDescent="0.3">
      <c r="A3447" s="7" t="s">
        <v>3457</v>
      </c>
      <c r="B3447" s="7" t="s">
        <v>12</v>
      </c>
      <c r="C3447" t="s">
        <v>2</v>
      </c>
    </row>
    <row r="3448" spans="1:3" x14ac:dyDescent="0.3">
      <c r="A3448" s="7" t="s">
        <v>3458</v>
      </c>
      <c r="B3448" s="7" t="s">
        <v>12</v>
      </c>
      <c r="C3448" t="s">
        <v>2</v>
      </c>
    </row>
    <row r="3449" spans="1:3" x14ac:dyDescent="0.3">
      <c r="A3449" s="7" t="s">
        <v>3459</v>
      </c>
      <c r="B3449" s="7" t="s">
        <v>12</v>
      </c>
      <c r="C3449" t="s">
        <v>2</v>
      </c>
    </row>
    <row r="3450" spans="1:3" x14ac:dyDescent="0.3">
      <c r="A3450" s="7" t="s">
        <v>3460</v>
      </c>
      <c r="B3450" s="7" t="s">
        <v>12</v>
      </c>
      <c r="C3450" t="s">
        <v>2</v>
      </c>
    </row>
    <row r="3451" spans="1:3" x14ac:dyDescent="0.3">
      <c r="A3451" s="7" t="s">
        <v>3461</v>
      </c>
      <c r="B3451" s="7" t="s">
        <v>12</v>
      </c>
      <c r="C3451" t="s">
        <v>2</v>
      </c>
    </row>
    <row r="3452" spans="1:3" x14ac:dyDescent="0.3">
      <c r="A3452" s="7" t="s">
        <v>3462</v>
      </c>
      <c r="B3452" s="7" t="s">
        <v>12</v>
      </c>
      <c r="C3452" t="s">
        <v>2</v>
      </c>
    </row>
    <row r="3453" spans="1:3" x14ac:dyDescent="0.3">
      <c r="A3453" s="7" t="s">
        <v>3463</v>
      </c>
      <c r="B3453" s="7" t="s">
        <v>12</v>
      </c>
      <c r="C3453" t="s">
        <v>2</v>
      </c>
    </row>
    <row r="3454" spans="1:3" x14ac:dyDescent="0.3">
      <c r="A3454" s="7" t="s">
        <v>3464</v>
      </c>
      <c r="B3454" s="7" t="s">
        <v>12</v>
      </c>
      <c r="C3454" t="s">
        <v>2</v>
      </c>
    </row>
    <row r="3455" spans="1:3" x14ac:dyDescent="0.3">
      <c r="A3455" s="7" t="s">
        <v>3465</v>
      </c>
      <c r="B3455" s="7" t="s">
        <v>12</v>
      </c>
      <c r="C3455" t="s">
        <v>2</v>
      </c>
    </row>
    <row r="3456" spans="1:3" x14ac:dyDescent="0.3">
      <c r="A3456" s="7" t="s">
        <v>3466</v>
      </c>
      <c r="B3456" s="7" t="s">
        <v>12</v>
      </c>
      <c r="C3456" t="s">
        <v>2</v>
      </c>
    </row>
    <row r="3457" spans="1:3" x14ac:dyDescent="0.3">
      <c r="A3457" s="7" t="s">
        <v>3467</v>
      </c>
      <c r="B3457" s="7" t="s">
        <v>12</v>
      </c>
      <c r="C3457" t="s">
        <v>2</v>
      </c>
    </row>
    <row r="3458" spans="1:3" x14ac:dyDescent="0.3">
      <c r="A3458" s="7" t="s">
        <v>3468</v>
      </c>
      <c r="B3458" s="7" t="s">
        <v>12</v>
      </c>
      <c r="C3458" t="s">
        <v>2</v>
      </c>
    </row>
    <row r="3459" spans="1:3" x14ac:dyDescent="0.3">
      <c r="A3459" s="7" t="s">
        <v>3469</v>
      </c>
      <c r="B3459" s="7" t="s">
        <v>12</v>
      </c>
      <c r="C3459" t="s">
        <v>2</v>
      </c>
    </row>
    <row r="3460" spans="1:3" x14ac:dyDescent="0.3">
      <c r="A3460" s="7" t="s">
        <v>3470</v>
      </c>
      <c r="B3460" s="7" t="s">
        <v>12</v>
      </c>
      <c r="C3460" t="s">
        <v>2</v>
      </c>
    </row>
    <row r="3461" spans="1:3" x14ac:dyDescent="0.3">
      <c r="A3461" s="7" t="s">
        <v>3471</v>
      </c>
      <c r="B3461" s="7" t="s">
        <v>12</v>
      </c>
      <c r="C3461" t="s">
        <v>2</v>
      </c>
    </row>
    <row r="3462" spans="1:3" x14ac:dyDescent="0.3">
      <c r="A3462" s="7" t="s">
        <v>3472</v>
      </c>
      <c r="B3462" s="7" t="s">
        <v>12</v>
      </c>
      <c r="C3462" t="s">
        <v>2</v>
      </c>
    </row>
    <row r="3463" spans="1:3" x14ac:dyDescent="0.3">
      <c r="A3463" s="7" t="s">
        <v>3473</v>
      </c>
      <c r="B3463" s="7" t="s">
        <v>12</v>
      </c>
      <c r="C3463" t="s">
        <v>2</v>
      </c>
    </row>
    <row r="3464" spans="1:3" x14ac:dyDescent="0.3">
      <c r="A3464" s="7" t="s">
        <v>3474</v>
      </c>
      <c r="B3464" s="7" t="s">
        <v>12</v>
      </c>
      <c r="C3464" t="s">
        <v>2</v>
      </c>
    </row>
    <row r="3465" spans="1:3" x14ac:dyDescent="0.3">
      <c r="A3465" s="7" t="s">
        <v>3475</v>
      </c>
      <c r="B3465" s="7" t="s">
        <v>12</v>
      </c>
      <c r="C3465" t="s">
        <v>2</v>
      </c>
    </row>
    <row r="3466" spans="1:3" x14ac:dyDescent="0.3">
      <c r="A3466" s="7" t="s">
        <v>3476</v>
      </c>
      <c r="B3466" s="7" t="s">
        <v>12</v>
      </c>
      <c r="C3466" t="s">
        <v>2</v>
      </c>
    </row>
    <row r="3467" spans="1:3" x14ac:dyDescent="0.3">
      <c r="A3467" s="7" t="s">
        <v>3477</v>
      </c>
      <c r="B3467" s="7" t="s">
        <v>12</v>
      </c>
      <c r="C3467" t="s">
        <v>2</v>
      </c>
    </row>
    <row r="3468" spans="1:3" x14ac:dyDescent="0.3">
      <c r="A3468" s="7" t="s">
        <v>3478</v>
      </c>
      <c r="B3468" s="7" t="s">
        <v>12</v>
      </c>
      <c r="C3468" t="s">
        <v>2</v>
      </c>
    </row>
    <row r="3469" spans="1:3" x14ac:dyDescent="0.3">
      <c r="A3469" s="7" t="s">
        <v>3479</v>
      </c>
      <c r="B3469" s="7" t="s">
        <v>12</v>
      </c>
      <c r="C3469" t="s">
        <v>2</v>
      </c>
    </row>
    <row r="3470" spans="1:3" x14ac:dyDescent="0.3">
      <c r="A3470" s="7" t="s">
        <v>3480</v>
      </c>
      <c r="B3470" s="7" t="s">
        <v>12</v>
      </c>
      <c r="C3470" t="s">
        <v>2</v>
      </c>
    </row>
    <row r="3471" spans="1:3" x14ac:dyDescent="0.3">
      <c r="A3471" s="7" t="s">
        <v>3481</v>
      </c>
      <c r="B3471" s="7" t="s">
        <v>12</v>
      </c>
      <c r="C3471" t="s">
        <v>2</v>
      </c>
    </row>
    <row r="3472" spans="1:3" x14ac:dyDescent="0.3">
      <c r="A3472" s="7" t="s">
        <v>3482</v>
      </c>
      <c r="B3472" s="7" t="s">
        <v>12</v>
      </c>
      <c r="C3472" t="s">
        <v>2</v>
      </c>
    </row>
    <row r="3473" spans="1:3" x14ac:dyDescent="0.3">
      <c r="A3473" s="7" t="s">
        <v>3483</v>
      </c>
      <c r="B3473" s="7" t="s">
        <v>12</v>
      </c>
      <c r="C3473" t="s">
        <v>3</v>
      </c>
    </row>
    <row r="3474" spans="1:3" x14ac:dyDescent="0.3">
      <c r="A3474" s="7" t="s">
        <v>3484</v>
      </c>
      <c r="B3474" s="7" t="s">
        <v>12</v>
      </c>
      <c r="C3474" t="s">
        <v>3</v>
      </c>
    </row>
    <row r="3475" spans="1:3" x14ac:dyDescent="0.3">
      <c r="A3475" s="7" t="s">
        <v>3485</v>
      </c>
      <c r="B3475" s="7" t="s">
        <v>12</v>
      </c>
      <c r="C3475" t="s">
        <v>3</v>
      </c>
    </row>
    <row r="3476" spans="1:3" x14ac:dyDescent="0.3">
      <c r="A3476" s="7" t="s">
        <v>3486</v>
      </c>
      <c r="B3476" s="7" t="s">
        <v>12</v>
      </c>
      <c r="C3476" t="s">
        <v>3</v>
      </c>
    </row>
    <row r="3477" spans="1:3" x14ac:dyDescent="0.3">
      <c r="A3477" s="7" t="s">
        <v>3487</v>
      </c>
      <c r="B3477" s="7" t="s">
        <v>12</v>
      </c>
      <c r="C3477" t="s">
        <v>3</v>
      </c>
    </row>
    <row r="3478" spans="1:3" x14ac:dyDescent="0.3">
      <c r="A3478" s="7" t="s">
        <v>3488</v>
      </c>
      <c r="B3478" s="7" t="s">
        <v>12</v>
      </c>
      <c r="C3478" t="s">
        <v>3</v>
      </c>
    </row>
    <row r="3479" spans="1:3" x14ac:dyDescent="0.3">
      <c r="A3479" s="7" t="s">
        <v>3489</v>
      </c>
      <c r="B3479" s="7" t="s">
        <v>12</v>
      </c>
      <c r="C3479" t="s">
        <v>2</v>
      </c>
    </row>
    <row r="3480" spans="1:3" x14ac:dyDescent="0.3">
      <c r="A3480" s="7" t="s">
        <v>3490</v>
      </c>
      <c r="B3480" s="7" t="s">
        <v>12</v>
      </c>
      <c r="C3480" t="s">
        <v>2</v>
      </c>
    </row>
    <row r="3481" spans="1:3" x14ac:dyDescent="0.3">
      <c r="A3481" s="7" t="s">
        <v>3491</v>
      </c>
      <c r="B3481" s="7" t="s">
        <v>12</v>
      </c>
      <c r="C3481" t="s">
        <v>2</v>
      </c>
    </row>
    <row r="3482" spans="1:3" x14ac:dyDescent="0.3">
      <c r="A3482" s="7" t="s">
        <v>3492</v>
      </c>
      <c r="B3482" s="7" t="s">
        <v>12</v>
      </c>
      <c r="C3482" t="s">
        <v>2</v>
      </c>
    </row>
    <row r="3483" spans="1:3" x14ac:dyDescent="0.3">
      <c r="A3483" s="7" t="s">
        <v>3493</v>
      </c>
      <c r="B3483" s="7" t="s">
        <v>12</v>
      </c>
      <c r="C3483" t="s">
        <v>2</v>
      </c>
    </row>
    <row r="3484" spans="1:3" x14ac:dyDescent="0.3">
      <c r="A3484" s="7" t="s">
        <v>3494</v>
      </c>
      <c r="B3484" s="7" t="s">
        <v>12</v>
      </c>
      <c r="C3484" t="s">
        <v>2</v>
      </c>
    </row>
    <row r="3485" spans="1:3" x14ac:dyDescent="0.3">
      <c r="A3485" s="7" t="s">
        <v>3495</v>
      </c>
      <c r="B3485" s="7" t="s">
        <v>12</v>
      </c>
      <c r="C3485" t="s">
        <v>2</v>
      </c>
    </row>
    <row r="3486" spans="1:3" x14ac:dyDescent="0.3">
      <c r="A3486" s="7" t="s">
        <v>3496</v>
      </c>
      <c r="B3486" s="7" t="s">
        <v>12</v>
      </c>
      <c r="C3486" t="s">
        <v>2</v>
      </c>
    </row>
    <row r="3487" spans="1:3" x14ac:dyDescent="0.3">
      <c r="A3487" s="7" t="s">
        <v>3497</v>
      </c>
      <c r="B3487" s="7" t="s">
        <v>12</v>
      </c>
      <c r="C3487" t="s">
        <v>2</v>
      </c>
    </row>
    <row r="3488" spans="1:3" x14ac:dyDescent="0.3">
      <c r="A3488" s="7" t="s">
        <v>3498</v>
      </c>
      <c r="B3488" s="7" t="s">
        <v>12</v>
      </c>
      <c r="C3488" t="s">
        <v>2</v>
      </c>
    </row>
    <row r="3489" spans="1:3" x14ac:dyDescent="0.3">
      <c r="A3489" s="7" t="s">
        <v>3499</v>
      </c>
      <c r="B3489" s="7" t="s">
        <v>12</v>
      </c>
      <c r="C3489" t="s">
        <v>2</v>
      </c>
    </row>
    <row r="3490" spans="1:3" x14ac:dyDescent="0.3">
      <c r="A3490" s="7" t="s">
        <v>3500</v>
      </c>
      <c r="B3490" s="7" t="s">
        <v>12</v>
      </c>
      <c r="C3490" t="s">
        <v>2</v>
      </c>
    </row>
    <row r="3491" spans="1:3" x14ac:dyDescent="0.3">
      <c r="A3491" s="7" t="s">
        <v>3501</v>
      </c>
      <c r="B3491" s="7" t="s">
        <v>12</v>
      </c>
      <c r="C3491" t="s">
        <v>2</v>
      </c>
    </row>
    <row r="3492" spans="1:3" x14ac:dyDescent="0.3">
      <c r="A3492" s="7" t="s">
        <v>3502</v>
      </c>
      <c r="B3492" s="7" t="s">
        <v>12</v>
      </c>
      <c r="C3492" t="s">
        <v>2</v>
      </c>
    </row>
    <row r="3493" spans="1:3" x14ac:dyDescent="0.3">
      <c r="A3493" s="7" t="s">
        <v>3503</v>
      </c>
      <c r="B3493" s="7" t="s">
        <v>12</v>
      </c>
      <c r="C3493" t="s">
        <v>2</v>
      </c>
    </row>
    <row r="3494" spans="1:3" x14ac:dyDescent="0.3">
      <c r="A3494" s="7" t="s">
        <v>3504</v>
      </c>
      <c r="B3494" s="7" t="s">
        <v>12</v>
      </c>
      <c r="C3494" t="s">
        <v>2</v>
      </c>
    </row>
    <row r="3495" spans="1:3" x14ac:dyDescent="0.3">
      <c r="A3495" s="7" t="s">
        <v>3505</v>
      </c>
      <c r="B3495" s="7" t="s">
        <v>12</v>
      </c>
      <c r="C3495" t="s">
        <v>2</v>
      </c>
    </row>
    <row r="3496" spans="1:3" x14ac:dyDescent="0.3">
      <c r="A3496" s="7" t="s">
        <v>3506</v>
      </c>
      <c r="B3496" s="7" t="s">
        <v>12</v>
      </c>
      <c r="C3496" t="s">
        <v>2</v>
      </c>
    </row>
    <row r="3497" spans="1:3" x14ac:dyDescent="0.3">
      <c r="A3497" s="7" t="s">
        <v>3507</v>
      </c>
      <c r="B3497" s="7" t="s">
        <v>12</v>
      </c>
      <c r="C3497" t="s">
        <v>2</v>
      </c>
    </row>
    <row r="3498" spans="1:3" x14ac:dyDescent="0.3">
      <c r="A3498" s="7" t="s">
        <v>3508</v>
      </c>
      <c r="B3498" s="7" t="s">
        <v>12</v>
      </c>
      <c r="C3498" t="s">
        <v>2</v>
      </c>
    </row>
    <row r="3499" spans="1:3" x14ac:dyDescent="0.3">
      <c r="A3499" s="7" t="s">
        <v>3509</v>
      </c>
      <c r="B3499" s="7" t="s">
        <v>12</v>
      </c>
      <c r="C3499" t="s">
        <v>2</v>
      </c>
    </row>
    <row r="3500" spans="1:3" x14ac:dyDescent="0.3">
      <c r="A3500" s="7" t="s">
        <v>3510</v>
      </c>
      <c r="B3500" s="7" t="s">
        <v>12</v>
      </c>
      <c r="C3500" t="s">
        <v>2</v>
      </c>
    </row>
    <row r="3501" spans="1:3" x14ac:dyDescent="0.3">
      <c r="A3501" s="7" t="s">
        <v>3511</v>
      </c>
      <c r="B3501" s="7" t="s">
        <v>12</v>
      </c>
      <c r="C3501" t="s">
        <v>2</v>
      </c>
    </row>
    <row r="3502" spans="1:3" x14ac:dyDescent="0.3">
      <c r="A3502" s="7" t="s">
        <v>3512</v>
      </c>
      <c r="B3502" s="7" t="s">
        <v>12</v>
      </c>
      <c r="C3502" t="s">
        <v>2</v>
      </c>
    </row>
    <row r="3503" spans="1:3" x14ac:dyDescent="0.3">
      <c r="A3503" s="7" t="s">
        <v>3513</v>
      </c>
      <c r="B3503" s="7" t="s">
        <v>12</v>
      </c>
      <c r="C3503" t="s">
        <v>2</v>
      </c>
    </row>
    <row r="3504" spans="1:3" x14ac:dyDescent="0.3">
      <c r="A3504" s="7" t="s">
        <v>3514</v>
      </c>
      <c r="B3504" s="7" t="s">
        <v>12</v>
      </c>
      <c r="C3504" t="s">
        <v>2</v>
      </c>
    </row>
    <row r="3505" spans="1:3" x14ac:dyDescent="0.3">
      <c r="A3505" s="7" t="s">
        <v>3515</v>
      </c>
      <c r="B3505" s="7" t="s">
        <v>12</v>
      </c>
      <c r="C3505" t="s">
        <v>2</v>
      </c>
    </row>
    <row r="3506" spans="1:3" x14ac:dyDescent="0.3">
      <c r="A3506" s="7" t="s">
        <v>3516</v>
      </c>
      <c r="B3506" s="7" t="s">
        <v>12</v>
      </c>
      <c r="C3506" t="s">
        <v>2</v>
      </c>
    </row>
    <row r="3507" spans="1:3" x14ac:dyDescent="0.3">
      <c r="A3507" s="7" t="s">
        <v>3517</v>
      </c>
      <c r="B3507" s="7" t="s">
        <v>12</v>
      </c>
      <c r="C3507" t="s">
        <v>2</v>
      </c>
    </row>
    <row r="3508" spans="1:3" x14ac:dyDescent="0.3">
      <c r="A3508" s="7" t="s">
        <v>3518</v>
      </c>
      <c r="B3508" s="7" t="s">
        <v>12</v>
      </c>
      <c r="C3508" t="s">
        <v>2</v>
      </c>
    </row>
    <row r="3509" spans="1:3" x14ac:dyDescent="0.3">
      <c r="A3509" s="7" t="s">
        <v>3519</v>
      </c>
      <c r="B3509" s="7" t="s">
        <v>12</v>
      </c>
      <c r="C3509" t="s">
        <v>2</v>
      </c>
    </row>
    <row r="3510" spans="1:3" x14ac:dyDescent="0.3">
      <c r="A3510" s="7" t="s">
        <v>3520</v>
      </c>
      <c r="B3510" s="7" t="s">
        <v>12</v>
      </c>
      <c r="C3510" t="s">
        <v>2</v>
      </c>
    </row>
    <row r="3511" spans="1:3" x14ac:dyDescent="0.3">
      <c r="A3511" s="7" t="s">
        <v>3521</v>
      </c>
      <c r="B3511" s="7" t="s">
        <v>12</v>
      </c>
      <c r="C3511" t="s">
        <v>2</v>
      </c>
    </row>
    <row r="3512" spans="1:3" x14ac:dyDescent="0.3">
      <c r="A3512" s="7" t="s">
        <v>3522</v>
      </c>
      <c r="B3512" s="7" t="s">
        <v>12</v>
      </c>
      <c r="C3512" t="s">
        <v>2</v>
      </c>
    </row>
    <row r="3513" spans="1:3" x14ac:dyDescent="0.3">
      <c r="A3513" s="7" t="s">
        <v>3523</v>
      </c>
      <c r="B3513" s="7" t="s">
        <v>12</v>
      </c>
      <c r="C3513" t="s">
        <v>2</v>
      </c>
    </row>
    <row r="3514" spans="1:3" x14ac:dyDescent="0.3">
      <c r="A3514" s="7" t="s">
        <v>3524</v>
      </c>
      <c r="B3514" s="7" t="s">
        <v>12</v>
      </c>
      <c r="C3514" t="s">
        <v>2</v>
      </c>
    </row>
    <row r="3515" spans="1:3" x14ac:dyDescent="0.3">
      <c r="A3515" s="7" t="s">
        <v>3525</v>
      </c>
      <c r="B3515" s="7" t="s">
        <v>12</v>
      </c>
      <c r="C3515" t="s">
        <v>2</v>
      </c>
    </row>
    <row r="3516" spans="1:3" x14ac:dyDescent="0.3">
      <c r="A3516" s="7" t="s">
        <v>3526</v>
      </c>
      <c r="B3516" s="7" t="s">
        <v>12</v>
      </c>
      <c r="C3516" t="s">
        <v>2</v>
      </c>
    </row>
    <row r="3517" spans="1:3" x14ac:dyDescent="0.3">
      <c r="A3517" s="7" t="s">
        <v>3527</v>
      </c>
      <c r="B3517" s="7" t="s">
        <v>12</v>
      </c>
      <c r="C3517" t="s">
        <v>2</v>
      </c>
    </row>
    <row r="3518" spans="1:3" x14ac:dyDescent="0.3">
      <c r="A3518" s="7" t="s">
        <v>3528</v>
      </c>
      <c r="B3518" s="7" t="s">
        <v>12</v>
      </c>
      <c r="C3518" t="s">
        <v>2</v>
      </c>
    </row>
    <row r="3519" spans="1:3" x14ac:dyDescent="0.3">
      <c r="A3519" s="7" t="s">
        <v>3529</v>
      </c>
      <c r="B3519" s="7" t="s">
        <v>12</v>
      </c>
      <c r="C3519" t="s">
        <v>2</v>
      </c>
    </row>
    <row r="3520" spans="1:3" x14ac:dyDescent="0.3">
      <c r="A3520" s="7" t="s">
        <v>3530</v>
      </c>
      <c r="B3520" s="7" t="s">
        <v>12</v>
      </c>
      <c r="C3520" t="s">
        <v>3</v>
      </c>
    </row>
    <row r="3521" spans="1:3" x14ac:dyDescent="0.3">
      <c r="A3521" s="7" t="s">
        <v>3531</v>
      </c>
      <c r="B3521" s="7" t="s">
        <v>12</v>
      </c>
      <c r="C3521" t="s">
        <v>3</v>
      </c>
    </row>
    <row r="3522" spans="1:3" x14ac:dyDescent="0.3">
      <c r="A3522" s="7" t="s">
        <v>3532</v>
      </c>
      <c r="B3522" s="7" t="s">
        <v>12</v>
      </c>
      <c r="C3522" t="s">
        <v>3</v>
      </c>
    </row>
    <row r="3523" spans="1:3" x14ac:dyDescent="0.3">
      <c r="A3523" s="7" t="s">
        <v>3533</v>
      </c>
      <c r="B3523" s="7" t="s">
        <v>12</v>
      </c>
      <c r="C3523" t="s">
        <v>3</v>
      </c>
    </row>
    <row r="3524" spans="1:3" x14ac:dyDescent="0.3">
      <c r="A3524" s="7" t="s">
        <v>3534</v>
      </c>
      <c r="B3524" s="7" t="s">
        <v>12</v>
      </c>
      <c r="C3524" t="s">
        <v>3</v>
      </c>
    </row>
    <row r="3525" spans="1:3" x14ac:dyDescent="0.3">
      <c r="A3525" s="7" t="s">
        <v>3535</v>
      </c>
      <c r="B3525" s="7" t="s">
        <v>12</v>
      </c>
      <c r="C3525" t="s">
        <v>3</v>
      </c>
    </row>
    <row r="3526" spans="1:3" x14ac:dyDescent="0.3">
      <c r="A3526" s="7" t="s">
        <v>3536</v>
      </c>
      <c r="B3526" s="7" t="s">
        <v>12</v>
      </c>
      <c r="C3526" t="s">
        <v>3</v>
      </c>
    </row>
    <row r="3527" spans="1:3" x14ac:dyDescent="0.3">
      <c r="A3527" s="7" t="s">
        <v>3537</v>
      </c>
      <c r="B3527" s="7" t="s">
        <v>12</v>
      </c>
      <c r="C3527" t="s">
        <v>3</v>
      </c>
    </row>
    <row r="3528" spans="1:3" x14ac:dyDescent="0.3">
      <c r="A3528" s="7" t="s">
        <v>3538</v>
      </c>
      <c r="B3528" s="7" t="s">
        <v>12</v>
      </c>
      <c r="C3528" t="s">
        <v>3</v>
      </c>
    </row>
    <row r="3529" spans="1:3" x14ac:dyDescent="0.3">
      <c r="A3529" s="7" t="s">
        <v>3539</v>
      </c>
      <c r="B3529" s="7" t="s">
        <v>12</v>
      </c>
      <c r="C3529" t="s">
        <v>2</v>
      </c>
    </row>
    <row r="3530" spans="1:3" x14ac:dyDescent="0.3">
      <c r="A3530" s="7" t="s">
        <v>3540</v>
      </c>
      <c r="B3530" s="7" t="s">
        <v>12</v>
      </c>
      <c r="C3530" t="s">
        <v>2</v>
      </c>
    </row>
    <row r="3531" spans="1:3" x14ac:dyDescent="0.3">
      <c r="A3531" s="7" t="s">
        <v>3541</v>
      </c>
      <c r="B3531" s="7" t="s">
        <v>12</v>
      </c>
      <c r="C3531" t="s">
        <v>2</v>
      </c>
    </row>
    <row r="3532" spans="1:3" x14ac:dyDescent="0.3">
      <c r="A3532" s="7" t="s">
        <v>3542</v>
      </c>
      <c r="B3532" s="7" t="s">
        <v>12</v>
      </c>
      <c r="C3532" t="s">
        <v>2</v>
      </c>
    </row>
    <row r="3533" spans="1:3" x14ac:dyDescent="0.3">
      <c r="A3533" s="7" t="s">
        <v>3543</v>
      </c>
      <c r="B3533" s="7" t="s">
        <v>12</v>
      </c>
      <c r="C3533" t="s">
        <v>2</v>
      </c>
    </row>
    <row r="3534" spans="1:3" x14ac:dyDescent="0.3">
      <c r="A3534" s="7" t="s">
        <v>3544</v>
      </c>
      <c r="B3534" s="7" t="s">
        <v>12</v>
      </c>
      <c r="C3534" t="s">
        <v>2</v>
      </c>
    </row>
    <row r="3535" spans="1:3" x14ac:dyDescent="0.3">
      <c r="A3535" s="7" t="s">
        <v>3545</v>
      </c>
      <c r="B3535" s="7" t="s">
        <v>12</v>
      </c>
      <c r="C3535" t="s">
        <v>2</v>
      </c>
    </row>
    <row r="3536" spans="1:3" x14ac:dyDescent="0.3">
      <c r="A3536" s="7" t="s">
        <v>3546</v>
      </c>
      <c r="B3536" s="7" t="s">
        <v>12</v>
      </c>
      <c r="C3536" t="s">
        <v>2</v>
      </c>
    </row>
    <row r="3537" spans="1:3" x14ac:dyDescent="0.3">
      <c r="A3537" s="7" t="s">
        <v>3547</v>
      </c>
      <c r="B3537" s="7" t="s">
        <v>12</v>
      </c>
      <c r="C3537" t="s">
        <v>2</v>
      </c>
    </row>
    <row r="3538" spans="1:3" x14ac:dyDescent="0.3">
      <c r="A3538" s="7" t="s">
        <v>3548</v>
      </c>
      <c r="B3538" s="7" t="s">
        <v>12</v>
      </c>
      <c r="C3538" t="s">
        <v>2</v>
      </c>
    </row>
    <row r="3539" spans="1:3" x14ac:dyDescent="0.3">
      <c r="A3539" s="7" t="s">
        <v>3549</v>
      </c>
      <c r="B3539" s="7" t="s">
        <v>12</v>
      </c>
      <c r="C3539" t="s">
        <v>2</v>
      </c>
    </row>
    <row r="3540" spans="1:3" x14ac:dyDescent="0.3">
      <c r="A3540" s="7" t="s">
        <v>3550</v>
      </c>
      <c r="B3540" s="7" t="s">
        <v>12</v>
      </c>
      <c r="C3540" t="s">
        <v>2</v>
      </c>
    </row>
    <row r="3541" spans="1:3" x14ac:dyDescent="0.3">
      <c r="A3541" s="7" t="s">
        <v>3551</v>
      </c>
      <c r="B3541" s="7" t="s">
        <v>12</v>
      </c>
      <c r="C3541" t="s">
        <v>2</v>
      </c>
    </row>
    <row r="3542" spans="1:3" x14ac:dyDescent="0.3">
      <c r="A3542" s="7" t="s">
        <v>3552</v>
      </c>
      <c r="B3542" s="7" t="s">
        <v>12</v>
      </c>
      <c r="C3542" t="s">
        <v>2</v>
      </c>
    </row>
    <row r="3543" spans="1:3" x14ac:dyDescent="0.3">
      <c r="A3543" s="7" t="s">
        <v>3553</v>
      </c>
      <c r="B3543" s="7" t="s">
        <v>12</v>
      </c>
      <c r="C3543" t="s">
        <v>3678</v>
      </c>
    </row>
    <row r="3544" spans="1:3" x14ac:dyDescent="0.3">
      <c r="A3544" s="7" t="s">
        <v>3554</v>
      </c>
      <c r="B3544" s="7" t="s">
        <v>12</v>
      </c>
      <c r="C3544" t="s">
        <v>3678</v>
      </c>
    </row>
    <row r="3545" spans="1:3" x14ac:dyDescent="0.3">
      <c r="A3545" s="7" t="s">
        <v>3555</v>
      </c>
      <c r="B3545" s="7" t="s">
        <v>12</v>
      </c>
      <c r="C3545" t="s">
        <v>3678</v>
      </c>
    </row>
    <row r="3546" spans="1:3" x14ac:dyDescent="0.3">
      <c r="A3546" s="7" t="s">
        <v>3556</v>
      </c>
      <c r="B3546" s="7" t="s">
        <v>12</v>
      </c>
      <c r="C3546" t="s">
        <v>3678</v>
      </c>
    </row>
    <row r="3547" spans="1:3" x14ac:dyDescent="0.3">
      <c r="A3547" s="7" t="s">
        <v>3557</v>
      </c>
      <c r="B3547" s="7" t="s">
        <v>12</v>
      </c>
      <c r="C3547" t="s">
        <v>3678</v>
      </c>
    </row>
    <row r="3548" spans="1:3" x14ac:dyDescent="0.3">
      <c r="A3548" s="7" t="s">
        <v>3558</v>
      </c>
      <c r="B3548" s="7" t="s">
        <v>12</v>
      </c>
      <c r="C3548" t="s">
        <v>3678</v>
      </c>
    </row>
    <row r="3549" spans="1:3" x14ac:dyDescent="0.3">
      <c r="A3549" s="7" t="s">
        <v>3559</v>
      </c>
      <c r="B3549" s="7" t="s">
        <v>12</v>
      </c>
      <c r="C3549" t="s">
        <v>3678</v>
      </c>
    </row>
    <row r="3550" spans="1:3" x14ac:dyDescent="0.3">
      <c r="A3550" s="7" t="s">
        <v>3560</v>
      </c>
      <c r="B3550" s="7" t="s">
        <v>12</v>
      </c>
      <c r="C3550" t="s">
        <v>2</v>
      </c>
    </row>
    <row r="3551" spans="1:3" x14ac:dyDescent="0.3">
      <c r="A3551" s="7" t="s">
        <v>3561</v>
      </c>
      <c r="B3551" s="7" t="s">
        <v>12</v>
      </c>
      <c r="C3551" t="s">
        <v>2</v>
      </c>
    </row>
    <row r="3552" spans="1:3" x14ac:dyDescent="0.3">
      <c r="A3552" s="7" t="s">
        <v>3562</v>
      </c>
      <c r="B3552" s="7" t="s">
        <v>12</v>
      </c>
      <c r="C3552" t="s">
        <v>2</v>
      </c>
    </row>
    <row r="3553" spans="1:3" x14ac:dyDescent="0.3">
      <c r="A3553" s="7" t="s">
        <v>3563</v>
      </c>
      <c r="B3553" s="7" t="s">
        <v>12</v>
      </c>
      <c r="C3553" t="s">
        <v>2</v>
      </c>
    </row>
    <row r="3554" spans="1:3" x14ac:dyDescent="0.3">
      <c r="A3554" s="7" t="s">
        <v>3564</v>
      </c>
      <c r="B3554" s="7" t="s">
        <v>12</v>
      </c>
      <c r="C3554" t="s">
        <v>2</v>
      </c>
    </row>
    <row r="3555" spans="1:3" x14ac:dyDescent="0.3">
      <c r="A3555" s="7" t="s">
        <v>3565</v>
      </c>
      <c r="B3555" s="7" t="s">
        <v>12</v>
      </c>
      <c r="C3555" t="s">
        <v>2</v>
      </c>
    </row>
    <row r="3556" spans="1:3" x14ac:dyDescent="0.3">
      <c r="A3556" s="7" t="s">
        <v>3566</v>
      </c>
      <c r="B3556" s="7" t="s">
        <v>12</v>
      </c>
      <c r="C3556" t="s">
        <v>2</v>
      </c>
    </row>
    <row r="3557" spans="1:3" x14ac:dyDescent="0.3">
      <c r="A3557" s="7" t="s">
        <v>3567</v>
      </c>
      <c r="B3557" s="7" t="s">
        <v>12</v>
      </c>
      <c r="C3557" t="s">
        <v>2</v>
      </c>
    </row>
    <row r="3558" spans="1:3" x14ac:dyDescent="0.3">
      <c r="A3558" s="7" t="s">
        <v>3568</v>
      </c>
      <c r="B3558" s="7" t="s">
        <v>12</v>
      </c>
      <c r="C3558" t="s">
        <v>2</v>
      </c>
    </row>
    <row r="3559" spans="1:3" x14ac:dyDescent="0.3">
      <c r="A3559" s="7" t="s">
        <v>3569</v>
      </c>
      <c r="B3559" s="7" t="s">
        <v>12</v>
      </c>
      <c r="C3559" t="s">
        <v>2</v>
      </c>
    </row>
    <row r="3560" spans="1:3" x14ac:dyDescent="0.3">
      <c r="A3560" s="7" t="s">
        <v>3570</v>
      </c>
      <c r="B3560" s="7" t="s">
        <v>12</v>
      </c>
      <c r="C3560" t="s">
        <v>2</v>
      </c>
    </row>
    <row r="3561" spans="1:3" x14ac:dyDescent="0.3">
      <c r="A3561" s="7" t="s">
        <v>3571</v>
      </c>
      <c r="B3561" s="7" t="s">
        <v>12</v>
      </c>
      <c r="C3561" t="s">
        <v>2</v>
      </c>
    </row>
    <row r="3562" spans="1:3" x14ac:dyDescent="0.3">
      <c r="A3562" s="7" t="s">
        <v>3572</v>
      </c>
      <c r="B3562" s="7" t="s">
        <v>12</v>
      </c>
      <c r="C3562" t="s">
        <v>2</v>
      </c>
    </row>
    <row r="3563" spans="1:3" x14ac:dyDescent="0.3">
      <c r="A3563" s="7" t="s">
        <v>3573</v>
      </c>
      <c r="B3563" s="7" t="s">
        <v>12</v>
      </c>
      <c r="C3563" t="s">
        <v>2</v>
      </c>
    </row>
    <row r="3564" spans="1:3" x14ac:dyDescent="0.3">
      <c r="A3564" s="7" t="s">
        <v>3574</v>
      </c>
      <c r="B3564" s="7" t="s">
        <v>12</v>
      </c>
      <c r="C3564" t="s">
        <v>2</v>
      </c>
    </row>
    <row r="3565" spans="1:3" x14ac:dyDescent="0.3">
      <c r="A3565" s="7" t="s">
        <v>3575</v>
      </c>
      <c r="B3565" s="7" t="s">
        <v>12</v>
      </c>
      <c r="C3565" t="s">
        <v>2</v>
      </c>
    </row>
    <row r="3566" spans="1:3" x14ac:dyDescent="0.3">
      <c r="A3566" s="7" t="s">
        <v>3576</v>
      </c>
      <c r="B3566" s="7" t="s">
        <v>12</v>
      </c>
      <c r="C3566" t="s">
        <v>2</v>
      </c>
    </row>
    <row r="3567" spans="1:3" x14ac:dyDescent="0.3">
      <c r="A3567" s="7" t="s">
        <v>3577</v>
      </c>
      <c r="B3567" s="7" t="s">
        <v>12</v>
      </c>
      <c r="C3567" t="s">
        <v>2</v>
      </c>
    </row>
    <row r="3568" spans="1:3" x14ac:dyDescent="0.3">
      <c r="A3568" s="7" t="s">
        <v>3578</v>
      </c>
      <c r="B3568" s="7" t="s">
        <v>12</v>
      </c>
      <c r="C3568" t="s">
        <v>2</v>
      </c>
    </row>
    <row r="3569" spans="1:3" x14ac:dyDescent="0.3">
      <c r="A3569" s="7" t="s">
        <v>3579</v>
      </c>
      <c r="B3569" s="7" t="s">
        <v>12</v>
      </c>
      <c r="C3569" t="s">
        <v>2</v>
      </c>
    </row>
    <row r="3570" spans="1:3" x14ac:dyDescent="0.3">
      <c r="A3570" s="7" t="s">
        <v>3580</v>
      </c>
      <c r="B3570" s="7" t="s">
        <v>12</v>
      </c>
      <c r="C3570" t="s">
        <v>2</v>
      </c>
    </row>
    <row r="3571" spans="1:3" x14ac:dyDescent="0.3">
      <c r="A3571" s="7" t="s">
        <v>3581</v>
      </c>
      <c r="B3571" s="7" t="s">
        <v>12</v>
      </c>
      <c r="C3571" t="s">
        <v>2</v>
      </c>
    </row>
    <row r="3572" spans="1:3" x14ac:dyDescent="0.3">
      <c r="A3572" s="7" t="s">
        <v>3582</v>
      </c>
      <c r="B3572" s="7" t="s">
        <v>12</v>
      </c>
      <c r="C3572" t="s">
        <v>2</v>
      </c>
    </row>
    <row r="3573" spans="1:3" x14ac:dyDescent="0.3">
      <c r="A3573" s="7" t="s">
        <v>3583</v>
      </c>
      <c r="B3573" s="7" t="s">
        <v>12</v>
      </c>
      <c r="C3573" t="s">
        <v>2</v>
      </c>
    </row>
    <row r="3574" spans="1:3" x14ac:dyDescent="0.3">
      <c r="A3574" s="7" t="s">
        <v>3584</v>
      </c>
      <c r="B3574" s="7" t="s">
        <v>12</v>
      </c>
      <c r="C3574" t="s">
        <v>2</v>
      </c>
    </row>
    <row r="3575" spans="1:3" x14ac:dyDescent="0.3">
      <c r="A3575" s="7" t="s">
        <v>3585</v>
      </c>
      <c r="B3575" s="7" t="s">
        <v>12</v>
      </c>
      <c r="C3575" t="s">
        <v>2</v>
      </c>
    </row>
    <row r="3576" spans="1:3" x14ac:dyDescent="0.3">
      <c r="A3576" s="7" t="s">
        <v>3586</v>
      </c>
      <c r="B3576" s="7" t="s">
        <v>12</v>
      </c>
      <c r="C3576" t="s">
        <v>2</v>
      </c>
    </row>
    <row r="3577" spans="1:3" x14ac:dyDescent="0.3">
      <c r="A3577" s="7" t="s">
        <v>3587</v>
      </c>
      <c r="B3577" s="7" t="s">
        <v>12</v>
      </c>
      <c r="C3577" t="s">
        <v>2</v>
      </c>
    </row>
    <row r="3578" spans="1:3" x14ac:dyDescent="0.3">
      <c r="A3578" s="7" t="s">
        <v>3588</v>
      </c>
      <c r="B3578" s="7" t="s">
        <v>12</v>
      </c>
      <c r="C3578" t="s">
        <v>2</v>
      </c>
    </row>
    <row r="3579" spans="1:3" x14ac:dyDescent="0.3">
      <c r="A3579" s="7" t="s">
        <v>3589</v>
      </c>
      <c r="B3579" s="7" t="s">
        <v>12</v>
      </c>
      <c r="C3579" t="s">
        <v>2</v>
      </c>
    </row>
    <row r="3580" spans="1:3" x14ac:dyDescent="0.3">
      <c r="A3580" s="7" t="s">
        <v>3590</v>
      </c>
      <c r="B3580" s="7" t="s">
        <v>12</v>
      </c>
      <c r="C3580" t="s">
        <v>2</v>
      </c>
    </row>
    <row r="3581" spans="1:3" x14ac:dyDescent="0.3">
      <c r="A3581" s="7" t="s">
        <v>3591</v>
      </c>
      <c r="B3581" s="7" t="s">
        <v>12</v>
      </c>
      <c r="C3581" t="s">
        <v>2</v>
      </c>
    </row>
    <row r="3582" spans="1:3" x14ac:dyDescent="0.3">
      <c r="A3582" s="7" t="s">
        <v>3592</v>
      </c>
      <c r="B3582" s="7" t="s">
        <v>12</v>
      </c>
      <c r="C3582" t="s">
        <v>2</v>
      </c>
    </row>
    <row r="3583" spans="1:3" x14ac:dyDescent="0.3">
      <c r="A3583" s="7" t="s">
        <v>3593</v>
      </c>
      <c r="B3583" s="7" t="s">
        <v>12</v>
      </c>
      <c r="C3583" t="s">
        <v>2</v>
      </c>
    </row>
    <row r="3584" spans="1:3" x14ac:dyDescent="0.3">
      <c r="A3584" s="7" t="s">
        <v>3594</v>
      </c>
      <c r="B3584" s="7" t="s">
        <v>12</v>
      </c>
      <c r="C3584" t="s">
        <v>2</v>
      </c>
    </row>
    <row r="3585" spans="1:3" x14ac:dyDescent="0.3">
      <c r="A3585" s="7" t="s">
        <v>3595</v>
      </c>
      <c r="B3585" s="7" t="s">
        <v>12</v>
      </c>
      <c r="C3585" t="s">
        <v>2</v>
      </c>
    </row>
    <row r="3586" spans="1:3" x14ac:dyDescent="0.3">
      <c r="A3586" s="7" t="s">
        <v>3596</v>
      </c>
      <c r="B3586" s="7" t="s">
        <v>12</v>
      </c>
      <c r="C3586" t="s">
        <v>2</v>
      </c>
    </row>
    <row r="3587" spans="1:3" x14ac:dyDescent="0.3">
      <c r="A3587" s="7" t="s">
        <v>3597</v>
      </c>
      <c r="B3587" s="7" t="s">
        <v>12</v>
      </c>
      <c r="C3587" t="s">
        <v>2</v>
      </c>
    </row>
    <row r="3588" spans="1:3" x14ac:dyDescent="0.3">
      <c r="A3588" s="7" t="s">
        <v>3598</v>
      </c>
      <c r="B3588" s="7" t="s">
        <v>12</v>
      </c>
      <c r="C3588" t="s">
        <v>2</v>
      </c>
    </row>
    <row r="3589" spans="1:3" x14ac:dyDescent="0.3">
      <c r="A3589" s="7" t="s">
        <v>3599</v>
      </c>
      <c r="B3589" s="7" t="s">
        <v>12</v>
      </c>
      <c r="C3589" t="s">
        <v>2</v>
      </c>
    </row>
    <row r="3590" spans="1:3" x14ac:dyDescent="0.3">
      <c r="A3590" s="7" t="s">
        <v>3600</v>
      </c>
      <c r="B3590" s="7" t="s">
        <v>12</v>
      </c>
      <c r="C3590" t="s">
        <v>2</v>
      </c>
    </row>
    <row r="3591" spans="1:3" x14ac:dyDescent="0.3">
      <c r="A3591" s="7" t="s">
        <v>3601</v>
      </c>
      <c r="B3591" s="7" t="s">
        <v>12</v>
      </c>
      <c r="C3591" t="s">
        <v>2</v>
      </c>
    </row>
    <row r="3592" spans="1:3" x14ac:dyDescent="0.3">
      <c r="A3592" s="7" t="s">
        <v>3602</v>
      </c>
      <c r="B3592" s="7" t="s">
        <v>12</v>
      </c>
      <c r="C3592" t="s">
        <v>2</v>
      </c>
    </row>
    <row r="3593" spans="1:3" x14ac:dyDescent="0.3">
      <c r="A3593" s="7" t="s">
        <v>3603</v>
      </c>
      <c r="B3593" s="7" t="s">
        <v>12</v>
      </c>
      <c r="C3593" t="s">
        <v>2</v>
      </c>
    </row>
    <row r="3594" spans="1:3" x14ac:dyDescent="0.3">
      <c r="A3594" s="7" t="s">
        <v>3604</v>
      </c>
      <c r="B3594" s="7" t="s">
        <v>12</v>
      </c>
      <c r="C3594" t="s">
        <v>2</v>
      </c>
    </row>
    <row r="3595" spans="1:3" x14ac:dyDescent="0.3">
      <c r="A3595" s="7" t="s">
        <v>3605</v>
      </c>
      <c r="B3595" s="7" t="s">
        <v>12</v>
      </c>
      <c r="C3595" t="s">
        <v>2</v>
      </c>
    </row>
    <row r="3596" spans="1:3" x14ac:dyDescent="0.3">
      <c r="A3596" s="7" t="s">
        <v>3606</v>
      </c>
      <c r="B3596" s="7" t="s">
        <v>12</v>
      </c>
      <c r="C3596" t="s">
        <v>2</v>
      </c>
    </row>
    <row r="3597" spans="1:3" x14ac:dyDescent="0.3">
      <c r="A3597" s="7" t="s">
        <v>3607</v>
      </c>
      <c r="B3597" s="7" t="s">
        <v>12</v>
      </c>
      <c r="C3597" t="s">
        <v>2</v>
      </c>
    </row>
    <row r="3598" spans="1:3" x14ac:dyDescent="0.3">
      <c r="A3598" s="7" t="s">
        <v>3608</v>
      </c>
      <c r="B3598" s="7" t="s">
        <v>12</v>
      </c>
      <c r="C3598" t="s">
        <v>2</v>
      </c>
    </row>
    <row r="3599" spans="1:3" x14ac:dyDescent="0.3">
      <c r="A3599" s="7" t="s">
        <v>3609</v>
      </c>
      <c r="B3599" s="7" t="s">
        <v>12</v>
      </c>
      <c r="C3599" t="s">
        <v>3</v>
      </c>
    </row>
    <row r="3600" spans="1:3" x14ac:dyDescent="0.3">
      <c r="A3600" s="7" t="s">
        <v>3610</v>
      </c>
      <c r="B3600" s="7" t="s">
        <v>12</v>
      </c>
      <c r="C3600" t="s">
        <v>3</v>
      </c>
    </row>
    <row r="3601" spans="1:3" x14ac:dyDescent="0.3">
      <c r="A3601" s="7" t="s">
        <v>3611</v>
      </c>
      <c r="B3601" s="7" t="s">
        <v>12</v>
      </c>
      <c r="C3601" t="s">
        <v>3</v>
      </c>
    </row>
    <row r="3602" spans="1:3" x14ac:dyDescent="0.3">
      <c r="A3602" s="7" t="s">
        <v>3612</v>
      </c>
      <c r="B3602" s="7" t="s">
        <v>12</v>
      </c>
      <c r="C3602" t="s">
        <v>3</v>
      </c>
    </row>
    <row r="3603" spans="1:3" x14ac:dyDescent="0.3">
      <c r="A3603" s="7" t="s">
        <v>3613</v>
      </c>
      <c r="B3603" s="7" t="s">
        <v>12</v>
      </c>
      <c r="C3603" t="s">
        <v>3</v>
      </c>
    </row>
    <row r="3604" spans="1:3" x14ac:dyDescent="0.3">
      <c r="A3604" s="7" t="s">
        <v>3614</v>
      </c>
      <c r="B3604" s="7" t="s">
        <v>12</v>
      </c>
      <c r="C3604" t="s">
        <v>3</v>
      </c>
    </row>
    <row r="3605" spans="1:3" x14ac:dyDescent="0.3">
      <c r="A3605" s="7" t="s">
        <v>3615</v>
      </c>
      <c r="B3605" s="7" t="s">
        <v>12</v>
      </c>
      <c r="C3605" t="s">
        <v>3</v>
      </c>
    </row>
    <row r="3606" spans="1:3" x14ac:dyDescent="0.3">
      <c r="A3606" s="7" t="s">
        <v>3616</v>
      </c>
      <c r="B3606" s="7" t="s">
        <v>12</v>
      </c>
      <c r="C3606" t="s">
        <v>3</v>
      </c>
    </row>
    <row r="3607" spans="1:3" x14ac:dyDescent="0.3">
      <c r="A3607" s="7" t="s">
        <v>3617</v>
      </c>
      <c r="B3607" s="7" t="s">
        <v>12</v>
      </c>
      <c r="C3607" t="s">
        <v>3</v>
      </c>
    </row>
    <row r="3608" spans="1:3" x14ac:dyDescent="0.3">
      <c r="A3608" s="7" t="s">
        <v>3618</v>
      </c>
      <c r="B3608" s="7" t="s">
        <v>12</v>
      </c>
      <c r="C3608" t="s">
        <v>2</v>
      </c>
    </row>
    <row r="3609" spans="1:3" x14ac:dyDescent="0.3">
      <c r="A3609" s="7" t="s">
        <v>3619</v>
      </c>
      <c r="B3609" s="7" t="s">
        <v>12</v>
      </c>
      <c r="C3609" t="s">
        <v>2</v>
      </c>
    </row>
    <row r="3610" spans="1:3" x14ac:dyDescent="0.3">
      <c r="A3610" s="7" t="s">
        <v>3620</v>
      </c>
      <c r="B3610" s="7" t="s">
        <v>12</v>
      </c>
      <c r="C3610" t="s">
        <v>2</v>
      </c>
    </row>
    <row r="3611" spans="1:3" x14ac:dyDescent="0.3">
      <c r="A3611" s="7" t="s">
        <v>3621</v>
      </c>
      <c r="B3611" s="7" t="s">
        <v>12</v>
      </c>
      <c r="C3611" t="s">
        <v>2</v>
      </c>
    </row>
    <row r="3612" spans="1:3" x14ac:dyDescent="0.3">
      <c r="A3612" s="7" t="s">
        <v>3622</v>
      </c>
      <c r="B3612" s="7" t="s">
        <v>12</v>
      </c>
      <c r="C3612" t="s">
        <v>3678</v>
      </c>
    </row>
    <row r="3613" spans="1:3" x14ac:dyDescent="0.3">
      <c r="A3613" s="7" t="s">
        <v>3623</v>
      </c>
      <c r="B3613" s="7" t="s">
        <v>12</v>
      </c>
      <c r="C3613" t="s">
        <v>3678</v>
      </c>
    </row>
    <row r="3614" spans="1:3" x14ac:dyDescent="0.3">
      <c r="A3614" s="7" t="s">
        <v>3624</v>
      </c>
      <c r="B3614" s="7" t="s">
        <v>12</v>
      </c>
      <c r="C3614" t="s">
        <v>3678</v>
      </c>
    </row>
    <row r="3615" spans="1:3" x14ac:dyDescent="0.3">
      <c r="A3615" s="7" t="s">
        <v>3625</v>
      </c>
      <c r="B3615" s="7" t="s">
        <v>12</v>
      </c>
      <c r="C3615" t="s">
        <v>3678</v>
      </c>
    </row>
    <row r="3616" spans="1:3" x14ac:dyDescent="0.3">
      <c r="A3616" s="7" t="s">
        <v>3626</v>
      </c>
      <c r="B3616" s="7" t="s">
        <v>12</v>
      </c>
      <c r="C3616" t="s">
        <v>3678</v>
      </c>
    </row>
    <row r="3617" spans="1:3" x14ac:dyDescent="0.3">
      <c r="A3617" s="7" t="s">
        <v>3627</v>
      </c>
      <c r="B3617" s="7" t="s">
        <v>12</v>
      </c>
      <c r="C3617" t="s">
        <v>3678</v>
      </c>
    </row>
    <row r="3618" spans="1:3" x14ac:dyDescent="0.3">
      <c r="A3618" s="7" t="s">
        <v>3628</v>
      </c>
      <c r="B3618" s="7" t="s">
        <v>12</v>
      </c>
      <c r="C3618" t="s">
        <v>3678</v>
      </c>
    </row>
    <row r="3619" spans="1:3" x14ac:dyDescent="0.3">
      <c r="A3619" s="7" t="s">
        <v>3629</v>
      </c>
      <c r="B3619" s="7" t="s">
        <v>12</v>
      </c>
      <c r="C3619" t="s">
        <v>3678</v>
      </c>
    </row>
    <row r="3620" spans="1:3" x14ac:dyDescent="0.3">
      <c r="A3620" s="7" t="s">
        <v>3630</v>
      </c>
      <c r="B3620" s="7" t="s">
        <v>12</v>
      </c>
      <c r="C3620" t="s">
        <v>3678</v>
      </c>
    </row>
    <row r="3621" spans="1:3" x14ac:dyDescent="0.3">
      <c r="A3621" s="7" t="s">
        <v>3631</v>
      </c>
      <c r="B3621" s="7" t="s">
        <v>12</v>
      </c>
      <c r="C3621" t="s">
        <v>2</v>
      </c>
    </row>
    <row r="3622" spans="1:3" x14ac:dyDescent="0.3">
      <c r="A3622" s="7" t="s">
        <v>3632</v>
      </c>
      <c r="B3622" s="7" t="s">
        <v>12</v>
      </c>
      <c r="C3622" t="s">
        <v>2</v>
      </c>
    </row>
    <row r="3623" spans="1:3" x14ac:dyDescent="0.3">
      <c r="A3623" s="7" t="s">
        <v>3633</v>
      </c>
      <c r="B3623" s="7" t="s">
        <v>12</v>
      </c>
      <c r="C3623" t="s">
        <v>2</v>
      </c>
    </row>
    <row r="3624" spans="1:3" x14ac:dyDescent="0.3">
      <c r="A3624" s="7" t="s">
        <v>3634</v>
      </c>
      <c r="B3624" s="7" t="s">
        <v>12</v>
      </c>
      <c r="C3624" t="s">
        <v>2</v>
      </c>
    </row>
    <row r="3625" spans="1:3" x14ac:dyDescent="0.3">
      <c r="A3625" s="7" t="s">
        <v>3635</v>
      </c>
      <c r="B3625" s="7" t="s">
        <v>12</v>
      </c>
      <c r="C3625" t="s">
        <v>2</v>
      </c>
    </row>
    <row r="3626" spans="1:3" x14ac:dyDescent="0.3">
      <c r="A3626" s="7" t="s">
        <v>3636</v>
      </c>
      <c r="B3626" s="7" t="s">
        <v>12</v>
      </c>
      <c r="C3626" t="s">
        <v>2</v>
      </c>
    </row>
    <row r="3627" spans="1:3" x14ac:dyDescent="0.3">
      <c r="A3627" s="7" t="s">
        <v>3637</v>
      </c>
      <c r="B3627" s="7" t="s">
        <v>12</v>
      </c>
      <c r="C3627" t="s">
        <v>2</v>
      </c>
    </row>
    <row r="3628" spans="1:3" x14ac:dyDescent="0.3">
      <c r="A3628" s="7" t="s">
        <v>3638</v>
      </c>
      <c r="B3628" s="7" t="s">
        <v>12</v>
      </c>
      <c r="C3628" t="s">
        <v>2</v>
      </c>
    </row>
    <row r="3629" spans="1:3" x14ac:dyDescent="0.3">
      <c r="A3629" s="7" t="s">
        <v>3639</v>
      </c>
      <c r="B3629" s="7" t="s">
        <v>12</v>
      </c>
      <c r="C3629" t="s">
        <v>2</v>
      </c>
    </row>
    <row r="3630" spans="1:3" x14ac:dyDescent="0.3">
      <c r="A3630" s="7" t="s">
        <v>3640</v>
      </c>
      <c r="B3630" s="7" t="s">
        <v>12</v>
      </c>
      <c r="C3630" t="s">
        <v>2</v>
      </c>
    </row>
    <row r="3631" spans="1:3" x14ac:dyDescent="0.3">
      <c r="A3631" s="7" t="s">
        <v>3641</v>
      </c>
      <c r="B3631" s="7" t="s">
        <v>12</v>
      </c>
      <c r="C3631" t="s">
        <v>2</v>
      </c>
    </row>
    <row r="3632" spans="1:3" x14ac:dyDescent="0.3">
      <c r="A3632" s="7" t="s">
        <v>3642</v>
      </c>
      <c r="B3632" s="7" t="s">
        <v>12</v>
      </c>
      <c r="C3632" t="s">
        <v>2</v>
      </c>
    </row>
    <row r="3633" spans="1:3" x14ac:dyDescent="0.3">
      <c r="A3633" s="7" t="s">
        <v>3643</v>
      </c>
      <c r="B3633" s="7" t="s">
        <v>12</v>
      </c>
      <c r="C3633" t="s">
        <v>2</v>
      </c>
    </row>
    <row r="3634" spans="1:3" x14ac:dyDescent="0.3">
      <c r="A3634" s="7" t="s">
        <v>3644</v>
      </c>
      <c r="B3634" s="7" t="s">
        <v>12</v>
      </c>
      <c r="C3634" t="s">
        <v>2</v>
      </c>
    </row>
    <row r="3635" spans="1:3" x14ac:dyDescent="0.3">
      <c r="A3635" s="7" t="s">
        <v>3645</v>
      </c>
      <c r="B3635" s="7" t="s">
        <v>12</v>
      </c>
      <c r="C3635" t="s">
        <v>2</v>
      </c>
    </row>
    <row r="3636" spans="1:3" x14ac:dyDescent="0.3">
      <c r="A3636" s="7" t="s">
        <v>3646</v>
      </c>
      <c r="B3636" s="7" t="s">
        <v>12</v>
      </c>
      <c r="C3636" t="s">
        <v>2</v>
      </c>
    </row>
    <row r="3637" spans="1:3" x14ac:dyDescent="0.3">
      <c r="A3637" s="7" t="s">
        <v>3647</v>
      </c>
      <c r="B3637" s="7" t="s">
        <v>12</v>
      </c>
      <c r="C3637" t="s">
        <v>2</v>
      </c>
    </row>
    <row r="3638" spans="1:3" x14ac:dyDescent="0.3">
      <c r="A3638" s="7" t="s">
        <v>3648</v>
      </c>
      <c r="B3638" s="7" t="s">
        <v>12</v>
      </c>
      <c r="C3638" t="s">
        <v>2</v>
      </c>
    </row>
    <row r="3639" spans="1:3" x14ac:dyDescent="0.3">
      <c r="A3639" s="7" t="s">
        <v>3649</v>
      </c>
      <c r="B3639" s="7" t="s">
        <v>12</v>
      </c>
      <c r="C3639" t="s">
        <v>2</v>
      </c>
    </row>
    <row r="3640" spans="1:3" x14ac:dyDescent="0.3">
      <c r="A3640" s="7" t="s">
        <v>3650</v>
      </c>
      <c r="B3640" s="7" t="s">
        <v>12</v>
      </c>
      <c r="C3640" t="s">
        <v>2</v>
      </c>
    </row>
    <row r="3641" spans="1:3" x14ac:dyDescent="0.3">
      <c r="A3641" s="7" t="s">
        <v>3651</v>
      </c>
      <c r="B3641" s="7" t="s">
        <v>12</v>
      </c>
      <c r="C3641" t="s">
        <v>2</v>
      </c>
    </row>
    <row r="3642" spans="1:3" x14ac:dyDescent="0.3">
      <c r="A3642" s="7" t="s">
        <v>3652</v>
      </c>
      <c r="B3642" s="7" t="s">
        <v>12</v>
      </c>
      <c r="C3642" t="s">
        <v>2</v>
      </c>
    </row>
    <row r="3643" spans="1:3" x14ac:dyDescent="0.3">
      <c r="A3643" s="7" t="s">
        <v>3653</v>
      </c>
      <c r="B3643" s="7" t="s">
        <v>12</v>
      </c>
      <c r="C3643" t="s">
        <v>2</v>
      </c>
    </row>
    <row r="3644" spans="1:3" x14ac:dyDescent="0.3">
      <c r="A3644" s="7" t="s">
        <v>3654</v>
      </c>
      <c r="B3644" s="7" t="s">
        <v>12</v>
      </c>
      <c r="C3644" t="s">
        <v>2</v>
      </c>
    </row>
    <row r="3645" spans="1:3" x14ac:dyDescent="0.3">
      <c r="A3645" s="7" t="s">
        <v>3655</v>
      </c>
      <c r="B3645" s="7" t="s">
        <v>12</v>
      </c>
      <c r="C3645" t="s">
        <v>2</v>
      </c>
    </row>
    <row r="3646" spans="1:3" x14ac:dyDescent="0.3">
      <c r="A3646" s="7" t="s">
        <v>3656</v>
      </c>
      <c r="B3646" s="7" t="s">
        <v>12</v>
      </c>
      <c r="C3646" t="s">
        <v>2</v>
      </c>
    </row>
    <row r="3647" spans="1:3" x14ac:dyDescent="0.3">
      <c r="A3647" s="7" t="s">
        <v>3657</v>
      </c>
      <c r="B3647" s="7" t="s">
        <v>12</v>
      </c>
      <c r="C3647" t="s">
        <v>2</v>
      </c>
    </row>
    <row r="3648" spans="1:3" x14ac:dyDescent="0.3">
      <c r="A3648" s="7" t="s">
        <v>3658</v>
      </c>
      <c r="B3648" s="7" t="s">
        <v>12</v>
      </c>
      <c r="C3648" t="s">
        <v>2</v>
      </c>
    </row>
    <row r="3649" spans="1:3" x14ac:dyDescent="0.3">
      <c r="A3649" s="7" t="s">
        <v>3659</v>
      </c>
      <c r="B3649" s="7" t="s">
        <v>12</v>
      </c>
      <c r="C3649" t="s">
        <v>2</v>
      </c>
    </row>
    <row r="3650" spans="1:3" x14ac:dyDescent="0.3">
      <c r="A3650" s="7" t="s">
        <v>3660</v>
      </c>
      <c r="B3650" s="7" t="s">
        <v>12</v>
      </c>
      <c r="C3650" t="s">
        <v>2</v>
      </c>
    </row>
    <row r="3651" spans="1:3" x14ac:dyDescent="0.3">
      <c r="A3651" s="7" t="s">
        <v>3661</v>
      </c>
      <c r="B3651" s="7" t="s">
        <v>12</v>
      </c>
      <c r="C3651" t="s">
        <v>2</v>
      </c>
    </row>
    <row r="3652" spans="1:3" x14ac:dyDescent="0.3">
      <c r="A3652" s="7" t="s">
        <v>3662</v>
      </c>
      <c r="B3652" s="7" t="s">
        <v>12</v>
      </c>
      <c r="C3652" t="s">
        <v>2</v>
      </c>
    </row>
    <row r="3653" spans="1:3" x14ac:dyDescent="0.3">
      <c r="A3653" s="7" t="s">
        <v>3663</v>
      </c>
      <c r="B3653" s="7" t="s">
        <v>12</v>
      </c>
      <c r="C3653" t="s">
        <v>2</v>
      </c>
    </row>
    <row r="3654" spans="1:3" x14ac:dyDescent="0.3">
      <c r="A3654" s="7" t="s">
        <v>3664</v>
      </c>
      <c r="B3654" s="7" t="s">
        <v>12</v>
      </c>
      <c r="C3654" t="s">
        <v>2</v>
      </c>
    </row>
    <row r="3655" spans="1:3" x14ac:dyDescent="0.3">
      <c r="A3655" s="7" t="s">
        <v>3665</v>
      </c>
      <c r="B3655" s="7" t="s">
        <v>12</v>
      </c>
      <c r="C3655" t="s">
        <v>2</v>
      </c>
    </row>
    <row r="3656" spans="1:3" x14ac:dyDescent="0.3">
      <c r="A3656" s="7" t="s">
        <v>3666</v>
      </c>
      <c r="B3656" s="7" t="s">
        <v>12</v>
      </c>
      <c r="C3656" t="s">
        <v>2</v>
      </c>
    </row>
    <row r="3657" spans="1:3" x14ac:dyDescent="0.3">
      <c r="A3657" s="7" t="s">
        <v>3667</v>
      </c>
      <c r="B3657" s="7" t="s">
        <v>12</v>
      </c>
      <c r="C3657" t="s">
        <v>2</v>
      </c>
    </row>
    <row r="3658" spans="1:3" x14ac:dyDescent="0.3">
      <c r="A3658" s="7" t="s">
        <v>3668</v>
      </c>
      <c r="B3658" s="7" t="s">
        <v>12</v>
      </c>
      <c r="C3658" t="s">
        <v>2</v>
      </c>
    </row>
    <row r="3659" spans="1:3" x14ac:dyDescent="0.3">
      <c r="A3659" s="7" t="s">
        <v>3669</v>
      </c>
      <c r="B3659" s="7" t="s">
        <v>12</v>
      </c>
      <c r="C3659" t="s">
        <v>2</v>
      </c>
    </row>
    <row r="3660" spans="1:3" x14ac:dyDescent="0.3">
      <c r="A3660" s="7" t="s">
        <v>3670</v>
      </c>
      <c r="B3660" s="7" t="s">
        <v>12</v>
      </c>
      <c r="C3660" t="s">
        <v>2</v>
      </c>
    </row>
    <row r="3661" spans="1:3" x14ac:dyDescent="0.3">
      <c r="A3661" s="7" t="s">
        <v>3671</v>
      </c>
      <c r="B3661" s="7" t="s">
        <v>12</v>
      </c>
      <c r="C3661" t="s">
        <v>3</v>
      </c>
    </row>
    <row r="3662" spans="1:3" x14ac:dyDescent="0.3">
      <c r="A3662" s="7" t="s">
        <v>3672</v>
      </c>
      <c r="B3662" s="7" t="s">
        <v>12</v>
      </c>
      <c r="C3662" t="s">
        <v>3</v>
      </c>
    </row>
    <row r="3663" spans="1:3" x14ac:dyDescent="0.3">
      <c r="A3663" s="7" t="s">
        <v>3673</v>
      </c>
      <c r="B3663" s="7" t="s">
        <v>12</v>
      </c>
      <c r="C3663" t="s">
        <v>3</v>
      </c>
    </row>
    <row r="3664" spans="1:3" x14ac:dyDescent="0.3">
      <c r="A3664" s="7" t="s">
        <v>3674</v>
      </c>
      <c r="B3664" s="7" t="s">
        <v>12</v>
      </c>
      <c r="C3664" t="s">
        <v>3</v>
      </c>
    </row>
    <row r="3665" spans="1:3" x14ac:dyDescent="0.3">
      <c r="A3665" s="7" t="s">
        <v>3675</v>
      </c>
      <c r="B3665" s="7" t="s">
        <v>12</v>
      </c>
      <c r="C3665" t="s">
        <v>3</v>
      </c>
    </row>
    <row r="3666" spans="1:3" x14ac:dyDescent="0.3">
      <c r="A3666" s="7" t="s">
        <v>3676</v>
      </c>
      <c r="B3666" s="7" t="s">
        <v>12</v>
      </c>
      <c r="C3666" t="s">
        <v>3</v>
      </c>
    </row>
  </sheetData>
  <autoFilter ref="A1:C3666"/>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2"/>
  <sheetViews>
    <sheetView workbookViewId="0">
      <selection activeCell="D23" sqref="D23"/>
    </sheetView>
  </sheetViews>
  <sheetFormatPr defaultRowHeight="14.4" x14ac:dyDescent="0.3"/>
  <cols>
    <col min="1" max="1" width="19.44140625" customWidth="1"/>
    <col min="2" max="2" width="10.44140625" customWidth="1"/>
    <col min="3" max="3" width="10" bestFit="1" customWidth="1"/>
    <col min="5" max="5" width="17.6640625" customWidth="1"/>
    <col min="6" max="7" width="11.44140625" bestFit="1" customWidth="1"/>
  </cols>
  <sheetData>
    <row r="1" spans="1:7" ht="30" customHeight="1" x14ac:dyDescent="0.3">
      <c r="A1" s="168" t="s">
        <v>3720</v>
      </c>
      <c r="B1" s="168"/>
      <c r="C1" s="168"/>
      <c r="D1" s="11"/>
      <c r="E1" s="168" t="s">
        <v>3721</v>
      </c>
      <c r="F1" s="168"/>
      <c r="G1" s="168"/>
    </row>
    <row r="2" spans="1:7" x14ac:dyDescent="0.3">
      <c r="A2" s="11"/>
      <c r="B2" s="11"/>
      <c r="C2" s="11"/>
      <c r="D2" s="11"/>
      <c r="E2" s="11"/>
      <c r="F2" s="11"/>
      <c r="G2" s="11"/>
    </row>
    <row r="3" spans="1:7" x14ac:dyDescent="0.3">
      <c r="A3" s="40" t="s">
        <v>3810</v>
      </c>
      <c r="B3" s="11"/>
      <c r="C3" s="11"/>
      <c r="D3" s="11"/>
      <c r="E3" s="40" t="s">
        <v>3810</v>
      </c>
      <c r="F3" s="11"/>
      <c r="G3" s="11"/>
    </row>
    <row r="4" spans="1:7" x14ac:dyDescent="0.3">
      <c r="A4" s="11" t="s">
        <v>3811</v>
      </c>
      <c r="B4" s="48">
        <v>395234</v>
      </c>
      <c r="C4" s="169">
        <v>801323</v>
      </c>
      <c r="D4" s="11"/>
      <c r="E4" s="11" t="s">
        <v>3811</v>
      </c>
      <c r="F4" s="48">
        <v>13991</v>
      </c>
      <c r="G4" s="169">
        <v>1175876</v>
      </c>
    </row>
    <row r="5" spans="1:7" x14ac:dyDescent="0.3">
      <c r="A5" s="11" t="s">
        <v>3812</v>
      </c>
      <c r="B5" s="48">
        <v>11579</v>
      </c>
      <c r="C5" s="169"/>
      <c r="D5" s="11"/>
      <c r="E5" s="11" t="s">
        <v>3813</v>
      </c>
      <c r="F5" s="48">
        <v>1161885</v>
      </c>
      <c r="G5" s="169"/>
    </row>
    <row r="6" spans="1:7" x14ac:dyDescent="0.3">
      <c r="A6" s="11" t="s">
        <v>3814</v>
      </c>
      <c r="B6" s="48">
        <v>1046</v>
      </c>
      <c r="C6" s="169"/>
      <c r="D6" s="11"/>
      <c r="E6" s="11"/>
      <c r="F6" s="48"/>
      <c r="G6" s="48"/>
    </row>
    <row r="7" spans="1:7" x14ac:dyDescent="0.3">
      <c r="A7" s="11" t="s">
        <v>3813</v>
      </c>
      <c r="B7" s="48">
        <v>393464</v>
      </c>
      <c r="C7" s="169"/>
      <c r="D7" s="11"/>
      <c r="E7" s="11"/>
      <c r="F7" s="48"/>
      <c r="G7" s="48"/>
    </row>
    <row r="8" spans="1:7" x14ac:dyDescent="0.3">
      <c r="A8" s="11"/>
      <c r="B8" s="48"/>
      <c r="C8" s="48"/>
      <c r="D8" s="11"/>
      <c r="E8" s="11"/>
      <c r="F8" s="48"/>
      <c r="G8" s="48"/>
    </row>
    <row r="9" spans="1:7" x14ac:dyDescent="0.3">
      <c r="A9" s="40" t="s">
        <v>3815</v>
      </c>
      <c r="B9" s="48"/>
      <c r="C9" s="48"/>
      <c r="D9" s="11"/>
      <c r="E9" s="40" t="s">
        <v>3815</v>
      </c>
      <c r="F9" s="48"/>
      <c r="G9" s="48"/>
    </row>
    <row r="10" spans="1:7" x14ac:dyDescent="0.3">
      <c r="A10" s="11" t="s">
        <v>3811</v>
      </c>
      <c r="B10" s="48">
        <v>365304</v>
      </c>
      <c r="C10" s="169">
        <v>383485</v>
      </c>
      <c r="D10" s="11"/>
      <c r="E10" s="11" t="s">
        <v>3811</v>
      </c>
      <c r="F10" s="48">
        <v>3137</v>
      </c>
      <c r="G10" s="169">
        <v>8932</v>
      </c>
    </row>
    <row r="11" spans="1:7" x14ac:dyDescent="0.3">
      <c r="A11" s="11" t="s">
        <v>3812</v>
      </c>
      <c r="B11" s="48">
        <v>2116</v>
      </c>
      <c r="C11" s="169"/>
      <c r="D11" s="11"/>
      <c r="E11" s="11" t="s">
        <v>3813</v>
      </c>
      <c r="F11" s="48">
        <v>5795</v>
      </c>
      <c r="G11" s="169"/>
    </row>
    <row r="12" spans="1:7" x14ac:dyDescent="0.3">
      <c r="A12" s="11" t="s">
        <v>3813</v>
      </c>
      <c r="B12" s="48">
        <v>16065</v>
      </c>
      <c r="C12" s="169"/>
      <c r="D12" s="11"/>
      <c r="E12" s="11"/>
      <c r="F12" s="11"/>
      <c r="G12" s="11"/>
    </row>
  </sheetData>
  <mergeCells count="6">
    <mergeCell ref="A1:C1"/>
    <mergeCell ref="E1:G1"/>
    <mergeCell ref="C4:C7"/>
    <mergeCell ref="G4:G5"/>
    <mergeCell ref="C10:C12"/>
    <mergeCell ref="G10:G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4:XFD81"/>
  <sheetViews>
    <sheetView showGridLines="0" zoomScale="88" zoomScaleNormal="88" workbookViewId="0">
      <selection activeCell="D17" sqref="D17"/>
    </sheetView>
  </sheetViews>
  <sheetFormatPr defaultRowHeight="14.4" x14ac:dyDescent="0.3"/>
  <cols>
    <col min="1" max="1" width="3" customWidth="1"/>
    <col min="2" max="2" width="36.21875" bestFit="1" customWidth="1"/>
    <col min="3" max="3" width="14.5546875" customWidth="1"/>
    <col min="4" max="4" width="12.88671875" bestFit="1" customWidth="1"/>
    <col min="5" max="5" width="15" customWidth="1"/>
    <col min="6" max="6" width="10.6640625" bestFit="1" customWidth="1"/>
    <col min="7" max="7" width="15.5546875" customWidth="1"/>
    <col min="9" max="9" width="16" customWidth="1"/>
    <col min="11" max="11" width="16.88671875" customWidth="1"/>
    <col min="13" max="13" width="16.5546875" customWidth="1"/>
    <col min="15" max="15" width="20.5546875" bestFit="1" customWidth="1"/>
    <col min="16" max="16" width="11.88671875" customWidth="1"/>
    <col min="17" max="17" width="12.33203125" bestFit="1" customWidth="1"/>
    <col min="18" max="18" width="15.77734375" customWidth="1"/>
    <col min="19" max="19" width="18.6640625" bestFit="1" customWidth="1"/>
    <col min="20" max="20" width="12.6640625" customWidth="1"/>
    <col min="21" max="21" width="12.88671875" customWidth="1"/>
    <col min="22" max="22" width="16.109375" bestFit="1" customWidth="1"/>
    <col min="23" max="23" width="13.109375" customWidth="1"/>
    <col min="24" max="24" width="13.77734375" bestFit="1" customWidth="1"/>
    <col min="25" max="25" width="52.77734375" bestFit="1" customWidth="1"/>
    <col min="26" max="33" width="0" hidden="1" customWidth="1"/>
    <col min="36" max="36" width="0" hidden="1" customWidth="1"/>
    <col min="38" max="38" width="10.44140625" customWidth="1"/>
  </cols>
  <sheetData>
    <row r="4" spans="1:37 16384:16384" ht="4.2" customHeight="1" x14ac:dyDescent="0.3">
      <c r="A4" s="91"/>
      <c r="B4" s="92"/>
      <c r="C4" s="92"/>
      <c r="D4" s="92"/>
      <c r="E4" s="92"/>
      <c r="F4" s="92"/>
      <c r="G4" s="92"/>
      <c r="H4" s="92"/>
      <c r="I4" s="92"/>
      <c r="J4" s="92"/>
      <c r="K4" s="92"/>
      <c r="L4" s="92"/>
      <c r="M4" s="92"/>
      <c r="N4" s="92"/>
      <c r="O4" s="92"/>
      <c r="P4" s="92"/>
      <c r="Q4" s="92"/>
      <c r="R4" s="92"/>
      <c r="S4" s="92"/>
      <c r="T4" s="92"/>
      <c r="U4" s="92"/>
      <c r="V4" s="92"/>
      <c r="W4" s="92"/>
      <c r="X4" s="92"/>
      <c r="Y4" s="92"/>
      <c r="AH4" s="92"/>
      <c r="AI4" s="92"/>
      <c r="AK4" s="92"/>
      <c r="XFD4" s="92"/>
    </row>
    <row r="11" spans="1:37 16384:16384" x14ac:dyDescent="0.3">
      <c r="H11">
        <f>23280+47624</f>
        <v>70904</v>
      </c>
    </row>
    <row r="16" spans="1:37 16384:16384" x14ac:dyDescent="0.3">
      <c r="B16" s="98"/>
    </row>
    <row r="18" spans="2:38" ht="13.2" customHeight="1" thickBot="1" x14ac:dyDescent="0.35">
      <c r="B18" s="98"/>
      <c r="C18" s="173" t="s">
        <v>3790</v>
      </c>
      <c r="D18" s="173"/>
      <c r="E18" s="173"/>
      <c r="F18" s="173"/>
      <c r="G18" s="173"/>
      <c r="H18" s="173"/>
      <c r="I18" s="173"/>
      <c r="J18" s="173"/>
      <c r="K18" s="173"/>
      <c r="L18" s="173"/>
      <c r="M18" s="173"/>
      <c r="N18" s="173"/>
      <c r="O18" s="34"/>
      <c r="P18" s="34"/>
      <c r="Q18" s="34"/>
      <c r="R18" s="34"/>
      <c r="S18" s="34"/>
      <c r="T18" s="34"/>
      <c r="U18" s="34"/>
      <c r="V18" s="34"/>
      <c r="W18" s="34"/>
      <c r="X18" s="34"/>
    </row>
    <row r="19" spans="2:38" ht="15" thickBot="1" x14ac:dyDescent="0.35">
      <c r="C19" s="174" t="s">
        <v>3706</v>
      </c>
      <c r="D19" s="174"/>
      <c r="E19" s="174" t="s">
        <v>3730</v>
      </c>
      <c r="F19" s="174"/>
      <c r="G19" s="174" t="s">
        <v>3707</v>
      </c>
      <c r="H19" s="174"/>
      <c r="I19" s="174" t="s">
        <v>3712</v>
      </c>
      <c r="J19" s="174"/>
      <c r="K19" s="174" t="s">
        <v>3816</v>
      </c>
      <c r="L19" s="174"/>
      <c r="M19" s="174" t="s">
        <v>3713</v>
      </c>
      <c r="N19" s="174"/>
      <c r="O19" s="59"/>
      <c r="P19" s="59"/>
      <c r="Q19" s="59"/>
      <c r="R19" s="59"/>
      <c r="S19" s="59"/>
      <c r="T19" s="170" t="s">
        <v>3848</v>
      </c>
      <c r="U19" s="171"/>
      <c r="V19" s="171"/>
      <c r="W19" s="172"/>
      <c r="X19" s="78"/>
    </row>
    <row r="20" spans="2:38" x14ac:dyDescent="0.3">
      <c r="B20" s="80" t="s">
        <v>3715</v>
      </c>
      <c r="C20" s="27" t="s">
        <v>3719</v>
      </c>
      <c r="D20" s="27" t="s">
        <v>3714</v>
      </c>
      <c r="E20" s="27" t="s">
        <v>3768</v>
      </c>
      <c r="F20" s="27" t="s">
        <v>3769</v>
      </c>
      <c r="G20" s="27" t="s">
        <v>3770</v>
      </c>
      <c r="H20" s="27" t="s">
        <v>3771</v>
      </c>
      <c r="I20" s="27" t="s">
        <v>3772</v>
      </c>
      <c r="J20" s="27" t="s">
        <v>3773</v>
      </c>
      <c r="K20" s="27" t="s">
        <v>3857</v>
      </c>
      <c r="L20" s="27" t="s">
        <v>3858</v>
      </c>
      <c r="M20" s="27" t="s">
        <v>3774</v>
      </c>
      <c r="N20" s="27" t="s">
        <v>3775</v>
      </c>
      <c r="O20" s="101" t="s">
        <v>3791</v>
      </c>
      <c r="P20" s="37" t="s">
        <v>3817</v>
      </c>
      <c r="Q20" s="37" t="s">
        <v>3802</v>
      </c>
      <c r="R20" s="79" t="s">
        <v>3856</v>
      </c>
      <c r="S20" s="38" t="s">
        <v>3792</v>
      </c>
      <c r="T20" s="37" t="s">
        <v>3845</v>
      </c>
      <c r="U20" s="37" t="s">
        <v>3846</v>
      </c>
      <c r="V20" s="79" t="s">
        <v>3854</v>
      </c>
      <c r="W20" s="37" t="s">
        <v>3847</v>
      </c>
      <c r="X20" s="82" t="s">
        <v>3855</v>
      </c>
      <c r="Y20" s="29" t="s">
        <v>3776</v>
      </c>
      <c r="Z20" s="31" t="s">
        <v>3706</v>
      </c>
      <c r="AA20" s="31" t="s">
        <v>3730</v>
      </c>
      <c r="AB20" s="31" t="s">
        <v>3707</v>
      </c>
      <c r="AC20" s="31" t="s">
        <v>3777</v>
      </c>
      <c r="AD20" s="31" t="s">
        <v>3780</v>
      </c>
      <c r="AE20" s="31" t="s">
        <v>3778</v>
      </c>
      <c r="AF20" s="31" t="s">
        <v>3781</v>
      </c>
      <c r="AG20" s="31" t="s">
        <v>3713</v>
      </c>
      <c r="AH20" t="s">
        <v>3717</v>
      </c>
      <c r="AI20" t="s">
        <v>3718</v>
      </c>
      <c r="AJ20" t="s">
        <v>3779</v>
      </c>
      <c r="AK20" t="s">
        <v>3838</v>
      </c>
      <c r="AL20" t="s">
        <v>3860</v>
      </c>
    </row>
    <row r="21" spans="2:38" ht="13.8" customHeight="1" x14ac:dyDescent="0.3">
      <c r="B21" s="95" t="s">
        <v>3705</v>
      </c>
      <c r="C21" s="25">
        <f>1225899+668159+105919</f>
        <v>1999977</v>
      </c>
      <c r="D21" s="28">
        <f t="shared" ref="D21:D34" si="0">C21/$AH21</f>
        <v>0.98966530124273699</v>
      </c>
      <c r="E21" s="25"/>
      <c r="F21" s="28">
        <f t="shared" ref="F21:F52" si="1">E21/$AH21</f>
        <v>0</v>
      </c>
      <c r="G21" s="25"/>
      <c r="H21" s="28">
        <f t="shared" ref="H21:H57" si="2">G21/$AH21</f>
        <v>0</v>
      </c>
      <c r="I21" s="25">
        <f>432+22+16766</f>
        <v>17220</v>
      </c>
      <c r="J21" s="28">
        <f t="shared" ref="J21:J52" si="3">I21/$AH21</f>
        <v>8.5211162365366865E-3</v>
      </c>
      <c r="K21" s="63">
        <v>0</v>
      </c>
      <c r="L21" s="28">
        <f t="shared" ref="L21:L58" si="4">K21/$AH21</f>
        <v>0</v>
      </c>
      <c r="M21" s="63">
        <v>3665</v>
      </c>
      <c r="N21" s="28">
        <f t="shared" ref="N21:N52" si="5">M21/$AH21</f>
        <v>1.8135825207263039E-3</v>
      </c>
      <c r="O21" s="112" t="s">
        <v>3851</v>
      </c>
      <c r="P21" s="49">
        <v>45369</v>
      </c>
      <c r="Q21" s="35" t="s">
        <v>3805</v>
      </c>
      <c r="R21" s="35" t="str">
        <f>IF(OR(Q21="CT207",Q21="CT209",Q21="CT211"),"Rentabilidade",IF(Q21="Corporativo","Corporativo",IF(Q21="Calculado","Calculado",IF(Q21="LT ESTR","LT ESTR", IF(Q21="Modelo Verde","Modelo Verde",NA)))))</f>
        <v>Rentabilidade</v>
      </c>
      <c r="S21" s="36" t="s">
        <v>3798</v>
      </c>
      <c r="T21" s="35" t="s">
        <v>3706</v>
      </c>
      <c r="U21" s="35" t="s">
        <v>3706</v>
      </c>
      <c r="V21" s="35" t="str">
        <f>IF(AND(T21="OK",U21="OK"),"OK",IF(AND(T21="Not Started",U21="Not Started"),"Not Started",IF(AND(T21="NOK",U21="NOK"),"NOK",IF(AND(T21="WIP",U21="WIP"),"WIP",IF(AND(OR(T21="OK",U21="OK"))*(OR(T21="NOK",U21="NOK")),"NOK","NA")))))</f>
        <v>OK</v>
      </c>
      <c r="W21" s="35" t="s">
        <v>3712</v>
      </c>
      <c r="X21" s="83" t="str">
        <f t="shared" ref="X21:X52" si="6">IF(OR(O21="Em teste",O21="Em análise de requisitos"),"Test Team",IF(OR(O21="Em Correção",O21="Em Implementação"),"IT Team",IF(O21="Concluído","Fechado","NA")))</f>
        <v>IT Team</v>
      </c>
      <c r="Y21" s="32"/>
      <c r="Z21" s="23">
        <v>1225899</v>
      </c>
      <c r="AA21" s="1"/>
      <c r="AE21">
        <v>432</v>
      </c>
      <c r="AF21">
        <v>790866</v>
      </c>
      <c r="AG21">
        <v>3665</v>
      </c>
      <c r="AH21">
        <v>2020862</v>
      </c>
      <c r="AI21">
        <f t="shared" ref="AI21:AI38" si="7">AH21-M21-K21-G21-E21-C21-I21</f>
        <v>0</v>
      </c>
      <c r="AJ21">
        <f t="shared" ref="AJ21:AJ52" si="8">AH21-SUM(Z21:AG21)</f>
        <v>0</v>
      </c>
      <c r="AK21" t="s">
        <v>3706</v>
      </c>
      <c r="AL21" s="94" t="s">
        <v>3861</v>
      </c>
    </row>
    <row r="22" spans="2:38" x14ac:dyDescent="0.3">
      <c r="B22" s="95" t="s">
        <v>3708</v>
      </c>
      <c r="C22" s="63">
        <f>1225899+668159+122462+220+3</f>
        <v>2016743</v>
      </c>
      <c r="D22" s="64">
        <f t="shared" si="0"/>
        <v>0.99796176087234056</v>
      </c>
      <c r="E22" s="63"/>
      <c r="F22" s="64">
        <f t="shared" si="1"/>
        <v>0</v>
      </c>
      <c r="G22" s="63"/>
      <c r="H22" s="64">
        <f t="shared" si="2"/>
        <v>0</v>
      </c>
      <c r="I22" s="63">
        <f>432+22</f>
        <v>454</v>
      </c>
      <c r="J22" s="64">
        <f t="shared" si="3"/>
        <v>2.2465660693308102E-4</v>
      </c>
      <c r="K22" s="63">
        <f>AH22-C22-I22-M22</f>
        <v>0</v>
      </c>
      <c r="L22" s="64">
        <f t="shared" si="4"/>
        <v>0</v>
      </c>
      <c r="M22" s="63">
        <v>3665</v>
      </c>
      <c r="N22" s="64">
        <f t="shared" si="5"/>
        <v>1.8135825207263039E-3</v>
      </c>
      <c r="O22" s="111" t="s">
        <v>3795</v>
      </c>
      <c r="P22" s="49">
        <v>45369</v>
      </c>
      <c r="Q22" s="72" t="s">
        <v>3805</v>
      </c>
      <c r="R22" s="72" t="str">
        <f>IF(OR(Q22="CT207",Q22="CT209",Q22="CT211"),"Rentabilidade",IF(Q22="Corporativo","Corporativo",IF(Q22="Calculado","Calculado",IF(Q22="LT ESTR","LT ESTR", IF(Q22="Modelo Verde","Modelo Verde",NA)))))</f>
        <v>Rentabilidade</v>
      </c>
      <c r="S22" s="73" t="s">
        <v>3798</v>
      </c>
      <c r="T22" s="72" t="s">
        <v>3706</v>
      </c>
      <c r="U22" s="72" t="s">
        <v>3706</v>
      </c>
      <c r="V22" s="72" t="str">
        <f t="shared" ref="V22:V71" si="9">IF(AND(T22="OK",U22="OK"),"OK",IF(AND(T22="Not Started",U22="Not Started"),"Not Started",IF(AND(T22="NOK",U22="NOK"),"NOK",IF(AND(T22="WIP",U22="WIP"),"WIP",IF(AND(OR(T22="OK",U22="OK"))*(OR(T22="NOK",U22="NOK")),"NOK","NA")))))</f>
        <v>OK</v>
      </c>
      <c r="W22" s="72" t="s">
        <v>3706</v>
      </c>
      <c r="X22" s="107" t="str">
        <f t="shared" si="6"/>
        <v>IT Team</v>
      </c>
      <c r="Y22" s="32"/>
      <c r="AE22">
        <v>432</v>
      </c>
      <c r="AH22">
        <v>2020862</v>
      </c>
      <c r="AI22">
        <f t="shared" si="7"/>
        <v>0</v>
      </c>
      <c r="AJ22">
        <f t="shared" si="8"/>
        <v>2020430</v>
      </c>
      <c r="AK22" t="s">
        <v>3706</v>
      </c>
      <c r="AL22" s="94" t="str">
        <f t="shared" ref="AL22:AL53" si="10">IF(S21 &lt;&gt; "Removido 22/12/2023", "A Considerar", "Removido")</f>
        <v>A Considerar</v>
      </c>
    </row>
    <row r="23" spans="2:38" x14ac:dyDescent="0.3">
      <c r="B23" s="81" t="s">
        <v>3735</v>
      </c>
      <c r="C23" s="25">
        <v>2020862</v>
      </c>
      <c r="D23" s="28">
        <f t="shared" si="0"/>
        <v>1</v>
      </c>
      <c r="E23" s="25"/>
      <c r="F23" s="28">
        <f t="shared" si="1"/>
        <v>0</v>
      </c>
      <c r="G23" s="63"/>
      <c r="H23" s="28">
        <f t="shared" si="2"/>
        <v>0</v>
      </c>
      <c r="I23" s="63"/>
      <c r="J23" s="28">
        <f t="shared" si="3"/>
        <v>0</v>
      </c>
      <c r="K23" s="63"/>
      <c r="L23" s="28">
        <f t="shared" si="4"/>
        <v>0</v>
      </c>
      <c r="M23" s="63"/>
      <c r="N23" s="28">
        <f t="shared" si="5"/>
        <v>0</v>
      </c>
      <c r="O23" s="103" t="s">
        <v>3787</v>
      </c>
      <c r="P23" s="49">
        <v>45324</v>
      </c>
      <c r="Q23" s="49" t="s">
        <v>3803</v>
      </c>
      <c r="R23" s="35" t="str">
        <f>IF(OR(Q23="CT207",Q23="CT209",Q23="CT211"),"Rentabilidade",IF(Q23="Corporativo","Corporativo",IF(Q23="Calculado","Calculado",IF(Q23="LT ESTR","LT ESTR", IF(Q23="Modelo Verde","Modelo Verde",NA)))))</f>
        <v>LT ESTR</v>
      </c>
      <c r="S23" s="36" t="s">
        <v>3798</v>
      </c>
      <c r="T23" s="35" t="s">
        <v>3706</v>
      </c>
      <c r="U23" s="35" t="s">
        <v>3706</v>
      </c>
      <c r="V23" s="35" t="str">
        <f t="shared" si="9"/>
        <v>OK</v>
      </c>
      <c r="W23" s="35" t="s">
        <v>3706</v>
      </c>
      <c r="X23" s="83" t="str">
        <f t="shared" si="6"/>
        <v>Fechado</v>
      </c>
      <c r="Y23" s="67" t="s">
        <v>3788</v>
      </c>
      <c r="Z23" s="25"/>
      <c r="AA23" s="25"/>
      <c r="AB23" s="25"/>
      <c r="AC23" s="25"/>
      <c r="AD23" s="25"/>
      <c r="AE23" s="25"/>
      <c r="AF23" s="25"/>
      <c r="AG23" s="25"/>
      <c r="AH23" s="23">
        <v>2020862</v>
      </c>
      <c r="AI23" s="1">
        <f t="shared" si="7"/>
        <v>0</v>
      </c>
      <c r="AJ23" s="1">
        <f t="shared" si="8"/>
        <v>2020862</v>
      </c>
      <c r="AK23" t="s">
        <v>3706</v>
      </c>
      <c r="AL23" s="94" t="str">
        <f t="shared" si="10"/>
        <v>A Considerar</v>
      </c>
    </row>
    <row r="24" spans="2:38" x14ac:dyDescent="0.3">
      <c r="B24" s="95" t="s">
        <v>3711</v>
      </c>
      <c r="C24" s="63">
        <f>1184384+666817+23280+47624</f>
        <v>1922105</v>
      </c>
      <c r="D24" s="64">
        <f t="shared" si="0"/>
        <v>0.95113124993195974</v>
      </c>
      <c r="E24" s="63"/>
      <c r="F24" s="64">
        <f t="shared" si="1"/>
        <v>0</v>
      </c>
      <c r="G24" s="63">
        <v>1</v>
      </c>
      <c r="H24" s="64">
        <f t="shared" si="2"/>
        <v>4.9483834126229304E-7</v>
      </c>
      <c r="I24" s="63">
        <f>432+22+51780</f>
        <v>52234</v>
      </c>
      <c r="J24" s="64">
        <f t="shared" si="3"/>
        <v>2.5847385917494612E-2</v>
      </c>
      <c r="K24" s="96">
        <f>AH24-C24-Table13[[#This Row],['# Instrumentos  ]]-I24-M24</f>
        <v>42857</v>
      </c>
      <c r="L24" s="64">
        <f t="shared" si="4"/>
        <v>2.1207286791478094E-2</v>
      </c>
      <c r="M24" s="63">
        <v>3665</v>
      </c>
      <c r="N24" s="64">
        <f t="shared" si="5"/>
        <v>1.8135825207263039E-3</v>
      </c>
      <c r="O24" s="112" t="s">
        <v>3851</v>
      </c>
      <c r="P24" s="49">
        <v>45369</v>
      </c>
      <c r="Q24" s="35" t="s">
        <v>3805</v>
      </c>
      <c r="R24" s="35" t="str">
        <f>IF(OR(Q24="CT207",Q24="CT209",Q24="CT211"),"Rentabilidade",IF(Q24="Corporativo","Corporativo",IF(Q24="Calculado","Calculado",IF(Q24="LT ESTR","LT ESTR", IF(Q24="Modelo Verde","Modelo Verde",NA)))))</f>
        <v>Rentabilidade</v>
      </c>
      <c r="S24" s="36" t="s">
        <v>3798</v>
      </c>
      <c r="T24" s="72" t="s">
        <v>3706</v>
      </c>
      <c r="U24" s="72" t="s">
        <v>3706</v>
      </c>
      <c r="V24" s="72" t="str">
        <f t="shared" si="9"/>
        <v>OK</v>
      </c>
      <c r="W24" s="72" t="s">
        <v>3712</v>
      </c>
      <c r="X24" s="83" t="str">
        <f t="shared" si="6"/>
        <v>IT Team</v>
      </c>
      <c r="Y24" s="32"/>
      <c r="Z24">
        <v>1184384</v>
      </c>
      <c r="AE24">
        <v>424</v>
      </c>
      <c r="AF24">
        <f>AH24-AG24-AE24-Z24</f>
        <v>832389</v>
      </c>
      <c r="AG24">
        <v>3665</v>
      </c>
      <c r="AH24">
        <v>2020862</v>
      </c>
      <c r="AI24">
        <f t="shared" si="7"/>
        <v>0</v>
      </c>
      <c r="AJ24">
        <f t="shared" si="8"/>
        <v>0</v>
      </c>
      <c r="AK24" t="s">
        <v>3706</v>
      </c>
      <c r="AL24" s="94" t="str">
        <f t="shared" si="10"/>
        <v>A Considerar</v>
      </c>
    </row>
    <row r="25" spans="2:38" s="70" customFormat="1" x14ac:dyDescent="0.3">
      <c r="B25" s="81" t="s">
        <v>3752</v>
      </c>
      <c r="C25" s="63">
        <f>1223988+668180</f>
        <v>1892168</v>
      </c>
      <c r="D25" s="64">
        <f t="shared" si="0"/>
        <v>0.93631727450959046</v>
      </c>
      <c r="E25" s="63"/>
      <c r="F25" s="64">
        <f t="shared" si="1"/>
        <v>0</v>
      </c>
      <c r="G25" s="63"/>
      <c r="H25" s="64">
        <f t="shared" si="2"/>
        <v>0</v>
      </c>
      <c r="I25" s="63">
        <f>36+2307+1</f>
        <v>2344</v>
      </c>
      <c r="J25" s="64">
        <f t="shared" si="3"/>
        <v>1.1599010719188149E-3</v>
      </c>
      <c r="K25" s="63">
        <f>AH25-C25-G25-I25-M25</f>
        <v>122685</v>
      </c>
      <c r="L25" s="64">
        <f t="shared" si="4"/>
        <v>6.0709241897764422E-2</v>
      </c>
      <c r="M25" s="63">
        <v>3665</v>
      </c>
      <c r="N25" s="64">
        <f t="shared" si="5"/>
        <v>1.8135825207263039E-3</v>
      </c>
      <c r="O25" s="102" t="s">
        <v>3783</v>
      </c>
      <c r="P25" s="71">
        <v>45338</v>
      </c>
      <c r="Q25" s="72" t="s">
        <v>3807</v>
      </c>
      <c r="R25" s="72" t="str">
        <f>IF(OR(Q25="CT207",Q25="CT209",Q25="CT211"),"Rentabilidade",IF(Q25="Corporativo","Corporativo",IF(Q25="Calculado","Calculado",IF(Q25="LT ESTR","LT ESTR", IF(Q25="Modelo Verde","Modelo Verde",NA)))))</f>
        <v>Rentabilidade</v>
      </c>
      <c r="S25" s="73" t="s">
        <v>3798</v>
      </c>
      <c r="T25" s="72" t="s">
        <v>3712</v>
      </c>
      <c r="U25" s="72" t="s">
        <v>3712</v>
      </c>
      <c r="V25" s="72" t="str">
        <f t="shared" si="9"/>
        <v>WIP</v>
      </c>
      <c r="W25" s="72" t="s">
        <v>3816</v>
      </c>
      <c r="X25" s="107" t="str">
        <f t="shared" si="6"/>
        <v>Test Team</v>
      </c>
      <c r="Y25" s="63"/>
      <c r="Z25" s="66"/>
      <c r="AA25" s="66"/>
      <c r="AB25" s="66"/>
      <c r="AC25" s="66"/>
      <c r="AD25" s="66"/>
      <c r="AE25" s="66"/>
      <c r="AF25" s="66"/>
      <c r="AG25" s="66"/>
      <c r="AH25" s="23">
        <v>2020862</v>
      </c>
      <c r="AI25" s="74">
        <f t="shared" si="7"/>
        <v>0</v>
      </c>
      <c r="AJ25" s="69">
        <f t="shared" si="8"/>
        <v>2020862</v>
      </c>
      <c r="AK25" s="70" t="s">
        <v>3844</v>
      </c>
      <c r="AL25" s="94" t="str">
        <f t="shared" si="10"/>
        <v>A Considerar</v>
      </c>
    </row>
    <row r="26" spans="2:38" x14ac:dyDescent="0.3">
      <c r="B26" s="95" t="s">
        <v>3709</v>
      </c>
      <c r="C26" s="25">
        <f>1225899+668159+122631+46</f>
        <v>2016735</v>
      </c>
      <c r="D26" s="28">
        <f t="shared" si="0"/>
        <v>0.99795780216561047</v>
      </c>
      <c r="E26" s="25"/>
      <c r="F26" s="28">
        <f t="shared" si="1"/>
        <v>0</v>
      </c>
      <c r="G26" s="63">
        <v>8</v>
      </c>
      <c r="H26" s="28">
        <f t="shared" si="2"/>
        <v>3.9587067300983443E-6</v>
      </c>
      <c r="I26" s="25">
        <f>432+22</f>
        <v>454</v>
      </c>
      <c r="J26" s="28">
        <f t="shared" si="3"/>
        <v>2.2465660693308102E-4</v>
      </c>
      <c r="K26" s="63">
        <f>AH26-C26-G26-I26-M26</f>
        <v>0</v>
      </c>
      <c r="L26" s="28">
        <f t="shared" si="4"/>
        <v>0</v>
      </c>
      <c r="M26" s="63">
        <v>3665</v>
      </c>
      <c r="N26" s="28">
        <f t="shared" si="5"/>
        <v>1.8135825207263039E-3</v>
      </c>
      <c r="O26" s="112" t="s">
        <v>3851</v>
      </c>
      <c r="P26" s="49">
        <v>45369</v>
      </c>
      <c r="Q26" s="35" t="s">
        <v>3805</v>
      </c>
      <c r="R26" s="35" t="str">
        <f>IF(OR(Q26="CT207",Q26="CT209",Q26="CT211"),"Rentabilidade",IF(Q26="Corporativo","Corporativo",IF(Q26="Calculado","Calculado",IF(Q26="LT ESTR","LT ESTR", IF(Q26="Modelo Verde","Modelo Verde",NA)))))</f>
        <v>Rentabilidade</v>
      </c>
      <c r="S26" s="36" t="s">
        <v>3798</v>
      </c>
      <c r="T26" s="35" t="s">
        <v>3706</v>
      </c>
      <c r="U26" s="35" t="s">
        <v>3706</v>
      </c>
      <c r="V26" s="35" t="str">
        <f t="shared" si="9"/>
        <v>OK</v>
      </c>
      <c r="W26" s="35" t="s">
        <v>3707</v>
      </c>
      <c r="X26" s="83" t="str">
        <f t="shared" si="6"/>
        <v>IT Team</v>
      </c>
      <c r="Y26" s="32"/>
      <c r="Z26" s="25">
        <v>1225899</v>
      </c>
      <c r="AA26" s="25"/>
      <c r="AB26" s="25"/>
      <c r="AC26" s="25"/>
      <c r="AD26" s="25">
        <v>790866</v>
      </c>
      <c r="AE26" s="25">
        <v>432</v>
      </c>
      <c r="AF26" s="25"/>
      <c r="AG26" s="25">
        <v>3665</v>
      </c>
      <c r="AH26" s="23">
        <v>2020862</v>
      </c>
      <c r="AI26" s="1">
        <f t="shared" si="7"/>
        <v>0</v>
      </c>
      <c r="AJ26" s="1">
        <f t="shared" si="8"/>
        <v>0</v>
      </c>
      <c r="AK26" t="s">
        <v>3842</v>
      </c>
      <c r="AL26" s="94" t="str">
        <f t="shared" si="10"/>
        <v>A Considerar</v>
      </c>
    </row>
    <row r="27" spans="2:38" x14ac:dyDescent="0.3">
      <c r="B27" s="95" t="s">
        <v>3710</v>
      </c>
      <c r="C27" s="25">
        <f>1225899+668159+122682+3</f>
        <v>2016743</v>
      </c>
      <c r="D27" s="28">
        <f t="shared" si="0"/>
        <v>0.99796176087234056</v>
      </c>
      <c r="E27" s="25"/>
      <c r="F27" s="28">
        <f t="shared" si="1"/>
        <v>0</v>
      </c>
      <c r="G27" s="25"/>
      <c r="H27" s="28">
        <f t="shared" si="2"/>
        <v>0</v>
      </c>
      <c r="I27" s="25">
        <f>432+22</f>
        <v>454</v>
      </c>
      <c r="J27" s="28">
        <f t="shared" si="3"/>
        <v>2.2465660693308102E-4</v>
      </c>
      <c r="K27" s="63">
        <f>AH27-C27-G27-I27-M27</f>
        <v>0</v>
      </c>
      <c r="L27" s="28">
        <f t="shared" si="4"/>
        <v>0</v>
      </c>
      <c r="M27" s="63">
        <v>3665</v>
      </c>
      <c r="N27" s="28">
        <f t="shared" si="5"/>
        <v>1.8135825207263039E-3</v>
      </c>
      <c r="O27" s="111" t="s">
        <v>3795</v>
      </c>
      <c r="P27" s="49">
        <v>45369</v>
      </c>
      <c r="Q27" s="35" t="s">
        <v>3805</v>
      </c>
      <c r="R27" s="35" t="str">
        <f>IF(OR(Q27="CT207",Q27="CT209",Q27="CT211"),"Rentabilidade",IF(Q27="Corporativo","Corporativo",IF(Q27="Calculado","Calculado",IF(Q27="LT ESTR","LT ESTR", IF(Q27="Modelo Verde","Modelo Verde",NA)))))</f>
        <v>Rentabilidade</v>
      </c>
      <c r="S27" s="36" t="s">
        <v>3798</v>
      </c>
      <c r="T27" s="35" t="s">
        <v>3706</v>
      </c>
      <c r="U27" s="35" t="s">
        <v>3706</v>
      </c>
      <c r="V27" s="35" t="str">
        <f t="shared" si="9"/>
        <v>OK</v>
      </c>
      <c r="W27" s="35" t="s">
        <v>3816</v>
      </c>
      <c r="X27" s="83" t="str">
        <f t="shared" si="6"/>
        <v>IT Team</v>
      </c>
      <c r="Y27" s="25" t="s">
        <v>3789</v>
      </c>
      <c r="Z27" s="25">
        <v>1225309</v>
      </c>
      <c r="AA27" s="25"/>
      <c r="AB27" s="25">
        <v>590</v>
      </c>
      <c r="AC27" s="25"/>
      <c r="AD27" s="25"/>
      <c r="AE27" s="25">
        <v>432</v>
      </c>
      <c r="AF27" s="25">
        <v>790866</v>
      </c>
      <c r="AG27" s="25">
        <v>3665</v>
      </c>
      <c r="AH27" s="23">
        <v>2020862</v>
      </c>
      <c r="AI27" s="1">
        <f t="shared" si="7"/>
        <v>0</v>
      </c>
      <c r="AJ27" s="1">
        <f t="shared" si="8"/>
        <v>0</v>
      </c>
      <c r="AK27" t="s">
        <v>3842</v>
      </c>
      <c r="AL27" s="94" t="str">
        <f t="shared" si="10"/>
        <v>A Considerar</v>
      </c>
    </row>
    <row r="28" spans="2:38" x14ac:dyDescent="0.3">
      <c r="B28" s="81" t="s">
        <v>3740</v>
      </c>
      <c r="C28" s="25">
        <v>2020862</v>
      </c>
      <c r="D28" s="28">
        <f t="shared" si="0"/>
        <v>1</v>
      </c>
      <c r="E28" s="25"/>
      <c r="F28" s="28">
        <f t="shared" si="1"/>
        <v>0</v>
      </c>
      <c r="G28" s="25"/>
      <c r="H28" s="28">
        <f t="shared" si="2"/>
        <v>0</v>
      </c>
      <c r="I28" s="25"/>
      <c r="J28" s="28">
        <f t="shared" si="3"/>
        <v>0</v>
      </c>
      <c r="K28" s="63"/>
      <c r="L28" s="28">
        <f t="shared" si="4"/>
        <v>0</v>
      </c>
      <c r="M28" s="63"/>
      <c r="N28" s="28">
        <f t="shared" si="5"/>
        <v>0</v>
      </c>
      <c r="O28" s="103" t="s">
        <v>3787</v>
      </c>
      <c r="P28" s="49">
        <v>45317</v>
      </c>
      <c r="Q28" s="35" t="s">
        <v>3803</v>
      </c>
      <c r="R28" s="35" t="str">
        <f>IF(OR(Q28="CT207",Q28="CT209",Q28="CT211"),"Rentabilidade",IF(Q28="Corporativo","Corporativo",IF(Q28="Calculado","Calculado",IF(Q28="LT ESTR","LT ESTR", IF(Q28="Modelo Verde","Modelo Verde",NA)))))</f>
        <v>LT ESTR</v>
      </c>
      <c r="S28" s="36" t="s">
        <v>3798</v>
      </c>
      <c r="T28" s="35" t="s">
        <v>3706</v>
      </c>
      <c r="U28" s="35" t="s">
        <v>3706</v>
      </c>
      <c r="V28" s="35" t="str">
        <f t="shared" si="9"/>
        <v>OK</v>
      </c>
      <c r="W28" s="35" t="s">
        <v>3706</v>
      </c>
      <c r="X28" s="83" t="str">
        <f t="shared" si="6"/>
        <v>Fechado</v>
      </c>
      <c r="Y28" s="68" t="s">
        <v>3785</v>
      </c>
      <c r="Z28" s="25"/>
      <c r="AA28" s="25"/>
      <c r="AB28" s="25"/>
      <c r="AC28" s="25"/>
      <c r="AD28" s="25"/>
      <c r="AE28" s="25"/>
      <c r="AF28" s="25"/>
      <c r="AG28" s="25"/>
      <c r="AH28" s="23">
        <v>2020862</v>
      </c>
      <c r="AI28" s="1">
        <f t="shared" si="7"/>
        <v>0</v>
      </c>
      <c r="AJ28" s="1">
        <f t="shared" si="8"/>
        <v>2020862</v>
      </c>
      <c r="AK28" t="s">
        <v>3706</v>
      </c>
      <c r="AL28" s="94" t="str">
        <f t="shared" si="10"/>
        <v>A Considerar</v>
      </c>
    </row>
    <row r="29" spans="2:38" x14ac:dyDescent="0.3">
      <c r="B29" s="81" t="s">
        <v>3745</v>
      </c>
      <c r="C29" s="25">
        <v>2020862</v>
      </c>
      <c r="D29" s="28">
        <f t="shared" si="0"/>
        <v>1</v>
      </c>
      <c r="E29" s="26"/>
      <c r="F29" s="28">
        <f t="shared" si="1"/>
        <v>0</v>
      </c>
      <c r="G29" s="25"/>
      <c r="H29" s="28">
        <f t="shared" si="2"/>
        <v>0</v>
      </c>
      <c r="I29" s="25"/>
      <c r="J29" s="28">
        <f t="shared" si="3"/>
        <v>0</v>
      </c>
      <c r="K29" s="63"/>
      <c r="L29" s="28">
        <f t="shared" si="4"/>
        <v>0</v>
      </c>
      <c r="M29" s="63"/>
      <c r="N29" s="28">
        <f t="shared" si="5"/>
        <v>0</v>
      </c>
      <c r="O29" s="103" t="s">
        <v>3787</v>
      </c>
      <c r="P29" s="49">
        <v>45321</v>
      </c>
      <c r="Q29" s="35" t="s">
        <v>3803</v>
      </c>
      <c r="R29" s="35" t="str">
        <f>IF(OR(Q29="CT207",Q29="CT209",Q29="CT211"),"Rentabilidade",IF(Q29="Corporativo","Corporativo",IF(Q29="Calculado","Calculado",IF(Q29="LT ESTR","LT ESTR", IF(Q29="Modelo Verde","Modelo Verde",NA)))))</f>
        <v>LT ESTR</v>
      </c>
      <c r="S29" s="36" t="s">
        <v>3798</v>
      </c>
      <c r="T29" s="35" t="s">
        <v>3706</v>
      </c>
      <c r="U29" s="35" t="s">
        <v>3706</v>
      </c>
      <c r="V29" s="35" t="str">
        <f t="shared" si="9"/>
        <v>OK</v>
      </c>
      <c r="W29" s="35" t="s">
        <v>3706</v>
      </c>
      <c r="X29" s="83" t="str">
        <f t="shared" si="6"/>
        <v>Fechado</v>
      </c>
      <c r="Y29" s="67"/>
      <c r="Z29" s="25"/>
      <c r="AA29" s="25"/>
      <c r="AB29" s="25"/>
      <c r="AC29" s="25"/>
      <c r="AD29" s="25"/>
      <c r="AE29" s="25"/>
      <c r="AF29" s="25"/>
      <c r="AG29" s="25"/>
      <c r="AH29" s="23">
        <v>2020862</v>
      </c>
      <c r="AI29" s="1">
        <f t="shared" si="7"/>
        <v>0</v>
      </c>
      <c r="AJ29" s="1">
        <f t="shared" si="8"/>
        <v>2020862</v>
      </c>
      <c r="AK29" t="s">
        <v>3706</v>
      </c>
      <c r="AL29" s="94" t="str">
        <f t="shared" si="10"/>
        <v>A Considerar</v>
      </c>
    </row>
    <row r="30" spans="2:38" x14ac:dyDescent="0.3">
      <c r="B30" s="81" t="s">
        <v>3741</v>
      </c>
      <c r="C30" s="25">
        <v>2020862</v>
      </c>
      <c r="D30" s="28">
        <f t="shared" si="0"/>
        <v>1</v>
      </c>
      <c r="E30" s="26"/>
      <c r="F30" s="28">
        <f t="shared" si="1"/>
        <v>0</v>
      </c>
      <c r="G30" s="25"/>
      <c r="H30" s="28">
        <f t="shared" si="2"/>
        <v>0</v>
      </c>
      <c r="I30" s="25"/>
      <c r="J30" s="28">
        <f t="shared" si="3"/>
        <v>0</v>
      </c>
      <c r="K30" s="63"/>
      <c r="L30" s="28">
        <f t="shared" si="4"/>
        <v>0</v>
      </c>
      <c r="M30" s="63"/>
      <c r="N30" s="28">
        <f t="shared" si="5"/>
        <v>0</v>
      </c>
      <c r="O30" s="103" t="s">
        <v>3787</v>
      </c>
      <c r="P30" s="49">
        <v>45321</v>
      </c>
      <c r="Q30" s="35" t="s">
        <v>3803</v>
      </c>
      <c r="R30" s="35" t="str">
        <f>IF(OR(Q30="CT207",Q30="CT209",Q30="CT211"),"Rentabilidade",IF(Q30="Corporativo","Corporativo",IF(Q30="Calculado","Calculado",IF(Q30="LT ESTR","LT ESTR", IF(Q30="Modelo Verde","Modelo Verde",NA)))))</f>
        <v>LT ESTR</v>
      </c>
      <c r="S30" s="36" t="s">
        <v>3798</v>
      </c>
      <c r="T30" s="35" t="s">
        <v>3706</v>
      </c>
      <c r="U30" s="35" t="s">
        <v>3706</v>
      </c>
      <c r="V30" s="35" t="str">
        <f t="shared" si="9"/>
        <v>OK</v>
      </c>
      <c r="W30" s="35" t="s">
        <v>3706</v>
      </c>
      <c r="X30" s="83" t="str">
        <f t="shared" si="6"/>
        <v>Fechado</v>
      </c>
      <c r="Y30" s="67"/>
      <c r="Z30" s="25"/>
      <c r="AA30" s="25"/>
      <c r="AB30" s="25"/>
      <c r="AC30" s="25"/>
      <c r="AD30" s="25"/>
      <c r="AE30" s="25"/>
      <c r="AF30" s="25"/>
      <c r="AG30" s="25"/>
      <c r="AH30" s="23">
        <v>2020862</v>
      </c>
      <c r="AI30" s="1">
        <f t="shared" si="7"/>
        <v>0</v>
      </c>
      <c r="AJ30" s="1">
        <f t="shared" si="8"/>
        <v>2020862</v>
      </c>
      <c r="AK30" t="s">
        <v>3706</v>
      </c>
      <c r="AL30" s="94" t="str">
        <f t="shared" si="10"/>
        <v>A Considerar</v>
      </c>
    </row>
    <row r="31" spans="2:38" x14ac:dyDescent="0.3">
      <c r="B31" s="95" t="s">
        <v>3722</v>
      </c>
      <c r="C31" s="63">
        <f>1110197+588278</f>
        <v>1698475</v>
      </c>
      <c r="D31" s="64">
        <f t="shared" si="0"/>
        <v>0.84047055167547313</v>
      </c>
      <c r="E31" s="63"/>
      <c r="F31" s="64">
        <f t="shared" si="1"/>
        <v>0</v>
      </c>
      <c r="G31" s="63"/>
      <c r="H31" s="64">
        <f t="shared" si="2"/>
        <v>0</v>
      </c>
      <c r="I31" s="63">
        <f>12+116122+44105</f>
        <v>160239</v>
      </c>
      <c r="J31" s="64">
        <f t="shared" si="3"/>
        <v>7.9292400965528573E-2</v>
      </c>
      <c r="K31" s="63">
        <f>AH31-C31-G31-I31-M31</f>
        <v>158483</v>
      </c>
      <c r="L31" s="64">
        <f t="shared" si="4"/>
        <v>7.8423464838271992E-2</v>
      </c>
      <c r="M31" s="63">
        <v>3665</v>
      </c>
      <c r="N31" s="64">
        <f t="shared" si="5"/>
        <v>1.8135825207263039E-3</v>
      </c>
      <c r="O31" s="112" t="s">
        <v>3851</v>
      </c>
      <c r="P31" s="71">
        <v>45352</v>
      </c>
      <c r="Q31" s="72" t="s">
        <v>3807</v>
      </c>
      <c r="R31" s="35" t="str">
        <f>IF(OR(Q31="CT207",Q31="CT209",Q31="CT211"),"Rentabilidade",IF(Q31="Corporativo","Corporativo",IF(Q31="Calculado","Calculado",IF(Q31="LT ESTR","LT ESTR", IF(Q31="Modelo Verde","Modelo Verde",NA)))))</f>
        <v>Rentabilidade</v>
      </c>
      <c r="S31" s="73" t="s">
        <v>3798</v>
      </c>
      <c r="T31" s="72" t="s">
        <v>3712</v>
      </c>
      <c r="U31" s="72" t="s">
        <v>3712</v>
      </c>
      <c r="V31" s="35" t="str">
        <f t="shared" si="9"/>
        <v>WIP</v>
      </c>
      <c r="W31" s="72" t="s">
        <v>3816</v>
      </c>
      <c r="X31" s="83" t="str">
        <f t="shared" si="6"/>
        <v>IT Team</v>
      </c>
      <c r="Y31" s="63"/>
      <c r="Z31" s="25"/>
      <c r="AA31" s="25"/>
      <c r="AB31" s="25"/>
      <c r="AC31" s="25"/>
      <c r="AD31" s="25"/>
      <c r="AE31" s="25"/>
      <c r="AF31" s="25"/>
      <c r="AG31" s="25"/>
      <c r="AH31" s="23">
        <v>2020862</v>
      </c>
      <c r="AI31" s="1">
        <f t="shared" si="7"/>
        <v>0</v>
      </c>
      <c r="AJ31" s="1">
        <f t="shared" si="8"/>
        <v>2020862</v>
      </c>
      <c r="AK31" t="s">
        <v>3706</v>
      </c>
      <c r="AL31" s="94" t="str">
        <f t="shared" si="10"/>
        <v>A Considerar</v>
      </c>
    </row>
    <row r="32" spans="2:38" x14ac:dyDescent="0.3">
      <c r="B32" s="95" t="s">
        <v>3723</v>
      </c>
      <c r="C32" s="25">
        <v>1952146</v>
      </c>
      <c r="D32" s="28">
        <f t="shared" si="0"/>
        <v>0.9659966885418203</v>
      </c>
      <c r="E32" s="25"/>
      <c r="F32" s="28">
        <f t="shared" si="1"/>
        <v>0</v>
      </c>
      <c r="G32" s="25"/>
      <c r="H32" s="28">
        <f t="shared" si="2"/>
        <v>0</v>
      </c>
      <c r="I32" s="25">
        <f>AH32-Table13[[#This Row],['# Instrumentos]]-Table13[[#This Row],['# Instrumentos    ]]</f>
        <v>65051</v>
      </c>
      <c r="J32" s="28">
        <f t="shared" si="3"/>
        <v>3.2189728937453421E-2</v>
      </c>
      <c r="K32" s="63"/>
      <c r="L32" s="28">
        <f t="shared" si="4"/>
        <v>0</v>
      </c>
      <c r="M32" s="63">
        <v>3665</v>
      </c>
      <c r="N32" s="28">
        <f t="shared" si="5"/>
        <v>1.8135825207263039E-3</v>
      </c>
      <c r="O32" s="102" t="s">
        <v>3783</v>
      </c>
      <c r="P32" s="49">
        <v>45320</v>
      </c>
      <c r="Q32" s="35" t="s">
        <v>3807</v>
      </c>
      <c r="R32" s="35" t="str">
        <f>IF(OR(Q32="CT207",Q32="CT209",Q32="CT211"),"Rentabilidade",IF(Q32="Corporativo","Corporativo",IF(Q32="Calculado","Calculado",IF(Q32="LT ESTR","LT ESTR", IF(Q32="Modelo Verde","Modelo Verde",NA)))))</f>
        <v>Rentabilidade</v>
      </c>
      <c r="S32" s="36" t="s">
        <v>3798</v>
      </c>
      <c r="T32" s="35" t="s">
        <v>3712</v>
      </c>
      <c r="U32" s="35" t="s">
        <v>3712</v>
      </c>
      <c r="V32" s="35" t="str">
        <f>IF(AND(T32="OK",U32="OK"),"OK",IF(AND(T32="Not Started",U32="Not Started"),"Not Started",IF(AND(T32="NOK",U32="NOK"),"NOK",IF(AND(T32="WIP",U32="WIP"),"WIP",IF(AND(OR(T32="OK",U32="OK"))*(OR(T32="NOK",U32="NOK")),"NOK","NA")))))</f>
        <v>WIP</v>
      </c>
      <c r="W32" s="35" t="s">
        <v>3712</v>
      </c>
      <c r="X32" s="83" t="str">
        <f t="shared" si="6"/>
        <v>Test Team</v>
      </c>
      <c r="Y32" s="25"/>
      <c r="Z32" s="25"/>
      <c r="AA32" s="25"/>
      <c r="AB32" s="25"/>
      <c r="AC32" s="25"/>
      <c r="AD32" s="25"/>
      <c r="AE32" s="25"/>
      <c r="AF32" s="25"/>
      <c r="AG32" s="25"/>
      <c r="AH32" s="23">
        <v>2020862</v>
      </c>
      <c r="AI32" s="1">
        <f t="shared" si="7"/>
        <v>0</v>
      </c>
      <c r="AJ32" s="1">
        <f t="shared" si="8"/>
        <v>2020862</v>
      </c>
      <c r="AK32" t="s">
        <v>3706</v>
      </c>
      <c r="AL32" s="94" t="str">
        <f t="shared" si="10"/>
        <v>A Considerar</v>
      </c>
    </row>
    <row r="33" spans="2:38" x14ac:dyDescent="0.3">
      <c r="B33" s="81" t="s">
        <v>3757</v>
      </c>
      <c r="C33" s="25">
        <v>2020862</v>
      </c>
      <c r="D33" s="28">
        <f t="shared" si="0"/>
        <v>1</v>
      </c>
      <c r="E33" s="25"/>
      <c r="F33" s="28">
        <f t="shared" si="1"/>
        <v>0</v>
      </c>
      <c r="G33" s="25"/>
      <c r="H33" s="28">
        <f t="shared" si="2"/>
        <v>0</v>
      </c>
      <c r="I33" s="25"/>
      <c r="J33" s="28">
        <f t="shared" si="3"/>
        <v>0</v>
      </c>
      <c r="K33" s="63"/>
      <c r="L33" s="28">
        <f t="shared" si="4"/>
        <v>0</v>
      </c>
      <c r="M33" s="63"/>
      <c r="N33" s="28">
        <f t="shared" si="5"/>
        <v>0</v>
      </c>
      <c r="O33" s="103" t="s">
        <v>3787</v>
      </c>
      <c r="P33" s="49">
        <v>45317</v>
      </c>
      <c r="Q33" s="35" t="s">
        <v>3808</v>
      </c>
      <c r="R33" s="35" t="str">
        <f>IF(OR(Q33="CT207",Q33="CT209",Q33="CT211"),"Rentabilidade",IF(Q33="Corporativo","Corporativo",IF(Q33="Calculado","Calculado",IF(Q33="LT ESTR","LT ESTR", IF(Q33="Modelo Verde","Modelo Verde",NA)))))</f>
        <v>Corporativo</v>
      </c>
      <c r="S33" s="36" t="s">
        <v>3798</v>
      </c>
      <c r="T33" s="35" t="s">
        <v>3706</v>
      </c>
      <c r="U33" s="35" t="s">
        <v>3706</v>
      </c>
      <c r="V33" s="35" t="str">
        <f t="shared" si="9"/>
        <v>OK</v>
      </c>
      <c r="W33" s="35" t="s">
        <v>3706</v>
      </c>
      <c r="X33" s="83" t="str">
        <f t="shared" si="6"/>
        <v>Fechado</v>
      </c>
      <c r="Y33" s="25"/>
      <c r="Z33" s="25"/>
      <c r="AA33" s="25"/>
      <c r="AB33" s="25"/>
      <c r="AC33" s="25"/>
      <c r="AD33" s="25"/>
      <c r="AE33" s="25"/>
      <c r="AF33" s="25"/>
      <c r="AG33" s="25"/>
      <c r="AH33" s="23">
        <v>2020862</v>
      </c>
      <c r="AI33" s="1">
        <f t="shared" si="7"/>
        <v>0</v>
      </c>
      <c r="AJ33" s="1">
        <f t="shared" si="8"/>
        <v>2020862</v>
      </c>
      <c r="AK33" t="s">
        <v>3706</v>
      </c>
      <c r="AL33" s="94" t="str">
        <f t="shared" si="10"/>
        <v>A Considerar</v>
      </c>
    </row>
    <row r="34" spans="2:38" x14ac:dyDescent="0.3">
      <c r="B34" s="81" t="s">
        <v>3766</v>
      </c>
      <c r="C34" s="25"/>
      <c r="D34" s="64">
        <f t="shared" si="0"/>
        <v>0</v>
      </c>
      <c r="E34" s="63"/>
      <c r="F34" s="64">
        <f t="shared" si="1"/>
        <v>0</v>
      </c>
      <c r="G34" s="25"/>
      <c r="H34" s="64">
        <f t="shared" si="2"/>
        <v>0</v>
      </c>
      <c r="I34" s="25"/>
      <c r="J34" s="64">
        <f t="shared" si="3"/>
        <v>0</v>
      </c>
      <c r="K34" s="63">
        <v>2020862</v>
      </c>
      <c r="L34" s="64">
        <f t="shared" si="4"/>
        <v>1</v>
      </c>
      <c r="M34" s="63"/>
      <c r="N34" s="64">
        <f t="shared" si="5"/>
        <v>0</v>
      </c>
      <c r="O34" s="104" t="s">
        <v>3795</v>
      </c>
      <c r="P34" s="49">
        <v>45321</v>
      </c>
      <c r="Q34" s="35" t="s">
        <v>3809</v>
      </c>
      <c r="R34" s="35" t="str">
        <f>IF(OR(Q34="CT207",Q34="CT209",Q34="CT211"),"Rentabilidade",IF(Q34="Corporativo","Corporativo",IF(Q34="Calculado","Calculado",IF(Q34="LT ESTR","LT ESTR", IF(Q34="Modelo Verde","Modelo Verde",NA)))))</f>
        <v>Calculado</v>
      </c>
      <c r="S34" s="36" t="s">
        <v>3794</v>
      </c>
      <c r="T34" s="35" t="s">
        <v>3816</v>
      </c>
      <c r="U34" s="35" t="s">
        <v>3816</v>
      </c>
      <c r="V34" s="35" t="str">
        <f t="shared" si="9"/>
        <v>Not Started</v>
      </c>
      <c r="W34" s="35" t="s">
        <v>3816</v>
      </c>
      <c r="X34" s="83" t="str">
        <f t="shared" si="6"/>
        <v>IT Team</v>
      </c>
      <c r="Y34" s="25"/>
      <c r="Z34" s="25"/>
      <c r="AA34" s="25"/>
      <c r="AB34" s="25"/>
      <c r="AC34" s="25"/>
      <c r="AD34" s="25"/>
      <c r="AE34" s="25"/>
      <c r="AF34" s="25"/>
      <c r="AG34" s="25"/>
      <c r="AH34" s="23">
        <v>2020862</v>
      </c>
      <c r="AI34" s="1">
        <f t="shared" si="7"/>
        <v>0</v>
      </c>
      <c r="AJ34" s="1">
        <f t="shared" si="8"/>
        <v>2020862</v>
      </c>
      <c r="AK34" t="s">
        <v>3706</v>
      </c>
      <c r="AL34" s="94" t="str">
        <f t="shared" si="10"/>
        <v>A Considerar</v>
      </c>
    </row>
    <row r="35" spans="2:38" x14ac:dyDescent="0.3">
      <c r="B35" s="81" t="s">
        <v>3731</v>
      </c>
      <c r="C35" s="25">
        <v>2020862</v>
      </c>
      <c r="D35" s="28">
        <f>C38/$AH35</f>
        <v>1</v>
      </c>
      <c r="E35" s="25"/>
      <c r="F35" s="28">
        <f t="shared" si="1"/>
        <v>0</v>
      </c>
      <c r="G35" s="25"/>
      <c r="H35" s="28">
        <f t="shared" si="2"/>
        <v>0</v>
      </c>
      <c r="I35" s="25"/>
      <c r="J35" s="28">
        <f t="shared" si="3"/>
        <v>0</v>
      </c>
      <c r="K35" s="63"/>
      <c r="L35" s="28">
        <f t="shared" si="4"/>
        <v>0</v>
      </c>
      <c r="M35" s="63"/>
      <c r="N35" s="28">
        <f t="shared" si="5"/>
        <v>0</v>
      </c>
      <c r="O35" s="103" t="s">
        <v>3787</v>
      </c>
      <c r="P35" s="49">
        <v>45321</v>
      </c>
      <c r="Q35" s="35" t="s">
        <v>3803</v>
      </c>
      <c r="R35" s="35" t="str">
        <f>IF(OR(Q35="CT207",Q35="CT209",Q35="CT211"),"Rentabilidade",IF(Q35="Corporativo","Corporativo",IF(Q35="Calculado","Calculado",IF(Q35="LT ESTR","LT ESTR", IF(Q35="Modelo Verde","Modelo Verde",NA)))))</f>
        <v>LT ESTR</v>
      </c>
      <c r="S35" s="36" t="s">
        <v>3798</v>
      </c>
      <c r="T35" s="35" t="s">
        <v>3706</v>
      </c>
      <c r="U35" s="35" t="s">
        <v>3706</v>
      </c>
      <c r="V35" s="35" t="str">
        <f t="shared" si="9"/>
        <v>OK</v>
      </c>
      <c r="W35" s="35" t="s">
        <v>3706</v>
      </c>
      <c r="X35" s="83" t="str">
        <f t="shared" si="6"/>
        <v>Fechado</v>
      </c>
      <c r="Y35" s="67"/>
      <c r="Z35" s="25"/>
      <c r="AA35" s="25"/>
      <c r="AB35" s="25"/>
      <c r="AC35" s="25"/>
      <c r="AD35" s="25"/>
      <c r="AE35" s="25"/>
      <c r="AF35" s="25"/>
      <c r="AG35" s="25"/>
      <c r="AH35" s="23">
        <v>2020862</v>
      </c>
      <c r="AI35" s="1">
        <f t="shared" si="7"/>
        <v>0</v>
      </c>
      <c r="AJ35" s="1">
        <f t="shared" si="8"/>
        <v>2020862</v>
      </c>
      <c r="AK35" t="s">
        <v>3706</v>
      </c>
      <c r="AL35" s="94" t="str">
        <f t="shared" si="10"/>
        <v>A Considerar</v>
      </c>
    </row>
    <row r="36" spans="2:38" x14ac:dyDescent="0.3">
      <c r="B36" s="81" t="s">
        <v>3756</v>
      </c>
      <c r="C36" s="25">
        <v>2020862</v>
      </c>
      <c r="D36" s="28">
        <f t="shared" ref="D36:D71" si="11">C36/$AH36</f>
        <v>1</v>
      </c>
      <c r="E36" s="25"/>
      <c r="F36" s="28">
        <f t="shared" si="1"/>
        <v>0</v>
      </c>
      <c r="G36" s="25"/>
      <c r="H36" s="28">
        <f t="shared" si="2"/>
        <v>0</v>
      </c>
      <c r="I36" s="25"/>
      <c r="J36" s="28">
        <f t="shared" si="3"/>
        <v>0</v>
      </c>
      <c r="K36" s="63"/>
      <c r="L36" s="28">
        <f t="shared" si="4"/>
        <v>0</v>
      </c>
      <c r="M36" s="63"/>
      <c r="N36" s="28">
        <f t="shared" si="5"/>
        <v>0</v>
      </c>
      <c r="O36" s="103" t="s">
        <v>3787</v>
      </c>
      <c r="P36" s="49">
        <v>45317</v>
      </c>
      <c r="Q36" s="35" t="s">
        <v>3808</v>
      </c>
      <c r="R36" s="35" t="str">
        <f>IF(OR(Q36="CT207",Q36="CT209",Q36="CT211"),"Rentabilidade",IF(Q36="Corporativo","Corporativo",IF(Q36="Calculado","Calculado",IF(Q36="LT ESTR","LT ESTR", IF(Q36="Modelo Verde","Modelo Verde",NA)))))</f>
        <v>Corporativo</v>
      </c>
      <c r="S36" s="36" t="s">
        <v>3798</v>
      </c>
      <c r="T36" s="35" t="s">
        <v>3706</v>
      </c>
      <c r="U36" s="35" t="s">
        <v>3706</v>
      </c>
      <c r="V36" s="35" t="str">
        <f t="shared" si="9"/>
        <v>OK</v>
      </c>
      <c r="W36" s="35" t="s">
        <v>3706</v>
      </c>
      <c r="X36" s="83" t="str">
        <f t="shared" si="6"/>
        <v>Fechado</v>
      </c>
      <c r="Y36" s="25"/>
      <c r="Z36" s="25"/>
      <c r="AA36" s="25"/>
      <c r="AB36" s="25"/>
      <c r="AC36" s="25"/>
      <c r="AD36" s="25"/>
      <c r="AE36" s="25"/>
      <c r="AF36" s="25"/>
      <c r="AG36" s="25"/>
      <c r="AH36" s="23">
        <v>2020862</v>
      </c>
      <c r="AI36" s="1">
        <f t="shared" si="7"/>
        <v>0</v>
      </c>
      <c r="AJ36" s="1">
        <f t="shared" si="8"/>
        <v>2020862</v>
      </c>
      <c r="AK36" t="s">
        <v>3706</v>
      </c>
      <c r="AL36" s="94" t="str">
        <f t="shared" si="10"/>
        <v>A Considerar</v>
      </c>
    </row>
    <row r="37" spans="2:38" x14ac:dyDescent="0.3">
      <c r="B37" s="81" t="s">
        <v>3746</v>
      </c>
      <c r="C37" s="25"/>
      <c r="D37" s="64">
        <f t="shared" si="11"/>
        <v>0</v>
      </c>
      <c r="E37" s="63"/>
      <c r="F37" s="64">
        <f t="shared" si="1"/>
        <v>0</v>
      </c>
      <c r="G37" s="25"/>
      <c r="H37" s="64">
        <f t="shared" si="2"/>
        <v>0</v>
      </c>
      <c r="I37" s="25"/>
      <c r="J37" s="64">
        <f t="shared" si="3"/>
        <v>0</v>
      </c>
      <c r="K37" s="63">
        <v>2020862</v>
      </c>
      <c r="L37" s="64">
        <f t="shared" si="4"/>
        <v>1</v>
      </c>
      <c r="M37" s="63"/>
      <c r="N37" s="64">
        <f t="shared" si="5"/>
        <v>0</v>
      </c>
      <c r="O37" s="104" t="s">
        <v>3795</v>
      </c>
      <c r="P37" s="49">
        <v>45322</v>
      </c>
      <c r="Q37" s="35" t="s">
        <v>3803</v>
      </c>
      <c r="R37" s="35" t="str">
        <f>IF(OR(Q37="CT207",Q37="CT209",Q37="CT211"),"Rentabilidade",IF(Q37="Corporativo","Corporativo",IF(Q37="Calculado","Calculado",IF(Q37="LT ESTR","LT ESTR", IF(Q37="Modelo Verde","Modelo Verde",NA)))))</f>
        <v>LT ESTR</v>
      </c>
      <c r="S37" s="36" t="s">
        <v>3794</v>
      </c>
      <c r="T37" s="35" t="s">
        <v>3816</v>
      </c>
      <c r="U37" s="35" t="s">
        <v>3816</v>
      </c>
      <c r="V37" s="35" t="str">
        <f t="shared" si="9"/>
        <v>Not Started</v>
      </c>
      <c r="W37" s="35" t="s">
        <v>3816</v>
      </c>
      <c r="X37" s="83" t="str">
        <f t="shared" si="6"/>
        <v>IT Team</v>
      </c>
      <c r="Y37" s="67" t="s">
        <v>3852</v>
      </c>
      <c r="Z37" s="25"/>
      <c r="AA37" s="25"/>
      <c r="AB37" s="25"/>
      <c r="AC37" s="25"/>
      <c r="AD37" s="25"/>
      <c r="AE37" s="25"/>
      <c r="AF37" s="25"/>
      <c r="AG37" s="25"/>
      <c r="AH37" s="23">
        <v>2020862</v>
      </c>
      <c r="AI37" s="1">
        <f t="shared" si="7"/>
        <v>0</v>
      </c>
      <c r="AJ37" s="1">
        <f t="shared" si="8"/>
        <v>2020862</v>
      </c>
      <c r="AK37" t="s">
        <v>3706</v>
      </c>
      <c r="AL37" s="94" t="str">
        <f t="shared" si="10"/>
        <v>A Considerar</v>
      </c>
    </row>
    <row r="38" spans="2:38" x14ac:dyDescent="0.3">
      <c r="B38" s="81" t="s">
        <v>3733</v>
      </c>
      <c r="C38" s="25">
        <v>2020862</v>
      </c>
      <c r="D38" s="28">
        <f t="shared" si="11"/>
        <v>1</v>
      </c>
      <c r="E38" s="25"/>
      <c r="F38" s="28">
        <f t="shared" si="1"/>
        <v>0</v>
      </c>
      <c r="G38" s="25"/>
      <c r="H38" s="28">
        <f t="shared" si="2"/>
        <v>0</v>
      </c>
      <c r="I38" s="25"/>
      <c r="J38" s="28">
        <f t="shared" si="3"/>
        <v>0</v>
      </c>
      <c r="K38" s="63"/>
      <c r="L38" s="28">
        <f t="shared" si="4"/>
        <v>0</v>
      </c>
      <c r="M38" s="63"/>
      <c r="N38" s="28">
        <f t="shared" si="5"/>
        <v>0</v>
      </c>
      <c r="O38" s="103" t="s">
        <v>3787</v>
      </c>
      <c r="P38" s="49">
        <v>45317</v>
      </c>
      <c r="Q38" s="35" t="s">
        <v>3803</v>
      </c>
      <c r="R38" s="35" t="str">
        <f>IF(OR(Q38="CT207",Q38="CT209",Q38="CT211"),"Rentabilidade",IF(Q38="Corporativo","Corporativo",IF(Q38="Calculado","Calculado",IF(Q38="LT ESTR","LT ESTR", IF(Q38="Modelo Verde","Modelo Verde",NA)))))</f>
        <v>LT ESTR</v>
      </c>
      <c r="S38" s="36" t="s">
        <v>3798</v>
      </c>
      <c r="T38" s="35" t="s">
        <v>3706</v>
      </c>
      <c r="U38" s="35" t="s">
        <v>3706</v>
      </c>
      <c r="V38" s="35" t="str">
        <f t="shared" si="9"/>
        <v>OK</v>
      </c>
      <c r="W38" s="35" t="s">
        <v>3706</v>
      </c>
      <c r="X38" s="83" t="str">
        <f t="shared" si="6"/>
        <v>Fechado</v>
      </c>
      <c r="Y38" s="67"/>
      <c r="Z38" s="25">
        <v>2020862</v>
      </c>
      <c r="AA38" s="25"/>
      <c r="AB38" s="25"/>
      <c r="AC38" s="25"/>
      <c r="AD38" s="25"/>
      <c r="AE38" s="25"/>
      <c r="AF38" s="25"/>
      <c r="AG38" s="25"/>
      <c r="AH38" s="23">
        <v>2020862</v>
      </c>
      <c r="AI38" s="1">
        <f t="shared" si="7"/>
        <v>0</v>
      </c>
      <c r="AJ38" s="1">
        <f t="shared" si="8"/>
        <v>0</v>
      </c>
      <c r="AK38" t="s">
        <v>3706</v>
      </c>
      <c r="AL38" s="94" t="str">
        <f t="shared" si="10"/>
        <v>A Considerar</v>
      </c>
    </row>
    <row r="39" spans="2:38" x14ac:dyDescent="0.3">
      <c r="B39" s="81" t="s">
        <v>3797</v>
      </c>
      <c r="C39" s="25"/>
      <c r="D39" s="28">
        <f t="shared" si="11"/>
        <v>0</v>
      </c>
      <c r="E39" s="26"/>
      <c r="F39" s="28">
        <f t="shared" si="1"/>
        <v>0</v>
      </c>
      <c r="G39" s="25">
        <v>2020862</v>
      </c>
      <c r="H39" s="28">
        <f t="shared" si="2"/>
        <v>1</v>
      </c>
      <c r="I39" s="25"/>
      <c r="J39" s="28">
        <f t="shared" si="3"/>
        <v>0</v>
      </c>
      <c r="K39" s="63"/>
      <c r="L39" s="28">
        <f t="shared" si="4"/>
        <v>0</v>
      </c>
      <c r="M39" s="63"/>
      <c r="N39" s="28">
        <f t="shared" si="5"/>
        <v>0</v>
      </c>
      <c r="O39" s="105" t="s">
        <v>3713</v>
      </c>
      <c r="P39" s="49" t="s">
        <v>3713</v>
      </c>
      <c r="Q39" s="35" t="s">
        <v>3809</v>
      </c>
      <c r="R39" s="35" t="str">
        <f>IF(OR(Q39="CT207",Q39="CT209",Q39="CT211"),"Rentabilidade",IF(Q39="Corporativo","Corporativo",IF(Q39="Calculado","Calculado",IF(Q39="LT ESTR","LT ESTR", IF(Q39="Modelo Verde","Modelo Verde",NA)))))</f>
        <v>Calculado</v>
      </c>
      <c r="S39" s="36" t="s">
        <v>3793</v>
      </c>
      <c r="T39" s="35" t="s">
        <v>3713</v>
      </c>
      <c r="U39" s="35" t="s">
        <v>3713</v>
      </c>
      <c r="V39" s="35" t="str">
        <f t="shared" si="9"/>
        <v>NA</v>
      </c>
      <c r="W39" s="35" t="s">
        <v>3713</v>
      </c>
      <c r="X39" s="83" t="str">
        <f t="shared" si="6"/>
        <v>NA</v>
      </c>
      <c r="Y39" s="25"/>
      <c r="Z39" s="25"/>
      <c r="AA39" s="25"/>
      <c r="AB39" s="25">
        <v>2020862</v>
      </c>
      <c r="AC39" s="25"/>
      <c r="AD39" s="25"/>
      <c r="AE39" s="25"/>
      <c r="AF39" s="25"/>
      <c r="AG39" s="25"/>
      <c r="AH39" s="23">
        <v>2020862</v>
      </c>
      <c r="AI39" s="1">
        <f>AH39-M39-K39-G39-E39-C39</f>
        <v>0</v>
      </c>
      <c r="AJ39" s="1">
        <f t="shared" si="8"/>
        <v>0</v>
      </c>
      <c r="AK39" t="s">
        <v>3706</v>
      </c>
      <c r="AL39" s="94" t="str">
        <f t="shared" si="10"/>
        <v>A Considerar</v>
      </c>
    </row>
    <row r="40" spans="2:38" x14ac:dyDescent="0.3">
      <c r="B40" s="81" t="s">
        <v>3754</v>
      </c>
      <c r="C40" s="25">
        <v>2020862</v>
      </c>
      <c r="D40" s="28">
        <f t="shared" si="11"/>
        <v>1</v>
      </c>
      <c r="E40" s="25"/>
      <c r="F40" s="28">
        <f t="shared" si="1"/>
        <v>0</v>
      </c>
      <c r="G40" s="25"/>
      <c r="H40" s="28">
        <f t="shared" si="2"/>
        <v>0</v>
      </c>
      <c r="I40" s="25"/>
      <c r="J40" s="28">
        <f t="shared" si="3"/>
        <v>0</v>
      </c>
      <c r="K40" s="63"/>
      <c r="L40" s="28">
        <f t="shared" si="4"/>
        <v>0</v>
      </c>
      <c r="M40" s="63"/>
      <c r="N40" s="28">
        <f t="shared" si="5"/>
        <v>0</v>
      </c>
      <c r="O40" s="103" t="s">
        <v>3787</v>
      </c>
      <c r="P40" s="49">
        <v>45317</v>
      </c>
      <c r="Q40" s="35" t="s">
        <v>3808</v>
      </c>
      <c r="R40" s="35" t="str">
        <f>IF(OR(Q40="CT207",Q40="CT209",Q40="CT211"),"Rentabilidade",IF(Q40="Corporativo","Corporativo",IF(Q40="Calculado","Calculado",IF(Q40="LT ESTR","LT ESTR", IF(Q40="Modelo Verde","Modelo Verde",NA)))))</f>
        <v>Corporativo</v>
      </c>
      <c r="S40" s="36" t="s">
        <v>3798</v>
      </c>
      <c r="T40" s="35" t="s">
        <v>3706</v>
      </c>
      <c r="U40" s="35" t="s">
        <v>3706</v>
      </c>
      <c r="V40" s="35" t="str">
        <f t="shared" si="9"/>
        <v>OK</v>
      </c>
      <c r="W40" s="35" t="s">
        <v>3706</v>
      </c>
      <c r="X40" s="83" t="str">
        <f t="shared" si="6"/>
        <v>Fechado</v>
      </c>
      <c r="Y40" s="25"/>
      <c r="Z40" s="25">
        <v>2020862</v>
      </c>
      <c r="AA40" s="25"/>
      <c r="AB40" s="25"/>
      <c r="AC40" s="25"/>
      <c r="AD40" s="30"/>
      <c r="AE40" s="25"/>
      <c r="AF40" s="25"/>
      <c r="AG40" s="25"/>
      <c r="AH40" s="23">
        <v>2020862</v>
      </c>
      <c r="AI40" s="1">
        <f t="shared" ref="AI40:AI71" si="12">AH40-M40-K40-G40-E40-C40-I40</f>
        <v>0</v>
      </c>
      <c r="AJ40" s="1">
        <f t="shared" si="8"/>
        <v>0</v>
      </c>
      <c r="AK40" t="s">
        <v>3706</v>
      </c>
      <c r="AL40" s="94" t="str">
        <f t="shared" si="10"/>
        <v>Removido</v>
      </c>
    </row>
    <row r="41" spans="2:38" x14ac:dyDescent="0.3">
      <c r="B41" s="81" t="s">
        <v>3727</v>
      </c>
      <c r="C41" s="25"/>
      <c r="D41" s="28">
        <f t="shared" si="11"/>
        <v>0</v>
      </c>
      <c r="E41" s="25"/>
      <c r="F41" s="28">
        <f t="shared" si="1"/>
        <v>0</v>
      </c>
      <c r="G41" s="100"/>
      <c r="H41" s="28">
        <f t="shared" si="2"/>
        <v>0</v>
      </c>
      <c r="I41" s="25"/>
      <c r="J41" s="28">
        <f t="shared" si="3"/>
        <v>0</v>
      </c>
      <c r="K41" s="25">
        <f>2020862-3665</f>
        <v>2017197</v>
      </c>
      <c r="L41" s="28">
        <f t="shared" si="4"/>
        <v>0.99818641747927372</v>
      </c>
      <c r="M41" s="63">
        <v>3665</v>
      </c>
      <c r="N41" s="28">
        <f t="shared" si="5"/>
        <v>1.8135825207263039E-3</v>
      </c>
      <c r="O41" s="102" t="s">
        <v>3783</v>
      </c>
      <c r="P41" s="49">
        <v>45320</v>
      </c>
      <c r="Q41" s="35" t="s">
        <v>3805</v>
      </c>
      <c r="R41" s="35" t="str">
        <f>IF(OR(Q41="CT207",Q41="CT209",Q41="CT211"),"Rentabilidade",IF(Q41="Corporativo","Corporativo",IF(Q41="Calculado","Calculado",IF(Q41="LT ESTR","LT ESTR", IF(Q41="Modelo Verde","Modelo Verde",NA)))))</f>
        <v>Rentabilidade</v>
      </c>
      <c r="S41" s="36" t="s">
        <v>3798</v>
      </c>
      <c r="T41" s="35" t="s">
        <v>3816</v>
      </c>
      <c r="U41" s="35" t="s">
        <v>3816</v>
      </c>
      <c r="V41" s="35" t="str">
        <f>IF(AND(T41="OK",U41="OK"),"OK",IF(AND(T41="Not Started",U41="Not Started"),"Not Started",IF(AND(T41="NOK",U41="NOK"),"NOK",IF(AND(T41="WIP",U41="WIP"),"WIP",IF(AND(OR(T41="OK",U41="OK"))*(OR(T41="NOK",U41="NOK")),"NOK","NA")))))</f>
        <v>Not Started</v>
      </c>
      <c r="W41" s="35" t="s">
        <v>3816</v>
      </c>
      <c r="X41" s="83" t="str">
        <f t="shared" si="6"/>
        <v>Test Team</v>
      </c>
      <c r="Y41" s="25"/>
      <c r="Z41" s="25"/>
      <c r="AA41" s="25"/>
      <c r="AB41" s="25"/>
      <c r="AC41" s="25"/>
      <c r="AD41" s="25"/>
      <c r="AE41" s="25">
        <v>424</v>
      </c>
      <c r="AF41" s="25"/>
      <c r="AG41" s="25"/>
      <c r="AH41" s="23">
        <v>2020862</v>
      </c>
      <c r="AI41" s="1" t="e">
        <f>AH41-M41-#REF!-K41-E41-C41-I41</f>
        <v>#REF!</v>
      </c>
      <c r="AJ41" s="1">
        <f t="shared" si="8"/>
        <v>2020438</v>
      </c>
      <c r="AK41" t="s">
        <v>3706</v>
      </c>
      <c r="AL41" s="94" t="str">
        <f t="shared" si="10"/>
        <v>A Considerar</v>
      </c>
    </row>
    <row r="42" spans="2:38" x14ac:dyDescent="0.3">
      <c r="B42" s="81" t="s">
        <v>3726</v>
      </c>
      <c r="C42" s="25">
        <f>1184384+632361</f>
        <v>1816745</v>
      </c>
      <c r="D42" s="28">
        <f t="shared" si="11"/>
        <v>0.89899508229656455</v>
      </c>
      <c r="E42" s="25"/>
      <c r="F42" s="28">
        <f t="shared" si="1"/>
        <v>0</v>
      </c>
      <c r="G42" s="25"/>
      <c r="H42" s="28">
        <f t="shared" si="2"/>
        <v>0</v>
      </c>
      <c r="I42" s="25">
        <f>424+22</f>
        <v>446</v>
      </c>
      <c r="J42" s="28">
        <f t="shared" si="3"/>
        <v>2.2069790020298269E-4</v>
      </c>
      <c r="K42" s="63">
        <f>AH42-C42-I42-M42</f>
        <v>200006</v>
      </c>
      <c r="L42" s="28">
        <f t="shared" si="4"/>
        <v>9.8970637282506171E-2</v>
      </c>
      <c r="M42" s="63">
        <v>3665</v>
      </c>
      <c r="N42" s="28">
        <f t="shared" si="5"/>
        <v>1.8135825207263039E-3</v>
      </c>
      <c r="O42" s="102" t="s">
        <v>3783</v>
      </c>
      <c r="P42" s="71">
        <v>45338</v>
      </c>
      <c r="Q42" s="35" t="s">
        <v>3805</v>
      </c>
      <c r="R42" s="35" t="str">
        <f>IF(OR(Q42="CT207",Q42="CT209",Q42="CT211"),"Rentabilidade",IF(Q42="Corporativo","Corporativo",IF(Q42="Calculado","Calculado",IF(Q42="LT ESTR","LT ESTR", IF(Q42="Modelo Verde","Modelo Verde",NA)))))</f>
        <v>Rentabilidade</v>
      </c>
      <c r="S42" s="36" t="s">
        <v>3798</v>
      </c>
      <c r="T42" s="35" t="s">
        <v>3706</v>
      </c>
      <c r="U42" s="35" t="s">
        <v>3706</v>
      </c>
      <c r="V42" s="35" t="str">
        <f t="shared" si="9"/>
        <v>OK</v>
      </c>
      <c r="W42" s="35" t="s">
        <v>3816</v>
      </c>
      <c r="X42" s="83" t="str">
        <f t="shared" si="6"/>
        <v>Test Team</v>
      </c>
      <c r="Y42" s="25"/>
      <c r="Z42" s="25"/>
      <c r="AA42" s="25"/>
      <c r="AB42" s="25"/>
      <c r="AC42" s="25"/>
      <c r="AD42" s="25"/>
      <c r="AE42" s="30">
        <v>424</v>
      </c>
      <c r="AF42" s="25"/>
      <c r="AG42" s="25"/>
      <c r="AH42" s="23">
        <v>2020862</v>
      </c>
      <c r="AI42" s="1">
        <f t="shared" si="12"/>
        <v>0</v>
      </c>
      <c r="AJ42" s="1">
        <f t="shared" si="8"/>
        <v>2020438</v>
      </c>
      <c r="AK42" t="s">
        <v>3843</v>
      </c>
      <c r="AL42" s="94" t="str">
        <f t="shared" si="10"/>
        <v>A Considerar</v>
      </c>
    </row>
    <row r="43" spans="2:38" x14ac:dyDescent="0.3">
      <c r="B43" s="95" t="s">
        <v>3753</v>
      </c>
      <c r="C43" s="25">
        <f>1223921+632357</f>
        <v>1856278</v>
      </c>
      <c r="D43" s="28">
        <f t="shared" si="11"/>
        <v>0.91855752644168676</v>
      </c>
      <c r="E43" s="63"/>
      <c r="F43" s="64">
        <f t="shared" si="1"/>
        <v>0</v>
      </c>
      <c r="G43" s="25"/>
      <c r="H43" s="28">
        <f t="shared" si="2"/>
        <v>0</v>
      </c>
      <c r="I43" s="25">
        <f>1978+432+4+22</f>
        <v>2436</v>
      </c>
      <c r="J43" s="64">
        <f t="shared" si="3"/>
        <v>1.2054261993149457E-3</v>
      </c>
      <c r="K43" s="63">
        <f>AH43-C43-I43-M43-G43</f>
        <v>158483</v>
      </c>
      <c r="L43" s="28">
        <f t="shared" si="4"/>
        <v>7.8423464838271992E-2</v>
      </c>
      <c r="M43" s="63">
        <v>3665</v>
      </c>
      <c r="N43" s="64">
        <f t="shared" si="5"/>
        <v>1.8135825207263039E-3</v>
      </c>
      <c r="O43" s="102" t="s">
        <v>3783</v>
      </c>
      <c r="P43" s="71">
        <v>45345</v>
      </c>
      <c r="Q43" s="72" t="s">
        <v>3806</v>
      </c>
      <c r="R43" s="35" t="str">
        <f>IF(OR(Q43="CT207",Q43="CT209",Q43="CT211"),"Rentabilidade",IF(Q43="Corporativo","Corporativo",IF(Q43="Calculado","Calculado",IF(Q43="LT ESTR","LT ESTR", IF(Q43="Modelo Verde","Modelo Verde",NA)))))</f>
        <v>Rentabilidade</v>
      </c>
      <c r="S43" s="73" t="s">
        <v>3796</v>
      </c>
      <c r="T43" s="72" t="s">
        <v>3712</v>
      </c>
      <c r="U43" s="72" t="s">
        <v>3712</v>
      </c>
      <c r="V43" s="35" t="str">
        <f t="shared" si="9"/>
        <v>WIP</v>
      </c>
      <c r="W43" s="72" t="s">
        <v>3816</v>
      </c>
      <c r="X43" s="83" t="str">
        <f t="shared" si="6"/>
        <v>Test Team</v>
      </c>
      <c r="Y43" s="63"/>
      <c r="Z43" s="25"/>
      <c r="AA43" s="25"/>
      <c r="AB43" s="25"/>
      <c r="AC43" s="25"/>
      <c r="AD43" s="25"/>
      <c r="AE43" s="25"/>
      <c r="AF43" s="25"/>
      <c r="AG43" s="25"/>
      <c r="AH43" s="23">
        <v>2020862</v>
      </c>
      <c r="AI43" s="1">
        <f t="shared" si="12"/>
        <v>0</v>
      </c>
      <c r="AJ43" s="1">
        <f t="shared" si="8"/>
        <v>2020862</v>
      </c>
      <c r="AK43" t="s">
        <v>3706</v>
      </c>
      <c r="AL43" s="94" t="str">
        <f t="shared" si="10"/>
        <v>A Considerar</v>
      </c>
    </row>
    <row r="44" spans="2:38" x14ac:dyDescent="0.3">
      <c r="B44" s="81" t="s">
        <v>3763</v>
      </c>
      <c r="C44" s="25"/>
      <c r="D44" s="28">
        <f t="shared" si="11"/>
        <v>0</v>
      </c>
      <c r="E44" s="25"/>
      <c r="F44" s="28">
        <f t="shared" si="1"/>
        <v>0</v>
      </c>
      <c r="G44" s="100"/>
      <c r="H44" s="28">
        <f t="shared" si="2"/>
        <v>0</v>
      </c>
      <c r="I44" s="25"/>
      <c r="J44" s="28">
        <f t="shared" si="3"/>
        <v>0</v>
      </c>
      <c r="K44" s="25">
        <f>2020862-3665</f>
        <v>2017197</v>
      </c>
      <c r="L44" s="28">
        <f t="shared" si="4"/>
        <v>0.99818641747927372</v>
      </c>
      <c r="M44" s="63">
        <v>3665</v>
      </c>
      <c r="N44" s="28">
        <f t="shared" si="5"/>
        <v>1.8135825207263039E-3</v>
      </c>
      <c r="O44" s="102" t="s">
        <v>3783</v>
      </c>
      <c r="P44" s="49">
        <v>45321</v>
      </c>
      <c r="Q44" s="35" t="s">
        <v>3806</v>
      </c>
      <c r="R44" s="35" t="str">
        <f>IF(OR(Q44="CT207",Q44="CT209",Q44="CT211"),"Rentabilidade",IF(Q44="Corporativo","Corporativo",IF(Q44="Calculado","Calculado",IF(Q44="LT ESTR","LT ESTR", IF(Q44="Modelo Verde","Modelo Verde",NA)))))</f>
        <v>Rentabilidade</v>
      </c>
      <c r="S44" s="39" t="s">
        <v>3796</v>
      </c>
      <c r="T44" s="35" t="s">
        <v>3816</v>
      </c>
      <c r="U44" s="35" t="s">
        <v>3816</v>
      </c>
      <c r="V44" s="35" t="str">
        <f>IF(AND(T44="OK",U44="OK"),"OK",IF(AND(T44="Not Started",U44="Not Started"),"Not Started",IF(AND(T44="NOK",U44="NOK"),"NOK",IF(AND(T44="WIP",U44="WIP"),"WIP",IF(AND(OR(T44="OK",U44="OK"))*(OR(T44="NOK",U44="NOK")),"NOK","NA")))))</f>
        <v>Not Started</v>
      </c>
      <c r="W44" s="35" t="s">
        <v>3816</v>
      </c>
      <c r="X44" s="83" t="str">
        <f t="shared" si="6"/>
        <v>Test Team</v>
      </c>
      <c r="Y44" s="25"/>
      <c r="Z44" s="25"/>
      <c r="AA44" s="25"/>
      <c r="AB44" s="25"/>
      <c r="AC44" s="25"/>
      <c r="AD44" s="25"/>
      <c r="AE44" s="25"/>
      <c r="AF44" s="25"/>
      <c r="AG44" s="25"/>
      <c r="AH44" s="23">
        <v>2020862</v>
      </c>
      <c r="AI44" s="1" t="e">
        <f>AH44-M44-#REF!-K44-E44-C44-I44</f>
        <v>#REF!</v>
      </c>
      <c r="AJ44" s="1">
        <f t="shared" si="8"/>
        <v>2020862</v>
      </c>
      <c r="AK44" t="s">
        <v>3706</v>
      </c>
      <c r="AL44" s="94" t="str">
        <f t="shared" si="10"/>
        <v>A Considerar</v>
      </c>
    </row>
    <row r="45" spans="2:38" x14ac:dyDescent="0.3">
      <c r="B45" s="95" t="s">
        <v>3760</v>
      </c>
      <c r="C45" s="25">
        <f>1223823+632381</f>
        <v>1856204</v>
      </c>
      <c r="D45" s="28">
        <f t="shared" si="11"/>
        <v>0.91852090840443334</v>
      </c>
      <c r="E45" s="25"/>
      <c r="F45" s="28">
        <f t="shared" si="1"/>
        <v>0</v>
      </c>
      <c r="G45" s="25"/>
      <c r="H45" s="28">
        <f t="shared" si="2"/>
        <v>0</v>
      </c>
      <c r="I45" s="25">
        <f>2076+432+1+22</f>
        <v>2531</v>
      </c>
      <c r="J45" s="28">
        <f t="shared" si="3"/>
        <v>1.2524358417348635E-3</v>
      </c>
      <c r="K45" s="63">
        <f>AH45-C45-I45-M45-G45</f>
        <v>158462</v>
      </c>
      <c r="L45" s="28">
        <f t="shared" si="4"/>
        <v>7.8413073233105479E-2</v>
      </c>
      <c r="M45" s="63">
        <v>3665</v>
      </c>
      <c r="N45" s="28">
        <f t="shared" si="5"/>
        <v>1.8135825207263039E-3</v>
      </c>
      <c r="O45" s="102" t="s">
        <v>3783</v>
      </c>
      <c r="P45" s="71">
        <v>45338</v>
      </c>
      <c r="Q45" s="35" t="s">
        <v>3806</v>
      </c>
      <c r="R45" s="35" t="str">
        <f>IF(OR(Q45="CT207",Q45="CT209",Q45="CT211"),"Rentabilidade",IF(Q45="Corporativo","Corporativo",IF(Q45="Calculado","Calculado",IF(Q45="LT ESTR","LT ESTR", IF(Q45="Modelo Verde","Modelo Verde",NA)))))</f>
        <v>Rentabilidade</v>
      </c>
      <c r="S45" s="36" t="s">
        <v>3796</v>
      </c>
      <c r="T45" s="35" t="s">
        <v>3712</v>
      </c>
      <c r="U45" s="35" t="s">
        <v>3712</v>
      </c>
      <c r="V45" s="35" t="str">
        <f t="shared" si="9"/>
        <v>WIP</v>
      </c>
      <c r="W45" s="35" t="s">
        <v>3816</v>
      </c>
      <c r="X45" s="83" t="str">
        <f t="shared" si="6"/>
        <v>Test Team</v>
      </c>
      <c r="Y45" s="25"/>
      <c r="Z45" s="25"/>
      <c r="AA45" s="25"/>
      <c r="AB45" s="25"/>
      <c r="AC45" s="25"/>
      <c r="AD45" s="25"/>
      <c r="AE45" s="25"/>
      <c r="AF45" s="25"/>
      <c r="AG45" s="25"/>
      <c r="AH45" s="23">
        <v>2020862</v>
      </c>
      <c r="AI45" s="1">
        <f t="shared" si="12"/>
        <v>0</v>
      </c>
      <c r="AJ45" s="1">
        <f t="shared" si="8"/>
        <v>2020862</v>
      </c>
      <c r="AK45" t="s">
        <v>3706</v>
      </c>
      <c r="AL45" s="94" t="str">
        <f t="shared" si="10"/>
        <v>A Considerar</v>
      </c>
    </row>
    <row r="46" spans="2:38" x14ac:dyDescent="0.3">
      <c r="B46" s="81" t="s">
        <v>3765</v>
      </c>
      <c r="C46" s="25"/>
      <c r="D46" s="28">
        <f t="shared" si="11"/>
        <v>0</v>
      </c>
      <c r="E46" s="25"/>
      <c r="F46" s="28">
        <f t="shared" si="1"/>
        <v>0</v>
      </c>
      <c r="G46" s="100"/>
      <c r="H46" s="28">
        <f t="shared" si="2"/>
        <v>0</v>
      </c>
      <c r="I46" s="25"/>
      <c r="J46" s="28">
        <f t="shared" si="3"/>
        <v>0</v>
      </c>
      <c r="K46" s="25">
        <f>2020862-3665</f>
        <v>2017197</v>
      </c>
      <c r="L46" s="28">
        <f t="shared" si="4"/>
        <v>0.99818641747927372</v>
      </c>
      <c r="M46" s="63">
        <v>3665</v>
      </c>
      <c r="N46" s="28">
        <f t="shared" si="5"/>
        <v>1.8135825207263039E-3</v>
      </c>
      <c r="O46" s="102" t="s">
        <v>3783</v>
      </c>
      <c r="P46" s="49">
        <v>45321</v>
      </c>
      <c r="Q46" s="35" t="s">
        <v>3806</v>
      </c>
      <c r="R46" s="35" t="str">
        <f>IF(OR(Q46="CT207",Q46="CT209",Q46="CT211"),"Rentabilidade",IF(Q46="Corporativo","Corporativo",IF(Q46="Calculado","Calculado",IF(Q46="LT ESTR","LT ESTR", IF(Q46="Modelo Verde","Modelo Verde",NA)))))</f>
        <v>Rentabilidade</v>
      </c>
      <c r="S46" s="36" t="s">
        <v>3796</v>
      </c>
      <c r="T46" s="35" t="s">
        <v>3816</v>
      </c>
      <c r="U46" s="35" t="s">
        <v>3816</v>
      </c>
      <c r="V46" s="35" t="str">
        <f>IF(AND(T46="OK",U46="OK"),"OK",IF(AND(T46="Not Started",U46="Not Started"),"Not Started",IF(AND(T46="NOK",U46="NOK"),"NOK",IF(AND(T46="WIP",U46="WIP"),"WIP",IF(AND(OR(T46="OK",U46="OK"))*(OR(T46="NOK",U46="NOK")),"NOK","NA")))))</f>
        <v>Not Started</v>
      </c>
      <c r="W46" s="35" t="s">
        <v>3816</v>
      </c>
      <c r="X46" s="83" t="str">
        <f t="shared" si="6"/>
        <v>Test Team</v>
      </c>
      <c r="Y46" s="25"/>
      <c r="Z46" s="25"/>
      <c r="AA46" s="25"/>
      <c r="AB46" s="25"/>
      <c r="AC46" s="25"/>
      <c r="AD46" s="25"/>
      <c r="AE46" s="25"/>
      <c r="AF46" s="25"/>
      <c r="AG46" s="25"/>
      <c r="AH46" s="23">
        <v>2020862</v>
      </c>
      <c r="AI46" s="1" t="e">
        <f>AH46-M46-#REF!-K46-E46-C46-I46</f>
        <v>#REF!</v>
      </c>
      <c r="AJ46" s="1">
        <f t="shared" si="8"/>
        <v>2020862</v>
      </c>
      <c r="AK46" t="s">
        <v>3706</v>
      </c>
      <c r="AL46" s="94" t="str">
        <f t="shared" si="10"/>
        <v>A Considerar</v>
      </c>
    </row>
    <row r="47" spans="2:38" x14ac:dyDescent="0.3">
      <c r="B47" s="95" t="s">
        <v>3751</v>
      </c>
      <c r="C47" s="25">
        <f>1216748+632330</f>
        <v>1849078</v>
      </c>
      <c r="D47" s="28">
        <f t="shared" si="11"/>
        <v>0.91499469038459824</v>
      </c>
      <c r="E47" s="63"/>
      <c r="F47" s="64">
        <f t="shared" si="1"/>
        <v>0</v>
      </c>
      <c r="G47" s="25"/>
      <c r="H47" s="28">
        <f t="shared" si="2"/>
        <v>0</v>
      </c>
      <c r="I47" s="25">
        <f>9151+432+31+22</f>
        <v>9636</v>
      </c>
      <c r="J47" s="64">
        <f t="shared" si="3"/>
        <v>4.7682622564034554E-3</v>
      </c>
      <c r="K47" s="63">
        <f>AH47-C47-I47-M47-G47</f>
        <v>158483</v>
      </c>
      <c r="L47" s="28">
        <f t="shared" si="4"/>
        <v>7.8423464838271992E-2</v>
      </c>
      <c r="M47" s="63">
        <v>3665</v>
      </c>
      <c r="N47" s="64">
        <f t="shared" si="5"/>
        <v>1.8135825207263039E-3</v>
      </c>
      <c r="O47" s="102" t="s">
        <v>3783</v>
      </c>
      <c r="P47" s="71">
        <v>45345</v>
      </c>
      <c r="Q47" s="72" t="s">
        <v>3806</v>
      </c>
      <c r="R47" s="35" t="str">
        <f>IF(OR(Q47="CT207",Q47="CT209",Q47="CT211"),"Rentabilidade",IF(Q47="Corporativo","Corporativo",IF(Q47="Calculado","Calculado",IF(Q47="LT ESTR","LT ESTR", IF(Q47="Modelo Verde","Modelo Verde",NA)))))</f>
        <v>Rentabilidade</v>
      </c>
      <c r="S47" s="73" t="s">
        <v>3796</v>
      </c>
      <c r="T47" s="72" t="s">
        <v>3712</v>
      </c>
      <c r="U47" s="72" t="s">
        <v>3712</v>
      </c>
      <c r="V47" s="35" t="str">
        <f t="shared" si="9"/>
        <v>WIP</v>
      </c>
      <c r="W47" s="72" t="s">
        <v>3816</v>
      </c>
      <c r="X47" s="83" t="str">
        <f t="shared" si="6"/>
        <v>Test Team</v>
      </c>
      <c r="Y47" s="63" t="s">
        <v>3850</v>
      </c>
      <c r="Z47" s="25"/>
      <c r="AA47" s="25"/>
      <c r="AB47" s="25"/>
      <c r="AC47" s="25"/>
      <c r="AD47" s="25"/>
      <c r="AE47" s="30"/>
      <c r="AF47" s="25"/>
      <c r="AG47" s="25"/>
      <c r="AH47" s="23">
        <v>2020862</v>
      </c>
      <c r="AI47" s="1">
        <f t="shared" si="12"/>
        <v>0</v>
      </c>
      <c r="AJ47" s="1">
        <f t="shared" si="8"/>
        <v>2020862</v>
      </c>
      <c r="AK47" t="s">
        <v>3706</v>
      </c>
      <c r="AL47" s="94" t="str">
        <f t="shared" si="10"/>
        <v>A Considerar</v>
      </c>
    </row>
    <row r="48" spans="2:38" x14ac:dyDescent="0.3">
      <c r="B48" s="81" t="s">
        <v>3762</v>
      </c>
      <c r="C48" s="25"/>
      <c r="D48" s="28">
        <f t="shared" si="11"/>
        <v>0</v>
      </c>
      <c r="E48" s="25"/>
      <c r="F48" s="28">
        <f t="shared" si="1"/>
        <v>0</v>
      </c>
      <c r="G48" s="100"/>
      <c r="H48" s="28">
        <f t="shared" si="2"/>
        <v>0</v>
      </c>
      <c r="I48" s="25"/>
      <c r="J48" s="28">
        <f t="shared" si="3"/>
        <v>0</v>
      </c>
      <c r="K48" s="25">
        <f>2020862-3665</f>
        <v>2017197</v>
      </c>
      <c r="L48" s="28">
        <f t="shared" si="4"/>
        <v>0.99818641747927372</v>
      </c>
      <c r="M48" s="63">
        <v>3665</v>
      </c>
      <c r="N48" s="28">
        <f t="shared" si="5"/>
        <v>1.8135825207263039E-3</v>
      </c>
      <c r="O48" s="102" t="s">
        <v>3783</v>
      </c>
      <c r="P48" s="49">
        <v>45321</v>
      </c>
      <c r="Q48" s="35" t="s">
        <v>3806</v>
      </c>
      <c r="R48" s="35" t="str">
        <f>IF(OR(Q48="CT207",Q48="CT209",Q48="CT211"),"Rentabilidade",IF(Q48="Corporativo","Corporativo",IF(Q48="Calculado","Calculado",IF(Q48="LT ESTR","LT ESTR", IF(Q48="Modelo Verde","Modelo Verde",NA)))))</f>
        <v>Rentabilidade</v>
      </c>
      <c r="S48" s="36" t="s">
        <v>3796</v>
      </c>
      <c r="T48" s="35" t="s">
        <v>3816</v>
      </c>
      <c r="U48" s="35" t="s">
        <v>3816</v>
      </c>
      <c r="V48" s="35" t="str">
        <f>IF(AND(T48="OK",U48="OK"),"OK",IF(AND(T48="Not Started",U48="Not Started"),"Not Started",IF(AND(T48="NOK",U48="NOK"),"NOK",IF(AND(T48="WIP",U48="WIP"),"WIP",IF(AND(OR(T48="OK",U48="OK"))*(OR(T48="NOK",U48="NOK")),"NOK","NA")))))</f>
        <v>Not Started</v>
      </c>
      <c r="W48" s="35" t="s">
        <v>3816</v>
      </c>
      <c r="X48" s="83" t="str">
        <f t="shared" si="6"/>
        <v>Test Team</v>
      </c>
      <c r="Y48" s="25"/>
      <c r="Z48" s="25"/>
      <c r="AA48" s="25"/>
      <c r="AB48" s="25"/>
      <c r="AC48" s="25"/>
      <c r="AD48" s="25"/>
      <c r="AE48" s="25"/>
      <c r="AF48" s="25"/>
      <c r="AG48" s="25"/>
      <c r="AH48" s="23">
        <v>2020862</v>
      </c>
      <c r="AI48" s="1" t="e">
        <f>AH48-M48-#REF!-K48-E48-C48-I48</f>
        <v>#REF!</v>
      </c>
      <c r="AJ48" s="1">
        <f t="shared" si="8"/>
        <v>2020862</v>
      </c>
      <c r="AK48" t="s">
        <v>3706</v>
      </c>
      <c r="AL48" s="94" t="str">
        <f t="shared" si="10"/>
        <v>A Considerar</v>
      </c>
    </row>
    <row r="49" spans="2:38" x14ac:dyDescent="0.3">
      <c r="B49" s="95" t="s">
        <v>3759</v>
      </c>
      <c r="C49" s="25">
        <f>1217133+632325</f>
        <v>1849458</v>
      </c>
      <c r="D49" s="28">
        <f t="shared" si="11"/>
        <v>0.91518272895427788</v>
      </c>
      <c r="E49" s="25"/>
      <c r="F49" s="28">
        <f t="shared" si="1"/>
        <v>0</v>
      </c>
      <c r="G49" s="25"/>
      <c r="H49" s="28">
        <f t="shared" si="2"/>
        <v>0</v>
      </c>
      <c r="I49" s="25">
        <f>8766+432+36+22</f>
        <v>9256</v>
      </c>
      <c r="J49" s="28">
        <f t="shared" si="3"/>
        <v>4.5802236867237842E-3</v>
      </c>
      <c r="K49" s="63">
        <f>AH49-C49-I49-M49-G49</f>
        <v>158483</v>
      </c>
      <c r="L49" s="28">
        <f t="shared" si="4"/>
        <v>7.8423464838271992E-2</v>
      </c>
      <c r="M49" s="63">
        <v>3665</v>
      </c>
      <c r="N49" s="28">
        <f t="shared" si="5"/>
        <v>1.8135825207263039E-3</v>
      </c>
      <c r="O49" s="102" t="s">
        <v>3783</v>
      </c>
      <c r="P49" s="71">
        <v>45338</v>
      </c>
      <c r="Q49" s="35" t="s">
        <v>3806</v>
      </c>
      <c r="R49" s="35" t="str">
        <f>IF(OR(Q49="CT207",Q49="CT209",Q49="CT211"),"Rentabilidade",IF(Q49="Corporativo","Corporativo",IF(Q49="Calculado","Calculado",IF(Q49="LT ESTR","LT ESTR", IF(Q49="Modelo Verde","Modelo Verde",NA)))))</f>
        <v>Rentabilidade</v>
      </c>
      <c r="S49" s="36" t="s">
        <v>3796</v>
      </c>
      <c r="T49" s="72" t="s">
        <v>3712</v>
      </c>
      <c r="U49" s="72" t="s">
        <v>3712</v>
      </c>
      <c r="V49" s="35" t="str">
        <f t="shared" ref="V49" si="13">IF(AND(T49="OK",U49="OK"),"OK",IF(AND(T49="Not Started",U49="Not Started"),"Not Started",IF(AND(T49="NOK",U49="NOK"),"NOK",IF(AND(T49="WIP",U49="WIP"),"WIP",IF(AND(OR(T49="OK",U49="OK"))*(OR(T49="NOK",U49="NOK")),"NOK","NA")))))</f>
        <v>WIP</v>
      </c>
      <c r="W49" s="35" t="s">
        <v>3816</v>
      </c>
      <c r="X49" s="83" t="str">
        <f t="shared" si="6"/>
        <v>Test Team</v>
      </c>
      <c r="Y49" s="25" t="s">
        <v>3850</v>
      </c>
      <c r="Z49" s="25"/>
      <c r="AA49" s="25"/>
      <c r="AB49" s="25"/>
      <c r="AC49" s="25"/>
      <c r="AD49" s="25"/>
      <c r="AE49" s="25"/>
      <c r="AF49" s="25"/>
      <c r="AG49" s="25"/>
      <c r="AH49" s="23">
        <v>2020862</v>
      </c>
      <c r="AI49" s="1">
        <f t="shared" si="12"/>
        <v>0</v>
      </c>
      <c r="AJ49" s="1">
        <f t="shared" si="8"/>
        <v>2020862</v>
      </c>
      <c r="AK49" t="s">
        <v>3706</v>
      </c>
      <c r="AL49" s="94" t="str">
        <f t="shared" si="10"/>
        <v>A Considerar</v>
      </c>
    </row>
    <row r="50" spans="2:38" x14ac:dyDescent="0.3">
      <c r="B50" s="81" t="s">
        <v>3764</v>
      </c>
      <c r="C50" s="25"/>
      <c r="D50" s="28">
        <f t="shared" si="11"/>
        <v>0</v>
      </c>
      <c r="E50" s="25"/>
      <c r="F50" s="28">
        <f t="shared" si="1"/>
        <v>0</v>
      </c>
      <c r="G50" s="100"/>
      <c r="H50" s="28">
        <f t="shared" si="2"/>
        <v>0</v>
      </c>
      <c r="I50" s="25"/>
      <c r="J50" s="28">
        <f t="shared" si="3"/>
        <v>0</v>
      </c>
      <c r="K50" s="25">
        <f>2020862-3665</f>
        <v>2017197</v>
      </c>
      <c r="L50" s="28">
        <f t="shared" si="4"/>
        <v>0.99818641747927372</v>
      </c>
      <c r="M50" s="63">
        <v>3665</v>
      </c>
      <c r="N50" s="28">
        <f t="shared" si="5"/>
        <v>1.8135825207263039E-3</v>
      </c>
      <c r="O50" s="102" t="s">
        <v>3783</v>
      </c>
      <c r="P50" s="49">
        <v>45321</v>
      </c>
      <c r="Q50" s="35" t="s">
        <v>3806</v>
      </c>
      <c r="R50" s="35" t="str">
        <f>IF(OR(Q50="CT207",Q50="CT209",Q50="CT211"),"Rentabilidade",IF(Q50="Corporativo","Corporativo",IF(Q50="Calculado","Calculado",IF(Q50="LT ESTR","LT ESTR", IF(Q50="Modelo Verde","Modelo Verde",NA)))))</f>
        <v>Rentabilidade</v>
      </c>
      <c r="S50" s="36" t="s">
        <v>3796</v>
      </c>
      <c r="T50" s="35" t="s">
        <v>3816</v>
      </c>
      <c r="U50" s="35" t="s">
        <v>3816</v>
      </c>
      <c r="V50" s="35" t="str">
        <f>IF(AND(T50="OK",U50="OK"),"OK",IF(AND(T50="Not Started",U50="Not Started"),"Not Started",IF(AND(T50="NOK",U50="NOK"),"NOK",IF(AND(T50="WIP",U50="WIP"),"WIP",IF(AND(OR(T50="OK",U50="OK"))*(OR(T50="NOK",U50="NOK")),"NOK","NA")))))</f>
        <v>Not Started</v>
      </c>
      <c r="W50" s="35" t="s">
        <v>3816</v>
      </c>
      <c r="X50" s="83" t="str">
        <f t="shared" si="6"/>
        <v>Test Team</v>
      </c>
      <c r="Y50" s="25"/>
      <c r="Z50" s="30"/>
      <c r="AA50" s="25"/>
      <c r="AB50" s="25"/>
      <c r="AC50" s="25"/>
      <c r="AD50" s="25"/>
      <c r="AE50" s="25"/>
      <c r="AF50" s="25"/>
      <c r="AG50" s="25"/>
      <c r="AH50" s="23">
        <v>2020862</v>
      </c>
      <c r="AI50" s="1" t="e">
        <f>AH50-M50-#REF!-K50-E50-C50-I50</f>
        <v>#REF!</v>
      </c>
      <c r="AJ50" s="1">
        <f t="shared" si="8"/>
        <v>2020862</v>
      </c>
      <c r="AK50" t="s">
        <v>3706</v>
      </c>
      <c r="AL50" s="94" t="str">
        <f t="shared" si="10"/>
        <v>A Considerar</v>
      </c>
    </row>
    <row r="51" spans="2:38" x14ac:dyDescent="0.3">
      <c r="B51" s="81" t="s">
        <v>3739</v>
      </c>
      <c r="C51" s="25">
        <v>2020862</v>
      </c>
      <c r="D51" s="28">
        <f t="shared" si="11"/>
        <v>1</v>
      </c>
      <c r="E51" s="26"/>
      <c r="F51" s="28">
        <f t="shared" si="1"/>
        <v>0</v>
      </c>
      <c r="G51" s="25"/>
      <c r="H51" s="28">
        <f t="shared" si="2"/>
        <v>0</v>
      </c>
      <c r="I51" s="25"/>
      <c r="J51" s="28">
        <f t="shared" si="3"/>
        <v>0</v>
      </c>
      <c r="K51" s="63"/>
      <c r="L51" s="28">
        <f t="shared" si="4"/>
        <v>0</v>
      </c>
      <c r="M51" s="63"/>
      <c r="N51" s="28">
        <f t="shared" si="5"/>
        <v>0</v>
      </c>
      <c r="O51" s="103" t="s">
        <v>3787</v>
      </c>
      <c r="P51" s="49">
        <v>45321</v>
      </c>
      <c r="Q51" s="35" t="s">
        <v>3803</v>
      </c>
      <c r="R51" s="35" t="str">
        <f>IF(OR(Q51="CT207",Q51="CT209",Q51="CT211"),"Rentabilidade",IF(Q51="Corporativo","Corporativo",IF(Q51="Calculado","Calculado",IF(Q51="LT ESTR","LT ESTR", IF(Q51="Modelo Verde","Modelo Verde",NA)))))</f>
        <v>LT ESTR</v>
      </c>
      <c r="S51" s="36" t="s">
        <v>3798</v>
      </c>
      <c r="T51" s="35" t="s">
        <v>3706</v>
      </c>
      <c r="U51" s="35" t="s">
        <v>3706</v>
      </c>
      <c r="V51" s="35" t="str">
        <f t="shared" si="9"/>
        <v>OK</v>
      </c>
      <c r="W51" s="35" t="s">
        <v>3706</v>
      </c>
      <c r="X51" s="83" t="str">
        <f t="shared" si="6"/>
        <v>Fechado</v>
      </c>
      <c r="Y51" s="67" t="s">
        <v>3785</v>
      </c>
      <c r="Z51" s="25"/>
      <c r="AA51" s="25"/>
      <c r="AB51" s="25">
        <v>2020862</v>
      </c>
      <c r="AC51" s="25"/>
      <c r="AD51" s="25"/>
      <c r="AE51" s="25"/>
      <c r="AF51" s="25"/>
      <c r="AG51" s="25"/>
      <c r="AH51" s="23">
        <v>2020862</v>
      </c>
      <c r="AI51" s="1">
        <f t="shared" si="12"/>
        <v>0</v>
      </c>
      <c r="AJ51" s="1">
        <f t="shared" si="8"/>
        <v>0</v>
      </c>
      <c r="AK51" t="s">
        <v>3706</v>
      </c>
      <c r="AL51" s="94" t="str">
        <f t="shared" si="10"/>
        <v>A Considerar</v>
      </c>
    </row>
    <row r="52" spans="2:38" x14ac:dyDescent="0.3">
      <c r="B52" s="81" t="s">
        <v>3728</v>
      </c>
      <c r="C52" s="25">
        <f>1184384+632361</f>
        <v>1816745</v>
      </c>
      <c r="D52" s="28">
        <f t="shared" si="11"/>
        <v>0.89899508229656455</v>
      </c>
      <c r="E52" s="25"/>
      <c r="F52" s="28">
        <f t="shared" si="1"/>
        <v>0</v>
      </c>
      <c r="G52" s="25"/>
      <c r="H52" s="28">
        <f t="shared" si="2"/>
        <v>0</v>
      </c>
      <c r="I52" s="25">
        <f>424+22</f>
        <v>446</v>
      </c>
      <c r="J52" s="28">
        <f t="shared" si="3"/>
        <v>2.2069790020298269E-4</v>
      </c>
      <c r="K52" s="63">
        <f>AH52-C52-I52-M52</f>
        <v>200006</v>
      </c>
      <c r="L52" s="28">
        <f t="shared" si="4"/>
        <v>9.8970637282506171E-2</v>
      </c>
      <c r="M52" s="63">
        <v>3665</v>
      </c>
      <c r="N52" s="28">
        <f t="shared" si="5"/>
        <v>1.8135825207263039E-3</v>
      </c>
      <c r="O52" s="102" t="s">
        <v>3783</v>
      </c>
      <c r="P52" s="71">
        <v>45338</v>
      </c>
      <c r="Q52" s="35" t="s">
        <v>3805</v>
      </c>
      <c r="R52" s="35" t="str">
        <f>IF(OR(Q52="CT207",Q52="CT209",Q52="CT211"),"Rentabilidade",IF(Q52="Corporativo","Corporativo",IF(Q52="Calculado","Calculado",IF(Q52="LT ESTR","LT ESTR", IF(Q52="Modelo Verde","Modelo Verde",NA)))))</f>
        <v>Rentabilidade</v>
      </c>
      <c r="S52" s="39" t="s">
        <v>3798</v>
      </c>
      <c r="T52" s="35" t="s">
        <v>3706</v>
      </c>
      <c r="U52" s="35" t="s">
        <v>3706</v>
      </c>
      <c r="V52" s="35" t="str">
        <f t="shared" si="9"/>
        <v>OK</v>
      </c>
      <c r="W52" s="35" t="s">
        <v>3816</v>
      </c>
      <c r="X52" s="83" t="str">
        <f t="shared" si="6"/>
        <v>Test Team</v>
      </c>
      <c r="Y52" s="25"/>
      <c r="Z52" s="25">
        <v>1184384</v>
      </c>
      <c r="AA52" s="25"/>
      <c r="AB52" s="25"/>
      <c r="AC52" s="25"/>
      <c r="AD52" s="25"/>
      <c r="AE52" s="32">
        <v>424</v>
      </c>
      <c r="AF52" s="25">
        <f>AH52-AG52-AE52-Z52</f>
        <v>832389</v>
      </c>
      <c r="AG52" s="25">
        <v>3665</v>
      </c>
      <c r="AH52" s="23">
        <v>2020862</v>
      </c>
      <c r="AI52" s="1">
        <f t="shared" si="12"/>
        <v>0</v>
      </c>
      <c r="AJ52" s="1">
        <f t="shared" si="8"/>
        <v>0</v>
      </c>
      <c r="AK52" t="s">
        <v>3843</v>
      </c>
      <c r="AL52" s="94" t="str">
        <f t="shared" si="10"/>
        <v>A Considerar</v>
      </c>
    </row>
    <row r="53" spans="2:38" x14ac:dyDescent="0.3">
      <c r="B53" s="81" t="s">
        <v>3729</v>
      </c>
      <c r="C53" s="25"/>
      <c r="D53" s="28">
        <f t="shared" si="11"/>
        <v>0</v>
      </c>
      <c r="E53" s="25"/>
      <c r="F53" s="28">
        <f t="shared" ref="F53:F71" si="14">E53/$AH53</f>
        <v>0</v>
      </c>
      <c r="G53" s="100"/>
      <c r="H53" s="28">
        <f t="shared" si="2"/>
        <v>0</v>
      </c>
      <c r="I53" s="25"/>
      <c r="J53" s="28">
        <f t="shared" ref="J53:J71" si="15">I53/$AH53</f>
        <v>0</v>
      </c>
      <c r="K53" s="25">
        <f>2020862-3665</f>
        <v>2017197</v>
      </c>
      <c r="L53" s="28">
        <f t="shared" si="4"/>
        <v>0.99818641747927372</v>
      </c>
      <c r="M53" s="63">
        <v>3665</v>
      </c>
      <c r="N53" s="28">
        <f t="shared" ref="N53:N71" si="16">M53/$AH53</f>
        <v>1.8135825207263039E-3</v>
      </c>
      <c r="O53" s="102" t="s">
        <v>3783</v>
      </c>
      <c r="P53" s="49">
        <v>45320</v>
      </c>
      <c r="Q53" s="35" t="s">
        <v>3805</v>
      </c>
      <c r="R53" s="35" t="str">
        <f>IF(OR(Q53="CT207",Q53="CT209",Q53="CT211"),"Rentabilidade",IF(Q53="Corporativo","Corporativo",IF(Q53="Calculado","Calculado",IF(Q53="LT ESTR","LT ESTR", IF(Q53="Modelo Verde","Modelo Verde",NA)))))</f>
        <v>Rentabilidade</v>
      </c>
      <c r="S53" s="36" t="s">
        <v>3798</v>
      </c>
      <c r="T53" s="35" t="s">
        <v>3816</v>
      </c>
      <c r="U53" s="35" t="s">
        <v>3816</v>
      </c>
      <c r="V53" s="35" t="str">
        <f>IF(AND(T53="OK",U53="OK"),"OK",IF(AND(T53="Not Started",U53="Not Started"),"Not Started",IF(AND(T53="NOK",U53="NOK"),"NOK",IF(AND(T53="WIP",U53="WIP"),"WIP",IF(AND(OR(T53="OK",U53="OK"))*(OR(T53="NOK",U53="NOK")),"NOK","NA")))))</f>
        <v>Not Started</v>
      </c>
      <c r="W53" s="35" t="s">
        <v>3816</v>
      </c>
      <c r="X53" s="83" t="str">
        <f t="shared" ref="X53:X71" si="17">IF(OR(O53="Em teste",O53="Em análise de requisitos"),"Test Team",IF(OR(O53="Em Correção",O53="Em Implementação"),"IT Team",IF(O53="Concluído","Fechado","NA")))</f>
        <v>Test Team</v>
      </c>
      <c r="Y53" s="25"/>
      <c r="Z53" s="25"/>
      <c r="AA53" s="25"/>
      <c r="AB53" s="25"/>
      <c r="AC53" s="25"/>
      <c r="AD53" s="25"/>
      <c r="AE53" s="25"/>
      <c r="AF53" s="25"/>
      <c r="AG53" s="25"/>
      <c r="AH53" s="23">
        <v>2020862</v>
      </c>
      <c r="AI53" s="1" t="e">
        <f>AH53-M53-#REF!-K53-E53-C53-I53</f>
        <v>#REF!</v>
      </c>
      <c r="AJ53" s="1">
        <f t="shared" ref="AJ53:AJ71" si="18">AH53-SUM(Z53:AG53)</f>
        <v>2020862</v>
      </c>
      <c r="AK53" t="s">
        <v>3706</v>
      </c>
      <c r="AL53" s="94" t="str">
        <f t="shared" si="10"/>
        <v>A Considerar</v>
      </c>
    </row>
    <row r="54" spans="2:38" x14ac:dyDescent="0.3">
      <c r="B54" s="81" t="s">
        <v>3724</v>
      </c>
      <c r="C54" s="63">
        <f>1184384+631570</f>
        <v>1815954</v>
      </c>
      <c r="D54" s="64">
        <f t="shared" si="11"/>
        <v>0.89860366516862611</v>
      </c>
      <c r="E54" s="63"/>
      <c r="F54" s="64">
        <f t="shared" si="14"/>
        <v>0</v>
      </c>
      <c r="G54" s="63"/>
      <c r="H54" s="64">
        <f t="shared" si="2"/>
        <v>0</v>
      </c>
      <c r="I54" s="63">
        <f>424+22</f>
        <v>446</v>
      </c>
      <c r="J54" s="64">
        <f t="shared" si="15"/>
        <v>2.2069790020298269E-4</v>
      </c>
      <c r="K54" s="63">
        <f>AH54-C54-I54-M54-G54+791</f>
        <v>201588</v>
      </c>
      <c r="L54" s="64">
        <f t="shared" si="4"/>
        <v>9.9753471538383126E-2</v>
      </c>
      <c r="M54" s="63">
        <v>3665</v>
      </c>
      <c r="N54" s="28">
        <f t="shared" si="16"/>
        <v>1.8135825207263039E-3</v>
      </c>
      <c r="O54" s="102" t="s">
        <v>3783</v>
      </c>
      <c r="P54" s="71">
        <v>45345</v>
      </c>
      <c r="Q54" s="35" t="s">
        <v>3805</v>
      </c>
      <c r="R54" s="35" t="str">
        <f>IF(OR(Q54="CT207",Q54="CT209",Q54="CT211"),"Rentabilidade",IF(Q54="Corporativo","Corporativo",IF(Q54="Calculado","Calculado",IF(Q54="LT ESTR","LT ESTR", IF(Q54="Modelo Verde","Modelo Verde",NA)))))</f>
        <v>Rentabilidade</v>
      </c>
      <c r="S54" s="36" t="s">
        <v>3798</v>
      </c>
      <c r="T54" s="35" t="s">
        <v>3706</v>
      </c>
      <c r="U54" s="35" t="s">
        <v>3706</v>
      </c>
      <c r="V54" s="35" t="str">
        <f t="shared" si="9"/>
        <v>OK</v>
      </c>
      <c r="W54" s="35" t="s">
        <v>3816</v>
      </c>
      <c r="X54" s="83" t="str">
        <f t="shared" si="17"/>
        <v>Test Team</v>
      </c>
      <c r="Y54" s="32"/>
      <c r="Z54">
        <v>1184384</v>
      </c>
      <c r="AB54">
        <v>0</v>
      </c>
      <c r="AE54">
        <v>424</v>
      </c>
      <c r="AF54">
        <f>AH54-AG54-AE54-Z54</f>
        <v>832389</v>
      </c>
      <c r="AG54">
        <v>3665</v>
      </c>
      <c r="AH54">
        <v>2020862</v>
      </c>
      <c r="AI54">
        <f t="shared" si="12"/>
        <v>-791</v>
      </c>
      <c r="AJ54">
        <f t="shared" si="18"/>
        <v>0</v>
      </c>
      <c r="AK54" t="s">
        <v>3843</v>
      </c>
      <c r="AL54" s="94" t="str">
        <f t="shared" ref="AL54:AL72" si="19">IF(S53 &lt;&gt; "Removido 22/12/2023", "A Considerar", "Removido")</f>
        <v>A Considerar</v>
      </c>
    </row>
    <row r="55" spans="2:38" x14ac:dyDescent="0.3">
      <c r="B55" s="81" t="s">
        <v>3725</v>
      </c>
      <c r="C55" s="25"/>
      <c r="D55" s="28">
        <f t="shared" si="11"/>
        <v>0</v>
      </c>
      <c r="E55" s="25"/>
      <c r="F55" s="28">
        <f t="shared" si="14"/>
        <v>0</v>
      </c>
      <c r="G55" s="100"/>
      <c r="H55" s="28">
        <f t="shared" si="2"/>
        <v>0</v>
      </c>
      <c r="I55" s="25"/>
      <c r="J55" s="28">
        <f t="shared" si="15"/>
        <v>0</v>
      </c>
      <c r="K55" s="25">
        <f>2020862-3665</f>
        <v>2017197</v>
      </c>
      <c r="L55" s="28">
        <f t="shared" si="4"/>
        <v>0.99818641747927372</v>
      </c>
      <c r="M55" s="63">
        <v>3665</v>
      </c>
      <c r="N55" s="28">
        <f t="shared" si="16"/>
        <v>1.8135825207263039E-3</v>
      </c>
      <c r="O55" s="102" t="s">
        <v>3783</v>
      </c>
      <c r="P55" s="49">
        <v>45320</v>
      </c>
      <c r="Q55" s="35" t="s">
        <v>3805</v>
      </c>
      <c r="R55" s="35" t="str">
        <f>IF(OR(Q55="CT207",Q55="CT209",Q55="CT211"),"Rentabilidade",IF(Q55="Corporativo","Corporativo",IF(Q55="Calculado","Calculado",IF(Q55="LT ESTR","LT ESTR", IF(Q55="Modelo Verde","Modelo Verde",NA)))))</f>
        <v>Rentabilidade</v>
      </c>
      <c r="S55" s="36" t="s">
        <v>3798</v>
      </c>
      <c r="T55" s="35" t="s">
        <v>3816</v>
      </c>
      <c r="U55" s="35" t="s">
        <v>3816</v>
      </c>
      <c r="V55" s="35" t="str">
        <f>IF(AND(T55="OK",U55="OK"),"OK",IF(AND(T55="Not Started",U55="Not Started"),"Not Started",IF(AND(T55="NOK",U55="NOK"),"NOK",IF(AND(T55="WIP",U55="WIP"),"WIP",IF(AND(OR(T55="OK",U55="OK"))*(OR(T55="NOK",U55="NOK")),"NOK","NA")))))</f>
        <v>Not Started</v>
      </c>
      <c r="W55" s="35" t="s">
        <v>3816</v>
      </c>
      <c r="X55" s="83" t="str">
        <f t="shared" si="17"/>
        <v>Test Team</v>
      </c>
      <c r="Y55" s="25" t="s">
        <v>3784</v>
      </c>
      <c r="Z55" s="32">
        <v>0</v>
      </c>
      <c r="AA55" s="25"/>
      <c r="AB55" s="25"/>
      <c r="AC55" s="25"/>
      <c r="AD55" s="25"/>
      <c r="AE55" s="25"/>
      <c r="AF55" s="25"/>
      <c r="AG55" s="25"/>
      <c r="AH55" s="23">
        <v>2020862</v>
      </c>
      <c r="AI55" s="1" t="e">
        <f>AH55-M55-#REF!-K55-E55-C55-I55</f>
        <v>#REF!</v>
      </c>
      <c r="AJ55" s="1">
        <f t="shared" si="18"/>
        <v>2020862</v>
      </c>
      <c r="AK55" t="s">
        <v>3706</v>
      </c>
      <c r="AL55" s="94" t="str">
        <f t="shared" si="19"/>
        <v>A Considerar</v>
      </c>
    </row>
    <row r="56" spans="2:38" x14ac:dyDescent="0.3">
      <c r="B56" s="81" t="s">
        <v>3767</v>
      </c>
      <c r="C56" s="25">
        <v>2020862</v>
      </c>
      <c r="D56" s="28">
        <f t="shared" si="11"/>
        <v>1</v>
      </c>
      <c r="E56" s="25"/>
      <c r="F56" s="28">
        <f t="shared" si="14"/>
        <v>0</v>
      </c>
      <c r="G56" s="25"/>
      <c r="H56" s="28">
        <f t="shared" si="2"/>
        <v>0</v>
      </c>
      <c r="I56" s="25"/>
      <c r="J56" s="28">
        <f t="shared" si="15"/>
        <v>0</v>
      </c>
      <c r="K56" s="63"/>
      <c r="L56" s="28">
        <f t="shared" si="4"/>
        <v>0</v>
      </c>
      <c r="M56" s="63"/>
      <c r="N56" s="28">
        <f t="shared" si="16"/>
        <v>0</v>
      </c>
      <c r="O56" s="103" t="s">
        <v>3787</v>
      </c>
      <c r="P56" s="71">
        <v>45338</v>
      </c>
      <c r="Q56" s="35" t="s">
        <v>3803</v>
      </c>
      <c r="R56" s="35" t="str">
        <f>IF(OR(Q56="CT207",Q56="CT209",Q56="CT211"),"Rentabilidade",IF(Q56="Corporativo","Corporativo",IF(Q56="Calculado","Calculado",IF(Q56="LT ESTR","LT ESTR", IF(Q56="Modelo Verde","Modelo Verde",NA)))))</f>
        <v>LT ESTR</v>
      </c>
      <c r="S56" s="36" t="s">
        <v>3794</v>
      </c>
      <c r="T56" s="35" t="s">
        <v>3707</v>
      </c>
      <c r="U56" s="35" t="s">
        <v>3707</v>
      </c>
      <c r="V56" s="35" t="str">
        <f t="shared" si="9"/>
        <v>NOK</v>
      </c>
      <c r="W56" s="35" t="s">
        <v>3707</v>
      </c>
      <c r="X56" s="83" t="str">
        <f t="shared" si="17"/>
        <v>Fechado</v>
      </c>
      <c r="Y56" s="58"/>
      <c r="Z56" s="25"/>
      <c r="AA56" s="25"/>
      <c r="AB56" s="25"/>
      <c r="AC56" s="25"/>
      <c r="AD56" s="25"/>
      <c r="AE56" s="25"/>
      <c r="AF56" s="25"/>
      <c r="AG56" s="25"/>
      <c r="AH56" s="23">
        <v>2020862</v>
      </c>
      <c r="AI56" s="1">
        <f t="shared" si="12"/>
        <v>0</v>
      </c>
      <c r="AJ56" s="1">
        <f t="shared" si="18"/>
        <v>2020862</v>
      </c>
      <c r="AK56" t="s">
        <v>3706</v>
      </c>
      <c r="AL56" s="94" t="str">
        <f t="shared" si="19"/>
        <v>A Considerar</v>
      </c>
    </row>
    <row r="57" spans="2:38" x14ac:dyDescent="0.3">
      <c r="B57" s="81" t="s">
        <v>3736</v>
      </c>
      <c r="C57" s="25">
        <v>2020862</v>
      </c>
      <c r="D57" s="28">
        <f t="shared" si="11"/>
        <v>1</v>
      </c>
      <c r="E57" s="25"/>
      <c r="F57" s="28">
        <f t="shared" si="14"/>
        <v>0</v>
      </c>
      <c r="G57" s="25"/>
      <c r="H57" s="28">
        <f t="shared" si="2"/>
        <v>0</v>
      </c>
      <c r="I57" s="25"/>
      <c r="J57" s="28">
        <f t="shared" si="15"/>
        <v>0</v>
      </c>
      <c r="K57" s="63"/>
      <c r="L57" s="28">
        <f t="shared" si="4"/>
        <v>0</v>
      </c>
      <c r="M57" s="63"/>
      <c r="N57" s="28">
        <f t="shared" si="16"/>
        <v>0</v>
      </c>
      <c r="O57" s="103" t="s">
        <v>3787</v>
      </c>
      <c r="P57" s="49">
        <v>45321</v>
      </c>
      <c r="Q57" s="35" t="s">
        <v>3803</v>
      </c>
      <c r="R57" s="35" t="str">
        <f>IF(OR(Q57="CT207",Q57="CT209",Q57="CT211"),"Rentabilidade",IF(Q57="Corporativo","Corporativo",IF(Q57="Calculado","Calculado",IF(Q57="LT ESTR","LT ESTR", IF(Q57="Modelo Verde","Modelo Verde",NA)))))</f>
        <v>LT ESTR</v>
      </c>
      <c r="S57" s="36" t="s">
        <v>3798</v>
      </c>
      <c r="T57" s="35" t="s">
        <v>3706</v>
      </c>
      <c r="U57" s="35" t="s">
        <v>3706</v>
      </c>
      <c r="V57" s="35" t="str">
        <f t="shared" si="9"/>
        <v>OK</v>
      </c>
      <c r="W57" s="35" t="s">
        <v>3706</v>
      </c>
      <c r="X57" s="83" t="str">
        <f t="shared" si="17"/>
        <v>Fechado</v>
      </c>
      <c r="Y57" s="67"/>
      <c r="Z57" s="25"/>
      <c r="AA57" s="25"/>
      <c r="AB57" s="25"/>
      <c r="AC57" s="25"/>
      <c r="AD57" s="25"/>
      <c r="AE57" s="25"/>
      <c r="AF57" s="25"/>
      <c r="AG57" s="25"/>
      <c r="AH57" s="23">
        <v>2020862</v>
      </c>
      <c r="AI57" s="1">
        <f t="shared" si="12"/>
        <v>0</v>
      </c>
      <c r="AJ57" s="1">
        <f t="shared" si="18"/>
        <v>2020862</v>
      </c>
      <c r="AK57" t="s">
        <v>3706</v>
      </c>
      <c r="AL57" s="94" t="str">
        <f t="shared" si="19"/>
        <v>A Considerar</v>
      </c>
    </row>
    <row r="58" spans="2:38" x14ac:dyDescent="0.3">
      <c r="B58" s="81" t="s">
        <v>3734</v>
      </c>
      <c r="C58" s="25">
        <v>2020862</v>
      </c>
      <c r="D58" s="28">
        <f t="shared" si="11"/>
        <v>1</v>
      </c>
      <c r="E58" s="25"/>
      <c r="F58" s="28">
        <f t="shared" si="14"/>
        <v>0</v>
      </c>
      <c r="G58" s="25"/>
      <c r="H58" s="28">
        <f t="shared" ref="H58:H71" si="20">G58/$AH58</f>
        <v>0</v>
      </c>
      <c r="I58" s="25"/>
      <c r="J58" s="28">
        <f t="shared" si="15"/>
        <v>0</v>
      </c>
      <c r="K58" s="63"/>
      <c r="L58" s="28">
        <f t="shared" si="4"/>
        <v>0</v>
      </c>
      <c r="M58" s="63"/>
      <c r="N58" s="28">
        <f t="shared" si="16"/>
        <v>0</v>
      </c>
      <c r="O58" s="103" t="s">
        <v>3787</v>
      </c>
      <c r="P58" s="49">
        <v>45317</v>
      </c>
      <c r="Q58" s="35" t="s">
        <v>3803</v>
      </c>
      <c r="R58" s="35" t="str">
        <f>IF(OR(Q58="CT207",Q58="CT209",Q58="CT211"),"Rentabilidade",IF(Q58="Corporativo","Corporativo",IF(Q58="Calculado","Calculado",IF(Q58="LT ESTR","LT ESTR", IF(Q58="Modelo Verde","Modelo Verde",NA)))))</f>
        <v>LT ESTR</v>
      </c>
      <c r="S58" s="36" t="s">
        <v>3798</v>
      </c>
      <c r="T58" s="35" t="s">
        <v>3706</v>
      </c>
      <c r="U58" s="35" t="s">
        <v>3706</v>
      </c>
      <c r="V58" s="35" t="str">
        <f t="shared" si="9"/>
        <v>OK</v>
      </c>
      <c r="W58" s="35" t="s">
        <v>3706</v>
      </c>
      <c r="X58" s="83" t="str">
        <f t="shared" si="17"/>
        <v>Fechado</v>
      </c>
      <c r="Y58" s="67"/>
      <c r="Z58" s="25">
        <v>2020862</v>
      </c>
      <c r="AA58" s="25"/>
      <c r="AB58" s="25"/>
      <c r="AC58" s="25"/>
      <c r="AD58" s="25"/>
      <c r="AE58" s="25"/>
      <c r="AF58" s="25"/>
      <c r="AG58" s="25"/>
      <c r="AH58" s="23">
        <v>2020862</v>
      </c>
      <c r="AI58" s="1">
        <f t="shared" si="12"/>
        <v>0</v>
      </c>
      <c r="AJ58" s="1">
        <f t="shared" si="18"/>
        <v>0</v>
      </c>
      <c r="AK58" t="s">
        <v>3706</v>
      </c>
      <c r="AL58" s="94" t="str">
        <f t="shared" si="19"/>
        <v>A Considerar</v>
      </c>
    </row>
    <row r="59" spans="2:38" x14ac:dyDescent="0.3">
      <c r="B59" s="81" t="s">
        <v>3755</v>
      </c>
      <c r="C59" s="25">
        <v>2020862</v>
      </c>
      <c r="D59" s="28">
        <f t="shared" si="11"/>
        <v>1</v>
      </c>
      <c r="E59" s="25"/>
      <c r="F59" s="28">
        <f t="shared" si="14"/>
        <v>0</v>
      </c>
      <c r="G59" s="25"/>
      <c r="H59" s="28">
        <f t="shared" si="20"/>
        <v>0</v>
      </c>
      <c r="I59" s="25"/>
      <c r="J59" s="28">
        <f t="shared" si="15"/>
        <v>0</v>
      </c>
      <c r="K59" s="63"/>
      <c r="L59" s="28">
        <f t="shared" ref="L59:L71" si="21">K59/$AH59</f>
        <v>0</v>
      </c>
      <c r="M59" s="63"/>
      <c r="N59" s="28">
        <f t="shared" si="16"/>
        <v>0</v>
      </c>
      <c r="O59" s="103" t="s">
        <v>3787</v>
      </c>
      <c r="P59" s="49">
        <v>45317</v>
      </c>
      <c r="Q59" s="35" t="s">
        <v>3808</v>
      </c>
      <c r="R59" s="35" t="str">
        <f>IF(OR(Q59="CT207",Q59="CT209",Q59="CT211"),"Rentabilidade",IF(Q59="Corporativo","Corporativo",IF(Q59="Calculado","Calculado",IF(Q59="LT ESTR","LT ESTR", IF(Q59="Modelo Verde","Modelo Verde",NA)))))</f>
        <v>Corporativo</v>
      </c>
      <c r="S59" s="36" t="s">
        <v>3798</v>
      </c>
      <c r="T59" s="35" t="s">
        <v>3706</v>
      </c>
      <c r="U59" s="35" t="s">
        <v>3706</v>
      </c>
      <c r="V59" s="35" t="str">
        <f t="shared" si="9"/>
        <v>OK</v>
      </c>
      <c r="W59" s="35" t="s">
        <v>3706</v>
      </c>
      <c r="X59" s="83" t="str">
        <f t="shared" si="17"/>
        <v>Fechado</v>
      </c>
      <c r="Y59" s="25"/>
      <c r="Z59" s="25">
        <v>2020862</v>
      </c>
      <c r="AA59" s="25"/>
      <c r="AB59" s="25"/>
      <c r="AC59" s="25"/>
      <c r="AD59" s="25"/>
      <c r="AE59" s="25"/>
      <c r="AF59" s="25"/>
      <c r="AG59" s="25"/>
      <c r="AH59" s="23">
        <v>2020862</v>
      </c>
      <c r="AI59" s="1">
        <f t="shared" si="12"/>
        <v>0</v>
      </c>
      <c r="AJ59" s="1">
        <f t="shared" si="18"/>
        <v>0</v>
      </c>
      <c r="AK59" t="s">
        <v>3706</v>
      </c>
      <c r="AL59" s="94" t="str">
        <f t="shared" si="19"/>
        <v>A Considerar</v>
      </c>
    </row>
    <row r="60" spans="2:38" x14ac:dyDescent="0.3">
      <c r="B60" s="81" t="s">
        <v>3758</v>
      </c>
      <c r="C60" s="25"/>
      <c r="D60" s="28">
        <f t="shared" si="11"/>
        <v>0</v>
      </c>
      <c r="E60" s="25"/>
      <c r="F60" s="28">
        <f t="shared" si="14"/>
        <v>0</v>
      </c>
      <c r="G60" s="25"/>
      <c r="H60" s="28">
        <f t="shared" si="20"/>
        <v>0</v>
      </c>
      <c r="I60" s="25"/>
      <c r="J60" s="28">
        <f t="shared" si="15"/>
        <v>0</v>
      </c>
      <c r="K60" s="63">
        <v>2020862</v>
      </c>
      <c r="L60" s="28">
        <f t="shared" si="21"/>
        <v>1</v>
      </c>
      <c r="M60" s="63"/>
      <c r="N60" s="28">
        <f t="shared" si="16"/>
        <v>0</v>
      </c>
      <c r="O60" s="104" t="s">
        <v>3826</v>
      </c>
      <c r="P60" s="49">
        <v>45324</v>
      </c>
      <c r="Q60" s="35" t="s">
        <v>3805</v>
      </c>
      <c r="R60" s="35" t="str">
        <f>IF(OR(Q60="CT207",Q60="CT209",Q60="CT211"),"Rentabilidade",IF(Q60="Corporativo","Corporativo",IF(Q60="Calculado","Calculado",IF(Q60="LT ESTR","LT ESTR", IF(Q60="Modelo Verde","Modelo Verde",NA)))))</f>
        <v>Rentabilidade</v>
      </c>
      <c r="S60" s="36" t="s">
        <v>3798</v>
      </c>
      <c r="T60" s="35" t="s">
        <v>3816</v>
      </c>
      <c r="U60" s="35" t="s">
        <v>3816</v>
      </c>
      <c r="V60" s="35" t="str">
        <f t="shared" si="9"/>
        <v>Not Started</v>
      </c>
      <c r="W60" s="35" t="s">
        <v>3816</v>
      </c>
      <c r="X60" s="83" t="str">
        <f t="shared" si="17"/>
        <v>Test Team</v>
      </c>
      <c r="Y60" s="25" t="s">
        <v>3830</v>
      </c>
      <c r="Z60" s="25"/>
      <c r="AA60" s="25"/>
      <c r="AB60" s="25"/>
      <c r="AC60" s="25"/>
      <c r="AD60" s="25"/>
      <c r="AE60" s="25"/>
      <c r="AF60" s="25">
        <v>2020862</v>
      </c>
      <c r="AG60" s="25"/>
      <c r="AH60" s="23">
        <v>2020862</v>
      </c>
      <c r="AI60" s="1">
        <f t="shared" si="12"/>
        <v>0</v>
      </c>
      <c r="AJ60" s="1">
        <f t="shared" si="18"/>
        <v>0</v>
      </c>
      <c r="AK60" t="s">
        <v>3840</v>
      </c>
      <c r="AL60" s="94" t="str">
        <f t="shared" si="19"/>
        <v>A Considerar</v>
      </c>
    </row>
    <row r="61" spans="2:38" x14ac:dyDescent="0.3">
      <c r="B61" s="81" t="s">
        <v>3747</v>
      </c>
      <c r="C61" s="25">
        <v>2020862</v>
      </c>
      <c r="D61" s="28">
        <f t="shared" si="11"/>
        <v>1</v>
      </c>
      <c r="E61" s="25"/>
      <c r="F61" s="28">
        <f t="shared" si="14"/>
        <v>0</v>
      </c>
      <c r="G61" s="25"/>
      <c r="H61" s="28">
        <f t="shared" si="20"/>
        <v>0</v>
      </c>
      <c r="I61" s="25"/>
      <c r="J61" s="28">
        <f t="shared" si="15"/>
        <v>0</v>
      </c>
      <c r="K61" s="63"/>
      <c r="L61" s="28">
        <f t="shared" si="21"/>
        <v>0</v>
      </c>
      <c r="M61" s="63"/>
      <c r="N61" s="28">
        <f t="shared" si="16"/>
        <v>0</v>
      </c>
      <c r="O61" s="103" t="s">
        <v>3787</v>
      </c>
      <c r="P61" s="49">
        <v>45317</v>
      </c>
      <c r="Q61" s="35" t="s">
        <v>3803</v>
      </c>
      <c r="R61" s="35" t="str">
        <f>IF(OR(Q61="CT207",Q61="CT209",Q61="CT211"),"Rentabilidade",IF(Q61="Corporativo","Corporativo",IF(Q61="Calculado","Calculado",IF(Q61="LT ESTR","LT ESTR", IF(Q61="Modelo Verde","Modelo Verde",NA)))))</f>
        <v>LT ESTR</v>
      </c>
      <c r="S61" s="36" t="s">
        <v>3794</v>
      </c>
      <c r="T61" s="35" t="s">
        <v>3706</v>
      </c>
      <c r="U61" s="35" t="s">
        <v>3706</v>
      </c>
      <c r="V61" s="35" t="str">
        <f t="shared" si="9"/>
        <v>OK</v>
      </c>
      <c r="W61" s="35" t="s">
        <v>3706</v>
      </c>
      <c r="X61" s="83" t="str">
        <f t="shared" si="17"/>
        <v>Fechado</v>
      </c>
      <c r="Y61" s="67" t="s">
        <v>3786</v>
      </c>
      <c r="Z61" s="25">
        <v>2020862</v>
      </c>
      <c r="AA61" s="25"/>
      <c r="AB61" s="25"/>
      <c r="AC61" s="25"/>
      <c r="AD61" s="25"/>
      <c r="AE61" s="25"/>
      <c r="AF61" s="25"/>
      <c r="AG61" s="25"/>
      <c r="AH61" s="23">
        <v>2020862</v>
      </c>
      <c r="AI61" s="1">
        <f t="shared" si="12"/>
        <v>0</v>
      </c>
      <c r="AJ61" s="1">
        <f t="shared" si="18"/>
        <v>0</v>
      </c>
      <c r="AK61" t="s">
        <v>3706</v>
      </c>
      <c r="AL61" s="94" t="str">
        <f t="shared" si="19"/>
        <v>A Considerar</v>
      </c>
    </row>
    <row r="62" spans="2:38" x14ac:dyDescent="0.3">
      <c r="B62" s="81" t="s">
        <v>3750</v>
      </c>
      <c r="C62" s="25"/>
      <c r="D62" s="28">
        <f t="shared" si="11"/>
        <v>0</v>
      </c>
      <c r="E62" s="25"/>
      <c r="F62" s="28">
        <f t="shared" si="14"/>
        <v>0</v>
      </c>
      <c r="G62" s="25"/>
      <c r="H62" s="28">
        <f t="shared" si="20"/>
        <v>0</v>
      </c>
      <c r="I62" s="25"/>
      <c r="J62" s="28">
        <f t="shared" si="15"/>
        <v>0</v>
      </c>
      <c r="K62" s="63">
        <f>2020862-3665</f>
        <v>2017197</v>
      </c>
      <c r="L62" s="28">
        <f t="shared" si="21"/>
        <v>0.99818641747927372</v>
      </c>
      <c r="M62" s="63">
        <v>3665</v>
      </c>
      <c r="N62" s="28">
        <f t="shared" si="16"/>
        <v>1.8135825207263039E-3</v>
      </c>
      <c r="O62" s="104" t="s">
        <v>3795</v>
      </c>
      <c r="P62" s="49">
        <v>45321</v>
      </c>
      <c r="Q62" s="35" t="s">
        <v>3805</v>
      </c>
      <c r="R62" s="35" t="str">
        <f>IF(OR(Q62="CT207",Q62="CT209",Q62="CT211"),"Rentabilidade",IF(Q62="Corporativo","Corporativo",IF(Q62="Calculado","Calculado",IF(Q62="LT ESTR","LT ESTR", IF(Q62="Modelo Verde","Modelo Verde",NA)))))</f>
        <v>Rentabilidade</v>
      </c>
      <c r="S62" s="36" t="s">
        <v>3798</v>
      </c>
      <c r="T62" s="35" t="s">
        <v>3816</v>
      </c>
      <c r="U62" s="35" t="s">
        <v>3816</v>
      </c>
      <c r="V62" s="35" t="str">
        <f t="shared" si="9"/>
        <v>Not Started</v>
      </c>
      <c r="W62" s="35" t="s">
        <v>3816</v>
      </c>
      <c r="X62" s="83" t="str">
        <f t="shared" si="17"/>
        <v>IT Team</v>
      </c>
      <c r="Y62" s="25" t="s">
        <v>3849</v>
      </c>
      <c r="Z62" s="25"/>
      <c r="AA62" s="25"/>
      <c r="AB62" s="25"/>
      <c r="AC62" s="25"/>
      <c r="AD62" s="25"/>
      <c r="AE62" s="25"/>
      <c r="AF62" s="25"/>
      <c r="AG62" s="25"/>
      <c r="AH62" s="23">
        <v>2020862</v>
      </c>
      <c r="AI62" s="1">
        <f t="shared" si="12"/>
        <v>0</v>
      </c>
      <c r="AJ62" s="1">
        <f t="shared" si="18"/>
        <v>2020862</v>
      </c>
      <c r="AK62" t="s">
        <v>3839</v>
      </c>
      <c r="AL62" s="94" t="str">
        <f t="shared" si="19"/>
        <v>A Considerar</v>
      </c>
    </row>
    <row r="63" spans="2:38" x14ac:dyDescent="0.3">
      <c r="B63" s="81" t="s">
        <v>3742</v>
      </c>
      <c r="C63" s="25">
        <v>2020862</v>
      </c>
      <c r="D63" s="28">
        <f t="shared" si="11"/>
        <v>1</v>
      </c>
      <c r="E63" s="26"/>
      <c r="F63" s="28">
        <f t="shared" si="14"/>
        <v>0</v>
      </c>
      <c r="G63" s="25"/>
      <c r="H63" s="28">
        <f t="shared" si="20"/>
        <v>0</v>
      </c>
      <c r="I63" s="25"/>
      <c r="J63" s="28">
        <f t="shared" si="15"/>
        <v>0</v>
      </c>
      <c r="K63" s="63"/>
      <c r="L63" s="28">
        <f t="shared" si="21"/>
        <v>0</v>
      </c>
      <c r="M63" s="63"/>
      <c r="N63" s="28">
        <f t="shared" si="16"/>
        <v>0</v>
      </c>
      <c r="O63" s="103" t="s">
        <v>3787</v>
      </c>
      <c r="P63" s="49">
        <v>45321</v>
      </c>
      <c r="Q63" s="35" t="s">
        <v>3803</v>
      </c>
      <c r="R63" s="35" t="str">
        <f>IF(OR(Q63="CT207",Q63="CT209",Q63="CT211"),"Rentabilidade",IF(Q63="Corporativo","Corporativo",IF(Q63="Calculado","Calculado",IF(Q63="LT ESTR","LT ESTR", IF(Q63="Modelo Verde","Modelo Verde",NA)))))</f>
        <v>LT ESTR</v>
      </c>
      <c r="S63" s="36" t="s">
        <v>3798</v>
      </c>
      <c r="T63" s="35" t="s">
        <v>3706</v>
      </c>
      <c r="U63" s="35" t="s">
        <v>3706</v>
      </c>
      <c r="V63" s="35" t="str">
        <f t="shared" si="9"/>
        <v>OK</v>
      </c>
      <c r="W63" s="35" t="s">
        <v>3706</v>
      </c>
      <c r="X63" s="83" t="str">
        <f t="shared" si="17"/>
        <v>Fechado</v>
      </c>
      <c r="Y63" s="67"/>
      <c r="Z63" s="25"/>
      <c r="AA63" s="25"/>
      <c r="AB63" s="25">
        <v>2020862</v>
      </c>
      <c r="AC63" s="25"/>
      <c r="AD63" s="25"/>
      <c r="AE63" s="25"/>
      <c r="AF63" s="25"/>
      <c r="AG63" s="25"/>
      <c r="AH63" s="23">
        <v>2020862</v>
      </c>
      <c r="AI63" s="1">
        <f t="shared" si="12"/>
        <v>0</v>
      </c>
      <c r="AJ63" s="1">
        <f t="shared" si="18"/>
        <v>0</v>
      </c>
      <c r="AK63" t="s">
        <v>3706</v>
      </c>
      <c r="AL63" s="94" t="str">
        <f t="shared" si="19"/>
        <v>A Considerar</v>
      </c>
    </row>
    <row r="64" spans="2:38" x14ac:dyDescent="0.3">
      <c r="B64" s="81" t="s">
        <v>3737</v>
      </c>
      <c r="C64" s="25">
        <v>2020862</v>
      </c>
      <c r="D64" s="28">
        <f t="shared" si="11"/>
        <v>1</v>
      </c>
      <c r="E64" s="25"/>
      <c r="F64" s="28">
        <f t="shared" si="14"/>
        <v>0</v>
      </c>
      <c r="G64" s="25"/>
      <c r="H64" s="28">
        <f t="shared" si="20"/>
        <v>0</v>
      </c>
      <c r="I64" s="25"/>
      <c r="J64" s="28">
        <f t="shared" si="15"/>
        <v>0</v>
      </c>
      <c r="K64" s="63"/>
      <c r="L64" s="28">
        <f t="shared" si="21"/>
        <v>0</v>
      </c>
      <c r="M64" s="63"/>
      <c r="N64" s="28">
        <f t="shared" si="16"/>
        <v>0</v>
      </c>
      <c r="O64" s="103" t="s">
        <v>3787</v>
      </c>
      <c r="P64" s="49">
        <v>45321</v>
      </c>
      <c r="Q64" s="35" t="s">
        <v>3803</v>
      </c>
      <c r="R64" s="35" t="str">
        <f>IF(OR(Q64="CT207",Q64="CT209",Q64="CT211"),"Rentabilidade",IF(Q64="Corporativo","Corporativo",IF(Q64="Calculado","Calculado",IF(Q64="LT ESTR","LT ESTR", IF(Q64="Modelo Verde","Modelo Verde",NA)))))</f>
        <v>LT ESTR</v>
      </c>
      <c r="S64" s="36" t="s">
        <v>3798</v>
      </c>
      <c r="T64" s="35" t="s">
        <v>3706</v>
      </c>
      <c r="U64" s="35" t="s">
        <v>3706</v>
      </c>
      <c r="V64" s="35" t="str">
        <f t="shared" si="9"/>
        <v>OK</v>
      </c>
      <c r="W64" s="35" t="s">
        <v>3706</v>
      </c>
      <c r="X64" s="83" t="str">
        <f t="shared" si="17"/>
        <v>Fechado</v>
      </c>
      <c r="Y64" s="67" t="s">
        <v>3829</v>
      </c>
      <c r="Z64" s="25"/>
      <c r="AA64" s="25"/>
      <c r="AB64" s="25">
        <v>2020862</v>
      </c>
      <c r="AC64" s="25"/>
      <c r="AD64" s="25"/>
      <c r="AE64" s="25"/>
      <c r="AF64" s="25"/>
      <c r="AG64" s="25"/>
      <c r="AH64" s="23">
        <v>2020862</v>
      </c>
      <c r="AI64" s="1">
        <f t="shared" si="12"/>
        <v>0</v>
      </c>
      <c r="AJ64" s="1">
        <f t="shared" si="18"/>
        <v>0</v>
      </c>
      <c r="AK64" t="s">
        <v>3706</v>
      </c>
      <c r="AL64" s="94" t="str">
        <f t="shared" si="19"/>
        <v>A Considerar</v>
      </c>
    </row>
    <row r="65" spans="2:38" x14ac:dyDescent="0.3">
      <c r="B65" s="81" t="s">
        <v>3743</v>
      </c>
      <c r="C65" s="25">
        <v>2020862</v>
      </c>
      <c r="D65" s="28">
        <f t="shared" si="11"/>
        <v>1</v>
      </c>
      <c r="E65" s="26"/>
      <c r="F65" s="28">
        <f t="shared" si="14"/>
        <v>0</v>
      </c>
      <c r="G65" s="25"/>
      <c r="H65" s="28">
        <f t="shared" si="20"/>
        <v>0</v>
      </c>
      <c r="I65" s="25"/>
      <c r="J65" s="28">
        <f t="shared" si="15"/>
        <v>0</v>
      </c>
      <c r="K65" s="63"/>
      <c r="L65" s="28">
        <f t="shared" si="21"/>
        <v>0</v>
      </c>
      <c r="M65" s="63"/>
      <c r="N65" s="28">
        <f t="shared" si="16"/>
        <v>0</v>
      </c>
      <c r="O65" s="103" t="s">
        <v>3787</v>
      </c>
      <c r="P65" s="49">
        <v>45321</v>
      </c>
      <c r="Q65" s="35" t="s">
        <v>3803</v>
      </c>
      <c r="R65" s="35" t="str">
        <f>IF(OR(Q65="CT207",Q65="CT209",Q65="CT211"),"Rentabilidade",IF(Q65="Corporativo","Corporativo",IF(Q65="Calculado","Calculado",IF(Q65="LT ESTR","LT ESTR", IF(Q65="Modelo Verde","Modelo Verde",NA)))))</f>
        <v>LT ESTR</v>
      </c>
      <c r="S65" s="36" t="s">
        <v>3798</v>
      </c>
      <c r="T65" s="35" t="s">
        <v>3706</v>
      </c>
      <c r="U65" s="35" t="s">
        <v>3706</v>
      </c>
      <c r="V65" s="35" t="str">
        <f t="shared" si="9"/>
        <v>OK</v>
      </c>
      <c r="W65" s="35" t="s">
        <v>3706</v>
      </c>
      <c r="X65" s="83" t="str">
        <f t="shared" si="17"/>
        <v>Fechado</v>
      </c>
      <c r="Y65" s="67"/>
      <c r="Z65" s="25"/>
      <c r="AA65" s="25"/>
      <c r="AB65" s="25">
        <v>2020862</v>
      </c>
      <c r="AC65" s="25"/>
      <c r="AD65" s="25"/>
      <c r="AE65" s="25"/>
      <c r="AF65" s="25"/>
      <c r="AG65" s="25"/>
      <c r="AH65" s="23">
        <v>2020862</v>
      </c>
      <c r="AI65" s="1">
        <f t="shared" si="12"/>
        <v>0</v>
      </c>
      <c r="AJ65" s="1">
        <f t="shared" si="18"/>
        <v>0</v>
      </c>
      <c r="AK65" t="s">
        <v>3706</v>
      </c>
      <c r="AL65" s="94" t="str">
        <f t="shared" si="19"/>
        <v>A Considerar</v>
      </c>
    </row>
    <row r="66" spans="2:38" x14ac:dyDescent="0.3">
      <c r="B66" s="81" t="s">
        <v>3744</v>
      </c>
      <c r="C66" s="25">
        <v>2020838</v>
      </c>
      <c r="D66" s="28">
        <f t="shared" si="11"/>
        <v>0.99998812387980973</v>
      </c>
      <c r="E66" s="26"/>
      <c r="F66" s="28">
        <f t="shared" si="14"/>
        <v>0</v>
      </c>
      <c r="G66" s="25">
        <v>24</v>
      </c>
      <c r="H66" s="28">
        <f t="shared" si="20"/>
        <v>1.1876120190295033E-5</v>
      </c>
      <c r="I66" s="25"/>
      <c r="J66" s="28">
        <f t="shared" si="15"/>
        <v>0</v>
      </c>
      <c r="K66" s="63"/>
      <c r="L66" s="28">
        <f t="shared" si="21"/>
        <v>0</v>
      </c>
      <c r="M66" s="63"/>
      <c r="N66" s="28">
        <f t="shared" si="16"/>
        <v>0</v>
      </c>
      <c r="O66" s="103" t="s">
        <v>3787</v>
      </c>
      <c r="P66" s="49">
        <v>45369</v>
      </c>
      <c r="Q66" s="35" t="s">
        <v>3803</v>
      </c>
      <c r="R66" s="35" t="str">
        <f>IF(OR(Q66="CT207",Q66="CT209",Q66="CT211"),"Rentabilidade",IF(Q66="Corporativo","Corporativo",IF(Q66="Calculado","Calculado",IF(Q66="LT ESTR","LT ESTR", IF(Q66="Modelo Verde","Modelo Verde",NA)))))</f>
        <v>LT ESTR</v>
      </c>
      <c r="S66" s="36" t="s">
        <v>3798</v>
      </c>
      <c r="T66" s="35" t="s">
        <v>3707</v>
      </c>
      <c r="U66" s="35" t="s">
        <v>3707</v>
      </c>
      <c r="V66" s="35" t="str">
        <f t="shared" si="9"/>
        <v>NOK</v>
      </c>
      <c r="W66" s="35" t="s">
        <v>3707</v>
      </c>
      <c r="X66" s="83" t="str">
        <f t="shared" si="17"/>
        <v>Fechado</v>
      </c>
      <c r="Y66" s="58"/>
      <c r="Z66" s="25"/>
      <c r="AA66" s="25"/>
      <c r="AB66" s="25">
        <v>2020862</v>
      </c>
      <c r="AC66" s="25"/>
      <c r="AD66" s="25"/>
      <c r="AE66" s="25"/>
      <c r="AF66" s="25"/>
      <c r="AG66" s="25"/>
      <c r="AH66" s="23">
        <v>2020862</v>
      </c>
      <c r="AI66" s="1">
        <f t="shared" si="12"/>
        <v>0</v>
      </c>
      <c r="AJ66" s="1">
        <f t="shared" si="18"/>
        <v>0</v>
      </c>
      <c r="AK66" t="s">
        <v>3706</v>
      </c>
      <c r="AL66" s="94" t="str">
        <f t="shared" si="19"/>
        <v>A Considerar</v>
      </c>
    </row>
    <row r="67" spans="2:38" x14ac:dyDescent="0.3">
      <c r="B67" s="81" t="s">
        <v>3761</v>
      </c>
      <c r="C67" s="25"/>
      <c r="D67" s="28">
        <f t="shared" si="11"/>
        <v>0</v>
      </c>
      <c r="E67" s="25"/>
      <c r="F67" s="28">
        <f t="shared" si="14"/>
        <v>0</v>
      </c>
      <c r="G67" s="25"/>
      <c r="H67" s="28">
        <f t="shared" si="20"/>
        <v>0</v>
      </c>
      <c r="I67" s="25"/>
      <c r="J67" s="28">
        <f t="shared" si="15"/>
        <v>0</v>
      </c>
      <c r="K67" s="63">
        <v>2020862</v>
      </c>
      <c r="L67" s="28">
        <f t="shared" si="21"/>
        <v>1</v>
      </c>
      <c r="M67" s="63"/>
      <c r="N67" s="28">
        <f t="shared" si="16"/>
        <v>0</v>
      </c>
      <c r="O67" s="104" t="s">
        <v>3826</v>
      </c>
      <c r="P67" s="49">
        <v>45324</v>
      </c>
      <c r="Q67" s="35" t="s">
        <v>3808</v>
      </c>
      <c r="R67" s="35" t="str">
        <f>IF(OR(Q67="CT207",Q67="CT209",Q67="CT211"),"Rentabilidade",IF(Q67="Corporativo","Corporativo",IF(Q67="Calculado","Calculado",IF(Q67="LT ESTR","LT ESTR", IF(Q67="Modelo Verde","Modelo Verde",NA)))))</f>
        <v>Corporativo</v>
      </c>
      <c r="S67" s="36" t="s">
        <v>3798</v>
      </c>
      <c r="T67" s="35" t="s">
        <v>3816</v>
      </c>
      <c r="U67" s="35" t="s">
        <v>3816</v>
      </c>
      <c r="V67" s="35" t="str">
        <f t="shared" si="9"/>
        <v>Not Started</v>
      </c>
      <c r="W67" s="35" t="s">
        <v>3816</v>
      </c>
      <c r="X67" s="83" t="str">
        <f t="shared" si="17"/>
        <v>Test Team</v>
      </c>
      <c r="Y67" s="25" t="s">
        <v>3831</v>
      </c>
      <c r="Z67" s="25"/>
      <c r="AA67" s="25"/>
      <c r="AB67" s="25"/>
      <c r="AC67" s="25"/>
      <c r="AD67" s="25"/>
      <c r="AE67" s="25">
        <v>2020862</v>
      </c>
      <c r="AF67" s="25"/>
      <c r="AG67" s="25"/>
      <c r="AH67" s="23">
        <v>2020862</v>
      </c>
      <c r="AI67" s="1">
        <f t="shared" si="12"/>
        <v>0</v>
      </c>
      <c r="AJ67" s="1">
        <f t="shared" si="18"/>
        <v>0</v>
      </c>
      <c r="AK67" t="s">
        <v>3841</v>
      </c>
      <c r="AL67" s="94" t="str">
        <f t="shared" si="19"/>
        <v>A Considerar</v>
      </c>
    </row>
    <row r="68" spans="2:38" x14ac:dyDescent="0.3">
      <c r="B68" s="81" t="s">
        <v>3749</v>
      </c>
      <c r="C68" s="25"/>
      <c r="D68" s="64">
        <f t="shared" si="11"/>
        <v>0</v>
      </c>
      <c r="E68" s="63"/>
      <c r="F68" s="64">
        <f t="shared" si="14"/>
        <v>0</v>
      </c>
      <c r="G68" s="25"/>
      <c r="H68" s="64">
        <f t="shared" si="20"/>
        <v>0</v>
      </c>
      <c r="I68" s="25"/>
      <c r="J68" s="64">
        <f t="shared" si="15"/>
        <v>0</v>
      </c>
      <c r="K68" s="63">
        <v>2020862</v>
      </c>
      <c r="L68" s="64">
        <f t="shared" si="21"/>
        <v>1</v>
      </c>
      <c r="M68" s="63"/>
      <c r="N68" s="64">
        <f t="shared" si="16"/>
        <v>0</v>
      </c>
      <c r="O68" s="104" t="s">
        <v>3782</v>
      </c>
      <c r="P68" s="49">
        <v>45322</v>
      </c>
      <c r="Q68" s="35" t="s">
        <v>3804</v>
      </c>
      <c r="R68" s="35" t="str">
        <f>IF(OR(Q68="CT207",Q68="CT209",Q68="CT211"),"Rentabilidade",IF(Q68="Corporativo","Corporativo",IF(Q68="Calculado","Calculado",IF(Q68="LT ESTR","LT ESTR", IF(Q68="Modelo Verde","Modelo Verde",NA)))))</f>
        <v>Modelo Verde</v>
      </c>
      <c r="S68" s="36" t="s">
        <v>3798</v>
      </c>
      <c r="T68" s="35" t="s">
        <v>3816</v>
      </c>
      <c r="U68" s="35" t="s">
        <v>3816</v>
      </c>
      <c r="V68" s="35" t="str">
        <f t="shared" si="9"/>
        <v>Not Started</v>
      </c>
      <c r="W68" s="35" t="s">
        <v>3816</v>
      </c>
      <c r="X68" s="83" t="str">
        <f t="shared" si="17"/>
        <v>IT Team</v>
      </c>
      <c r="Y68" s="25" t="s">
        <v>3853</v>
      </c>
      <c r="Z68" s="25"/>
      <c r="AA68" s="25"/>
      <c r="AB68" s="25"/>
      <c r="AC68" s="25"/>
      <c r="AD68" s="25"/>
      <c r="AE68" s="25"/>
      <c r="AF68" s="25"/>
      <c r="AG68" s="25"/>
      <c r="AH68" s="23">
        <v>2020862</v>
      </c>
      <c r="AI68" s="1">
        <f t="shared" si="12"/>
        <v>0</v>
      </c>
      <c r="AJ68" s="1">
        <f t="shared" si="18"/>
        <v>2020862</v>
      </c>
      <c r="AK68" t="s">
        <v>3706</v>
      </c>
      <c r="AL68" s="94" t="str">
        <f t="shared" si="19"/>
        <v>A Considerar</v>
      </c>
    </row>
    <row r="69" spans="2:38" x14ac:dyDescent="0.3">
      <c r="B69" s="81" t="s">
        <v>3748</v>
      </c>
      <c r="C69" s="25"/>
      <c r="D69" s="64">
        <f t="shared" si="11"/>
        <v>0</v>
      </c>
      <c r="E69" s="63"/>
      <c r="F69" s="64">
        <f t="shared" si="14"/>
        <v>0</v>
      </c>
      <c r="G69" s="25"/>
      <c r="H69" s="64">
        <f t="shared" si="20"/>
        <v>0</v>
      </c>
      <c r="I69" s="25"/>
      <c r="J69" s="64">
        <f t="shared" si="15"/>
        <v>0</v>
      </c>
      <c r="K69" s="63">
        <v>2020862</v>
      </c>
      <c r="L69" s="64">
        <f t="shared" si="21"/>
        <v>1</v>
      </c>
      <c r="M69" s="63"/>
      <c r="N69" s="64">
        <f t="shared" si="16"/>
        <v>0</v>
      </c>
      <c r="O69" s="104" t="s">
        <v>3782</v>
      </c>
      <c r="P69" s="49">
        <v>45322</v>
      </c>
      <c r="Q69" s="35" t="s">
        <v>3804</v>
      </c>
      <c r="R69" s="35" t="str">
        <f>IF(OR(Q69="CT207",Q69="CT209",Q69="CT211"),"Rentabilidade",IF(Q69="Corporativo","Corporativo",IF(Q69="Calculado","Calculado",IF(Q69="LT ESTR","LT ESTR", IF(Q69="Modelo Verde","Modelo Verde",NA)))))</f>
        <v>Modelo Verde</v>
      </c>
      <c r="S69" s="36" t="s">
        <v>3798</v>
      </c>
      <c r="T69" s="35" t="s">
        <v>3816</v>
      </c>
      <c r="U69" s="35" t="s">
        <v>3816</v>
      </c>
      <c r="V69" s="35" t="str">
        <f t="shared" si="9"/>
        <v>Not Started</v>
      </c>
      <c r="W69" s="35" t="s">
        <v>3816</v>
      </c>
      <c r="X69" s="83" t="str">
        <f t="shared" si="17"/>
        <v>IT Team</v>
      </c>
      <c r="Y69" s="25" t="s">
        <v>3853</v>
      </c>
      <c r="Z69" s="25"/>
      <c r="AA69" s="25"/>
      <c r="AB69" s="25"/>
      <c r="AC69" s="25"/>
      <c r="AD69" s="25"/>
      <c r="AE69" s="25"/>
      <c r="AF69" s="25"/>
      <c r="AG69" s="25"/>
      <c r="AH69" s="23">
        <v>2020862</v>
      </c>
      <c r="AI69" s="1">
        <f t="shared" si="12"/>
        <v>0</v>
      </c>
      <c r="AJ69" s="1">
        <f t="shared" si="18"/>
        <v>2020862</v>
      </c>
      <c r="AK69" t="s">
        <v>3706</v>
      </c>
      <c r="AL69" s="94" t="str">
        <f t="shared" si="19"/>
        <v>A Considerar</v>
      </c>
    </row>
    <row r="70" spans="2:38" x14ac:dyDescent="0.3">
      <c r="B70" s="81" t="s">
        <v>3732</v>
      </c>
      <c r="C70" s="25">
        <v>2020862</v>
      </c>
      <c r="D70" s="28">
        <f t="shared" si="11"/>
        <v>1</v>
      </c>
      <c r="E70" s="25"/>
      <c r="F70" s="28">
        <f t="shared" si="14"/>
        <v>0</v>
      </c>
      <c r="G70" s="25"/>
      <c r="H70" s="28">
        <f t="shared" si="20"/>
        <v>0</v>
      </c>
      <c r="I70" s="25"/>
      <c r="J70" s="28">
        <f t="shared" si="15"/>
        <v>0</v>
      </c>
      <c r="K70" s="63"/>
      <c r="L70" s="28">
        <f t="shared" si="21"/>
        <v>0</v>
      </c>
      <c r="M70" s="63"/>
      <c r="N70" s="28">
        <f t="shared" si="16"/>
        <v>0</v>
      </c>
      <c r="O70" s="103" t="s">
        <v>3787</v>
      </c>
      <c r="P70" s="49">
        <v>45321</v>
      </c>
      <c r="Q70" s="35" t="s">
        <v>3803</v>
      </c>
      <c r="R70" s="35" t="str">
        <f>IF(OR(Q70="CT207",Q70="CT209",Q70="CT211"),"Rentabilidade",IF(Q70="Corporativo","Corporativo",IF(Q70="Calculado","Calculado",IF(Q70="LT ESTR","LT ESTR", IF(Q70="Modelo Verde","Modelo Verde",NA)))))</f>
        <v>LT ESTR</v>
      </c>
      <c r="S70" s="36" t="s">
        <v>3798</v>
      </c>
      <c r="T70" s="35" t="s">
        <v>3706</v>
      </c>
      <c r="U70" s="35" t="s">
        <v>3706</v>
      </c>
      <c r="V70" s="35" t="str">
        <f t="shared" si="9"/>
        <v>OK</v>
      </c>
      <c r="W70" s="35" t="s">
        <v>3706</v>
      </c>
      <c r="X70" s="83" t="str">
        <f t="shared" si="17"/>
        <v>Fechado</v>
      </c>
      <c r="Y70" s="67"/>
      <c r="Z70" s="25"/>
      <c r="AA70" s="25"/>
      <c r="AB70" s="25">
        <v>2020862</v>
      </c>
      <c r="AC70" s="25"/>
      <c r="AD70" s="25"/>
      <c r="AE70" s="25"/>
      <c r="AF70" s="25"/>
      <c r="AG70" s="25"/>
      <c r="AH70" s="23">
        <v>2020862</v>
      </c>
      <c r="AI70" s="1">
        <f t="shared" si="12"/>
        <v>0</v>
      </c>
      <c r="AJ70" s="1">
        <f t="shared" si="18"/>
        <v>0</v>
      </c>
      <c r="AK70" t="s">
        <v>3706</v>
      </c>
      <c r="AL70" s="94" t="str">
        <f t="shared" si="19"/>
        <v>A Considerar</v>
      </c>
    </row>
    <row r="71" spans="2:38" x14ac:dyDescent="0.3">
      <c r="B71" s="81" t="s">
        <v>3738</v>
      </c>
      <c r="C71" s="84">
        <v>2020862</v>
      </c>
      <c r="D71" s="85">
        <f t="shared" si="11"/>
        <v>1</v>
      </c>
      <c r="E71" s="84"/>
      <c r="F71" s="85">
        <f t="shared" si="14"/>
        <v>0</v>
      </c>
      <c r="G71" s="84"/>
      <c r="H71" s="85">
        <f t="shared" si="20"/>
        <v>0</v>
      </c>
      <c r="I71" s="84"/>
      <c r="J71" s="85">
        <f t="shared" si="15"/>
        <v>0</v>
      </c>
      <c r="K71" s="86"/>
      <c r="L71" s="85">
        <f t="shared" si="21"/>
        <v>0</v>
      </c>
      <c r="M71" s="86"/>
      <c r="N71" s="85">
        <f t="shared" si="16"/>
        <v>0</v>
      </c>
      <c r="O71" s="106" t="s">
        <v>3787</v>
      </c>
      <c r="P71" s="87">
        <v>45321</v>
      </c>
      <c r="Q71" s="88" t="s">
        <v>3803</v>
      </c>
      <c r="R71" s="88" t="str">
        <f>IF(OR(Q71="CT207",Q71="CT209",Q71="CT211"),"Rentabilidade",IF(Q71="Corporativo","Corporativo",IF(Q71="Calculado","Calculado",IF(Q71="LT ESTR","LT ESTR", IF(Q71="Modelo Verde","Modelo Verde",NA)))))</f>
        <v>LT ESTR</v>
      </c>
      <c r="S71" s="89" t="s">
        <v>3798</v>
      </c>
      <c r="T71" s="88" t="s">
        <v>3706</v>
      </c>
      <c r="U71" s="88" t="s">
        <v>3706</v>
      </c>
      <c r="V71" s="88" t="str">
        <f t="shared" si="9"/>
        <v>OK</v>
      </c>
      <c r="W71" s="88" t="s">
        <v>3706</v>
      </c>
      <c r="X71" s="90" t="str">
        <f t="shared" si="17"/>
        <v>Fechado</v>
      </c>
      <c r="Y71" s="67"/>
      <c r="Z71" s="25"/>
      <c r="AA71" s="25"/>
      <c r="AB71" s="25">
        <v>2020862</v>
      </c>
      <c r="AC71" s="25"/>
      <c r="AD71" s="25"/>
      <c r="AE71" s="25"/>
      <c r="AF71" s="25"/>
      <c r="AG71" s="25"/>
      <c r="AH71" s="23">
        <v>2020862</v>
      </c>
      <c r="AI71" s="1">
        <f t="shared" si="12"/>
        <v>0</v>
      </c>
      <c r="AJ71" s="1">
        <f t="shared" si="18"/>
        <v>0</v>
      </c>
      <c r="AK71" t="s">
        <v>3706</v>
      </c>
      <c r="AL71" s="94" t="str">
        <f t="shared" si="19"/>
        <v>A Considerar</v>
      </c>
    </row>
    <row r="72" spans="2:38" x14ac:dyDescent="0.3">
      <c r="AL72" s="94" t="str">
        <f t="shared" si="19"/>
        <v>A Considerar</v>
      </c>
    </row>
    <row r="76" spans="2:38" x14ac:dyDescent="0.3">
      <c r="B76" t="s">
        <v>3887</v>
      </c>
    </row>
    <row r="77" spans="2:38" x14ac:dyDescent="0.3">
      <c r="B77" s="113">
        <v>18237</v>
      </c>
    </row>
    <row r="78" spans="2:38" x14ac:dyDescent="0.3">
      <c r="B78" s="113">
        <v>36300</v>
      </c>
    </row>
    <row r="81" spans="2:2" x14ac:dyDescent="0.3">
      <c r="B81" s="113">
        <v>56605</v>
      </c>
    </row>
  </sheetData>
  <mergeCells count="8">
    <mergeCell ref="T19:W19"/>
    <mergeCell ref="C18:N18"/>
    <mergeCell ref="C19:D19"/>
    <mergeCell ref="E19:F19"/>
    <mergeCell ref="G19:H19"/>
    <mergeCell ref="I19:J19"/>
    <mergeCell ref="K19:L19"/>
    <mergeCell ref="M19:N19"/>
  </mergeCells>
  <pageMargins left="0.7" right="0.7" top="0.75" bottom="0.75" header="0.3" footer="0.3"/>
  <pageSetup paperSize="9"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31"/>
  <sheetViews>
    <sheetView showGridLines="0" zoomScale="80" zoomScaleNormal="80" workbookViewId="0">
      <selection activeCell="C29" sqref="C29"/>
    </sheetView>
  </sheetViews>
  <sheetFormatPr defaultColWidth="9.109375" defaultRowHeight="13.8" x14ac:dyDescent="0.25"/>
  <cols>
    <col min="1" max="1" width="4.109375" style="51" customWidth="1"/>
    <col min="2" max="2" width="9.109375" style="51"/>
    <col min="3" max="4" width="10.33203125" style="51" bestFit="1" customWidth="1"/>
    <col min="5" max="5" width="7.6640625" style="51" customWidth="1"/>
    <col min="6" max="8" width="9.109375" style="51"/>
    <col min="9" max="9" width="5.109375" style="51" customWidth="1"/>
    <col min="10" max="10" width="4.6640625" style="51" customWidth="1"/>
    <col min="11" max="17" width="9.109375" style="51"/>
    <col min="18" max="18" width="4.33203125" style="51" customWidth="1"/>
    <col min="19" max="19" width="5.109375" style="51" customWidth="1"/>
    <col min="20" max="20" width="4.6640625" style="51" customWidth="1"/>
    <col min="21" max="22" width="11.5546875" style="51" customWidth="1"/>
    <col min="23" max="24" width="11.5546875" style="51" hidden="1" customWidth="1"/>
    <col min="25" max="16384" width="9.109375" style="51"/>
  </cols>
  <sheetData>
    <row r="1" spans="1:29" s="50" customFormat="1" x14ac:dyDescent="0.25">
      <c r="A1" s="41"/>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row>
    <row r="2" spans="1:29" s="50" customFormat="1" x14ac:dyDescent="0.2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row>
    <row r="3" spans="1:29" s="50" customFormat="1" ht="14.4" thickBot="1" x14ac:dyDescent="0.3">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row>
    <row r="4" spans="1:29" s="50" customFormat="1" x14ac:dyDescent="0.25">
      <c r="A4" s="43"/>
      <c r="B4" s="43"/>
      <c r="C4" s="43"/>
      <c r="D4" s="43"/>
      <c r="E4" s="43"/>
      <c r="F4" s="43"/>
      <c r="G4" s="43"/>
      <c r="H4" s="43"/>
      <c r="I4" s="43"/>
      <c r="J4" s="43"/>
      <c r="K4" s="43"/>
      <c r="M4" s="43"/>
      <c r="N4" s="43"/>
      <c r="O4" s="43"/>
      <c r="P4" s="43"/>
      <c r="Q4" s="43"/>
      <c r="R4" s="43"/>
      <c r="S4" s="43"/>
      <c r="T4" s="43"/>
      <c r="U4" s="43"/>
      <c r="V4" s="43"/>
      <c r="W4" s="43"/>
      <c r="X4" s="43"/>
      <c r="Y4" s="43"/>
      <c r="Z4" s="43"/>
      <c r="AA4" s="43"/>
      <c r="AB4" s="43"/>
      <c r="AC4" s="43"/>
    </row>
    <row r="5" spans="1:29" s="50" customFormat="1" x14ac:dyDescent="0.25">
      <c r="B5" s="43" t="s">
        <v>3800</v>
      </c>
      <c r="L5" s="43" t="s">
        <v>3818</v>
      </c>
      <c r="V5" s="43" t="s">
        <v>3827</v>
      </c>
    </row>
    <row r="6" spans="1:29" ht="14.4" thickBot="1" x14ac:dyDescent="0.3"/>
    <row r="7" spans="1:29" ht="15.6" x14ac:dyDescent="0.3">
      <c r="W7" s="47" t="s">
        <v>3712</v>
      </c>
      <c r="X7" s="47" t="s">
        <v>3713</v>
      </c>
    </row>
    <row r="8" spans="1:29" ht="4.5" customHeight="1" x14ac:dyDescent="0.25">
      <c r="W8" s="52"/>
      <c r="X8" s="52"/>
    </row>
    <row r="9" spans="1:29" ht="15.6" x14ac:dyDescent="0.3">
      <c r="W9" s="53" t="e">
        <f>SUMIF(#REF!,"&lt;&gt;Removido 22/12/2023",#REF!)/50</f>
        <v>#REF!</v>
      </c>
      <c r="X9" s="53" t="e">
        <f>SUMIF(#REF!,"&lt;&gt;Removido 22/12/2023",#REF!)/50</f>
        <v>#REF!</v>
      </c>
    </row>
    <row r="21" spans="2:8" ht="5.25" customHeight="1" x14ac:dyDescent="0.25"/>
    <row r="22" spans="2:8" x14ac:dyDescent="0.25">
      <c r="B22" s="54" t="s">
        <v>3801</v>
      </c>
    </row>
    <row r="23" spans="2:8" ht="6.75" customHeight="1" x14ac:dyDescent="0.25"/>
    <row r="24" spans="2:8" ht="6.75" customHeight="1" x14ac:dyDescent="0.25"/>
    <row r="25" spans="2:8" x14ac:dyDescent="0.25">
      <c r="B25" s="43" t="s">
        <v>3819</v>
      </c>
      <c r="C25" s="50"/>
    </row>
    <row r="26" spans="2:8" ht="14.4" thickBot="1" x14ac:dyDescent="0.3"/>
    <row r="27" spans="2:8" ht="15.6" x14ac:dyDescent="0.3">
      <c r="C27" s="47" t="s">
        <v>3706</v>
      </c>
      <c r="D27" s="47" t="s">
        <v>3707</v>
      </c>
      <c r="E27" s="47" t="s">
        <v>3712</v>
      </c>
      <c r="F27" s="47" t="s">
        <v>3836</v>
      </c>
      <c r="G27" s="47" t="s">
        <v>3713</v>
      </c>
    </row>
    <row r="28" spans="2:8" ht="15.6" x14ac:dyDescent="0.3">
      <c r="C28" s="61">
        <f>SUMIF('Por campo'!S21:S71,"&lt;&gt;Removido 22/12/2023",'Por campo'!D21:D71)/50</f>
        <v>0.70082600395276873</v>
      </c>
      <c r="D28" s="61">
        <f>SUMIF('Por campo'!S21:S71,"&lt;&gt;Removido 22/12/2023",'Por campo'!H21:H71)/50</f>
        <v>3.2659330523311346E-7</v>
      </c>
      <c r="E28" s="61">
        <f>SUMIF('Por campo'!S21:S71,"&lt;&gt;Removido 22/12/2023",'Por campo'!J21:J71)/50</f>
        <v>3.2030588926903469E-3</v>
      </c>
      <c r="F28" s="61">
        <f>SUMIF('Por campo'!S21:S71,"&lt;&gt;Removido 22/12/2023",'Por campo'!L21:L71)/50</f>
        <v>0.29514419094426037</v>
      </c>
      <c r="G28" s="61">
        <f>SUMIF('Por campo'!S21:S71,"&lt;&gt;Removido 22/12/2023",'Por campo'!N21:N71)/50</f>
        <v>8.3424795953409973E-4</v>
      </c>
    </row>
    <row r="29" spans="2:8" ht="18" x14ac:dyDescent="0.35">
      <c r="C29" s="60">
        <f>C28-C30</f>
        <v>5.0826003952768706E-2</v>
      </c>
      <c r="D29" s="60">
        <f>D28-D30</f>
        <v>-0.18499967340669476</v>
      </c>
      <c r="E29" s="60">
        <f>E28-E30</f>
        <v>-7.7969411073096524E-3</v>
      </c>
      <c r="F29" s="60">
        <f>F28-F30</f>
        <v>0.12714419094426035</v>
      </c>
      <c r="G29" s="60">
        <f>G28-G30</f>
        <v>-1.6575204046590029E-4</v>
      </c>
      <c r="H29" s="56" t="s">
        <v>3828</v>
      </c>
    </row>
    <row r="30" spans="2:8" x14ac:dyDescent="0.25">
      <c r="C30" s="62">
        <v>0.65</v>
      </c>
      <c r="D30" s="62">
        <v>0.185</v>
      </c>
      <c r="E30" s="75">
        <v>1.0999999999999999E-2</v>
      </c>
      <c r="F30" s="75">
        <v>0.16800000000000001</v>
      </c>
      <c r="G30" s="75">
        <v>1E-3</v>
      </c>
    </row>
    <row r="31" spans="2:8" x14ac:dyDescent="0.25">
      <c r="C31" s="54" t="s">
        <v>3837</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46"/>
  <sheetViews>
    <sheetView showGridLines="0" topLeftCell="D1" zoomScale="80" zoomScaleNormal="80" workbookViewId="0">
      <selection activeCell="K26" sqref="K26"/>
    </sheetView>
  </sheetViews>
  <sheetFormatPr defaultRowHeight="14.4" x14ac:dyDescent="0.3"/>
  <cols>
    <col min="1" max="1" width="6.21875" customWidth="1"/>
    <col min="2" max="2" width="20.21875" bestFit="1" customWidth="1"/>
    <col min="3" max="3" width="36.21875" bestFit="1" customWidth="1"/>
    <col min="4" max="4" width="20.88671875" bestFit="1" customWidth="1"/>
    <col min="5" max="5" width="6.88671875" customWidth="1"/>
    <col min="6" max="6" width="20.44140625" customWidth="1"/>
    <col min="7" max="7" width="36.21875" bestFit="1" customWidth="1"/>
    <col min="8" max="8" width="22.6640625" bestFit="1" customWidth="1"/>
    <col min="9" max="9" width="9" bestFit="1" customWidth="1"/>
    <col min="10" max="10" width="18.44140625" bestFit="1" customWidth="1"/>
    <col min="11" max="11" width="63.33203125" bestFit="1" customWidth="1"/>
  </cols>
  <sheetData>
    <row r="3" spans="2:12" x14ac:dyDescent="0.3">
      <c r="B3" s="5" t="s">
        <v>3866</v>
      </c>
      <c r="F3" s="5" t="s">
        <v>3867</v>
      </c>
    </row>
    <row r="4" spans="2:12" x14ac:dyDescent="0.3">
      <c r="B4" s="5"/>
      <c r="F4" s="124" t="s">
        <v>3884</v>
      </c>
    </row>
    <row r="5" spans="2:12" x14ac:dyDescent="0.3">
      <c r="B5" s="114" t="s">
        <v>3802</v>
      </c>
      <c r="C5" s="114" t="s">
        <v>3715</v>
      </c>
      <c r="D5" s="114" t="s">
        <v>3868</v>
      </c>
      <c r="F5" s="115" t="s">
        <v>3802</v>
      </c>
      <c r="G5" s="115" t="s">
        <v>3715</v>
      </c>
      <c r="H5" s="115" t="s">
        <v>3868</v>
      </c>
      <c r="I5" s="115" t="s">
        <v>3855</v>
      </c>
      <c r="J5" s="115" t="s">
        <v>3862</v>
      </c>
      <c r="K5" s="115" t="s">
        <v>3869</v>
      </c>
    </row>
    <row r="6" spans="2:12" x14ac:dyDescent="0.3">
      <c r="B6" s="54" t="s">
        <v>3803</v>
      </c>
      <c r="C6" s="54" t="s">
        <v>3735</v>
      </c>
      <c r="D6" s="116" t="s">
        <v>3787</v>
      </c>
      <c r="F6" s="54" t="s">
        <v>3865</v>
      </c>
      <c r="G6" s="165" t="s">
        <v>3708</v>
      </c>
      <c r="H6" s="111" t="s">
        <v>3795</v>
      </c>
      <c r="I6" s="117" t="s">
        <v>3864</v>
      </c>
      <c r="J6" s="120" t="s">
        <v>3919</v>
      </c>
      <c r="K6" t="s">
        <v>3888</v>
      </c>
    </row>
    <row r="7" spans="2:12" x14ac:dyDescent="0.3">
      <c r="B7" s="54" t="s">
        <v>3803</v>
      </c>
      <c r="C7" s="54" t="s">
        <v>3740</v>
      </c>
      <c r="D7" s="116" t="s">
        <v>3787</v>
      </c>
      <c r="F7" s="54" t="s">
        <v>3865</v>
      </c>
      <c r="G7" s="165" t="s">
        <v>3710</v>
      </c>
      <c r="H7" s="111" t="s">
        <v>3795</v>
      </c>
      <c r="I7" s="117" t="s">
        <v>3864</v>
      </c>
      <c r="J7" s="120" t="s">
        <v>3919</v>
      </c>
      <c r="K7" t="s">
        <v>3888</v>
      </c>
    </row>
    <row r="8" spans="2:12" x14ac:dyDescent="0.3">
      <c r="B8" s="54" t="s">
        <v>3803</v>
      </c>
      <c r="C8" s="54" t="s">
        <v>3745</v>
      </c>
      <c r="D8" s="116" t="s">
        <v>3787</v>
      </c>
      <c r="F8" s="54" t="s">
        <v>3865</v>
      </c>
      <c r="G8" s="165" t="s">
        <v>3750</v>
      </c>
      <c r="H8" s="111" t="s">
        <v>3795</v>
      </c>
      <c r="I8" s="117" t="s">
        <v>3864</v>
      </c>
      <c r="J8" s="118">
        <v>45379</v>
      </c>
      <c r="K8" t="s">
        <v>3871</v>
      </c>
    </row>
    <row r="9" spans="2:12" x14ac:dyDescent="0.3">
      <c r="B9" s="54" t="s">
        <v>3803</v>
      </c>
      <c r="C9" s="54" t="s">
        <v>3741</v>
      </c>
      <c r="D9" s="116" t="s">
        <v>3787</v>
      </c>
      <c r="F9" s="54" t="s">
        <v>3803</v>
      </c>
      <c r="G9" s="162" t="s">
        <v>3746</v>
      </c>
      <c r="H9" s="111" t="s">
        <v>3795</v>
      </c>
      <c r="I9" s="117" t="s">
        <v>3864</v>
      </c>
      <c r="J9" s="118">
        <v>45379</v>
      </c>
      <c r="K9" t="s">
        <v>3874</v>
      </c>
    </row>
    <row r="10" spans="2:12" x14ac:dyDescent="0.3">
      <c r="B10" s="54" t="s">
        <v>3803</v>
      </c>
      <c r="C10" s="54" t="s">
        <v>3731</v>
      </c>
      <c r="D10" s="116" t="s">
        <v>3787</v>
      </c>
      <c r="F10" s="54" t="s">
        <v>3804</v>
      </c>
      <c r="G10" s="163" t="s">
        <v>3749</v>
      </c>
      <c r="H10" s="111" t="s">
        <v>3795</v>
      </c>
      <c r="I10" s="117" t="s">
        <v>3864</v>
      </c>
      <c r="J10" s="118">
        <v>45372</v>
      </c>
      <c r="K10" t="s">
        <v>3875</v>
      </c>
    </row>
    <row r="11" spans="2:12" x14ac:dyDescent="0.3">
      <c r="B11" s="54" t="s">
        <v>3803</v>
      </c>
      <c r="C11" s="54" t="s">
        <v>3733</v>
      </c>
      <c r="D11" s="116" t="s">
        <v>3787</v>
      </c>
      <c r="F11" s="54" t="s">
        <v>3804</v>
      </c>
      <c r="G11" s="163" t="s">
        <v>3748</v>
      </c>
      <c r="H11" s="111" t="s">
        <v>3795</v>
      </c>
      <c r="I11" s="117" t="s">
        <v>3864</v>
      </c>
      <c r="J11" s="118">
        <v>45372</v>
      </c>
      <c r="K11" t="s">
        <v>3875</v>
      </c>
    </row>
    <row r="12" spans="2:12" x14ac:dyDescent="0.3">
      <c r="B12" s="54" t="s">
        <v>3803</v>
      </c>
      <c r="C12" s="54" t="s">
        <v>3739</v>
      </c>
      <c r="D12" s="116" t="s">
        <v>3787</v>
      </c>
      <c r="F12" s="54" t="s">
        <v>3809</v>
      </c>
      <c r="G12" s="54" t="s">
        <v>3766</v>
      </c>
      <c r="H12" s="111" t="s">
        <v>3782</v>
      </c>
      <c r="I12" s="117" t="s">
        <v>3864</v>
      </c>
      <c r="J12" s="120" t="s">
        <v>3920</v>
      </c>
      <c r="K12" t="s">
        <v>3921</v>
      </c>
      <c r="L12" t="s">
        <v>3918</v>
      </c>
    </row>
    <row r="13" spans="2:12" x14ac:dyDescent="0.3">
      <c r="B13" s="54" t="s">
        <v>3803</v>
      </c>
      <c r="C13" s="54" t="s">
        <v>3767</v>
      </c>
      <c r="D13" s="116" t="s">
        <v>3787</v>
      </c>
      <c r="F13" s="123"/>
      <c r="G13" s="123"/>
      <c r="H13" s="111"/>
      <c r="I13" s="117"/>
      <c r="J13" s="70"/>
      <c r="K13" s="70"/>
    </row>
    <row r="14" spans="2:12" x14ac:dyDescent="0.3">
      <c r="B14" s="54" t="s">
        <v>3803</v>
      </c>
      <c r="C14" s="54" t="s">
        <v>3736</v>
      </c>
      <c r="D14" s="116" t="s">
        <v>3787</v>
      </c>
    </row>
    <row r="15" spans="2:12" x14ac:dyDescent="0.3">
      <c r="B15" s="54" t="s">
        <v>3803</v>
      </c>
      <c r="C15" s="54" t="s">
        <v>3734</v>
      </c>
      <c r="D15" s="116" t="s">
        <v>3787</v>
      </c>
      <c r="F15" s="123" t="s">
        <v>3886</v>
      </c>
    </row>
    <row r="16" spans="2:12" x14ac:dyDescent="0.3">
      <c r="B16" s="54" t="s">
        <v>3803</v>
      </c>
      <c r="C16" s="54" t="s">
        <v>3747</v>
      </c>
      <c r="D16" s="116" t="s">
        <v>3787</v>
      </c>
      <c r="F16" s="115" t="s">
        <v>3802</v>
      </c>
      <c r="G16" s="115" t="s">
        <v>3715</v>
      </c>
      <c r="H16" s="115" t="s">
        <v>3868</v>
      </c>
      <c r="I16" s="115" t="s">
        <v>3855</v>
      </c>
      <c r="J16" s="115" t="s">
        <v>3862</v>
      </c>
      <c r="K16" s="115" t="s">
        <v>3869</v>
      </c>
    </row>
    <row r="17" spans="2:11" x14ac:dyDescent="0.3">
      <c r="B17" s="54" t="s">
        <v>3803</v>
      </c>
      <c r="C17" s="54" t="s">
        <v>3742</v>
      </c>
      <c r="D17" s="116" t="s">
        <v>3787</v>
      </c>
      <c r="F17" s="54" t="s">
        <v>3865</v>
      </c>
      <c r="G17" s="165" t="s">
        <v>3758</v>
      </c>
      <c r="H17" s="111" t="s">
        <v>3872</v>
      </c>
      <c r="I17" s="117" t="s">
        <v>3864</v>
      </c>
      <c r="J17" s="118">
        <v>45379</v>
      </c>
      <c r="K17" t="s">
        <v>3873</v>
      </c>
    </row>
    <row r="18" spans="2:11" x14ac:dyDescent="0.3">
      <c r="B18" s="54" t="s">
        <v>3803</v>
      </c>
      <c r="C18" s="54" t="s">
        <v>3737</v>
      </c>
      <c r="D18" s="116" t="s">
        <v>3787</v>
      </c>
      <c r="F18" s="54" t="s">
        <v>3808</v>
      </c>
      <c r="G18" s="165" t="s">
        <v>3761</v>
      </c>
      <c r="H18" s="111" t="s">
        <v>3872</v>
      </c>
      <c r="I18" s="117" t="s">
        <v>3864</v>
      </c>
      <c r="J18" s="118">
        <v>45379</v>
      </c>
      <c r="K18" t="s">
        <v>3873</v>
      </c>
    </row>
    <row r="19" spans="2:11" x14ac:dyDescent="0.3">
      <c r="B19" s="54" t="s">
        <v>3803</v>
      </c>
      <c r="C19" s="54" t="s">
        <v>3743</v>
      </c>
      <c r="D19" s="116" t="s">
        <v>3787</v>
      </c>
    </row>
    <row r="20" spans="2:11" x14ac:dyDescent="0.3">
      <c r="B20" s="54" t="s">
        <v>3803</v>
      </c>
      <c r="C20" s="54" t="s">
        <v>3732</v>
      </c>
      <c r="D20" s="116" t="s">
        <v>3787</v>
      </c>
    </row>
    <row r="21" spans="2:11" x14ac:dyDescent="0.3">
      <c r="B21" s="54" t="s">
        <v>3803</v>
      </c>
      <c r="C21" s="54" t="s">
        <v>3738</v>
      </c>
      <c r="D21" s="116" t="s">
        <v>3787</v>
      </c>
      <c r="F21" s="123" t="s">
        <v>3885</v>
      </c>
    </row>
    <row r="22" spans="2:11" x14ac:dyDescent="0.3">
      <c r="B22" s="54" t="s">
        <v>3808</v>
      </c>
      <c r="C22" s="54" t="s">
        <v>3757</v>
      </c>
      <c r="D22" s="116" t="s">
        <v>3787</v>
      </c>
      <c r="F22" s="115" t="s">
        <v>3802</v>
      </c>
      <c r="G22" s="115" t="s">
        <v>3715</v>
      </c>
      <c r="H22" s="115" t="s">
        <v>3868</v>
      </c>
      <c r="I22" s="115" t="s">
        <v>3855</v>
      </c>
      <c r="J22" s="115" t="s">
        <v>3862</v>
      </c>
      <c r="K22" s="115" t="s">
        <v>3869</v>
      </c>
    </row>
    <row r="23" spans="2:11" x14ac:dyDescent="0.3">
      <c r="B23" s="54" t="s">
        <v>3808</v>
      </c>
      <c r="C23" s="54" t="s">
        <v>3754</v>
      </c>
      <c r="D23" s="116" t="s">
        <v>3787</v>
      </c>
      <c r="F23" s="54" t="s">
        <v>3865</v>
      </c>
      <c r="G23" s="164" t="s">
        <v>3705</v>
      </c>
      <c r="H23" s="111" t="s">
        <v>3851</v>
      </c>
      <c r="I23" s="117" t="s">
        <v>3864</v>
      </c>
      <c r="J23" s="120" t="s">
        <v>3919</v>
      </c>
      <c r="K23" t="s">
        <v>3870</v>
      </c>
    </row>
    <row r="24" spans="2:11" x14ac:dyDescent="0.3">
      <c r="B24" s="54" t="s">
        <v>3808</v>
      </c>
      <c r="C24" s="54" t="s">
        <v>3755</v>
      </c>
      <c r="D24" s="116" t="s">
        <v>3787</v>
      </c>
      <c r="F24" s="54" t="s">
        <v>3865</v>
      </c>
      <c r="G24" s="164" t="s">
        <v>3709</v>
      </c>
      <c r="H24" s="111" t="s">
        <v>3851</v>
      </c>
      <c r="I24" s="117" t="s">
        <v>3864</v>
      </c>
      <c r="J24" s="120" t="s">
        <v>3919</v>
      </c>
      <c r="K24" t="s">
        <v>3870</v>
      </c>
    </row>
    <row r="25" spans="2:11" x14ac:dyDescent="0.3">
      <c r="B25" s="54" t="s">
        <v>3808</v>
      </c>
      <c r="C25" s="54" t="s">
        <v>3756</v>
      </c>
      <c r="D25" s="116" t="s">
        <v>3787</v>
      </c>
      <c r="F25" s="54" t="s">
        <v>3865</v>
      </c>
      <c r="G25" s="164" t="s">
        <v>3711</v>
      </c>
      <c r="H25" s="111" t="s">
        <v>3851</v>
      </c>
      <c r="I25" s="117" t="s">
        <v>3864</v>
      </c>
      <c r="J25" s="120" t="s">
        <v>3919</v>
      </c>
      <c r="K25" t="s">
        <v>3870</v>
      </c>
    </row>
    <row r="26" spans="2:11" ht="43.2" x14ac:dyDescent="0.3">
      <c r="B26" s="54" t="s">
        <v>3803</v>
      </c>
      <c r="C26" s="54" t="s">
        <v>3744</v>
      </c>
      <c r="D26" s="116" t="s">
        <v>3787</v>
      </c>
      <c r="F26" s="123" t="s">
        <v>3865</v>
      </c>
      <c r="G26" s="164" t="s">
        <v>3722</v>
      </c>
      <c r="H26" s="111" t="s">
        <v>3851</v>
      </c>
      <c r="I26" s="117" t="s">
        <v>3880</v>
      </c>
      <c r="J26" s="120" t="s">
        <v>3922</v>
      </c>
      <c r="K26" s="166" t="s">
        <v>3923</v>
      </c>
    </row>
    <row r="29" spans="2:11" x14ac:dyDescent="0.3">
      <c r="B29" s="121" t="s">
        <v>3877</v>
      </c>
    </row>
    <row r="30" spans="2:11" x14ac:dyDescent="0.3">
      <c r="B30" s="114" t="s">
        <v>3802</v>
      </c>
      <c r="C30" s="114" t="s">
        <v>3715</v>
      </c>
      <c r="D30" s="114" t="s">
        <v>3868</v>
      </c>
    </row>
    <row r="31" spans="2:11" x14ac:dyDescent="0.3">
      <c r="B31" s="54" t="s">
        <v>3865</v>
      </c>
      <c r="C31" s="54" t="s">
        <v>3752</v>
      </c>
      <c r="D31" s="122" t="s">
        <v>3783</v>
      </c>
    </row>
    <row r="32" spans="2:11" x14ac:dyDescent="0.3">
      <c r="B32" s="54" t="s">
        <v>3865</v>
      </c>
      <c r="C32" s="54" t="s">
        <v>3723</v>
      </c>
      <c r="D32" s="122" t="s">
        <v>3783</v>
      </c>
    </row>
    <row r="33" spans="2:10" x14ac:dyDescent="0.3">
      <c r="B33" s="54" t="s">
        <v>3865</v>
      </c>
      <c r="C33" s="54" t="s">
        <v>3727</v>
      </c>
      <c r="D33" s="122" t="s">
        <v>3783</v>
      </c>
      <c r="J33" s="9"/>
    </row>
    <row r="34" spans="2:10" x14ac:dyDescent="0.3">
      <c r="B34" s="54" t="s">
        <v>3865</v>
      </c>
      <c r="C34" s="54" t="s">
        <v>3726</v>
      </c>
      <c r="D34" s="122" t="s">
        <v>3783</v>
      </c>
      <c r="J34" s="9"/>
    </row>
    <row r="35" spans="2:10" x14ac:dyDescent="0.3">
      <c r="B35" s="54" t="s">
        <v>3865</v>
      </c>
      <c r="C35" s="54" t="s">
        <v>3753</v>
      </c>
      <c r="D35" s="122" t="s">
        <v>3783</v>
      </c>
      <c r="J35" s="9"/>
    </row>
    <row r="36" spans="2:10" x14ac:dyDescent="0.3">
      <c r="B36" s="54" t="s">
        <v>3865</v>
      </c>
      <c r="C36" s="54" t="s">
        <v>3763</v>
      </c>
      <c r="D36" s="122" t="s">
        <v>3783</v>
      </c>
      <c r="J36" s="9"/>
    </row>
    <row r="37" spans="2:10" x14ac:dyDescent="0.3">
      <c r="B37" s="54" t="s">
        <v>3865</v>
      </c>
      <c r="C37" s="54" t="s">
        <v>3760</v>
      </c>
      <c r="D37" s="122" t="s">
        <v>3783</v>
      </c>
      <c r="J37" s="9"/>
    </row>
    <row r="38" spans="2:10" x14ac:dyDescent="0.3">
      <c r="B38" s="54" t="s">
        <v>3865</v>
      </c>
      <c r="C38" s="54" t="s">
        <v>3765</v>
      </c>
      <c r="D38" s="122" t="s">
        <v>3783</v>
      </c>
      <c r="J38" s="9"/>
    </row>
    <row r="39" spans="2:10" x14ac:dyDescent="0.3">
      <c r="B39" s="54" t="s">
        <v>3865</v>
      </c>
      <c r="C39" s="54" t="s">
        <v>3751</v>
      </c>
      <c r="D39" s="122" t="s">
        <v>3783</v>
      </c>
      <c r="J39" s="9"/>
    </row>
    <row r="40" spans="2:10" x14ac:dyDescent="0.3">
      <c r="B40" s="54" t="s">
        <v>3865</v>
      </c>
      <c r="C40" s="54" t="s">
        <v>3762</v>
      </c>
      <c r="D40" s="122" t="s">
        <v>3783</v>
      </c>
      <c r="I40" s="117"/>
      <c r="J40" s="118"/>
    </row>
    <row r="41" spans="2:10" x14ac:dyDescent="0.3">
      <c r="B41" s="54" t="s">
        <v>3865</v>
      </c>
      <c r="C41" s="54" t="s">
        <v>3759</v>
      </c>
      <c r="D41" s="122" t="s">
        <v>3783</v>
      </c>
      <c r="I41" s="117"/>
      <c r="J41" s="119"/>
    </row>
    <row r="42" spans="2:10" x14ac:dyDescent="0.3">
      <c r="B42" s="54" t="s">
        <v>3865</v>
      </c>
      <c r="C42" s="54" t="s">
        <v>3764</v>
      </c>
      <c r="D42" s="122" t="s">
        <v>3783</v>
      </c>
      <c r="I42" s="117"/>
    </row>
    <row r="43" spans="2:10" x14ac:dyDescent="0.3">
      <c r="B43" s="54" t="s">
        <v>3865</v>
      </c>
      <c r="C43" s="54" t="s">
        <v>3728</v>
      </c>
      <c r="D43" s="122" t="s">
        <v>3783</v>
      </c>
      <c r="I43" s="117"/>
      <c r="J43" s="9"/>
    </row>
    <row r="44" spans="2:10" x14ac:dyDescent="0.3">
      <c r="B44" s="54" t="s">
        <v>3865</v>
      </c>
      <c r="C44" s="54" t="s">
        <v>3729</v>
      </c>
      <c r="D44" s="122" t="s">
        <v>3783</v>
      </c>
      <c r="I44" s="117"/>
      <c r="J44" s="9"/>
    </row>
    <row r="45" spans="2:10" x14ac:dyDescent="0.3">
      <c r="B45" s="54" t="s">
        <v>3865</v>
      </c>
      <c r="C45" s="54" t="s">
        <v>3724</v>
      </c>
      <c r="D45" s="122" t="s">
        <v>3783</v>
      </c>
    </row>
    <row r="46" spans="2:10" x14ac:dyDescent="0.3">
      <c r="B46" s="54" t="s">
        <v>3865</v>
      </c>
      <c r="C46" s="54" t="s">
        <v>3725</v>
      </c>
      <c r="D46" s="122" t="s">
        <v>3783</v>
      </c>
    </row>
  </sheetData>
  <autoFilter ref="F5:K18"/>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47"/>
  <sheetViews>
    <sheetView showGridLines="0" tabSelected="1" zoomScale="90" zoomScaleNormal="90" workbookViewId="0">
      <selection activeCell="B14" sqref="B14"/>
    </sheetView>
  </sheetViews>
  <sheetFormatPr defaultRowHeight="14.4" x14ac:dyDescent="0.3"/>
  <cols>
    <col min="1" max="1" width="6.21875" customWidth="1"/>
    <col min="2" max="2" width="17.6640625" customWidth="1"/>
    <col min="3" max="3" width="37.77734375" bestFit="1" customWidth="1"/>
    <col min="4" max="4" width="18.33203125" customWidth="1"/>
    <col min="5" max="5" width="15.109375" customWidth="1"/>
    <col min="6" max="6" width="14.88671875" customWidth="1"/>
    <col min="7" max="7" width="6.44140625" customWidth="1"/>
    <col min="8" max="8" width="17.33203125" bestFit="1" customWidth="1"/>
    <col min="9" max="9" width="35.21875" customWidth="1"/>
    <col min="10" max="10" width="21.44140625" bestFit="1" customWidth="1"/>
    <col min="11" max="11" width="14.6640625" bestFit="1" customWidth="1"/>
    <col min="12" max="12" width="12.5546875" customWidth="1"/>
  </cols>
  <sheetData>
    <row r="3" spans="2:12" x14ac:dyDescent="0.3">
      <c r="B3" s="5" t="s">
        <v>3881</v>
      </c>
      <c r="H3" s="121" t="s">
        <v>3883</v>
      </c>
    </row>
    <row r="4" spans="2:12" x14ac:dyDescent="0.3">
      <c r="B4" s="115" t="s">
        <v>3802</v>
      </c>
      <c r="C4" s="115" t="s">
        <v>3715</v>
      </c>
      <c r="D4" s="114" t="s">
        <v>3868</v>
      </c>
      <c r="E4" s="115" t="s">
        <v>3878</v>
      </c>
      <c r="F4" s="115" t="s">
        <v>3879</v>
      </c>
      <c r="H4" s="114" t="s">
        <v>3802</v>
      </c>
      <c r="I4" s="114" t="s">
        <v>3715</v>
      </c>
      <c r="J4" s="114" t="s">
        <v>3868</v>
      </c>
      <c r="K4" s="115" t="s">
        <v>3878</v>
      </c>
      <c r="L4" s="115" t="s">
        <v>3879</v>
      </c>
    </row>
    <row r="5" spans="2:12" x14ac:dyDescent="0.3">
      <c r="B5" s="35" t="s">
        <v>3865</v>
      </c>
      <c r="C5" s="97" t="s">
        <v>3705</v>
      </c>
      <c r="D5" s="104" t="s">
        <v>3851</v>
      </c>
      <c r="E5" s="72" t="s">
        <v>3706</v>
      </c>
      <c r="F5" s="72" t="s">
        <v>3851</v>
      </c>
      <c r="H5" s="35" t="s">
        <v>3809</v>
      </c>
      <c r="I5" s="97" t="s">
        <v>3766</v>
      </c>
      <c r="J5" s="104" t="s">
        <v>3795</v>
      </c>
      <c r="K5" s="35" t="s">
        <v>3816</v>
      </c>
      <c r="L5" s="35" t="s">
        <v>3816</v>
      </c>
    </row>
    <row r="6" spans="2:12" x14ac:dyDescent="0.3">
      <c r="B6" s="35" t="s">
        <v>3865</v>
      </c>
      <c r="C6" s="99" t="s">
        <v>3708</v>
      </c>
      <c r="D6" s="104" t="s">
        <v>3795</v>
      </c>
      <c r="E6" s="72" t="s">
        <v>3706</v>
      </c>
      <c r="F6" s="103" t="s">
        <v>3706</v>
      </c>
      <c r="H6" s="35" t="s">
        <v>3803</v>
      </c>
      <c r="I6" s="97" t="s">
        <v>3746</v>
      </c>
      <c r="J6" s="104" t="s">
        <v>3795</v>
      </c>
      <c r="K6" s="35" t="s">
        <v>3816</v>
      </c>
      <c r="L6" s="35" t="s">
        <v>3816</v>
      </c>
    </row>
    <row r="7" spans="2:12" x14ac:dyDescent="0.3">
      <c r="B7" s="35" t="s">
        <v>3865</v>
      </c>
      <c r="C7" s="97" t="s">
        <v>3711</v>
      </c>
      <c r="D7" s="104" t="s">
        <v>3851</v>
      </c>
      <c r="E7" s="72" t="s">
        <v>3706</v>
      </c>
      <c r="F7" s="72" t="s">
        <v>3851</v>
      </c>
      <c r="H7" s="35" t="s">
        <v>3865</v>
      </c>
      <c r="I7" s="97" t="s">
        <v>3727</v>
      </c>
      <c r="J7" s="102" t="s">
        <v>3783</v>
      </c>
      <c r="K7" s="35" t="s">
        <v>3816</v>
      </c>
      <c r="L7" s="35" t="s">
        <v>3816</v>
      </c>
    </row>
    <row r="8" spans="2:12" x14ac:dyDescent="0.3">
      <c r="B8" s="35" t="s">
        <v>3865</v>
      </c>
      <c r="C8" s="97" t="s">
        <v>3709</v>
      </c>
      <c r="D8" s="104" t="s">
        <v>3851</v>
      </c>
      <c r="E8" s="72" t="s">
        <v>3706</v>
      </c>
      <c r="F8" s="72" t="s">
        <v>3851</v>
      </c>
      <c r="H8" s="35" t="s">
        <v>3865</v>
      </c>
      <c r="I8" s="97" t="s">
        <v>3763</v>
      </c>
      <c r="J8" s="102" t="s">
        <v>3783</v>
      </c>
      <c r="K8" s="35" t="s">
        <v>3816</v>
      </c>
      <c r="L8" s="35" t="s">
        <v>3816</v>
      </c>
    </row>
    <row r="9" spans="2:12" x14ac:dyDescent="0.3">
      <c r="B9" s="35" t="s">
        <v>3865</v>
      </c>
      <c r="C9" s="99" t="s">
        <v>3710</v>
      </c>
      <c r="D9" s="104" t="s">
        <v>3795</v>
      </c>
      <c r="E9" s="72" t="s">
        <v>3706</v>
      </c>
      <c r="F9" s="103" t="s">
        <v>3706</v>
      </c>
      <c r="H9" s="35" t="s">
        <v>3865</v>
      </c>
      <c r="I9" s="97" t="s">
        <v>3765</v>
      </c>
      <c r="J9" s="102" t="s">
        <v>3783</v>
      </c>
      <c r="K9" s="35" t="s">
        <v>3816</v>
      </c>
      <c r="L9" s="35" t="s">
        <v>3816</v>
      </c>
    </row>
    <row r="10" spans="2:12" x14ac:dyDescent="0.3">
      <c r="B10" s="35" t="s">
        <v>3865</v>
      </c>
      <c r="C10" s="97" t="s">
        <v>3726</v>
      </c>
      <c r="D10" s="102" t="s">
        <v>3783</v>
      </c>
      <c r="E10" s="72" t="s">
        <v>3706</v>
      </c>
      <c r="F10" s="72" t="s">
        <v>3816</v>
      </c>
      <c r="H10" s="35" t="s">
        <v>3865</v>
      </c>
      <c r="I10" s="97" t="s">
        <v>3762</v>
      </c>
      <c r="J10" s="102" t="s">
        <v>3783</v>
      </c>
      <c r="K10" s="35" t="s">
        <v>3816</v>
      </c>
      <c r="L10" s="35" t="s">
        <v>3816</v>
      </c>
    </row>
    <row r="11" spans="2:12" x14ac:dyDescent="0.3">
      <c r="B11" s="35" t="s">
        <v>3865</v>
      </c>
      <c r="C11" s="97" t="s">
        <v>3728</v>
      </c>
      <c r="D11" s="102" t="s">
        <v>3783</v>
      </c>
      <c r="E11" s="72" t="s">
        <v>3706</v>
      </c>
      <c r="F11" s="72" t="s">
        <v>3816</v>
      </c>
      <c r="H11" s="35" t="s">
        <v>3865</v>
      </c>
      <c r="I11" s="97" t="s">
        <v>3764</v>
      </c>
      <c r="J11" s="102" t="s">
        <v>3783</v>
      </c>
      <c r="K11" s="35" t="s">
        <v>3816</v>
      </c>
      <c r="L11" s="35" t="s">
        <v>3816</v>
      </c>
    </row>
    <row r="12" spans="2:12" x14ac:dyDescent="0.3">
      <c r="B12" s="35" t="s">
        <v>3865</v>
      </c>
      <c r="C12" s="108" t="s">
        <v>3724</v>
      </c>
      <c r="D12" s="102" t="s">
        <v>3783</v>
      </c>
      <c r="E12" s="72" t="s">
        <v>3706</v>
      </c>
      <c r="F12" s="72" t="s">
        <v>3816</v>
      </c>
      <c r="H12" s="35" t="s">
        <v>3865</v>
      </c>
      <c r="I12" s="97" t="s">
        <v>3729</v>
      </c>
      <c r="J12" s="102" t="s">
        <v>3783</v>
      </c>
      <c r="K12" s="35" t="s">
        <v>3816</v>
      </c>
      <c r="L12" s="35" t="s">
        <v>3816</v>
      </c>
    </row>
    <row r="13" spans="2:12" x14ac:dyDescent="0.3">
      <c r="B13" s="178" t="s">
        <v>3924</v>
      </c>
      <c r="F13" s="111"/>
      <c r="H13" s="35" t="s">
        <v>3865</v>
      </c>
      <c r="I13" s="97" t="s">
        <v>3725</v>
      </c>
      <c r="J13" s="102" t="s">
        <v>3783</v>
      </c>
      <c r="K13" s="35" t="s">
        <v>3816</v>
      </c>
      <c r="L13" s="35" t="s">
        <v>3816</v>
      </c>
    </row>
    <row r="14" spans="2:12" x14ac:dyDescent="0.3">
      <c r="F14" s="111"/>
      <c r="H14" s="35" t="s">
        <v>3865</v>
      </c>
      <c r="I14" s="97" t="s">
        <v>3758</v>
      </c>
      <c r="J14" s="104" t="s">
        <v>3826</v>
      </c>
      <c r="K14" s="35" t="s">
        <v>3816</v>
      </c>
      <c r="L14" s="35" t="s">
        <v>3816</v>
      </c>
    </row>
    <row r="15" spans="2:12" x14ac:dyDescent="0.3">
      <c r="B15" s="5" t="s">
        <v>3882</v>
      </c>
      <c r="H15" s="35" t="s">
        <v>3865</v>
      </c>
      <c r="I15" s="97" t="s">
        <v>3750</v>
      </c>
      <c r="J15" s="104" t="s">
        <v>3795</v>
      </c>
      <c r="K15" s="35" t="s">
        <v>3816</v>
      </c>
      <c r="L15" s="35" t="s">
        <v>3816</v>
      </c>
    </row>
    <row r="16" spans="2:12" x14ac:dyDescent="0.3">
      <c r="B16" s="115" t="s">
        <v>3802</v>
      </c>
      <c r="C16" s="115" t="s">
        <v>3715</v>
      </c>
      <c r="D16" s="114" t="s">
        <v>3868</v>
      </c>
      <c r="E16" s="115" t="s">
        <v>3878</v>
      </c>
      <c r="F16" s="115" t="s">
        <v>3879</v>
      </c>
      <c r="H16" s="35" t="s">
        <v>3808</v>
      </c>
      <c r="I16" s="97" t="s">
        <v>3761</v>
      </c>
      <c r="J16" s="104" t="s">
        <v>3826</v>
      </c>
      <c r="K16" s="35" t="s">
        <v>3816</v>
      </c>
      <c r="L16" s="35" t="s">
        <v>3816</v>
      </c>
    </row>
    <row r="17" spans="2:12" x14ac:dyDescent="0.3">
      <c r="B17" s="35" t="s">
        <v>3865</v>
      </c>
      <c r="C17" s="97" t="s">
        <v>3752</v>
      </c>
      <c r="D17" s="102" t="s">
        <v>3783</v>
      </c>
      <c r="E17" s="72" t="s">
        <v>3712</v>
      </c>
      <c r="F17" s="72" t="s">
        <v>3816</v>
      </c>
      <c r="H17" s="35" t="s">
        <v>3804</v>
      </c>
      <c r="I17" s="97" t="s">
        <v>3749</v>
      </c>
      <c r="J17" s="104" t="s">
        <v>3782</v>
      </c>
      <c r="K17" s="35" t="s">
        <v>3816</v>
      </c>
      <c r="L17" s="35" t="s">
        <v>3816</v>
      </c>
    </row>
    <row r="18" spans="2:12" x14ac:dyDescent="0.3">
      <c r="B18" s="35" t="s">
        <v>3865</v>
      </c>
      <c r="C18" s="97" t="s">
        <v>3722</v>
      </c>
      <c r="D18" s="104" t="s">
        <v>3851</v>
      </c>
      <c r="E18" s="72" t="s">
        <v>3712</v>
      </c>
      <c r="F18" s="72" t="s">
        <v>3816</v>
      </c>
      <c r="H18" s="109" t="s">
        <v>3804</v>
      </c>
      <c r="I18" s="108" t="s">
        <v>3748</v>
      </c>
      <c r="J18" s="110" t="s">
        <v>3782</v>
      </c>
      <c r="K18" s="109" t="s">
        <v>3816</v>
      </c>
      <c r="L18" s="109" t="s">
        <v>3816</v>
      </c>
    </row>
    <row r="19" spans="2:12" x14ac:dyDescent="0.3">
      <c r="B19" s="35" t="s">
        <v>3865</v>
      </c>
      <c r="C19" s="97" t="s">
        <v>3723</v>
      </c>
      <c r="D19" s="102" t="s">
        <v>3783</v>
      </c>
      <c r="E19" s="72" t="s">
        <v>3712</v>
      </c>
      <c r="F19" s="35" t="s">
        <v>3712</v>
      </c>
    </row>
    <row r="20" spans="2:12" x14ac:dyDescent="0.3">
      <c r="B20" s="35" t="s">
        <v>3865</v>
      </c>
      <c r="C20" s="97" t="s">
        <v>3753</v>
      </c>
      <c r="D20" s="102" t="s">
        <v>3783</v>
      </c>
      <c r="E20" s="72" t="s">
        <v>3712</v>
      </c>
      <c r="F20" s="72" t="s">
        <v>3816</v>
      </c>
    </row>
    <row r="21" spans="2:12" x14ac:dyDescent="0.3">
      <c r="B21" s="35" t="s">
        <v>3865</v>
      </c>
      <c r="C21" s="97" t="s">
        <v>3760</v>
      </c>
      <c r="D21" s="102" t="s">
        <v>3783</v>
      </c>
      <c r="E21" s="72" t="s">
        <v>3712</v>
      </c>
      <c r="F21" s="35" t="s">
        <v>3816</v>
      </c>
    </row>
    <row r="22" spans="2:12" x14ac:dyDescent="0.3">
      <c r="B22" s="35" t="s">
        <v>3865</v>
      </c>
      <c r="C22" s="97" t="s">
        <v>3751</v>
      </c>
      <c r="D22" s="102" t="s">
        <v>3783</v>
      </c>
      <c r="E22" s="72" t="s">
        <v>3712</v>
      </c>
      <c r="F22" s="72" t="s">
        <v>3816</v>
      </c>
    </row>
    <row r="23" spans="2:12" x14ac:dyDescent="0.3">
      <c r="B23" s="35" t="s">
        <v>3865</v>
      </c>
      <c r="C23" s="97" t="s">
        <v>3759</v>
      </c>
      <c r="D23" s="102" t="s">
        <v>3783</v>
      </c>
      <c r="E23" s="72" t="s">
        <v>3712</v>
      </c>
      <c r="F23" s="109" t="s">
        <v>3816</v>
      </c>
    </row>
    <row r="40" spans="2:6" x14ac:dyDescent="0.3">
      <c r="B40" s="54"/>
      <c r="C40" s="54"/>
      <c r="D40" s="54"/>
      <c r="E40" s="111"/>
      <c r="F40" s="111"/>
    </row>
    <row r="41" spans="2:6" x14ac:dyDescent="0.3">
      <c r="B41" s="54"/>
      <c r="C41" s="54"/>
      <c r="D41" s="54"/>
      <c r="E41" s="111"/>
      <c r="F41" s="111"/>
    </row>
    <row r="42" spans="2:6" x14ac:dyDescent="0.3">
      <c r="B42" s="54"/>
      <c r="C42" s="54"/>
      <c r="D42" s="54"/>
      <c r="E42" s="111"/>
      <c r="F42" s="111"/>
    </row>
    <row r="43" spans="2:6" x14ac:dyDescent="0.3">
      <c r="B43" s="54"/>
      <c r="C43" s="54"/>
      <c r="D43" s="54"/>
      <c r="E43" s="111"/>
      <c r="F43" s="111"/>
    </row>
    <row r="44" spans="2:6" x14ac:dyDescent="0.3">
      <c r="B44" s="54"/>
      <c r="C44" s="54"/>
      <c r="D44" s="54"/>
      <c r="E44" s="111"/>
      <c r="F44" s="111"/>
    </row>
    <row r="45" spans="2:6" x14ac:dyDescent="0.3">
      <c r="B45" s="54"/>
      <c r="C45" s="54"/>
      <c r="D45" s="54"/>
      <c r="E45" s="111"/>
      <c r="F45" s="111"/>
    </row>
    <row r="46" spans="2:6" x14ac:dyDescent="0.3">
      <c r="B46" s="54"/>
      <c r="C46" s="54"/>
      <c r="D46" s="54"/>
      <c r="E46" s="111"/>
      <c r="F46" s="111"/>
    </row>
    <row r="47" spans="2:6" x14ac:dyDescent="0.3">
      <c r="B47" s="54"/>
      <c r="C47" s="54"/>
      <c r="D47" s="54"/>
      <c r="E47" s="122"/>
      <c r="F47" s="122"/>
    </row>
  </sheetData>
  <autoFilter ref="B4:E18"/>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3:LH71"/>
  <sheetViews>
    <sheetView showGridLines="0" zoomScale="80" zoomScaleNormal="80" workbookViewId="0">
      <pane xSplit="1" ySplit="6" topLeftCell="C7" activePane="bottomRight" state="frozen"/>
      <selection pane="topRight" activeCell="B1" sqref="B1"/>
      <selection pane="bottomLeft" activeCell="A7" sqref="A7"/>
      <selection pane="bottomRight" activeCell="I20" sqref="I20"/>
    </sheetView>
  </sheetViews>
  <sheetFormatPr defaultColWidth="0" defaultRowHeight="14.4" x14ac:dyDescent="0.3"/>
  <cols>
    <col min="1" max="1" width="9.109375" customWidth="1"/>
    <col min="2" max="2" width="11.88671875" bestFit="1" customWidth="1"/>
    <col min="3" max="3" width="36.33203125" bestFit="1" customWidth="1"/>
    <col min="4" max="4" width="9.6640625" bestFit="1" customWidth="1"/>
    <col min="5" max="5" width="12.109375" bestFit="1" customWidth="1"/>
    <col min="6" max="6" width="22.109375" bestFit="1" customWidth="1"/>
    <col min="7" max="7" width="12" bestFit="1" customWidth="1"/>
    <col min="8" max="8" width="39" hidden="1" customWidth="1"/>
    <col min="9" max="9" width="17.6640625" bestFit="1" customWidth="1"/>
    <col min="10" max="10" width="22.44140625" hidden="1" customWidth="1"/>
    <col min="11" max="11" width="70.109375" hidden="1" customWidth="1"/>
    <col min="12" max="12" width="10.44140625" bestFit="1" customWidth="1"/>
    <col min="13" max="13" width="6.33203125" bestFit="1" customWidth="1"/>
    <col min="14" max="24" width="3.44140625" hidden="1" customWidth="1"/>
    <col min="25" max="26" width="3.44140625" customWidth="1"/>
    <col min="27" max="28" width="3.44140625" hidden="1" customWidth="1"/>
    <col min="29" max="33" width="3.44140625" customWidth="1"/>
    <col min="34" max="35" width="3.44140625" hidden="1" customWidth="1"/>
    <col min="36" max="40" width="3.44140625" customWidth="1"/>
    <col min="41" max="42" width="3.44140625" hidden="1" customWidth="1"/>
    <col min="43" max="47" width="3.44140625" customWidth="1"/>
    <col min="48" max="49" width="3.44140625" hidden="1" customWidth="1"/>
    <col min="50" max="54" width="3.44140625" customWidth="1"/>
    <col min="55" max="56" width="3.44140625" hidden="1" customWidth="1"/>
    <col min="57" max="61" width="3.44140625" customWidth="1"/>
    <col min="62" max="63" width="3.44140625" hidden="1" customWidth="1"/>
    <col min="64" max="68" width="3.44140625" customWidth="1"/>
    <col min="69" max="70" width="3.44140625" hidden="1" customWidth="1"/>
    <col min="71" max="75" width="3.44140625" customWidth="1"/>
    <col min="76" max="77" width="3.44140625" hidden="1" customWidth="1"/>
    <col min="78" max="82" width="3.44140625" customWidth="1"/>
    <col min="83" max="84" width="3.44140625" hidden="1" customWidth="1"/>
    <col min="85" max="89" width="3.44140625" customWidth="1"/>
    <col min="90" max="91" width="3.44140625" hidden="1" customWidth="1"/>
    <col min="92" max="96" width="3.44140625" customWidth="1"/>
    <col min="97" max="98" width="3.44140625" hidden="1" customWidth="1"/>
    <col min="99" max="103" width="3.44140625" customWidth="1"/>
    <col min="104" max="105" width="3.44140625" hidden="1" customWidth="1"/>
    <col min="106" max="110" width="3.44140625" customWidth="1"/>
    <col min="111" max="112" width="3.44140625" hidden="1" customWidth="1"/>
    <col min="113" max="117" width="3.44140625" customWidth="1"/>
    <col min="118" max="119" width="3.44140625" hidden="1" customWidth="1"/>
    <col min="120" max="124" width="3.44140625" customWidth="1"/>
    <col min="125" max="126" width="3.44140625" hidden="1" customWidth="1"/>
    <col min="127" max="131" width="3.44140625" customWidth="1"/>
    <col min="132" max="133" width="3.44140625" hidden="1" customWidth="1"/>
    <col min="134" max="138" width="3.44140625" customWidth="1"/>
    <col min="139" max="140" width="0" hidden="1" customWidth="1"/>
    <col min="141" max="145" width="3.44140625" customWidth="1"/>
    <col min="146" max="147" width="0" hidden="1" customWidth="1"/>
    <col min="148" max="152" width="3.44140625" customWidth="1"/>
    <col min="153" max="154" width="0" hidden="1" customWidth="1"/>
    <col min="155" max="159" width="3.44140625" customWidth="1"/>
    <col min="160" max="161" width="0" hidden="1" customWidth="1"/>
    <col min="162" max="166" width="3.44140625" customWidth="1"/>
    <col min="167" max="168" width="0" hidden="1" customWidth="1"/>
    <col min="169" max="173" width="3.44140625" customWidth="1"/>
    <col min="174" max="175" width="0" hidden="1" customWidth="1"/>
    <col min="176" max="180" width="3.44140625" customWidth="1"/>
    <col min="181" max="182" width="0" hidden="1" customWidth="1"/>
    <col min="183" max="187" width="3.44140625" customWidth="1"/>
    <col min="188" max="189" width="0" hidden="1" customWidth="1"/>
    <col min="190" max="194" width="3.44140625" customWidth="1"/>
    <col min="195" max="196" width="0" hidden="1" customWidth="1"/>
    <col min="197" max="320" width="9.109375" hidden="1" customWidth="1"/>
    <col min="321" max="16384" width="3.44140625" hidden="1"/>
  </cols>
  <sheetData>
    <row r="3" spans="1:320" x14ac:dyDescent="0.3">
      <c r="N3">
        <f>SUM(N7:N54)</f>
        <v>0</v>
      </c>
      <c r="O3">
        <f t="shared" ref="O3:X3" si="0">SUM(O7:O54)</f>
        <v>0</v>
      </c>
      <c r="P3">
        <f t="shared" si="0"/>
        <v>0</v>
      </c>
      <c r="Q3">
        <f t="shared" si="0"/>
        <v>0</v>
      </c>
      <c r="R3">
        <f t="shared" si="0"/>
        <v>0</v>
      </c>
      <c r="S3">
        <f t="shared" si="0"/>
        <v>0</v>
      </c>
      <c r="T3">
        <f t="shared" si="0"/>
        <v>0</v>
      </c>
      <c r="U3">
        <f t="shared" si="0"/>
        <v>0</v>
      </c>
      <c r="V3">
        <f t="shared" si="0"/>
        <v>0</v>
      </c>
      <c r="W3">
        <f t="shared" si="0"/>
        <v>0</v>
      </c>
      <c r="X3">
        <f t="shared" si="0"/>
        <v>0</v>
      </c>
      <c r="Y3">
        <f>SUM(Y7:Y70)</f>
        <v>2</v>
      </c>
      <c r="Z3">
        <f t="shared" ref="Z3:CK3" si="1">SUM(Z7:Z70)</f>
        <v>2</v>
      </c>
      <c r="AA3">
        <f t="shared" si="1"/>
        <v>0</v>
      </c>
      <c r="AB3">
        <f t="shared" si="1"/>
        <v>0</v>
      </c>
      <c r="AC3">
        <f t="shared" si="1"/>
        <v>2</v>
      </c>
      <c r="AD3">
        <f t="shared" si="1"/>
        <v>2</v>
      </c>
      <c r="AE3">
        <f t="shared" si="1"/>
        <v>2</v>
      </c>
      <c r="AF3">
        <f t="shared" si="1"/>
        <v>2</v>
      </c>
      <c r="AG3">
        <f t="shared" si="1"/>
        <v>2</v>
      </c>
      <c r="AH3">
        <f t="shared" si="1"/>
        <v>0</v>
      </c>
      <c r="AI3">
        <f t="shared" si="1"/>
        <v>0</v>
      </c>
      <c r="AJ3">
        <f t="shared" si="1"/>
        <v>2</v>
      </c>
      <c r="AK3">
        <f t="shared" si="1"/>
        <v>2</v>
      </c>
      <c r="AL3">
        <f t="shared" si="1"/>
        <v>2</v>
      </c>
      <c r="AM3">
        <f t="shared" si="1"/>
        <v>2</v>
      </c>
      <c r="AN3">
        <f t="shared" si="1"/>
        <v>2</v>
      </c>
      <c r="AO3">
        <f t="shared" si="1"/>
        <v>0</v>
      </c>
      <c r="AP3">
        <f t="shared" si="1"/>
        <v>0</v>
      </c>
      <c r="AQ3">
        <f t="shared" si="1"/>
        <v>2</v>
      </c>
      <c r="AR3">
        <f t="shared" si="1"/>
        <v>2</v>
      </c>
      <c r="AS3">
        <f t="shared" si="1"/>
        <v>2</v>
      </c>
      <c r="AT3">
        <f t="shared" si="1"/>
        <v>2</v>
      </c>
      <c r="AU3">
        <f t="shared" si="1"/>
        <v>2</v>
      </c>
      <c r="AV3">
        <f t="shared" si="1"/>
        <v>0</v>
      </c>
      <c r="AW3">
        <f t="shared" si="1"/>
        <v>0</v>
      </c>
      <c r="AX3">
        <f t="shared" si="1"/>
        <v>2</v>
      </c>
      <c r="AY3">
        <f t="shared" si="1"/>
        <v>2</v>
      </c>
      <c r="AZ3">
        <f t="shared" si="1"/>
        <v>2</v>
      </c>
      <c r="BA3">
        <f t="shared" si="1"/>
        <v>2</v>
      </c>
      <c r="BB3">
        <f t="shared" si="1"/>
        <v>2</v>
      </c>
      <c r="BC3">
        <f t="shared" si="1"/>
        <v>0</v>
      </c>
      <c r="BD3">
        <f t="shared" si="1"/>
        <v>0</v>
      </c>
      <c r="BE3">
        <f t="shared" si="1"/>
        <v>2</v>
      </c>
      <c r="BF3">
        <f t="shared" si="1"/>
        <v>2</v>
      </c>
      <c r="BG3">
        <f t="shared" si="1"/>
        <v>2</v>
      </c>
      <c r="BH3">
        <f t="shared" si="1"/>
        <v>2</v>
      </c>
      <c r="BI3">
        <f t="shared" si="1"/>
        <v>2</v>
      </c>
      <c r="BJ3">
        <f t="shared" si="1"/>
        <v>0</v>
      </c>
      <c r="BK3">
        <f t="shared" si="1"/>
        <v>0</v>
      </c>
      <c r="BL3">
        <f t="shared" si="1"/>
        <v>2</v>
      </c>
      <c r="BM3">
        <f t="shared" si="1"/>
        <v>2</v>
      </c>
      <c r="BN3">
        <f t="shared" si="1"/>
        <v>2</v>
      </c>
      <c r="BO3">
        <f t="shared" si="1"/>
        <v>2</v>
      </c>
      <c r="BP3">
        <f t="shared" si="1"/>
        <v>2</v>
      </c>
      <c r="BQ3">
        <f t="shared" si="1"/>
        <v>0</v>
      </c>
      <c r="BR3">
        <f t="shared" si="1"/>
        <v>0</v>
      </c>
      <c r="BS3">
        <f t="shared" si="1"/>
        <v>2</v>
      </c>
      <c r="BT3">
        <f t="shared" si="1"/>
        <v>2</v>
      </c>
      <c r="BU3">
        <f t="shared" si="1"/>
        <v>2</v>
      </c>
      <c r="BV3">
        <f t="shared" si="1"/>
        <v>2</v>
      </c>
      <c r="BW3">
        <f t="shared" si="1"/>
        <v>2</v>
      </c>
      <c r="BX3">
        <f t="shared" si="1"/>
        <v>0</v>
      </c>
      <c r="BY3">
        <f t="shared" si="1"/>
        <v>0</v>
      </c>
      <c r="BZ3">
        <f t="shared" si="1"/>
        <v>2</v>
      </c>
      <c r="CA3">
        <f t="shared" si="1"/>
        <v>2</v>
      </c>
      <c r="CB3">
        <f t="shared" si="1"/>
        <v>2</v>
      </c>
      <c r="CC3">
        <f t="shared" si="1"/>
        <v>2</v>
      </c>
      <c r="CD3">
        <f t="shared" si="1"/>
        <v>2</v>
      </c>
      <c r="CE3">
        <f t="shared" si="1"/>
        <v>0</v>
      </c>
      <c r="CF3">
        <f t="shared" si="1"/>
        <v>0</v>
      </c>
      <c r="CG3">
        <f t="shared" si="1"/>
        <v>2</v>
      </c>
      <c r="CH3">
        <f t="shared" si="1"/>
        <v>2</v>
      </c>
      <c r="CI3">
        <f t="shared" si="1"/>
        <v>2</v>
      </c>
      <c r="CJ3">
        <f t="shared" si="1"/>
        <v>2</v>
      </c>
      <c r="CK3">
        <f t="shared" si="1"/>
        <v>2</v>
      </c>
      <c r="CL3">
        <f t="shared" ref="CL3:EW3" si="2">SUM(CL7:CL70)</f>
        <v>0</v>
      </c>
      <c r="CM3">
        <f t="shared" si="2"/>
        <v>0</v>
      </c>
      <c r="CN3">
        <f t="shared" si="2"/>
        <v>2</v>
      </c>
      <c r="CO3">
        <f t="shared" si="2"/>
        <v>2</v>
      </c>
      <c r="CP3">
        <f t="shared" si="2"/>
        <v>2</v>
      </c>
      <c r="CQ3">
        <f t="shared" si="2"/>
        <v>2</v>
      </c>
      <c r="CR3">
        <f t="shared" si="2"/>
        <v>2</v>
      </c>
      <c r="CS3">
        <f t="shared" si="2"/>
        <v>0</v>
      </c>
      <c r="CT3">
        <f t="shared" si="2"/>
        <v>0</v>
      </c>
      <c r="CU3">
        <f t="shared" si="2"/>
        <v>2</v>
      </c>
      <c r="CV3">
        <f t="shared" si="2"/>
        <v>2</v>
      </c>
      <c r="CW3">
        <f t="shared" si="2"/>
        <v>2</v>
      </c>
      <c r="CX3">
        <f t="shared" si="2"/>
        <v>2</v>
      </c>
      <c r="CY3">
        <f t="shared" si="2"/>
        <v>2</v>
      </c>
      <c r="CZ3">
        <f t="shared" si="2"/>
        <v>0</v>
      </c>
      <c r="DA3">
        <f t="shared" si="2"/>
        <v>0</v>
      </c>
      <c r="DB3">
        <f t="shared" si="2"/>
        <v>2</v>
      </c>
      <c r="DC3">
        <f t="shared" si="2"/>
        <v>2</v>
      </c>
      <c r="DD3">
        <f t="shared" si="2"/>
        <v>2</v>
      </c>
      <c r="DE3">
        <f t="shared" si="2"/>
        <v>2</v>
      </c>
      <c r="DF3">
        <f t="shared" si="2"/>
        <v>2</v>
      </c>
      <c r="DG3">
        <f t="shared" si="2"/>
        <v>0</v>
      </c>
      <c r="DH3">
        <f t="shared" si="2"/>
        <v>0</v>
      </c>
      <c r="DI3">
        <f t="shared" si="2"/>
        <v>2</v>
      </c>
      <c r="DJ3">
        <f t="shared" si="2"/>
        <v>2</v>
      </c>
      <c r="DK3">
        <f t="shared" si="2"/>
        <v>2</v>
      </c>
      <c r="DL3">
        <f t="shared" si="2"/>
        <v>2</v>
      </c>
      <c r="DM3">
        <f t="shared" si="2"/>
        <v>2</v>
      </c>
      <c r="DN3">
        <f t="shared" si="2"/>
        <v>0</v>
      </c>
      <c r="DO3">
        <f t="shared" si="2"/>
        <v>0</v>
      </c>
      <c r="DP3">
        <f t="shared" si="2"/>
        <v>2</v>
      </c>
      <c r="DQ3">
        <f t="shared" si="2"/>
        <v>2</v>
      </c>
      <c r="DR3">
        <f t="shared" si="2"/>
        <v>2</v>
      </c>
      <c r="DS3">
        <f t="shared" si="2"/>
        <v>2</v>
      </c>
      <c r="DT3">
        <f t="shared" si="2"/>
        <v>2</v>
      </c>
      <c r="DU3">
        <f t="shared" si="2"/>
        <v>0</v>
      </c>
      <c r="DV3">
        <f t="shared" si="2"/>
        <v>0</v>
      </c>
      <c r="DW3">
        <f t="shared" si="2"/>
        <v>2</v>
      </c>
      <c r="DX3">
        <f t="shared" si="2"/>
        <v>2</v>
      </c>
      <c r="DY3">
        <f t="shared" si="2"/>
        <v>2</v>
      </c>
      <c r="DZ3">
        <f t="shared" si="2"/>
        <v>2</v>
      </c>
      <c r="EA3">
        <f t="shared" si="2"/>
        <v>2</v>
      </c>
      <c r="EB3">
        <f t="shared" si="2"/>
        <v>0</v>
      </c>
      <c r="EC3">
        <f t="shared" si="2"/>
        <v>0</v>
      </c>
      <c r="ED3">
        <f t="shared" si="2"/>
        <v>2</v>
      </c>
      <c r="EE3">
        <f t="shared" si="2"/>
        <v>1</v>
      </c>
      <c r="EF3">
        <f t="shared" si="2"/>
        <v>0</v>
      </c>
      <c r="EG3">
        <f t="shared" si="2"/>
        <v>0</v>
      </c>
      <c r="EH3">
        <f t="shared" si="2"/>
        <v>0</v>
      </c>
      <c r="EI3">
        <f t="shared" si="2"/>
        <v>0</v>
      </c>
      <c r="EJ3">
        <f t="shared" si="2"/>
        <v>0</v>
      </c>
      <c r="EK3">
        <f t="shared" si="2"/>
        <v>0</v>
      </c>
      <c r="EL3">
        <f t="shared" si="2"/>
        <v>0</v>
      </c>
      <c r="EM3">
        <f t="shared" si="2"/>
        <v>0</v>
      </c>
      <c r="EN3">
        <f t="shared" si="2"/>
        <v>0</v>
      </c>
      <c r="EO3">
        <f t="shared" si="2"/>
        <v>0</v>
      </c>
      <c r="EP3">
        <f t="shared" si="2"/>
        <v>0</v>
      </c>
      <c r="EQ3">
        <f t="shared" si="2"/>
        <v>0</v>
      </c>
      <c r="ER3">
        <f t="shared" si="2"/>
        <v>0</v>
      </c>
      <c r="ES3">
        <f t="shared" si="2"/>
        <v>0</v>
      </c>
      <c r="ET3">
        <f t="shared" si="2"/>
        <v>0</v>
      </c>
      <c r="EU3">
        <f t="shared" si="2"/>
        <v>0</v>
      </c>
      <c r="EV3">
        <f t="shared" si="2"/>
        <v>0</v>
      </c>
      <c r="EW3">
        <f t="shared" si="2"/>
        <v>0</v>
      </c>
      <c r="EX3">
        <f t="shared" ref="EX3:GL3" si="3">SUM(EX7:EX70)</f>
        <v>0</v>
      </c>
      <c r="EY3">
        <f t="shared" si="3"/>
        <v>0</v>
      </c>
      <c r="EZ3">
        <f t="shared" si="3"/>
        <v>0</v>
      </c>
      <c r="FA3">
        <f t="shared" si="3"/>
        <v>0</v>
      </c>
      <c r="FB3">
        <f t="shared" si="3"/>
        <v>0</v>
      </c>
      <c r="FC3">
        <f t="shared" si="3"/>
        <v>0</v>
      </c>
      <c r="FD3">
        <f t="shared" si="3"/>
        <v>0</v>
      </c>
      <c r="FE3">
        <f t="shared" si="3"/>
        <v>0</v>
      </c>
      <c r="FF3">
        <f t="shared" si="3"/>
        <v>0</v>
      </c>
      <c r="FG3">
        <f t="shared" si="3"/>
        <v>0</v>
      </c>
      <c r="FH3">
        <f t="shared" si="3"/>
        <v>0</v>
      </c>
      <c r="FI3">
        <f t="shared" si="3"/>
        <v>0</v>
      </c>
      <c r="FJ3">
        <f t="shared" si="3"/>
        <v>0</v>
      </c>
      <c r="FK3">
        <f t="shared" si="3"/>
        <v>0</v>
      </c>
      <c r="FL3">
        <f t="shared" si="3"/>
        <v>0</v>
      </c>
      <c r="FM3">
        <f t="shared" si="3"/>
        <v>0</v>
      </c>
      <c r="FN3">
        <f t="shared" si="3"/>
        <v>0</v>
      </c>
      <c r="FO3">
        <f t="shared" si="3"/>
        <v>0</v>
      </c>
      <c r="FP3">
        <f t="shared" si="3"/>
        <v>0</v>
      </c>
      <c r="FQ3">
        <f t="shared" si="3"/>
        <v>0</v>
      </c>
      <c r="FR3">
        <f t="shared" si="3"/>
        <v>0</v>
      </c>
      <c r="FS3">
        <f t="shared" si="3"/>
        <v>0</v>
      </c>
      <c r="FT3">
        <f t="shared" si="3"/>
        <v>0</v>
      </c>
      <c r="FU3">
        <f t="shared" si="3"/>
        <v>0</v>
      </c>
      <c r="FV3">
        <f t="shared" si="3"/>
        <v>0</v>
      </c>
      <c r="FW3">
        <f t="shared" si="3"/>
        <v>0</v>
      </c>
      <c r="FX3">
        <f t="shared" si="3"/>
        <v>0</v>
      </c>
      <c r="FY3">
        <f t="shared" si="3"/>
        <v>0</v>
      </c>
      <c r="FZ3">
        <f t="shared" si="3"/>
        <v>0</v>
      </c>
      <c r="GA3">
        <f t="shared" si="3"/>
        <v>0</v>
      </c>
      <c r="GB3">
        <f t="shared" si="3"/>
        <v>0</v>
      </c>
      <c r="GC3">
        <f t="shared" si="3"/>
        <v>0</v>
      </c>
      <c r="GD3">
        <f t="shared" si="3"/>
        <v>0</v>
      </c>
      <c r="GE3">
        <f t="shared" si="3"/>
        <v>0</v>
      </c>
      <c r="GF3">
        <f t="shared" si="3"/>
        <v>0</v>
      </c>
      <c r="GG3">
        <f t="shared" si="3"/>
        <v>0</v>
      </c>
      <c r="GH3">
        <f t="shared" si="3"/>
        <v>0</v>
      </c>
      <c r="GI3">
        <f t="shared" si="3"/>
        <v>0</v>
      </c>
      <c r="GJ3">
        <f t="shared" si="3"/>
        <v>0</v>
      </c>
      <c r="GK3">
        <f t="shared" si="3"/>
        <v>0</v>
      </c>
      <c r="GL3">
        <f t="shared" si="3"/>
        <v>0</v>
      </c>
    </row>
    <row r="4" spans="1:320" s="125" customFormat="1" ht="15" thickBot="1" x14ac:dyDescent="0.35">
      <c r="N4" s="126">
        <v>45354</v>
      </c>
      <c r="O4" s="126">
        <f>N4+1</f>
        <v>45355</v>
      </c>
      <c r="P4" s="126">
        <f>O4+1</f>
        <v>45356</v>
      </c>
      <c r="Q4" s="126">
        <f>P4+1</f>
        <v>45357</v>
      </c>
      <c r="R4" s="126">
        <f t="shared" ref="R4:CC4" si="4">Q4+1</f>
        <v>45358</v>
      </c>
      <c r="S4" s="126">
        <f t="shared" si="4"/>
        <v>45359</v>
      </c>
      <c r="T4" s="126">
        <f t="shared" si="4"/>
        <v>45360</v>
      </c>
      <c r="U4" s="126">
        <f t="shared" si="4"/>
        <v>45361</v>
      </c>
      <c r="V4" s="126">
        <f t="shared" si="4"/>
        <v>45362</v>
      </c>
      <c r="W4" s="126">
        <f t="shared" si="4"/>
        <v>45363</v>
      </c>
      <c r="X4" s="126">
        <f t="shared" si="4"/>
        <v>45364</v>
      </c>
      <c r="Y4" s="126">
        <f t="shared" si="4"/>
        <v>45365</v>
      </c>
      <c r="Z4" s="126">
        <f t="shared" si="4"/>
        <v>45366</v>
      </c>
      <c r="AA4" s="126">
        <f t="shared" si="4"/>
        <v>45367</v>
      </c>
      <c r="AB4" s="126">
        <f t="shared" si="4"/>
        <v>45368</v>
      </c>
      <c r="AC4" s="126">
        <f t="shared" si="4"/>
        <v>45369</v>
      </c>
      <c r="AD4" s="126">
        <f t="shared" si="4"/>
        <v>45370</v>
      </c>
      <c r="AE4" s="126">
        <f t="shared" si="4"/>
        <v>45371</v>
      </c>
      <c r="AF4" s="126">
        <f t="shared" si="4"/>
        <v>45372</v>
      </c>
      <c r="AG4" s="126">
        <f t="shared" si="4"/>
        <v>45373</v>
      </c>
      <c r="AH4" s="126">
        <f t="shared" si="4"/>
        <v>45374</v>
      </c>
      <c r="AI4" s="126">
        <f t="shared" si="4"/>
        <v>45375</v>
      </c>
      <c r="AJ4" s="126">
        <f t="shared" si="4"/>
        <v>45376</v>
      </c>
      <c r="AK4" s="126">
        <f t="shared" si="4"/>
        <v>45377</v>
      </c>
      <c r="AL4" s="126">
        <f t="shared" si="4"/>
        <v>45378</v>
      </c>
      <c r="AM4" s="126">
        <f t="shared" si="4"/>
        <v>45379</v>
      </c>
      <c r="AN4" s="126">
        <f t="shared" si="4"/>
        <v>45380</v>
      </c>
      <c r="AO4" s="126">
        <f t="shared" si="4"/>
        <v>45381</v>
      </c>
      <c r="AP4" s="126">
        <f t="shared" si="4"/>
        <v>45382</v>
      </c>
      <c r="AQ4" s="126">
        <f t="shared" si="4"/>
        <v>45383</v>
      </c>
      <c r="AR4" s="126">
        <f t="shared" si="4"/>
        <v>45384</v>
      </c>
      <c r="AS4" s="126">
        <f t="shared" si="4"/>
        <v>45385</v>
      </c>
      <c r="AT4" s="126">
        <f t="shared" si="4"/>
        <v>45386</v>
      </c>
      <c r="AU4" s="126">
        <f t="shared" si="4"/>
        <v>45387</v>
      </c>
      <c r="AV4" s="126">
        <f t="shared" si="4"/>
        <v>45388</v>
      </c>
      <c r="AW4" s="126">
        <f t="shared" si="4"/>
        <v>45389</v>
      </c>
      <c r="AX4" s="126">
        <f t="shared" si="4"/>
        <v>45390</v>
      </c>
      <c r="AY4" s="126">
        <f t="shared" si="4"/>
        <v>45391</v>
      </c>
      <c r="AZ4" s="126">
        <f t="shared" si="4"/>
        <v>45392</v>
      </c>
      <c r="BA4" s="126">
        <f t="shared" si="4"/>
        <v>45393</v>
      </c>
      <c r="BB4" s="126">
        <f t="shared" si="4"/>
        <v>45394</v>
      </c>
      <c r="BC4" s="126">
        <f t="shared" si="4"/>
        <v>45395</v>
      </c>
      <c r="BD4" s="126">
        <f t="shared" si="4"/>
        <v>45396</v>
      </c>
      <c r="BE4" s="126">
        <f t="shared" si="4"/>
        <v>45397</v>
      </c>
      <c r="BF4" s="126">
        <f t="shared" si="4"/>
        <v>45398</v>
      </c>
      <c r="BG4" s="126">
        <f t="shared" si="4"/>
        <v>45399</v>
      </c>
      <c r="BH4" s="126">
        <f t="shared" si="4"/>
        <v>45400</v>
      </c>
      <c r="BI4" s="126">
        <f t="shared" si="4"/>
        <v>45401</v>
      </c>
      <c r="BJ4" s="126">
        <f t="shared" si="4"/>
        <v>45402</v>
      </c>
      <c r="BK4" s="126">
        <f t="shared" si="4"/>
        <v>45403</v>
      </c>
      <c r="BL4" s="126">
        <f t="shared" si="4"/>
        <v>45404</v>
      </c>
      <c r="BM4" s="126">
        <f t="shared" si="4"/>
        <v>45405</v>
      </c>
      <c r="BN4" s="126">
        <f t="shared" si="4"/>
        <v>45406</v>
      </c>
      <c r="BO4" s="126">
        <f t="shared" si="4"/>
        <v>45407</v>
      </c>
      <c r="BP4" s="126">
        <f t="shared" si="4"/>
        <v>45408</v>
      </c>
      <c r="BQ4" s="126">
        <f t="shared" si="4"/>
        <v>45409</v>
      </c>
      <c r="BR4" s="126">
        <f t="shared" si="4"/>
        <v>45410</v>
      </c>
      <c r="BS4" s="126">
        <f t="shared" si="4"/>
        <v>45411</v>
      </c>
      <c r="BT4" s="126">
        <f t="shared" si="4"/>
        <v>45412</v>
      </c>
      <c r="BU4" s="126">
        <f t="shared" si="4"/>
        <v>45413</v>
      </c>
      <c r="BV4" s="126">
        <f t="shared" si="4"/>
        <v>45414</v>
      </c>
      <c r="BW4" s="126">
        <f t="shared" si="4"/>
        <v>45415</v>
      </c>
      <c r="BX4" s="126">
        <f t="shared" si="4"/>
        <v>45416</v>
      </c>
      <c r="BY4" s="126">
        <f t="shared" si="4"/>
        <v>45417</v>
      </c>
      <c r="BZ4" s="126">
        <f t="shared" si="4"/>
        <v>45418</v>
      </c>
      <c r="CA4" s="126">
        <f t="shared" si="4"/>
        <v>45419</v>
      </c>
      <c r="CB4" s="126">
        <f t="shared" si="4"/>
        <v>45420</v>
      </c>
      <c r="CC4" s="126">
        <f t="shared" si="4"/>
        <v>45421</v>
      </c>
      <c r="CD4" s="126">
        <f t="shared" ref="CD4:EO4" si="5">CC4+1</f>
        <v>45422</v>
      </c>
      <c r="CE4" s="126">
        <f t="shared" si="5"/>
        <v>45423</v>
      </c>
      <c r="CF4" s="126">
        <f t="shared" si="5"/>
        <v>45424</v>
      </c>
      <c r="CG4" s="126">
        <f t="shared" si="5"/>
        <v>45425</v>
      </c>
      <c r="CH4" s="126">
        <f t="shared" si="5"/>
        <v>45426</v>
      </c>
      <c r="CI4" s="126">
        <f t="shared" si="5"/>
        <v>45427</v>
      </c>
      <c r="CJ4" s="126">
        <f t="shared" si="5"/>
        <v>45428</v>
      </c>
      <c r="CK4" s="126">
        <f t="shared" si="5"/>
        <v>45429</v>
      </c>
      <c r="CL4" s="126">
        <f t="shared" si="5"/>
        <v>45430</v>
      </c>
      <c r="CM4" s="126">
        <f t="shared" si="5"/>
        <v>45431</v>
      </c>
      <c r="CN4" s="126">
        <f t="shared" si="5"/>
        <v>45432</v>
      </c>
      <c r="CO4" s="126">
        <f t="shared" si="5"/>
        <v>45433</v>
      </c>
      <c r="CP4" s="126">
        <f t="shared" si="5"/>
        <v>45434</v>
      </c>
      <c r="CQ4" s="126">
        <f t="shared" si="5"/>
        <v>45435</v>
      </c>
      <c r="CR4" s="126">
        <f t="shared" si="5"/>
        <v>45436</v>
      </c>
      <c r="CS4" s="126">
        <f t="shared" si="5"/>
        <v>45437</v>
      </c>
      <c r="CT4" s="126">
        <f t="shared" si="5"/>
        <v>45438</v>
      </c>
      <c r="CU4" s="126">
        <f t="shared" si="5"/>
        <v>45439</v>
      </c>
      <c r="CV4" s="126">
        <f t="shared" si="5"/>
        <v>45440</v>
      </c>
      <c r="CW4" s="126">
        <f t="shared" si="5"/>
        <v>45441</v>
      </c>
      <c r="CX4" s="126">
        <f t="shared" si="5"/>
        <v>45442</v>
      </c>
      <c r="CY4" s="126">
        <f t="shared" si="5"/>
        <v>45443</v>
      </c>
      <c r="CZ4" s="126">
        <f t="shared" si="5"/>
        <v>45444</v>
      </c>
      <c r="DA4" s="126">
        <f t="shared" si="5"/>
        <v>45445</v>
      </c>
      <c r="DB4" s="126">
        <f t="shared" si="5"/>
        <v>45446</v>
      </c>
      <c r="DC4" s="126">
        <f t="shared" si="5"/>
        <v>45447</v>
      </c>
      <c r="DD4" s="126">
        <f t="shared" si="5"/>
        <v>45448</v>
      </c>
      <c r="DE4" s="126">
        <f t="shared" si="5"/>
        <v>45449</v>
      </c>
      <c r="DF4" s="126">
        <f t="shared" si="5"/>
        <v>45450</v>
      </c>
      <c r="DG4" s="126">
        <f t="shared" si="5"/>
        <v>45451</v>
      </c>
      <c r="DH4" s="126">
        <f t="shared" si="5"/>
        <v>45452</v>
      </c>
      <c r="DI4" s="126">
        <f t="shared" si="5"/>
        <v>45453</v>
      </c>
      <c r="DJ4" s="126">
        <f t="shared" si="5"/>
        <v>45454</v>
      </c>
      <c r="DK4" s="126">
        <f t="shared" si="5"/>
        <v>45455</v>
      </c>
      <c r="DL4" s="126">
        <f t="shared" si="5"/>
        <v>45456</v>
      </c>
      <c r="DM4" s="126">
        <f t="shared" si="5"/>
        <v>45457</v>
      </c>
      <c r="DN4" s="126">
        <f t="shared" si="5"/>
        <v>45458</v>
      </c>
      <c r="DO4" s="126">
        <f t="shared" si="5"/>
        <v>45459</v>
      </c>
      <c r="DP4" s="126">
        <f t="shared" si="5"/>
        <v>45460</v>
      </c>
      <c r="DQ4" s="126">
        <f t="shared" si="5"/>
        <v>45461</v>
      </c>
      <c r="DR4" s="126">
        <f t="shared" si="5"/>
        <v>45462</v>
      </c>
      <c r="DS4" s="126">
        <f t="shared" si="5"/>
        <v>45463</v>
      </c>
      <c r="DT4" s="126">
        <f t="shared" si="5"/>
        <v>45464</v>
      </c>
      <c r="DU4" s="126">
        <f t="shared" si="5"/>
        <v>45465</v>
      </c>
      <c r="DV4" s="126">
        <f t="shared" si="5"/>
        <v>45466</v>
      </c>
      <c r="DW4" s="126">
        <f t="shared" si="5"/>
        <v>45467</v>
      </c>
      <c r="DX4" s="126">
        <f t="shared" si="5"/>
        <v>45468</v>
      </c>
      <c r="DY4" s="126">
        <f t="shared" si="5"/>
        <v>45469</v>
      </c>
      <c r="DZ4" s="126">
        <f t="shared" si="5"/>
        <v>45470</v>
      </c>
      <c r="EA4" s="126">
        <f t="shared" si="5"/>
        <v>45471</v>
      </c>
      <c r="EB4" s="126">
        <f t="shared" si="5"/>
        <v>45472</v>
      </c>
      <c r="EC4" s="126">
        <f t="shared" si="5"/>
        <v>45473</v>
      </c>
      <c r="ED4" s="126">
        <f t="shared" si="5"/>
        <v>45474</v>
      </c>
      <c r="EE4" s="126">
        <f t="shared" si="5"/>
        <v>45475</v>
      </c>
      <c r="EF4" s="126">
        <f t="shared" si="5"/>
        <v>45476</v>
      </c>
      <c r="EG4" s="126">
        <f t="shared" si="5"/>
        <v>45477</v>
      </c>
      <c r="EH4" s="126">
        <f t="shared" si="5"/>
        <v>45478</v>
      </c>
      <c r="EI4" s="126">
        <f t="shared" si="5"/>
        <v>45479</v>
      </c>
      <c r="EJ4" s="126">
        <f t="shared" si="5"/>
        <v>45480</v>
      </c>
      <c r="EK4" s="126">
        <f t="shared" si="5"/>
        <v>45481</v>
      </c>
      <c r="EL4" s="126">
        <f t="shared" si="5"/>
        <v>45482</v>
      </c>
      <c r="EM4" s="126">
        <f t="shared" si="5"/>
        <v>45483</v>
      </c>
      <c r="EN4" s="126">
        <f t="shared" si="5"/>
        <v>45484</v>
      </c>
      <c r="EO4" s="126">
        <f t="shared" si="5"/>
        <v>45485</v>
      </c>
      <c r="EP4" s="126">
        <f t="shared" ref="EP4:HA4" si="6">EO4+1</f>
        <v>45486</v>
      </c>
      <c r="EQ4" s="126">
        <f t="shared" si="6"/>
        <v>45487</v>
      </c>
      <c r="ER4" s="126">
        <f t="shared" si="6"/>
        <v>45488</v>
      </c>
      <c r="ES4" s="126">
        <f t="shared" si="6"/>
        <v>45489</v>
      </c>
      <c r="ET4" s="126">
        <f t="shared" si="6"/>
        <v>45490</v>
      </c>
      <c r="EU4" s="126">
        <f t="shared" si="6"/>
        <v>45491</v>
      </c>
      <c r="EV4" s="126">
        <f t="shared" si="6"/>
        <v>45492</v>
      </c>
      <c r="EW4" s="126">
        <f t="shared" si="6"/>
        <v>45493</v>
      </c>
      <c r="EX4" s="126">
        <f t="shared" si="6"/>
        <v>45494</v>
      </c>
      <c r="EY4" s="126">
        <f t="shared" si="6"/>
        <v>45495</v>
      </c>
      <c r="EZ4" s="126">
        <f t="shared" si="6"/>
        <v>45496</v>
      </c>
      <c r="FA4" s="126">
        <f t="shared" si="6"/>
        <v>45497</v>
      </c>
      <c r="FB4" s="126">
        <f t="shared" si="6"/>
        <v>45498</v>
      </c>
      <c r="FC4" s="126">
        <f t="shared" si="6"/>
        <v>45499</v>
      </c>
      <c r="FD4" s="126">
        <f t="shared" si="6"/>
        <v>45500</v>
      </c>
      <c r="FE4" s="126">
        <f t="shared" si="6"/>
        <v>45501</v>
      </c>
      <c r="FF4" s="126">
        <f t="shared" si="6"/>
        <v>45502</v>
      </c>
      <c r="FG4" s="126">
        <f t="shared" si="6"/>
        <v>45503</v>
      </c>
      <c r="FH4" s="126">
        <f t="shared" si="6"/>
        <v>45504</v>
      </c>
      <c r="FI4" s="126">
        <f t="shared" si="6"/>
        <v>45505</v>
      </c>
      <c r="FJ4" s="126">
        <f t="shared" si="6"/>
        <v>45506</v>
      </c>
      <c r="FK4" s="126">
        <f t="shared" si="6"/>
        <v>45507</v>
      </c>
      <c r="FL4" s="126">
        <f t="shared" si="6"/>
        <v>45508</v>
      </c>
      <c r="FM4" s="126">
        <f t="shared" si="6"/>
        <v>45509</v>
      </c>
      <c r="FN4" s="126">
        <f t="shared" si="6"/>
        <v>45510</v>
      </c>
      <c r="FO4" s="126">
        <f t="shared" si="6"/>
        <v>45511</v>
      </c>
      <c r="FP4" s="126">
        <f t="shared" si="6"/>
        <v>45512</v>
      </c>
      <c r="FQ4" s="126">
        <f t="shared" si="6"/>
        <v>45513</v>
      </c>
      <c r="FR4" s="126">
        <f t="shared" si="6"/>
        <v>45514</v>
      </c>
      <c r="FS4" s="126">
        <f t="shared" si="6"/>
        <v>45515</v>
      </c>
      <c r="FT4" s="126">
        <f t="shared" si="6"/>
        <v>45516</v>
      </c>
      <c r="FU4" s="126">
        <f t="shared" si="6"/>
        <v>45517</v>
      </c>
      <c r="FV4" s="126">
        <f t="shared" si="6"/>
        <v>45518</v>
      </c>
      <c r="FW4" s="126">
        <f t="shared" si="6"/>
        <v>45519</v>
      </c>
      <c r="FX4" s="126">
        <f t="shared" si="6"/>
        <v>45520</v>
      </c>
      <c r="FY4" s="126">
        <f t="shared" si="6"/>
        <v>45521</v>
      </c>
      <c r="FZ4" s="126">
        <f t="shared" si="6"/>
        <v>45522</v>
      </c>
      <c r="GA4" s="126">
        <f t="shared" si="6"/>
        <v>45523</v>
      </c>
      <c r="GB4" s="126">
        <f t="shared" si="6"/>
        <v>45524</v>
      </c>
      <c r="GC4" s="126">
        <f t="shared" si="6"/>
        <v>45525</v>
      </c>
      <c r="GD4" s="126">
        <f t="shared" si="6"/>
        <v>45526</v>
      </c>
      <c r="GE4" s="126">
        <f t="shared" si="6"/>
        <v>45527</v>
      </c>
      <c r="GF4" s="126">
        <f t="shared" si="6"/>
        <v>45528</v>
      </c>
      <c r="GG4" s="126">
        <f t="shared" si="6"/>
        <v>45529</v>
      </c>
      <c r="GH4" s="126">
        <f t="shared" si="6"/>
        <v>45530</v>
      </c>
      <c r="GI4" s="126">
        <f t="shared" si="6"/>
        <v>45531</v>
      </c>
      <c r="GJ4" s="126">
        <f t="shared" si="6"/>
        <v>45532</v>
      </c>
      <c r="GK4" s="126">
        <f t="shared" si="6"/>
        <v>45533</v>
      </c>
      <c r="GL4" s="126">
        <f t="shared" si="6"/>
        <v>45534</v>
      </c>
      <c r="GM4" s="126">
        <f t="shared" si="6"/>
        <v>45535</v>
      </c>
      <c r="GN4" s="126">
        <f t="shared" si="6"/>
        <v>45536</v>
      </c>
      <c r="GO4" s="126">
        <f t="shared" si="6"/>
        <v>45537</v>
      </c>
      <c r="GP4" s="126">
        <f t="shared" si="6"/>
        <v>45538</v>
      </c>
      <c r="GQ4" s="126">
        <f t="shared" si="6"/>
        <v>45539</v>
      </c>
      <c r="GR4" s="126">
        <f t="shared" si="6"/>
        <v>45540</v>
      </c>
      <c r="GS4" s="126">
        <f t="shared" si="6"/>
        <v>45541</v>
      </c>
      <c r="GT4" s="126">
        <f t="shared" si="6"/>
        <v>45542</v>
      </c>
      <c r="GU4" s="126">
        <f t="shared" si="6"/>
        <v>45543</v>
      </c>
      <c r="GV4" s="126">
        <f t="shared" si="6"/>
        <v>45544</v>
      </c>
      <c r="GW4" s="126">
        <f t="shared" si="6"/>
        <v>45545</v>
      </c>
      <c r="GX4" s="126">
        <f t="shared" si="6"/>
        <v>45546</v>
      </c>
      <c r="GY4" s="126">
        <f t="shared" si="6"/>
        <v>45547</v>
      </c>
      <c r="GZ4" s="126">
        <f t="shared" si="6"/>
        <v>45548</v>
      </c>
      <c r="HA4" s="126">
        <f t="shared" si="6"/>
        <v>45549</v>
      </c>
      <c r="HB4" s="126">
        <f t="shared" ref="HB4:JM4" si="7">HA4+1</f>
        <v>45550</v>
      </c>
      <c r="HC4" s="126">
        <f t="shared" si="7"/>
        <v>45551</v>
      </c>
      <c r="HD4" s="126">
        <f t="shared" si="7"/>
        <v>45552</v>
      </c>
      <c r="HE4" s="126">
        <f t="shared" si="7"/>
        <v>45553</v>
      </c>
      <c r="HF4" s="126">
        <f t="shared" si="7"/>
        <v>45554</v>
      </c>
      <c r="HG4" s="126">
        <f t="shared" si="7"/>
        <v>45555</v>
      </c>
      <c r="HH4" s="126">
        <f t="shared" si="7"/>
        <v>45556</v>
      </c>
      <c r="HI4" s="126">
        <f t="shared" si="7"/>
        <v>45557</v>
      </c>
      <c r="HJ4" s="126">
        <f t="shared" si="7"/>
        <v>45558</v>
      </c>
      <c r="HK4" s="126">
        <f t="shared" si="7"/>
        <v>45559</v>
      </c>
      <c r="HL4" s="126">
        <f t="shared" si="7"/>
        <v>45560</v>
      </c>
      <c r="HM4" s="126">
        <f t="shared" si="7"/>
        <v>45561</v>
      </c>
      <c r="HN4" s="126">
        <f t="shared" si="7"/>
        <v>45562</v>
      </c>
      <c r="HO4" s="126">
        <f t="shared" si="7"/>
        <v>45563</v>
      </c>
      <c r="HP4" s="126">
        <f t="shared" si="7"/>
        <v>45564</v>
      </c>
      <c r="HQ4" s="126">
        <f t="shared" si="7"/>
        <v>45565</v>
      </c>
      <c r="HR4" s="126">
        <f t="shared" si="7"/>
        <v>45566</v>
      </c>
      <c r="HS4" s="126">
        <f t="shared" si="7"/>
        <v>45567</v>
      </c>
      <c r="HT4" s="126">
        <f t="shared" si="7"/>
        <v>45568</v>
      </c>
      <c r="HU4" s="126">
        <f t="shared" si="7"/>
        <v>45569</v>
      </c>
      <c r="HV4" s="126">
        <f t="shared" si="7"/>
        <v>45570</v>
      </c>
      <c r="HW4" s="126">
        <f t="shared" si="7"/>
        <v>45571</v>
      </c>
      <c r="HX4" s="126">
        <f t="shared" si="7"/>
        <v>45572</v>
      </c>
      <c r="HY4" s="126">
        <f t="shared" si="7"/>
        <v>45573</v>
      </c>
      <c r="HZ4" s="126">
        <f t="shared" si="7"/>
        <v>45574</v>
      </c>
      <c r="IA4" s="126">
        <f t="shared" si="7"/>
        <v>45575</v>
      </c>
      <c r="IB4" s="126">
        <f t="shared" si="7"/>
        <v>45576</v>
      </c>
      <c r="IC4" s="126">
        <f t="shared" si="7"/>
        <v>45577</v>
      </c>
      <c r="ID4" s="126">
        <f t="shared" si="7"/>
        <v>45578</v>
      </c>
      <c r="IE4" s="126">
        <f t="shared" si="7"/>
        <v>45579</v>
      </c>
      <c r="IF4" s="126">
        <f t="shared" si="7"/>
        <v>45580</v>
      </c>
      <c r="IG4" s="126">
        <f t="shared" si="7"/>
        <v>45581</v>
      </c>
      <c r="IH4" s="126">
        <f t="shared" si="7"/>
        <v>45582</v>
      </c>
      <c r="II4" s="126">
        <f t="shared" si="7"/>
        <v>45583</v>
      </c>
      <c r="IJ4" s="126">
        <f t="shared" si="7"/>
        <v>45584</v>
      </c>
      <c r="IK4" s="126">
        <f t="shared" si="7"/>
        <v>45585</v>
      </c>
      <c r="IL4" s="126">
        <f t="shared" si="7"/>
        <v>45586</v>
      </c>
      <c r="IM4" s="126">
        <f t="shared" si="7"/>
        <v>45587</v>
      </c>
      <c r="IN4" s="126">
        <f t="shared" si="7"/>
        <v>45588</v>
      </c>
      <c r="IO4" s="126">
        <f t="shared" si="7"/>
        <v>45589</v>
      </c>
      <c r="IP4" s="126">
        <f t="shared" si="7"/>
        <v>45590</v>
      </c>
      <c r="IQ4" s="126">
        <f t="shared" si="7"/>
        <v>45591</v>
      </c>
      <c r="IR4" s="126">
        <f t="shared" si="7"/>
        <v>45592</v>
      </c>
      <c r="IS4" s="126">
        <f t="shared" si="7"/>
        <v>45593</v>
      </c>
      <c r="IT4" s="126">
        <f t="shared" si="7"/>
        <v>45594</v>
      </c>
      <c r="IU4" s="126">
        <f t="shared" si="7"/>
        <v>45595</v>
      </c>
      <c r="IV4" s="126">
        <f t="shared" si="7"/>
        <v>45596</v>
      </c>
      <c r="IW4" s="126">
        <f t="shared" si="7"/>
        <v>45597</v>
      </c>
      <c r="IX4" s="126">
        <f t="shared" si="7"/>
        <v>45598</v>
      </c>
      <c r="IY4" s="126">
        <f t="shared" si="7"/>
        <v>45599</v>
      </c>
      <c r="IZ4" s="126">
        <f t="shared" si="7"/>
        <v>45600</v>
      </c>
      <c r="JA4" s="126">
        <f t="shared" si="7"/>
        <v>45601</v>
      </c>
      <c r="JB4" s="126">
        <f t="shared" si="7"/>
        <v>45602</v>
      </c>
      <c r="JC4" s="126">
        <f t="shared" si="7"/>
        <v>45603</v>
      </c>
      <c r="JD4" s="126">
        <f t="shared" si="7"/>
        <v>45604</v>
      </c>
      <c r="JE4" s="126">
        <f t="shared" si="7"/>
        <v>45605</v>
      </c>
      <c r="JF4" s="126">
        <f t="shared" si="7"/>
        <v>45606</v>
      </c>
      <c r="JG4" s="126">
        <f t="shared" si="7"/>
        <v>45607</v>
      </c>
      <c r="JH4" s="126">
        <f t="shared" si="7"/>
        <v>45608</v>
      </c>
      <c r="JI4" s="126">
        <f t="shared" si="7"/>
        <v>45609</v>
      </c>
      <c r="JJ4" s="126">
        <f t="shared" si="7"/>
        <v>45610</v>
      </c>
      <c r="JK4" s="126">
        <f t="shared" si="7"/>
        <v>45611</v>
      </c>
      <c r="JL4" s="126">
        <f t="shared" si="7"/>
        <v>45612</v>
      </c>
      <c r="JM4" s="126">
        <f t="shared" si="7"/>
        <v>45613</v>
      </c>
      <c r="JN4" s="126">
        <f t="shared" ref="JN4:LH4" si="8">JM4+1</f>
        <v>45614</v>
      </c>
      <c r="JO4" s="126">
        <f t="shared" si="8"/>
        <v>45615</v>
      </c>
      <c r="JP4" s="126">
        <f t="shared" si="8"/>
        <v>45616</v>
      </c>
      <c r="JQ4" s="126">
        <f t="shared" si="8"/>
        <v>45617</v>
      </c>
      <c r="JR4" s="126">
        <f t="shared" si="8"/>
        <v>45618</v>
      </c>
      <c r="JS4" s="126">
        <f t="shared" si="8"/>
        <v>45619</v>
      </c>
      <c r="JT4" s="126">
        <f t="shared" si="8"/>
        <v>45620</v>
      </c>
      <c r="JU4" s="126">
        <f t="shared" si="8"/>
        <v>45621</v>
      </c>
      <c r="JV4" s="126">
        <f t="shared" si="8"/>
        <v>45622</v>
      </c>
      <c r="JW4" s="126">
        <f t="shared" si="8"/>
        <v>45623</v>
      </c>
      <c r="JX4" s="126">
        <f t="shared" si="8"/>
        <v>45624</v>
      </c>
      <c r="JY4" s="126">
        <f t="shared" si="8"/>
        <v>45625</v>
      </c>
      <c r="JZ4" s="126">
        <f t="shared" si="8"/>
        <v>45626</v>
      </c>
      <c r="KA4" s="126">
        <f t="shared" si="8"/>
        <v>45627</v>
      </c>
      <c r="KB4" s="126">
        <f t="shared" si="8"/>
        <v>45628</v>
      </c>
      <c r="KC4" s="126">
        <f t="shared" si="8"/>
        <v>45629</v>
      </c>
      <c r="KD4" s="126">
        <f t="shared" si="8"/>
        <v>45630</v>
      </c>
      <c r="KE4" s="126">
        <f t="shared" si="8"/>
        <v>45631</v>
      </c>
      <c r="KF4" s="126">
        <f t="shared" si="8"/>
        <v>45632</v>
      </c>
      <c r="KG4" s="126">
        <f t="shared" si="8"/>
        <v>45633</v>
      </c>
      <c r="KH4" s="126">
        <f t="shared" si="8"/>
        <v>45634</v>
      </c>
      <c r="KI4" s="126">
        <f t="shared" si="8"/>
        <v>45635</v>
      </c>
      <c r="KJ4" s="126">
        <f t="shared" si="8"/>
        <v>45636</v>
      </c>
      <c r="KK4" s="126">
        <f t="shared" si="8"/>
        <v>45637</v>
      </c>
      <c r="KL4" s="126">
        <f t="shared" si="8"/>
        <v>45638</v>
      </c>
      <c r="KM4" s="126">
        <f t="shared" si="8"/>
        <v>45639</v>
      </c>
      <c r="KN4" s="126">
        <f t="shared" si="8"/>
        <v>45640</v>
      </c>
      <c r="KO4" s="126">
        <f t="shared" si="8"/>
        <v>45641</v>
      </c>
      <c r="KP4" s="126">
        <f t="shared" si="8"/>
        <v>45642</v>
      </c>
      <c r="KQ4" s="126">
        <f t="shared" si="8"/>
        <v>45643</v>
      </c>
      <c r="KR4" s="126">
        <f t="shared" si="8"/>
        <v>45644</v>
      </c>
      <c r="KS4" s="126">
        <f t="shared" si="8"/>
        <v>45645</v>
      </c>
      <c r="KT4" s="126">
        <f t="shared" si="8"/>
        <v>45646</v>
      </c>
      <c r="KU4" s="126">
        <f t="shared" si="8"/>
        <v>45647</v>
      </c>
      <c r="KV4" s="126">
        <f t="shared" si="8"/>
        <v>45648</v>
      </c>
      <c r="KW4" s="126">
        <f t="shared" si="8"/>
        <v>45649</v>
      </c>
      <c r="KX4" s="126">
        <f t="shared" si="8"/>
        <v>45650</v>
      </c>
      <c r="KY4" s="126">
        <f t="shared" si="8"/>
        <v>45651</v>
      </c>
      <c r="KZ4" s="126">
        <f t="shared" si="8"/>
        <v>45652</v>
      </c>
      <c r="LA4" s="126">
        <f t="shared" si="8"/>
        <v>45653</v>
      </c>
      <c r="LB4" s="126">
        <f t="shared" si="8"/>
        <v>45654</v>
      </c>
      <c r="LC4" s="126">
        <f t="shared" si="8"/>
        <v>45655</v>
      </c>
      <c r="LD4" s="126">
        <f t="shared" si="8"/>
        <v>45656</v>
      </c>
      <c r="LE4" s="126">
        <f t="shared" si="8"/>
        <v>45657</v>
      </c>
      <c r="LF4" s="126">
        <f t="shared" si="8"/>
        <v>45658</v>
      </c>
      <c r="LG4" s="126">
        <f t="shared" si="8"/>
        <v>45659</v>
      </c>
      <c r="LH4" s="126">
        <f t="shared" si="8"/>
        <v>45660</v>
      </c>
    </row>
    <row r="5" spans="1:320" s="5" customFormat="1" ht="15" thickBot="1" x14ac:dyDescent="0.35">
      <c r="L5" s="5">
        <f>SUM(L7:L57,)</f>
        <v>157</v>
      </c>
      <c r="M5" s="5">
        <f>SUM(M7:M57,)</f>
        <v>157</v>
      </c>
      <c r="N5" s="175" t="s">
        <v>3889</v>
      </c>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7"/>
      <c r="AQ5" s="175" t="s">
        <v>3890</v>
      </c>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176"/>
      <c r="BQ5" s="176"/>
      <c r="BR5" s="176"/>
      <c r="BS5" s="176"/>
      <c r="BT5" s="177"/>
      <c r="BU5" s="175" t="s">
        <v>3891</v>
      </c>
      <c r="BV5" s="176"/>
      <c r="BW5" s="176"/>
      <c r="BX5" s="176"/>
      <c r="BY5" s="176"/>
      <c r="BZ5" s="176"/>
      <c r="CA5" s="176"/>
      <c r="CB5" s="176"/>
      <c r="CC5" s="176"/>
      <c r="CD5" s="176"/>
      <c r="CE5" s="176"/>
      <c r="CF5" s="176"/>
      <c r="CG5" s="176"/>
      <c r="CH5" s="176"/>
      <c r="CI5" s="176"/>
      <c r="CJ5" s="176"/>
      <c r="CK5" s="176"/>
      <c r="CL5" s="176"/>
      <c r="CM5" s="176"/>
      <c r="CN5" s="176"/>
      <c r="CO5" s="176"/>
      <c r="CP5" s="176"/>
      <c r="CQ5" s="176"/>
      <c r="CR5" s="176"/>
      <c r="CS5" s="176"/>
      <c r="CT5" s="176"/>
      <c r="CU5" s="176"/>
      <c r="CV5" s="176"/>
      <c r="CW5" s="176"/>
      <c r="CX5" s="176"/>
      <c r="CY5" s="177"/>
      <c r="DB5" s="175" t="s">
        <v>3892</v>
      </c>
      <c r="DC5" s="176"/>
      <c r="DD5" s="176"/>
      <c r="DE5" s="176"/>
      <c r="DF5" s="176"/>
      <c r="DG5" s="176"/>
      <c r="DH5" s="176"/>
      <c r="DI5" s="176"/>
      <c r="DJ5" s="176"/>
      <c r="DK5" s="176"/>
      <c r="DL5" s="176"/>
      <c r="DM5" s="176"/>
      <c r="DN5" s="176"/>
      <c r="DO5" s="176"/>
      <c r="DP5" s="176"/>
      <c r="DQ5" s="176"/>
      <c r="DR5" s="176"/>
      <c r="DS5" s="176"/>
      <c r="DT5" s="176"/>
      <c r="DU5" s="176"/>
      <c r="DV5" s="176"/>
      <c r="DW5" s="176"/>
      <c r="DX5" s="176"/>
      <c r="DY5" s="176"/>
      <c r="DZ5" s="176"/>
      <c r="EA5" s="177"/>
      <c r="ED5" s="175" t="s">
        <v>3893</v>
      </c>
      <c r="EE5" s="176"/>
      <c r="EF5" s="176"/>
      <c r="EG5" s="176"/>
      <c r="EH5" s="176"/>
      <c r="EI5" s="176"/>
      <c r="EJ5" s="176"/>
      <c r="EK5" s="176"/>
      <c r="EL5" s="176"/>
      <c r="EM5" s="176"/>
      <c r="EN5" s="176"/>
      <c r="EO5" s="176"/>
      <c r="EP5" s="176"/>
      <c r="EQ5" s="176"/>
      <c r="ER5" s="176"/>
      <c r="ES5" s="176"/>
      <c r="ET5" s="176"/>
      <c r="EU5" s="176"/>
      <c r="EV5" s="176"/>
      <c r="EW5" s="176"/>
      <c r="EX5" s="176"/>
      <c r="EY5" s="176"/>
      <c r="EZ5" s="176"/>
      <c r="FA5" s="176"/>
      <c r="FB5" s="176"/>
      <c r="FC5" s="176"/>
      <c r="FD5" s="176"/>
      <c r="FE5" s="176"/>
      <c r="FF5" s="176"/>
      <c r="FG5" s="176"/>
      <c r="FH5" s="177"/>
      <c r="FI5" s="175" t="s">
        <v>3894</v>
      </c>
      <c r="FJ5" s="176"/>
      <c r="FK5" s="176"/>
      <c r="FL5" s="176"/>
      <c r="FM5" s="176"/>
      <c r="FN5" s="176"/>
      <c r="FO5" s="176"/>
      <c r="FP5" s="176"/>
      <c r="FQ5" s="176"/>
      <c r="FR5" s="176"/>
      <c r="FS5" s="176"/>
      <c r="FT5" s="176"/>
      <c r="FU5" s="176"/>
      <c r="FV5" s="176"/>
      <c r="FW5" s="176"/>
      <c r="FX5" s="176"/>
      <c r="FY5" s="176"/>
      <c r="FZ5" s="176"/>
      <c r="GA5" s="176"/>
      <c r="GB5" s="176"/>
      <c r="GC5" s="176"/>
      <c r="GD5" s="176"/>
      <c r="GE5" s="176"/>
      <c r="GF5" s="176"/>
      <c r="GG5" s="176"/>
      <c r="GH5" s="176"/>
      <c r="GI5" s="176"/>
      <c r="GJ5" s="176"/>
      <c r="GK5" s="176"/>
      <c r="GL5" s="177"/>
    </row>
    <row r="6" spans="1:320" x14ac:dyDescent="0.3">
      <c r="B6" s="114" t="s">
        <v>3803</v>
      </c>
      <c r="C6" s="114" t="s">
        <v>3715</v>
      </c>
      <c r="D6" s="114" t="s">
        <v>3895</v>
      </c>
      <c r="E6" s="114" t="s">
        <v>3896</v>
      </c>
      <c r="F6" s="114" t="s">
        <v>3868</v>
      </c>
      <c r="G6" s="114" t="s">
        <v>3897</v>
      </c>
      <c r="H6" s="114" t="s">
        <v>3898</v>
      </c>
      <c r="I6" s="114" t="s">
        <v>3862</v>
      </c>
      <c r="J6" s="114" t="s">
        <v>3899</v>
      </c>
      <c r="K6" s="114" t="s">
        <v>3900</v>
      </c>
      <c r="L6" s="127" t="s">
        <v>3901</v>
      </c>
      <c r="M6" s="127" t="s">
        <v>3902</v>
      </c>
      <c r="N6" s="128">
        <f>DAY(N4)</f>
        <v>3</v>
      </c>
      <c r="O6" s="128">
        <f t="shared" ref="O6:BZ6" si="9">DAY(O4)</f>
        <v>4</v>
      </c>
      <c r="P6" s="128">
        <f t="shared" si="9"/>
        <v>5</v>
      </c>
      <c r="Q6" s="128">
        <f t="shared" si="9"/>
        <v>6</v>
      </c>
      <c r="R6" s="128">
        <f t="shared" si="9"/>
        <v>7</v>
      </c>
      <c r="S6" s="128">
        <f t="shared" si="9"/>
        <v>8</v>
      </c>
      <c r="T6" s="128">
        <f t="shared" si="9"/>
        <v>9</v>
      </c>
      <c r="U6" s="128">
        <f t="shared" si="9"/>
        <v>10</v>
      </c>
      <c r="V6" s="128">
        <f t="shared" si="9"/>
        <v>11</v>
      </c>
      <c r="W6" s="128">
        <f t="shared" si="9"/>
        <v>12</v>
      </c>
      <c r="X6" s="128">
        <f t="shared" si="9"/>
        <v>13</v>
      </c>
      <c r="Y6" s="128">
        <f t="shared" si="9"/>
        <v>14</v>
      </c>
      <c r="Z6" s="128">
        <f t="shared" si="9"/>
        <v>15</v>
      </c>
      <c r="AA6" s="128">
        <f t="shared" si="9"/>
        <v>16</v>
      </c>
      <c r="AB6" s="128">
        <f t="shared" si="9"/>
        <v>17</v>
      </c>
      <c r="AC6" s="128">
        <f t="shared" si="9"/>
        <v>18</v>
      </c>
      <c r="AD6" s="128">
        <f t="shared" si="9"/>
        <v>19</v>
      </c>
      <c r="AE6" s="128">
        <f t="shared" si="9"/>
        <v>20</v>
      </c>
      <c r="AF6" s="128">
        <f t="shared" si="9"/>
        <v>21</v>
      </c>
      <c r="AG6" s="128">
        <f t="shared" si="9"/>
        <v>22</v>
      </c>
      <c r="AH6" s="128">
        <f t="shared" si="9"/>
        <v>23</v>
      </c>
      <c r="AI6" s="128">
        <f t="shared" si="9"/>
        <v>24</v>
      </c>
      <c r="AJ6" s="128">
        <f t="shared" si="9"/>
        <v>25</v>
      </c>
      <c r="AK6" s="128">
        <f t="shared" si="9"/>
        <v>26</v>
      </c>
      <c r="AL6" s="128">
        <f t="shared" si="9"/>
        <v>27</v>
      </c>
      <c r="AM6" s="128">
        <f t="shared" si="9"/>
        <v>28</v>
      </c>
      <c r="AN6" s="128">
        <f t="shared" si="9"/>
        <v>29</v>
      </c>
      <c r="AO6" s="128">
        <f t="shared" si="9"/>
        <v>30</v>
      </c>
      <c r="AP6" s="128">
        <f t="shared" si="9"/>
        <v>31</v>
      </c>
      <c r="AQ6" s="128">
        <f t="shared" si="9"/>
        <v>1</v>
      </c>
      <c r="AR6" s="128">
        <f t="shared" si="9"/>
        <v>2</v>
      </c>
      <c r="AS6" s="128">
        <f t="shared" si="9"/>
        <v>3</v>
      </c>
      <c r="AT6" s="128">
        <f t="shared" si="9"/>
        <v>4</v>
      </c>
      <c r="AU6" s="128">
        <f t="shared" si="9"/>
        <v>5</v>
      </c>
      <c r="AV6" s="128">
        <f t="shared" si="9"/>
        <v>6</v>
      </c>
      <c r="AW6" s="128">
        <f t="shared" si="9"/>
        <v>7</v>
      </c>
      <c r="AX6" s="128">
        <f t="shared" si="9"/>
        <v>8</v>
      </c>
      <c r="AY6" s="128">
        <f t="shared" si="9"/>
        <v>9</v>
      </c>
      <c r="AZ6" s="128">
        <f t="shared" si="9"/>
        <v>10</v>
      </c>
      <c r="BA6" s="128">
        <f t="shared" si="9"/>
        <v>11</v>
      </c>
      <c r="BB6" s="128">
        <f t="shared" si="9"/>
        <v>12</v>
      </c>
      <c r="BC6" s="128">
        <f t="shared" si="9"/>
        <v>13</v>
      </c>
      <c r="BD6" s="128">
        <f t="shared" si="9"/>
        <v>14</v>
      </c>
      <c r="BE6" s="128">
        <f t="shared" si="9"/>
        <v>15</v>
      </c>
      <c r="BF6" s="128">
        <f t="shared" si="9"/>
        <v>16</v>
      </c>
      <c r="BG6" s="128">
        <f t="shared" si="9"/>
        <v>17</v>
      </c>
      <c r="BH6" s="128">
        <f t="shared" si="9"/>
        <v>18</v>
      </c>
      <c r="BI6" s="128">
        <f t="shared" si="9"/>
        <v>19</v>
      </c>
      <c r="BJ6" s="128">
        <f t="shared" si="9"/>
        <v>20</v>
      </c>
      <c r="BK6" s="128">
        <f t="shared" si="9"/>
        <v>21</v>
      </c>
      <c r="BL6" s="128">
        <f t="shared" si="9"/>
        <v>22</v>
      </c>
      <c r="BM6" s="128">
        <f t="shared" si="9"/>
        <v>23</v>
      </c>
      <c r="BN6" s="128">
        <f t="shared" si="9"/>
        <v>24</v>
      </c>
      <c r="BO6" s="128">
        <f t="shared" si="9"/>
        <v>25</v>
      </c>
      <c r="BP6" s="128">
        <f t="shared" si="9"/>
        <v>26</v>
      </c>
      <c r="BQ6" s="128">
        <f t="shared" si="9"/>
        <v>27</v>
      </c>
      <c r="BR6" s="128">
        <f t="shared" si="9"/>
        <v>28</v>
      </c>
      <c r="BS6" s="128">
        <f t="shared" si="9"/>
        <v>29</v>
      </c>
      <c r="BT6" s="128">
        <f t="shared" si="9"/>
        <v>30</v>
      </c>
      <c r="BU6" s="128">
        <f t="shared" si="9"/>
        <v>1</v>
      </c>
      <c r="BV6" s="128">
        <f t="shared" si="9"/>
        <v>2</v>
      </c>
      <c r="BW6" s="128">
        <f t="shared" si="9"/>
        <v>3</v>
      </c>
      <c r="BX6" s="128">
        <f t="shared" si="9"/>
        <v>4</v>
      </c>
      <c r="BY6" s="128">
        <f t="shared" si="9"/>
        <v>5</v>
      </c>
      <c r="BZ6" s="128">
        <f t="shared" si="9"/>
        <v>6</v>
      </c>
      <c r="CA6" s="128">
        <f t="shared" ref="CA6:EL6" si="10">DAY(CA4)</f>
        <v>7</v>
      </c>
      <c r="CB6" s="128">
        <f t="shared" si="10"/>
        <v>8</v>
      </c>
      <c r="CC6" s="128">
        <f t="shared" si="10"/>
        <v>9</v>
      </c>
      <c r="CD6" s="128">
        <f t="shared" si="10"/>
        <v>10</v>
      </c>
      <c r="CE6" s="128">
        <f t="shared" si="10"/>
        <v>11</v>
      </c>
      <c r="CF6" s="128">
        <f t="shared" si="10"/>
        <v>12</v>
      </c>
      <c r="CG6" s="128">
        <f t="shared" si="10"/>
        <v>13</v>
      </c>
      <c r="CH6" s="128">
        <f t="shared" si="10"/>
        <v>14</v>
      </c>
      <c r="CI6" s="128">
        <f t="shared" si="10"/>
        <v>15</v>
      </c>
      <c r="CJ6" s="128">
        <f t="shared" si="10"/>
        <v>16</v>
      </c>
      <c r="CK6" s="128">
        <f t="shared" si="10"/>
        <v>17</v>
      </c>
      <c r="CL6" s="128">
        <f t="shared" si="10"/>
        <v>18</v>
      </c>
      <c r="CM6" s="128">
        <f t="shared" si="10"/>
        <v>19</v>
      </c>
      <c r="CN6" s="128">
        <f t="shared" si="10"/>
        <v>20</v>
      </c>
      <c r="CO6" s="128">
        <f t="shared" si="10"/>
        <v>21</v>
      </c>
      <c r="CP6" s="128">
        <f t="shared" si="10"/>
        <v>22</v>
      </c>
      <c r="CQ6" s="128">
        <f t="shared" si="10"/>
        <v>23</v>
      </c>
      <c r="CR6" s="128">
        <f t="shared" si="10"/>
        <v>24</v>
      </c>
      <c r="CS6" s="128">
        <f t="shared" si="10"/>
        <v>25</v>
      </c>
      <c r="CT6" s="128">
        <f t="shared" si="10"/>
        <v>26</v>
      </c>
      <c r="CU6" s="128">
        <f t="shared" si="10"/>
        <v>27</v>
      </c>
      <c r="CV6" s="128">
        <f t="shared" si="10"/>
        <v>28</v>
      </c>
      <c r="CW6" s="128">
        <f t="shared" si="10"/>
        <v>29</v>
      </c>
      <c r="CX6" s="128">
        <f t="shared" si="10"/>
        <v>30</v>
      </c>
      <c r="CY6" s="128">
        <f t="shared" si="10"/>
        <v>31</v>
      </c>
      <c r="CZ6" s="128">
        <f t="shared" si="10"/>
        <v>1</v>
      </c>
      <c r="DA6" s="128">
        <f t="shared" si="10"/>
        <v>2</v>
      </c>
      <c r="DB6" s="128">
        <f t="shared" si="10"/>
        <v>3</v>
      </c>
      <c r="DC6" s="128">
        <f t="shared" si="10"/>
        <v>4</v>
      </c>
      <c r="DD6" s="128">
        <f t="shared" si="10"/>
        <v>5</v>
      </c>
      <c r="DE6" s="128">
        <f t="shared" si="10"/>
        <v>6</v>
      </c>
      <c r="DF6" s="128">
        <f t="shared" si="10"/>
        <v>7</v>
      </c>
      <c r="DG6" s="128">
        <f t="shared" si="10"/>
        <v>8</v>
      </c>
      <c r="DH6" s="128">
        <f t="shared" si="10"/>
        <v>9</v>
      </c>
      <c r="DI6" s="128">
        <f t="shared" si="10"/>
        <v>10</v>
      </c>
      <c r="DJ6" s="128">
        <f t="shared" si="10"/>
        <v>11</v>
      </c>
      <c r="DK6" s="128">
        <f t="shared" si="10"/>
        <v>12</v>
      </c>
      <c r="DL6" s="128">
        <f t="shared" si="10"/>
        <v>13</v>
      </c>
      <c r="DM6" s="128">
        <f t="shared" si="10"/>
        <v>14</v>
      </c>
      <c r="DN6" s="128">
        <f t="shared" si="10"/>
        <v>15</v>
      </c>
      <c r="DO6" s="128">
        <f t="shared" si="10"/>
        <v>16</v>
      </c>
      <c r="DP6" s="128">
        <f t="shared" si="10"/>
        <v>17</v>
      </c>
      <c r="DQ6" s="128">
        <f t="shared" si="10"/>
        <v>18</v>
      </c>
      <c r="DR6" s="128">
        <f t="shared" si="10"/>
        <v>19</v>
      </c>
      <c r="DS6" s="128">
        <f t="shared" si="10"/>
        <v>20</v>
      </c>
      <c r="DT6" s="128">
        <f t="shared" si="10"/>
        <v>21</v>
      </c>
      <c r="DU6" s="128">
        <f t="shared" si="10"/>
        <v>22</v>
      </c>
      <c r="DV6" s="128">
        <f t="shared" si="10"/>
        <v>23</v>
      </c>
      <c r="DW6" s="128">
        <f t="shared" si="10"/>
        <v>24</v>
      </c>
      <c r="DX6" s="128">
        <f t="shared" si="10"/>
        <v>25</v>
      </c>
      <c r="DY6" s="128">
        <f t="shared" si="10"/>
        <v>26</v>
      </c>
      <c r="DZ6" s="128">
        <f t="shared" si="10"/>
        <v>27</v>
      </c>
      <c r="EA6" s="128">
        <f t="shared" si="10"/>
        <v>28</v>
      </c>
      <c r="EB6" s="128">
        <f t="shared" si="10"/>
        <v>29</v>
      </c>
      <c r="EC6" s="128">
        <f t="shared" si="10"/>
        <v>30</v>
      </c>
      <c r="ED6" s="128">
        <f t="shared" si="10"/>
        <v>1</v>
      </c>
      <c r="EE6" s="128">
        <f t="shared" si="10"/>
        <v>2</v>
      </c>
      <c r="EF6" s="128">
        <f t="shared" si="10"/>
        <v>3</v>
      </c>
      <c r="EG6" s="128">
        <f t="shared" si="10"/>
        <v>4</v>
      </c>
      <c r="EH6" s="128">
        <f t="shared" si="10"/>
        <v>5</v>
      </c>
      <c r="EI6" s="128">
        <f t="shared" si="10"/>
        <v>6</v>
      </c>
      <c r="EJ6" s="128">
        <f t="shared" si="10"/>
        <v>7</v>
      </c>
      <c r="EK6" s="128">
        <f t="shared" si="10"/>
        <v>8</v>
      </c>
      <c r="EL6" s="128">
        <f t="shared" si="10"/>
        <v>9</v>
      </c>
      <c r="EM6" s="128">
        <f t="shared" ref="EM6:GX6" si="11">DAY(EM4)</f>
        <v>10</v>
      </c>
      <c r="EN6" s="128">
        <f t="shared" si="11"/>
        <v>11</v>
      </c>
      <c r="EO6" s="128">
        <f t="shared" si="11"/>
        <v>12</v>
      </c>
      <c r="EP6" s="128">
        <f t="shared" si="11"/>
        <v>13</v>
      </c>
      <c r="EQ6" s="128">
        <f t="shared" si="11"/>
        <v>14</v>
      </c>
      <c r="ER6" s="128">
        <f t="shared" si="11"/>
        <v>15</v>
      </c>
      <c r="ES6" s="128">
        <f t="shared" si="11"/>
        <v>16</v>
      </c>
      <c r="ET6" s="128">
        <f t="shared" si="11"/>
        <v>17</v>
      </c>
      <c r="EU6" s="128">
        <f t="shared" si="11"/>
        <v>18</v>
      </c>
      <c r="EV6" s="128">
        <f t="shared" si="11"/>
        <v>19</v>
      </c>
      <c r="EW6" s="128">
        <f t="shared" si="11"/>
        <v>20</v>
      </c>
      <c r="EX6" s="128">
        <f t="shared" si="11"/>
        <v>21</v>
      </c>
      <c r="EY6" s="128">
        <f t="shared" si="11"/>
        <v>22</v>
      </c>
      <c r="EZ6" s="128">
        <f t="shared" si="11"/>
        <v>23</v>
      </c>
      <c r="FA6" s="128">
        <f t="shared" si="11"/>
        <v>24</v>
      </c>
      <c r="FB6" s="128">
        <f t="shared" si="11"/>
        <v>25</v>
      </c>
      <c r="FC6" s="128">
        <f t="shared" si="11"/>
        <v>26</v>
      </c>
      <c r="FD6" s="128">
        <f t="shared" si="11"/>
        <v>27</v>
      </c>
      <c r="FE6" s="128">
        <f t="shared" si="11"/>
        <v>28</v>
      </c>
      <c r="FF6" s="128">
        <f t="shared" si="11"/>
        <v>29</v>
      </c>
      <c r="FG6" s="128">
        <f t="shared" si="11"/>
        <v>30</v>
      </c>
      <c r="FH6" s="128">
        <f t="shared" si="11"/>
        <v>31</v>
      </c>
      <c r="FI6" s="128">
        <f t="shared" si="11"/>
        <v>1</v>
      </c>
      <c r="FJ6" s="128">
        <f t="shared" si="11"/>
        <v>2</v>
      </c>
      <c r="FK6" s="128">
        <f t="shared" si="11"/>
        <v>3</v>
      </c>
      <c r="FL6" s="128">
        <f t="shared" si="11"/>
        <v>4</v>
      </c>
      <c r="FM6" s="128">
        <f t="shared" si="11"/>
        <v>5</v>
      </c>
      <c r="FN6" s="128">
        <f t="shared" si="11"/>
        <v>6</v>
      </c>
      <c r="FO6" s="128">
        <f t="shared" si="11"/>
        <v>7</v>
      </c>
      <c r="FP6" s="128">
        <f t="shared" si="11"/>
        <v>8</v>
      </c>
      <c r="FQ6" s="128">
        <f t="shared" si="11"/>
        <v>9</v>
      </c>
      <c r="FR6" s="128">
        <f t="shared" si="11"/>
        <v>10</v>
      </c>
      <c r="FS6" s="128">
        <f t="shared" si="11"/>
        <v>11</v>
      </c>
      <c r="FT6" s="128">
        <f t="shared" si="11"/>
        <v>12</v>
      </c>
      <c r="FU6" s="128">
        <f t="shared" si="11"/>
        <v>13</v>
      </c>
      <c r="FV6" s="128">
        <f t="shared" si="11"/>
        <v>14</v>
      </c>
      <c r="FW6" s="128">
        <f t="shared" si="11"/>
        <v>15</v>
      </c>
      <c r="FX6" s="128">
        <f t="shared" si="11"/>
        <v>16</v>
      </c>
      <c r="FY6" s="128">
        <f t="shared" si="11"/>
        <v>17</v>
      </c>
      <c r="FZ6" s="128">
        <f t="shared" si="11"/>
        <v>18</v>
      </c>
      <c r="GA6" s="128">
        <f t="shared" si="11"/>
        <v>19</v>
      </c>
      <c r="GB6" s="128">
        <f t="shared" si="11"/>
        <v>20</v>
      </c>
      <c r="GC6" s="128">
        <f t="shared" si="11"/>
        <v>21</v>
      </c>
      <c r="GD6" s="128">
        <f t="shared" si="11"/>
        <v>22</v>
      </c>
      <c r="GE6" s="128">
        <f t="shared" si="11"/>
        <v>23</v>
      </c>
      <c r="GF6" s="128">
        <f t="shared" si="11"/>
        <v>24</v>
      </c>
      <c r="GG6" s="128">
        <f t="shared" si="11"/>
        <v>25</v>
      </c>
      <c r="GH6" s="128">
        <f t="shared" si="11"/>
        <v>26</v>
      </c>
      <c r="GI6" s="128">
        <f t="shared" si="11"/>
        <v>27</v>
      </c>
      <c r="GJ6" s="128">
        <f t="shared" si="11"/>
        <v>28</v>
      </c>
      <c r="GK6" s="128">
        <f t="shared" si="11"/>
        <v>29</v>
      </c>
      <c r="GL6" s="128">
        <f t="shared" si="11"/>
        <v>30</v>
      </c>
      <c r="GM6" s="128">
        <f t="shared" si="11"/>
        <v>31</v>
      </c>
      <c r="GN6" s="128">
        <f t="shared" si="11"/>
        <v>1</v>
      </c>
      <c r="GO6" s="128">
        <f t="shared" si="11"/>
        <v>2</v>
      </c>
      <c r="GP6" s="128">
        <f t="shared" si="11"/>
        <v>3</v>
      </c>
      <c r="GQ6" s="128">
        <f t="shared" si="11"/>
        <v>4</v>
      </c>
      <c r="GR6" s="128">
        <f t="shared" si="11"/>
        <v>5</v>
      </c>
      <c r="GS6" s="128">
        <f t="shared" si="11"/>
        <v>6</v>
      </c>
      <c r="GT6" s="128">
        <f t="shared" si="11"/>
        <v>7</v>
      </c>
      <c r="GU6" s="128">
        <f t="shared" si="11"/>
        <v>8</v>
      </c>
      <c r="GV6" s="128">
        <f t="shared" si="11"/>
        <v>9</v>
      </c>
      <c r="GW6" s="128">
        <f t="shared" si="11"/>
        <v>10</v>
      </c>
      <c r="GX6" s="128">
        <f t="shared" si="11"/>
        <v>11</v>
      </c>
      <c r="GY6" s="128">
        <f t="shared" ref="GY6:HQ6" si="12">DAY(GY4)</f>
        <v>12</v>
      </c>
      <c r="GZ6" s="128">
        <f t="shared" si="12"/>
        <v>13</v>
      </c>
      <c r="HA6" s="128">
        <f t="shared" si="12"/>
        <v>14</v>
      </c>
      <c r="HB6" s="128">
        <f t="shared" si="12"/>
        <v>15</v>
      </c>
      <c r="HC6" s="128">
        <f t="shared" si="12"/>
        <v>16</v>
      </c>
      <c r="HD6" s="128">
        <f t="shared" si="12"/>
        <v>17</v>
      </c>
      <c r="HE6" s="128">
        <f t="shared" si="12"/>
        <v>18</v>
      </c>
      <c r="HF6" s="128">
        <f t="shared" si="12"/>
        <v>19</v>
      </c>
      <c r="HG6" s="128">
        <f t="shared" si="12"/>
        <v>20</v>
      </c>
      <c r="HH6" s="128">
        <f t="shared" si="12"/>
        <v>21</v>
      </c>
      <c r="HI6" s="128">
        <f t="shared" si="12"/>
        <v>22</v>
      </c>
      <c r="HJ6" s="128">
        <f t="shared" si="12"/>
        <v>23</v>
      </c>
      <c r="HK6" s="128">
        <f t="shared" si="12"/>
        <v>24</v>
      </c>
      <c r="HL6" s="128">
        <f t="shared" si="12"/>
        <v>25</v>
      </c>
      <c r="HM6" s="128">
        <f t="shared" si="12"/>
        <v>26</v>
      </c>
      <c r="HN6" s="128">
        <f t="shared" si="12"/>
        <v>27</v>
      </c>
      <c r="HO6" s="128">
        <f t="shared" si="12"/>
        <v>28</v>
      </c>
      <c r="HP6" s="128">
        <f t="shared" si="12"/>
        <v>29</v>
      </c>
      <c r="HQ6" s="128">
        <f t="shared" si="12"/>
        <v>30</v>
      </c>
    </row>
    <row r="7" spans="1:320" x14ac:dyDescent="0.3">
      <c r="B7" s="129" t="s">
        <v>3865</v>
      </c>
      <c r="C7" s="129" t="s">
        <v>3705</v>
      </c>
      <c r="D7" s="129" t="s">
        <v>3903</v>
      </c>
      <c r="E7" s="129" t="s">
        <v>3904</v>
      </c>
      <c r="F7" s="130" t="s">
        <v>3851</v>
      </c>
      <c r="G7" s="131" t="s">
        <v>3905</v>
      </c>
      <c r="H7" s="131" t="s">
        <v>3863</v>
      </c>
      <c r="I7" s="132">
        <v>45372</v>
      </c>
      <c r="J7" s="131"/>
      <c r="K7" s="131" t="s">
        <v>3870</v>
      </c>
      <c r="L7" s="131">
        <v>2</v>
      </c>
      <c r="M7" s="131">
        <f>SUM(N7:EA7)</f>
        <v>2</v>
      </c>
      <c r="N7" s="131"/>
      <c r="O7" s="131"/>
      <c r="P7" s="131"/>
      <c r="Q7" s="131"/>
      <c r="R7" s="131"/>
      <c r="S7" s="131"/>
      <c r="T7" s="131"/>
      <c r="U7" s="131"/>
      <c r="V7" s="131"/>
      <c r="W7" s="131"/>
      <c r="X7" s="131"/>
      <c r="Y7" s="131"/>
      <c r="Z7" s="131"/>
      <c r="AA7" s="131"/>
      <c r="AB7" s="131"/>
      <c r="AC7" s="131"/>
      <c r="AD7" s="131"/>
      <c r="AE7" s="131"/>
      <c r="AF7" s="133" t="s">
        <v>3864</v>
      </c>
      <c r="AG7" s="134">
        <v>1</v>
      </c>
      <c r="AH7" s="131"/>
      <c r="AI7" s="131"/>
      <c r="AJ7" s="134">
        <v>1</v>
      </c>
      <c r="AK7" s="131"/>
      <c r="AL7" s="131"/>
      <c r="AM7" s="131"/>
      <c r="AN7" s="131"/>
      <c r="AO7" s="131"/>
      <c r="AP7" s="131"/>
      <c r="AQ7" s="131"/>
      <c r="AR7" s="131"/>
      <c r="AS7" s="131"/>
      <c r="AT7" s="131"/>
      <c r="AU7" s="131"/>
      <c r="AV7" s="131"/>
      <c r="AW7" s="131"/>
      <c r="AX7" s="131"/>
      <c r="AY7" s="131"/>
      <c r="AZ7" s="131"/>
      <c r="BA7" s="131"/>
      <c r="BB7" s="131"/>
      <c r="BC7" s="131"/>
      <c r="BD7" s="131"/>
      <c r="BE7" s="131"/>
      <c r="BF7" s="131"/>
      <c r="BG7" s="131"/>
      <c r="BH7" s="131"/>
      <c r="BI7" s="131"/>
      <c r="BJ7" s="131"/>
      <c r="BK7" s="131"/>
      <c r="BL7" s="131"/>
      <c r="BM7" s="131"/>
      <c r="BN7" s="131"/>
      <c r="BO7" s="131"/>
      <c r="BP7" s="131"/>
      <c r="BQ7" s="131"/>
      <c r="BR7" s="131"/>
      <c r="BS7" s="131"/>
      <c r="BT7" s="131"/>
      <c r="BU7" s="131"/>
      <c r="BV7" s="131"/>
      <c r="BW7" s="131"/>
      <c r="BX7" s="131"/>
      <c r="BY7" s="131"/>
      <c r="BZ7" s="131"/>
      <c r="CA7" s="131"/>
      <c r="CB7" s="131"/>
      <c r="CC7" s="131"/>
      <c r="CD7" s="131"/>
      <c r="CE7" s="131"/>
      <c r="CF7" s="131"/>
      <c r="CG7" s="131"/>
      <c r="CH7" s="131"/>
      <c r="CI7" s="131"/>
      <c r="CJ7" s="131"/>
      <c r="CK7" s="131"/>
      <c r="CL7" s="131"/>
      <c r="CM7" s="131"/>
      <c r="CN7" s="131"/>
      <c r="CO7" s="131"/>
      <c r="CP7" s="131"/>
      <c r="CQ7" s="131"/>
      <c r="CR7" s="131"/>
      <c r="CS7" s="131"/>
      <c r="CT7" s="131"/>
      <c r="CU7" s="131"/>
      <c r="CV7" s="131"/>
      <c r="CW7" s="131"/>
      <c r="CX7" s="131"/>
      <c r="CY7" s="131"/>
      <c r="CZ7" s="131"/>
      <c r="DA7" s="131"/>
      <c r="DB7" s="131"/>
      <c r="DC7" s="131"/>
      <c r="DD7" s="131"/>
      <c r="DE7" s="131"/>
      <c r="DF7" s="131"/>
      <c r="DG7" s="131"/>
      <c r="DH7" s="131"/>
      <c r="DI7" s="131"/>
      <c r="DJ7" s="131"/>
      <c r="DK7" s="131"/>
      <c r="DL7" s="131"/>
      <c r="DM7" s="131"/>
      <c r="DN7" s="131"/>
      <c r="DO7" s="131"/>
      <c r="DP7" s="131"/>
      <c r="DQ7" s="131"/>
      <c r="DR7" s="131"/>
      <c r="DS7" s="131"/>
      <c r="DT7" s="131"/>
      <c r="DU7" s="131"/>
      <c r="DV7" s="131"/>
      <c r="DW7" s="131"/>
      <c r="DX7" s="131"/>
      <c r="DY7" s="131"/>
      <c r="DZ7" s="131"/>
      <c r="EA7" s="131"/>
      <c r="ED7" s="131"/>
      <c r="EE7" s="131"/>
      <c r="EF7" s="131"/>
      <c r="EG7" s="131"/>
      <c r="EH7" s="131"/>
      <c r="EI7" s="131"/>
      <c r="EJ7" s="131"/>
      <c r="EK7" s="131"/>
      <c r="EL7" s="131"/>
      <c r="EM7" s="131"/>
      <c r="EN7" s="131"/>
      <c r="EO7" s="131"/>
      <c r="EP7" s="131"/>
      <c r="EQ7" s="131"/>
      <c r="ER7" s="131"/>
      <c r="ES7" s="131"/>
      <c r="ET7" s="131"/>
      <c r="EU7" s="131"/>
      <c r="EV7" s="131"/>
      <c r="EW7" s="131"/>
      <c r="EX7" s="131"/>
      <c r="EY7" s="131"/>
      <c r="EZ7" s="131"/>
      <c r="FA7" s="131"/>
      <c r="FB7" s="131"/>
      <c r="FC7" s="131"/>
      <c r="FD7" s="131"/>
      <c r="FE7" s="131"/>
      <c r="FF7" s="131"/>
      <c r="FG7" s="131"/>
      <c r="FH7" s="131"/>
      <c r="FI7" s="131"/>
      <c r="FJ7" s="131"/>
      <c r="FK7" s="131"/>
      <c r="FL7" s="131"/>
      <c r="FM7" s="131"/>
      <c r="FN7" s="131"/>
      <c r="FO7" s="131"/>
      <c r="FP7" s="131"/>
      <c r="FQ7" s="131"/>
      <c r="FR7" s="131"/>
      <c r="FS7" s="131"/>
      <c r="FT7" s="131"/>
      <c r="FU7" s="131"/>
      <c r="FV7" s="131"/>
      <c r="FW7" s="131"/>
      <c r="FX7" s="131"/>
      <c r="FY7" s="131"/>
      <c r="FZ7" s="131"/>
      <c r="GA7" s="131"/>
      <c r="GB7" s="131"/>
      <c r="GC7" s="131"/>
      <c r="GD7" s="131"/>
      <c r="GE7" s="131"/>
      <c r="GF7" s="131"/>
      <c r="GG7" s="131"/>
      <c r="GH7" s="131"/>
      <c r="GI7" s="131"/>
      <c r="GJ7" s="131"/>
      <c r="GK7" s="131"/>
      <c r="GL7" s="131"/>
    </row>
    <row r="8" spans="1:320" x14ac:dyDescent="0.3">
      <c r="B8" s="135" t="s">
        <v>3865</v>
      </c>
      <c r="C8" s="135" t="s">
        <v>3708</v>
      </c>
      <c r="D8" s="129" t="s">
        <v>3903</v>
      </c>
      <c r="E8" s="129" t="s">
        <v>3904</v>
      </c>
      <c r="F8" s="136" t="s">
        <v>3795</v>
      </c>
      <c r="G8" s="137" t="s">
        <v>3863</v>
      </c>
      <c r="H8" s="137" t="s">
        <v>3905</v>
      </c>
      <c r="I8" s="138" t="s">
        <v>3906</v>
      </c>
      <c r="J8" s="137"/>
      <c r="K8" s="137" t="s">
        <v>3907</v>
      </c>
      <c r="L8" s="137">
        <v>2</v>
      </c>
      <c r="M8" s="131">
        <f>SUM(N8:EA8)</f>
        <v>2</v>
      </c>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9" t="s">
        <v>3864</v>
      </c>
      <c r="AT8" s="134">
        <v>1</v>
      </c>
      <c r="AU8" s="134">
        <v>1</v>
      </c>
      <c r="AV8" s="137"/>
      <c r="AW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c r="CY8" s="137"/>
      <c r="CZ8" s="137"/>
      <c r="DA8" s="137"/>
      <c r="DB8" s="137"/>
      <c r="DC8" s="137"/>
      <c r="DD8" s="137"/>
      <c r="DE8" s="137"/>
      <c r="DF8" s="137"/>
      <c r="DG8" s="137"/>
      <c r="DH8" s="137"/>
      <c r="DI8" s="137"/>
      <c r="DJ8" s="137"/>
      <c r="DK8" s="137"/>
      <c r="DL8" s="137"/>
      <c r="DM8" s="137"/>
      <c r="DN8" s="137"/>
      <c r="DO8" s="137"/>
      <c r="DP8" s="137"/>
      <c r="DQ8" s="137"/>
      <c r="DR8" s="137"/>
      <c r="DS8" s="137"/>
      <c r="DT8" s="137"/>
      <c r="DU8" s="137"/>
      <c r="DV8" s="137"/>
      <c r="DW8" s="137"/>
      <c r="DX8" s="137"/>
      <c r="DY8" s="137"/>
      <c r="DZ8" s="137"/>
      <c r="EA8" s="137"/>
      <c r="ED8" s="137"/>
      <c r="EE8" s="137"/>
      <c r="EF8" s="137"/>
      <c r="EG8" s="137"/>
      <c r="EH8" s="137"/>
      <c r="EI8" s="137"/>
      <c r="EJ8" s="137"/>
      <c r="EK8" s="137"/>
      <c r="EL8" s="137"/>
      <c r="EM8" s="137"/>
      <c r="EN8" s="137"/>
      <c r="EO8" s="137"/>
      <c r="EP8" s="137"/>
      <c r="EQ8" s="137"/>
      <c r="ER8" s="137"/>
      <c r="ES8" s="137"/>
      <c r="ET8" s="137"/>
      <c r="EU8" s="137"/>
      <c r="EV8" s="137"/>
      <c r="EW8" s="137"/>
      <c r="EX8" s="137"/>
      <c r="EY8" s="137"/>
      <c r="EZ8" s="137"/>
      <c r="FA8" s="137"/>
      <c r="FB8" s="137"/>
      <c r="FC8" s="137"/>
      <c r="FD8" s="137"/>
      <c r="FE8" s="137"/>
      <c r="FF8" s="137"/>
      <c r="FG8" s="137"/>
      <c r="FH8" s="137"/>
      <c r="FI8" s="137"/>
      <c r="FJ8" s="137"/>
      <c r="FK8" s="137"/>
      <c r="FL8" s="137"/>
      <c r="FM8" s="137"/>
      <c r="FN8" s="137"/>
      <c r="FO8" s="137"/>
      <c r="FP8" s="137"/>
      <c r="FQ8" s="137"/>
      <c r="FR8" s="137"/>
      <c r="FS8" s="137"/>
      <c r="FT8" s="137"/>
      <c r="FU8" s="137"/>
      <c r="FV8" s="137"/>
      <c r="FW8" s="137"/>
      <c r="FX8" s="137"/>
      <c r="FY8" s="137"/>
      <c r="FZ8" s="137"/>
      <c r="GA8" s="137"/>
      <c r="GB8" s="137"/>
      <c r="GC8" s="137"/>
      <c r="GD8" s="137"/>
      <c r="GE8" s="137"/>
      <c r="GF8" s="137"/>
      <c r="GG8" s="137"/>
      <c r="GH8" s="137"/>
      <c r="GI8" s="137"/>
      <c r="GJ8" s="137"/>
      <c r="GK8" s="137"/>
      <c r="GL8" s="137"/>
    </row>
    <row r="9" spans="1:320" hidden="1" x14ac:dyDescent="0.3">
      <c r="B9" s="135" t="s">
        <v>3803</v>
      </c>
      <c r="C9" s="135" t="s">
        <v>3735</v>
      </c>
      <c r="D9" s="129" t="s">
        <v>3903</v>
      </c>
      <c r="E9" s="129" t="s">
        <v>3904</v>
      </c>
      <c r="F9" s="140" t="s">
        <v>3787</v>
      </c>
      <c r="G9" s="137" t="s">
        <v>3863</v>
      </c>
      <c r="H9" s="137" t="s">
        <v>3863</v>
      </c>
      <c r="I9" s="137" t="s">
        <v>3863</v>
      </c>
      <c r="J9" s="140" t="s">
        <v>3787</v>
      </c>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7"/>
      <c r="AU9" s="137"/>
      <c r="AV9" s="137"/>
      <c r="AW9" s="137"/>
      <c r="AX9" s="137"/>
      <c r="AY9" s="137"/>
      <c r="AZ9" s="137"/>
      <c r="BA9" s="137"/>
      <c r="BB9" s="137"/>
      <c r="BC9" s="137"/>
      <c r="BD9" s="137"/>
      <c r="BE9" s="137"/>
      <c r="BF9" s="137"/>
      <c r="BG9" s="137"/>
      <c r="BH9" s="137"/>
      <c r="BI9" s="137"/>
      <c r="BJ9" s="137"/>
      <c r="BK9" s="137"/>
      <c r="BL9" s="137"/>
      <c r="BM9" s="137"/>
      <c r="BN9" s="137"/>
      <c r="BO9" s="137"/>
      <c r="BP9" s="137"/>
      <c r="BQ9" s="137"/>
      <c r="BR9" s="137"/>
      <c r="BS9" s="137"/>
      <c r="BT9" s="137"/>
      <c r="BU9" s="137"/>
      <c r="BV9" s="137"/>
      <c r="BW9" s="137"/>
      <c r="BX9" s="137"/>
      <c r="BY9" s="137"/>
      <c r="BZ9" s="137"/>
      <c r="CA9" s="137"/>
      <c r="CB9" s="137"/>
      <c r="CC9" s="137"/>
      <c r="CD9" s="137"/>
      <c r="CE9" s="137"/>
      <c r="CF9" s="137"/>
      <c r="CG9" s="137"/>
      <c r="CH9" s="137"/>
      <c r="CI9" s="137"/>
      <c r="CJ9" s="137"/>
      <c r="CK9" s="137"/>
      <c r="CL9" s="137"/>
      <c r="CM9" s="137"/>
      <c r="CN9" s="137"/>
      <c r="CO9" s="137"/>
      <c r="CP9" s="137"/>
      <c r="CQ9" s="137"/>
      <c r="CR9" s="137"/>
      <c r="CS9" s="137"/>
      <c r="CT9" s="137"/>
      <c r="CU9" s="137"/>
      <c r="CV9" s="137"/>
      <c r="CW9" s="137"/>
      <c r="CX9" s="137"/>
      <c r="CY9" s="137"/>
      <c r="CZ9" s="137"/>
      <c r="DA9" s="137"/>
      <c r="DB9" s="137"/>
      <c r="DC9" s="137"/>
      <c r="DD9" s="137"/>
      <c r="DE9" s="137"/>
      <c r="DF9" s="137"/>
      <c r="DG9" s="137"/>
      <c r="DH9" s="137"/>
      <c r="DI9" s="137"/>
      <c r="DJ9" s="137"/>
      <c r="DK9" s="137"/>
      <c r="DL9" s="137"/>
      <c r="DM9" s="137"/>
      <c r="DN9" s="137"/>
      <c r="DO9" s="137"/>
      <c r="DP9" s="137"/>
      <c r="DQ9" s="137"/>
      <c r="DR9" s="137"/>
      <c r="DS9" s="137"/>
      <c r="DT9" s="137"/>
      <c r="DU9" s="137"/>
      <c r="DV9" s="137"/>
      <c r="DW9" s="137"/>
      <c r="DX9" s="137"/>
      <c r="DY9" s="137"/>
      <c r="DZ9" s="137"/>
      <c r="EA9" s="137"/>
      <c r="ED9" s="137"/>
      <c r="EE9" s="137"/>
      <c r="EF9" s="137"/>
      <c r="EG9" s="137"/>
      <c r="EH9" s="137"/>
      <c r="EI9" s="137"/>
      <c r="EJ9" s="137"/>
      <c r="EK9" s="137"/>
      <c r="EL9" s="137"/>
      <c r="EM9" s="137"/>
      <c r="EN9" s="137"/>
      <c r="EO9" s="137"/>
      <c r="EP9" s="137"/>
      <c r="EQ9" s="137"/>
      <c r="ER9" s="137"/>
      <c r="ES9" s="137"/>
      <c r="ET9" s="137"/>
      <c r="EU9" s="137"/>
      <c r="EV9" s="137"/>
      <c r="EW9" s="137"/>
      <c r="EX9" s="137"/>
      <c r="EY9" s="137"/>
      <c r="EZ9" s="137"/>
      <c r="FA9" s="137"/>
      <c r="FB9" s="137"/>
      <c r="FC9" s="137"/>
      <c r="FD9" s="137"/>
      <c r="FE9" s="137"/>
      <c r="FF9" s="137"/>
      <c r="FG9" s="137"/>
      <c r="FH9" s="137"/>
      <c r="FI9" s="137"/>
      <c r="FJ9" s="137"/>
      <c r="FK9" s="137"/>
      <c r="FL9" s="137"/>
      <c r="FM9" s="137"/>
      <c r="FN9" s="137"/>
      <c r="FO9" s="137"/>
      <c r="FP9" s="137"/>
      <c r="FQ9" s="137"/>
      <c r="FR9" s="137"/>
      <c r="FS9" s="137"/>
      <c r="FT9" s="137"/>
      <c r="FU9" s="137"/>
      <c r="FV9" s="137"/>
      <c r="FW9" s="137"/>
      <c r="FX9" s="137"/>
      <c r="FY9" s="137"/>
      <c r="FZ9" s="137"/>
      <c r="GA9" s="137"/>
      <c r="GB9" s="137"/>
      <c r="GC9" s="137"/>
      <c r="GD9" s="137"/>
      <c r="GE9" s="137"/>
      <c r="GF9" s="137"/>
      <c r="GG9" s="137"/>
      <c r="GH9" s="137"/>
      <c r="GI9" s="137"/>
      <c r="GJ9" s="137"/>
      <c r="GK9" s="137"/>
      <c r="GL9" s="137"/>
    </row>
    <row r="10" spans="1:320" x14ac:dyDescent="0.3">
      <c r="B10" s="135" t="s">
        <v>3865</v>
      </c>
      <c r="C10" s="135" t="s">
        <v>3711</v>
      </c>
      <c r="D10" s="129" t="s">
        <v>3903</v>
      </c>
      <c r="E10" s="129" t="s">
        <v>3904</v>
      </c>
      <c r="F10" s="130" t="s">
        <v>3851</v>
      </c>
      <c r="G10" s="137" t="s">
        <v>3863</v>
      </c>
      <c r="H10" s="137" t="s">
        <v>3863</v>
      </c>
      <c r="I10" s="137" t="s">
        <v>3863</v>
      </c>
      <c r="J10" s="140"/>
      <c r="K10" s="137"/>
      <c r="L10" s="137">
        <v>6</v>
      </c>
      <c r="M10" s="131">
        <f t="shared" ref="M10:M13" si="13">SUM(N10:EA10)</f>
        <v>6</v>
      </c>
      <c r="N10" s="137"/>
      <c r="O10" s="137"/>
      <c r="P10" s="137"/>
      <c r="Q10" s="137"/>
      <c r="R10" s="137"/>
      <c r="S10" s="137"/>
      <c r="T10" s="137"/>
      <c r="U10" s="137"/>
      <c r="V10" s="137"/>
      <c r="W10" s="137"/>
      <c r="X10" s="137"/>
      <c r="Y10" s="134">
        <v>1</v>
      </c>
      <c r="Z10" s="134">
        <v>1</v>
      </c>
      <c r="AA10" s="137"/>
      <c r="AB10" s="137"/>
      <c r="AC10" s="134">
        <v>1</v>
      </c>
      <c r="AD10" s="134">
        <v>1</v>
      </c>
      <c r="AE10" s="137"/>
      <c r="AF10" s="137"/>
      <c r="AG10" s="137"/>
      <c r="AH10" s="137"/>
      <c r="AI10" s="137"/>
      <c r="AJ10" s="137"/>
      <c r="AK10" s="137"/>
      <c r="AL10" s="137"/>
      <c r="AM10" s="137"/>
      <c r="AN10" s="137"/>
      <c r="AO10" s="137"/>
      <c r="AP10" s="137"/>
      <c r="AQ10" s="137"/>
      <c r="AR10" s="137"/>
      <c r="AS10" s="137"/>
      <c r="AT10" s="137"/>
      <c r="AU10" s="137"/>
      <c r="AV10" s="137"/>
      <c r="AW10" s="137"/>
      <c r="AX10" s="137"/>
      <c r="AY10" s="137"/>
      <c r="AZ10" s="137"/>
      <c r="BA10" s="139" t="s">
        <v>3864</v>
      </c>
      <c r="BB10" s="134">
        <v>1</v>
      </c>
      <c r="BC10" s="137"/>
      <c r="BD10" s="137"/>
      <c r="BE10" s="134">
        <v>1</v>
      </c>
      <c r="BF10" s="137"/>
      <c r="BH10" s="137"/>
      <c r="BI10" s="137"/>
      <c r="BJ10" s="137"/>
      <c r="BK10" s="137"/>
      <c r="BL10" s="137"/>
      <c r="BM10" s="137"/>
      <c r="BN10" s="137"/>
      <c r="BO10" s="137"/>
      <c r="BP10" s="137"/>
      <c r="BQ10" s="137"/>
      <c r="BR10" s="137"/>
      <c r="BS10" s="137"/>
      <c r="BT10" s="137"/>
      <c r="BU10" s="137"/>
      <c r="BV10" s="137"/>
      <c r="BW10" s="137"/>
      <c r="BX10" s="137"/>
      <c r="BY10" s="137"/>
      <c r="BZ10" s="137"/>
      <c r="CA10" s="137"/>
      <c r="CB10" s="137"/>
      <c r="CC10" s="137"/>
      <c r="CD10" s="137"/>
      <c r="CE10" s="137"/>
      <c r="CF10" s="137"/>
      <c r="CG10" s="137"/>
      <c r="CH10" s="137"/>
      <c r="CI10" s="137"/>
      <c r="CJ10" s="137"/>
      <c r="CK10" s="137"/>
      <c r="CL10" s="137"/>
      <c r="CM10" s="137"/>
      <c r="CN10" s="137"/>
      <c r="CO10" s="137"/>
      <c r="CP10" s="137"/>
      <c r="CQ10" s="137"/>
      <c r="CR10" s="137"/>
      <c r="CS10" s="137"/>
      <c r="CT10" s="137"/>
      <c r="CU10" s="137"/>
      <c r="CV10" s="137"/>
      <c r="CW10" s="137"/>
      <c r="CX10" s="137"/>
      <c r="CY10" s="137"/>
      <c r="CZ10" s="137"/>
      <c r="DA10" s="137"/>
      <c r="DB10" s="137"/>
      <c r="DC10" s="137"/>
      <c r="DD10" s="137"/>
      <c r="DE10" s="137"/>
      <c r="DF10" s="137"/>
      <c r="DG10" s="137"/>
      <c r="DH10" s="137"/>
      <c r="DI10" s="137"/>
      <c r="DJ10" s="137"/>
      <c r="DK10" s="137"/>
      <c r="DL10" s="137"/>
      <c r="DM10" s="137"/>
      <c r="DN10" s="137"/>
      <c r="DO10" s="137"/>
      <c r="DP10" s="137"/>
      <c r="DQ10" s="137"/>
      <c r="DR10" s="137"/>
      <c r="DS10" s="137"/>
      <c r="DT10" s="137"/>
      <c r="DU10" s="137"/>
      <c r="DV10" s="137"/>
      <c r="DW10" s="137"/>
      <c r="DX10" s="137"/>
      <c r="DY10" s="137"/>
      <c r="DZ10" s="137"/>
      <c r="EA10" s="137"/>
      <c r="ED10" s="137"/>
      <c r="EE10" s="137"/>
      <c r="EF10" s="137"/>
      <c r="EG10" s="137"/>
      <c r="EH10" s="137"/>
      <c r="EI10" s="137"/>
      <c r="EJ10" s="137"/>
      <c r="EK10" s="137"/>
      <c r="EL10" s="137"/>
      <c r="EM10" s="137"/>
      <c r="EN10" s="137"/>
      <c r="EO10" s="137"/>
      <c r="EP10" s="137"/>
      <c r="EQ10" s="137"/>
      <c r="ER10" s="137"/>
      <c r="ES10" s="137"/>
      <c r="ET10" s="137"/>
      <c r="EU10" s="137"/>
      <c r="EV10" s="137"/>
      <c r="EW10" s="137"/>
      <c r="EX10" s="137"/>
      <c r="EY10" s="137"/>
      <c r="EZ10" s="137"/>
      <c r="FA10" s="137"/>
      <c r="FB10" s="137"/>
      <c r="FC10" s="137"/>
      <c r="FD10" s="137"/>
      <c r="FE10" s="137"/>
      <c r="FF10" s="137"/>
      <c r="FG10" s="137"/>
      <c r="FH10" s="137"/>
      <c r="FI10" s="137"/>
      <c r="FJ10" s="137"/>
      <c r="FK10" s="137"/>
      <c r="FL10" s="137"/>
      <c r="FM10" s="137"/>
      <c r="FN10" s="137"/>
      <c r="FO10" s="137"/>
      <c r="FP10" s="137"/>
      <c r="FQ10" s="137"/>
      <c r="FR10" s="137"/>
      <c r="FS10" s="137"/>
      <c r="FT10" s="137"/>
      <c r="FU10" s="137"/>
      <c r="FV10" s="137"/>
      <c r="FW10" s="137"/>
      <c r="FX10" s="137"/>
      <c r="FY10" s="137"/>
      <c r="FZ10" s="137"/>
      <c r="GA10" s="137"/>
      <c r="GB10" s="137"/>
      <c r="GC10" s="137"/>
      <c r="GD10" s="137"/>
      <c r="GE10" s="137"/>
      <c r="GF10" s="137"/>
      <c r="GG10" s="137"/>
      <c r="GH10" s="137"/>
      <c r="GI10" s="137"/>
      <c r="GJ10" s="137"/>
      <c r="GK10" s="137"/>
      <c r="GL10" s="137"/>
    </row>
    <row r="11" spans="1:320" x14ac:dyDescent="0.3">
      <c r="A11" s="161" t="s">
        <v>3915</v>
      </c>
      <c r="B11" s="135" t="s">
        <v>3865</v>
      </c>
      <c r="C11" s="135" t="s">
        <v>3752</v>
      </c>
      <c r="D11" s="129" t="s">
        <v>3903</v>
      </c>
      <c r="E11" s="129" t="s">
        <v>3904</v>
      </c>
      <c r="F11" s="141" t="s">
        <v>3783</v>
      </c>
      <c r="G11" s="137" t="s">
        <v>3863</v>
      </c>
      <c r="H11" s="137" t="s">
        <v>3863</v>
      </c>
      <c r="I11" s="137" t="s">
        <v>3863</v>
      </c>
      <c r="J11" s="140"/>
      <c r="K11" s="137"/>
      <c r="L11" s="137">
        <v>3</v>
      </c>
      <c r="M11" s="131">
        <f t="shared" si="13"/>
        <v>3</v>
      </c>
      <c r="N11" s="137"/>
      <c r="O11" s="137"/>
      <c r="P11" s="137"/>
      <c r="Q11" s="137"/>
      <c r="R11" s="137"/>
      <c r="S11" s="137"/>
      <c r="T11" s="137"/>
      <c r="U11" s="137"/>
      <c r="V11" s="137"/>
      <c r="W11" s="137"/>
      <c r="Y11" s="134">
        <v>1</v>
      </c>
      <c r="Z11" s="134">
        <v>1</v>
      </c>
      <c r="AA11" s="137"/>
      <c r="AB11" s="137"/>
      <c r="AC11" s="137"/>
      <c r="AD11" s="137"/>
      <c r="AE11" s="137"/>
      <c r="AF11" s="137"/>
      <c r="AG11" s="137"/>
      <c r="AH11" s="137"/>
      <c r="AI11" s="137"/>
      <c r="AJ11" s="134">
        <v>1</v>
      </c>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row>
    <row r="12" spans="1:320" x14ac:dyDescent="0.3">
      <c r="B12" s="135" t="s">
        <v>3865</v>
      </c>
      <c r="C12" s="135" t="s">
        <v>3709</v>
      </c>
      <c r="D12" s="129" t="s">
        <v>3903</v>
      </c>
      <c r="E12" s="129" t="s">
        <v>3904</v>
      </c>
      <c r="F12" s="136" t="s">
        <v>3851</v>
      </c>
      <c r="G12" s="137" t="s">
        <v>3905</v>
      </c>
      <c r="H12" s="137" t="s">
        <v>3863</v>
      </c>
      <c r="I12" s="142">
        <v>45372</v>
      </c>
      <c r="J12" s="140"/>
      <c r="K12" s="137" t="s">
        <v>3870</v>
      </c>
      <c r="L12" s="137">
        <v>2</v>
      </c>
      <c r="M12" s="131">
        <f t="shared" si="13"/>
        <v>2</v>
      </c>
      <c r="N12" s="137"/>
      <c r="O12" s="137"/>
      <c r="P12" s="137"/>
      <c r="Q12" s="137"/>
      <c r="R12" s="137"/>
      <c r="S12" s="137"/>
      <c r="T12" s="137"/>
      <c r="U12" s="137"/>
      <c r="V12" s="137"/>
      <c r="W12" s="137"/>
      <c r="X12" s="137"/>
      <c r="Y12" s="137"/>
      <c r="Z12" s="137"/>
      <c r="AA12" s="137"/>
      <c r="AB12" s="137"/>
      <c r="AC12" s="137"/>
      <c r="AD12" s="137"/>
      <c r="AE12" s="137"/>
      <c r="AF12" s="137" t="s">
        <v>3864</v>
      </c>
      <c r="AG12" s="134">
        <v>1</v>
      </c>
      <c r="AH12" s="137"/>
      <c r="AI12" s="137"/>
      <c r="AJ12" s="137"/>
      <c r="AK12" s="137"/>
      <c r="AL12" s="137"/>
      <c r="AM12" s="137"/>
      <c r="AN12" s="137"/>
      <c r="AO12" s="137"/>
      <c r="AP12" s="137"/>
      <c r="AQ12" s="137"/>
      <c r="AR12" s="137"/>
      <c r="AS12" s="137"/>
      <c r="AT12" s="137"/>
      <c r="AU12" s="137"/>
      <c r="AV12" s="137"/>
      <c r="AW12" s="137"/>
      <c r="AX12" s="137"/>
      <c r="AY12" s="137"/>
      <c r="AZ12" s="137"/>
      <c r="BA12" s="137"/>
      <c r="BB12" s="137"/>
      <c r="BC12" s="137"/>
      <c r="BD12" s="137"/>
      <c r="BE12" s="139" t="s">
        <v>3864</v>
      </c>
      <c r="BF12" s="134">
        <v>1</v>
      </c>
      <c r="BG12" s="137"/>
      <c r="BH12" s="137"/>
      <c r="BI12" s="137"/>
      <c r="BJ12" s="137"/>
      <c r="BK12" s="137"/>
      <c r="BL12" s="137"/>
      <c r="BM12" s="137"/>
      <c r="BN12" s="137"/>
      <c r="BO12" s="137"/>
      <c r="BP12" s="137"/>
      <c r="BQ12" s="137"/>
      <c r="BR12" s="137"/>
      <c r="BS12" s="137"/>
      <c r="BT12" s="137"/>
      <c r="BU12" s="137"/>
      <c r="BV12" s="137"/>
      <c r="BW12" s="137"/>
      <c r="BX12" s="137"/>
      <c r="BY12" s="137"/>
      <c r="BZ12" s="137"/>
      <c r="CA12" s="137"/>
      <c r="CB12" s="137"/>
      <c r="CC12" s="137"/>
      <c r="CD12" s="137"/>
      <c r="CE12" s="137"/>
      <c r="CF12" s="137"/>
      <c r="CG12" s="137"/>
      <c r="CH12" s="137"/>
      <c r="CI12" s="137"/>
      <c r="CJ12" s="137"/>
      <c r="CK12" s="137"/>
      <c r="CL12" s="137"/>
      <c r="CM12" s="137"/>
      <c r="CN12" s="137"/>
      <c r="CO12" s="137"/>
      <c r="CP12" s="137"/>
      <c r="CQ12" s="137"/>
      <c r="CR12" s="137"/>
      <c r="CS12" s="137"/>
      <c r="CT12" s="137"/>
      <c r="CU12" s="137"/>
      <c r="CV12" s="137"/>
      <c r="CW12" s="137"/>
      <c r="CX12" s="137"/>
      <c r="CY12" s="137"/>
      <c r="CZ12" s="137"/>
      <c r="DA12" s="137"/>
      <c r="DB12" s="137"/>
      <c r="DC12" s="137"/>
      <c r="DD12" s="137"/>
      <c r="DE12" s="137"/>
      <c r="DF12" s="137"/>
      <c r="DG12" s="137"/>
      <c r="DH12" s="137"/>
      <c r="DI12" s="137"/>
      <c r="DJ12" s="137"/>
      <c r="DK12" s="137"/>
      <c r="DL12" s="137"/>
      <c r="DM12" s="137"/>
      <c r="DN12" s="137"/>
      <c r="DO12" s="137"/>
      <c r="DP12" s="137"/>
      <c r="DQ12" s="137"/>
      <c r="DR12" s="137"/>
      <c r="DS12" s="137"/>
      <c r="DT12" s="137"/>
      <c r="DU12" s="137"/>
      <c r="DV12" s="137"/>
      <c r="DW12" s="137"/>
      <c r="DX12" s="137"/>
      <c r="DY12" s="137"/>
      <c r="DZ12" s="137"/>
      <c r="EA12" s="137"/>
      <c r="ED12" s="137"/>
      <c r="EE12" s="137"/>
      <c r="EF12" s="137"/>
      <c r="EG12" s="137"/>
      <c r="EH12" s="137"/>
      <c r="EI12" s="137"/>
      <c r="EJ12" s="137"/>
      <c r="EK12" s="137"/>
      <c r="EL12" s="137"/>
      <c r="EM12" s="137"/>
      <c r="EN12" s="137"/>
      <c r="EO12" s="137"/>
      <c r="EP12" s="137"/>
      <c r="EQ12" s="137"/>
      <c r="ER12" s="137"/>
      <c r="ES12" s="137"/>
      <c r="ET12" s="137"/>
      <c r="EU12" s="137"/>
      <c r="EV12" s="137"/>
      <c r="EW12" s="137"/>
      <c r="EX12" s="137"/>
      <c r="EY12" s="137"/>
      <c r="EZ12" s="137"/>
      <c r="FA12" s="137"/>
      <c r="FB12" s="137"/>
      <c r="FC12" s="137"/>
      <c r="FD12" s="137"/>
      <c r="FE12" s="137"/>
      <c r="FF12" s="137"/>
      <c r="FG12" s="137"/>
      <c r="FH12" s="137"/>
      <c r="FI12" s="137"/>
      <c r="FJ12" s="137"/>
      <c r="FK12" s="137"/>
      <c r="FL12" s="137"/>
      <c r="FM12" s="137"/>
      <c r="FN12" s="137"/>
      <c r="FO12" s="137"/>
      <c r="FP12" s="137"/>
      <c r="FQ12" s="137"/>
      <c r="FR12" s="137"/>
      <c r="FS12" s="137"/>
      <c r="FT12" s="137"/>
      <c r="FU12" s="137"/>
      <c r="FV12" s="137"/>
      <c r="FW12" s="137"/>
      <c r="FX12" s="137"/>
      <c r="FY12" s="137"/>
      <c r="FZ12" s="137"/>
      <c r="GA12" s="137"/>
      <c r="GB12" s="137"/>
      <c r="GC12" s="137"/>
      <c r="GD12" s="137"/>
      <c r="GE12" s="137"/>
      <c r="GF12" s="137"/>
      <c r="GG12" s="137"/>
      <c r="GH12" s="137"/>
      <c r="GI12" s="137"/>
      <c r="GJ12" s="137"/>
      <c r="GK12" s="137"/>
      <c r="GL12" s="137"/>
    </row>
    <row r="13" spans="1:320" x14ac:dyDescent="0.3">
      <c r="B13" s="135" t="s">
        <v>3865</v>
      </c>
      <c r="C13" s="135" t="s">
        <v>3710</v>
      </c>
      <c r="D13" s="129" t="s">
        <v>3903</v>
      </c>
      <c r="E13" s="129" t="s">
        <v>3904</v>
      </c>
      <c r="F13" s="136" t="s">
        <v>3795</v>
      </c>
      <c r="G13" s="137" t="s">
        <v>3863</v>
      </c>
      <c r="H13" s="137" t="s">
        <v>3905</v>
      </c>
      <c r="I13" s="137" t="s">
        <v>3906</v>
      </c>
      <c r="J13" s="140"/>
      <c r="K13" s="137" t="s">
        <v>3907</v>
      </c>
      <c r="L13" s="137">
        <v>1</v>
      </c>
      <c r="M13" s="131">
        <f t="shared" si="13"/>
        <v>1</v>
      </c>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9" t="s">
        <v>3864</v>
      </c>
      <c r="BI13" s="134">
        <v>1</v>
      </c>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c r="CY13" s="137"/>
      <c r="CZ13" s="137"/>
      <c r="DA13" s="137"/>
      <c r="DB13" s="137"/>
      <c r="DC13" s="137"/>
      <c r="DD13" s="137"/>
      <c r="DE13" s="137"/>
      <c r="DF13" s="137"/>
      <c r="DG13" s="137"/>
      <c r="DH13" s="137"/>
      <c r="DI13" s="137"/>
      <c r="DJ13" s="137"/>
      <c r="DK13" s="137"/>
      <c r="DL13" s="137"/>
      <c r="DM13" s="137"/>
      <c r="DN13" s="137"/>
      <c r="DO13" s="137"/>
      <c r="DP13" s="137"/>
      <c r="DQ13" s="137"/>
      <c r="DR13" s="137"/>
      <c r="DS13" s="137"/>
      <c r="DT13" s="137"/>
      <c r="DU13" s="137"/>
      <c r="DV13" s="137"/>
      <c r="DW13" s="137"/>
      <c r="DX13" s="137"/>
      <c r="DY13" s="137"/>
      <c r="DZ13" s="137"/>
      <c r="EA13" s="137"/>
      <c r="ED13" s="137"/>
      <c r="EE13" s="137"/>
      <c r="EF13" s="137"/>
      <c r="EG13" s="137"/>
      <c r="EH13" s="137"/>
      <c r="EI13" s="137"/>
      <c r="EJ13" s="137"/>
      <c r="EK13" s="137"/>
      <c r="EL13" s="137"/>
      <c r="EM13" s="137"/>
      <c r="EN13" s="137"/>
      <c r="EO13" s="137"/>
      <c r="EP13" s="137"/>
      <c r="EQ13" s="137"/>
      <c r="ER13" s="137"/>
      <c r="ES13" s="137"/>
      <c r="ET13" s="137"/>
      <c r="EU13" s="137"/>
      <c r="EV13" s="137"/>
      <c r="EW13" s="137"/>
      <c r="EX13" s="137"/>
      <c r="EY13" s="137"/>
      <c r="EZ13" s="137"/>
      <c r="FA13" s="137"/>
      <c r="FB13" s="137"/>
      <c r="FC13" s="137"/>
      <c r="FD13" s="137"/>
      <c r="FE13" s="137"/>
      <c r="FF13" s="137"/>
      <c r="FG13" s="137"/>
      <c r="FH13" s="137"/>
      <c r="FI13" s="137"/>
      <c r="FJ13" s="137"/>
      <c r="FK13" s="137"/>
      <c r="FL13" s="137"/>
      <c r="FM13" s="137"/>
      <c r="FN13" s="137"/>
      <c r="FO13" s="137"/>
      <c r="FP13" s="137"/>
      <c r="FQ13" s="137"/>
      <c r="FR13" s="137"/>
      <c r="FS13" s="137"/>
      <c r="FT13" s="137"/>
      <c r="FU13" s="137"/>
      <c r="FV13" s="137"/>
      <c r="FW13" s="137"/>
      <c r="FX13" s="137"/>
      <c r="FY13" s="137"/>
      <c r="FZ13" s="137"/>
      <c r="GA13" s="137"/>
      <c r="GB13" s="137"/>
      <c r="GC13" s="137"/>
      <c r="GD13" s="137"/>
      <c r="GE13" s="137"/>
      <c r="GF13" s="137"/>
      <c r="GG13" s="137"/>
      <c r="GH13" s="137"/>
      <c r="GI13" s="137"/>
      <c r="GJ13" s="137"/>
      <c r="GK13" s="137"/>
      <c r="GL13" s="137"/>
    </row>
    <row r="14" spans="1:320" hidden="1" x14ac:dyDescent="0.3">
      <c r="B14" s="135" t="s">
        <v>3803</v>
      </c>
      <c r="C14" s="135" t="s">
        <v>3740</v>
      </c>
      <c r="D14" s="129" t="s">
        <v>3903</v>
      </c>
      <c r="E14" s="129" t="s">
        <v>3904</v>
      </c>
      <c r="F14" s="140" t="s">
        <v>3787</v>
      </c>
      <c r="G14" s="137" t="s">
        <v>3863</v>
      </c>
      <c r="H14" s="137" t="s">
        <v>3863</v>
      </c>
      <c r="I14" s="137"/>
      <c r="J14" s="140" t="s">
        <v>3787</v>
      </c>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7"/>
      <c r="AU14" s="137"/>
      <c r="AV14" s="137"/>
      <c r="AW14" s="137"/>
      <c r="AX14" s="137"/>
      <c r="AY14" s="137"/>
      <c r="AZ14" s="137"/>
      <c r="BA14" s="137"/>
      <c r="BB14" s="137"/>
      <c r="BC14" s="137"/>
      <c r="BD14" s="137"/>
      <c r="BE14" s="137"/>
      <c r="BF14" s="137"/>
      <c r="BG14" s="137"/>
      <c r="BH14" s="137"/>
      <c r="BI14" s="137"/>
      <c r="BJ14" s="137"/>
      <c r="BK14" s="137"/>
      <c r="BL14" s="137"/>
      <c r="BM14" s="137"/>
      <c r="BN14" s="137"/>
      <c r="BO14" s="137"/>
      <c r="BP14" s="137"/>
      <c r="BQ14" s="137"/>
      <c r="BR14" s="137"/>
      <c r="BS14" s="137"/>
      <c r="BT14" s="137"/>
      <c r="BU14" s="137"/>
      <c r="BV14" s="137"/>
      <c r="BW14" s="137"/>
      <c r="BX14" s="137"/>
      <c r="BY14" s="137"/>
      <c r="BZ14" s="137"/>
      <c r="CA14" s="137"/>
      <c r="CB14" s="137"/>
      <c r="CC14" s="137"/>
      <c r="CD14" s="137"/>
      <c r="CE14" s="137"/>
      <c r="CF14" s="137"/>
      <c r="CG14" s="137"/>
      <c r="CH14" s="137"/>
      <c r="CI14" s="137"/>
      <c r="CJ14" s="137"/>
      <c r="CK14" s="137"/>
      <c r="CL14" s="137"/>
      <c r="CM14" s="137"/>
      <c r="CN14" s="137"/>
      <c r="CO14" s="137"/>
      <c r="CP14" s="137"/>
      <c r="CQ14" s="137"/>
      <c r="CR14" s="137"/>
      <c r="CS14" s="137"/>
      <c r="CT14" s="137"/>
      <c r="CU14" s="137"/>
      <c r="CV14" s="137"/>
      <c r="CW14" s="137"/>
      <c r="CX14" s="137"/>
      <c r="CY14" s="137"/>
      <c r="CZ14" s="137"/>
      <c r="DA14" s="137"/>
      <c r="DB14" s="137"/>
      <c r="DC14" s="137"/>
      <c r="DD14" s="137"/>
      <c r="DE14" s="137"/>
      <c r="DF14" s="137"/>
      <c r="DG14" s="137"/>
      <c r="DH14" s="137"/>
      <c r="DI14" s="137"/>
      <c r="DJ14" s="137"/>
      <c r="DK14" s="137"/>
      <c r="DL14" s="137"/>
      <c r="DM14" s="137"/>
      <c r="DN14" s="137"/>
      <c r="DO14" s="137"/>
      <c r="DP14" s="137"/>
      <c r="DQ14" s="137"/>
      <c r="DR14" s="137"/>
      <c r="DS14" s="137"/>
      <c r="DT14" s="137"/>
      <c r="DU14" s="137"/>
      <c r="DV14" s="137"/>
      <c r="DW14" s="137"/>
      <c r="DX14" s="137"/>
      <c r="DY14" s="137"/>
      <c r="DZ14" s="137"/>
      <c r="EA14" s="137"/>
      <c r="ED14" s="137"/>
      <c r="EE14" s="137"/>
      <c r="EF14" s="137"/>
      <c r="EG14" s="137"/>
      <c r="EH14" s="137"/>
      <c r="EI14" s="137"/>
      <c r="EJ14" s="137"/>
      <c r="EK14" s="137"/>
      <c r="EL14" s="137"/>
      <c r="EM14" s="137"/>
      <c r="EN14" s="137"/>
      <c r="EO14" s="137"/>
      <c r="EP14" s="137"/>
      <c r="EQ14" s="137"/>
      <c r="ER14" s="137"/>
      <c r="ES14" s="137"/>
      <c r="ET14" s="137"/>
      <c r="EU14" s="137"/>
      <c r="EV14" s="137"/>
      <c r="EW14" s="137"/>
      <c r="EX14" s="137"/>
      <c r="EY14" s="137"/>
      <c r="EZ14" s="137"/>
      <c r="FA14" s="137"/>
      <c r="FB14" s="137"/>
      <c r="FC14" s="137"/>
      <c r="FD14" s="137"/>
      <c r="FE14" s="137"/>
      <c r="FF14" s="137"/>
      <c r="FG14" s="137"/>
      <c r="FH14" s="137"/>
      <c r="FI14" s="137"/>
      <c r="FJ14" s="137"/>
      <c r="FK14" s="137"/>
      <c r="FL14" s="137"/>
      <c r="FM14" s="137"/>
      <c r="FN14" s="137"/>
      <c r="FO14" s="137"/>
      <c r="FP14" s="137"/>
      <c r="FQ14" s="137"/>
      <c r="FR14" s="137"/>
      <c r="FS14" s="137"/>
      <c r="FT14" s="137"/>
      <c r="FU14" s="137"/>
      <c r="FV14" s="137"/>
      <c r="FW14" s="137"/>
      <c r="FX14" s="137"/>
      <c r="FY14" s="137"/>
      <c r="FZ14" s="137"/>
      <c r="GA14" s="137"/>
      <c r="GB14" s="137"/>
      <c r="GC14" s="137"/>
      <c r="GD14" s="137"/>
      <c r="GE14" s="137"/>
      <c r="GF14" s="137"/>
      <c r="GG14" s="137"/>
      <c r="GH14" s="137"/>
      <c r="GI14" s="137"/>
      <c r="GJ14" s="137"/>
      <c r="GK14" s="137"/>
      <c r="GL14" s="137"/>
    </row>
    <row r="15" spans="1:320" hidden="1" x14ac:dyDescent="0.3">
      <c r="B15" s="135" t="s">
        <v>3803</v>
      </c>
      <c r="C15" s="135" t="s">
        <v>3745</v>
      </c>
      <c r="D15" s="129" t="s">
        <v>3903</v>
      </c>
      <c r="E15" s="129" t="s">
        <v>3904</v>
      </c>
      <c r="F15" s="140" t="s">
        <v>3787</v>
      </c>
      <c r="G15" s="137" t="s">
        <v>3863</v>
      </c>
      <c r="H15" s="137" t="s">
        <v>3863</v>
      </c>
      <c r="I15" s="137"/>
      <c r="J15" s="140" t="s">
        <v>3787</v>
      </c>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7"/>
      <c r="AU15" s="137"/>
      <c r="AV15" s="137"/>
      <c r="AW15" s="137"/>
      <c r="AX15" s="137"/>
      <c r="AY15" s="137"/>
      <c r="AZ15" s="137"/>
      <c r="BA15" s="137"/>
      <c r="BB15" s="137"/>
      <c r="BC15" s="137"/>
      <c r="BD15" s="137"/>
      <c r="BE15" s="137"/>
      <c r="BF15" s="137"/>
      <c r="BG15" s="137"/>
      <c r="BH15" s="137"/>
      <c r="BI15" s="137"/>
      <c r="BJ15" s="137"/>
      <c r="BK15" s="137"/>
      <c r="BL15" s="137"/>
      <c r="BM15" s="137"/>
      <c r="BN15" s="137"/>
      <c r="BO15" s="137"/>
      <c r="BP15" s="137"/>
      <c r="BQ15" s="137"/>
      <c r="BR15" s="137"/>
      <c r="BS15" s="137"/>
      <c r="BT15" s="137"/>
      <c r="BU15" s="137"/>
      <c r="BV15" s="137"/>
      <c r="BW15" s="137"/>
      <c r="BX15" s="137"/>
      <c r="BY15" s="137"/>
      <c r="BZ15" s="137"/>
      <c r="CA15" s="137"/>
      <c r="CB15" s="137"/>
      <c r="CC15" s="137"/>
      <c r="CD15" s="137"/>
      <c r="CE15" s="137"/>
      <c r="CF15" s="137"/>
      <c r="CG15" s="137"/>
      <c r="CH15" s="137"/>
      <c r="CI15" s="137"/>
      <c r="CJ15" s="137"/>
      <c r="CK15" s="137"/>
      <c r="CL15" s="137"/>
      <c r="CM15" s="137"/>
      <c r="CN15" s="137"/>
      <c r="CO15" s="137"/>
      <c r="CP15" s="137"/>
      <c r="CQ15" s="137"/>
      <c r="CR15" s="137"/>
      <c r="CS15" s="137"/>
      <c r="CT15" s="137"/>
      <c r="CU15" s="137"/>
      <c r="CV15" s="137"/>
      <c r="CW15" s="137"/>
      <c r="CX15" s="137"/>
      <c r="CY15" s="137"/>
      <c r="CZ15" s="137"/>
      <c r="DA15" s="137"/>
      <c r="DB15" s="137"/>
      <c r="DC15" s="137"/>
      <c r="DD15" s="137"/>
      <c r="DE15" s="137"/>
      <c r="DF15" s="137"/>
      <c r="DG15" s="137"/>
      <c r="DH15" s="137"/>
      <c r="DI15" s="137"/>
      <c r="DJ15" s="137"/>
      <c r="DK15" s="137"/>
      <c r="DL15" s="137"/>
      <c r="DM15" s="137"/>
      <c r="DN15" s="137"/>
      <c r="DO15" s="137"/>
      <c r="DP15" s="137"/>
      <c r="DQ15" s="137"/>
      <c r="DR15" s="137"/>
      <c r="DS15" s="137"/>
      <c r="DT15" s="137"/>
      <c r="DU15" s="137"/>
      <c r="DV15" s="137"/>
      <c r="DW15" s="137"/>
      <c r="DX15" s="137"/>
      <c r="DY15" s="137"/>
      <c r="DZ15" s="137"/>
      <c r="EA15" s="137"/>
      <c r="ED15" s="137"/>
      <c r="EE15" s="137"/>
      <c r="EF15" s="137"/>
      <c r="EG15" s="137"/>
      <c r="EH15" s="137"/>
      <c r="EI15" s="137"/>
      <c r="EJ15" s="137"/>
      <c r="EK15" s="137"/>
      <c r="EL15" s="137"/>
      <c r="EM15" s="137"/>
      <c r="EN15" s="137"/>
      <c r="EO15" s="137"/>
      <c r="EP15" s="137"/>
      <c r="EQ15" s="137"/>
      <c r="ER15" s="137"/>
      <c r="ES15" s="137"/>
      <c r="ET15" s="137"/>
      <c r="EU15" s="137"/>
      <c r="EV15" s="137"/>
      <c r="EW15" s="137"/>
      <c r="EX15" s="137"/>
      <c r="EY15" s="137"/>
      <c r="EZ15" s="137"/>
      <c r="FA15" s="137"/>
      <c r="FB15" s="137"/>
      <c r="FC15" s="137"/>
      <c r="FD15" s="137"/>
      <c r="FE15" s="137"/>
      <c r="FF15" s="137"/>
      <c r="FG15" s="137"/>
      <c r="FH15" s="137"/>
      <c r="FI15" s="137"/>
      <c r="FJ15" s="137"/>
      <c r="FK15" s="137"/>
      <c r="FL15" s="137"/>
      <c r="FM15" s="137"/>
      <c r="FN15" s="137"/>
      <c r="FO15" s="137"/>
      <c r="FP15" s="137"/>
      <c r="FQ15" s="137"/>
      <c r="FR15" s="137"/>
      <c r="FS15" s="137"/>
      <c r="FT15" s="137"/>
      <c r="FU15" s="137"/>
      <c r="FV15" s="137"/>
      <c r="FW15" s="137"/>
      <c r="FX15" s="137"/>
      <c r="FY15" s="137"/>
      <c r="FZ15" s="137"/>
      <c r="GA15" s="137"/>
      <c r="GB15" s="137"/>
      <c r="GC15" s="137"/>
      <c r="GD15" s="137"/>
      <c r="GE15" s="137"/>
      <c r="GF15" s="137"/>
      <c r="GG15" s="137"/>
      <c r="GH15" s="137"/>
      <c r="GI15" s="137"/>
      <c r="GJ15" s="137"/>
      <c r="GK15" s="137"/>
      <c r="GL15" s="137"/>
    </row>
    <row r="16" spans="1:320" hidden="1" x14ac:dyDescent="0.3">
      <c r="B16" s="135" t="s">
        <v>3803</v>
      </c>
      <c r="C16" s="135" t="s">
        <v>3741</v>
      </c>
      <c r="D16" s="129" t="s">
        <v>3903</v>
      </c>
      <c r="E16" s="129" t="s">
        <v>3904</v>
      </c>
      <c r="F16" s="140" t="s">
        <v>3787</v>
      </c>
      <c r="G16" s="137" t="s">
        <v>3863</v>
      </c>
      <c r="H16" s="137" t="s">
        <v>3863</v>
      </c>
      <c r="I16" s="137"/>
      <c r="J16" s="140" t="s">
        <v>3787</v>
      </c>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c r="CG16" s="137"/>
      <c r="CH16" s="137"/>
      <c r="CI16" s="137"/>
      <c r="CJ16" s="137"/>
      <c r="CK16" s="137"/>
      <c r="CL16" s="137"/>
      <c r="CM16" s="137"/>
      <c r="CN16" s="137"/>
      <c r="CO16" s="137"/>
      <c r="CP16" s="137"/>
      <c r="CQ16" s="137"/>
      <c r="CR16" s="137"/>
      <c r="CS16" s="137"/>
      <c r="CT16" s="137"/>
      <c r="CU16" s="137"/>
      <c r="CV16" s="137"/>
      <c r="CW16" s="137"/>
      <c r="CX16" s="137"/>
      <c r="CY16" s="137"/>
      <c r="CZ16" s="137"/>
      <c r="DA16" s="137"/>
      <c r="DB16" s="137"/>
      <c r="DC16" s="137"/>
      <c r="DD16" s="137"/>
      <c r="DE16" s="137"/>
      <c r="DF16" s="137"/>
      <c r="DG16" s="137"/>
      <c r="DH16" s="137"/>
      <c r="DI16" s="137"/>
      <c r="DJ16" s="137"/>
      <c r="DK16" s="137"/>
      <c r="DL16" s="137"/>
      <c r="DM16" s="137"/>
      <c r="DN16" s="137"/>
      <c r="DO16" s="137"/>
      <c r="DP16" s="137"/>
      <c r="DQ16" s="137"/>
      <c r="DR16" s="137"/>
      <c r="DS16" s="137"/>
      <c r="DT16" s="137"/>
      <c r="DU16" s="137"/>
      <c r="DV16" s="137"/>
      <c r="DW16" s="137"/>
      <c r="DX16" s="137"/>
      <c r="DY16" s="137"/>
      <c r="DZ16" s="137"/>
      <c r="EA16" s="137"/>
      <c r="ED16" s="137"/>
      <c r="EE16" s="137"/>
      <c r="EF16" s="137"/>
      <c r="EG16" s="137"/>
      <c r="EH16" s="137"/>
      <c r="EI16" s="137"/>
      <c r="EJ16" s="137"/>
      <c r="EK16" s="137"/>
      <c r="EL16" s="137"/>
      <c r="EM16" s="137"/>
      <c r="EN16" s="137"/>
      <c r="EO16" s="137"/>
      <c r="EP16" s="137"/>
      <c r="EQ16" s="137"/>
      <c r="ER16" s="137"/>
      <c r="ES16" s="137"/>
      <c r="ET16" s="137"/>
      <c r="EU16" s="137"/>
      <c r="EV16" s="137"/>
      <c r="EW16" s="137"/>
      <c r="EX16" s="137"/>
      <c r="EY16" s="137"/>
      <c r="EZ16" s="137"/>
      <c r="FA16" s="137"/>
      <c r="FB16" s="137"/>
      <c r="FC16" s="137"/>
      <c r="FD16" s="137"/>
      <c r="FE16" s="137"/>
      <c r="FF16" s="137"/>
      <c r="FG16" s="137"/>
      <c r="FH16" s="137"/>
      <c r="FI16" s="137"/>
      <c r="FJ16" s="137"/>
      <c r="FK16" s="137"/>
      <c r="FL16" s="137"/>
      <c r="FM16" s="137"/>
      <c r="FN16" s="137"/>
      <c r="FO16" s="137"/>
      <c r="FP16" s="137"/>
      <c r="FQ16" s="137"/>
      <c r="FR16" s="137"/>
      <c r="FS16" s="137"/>
      <c r="FT16" s="137"/>
      <c r="FU16" s="137"/>
      <c r="FV16" s="137"/>
      <c r="FW16" s="137"/>
      <c r="FX16" s="137"/>
      <c r="FY16" s="137"/>
      <c r="FZ16" s="137"/>
      <c r="GA16" s="137"/>
      <c r="GB16" s="137"/>
      <c r="GC16" s="137"/>
      <c r="GD16" s="137"/>
      <c r="GE16" s="137"/>
      <c r="GF16" s="137"/>
      <c r="GG16" s="137"/>
      <c r="GH16" s="137"/>
      <c r="GI16" s="137"/>
      <c r="GJ16" s="137"/>
      <c r="GK16" s="137"/>
      <c r="GL16" s="137"/>
    </row>
    <row r="17" spans="1:194" x14ac:dyDescent="0.3">
      <c r="A17" s="161" t="s">
        <v>3916</v>
      </c>
      <c r="B17" s="135" t="s">
        <v>3865</v>
      </c>
      <c r="C17" s="135" t="s">
        <v>3722</v>
      </c>
      <c r="D17" s="129" t="s">
        <v>3903</v>
      </c>
      <c r="E17" s="129" t="s">
        <v>3904</v>
      </c>
      <c r="F17" s="136" t="s">
        <v>3851</v>
      </c>
      <c r="G17" s="137" t="s">
        <v>3863</v>
      </c>
      <c r="H17" s="137" t="s">
        <v>3863</v>
      </c>
      <c r="I17" s="137"/>
      <c r="J17" s="140"/>
      <c r="K17" s="137"/>
      <c r="L17" s="137">
        <v>4</v>
      </c>
      <c r="M17" s="131">
        <f t="shared" ref="M17:M18" si="14">SUM(N17:EA17)</f>
        <v>4</v>
      </c>
      <c r="N17" s="137"/>
      <c r="O17" s="137"/>
      <c r="P17" s="137"/>
      <c r="Q17" s="137"/>
      <c r="R17" s="137"/>
      <c r="S17" s="137"/>
      <c r="T17" s="137"/>
      <c r="U17" s="137"/>
      <c r="V17" s="137"/>
      <c r="W17" s="137"/>
      <c r="X17" s="137"/>
      <c r="Y17" s="137"/>
      <c r="Z17" s="137"/>
      <c r="AA17" s="137"/>
      <c r="AB17" s="137"/>
      <c r="AC17" s="134">
        <v>1</v>
      </c>
      <c r="AD17" s="134">
        <v>1</v>
      </c>
      <c r="AE17" s="137"/>
      <c r="AG17" s="137"/>
      <c r="AH17" s="137"/>
      <c r="AI17" s="137"/>
      <c r="AJ17" s="137"/>
      <c r="AK17" s="137"/>
      <c r="AL17" s="137"/>
      <c r="AM17" s="137"/>
      <c r="AN17" s="137"/>
      <c r="AO17" s="137"/>
      <c r="AP17" s="137"/>
      <c r="AQ17" s="137"/>
      <c r="AR17" s="137"/>
      <c r="AS17" s="137"/>
      <c r="AT17" s="139" t="s">
        <v>3864</v>
      </c>
      <c r="AV17" s="137"/>
      <c r="AW17" s="137"/>
      <c r="AY17" s="134">
        <v>1</v>
      </c>
      <c r="AZ17" s="134">
        <v>1</v>
      </c>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c r="CG17" s="137"/>
      <c r="CH17" s="137"/>
      <c r="CI17" s="137"/>
      <c r="CJ17" s="137"/>
      <c r="CK17" s="137"/>
      <c r="CL17" s="137"/>
      <c r="CM17" s="137"/>
      <c r="CN17" s="137"/>
      <c r="CO17" s="137"/>
      <c r="CP17" s="137"/>
      <c r="CQ17" s="137"/>
      <c r="CR17" s="137"/>
      <c r="CS17" s="137"/>
      <c r="CT17" s="137"/>
      <c r="CU17" s="137"/>
      <c r="CV17" s="137"/>
      <c r="CW17" s="137"/>
      <c r="CX17" s="137"/>
      <c r="CY17" s="137"/>
      <c r="CZ17" s="137"/>
      <c r="DA17" s="137"/>
      <c r="DB17" s="137"/>
      <c r="DC17" s="137"/>
      <c r="DD17" s="137"/>
      <c r="DE17" s="137"/>
      <c r="DF17" s="137"/>
      <c r="DG17" s="137"/>
      <c r="DH17" s="137"/>
      <c r="DI17" s="137"/>
      <c r="DJ17" s="137"/>
      <c r="DK17" s="137"/>
      <c r="DL17" s="137"/>
      <c r="DM17" s="137"/>
      <c r="DN17" s="137"/>
      <c r="DO17" s="137"/>
      <c r="DP17" s="137"/>
      <c r="DQ17" s="137"/>
      <c r="DR17" s="137"/>
      <c r="DS17" s="137"/>
      <c r="DT17" s="137"/>
      <c r="DU17" s="137"/>
      <c r="DV17" s="137"/>
      <c r="DW17" s="137"/>
      <c r="DX17" s="137"/>
      <c r="DY17" s="137"/>
      <c r="DZ17" s="137"/>
      <c r="EA17" s="137"/>
      <c r="ED17" s="137"/>
      <c r="EE17" s="137"/>
      <c r="EF17" s="137"/>
      <c r="EG17" s="137"/>
      <c r="EH17" s="137"/>
      <c r="EI17" s="137"/>
      <c r="EJ17" s="137"/>
      <c r="EK17" s="137"/>
      <c r="EL17" s="137"/>
      <c r="EM17" s="137"/>
      <c r="EN17" s="137"/>
      <c r="EO17" s="137"/>
      <c r="EP17" s="137"/>
      <c r="EQ17" s="137"/>
      <c r="ER17" s="137"/>
      <c r="ES17" s="137"/>
      <c r="ET17" s="137"/>
      <c r="EU17" s="137"/>
      <c r="EV17" s="137"/>
      <c r="EW17" s="137"/>
      <c r="EX17" s="137"/>
      <c r="EY17" s="137"/>
      <c r="EZ17" s="137"/>
      <c r="FA17" s="137"/>
      <c r="FB17" s="137"/>
      <c r="FC17" s="137"/>
      <c r="FD17" s="137"/>
      <c r="FE17" s="137"/>
      <c r="FF17" s="137"/>
      <c r="FG17" s="137"/>
      <c r="FH17" s="137"/>
      <c r="FI17" s="137"/>
      <c r="FJ17" s="137"/>
      <c r="FK17" s="137"/>
      <c r="FL17" s="137"/>
      <c r="FM17" s="137"/>
      <c r="FN17" s="137"/>
      <c r="FO17" s="137"/>
      <c r="FP17" s="137"/>
      <c r="FQ17" s="137"/>
      <c r="FR17" s="137"/>
      <c r="FS17" s="137"/>
      <c r="FT17" s="137"/>
      <c r="FU17" s="137"/>
      <c r="FV17" s="137"/>
      <c r="FW17" s="137"/>
      <c r="FX17" s="137"/>
      <c r="FY17" s="137"/>
      <c r="FZ17" s="137"/>
      <c r="GA17" s="137"/>
      <c r="GB17" s="137"/>
      <c r="GC17" s="137"/>
      <c r="GD17" s="137"/>
      <c r="GE17" s="137"/>
      <c r="GF17" s="137"/>
      <c r="GG17" s="137"/>
      <c r="GH17" s="137"/>
      <c r="GI17" s="137"/>
      <c r="GJ17" s="137"/>
      <c r="GK17" s="137"/>
      <c r="GL17" s="137"/>
    </row>
    <row r="18" spans="1:194" x14ac:dyDescent="0.3">
      <c r="A18" t="s">
        <v>3917</v>
      </c>
      <c r="B18" s="135" t="s">
        <v>3865</v>
      </c>
      <c r="C18" s="135" t="s">
        <v>3723</v>
      </c>
      <c r="D18" s="129" t="s">
        <v>3903</v>
      </c>
      <c r="E18" s="129" t="s">
        <v>3904</v>
      </c>
      <c r="F18" s="141" t="s">
        <v>3783</v>
      </c>
      <c r="G18" s="137" t="s">
        <v>3863</v>
      </c>
      <c r="H18" s="137" t="s">
        <v>3863</v>
      </c>
      <c r="I18" s="137"/>
      <c r="J18" s="140"/>
      <c r="K18" s="137"/>
      <c r="L18" s="137">
        <v>4</v>
      </c>
      <c r="M18" s="131">
        <f t="shared" si="14"/>
        <v>4</v>
      </c>
      <c r="N18" s="137"/>
      <c r="O18" s="137"/>
      <c r="P18" s="137"/>
      <c r="Q18" s="137"/>
      <c r="R18" s="137"/>
      <c r="S18" s="137"/>
      <c r="T18" s="137"/>
      <c r="U18" s="137"/>
      <c r="V18" s="137"/>
      <c r="W18" s="137"/>
      <c r="X18" s="137"/>
      <c r="Y18" s="137"/>
      <c r="Z18" s="137"/>
      <c r="AA18" s="137"/>
      <c r="AB18" s="137"/>
      <c r="AC18" s="137"/>
      <c r="AD18" s="137"/>
      <c r="AE18" s="134">
        <v>1</v>
      </c>
      <c r="AF18" s="134">
        <v>1</v>
      </c>
      <c r="AG18" s="137"/>
      <c r="AH18" s="137"/>
      <c r="AI18" s="137"/>
      <c r="AJ18" s="137"/>
      <c r="AK18" s="137"/>
      <c r="AL18" s="137"/>
      <c r="AM18" s="137"/>
      <c r="AN18" s="137"/>
      <c r="AO18" s="137"/>
      <c r="AP18" s="137"/>
      <c r="AQ18" s="137"/>
      <c r="AR18" s="137"/>
      <c r="AS18" s="137"/>
      <c r="AT18" s="139" t="s">
        <v>3864</v>
      </c>
      <c r="AV18" s="137"/>
      <c r="AW18" s="137"/>
      <c r="AX18" s="134">
        <v>1</v>
      </c>
      <c r="AY18" s="137"/>
      <c r="AZ18" s="137"/>
      <c r="BA18" s="134">
        <v>1</v>
      </c>
      <c r="BB18" s="137"/>
      <c r="BC18" s="137"/>
      <c r="BD18" s="137"/>
      <c r="BE18" s="137"/>
      <c r="BF18" s="137"/>
      <c r="BG18" s="137"/>
      <c r="BH18" s="137"/>
      <c r="BI18" s="137"/>
      <c r="BJ18" s="137"/>
      <c r="BK18" s="137"/>
      <c r="BL18" s="137"/>
      <c r="BM18" s="137"/>
      <c r="BN18" s="137"/>
      <c r="BO18" s="137"/>
      <c r="BP18" s="137"/>
      <c r="BQ18" s="137"/>
      <c r="BR18" s="137"/>
      <c r="BS18" s="137"/>
      <c r="BT18" s="137"/>
      <c r="BU18" s="137"/>
      <c r="BV18" s="137"/>
      <c r="BW18" s="137"/>
      <c r="BX18" s="137"/>
      <c r="BY18" s="137"/>
      <c r="BZ18" s="137"/>
      <c r="CA18" s="137"/>
      <c r="CB18" s="137"/>
      <c r="CC18" s="137"/>
      <c r="CD18" s="137"/>
      <c r="CE18" s="137"/>
      <c r="CF18" s="137"/>
      <c r="CG18" s="137"/>
      <c r="CH18" s="137"/>
      <c r="CI18" s="137"/>
      <c r="CJ18" s="137"/>
      <c r="CK18" s="137"/>
      <c r="CL18" s="137"/>
      <c r="CM18" s="137"/>
      <c r="CN18" s="137"/>
      <c r="CO18" s="137"/>
      <c r="CP18" s="137"/>
      <c r="CQ18" s="137"/>
      <c r="CR18" s="137"/>
      <c r="CS18" s="137"/>
      <c r="CT18" s="137"/>
      <c r="CU18" s="137"/>
      <c r="CV18" s="137"/>
      <c r="CW18" s="137"/>
      <c r="CX18" s="137"/>
      <c r="CY18" s="137"/>
      <c r="CZ18" s="137"/>
      <c r="DA18" s="137"/>
      <c r="DB18" s="137"/>
      <c r="DC18" s="137"/>
      <c r="DD18" s="137"/>
      <c r="DE18" s="137"/>
      <c r="DF18" s="137"/>
      <c r="DG18" s="137"/>
      <c r="DH18" s="137"/>
      <c r="DI18" s="137"/>
      <c r="DJ18" s="137"/>
      <c r="DK18" s="137"/>
      <c r="DL18" s="137"/>
      <c r="DM18" s="137"/>
      <c r="DN18" s="137"/>
      <c r="DO18" s="137"/>
      <c r="DP18" s="137"/>
      <c r="DQ18" s="137"/>
      <c r="DR18" s="137"/>
      <c r="DS18" s="137"/>
      <c r="DT18" s="137"/>
      <c r="DU18" s="137"/>
      <c r="DV18" s="137"/>
      <c r="DW18" s="137"/>
      <c r="DX18" s="137"/>
      <c r="DY18" s="137"/>
      <c r="DZ18" s="137"/>
      <c r="EA18" s="137"/>
      <c r="ED18" s="137"/>
      <c r="EE18" s="137"/>
      <c r="EF18" s="137"/>
      <c r="EG18" s="137"/>
      <c r="EH18" s="137"/>
      <c r="EI18" s="137"/>
      <c r="EJ18" s="137"/>
      <c r="EK18" s="137"/>
      <c r="EL18" s="137"/>
      <c r="EM18" s="137"/>
      <c r="EN18" s="137"/>
      <c r="EO18" s="137"/>
      <c r="EP18" s="137"/>
      <c r="EQ18" s="137"/>
      <c r="ER18" s="137"/>
      <c r="ES18" s="137"/>
      <c r="ET18" s="137"/>
      <c r="EU18" s="137"/>
      <c r="EV18" s="137"/>
      <c r="EW18" s="137"/>
      <c r="EX18" s="137"/>
      <c r="EY18" s="137"/>
      <c r="EZ18" s="137"/>
      <c r="FA18" s="137"/>
      <c r="FB18" s="137"/>
      <c r="FC18" s="137"/>
      <c r="FD18" s="137"/>
      <c r="FE18" s="137"/>
      <c r="FF18" s="137"/>
      <c r="FG18" s="137"/>
      <c r="FH18" s="137"/>
      <c r="FI18" s="137"/>
      <c r="FJ18" s="137"/>
      <c r="FK18" s="137"/>
      <c r="FL18" s="137"/>
      <c r="FM18" s="137"/>
      <c r="FN18" s="137"/>
      <c r="FO18" s="137"/>
      <c r="FP18" s="137"/>
      <c r="FQ18" s="137"/>
      <c r="FR18" s="137"/>
      <c r="FS18" s="137"/>
      <c r="FT18" s="137"/>
      <c r="FU18" s="137"/>
      <c r="FV18" s="137"/>
      <c r="FW18" s="137"/>
      <c r="FX18" s="137"/>
      <c r="FY18" s="137"/>
      <c r="FZ18" s="137"/>
      <c r="GA18" s="137"/>
      <c r="GB18" s="137"/>
      <c r="GC18" s="137"/>
      <c r="GD18" s="137"/>
      <c r="GE18" s="137"/>
      <c r="GF18" s="137"/>
      <c r="GG18" s="137"/>
      <c r="GH18" s="137"/>
      <c r="GI18" s="137"/>
      <c r="GJ18" s="137"/>
      <c r="GK18" s="137"/>
      <c r="GL18" s="137"/>
    </row>
    <row r="19" spans="1:194" x14ac:dyDescent="0.3">
      <c r="B19" s="135" t="s">
        <v>3808</v>
      </c>
      <c r="C19" s="135" t="s">
        <v>3757</v>
      </c>
      <c r="D19" s="129" t="s">
        <v>3903</v>
      </c>
      <c r="E19" s="129" t="s">
        <v>3904</v>
      </c>
      <c r="F19" s="140" t="s">
        <v>3787</v>
      </c>
      <c r="G19" s="137" t="s">
        <v>3863</v>
      </c>
      <c r="H19" s="137" t="s">
        <v>3863</v>
      </c>
      <c r="I19" s="137"/>
      <c r="J19" s="140" t="s">
        <v>3787</v>
      </c>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row>
    <row r="20" spans="1:194" x14ac:dyDescent="0.3">
      <c r="B20" s="135" t="s">
        <v>3809</v>
      </c>
      <c r="C20" s="135" t="s">
        <v>3766</v>
      </c>
      <c r="D20" s="129" t="s">
        <v>3903</v>
      </c>
      <c r="E20" s="129" t="s">
        <v>3904</v>
      </c>
      <c r="F20" s="136" t="s">
        <v>3782</v>
      </c>
      <c r="G20" s="137" t="s">
        <v>3863</v>
      </c>
      <c r="H20" s="137" t="s">
        <v>3905</v>
      </c>
      <c r="I20" s="137" t="s">
        <v>3906</v>
      </c>
      <c r="J20" s="140"/>
      <c r="K20" s="137" t="s">
        <v>3876</v>
      </c>
      <c r="L20" s="137">
        <v>10</v>
      </c>
      <c r="M20" s="131">
        <f>SUM(N20:EA20)</f>
        <v>10</v>
      </c>
      <c r="N20" s="137"/>
      <c r="O20" s="143"/>
      <c r="P20" s="94"/>
      <c r="Q20" s="94"/>
      <c r="R20" s="94"/>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9" t="s">
        <v>3864</v>
      </c>
      <c r="AU20" s="137"/>
      <c r="AV20" s="137"/>
      <c r="AW20" s="137"/>
      <c r="AX20" s="137"/>
      <c r="AY20" s="137"/>
      <c r="AZ20" s="137"/>
      <c r="BA20" s="137"/>
      <c r="BB20" s="137"/>
      <c r="BC20" s="137"/>
      <c r="BD20" s="137"/>
      <c r="BE20" s="137"/>
      <c r="BF20" s="137"/>
      <c r="BG20" s="137"/>
      <c r="BH20" s="137"/>
      <c r="BI20" s="137"/>
      <c r="BJ20" s="137"/>
      <c r="BK20" s="137"/>
      <c r="BL20" s="137"/>
      <c r="BM20" s="137"/>
      <c r="BN20" s="137"/>
      <c r="BO20" s="137"/>
      <c r="BP20" s="137"/>
      <c r="BQ20" s="137"/>
      <c r="BR20" s="137"/>
      <c r="BS20" s="137"/>
      <c r="BT20" s="139" t="s">
        <v>3864</v>
      </c>
      <c r="BU20" s="134">
        <v>1</v>
      </c>
      <c r="BV20" s="134">
        <v>1</v>
      </c>
      <c r="BW20" s="134">
        <v>1</v>
      </c>
      <c r="BX20" s="137"/>
      <c r="BY20" s="137"/>
      <c r="BZ20" s="134">
        <v>1</v>
      </c>
      <c r="CA20" s="134">
        <v>1</v>
      </c>
      <c r="CB20" s="134">
        <v>1</v>
      </c>
      <c r="CC20" s="137"/>
      <c r="CE20" s="137"/>
      <c r="CF20" s="137"/>
      <c r="CG20" s="137"/>
      <c r="CH20" s="137"/>
      <c r="CI20" s="137"/>
      <c r="CJ20" s="137"/>
      <c r="CK20" s="137"/>
      <c r="CL20" s="137"/>
      <c r="CM20" s="137"/>
      <c r="CN20" s="137"/>
      <c r="CO20" s="137"/>
      <c r="CP20" s="139" t="s">
        <v>3864</v>
      </c>
      <c r="CQ20" s="134">
        <v>1</v>
      </c>
      <c r="CR20" s="134">
        <v>1</v>
      </c>
      <c r="CS20" s="137"/>
      <c r="CT20" s="137"/>
      <c r="CU20" s="134">
        <v>1</v>
      </c>
      <c r="CV20" s="134">
        <v>1</v>
      </c>
      <c r="CW20" s="137"/>
      <c r="CX20" s="137"/>
      <c r="CY20" s="137"/>
      <c r="CZ20" s="137"/>
      <c r="DA20" s="137"/>
      <c r="DB20" s="137"/>
      <c r="DC20" s="137"/>
      <c r="DD20" s="137"/>
      <c r="DE20" s="137"/>
      <c r="DF20" s="137"/>
      <c r="DG20" s="137"/>
      <c r="DH20" s="137"/>
      <c r="DI20" s="137"/>
      <c r="DJ20" s="137"/>
      <c r="DK20" s="137"/>
      <c r="DL20" s="137"/>
      <c r="DM20" s="137"/>
      <c r="DN20" s="137"/>
      <c r="DO20" s="137"/>
      <c r="DP20" s="137"/>
      <c r="DQ20" s="137"/>
      <c r="DR20" s="137"/>
      <c r="DS20" s="137"/>
      <c r="DT20" s="137"/>
      <c r="DU20" s="137"/>
      <c r="DV20" s="137"/>
      <c r="DW20" s="137"/>
      <c r="DX20" s="137"/>
      <c r="DY20" s="137"/>
      <c r="DZ20" s="137"/>
      <c r="EA20" s="137"/>
      <c r="ED20" s="137"/>
      <c r="EE20" s="137"/>
      <c r="EF20" s="137"/>
      <c r="EG20" s="137"/>
      <c r="EH20" s="137"/>
      <c r="EI20" s="137"/>
      <c r="EJ20" s="137"/>
      <c r="EK20" s="137"/>
      <c r="EL20" s="137"/>
      <c r="EM20" s="137"/>
      <c r="EN20" s="137"/>
      <c r="EO20" s="137"/>
      <c r="EP20" s="137"/>
      <c r="EQ20" s="137"/>
      <c r="ER20" s="137"/>
      <c r="ES20" s="137"/>
      <c r="ET20" s="137"/>
      <c r="EU20" s="137"/>
      <c r="EV20" s="137"/>
      <c r="EW20" s="137"/>
      <c r="EX20" s="137"/>
      <c r="EY20" s="137"/>
      <c r="EZ20" s="137"/>
      <c r="FA20" s="137"/>
      <c r="FB20" s="137"/>
      <c r="FC20" s="137"/>
      <c r="FD20" s="137"/>
      <c r="FE20" s="137"/>
      <c r="FF20" s="137"/>
      <c r="FG20" s="137"/>
      <c r="FH20" s="137"/>
      <c r="FI20" s="137"/>
      <c r="FJ20" s="137"/>
      <c r="FK20" s="137"/>
      <c r="FL20" s="137"/>
      <c r="FM20" s="137"/>
      <c r="FN20" s="137"/>
      <c r="FO20" s="137"/>
      <c r="FP20" s="137"/>
      <c r="FQ20" s="137"/>
      <c r="FR20" s="137"/>
      <c r="FS20" s="137"/>
      <c r="FT20" s="137"/>
      <c r="FU20" s="137"/>
      <c r="FV20" s="137"/>
      <c r="FW20" s="137"/>
      <c r="FX20" s="137"/>
      <c r="FY20" s="137"/>
      <c r="FZ20" s="137"/>
      <c r="GA20" s="137"/>
      <c r="GB20" s="137"/>
      <c r="GC20" s="137"/>
      <c r="GD20" s="137"/>
      <c r="GE20" s="137"/>
      <c r="GF20" s="137"/>
      <c r="GG20" s="137"/>
      <c r="GH20" s="137"/>
      <c r="GI20" s="137"/>
      <c r="GJ20" s="137"/>
      <c r="GK20" s="137"/>
      <c r="GL20" s="137"/>
    </row>
    <row r="21" spans="1:194" hidden="1" x14ac:dyDescent="0.3">
      <c r="B21" s="135" t="s">
        <v>3803</v>
      </c>
      <c r="C21" s="135" t="s">
        <v>3731</v>
      </c>
      <c r="D21" s="129" t="s">
        <v>3903</v>
      </c>
      <c r="E21" s="129" t="s">
        <v>3904</v>
      </c>
      <c r="F21" s="140" t="s">
        <v>3787</v>
      </c>
      <c r="G21" s="137" t="s">
        <v>3863</v>
      </c>
      <c r="H21" s="137" t="s">
        <v>3863</v>
      </c>
      <c r="I21" s="137"/>
      <c r="J21" s="140" t="s">
        <v>3787</v>
      </c>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37"/>
      <c r="BF21" s="137"/>
      <c r="BG21" s="137"/>
      <c r="BH21" s="137"/>
      <c r="BI21" s="137"/>
      <c r="BJ21" s="137"/>
      <c r="BK21" s="137"/>
      <c r="BL21" s="137"/>
      <c r="BM21" s="137"/>
      <c r="BN21" s="137"/>
      <c r="BO21" s="137"/>
      <c r="BP21" s="137"/>
      <c r="BQ21" s="137"/>
      <c r="BR21" s="137"/>
      <c r="BS21" s="137"/>
      <c r="BT21" s="137"/>
      <c r="BU21" s="137"/>
      <c r="BV21" s="137"/>
      <c r="BW21" s="137"/>
      <c r="BX21" s="137"/>
      <c r="BY21" s="137"/>
      <c r="BZ21" s="137"/>
      <c r="CA21" s="137"/>
      <c r="CB21" s="137"/>
      <c r="CC21" s="137"/>
      <c r="CD21" s="137"/>
      <c r="CE21" s="137"/>
      <c r="CF21" s="137"/>
      <c r="CG21" s="137"/>
      <c r="CH21" s="137"/>
      <c r="CI21" s="137"/>
      <c r="CJ21" s="137"/>
      <c r="CK21" s="137"/>
      <c r="CL21" s="137"/>
      <c r="CM21" s="137"/>
      <c r="CN21" s="137"/>
      <c r="CO21" s="137"/>
      <c r="CP21" s="137"/>
      <c r="CQ21" s="137"/>
      <c r="CR21" s="137"/>
      <c r="CS21" s="137"/>
      <c r="CT21" s="137"/>
      <c r="CU21" s="137"/>
      <c r="CV21" s="137"/>
      <c r="CW21" s="137"/>
      <c r="CX21" s="137"/>
      <c r="CY21" s="137"/>
      <c r="CZ21" s="137"/>
      <c r="DA21" s="137"/>
      <c r="DB21" s="137"/>
      <c r="DC21" s="137"/>
      <c r="DD21" s="137"/>
      <c r="DE21" s="137"/>
      <c r="DF21" s="137"/>
      <c r="DG21" s="137"/>
      <c r="DH21" s="137"/>
      <c r="DI21" s="137"/>
      <c r="DJ21" s="137"/>
      <c r="DK21" s="137"/>
      <c r="DL21" s="137"/>
      <c r="DM21" s="137"/>
      <c r="DN21" s="137"/>
      <c r="DO21" s="137"/>
      <c r="DP21" s="137"/>
      <c r="DQ21" s="137"/>
      <c r="DR21" s="137"/>
      <c r="DS21" s="137"/>
      <c r="DT21" s="137"/>
      <c r="DU21" s="137"/>
      <c r="DV21" s="137"/>
      <c r="DW21" s="137"/>
      <c r="DX21" s="137"/>
      <c r="DY21" s="137"/>
      <c r="DZ21" s="137"/>
      <c r="EA21" s="137"/>
      <c r="ED21" s="137"/>
      <c r="EE21" s="137"/>
      <c r="EF21" s="137"/>
      <c r="EG21" s="137"/>
      <c r="EH21" s="137"/>
      <c r="EI21" s="137"/>
      <c r="EJ21" s="137"/>
      <c r="EK21" s="137"/>
      <c r="EL21" s="137"/>
      <c r="EM21" s="137"/>
      <c r="EN21" s="137"/>
      <c r="EO21" s="137"/>
      <c r="EP21" s="137"/>
      <c r="EQ21" s="137"/>
      <c r="ER21" s="137"/>
      <c r="ES21" s="137"/>
      <c r="ET21" s="137"/>
      <c r="EU21" s="137"/>
      <c r="EV21" s="137"/>
      <c r="EW21" s="137"/>
      <c r="EX21" s="137"/>
      <c r="EY21" s="137"/>
      <c r="EZ21" s="137"/>
      <c r="FA21" s="137"/>
      <c r="FB21" s="137"/>
      <c r="FC21" s="137"/>
      <c r="FD21" s="137"/>
      <c r="FE21" s="137"/>
      <c r="FF21" s="137"/>
      <c r="FG21" s="137"/>
      <c r="FH21" s="137"/>
      <c r="FI21" s="137"/>
      <c r="FJ21" s="137"/>
      <c r="FK21" s="137"/>
      <c r="FL21" s="137"/>
      <c r="FM21" s="137"/>
      <c r="FN21" s="137"/>
      <c r="FO21" s="137"/>
      <c r="FP21" s="137"/>
      <c r="FQ21" s="137"/>
      <c r="FR21" s="137"/>
      <c r="FS21" s="137"/>
      <c r="FT21" s="137"/>
      <c r="FU21" s="137"/>
      <c r="FV21" s="137"/>
      <c r="FW21" s="137"/>
      <c r="FX21" s="137"/>
      <c r="FY21" s="137"/>
      <c r="FZ21" s="137"/>
      <c r="GA21" s="137"/>
      <c r="GB21" s="137"/>
      <c r="GC21" s="137"/>
      <c r="GD21" s="137"/>
      <c r="GE21" s="137"/>
      <c r="GF21" s="137"/>
      <c r="GG21" s="137"/>
      <c r="GH21" s="137"/>
      <c r="GI21" s="137"/>
      <c r="GJ21" s="137"/>
      <c r="GK21" s="137"/>
      <c r="GL21" s="137"/>
    </row>
    <row r="22" spans="1:194" x14ac:dyDescent="0.3">
      <c r="B22" s="135" t="s">
        <v>3808</v>
      </c>
      <c r="C22" s="135" t="s">
        <v>3756</v>
      </c>
      <c r="D22" s="129" t="s">
        <v>3903</v>
      </c>
      <c r="E22" s="129" t="s">
        <v>3904</v>
      </c>
      <c r="F22" s="140" t="s">
        <v>3787</v>
      </c>
      <c r="G22" s="137" t="s">
        <v>3863</v>
      </c>
      <c r="H22" s="137" t="s">
        <v>3863</v>
      </c>
      <c r="I22" s="137"/>
      <c r="J22" s="140" t="s">
        <v>3787</v>
      </c>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7"/>
      <c r="AX22" s="137"/>
      <c r="AY22" s="137"/>
      <c r="AZ22" s="137"/>
      <c r="BA22" s="137"/>
      <c r="BB22" s="137"/>
      <c r="BC22" s="137"/>
      <c r="BD22" s="137"/>
      <c r="BE22" s="137"/>
      <c r="BF22" s="137"/>
      <c r="BG22" s="137"/>
      <c r="BH22" s="137"/>
      <c r="BI22" s="137"/>
      <c r="BJ22" s="137"/>
      <c r="BK22" s="137"/>
      <c r="BL22" s="137"/>
      <c r="BM22" s="137"/>
      <c r="BN22" s="137"/>
      <c r="BO22" s="137"/>
      <c r="BP22" s="137"/>
      <c r="BQ22" s="137"/>
      <c r="BR22" s="137"/>
      <c r="BS22" s="137"/>
      <c r="BT22" s="137"/>
      <c r="BU22" s="137"/>
      <c r="BV22" s="137"/>
      <c r="BW22" s="137"/>
      <c r="BX22" s="137"/>
      <c r="BY22" s="137"/>
      <c r="BZ22" s="137"/>
      <c r="CA22" s="137"/>
      <c r="CB22" s="137"/>
      <c r="CC22" s="137"/>
      <c r="CD22" s="137"/>
      <c r="CE22" s="137"/>
      <c r="CF22" s="137"/>
      <c r="CG22" s="137"/>
      <c r="CH22" s="137"/>
      <c r="CI22" s="137"/>
      <c r="CJ22" s="137"/>
      <c r="CK22" s="137"/>
      <c r="CL22" s="137"/>
      <c r="CM22" s="137"/>
      <c r="CN22" s="137"/>
      <c r="CO22" s="137"/>
      <c r="CP22" s="137"/>
      <c r="CQ22" s="137"/>
      <c r="CR22" s="137"/>
      <c r="CS22" s="137"/>
      <c r="CT22" s="137"/>
      <c r="CU22" s="137"/>
      <c r="CV22" s="137"/>
      <c r="CW22" s="137"/>
      <c r="CX22" s="137"/>
      <c r="CY22" s="137"/>
      <c r="CZ22" s="137"/>
      <c r="DA22" s="137"/>
      <c r="DB22" s="137"/>
      <c r="DC22" s="137"/>
      <c r="DD22" s="137"/>
      <c r="DE22" s="137"/>
      <c r="DF22" s="137"/>
      <c r="DG22" s="137"/>
      <c r="DH22" s="137"/>
      <c r="DI22" s="137"/>
      <c r="DJ22" s="137"/>
      <c r="DK22" s="137"/>
      <c r="DL22" s="137"/>
      <c r="DM22" s="137"/>
      <c r="DN22" s="137"/>
      <c r="DO22" s="137"/>
      <c r="DP22" s="137"/>
      <c r="DQ22" s="137"/>
      <c r="DR22" s="137"/>
      <c r="DS22" s="137"/>
      <c r="DT22" s="137"/>
      <c r="DU22" s="137"/>
      <c r="DV22" s="137"/>
      <c r="DW22" s="137"/>
      <c r="DX22" s="137"/>
      <c r="DY22" s="137"/>
      <c r="DZ22" s="137"/>
      <c r="EA22" s="137"/>
      <c r="ED22" s="137"/>
      <c r="EE22" s="137"/>
      <c r="EF22" s="137"/>
      <c r="EG22" s="137"/>
      <c r="EH22" s="137"/>
      <c r="EI22" s="137"/>
      <c r="EJ22" s="137"/>
      <c r="EK22" s="137"/>
      <c r="EL22" s="137"/>
      <c r="EM22" s="137"/>
      <c r="EN22" s="137"/>
      <c r="EO22" s="137"/>
      <c r="EP22" s="137"/>
      <c r="EQ22" s="137"/>
      <c r="ER22" s="137"/>
      <c r="ES22" s="137"/>
      <c r="ET22" s="137"/>
      <c r="EU22" s="137"/>
      <c r="EV22" s="137"/>
      <c r="EW22" s="137"/>
      <c r="EX22" s="137"/>
      <c r="EY22" s="137"/>
      <c r="EZ22" s="137"/>
      <c r="FA22" s="137"/>
      <c r="FB22" s="137"/>
      <c r="FC22" s="137"/>
      <c r="FD22" s="137"/>
      <c r="FE22" s="137"/>
      <c r="FF22" s="137"/>
      <c r="FG22" s="137"/>
      <c r="FH22" s="137"/>
      <c r="FI22" s="137"/>
      <c r="FJ22" s="137"/>
      <c r="FK22" s="137"/>
      <c r="FL22" s="137"/>
      <c r="FM22" s="137"/>
      <c r="FN22" s="137"/>
      <c r="FO22" s="137"/>
      <c r="FP22" s="137"/>
      <c r="FQ22" s="137"/>
      <c r="FR22" s="137"/>
      <c r="FS22" s="137"/>
      <c r="FT22" s="137"/>
      <c r="FU22" s="137"/>
      <c r="FV22" s="137"/>
      <c r="FW22" s="137"/>
      <c r="FX22" s="137"/>
      <c r="FY22" s="137"/>
      <c r="FZ22" s="137"/>
      <c r="GA22" s="137"/>
      <c r="GB22" s="137"/>
      <c r="GC22" s="137"/>
      <c r="GD22" s="137"/>
      <c r="GE22" s="137"/>
      <c r="GF22" s="137"/>
      <c r="GG22" s="137"/>
      <c r="GH22" s="137"/>
      <c r="GI22" s="137"/>
      <c r="GJ22" s="137"/>
      <c r="GK22" s="137"/>
      <c r="GL22" s="137"/>
    </row>
    <row r="23" spans="1:194" hidden="1" x14ac:dyDescent="0.3">
      <c r="B23" s="135" t="s">
        <v>3803</v>
      </c>
      <c r="C23" s="135" t="s">
        <v>3746</v>
      </c>
      <c r="D23" s="129" t="s">
        <v>3903</v>
      </c>
      <c r="E23" s="129" t="s">
        <v>3904</v>
      </c>
      <c r="F23" s="136" t="s">
        <v>3795</v>
      </c>
      <c r="G23" s="137" t="s">
        <v>3863</v>
      </c>
      <c r="H23" s="137" t="s">
        <v>3905</v>
      </c>
      <c r="I23" s="142">
        <v>45379</v>
      </c>
      <c r="J23" s="140"/>
      <c r="K23" s="137" t="s">
        <v>3874</v>
      </c>
      <c r="L23" s="137">
        <v>2</v>
      </c>
      <c r="M23" s="131">
        <f>SUM(N23:EA23)</f>
        <v>2</v>
      </c>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t="s">
        <v>3864</v>
      </c>
      <c r="AN23" s="134">
        <v>1</v>
      </c>
      <c r="AO23" s="137"/>
      <c r="AP23" s="137"/>
      <c r="AQ23" s="137"/>
      <c r="AR23" s="137"/>
      <c r="AS23" s="137"/>
      <c r="AT23" s="137"/>
      <c r="AU23" s="137"/>
      <c r="AV23" s="137"/>
      <c r="AW23" s="137"/>
      <c r="AX23" s="137"/>
      <c r="AY23" s="137"/>
      <c r="AZ23" s="137"/>
      <c r="BA23" s="139" t="s">
        <v>3864</v>
      </c>
      <c r="BB23" s="134">
        <v>1</v>
      </c>
      <c r="BC23" s="137"/>
      <c r="BD23" s="137"/>
      <c r="BE23" s="137"/>
      <c r="BF23" s="137"/>
      <c r="BG23" s="137"/>
      <c r="BH23" s="137"/>
      <c r="BI23" s="137"/>
      <c r="BJ23" s="137"/>
      <c r="BK23" s="137"/>
      <c r="BL23" s="137"/>
      <c r="BM23" s="137"/>
      <c r="BO23" s="137"/>
      <c r="BP23" s="137"/>
      <c r="BQ23" s="137"/>
      <c r="BR23" s="137"/>
      <c r="BS23" s="137"/>
      <c r="BT23" s="137"/>
      <c r="BU23" s="137"/>
      <c r="BV23" s="137"/>
      <c r="BW23" s="137"/>
      <c r="BX23" s="137"/>
      <c r="BY23" s="137"/>
      <c r="BZ23" s="137"/>
      <c r="CA23" s="137"/>
      <c r="CB23" s="137"/>
      <c r="CC23" s="137"/>
      <c r="CD23" s="137"/>
      <c r="CE23" s="137"/>
      <c r="CF23" s="137"/>
      <c r="CG23" s="137"/>
      <c r="CH23" s="137"/>
      <c r="CI23" s="137"/>
      <c r="CJ23" s="137"/>
      <c r="CK23" s="137"/>
      <c r="CL23" s="137"/>
      <c r="CM23" s="137"/>
      <c r="CN23" s="137"/>
      <c r="CO23" s="137"/>
      <c r="CP23" s="137"/>
      <c r="CQ23" s="137"/>
      <c r="CR23" s="137"/>
      <c r="CS23" s="137"/>
      <c r="CT23" s="137"/>
      <c r="CU23" s="137"/>
      <c r="CV23" s="137"/>
      <c r="CW23" s="137"/>
      <c r="CX23" s="137"/>
      <c r="CY23" s="137"/>
      <c r="CZ23" s="137"/>
      <c r="DA23" s="137"/>
      <c r="DB23" s="137"/>
      <c r="DC23" s="137"/>
      <c r="DD23" s="137"/>
      <c r="DE23" s="137"/>
      <c r="DF23" s="137"/>
      <c r="DG23" s="137"/>
      <c r="DH23" s="137"/>
      <c r="DI23" s="137"/>
      <c r="DJ23" s="137"/>
      <c r="DK23" s="137"/>
      <c r="DL23" s="137"/>
      <c r="DM23" s="137"/>
      <c r="DN23" s="137"/>
      <c r="DO23" s="137"/>
      <c r="DP23" s="137"/>
      <c r="DQ23" s="137"/>
      <c r="DR23" s="137"/>
      <c r="DS23" s="137"/>
      <c r="DT23" s="137"/>
      <c r="DU23" s="137"/>
      <c r="DV23" s="137"/>
      <c r="DW23" s="137"/>
      <c r="DX23" s="137"/>
      <c r="DY23" s="137"/>
      <c r="DZ23" s="137"/>
      <c r="EA23" s="137"/>
      <c r="ED23" s="137"/>
      <c r="EE23" s="137"/>
      <c r="EF23" s="137"/>
      <c r="EG23" s="137"/>
      <c r="EH23" s="137"/>
      <c r="EI23" s="137"/>
      <c r="EJ23" s="137"/>
      <c r="EK23" s="137"/>
      <c r="EL23" s="137"/>
      <c r="EM23" s="137"/>
      <c r="EN23" s="137"/>
      <c r="EO23" s="137"/>
      <c r="EP23" s="137"/>
      <c r="EQ23" s="137"/>
      <c r="ER23" s="137"/>
      <c r="ES23" s="137"/>
      <c r="ET23" s="137"/>
      <c r="EU23" s="137"/>
      <c r="EV23" s="137"/>
      <c r="EW23" s="137"/>
      <c r="EX23" s="137"/>
      <c r="EY23" s="137"/>
      <c r="EZ23" s="137"/>
      <c r="FA23" s="137"/>
      <c r="FB23" s="137"/>
      <c r="FC23" s="137"/>
      <c r="FD23" s="137"/>
      <c r="FE23" s="137"/>
      <c r="FF23" s="137"/>
      <c r="FG23" s="137"/>
      <c r="FH23" s="137"/>
      <c r="FI23" s="137"/>
      <c r="FJ23" s="137"/>
      <c r="FK23" s="137"/>
      <c r="FL23" s="137"/>
      <c r="FM23" s="137"/>
      <c r="FN23" s="137"/>
      <c r="FO23" s="137"/>
      <c r="FP23" s="137"/>
      <c r="FQ23" s="137"/>
      <c r="FR23" s="137"/>
      <c r="FS23" s="137"/>
      <c r="FT23" s="137"/>
      <c r="FU23" s="137"/>
      <c r="FV23" s="137"/>
      <c r="FW23" s="137"/>
      <c r="FX23" s="137"/>
      <c r="FY23" s="137"/>
      <c r="FZ23" s="137"/>
      <c r="GA23" s="137"/>
      <c r="GB23" s="137"/>
      <c r="GC23" s="137"/>
      <c r="GD23" s="137"/>
      <c r="GE23" s="137"/>
      <c r="GF23" s="137"/>
      <c r="GG23" s="137"/>
      <c r="GH23" s="137"/>
      <c r="GI23" s="137"/>
      <c r="GJ23" s="137"/>
      <c r="GK23" s="137"/>
      <c r="GL23" s="137"/>
    </row>
    <row r="24" spans="1:194" hidden="1" x14ac:dyDescent="0.3">
      <c r="B24" s="135" t="s">
        <v>3803</v>
      </c>
      <c r="C24" s="135" t="s">
        <v>3733</v>
      </c>
      <c r="D24" s="129" t="s">
        <v>3903</v>
      </c>
      <c r="E24" s="129" t="s">
        <v>3904</v>
      </c>
      <c r="F24" s="140" t="s">
        <v>3787</v>
      </c>
      <c r="G24" s="137" t="s">
        <v>3863</v>
      </c>
      <c r="H24" s="137" t="s">
        <v>3863</v>
      </c>
      <c r="I24" s="137"/>
      <c r="J24" s="140" t="s">
        <v>3787</v>
      </c>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7"/>
      <c r="AZ24" s="137"/>
      <c r="BA24" s="137"/>
      <c r="BB24" s="137"/>
      <c r="BC24" s="137"/>
      <c r="BD24" s="137"/>
      <c r="BE24" s="137"/>
      <c r="BF24" s="137"/>
      <c r="BG24" s="137"/>
      <c r="BH24" s="137"/>
      <c r="BI24" s="137"/>
      <c r="BJ24" s="137"/>
      <c r="BK24" s="137"/>
      <c r="BL24" s="137"/>
      <c r="BM24" s="137"/>
      <c r="BN24" s="137"/>
      <c r="BO24" s="137"/>
      <c r="BP24" s="137"/>
      <c r="BQ24" s="137"/>
      <c r="BR24" s="137"/>
      <c r="BS24" s="137"/>
      <c r="BT24" s="137"/>
      <c r="BU24" s="137"/>
      <c r="BV24" s="137"/>
      <c r="BW24" s="137"/>
      <c r="BX24" s="137"/>
      <c r="BY24" s="137"/>
      <c r="BZ24" s="137"/>
      <c r="CA24" s="137"/>
      <c r="CB24" s="137"/>
      <c r="CC24" s="137"/>
      <c r="CD24" s="137"/>
      <c r="CE24" s="137"/>
      <c r="CF24" s="137"/>
      <c r="CG24" s="137"/>
      <c r="CH24" s="137"/>
      <c r="CI24" s="137"/>
      <c r="CJ24" s="137"/>
      <c r="CK24" s="137"/>
      <c r="CL24" s="137"/>
      <c r="CM24" s="137"/>
      <c r="CN24" s="137"/>
      <c r="CO24" s="137"/>
      <c r="CP24" s="137"/>
      <c r="CQ24" s="137"/>
      <c r="CR24" s="137"/>
      <c r="CS24" s="137"/>
      <c r="CT24" s="137"/>
      <c r="CU24" s="137"/>
      <c r="CV24" s="137"/>
      <c r="CW24" s="137"/>
      <c r="CX24" s="137"/>
      <c r="CY24" s="137"/>
      <c r="CZ24" s="137"/>
      <c r="DA24" s="137"/>
      <c r="DB24" s="137"/>
      <c r="DC24" s="137"/>
      <c r="DD24" s="137"/>
      <c r="DE24" s="137"/>
      <c r="DF24" s="137"/>
      <c r="DG24" s="137"/>
      <c r="DH24" s="137"/>
      <c r="DI24" s="137"/>
      <c r="DJ24" s="137"/>
      <c r="DK24" s="137"/>
      <c r="DL24" s="137"/>
      <c r="DM24" s="137"/>
      <c r="DN24" s="137"/>
      <c r="DO24" s="137"/>
      <c r="DP24" s="137"/>
      <c r="DQ24" s="137"/>
      <c r="DR24" s="137"/>
      <c r="DS24" s="137"/>
      <c r="DT24" s="137"/>
      <c r="DU24" s="137"/>
      <c r="DV24" s="137"/>
      <c r="DW24" s="137"/>
      <c r="DX24" s="137"/>
      <c r="DY24" s="137"/>
      <c r="DZ24" s="137"/>
      <c r="EA24" s="137"/>
      <c r="ED24" s="137"/>
      <c r="EE24" s="137"/>
      <c r="EF24" s="137"/>
      <c r="EG24" s="137"/>
      <c r="EH24" s="137"/>
      <c r="EI24" s="137"/>
      <c r="EJ24" s="137"/>
      <c r="EK24" s="137"/>
      <c r="EL24" s="137"/>
      <c r="EM24" s="137"/>
      <c r="EN24" s="137"/>
      <c r="EO24" s="137"/>
      <c r="EP24" s="137"/>
      <c r="EQ24" s="137"/>
      <c r="ER24" s="137"/>
      <c r="ES24" s="137"/>
      <c r="ET24" s="137"/>
      <c r="EU24" s="137"/>
      <c r="EV24" s="137"/>
      <c r="EW24" s="137"/>
      <c r="EX24" s="137"/>
      <c r="EY24" s="137"/>
      <c r="EZ24" s="137"/>
      <c r="FA24" s="137"/>
      <c r="FB24" s="137"/>
      <c r="FC24" s="137"/>
      <c r="FD24" s="137"/>
      <c r="FE24" s="137"/>
      <c r="FF24" s="137"/>
      <c r="FG24" s="137"/>
      <c r="FH24" s="137"/>
      <c r="FI24" s="137"/>
      <c r="FJ24" s="137"/>
      <c r="FK24" s="137"/>
      <c r="FL24" s="137"/>
      <c r="FM24" s="137"/>
      <c r="FN24" s="137"/>
      <c r="FO24" s="137"/>
      <c r="FP24" s="137"/>
      <c r="FQ24" s="137"/>
      <c r="FR24" s="137"/>
      <c r="FS24" s="137"/>
      <c r="FT24" s="137"/>
      <c r="FU24" s="137"/>
      <c r="FV24" s="137"/>
      <c r="FW24" s="137"/>
      <c r="FX24" s="137"/>
      <c r="FY24" s="137"/>
      <c r="FZ24" s="137"/>
      <c r="GA24" s="137"/>
      <c r="GB24" s="137"/>
      <c r="GC24" s="137"/>
      <c r="GD24" s="137"/>
      <c r="GE24" s="137"/>
      <c r="GF24" s="137"/>
      <c r="GG24" s="137"/>
      <c r="GH24" s="137"/>
      <c r="GI24" s="137"/>
      <c r="GJ24" s="137"/>
      <c r="GK24" s="137"/>
      <c r="GL24" s="137"/>
    </row>
    <row r="25" spans="1:194" x14ac:dyDescent="0.3">
      <c r="B25" s="135" t="s">
        <v>3808</v>
      </c>
      <c r="C25" s="135" t="s">
        <v>3754</v>
      </c>
      <c r="D25" s="129" t="s">
        <v>3903</v>
      </c>
      <c r="E25" s="129" t="s">
        <v>3904</v>
      </c>
      <c r="F25" s="140" t="s">
        <v>3787</v>
      </c>
      <c r="G25" s="137" t="s">
        <v>3863</v>
      </c>
      <c r="H25" s="137" t="s">
        <v>3863</v>
      </c>
      <c r="I25" s="137"/>
      <c r="J25" s="140" t="s">
        <v>3787</v>
      </c>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37"/>
      <c r="BE25" s="137"/>
      <c r="BF25" s="137"/>
      <c r="BG25" s="137"/>
      <c r="BH25" s="137"/>
      <c r="BI25" s="137"/>
      <c r="BJ25" s="137"/>
      <c r="BK25" s="137"/>
      <c r="BL25" s="137"/>
      <c r="BM25" s="137"/>
      <c r="BN25" s="137"/>
      <c r="BO25" s="137"/>
      <c r="BP25" s="137"/>
      <c r="BQ25" s="137"/>
      <c r="BR25" s="137"/>
      <c r="BS25" s="137"/>
      <c r="BT25" s="137"/>
      <c r="BU25" s="137"/>
      <c r="BV25" s="137"/>
      <c r="BW25" s="137"/>
      <c r="BX25" s="137"/>
      <c r="BY25" s="137"/>
      <c r="BZ25" s="137"/>
      <c r="CA25" s="137"/>
      <c r="CB25" s="137"/>
      <c r="CC25" s="137"/>
      <c r="CD25" s="137"/>
      <c r="CE25" s="137"/>
      <c r="CF25" s="137"/>
      <c r="CG25" s="137"/>
      <c r="CH25" s="137"/>
      <c r="CI25" s="137"/>
      <c r="CJ25" s="137"/>
      <c r="CK25" s="137"/>
      <c r="CL25" s="137"/>
      <c r="CM25" s="137"/>
      <c r="CN25" s="137"/>
      <c r="CO25" s="137"/>
      <c r="CP25" s="137"/>
      <c r="CQ25" s="137"/>
      <c r="CR25" s="137"/>
      <c r="CS25" s="137"/>
      <c r="CT25" s="137"/>
      <c r="CU25" s="137"/>
      <c r="CV25" s="137"/>
      <c r="CW25" s="137"/>
      <c r="CX25" s="137"/>
      <c r="CY25" s="137"/>
      <c r="CZ25" s="137"/>
      <c r="DA25" s="137"/>
      <c r="DB25" s="137"/>
      <c r="DC25" s="137"/>
      <c r="DD25" s="137"/>
      <c r="DE25" s="137"/>
      <c r="DF25" s="137"/>
      <c r="DG25" s="137"/>
      <c r="DH25" s="137"/>
      <c r="DI25" s="137"/>
      <c r="DJ25" s="137"/>
      <c r="DK25" s="137"/>
      <c r="DL25" s="137"/>
      <c r="DM25" s="137"/>
      <c r="DN25" s="137"/>
      <c r="DO25" s="137"/>
      <c r="DP25" s="137"/>
      <c r="DQ25" s="137"/>
      <c r="DR25" s="137"/>
      <c r="DS25" s="137"/>
      <c r="DT25" s="137"/>
      <c r="DU25" s="137"/>
      <c r="DV25" s="137"/>
      <c r="DW25" s="137"/>
      <c r="DX25" s="137"/>
      <c r="DY25" s="137"/>
      <c r="DZ25" s="137"/>
      <c r="EA25" s="137"/>
      <c r="ED25" s="137"/>
      <c r="EE25" s="137"/>
      <c r="EF25" s="137"/>
      <c r="EG25" s="137"/>
      <c r="EH25" s="137"/>
      <c r="EI25" s="137"/>
      <c r="EJ25" s="137"/>
      <c r="EK25" s="137"/>
      <c r="EL25" s="137"/>
      <c r="EM25" s="137"/>
      <c r="EN25" s="137"/>
      <c r="EO25" s="137"/>
      <c r="EP25" s="137"/>
      <c r="EQ25" s="137"/>
      <c r="ER25" s="137"/>
      <c r="ES25" s="137"/>
      <c r="ET25" s="137"/>
      <c r="EU25" s="137"/>
      <c r="EV25" s="137"/>
      <c r="EW25" s="137"/>
      <c r="EX25" s="137"/>
      <c r="EY25" s="137"/>
      <c r="EZ25" s="137"/>
      <c r="FA25" s="137"/>
      <c r="FB25" s="137"/>
      <c r="FC25" s="137"/>
      <c r="FD25" s="137"/>
      <c r="FE25" s="137"/>
      <c r="FF25" s="137"/>
      <c r="FG25" s="137"/>
      <c r="FH25" s="137"/>
      <c r="FI25" s="137"/>
      <c r="FJ25" s="137"/>
      <c r="FK25" s="137"/>
      <c r="FL25" s="137"/>
      <c r="FM25" s="137"/>
      <c r="FN25" s="137"/>
      <c r="FO25" s="137"/>
      <c r="FP25" s="137"/>
      <c r="FQ25" s="137"/>
      <c r="FR25" s="137"/>
      <c r="FS25" s="137"/>
      <c r="FT25" s="137"/>
      <c r="FU25" s="137"/>
      <c r="FV25" s="137"/>
      <c r="FW25" s="137"/>
      <c r="FX25" s="137"/>
      <c r="FY25" s="137"/>
      <c r="FZ25" s="137"/>
      <c r="GA25" s="137"/>
      <c r="GB25" s="137"/>
      <c r="GC25" s="137"/>
      <c r="GD25" s="137"/>
      <c r="GE25" s="137"/>
      <c r="GF25" s="137"/>
      <c r="GG25" s="137"/>
      <c r="GH25" s="137"/>
      <c r="GI25" s="137"/>
      <c r="GJ25" s="137"/>
      <c r="GK25" s="137"/>
      <c r="GL25" s="137"/>
    </row>
    <row r="26" spans="1:194" x14ac:dyDescent="0.3">
      <c r="B26" s="135" t="s">
        <v>3865</v>
      </c>
      <c r="C26" s="135" t="s">
        <v>3727</v>
      </c>
      <c r="D26" s="129" t="s">
        <v>3903</v>
      </c>
      <c r="E26" s="129" t="s">
        <v>3904</v>
      </c>
      <c r="F26" s="141" t="s">
        <v>3783</v>
      </c>
      <c r="G26" s="137" t="s">
        <v>3863</v>
      </c>
      <c r="H26" s="137" t="s">
        <v>3863</v>
      </c>
      <c r="I26" s="137"/>
      <c r="J26" s="140"/>
      <c r="K26" s="137"/>
      <c r="L26" s="137">
        <v>2</v>
      </c>
      <c r="M26" s="131">
        <f t="shared" ref="M26:M35" si="15">SUM(N26:EA26)</f>
        <v>2</v>
      </c>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R26" s="134">
        <v>1</v>
      </c>
      <c r="AS26" s="137"/>
      <c r="AT26" s="137"/>
      <c r="AU26" s="137"/>
      <c r="AV26" s="137"/>
      <c r="AW26" s="137"/>
      <c r="AX26" s="137"/>
      <c r="AY26" s="137"/>
      <c r="AZ26" s="137"/>
      <c r="BA26" s="137"/>
      <c r="BB26" s="137"/>
      <c r="BC26" s="137"/>
      <c r="BD26" s="137"/>
      <c r="BE26" s="137"/>
      <c r="BF26" s="137"/>
      <c r="BG26" s="137"/>
      <c r="BH26" s="137"/>
      <c r="BI26" s="137"/>
      <c r="BJ26" s="137"/>
      <c r="BK26" s="137"/>
      <c r="BL26" s="134">
        <v>1</v>
      </c>
      <c r="BM26" s="137"/>
      <c r="BN26" s="137"/>
      <c r="BO26" s="137"/>
      <c r="BP26" s="137"/>
      <c r="BQ26" s="137"/>
      <c r="BR26" s="137"/>
      <c r="BS26" s="137"/>
      <c r="BT26" s="137"/>
      <c r="BU26" s="137"/>
      <c r="BV26" s="137"/>
      <c r="BW26" s="137"/>
      <c r="BX26" s="137"/>
      <c r="BY26" s="137"/>
      <c r="BZ26" s="137"/>
      <c r="CA26" s="137"/>
      <c r="CB26" s="137"/>
      <c r="CC26" s="137"/>
      <c r="CD26" s="137"/>
      <c r="CE26" s="137"/>
      <c r="CF26" s="137"/>
      <c r="CG26" s="137"/>
      <c r="CH26" s="137"/>
      <c r="CI26" s="137"/>
      <c r="CJ26" s="137"/>
      <c r="CK26" s="137"/>
      <c r="CL26" s="137"/>
      <c r="CM26" s="137"/>
      <c r="CN26" s="137"/>
      <c r="CO26" s="137"/>
      <c r="CP26" s="137"/>
      <c r="CQ26" s="137"/>
      <c r="CR26" s="137"/>
      <c r="CS26" s="137"/>
      <c r="CT26" s="137"/>
      <c r="CU26" s="137"/>
      <c r="CV26" s="137"/>
      <c r="CW26" s="137"/>
      <c r="CX26" s="137"/>
      <c r="CY26" s="137"/>
      <c r="CZ26" s="137"/>
      <c r="DA26" s="137"/>
      <c r="DB26" s="137"/>
      <c r="DC26" s="137"/>
      <c r="DD26" s="137"/>
      <c r="DE26" s="137"/>
      <c r="DF26" s="137"/>
      <c r="DG26" s="137"/>
      <c r="DH26" s="137"/>
      <c r="DI26" s="137"/>
      <c r="DJ26" s="137"/>
      <c r="DK26" s="137"/>
      <c r="DL26" s="137"/>
      <c r="DM26" s="137"/>
      <c r="DN26" s="137"/>
      <c r="DO26" s="137"/>
      <c r="DP26" s="137"/>
      <c r="DQ26" s="137"/>
      <c r="DR26" s="137"/>
      <c r="DS26" s="137"/>
      <c r="DT26" s="137"/>
      <c r="DU26" s="137"/>
      <c r="DV26" s="137"/>
      <c r="DW26" s="137"/>
      <c r="DX26" s="137"/>
      <c r="DY26" s="137"/>
      <c r="DZ26" s="137"/>
      <c r="EA26" s="137"/>
      <c r="ED26" s="137"/>
      <c r="EE26" s="137"/>
      <c r="EF26" s="137"/>
      <c r="EG26" s="137"/>
      <c r="EH26" s="137"/>
      <c r="EI26" s="137"/>
      <c r="EJ26" s="137"/>
      <c r="EK26" s="137"/>
      <c r="EL26" s="137"/>
      <c r="EM26" s="137"/>
      <c r="EN26" s="137"/>
      <c r="EO26" s="137"/>
      <c r="EP26" s="137"/>
      <c r="EQ26" s="137"/>
      <c r="ER26" s="137"/>
      <c r="ES26" s="137"/>
      <c r="ET26" s="137"/>
      <c r="EU26" s="137"/>
      <c r="EV26" s="137"/>
      <c r="EW26" s="137"/>
      <c r="EX26" s="137"/>
      <c r="EY26" s="137"/>
      <c r="EZ26" s="137"/>
      <c r="FA26" s="137"/>
      <c r="FB26" s="137"/>
      <c r="FC26" s="137"/>
      <c r="FD26" s="137"/>
      <c r="FE26" s="137"/>
      <c r="FF26" s="137"/>
      <c r="FG26" s="137"/>
      <c r="FH26" s="137"/>
      <c r="FI26" s="137"/>
      <c r="FJ26" s="137"/>
      <c r="FK26" s="137"/>
      <c r="FL26" s="137"/>
      <c r="FM26" s="137"/>
      <c r="FN26" s="137"/>
      <c r="FO26" s="137"/>
      <c r="FP26" s="137"/>
      <c r="FQ26" s="137"/>
      <c r="FR26" s="137"/>
      <c r="FS26" s="137"/>
      <c r="FT26" s="137"/>
      <c r="FU26" s="137"/>
      <c r="FV26" s="137"/>
      <c r="FW26" s="137"/>
      <c r="FX26" s="137"/>
      <c r="FY26" s="137"/>
      <c r="FZ26" s="137"/>
      <c r="GA26" s="137"/>
      <c r="GB26" s="137"/>
      <c r="GC26" s="137"/>
      <c r="GD26" s="137"/>
      <c r="GE26" s="137"/>
      <c r="GF26" s="137"/>
      <c r="GG26" s="137"/>
      <c r="GH26" s="137"/>
      <c r="GI26" s="137"/>
      <c r="GJ26" s="137"/>
      <c r="GK26" s="137"/>
      <c r="GL26" s="137"/>
    </row>
    <row r="27" spans="1:194" x14ac:dyDescent="0.3">
      <c r="B27" s="135" t="s">
        <v>3865</v>
      </c>
      <c r="C27" s="135" t="s">
        <v>3726</v>
      </c>
      <c r="D27" s="129" t="s">
        <v>3903</v>
      </c>
      <c r="E27" s="129" t="s">
        <v>3904</v>
      </c>
      <c r="F27" s="141" t="s">
        <v>3783</v>
      </c>
      <c r="G27" s="137" t="s">
        <v>3863</v>
      </c>
      <c r="H27" s="137" t="s">
        <v>3863</v>
      </c>
      <c r="I27" s="137"/>
      <c r="J27" s="140"/>
      <c r="K27" s="137"/>
      <c r="L27" s="137">
        <v>2</v>
      </c>
      <c r="M27" s="131">
        <f t="shared" si="15"/>
        <v>2</v>
      </c>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S27" s="134">
        <v>1</v>
      </c>
      <c r="AT27" s="137"/>
      <c r="AU27" s="137"/>
      <c r="AV27" s="137"/>
      <c r="AW27" s="137"/>
      <c r="AX27" s="137"/>
      <c r="AY27" s="137"/>
      <c r="AZ27" s="137"/>
      <c r="BA27" s="137"/>
      <c r="BB27" s="137"/>
      <c r="BC27" s="137"/>
      <c r="BD27" s="137"/>
      <c r="BE27" s="137"/>
      <c r="BF27" s="137"/>
      <c r="BG27" s="137"/>
      <c r="BH27" s="137"/>
      <c r="BI27" s="137"/>
      <c r="BJ27" s="137"/>
      <c r="BK27" s="137"/>
      <c r="BL27" s="137"/>
      <c r="BM27" s="134">
        <v>1</v>
      </c>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c r="FI27" s="137"/>
      <c r="FJ27" s="137"/>
      <c r="FK27" s="137"/>
      <c r="FL27" s="137"/>
      <c r="FM27" s="137"/>
      <c r="FN27" s="137"/>
      <c r="FO27" s="137"/>
      <c r="FP27" s="137"/>
      <c r="FQ27" s="137"/>
      <c r="FR27" s="137"/>
      <c r="FS27" s="137"/>
      <c r="FT27" s="137"/>
      <c r="FU27" s="137"/>
      <c r="FV27" s="137"/>
      <c r="FW27" s="137"/>
      <c r="FX27" s="137"/>
      <c r="FY27" s="137"/>
      <c r="FZ27" s="137"/>
      <c r="GA27" s="137"/>
      <c r="GB27" s="137"/>
      <c r="GC27" s="137"/>
      <c r="GD27" s="137"/>
      <c r="GE27" s="137"/>
      <c r="GF27" s="137"/>
      <c r="GG27" s="137"/>
      <c r="GH27" s="137"/>
      <c r="GI27" s="137"/>
      <c r="GJ27" s="137"/>
      <c r="GK27" s="137"/>
      <c r="GL27" s="137"/>
    </row>
    <row r="28" spans="1:194" x14ac:dyDescent="0.3">
      <c r="B28" s="135" t="s">
        <v>3865</v>
      </c>
      <c r="C28" s="135" t="s">
        <v>3753</v>
      </c>
      <c r="D28" s="129" t="s">
        <v>3903</v>
      </c>
      <c r="E28" s="129" t="s">
        <v>3904</v>
      </c>
      <c r="F28" s="141" t="s">
        <v>3783</v>
      </c>
      <c r="G28" s="137" t="s">
        <v>3863</v>
      </c>
      <c r="H28" s="137" t="s">
        <v>3863</v>
      </c>
      <c r="I28" s="137"/>
      <c r="J28" s="140"/>
      <c r="K28" s="137"/>
      <c r="L28" s="137">
        <v>2</v>
      </c>
      <c r="M28" s="131">
        <f t="shared" si="15"/>
        <v>2</v>
      </c>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4">
        <v>1</v>
      </c>
      <c r="AU28" s="137"/>
      <c r="AV28" s="137"/>
      <c r="AW28" s="137"/>
      <c r="AY28" s="137"/>
      <c r="AZ28" s="137"/>
      <c r="BA28" s="137"/>
      <c r="BB28" s="137"/>
      <c r="BC28" s="137"/>
      <c r="BD28" s="137"/>
      <c r="BE28" s="137"/>
      <c r="BF28" s="137"/>
      <c r="BG28" s="137"/>
      <c r="BH28" s="137"/>
      <c r="BI28" s="137"/>
      <c r="BJ28" s="137"/>
      <c r="BK28" s="137"/>
      <c r="BL28" s="137"/>
      <c r="BM28" s="134">
        <v>1</v>
      </c>
      <c r="BN28" s="137"/>
      <c r="BO28" s="137"/>
      <c r="BP28" s="137"/>
      <c r="BQ28" s="137"/>
      <c r="BR28" s="137"/>
      <c r="BS28" s="137"/>
      <c r="BT28" s="137"/>
      <c r="BV28" s="137"/>
      <c r="BW28" s="137"/>
      <c r="BX28" s="137"/>
      <c r="BY28" s="137"/>
      <c r="BZ28" s="137"/>
      <c r="CA28" s="137"/>
      <c r="CB28" s="137"/>
      <c r="CC28" s="137"/>
      <c r="CD28" s="137"/>
      <c r="CE28" s="137"/>
      <c r="CF28" s="137"/>
      <c r="CG28" s="137"/>
      <c r="CH28" s="137"/>
      <c r="CI28" s="137"/>
      <c r="CJ28" s="137"/>
      <c r="CK28" s="137"/>
      <c r="CL28" s="137"/>
      <c r="CM28" s="137"/>
      <c r="CN28" s="137"/>
      <c r="CO28" s="137"/>
      <c r="CP28" s="137"/>
      <c r="CQ28" s="137"/>
      <c r="CR28" s="137"/>
      <c r="CS28" s="137"/>
      <c r="CT28" s="137"/>
      <c r="CU28" s="137"/>
      <c r="CV28" s="137"/>
      <c r="CW28" s="137"/>
      <c r="CX28" s="137"/>
      <c r="CY28" s="137"/>
      <c r="CZ28" s="137"/>
      <c r="DA28" s="137"/>
      <c r="DB28" s="137"/>
      <c r="DC28" s="137"/>
      <c r="DD28" s="137"/>
      <c r="DE28" s="137"/>
      <c r="DF28" s="137"/>
      <c r="DG28" s="137"/>
      <c r="DH28" s="137"/>
      <c r="DI28" s="137"/>
      <c r="DJ28" s="137"/>
      <c r="DK28" s="137"/>
      <c r="DL28" s="137"/>
      <c r="DM28" s="137"/>
      <c r="DN28" s="137"/>
      <c r="DO28" s="137"/>
      <c r="DP28" s="137"/>
      <c r="DQ28" s="137"/>
      <c r="DR28" s="137"/>
      <c r="DS28" s="137"/>
      <c r="DT28" s="137"/>
      <c r="DU28" s="137"/>
      <c r="DV28" s="137"/>
      <c r="DW28" s="137"/>
      <c r="DX28" s="137"/>
      <c r="DY28" s="137"/>
      <c r="DZ28" s="137"/>
      <c r="EA28" s="137"/>
      <c r="ED28" s="137"/>
      <c r="EE28" s="137"/>
      <c r="EF28" s="137"/>
      <c r="EG28" s="137"/>
      <c r="EH28" s="137"/>
      <c r="EI28" s="137"/>
      <c r="EJ28" s="137"/>
      <c r="EK28" s="137"/>
      <c r="EL28" s="137"/>
      <c r="EM28" s="137"/>
      <c r="EN28" s="137"/>
      <c r="EO28" s="137"/>
      <c r="EP28" s="137"/>
      <c r="EQ28" s="137"/>
      <c r="ER28" s="137"/>
      <c r="ES28" s="137"/>
      <c r="ET28" s="137"/>
      <c r="EU28" s="137"/>
      <c r="EV28" s="137"/>
      <c r="EW28" s="137"/>
      <c r="EX28" s="137"/>
      <c r="EY28" s="137"/>
      <c r="EZ28" s="137"/>
      <c r="FA28" s="137"/>
      <c r="FB28" s="137"/>
      <c r="FC28" s="137"/>
      <c r="FD28" s="137"/>
      <c r="FE28" s="137"/>
      <c r="FF28" s="137"/>
      <c r="FG28" s="137"/>
      <c r="FH28" s="137"/>
      <c r="FI28" s="137"/>
      <c r="FJ28" s="137"/>
      <c r="FK28" s="137"/>
      <c r="FL28" s="137"/>
      <c r="FM28" s="137"/>
      <c r="FN28" s="137"/>
      <c r="FO28" s="137"/>
      <c r="FP28" s="137"/>
      <c r="FQ28" s="137"/>
      <c r="FR28" s="137"/>
      <c r="FS28" s="137"/>
      <c r="FT28" s="137"/>
      <c r="FU28" s="137"/>
      <c r="FV28" s="137"/>
      <c r="FW28" s="137"/>
      <c r="FX28" s="137"/>
      <c r="FY28" s="137"/>
      <c r="FZ28" s="137"/>
      <c r="GA28" s="137"/>
      <c r="GB28" s="137"/>
      <c r="GC28" s="137"/>
      <c r="GD28" s="137"/>
      <c r="GE28" s="137"/>
      <c r="GF28" s="137"/>
      <c r="GG28" s="137"/>
      <c r="GH28" s="137"/>
      <c r="GI28" s="137"/>
      <c r="GJ28" s="137"/>
      <c r="GK28" s="137"/>
      <c r="GL28" s="137"/>
    </row>
    <row r="29" spans="1:194" x14ac:dyDescent="0.3">
      <c r="B29" s="135" t="s">
        <v>3865</v>
      </c>
      <c r="C29" s="135" t="s">
        <v>3763</v>
      </c>
      <c r="D29" s="129" t="s">
        <v>3903</v>
      </c>
      <c r="E29" s="129" t="s">
        <v>3904</v>
      </c>
      <c r="F29" s="141" t="s">
        <v>3783</v>
      </c>
      <c r="G29" s="137" t="s">
        <v>3863</v>
      </c>
      <c r="H29" s="137" t="s">
        <v>3863</v>
      </c>
      <c r="I29" s="137"/>
      <c r="J29" s="140"/>
      <c r="K29" s="137"/>
      <c r="L29" s="137">
        <v>2</v>
      </c>
      <c r="M29" s="131">
        <f t="shared" si="15"/>
        <v>2</v>
      </c>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7"/>
      <c r="AU29" s="134">
        <v>1</v>
      </c>
      <c r="AV29" s="137"/>
      <c r="AW29" s="137"/>
      <c r="AX29" s="137"/>
      <c r="AY29" s="137"/>
      <c r="BA29" s="137"/>
      <c r="BB29" s="137"/>
      <c r="BC29" s="137"/>
      <c r="BD29" s="137"/>
      <c r="BE29" s="137"/>
      <c r="BF29" s="137"/>
      <c r="BG29" s="137"/>
      <c r="BH29" s="137"/>
      <c r="BI29" s="137"/>
      <c r="BJ29" s="137"/>
      <c r="BK29" s="137"/>
      <c r="BL29" s="137"/>
      <c r="BM29" s="137"/>
      <c r="BN29" s="134">
        <v>1</v>
      </c>
      <c r="BO29" s="137"/>
      <c r="BP29" s="137"/>
      <c r="BQ29" s="137"/>
      <c r="BR29" s="137"/>
      <c r="BS29" s="137"/>
      <c r="BT29" s="137"/>
      <c r="BU29" s="137"/>
      <c r="BV29" s="137"/>
      <c r="BW29" s="137"/>
      <c r="BX29" s="137"/>
      <c r="BY29" s="137"/>
      <c r="BZ29" s="137"/>
      <c r="CA29" s="137"/>
      <c r="CB29" s="137"/>
      <c r="CC29" s="137"/>
      <c r="CD29" s="137"/>
      <c r="CE29" s="137"/>
      <c r="CF29" s="137"/>
      <c r="CG29" s="137"/>
      <c r="CH29" s="137"/>
      <c r="CI29" s="137"/>
      <c r="CJ29" s="137"/>
      <c r="CK29" s="137"/>
      <c r="CL29" s="137"/>
      <c r="CM29" s="137"/>
      <c r="CN29" s="137"/>
      <c r="CO29" s="137"/>
      <c r="CP29" s="137"/>
      <c r="CQ29" s="137"/>
      <c r="CR29" s="137"/>
      <c r="CS29" s="137"/>
      <c r="CT29" s="137"/>
      <c r="CU29" s="137"/>
      <c r="CV29" s="137"/>
      <c r="CW29" s="137"/>
      <c r="CX29" s="137"/>
      <c r="CY29" s="137"/>
      <c r="CZ29" s="137"/>
      <c r="DA29" s="137"/>
      <c r="DB29" s="137"/>
      <c r="DC29" s="137"/>
      <c r="DD29" s="137"/>
      <c r="DE29" s="137"/>
      <c r="DF29" s="137"/>
      <c r="DG29" s="137"/>
      <c r="DH29" s="137"/>
      <c r="DI29" s="137"/>
      <c r="DJ29" s="137"/>
      <c r="DK29" s="137"/>
      <c r="DL29" s="137"/>
      <c r="DM29" s="137"/>
      <c r="DN29" s="137"/>
      <c r="DO29" s="137"/>
      <c r="DP29" s="137"/>
      <c r="DQ29" s="137"/>
      <c r="DR29" s="137"/>
      <c r="DS29" s="137"/>
      <c r="DT29" s="137"/>
      <c r="DU29" s="137"/>
      <c r="DV29" s="137"/>
      <c r="DW29" s="137"/>
      <c r="DX29" s="137"/>
      <c r="DY29" s="137"/>
      <c r="DZ29" s="137"/>
      <c r="EA29" s="137"/>
      <c r="ED29" s="137"/>
      <c r="EE29" s="137"/>
      <c r="EF29" s="137"/>
      <c r="EG29" s="137"/>
      <c r="EH29" s="137"/>
      <c r="EI29" s="137"/>
      <c r="EJ29" s="137"/>
      <c r="EK29" s="137"/>
      <c r="EL29" s="137"/>
      <c r="EM29" s="137"/>
      <c r="EN29" s="137"/>
      <c r="EO29" s="137"/>
      <c r="EP29" s="137"/>
      <c r="EQ29" s="137"/>
      <c r="ER29" s="137"/>
      <c r="ES29" s="137"/>
      <c r="ET29" s="137"/>
      <c r="EU29" s="137"/>
      <c r="EV29" s="137"/>
      <c r="EW29" s="137"/>
      <c r="EX29" s="137"/>
      <c r="EY29" s="137"/>
      <c r="EZ29" s="137"/>
      <c r="FA29" s="137"/>
      <c r="FB29" s="137"/>
      <c r="FC29" s="137"/>
      <c r="FD29" s="137"/>
      <c r="FE29" s="137"/>
      <c r="FF29" s="137"/>
      <c r="FG29" s="137"/>
      <c r="FH29" s="137"/>
      <c r="FI29" s="137"/>
      <c r="FJ29" s="137"/>
      <c r="FK29" s="137"/>
      <c r="FL29" s="137"/>
      <c r="FM29" s="137"/>
      <c r="FN29" s="137"/>
      <c r="FO29" s="137"/>
      <c r="FP29" s="137"/>
      <c r="FQ29" s="137"/>
      <c r="FR29" s="137"/>
      <c r="FS29" s="137"/>
      <c r="FT29" s="137"/>
      <c r="FU29" s="137"/>
      <c r="FV29" s="137"/>
      <c r="FW29" s="137"/>
      <c r="FX29" s="137"/>
      <c r="FY29" s="137"/>
      <c r="FZ29" s="137"/>
      <c r="GA29" s="137"/>
      <c r="GB29" s="137"/>
      <c r="GC29" s="137"/>
      <c r="GD29" s="137"/>
      <c r="GE29" s="137"/>
      <c r="GF29" s="137"/>
      <c r="GG29" s="137"/>
      <c r="GH29" s="137"/>
      <c r="GI29" s="137"/>
      <c r="GJ29" s="137"/>
      <c r="GK29" s="137"/>
      <c r="GL29" s="137"/>
    </row>
    <row r="30" spans="1:194" x14ac:dyDescent="0.3">
      <c r="B30" s="135" t="s">
        <v>3865</v>
      </c>
      <c r="C30" s="135" t="s">
        <v>3760</v>
      </c>
      <c r="D30" s="129" t="s">
        <v>3903</v>
      </c>
      <c r="E30" s="129" t="s">
        <v>3904</v>
      </c>
      <c r="F30" s="141" t="s">
        <v>3783</v>
      </c>
      <c r="G30" s="137" t="s">
        <v>3863</v>
      </c>
      <c r="H30" s="137" t="s">
        <v>3863</v>
      </c>
      <c r="I30" s="137"/>
      <c r="J30" s="140"/>
      <c r="K30" s="137"/>
      <c r="L30" s="137">
        <v>2</v>
      </c>
      <c r="M30" s="131">
        <f t="shared" si="15"/>
        <v>2</v>
      </c>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4">
        <v>1</v>
      </c>
      <c r="AY30" s="137"/>
      <c r="AZ30" s="137"/>
      <c r="BA30" s="137"/>
      <c r="BC30" s="137"/>
      <c r="BD30" s="137"/>
      <c r="BF30" s="137"/>
      <c r="BG30" s="137"/>
      <c r="BH30" s="137"/>
      <c r="BI30" s="137"/>
      <c r="BJ30" s="137"/>
      <c r="BK30" s="137"/>
      <c r="BL30" s="137"/>
      <c r="BM30" s="137"/>
      <c r="BN30" s="134">
        <v>1</v>
      </c>
      <c r="BO30" s="137"/>
      <c r="BP30" s="137"/>
      <c r="BQ30" s="137"/>
      <c r="BR30" s="137"/>
      <c r="BS30" s="137"/>
      <c r="BT30" s="137"/>
      <c r="BU30" s="137"/>
      <c r="BV30" s="137"/>
      <c r="BW30" s="137"/>
      <c r="BX30" s="137"/>
      <c r="BY30" s="137"/>
      <c r="BZ30" s="137"/>
      <c r="CA30" s="137"/>
      <c r="CB30" s="137"/>
      <c r="CC30" s="137"/>
      <c r="CD30" s="137"/>
      <c r="CE30" s="137"/>
      <c r="CF30" s="137"/>
      <c r="CG30" s="137"/>
      <c r="CH30" s="137"/>
      <c r="CI30" s="137"/>
      <c r="CJ30" s="137"/>
      <c r="CK30" s="137"/>
      <c r="CL30" s="137"/>
      <c r="CM30" s="137"/>
      <c r="CN30" s="137"/>
      <c r="CO30" s="137"/>
      <c r="CP30" s="137"/>
      <c r="CQ30" s="137"/>
      <c r="CR30" s="137"/>
      <c r="CS30" s="137"/>
      <c r="CT30" s="137"/>
      <c r="CU30" s="137"/>
      <c r="CV30" s="137"/>
      <c r="CW30" s="137"/>
      <c r="CX30" s="137"/>
      <c r="CY30" s="137"/>
      <c r="CZ30" s="137"/>
      <c r="DA30" s="137"/>
      <c r="DB30" s="137"/>
      <c r="DC30" s="137"/>
      <c r="DD30" s="137"/>
      <c r="DE30" s="137"/>
      <c r="DF30" s="137"/>
      <c r="DG30" s="137"/>
      <c r="DH30" s="137"/>
      <c r="DI30" s="137"/>
      <c r="DJ30" s="137"/>
      <c r="DK30" s="137"/>
      <c r="DL30" s="137"/>
      <c r="DM30" s="137"/>
      <c r="DN30" s="137"/>
      <c r="DO30" s="137"/>
      <c r="DP30" s="137"/>
      <c r="DQ30" s="137"/>
      <c r="DR30" s="137"/>
      <c r="DS30" s="137"/>
      <c r="DT30" s="137"/>
      <c r="DU30" s="137"/>
      <c r="DV30" s="137"/>
      <c r="DW30" s="137"/>
      <c r="DX30" s="137"/>
      <c r="DY30" s="137"/>
      <c r="DZ30" s="137"/>
      <c r="EA30" s="137"/>
      <c r="ED30" s="137"/>
      <c r="EE30" s="137"/>
      <c r="EF30" s="137"/>
      <c r="EG30" s="137"/>
      <c r="EH30" s="137"/>
      <c r="EI30" s="137"/>
      <c r="EJ30" s="137"/>
      <c r="EK30" s="137"/>
      <c r="EL30" s="137"/>
      <c r="EM30" s="137"/>
      <c r="EN30" s="137"/>
      <c r="EO30" s="137"/>
      <c r="EP30" s="137"/>
      <c r="EQ30" s="137"/>
      <c r="ER30" s="137"/>
      <c r="ES30" s="137"/>
      <c r="ET30" s="137"/>
      <c r="EU30" s="137"/>
      <c r="EV30" s="137"/>
      <c r="EW30" s="137"/>
      <c r="EX30" s="137"/>
      <c r="EY30" s="137"/>
      <c r="EZ30" s="137"/>
      <c r="FA30" s="137"/>
      <c r="FB30" s="137"/>
      <c r="FC30" s="137"/>
      <c r="FD30" s="137"/>
      <c r="FE30" s="137"/>
      <c r="FF30" s="137"/>
      <c r="FG30" s="137"/>
      <c r="FH30" s="137"/>
      <c r="FI30" s="137"/>
      <c r="FJ30" s="137"/>
      <c r="FK30" s="137"/>
      <c r="FL30" s="137"/>
      <c r="FM30" s="137"/>
      <c r="FN30" s="137"/>
      <c r="FO30" s="137"/>
      <c r="FP30" s="137"/>
      <c r="FQ30" s="137"/>
      <c r="FR30" s="137"/>
      <c r="FS30" s="137"/>
      <c r="FT30" s="137"/>
      <c r="FU30" s="137"/>
      <c r="FV30" s="137"/>
      <c r="FW30" s="137"/>
      <c r="FX30" s="137"/>
      <c r="FY30" s="137"/>
      <c r="FZ30" s="137"/>
      <c r="GA30" s="137"/>
      <c r="GB30" s="137"/>
      <c r="GC30" s="137"/>
      <c r="GD30" s="137"/>
      <c r="GE30" s="137"/>
      <c r="GF30" s="137"/>
      <c r="GG30" s="137"/>
      <c r="GH30" s="137"/>
      <c r="GI30" s="137"/>
      <c r="GJ30" s="137"/>
      <c r="GK30" s="137"/>
      <c r="GL30" s="137"/>
    </row>
    <row r="31" spans="1:194" x14ac:dyDescent="0.3">
      <c r="B31" s="135" t="s">
        <v>3865</v>
      </c>
      <c r="C31" s="135" t="s">
        <v>3765</v>
      </c>
      <c r="D31" s="129" t="s">
        <v>3903</v>
      </c>
      <c r="E31" s="129" t="s">
        <v>3904</v>
      </c>
      <c r="F31" s="141" t="s">
        <v>3783</v>
      </c>
      <c r="G31" s="137" t="s">
        <v>3863</v>
      </c>
      <c r="H31" s="137" t="s">
        <v>3863</v>
      </c>
      <c r="I31" s="137"/>
      <c r="J31" s="140"/>
      <c r="K31" s="137"/>
      <c r="L31" s="137">
        <v>2</v>
      </c>
      <c r="M31" s="131">
        <f t="shared" si="15"/>
        <v>2</v>
      </c>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4">
        <v>1</v>
      </c>
      <c r="AZ31" s="137"/>
      <c r="BA31" s="137"/>
      <c r="BB31" s="137"/>
      <c r="BC31" s="137"/>
      <c r="BD31" s="137"/>
      <c r="BE31" s="137"/>
      <c r="BF31" s="137"/>
      <c r="BH31" s="137"/>
      <c r="BI31" s="137"/>
      <c r="BJ31" s="137"/>
      <c r="BK31" s="137"/>
      <c r="BL31" s="137"/>
      <c r="BM31" s="137"/>
      <c r="BN31" s="137"/>
      <c r="BO31" s="134">
        <v>1</v>
      </c>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c r="CY31" s="137"/>
      <c r="CZ31" s="137"/>
      <c r="DA31" s="137"/>
      <c r="DB31" s="137"/>
      <c r="DC31" s="137"/>
      <c r="DD31" s="137"/>
      <c r="DE31" s="137"/>
      <c r="DF31" s="137"/>
      <c r="DG31" s="137"/>
      <c r="DH31" s="137"/>
      <c r="DI31" s="137"/>
      <c r="DJ31" s="137"/>
      <c r="DK31" s="137"/>
      <c r="DL31" s="137"/>
      <c r="DM31" s="137"/>
      <c r="DN31" s="137"/>
      <c r="DO31" s="137"/>
      <c r="DP31" s="137"/>
      <c r="DQ31" s="137"/>
      <c r="DR31" s="137"/>
      <c r="DS31" s="137"/>
      <c r="DT31" s="137"/>
      <c r="DU31" s="137"/>
      <c r="DV31" s="137"/>
      <c r="DW31" s="137"/>
      <c r="DX31" s="137"/>
      <c r="DY31" s="137"/>
      <c r="DZ31" s="137"/>
      <c r="EA31" s="137"/>
      <c r="ED31" s="137"/>
      <c r="EE31" s="137"/>
      <c r="EF31" s="137"/>
      <c r="EG31" s="137"/>
      <c r="EH31" s="137"/>
      <c r="EI31" s="137"/>
      <c r="EJ31" s="137"/>
      <c r="EK31" s="137"/>
      <c r="EL31" s="137"/>
      <c r="EM31" s="137"/>
      <c r="EN31" s="137"/>
      <c r="EO31" s="137"/>
      <c r="EP31" s="137"/>
      <c r="EQ31" s="137"/>
      <c r="ER31" s="137"/>
      <c r="ES31" s="137"/>
      <c r="ET31" s="137"/>
      <c r="EU31" s="137"/>
      <c r="EV31" s="137"/>
      <c r="EW31" s="137"/>
      <c r="EX31" s="137"/>
      <c r="EY31" s="137"/>
      <c r="EZ31" s="137"/>
      <c r="FA31" s="137"/>
      <c r="FB31" s="137"/>
      <c r="FC31" s="137"/>
      <c r="FD31" s="137"/>
      <c r="FE31" s="137"/>
      <c r="FF31" s="137"/>
      <c r="FG31" s="137"/>
      <c r="FH31" s="137"/>
      <c r="FI31" s="137"/>
      <c r="FJ31" s="137"/>
      <c r="FK31" s="137"/>
      <c r="FL31" s="137"/>
      <c r="FM31" s="137"/>
      <c r="FN31" s="137"/>
      <c r="FO31" s="137"/>
      <c r="FP31" s="137"/>
      <c r="FQ31" s="137"/>
      <c r="FR31" s="137"/>
      <c r="FS31" s="137"/>
      <c r="FT31" s="137"/>
      <c r="FU31" s="137"/>
      <c r="FV31" s="137"/>
      <c r="FW31" s="137"/>
      <c r="FX31" s="137"/>
      <c r="FY31" s="137"/>
      <c r="FZ31" s="137"/>
      <c r="GA31" s="137"/>
      <c r="GB31" s="137"/>
      <c r="GC31" s="137"/>
      <c r="GD31" s="137"/>
      <c r="GE31" s="137"/>
      <c r="GF31" s="137"/>
      <c r="GG31" s="137"/>
      <c r="GH31" s="137"/>
      <c r="GI31" s="137"/>
      <c r="GJ31" s="137"/>
      <c r="GK31" s="137"/>
      <c r="GL31" s="137"/>
    </row>
    <row r="32" spans="1:194" x14ac:dyDescent="0.3">
      <c r="B32" s="135" t="s">
        <v>3865</v>
      </c>
      <c r="C32" s="135" t="s">
        <v>3751</v>
      </c>
      <c r="D32" s="129" t="s">
        <v>3903</v>
      </c>
      <c r="E32" s="129" t="s">
        <v>3904</v>
      </c>
      <c r="F32" s="141" t="s">
        <v>3783</v>
      </c>
      <c r="G32" s="137" t="s">
        <v>3863</v>
      </c>
      <c r="H32" s="137" t="s">
        <v>3863</v>
      </c>
      <c r="I32" s="137"/>
      <c r="J32" s="140"/>
      <c r="K32" s="137"/>
      <c r="L32" s="137">
        <v>2</v>
      </c>
      <c r="M32" s="131">
        <f t="shared" si="15"/>
        <v>2</v>
      </c>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7"/>
      <c r="AU32" s="137"/>
      <c r="AV32" s="137"/>
      <c r="AW32" s="137"/>
      <c r="AX32" s="137"/>
      <c r="AY32" s="137"/>
      <c r="AZ32" s="134">
        <v>1</v>
      </c>
      <c r="BA32" s="137"/>
      <c r="BB32" s="137"/>
      <c r="BC32" s="137"/>
      <c r="BD32" s="137"/>
      <c r="BE32" s="137"/>
      <c r="BF32" s="137"/>
      <c r="BG32" s="137"/>
      <c r="BH32" s="137"/>
      <c r="BJ32" s="137"/>
      <c r="BK32" s="137"/>
      <c r="BL32" s="137"/>
      <c r="BM32" s="137"/>
      <c r="BN32" s="137"/>
      <c r="BO32" s="134">
        <v>1</v>
      </c>
      <c r="BP32" s="137"/>
      <c r="BQ32" s="137"/>
      <c r="BR32" s="137"/>
      <c r="BS32" s="137"/>
      <c r="BT32" s="137"/>
      <c r="BU32" s="137"/>
      <c r="BV32" s="137"/>
      <c r="BW32" s="137"/>
      <c r="BX32" s="137"/>
      <c r="BY32" s="137"/>
      <c r="BZ32" s="137"/>
      <c r="CA32" s="137"/>
      <c r="CB32" s="137"/>
      <c r="CC32" s="137"/>
      <c r="CD32" s="137"/>
      <c r="CE32" s="137"/>
      <c r="CF32" s="137"/>
      <c r="CG32" s="137"/>
      <c r="CH32" s="137"/>
      <c r="CI32" s="137"/>
      <c r="CJ32" s="137"/>
      <c r="CK32" s="137"/>
      <c r="CL32" s="137"/>
      <c r="CM32" s="137"/>
      <c r="CN32" s="137"/>
      <c r="CO32" s="137"/>
      <c r="CP32" s="137"/>
      <c r="CQ32" s="137"/>
      <c r="CR32" s="137"/>
      <c r="CS32" s="137"/>
      <c r="CT32" s="137"/>
      <c r="CU32" s="137"/>
      <c r="CV32" s="137"/>
      <c r="CW32" s="137"/>
      <c r="CX32" s="137"/>
      <c r="CY32" s="137"/>
      <c r="CZ32" s="137"/>
      <c r="DA32" s="137"/>
      <c r="DB32" s="137"/>
      <c r="DC32" s="137"/>
      <c r="DD32" s="137"/>
      <c r="DE32" s="137"/>
      <c r="DF32" s="137"/>
      <c r="DG32" s="137"/>
      <c r="DH32" s="137"/>
      <c r="DI32" s="137"/>
      <c r="DJ32" s="137"/>
      <c r="DK32" s="137"/>
      <c r="DL32" s="137"/>
      <c r="DM32" s="137"/>
      <c r="DN32" s="137"/>
      <c r="DO32" s="137"/>
      <c r="DP32" s="137"/>
      <c r="DQ32" s="137"/>
      <c r="DR32" s="137"/>
      <c r="DS32" s="137"/>
      <c r="DT32" s="137"/>
      <c r="DU32" s="137"/>
      <c r="DV32" s="137"/>
      <c r="DW32" s="137"/>
      <c r="DX32" s="137"/>
      <c r="DY32" s="137"/>
      <c r="DZ32" s="137"/>
      <c r="EA32" s="137"/>
      <c r="ED32" s="137"/>
      <c r="EE32" s="137"/>
      <c r="EF32" s="137"/>
      <c r="EG32" s="137"/>
      <c r="EH32" s="137"/>
      <c r="EI32" s="137"/>
      <c r="EJ32" s="137"/>
      <c r="EK32" s="137"/>
      <c r="EL32" s="137"/>
      <c r="EM32" s="137"/>
      <c r="EN32" s="137"/>
      <c r="EO32" s="137"/>
      <c r="EP32" s="137"/>
      <c r="EQ32" s="137"/>
      <c r="ER32" s="137"/>
      <c r="ES32" s="137"/>
      <c r="ET32" s="137"/>
      <c r="EU32" s="137"/>
      <c r="EV32" s="137"/>
      <c r="EW32" s="137"/>
      <c r="EX32" s="137"/>
      <c r="EY32" s="137"/>
      <c r="EZ32" s="137"/>
      <c r="FA32" s="137"/>
      <c r="FB32" s="137"/>
      <c r="FC32" s="137"/>
      <c r="FD32" s="137"/>
      <c r="FE32" s="137"/>
      <c r="FF32" s="137"/>
      <c r="FG32" s="137"/>
      <c r="FH32" s="137"/>
      <c r="FI32" s="137"/>
      <c r="FJ32" s="137"/>
      <c r="FK32" s="137"/>
      <c r="FL32" s="137"/>
      <c r="FM32" s="137"/>
      <c r="FN32" s="137"/>
      <c r="FO32" s="137"/>
      <c r="FP32" s="137"/>
      <c r="FQ32" s="137"/>
      <c r="FR32" s="137"/>
      <c r="FS32" s="137"/>
      <c r="FT32" s="137"/>
      <c r="FU32" s="137"/>
      <c r="FV32" s="137"/>
      <c r="FW32" s="137"/>
      <c r="FX32" s="137"/>
      <c r="FY32" s="137"/>
      <c r="FZ32" s="137"/>
      <c r="GA32" s="137"/>
      <c r="GB32" s="137"/>
      <c r="GC32" s="137"/>
      <c r="GD32" s="137"/>
      <c r="GE32" s="137"/>
      <c r="GF32" s="137"/>
      <c r="GG32" s="137"/>
      <c r="GH32" s="137"/>
      <c r="GI32" s="137"/>
      <c r="GJ32" s="137"/>
      <c r="GK32" s="137"/>
      <c r="GL32" s="137"/>
    </row>
    <row r="33" spans="2:194" x14ac:dyDescent="0.3">
      <c r="B33" s="135" t="s">
        <v>3865</v>
      </c>
      <c r="C33" s="135" t="s">
        <v>3762</v>
      </c>
      <c r="D33" s="129" t="s">
        <v>3903</v>
      </c>
      <c r="E33" s="129" t="s">
        <v>3904</v>
      </c>
      <c r="F33" s="141" t="s">
        <v>3783</v>
      </c>
      <c r="G33" s="137" t="s">
        <v>3863</v>
      </c>
      <c r="H33" s="137" t="s">
        <v>3863</v>
      </c>
      <c r="I33" s="137"/>
      <c r="J33" s="140"/>
      <c r="K33" s="137"/>
      <c r="L33" s="137">
        <v>2</v>
      </c>
      <c r="M33" s="131">
        <f t="shared" si="15"/>
        <v>2</v>
      </c>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4">
        <v>1</v>
      </c>
      <c r="BB33" s="137"/>
      <c r="BC33" s="137"/>
      <c r="BD33" s="137"/>
      <c r="BE33" s="137"/>
      <c r="BF33" s="137"/>
      <c r="BG33" s="137"/>
      <c r="BH33" s="137"/>
      <c r="BI33" s="137"/>
      <c r="BJ33" s="137"/>
      <c r="BK33" s="137"/>
      <c r="BL33" s="137"/>
      <c r="BN33" s="137"/>
      <c r="BO33" s="137"/>
      <c r="BP33" s="134">
        <v>1</v>
      </c>
      <c r="BQ33" s="137"/>
      <c r="BR33" s="137"/>
      <c r="BS33" s="137"/>
      <c r="BT33" s="137"/>
      <c r="BU33" s="137"/>
      <c r="BV33" s="137"/>
      <c r="BW33" s="137"/>
      <c r="BX33" s="137"/>
      <c r="BY33" s="137"/>
      <c r="BZ33" s="137"/>
      <c r="CA33" s="137"/>
      <c r="CB33" s="137"/>
      <c r="CC33" s="137"/>
      <c r="CD33" s="137"/>
      <c r="CE33" s="137"/>
      <c r="CF33" s="137"/>
      <c r="CG33" s="137"/>
      <c r="CH33" s="137"/>
      <c r="CI33" s="137"/>
      <c r="CJ33" s="137"/>
      <c r="CK33" s="137"/>
      <c r="CL33" s="137"/>
      <c r="CM33" s="137"/>
      <c r="CN33" s="137"/>
      <c r="CO33" s="137"/>
      <c r="CP33" s="137"/>
      <c r="CQ33" s="137"/>
      <c r="CR33" s="137"/>
      <c r="CS33" s="137"/>
      <c r="CT33" s="137"/>
      <c r="CU33" s="137"/>
      <c r="CV33" s="137"/>
      <c r="CW33" s="137"/>
      <c r="CX33" s="137"/>
      <c r="CY33" s="137"/>
      <c r="CZ33" s="137"/>
      <c r="DA33" s="137"/>
      <c r="DB33" s="137"/>
      <c r="DC33" s="137"/>
      <c r="DD33" s="137"/>
      <c r="DE33" s="137"/>
      <c r="DF33" s="137"/>
      <c r="DG33" s="137"/>
      <c r="DH33" s="137"/>
      <c r="DI33" s="137"/>
      <c r="DJ33" s="137"/>
      <c r="DK33" s="137"/>
      <c r="DL33" s="137"/>
      <c r="DM33" s="137"/>
      <c r="DN33" s="137"/>
      <c r="DO33" s="137"/>
      <c r="DP33" s="137"/>
      <c r="DQ33" s="137"/>
      <c r="DR33" s="137"/>
      <c r="DS33" s="137"/>
      <c r="DT33" s="137"/>
      <c r="DU33" s="137"/>
      <c r="DV33" s="137"/>
      <c r="DW33" s="137"/>
      <c r="DX33" s="137"/>
      <c r="DY33" s="137"/>
      <c r="DZ33" s="137"/>
      <c r="EA33" s="137"/>
      <c r="ED33" s="137"/>
      <c r="EE33" s="137"/>
      <c r="EF33" s="137"/>
      <c r="EG33" s="137"/>
      <c r="EH33" s="137"/>
      <c r="EI33" s="137"/>
      <c r="EJ33" s="137"/>
      <c r="EK33" s="137"/>
      <c r="EL33" s="137"/>
      <c r="EM33" s="137"/>
      <c r="EN33" s="137"/>
      <c r="EO33" s="137"/>
      <c r="EP33" s="137"/>
      <c r="EQ33" s="137"/>
      <c r="ER33" s="137"/>
      <c r="ES33" s="137"/>
      <c r="ET33" s="137"/>
      <c r="EU33" s="137"/>
      <c r="EV33" s="137"/>
      <c r="EW33" s="137"/>
      <c r="EX33" s="137"/>
      <c r="EY33" s="137"/>
      <c r="EZ33" s="137"/>
      <c r="FA33" s="137"/>
      <c r="FB33" s="137"/>
      <c r="FC33" s="137"/>
      <c r="FD33" s="137"/>
      <c r="FE33" s="137"/>
      <c r="FF33" s="137"/>
      <c r="FG33" s="137"/>
      <c r="FH33" s="137"/>
      <c r="FI33" s="137"/>
      <c r="FJ33" s="137"/>
      <c r="FK33" s="137"/>
      <c r="FL33" s="137"/>
      <c r="FM33" s="137"/>
      <c r="FN33" s="137"/>
      <c r="FO33" s="137"/>
      <c r="FP33" s="137"/>
      <c r="FQ33" s="137"/>
      <c r="FR33" s="137"/>
      <c r="FS33" s="137"/>
      <c r="FT33" s="137"/>
      <c r="FU33" s="137"/>
      <c r="FV33" s="137"/>
      <c r="FW33" s="137"/>
      <c r="FX33" s="137"/>
      <c r="FY33" s="137"/>
      <c r="FZ33" s="137"/>
      <c r="GA33" s="137"/>
      <c r="GB33" s="137"/>
      <c r="GC33" s="137"/>
      <c r="GD33" s="137"/>
      <c r="GE33" s="137"/>
      <c r="GF33" s="137"/>
      <c r="GG33" s="137"/>
      <c r="GH33" s="137"/>
      <c r="GI33" s="137"/>
      <c r="GJ33" s="137"/>
      <c r="GK33" s="137"/>
      <c r="GL33" s="137"/>
    </row>
    <row r="34" spans="2:194" x14ac:dyDescent="0.3">
      <c r="B34" s="135" t="s">
        <v>3865</v>
      </c>
      <c r="C34" s="135" t="s">
        <v>3759</v>
      </c>
      <c r="D34" s="129" t="s">
        <v>3903</v>
      </c>
      <c r="E34" s="129" t="s">
        <v>3904</v>
      </c>
      <c r="F34" s="141" t="s">
        <v>3783</v>
      </c>
      <c r="G34" s="137" t="s">
        <v>3863</v>
      </c>
      <c r="H34" s="137" t="s">
        <v>3863</v>
      </c>
      <c r="I34" s="137"/>
      <c r="J34" s="140"/>
      <c r="K34" s="137"/>
      <c r="L34" s="137">
        <v>2</v>
      </c>
      <c r="M34" s="131">
        <f t="shared" si="15"/>
        <v>2</v>
      </c>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7"/>
      <c r="AU34" s="137"/>
      <c r="AV34" s="137"/>
      <c r="AW34" s="137"/>
      <c r="AX34" s="137"/>
      <c r="AY34" s="137"/>
      <c r="AZ34" s="137"/>
      <c r="BA34" s="137"/>
      <c r="BC34" s="137"/>
      <c r="BD34" s="137"/>
      <c r="BE34" s="134">
        <v>1</v>
      </c>
      <c r="BF34" s="137"/>
      <c r="BG34" s="137"/>
      <c r="BH34" s="137"/>
      <c r="BI34" s="137"/>
      <c r="BJ34" s="137"/>
      <c r="BK34" s="137"/>
      <c r="BL34" s="137"/>
      <c r="BM34" s="137"/>
      <c r="BO34" s="137"/>
      <c r="BP34" s="134">
        <v>1</v>
      </c>
      <c r="BQ34" s="137"/>
      <c r="BR34" s="137"/>
      <c r="BS34" s="137"/>
      <c r="BT34" s="137"/>
      <c r="BU34" s="137"/>
      <c r="BV34" s="137"/>
      <c r="BW34" s="137"/>
      <c r="BX34" s="137"/>
      <c r="BY34" s="137"/>
      <c r="BZ34" s="137"/>
      <c r="CA34" s="137"/>
      <c r="CB34" s="137"/>
      <c r="CC34" s="137"/>
      <c r="CD34" s="137"/>
      <c r="CE34" s="137"/>
      <c r="CF34" s="137"/>
      <c r="CG34" s="137"/>
      <c r="CH34" s="137"/>
      <c r="CI34" s="137"/>
      <c r="CJ34" s="137"/>
      <c r="CK34" s="137"/>
      <c r="CL34" s="137"/>
      <c r="CM34" s="137"/>
      <c r="CN34" s="137"/>
      <c r="CO34" s="137"/>
      <c r="CP34" s="137"/>
      <c r="CQ34" s="137"/>
      <c r="CR34" s="137"/>
      <c r="CS34" s="137"/>
      <c r="CT34" s="137"/>
      <c r="CU34" s="137"/>
      <c r="CV34" s="137"/>
      <c r="CW34" s="137"/>
      <c r="CX34" s="137"/>
      <c r="CY34" s="137"/>
      <c r="CZ34" s="137"/>
      <c r="DA34" s="137"/>
      <c r="DB34" s="137"/>
      <c r="DC34" s="137"/>
      <c r="DD34" s="137"/>
      <c r="DE34" s="137"/>
      <c r="DF34" s="137"/>
      <c r="DG34" s="137"/>
      <c r="DH34" s="137"/>
      <c r="DI34" s="137"/>
      <c r="DJ34" s="137"/>
      <c r="DK34" s="137"/>
      <c r="DL34" s="137"/>
      <c r="DM34" s="137"/>
      <c r="DN34" s="137"/>
      <c r="DO34" s="137"/>
      <c r="DP34" s="137"/>
      <c r="DQ34" s="137"/>
      <c r="DR34" s="137"/>
      <c r="DS34" s="137"/>
      <c r="DT34" s="137"/>
      <c r="DU34" s="137"/>
      <c r="DV34" s="137"/>
      <c r="DW34" s="137"/>
      <c r="DX34" s="137"/>
      <c r="DY34" s="137"/>
      <c r="DZ34" s="137"/>
      <c r="EA34" s="137"/>
      <c r="ED34" s="137"/>
      <c r="EE34" s="137"/>
      <c r="EF34" s="137"/>
      <c r="EG34" s="137"/>
      <c r="EH34" s="137"/>
      <c r="EI34" s="137"/>
      <c r="EJ34" s="137"/>
      <c r="EK34" s="137"/>
      <c r="EL34" s="137"/>
      <c r="EM34" s="137"/>
      <c r="EN34" s="137"/>
      <c r="EO34" s="137"/>
      <c r="EP34" s="137"/>
      <c r="EQ34" s="137"/>
      <c r="ER34" s="137"/>
      <c r="ES34" s="137"/>
      <c r="ET34" s="137"/>
      <c r="EU34" s="137"/>
      <c r="EV34" s="137"/>
      <c r="EW34" s="137"/>
      <c r="EX34" s="137"/>
      <c r="EY34" s="137"/>
      <c r="EZ34" s="137"/>
      <c r="FA34" s="137"/>
      <c r="FB34" s="137"/>
      <c r="FC34" s="137"/>
      <c r="FD34" s="137"/>
      <c r="FE34" s="137"/>
      <c r="FF34" s="137"/>
      <c r="FG34" s="137"/>
      <c r="FH34" s="137"/>
      <c r="FI34" s="137"/>
      <c r="FJ34" s="137"/>
      <c r="FK34" s="137"/>
      <c r="FL34" s="137"/>
      <c r="FM34" s="137"/>
      <c r="FN34" s="137"/>
      <c r="FO34" s="137"/>
      <c r="FP34" s="137"/>
      <c r="FQ34" s="137"/>
      <c r="FR34" s="137"/>
      <c r="FS34" s="137"/>
      <c r="FT34" s="137"/>
      <c r="FU34" s="137"/>
      <c r="FV34" s="137"/>
      <c r="FW34" s="137"/>
      <c r="FX34" s="137"/>
      <c r="FY34" s="137"/>
      <c r="FZ34" s="137"/>
      <c r="GA34" s="137"/>
      <c r="GB34" s="137"/>
      <c r="GC34" s="137"/>
      <c r="GD34" s="137"/>
      <c r="GE34" s="137"/>
      <c r="GF34" s="137"/>
      <c r="GG34" s="137"/>
      <c r="GH34" s="137"/>
      <c r="GI34" s="137"/>
      <c r="GJ34" s="137"/>
      <c r="GK34" s="137"/>
      <c r="GL34" s="137"/>
    </row>
    <row r="35" spans="2:194" x14ac:dyDescent="0.3">
      <c r="B35" s="135" t="s">
        <v>3865</v>
      </c>
      <c r="C35" s="135" t="s">
        <v>3764</v>
      </c>
      <c r="D35" s="129" t="s">
        <v>3903</v>
      </c>
      <c r="E35" s="129" t="s">
        <v>3904</v>
      </c>
      <c r="F35" s="141" t="s">
        <v>3783</v>
      </c>
      <c r="G35" s="137" t="s">
        <v>3863</v>
      </c>
      <c r="H35" s="137" t="s">
        <v>3863</v>
      </c>
      <c r="I35" s="137"/>
      <c r="J35" s="140"/>
      <c r="K35" s="137"/>
      <c r="L35" s="137">
        <v>2</v>
      </c>
      <c r="M35" s="131">
        <f t="shared" si="15"/>
        <v>2</v>
      </c>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4">
        <v>1</v>
      </c>
      <c r="BG35" s="137"/>
      <c r="BH35" s="137"/>
      <c r="BI35" s="137"/>
      <c r="BJ35" s="137"/>
      <c r="BK35" s="137"/>
      <c r="BL35" s="137"/>
      <c r="BM35" s="137"/>
      <c r="BN35" s="137"/>
      <c r="BO35" s="137"/>
      <c r="BP35" s="137"/>
      <c r="BQ35" s="137"/>
      <c r="BR35" s="137"/>
      <c r="BS35" s="134">
        <v>1</v>
      </c>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c r="CY35" s="137"/>
      <c r="CZ35" s="137"/>
      <c r="DA35" s="137"/>
      <c r="DB35" s="137"/>
      <c r="DC35" s="137"/>
      <c r="DD35" s="137"/>
      <c r="DE35" s="137"/>
      <c r="DF35" s="137"/>
      <c r="DG35" s="137"/>
      <c r="DH35" s="137"/>
      <c r="DI35" s="137"/>
      <c r="DJ35" s="137"/>
      <c r="DK35" s="137"/>
      <c r="DL35" s="137"/>
      <c r="DM35" s="137"/>
      <c r="DN35" s="137"/>
      <c r="DO35" s="137"/>
      <c r="DP35" s="137"/>
      <c r="DQ35" s="137"/>
      <c r="DR35" s="137"/>
      <c r="DS35" s="137"/>
      <c r="DT35" s="137"/>
      <c r="DU35" s="137"/>
      <c r="DV35" s="137"/>
      <c r="DW35" s="137"/>
      <c r="DX35" s="137"/>
      <c r="DY35" s="137"/>
      <c r="DZ35" s="137"/>
      <c r="EA35" s="137"/>
      <c r="ED35" s="137"/>
      <c r="EE35" s="137"/>
      <c r="EF35" s="137"/>
      <c r="EG35" s="137"/>
      <c r="EH35" s="137"/>
      <c r="EI35" s="137"/>
      <c r="EJ35" s="137"/>
      <c r="EK35" s="137"/>
      <c r="EL35" s="137"/>
      <c r="EM35" s="137"/>
      <c r="EN35" s="137"/>
      <c r="EO35" s="137"/>
      <c r="EP35" s="137"/>
      <c r="EQ35" s="137"/>
      <c r="ER35" s="137"/>
      <c r="ES35" s="137"/>
      <c r="ET35" s="137"/>
      <c r="EU35" s="137"/>
      <c r="EV35" s="137"/>
      <c r="EW35" s="137"/>
      <c r="EX35" s="137"/>
      <c r="EY35" s="137"/>
      <c r="EZ35" s="137"/>
      <c r="FA35" s="137"/>
      <c r="FB35" s="137"/>
      <c r="FC35" s="137"/>
      <c r="FD35" s="137"/>
      <c r="FE35" s="137"/>
      <c r="FF35" s="137"/>
      <c r="FG35" s="137"/>
      <c r="FH35" s="137"/>
      <c r="FI35" s="137"/>
      <c r="FJ35" s="137"/>
      <c r="FK35" s="137"/>
      <c r="FL35" s="137"/>
      <c r="FM35" s="137"/>
      <c r="FN35" s="137"/>
      <c r="FO35" s="137"/>
      <c r="FP35" s="137"/>
      <c r="FQ35" s="137"/>
      <c r="FR35" s="137"/>
      <c r="FS35" s="137"/>
      <c r="FT35" s="137"/>
      <c r="FU35" s="137"/>
      <c r="FV35" s="137"/>
      <c r="FW35" s="137"/>
      <c r="FX35" s="137"/>
      <c r="FY35" s="137"/>
      <c r="FZ35" s="137"/>
      <c r="GA35" s="137"/>
      <c r="GB35" s="137"/>
      <c r="GC35" s="137"/>
      <c r="GD35" s="137"/>
      <c r="GE35" s="137"/>
      <c r="GF35" s="137"/>
      <c r="GG35" s="137"/>
      <c r="GH35" s="137"/>
      <c r="GI35" s="137"/>
      <c r="GJ35" s="137"/>
      <c r="GK35" s="137"/>
      <c r="GL35" s="137"/>
    </row>
    <row r="36" spans="2:194" hidden="1" x14ac:dyDescent="0.3">
      <c r="B36" s="135" t="s">
        <v>3803</v>
      </c>
      <c r="C36" s="135" t="s">
        <v>3739</v>
      </c>
      <c r="D36" s="129" t="s">
        <v>3903</v>
      </c>
      <c r="E36" s="129" t="s">
        <v>3904</v>
      </c>
      <c r="F36" s="140" t="s">
        <v>3787</v>
      </c>
      <c r="G36" s="137" t="s">
        <v>3863</v>
      </c>
      <c r="H36" s="137" t="s">
        <v>3863</v>
      </c>
      <c r="I36" s="137"/>
      <c r="J36" s="140" t="s">
        <v>3787</v>
      </c>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7"/>
      <c r="AZ36" s="137"/>
      <c r="BA36" s="137"/>
      <c r="BB36" s="137"/>
      <c r="BC36" s="137"/>
      <c r="BD36" s="137"/>
      <c r="BE36" s="137"/>
      <c r="BF36" s="137"/>
      <c r="BG36" s="137"/>
      <c r="BH36" s="137"/>
      <c r="BI36" s="137"/>
      <c r="BJ36" s="137"/>
      <c r="BK36" s="137"/>
      <c r="BL36" s="137"/>
      <c r="BM36" s="137"/>
      <c r="BN36" s="137"/>
      <c r="BO36" s="137"/>
      <c r="BP36" s="137"/>
      <c r="BQ36" s="137"/>
      <c r="BR36" s="137"/>
      <c r="BS36" s="137"/>
      <c r="BT36" s="137"/>
      <c r="BU36" s="137"/>
      <c r="BV36" s="137"/>
      <c r="BW36" s="137"/>
      <c r="BX36" s="137"/>
      <c r="BY36" s="137"/>
      <c r="BZ36" s="137"/>
      <c r="CA36" s="137"/>
      <c r="CB36" s="137"/>
      <c r="CC36" s="137"/>
      <c r="CD36" s="137"/>
      <c r="CE36" s="137"/>
      <c r="CF36" s="137"/>
      <c r="CG36" s="137"/>
      <c r="CH36" s="137"/>
      <c r="CI36" s="137"/>
      <c r="CJ36" s="137"/>
      <c r="CK36" s="137"/>
      <c r="CL36" s="137"/>
      <c r="CM36" s="137"/>
      <c r="CN36" s="137"/>
      <c r="CO36" s="137"/>
      <c r="CP36" s="137"/>
      <c r="CQ36" s="137"/>
      <c r="CR36" s="137"/>
      <c r="CS36" s="137"/>
      <c r="CT36" s="137"/>
      <c r="CU36" s="137"/>
      <c r="CV36" s="137"/>
      <c r="CW36" s="137"/>
      <c r="CX36" s="137"/>
      <c r="CY36" s="137"/>
      <c r="CZ36" s="137"/>
      <c r="DA36" s="137"/>
      <c r="DB36" s="137"/>
      <c r="DC36" s="137"/>
      <c r="DD36" s="137"/>
      <c r="DE36" s="137"/>
      <c r="DF36" s="137"/>
      <c r="DG36" s="137"/>
      <c r="DH36" s="137"/>
      <c r="DI36" s="137"/>
      <c r="DJ36" s="137"/>
      <c r="DK36" s="137"/>
      <c r="DL36" s="137"/>
      <c r="DM36" s="137"/>
      <c r="DN36" s="137"/>
      <c r="DO36" s="137"/>
      <c r="DP36" s="137"/>
      <c r="DQ36" s="137"/>
      <c r="DR36" s="137"/>
      <c r="DS36" s="137"/>
      <c r="DT36" s="137"/>
      <c r="DU36" s="137"/>
      <c r="DV36" s="137"/>
      <c r="DW36" s="137"/>
      <c r="DX36" s="137"/>
      <c r="DY36" s="137"/>
      <c r="DZ36" s="137"/>
      <c r="EA36" s="137"/>
      <c r="ED36" s="137"/>
      <c r="EE36" s="137"/>
      <c r="EF36" s="137"/>
      <c r="EG36" s="137"/>
      <c r="EH36" s="137"/>
      <c r="EI36" s="137"/>
      <c r="EJ36" s="137"/>
      <c r="EK36" s="137"/>
      <c r="EL36" s="137"/>
      <c r="EM36" s="137"/>
      <c r="EN36" s="137"/>
      <c r="EO36" s="137"/>
      <c r="EP36" s="137"/>
      <c r="EQ36" s="137"/>
      <c r="ER36" s="137"/>
      <c r="ES36" s="137"/>
      <c r="ET36" s="137"/>
      <c r="EU36" s="137"/>
      <c r="EV36" s="137"/>
      <c r="EW36" s="137"/>
      <c r="EX36" s="137"/>
      <c r="EY36" s="137"/>
      <c r="EZ36" s="137"/>
      <c r="FA36" s="137"/>
      <c r="FB36" s="137"/>
      <c r="FC36" s="137"/>
      <c r="FD36" s="137"/>
      <c r="FE36" s="137"/>
      <c r="FF36" s="137"/>
      <c r="FG36" s="137"/>
      <c r="FH36" s="137"/>
      <c r="FI36" s="137"/>
      <c r="FJ36" s="137"/>
      <c r="FK36" s="137"/>
      <c r="FL36" s="137"/>
      <c r="FM36" s="137"/>
      <c r="FN36" s="137"/>
      <c r="FO36" s="137"/>
      <c r="FP36" s="137"/>
      <c r="FQ36" s="137"/>
      <c r="FR36" s="137"/>
      <c r="FS36" s="137"/>
      <c r="FT36" s="137"/>
      <c r="FU36" s="137"/>
      <c r="FV36" s="137"/>
      <c r="FW36" s="137"/>
      <c r="FX36" s="137"/>
      <c r="FY36" s="137"/>
      <c r="FZ36" s="137"/>
      <c r="GA36" s="137"/>
      <c r="GB36" s="137"/>
      <c r="GC36" s="137"/>
      <c r="GD36" s="137"/>
      <c r="GE36" s="137"/>
      <c r="GF36" s="137"/>
      <c r="GG36" s="137"/>
      <c r="GH36" s="137"/>
      <c r="GI36" s="137"/>
      <c r="GJ36" s="137"/>
      <c r="GK36" s="137"/>
      <c r="GL36" s="137"/>
    </row>
    <row r="37" spans="2:194" x14ac:dyDescent="0.3">
      <c r="B37" s="135" t="s">
        <v>3865</v>
      </c>
      <c r="C37" s="135" t="s">
        <v>3728</v>
      </c>
      <c r="D37" s="129" t="s">
        <v>3903</v>
      </c>
      <c r="E37" s="129" t="s">
        <v>3904</v>
      </c>
      <c r="F37" s="141" t="s">
        <v>3783</v>
      </c>
      <c r="G37" s="137" t="s">
        <v>3863</v>
      </c>
      <c r="H37" s="137" t="s">
        <v>3863</v>
      </c>
      <c r="I37" s="137"/>
      <c r="J37" s="140"/>
      <c r="K37" s="137"/>
      <c r="L37" s="137">
        <v>2</v>
      </c>
      <c r="M37" s="131">
        <f t="shared" ref="M37:M40" si="16">SUM(N37:EA37)</f>
        <v>2</v>
      </c>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7"/>
      <c r="AU37" s="137"/>
      <c r="AV37" s="137"/>
      <c r="AW37" s="137"/>
      <c r="AX37" s="137"/>
      <c r="AY37" s="137"/>
      <c r="AZ37" s="137"/>
      <c r="BA37" s="137"/>
      <c r="BB37" s="137"/>
      <c r="BC37" s="137"/>
      <c r="BD37" s="137"/>
      <c r="BE37" s="137"/>
      <c r="BF37" s="137"/>
      <c r="BG37" s="134">
        <v>1</v>
      </c>
      <c r="BH37" s="137"/>
      <c r="BI37" s="137"/>
      <c r="BJ37" s="137"/>
      <c r="BK37" s="137"/>
      <c r="BL37" s="137"/>
      <c r="BM37" s="137"/>
      <c r="BN37" s="137"/>
      <c r="BO37" s="137"/>
      <c r="BP37" s="137"/>
      <c r="BQ37" s="137"/>
      <c r="BR37" s="137"/>
      <c r="BS37" s="134">
        <v>1</v>
      </c>
      <c r="BT37" s="137"/>
      <c r="BU37" s="137"/>
      <c r="BV37" s="137"/>
      <c r="BW37" s="137"/>
      <c r="BX37" s="137"/>
      <c r="BY37" s="137"/>
      <c r="BZ37" s="137"/>
      <c r="CA37" s="137"/>
      <c r="CB37" s="137"/>
      <c r="CC37" s="137"/>
      <c r="CD37" s="137"/>
      <c r="CE37" s="137"/>
      <c r="CF37" s="137"/>
      <c r="CG37" s="137"/>
      <c r="CH37" s="137"/>
      <c r="CI37" s="137"/>
      <c r="CJ37" s="137"/>
      <c r="CK37" s="137"/>
      <c r="CL37" s="137"/>
      <c r="CM37" s="137"/>
      <c r="CN37" s="137"/>
      <c r="CO37" s="137"/>
      <c r="CP37" s="137"/>
      <c r="CQ37" s="137"/>
      <c r="CR37" s="137"/>
      <c r="CS37" s="137"/>
      <c r="CT37" s="137"/>
      <c r="CU37" s="137"/>
      <c r="CV37" s="137"/>
      <c r="CW37" s="137"/>
      <c r="CX37" s="137"/>
      <c r="CY37" s="137"/>
      <c r="CZ37" s="137"/>
      <c r="DA37" s="137"/>
      <c r="DB37" s="137"/>
      <c r="DC37" s="137"/>
      <c r="DD37" s="137"/>
      <c r="DE37" s="137"/>
      <c r="DF37" s="137"/>
      <c r="DG37" s="137"/>
      <c r="DH37" s="137"/>
      <c r="DI37" s="137"/>
      <c r="DJ37" s="137"/>
      <c r="DK37" s="137"/>
      <c r="DL37" s="137"/>
      <c r="DM37" s="137"/>
      <c r="DN37" s="137"/>
      <c r="DO37" s="137"/>
      <c r="DP37" s="137"/>
      <c r="DQ37" s="137"/>
      <c r="DR37" s="137"/>
      <c r="DS37" s="137"/>
      <c r="DT37" s="137"/>
      <c r="DU37" s="137"/>
      <c r="DV37" s="137"/>
      <c r="DW37" s="137"/>
      <c r="DX37" s="137"/>
      <c r="DY37" s="137"/>
      <c r="DZ37" s="137"/>
      <c r="EA37" s="137"/>
      <c r="ED37" s="137"/>
      <c r="EE37" s="137"/>
      <c r="EF37" s="137"/>
      <c r="EG37" s="137"/>
      <c r="EH37" s="137"/>
      <c r="EI37" s="137"/>
      <c r="EJ37" s="137"/>
      <c r="EK37" s="137"/>
      <c r="EL37" s="137"/>
      <c r="EM37" s="137"/>
      <c r="EN37" s="137"/>
      <c r="EO37" s="137"/>
      <c r="EP37" s="137"/>
      <c r="EQ37" s="137"/>
      <c r="ER37" s="137"/>
      <c r="ES37" s="137"/>
      <c r="ET37" s="137"/>
      <c r="EU37" s="137"/>
      <c r="EV37" s="137"/>
      <c r="EW37" s="137"/>
      <c r="EX37" s="137"/>
      <c r="EY37" s="137"/>
      <c r="EZ37" s="137"/>
      <c r="FA37" s="137"/>
      <c r="FB37" s="137"/>
      <c r="FC37" s="137"/>
      <c r="FD37" s="137"/>
      <c r="FE37" s="137"/>
      <c r="FF37" s="137"/>
      <c r="FG37" s="137"/>
      <c r="FH37" s="137"/>
      <c r="FI37" s="137"/>
      <c r="FJ37" s="137"/>
      <c r="FK37" s="137"/>
      <c r="FL37" s="137"/>
      <c r="FM37" s="137"/>
      <c r="FN37" s="137"/>
      <c r="FO37" s="137"/>
      <c r="FP37" s="137"/>
      <c r="FQ37" s="137"/>
      <c r="FR37" s="137"/>
      <c r="FS37" s="137"/>
      <c r="FT37" s="137"/>
      <c r="FU37" s="137"/>
      <c r="FV37" s="137"/>
      <c r="FW37" s="137"/>
      <c r="FX37" s="137"/>
      <c r="FY37" s="137"/>
      <c r="FZ37" s="137"/>
      <c r="GA37" s="137"/>
      <c r="GB37" s="137"/>
      <c r="GC37" s="137"/>
      <c r="GD37" s="137"/>
      <c r="GE37" s="137"/>
      <c r="GF37" s="137"/>
      <c r="GG37" s="137"/>
      <c r="GH37" s="137"/>
      <c r="GI37" s="137"/>
      <c r="GJ37" s="137"/>
      <c r="GK37" s="137"/>
      <c r="GL37" s="137"/>
    </row>
    <row r="38" spans="2:194" x14ac:dyDescent="0.3">
      <c r="B38" s="135" t="s">
        <v>3865</v>
      </c>
      <c r="C38" s="135" t="s">
        <v>3729</v>
      </c>
      <c r="D38" s="129" t="s">
        <v>3903</v>
      </c>
      <c r="E38" s="129" t="s">
        <v>3904</v>
      </c>
      <c r="F38" s="141" t="s">
        <v>3783</v>
      </c>
      <c r="G38" s="137" t="s">
        <v>3863</v>
      </c>
      <c r="H38" s="137" t="s">
        <v>3863</v>
      </c>
      <c r="I38" s="137"/>
      <c r="J38" s="140"/>
      <c r="K38" s="137"/>
      <c r="L38" s="137">
        <v>2</v>
      </c>
      <c r="M38" s="131">
        <f t="shared" si="16"/>
        <v>2</v>
      </c>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7"/>
      <c r="AZ38" s="137"/>
      <c r="BA38" s="137"/>
      <c r="BB38" s="137"/>
      <c r="BC38" s="137"/>
      <c r="BD38" s="137"/>
      <c r="BE38" s="137"/>
      <c r="BF38" s="137"/>
      <c r="BG38" s="137"/>
      <c r="BH38" s="134">
        <v>1</v>
      </c>
      <c r="BI38" s="137"/>
      <c r="BJ38" s="137"/>
      <c r="BK38" s="137"/>
      <c r="BL38" s="137"/>
      <c r="BM38" s="137"/>
      <c r="BN38" s="137"/>
      <c r="BO38" s="137"/>
      <c r="BP38" s="137"/>
      <c r="BQ38" s="137"/>
      <c r="BR38" s="137"/>
      <c r="BS38" s="137"/>
      <c r="BT38" s="134">
        <v>1</v>
      </c>
      <c r="BU38" s="137"/>
      <c r="BV38" s="137"/>
      <c r="BW38" s="137"/>
      <c r="BX38" s="137"/>
      <c r="BY38" s="137"/>
      <c r="BZ38" s="137"/>
      <c r="CA38" s="137"/>
      <c r="CB38" s="137"/>
      <c r="CC38" s="137"/>
      <c r="CD38" s="137"/>
      <c r="CE38" s="137"/>
      <c r="CF38" s="137"/>
      <c r="CG38" s="137"/>
      <c r="CH38" s="137"/>
      <c r="CI38" s="137"/>
      <c r="CJ38" s="137"/>
      <c r="CK38" s="137"/>
      <c r="CL38" s="137"/>
      <c r="CM38" s="137"/>
      <c r="CN38" s="137"/>
      <c r="CO38" s="137"/>
      <c r="CP38" s="137"/>
      <c r="CQ38" s="137"/>
      <c r="CR38" s="137"/>
      <c r="CS38" s="137"/>
      <c r="CT38" s="137"/>
      <c r="CU38" s="137"/>
      <c r="CV38" s="137"/>
      <c r="CW38" s="137"/>
      <c r="CX38" s="137"/>
      <c r="CY38" s="137"/>
      <c r="CZ38" s="137"/>
      <c r="DA38" s="137"/>
      <c r="DB38" s="137"/>
      <c r="DC38" s="137"/>
      <c r="DD38" s="137"/>
      <c r="DE38" s="137"/>
      <c r="DF38" s="137"/>
      <c r="DG38" s="137"/>
      <c r="DH38" s="137"/>
      <c r="DI38" s="137"/>
      <c r="DJ38" s="137"/>
      <c r="DK38" s="137"/>
      <c r="DL38" s="137"/>
      <c r="DM38" s="137"/>
      <c r="DN38" s="137"/>
      <c r="DO38" s="137"/>
      <c r="DP38" s="137"/>
      <c r="DQ38" s="137"/>
      <c r="DR38" s="137"/>
      <c r="DS38" s="137"/>
      <c r="DT38" s="137"/>
      <c r="DU38" s="137"/>
      <c r="DV38" s="137"/>
      <c r="DW38" s="137"/>
      <c r="DX38" s="137"/>
      <c r="DY38" s="137"/>
      <c r="DZ38" s="137"/>
      <c r="EA38" s="137"/>
      <c r="ED38" s="137"/>
      <c r="EE38" s="137"/>
      <c r="EF38" s="137"/>
      <c r="EG38" s="137"/>
      <c r="EH38" s="137"/>
      <c r="EI38" s="137"/>
      <c r="EJ38" s="137"/>
      <c r="EK38" s="137"/>
      <c r="EL38" s="137"/>
      <c r="EM38" s="137"/>
      <c r="EN38" s="137"/>
      <c r="EO38" s="137"/>
      <c r="EP38" s="137"/>
      <c r="EQ38" s="137"/>
      <c r="ER38" s="137"/>
      <c r="ES38" s="137"/>
      <c r="ET38" s="137"/>
      <c r="EU38" s="137"/>
      <c r="EV38" s="137"/>
      <c r="EW38" s="137"/>
      <c r="EX38" s="137"/>
      <c r="EY38" s="137"/>
      <c r="EZ38" s="137"/>
      <c r="FA38" s="137"/>
      <c r="FB38" s="137"/>
      <c r="FC38" s="137"/>
      <c r="FD38" s="137"/>
      <c r="FE38" s="137"/>
      <c r="FF38" s="137"/>
      <c r="FG38" s="137"/>
      <c r="FH38" s="137"/>
      <c r="FI38" s="137"/>
      <c r="FJ38" s="137"/>
      <c r="FK38" s="137"/>
      <c r="FL38" s="137"/>
      <c r="FM38" s="137"/>
      <c r="FN38" s="137"/>
      <c r="FO38" s="137"/>
      <c r="FP38" s="137"/>
      <c r="FQ38" s="137"/>
      <c r="FR38" s="137"/>
      <c r="FS38" s="137"/>
      <c r="FT38" s="137"/>
      <c r="FU38" s="137"/>
      <c r="FV38" s="137"/>
      <c r="FW38" s="137"/>
      <c r="FX38" s="137"/>
      <c r="FY38" s="137"/>
      <c r="FZ38" s="137"/>
      <c r="GA38" s="137"/>
      <c r="GB38" s="137"/>
      <c r="GC38" s="137"/>
      <c r="GD38" s="137"/>
      <c r="GE38" s="137"/>
      <c r="GF38" s="137"/>
      <c r="GG38" s="137"/>
      <c r="GH38" s="137"/>
      <c r="GI38" s="137"/>
      <c r="GJ38" s="137"/>
      <c r="GK38" s="137"/>
      <c r="GL38" s="137"/>
    </row>
    <row r="39" spans="2:194" x14ac:dyDescent="0.3">
      <c r="B39" s="135" t="s">
        <v>3865</v>
      </c>
      <c r="C39" s="135" t="s">
        <v>3724</v>
      </c>
      <c r="D39" s="129" t="s">
        <v>3903</v>
      </c>
      <c r="E39" s="129" t="s">
        <v>3904</v>
      </c>
      <c r="F39" s="141" t="s">
        <v>3783</v>
      </c>
      <c r="G39" s="137" t="s">
        <v>3863</v>
      </c>
      <c r="H39" s="137" t="s">
        <v>3863</v>
      </c>
      <c r="I39" s="137"/>
      <c r="J39" s="140"/>
      <c r="K39" s="137"/>
      <c r="L39" s="137">
        <v>6</v>
      </c>
      <c r="M39" s="131">
        <f t="shared" si="16"/>
        <v>6</v>
      </c>
      <c r="N39" s="137"/>
      <c r="O39" s="137"/>
      <c r="P39" s="137"/>
      <c r="Q39" s="137"/>
      <c r="R39" s="137"/>
      <c r="S39" s="137"/>
      <c r="T39" s="137"/>
      <c r="U39" s="137"/>
      <c r="V39" s="137"/>
      <c r="W39" s="137"/>
      <c r="X39" s="137"/>
      <c r="Y39" s="137"/>
      <c r="Z39" s="137"/>
      <c r="AA39" s="137"/>
      <c r="AB39" s="137"/>
      <c r="AC39" s="137"/>
      <c r="AD39" s="137"/>
      <c r="AE39" s="134">
        <v>1</v>
      </c>
      <c r="AH39" s="137"/>
      <c r="AI39" s="137"/>
      <c r="AJ39" s="137"/>
      <c r="AK39" s="134">
        <v>1</v>
      </c>
      <c r="AL39" s="134">
        <v>1</v>
      </c>
      <c r="AM39" s="134">
        <v>1</v>
      </c>
      <c r="AN39" s="137"/>
      <c r="AO39" s="137"/>
      <c r="AP39" s="137"/>
      <c r="AQ39" s="137"/>
      <c r="AR39" s="137"/>
      <c r="AS39" s="137"/>
      <c r="AT39" s="137"/>
      <c r="AU39" s="137"/>
      <c r="AV39" s="137"/>
      <c r="AW39" s="137"/>
      <c r="AX39" s="137"/>
      <c r="AY39" s="137"/>
      <c r="AZ39" s="137"/>
      <c r="BA39" s="137"/>
      <c r="BB39" s="137"/>
      <c r="BC39" s="137"/>
      <c r="BD39" s="137"/>
      <c r="BE39" s="137"/>
      <c r="BF39" s="137"/>
      <c r="BG39" s="134">
        <v>1</v>
      </c>
      <c r="BH39" s="134">
        <v>1</v>
      </c>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c r="CY39" s="137"/>
      <c r="CZ39" s="137"/>
      <c r="DA39" s="137"/>
      <c r="DB39" s="137"/>
      <c r="DC39" s="137"/>
      <c r="DD39" s="137"/>
      <c r="DE39" s="137"/>
      <c r="DF39" s="137"/>
      <c r="DG39" s="137"/>
      <c r="DH39" s="137"/>
      <c r="DI39" s="137"/>
      <c r="DJ39" s="137"/>
      <c r="DK39" s="137"/>
      <c r="DL39" s="137"/>
      <c r="DM39" s="137"/>
      <c r="DN39" s="137"/>
      <c r="DO39" s="137"/>
      <c r="DP39" s="137"/>
      <c r="DQ39" s="137"/>
      <c r="DR39" s="137"/>
      <c r="DS39" s="137"/>
      <c r="DT39" s="137"/>
      <c r="DU39" s="137"/>
      <c r="DV39" s="137"/>
      <c r="DW39" s="137"/>
      <c r="DX39" s="137"/>
      <c r="DY39" s="137"/>
      <c r="DZ39" s="137"/>
      <c r="EA39" s="137"/>
      <c r="ED39" s="137"/>
      <c r="EE39" s="137"/>
      <c r="EF39" s="137"/>
      <c r="EG39" s="137"/>
      <c r="EH39" s="137"/>
      <c r="EI39" s="137"/>
      <c r="EJ39" s="137"/>
      <c r="EK39" s="137"/>
      <c r="EL39" s="137"/>
      <c r="EM39" s="137"/>
      <c r="EN39" s="137"/>
      <c r="EO39" s="137"/>
      <c r="EP39" s="137"/>
      <c r="EQ39" s="137"/>
      <c r="ER39" s="137"/>
      <c r="ES39" s="137"/>
      <c r="ET39" s="137"/>
      <c r="EU39" s="137"/>
      <c r="EV39" s="137"/>
      <c r="EW39" s="137"/>
      <c r="EX39" s="137"/>
      <c r="EY39" s="137"/>
      <c r="EZ39" s="137"/>
      <c r="FA39" s="137"/>
      <c r="FB39" s="137"/>
      <c r="FC39" s="137"/>
      <c r="FD39" s="137"/>
      <c r="FE39" s="137"/>
      <c r="FF39" s="137"/>
      <c r="FG39" s="137"/>
      <c r="FH39" s="137"/>
      <c r="FI39" s="137"/>
      <c r="FJ39" s="137"/>
      <c r="FK39" s="137"/>
      <c r="FL39" s="137"/>
      <c r="FM39" s="137"/>
      <c r="FN39" s="137"/>
      <c r="FO39" s="137"/>
      <c r="FP39" s="137"/>
      <c r="FQ39" s="137"/>
      <c r="FR39" s="137"/>
      <c r="FS39" s="137"/>
      <c r="FT39" s="137"/>
      <c r="FU39" s="137"/>
      <c r="FV39" s="137"/>
      <c r="FW39" s="137"/>
      <c r="FX39" s="137"/>
      <c r="FY39" s="137"/>
      <c r="FZ39" s="137"/>
      <c r="GA39" s="137"/>
      <c r="GB39" s="137"/>
      <c r="GC39" s="137"/>
      <c r="GD39" s="137"/>
      <c r="GE39" s="137"/>
      <c r="GF39" s="137"/>
      <c r="GG39" s="137"/>
      <c r="GH39" s="137"/>
      <c r="GI39" s="137"/>
      <c r="GJ39" s="137"/>
      <c r="GK39" s="137"/>
      <c r="GL39" s="137"/>
    </row>
    <row r="40" spans="2:194" x14ac:dyDescent="0.3">
      <c r="B40" s="135" t="s">
        <v>3865</v>
      </c>
      <c r="C40" s="135" t="s">
        <v>3725</v>
      </c>
      <c r="D40" s="129" t="s">
        <v>3903</v>
      </c>
      <c r="E40" s="129" t="s">
        <v>3904</v>
      </c>
      <c r="F40" s="141" t="s">
        <v>3783</v>
      </c>
      <c r="G40" s="137" t="s">
        <v>3863</v>
      </c>
      <c r="H40" s="137" t="s">
        <v>3863</v>
      </c>
      <c r="I40" s="137"/>
      <c r="J40" s="140"/>
      <c r="K40" s="137"/>
      <c r="L40" s="137">
        <v>6</v>
      </c>
      <c r="M40" s="131">
        <f t="shared" si="16"/>
        <v>6</v>
      </c>
      <c r="N40" s="137"/>
      <c r="O40" s="137"/>
      <c r="P40" s="137"/>
      <c r="Q40" s="137"/>
      <c r="R40" s="137"/>
      <c r="S40" s="137"/>
      <c r="T40" s="137"/>
      <c r="U40" s="137"/>
      <c r="V40" s="137"/>
      <c r="W40" s="137"/>
      <c r="X40" s="137"/>
      <c r="Y40" s="137"/>
      <c r="Z40" s="137"/>
      <c r="AA40" s="137"/>
      <c r="AB40" s="137"/>
      <c r="AC40" s="137"/>
      <c r="AD40" s="137"/>
      <c r="AE40" s="137"/>
      <c r="AF40" s="134">
        <v>1</v>
      </c>
      <c r="AG40" s="137"/>
      <c r="AH40" s="137"/>
      <c r="AI40" s="137"/>
      <c r="AJ40" s="137"/>
      <c r="AK40" s="134">
        <v>1</v>
      </c>
      <c r="AL40" s="134">
        <v>1</v>
      </c>
      <c r="AM40" s="134">
        <v>1</v>
      </c>
      <c r="AN40" s="137"/>
      <c r="AO40" s="137"/>
      <c r="AP40" s="137"/>
      <c r="AQ40" s="137"/>
      <c r="AR40" s="137"/>
      <c r="AS40" s="137"/>
      <c r="AT40" s="137"/>
      <c r="AU40" s="137"/>
      <c r="AV40" s="137"/>
      <c r="AW40" s="137"/>
      <c r="AX40" s="137"/>
      <c r="AY40" s="137"/>
      <c r="AZ40" s="137"/>
      <c r="BA40" s="137"/>
      <c r="BB40" s="137"/>
      <c r="BC40" s="137"/>
      <c r="BD40" s="137"/>
      <c r="BE40" s="137"/>
      <c r="BF40" s="137"/>
      <c r="BG40" s="137"/>
      <c r="BH40" s="137"/>
      <c r="BI40" s="134">
        <v>1</v>
      </c>
      <c r="BJ40" s="137"/>
      <c r="BK40" s="137"/>
      <c r="BL40" s="134">
        <v>1</v>
      </c>
      <c r="BN40" s="137"/>
      <c r="BO40" s="137"/>
      <c r="BP40" s="137"/>
      <c r="BQ40" s="137"/>
      <c r="BR40" s="137"/>
      <c r="BS40" s="137"/>
      <c r="BT40" s="137"/>
      <c r="BU40" s="137"/>
      <c r="BV40" s="137"/>
      <c r="BW40" s="137"/>
      <c r="BX40" s="137"/>
      <c r="BY40" s="137"/>
      <c r="BZ40" s="137"/>
      <c r="CA40" s="137"/>
      <c r="CB40" s="137"/>
      <c r="CC40" s="137"/>
      <c r="CD40" s="137"/>
      <c r="CE40" s="137"/>
      <c r="CF40" s="137"/>
      <c r="CG40" s="137"/>
      <c r="CH40" s="137"/>
      <c r="CI40" s="137"/>
      <c r="CJ40" s="137"/>
      <c r="CK40" s="137"/>
      <c r="CL40" s="137"/>
      <c r="CM40" s="137"/>
      <c r="CN40" s="137"/>
      <c r="CO40" s="137"/>
      <c r="CP40" s="137"/>
      <c r="CQ40" s="137"/>
      <c r="CR40" s="137"/>
      <c r="CS40" s="137"/>
      <c r="CT40" s="137"/>
      <c r="CU40" s="137"/>
      <c r="CV40" s="137"/>
      <c r="CW40" s="137"/>
      <c r="CX40" s="137"/>
      <c r="CY40" s="137"/>
      <c r="CZ40" s="137"/>
      <c r="DA40" s="137"/>
      <c r="DB40" s="137"/>
      <c r="DC40" s="137"/>
      <c r="DD40" s="137"/>
      <c r="DE40" s="137"/>
      <c r="DF40" s="137"/>
      <c r="DG40" s="137"/>
      <c r="DH40" s="137"/>
      <c r="DI40" s="137"/>
      <c r="DJ40" s="137"/>
      <c r="DK40" s="137"/>
      <c r="DL40" s="137"/>
      <c r="DM40" s="137"/>
      <c r="DN40" s="137"/>
      <c r="DO40" s="137"/>
      <c r="DP40" s="137"/>
      <c r="DQ40" s="137"/>
      <c r="DR40" s="137"/>
      <c r="DS40" s="137"/>
      <c r="DT40" s="137"/>
      <c r="DU40" s="137"/>
      <c r="DV40" s="137"/>
      <c r="DW40" s="137"/>
      <c r="DX40" s="137"/>
      <c r="DY40" s="137"/>
      <c r="DZ40" s="137"/>
      <c r="EA40" s="137"/>
      <c r="ED40" s="137"/>
      <c r="EE40" s="137"/>
      <c r="EF40" s="137"/>
      <c r="EG40" s="137"/>
      <c r="EH40" s="137"/>
      <c r="EI40" s="137"/>
      <c r="EJ40" s="137"/>
      <c r="EK40" s="137"/>
      <c r="EL40" s="137"/>
      <c r="EM40" s="137"/>
      <c r="EN40" s="137"/>
      <c r="EO40" s="137"/>
      <c r="EP40" s="137"/>
      <c r="EQ40" s="137"/>
      <c r="ER40" s="137"/>
      <c r="ES40" s="137"/>
      <c r="ET40" s="137"/>
      <c r="EU40" s="137"/>
      <c r="EV40" s="137"/>
      <c r="EW40" s="137"/>
      <c r="EX40" s="137"/>
      <c r="EY40" s="137"/>
      <c r="EZ40" s="137"/>
      <c r="FA40" s="137"/>
      <c r="FB40" s="137"/>
      <c r="FC40" s="137"/>
      <c r="FD40" s="137"/>
      <c r="FE40" s="137"/>
      <c r="FF40" s="137"/>
      <c r="FG40" s="137"/>
      <c r="FH40" s="137"/>
      <c r="FI40" s="137"/>
      <c r="FJ40" s="137"/>
      <c r="FK40" s="137"/>
      <c r="FL40" s="137"/>
      <c r="FM40" s="137"/>
      <c r="FN40" s="137"/>
      <c r="FO40" s="137"/>
      <c r="FP40" s="137"/>
      <c r="FQ40" s="137"/>
      <c r="FR40" s="137"/>
      <c r="FS40" s="137"/>
      <c r="FT40" s="137"/>
      <c r="FU40" s="137"/>
      <c r="FV40" s="137"/>
      <c r="FW40" s="137"/>
      <c r="FX40" s="137"/>
      <c r="FY40" s="137"/>
      <c r="FZ40" s="137"/>
      <c r="GA40" s="137"/>
      <c r="GB40" s="137"/>
      <c r="GC40" s="137"/>
      <c r="GD40" s="137"/>
      <c r="GE40" s="137"/>
      <c r="GF40" s="137"/>
      <c r="GG40" s="137"/>
      <c r="GH40" s="137"/>
      <c r="GI40" s="137"/>
      <c r="GJ40" s="137"/>
      <c r="GK40" s="137"/>
      <c r="GL40" s="137"/>
    </row>
    <row r="41" spans="2:194" hidden="1" x14ac:dyDescent="0.3">
      <c r="B41" s="135" t="s">
        <v>3803</v>
      </c>
      <c r="C41" s="135" t="s">
        <v>3767</v>
      </c>
      <c r="D41" s="129" t="s">
        <v>3903</v>
      </c>
      <c r="E41" s="129" t="s">
        <v>3904</v>
      </c>
      <c r="F41" s="140" t="s">
        <v>3787</v>
      </c>
      <c r="G41" s="137" t="s">
        <v>3863</v>
      </c>
      <c r="H41" s="137" t="s">
        <v>3863</v>
      </c>
      <c r="I41" s="137"/>
      <c r="J41" s="140" t="s">
        <v>3787</v>
      </c>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c r="CY41" s="137"/>
      <c r="CZ41" s="137"/>
      <c r="DA41" s="137"/>
      <c r="DB41" s="137"/>
      <c r="DC41" s="137"/>
      <c r="DD41" s="137"/>
      <c r="DE41" s="137"/>
      <c r="DF41" s="137"/>
      <c r="DG41" s="137"/>
      <c r="DH41" s="137"/>
      <c r="DI41" s="137"/>
      <c r="DJ41" s="137"/>
      <c r="DK41" s="137"/>
      <c r="DL41" s="137"/>
      <c r="DM41" s="137"/>
      <c r="DN41" s="137"/>
      <c r="DO41" s="137"/>
      <c r="DP41" s="137"/>
      <c r="DQ41" s="137"/>
      <c r="DR41" s="137"/>
      <c r="DS41" s="137"/>
      <c r="DT41" s="137"/>
      <c r="DU41" s="137"/>
      <c r="DV41" s="137"/>
      <c r="DW41" s="137"/>
      <c r="DX41" s="137"/>
      <c r="DY41" s="137"/>
      <c r="DZ41" s="137"/>
      <c r="EA41" s="137"/>
      <c r="ED41" s="137"/>
      <c r="EE41" s="137"/>
      <c r="EF41" s="137"/>
      <c r="EG41" s="137"/>
      <c r="EH41" s="137"/>
      <c r="EI41" s="137"/>
      <c r="EJ41" s="137"/>
      <c r="EK41" s="137"/>
      <c r="EL41" s="137"/>
      <c r="EM41" s="137"/>
      <c r="EN41" s="137"/>
      <c r="EO41" s="137"/>
      <c r="EP41" s="137"/>
      <c r="EQ41" s="137"/>
      <c r="ER41" s="137"/>
      <c r="ES41" s="137"/>
      <c r="ET41" s="137"/>
      <c r="EU41" s="137"/>
      <c r="EV41" s="137"/>
      <c r="EW41" s="137"/>
      <c r="EX41" s="137"/>
      <c r="EY41" s="137"/>
      <c r="EZ41" s="137"/>
      <c r="FA41" s="137"/>
      <c r="FB41" s="137"/>
      <c r="FC41" s="137"/>
      <c r="FD41" s="137"/>
      <c r="FE41" s="137"/>
      <c r="FF41" s="137"/>
      <c r="FG41" s="137"/>
      <c r="FH41" s="137"/>
      <c r="FI41" s="137"/>
      <c r="FJ41" s="137"/>
      <c r="FK41" s="137"/>
      <c r="FL41" s="137"/>
      <c r="FM41" s="137"/>
      <c r="FN41" s="137"/>
      <c r="FO41" s="137"/>
      <c r="FP41" s="137"/>
      <c r="FQ41" s="137"/>
      <c r="FR41" s="137"/>
      <c r="FS41" s="137"/>
      <c r="FT41" s="137"/>
      <c r="FU41" s="137"/>
      <c r="FV41" s="137"/>
      <c r="FW41" s="137"/>
      <c r="FX41" s="137"/>
      <c r="FY41" s="137"/>
      <c r="FZ41" s="137"/>
      <c r="GA41" s="137"/>
      <c r="GB41" s="137"/>
      <c r="GC41" s="137"/>
      <c r="GD41" s="137"/>
      <c r="GE41" s="137"/>
      <c r="GF41" s="137"/>
      <c r="GG41" s="137"/>
      <c r="GH41" s="137"/>
      <c r="GI41" s="137"/>
      <c r="GJ41" s="137"/>
      <c r="GK41" s="137"/>
      <c r="GL41" s="137"/>
    </row>
    <row r="42" spans="2:194" hidden="1" x14ac:dyDescent="0.3">
      <c r="B42" s="135" t="s">
        <v>3803</v>
      </c>
      <c r="C42" s="135" t="s">
        <v>3736</v>
      </c>
      <c r="D42" s="129" t="s">
        <v>3903</v>
      </c>
      <c r="E42" s="129" t="s">
        <v>3904</v>
      </c>
      <c r="F42" s="140" t="s">
        <v>3787</v>
      </c>
      <c r="G42" s="137" t="s">
        <v>3863</v>
      </c>
      <c r="H42" s="137" t="s">
        <v>3863</v>
      </c>
      <c r="I42" s="137"/>
      <c r="J42" s="140" t="s">
        <v>3787</v>
      </c>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c r="CY42" s="137"/>
      <c r="CZ42" s="137"/>
      <c r="DA42" s="137"/>
      <c r="DB42" s="137"/>
      <c r="DC42" s="137"/>
      <c r="DD42" s="137"/>
      <c r="DE42" s="137"/>
      <c r="DF42" s="137"/>
      <c r="DG42" s="137"/>
      <c r="DH42" s="137"/>
      <c r="DI42" s="137"/>
      <c r="DJ42" s="137"/>
      <c r="DK42" s="137"/>
      <c r="DL42" s="137"/>
      <c r="DM42" s="137"/>
      <c r="DN42" s="137"/>
      <c r="DO42" s="137"/>
      <c r="DP42" s="137"/>
      <c r="DQ42" s="137"/>
      <c r="DR42" s="137"/>
      <c r="DS42" s="137"/>
      <c r="DT42" s="137"/>
      <c r="DU42" s="137"/>
      <c r="DV42" s="137"/>
      <c r="DW42" s="137"/>
      <c r="DX42" s="137"/>
      <c r="DY42" s="137"/>
      <c r="DZ42" s="137"/>
      <c r="EA42" s="137"/>
      <c r="ED42" s="137"/>
      <c r="EE42" s="137"/>
      <c r="EF42" s="137"/>
      <c r="EG42" s="137"/>
      <c r="EH42" s="137"/>
      <c r="EI42" s="137"/>
      <c r="EJ42" s="137"/>
      <c r="EK42" s="137"/>
      <c r="EL42" s="137"/>
      <c r="EM42" s="137"/>
      <c r="EN42" s="137"/>
      <c r="EO42" s="137"/>
      <c r="EP42" s="137"/>
      <c r="EQ42" s="137"/>
      <c r="ER42" s="137"/>
      <c r="ES42" s="137"/>
      <c r="ET42" s="137"/>
      <c r="EU42" s="137"/>
      <c r="EV42" s="137"/>
      <c r="EW42" s="137"/>
      <c r="EX42" s="137"/>
      <c r="EY42" s="137"/>
      <c r="EZ42" s="137"/>
      <c r="FA42" s="137"/>
      <c r="FB42" s="137"/>
      <c r="FC42" s="137"/>
      <c r="FD42" s="137"/>
      <c r="FE42" s="137"/>
      <c r="FF42" s="137"/>
      <c r="FG42" s="137"/>
      <c r="FH42" s="137"/>
      <c r="FI42" s="137"/>
      <c r="FJ42" s="137"/>
      <c r="FK42" s="137"/>
      <c r="FL42" s="137"/>
      <c r="FM42" s="137"/>
      <c r="FN42" s="137"/>
      <c r="FO42" s="137"/>
      <c r="FP42" s="137"/>
      <c r="FQ42" s="137"/>
      <c r="FR42" s="137"/>
      <c r="FS42" s="137"/>
      <c r="FT42" s="137"/>
      <c r="FU42" s="137"/>
      <c r="FV42" s="137"/>
      <c r="FW42" s="137"/>
      <c r="FX42" s="137"/>
      <c r="FY42" s="137"/>
      <c r="FZ42" s="137"/>
      <c r="GA42" s="137"/>
      <c r="GB42" s="137"/>
      <c r="GC42" s="137"/>
      <c r="GD42" s="137"/>
      <c r="GE42" s="137"/>
      <c r="GF42" s="137"/>
      <c r="GG42" s="137"/>
      <c r="GH42" s="137"/>
      <c r="GI42" s="137"/>
      <c r="GJ42" s="137"/>
      <c r="GK42" s="137"/>
      <c r="GL42" s="137"/>
    </row>
    <row r="43" spans="2:194" hidden="1" x14ac:dyDescent="0.3">
      <c r="B43" s="135" t="s">
        <v>3803</v>
      </c>
      <c r="C43" s="135" t="s">
        <v>3734</v>
      </c>
      <c r="D43" s="129" t="s">
        <v>3903</v>
      </c>
      <c r="E43" s="129" t="s">
        <v>3904</v>
      </c>
      <c r="F43" s="140" t="s">
        <v>3787</v>
      </c>
      <c r="G43" s="137" t="s">
        <v>3863</v>
      </c>
      <c r="H43" s="137" t="s">
        <v>3863</v>
      </c>
      <c r="I43" s="137"/>
      <c r="J43" s="140" t="s">
        <v>3787</v>
      </c>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7"/>
      <c r="AY43" s="137"/>
      <c r="AZ43" s="137"/>
      <c r="BA43" s="137"/>
      <c r="BB43" s="137"/>
      <c r="BC43" s="137"/>
      <c r="BD43" s="137"/>
      <c r="BE43" s="137"/>
      <c r="BF43" s="137"/>
      <c r="BG43" s="137"/>
      <c r="BH43" s="137"/>
      <c r="BI43" s="137"/>
      <c r="BJ43" s="137"/>
      <c r="BK43" s="137"/>
      <c r="BL43" s="137"/>
      <c r="BM43" s="137"/>
      <c r="BN43" s="137"/>
      <c r="BO43" s="137"/>
      <c r="BP43" s="137"/>
      <c r="BQ43" s="137"/>
      <c r="BR43" s="137"/>
      <c r="BS43" s="137"/>
      <c r="BT43" s="137"/>
      <c r="BU43" s="137"/>
      <c r="BV43" s="137"/>
      <c r="BW43" s="137"/>
      <c r="BX43" s="137"/>
      <c r="BY43" s="137"/>
      <c r="BZ43" s="137"/>
      <c r="CA43" s="137"/>
      <c r="CB43" s="137"/>
      <c r="CC43" s="137"/>
      <c r="CD43" s="137"/>
      <c r="CE43" s="137"/>
      <c r="CF43" s="137"/>
      <c r="CG43" s="137"/>
      <c r="CH43" s="137"/>
      <c r="CI43" s="137"/>
      <c r="CJ43" s="137"/>
      <c r="CK43" s="137"/>
      <c r="CL43" s="137"/>
      <c r="CM43" s="137"/>
      <c r="CN43" s="137"/>
      <c r="CO43" s="137"/>
      <c r="CP43" s="137"/>
      <c r="CQ43" s="137"/>
      <c r="CR43" s="137"/>
      <c r="CS43" s="137"/>
      <c r="CT43" s="137"/>
      <c r="CU43" s="137"/>
      <c r="CV43" s="137"/>
      <c r="CW43" s="137"/>
      <c r="CX43" s="137"/>
      <c r="CY43" s="137"/>
      <c r="CZ43" s="137"/>
      <c r="DA43" s="137"/>
      <c r="DB43" s="137"/>
      <c r="DC43" s="137"/>
      <c r="DD43" s="137"/>
      <c r="DE43" s="137"/>
      <c r="DF43" s="137"/>
      <c r="DG43" s="137"/>
      <c r="DH43" s="137"/>
      <c r="DI43" s="137"/>
      <c r="DJ43" s="137"/>
      <c r="DK43" s="137"/>
      <c r="DL43" s="137"/>
      <c r="DM43" s="137"/>
      <c r="DN43" s="137"/>
      <c r="DO43" s="137"/>
      <c r="DP43" s="137"/>
      <c r="DQ43" s="137"/>
      <c r="DR43" s="137"/>
      <c r="DS43" s="137"/>
      <c r="DT43" s="137"/>
      <c r="DU43" s="137"/>
      <c r="DV43" s="137"/>
      <c r="DW43" s="137"/>
      <c r="DX43" s="137"/>
      <c r="DY43" s="137"/>
      <c r="DZ43" s="137"/>
      <c r="EA43" s="137"/>
      <c r="ED43" s="137"/>
      <c r="EE43" s="137"/>
      <c r="EF43" s="137"/>
      <c r="EG43" s="137"/>
      <c r="EH43" s="137"/>
      <c r="EI43" s="137"/>
      <c r="EJ43" s="137"/>
      <c r="EK43" s="137"/>
      <c r="EL43" s="137"/>
      <c r="EM43" s="137"/>
      <c r="EN43" s="137"/>
      <c r="EO43" s="137"/>
      <c r="EP43" s="137"/>
      <c r="EQ43" s="137"/>
      <c r="ER43" s="137"/>
      <c r="ES43" s="137"/>
      <c r="ET43" s="137"/>
      <c r="EU43" s="137"/>
      <c r="EV43" s="137"/>
      <c r="EW43" s="137"/>
      <c r="EX43" s="137"/>
      <c r="EY43" s="137"/>
      <c r="EZ43" s="137"/>
      <c r="FA43" s="137"/>
      <c r="FB43" s="137"/>
      <c r="FC43" s="137"/>
      <c r="FD43" s="137"/>
      <c r="FE43" s="137"/>
      <c r="FF43" s="137"/>
      <c r="FG43" s="137"/>
      <c r="FH43" s="137"/>
      <c r="FI43" s="137"/>
      <c r="FJ43" s="137"/>
      <c r="FK43" s="137"/>
      <c r="FL43" s="137"/>
      <c r="FM43" s="137"/>
      <c r="FN43" s="137"/>
      <c r="FO43" s="137"/>
      <c r="FP43" s="137"/>
      <c r="FQ43" s="137"/>
      <c r="FR43" s="137"/>
      <c r="FS43" s="137"/>
      <c r="FT43" s="137"/>
      <c r="FU43" s="137"/>
      <c r="FV43" s="137"/>
      <c r="FW43" s="137"/>
      <c r="FX43" s="137"/>
      <c r="FY43" s="137"/>
      <c r="FZ43" s="137"/>
      <c r="GA43" s="137"/>
      <c r="GB43" s="137"/>
      <c r="GC43" s="137"/>
      <c r="GD43" s="137"/>
      <c r="GE43" s="137"/>
      <c r="GF43" s="137"/>
      <c r="GG43" s="137"/>
      <c r="GH43" s="137"/>
      <c r="GI43" s="137"/>
      <c r="GJ43" s="137"/>
      <c r="GK43" s="137"/>
      <c r="GL43" s="137"/>
    </row>
    <row r="44" spans="2:194" x14ac:dyDescent="0.3">
      <c r="B44" s="135" t="s">
        <v>3808</v>
      </c>
      <c r="C44" s="135" t="s">
        <v>3755</v>
      </c>
      <c r="D44" s="129" t="s">
        <v>3903</v>
      </c>
      <c r="E44" s="129" t="s">
        <v>3904</v>
      </c>
      <c r="F44" s="140" t="s">
        <v>3787</v>
      </c>
      <c r="G44" s="137" t="s">
        <v>3863</v>
      </c>
      <c r="H44" s="137" t="s">
        <v>3863</v>
      </c>
      <c r="I44" s="137"/>
      <c r="J44" s="140" t="s">
        <v>3787</v>
      </c>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7"/>
      <c r="AY44" s="137"/>
      <c r="AZ44" s="137"/>
      <c r="BA44" s="137"/>
      <c r="BB44" s="137"/>
      <c r="BC44" s="137"/>
      <c r="BD44" s="137"/>
      <c r="BE44" s="137"/>
      <c r="BF44" s="137"/>
      <c r="BG44" s="137"/>
      <c r="BH44" s="137"/>
      <c r="BI44" s="137"/>
      <c r="BJ44" s="137"/>
      <c r="BK44" s="137"/>
      <c r="BL44" s="137"/>
      <c r="BM44" s="137"/>
      <c r="BN44" s="137"/>
      <c r="BO44" s="137"/>
      <c r="BP44" s="137"/>
      <c r="BQ44" s="137"/>
      <c r="BR44" s="137"/>
      <c r="BS44" s="137"/>
      <c r="BT44" s="137"/>
      <c r="BU44" s="137"/>
      <c r="BV44" s="137"/>
      <c r="BW44" s="137"/>
      <c r="BX44" s="137"/>
      <c r="BY44" s="137"/>
      <c r="BZ44" s="137"/>
      <c r="CA44" s="137"/>
      <c r="CB44" s="137"/>
      <c r="CC44" s="137"/>
      <c r="CD44" s="137"/>
      <c r="CE44" s="137"/>
      <c r="CF44" s="137"/>
      <c r="CG44" s="137"/>
      <c r="CH44" s="137"/>
      <c r="CI44" s="137"/>
      <c r="CJ44" s="137"/>
      <c r="CK44" s="137"/>
      <c r="CL44" s="137"/>
      <c r="CM44" s="137"/>
      <c r="CN44" s="137"/>
      <c r="CO44" s="137"/>
      <c r="CP44" s="137"/>
      <c r="CQ44" s="137"/>
      <c r="CR44" s="137"/>
      <c r="CS44" s="137"/>
      <c r="CT44" s="137"/>
      <c r="CU44" s="137"/>
      <c r="CV44" s="137"/>
      <c r="CW44" s="137"/>
      <c r="CX44" s="137"/>
      <c r="CY44" s="137"/>
      <c r="CZ44" s="137"/>
      <c r="DA44" s="137"/>
      <c r="DB44" s="137"/>
      <c r="DC44" s="137"/>
      <c r="DD44" s="137"/>
      <c r="DE44" s="137"/>
      <c r="DF44" s="137"/>
      <c r="DG44" s="137"/>
      <c r="DH44" s="137"/>
      <c r="DI44" s="137"/>
      <c r="DJ44" s="137"/>
      <c r="DK44" s="137"/>
      <c r="DL44" s="137"/>
      <c r="DM44" s="137"/>
      <c r="DN44" s="137"/>
      <c r="DO44" s="137"/>
      <c r="DP44" s="137"/>
      <c r="DQ44" s="137"/>
      <c r="DR44" s="137"/>
      <c r="DS44" s="137"/>
      <c r="DT44" s="137"/>
      <c r="DU44" s="137"/>
      <c r="DV44" s="137"/>
      <c r="DW44" s="137"/>
      <c r="DX44" s="137"/>
      <c r="DY44" s="137"/>
      <c r="DZ44" s="137"/>
      <c r="EA44" s="137"/>
      <c r="ED44" s="137"/>
      <c r="EE44" s="137"/>
      <c r="EF44" s="137"/>
      <c r="EG44" s="137"/>
      <c r="EH44" s="137"/>
      <c r="EI44" s="137"/>
      <c r="EJ44" s="137"/>
      <c r="EK44" s="137"/>
      <c r="EL44" s="137"/>
      <c r="EM44" s="137"/>
      <c r="EN44" s="137"/>
      <c r="EO44" s="137"/>
      <c r="EP44" s="137"/>
      <c r="EQ44" s="137"/>
      <c r="ER44" s="137"/>
      <c r="ES44" s="137"/>
      <c r="ET44" s="137"/>
      <c r="EU44" s="137"/>
      <c r="EV44" s="137"/>
      <c r="EW44" s="137"/>
      <c r="EX44" s="137"/>
      <c r="EY44" s="137"/>
      <c r="EZ44" s="137"/>
      <c r="FA44" s="137"/>
      <c r="FB44" s="137"/>
      <c r="FC44" s="137"/>
      <c r="FD44" s="137"/>
      <c r="FE44" s="137"/>
      <c r="FF44" s="137"/>
      <c r="FG44" s="137"/>
      <c r="FH44" s="137"/>
      <c r="FI44" s="137"/>
      <c r="FJ44" s="137"/>
      <c r="FK44" s="137"/>
      <c r="FL44" s="137"/>
      <c r="FM44" s="137"/>
      <c r="FN44" s="137"/>
      <c r="FO44" s="137"/>
      <c r="FP44" s="137"/>
      <c r="FQ44" s="137"/>
      <c r="FR44" s="137"/>
      <c r="FS44" s="137"/>
      <c r="FT44" s="137"/>
      <c r="FU44" s="137"/>
      <c r="FV44" s="137"/>
      <c r="FW44" s="137"/>
      <c r="FX44" s="137"/>
      <c r="FY44" s="137"/>
      <c r="FZ44" s="137"/>
      <c r="GA44" s="137"/>
      <c r="GB44" s="137"/>
      <c r="GC44" s="137"/>
      <c r="GD44" s="137"/>
      <c r="GE44" s="137"/>
      <c r="GF44" s="137"/>
      <c r="GG44" s="137"/>
      <c r="GH44" s="137"/>
      <c r="GI44" s="137"/>
      <c r="GJ44" s="137"/>
      <c r="GK44" s="137"/>
      <c r="GL44" s="137"/>
    </row>
    <row r="45" spans="2:194" x14ac:dyDescent="0.3">
      <c r="B45" s="135" t="s">
        <v>3865</v>
      </c>
      <c r="C45" s="135" t="s">
        <v>3758</v>
      </c>
      <c r="D45" s="129" t="s">
        <v>3903</v>
      </c>
      <c r="E45" s="129" t="s">
        <v>3904</v>
      </c>
      <c r="F45" s="136" t="s">
        <v>3872</v>
      </c>
      <c r="G45" s="137" t="s">
        <v>3863</v>
      </c>
      <c r="H45" s="137" t="s">
        <v>3905</v>
      </c>
      <c r="I45" s="142">
        <v>45379</v>
      </c>
      <c r="J45" s="140"/>
      <c r="K45" s="137" t="s">
        <v>3873</v>
      </c>
      <c r="L45" s="137">
        <v>1</v>
      </c>
      <c r="M45" s="131">
        <f>SUM(N45:EA45)</f>
        <v>1</v>
      </c>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t="s">
        <v>3864</v>
      </c>
      <c r="AO45" s="137"/>
      <c r="AP45" s="137"/>
      <c r="AQ45" s="134">
        <v>1</v>
      </c>
      <c r="AR45" s="137"/>
      <c r="AS45" s="137"/>
      <c r="AT45" s="137"/>
      <c r="AU45" s="137"/>
      <c r="AV45" s="137"/>
      <c r="AW45" s="137"/>
      <c r="AX45" s="137"/>
      <c r="AY45" s="137"/>
      <c r="AZ45" s="137"/>
      <c r="BA45" s="137"/>
      <c r="BB45" s="137"/>
      <c r="BC45" s="137"/>
      <c r="BD45" s="137"/>
      <c r="BE45" s="137"/>
      <c r="BF45" s="137"/>
      <c r="BG45" s="137"/>
      <c r="BH45" s="137"/>
      <c r="BI45" s="137"/>
      <c r="BJ45" s="137"/>
      <c r="BK45" s="137"/>
      <c r="BL45" s="137"/>
      <c r="BM45" s="137"/>
      <c r="BN45" s="137"/>
      <c r="BO45" s="137"/>
      <c r="BP45" s="137"/>
      <c r="BQ45" s="137"/>
      <c r="BR45" s="137"/>
      <c r="BS45" s="137"/>
      <c r="BT45" s="137"/>
      <c r="BU45" s="137"/>
      <c r="BV45" s="137"/>
      <c r="BW45" s="137"/>
      <c r="BX45" s="137"/>
      <c r="BY45" s="137"/>
      <c r="BZ45" s="137"/>
      <c r="CA45" s="137"/>
      <c r="CB45" s="137"/>
      <c r="CC45" s="137"/>
      <c r="CD45" s="137"/>
      <c r="CE45" s="137"/>
      <c r="CF45" s="137"/>
      <c r="CG45" s="137"/>
      <c r="CH45" s="137"/>
      <c r="CI45" s="137"/>
      <c r="CJ45" s="137"/>
      <c r="CK45" s="137"/>
      <c r="CL45" s="137"/>
      <c r="CM45" s="137"/>
      <c r="CN45" s="137"/>
      <c r="CO45" s="137"/>
      <c r="CP45" s="137"/>
      <c r="CQ45" s="137"/>
      <c r="CR45" s="137"/>
      <c r="CS45" s="137"/>
      <c r="CT45" s="137"/>
      <c r="CU45" s="137"/>
      <c r="CV45" s="137"/>
      <c r="CW45" s="137"/>
      <c r="CX45" s="137"/>
      <c r="CY45" s="137"/>
      <c r="CZ45" s="137"/>
      <c r="DA45" s="137"/>
      <c r="DB45" s="137"/>
      <c r="DC45" s="137"/>
      <c r="DD45" s="137"/>
      <c r="DE45" s="137"/>
      <c r="DF45" s="137"/>
      <c r="DG45" s="137"/>
      <c r="DH45" s="137"/>
      <c r="DI45" s="137"/>
      <c r="DJ45" s="137"/>
      <c r="DK45" s="137"/>
      <c r="DL45" s="137"/>
      <c r="DM45" s="137"/>
      <c r="DN45" s="137"/>
      <c r="DO45" s="137"/>
      <c r="DP45" s="137"/>
      <c r="DQ45" s="137"/>
      <c r="DR45" s="137"/>
      <c r="DS45" s="137"/>
      <c r="DT45" s="137"/>
      <c r="DU45" s="137"/>
      <c r="DV45" s="137"/>
      <c r="DW45" s="137"/>
      <c r="DX45" s="137"/>
      <c r="DY45" s="137"/>
      <c r="DZ45" s="137"/>
      <c r="EA45" s="137"/>
      <c r="ED45" s="137"/>
      <c r="EE45" s="137"/>
      <c r="EF45" s="137"/>
      <c r="EG45" s="137"/>
      <c r="EH45" s="137"/>
      <c r="EI45" s="137"/>
      <c r="EJ45" s="137"/>
      <c r="EK45" s="137"/>
      <c r="EL45" s="137"/>
      <c r="EM45" s="137"/>
      <c r="EN45" s="137"/>
      <c r="EO45" s="137"/>
      <c r="EP45" s="137"/>
      <c r="EQ45" s="137"/>
      <c r="ER45" s="137"/>
      <c r="ES45" s="137"/>
      <c r="ET45" s="137"/>
      <c r="EU45" s="137"/>
      <c r="EV45" s="137"/>
      <c r="EW45" s="137"/>
      <c r="EX45" s="137"/>
      <c r="EY45" s="137"/>
      <c r="EZ45" s="137"/>
      <c r="FA45" s="137"/>
      <c r="FB45" s="137"/>
      <c r="FC45" s="137"/>
      <c r="FD45" s="137"/>
      <c r="FE45" s="137"/>
      <c r="FF45" s="137"/>
      <c r="FG45" s="137"/>
      <c r="FH45" s="137"/>
      <c r="FI45" s="137"/>
      <c r="FJ45" s="137"/>
      <c r="FK45" s="137"/>
      <c r="FL45" s="137"/>
      <c r="FM45" s="137"/>
      <c r="FN45" s="137"/>
      <c r="FO45" s="137"/>
      <c r="FP45" s="137"/>
      <c r="FQ45" s="137"/>
      <c r="FR45" s="137"/>
      <c r="FS45" s="137"/>
      <c r="FT45" s="137"/>
      <c r="FU45" s="137"/>
      <c r="FV45" s="137"/>
      <c r="FW45" s="137"/>
      <c r="FX45" s="137"/>
      <c r="FY45" s="137"/>
      <c r="FZ45" s="137"/>
      <c r="GA45" s="137"/>
      <c r="GB45" s="137"/>
      <c r="GC45" s="137"/>
      <c r="GD45" s="137"/>
      <c r="GE45" s="137"/>
      <c r="GF45" s="137"/>
      <c r="GG45" s="137"/>
      <c r="GH45" s="137"/>
      <c r="GI45" s="137"/>
      <c r="GJ45" s="137"/>
      <c r="GK45" s="137"/>
      <c r="GL45" s="137"/>
    </row>
    <row r="46" spans="2:194" hidden="1" x14ac:dyDescent="0.3">
      <c r="B46" s="135" t="s">
        <v>3803</v>
      </c>
      <c r="C46" s="135" t="s">
        <v>3747</v>
      </c>
      <c r="D46" s="129" t="s">
        <v>3903</v>
      </c>
      <c r="E46" s="129" t="s">
        <v>3904</v>
      </c>
      <c r="F46" s="140" t="s">
        <v>3787</v>
      </c>
      <c r="G46" s="137" t="s">
        <v>3863</v>
      </c>
      <c r="H46" s="137" t="s">
        <v>3863</v>
      </c>
      <c r="I46" s="137"/>
      <c r="J46" s="140" t="s">
        <v>3787</v>
      </c>
      <c r="K46" s="137" t="s">
        <v>3908</v>
      </c>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7"/>
      <c r="BB46" s="137"/>
      <c r="BC46" s="137"/>
      <c r="BD46" s="137"/>
      <c r="BE46" s="137"/>
      <c r="BF46" s="137"/>
      <c r="BG46" s="137"/>
      <c r="BH46" s="137"/>
      <c r="BI46" s="137"/>
      <c r="BJ46" s="137"/>
      <c r="BK46" s="137"/>
      <c r="BL46" s="137"/>
      <c r="BM46" s="137"/>
      <c r="BN46" s="137"/>
      <c r="BO46" s="137"/>
      <c r="BP46" s="137"/>
      <c r="BQ46" s="137"/>
      <c r="BR46" s="137"/>
      <c r="BS46" s="137"/>
      <c r="BT46" s="137"/>
      <c r="BU46" s="137"/>
      <c r="BV46" s="137"/>
      <c r="BW46" s="137"/>
      <c r="BX46" s="137"/>
      <c r="BY46" s="137"/>
      <c r="BZ46" s="137"/>
      <c r="CA46" s="137"/>
      <c r="CB46" s="137"/>
      <c r="CC46" s="137"/>
      <c r="CD46" s="137"/>
      <c r="CE46" s="137"/>
      <c r="CF46" s="137"/>
      <c r="CG46" s="137"/>
      <c r="CH46" s="137"/>
      <c r="CI46" s="137"/>
      <c r="CJ46" s="137"/>
      <c r="CK46" s="137"/>
      <c r="CL46" s="137"/>
      <c r="CM46" s="137"/>
      <c r="CN46" s="137"/>
      <c r="CO46" s="137"/>
      <c r="CP46" s="137"/>
      <c r="CQ46" s="137"/>
      <c r="CR46" s="137"/>
      <c r="CS46" s="137"/>
      <c r="CT46" s="137"/>
      <c r="CU46" s="137"/>
      <c r="CV46" s="137"/>
      <c r="CW46" s="137"/>
      <c r="CX46" s="137"/>
      <c r="CY46" s="137"/>
      <c r="CZ46" s="137"/>
      <c r="DA46" s="137"/>
      <c r="DB46" s="137"/>
      <c r="DC46" s="137"/>
      <c r="DD46" s="137"/>
      <c r="DE46" s="137"/>
      <c r="DF46" s="137"/>
      <c r="DG46" s="137"/>
      <c r="DH46" s="137"/>
      <c r="DI46" s="137"/>
      <c r="DJ46" s="137"/>
      <c r="DK46" s="137"/>
      <c r="DL46" s="137"/>
      <c r="DM46" s="137"/>
      <c r="DN46" s="137"/>
      <c r="DO46" s="137"/>
      <c r="DP46" s="137"/>
      <c r="DQ46" s="137"/>
      <c r="DR46" s="137"/>
      <c r="DS46" s="137"/>
      <c r="DT46" s="137"/>
      <c r="DU46" s="137"/>
      <c r="DV46" s="137"/>
      <c r="DW46" s="137"/>
      <c r="DX46" s="137"/>
      <c r="DY46" s="137"/>
      <c r="DZ46" s="137"/>
      <c r="EA46" s="137"/>
      <c r="ED46" s="137"/>
      <c r="EE46" s="137"/>
      <c r="EF46" s="137"/>
      <c r="EG46" s="137"/>
      <c r="EH46" s="137"/>
      <c r="EI46" s="137"/>
      <c r="EJ46" s="137"/>
      <c r="EK46" s="137"/>
      <c r="EL46" s="137"/>
      <c r="EM46" s="137"/>
      <c r="EN46" s="137"/>
      <c r="EO46" s="137"/>
      <c r="EP46" s="137"/>
      <c r="EQ46" s="137"/>
      <c r="ER46" s="137"/>
      <c r="ES46" s="137"/>
      <c r="ET46" s="137"/>
      <c r="EU46" s="137"/>
      <c r="EV46" s="137"/>
      <c r="EW46" s="137"/>
      <c r="EX46" s="137"/>
      <c r="EY46" s="137"/>
      <c r="EZ46" s="137"/>
      <c r="FA46" s="137"/>
      <c r="FB46" s="137"/>
      <c r="FC46" s="137"/>
      <c r="FD46" s="137"/>
      <c r="FE46" s="137"/>
      <c r="FF46" s="137"/>
      <c r="FG46" s="137"/>
      <c r="FH46" s="137"/>
      <c r="FI46" s="137"/>
      <c r="FJ46" s="137"/>
      <c r="FK46" s="137"/>
      <c r="FL46" s="137"/>
      <c r="FM46" s="137"/>
      <c r="FN46" s="137"/>
      <c r="FO46" s="137"/>
      <c r="FP46" s="137"/>
      <c r="FQ46" s="137"/>
      <c r="FR46" s="137"/>
      <c r="FS46" s="137"/>
      <c r="FT46" s="137"/>
      <c r="FU46" s="137"/>
      <c r="FV46" s="137"/>
      <c r="FW46" s="137"/>
      <c r="FX46" s="137"/>
      <c r="FY46" s="137"/>
      <c r="FZ46" s="137"/>
      <c r="GA46" s="137"/>
      <c r="GB46" s="137"/>
      <c r="GC46" s="137"/>
      <c r="GD46" s="137"/>
      <c r="GE46" s="137"/>
      <c r="GF46" s="137"/>
      <c r="GG46" s="137"/>
      <c r="GH46" s="137"/>
      <c r="GI46" s="137"/>
      <c r="GJ46" s="137"/>
      <c r="GK46" s="137"/>
      <c r="GL46" s="137"/>
    </row>
    <row r="47" spans="2:194" x14ac:dyDescent="0.3">
      <c r="B47" s="135" t="s">
        <v>3865</v>
      </c>
      <c r="C47" s="135" t="s">
        <v>3750</v>
      </c>
      <c r="D47" s="129" t="s">
        <v>3903</v>
      </c>
      <c r="E47" s="129" t="s">
        <v>3904</v>
      </c>
      <c r="F47" s="136" t="s">
        <v>3795</v>
      </c>
      <c r="G47" s="137" t="s">
        <v>3863</v>
      </c>
      <c r="H47" s="137" t="s">
        <v>3905</v>
      </c>
      <c r="I47" s="142">
        <v>45379</v>
      </c>
      <c r="J47" s="140"/>
      <c r="K47" s="137" t="s">
        <v>3871</v>
      </c>
      <c r="L47" s="137">
        <v>4</v>
      </c>
      <c r="M47" s="131">
        <f>SUM(N47:EA47)</f>
        <v>4</v>
      </c>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t="s">
        <v>3864</v>
      </c>
      <c r="AN47" s="134">
        <v>1</v>
      </c>
      <c r="AO47" s="137"/>
      <c r="AP47" s="137"/>
      <c r="AQ47" s="134">
        <v>1</v>
      </c>
      <c r="AR47" s="134">
        <v>1</v>
      </c>
      <c r="AS47" s="134">
        <v>1</v>
      </c>
      <c r="AT47" s="137"/>
      <c r="AU47" s="137"/>
      <c r="AV47" s="137"/>
      <c r="AW47" s="137"/>
      <c r="AX47" s="137"/>
      <c r="AY47" s="137"/>
      <c r="AZ47" s="137"/>
      <c r="BA47" s="137"/>
      <c r="BB47" s="137"/>
      <c r="BC47" s="137"/>
      <c r="BD47" s="137"/>
      <c r="BE47" s="137"/>
      <c r="BF47" s="137"/>
      <c r="BG47" s="137"/>
      <c r="BH47" s="137"/>
      <c r="BI47" s="137"/>
      <c r="BJ47" s="137"/>
      <c r="BK47" s="137"/>
      <c r="BL47" s="137"/>
      <c r="BM47" s="137"/>
      <c r="BN47" s="137"/>
      <c r="BO47" s="137"/>
      <c r="BP47" s="137"/>
      <c r="BQ47" s="137"/>
      <c r="BR47" s="137"/>
      <c r="BS47" s="137"/>
      <c r="BT47" s="137"/>
      <c r="BU47" s="137"/>
      <c r="BV47" s="137"/>
      <c r="BW47" s="137"/>
      <c r="BX47" s="137"/>
      <c r="BY47" s="137"/>
      <c r="BZ47" s="137"/>
      <c r="CA47" s="137"/>
      <c r="CB47" s="137"/>
      <c r="CC47" s="137"/>
      <c r="CD47" s="137"/>
      <c r="CE47" s="137"/>
      <c r="CF47" s="137"/>
      <c r="CG47" s="137"/>
      <c r="CH47" s="137"/>
      <c r="CI47" s="137"/>
      <c r="CJ47" s="137"/>
      <c r="CK47" s="137"/>
      <c r="CL47" s="137"/>
      <c r="CM47" s="137"/>
      <c r="CN47" s="137"/>
      <c r="CO47" s="137"/>
      <c r="CP47" s="137"/>
      <c r="CQ47" s="137"/>
      <c r="CR47" s="137"/>
      <c r="CS47" s="137"/>
      <c r="CT47" s="137"/>
      <c r="CU47" s="137"/>
      <c r="CV47" s="137"/>
      <c r="CW47" s="137"/>
      <c r="CX47" s="137"/>
      <c r="CY47" s="137"/>
      <c r="CZ47" s="137"/>
      <c r="DA47" s="137"/>
      <c r="DB47" s="137"/>
      <c r="DC47" s="137"/>
      <c r="DD47" s="137"/>
      <c r="DE47" s="137"/>
      <c r="DF47" s="137"/>
      <c r="DG47" s="137"/>
      <c r="DH47" s="137"/>
      <c r="DI47" s="137"/>
      <c r="DJ47" s="137"/>
      <c r="DK47" s="137"/>
      <c r="DL47" s="137"/>
      <c r="DM47" s="137"/>
      <c r="DN47" s="137"/>
      <c r="DO47" s="137"/>
      <c r="DP47" s="137"/>
      <c r="DQ47" s="137"/>
      <c r="DR47" s="137"/>
      <c r="DS47" s="137"/>
      <c r="DT47" s="137"/>
      <c r="DU47" s="137"/>
      <c r="DV47" s="137"/>
      <c r="DW47" s="137"/>
      <c r="DX47" s="137"/>
      <c r="DY47" s="137"/>
      <c r="DZ47" s="137"/>
      <c r="EA47" s="137"/>
      <c r="ED47" s="137"/>
      <c r="EE47" s="137"/>
      <c r="EF47" s="137"/>
      <c r="EG47" s="137"/>
      <c r="EH47" s="137"/>
      <c r="EI47" s="137"/>
      <c r="EJ47" s="137"/>
      <c r="EK47" s="137"/>
      <c r="EL47" s="137"/>
      <c r="EM47" s="137"/>
      <c r="EN47" s="137"/>
      <c r="EO47" s="137"/>
      <c r="EP47" s="137"/>
      <c r="EQ47" s="137"/>
      <c r="ER47" s="137"/>
      <c r="ES47" s="137"/>
      <c r="ET47" s="137"/>
      <c r="EU47" s="137"/>
      <c r="EV47" s="137"/>
      <c r="EW47" s="137"/>
      <c r="EX47" s="137"/>
      <c r="EY47" s="137"/>
      <c r="EZ47" s="137"/>
      <c r="FA47" s="137"/>
      <c r="FB47" s="137"/>
      <c r="FC47" s="137"/>
      <c r="FD47" s="137"/>
      <c r="FE47" s="137"/>
      <c r="FF47" s="137"/>
      <c r="FG47" s="137"/>
      <c r="FH47" s="137"/>
      <c r="FI47" s="137"/>
      <c r="FJ47" s="137"/>
      <c r="FK47" s="137"/>
      <c r="FL47" s="137"/>
      <c r="FM47" s="137"/>
      <c r="FN47" s="137"/>
      <c r="FO47" s="137"/>
      <c r="FP47" s="137"/>
      <c r="FQ47" s="137"/>
      <c r="FR47" s="137"/>
      <c r="FS47" s="137"/>
      <c r="FT47" s="137"/>
      <c r="FU47" s="137"/>
      <c r="FV47" s="137"/>
      <c r="FW47" s="137"/>
      <c r="FX47" s="137"/>
      <c r="FY47" s="137"/>
      <c r="FZ47" s="137"/>
      <c r="GA47" s="137"/>
      <c r="GB47" s="137"/>
      <c r="GC47" s="137"/>
      <c r="GD47" s="137"/>
      <c r="GE47" s="137"/>
      <c r="GF47" s="137"/>
      <c r="GG47" s="137"/>
      <c r="GH47" s="137"/>
      <c r="GI47" s="137"/>
      <c r="GJ47" s="137"/>
      <c r="GK47" s="137"/>
      <c r="GL47" s="137"/>
    </row>
    <row r="48" spans="2:194" hidden="1" x14ac:dyDescent="0.3">
      <c r="B48" s="135" t="s">
        <v>3803</v>
      </c>
      <c r="C48" s="135" t="s">
        <v>3742</v>
      </c>
      <c r="D48" s="129" t="s">
        <v>3903</v>
      </c>
      <c r="E48" s="129" t="s">
        <v>3904</v>
      </c>
      <c r="F48" s="140" t="s">
        <v>3787</v>
      </c>
      <c r="G48" s="137" t="s">
        <v>3863</v>
      </c>
      <c r="H48" s="137" t="s">
        <v>3863</v>
      </c>
      <c r="I48" s="137"/>
      <c r="J48" s="140" t="s">
        <v>3787</v>
      </c>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c r="CA48" s="137"/>
      <c r="CB48" s="137"/>
      <c r="CC48" s="137"/>
      <c r="CD48" s="137"/>
      <c r="CE48" s="137"/>
      <c r="CF48" s="137"/>
      <c r="CG48" s="137"/>
      <c r="CH48" s="137"/>
      <c r="CI48" s="137"/>
      <c r="CJ48" s="137"/>
      <c r="CK48" s="137"/>
      <c r="CL48" s="137"/>
      <c r="CM48" s="137"/>
      <c r="CN48" s="137"/>
      <c r="CO48" s="137"/>
      <c r="CP48" s="137"/>
      <c r="CQ48" s="137"/>
      <c r="CR48" s="137"/>
      <c r="CS48" s="137"/>
      <c r="CT48" s="137"/>
      <c r="CU48" s="137"/>
      <c r="CV48" s="137"/>
      <c r="CW48" s="137"/>
      <c r="CX48" s="137"/>
      <c r="CY48" s="137"/>
      <c r="CZ48" s="137"/>
      <c r="DA48" s="137"/>
      <c r="DB48" s="137"/>
      <c r="DC48" s="137"/>
      <c r="DD48" s="137"/>
      <c r="DE48" s="137"/>
      <c r="DF48" s="137"/>
      <c r="DG48" s="137"/>
      <c r="DH48" s="137"/>
      <c r="DI48" s="137"/>
      <c r="DJ48" s="137"/>
      <c r="DK48" s="137"/>
      <c r="DL48" s="137"/>
      <c r="DM48" s="137"/>
      <c r="DN48" s="137"/>
      <c r="DO48" s="137"/>
      <c r="DP48" s="137"/>
      <c r="DQ48" s="137"/>
      <c r="DR48" s="137"/>
      <c r="DS48" s="137"/>
      <c r="DT48" s="137"/>
      <c r="DU48" s="137"/>
      <c r="DV48" s="137"/>
      <c r="DW48" s="137"/>
      <c r="DX48" s="137"/>
      <c r="DY48" s="137"/>
      <c r="DZ48" s="137"/>
      <c r="EA48" s="137"/>
      <c r="ED48" s="137"/>
      <c r="EE48" s="137"/>
      <c r="EF48" s="137"/>
      <c r="EG48" s="137"/>
      <c r="EH48" s="137"/>
      <c r="EI48" s="137"/>
      <c r="EJ48" s="137"/>
      <c r="EK48" s="137"/>
      <c r="EL48" s="137"/>
      <c r="EM48" s="137"/>
      <c r="EN48" s="137"/>
      <c r="EO48" s="137"/>
      <c r="EP48" s="137"/>
      <c r="EQ48" s="137"/>
      <c r="ER48" s="137"/>
      <c r="ES48" s="137"/>
      <c r="ET48" s="137"/>
      <c r="EU48" s="137"/>
      <c r="EV48" s="137"/>
      <c r="EW48" s="137"/>
      <c r="EX48" s="137"/>
      <c r="EY48" s="137"/>
      <c r="EZ48" s="137"/>
      <c r="FA48" s="137"/>
      <c r="FB48" s="137"/>
      <c r="FC48" s="137"/>
      <c r="FD48" s="137"/>
      <c r="FE48" s="137"/>
      <c r="FF48" s="137"/>
      <c r="FG48" s="137"/>
      <c r="FH48" s="137"/>
      <c r="FI48" s="137"/>
      <c r="FJ48" s="137"/>
      <c r="FK48" s="137"/>
      <c r="FL48" s="137"/>
      <c r="FM48" s="137"/>
      <c r="FN48" s="137"/>
      <c r="FO48" s="137"/>
      <c r="FP48" s="137"/>
      <c r="FQ48" s="137"/>
      <c r="FR48" s="137"/>
      <c r="FS48" s="137"/>
      <c r="FT48" s="137"/>
      <c r="FU48" s="137"/>
      <c r="FV48" s="137"/>
      <c r="FW48" s="137"/>
      <c r="FX48" s="137"/>
      <c r="FY48" s="137"/>
      <c r="FZ48" s="137"/>
      <c r="GA48" s="137"/>
      <c r="GB48" s="137"/>
      <c r="GC48" s="137"/>
      <c r="GD48" s="137"/>
      <c r="GE48" s="137"/>
      <c r="GF48" s="137"/>
      <c r="GG48" s="137"/>
      <c r="GH48" s="137"/>
      <c r="GI48" s="137"/>
      <c r="GJ48" s="137"/>
      <c r="GK48" s="137"/>
      <c r="GL48" s="137"/>
    </row>
    <row r="49" spans="2:194" hidden="1" x14ac:dyDescent="0.3">
      <c r="B49" s="135" t="s">
        <v>3803</v>
      </c>
      <c r="C49" s="135" t="s">
        <v>3737</v>
      </c>
      <c r="D49" s="129" t="s">
        <v>3903</v>
      </c>
      <c r="E49" s="129" t="s">
        <v>3904</v>
      </c>
      <c r="F49" s="140" t="s">
        <v>3787</v>
      </c>
      <c r="G49" s="137" t="s">
        <v>3863</v>
      </c>
      <c r="H49" s="137" t="s">
        <v>3863</v>
      </c>
      <c r="I49" s="137"/>
      <c r="J49" s="140" t="s">
        <v>3787</v>
      </c>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7"/>
      <c r="AR49" s="137"/>
      <c r="AS49" s="137"/>
      <c r="AT49" s="137"/>
      <c r="AU49" s="137"/>
      <c r="AV49" s="137"/>
      <c r="AW49" s="137"/>
      <c r="AX49" s="137"/>
      <c r="AY49" s="137"/>
      <c r="AZ49" s="137"/>
      <c r="BA49" s="137"/>
      <c r="BB49" s="137"/>
      <c r="BC49" s="137"/>
      <c r="BD49" s="137"/>
      <c r="BE49" s="137"/>
      <c r="BF49" s="137"/>
      <c r="BG49" s="137"/>
      <c r="BH49" s="137"/>
      <c r="BI49" s="137"/>
      <c r="BJ49" s="137"/>
      <c r="BK49" s="137"/>
      <c r="BL49" s="137"/>
      <c r="BM49" s="137"/>
      <c r="BN49" s="137"/>
      <c r="BO49" s="137"/>
      <c r="BP49" s="137"/>
      <c r="BQ49" s="137"/>
      <c r="BR49" s="137"/>
      <c r="BS49" s="137"/>
      <c r="BT49" s="137"/>
      <c r="BU49" s="137"/>
      <c r="BV49" s="137"/>
      <c r="BW49" s="137"/>
      <c r="BX49" s="137"/>
      <c r="BY49" s="137"/>
      <c r="BZ49" s="137"/>
      <c r="CA49" s="137"/>
      <c r="CB49" s="137"/>
      <c r="CC49" s="137"/>
      <c r="CD49" s="137"/>
      <c r="CE49" s="137"/>
      <c r="CF49" s="137"/>
      <c r="CG49" s="137"/>
      <c r="CH49" s="137"/>
      <c r="CI49" s="137"/>
      <c r="CJ49" s="137"/>
      <c r="CK49" s="137"/>
      <c r="CL49" s="137"/>
      <c r="CM49" s="137"/>
      <c r="CN49" s="137"/>
      <c r="CO49" s="137"/>
      <c r="CP49" s="137"/>
      <c r="CQ49" s="137"/>
      <c r="CR49" s="137"/>
      <c r="CS49" s="137"/>
      <c r="CT49" s="137"/>
      <c r="CU49" s="137"/>
      <c r="CV49" s="137"/>
      <c r="CW49" s="137"/>
      <c r="CX49" s="137"/>
      <c r="CY49" s="137"/>
      <c r="CZ49" s="137"/>
      <c r="DA49" s="137"/>
      <c r="DB49" s="137"/>
      <c r="DC49" s="137"/>
      <c r="DD49" s="137"/>
      <c r="DE49" s="137"/>
      <c r="DF49" s="137"/>
      <c r="DG49" s="137"/>
      <c r="DH49" s="137"/>
      <c r="DI49" s="137"/>
      <c r="DJ49" s="137"/>
      <c r="DK49" s="137"/>
      <c r="DL49" s="137"/>
      <c r="DM49" s="137"/>
      <c r="DN49" s="137"/>
      <c r="DO49" s="137"/>
      <c r="DP49" s="137"/>
      <c r="DQ49" s="137"/>
      <c r="DR49" s="137"/>
      <c r="DS49" s="137"/>
      <c r="DT49" s="137"/>
      <c r="DU49" s="137"/>
      <c r="DV49" s="137"/>
      <c r="DW49" s="137"/>
      <c r="DX49" s="137"/>
      <c r="DY49" s="137"/>
      <c r="DZ49" s="137"/>
      <c r="EA49" s="137"/>
      <c r="ED49" s="137"/>
      <c r="EE49" s="137"/>
      <c r="EF49" s="137"/>
      <c r="EG49" s="137"/>
      <c r="EH49" s="137"/>
      <c r="EI49" s="137"/>
      <c r="EJ49" s="137"/>
      <c r="EK49" s="137"/>
      <c r="EL49" s="137"/>
      <c r="EM49" s="137"/>
      <c r="EN49" s="137"/>
      <c r="EO49" s="137"/>
      <c r="EP49" s="137"/>
      <c r="EQ49" s="137"/>
      <c r="ER49" s="137"/>
      <c r="ES49" s="137"/>
      <c r="ET49" s="137"/>
      <c r="EU49" s="137"/>
      <c r="EV49" s="137"/>
      <c r="EW49" s="137"/>
      <c r="EX49" s="137"/>
      <c r="EY49" s="137"/>
      <c r="EZ49" s="137"/>
      <c r="FA49" s="137"/>
      <c r="FB49" s="137"/>
      <c r="FC49" s="137"/>
      <c r="FD49" s="137"/>
      <c r="FE49" s="137"/>
      <c r="FF49" s="137"/>
      <c r="FG49" s="137"/>
      <c r="FH49" s="137"/>
      <c r="FI49" s="137"/>
      <c r="FJ49" s="137"/>
      <c r="FK49" s="137"/>
      <c r="FL49" s="137"/>
      <c r="FM49" s="137"/>
      <c r="FN49" s="137"/>
      <c r="FO49" s="137"/>
      <c r="FP49" s="137"/>
      <c r="FQ49" s="137"/>
      <c r="FR49" s="137"/>
      <c r="FS49" s="137"/>
      <c r="FT49" s="137"/>
      <c r="FU49" s="137"/>
      <c r="FV49" s="137"/>
      <c r="FW49" s="137"/>
      <c r="FX49" s="137"/>
      <c r="FY49" s="137"/>
      <c r="FZ49" s="137"/>
      <c r="GA49" s="137"/>
      <c r="GB49" s="137"/>
      <c r="GC49" s="137"/>
      <c r="GD49" s="137"/>
      <c r="GE49" s="137"/>
      <c r="GF49" s="137"/>
      <c r="GG49" s="137"/>
      <c r="GH49" s="137"/>
      <c r="GI49" s="137"/>
      <c r="GJ49" s="137"/>
      <c r="GK49" s="137"/>
      <c r="GL49" s="137"/>
    </row>
    <row r="50" spans="2:194" hidden="1" x14ac:dyDescent="0.3">
      <c r="B50" s="135" t="s">
        <v>3803</v>
      </c>
      <c r="C50" s="135" t="s">
        <v>3743</v>
      </c>
      <c r="D50" s="129" t="s">
        <v>3903</v>
      </c>
      <c r="E50" s="129" t="s">
        <v>3904</v>
      </c>
      <c r="F50" s="140" t="s">
        <v>3787</v>
      </c>
      <c r="G50" s="137" t="s">
        <v>3863</v>
      </c>
      <c r="H50" s="137" t="s">
        <v>3863</v>
      </c>
      <c r="I50" s="137"/>
      <c r="J50" s="140" t="s">
        <v>3787</v>
      </c>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7"/>
      <c r="AR50" s="137"/>
      <c r="AS50" s="137"/>
      <c r="AT50" s="137"/>
      <c r="AU50" s="137"/>
      <c r="AV50" s="137"/>
      <c r="AW50" s="137"/>
      <c r="AX50" s="137"/>
      <c r="AY50" s="137"/>
      <c r="AZ50" s="137"/>
      <c r="BA50" s="137"/>
      <c r="BB50" s="137"/>
      <c r="BC50" s="137"/>
      <c r="BD50" s="137"/>
      <c r="BE50" s="137"/>
      <c r="BF50" s="137"/>
      <c r="BG50" s="137"/>
      <c r="BH50" s="137"/>
      <c r="BI50" s="137"/>
      <c r="BJ50" s="137"/>
      <c r="BK50" s="137"/>
      <c r="BL50" s="137"/>
      <c r="BM50" s="137"/>
      <c r="BN50" s="137"/>
      <c r="BO50" s="137"/>
      <c r="BP50" s="137"/>
      <c r="BQ50" s="137"/>
      <c r="BR50" s="137"/>
      <c r="BS50" s="137"/>
      <c r="BT50" s="137"/>
      <c r="BU50" s="137"/>
      <c r="BV50" s="137"/>
      <c r="BW50" s="137"/>
      <c r="BX50" s="137"/>
      <c r="BY50" s="137"/>
      <c r="BZ50" s="137"/>
      <c r="CA50" s="137"/>
      <c r="CB50" s="137"/>
      <c r="CC50" s="137"/>
      <c r="CD50" s="137"/>
      <c r="CE50" s="137"/>
      <c r="CF50" s="137"/>
      <c r="CG50" s="137"/>
      <c r="CH50" s="137"/>
      <c r="CI50" s="137"/>
      <c r="CJ50" s="137"/>
      <c r="CK50" s="137"/>
      <c r="CL50" s="137"/>
      <c r="CM50" s="137"/>
      <c r="CN50" s="137"/>
      <c r="CO50" s="137"/>
      <c r="CP50" s="137"/>
      <c r="CQ50" s="137"/>
      <c r="CR50" s="137"/>
      <c r="CS50" s="137"/>
      <c r="CT50" s="137"/>
      <c r="CU50" s="137"/>
      <c r="CV50" s="137"/>
      <c r="CW50" s="137"/>
      <c r="CX50" s="137"/>
      <c r="CY50" s="137"/>
      <c r="CZ50" s="137"/>
      <c r="DA50" s="137"/>
      <c r="DB50" s="137"/>
      <c r="DC50" s="137"/>
      <c r="DD50" s="137"/>
      <c r="DE50" s="137"/>
      <c r="DF50" s="137"/>
      <c r="DG50" s="137"/>
      <c r="DH50" s="137"/>
      <c r="DI50" s="137"/>
      <c r="DJ50" s="137"/>
      <c r="DK50" s="137"/>
      <c r="DL50" s="137"/>
      <c r="DM50" s="137"/>
      <c r="DN50" s="137"/>
      <c r="DO50" s="137"/>
      <c r="DP50" s="137"/>
      <c r="DQ50" s="137"/>
      <c r="DR50" s="137"/>
      <c r="DS50" s="137"/>
      <c r="DT50" s="137"/>
      <c r="DU50" s="137"/>
      <c r="DV50" s="137"/>
      <c r="DW50" s="137"/>
      <c r="DX50" s="137"/>
      <c r="DY50" s="137"/>
      <c r="DZ50" s="137"/>
      <c r="EA50" s="137"/>
      <c r="ED50" s="137"/>
      <c r="EE50" s="137"/>
      <c r="EF50" s="137"/>
      <c r="EG50" s="137"/>
      <c r="EH50" s="137"/>
      <c r="EI50" s="137"/>
      <c r="EJ50" s="137"/>
      <c r="EK50" s="137"/>
      <c r="EL50" s="137"/>
      <c r="EM50" s="137"/>
      <c r="EN50" s="137"/>
      <c r="EO50" s="137"/>
      <c r="EP50" s="137"/>
      <c r="EQ50" s="137"/>
      <c r="ER50" s="137"/>
      <c r="ES50" s="137"/>
      <c r="ET50" s="137"/>
      <c r="EU50" s="137"/>
      <c r="EV50" s="137"/>
      <c r="EW50" s="137"/>
      <c r="EX50" s="137"/>
      <c r="EY50" s="137"/>
      <c r="EZ50" s="137"/>
      <c r="FA50" s="137"/>
      <c r="FB50" s="137"/>
      <c r="FC50" s="137"/>
      <c r="FD50" s="137"/>
      <c r="FE50" s="137"/>
      <c r="FF50" s="137"/>
      <c r="FG50" s="137"/>
      <c r="FH50" s="137"/>
      <c r="FI50" s="137"/>
      <c r="FJ50" s="137"/>
      <c r="FK50" s="137"/>
      <c r="FL50" s="137"/>
      <c r="FM50" s="137"/>
      <c r="FN50" s="137"/>
      <c r="FO50" s="137"/>
      <c r="FP50" s="137"/>
      <c r="FQ50" s="137"/>
      <c r="FR50" s="137"/>
      <c r="FS50" s="137"/>
      <c r="FT50" s="137"/>
      <c r="FU50" s="137"/>
      <c r="FV50" s="137"/>
      <c r="FW50" s="137"/>
      <c r="FX50" s="137"/>
      <c r="FY50" s="137"/>
      <c r="FZ50" s="137"/>
      <c r="GA50" s="137"/>
      <c r="GB50" s="137"/>
      <c r="GC50" s="137"/>
      <c r="GD50" s="137"/>
      <c r="GE50" s="137"/>
      <c r="GF50" s="137"/>
      <c r="GG50" s="137"/>
      <c r="GH50" s="137"/>
      <c r="GI50" s="137"/>
      <c r="GJ50" s="137"/>
      <c r="GK50" s="137"/>
      <c r="GL50" s="137"/>
    </row>
    <row r="51" spans="2:194" hidden="1" x14ac:dyDescent="0.3">
      <c r="B51" s="135" t="s">
        <v>3803</v>
      </c>
      <c r="C51" s="135" t="s">
        <v>3744</v>
      </c>
      <c r="D51" s="129" t="s">
        <v>3903</v>
      </c>
      <c r="E51" s="129" t="s">
        <v>3904</v>
      </c>
      <c r="F51" s="136" t="s">
        <v>3851</v>
      </c>
      <c r="G51" s="137" t="s">
        <v>3905</v>
      </c>
      <c r="H51" s="137" t="s">
        <v>3863</v>
      </c>
      <c r="I51" s="137" t="s">
        <v>3906</v>
      </c>
      <c r="J51" s="140"/>
      <c r="K51" s="137" t="s">
        <v>3909</v>
      </c>
      <c r="L51" s="137">
        <v>1</v>
      </c>
      <c r="M51" s="131">
        <f t="shared" ref="M51:M54" si="17">SUM(N51:EA51)</f>
        <v>1</v>
      </c>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37"/>
      <c r="BF51" s="137"/>
      <c r="BG51" s="137"/>
      <c r="BH51" s="137"/>
      <c r="BI51" s="137"/>
      <c r="BJ51" s="137"/>
      <c r="BK51" s="137"/>
      <c r="BL51" s="137"/>
      <c r="BM51" s="137"/>
      <c r="BN51" s="137"/>
      <c r="BO51" s="137"/>
      <c r="BP51" s="137"/>
      <c r="BQ51" s="137"/>
      <c r="BR51" s="137"/>
      <c r="BS51" s="139" t="s">
        <v>3864</v>
      </c>
      <c r="BT51" s="134">
        <v>1</v>
      </c>
      <c r="BU51" s="137"/>
      <c r="BV51" s="137"/>
      <c r="BW51" s="137"/>
      <c r="BX51" s="137"/>
      <c r="BY51" s="137"/>
      <c r="BZ51" s="137"/>
      <c r="CA51" s="137"/>
      <c r="CB51" s="137"/>
      <c r="CC51" s="137"/>
      <c r="CD51" s="137"/>
      <c r="CE51" s="137"/>
      <c r="CF51" s="137"/>
      <c r="CG51" s="137"/>
      <c r="CH51" s="137"/>
      <c r="CI51" s="137"/>
      <c r="CJ51" s="137"/>
      <c r="CK51" s="137"/>
      <c r="CL51" s="137"/>
      <c r="CM51" s="137"/>
      <c r="CN51" s="137"/>
      <c r="CO51" s="137"/>
      <c r="CP51" s="137"/>
      <c r="CQ51" s="137"/>
      <c r="CR51" s="137"/>
      <c r="CS51" s="137"/>
      <c r="CT51" s="137"/>
      <c r="CU51" s="137"/>
      <c r="CV51" s="137"/>
      <c r="CW51" s="137"/>
      <c r="CX51" s="137"/>
      <c r="CY51" s="137"/>
      <c r="CZ51" s="137"/>
      <c r="DA51" s="137"/>
      <c r="DB51" s="137"/>
      <c r="DC51" s="137"/>
      <c r="DD51" s="137"/>
      <c r="DE51" s="137"/>
      <c r="DF51" s="137"/>
      <c r="DG51" s="137"/>
      <c r="DH51" s="137"/>
      <c r="DI51" s="137"/>
      <c r="DJ51" s="137"/>
      <c r="DK51" s="137"/>
      <c r="DL51" s="137"/>
      <c r="DM51" s="137"/>
      <c r="DN51" s="137"/>
      <c r="DO51" s="137"/>
      <c r="DP51" s="137"/>
      <c r="DQ51" s="137"/>
      <c r="DR51" s="137"/>
      <c r="DS51" s="137"/>
      <c r="DT51" s="137"/>
      <c r="DU51" s="137"/>
      <c r="DV51" s="137"/>
      <c r="DW51" s="137"/>
      <c r="DX51" s="137"/>
      <c r="DY51" s="137"/>
      <c r="DZ51" s="137"/>
      <c r="EA51" s="137"/>
      <c r="ED51" s="137"/>
      <c r="EE51" s="137"/>
      <c r="EF51" s="137"/>
      <c r="EG51" s="137"/>
      <c r="EH51" s="137"/>
      <c r="EI51" s="137"/>
      <c r="EJ51" s="137"/>
      <c r="EK51" s="137"/>
      <c r="EL51" s="137"/>
      <c r="EM51" s="137"/>
      <c r="EN51" s="137"/>
      <c r="EO51" s="137"/>
      <c r="EP51" s="137"/>
      <c r="EQ51" s="137"/>
      <c r="ER51" s="137"/>
      <c r="ES51" s="137"/>
      <c r="ET51" s="137"/>
      <c r="EU51" s="137"/>
      <c r="EV51" s="137"/>
      <c r="EW51" s="137"/>
      <c r="EX51" s="137"/>
      <c r="EY51" s="137"/>
      <c r="EZ51" s="137"/>
      <c r="FA51" s="137"/>
      <c r="FB51" s="137"/>
      <c r="FC51" s="137"/>
      <c r="FD51" s="137"/>
      <c r="FE51" s="137"/>
      <c r="FF51" s="137"/>
      <c r="FG51" s="137"/>
      <c r="FH51" s="137"/>
      <c r="FI51" s="137"/>
      <c r="FJ51" s="137"/>
      <c r="FK51" s="137"/>
      <c r="FL51" s="137"/>
      <c r="FM51" s="137"/>
      <c r="FN51" s="137"/>
      <c r="FO51" s="137"/>
      <c r="FP51" s="137"/>
      <c r="FQ51" s="137"/>
      <c r="FR51" s="137"/>
      <c r="FS51" s="137"/>
      <c r="FT51" s="137"/>
      <c r="FU51" s="137"/>
      <c r="FV51" s="137"/>
      <c r="FW51" s="137"/>
      <c r="FX51" s="137"/>
      <c r="FY51" s="137"/>
      <c r="FZ51" s="137"/>
      <c r="GA51" s="137"/>
      <c r="GB51" s="137"/>
      <c r="GC51" s="137"/>
      <c r="GD51" s="137"/>
      <c r="GE51" s="137"/>
      <c r="GF51" s="137"/>
      <c r="GG51" s="137"/>
      <c r="GH51" s="137"/>
      <c r="GI51" s="137"/>
      <c r="GJ51" s="137"/>
      <c r="GK51" s="137"/>
      <c r="GL51" s="137"/>
    </row>
    <row r="52" spans="2:194" x14ac:dyDescent="0.3">
      <c r="B52" s="135" t="s">
        <v>3808</v>
      </c>
      <c r="C52" s="135" t="s">
        <v>3761</v>
      </c>
      <c r="D52" s="129" t="s">
        <v>3903</v>
      </c>
      <c r="E52" s="129" t="s">
        <v>3904</v>
      </c>
      <c r="F52" s="136" t="s">
        <v>3872</v>
      </c>
      <c r="G52" s="137" t="s">
        <v>3863</v>
      </c>
      <c r="H52" s="137" t="s">
        <v>3905</v>
      </c>
      <c r="I52" s="142"/>
      <c r="J52" s="140"/>
      <c r="K52" s="137" t="s">
        <v>3873</v>
      </c>
      <c r="L52" s="137">
        <v>1</v>
      </c>
      <c r="M52" s="131">
        <f t="shared" si="17"/>
        <v>1</v>
      </c>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7"/>
      <c r="BG52" s="137"/>
      <c r="BH52" s="137"/>
      <c r="BI52" s="137"/>
      <c r="BJ52" s="137"/>
      <c r="BK52" s="137"/>
      <c r="BL52" s="137"/>
      <c r="BM52" s="137"/>
      <c r="BN52" s="137"/>
      <c r="BO52" s="137"/>
      <c r="BP52" s="137"/>
      <c r="BQ52" s="137"/>
      <c r="BR52" s="137"/>
      <c r="BS52" s="137"/>
      <c r="BT52" s="137"/>
      <c r="BU52" s="137"/>
      <c r="BV52" s="137"/>
      <c r="BW52" s="137"/>
      <c r="BX52" s="137"/>
      <c r="BY52" s="137"/>
      <c r="BZ52" s="137"/>
      <c r="CA52" s="137"/>
      <c r="CB52" s="137"/>
      <c r="CC52" s="139" t="s">
        <v>3864</v>
      </c>
      <c r="CD52" s="134">
        <v>1</v>
      </c>
      <c r="CE52" s="137"/>
      <c r="CF52" s="137"/>
      <c r="CG52" s="137"/>
      <c r="CH52" s="137"/>
      <c r="CI52" s="137"/>
      <c r="CJ52" s="137"/>
      <c r="CK52" s="137"/>
      <c r="CL52" s="137"/>
      <c r="CM52" s="137"/>
      <c r="CN52" s="137"/>
      <c r="CO52" s="137"/>
      <c r="CP52" s="137"/>
      <c r="CQ52" s="137"/>
      <c r="CR52" s="137"/>
      <c r="CS52" s="137"/>
      <c r="CT52" s="137"/>
      <c r="CU52" s="137"/>
      <c r="CV52" s="137"/>
      <c r="CW52" s="137"/>
      <c r="CX52" s="137"/>
      <c r="CY52" s="137"/>
      <c r="CZ52" s="137"/>
      <c r="DA52" s="137"/>
      <c r="DB52" s="137"/>
      <c r="DC52" s="137"/>
      <c r="DD52" s="137"/>
      <c r="DE52" s="137"/>
      <c r="DF52" s="137"/>
      <c r="DG52" s="137"/>
      <c r="DH52" s="137"/>
      <c r="DI52" s="137"/>
      <c r="DJ52" s="137"/>
      <c r="DK52" s="137"/>
      <c r="DL52" s="137"/>
      <c r="DM52" s="137"/>
      <c r="DN52" s="137"/>
      <c r="DO52" s="137"/>
      <c r="DP52" s="137"/>
      <c r="DQ52" s="137"/>
      <c r="DR52" s="137"/>
      <c r="DS52" s="137"/>
      <c r="DT52" s="137"/>
      <c r="DU52" s="137"/>
      <c r="DV52" s="137"/>
      <c r="DW52" s="137"/>
      <c r="DX52" s="137"/>
      <c r="DY52" s="137"/>
      <c r="DZ52" s="137"/>
      <c r="EA52" s="137"/>
      <c r="ED52" s="137"/>
      <c r="EE52" s="137"/>
      <c r="EF52" s="137"/>
      <c r="EG52" s="137"/>
      <c r="EH52" s="137"/>
      <c r="EI52" s="137"/>
      <c r="EJ52" s="137"/>
      <c r="EK52" s="137"/>
      <c r="EL52" s="137"/>
      <c r="EM52" s="137"/>
      <c r="EN52" s="137"/>
      <c r="EO52" s="137"/>
      <c r="EP52" s="137"/>
      <c r="EQ52" s="137"/>
      <c r="ER52" s="137"/>
      <c r="ES52" s="137"/>
      <c r="ET52" s="137"/>
      <c r="EU52" s="137"/>
      <c r="EV52" s="137"/>
      <c r="EW52" s="137"/>
      <c r="EX52" s="137"/>
      <c r="EY52" s="137"/>
      <c r="EZ52" s="137"/>
      <c r="FA52" s="137"/>
      <c r="FB52" s="137"/>
      <c r="FC52" s="137"/>
      <c r="FD52" s="137"/>
      <c r="FE52" s="137"/>
      <c r="FF52" s="137"/>
      <c r="FG52" s="137"/>
      <c r="FH52" s="137"/>
      <c r="FI52" s="137"/>
      <c r="FJ52" s="137"/>
      <c r="FK52" s="137"/>
      <c r="FL52" s="137"/>
      <c r="FM52" s="137"/>
      <c r="FN52" s="137"/>
      <c r="FO52" s="137"/>
      <c r="FP52" s="137"/>
      <c r="FQ52" s="137"/>
      <c r="FR52" s="137"/>
      <c r="FS52" s="137"/>
      <c r="FT52" s="137"/>
      <c r="FU52" s="137"/>
      <c r="FV52" s="137"/>
      <c r="FW52" s="137"/>
      <c r="FX52" s="137"/>
      <c r="FY52" s="137"/>
      <c r="FZ52" s="137"/>
      <c r="GA52" s="137"/>
      <c r="GB52" s="137"/>
      <c r="GC52" s="137"/>
      <c r="GD52" s="137"/>
      <c r="GE52" s="137"/>
      <c r="GF52" s="137"/>
      <c r="GG52" s="137"/>
      <c r="GH52" s="137"/>
      <c r="GI52" s="137"/>
      <c r="GJ52" s="137"/>
      <c r="GK52" s="137"/>
      <c r="GL52" s="137"/>
    </row>
    <row r="53" spans="2:194" hidden="1" x14ac:dyDescent="0.3">
      <c r="B53" s="135" t="s">
        <v>3804</v>
      </c>
      <c r="C53" s="135" t="s">
        <v>3749</v>
      </c>
      <c r="D53" s="129" t="s">
        <v>3903</v>
      </c>
      <c r="E53" s="129" t="s">
        <v>3904</v>
      </c>
      <c r="F53" s="136" t="s">
        <v>3795</v>
      </c>
      <c r="G53" s="137" t="s">
        <v>3863</v>
      </c>
      <c r="H53" s="137" t="s">
        <v>3905</v>
      </c>
      <c r="I53" s="142">
        <v>45372</v>
      </c>
      <c r="J53" s="140"/>
      <c r="K53" s="137" t="s">
        <v>3875</v>
      </c>
      <c r="L53" s="137">
        <v>15</v>
      </c>
      <c r="M53" s="131">
        <f t="shared" si="17"/>
        <v>15</v>
      </c>
      <c r="N53" s="137"/>
      <c r="O53" s="137"/>
      <c r="P53" s="137"/>
      <c r="Q53" s="137"/>
      <c r="R53" s="137"/>
      <c r="S53" s="137"/>
      <c r="T53" s="137"/>
      <c r="U53" s="137"/>
      <c r="V53" s="137"/>
      <c r="W53" s="137"/>
      <c r="X53" s="137"/>
      <c r="Y53" s="137"/>
      <c r="Z53" s="137"/>
      <c r="AA53" s="137"/>
      <c r="AB53" s="137"/>
      <c r="AC53" s="137"/>
      <c r="AD53" s="137"/>
      <c r="AE53" s="137"/>
      <c r="AF53" s="137" t="s">
        <v>3864</v>
      </c>
      <c r="AG53" s="137"/>
      <c r="AH53" s="137"/>
      <c r="AI53" s="137"/>
      <c r="AJ53" s="137"/>
      <c r="AK53" s="137"/>
      <c r="AL53" s="137"/>
      <c r="AM53" s="137"/>
      <c r="AN53" s="137"/>
      <c r="AO53" s="137"/>
      <c r="AP53" s="137"/>
      <c r="AQ53" s="137"/>
      <c r="AR53" s="137"/>
      <c r="AS53" s="137"/>
      <c r="AT53" s="137"/>
      <c r="AU53" s="137"/>
      <c r="AV53" s="137"/>
      <c r="AW53" s="137"/>
      <c r="AX53" s="137"/>
      <c r="AY53" s="137"/>
      <c r="AZ53" s="137"/>
      <c r="BA53" s="137"/>
      <c r="BB53" s="137"/>
      <c r="BC53" s="137"/>
      <c r="BD53" s="137"/>
      <c r="BE53" s="137"/>
      <c r="BF53" s="137"/>
      <c r="BG53" s="137"/>
      <c r="BH53" s="137"/>
      <c r="BI53" s="137"/>
      <c r="BJ53" s="137"/>
      <c r="BK53" s="137"/>
      <c r="BL53" s="137"/>
      <c r="BM53" s="137"/>
      <c r="BN53" s="137"/>
      <c r="BO53" s="137"/>
      <c r="BP53" s="137"/>
      <c r="BQ53" s="137"/>
      <c r="BR53" s="137"/>
      <c r="BS53" s="137"/>
      <c r="BT53" s="137"/>
      <c r="BX53" s="137"/>
      <c r="BY53" s="137"/>
      <c r="CC53" s="134">
        <v>1</v>
      </c>
      <c r="CD53" s="134">
        <v>1</v>
      </c>
      <c r="CE53" s="137"/>
      <c r="CF53" s="137"/>
      <c r="CG53" s="134">
        <v>1</v>
      </c>
      <c r="CH53" s="134">
        <v>1</v>
      </c>
      <c r="CI53" s="134">
        <v>1</v>
      </c>
      <c r="CJ53" s="134">
        <v>1</v>
      </c>
      <c r="CK53" s="134">
        <v>1</v>
      </c>
      <c r="CL53" s="137"/>
      <c r="CM53" s="137"/>
      <c r="CN53" s="137"/>
      <c r="CO53" s="137"/>
      <c r="CP53" s="137"/>
      <c r="CQ53" s="137"/>
      <c r="CR53" s="137"/>
      <c r="CS53" s="137"/>
      <c r="CT53" s="137"/>
      <c r="CU53" s="137"/>
      <c r="CV53" s="139" t="s">
        <v>3864</v>
      </c>
      <c r="CW53" s="134">
        <v>1</v>
      </c>
      <c r="CX53" s="134">
        <v>1</v>
      </c>
      <c r="CY53" s="134">
        <v>1</v>
      </c>
      <c r="CZ53" s="137"/>
      <c r="DA53" s="137"/>
      <c r="DB53" s="134">
        <v>1</v>
      </c>
      <c r="DC53" s="134">
        <v>1</v>
      </c>
      <c r="DD53" s="134">
        <v>1</v>
      </c>
      <c r="DE53" s="134">
        <v>1</v>
      </c>
      <c r="DF53" s="134">
        <v>1</v>
      </c>
      <c r="DG53" s="137"/>
      <c r="DH53" s="137"/>
      <c r="DI53" s="137"/>
      <c r="DJ53" s="137"/>
      <c r="DK53" s="137"/>
      <c r="DL53" s="137"/>
      <c r="DM53" s="137"/>
      <c r="DN53" s="137"/>
      <c r="DO53" s="137"/>
      <c r="DP53" s="137"/>
      <c r="DQ53" s="137"/>
      <c r="DR53" s="137"/>
      <c r="DS53" s="137"/>
      <c r="DT53" s="137"/>
      <c r="DU53" s="137"/>
      <c r="DV53" s="137"/>
      <c r="DW53" s="137"/>
      <c r="DX53" s="137"/>
      <c r="DY53" s="137"/>
      <c r="DZ53" s="137"/>
      <c r="EA53" s="137"/>
      <c r="ED53" s="137"/>
      <c r="EE53" s="137"/>
      <c r="EF53" s="137"/>
      <c r="EG53" s="137"/>
      <c r="EH53" s="137"/>
      <c r="EI53" s="137"/>
      <c r="EJ53" s="137"/>
      <c r="EK53" s="137"/>
      <c r="EL53" s="137"/>
      <c r="EM53" s="137"/>
      <c r="EN53" s="137"/>
      <c r="EO53" s="137"/>
      <c r="EP53" s="137"/>
      <c r="EQ53" s="137"/>
      <c r="ER53" s="137"/>
      <c r="ES53" s="137"/>
      <c r="ET53" s="137"/>
      <c r="EU53" s="137"/>
      <c r="EV53" s="137"/>
      <c r="EW53" s="137"/>
      <c r="EX53" s="137"/>
      <c r="EY53" s="137"/>
      <c r="EZ53" s="137"/>
      <c r="FA53" s="137"/>
      <c r="FB53" s="137"/>
      <c r="FC53" s="137"/>
      <c r="FD53" s="137"/>
      <c r="FE53" s="137"/>
      <c r="FF53" s="137"/>
      <c r="FG53" s="137"/>
      <c r="FH53" s="137"/>
      <c r="FI53" s="137"/>
      <c r="FJ53" s="137"/>
      <c r="FK53" s="137"/>
      <c r="FL53" s="137"/>
      <c r="FM53" s="137"/>
      <c r="FN53" s="137"/>
      <c r="FO53" s="137"/>
      <c r="FP53" s="137"/>
      <c r="FQ53" s="137"/>
      <c r="FR53" s="137"/>
      <c r="FS53" s="137"/>
      <c r="FT53" s="137"/>
      <c r="FU53" s="137"/>
      <c r="FV53" s="137"/>
      <c r="FW53" s="137"/>
      <c r="FX53" s="137"/>
      <c r="FY53" s="137"/>
      <c r="FZ53" s="137"/>
      <c r="GA53" s="137"/>
      <c r="GB53" s="137"/>
      <c r="GC53" s="137"/>
      <c r="GD53" s="137"/>
      <c r="GE53" s="137"/>
      <c r="GF53" s="137"/>
      <c r="GG53" s="137"/>
      <c r="GH53" s="137"/>
      <c r="GI53" s="137"/>
      <c r="GJ53" s="137"/>
      <c r="GK53" s="137"/>
      <c r="GL53" s="137"/>
    </row>
    <row r="54" spans="2:194" hidden="1" x14ac:dyDescent="0.3">
      <c r="B54" s="135" t="s">
        <v>3804</v>
      </c>
      <c r="C54" s="135" t="s">
        <v>3748</v>
      </c>
      <c r="D54" s="129" t="s">
        <v>3903</v>
      </c>
      <c r="E54" s="129" t="s">
        <v>3904</v>
      </c>
      <c r="F54" s="136" t="s">
        <v>3795</v>
      </c>
      <c r="G54" s="137" t="s">
        <v>3863</v>
      </c>
      <c r="H54" s="137" t="s">
        <v>3905</v>
      </c>
      <c r="I54" s="142">
        <v>45372</v>
      </c>
      <c r="J54" s="140"/>
      <c r="K54" s="137" t="s">
        <v>3875</v>
      </c>
      <c r="L54" s="137">
        <v>15</v>
      </c>
      <c r="M54" s="131">
        <f t="shared" si="17"/>
        <v>15</v>
      </c>
      <c r="N54" s="137"/>
      <c r="O54" s="137"/>
      <c r="P54" s="137"/>
      <c r="Q54" s="137"/>
      <c r="R54" s="137"/>
      <c r="S54" s="137"/>
      <c r="T54" s="137"/>
      <c r="U54" s="137"/>
      <c r="V54" s="137"/>
      <c r="W54" s="137"/>
      <c r="X54" s="137"/>
      <c r="Y54" s="137"/>
      <c r="Z54" s="137"/>
      <c r="AA54" s="137"/>
      <c r="AB54" s="137"/>
      <c r="AC54" s="137"/>
      <c r="AD54" s="137"/>
      <c r="AE54" s="137"/>
      <c r="AF54" s="137" t="s">
        <v>3864</v>
      </c>
      <c r="AG54" s="137"/>
      <c r="AH54" s="137"/>
      <c r="AI54" s="137"/>
      <c r="AJ54" s="137"/>
      <c r="AK54" s="137"/>
      <c r="AL54" s="137"/>
      <c r="AM54" s="137"/>
      <c r="AN54" s="137"/>
      <c r="AO54" s="137"/>
      <c r="AP54" s="137"/>
      <c r="AQ54" s="137"/>
      <c r="AR54" s="137"/>
      <c r="AS54" s="137"/>
      <c r="AT54" s="137"/>
      <c r="AU54" s="137"/>
      <c r="AV54" s="137"/>
      <c r="AW54" s="137"/>
      <c r="AX54" s="137"/>
      <c r="AY54" s="137"/>
      <c r="AZ54" s="137"/>
      <c r="BA54" s="137"/>
      <c r="BB54" s="137"/>
      <c r="BC54" s="137"/>
      <c r="BD54" s="137"/>
      <c r="BE54" s="137"/>
      <c r="BF54" s="137"/>
      <c r="BG54" s="137"/>
      <c r="BH54" s="137"/>
      <c r="BI54" s="137"/>
      <c r="BJ54" s="137"/>
      <c r="BK54" s="137"/>
      <c r="BL54" s="137"/>
      <c r="BM54" s="137"/>
      <c r="BN54" s="137"/>
      <c r="BO54" s="137"/>
      <c r="BP54" s="137"/>
      <c r="BQ54" s="137"/>
      <c r="BR54" s="137"/>
      <c r="BS54" s="137"/>
      <c r="BT54" s="137"/>
      <c r="BU54" s="134">
        <v>1</v>
      </c>
      <c r="BV54" s="134">
        <v>1</v>
      </c>
      <c r="BW54" s="134">
        <v>1</v>
      </c>
      <c r="BX54" s="137"/>
      <c r="BY54" s="137"/>
      <c r="BZ54" s="134">
        <v>1</v>
      </c>
      <c r="CA54" s="134">
        <v>1</v>
      </c>
      <c r="CB54" s="134">
        <v>1</v>
      </c>
      <c r="CC54" s="134">
        <v>1</v>
      </c>
      <c r="CD54" s="137"/>
      <c r="CE54" s="137"/>
      <c r="CF54" s="137"/>
      <c r="CG54" s="137"/>
      <c r="CH54" s="137"/>
      <c r="CI54" s="137"/>
      <c r="CJ54" s="137"/>
      <c r="CK54" s="137"/>
      <c r="CL54" s="137"/>
      <c r="CM54" s="137"/>
      <c r="CN54" s="137"/>
      <c r="CO54" s="139" t="s">
        <v>3864</v>
      </c>
      <c r="CP54" s="134">
        <v>1</v>
      </c>
      <c r="CQ54" s="134">
        <v>1</v>
      </c>
      <c r="CR54" s="134">
        <v>1</v>
      </c>
      <c r="CS54" s="137"/>
      <c r="CT54" s="137"/>
      <c r="CU54" s="134">
        <v>1</v>
      </c>
      <c r="CV54" s="134">
        <v>1</v>
      </c>
      <c r="CW54" s="134">
        <v>1</v>
      </c>
      <c r="CX54" s="134">
        <v>1</v>
      </c>
      <c r="CY54" s="134">
        <v>1</v>
      </c>
      <c r="CZ54" s="137"/>
      <c r="DA54" s="137"/>
      <c r="DB54" s="137"/>
      <c r="DC54" s="137"/>
      <c r="DD54" s="137"/>
      <c r="DE54" s="137"/>
      <c r="DF54" s="137"/>
      <c r="DG54" s="137"/>
      <c r="DH54" s="137"/>
      <c r="DI54" s="137"/>
      <c r="DJ54" s="137"/>
      <c r="DK54" s="137"/>
      <c r="DL54" s="137"/>
      <c r="DM54" s="137"/>
      <c r="DN54" s="137"/>
      <c r="DO54" s="137"/>
      <c r="DP54" s="137"/>
      <c r="DQ54" s="137"/>
      <c r="DR54" s="137"/>
      <c r="DS54" s="137"/>
      <c r="DT54" s="137"/>
      <c r="DU54" s="137"/>
      <c r="DV54" s="137"/>
      <c r="DW54" s="137"/>
      <c r="DX54" s="137"/>
      <c r="DY54" s="137"/>
      <c r="DZ54" s="137"/>
      <c r="EA54" s="137"/>
      <c r="ED54" s="137"/>
      <c r="EE54" s="137"/>
      <c r="EF54" s="137"/>
      <c r="EG54" s="137"/>
      <c r="EH54" s="137"/>
      <c r="EI54" s="137"/>
      <c r="EJ54" s="137"/>
      <c r="EK54" s="137"/>
      <c r="EL54" s="137"/>
      <c r="EM54" s="137"/>
      <c r="EN54" s="137"/>
      <c r="EO54" s="137"/>
      <c r="EP54" s="137"/>
      <c r="EQ54" s="137"/>
      <c r="ER54" s="137"/>
      <c r="ES54" s="137"/>
      <c r="ET54" s="137"/>
      <c r="EU54" s="137"/>
      <c r="EV54" s="137"/>
      <c r="EW54" s="137"/>
      <c r="EX54" s="137"/>
      <c r="EY54" s="137"/>
      <c r="EZ54" s="137"/>
      <c r="FA54" s="137"/>
      <c r="FB54" s="137"/>
      <c r="FC54" s="137"/>
      <c r="FD54" s="137"/>
      <c r="FE54" s="137"/>
      <c r="FF54" s="137"/>
      <c r="FG54" s="137"/>
      <c r="FH54" s="137"/>
      <c r="FI54" s="137"/>
      <c r="FJ54" s="137"/>
      <c r="FK54" s="137"/>
      <c r="FL54" s="137"/>
      <c r="FM54" s="137"/>
      <c r="FN54" s="137"/>
      <c r="FO54" s="137"/>
      <c r="FP54" s="137"/>
      <c r="FQ54" s="137"/>
      <c r="FR54" s="137"/>
      <c r="FS54" s="137"/>
      <c r="FT54" s="137"/>
      <c r="FU54" s="137"/>
      <c r="FV54" s="137"/>
      <c r="FW54" s="137"/>
      <c r="FX54" s="137"/>
      <c r="FY54" s="137"/>
      <c r="FZ54" s="137"/>
      <c r="GA54" s="137"/>
      <c r="GB54" s="137"/>
      <c r="GC54" s="137"/>
      <c r="GD54" s="137"/>
      <c r="GE54" s="137"/>
      <c r="GF54" s="137"/>
      <c r="GG54" s="137"/>
      <c r="GH54" s="137"/>
      <c r="GI54" s="137"/>
      <c r="GJ54" s="137"/>
      <c r="GK54" s="137"/>
      <c r="GL54" s="137"/>
    </row>
    <row r="55" spans="2:194" hidden="1" x14ac:dyDescent="0.3">
      <c r="B55" s="135" t="s">
        <v>3803</v>
      </c>
      <c r="C55" s="135" t="s">
        <v>3732</v>
      </c>
      <c r="D55" s="129" t="s">
        <v>3903</v>
      </c>
      <c r="E55" s="129" t="s">
        <v>3904</v>
      </c>
      <c r="F55" s="140" t="s">
        <v>3787</v>
      </c>
      <c r="G55" s="137" t="s">
        <v>3863</v>
      </c>
      <c r="H55" s="137" t="s">
        <v>3863</v>
      </c>
      <c r="I55" s="137"/>
      <c r="J55" s="140" t="s">
        <v>3787</v>
      </c>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7"/>
      <c r="AR55" s="137"/>
      <c r="AS55" s="137"/>
      <c r="AT55" s="137"/>
      <c r="AU55" s="137"/>
      <c r="AV55" s="137"/>
      <c r="AW55" s="137"/>
      <c r="AX55" s="137"/>
      <c r="AY55" s="137"/>
      <c r="AZ55" s="137"/>
      <c r="BA55" s="137"/>
      <c r="BB55" s="137"/>
      <c r="BC55" s="137"/>
      <c r="BD55" s="137"/>
      <c r="BE55" s="137"/>
      <c r="BF55" s="137"/>
      <c r="BG55" s="137"/>
      <c r="BH55" s="137"/>
      <c r="BI55" s="137"/>
      <c r="BJ55" s="137"/>
      <c r="BK55" s="137"/>
      <c r="BL55" s="137"/>
      <c r="BM55" s="137"/>
      <c r="BN55" s="137"/>
      <c r="BO55" s="137"/>
      <c r="BP55" s="137"/>
      <c r="BQ55" s="137"/>
      <c r="BR55" s="137"/>
      <c r="BS55" s="137"/>
      <c r="BT55" s="137"/>
      <c r="BU55" s="137"/>
      <c r="BV55" s="137"/>
      <c r="BW55" s="137"/>
      <c r="BX55" s="137"/>
      <c r="BY55" s="137"/>
      <c r="BZ55" s="137"/>
      <c r="CA55" s="137"/>
      <c r="CB55" s="137"/>
      <c r="CC55" s="137"/>
      <c r="CD55" s="137"/>
      <c r="CE55" s="137"/>
      <c r="CF55" s="137"/>
      <c r="CG55" s="137"/>
      <c r="CH55" s="137"/>
      <c r="CI55" s="137"/>
      <c r="CJ55" s="137"/>
      <c r="CK55" s="137"/>
      <c r="CL55" s="137"/>
      <c r="CM55" s="137"/>
      <c r="CN55" s="137"/>
      <c r="CO55" s="137"/>
      <c r="CP55" s="137"/>
      <c r="CQ55" s="137"/>
      <c r="CR55" s="137"/>
      <c r="CS55" s="137"/>
      <c r="CT55" s="137"/>
      <c r="CU55" s="137"/>
      <c r="CV55" s="137"/>
      <c r="CW55" s="137"/>
      <c r="CX55" s="137"/>
      <c r="CY55" s="137"/>
      <c r="CZ55" s="137"/>
      <c r="DA55" s="137"/>
      <c r="DB55" s="137"/>
      <c r="DC55" s="137"/>
      <c r="DD55" s="137"/>
      <c r="DE55" s="137"/>
      <c r="DF55" s="137"/>
      <c r="DG55" s="137"/>
      <c r="DH55" s="137"/>
      <c r="DI55" s="137"/>
      <c r="DJ55" s="137"/>
      <c r="DK55" s="137"/>
      <c r="DL55" s="137"/>
      <c r="DM55" s="137"/>
      <c r="DN55" s="137"/>
      <c r="DO55" s="137"/>
      <c r="DP55" s="137"/>
      <c r="DQ55" s="137"/>
      <c r="DR55" s="137"/>
      <c r="DS55" s="137"/>
      <c r="DT55" s="137"/>
      <c r="DU55" s="137"/>
      <c r="DV55" s="137"/>
      <c r="DW55" s="137"/>
      <c r="DX55" s="137"/>
      <c r="DY55" s="137"/>
      <c r="DZ55" s="137"/>
      <c r="EA55" s="137"/>
      <c r="ED55" s="137"/>
      <c r="EE55" s="137"/>
      <c r="EF55" s="137"/>
      <c r="EG55" s="137"/>
      <c r="EH55" s="137"/>
      <c r="EI55" s="137"/>
      <c r="EJ55" s="137"/>
      <c r="EK55" s="137"/>
      <c r="EL55" s="137"/>
      <c r="EM55" s="137"/>
      <c r="EN55" s="137"/>
      <c r="EO55" s="137"/>
      <c r="EP55" s="137"/>
      <c r="EQ55" s="137"/>
      <c r="ER55" s="137"/>
      <c r="ES55" s="137"/>
      <c r="ET55" s="137"/>
      <c r="EU55" s="137"/>
      <c r="EV55" s="137"/>
      <c r="EW55" s="137"/>
      <c r="EX55" s="137"/>
      <c r="EY55" s="137"/>
      <c r="EZ55" s="137"/>
      <c r="FA55" s="137"/>
      <c r="FB55" s="137"/>
      <c r="FC55" s="137"/>
      <c r="FD55" s="137"/>
      <c r="FE55" s="137"/>
      <c r="FF55" s="137"/>
      <c r="FG55" s="137"/>
      <c r="FH55" s="137"/>
      <c r="FI55" s="137"/>
      <c r="FJ55" s="137"/>
      <c r="FK55" s="137"/>
      <c r="FL55" s="137"/>
      <c r="FM55" s="137"/>
      <c r="FN55" s="137"/>
      <c r="FO55" s="137"/>
      <c r="FP55" s="137"/>
      <c r="FQ55" s="137"/>
      <c r="FR55" s="137"/>
      <c r="FS55" s="137"/>
      <c r="FT55" s="137"/>
      <c r="FU55" s="137"/>
      <c r="FV55" s="137"/>
      <c r="FW55" s="137"/>
      <c r="FX55" s="137"/>
      <c r="FY55" s="137"/>
      <c r="FZ55" s="137"/>
      <c r="GA55" s="137"/>
      <c r="GB55" s="137"/>
      <c r="GC55" s="137"/>
      <c r="GD55" s="137"/>
      <c r="GE55" s="137"/>
      <c r="GF55" s="137"/>
      <c r="GG55" s="137"/>
      <c r="GH55" s="137"/>
      <c r="GI55" s="137"/>
      <c r="GJ55" s="137"/>
      <c r="GK55" s="137"/>
      <c r="GL55" s="137"/>
    </row>
    <row r="56" spans="2:194" hidden="1" x14ac:dyDescent="0.3">
      <c r="B56" s="135" t="s">
        <v>3803</v>
      </c>
      <c r="C56" s="135" t="s">
        <v>3738</v>
      </c>
      <c r="D56" s="129" t="s">
        <v>3903</v>
      </c>
      <c r="E56" s="129" t="s">
        <v>3904</v>
      </c>
      <c r="F56" s="140" t="s">
        <v>3787</v>
      </c>
      <c r="G56" s="137" t="s">
        <v>3863</v>
      </c>
      <c r="H56" s="137" t="s">
        <v>3863</v>
      </c>
      <c r="I56" s="137"/>
      <c r="J56" s="140" t="s">
        <v>3787</v>
      </c>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c r="AM56" s="137"/>
      <c r="AN56" s="137"/>
      <c r="AO56" s="137"/>
      <c r="AP56" s="137"/>
      <c r="AQ56" s="137"/>
      <c r="AR56" s="137"/>
      <c r="AS56" s="137"/>
      <c r="AT56" s="137"/>
      <c r="AU56" s="137"/>
      <c r="AV56" s="137"/>
      <c r="AW56" s="137"/>
      <c r="AX56" s="137"/>
      <c r="AY56" s="137"/>
      <c r="AZ56" s="137"/>
      <c r="BA56" s="137"/>
      <c r="BB56" s="137"/>
      <c r="BC56" s="137"/>
      <c r="BD56" s="137"/>
      <c r="BE56" s="137"/>
      <c r="BF56" s="137"/>
      <c r="BG56" s="137"/>
      <c r="BH56" s="137"/>
      <c r="BI56" s="137"/>
      <c r="BJ56" s="137"/>
      <c r="BK56" s="137"/>
      <c r="BL56" s="137"/>
      <c r="BM56" s="137"/>
      <c r="BN56" s="137"/>
      <c r="BO56" s="137"/>
      <c r="BP56" s="137"/>
      <c r="BQ56" s="137"/>
      <c r="BR56" s="137"/>
      <c r="BS56" s="137"/>
      <c r="BT56" s="137"/>
      <c r="BU56" s="137"/>
      <c r="BV56" s="137"/>
      <c r="BW56" s="137"/>
      <c r="BX56" s="137"/>
      <c r="BY56" s="137"/>
      <c r="BZ56" s="137"/>
      <c r="CA56" s="137"/>
      <c r="CB56" s="137"/>
      <c r="CC56" s="137"/>
      <c r="CD56" s="137"/>
      <c r="CE56" s="137"/>
      <c r="CF56" s="137"/>
      <c r="CG56" s="137"/>
      <c r="CH56" s="137"/>
      <c r="CI56" s="137"/>
      <c r="CJ56" s="137"/>
      <c r="CK56" s="137"/>
      <c r="CL56" s="137"/>
      <c r="CM56" s="137"/>
      <c r="CN56" s="137"/>
      <c r="CO56" s="137"/>
      <c r="CP56" s="137"/>
      <c r="CQ56" s="137"/>
      <c r="CR56" s="137"/>
      <c r="CS56" s="137"/>
      <c r="CT56" s="137"/>
      <c r="CU56" s="137"/>
      <c r="CV56" s="137"/>
      <c r="CW56" s="137"/>
      <c r="CX56" s="137"/>
      <c r="CY56" s="137"/>
      <c r="CZ56" s="137"/>
      <c r="DA56" s="137"/>
      <c r="DB56" s="137"/>
      <c r="DC56" s="137"/>
      <c r="DD56" s="137"/>
      <c r="DE56" s="137"/>
      <c r="DF56" s="137"/>
      <c r="DG56" s="137"/>
      <c r="DH56" s="137"/>
      <c r="DI56" s="137"/>
      <c r="DJ56" s="137"/>
      <c r="DK56" s="137"/>
      <c r="DL56" s="137"/>
      <c r="DM56" s="137"/>
      <c r="DN56" s="137"/>
      <c r="DO56" s="137"/>
      <c r="DP56" s="137"/>
      <c r="DQ56" s="137"/>
      <c r="DR56" s="137"/>
      <c r="DS56" s="137"/>
      <c r="DT56" s="137"/>
      <c r="DU56" s="137"/>
      <c r="DV56" s="137"/>
      <c r="DW56" s="137"/>
      <c r="DX56" s="137"/>
      <c r="DY56" s="137"/>
      <c r="DZ56" s="137"/>
      <c r="EA56" s="137"/>
      <c r="ED56" s="137"/>
      <c r="EE56" s="137"/>
      <c r="EF56" s="137"/>
      <c r="EG56" s="137"/>
      <c r="EH56" s="137"/>
      <c r="EI56" s="137"/>
      <c r="EJ56" s="137"/>
      <c r="EK56" s="137"/>
      <c r="EL56" s="137"/>
      <c r="EM56" s="137"/>
      <c r="EN56" s="137"/>
      <c r="EO56" s="137"/>
      <c r="EP56" s="137"/>
      <c r="EQ56" s="137"/>
      <c r="ER56" s="137"/>
      <c r="ES56" s="137"/>
      <c r="ET56" s="137"/>
      <c r="EU56" s="137"/>
      <c r="EV56" s="137"/>
      <c r="EW56" s="137"/>
      <c r="EX56" s="137"/>
      <c r="EY56" s="137"/>
      <c r="EZ56" s="137"/>
      <c r="FA56" s="137"/>
      <c r="FB56" s="137"/>
      <c r="FC56" s="137"/>
      <c r="FD56" s="137"/>
      <c r="FE56" s="137"/>
      <c r="FF56" s="137"/>
      <c r="FG56" s="137"/>
      <c r="FH56" s="137"/>
      <c r="FI56" s="137"/>
      <c r="FJ56" s="137"/>
      <c r="FK56" s="137"/>
      <c r="FL56" s="137"/>
      <c r="FM56" s="137"/>
      <c r="FN56" s="137"/>
      <c r="FO56" s="137"/>
      <c r="FP56" s="137"/>
      <c r="FQ56" s="137"/>
      <c r="FR56" s="137"/>
      <c r="FS56" s="137"/>
      <c r="FT56" s="137"/>
      <c r="FU56" s="137"/>
      <c r="FV56" s="137"/>
      <c r="FW56" s="137"/>
      <c r="FX56" s="137"/>
      <c r="FY56" s="137"/>
      <c r="FZ56" s="137"/>
      <c r="GA56" s="137"/>
      <c r="GB56" s="137"/>
      <c r="GC56" s="137"/>
      <c r="GD56" s="137"/>
      <c r="GE56" s="137"/>
      <c r="GF56" s="137"/>
      <c r="GG56" s="137"/>
      <c r="GH56" s="137"/>
      <c r="GI56" s="137"/>
      <c r="GJ56" s="137"/>
      <c r="GK56" s="137"/>
      <c r="GL56" s="137"/>
    </row>
    <row r="57" spans="2:194" hidden="1" x14ac:dyDescent="0.3">
      <c r="B57" s="144" t="s">
        <v>3910</v>
      </c>
      <c r="C57" s="144" t="s">
        <v>3911</v>
      </c>
      <c r="D57" s="145" t="s">
        <v>3912</v>
      </c>
      <c r="E57" s="145" t="s">
        <v>3863</v>
      </c>
      <c r="F57" s="146" t="s">
        <v>3795</v>
      </c>
      <c r="G57" s="147"/>
      <c r="H57" s="147"/>
      <c r="I57" s="148">
        <v>45393</v>
      </c>
      <c r="J57" s="149"/>
      <c r="K57" s="147"/>
      <c r="L57" s="147">
        <f>2*24</f>
        <v>48</v>
      </c>
      <c r="M57" s="150">
        <f>SUM(N57:GL57)</f>
        <v>48</v>
      </c>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51" t="s">
        <v>3864</v>
      </c>
      <c r="BB57" s="147"/>
      <c r="BC57" s="147"/>
      <c r="BD57" s="147"/>
      <c r="BE57" s="147"/>
      <c r="BF57" s="147"/>
      <c r="BG57" s="147"/>
      <c r="BH57" s="147"/>
      <c r="BI57" s="147"/>
      <c r="BJ57" s="147"/>
      <c r="BK57" s="147"/>
      <c r="BL57" s="147"/>
      <c r="BM57" s="147"/>
      <c r="BN57" s="147"/>
      <c r="BO57" s="147"/>
      <c r="BP57" s="147"/>
      <c r="BQ57" s="147"/>
      <c r="BR57" s="147"/>
      <c r="BS57" s="147"/>
      <c r="BT57" s="147"/>
      <c r="BU57" s="147"/>
      <c r="BV57" s="147"/>
      <c r="BW57" s="147"/>
      <c r="BX57" s="147"/>
      <c r="BY57" s="147"/>
      <c r="BZ57" s="147"/>
      <c r="CA57" s="147"/>
      <c r="CB57" s="147"/>
      <c r="CC57" s="147"/>
      <c r="CD57" s="147"/>
      <c r="CE57" s="147"/>
      <c r="CF57" s="147"/>
      <c r="CG57" s="152">
        <v>1</v>
      </c>
      <c r="CH57" s="152">
        <v>1</v>
      </c>
      <c r="CI57" s="152">
        <v>1</v>
      </c>
      <c r="CJ57" s="152">
        <v>1</v>
      </c>
      <c r="CK57" s="152">
        <v>1</v>
      </c>
      <c r="CL57" s="147"/>
      <c r="CM57" s="147"/>
      <c r="CN57" s="152">
        <v>2</v>
      </c>
      <c r="CO57" s="152">
        <v>2</v>
      </c>
      <c r="CP57" s="152">
        <v>1</v>
      </c>
      <c r="CQ57" s="147"/>
      <c r="CR57" s="147"/>
      <c r="CS57" s="147"/>
      <c r="CT57" s="147"/>
      <c r="CU57" s="147"/>
      <c r="CV57" s="147"/>
      <c r="CW57" s="147"/>
      <c r="CX57" s="147"/>
      <c r="CY57" s="153" t="s">
        <v>3864</v>
      </c>
      <c r="CZ57" s="147"/>
      <c r="DA57" s="147"/>
      <c r="DB57" s="152">
        <v>1</v>
      </c>
      <c r="DC57" s="152">
        <v>1</v>
      </c>
      <c r="DD57" s="152">
        <v>1</v>
      </c>
      <c r="DE57" s="152">
        <v>1</v>
      </c>
      <c r="DF57" s="152">
        <v>1</v>
      </c>
      <c r="DG57" s="147"/>
      <c r="DH57" s="147"/>
      <c r="DI57" s="152">
        <v>2</v>
      </c>
      <c r="DJ57" s="152">
        <v>2</v>
      </c>
      <c r="DK57" s="152">
        <v>2</v>
      </c>
      <c r="DL57" s="152">
        <v>2</v>
      </c>
      <c r="DM57" s="152">
        <v>2</v>
      </c>
      <c r="DN57" s="147"/>
      <c r="DO57" s="147"/>
      <c r="DP57" s="152">
        <v>2</v>
      </c>
      <c r="DQ57" s="152">
        <v>2</v>
      </c>
      <c r="DR57" s="152">
        <v>2</v>
      </c>
      <c r="DS57" s="152">
        <v>2</v>
      </c>
      <c r="DT57" s="152">
        <v>2</v>
      </c>
      <c r="DU57" s="147"/>
      <c r="DV57" s="147"/>
      <c r="DW57" s="152">
        <v>2</v>
      </c>
      <c r="DX57" s="152">
        <v>2</v>
      </c>
      <c r="DY57" s="152">
        <v>2</v>
      </c>
      <c r="DZ57" s="152">
        <v>2</v>
      </c>
      <c r="EA57" s="152">
        <v>2</v>
      </c>
      <c r="ED57" s="152">
        <v>2</v>
      </c>
      <c r="EE57" s="152">
        <v>1</v>
      </c>
      <c r="EF57" s="147"/>
      <c r="EG57" s="147"/>
      <c r="EH57" s="147"/>
      <c r="EI57" s="147"/>
      <c r="EJ57" s="147"/>
      <c r="EK57" s="147"/>
      <c r="EL57" s="147"/>
      <c r="EM57" s="147"/>
      <c r="EN57" s="147"/>
      <c r="EO57" s="147"/>
      <c r="EP57" s="147"/>
      <c r="EQ57" s="147"/>
      <c r="ER57" s="147"/>
      <c r="ES57" s="147"/>
      <c r="ET57" s="147"/>
      <c r="EU57" s="147"/>
      <c r="EV57" s="147"/>
      <c r="EW57" s="147"/>
      <c r="EX57" s="147"/>
      <c r="EY57" s="147"/>
      <c r="EZ57" s="147"/>
      <c r="FA57" s="147"/>
      <c r="FB57" s="147"/>
      <c r="FC57" s="147"/>
      <c r="FD57" s="147"/>
      <c r="FE57" s="147"/>
      <c r="FF57" s="147"/>
      <c r="FG57" s="147"/>
      <c r="FH57" s="147"/>
      <c r="FI57" s="147"/>
      <c r="FJ57" s="147"/>
      <c r="FK57" s="147"/>
      <c r="FL57" s="147"/>
      <c r="FM57" s="147"/>
      <c r="FN57" s="147"/>
      <c r="FO57" s="147"/>
      <c r="FP57" s="147"/>
      <c r="FQ57" s="147"/>
      <c r="FR57" s="147"/>
      <c r="FS57" s="147"/>
      <c r="FT57" s="147"/>
      <c r="FU57" s="147"/>
      <c r="FV57" s="147"/>
      <c r="FW57" s="147"/>
      <c r="FX57" s="147"/>
      <c r="FY57" s="147"/>
      <c r="FZ57" s="147"/>
      <c r="GA57" s="147"/>
      <c r="GB57" s="147"/>
      <c r="GC57" s="147"/>
      <c r="GD57" s="147"/>
      <c r="GE57" s="147"/>
      <c r="GF57" s="147"/>
      <c r="GG57" s="147"/>
      <c r="GH57" s="147"/>
      <c r="GI57" s="147"/>
      <c r="GJ57" s="147"/>
      <c r="GK57" s="147"/>
      <c r="GL57" s="147"/>
    </row>
    <row r="58" spans="2:194" hidden="1" x14ac:dyDescent="0.3">
      <c r="B58" s="154" t="s">
        <v>3910</v>
      </c>
      <c r="C58" s="154" t="s">
        <v>3913</v>
      </c>
      <c r="D58" s="154" t="s">
        <v>3912</v>
      </c>
      <c r="E58" s="154"/>
      <c r="F58" s="155" t="s">
        <v>3795</v>
      </c>
      <c r="G58" s="156"/>
      <c r="H58" s="156"/>
      <c r="I58" s="157">
        <v>45404</v>
      </c>
      <c r="J58" s="158"/>
      <c r="K58" s="156"/>
      <c r="L58" s="156"/>
      <c r="M58" s="156"/>
      <c r="N58" s="156"/>
      <c r="O58" s="156"/>
      <c r="P58" s="156"/>
      <c r="Q58" s="156"/>
      <c r="R58" s="156"/>
      <c r="S58" s="156"/>
      <c r="T58" s="156"/>
      <c r="U58" s="156"/>
      <c r="V58" s="156"/>
      <c r="W58" s="156"/>
      <c r="X58" s="156"/>
      <c r="Y58" s="156"/>
      <c r="Z58" s="156"/>
      <c r="AA58" s="156"/>
      <c r="AB58" s="156"/>
      <c r="AC58" s="156"/>
      <c r="AD58" s="156"/>
      <c r="AE58" s="156"/>
      <c r="AF58" s="156"/>
      <c r="AG58" s="156"/>
      <c r="AH58" s="156"/>
      <c r="AI58" s="156"/>
      <c r="AJ58" s="156"/>
      <c r="AK58" s="156"/>
      <c r="AL58" s="156"/>
      <c r="AM58" s="156"/>
      <c r="AN58" s="156"/>
      <c r="AO58" s="156"/>
      <c r="AP58" s="156"/>
      <c r="AQ58" s="156"/>
      <c r="AR58" s="156"/>
      <c r="AS58" s="156"/>
      <c r="AT58" s="156"/>
      <c r="AU58" s="156"/>
      <c r="AV58" s="156"/>
      <c r="AW58" s="156"/>
      <c r="AX58" s="156"/>
      <c r="AY58" s="156"/>
      <c r="AZ58" s="156"/>
      <c r="BA58" s="156"/>
      <c r="BB58" s="156"/>
      <c r="BC58" s="156"/>
      <c r="BD58" s="156"/>
      <c r="BE58" s="156"/>
      <c r="BF58" s="156"/>
      <c r="BG58" s="156"/>
      <c r="BH58" s="156"/>
      <c r="BI58" s="156"/>
      <c r="BJ58" s="156"/>
      <c r="BK58" s="156"/>
      <c r="BL58" s="159" t="s">
        <v>3864</v>
      </c>
      <c r="BM58" s="156"/>
      <c r="BN58" s="156"/>
      <c r="BO58" s="156"/>
      <c r="BP58" s="156"/>
      <c r="BQ58" s="156"/>
      <c r="BR58" s="156"/>
      <c r="BS58" s="156"/>
      <c r="BT58" s="156"/>
      <c r="BU58" s="156"/>
      <c r="BV58" s="156"/>
      <c r="BW58" s="156"/>
      <c r="BX58" s="156"/>
      <c r="BY58" s="156"/>
      <c r="BZ58" s="156"/>
      <c r="CA58" s="156"/>
      <c r="CB58" s="156"/>
      <c r="CC58" s="156"/>
      <c r="CD58" s="156"/>
      <c r="CE58" s="156"/>
      <c r="CF58" s="156"/>
      <c r="CG58" s="156"/>
      <c r="CH58" s="156"/>
      <c r="CI58" s="156"/>
      <c r="CJ58" s="156"/>
      <c r="CK58" s="156"/>
      <c r="CL58" s="156"/>
      <c r="CM58" s="156"/>
      <c r="CN58" s="156"/>
      <c r="CO58" s="156"/>
      <c r="CP58" s="156"/>
      <c r="CQ58" s="156"/>
      <c r="CR58" s="156"/>
      <c r="CS58" s="156"/>
      <c r="CT58" s="156"/>
      <c r="CU58" s="156"/>
      <c r="CV58" s="156"/>
      <c r="CW58" s="156"/>
      <c r="CX58" s="156"/>
      <c r="CY58" s="156"/>
      <c r="CZ58" s="156"/>
      <c r="DA58" s="156"/>
      <c r="DB58" s="156"/>
      <c r="DC58" s="156"/>
      <c r="DD58" s="156"/>
      <c r="DE58" s="156"/>
      <c r="DF58" s="156"/>
      <c r="DG58" s="156"/>
      <c r="DH58" s="156"/>
      <c r="DI58" s="156"/>
      <c r="DJ58" s="156"/>
      <c r="DK58" s="156"/>
      <c r="DL58" s="156"/>
      <c r="DM58" s="156"/>
      <c r="DN58" s="156"/>
      <c r="DO58" s="156"/>
      <c r="DP58" s="156"/>
      <c r="DQ58" s="156"/>
      <c r="DR58" s="156"/>
      <c r="DS58" s="156"/>
      <c r="DT58" s="156"/>
      <c r="DU58" s="156"/>
      <c r="DV58" s="156"/>
      <c r="DW58" s="156"/>
      <c r="DX58" s="156"/>
      <c r="DY58" s="156"/>
      <c r="DZ58" s="156"/>
      <c r="EA58" s="156"/>
      <c r="EB58" s="156"/>
      <c r="EC58" s="156"/>
      <c r="ED58" s="156"/>
      <c r="EE58" s="156"/>
      <c r="EF58" s="156"/>
      <c r="EG58" s="156"/>
      <c r="EH58" s="156"/>
      <c r="EI58" s="156"/>
      <c r="EJ58" s="156"/>
      <c r="EK58" s="156"/>
      <c r="EL58" s="156"/>
      <c r="EM58" s="156"/>
      <c r="EN58" s="156"/>
      <c r="EO58" s="156"/>
      <c r="EP58" s="156"/>
      <c r="EQ58" s="156"/>
      <c r="ER58" s="156"/>
      <c r="ES58" s="156"/>
      <c r="ET58" s="156"/>
      <c r="EU58" s="156"/>
      <c r="EV58" s="156"/>
      <c r="EW58" s="156"/>
      <c r="EX58" s="156"/>
      <c r="EY58" s="156"/>
      <c r="EZ58" s="156"/>
      <c r="FA58" s="156"/>
      <c r="FB58" s="156"/>
      <c r="FC58" s="156"/>
      <c r="FD58" s="156"/>
      <c r="FE58" s="156"/>
      <c r="FF58" s="156"/>
      <c r="FG58" s="156"/>
      <c r="FH58" s="156"/>
      <c r="FI58" s="156"/>
      <c r="FJ58" s="156"/>
      <c r="FK58" s="156"/>
      <c r="FL58" s="156"/>
      <c r="FM58" s="156"/>
      <c r="FN58" s="156"/>
      <c r="FO58" s="156"/>
      <c r="FP58" s="156"/>
      <c r="FQ58" s="156"/>
      <c r="FR58" s="156"/>
      <c r="FS58" s="156"/>
      <c r="FT58" s="156"/>
      <c r="FU58" s="156"/>
      <c r="FV58" s="156"/>
      <c r="FW58" s="156"/>
      <c r="FX58" s="156"/>
      <c r="FY58" s="156"/>
      <c r="FZ58" s="156"/>
      <c r="GA58" s="156"/>
      <c r="GB58" s="156"/>
      <c r="GC58" s="156"/>
      <c r="GD58" s="156"/>
      <c r="GE58" s="156"/>
      <c r="GF58" s="156"/>
      <c r="GG58" s="156"/>
      <c r="GH58" s="156"/>
      <c r="GI58" s="156"/>
      <c r="GJ58" s="156"/>
      <c r="GK58" s="156"/>
      <c r="GL58" s="156"/>
    </row>
    <row r="59" spans="2:194" hidden="1" x14ac:dyDescent="0.3">
      <c r="B59" s="154" t="s">
        <v>3910</v>
      </c>
      <c r="C59" s="154" t="s">
        <v>3914</v>
      </c>
      <c r="D59" s="154" t="s">
        <v>3912</v>
      </c>
      <c r="E59" s="154"/>
      <c r="F59" s="155" t="s">
        <v>3795</v>
      </c>
      <c r="G59" s="156"/>
      <c r="H59" s="156"/>
      <c r="I59" s="157">
        <v>45421</v>
      </c>
      <c r="J59" s="158"/>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156"/>
      <c r="BB59" s="156"/>
      <c r="BC59" s="156"/>
      <c r="BD59" s="156"/>
      <c r="BE59" s="156"/>
      <c r="BF59" s="156"/>
      <c r="BG59" s="156"/>
      <c r="BH59" s="156"/>
      <c r="BI59" s="156"/>
      <c r="BJ59" s="156"/>
      <c r="BK59" s="156"/>
      <c r="BL59" s="156"/>
      <c r="BM59" s="156"/>
      <c r="BN59" s="156"/>
      <c r="BO59" s="156"/>
      <c r="BP59" s="156"/>
      <c r="BQ59" s="156"/>
      <c r="BR59" s="156"/>
      <c r="BS59" s="156"/>
      <c r="BT59" s="156"/>
      <c r="BU59" s="156"/>
      <c r="BV59" s="156"/>
      <c r="BW59" s="156"/>
      <c r="BX59" s="156"/>
      <c r="BY59" s="156"/>
      <c r="BZ59" s="156"/>
      <c r="CA59" s="156"/>
      <c r="CB59" s="156"/>
      <c r="CC59" s="159" t="s">
        <v>3864</v>
      </c>
      <c r="CD59" s="156"/>
      <c r="CE59" s="156"/>
      <c r="CF59" s="156"/>
      <c r="CG59" s="156"/>
      <c r="CH59" s="156"/>
      <c r="CI59" s="156"/>
      <c r="CJ59" s="156"/>
      <c r="CK59" s="156"/>
      <c r="CL59" s="156"/>
      <c r="CM59" s="156"/>
      <c r="CN59" s="156"/>
      <c r="CO59" s="156"/>
      <c r="CP59" s="156"/>
      <c r="CQ59" s="156"/>
      <c r="CR59" s="156"/>
      <c r="CS59" s="156"/>
      <c r="CT59" s="156"/>
      <c r="CU59" s="156"/>
      <c r="CV59" s="156"/>
      <c r="CW59" s="156"/>
      <c r="CX59" s="156"/>
      <c r="CY59" s="156"/>
      <c r="CZ59" s="156"/>
      <c r="DA59" s="156"/>
      <c r="DB59" s="156"/>
      <c r="DC59" s="156"/>
      <c r="DD59" s="156"/>
      <c r="DE59" s="156"/>
      <c r="DF59" s="156"/>
      <c r="DG59" s="156"/>
      <c r="DH59" s="156"/>
      <c r="DI59" s="156"/>
      <c r="DJ59" s="156"/>
      <c r="DK59" s="156"/>
      <c r="DL59" s="156"/>
      <c r="DM59" s="156"/>
      <c r="DN59" s="156"/>
      <c r="DO59" s="156"/>
      <c r="DP59" s="156"/>
      <c r="DQ59" s="156"/>
      <c r="DR59" s="156"/>
      <c r="DS59" s="156"/>
      <c r="DT59" s="156"/>
      <c r="DU59" s="156"/>
      <c r="DV59" s="156"/>
      <c r="DW59" s="156"/>
      <c r="DX59" s="156"/>
      <c r="DY59" s="156"/>
      <c r="DZ59" s="156"/>
      <c r="EA59" s="156"/>
      <c r="EB59" s="156"/>
      <c r="EC59" s="156"/>
      <c r="ED59" s="156"/>
      <c r="EE59" s="156"/>
      <c r="EF59" s="156"/>
      <c r="EG59" s="156"/>
      <c r="EH59" s="156"/>
      <c r="EI59" s="156"/>
      <c r="EJ59" s="156"/>
      <c r="EK59" s="156"/>
      <c r="EL59" s="156"/>
      <c r="EM59" s="156"/>
      <c r="EN59" s="156"/>
      <c r="EO59" s="156"/>
      <c r="EP59" s="156"/>
      <c r="EQ59" s="156"/>
      <c r="ER59" s="156"/>
      <c r="ES59" s="156"/>
      <c r="ET59" s="156"/>
      <c r="EU59" s="156"/>
      <c r="EV59" s="156"/>
      <c r="EW59" s="156"/>
      <c r="EX59" s="156"/>
      <c r="EY59" s="156"/>
      <c r="EZ59" s="156"/>
      <c r="FA59" s="156"/>
      <c r="FB59" s="156"/>
      <c r="FC59" s="156"/>
      <c r="FD59" s="156"/>
      <c r="FE59" s="156"/>
      <c r="FF59" s="156"/>
      <c r="FG59" s="156"/>
      <c r="FH59" s="156"/>
      <c r="FI59" s="156"/>
      <c r="FJ59" s="156"/>
      <c r="FK59" s="156"/>
      <c r="FL59" s="156"/>
      <c r="FM59" s="156"/>
      <c r="FN59" s="156"/>
      <c r="FO59" s="156"/>
      <c r="FP59" s="156"/>
      <c r="FQ59" s="156"/>
      <c r="FR59" s="156"/>
      <c r="FS59" s="156"/>
      <c r="FT59" s="156"/>
      <c r="FU59" s="156"/>
      <c r="FV59" s="156"/>
      <c r="FW59" s="156"/>
      <c r="FX59" s="156"/>
      <c r="FY59" s="156"/>
      <c r="FZ59" s="156"/>
      <c r="GA59" s="156"/>
      <c r="GB59" s="156"/>
      <c r="GC59" s="156"/>
      <c r="GD59" s="156"/>
      <c r="GE59" s="156"/>
      <c r="GF59" s="156"/>
      <c r="GG59" s="156"/>
      <c r="GH59" s="156"/>
      <c r="GI59" s="156"/>
      <c r="GJ59" s="156"/>
      <c r="GK59" s="156"/>
      <c r="GL59" s="156"/>
    </row>
    <row r="60" spans="2:194" x14ac:dyDescent="0.3">
      <c r="B60" s="154"/>
      <c r="C60" s="154"/>
      <c r="D60" s="154"/>
      <c r="E60" s="154"/>
      <c r="F60" s="158"/>
      <c r="G60" s="156"/>
      <c r="H60" s="156"/>
      <c r="I60" s="156"/>
      <c r="J60" s="158"/>
      <c r="K60" s="156"/>
      <c r="L60" s="156"/>
      <c r="M60" s="156"/>
      <c r="N60" s="156"/>
      <c r="O60" s="156"/>
      <c r="P60" s="156"/>
      <c r="Q60" s="156"/>
      <c r="R60" s="156"/>
      <c r="S60" s="156"/>
      <c r="T60" s="156"/>
      <c r="U60" s="156"/>
      <c r="V60" s="156"/>
      <c r="W60" s="156"/>
      <c r="X60" s="156"/>
      <c r="Y60" s="156"/>
      <c r="Z60" s="156"/>
      <c r="AA60" s="156"/>
      <c r="AB60" s="156"/>
      <c r="AC60" s="156"/>
      <c r="AD60" s="156"/>
      <c r="AE60" s="156"/>
      <c r="AF60" s="156"/>
      <c r="AG60" s="156"/>
      <c r="AH60" s="156"/>
      <c r="AI60" s="156"/>
      <c r="AJ60" s="156"/>
      <c r="AK60" s="156"/>
      <c r="AL60" s="156"/>
      <c r="AM60" s="156"/>
      <c r="AN60" s="156"/>
      <c r="AO60" s="156"/>
      <c r="AP60" s="156"/>
      <c r="AQ60" s="156"/>
      <c r="AR60" s="156"/>
      <c r="AS60" s="156"/>
      <c r="AT60" s="156"/>
      <c r="AU60" s="156"/>
      <c r="AV60" s="156"/>
      <c r="AW60" s="156"/>
      <c r="AX60" s="156"/>
      <c r="AY60" s="156"/>
      <c r="AZ60" s="156"/>
      <c r="BA60" s="156"/>
      <c r="BB60" s="156"/>
      <c r="BC60" s="156"/>
      <c r="BD60" s="156"/>
      <c r="BE60" s="156"/>
      <c r="BF60" s="156"/>
      <c r="BG60" s="156"/>
      <c r="BH60" s="156"/>
      <c r="BI60" s="156"/>
      <c r="BJ60" s="156"/>
      <c r="BK60" s="156"/>
      <c r="BL60" s="156"/>
      <c r="BM60" s="156"/>
      <c r="BN60" s="156"/>
      <c r="BO60" s="156"/>
      <c r="BP60" s="156"/>
      <c r="BQ60" s="156"/>
      <c r="BR60" s="156"/>
      <c r="BS60" s="156"/>
      <c r="BT60" s="156"/>
      <c r="BU60" s="156"/>
      <c r="BV60" s="156"/>
      <c r="BW60" s="156"/>
      <c r="BX60" s="156"/>
      <c r="BY60" s="156"/>
      <c r="BZ60" s="156"/>
      <c r="CA60" s="156"/>
      <c r="CB60" s="156"/>
      <c r="CC60" s="156"/>
      <c r="CD60" s="156"/>
      <c r="CE60" s="156"/>
      <c r="CF60" s="156"/>
      <c r="CG60" s="156"/>
      <c r="CH60" s="156"/>
      <c r="CI60" s="156"/>
      <c r="CJ60" s="156"/>
      <c r="CK60" s="156"/>
      <c r="CL60" s="156"/>
      <c r="CM60" s="156"/>
      <c r="CN60" s="156"/>
      <c r="CO60" s="156"/>
      <c r="CP60" s="156"/>
      <c r="CQ60" s="156"/>
      <c r="CR60" s="156"/>
      <c r="CS60" s="156"/>
      <c r="CT60" s="156"/>
      <c r="CU60" s="156"/>
      <c r="CV60" s="156"/>
      <c r="CW60" s="156"/>
      <c r="CX60" s="156"/>
      <c r="CY60" s="156"/>
      <c r="CZ60" s="156"/>
      <c r="DA60" s="156"/>
      <c r="DB60" s="156"/>
      <c r="DC60" s="156"/>
      <c r="DD60" s="156"/>
      <c r="DE60" s="156"/>
      <c r="DF60" s="156"/>
      <c r="DG60" s="156"/>
      <c r="DH60" s="156"/>
      <c r="DI60" s="156"/>
      <c r="DJ60" s="156"/>
      <c r="DK60" s="156"/>
      <c r="DL60" s="156"/>
      <c r="DM60" s="156"/>
      <c r="DN60" s="156"/>
      <c r="DO60" s="156"/>
      <c r="DP60" s="156"/>
      <c r="DQ60" s="156"/>
      <c r="DR60" s="156"/>
      <c r="DS60" s="156"/>
      <c r="DT60" s="156"/>
      <c r="DU60" s="156"/>
      <c r="DV60" s="156"/>
      <c r="DW60" s="156"/>
      <c r="DX60" s="156"/>
      <c r="DY60" s="156"/>
      <c r="DZ60" s="156"/>
      <c r="EA60" s="156"/>
      <c r="EB60" s="156"/>
      <c r="EC60" s="156"/>
      <c r="ED60" s="156"/>
      <c r="EE60" s="156"/>
      <c r="EF60" s="156"/>
      <c r="EG60" s="156"/>
      <c r="EH60" s="156"/>
      <c r="EI60" s="156"/>
      <c r="EJ60" s="156"/>
      <c r="EK60" s="156"/>
      <c r="EL60" s="156"/>
      <c r="EM60" s="156"/>
      <c r="EN60" s="156"/>
      <c r="EO60" s="156"/>
      <c r="EP60" s="156"/>
      <c r="EQ60" s="156"/>
      <c r="ER60" s="156"/>
      <c r="ES60" s="156"/>
      <c r="ET60" s="156"/>
      <c r="EU60" s="156"/>
      <c r="EV60" s="156"/>
      <c r="EW60" s="156"/>
      <c r="EX60" s="156"/>
      <c r="EY60" s="156"/>
      <c r="EZ60" s="156"/>
      <c r="FA60" s="156"/>
      <c r="FB60" s="156"/>
      <c r="FC60" s="156"/>
      <c r="FD60" s="156"/>
      <c r="FE60" s="156"/>
      <c r="FF60" s="156"/>
      <c r="FG60" s="156"/>
      <c r="FH60" s="156"/>
      <c r="FI60" s="156"/>
      <c r="FJ60" s="156"/>
      <c r="FK60" s="156"/>
      <c r="FL60" s="156"/>
      <c r="FM60" s="156"/>
      <c r="FN60" s="156"/>
      <c r="FO60" s="156"/>
      <c r="FP60" s="156"/>
      <c r="FQ60" s="156"/>
      <c r="FR60" s="156"/>
      <c r="FS60" s="156"/>
      <c r="FT60" s="156"/>
      <c r="FU60" s="156"/>
      <c r="FV60" s="156"/>
      <c r="FW60" s="156"/>
      <c r="FX60" s="156"/>
      <c r="FY60" s="156"/>
      <c r="FZ60" s="156"/>
      <c r="GA60" s="156"/>
      <c r="GB60" s="156"/>
      <c r="GC60" s="156"/>
      <c r="GD60" s="156"/>
      <c r="GE60" s="156"/>
      <c r="GF60" s="156"/>
      <c r="GG60" s="156"/>
      <c r="GH60" s="156"/>
      <c r="GI60" s="156"/>
      <c r="GJ60" s="156"/>
      <c r="GK60" s="156"/>
      <c r="GL60" s="156"/>
    </row>
    <row r="61" spans="2:194" x14ac:dyDescent="0.3">
      <c r="B61" s="160"/>
      <c r="C61" s="160"/>
      <c r="D61" s="160"/>
      <c r="E61" s="160"/>
      <c r="F61" s="116"/>
      <c r="G61" s="94"/>
      <c r="H61" s="94"/>
      <c r="I61" s="94"/>
      <c r="J61" s="116"/>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row>
    <row r="62" spans="2:194" x14ac:dyDescent="0.3">
      <c r="B62" s="160"/>
      <c r="C62" s="160"/>
      <c r="D62" s="160"/>
      <c r="E62" s="160"/>
      <c r="F62" s="116"/>
      <c r="G62" s="94"/>
      <c r="H62" s="94"/>
      <c r="I62" s="94"/>
      <c r="J62" s="116"/>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row>
    <row r="63" spans="2:194" x14ac:dyDescent="0.3">
      <c r="B63" s="160"/>
      <c r="C63" s="160"/>
      <c r="D63" s="160"/>
      <c r="E63" s="160"/>
      <c r="F63" s="116"/>
      <c r="G63" s="94"/>
      <c r="H63" s="94"/>
      <c r="I63" s="94"/>
      <c r="J63" s="116"/>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row>
    <row r="64" spans="2:194" x14ac:dyDescent="0.3">
      <c r="B64" s="160"/>
      <c r="C64" s="160"/>
      <c r="D64" s="160"/>
      <c r="E64" s="160"/>
      <c r="F64" s="116"/>
      <c r="G64" s="94"/>
      <c r="H64" s="94"/>
      <c r="I64" s="94"/>
      <c r="J64" s="116"/>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row>
    <row r="65" spans="2:131" x14ac:dyDescent="0.3">
      <c r="B65" s="160"/>
      <c r="C65" s="160"/>
      <c r="D65" s="160"/>
      <c r="E65" s="160"/>
      <c r="F65" s="116"/>
      <c r="G65" s="94"/>
      <c r="H65" s="94"/>
      <c r="I65" s="94"/>
      <c r="J65" s="116"/>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row>
    <row r="66" spans="2:131" x14ac:dyDescent="0.3">
      <c r="B66" s="160"/>
      <c r="C66" s="160"/>
      <c r="D66" s="160"/>
      <c r="E66" s="160"/>
      <c r="F66" s="116"/>
      <c r="G66" s="94"/>
      <c r="H66" s="94"/>
      <c r="I66" s="94"/>
      <c r="J66" s="116"/>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row>
    <row r="67" spans="2:131" x14ac:dyDescent="0.3">
      <c r="B67" s="160"/>
      <c r="C67" s="160"/>
      <c r="D67" s="160"/>
      <c r="E67" s="160"/>
      <c r="F67" s="116"/>
      <c r="G67" s="94"/>
      <c r="H67" s="94"/>
      <c r="I67" s="94"/>
      <c r="J67" s="116"/>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row>
    <row r="68" spans="2:131" x14ac:dyDescent="0.3">
      <c r="B68" s="160"/>
      <c r="C68" s="160"/>
      <c r="D68" s="160"/>
      <c r="E68" s="160"/>
      <c r="F68" s="116"/>
      <c r="G68" s="94"/>
      <c r="H68" s="94"/>
      <c r="I68" s="94"/>
      <c r="J68" s="116"/>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row>
    <row r="69" spans="2:131" x14ac:dyDescent="0.3">
      <c r="B69" s="160"/>
      <c r="C69" s="160"/>
      <c r="D69" s="160"/>
      <c r="E69" s="160"/>
      <c r="F69" s="116"/>
      <c r="G69" s="94"/>
      <c r="H69" s="94"/>
      <c r="I69" s="94"/>
      <c r="J69" s="116"/>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row>
    <row r="71" spans="2:131" x14ac:dyDescent="0.3">
      <c r="X71">
        <v>1</v>
      </c>
      <c r="Y71">
        <v>1</v>
      </c>
      <c r="Z71">
        <v>1</v>
      </c>
      <c r="AC71">
        <v>1</v>
      </c>
      <c r="AD71">
        <v>1</v>
      </c>
      <c r="AE71">
        <v>1</v>
      </c>
      <c r="AF71">
        <v>1</v>
      </c>
      <c r="AG71">
        <v>1</v>
      </c>
      <c r="AJ71">
        <v>1</v>
      </c>
      <c r="AK71">
        <v>1</v>
      </c>
      <c r="AL71">
        <v>1</v>
      </c>
      <c r="AM71">
        <v>1</v>
      </c>
      <c r="AN71">
        <v>1</v>
      </c>
      <c r="AQ71">
        <v>1</v>
      </c>
      <c r="AR71">
        <v>1</v>
      </c>
      <c r="AS71">
        <v>1</v>
      </c>
      <c r="AT71">
        <v>1</v>
      </c>
      <c r="AU71">
        <v>1</v>
      </c>
      <c r="AX71">
        <v>1</v>
      </c>
      <c r="AY71">
        <v>1</v>
      </c>
      <c r="AZ71">
        <v>1</v>
      </c>
      <c r="BA71">
        <v>1</v>
      </c>
      <c r="BB71">
        <v>1</v>
      </c>
      <c r="BE71">
        <v>1</v>
      </c>
      <c r="BF71">
        <v>1</v>
      </c>
      <c r="BG71">
        <v>1</v>
      </c>
      <c r="BH71">
        <v>1</v>
      </c>
      <c r="BI71">
        <v>1</v>
      </c>
      <c r="BL71">
        <v>1</v>
      </c>
      <c r="BM71">
        <v>1</v>
      </c>
      <c r="BN71">
        <v>1</v>
      </c>
      <c r="BO71">
        <v>1</v>
      </c>
      <c r="BP71">
        <v>1</v>
      </c>
      <c r="BS71">
        <v>1</v>
      </c>
      <c r="BT71">
        <v>1</v>
      </c>
      <c r="BU71">
        <v>1</v>
      </c>
      <c r="BV71">
        <v>1</v>
      </c>
      <c r="BW71">
        <v>1</v>
      </c>
      <c r="BZ71">
        <v>1</v>
      </c>
      <c r="CA71">
        <v>1</v>
      </c>
      <c r="CB71">
        <v>1</v>
      </c>
      <c r="CC71">
        <v>1</v>
      </c>
      <c r="CD71">
        <v>1</v>
      </c>
      <c r="CG71">
        <v>1</v>
      </c>
      <c r="CH71">
        <v>1</v>
      </c>
      <c r="CI71">
        <v>1</v>
      </c>
      <c r="CJ71">
        <v>1</v>
      </c>
      <c r="CK71">
        <v>1</v>
      </c>
      <c r="CN71">
        <v>1</v>
      </c>
      <c r="CO71">
        <v>1</v>
      </c>
      <c r="CP71">
        <v>1</v>
      </c>
      <c r="CQ71">
        <v>1</v>
      </c>
      <c r="CR71">
        <v>1</v>
      </c>
      <c r="CU71">
        <v>1</v>
      </c>
      <c r="CV71">
        <v>1</v>
      </c>
      <c r="CW71">
        <v>1</v>
      </c>
      <c r="CX71">
        <v>1</v>
      </c>
      <c r="CY71">
        <v>1</v>
      </c>
      <c r="DB71">
        <v>1</v>
      </c>
      <c r="DC71">
        <v>1</v>
      </c>
      <c r="DD71">
        <v>1</v>
      </c>
      <c r="DE71">
        <v>1</v>
      </c>
      <c r="DF71">
        <v>1</v>
      </c>
      <c r="DI71">
        <v>1</v>
      </c>
      <c r="DJ71">
        <v>1</v>
      </c>
      <c r="DK71">
        <v>1</v>
      </c>
      <c r="DL71">
        <v>1</v>
      </c>
      <c r="DM71">
        <v>1</v>
      </c>
      <c r="DP71">
        <v>1</v>
      </c>
      <c r="DQ71">
        <v>1</v>
      </c>
      <c r="DR71">
        <v>1</v>
      </c>
      <c r="DS71">
        <v>1</v>
      </c>
      <c r="DT71">
        <v>1</v>
      </c>
      <c r="DW71">
        <v>1</v>
      </c>
      <c r="DX71">
        <v>1</v>
      </c>
      <c r="DY71">
        <v>1</v>
      </c>
      <c r="DZ71">
        <v>1</v>
      </c>
      <c r="EA71">
        <v>1</v>
      </c>
    </row>
  </sheetData>
  <autoFilter ref="B6:M59">
    <filterColumn colId="0">
      <filters>
        <filter val="Calculado"/>
        <filter val="Corporativo"/>
        <filter val="Rentabilidade"/>
      </filters>
    </filterColumn>
  </autoFilter>
  <mergeCells count="6">
    <mergeCell ref="FI5:GL5"/>
    <mergeCell ref="N5:AN5"/>
    <mergeCell ref="AQ5:BT5"/>
    <mergeCell ref="BU5:CY5"/>
    <mergeCell ref="DB5:EA5"/>
    <mergeCell ref="ED5:FH5"/>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52"/>
  <sheetViews>
    <sheetView showGridLines="0" topLeftCell="B13" zoomScale="70" zoomScaleNormal="70" workbookViewId="0">
      <selection activeCell="P45" sqref="P45"/>
      <pivotSelection pane="bottomRight" extendable="1" activeRow="44" activeCol="15" previousRow="44" previousCol="15" click="1" r:id="rId1">
        <pivotArea type="data" fieldPosition="0">
          <references count="1">
            <reference field="6" count="1">
              <x v="3"/>
            </reference>
          </references>
        </pivotArea>
      </pivotSelection>
    </sheetView>
  </sheetViews>
  <sheetFormatPr defaultRowHeight="14.4" x14ac:dyDescent="0.3"/>
  <cols>
    <col min="1" max="1" width="39.44140625" bestFit="1" customWidth="1"/>
    <col min="2" max="5" width="12.5546875" customWidth="1"/>
    <col min="6" max="6" width="5.44140625" bestFit="1" customWidth="1"/>
    <col min="7" max="7" width="22.88671875" bestFit="1" customWidth="1"/>
    <col min="8" max="8" width="21.5546875" bestFit="1" customWidth="1"/>
    <col min="9" max="9" width="24.44140625" bestFit="1" customWidth="1"/>
    <col min="10" max="10" width="22.88671875" bestFit="1" customWidth="1"/>
    <col min="12" max="12" width="24.44140625" customWidth="1"/>
    <col min="13" max="13" width="15.109375" customWidth="1"/>
    <col min="14" max="14" width="19.6640625" customWidth="1"/>
    <col min="15" max="15" width="22.77734375" customWidth="1"/>
    <col min="16" max="16" width="23.109375" customWidth="1"/>
    <col min="17" max="17" width="10.6640625" customWidth="1"/>
    <col min="18" max="18" width="13.88671875" customWidth="1"/>
    <col min="19" max="19" width="11.33203125" customWidth="1"/>
    <col min="20" max="20" width="10.6640625" customWidth="1"/>
    <col min="21" max="21" width="8.88671875" customWidth="1"/>
    <col min="22" max="22" width="13.88671875" customWidth="1"/>
    <col min="23" max="23" width="10.6640625" customWidth="1"/>
    <col min="24" max="24" width="6.88671875" customWidth="1"/>
    <col min="25" max="25" width="13.88671875" customWidth="1"/>
    <col min="26" max="26" width="10.6640625" customWidth="1"/>
    <col min="27" max="27" width="6.88671875" customWidth="1"/>
    <col min="28" max="28" width="13.88671875" customWidth="1"/>
    <col min="29" max="29" width="11.33203125" customWidth="1"/>
    <col min="30" max="30" width="12.33203125" customWidth="1"/>
    <col min="31" max="31" width="6.88671875" customWidth="1"/>
    <col min="32" max="32" width="13.88671875" customWidth="1"/>
    <col min="33" max="33" width="10.6640625" customWidth="1"/>
    <col min="34" max="35" width="6.88671875" customWidth="1"/>
    <col min="36" max="36" width="13.88671875" customWidth="1"/>
    <col min="37" max="38" width="11.33203125" customWidth="1"/>
    <col min="39" max="39" width="10.6640625" customWidth="1"/>
    <col min="40" max="40" width="17.33203125" customWidth="1"/>
    <col min="41" max="41" width="17.44140625" customWidth="1"/>
    <col min="42" max="42" width="13.6640625" customWidth="1"/>
    <col min="43" max="43" width="13.88671875" customWidth="1"/>
    <col min="44" max="44" width="18.6640625" customWidth="1"/>
    <col min="45" max="45" width="18.88671875" customWidth="1"/>
    <col min="46" max="47" width="10.6640625" customWidth="1"/>
    <col min="48" max="48" width="17.33203125" customWidth="1"/>
    <col min="49" max="49" width="17.44140625" customWidth="1"/>
    <col min="50" max="50" width="11.5546875" customWidth="1"/>
    <col min="51" max="51" width="11.6640625" customWidth="1"/>
    <col min="52" max="52" width="18.6640625" customWidth="1"/>
    <col min="53" max="53" width="18.88671875" customWidth="1"/>
    <col min="54" max="55" width="10.6640625" customWidth="1"/>
    <col min="56" max="56" width="11.5546875" customWidth="1"/>
    <col min="57" max="57" width="11.6640625" customWidth="1"/>
    <col min="58" max="58" width="11.5546875" customWidth="1"/>
    <col min="59" max="59" width="11.6640625" customWidth="1"/>
    <col min="60" max="60" width="18.6640625" bestFit="1" customWidth="1"/>
    <col min="61" max="61" width="18.88671875" customWidth="1"/>
    <col min="62" max="62" width="15.109375" customWidth="1"/>
    <col min="63" max="63" width="15.33203125" customWidth="1"/>
    <col min="64" max="65" width="11.5546875" bestFit="1" customWidth="1"/>
    <col min="66" max="66" width="17.33203125" customWidth="1"/>
    <col min="67" max="67" width="18.6640625" customWidth="1"/>
    <col min="68" max="68" width="17.44140625" customWidth="1"/>
    <col min="69" max="69" width="11.5546875" customWidth="1"/>
    <col min="70" max="70" width="13.109375" customWidth="1"/>
    <col min="71" max="71" width="11.6640625" customWidth="1"/>
    <col min="72" max="72" width="18.6640625" customWidth="1"/>
    <col min="73" max="73" width="20.109375" customWidth="1"/>
    <col min="74" max="74" width="18.88671875" customWidth="1"/>
    <col min="75" max="78" width="11.5546875" customWidth="1"/>
    <col min="79" max="79" width="13.109375" customWidth="1"/>
    <col min="80" max="80" width="11.6640625" customWidth="1"/>
    <col min="81" max="81" width="11.5546875" bestFit="1" customWidth="1"/>
    <col min="82" max="82" width="13.109375" customWidth="1"/>
    <col min="83" max="83" width="11.6640625" customWidth="1"/>
    <col min="84" max="84" width="18.6640625" customWidth="1"/>
    <col min="85" max="85" width="20.109375" customWidth="1"/>
    <col min="86" max="86" width="18.88671875" customWidth="1"/>
    <col min="87" max="87" width="15.109375" customWidth="1"/>
    <col min="88" max="88" width="16.5546875" customWidth="1"/>
    <col min="89" max="89" width="15.33203125" customWidth="1"/>
    <col min="90" max="90" width="12.6640625" bestFit="1" customWidth="1"/>
    <col min="91" max="91" width="11.6640625" bestFit="1" customWidth="1"/>
    <col min="92" max="92" width="18.6640625" bestFit="1" customWidth="1"/>
    <col min="93" max="93" width="20.109375" bestFit="1" customWidth="1"/>
    <col min="94" max="94" width="19.88671875" bestFit="1" customWidth="1"/>
    <col min="95" max="95" width="18.88671875" bestFit="1" customWidth="1"/>
    <col min="96" max="100" width="11.5546875" bestFit="1" customWidth="1"/>
    <col min="101" max="101" width="13.109375" bestFit="1" customWidth="1"/>
    <col min="102" max="102" width="12.6640625" bestFit="1" customWidth="1"/>
    <col min="103" max="103" width="11.6640625" bestFit="1" customWidth="1"/>
    <col min="104" max="104" width="11.5546875" bestFit="1" customWidth="1"/>
    <col min="105" max="105" width="13.109375" bestFit="1" customWidth="1"/>
    <col min="106" max="106" width="12.6640625" bestFit="1" customWidth="1"/>
    <col min="107" max="107" width="11.6640625" bestFit="1" customWidth="1"/>
    <col min="108" max="108" width="18.6640625" bestFit="1" customWidth="1"/>
    <col min="109" max="109" width="20.109375" bestFit="1" customWidth="1"/>
    <col min="110" max="110" width="19.88671875" bestFit="1" customWidth="1"/>
    <col min="111" max="111" width="18.88671875" bestFit="1" customWidth="1"/>
    <col min="112" max="112" width="15.109375" bestFit="1" customWidth="1"/>
    <col min="113" max="113" width="16.5546875" bestFit="1" customWidth="1"/>
    <col min="114" max="114" width="16.33203125" bestFit="1" customWidth="1"/>
    <col min="115" max="115" width="15.33203125" bestFit="1" customWidth="1"/>
  </cols>
  <sheetData>
    <row r="1" spans="1:16" x14ac:dyDescent="0.3">
      <c r="A1" s="27" t="s">
        <v>3715</v>
      </c>
      <c r="B1" s="27" t="s">
        <v>3706</v>
      </c>
      <c r="C1" s="27" t="s">
        <v>3707</v>
      </c>
      <c r="D1" s="27" t="s">
        <v>3712</v>
      </c>
      <c r="E1" s="27" t="s">
        <v>3816</v>
      </c>
      <c r="F1" s="27" t="s">
        <v>3713</v>
      </c>
      <c r="G1" s="27" t="s">
        <v>3716</v>
      </c>
      <c r="H1" s="27" t="s">
        <v>3792</v>
      </c>
      <c r="I1" s="55" t="s">
        <v>3820</v>
      </c>
      <c r="J1" s="55" t="s">
        <v>3824</v>
      </c>
      <c r="O1" s="8" t="s">
        <v>3681</v>
      </c>
      <c r="P1" t="s">
        <v>3799</v>
      </c>
    </row>
    <row r="2" spans="1:16" x14ac:dyDescent="0.3">
      <c r="A2" s="24" t="s">
        <v>3745</v>
      </c>
      <c r="B2" s="1">
        <f>VLOOKUP(A2,'Por campo'!B:U,2,FALSE)</f>
        <v>2020862</v>
      </c>
      <c r="C2" s="1">
        <f>VLOOKUP(A2,'Por campo'!B:U,6,FALSE)</f>
        <v>0</v>
      </c>
      <c r="D2" s="1">
        <f>VLOOKUP(A2,'Por campo'!B:U,8,FALSE)</f>
        <v>0</v>
      </c>
      <c r="E2" s="1">
        <f>VLOOKUP(A2,'Por campo'!B:U,10,FALSE)</f>
        <v>0</v>
      </c>
      <c r="F2" s="1">
        <f>VLOOKUP($A2,'Por campo'!B:U,12,FALSE)</f>
        <v>0</v>
      </c>
      <c r="G2" t="str">
        <f>VLOOKUP($A2,'Por campo'!B:U,14,FALSE)</f>
        <v>Concluído</v>
      </c>
      <c r="H2" t="str">
        <f>VLOOKUP($A2,'Por campo'!B:U,18,FALSE)</f>
        <v>Sem alterações</v>
      </c>
      <c r="I2" t="str">
        <f>IF(OR(G2="Concluído",G2="Em teste"),"Disponibilizado para teste",IF(G2="Em correção","Disponibilizado para teste",IF(G2="Em especificação","Em especificação",IF(G2="Em implementação","Em implementação",IF(G2="Em análise de requisitos","Em análise de requisitos","NA")))))</f>
        <v>Disponibilizado para teste</v>
      </c>
      <c r="J2" t="str">
        <f>IF(G2="Concluído","OK",IF(G2="Em correção","NOK",G2))</f>
        <v>OK</v>
      </c>
      <c r="O2" s="9" t="s">
        <v>3794</v>
      </c>
      <c r="P2" s="10">
        <v>4</v>
      </c>
    </row>
    <row r="3" spans="1:16" x14ac:dyDescent="0.3">
      <c r="A3" s="24" t="s">
        <v>3741</v>
      </c>
      <c r="B3" s="1">
        <f>VLOOKUP(A3,'Por campo'!B:U,2,FALSE)</f>
        <v>2020862</v>
      </c>
      <c r="C3" s="1">
        <f>VLOOKUP(A3,'Por campo'!B:U,6,FALSE)</f>
        <v>0</v>
      </c>
      <c r="D3" s="1">
        <f>VLOOKUP(A3,'Por campo'!B:U,8,FALSE)</f>
        <v>0</v>
      </c>
      <c r="E3" s="1">
        <f>VLOOKUP(A3,'Por campo'!B:U,10,FALSE)</f>
        <v>0</v>
      </c>
      <c r="F3" s="1">
        <f>VLOOKUP($A3,'Por campo'!B:U,12,FALSE)</f>
        <v>0</v>
      </c>
      <c r="G3" t="str">
        <f>VLOOKUP($A3,'Por campo'!B:U,14,FALSE)</f>
        <v>Concluído</v>
      </c>
      <c r="H3" t="str">
        <f>VLOOKUP($A3,'Por campo'!B:U,18,FALSE)</f>
        <v>Sem alterações</v>
      </c>
      <c r="I3" t="str">
        <f t="shared" ref="I3:I52" si="0">IF(OR(G3="Concluído",G3="Em teste"),"Disponibilizado para teste",IF(G3="Em correção","Disponibilizado para teste",IF(G3="Em especificação","Em especificação",IF(G3="Em implementação","Em implementação",IF(G3="Em análise de requisitos","Em análise de requisitos","NA")))))</f>
        <v>Disponibilizado para teste</v>
      </c>
      <c r="J3" t="str">
        <f t="shared" ref="J3:J52" si="1">IF(G3="Concluído","OK",IF(G3="Em correção","NOK",G3))</f>
        <v>OK</v>
      </c>
      <c r="O3" s="9" t="s">
        <v>3796</v>
      </c>
      <c r="P3" s="10">
        <v>8</v>
      </c>
    </row>
    <row r="4" spans="1:16" x14ac:dyDescent="0.3">
      <c r="A4" s="24" t="s">
        <v>3731</v>
      </c>
      <c r="B4" s="1">
        <f>VLOOKUP(A4,'Por campo'!B:U,2,FALSE)</f>
        <v>2020862</v>
      </c>
      <c r="C4" s="1">
        <f>VLOOKUP(A4,'Por campo'!B:U,6,FALSE)</f>
        <v>0</v>
      </c>
      <c r="D4" s="1">
        <f>VLOOKUP(A4,'Por campo'!B:U,8,FALSE)</f>
        <v>0</v>
      </c>
      <c r="E4" s="1">
        <f>VLOOKUP(A4,'Por campo'!B:U,10,FALSE)</f>
        <v>0</v>
      </c>
      <c r="F4" s="1">
        <f>VLOOKUP($A4,'Por campo'!B:U,12,FALSE)</f>
        <v>0</v>
      </c>
      <c r="G4" t="str">
        <f>VLOOKUP($A4,'Por campo'!B:U,14,FALSE)</f>
        <v>Concluído</v>
      </c>
      <c r="H4" t="str">
        <f>VLOOKUP($A4,'Por campo'!B:U,18,FALSE)</f>
        <v>Sem alterações</v>
      </c>
      <c r="I4" t="str">
        <f t="shared" si="0"/>
        <v>Disponibilizado para teste</v>
      </c>
      <c r="J4" t="str">
        <f t="shared" si="1"/>
        <v>OK</v>
      </c>
      <c r="O4" s="9" t="s">
        <v>3793</v>
      </c>
      <c r="P4" s="10">
        <v>1</v>
      </c>
    </row>
    <row r="5" spans="1:16" x14ac:dyDescent="0.3">
      <c r="A5" s="24" t="s">
        <v>3735</v>
      </c>
      <c r="B5" s="1">
        <f>VLOOKUP(A5,'Por campo'!B:U,2,FALSE)</f>
        <v>2020862</v>
      </c>
      <c r="C5" s="1">
        <f>VLOOKUP(A5,'Por campo'!B:U,6,FALSE)</f>
        <v>0</v>
      </c>
      <c r="D5" s="1">
        <f>VLOOKUP(A5,'Por campo'!B:U,8,FALSE)</f>
        <v>0</v>
      </c>
      <c r="E5" s="1">
        <f>VLOOKUP(A5,'Por campo'!B:U,10,FALSE)</f>
        <v>0</v>
      </c>
      <c r="F5" s="1">
        <f>VLOOKUP($A5,'Por campo'!B:U,12,FALSE)</f>
        <v>0</v>
      </c>
      <c r="G5" t="str">
        <f>VLOOKUP($A5,'Por campo'!B:U,14,FALSE)</f>
        <v>Concluído</v>
      </c>
      <c r="H5" t="str">
        <f>VLOOKUP($A5,'Por campo'!B:U,18,FALSE)</f>
        <v>Sem alterações</v>
      </c>
      <c r="I5" t="str">
        <f t="shared" si="0"/>
        <v>Disponibilizado para teste</v>
      </c>
      <c r="J5" t="str">
        <f t="shared" si="1"/>
        <v>OK</v>
      </c>
      <c r="O5" s="9" t="s">
        <v>3798</v>
      </c>
      <c r="P5" s="10">
        <v>38</v>
      </c>
    </row>
    <row r="6" spans="1:16" x14ac:dyDescent="0.3">
      <c r="A6" s="24" t="s">
        <v>3797</v>
      </c>
      <c r="B6" s="1">
        <f>VLOOKUP(A6,'Por campo'!B:U,2,FALSE)</f>
        <v>0</v>
      </c>
      <c r="C6" s="1">
        <f>VLOOKUP(A6,'Por campo'!B:U,6,FALSE)</f>
        <v>2020862</v>
      </c>
      <c r="D6" s="1">
        <f>VLOOKUP(A6,'Por campo'!B:U,8,FALSE)</f>
        <v>0</v>
      </c>
      <c r="E6" s="1">
        <f>VLOOKUP(A6,'Por campo'!B:U,10,FALSE)</f>
        <v>0</v>
      </c>
      <c r="F6" s="1">
        <f>VLOOKUP($A6,'Por campo'!B:U,12,FALSE)</f>
        <v>0</v>
      </c>
      <c r="G6" t="str">
        <f>VLOOKUP($A6,'Por campo'!B:U,14,FALSE)</f>
        <v>NA</v>
      </c>
      <c r="H6" t="str">
        <f>VLOOKUP($A6,'Por campo'!B:U,18,FALSE)</f>
        <v>Removido 22/12/2023</v>
      </c>
      <c r="I6" t="str">
        <f t="shared" si="0"/>
        <v>NA</v>
      </c>
      <c r="J6" t="str">
        <f t="shared" si="1"/>
        <v>NA</v>
      </c>
      <c r="O6" s="9" t="s">
        <v>3683</v>
      </c>
      <c r="P6" s="10">
        <v>51</v>
      </c>
    </row>
    <row r="7" spans="1:16" x14ac:dyDescent="0.3">
      <c r="A7" s="24" t="s">
        <v>3739</v>
      </c>
      <c r="B7" s="1">
        <f>VLOOKUP(A7,'Por campo'!B:U,2,FALSE)</f>
        <v>2020862</v>
      </c>
      <c r="C7" s="1">
        <f>VLOOKUP(A7,'Por campo'!B:U,6,FALSE)</f>
        <v>0</v>
      </c>
      <c r="D7" s="1">
        <f>VLOOKUP(A7,'Por campo'!B:U,8,FALSE)</f>
        <v>0</v>
      </c>
      <c r="E7" s="1">
        <f>VLOOKUP(A7,'Por campo'!B:U,10,FALSE)</f>
        <v>0</v>
      </c>
      <c r="F7" s="1">
        <f>VLOOKUP($A7,'Por campo'!B:U,12,FALSE)</f>
        <v>0</v>
      </c>
      <c r="G7" t="str">
        <f>VLOOKUP($A7,'Por campo'!B:U,14,FALSE)</f>
        <v>Concluído</v>
      </c>
      <c r="H7" t="str">
        <f>VLOOKUP($A7,'Por campo'!B:U,18,FALSE)</f>
        <v>Sem alterações</v>
      </c>
      <c r="I7" t="str">
        <f t="shared" si="0"/>
        <v>Disponibilizado para teste</v>
      </c>
      <c r="J7" t="str">
        <f t="shared" si="1"/>
        <v>OK</v>
      </c>
    </row>
    <row r="8" spans="1:16" x14ac:dyDescent="0.3">
      <c r="A8" s="24" t="s">
        <v>3736</v>
      </c>
      <c r="B8" s="1">
        <f>VLOOKUP(A8,'Por campo'!B:U,2,FALSE)</f>
        <v>2020862</v>
      </c>
      <c r="C8" s="1">
        <f>VLOOKUP(A8,'Por campo'!B:U,6,FALSE)</f>
        <v>0</v>
      </c>
      <c r="D8" s="1">
        <f>VLOOKUP(A8,'Por campo'!B:U,8,FALSE)</f>
        <v>0</v>
      </c>
      <c r="E8" s="1">
        <f>VLOOKUP(A8,'Por campo'!B:U,10,FALSE)</f>
        <v>0</v>
      </c>
      <c r="F8" s="1">
        <f>VLOOKUP($A8,'Por campo'!B:U,12,FALSE)</f>
        <v>0</v>
      </c>
      <c r="G8" t="str">
        <f>VLOOKUP($A8,'Por campo'!B:U,14,FALSE)</f>
        <v>Concluído</v>
      </c>
      <c r="H8" t="str">
        <f>VLOOKUP($A8,'Por campo'!B:U,18,FALSE)</f>
        <v>Sem alterações</v>
      </c>
      <c r="I8" t="str">
        <f t="shared" si="0"/>
        <v>Disponibilizado para teste</v>
      </c>
      <c r="J8" t="str">
        <f t="shared" si="1"/>
        <v>OK</v>
      </c>
    </row>
    <row r="9" spans="1:16" x14ac:dyDescent="0.3">
      <c r="A9" s="24" t="s">
        <v>3742</v>
      </c>
      <c r="B9" s="1">
        <f>VLOOKUP(A9,'Por campo'!B:U,2,FALSE)</f>
        <v>2020862</v>
      </c>
      <c r="C9" s="1">
        <f>VLOOKUP(A9,'Por campo'!B:U,6,FALSE)</f>
        <v>0</v>
      </c>
      <c r="D9" s="1">
        <f>VLOOKUP(A9,'Por campo'!B:U,8,FALSE)</f>
        <v>0</v>
      </c>
      <c r="E9" s="1">
        <f>VLOOKUP(A9,'Por campo'!B:U,10,FALSE)</f>
        <v>0</v>
      </c>
      <c r="F9" s="1">
        <f>VLOOKUP($A9,'Por campo'!B:U,12,FALSE)</f>
        <v>0</v>
      </c>
      <c r="G9" t="str">
        <f>VLOOKUP($A9,'Por campo'!B:U,14,FALSE)</f>
        <v>Concluído</v>
      </c>
      <c r="H9" t="str">
        <f>VLOOKUP($A9,'Por campo'!B:U,18,FALSE)</f>
        <v>Sem alterações</v>
      </c>
      <c r="I9" t="str">
        <f t="shared" si="0"/>
        <v>Disponibilizado para teste</v>
      </c>
      <c r="J9" t="str">
        <f t="shared" si="1"/>
        <v>OK</v>
      </c>
      <c r="O9" s="8" t="s">
        <v>3792</v>
      </c>
      <c r="P9" t="s">
        <v>3823</v>
      </c>
    </row>
    <row r="10" spans="1:16" x14ac:dyDescent="0.3">
      <c r="A10" s="24" t="s">
        <v>3737</v>
      </c>
      <c r="B10" s="1">
        <f>VLOOKUP(A10,'Por campo'!B:U,2,FALSE)</f>
        <v>2020862</v>
      </c>
      <c r="C10" s="1">
        <f>VLOOKUP(A10,'Por campo'!B:U,6,FALSE)</f>
        <v>0</v>
      </c>
      <c r="D10" s="1">
        <f>VLOOKUP(A10,'Por campo'!B:U,8,FALSE)</f>
        <v>0</v>
      </c>
      <c r="E10" s="1">
        <f>VLOOKUP(A10,'Por campo'!B:U,10,FALSE)</f>
        <v>0</v>
      </c>
      <c r="F10" s="1">
        <f>VLOOKUP($A10,'Por campo'!B:U,12,FALSE)</f>
        <v>0</v>
      </c>
      <c r="G10" t="str">
        <f>VLOOKUP($A10,'Por campo'!B:U,14,FALSE)</f>
        <v>Concluído</v>
      </c>
      <c r="H10" t="str">
        <f>VLOOKUP($A10,'Por campo'!B:U,18,FALSE)</f>
        <v>Sem alterações</v>
      </c>
      <c r="I10" t="str">
        <f t="shared" si="0"/>
        <v>Disponibilizado para teste</v>
      </c>
      <c r="J10" t="str">
        <f t="shared" si="1"/>
        <v>OK</v>
      </c>
    </row>
    <row r="11" spans="1:16" x14ac:dyDescent="0.3">
      <c r="A11" s="24" t="s">
        <v>3743</v>
      </c>
      <c r="B11" s="1">
        <f>VLOOKUP(A11,'Por campo'!B:U,2,FALSE)</f>
        <v>2020862</v>
      </c>
      <c r="C11" s="1">
        <f>VLOOKUP(A11,'Por campo'!B:U,6,FALSE)</f>
        <v>0</v>
      </c>
      <c r="D11" s="1">
        <f>VLOOKUP(A11,'Por campo'!B:U,8,FALSE)</f>
        <v>0</v>
      </c>
      <c r="E11" s="1">
        <f>VLOOKUP(A11,'Por campo'!B:U,10,FALSE)</f>
        <v>0</v>
      </c>
      <c r="F11" s="1">
        <f>VLOOKUP($A11,'Por campo'!B:U,12,FALSE)</f>
        <v>0</v>
      </c>
      <c r="G11" t="str">
        <f>VLOOKUP($A11,'Por campo'!B:U,14,FALSE)</f>
        <v>Concluído</v>
      </c>
      <c r="H11" t="str">
        <f>VLOOKUP($A11,'Por campo'!B:U,18,FALSE)</f>
        <v>Sem alterações</v>
      </c>
      <c r="I11" t="str">
        <f t="shared" si="0"/>
        <v>Disponibilizado para teste</v>
      </c>
      <c r="J11" t="str">
        <f t="shared" si="1"/>
        <v>OK</v>
      </c>
      <c r="O11" s="8" t="s">
        <v>3681</v>
      </c>
      <c r="P11" t="s">
        <v>3799</v>
      </c>
    </row>
    <row r="12" spans="1:16" x14ac:dyDescent="0.3">
      <c r="A12" s="24" t="s">
        <v>3744</v>
      </c>
      <c r="B12" s="1">
        <f>VLOOKUP(A12,'Por campo'!B:U,2,FALSE)</f>
        <v>2020838</v>
      </c>
      <c r="C12" s="1">
        <f>VLOOKUP(A12,'Por campo'!B:U,6,FALSE)</f>
        <v>24</v>
      </c>
      <c r="D12" s="1">
        <f>VLOOKUP(A12,'Por campo'!B:U,8,FALSE)</f>
        <v>0</v>
      </c>
      <c r="E12" s="1">
        <f>VLOOKUP(A12,'Por campo'!B:U,10,FALSE)</f>
        <v>0</v>
      </c>
      <c r="F12" s="1">
        <f>VLOOKUP($A12,'Por campo'!B:U,12,FALSE)</f>
        <v>0</v>
      </c>
      <c r="G12" t="str">
        <f>VLOOKUP($A12,'Por campo'!B:U,14,FALSE)</f>
        <v>Concluído</v>
      </c>
      <c r="H12" t="str">
        <f>VLOOKUP($A12,'Por campo'!B:U,18,FALSE)</f>
        <v>Sem alterações</v>
      </c>
      <c r="I12" t="str">
        <f t="shared" si="0"/>
        <v>Disponibilizado para teste</v>
      </c>
      <c r="J12" t="str">
        <f t="shared" si="1"/>
        <v>OK</v>
      </c>
      <c r="O12" s="9" t="s">
        <v>3787</v>
      </c>
      <c r="P12" s="10">
        <v>21</v>
      </c>
    </row>
    <row r="13" spans="1:16" x14ac:dyDescent="0.3">
      <c r="A13" s="24" t="s">
        <v>3738</v>
      </c>
      <c r="B13" s="1">
        <f>VLOOKUP(A13,'Por campo'!B:U,2,FALSE)</f>
        <v>2020862</v>
      </c>
      <c r="C13" s="1">
        <f>VLOOKUP(A13,'Por campo'!B:U,6,FALSE)</f>
        <v>0</v>
      </c>
      <c r="D13" s="1">
        <f>VLOOKUP(A13,'Por campo'!B:U,8,FALSE)</f>
        <v>0</v>
      </c>
      <c r="E13" s="1">
        <f>VLOOKUP(A13,'Por campo'!B:U,10,FALSE)</f>
        <v>0</v>
      </c>
      <c r="F13" s="1">
        <f>VLOOKUP($A13,'Por campo'!B:U,12,FALSE)</f>
        <v>0</v>
      </c>
      <c r="G13" t="str">
        <f>VLOOKUP($A13,'Por campo'!B:U,14,FALSE)</f>
        <v>Concluído</v>
      </c>
      <c r="H13" t="str">
        <f>VLOOKUP($A13,'Por campo'!B:U,18,FALSE)</f>
        <v>Sem alterações</v>
      </c>
      <c r="I13" t="str">
        <f t="shared" si="0"/>
        <v>Disponibilizado para teste</v>
      </c>
      <c r="J13" t="str">
        <f t="shared" si="1"/>
        <v>OK</v>
      </c>
      <c r="O13" s="9" t="s">
        <v>3851</v>
      </c>
      <c r="P13" s="10">
        <v>4</v>
      </c>
    </row>
    <row r="14" spans="1:16" x14ac:dyDescent="0.3">
      <c r="A14" s="33" t="s">
        <v>3710</v>
      </c>
      <c r="B14" s="1">
        <f>VLOOKUP(A14,'Por campo'!B:U,2,FALSE)</f>
        <v>2016743</v>
      </c>
      <c r="C14" s="1">
        <f>VLOOKUP(A14,'Por campo'!B:U,6,FALSE)</f>
        <v>0</v>
      </c>
      <c r="D14" s="1">
        <f>VLOOKUP(A14,'Por campo'!B:U,8,FALSE)</f>
        <v>454</v>
      </c>
      <c r="E14" s="1">
        <f>VLOOKUP(A14,'Por campo'!B:U,10,FALSE)</f>
        <v>0</v>
      </c>
      <c r="F14" s="1">
        <f>VLOOKUP($A14,'Por campo'!B:U,12,FALSE)</f>
        <v>3665</v>
      </c>
      <c r="G14" t="str">
        <f>VLOOKUP($A14,'Por campo'!B:U,14,FALSE)</f>
        <v>Em Implementação</v>
      </c>
      <c r="H14" t="str">
        <f>VLOOKUP($A14,'Por campo'!B:U,18,FALSE)</f>
        <v>Sem alterações</v>
      </c>
      <c r="I14" t="str">
        <f t="shared" si="0"/>
        <v>Em implementação</v>
      </c>
      <c r="J14" t="str">
        <f t="shared" si="1"/>
        <v>Em Implementação</v>
      </c>
      <c r="O14" s="9" t="s">
        <v>3795</v>
      </c>
      <c r="P14" s="10">
        <v>7</v>
      </c>
    </row>
    <row r="15" spans="1:16" x14ac:dyDescent="0.3">
      <c r="A15" s="24" t="s">
        <v>3705</v>
      </c>
      <c r="B15" s="1">
        <f>VLOOKUP(A15,'Por campo'!B:U,2,FALSE)</f>
        <v>1999977</v>
      </c>
      <c r="C15" s="1">
        <f>VLOOKUP(A15,'Por campo'!B:U,6,FALSE)</f>
        <v>0</v>
      </c>
      <c r="D15" s="1">
        <f>VLOOKUP(A15,'Por campo'!B:U,8,FALSE)</f>
        <v>17220</v>
      </c>
      <c r="E15" s="1">
        <f>VLOOKUP(A15,'Por campo'!B:U,10,FALSE)</f>
        <v>0</v>
      </c>
      <c r="F15" s="1">
        <f>VLOOKUP($A15,'Por campo'!B:U,12,FALSE)</f>
        <v>3665</v>
      </c>
      <c r="G15" t="str">
        <f>VLOOKUP($A15,'Por campo'!B:U,14,FALSE)</f>
        <v>Em Correção</v>
      </c>
      <c r="H15" t="str">
        <f>VLOOKUP($A15,'Por campo'!B:U,18,FALSE)</f>
        <v>Sem alterações</v>
      </c>
      <c r="I15" t="str">
        <f t="shared" si="0"/>
        <v>Disponibilizado para teste</v>
      </c>
      <c r="J15" t="str">
        <f t="shared" si="1"/>
        <v>NOK</v>
      </c>
      <c r="O15" s="9" t="s">
        <v>3783</v>
      </c>
      <c r="P15" s="10">
        <v>16</v>
      </c>
    </row>
    <row r="16" spans="1:16" x14ac:dyDescent="0.3">
      <c r="A16" s="33" t="s">
        <v>3711</v>
      </c>
      <c r="B16" s="1">
        <f>VLOOKUP(A16,'Por campo'!B:U,2,FALSE)</f>
        <v>1922105</v>
      </c>
      <c r="C16" s="1">
        <f>VLOOKUP(A16,'Por campo'!B:U,6,FALSE)</f>
        <v>1</v>
      </c>
      <c r="D16" s="1">
        <f>VLOOKUP(A16,'Por campo'!B:U,8,FALSE)</f>
        <v>52234</v>
      </c>
      <c r="E16" s="1">
        <f>VLOOKUP(A16,'Por campo'!B:U,10,FALSE)</f>
        <v>42857</v>
      </c>
      <c r="F16" s="1">
        <f>VLOOKUP($A16,'Por campo'!B:U,12,FALSE)</f>
        <v>3665</v>
      </c>
      <c r="G16" t="str">
        <f>VLOOKUP($A16,'Por campo'!B:U,14,FALSE)</f>
        <v>Em Correção</v>
      </c>
      <c r="H16" t="str">
        <f>VLOOKUP($A16,'Por campo'!B:U,18,FALSE)</f>
        <v>Sem alterações</v>
      </c>
      <c r="I16" t="str">
        <f t="shared" si="0"/>
        <v>Disponibilizado para teste</v>
      </c>
      <c r="J16" t="str">
        <f t="shared" si="1"/>
        <v>NOK</v>
      </c>
      <c r="O16" s="9" t="s">
        <v>3826</v>
      </c>
      <c r="P16" s="10">
        <v>2</v>
      </c>
    </row>
    <row r="17" spans="1:16" x14ac:dyDescent="0.3">
      <c r="A17" s="24" t="s">
        <v>3709</v>
      </c>
      <c r="B17" s="1">
        <f>VLOOKUP(A17,'Por campo'!B:U,2,FALSE)</f>
        <v>2016735</v>
      </c>
      <c r="C17" s="1">
        <f>VLOOKUP(A17,'Por campo'!B:U,6,FALSE)</f>
        <v>8</v>
      </c>
      <c r="D17" s="1">
        <f>VLOOKUP(A17,'Por campo'!B:U,8,FALSE)</f>
        <v>454</v>
      </c>
      <c r="E17" s="1">
        <f>VLOOKUP(A17,'Por campo'!B:U,10,FALSE)</f>
        <v>0</v>
      </c>
      <c r="F17" s="1">
        <f>VLOOKUP($A17,'Por campo'!B:U,12,FALSE)</f>
        <v>3665</v>
      </c>
      <c r="G17" t="str">
        <f>VLOOKUP($A17,'Por campo'!B:U,14,FALSE)</f>
        <v>Em Correção</v>
      </c>
      <c r="H17" t="str">
        <f>VLOOKUP($A17,'Por campo'!B:U,18,FALSE)</f>
        <v>Sem alterações</v>
      </c>
      <c r="I17" t="str">
        <f t="shared" si="0"/>
        <v>Disponibilizado para teste</v>
      </c>
      <c r="J17" t="str">
        <f t="shared" si="1"/>
        <v>NOK</v>
      </c>
      <c r="O17" s="9" t="s">
        <v>3683</v>
      </c>
      <c r="P17" s="10">
        <v>50</v>
      </c>
    </row>
    <row r="18" spans="1:16" x14ac:dyDescent="0.3">
      <c r="A18" s="24" t="s">
        <v>3740</v>
      </c>
      <c r="B18" s="1">
        <f>VLOOKUP(A18,'Por campo'!B:U,2,FALSE)</f>
        <v>2020862</v>
      </c>
      <c r="C18" s="1">
        <f>VLOOKUP(A18,'Por campo'!B:U,6,FALSE)</f>
        <v>0</v>
      </c>
      <c r="D18" s="1">
        <f>VLOOKUP(A18,'Por campo'!B:U,8,FALSE)</f>
        <v>0</v>
      </c>
      <c r="E18" s="1">
        <f>VLOOKUP(A18,'Por campo'!B:U,10,FALSE)</f>
        <v>0</v>
      </c>
      <c r="F18" s="1">
        <f>VLOOKUP($A18,'Por campo'!B:U,12,FALSE)</f>
        <v>0</v>
      </c>
      <c r="G18" t="str">
        <f>VLOOKUP($A18,'Por campo'!B:U,14,FALSE)</f>
        <v>Concluído</v>
      </c>
      <c r="H18" t="str">
        <f>VLOOKUP($A18,'Por campo'!B:U,18,FALSE)</f>
        <v>Sem alterações</v>
      </c>
      <c r="I18" t="str">
        <f t="shared" si="0"/>
        <v>Disponibilizado para teste</v>
      </c>
      <c r="J18" t="str">
        <f t="shared" si="1"/>
        <v>OK</v>
      </c>
    </row>
    <row r="19" spans="1:16" x14ac:dyDescent="0.3">
      <c r="A19" s="24" t="s">
        <v>3708</v>
      </c>
      <c r="B19" s="1">
        <f>VLOOKUP(A19,'Por campo'!B:U,2,FALSE)</f>
        <v>2016743</v>
      </c>
      <c r="C19" s="1">
        <f>VLOOKUP(A19,'Por campo'!B:U,6,FALSE)</f>
        <v>0</v>
      </c>
      <c r="D19" s="1">
        <f>VLOOKUP(A19,'Por campo'!B:U,8,FALSE)</f>
        <v>454</v>
      </c>
      <c r="E19" s="1">
        <f>VLOOKUP(A19,'Por campo'!B:U,10,FALSE)</f>
        <v>0</v>
      </c>
      <c r="F19" s="1">
        <f>VLOOKUP($A19,'Por campo'!B:U,12,FALSE)</f>
        <v>3665</v>
      </c>
      <c r="G19" t="str">
        <f>VLOOKUP($A19,'Por campo'!B:U,14,FALSE)</f>
        <v>Em Implementação</v>
      </c>
      <c r="H19" t="str">
        <f>VLOOKUP($A19,'Por campo'!B:U,18,FALSE)</f>
        <v>Sem alterações</v>
      </c>
      <c r="I19" t="str">
        <f t="shared" si="0"/>
        <v>Em implementação</v>
      </c>
      <c r="J19" t="str">
        <f t="shared" si="1"/>
        <v>Em Implementação</v>
      </c>
    </row>
    <row r="20" spans="1:16" x14ac:dyDescent="0.3">
      <c r="A20" s="24" t="s">
        <v>3722</v>
      </c>
      <c r="B20" s="1">
        <f>VLOOKUP(A20,'Por campo'!B:U,2,FALSE)</f>
        <v>1698475</v>
      </c>
      <c r="C20" s="1">
        <f>VLOOKUP(A20,'Por campo'!B:U,6,FALSE)</f>
        <v>0</v>
      </c>
      <c r="D20" s="1">
        <f>VLOOKUP(A20,'Por campo'!B:U,8,FALSE)</f>
        <v>160239</v>
      </c>
      <c r="E20" s="1">
        <f>VLOOKUP(A20,'Por campo'!B:U,10,FALSE)</f>
        <v>158483</v>
      </c>
      <c r="F20" s="1">
        <f>VLOOKUP($A20,'Por campo'!B:U,12,FALSE)</f>
        <v>3665</v>
      </c>
      <c r="G20" t="str">
        <f>VLOOKUP($A20,'Por campo'!B:U,14,FALSE)</f>
        <v>Em Correção</v>
      </c>
      <c r="H20" t="str">
        <f>VLOOKUP($A20,'Por campo'!B:U,18,FALSE)</f>
        <v>Sem alterações</v>
      </c>
      <c r="I20" t="str">
        <f t="shared" si="0"/>
        <v>Disponibilizado para teste</v>
      </c>
      <c r="J20" t="str">
        <f t="shared" si="1"/>
        <v>NOK</v>
      </c>
    </row>
    <row r="21" spans="1:16" x14ac:dyDescent="0.3">
      <c r="A21" s="33" t="s">
        <v>3723</v>
      </c>
      <c r="B21" s="1">
        <f>VLOOKUP(A21,'Por campo'!B:U,2,FALSE)</f>
        <v>1952146</v>
      </c>
      <c r="C21" s="1">
        <f>VLOOKUP(A21,'Por campo'!B:U,6,FALSE)</f>
        <v>0</v>
      </c>
      <c r="D21" s="1">
        <f>VLOOKUP(A21,'Por campo'!B:U,8,FALSE)</f>
        <v>65051</v>
      </c>
      <c r="E21" s="1">
        <f>VLOOKUP(A21,'Por campo'!B:U,10,FALSE)</f>
        <v>0</v>
      </c>
      <c r="F21" s="1">
        <f>VLOOKUP($A21,'Por campo'!B:U,12,FALSE)</f>
        <v>3665</v>
      </c>
      <c r="G21" t="str">
        <f>VLOOKUP($A21,'Por campo'!B:U,14,FALSE)</f>
        <v>Em teste</v>
      </c>
      <c r="H21" t="str">
        <f>VLOOKUP($A21,'Por campo'!B:U,18,FALSE)</f>
        <v>Sem alterações</v>
      </c>
      <c r="I21" t="str">
        <f t="shared" si="0"/>
        <v>Disponibilizado para teste</v>
      </c>
      <c r="J21" t="str">
        <f t="shared" si="1"/>
        <v>Em teste</v>
      </c>
    </row>
    <row r="22" spans="1:16" x14ac:dyDescent="0.3">
      <c r="A22" s="24" t="s">
        <v>3757</v>
      </c>
      <c r="B22" s="1">
        <f>VLOOKUP(A22,'Por campo'!B:U,2,FALSE)</f>
        <v>2020862</v>
      </c>
      <c r="C22" s="1">
        <f>VLOOKUP(A22,'Por campo'!B:U,6,FALSE)</f>
        <v>0</v>
      </c>
      <c r="D22" s="1">
        <f>VLOOKUP(A22,'Por campo'!B:U,8,FALSE)</f>
        <v>0</v>
      </c>
      <c r="E22" s="1">
        <f>VLOOKUP(A22,'Por campo'!B:U,10,FALSE)</f>
        <v>0</v>
      </c>
      <c r="F22" s="1">
        <f>VLOOKUP($A22,'Por campo'!B:U,12,FALSE)</f>
        <v>0</v>
      </c>
      <c r="G22" t="str">
        <f>VLOOKUP($A22,'Por campo'!B:U,14,FALSE)</f>
        <v>Concluído</v>
      </c>
      <c r="H22" t="str">
        <f>VLOOKUP($A22,'Por campo'!B:U,18,FALSE)</f>
        <v>Sem alterações</v>
      </c>
      <c r="I22" t="str">
        <f t="shared" si="0"/>
        <v>Disponibilizado para teste</v>
      </c>
      <c r="J22" t="str">
        <f t="shared" si="1"/>
        <v>OK</v>
      </c>
      <c r="O22" s="8" t="s">
        <v>3792</v>
      </c>
      <c r="P22" t="s">
        <v>3823</v>
      </c>
    </row>
    <row r="23" spans="1:16" x14ac:dyDescent="0.3">
      <c r="A23" s="24" t="s">
        <v>3766</v>
      </c>
      <c r="B23" s="1">
        <f>VLOOKUP(A23,'Por campo'!B:U,2,FALSE)</f>
        <v>0</v>
      </c>
      <c r="C23" s="1">
        <f>VLOOKUP(A23,'Por campo'!B:U,6,FALSE)</f>
        <v>0</v>
      </c>
      <c r="D23" s="1">
        <f>VLOOKUP(A23,'Por campo'!B:U,8,FALSE)</f>
        <v>0</v>
      </c>
      <c r="E23" s="1">
        <f>VLOOKUP(A23,'Por campo'!B:U,10,FALSE)</f>
        <v>2020862</v>
      </c>
      <c r="F23" s="1">
        <f>VLOOKUP($A23,'Por campo'!B:U,12,FALSE)</f>
        <v>0</v>
      </c>
      <c r="G23" t="str">
        <f>VLOOKUP($A23,'Por campo'!B:U,14,FALSE)</f>
        <v>Em Implementação</v>
      </c>
      <c r="H23" t="str">
        <f>VLOOKUP($A23,'Por campo'!B:U,18,FALSE)</f>
        <v>Adicionado 22/12/2023</v>
      </c>
      <c r="I23" t="str">
        <f t="shared" si="0"/>
        <v>Em implementação</v>
      </c>
      <c r="J23" t="str">
        <f t="shared" si="1"/>
        <v>Em Implementação</v>
      </c>
    </row>
    <row r="24" spans="1:16" x14ac:dyDescent="0.3">
      <c r="A24" s="24" t="s">
        <v>3756</v>
      </c>
      <c r="B24" s="1">
        <f>VLOOKUP(A24,'Por campo'!B:U,2,FALSE)</f>
        <v>2020862</v>
      </c>
      <c r="C24" s="1">
        <f>VLOOKUP(A24,'Por campo'!B:U,6,FALSE)</f>
        <v>0</v>
      </c>
      <c r="D24" s="1">
        <f>VLOOKUP(A24,'Por campo'!B:U,8,FALSE)</f>
        <v>0</v>
      </c>
      <c r="E24" s="1">
        <f>VLOOKUP(A24,'Por campo'!B:U,10,FALSE)</f>
        <v>0</v>
      </c>
      <c r="F24" s="1">
        <f>VLOOKUP($A24,'Por campo'!B:U,12,FALSE)</f>
        <v>0</v>
      </c>
      <c r="G24" t="str">
        <f>VLOOKUP($A24,'Por campo'!B:U,14,FALSE)</f>
        <v>Concluído</v>
      </c>
      <c r="H24" t="str">
        <f>VLOOKUP($A24,'Por campo'!B:U,18,FALSE)</f>
        <v>Sem alterações</v>
      </c>
      <c r="I24" t="str">
        <f t="shared" si="0"/>
        <v>Disponibilizado para teste</v>
      </c>
      <c r="J24" t="str">
        <f t="shared" si="1"/>
        <v>OK</v>
      </c>
      <c r="O24" s="8" t="s">
        <v>3681</v>
      </c>
      <c r="P24" t="s">
        <v>3822</v>
      </c>
    </row>
    <row r="25" spans="1:16" x14ac:dyDescent="0.3">
      <c r="A25" s="24" t="s">
        <v>3746</v>
      </c>
      <c r="B25" s="1">
        <f>VLOOKUP(A25,'Por campo'!B:U,2,FALSE)</f>
        <v>0</v>
      </c>
      <c r="C25" s="1">
        <f>VLOOKUP(A25,'Por campo'!B:U,6,FALSE)</f>
        <v>0</v>
      </c>
      <c r="D25" s="1">
        <f>VLOOKUP(A25,'Por campo'!B:U,8,FALSE)</f>
        <v>0</v>
      </c>
      <c r="E25" s="1">
        <f>VLOOKUP(A25,'Por campo'!B:U,10,FALSE)</f>
        <v>2020862</v>
      </c>
      <c r="F25" s="1">
        <f>VLOOKUP($A25,'Por campo'!B:U,12,FALSE)</f>
        <v>0</v>
      </c>
      <c r="G25" t="str">
        <f>VLOOKUP($A25,'Por campo'!B:U,14,FALSE)</f>
        <v>Em Implementação</v>
      </c>
      <c r="H25" t="str">
        <f>VLOOKUP($A25,'Por campo'!B:U,18,FALSE)</f>
        <v>Adicionado 22/12/2023</v>
      </c>
      <c r="I25" t="str">
        <f t="shared" si="0"/>
        <v>Em implementação</v>
      </c>
      <c r="J25" t="str">
        <f t="shared" si="1"/>
        <v>Em Implementação</v>
      </c>
      <c r="O25" s="9" t="s">
        <v>3821</v>
      </c>
      <c r="P25" s="10">
        <v>41</v>
      </c>
    </row>
    <row r="26" spans="1:16" x14ac:dyDescent="0.3">
      <c r="A26" s="24" t="s">
        <v>3733</v>
      </c>
      <c r="B26" s="1">
        <f>VLOOKUP(A26,'Por campo'!B:U,2,FALSE)</f>
        <v>2020862</v>
      </c>
      <c r="C26" s="1">
        <f>VLOOKUP(A26,'Por campo'!B:U,6,FALSE)</f>
        <v>0</v>
      </c>
      <c r="D26" s="1">
        <f>VLOOKUP(A26,'Por campo'!B:U,8,FALSE)</f>
        <v>0</v>
      </c>
      <c r="E26" s="1">
        <f>VLOOKUP(A26,'Por campo'!B:U,10,FALSE)</f>
        <v>0</v>
      </c>
      <c r="F26" s="1">
        <f>VLOOKUP($A26,'Por campo'!B:U,12,FALSE)</f>
        <v>0</v>
      </c>
      <c r="G26" t="str">
        <f>VLOOKUP($A26,'Por campo'!B:U,14,FALSE)</f>
        <v>Concluído</v>
      </c>
      <c r="H26" t="str">
        <f>VLOOKUP($A26,'Por campo'!B:U,18,FALSE)</f>
        <v>Sem alterações</v>
      </c>
      <c r="I26" t="str">
        <f t="shared" si="0"/>
        <v>Disponibilizado para teste</v>
      </c>
      <c r="J26" t="str">
        <f t="shared" si="1"/>
        <v>OK</v>
      </c>
      <c r="O26" s="9" t="s">
        <v>3782</v>
      </c>
      <c r="P26" s="10">
        <v>7</v>
      </c>
    </row>
    <row r="27" spans="1:16" x14ac:dyDescent="0.3">
      <c r="A27" s="24" t="s">
        <v>3754</v>
      </c>
      <c r="B27" s="1">
        <f>VLOOKUP(A27,'Por campo'!B:U,2,FALSE)</f>
        <v>2020862</v>
      </c>
      <c r="C27" s="1">
        <f>VLOOKUP(A27,'Por campo'!B:U,6,FALSE)</f>
        <v>0</v>
      </c>
      <c r="D27" s="1">
        <f>VLOOKUP(A27,'Por campo'!B:U,8,FALSE)</f>
        <v>0</v>
      </c>
      <c r="E27" s="1">
        <f>VLOOKUP(A27,'Por campo'!B:U,10,FALSE)</f>
        <v>0</v>
      </c>
      <c r="F27" s="1">
        <f>VLOOKUP($A27,'Por campo'!B:U,12,FALSE)</f>
        <v>0</v>
      </c>
      <c r="G27" t="str">
        <f>VLOOKUP($A27,'Por campo'!B:U,14,FALSE)</f>
        <v>Concluído</v>
      </c>
      <c r="H27" t="str">
        <f>VLOOKUP($A27,'Por campo'!B:U,18,FALSE)</f>
        <v>Sem alterações</v>
      </c>
      <c r="I27" t="str">
        <f t="shared" si="0"/>
        <v>Disponibilizado para teste</v>
      </c>
      <c r="J27" t="str">
        <f t="shared" si="1"/>
        <v>OK</v>
      </c>
      <c r="O27" s="9" t="s">
        <v>3826</v>
      </c>
      <c r="P27" s="10">
        <v>2</v>
      </c>
    </row>
    <row r="28" spans="1:16" x14ac:dyDescent="0.3">
      <c r="A28" s="33" t="s">
        <v>3727</v>
      </c>
      <c r="B28" s="1">
        <f>VLOOKUP(A28,'Por campo'!B:U,2,FALSE)</f>
        <v>0</v>
      </c>
      <c r="C28" s="1">
        <f>VLOOKUP(A28,'Por campo'!B:U,6,FALSE)</f>
        <v>0</v>
      </c>
      <c r="D28" s="1">
        <f>VLOOKUP(A28,'Por campo'!B:U,8,FALSE)</f>
        <v>0</v>
      </c>
      <c r="E28" s="1">
        <f>VLOOKUP(A28,'Por campo'!B:U,10,FALSE)</f>
        <v>2017197</v>
      </c>
      <c r="F28" s="1">
        <f>VLOOKUP($A28,'Por campo'!B:U,12,FALSE)</f>
        <v>3665</v>
      </c>
      <c r="G28" t="str">
        <f>VLOOKUP($A28,'Por campo'!B:U,14,FALSE)</f>
        <v>Em teste</v>
      </c>
      <c r="H28" t="str">
        <f>VLOOKUP($A28,'Por campo'!B:U,18,FALSE)</f>
        <v>Sem alterações</v>
      </c>
      <c r="I28" t="str">
        <f t="shared" si="0"/>
        <v>Disponibilizado para teste</v>
      </c>
      <c r="J28" t="str">
        <f t="shared" si="1"/>
        <v>Em teste</v>
      </c>
      <c r="O28" s="9" t="s">
        <v>3683</v>
      </c>
      <c r="P28" s="10">
        <v>50</v>
      </c>
    </row>
    <row r="29" spans="1:16" x14ac:dyDescent="0.3">
      <c r="A29" s="24" t="s">
        <v>3726</v>
      </c>
      <c r="B29" s="1">
        <f>VLOOKUP(A29,'Por campo'!B:U,2,FALSE)</f>
        <v>1816745</v>
      </c>
      <c r="C29" s="1">
        <f>VLOOKUP(A29,'Por campo'!B:U,6,FALSE)</f>
        <v>0</v>
      </c>
      <c r="D29" s="1">
        <f>VLOOKUP(A29,'Por campo'!B:U,8,FALSE)</f>
        <v>446</v>
      </c>
      <c r="E29" s="1">
        <f>VLOOKUP(A29,'Por campo'!B:U,10,FALSE)</f>
        <v>200006</v>
      </c>
      <c r="F29" s="1">
        <f>VLOOKUP($A29,'Por campo'!B:U,12,FALSE)</f>
        <v>3665</v>
      </c>
      <c r="G29" t="str">
        <f>VLOOKUP($A29,'Por campo'!B:U,14,FALSE)</f>
        <v>Em teste</v>
      </c>
      <c r="H29" t="str">
        <f>VLOOKUP($A29,'Por campo'!B:U,18,FALSE)</f>
        <v>Sem alterações</v>
      </c>
      <c r="I29" t="str">
        <f t="shared" si="0"/>
        <v>Disponibilizado para teste</v>
      </c>
      <c r="J29" t="str">
        <f t="shared" si="1"/>
        <v>Em teste</v>
      </c>
    </row>
    <row r="30" spans="1:16" x14ac:dyDescent="0.3">
      <c r="A30" s="24" t="s">
        <v>3753</v>
      </c>
      <c r="B30" s="1">
        <f>VLOOKUP(A30,'Por campo'!B:U,2,FALSE)</f>
        <v>1856278</v>
      </c>
      <c r="C30" s="1">
        <f>VLOOKUP(A30,'Por campo'!B:U,6,FALSE)</f>
        <v>0</v>
      </c>
      <c r="D30" s="1">
        <f>VLOOKUP(A30,'Por campo'!B:U,8,FALSE)</f>
        <v>2436</v>
      </c>
      <c r="E30" s="1">
        <f>VLOOKUP(A30,'Por campo'!B:U,10,FALSE)</f>
        <v>158483</v>
      </c>
      <c r="F30" s="1">
        <f>VLOOKUP($A30,'Por campo'!B:U,12,FALSE)</f>
        <v>3665</v>
      </c>
      <c r="G30" t="str">
        <f>VLOOKUP($A30,'Por campo'!B:U,14,FALSE)</f>
        <v>Em teste</v>
      </c>
      <c r="H30" t="str">
        <f>VLOOKUP($A30,'Por campo'!B:U,18,FALSE)</f>
        <v>Alterado 22/12/2023</v>
      </c>
      <c r="I30" t="str">
        <f t="shared" si="0"/>
        <v>Disponibilizado para teste</v>
      </c>
      <c r="J30" t="str">
        <f t="shared" si="1"/>
        <v>Em teste</v>
      </c>
    </row>
    <row r="31" spans="1:16" x14ac:dyDescent="0.3">
      <c r="A31" s="33" t="s">
        <v>3763</v>
      </c>
      <c r="B31" s="1">
        <f>VLOOKUP(A31,'Por campo'!B:U,2,FALSE)</f>
        <v>0</v>
      </c>
      <c r="C31" s="1">
        <f>VLOOKUP(A31,'Por campo'!B:U,6,FALSE)</f>
        <v>0</v>
      </c>
      <c r="D31" s="1">
        <f>VLOOKUP(A31,'Por campo'!B:U,8,FALSE)</f>
        <v>0</v>
      </c>
      <c r="E31" s="1">
        <f>VLOOKUP(A31,'Por campo'!B:U,10,FALSE)</f>
        <v>2017197</v>
      </c>
      <c r="F31" s="1">
        <f>VLOOKUP($A31,'Por campo'!B:U,12,FALSE)</f>
        <v>3665</v>
      </c>
      <c r="G31" t="str">
        <f>VLOOKUP($A31,'Por campo'!B:U,14,FALSE)</f>
        <v>Em teste</v>
      </c>
      <c r="H31" t="str">
        <f>VLOOKUP($A31,'Por campo'!B:U,18,FALSE)</f>
        <v>Alterado 22/12/2023</v>
      </c>
      <c r="I31" t="str">
        <f t="shared" si="0"/>
        <v>Disponibilizado para teste</v>
      </c>
      <c r="J31" t="str">
        <f t="shared" si="1"/>
        <v>Em teste</v>
      </c>
      <c r="O31" s="8" t="s">
        <v>3792</v>
      </c>
      <c r="P31" t="s">
        <v>3823</v>
      </c>
    </row>
    <row r="32" spans="1:16" x14ac:dyDescent="0.3">
      <c r="A32" s="24" t="s">
        <v>3760</v>
      </c>
      <c r="B32" s="1">
        <f>VLOOKUP(A32,'Por campo'!B:U,2,FALSE)</f>
        <v>1856204</v>
      </c>
      <c r="C32" s="1">
        <f>VLOOKUP(A32,'Por campo'!B:U,6,FALSE)</f>
        <v>0</v>
      </c>
      <c r="D32" s="1">
        <f>VLOOKUP(A32,'Por campo'!B:U,8,FALSE)</f>
        <v>2531</v>
      </c>
      <c r="E32" s="1">
        <f>VLOOKUP(A32,'Por campo'!B:U,10,FALSE)</f>
        <v>158462</v>
      </c>
      <c r="F32" s="1">
        <f>VLOOKUP($A32,'Por campo'!B:U,12,FALSE)</f>
        <v>3665</v>
      </c>
      <c r="G32" t="str">
        <f>VLOOKUP($A32,'Por campo'!B:U,14,FALSE)</f>
        <v>Em teste</v>
      </c>
      <c r="H32" t="str">
        <f>VLOOKUP($A32,'Por campo'!B:U,18,FALSE)</f>
        <v>Alterado 22/12/2023</v>
      </c>
      <c r="I32" t="str">
        <f t="shared" si="0"/>
        <v>Disponibilizado para teste</v>
      </c>
      <c r="J32" t="str">
        <f t="shared" si="1"/>
        <v>Em teste</v>
      </c>
    </row>
    <row r="33" spans="1:16" x14ac:dyDescent="0.3">
      <c r="A33" s="33" t="s">
        <v>3765</v>
      </c>
      <c r="B33" s="1">
        <f>VLOOKUP(A33,'Por campo'!B:U,2,FALSE)</f>
        <v>0</v>
      </c>
      <c r="C33" s="1">
        <f>VLOOKUP(A33,'Por campo'!B:U,6,FALSE)</f>
        <v>0</v>
      </c>
      <c r="D33" s="1">
        <f>VLOOKUP(A33,'Por campo'!B:U,8,FALSE)</f>
        <v>0</v>
      </c>
      <c r="E33" s="1">
        <f>VLOOKUP(A33,'Por campo'!B:U,10,FALSE)</f>
        <v>2017197</v>
      </c>
      <c r="F33" s="1">
        <f>VLOOKUP($A33,'Por campo'!B:U,12,FALSE)</f>
        <v>3665</v>
      </c>
      <c r="G33" t="str">
        <f>VLOOKUP($A33,'Por campo'!B:U,14,FALSE)</f>
        <v>Em teste</v>
      </c>
      <c r="H33" t="str">
        <f>VLOOKUP($A33,'Por campo'!B:U,18,FALSE)</f>
        <v>Alterado 22/12/2023</v>
      </c>
      <c r="I33" t="str">
        <f t="shared" si="0"/>
        <v>Disponibilizado para teste</v>
      </c>
      <c r="J33" t="str">
        <f t="shared" si="1"/>
        <v>Em teste</v>
      </c>
      <c r="O33" s="8" t="s">
        <v>3681</v>
      </c>
      <c r="P33" t="s">
        <v>3825</v>
      </c>
    </row>
    <row r="34" spans="1:16" x14ac:dyDescent="0.3">
      <c r="A34" s="24" t="s">
        <v>3751</v>
      </c>
      <c r="B34" s="1">
        <f>VLOOKUP(A34,'Por campo'!B:U,2,FALSE)</f>
        <v>1849078</v>
      </c>
      <c r="C34" s="1">
        <f>VLOOKUP(A34,'Por campo'!B:U,6,FALSE)</f>
        <v>0</v>
      </c>
      <c r="D34" s="1">
        <f>VLOOKUP(A34,'Por campo'!B:U,8,FALSE)</f>
        <v>9636</v>
      </c>
      <c r="E34" s="1">
        <f>VLOOKUP(A34,'Por campo'!B:U,10,FALSE)</f>
        <v>158483</v>
      </c>
      <c r="F34" s="1">
        <f>VLOOKUP($A34,'Por campo'!B:U,12,FALSE)</f>
        <v>3665</v>
      </c>
      <c r="G34" t="str">
        <f>VLOOKUP($A34,'Por campo'!B:U,14,FALSE)</f>
        <v>Em teste</v>
      </c>
      <c r="H34" t="str">
        <f>VLOOKUP($A34,'Por campo'!B:U,18,FALSE)</f>
        <v>Alterado 22/12/2023</v>
      </c>
      <c r="I34" t="str">
        <f t="shared" si="0"/>
        <v>Disponibilizado para teste</v>
      </c>
      <c r="J34" t="str">
        <f t="shared" si="1"/>
        <v>Em teste</v>
      </c>
      <c r="O34" s="9" t="s">
        <v>3783</v>
      </c>
      <c r="P34" s="10">
        <v>16</v>
      </c>
    </row>
    <row r="35" spans="1:16" x14ac:dyDescent="0.3">
      <c r="A35" s="33" t="s">
        <v>3762</v>
      </c>
      <c r="B35" s="1">
        <f>VLOOKUP(A35,'Por campo'!B:U,2,FALSE)</f>
        <v>0</v>
      </c>
      <c r="C35" s="1">
        <f>VLOOKUP(A35,'Por campo'!B:U,6,FALSE)</f>
        <v>0</v>
      </c>
      <c r="D35" s="1">
        <f>VLOOKUP(A35,'Por campo'!B:U,8,FALSE)</f>
        <v>0</v>
      </c>
      <c r="E35" s="1">
        <f>VLOOKUP(A35,'Por campo'!B:U,10,FALSE)</f>
        <v>2017197</v>
      </c>
      <c r="F35" s="1">
        <f>VLOOKUP($A35,'Por campo'!B:U,12,FALSE)</f>
        <v>3665</v>
      </c>
      <c r="G35" t="str">
        <f>VLOOKUP($A35,'Por campo'!B:U,14,FALSE)</f>
        <v>Em teste</v>
      </c>
      <c r="H35" t="str">
        <f>VLOOKUP($A35,'Por campo'!B:U,18,FALSE)</f>
        <v>Alterado 22/12/2023</v>
      </c>
      <c r="I35" t="str">
        <f t="shared" si="0"/>
        <v>Disponibilizado para teste</v>
      </c>
      <c r="J35" t="str">
        <f t="shared" si="1"/>
        <v>Em teste</v>
      </c>
      <c r="O35" s="9" t="s">
        <v>3707</v>
      </c>
      <c r="P35" s="10">
        <v>4</v>
      </c>
    </row>
    <row r="36" spans="1:16" x14ac:dyDescent="0.3">
      <c r="A36" s="24" t="s">
        <v>3759</v>
      </c>
      <c r="B36" s="1">
        <f>VLOOKUP(A36,'Por campo'!B:U,2,FALSE)</f>
        <v>1849458</v>
      </c>
      <c r="C36" s="1">
        <f>VLOOKUP(A36,'Por campo'!B:U,6,FALSE)</f>
        <v>0</v>
      </c>
      <c r="D36" s="1">
        <f>VLOOKUP(A36,'Por campo'!B:U,8,FALSE)</f>
        <v>9256</v>
      </c>
      <c r="E36" s="1">
        <f>VLOOKUP(A36,'Por campo'!B:U,10,FALSE)</f>
        <v>158483</v>
      </c>
      <c r="F36" s="1">
        <f>VLOOKUP($A36,'Por campo'!B:U,12,FALSE)</f>
        <v>3665</v>
      </c>
      <c r="G36" t="str">
        <f>VLOOKUP($A36,'Por campo'!B:U,14,FALSE)</f>
        <v>Em teste</v>
      </c>
      <c r="H36" t="str">
        <f>VLOOKUP($A36,'Por campo'!B:U,18,FALSE)</f>
        <v>Alterado 22/12/2023</v>
      </c>
      <c r="I36" t="str">
        <f t="shared" si="0"/>
        <v>Disponibilizado para teste</v>
      </c>
      <c r="J36" t="str">
        <f t="shared" si="1"/>
        <v>Em teste</v>
      </c>
      <c r="O36" s="9" t="s">
        <v>3706</v>
      </c>
      <c r="P36" s="10">
        <v>21</v>
      </c>
    </row>
    <row r="37" spans="1:16" x14ac:dyDescent="0.3">
      <c r="A37" s="33" t="s">
        <v>3764</v>
      </c>
      <c r="B37" s="1">
        <f>VLOOKUP(A37,'Por campo'!B:U,2,FALSE)</f>
        <v>0</v>
      </c>
      <c r="C37" s="1">
        <f>VLOOKUP(A37,'Por campo'!B:U,6,FALSE)</f>
        <v>0</v>
      </c>
      <c r="D37" s="1">
        <f>VLOOKUP(A37,'Por campo'!B:U,8,FALSE)</f>
        <v>0</v>
      </c>
      <c r="E37" s="1">
        <f>VLOOKUP(A37,'Por campo'!B:U,10,FALSE)</f>
        <v>2017197</v>
      </c>
      <c r="F37" s="1">
        <f>VLOOKUP($A37,'Por campo'!B:U,12,FALSE)</f>
        <v>3665</v>
      </c>
      <c r="G37" t="str">
        <f>VLOOKUP($A37,'Por campo'!B:U,14,FALSE)</f>
        <v>Em teste</v>
      </c>
      <c r="H37" t="str">
        <f>VLOOKUP($A37,'Por campo'!B:U,18,FALSE)</f>
        <v>Alterado 22/12/2023</v>
      </c>
      <c r="I37" t="str">
        <f t="shared" si="0"/>
        <v>Disponibilizado para teste</v>
      </c>
      <c r="J37" t="str">
        <f t="shared" si="1"/>
        <v>Em teste</v>
      </c>
      <c r="O37" s="9" t="s">
        <v>3683</v>
      </c>
      <c r="P37" s="10">
        <v>41</v>
      </c>
    </row>
    <row r="38" spans="1:16" x14ac:dyDescent="0.3">
      <c r="A38" s="33" t="s">
        <v>3728</v>
      </c>
      <c r="B38" s="1">
        <f>VLOOKUP(A38,'Por campo'!B:U,2,FALSE)</f>
        <v>1816745</v>
      </c>
      <c r="C38" s="1">
        <f>VLOOKUP(A38,'Por campo'!B:U,6,FALSE)</f>
        <v>0</v>
      </c>
      <c r="D38" s="1">
        <f>VLOOKUP(A38,'Por campo'!B:U,8,FALSE)</f>
        <v>446</v>
      </c>
      <c r="E38" s="1">
        <f>VLOOKUP(A38,'Por campo'!B:U,10,FALSE)</f>
        <v>200006</v>
      </c>
      <c r="F38" s="1">
        <f>VLOOKUP($A38,'Por campo'!B:U,12,FALSE)</f>
        <v>3665</v>
      </c>
      <c r="G38" t="str">
        <f>VLOOKUP($A38,'Por campo'!B:U,14,FALSE)</f>
        <v>Em teste</v>
      </c>
      <c r="H38" t="str">
        <f>VLOOKUP($A38,'Por campo'!B:U,18,FALSE)</f>
        <v>Sem alterações</v>
      </c>
      <c r="I38" t="str">
        <f t="shared" si="0"/>
        <v>Disponibilizado para teste</v>
      </c>
      <c r="J38" t="str">
        <f t="shared" si="1"/>
        <v>Em teste</v>
      </c>
    </row>
    <row r="39" spans="1:16" x14ac:dyDescent="0.3">
      <c r="A39" s="33" t="s">
        <v>3729</v>
      </c>
      <c r="B39" s="1">
        <f>VLOOKUP(A39,'Por campo'!B:U,2,FALSE)</f>
        <v>0</v>
      </c>
      <c r="C39" s="1">
        <f>VLOOKUP(A39,'Por campo'!B:U,6,FALSE)</f>
        <v>0</v>
      </c>
      <c r="D39" s="1">
        <f>VLOOKUP(A39,'Por campo'!B:U,8,FALSE)</f>
        <v>0</v>
      </c>
      <c r="E39" s="1">
        <f>VLOOKUP(A39,'Por campo'!B:U,10,FALSE)</f>
        <v>2017197</v>
      </c>
      <c r="F39" s="1">
        <f>VLOOKUP($A39,'Por campo'!B:U,12,FALSE)</f>
        <v>3665</v>
      </c>
      <c r="G39" t="str">
        <f>VLOOKUP($A39,'Por campo'!B:U,14,FALSE)</f>
        <v>Em teste</v>
      </c>
      <c r="H39" t="str">
        <f>VLOOKUP($A39,'Por campo'!B:U,18,FALSE)</f>
        <v>Sem alterações</v>
      </c>
      <c r="I39" t="str">
        <f t="shared" si="0"/>
        <v>Disponibilizado para teste</v>
      </c>
      <c r="J39" t="str">
        <f t="shared" si="1"/>
        <v>Em teste</v>
      </c>
      <c r="O39" s="8" t="s">
        <v>3792</v>
      </c>
      <c r="P39" t="s">
        <v>3823</v>
      </c>
    </row>
    <row r="40" spans="1:16" x14ac:dyDescent="0.3">
      <c r="A40" s="33" t="s">
        <v>3724</v>
      </c>
      <c r="B40" s="1">
        <f>VLOOKUP(A40,'Por campo'!B:U,2,FALSE)</f>
        <v>1815954</v>
      </c>
      <c r="C40" s="1">
        <f>VLOOKUP(A40,'Por campo'!B:U,6,FALSE)</f>
        <v>0</v>
      </c>
      <c r="D40" s="1">
        <f>VLOOKUP(A40,'Por campo'!B:U,8,FALSE)</f>
        <v>446</v>
      </c>
      <c r="E40" s="1">
        <f>VLOOKUP(A40,'Por campo'!B:U,10,FALSE)</f>
        <v>201588</v>
      </c>
      <c r="F40" s="1">
        <f>VLOOKUP($A40,'Por campo'!B:U,12,FALSE)</f>
        <v>3665</v>
      </c>
      <c r="G40" t="str">
        <f>VLOOKUP($A40,'Por campo'!B:U,14,FALSE)</f>
        <v>Em teste</v>
      </c>
      <c r="H40" t="str">
        <f>VLOOKUP($A40,'Por campo'!B:U,18,FALSE)</f>
        <v>Sem alterações</v>
      </c>
      <c r="I40" t="str">
        <f t="shared" si="0"/>
        <v>Disponibilizado para teste</v>
      </c>
      <c r="J40" t="str">
        <f t="shared" si="1"/>
        <v>Em teste</v>
      </c>
    </row>
    <row r="41" spans="1:16" x14ac:dyDescent="0.3">
      <c r="A41" s="33" t="s">
        <v>3725</v>
      </c>
      <c r="B41" s="1">
        <f>VLOOKUP(A41,'Por campo'!B:U,2,FALSE)</f>
        <v>0</v>
      </c>
      <c r="C41" s="1">
        <f>VLOOKUP(A41,'Por campo'!B:U,6,FALSE)</f>
        <v>0</v>
      </c>
      <c r="D41" s="1">
        <f>VLOOKUP(A41,'Por campo'!B:U,8,FALSE)</f>
        <v>0</v>
      </c>
      <c r="E41" s="1">
        <f>VLOOKUP(A41,'Por campo'!B:U,10,FALSE)</f>
        <v>2017197</v>
      </c>
      <c r="F41" s="1">
        <f>VLOOKUP($A41,'Por campo'!B:U,12,FALSE)</f>
        <v>3665</v>
      </c>
      <c r="G41" t="str">
        <f>VLOOKUP($A41,'Por campo'!B:U,14,FALSE)</f>
        <v>Em teste</v>
      </c>
      <c r="H41" t="str">
        <f>VLOOKUP($A41,'Por campo'!B:U,18,FALSE)</f>
        <v>Sem alterações</v>
      </c>
      <c r="I41" t="str">
        <f t="shared" si="0"/>
        <v>Disponibilizado para teste</v>
      </c>
      <c r="J41" t="str">
        <f t="shared" si="1"/>
        <v>Em teste</v>
      </c>
      <c r="O41" s="8" t="s">
        <v>3681</v>
      </c>
      <c r="P41" t="s">
        <v>3799</v>
      </c>
    </row>
    <row r="42" spans="1:16" x14ac:dyDescent="0.3">
      <c r="A42" s="24" t="s">
        <v>3767</v>
      </c>
      <c r="B42" s="1">
        <f>VLOOKUP(A42,'Por campo'!B:U,2,FALSE)</f>
        <v>2020862</v>
      </c>
      <c r="C42" s="1">
        <f>VLOOKUP(A42,'Por campo'!B:U,6,FALSE)</f>
        <v>0</v>
      </c>
      <c r="D42" s="1">
        <f>VLOOKUP(A42,'Por campo'!B:U,8,FALSE)</f>
        <v>0</v>
      </c>
      <c r="E42" s="1">
        <f>VLOOKUP(A42,'Por campo'!B:U,10,FALSE)</f>
        <v>0</v>
      </c>
      <c r="F42" s="1">
        <f>VLOOKUP($A42,'Por campo'!B:U,12,FALSE)</f>
        <v>0</v>
      </c>
      <c r="G42" t="str">
        <f>VLOOKUP($A42,'Por campo'!B:U,14,FALSE)</f>
        <v>Concluído</v>
      </c>
      <c r="H42" t="str">
        <f>VLOOKUP($A42,'Por campo'!B:U,18,FALSE)</f>
        <v>Adicionado 22/12/2023</v>
      </c>
      <c r="I42" t="str">
        <f t="shared" si="0"/>
        <v>Disponibilizado para teste</v>
      </c>
      <c r="J42" t="str">
        <f t="shared" si="1"/>
        <v>OK</v>
      </c>
      <c r="O42" s="9" t="s">
        <v>3787</v>
      </c>
      <c r="P42" s="10">
        <v>21</v>
      </c>
    </row>
    <row r="43" spans="1:16" x14ac:dyDescent="0.3">
      <c r="A43" s="24" t="s">
        <v>3734</v>
      </c>
      <c r="B43" s="1">
        <f>VLOOKUP(A43,'Por campo'!B:U,2,FALSE)</f>
        <v>2020862</v>
      </c>
      <c r="C43" s="1">
        <f>VLOOKUP(A43,'Por campo'!B:U,6,FALSE)</f>
        <v>0</v>
      </c>
      <c r="D43" s="1">
        <f>VLOOKUP(A43,'Por campo'!B:U,8,FALSE)</f>
        <v>0</v>
      </c>
      <c r="E43" s="1">
        <f>VLOOKUP(A43,'Por campo'!B:U,10,FALSE)</f>
        <v>0</v>
      </c>
      <c r="F43" s="1">
        <f>VLOOKUP($A43,'Por campo'!B:U,12,FALSE)</f>
        <v>0</v>
      </c>
      <c r="G43" t="str">
        <f>VLOOKUP($A43,'Por campo'!B:U,14,FALSE)</f>
        <v>Concluído</v>
      </c>
      <c r="H43" t="str">
        <f>VLOOKUP($A43,'Por campo'!B:U,18,FALSE)</f>
        <v>Sem alterações</v>
      </c>
      <c r="I43" t="str">
        <f t="shared" si="0"/>
        <v>Disponibilizado para teste</v>
      </c>
      <c r="J43" t="str">
        <f t="shared" si="1"/>
        <v>OK</v>
      </c>
      <c r="O43" s="9" t="s">
        <v>3851</v>
      </c>
      <c r="P43" s="10">
        <v>4</v>
      </c>
    </row>
    <row r="44" spans="1:16" x14ac:dyDescent="0.3">
      <c r="A44" s="24" t="s">
        <v>3755</v>
      </c>
      <c r="B44" s="1">
        <f>VLOOKUP(A44,'Por campo'!B:U,2,FALSE)</f>
        <v>2020862</v>
      </c>
      <c r="C44" s="1">
        <f>VLOOKUP(A44,'Por campo'!B:U,6,FALSE)</f>
        <v>0</v>
      </c>
      <c r="D44" s="1">
        <f>VLOOKUP(A44,'Por campo'!B:U,8,FALSE)</f>
        <v>0</v>
      </c>
      <c r="E44" s="1">
        <f>VLOOKUP(A44,'Por campo'!B:U,10,FALSE)</f>
        <v>0</v>
      </c>
      <c r="F44" s="1">
        <f>VLOOKUP($A44,'Por campo'!B:U,12,FALSE)</f>
        <v>0</v>
      </c>
      <c r="G44" t="str">
        <f>VLOOKUP($A44,'Por campo'!B:U,14,FALSE)</f>
        <v>Concluído</v>
      </c>
      <c r="H44" t="str">
        <f>VLOOKUP($A44,'Por campo'!B:U,18,FALSE)</f>
        <v>Sem alterações</v>
      </c>
      <c r="I44" t="str">
        <f t="shared" si="0"/>
        <v>Disponibilizado para teste</v>
      </c>
      <c r="J44" t="str">
        <f t="shared" si="1"/>
        <v>OK</v>
      </c>
      <c r="O44" s="9" t="s">
        <v>3795</v>
      </c>
      <c r="P44" s="10">
        <v>7</v>
      </c>
    </row>
    <row r="45" spans="1:16" x14ac:dyDescent="0.3">
      <c r="A45" s="24" t="s">
        <v>3758</v>
      </c>
      <c r="B45" s="1">
        <f>VLOOKUP(A45,'Por campo'!B:U,2,FALSE)</f>
        <v>0</v>
      </c>
      <c r="C45" s="1">
        <f>VLOOKUP(A45,'Por campo'!B:U,6,FALSE)</f>
        <v>0</v>
      </c>
      <c r="D45" s="1">
        <f>VLOOKUP(A45,'Por campo'!B:U,8,FALSE)</f>
        <v>0</v>
      </c>
      <c r="E45" s="1">
        <f>VLOOKUP(A45,'Por campo'!B:U,10,FALSE)</f>
        <v>2020862</v>
      </c>
      <c r="F45" s="1">
        <f>VLOOKUP($A45,'Por campo'!B:U,12,FALSE)</f>
        <v>0</v>
      </c>
      <c r="G45" t="str">
        <f>VLOOKUP($A45,'Por campo'!B:U,14,FALSE)</f>
        <v>Em análise de requisitos</v>
      </c>
      <c r="H45" t="str">
        <f>VLOOKUP($A45,'Por campo'!B:U,18,FALSE)</f>
        <v>Sem alterações</v>
      </c>
      <c r="I45" t="str">
        <f t="shared" si="0"/>
        <v>Em análise de requisitos</v>
      </c>
      <c r="J45" t="str">
        <f t="shared" si="1"/>
        <v>Em análise de requisitos</v>
      </c>
      <c r="L45" s="45"/>
      <c r="O45" s="9" t="s">
        <v>3783</v>
      </c>
      <c r="P45" s="10">
        <v>16</v>
      </c>
    </row>
    <row r="46" spans="1:16" x14ac:dyDescent="0.3">
      <c r="A46" s="24" t="s">
        <v>3747</v>
      </c>
      <c r="B46" s="1">
        <f>VLOOKUP(A46,'Por campo'!B:U,2,FALSE)</f>
        <v>2020862</v>
      </c>
      <c r="C46" s="1">
        <f>VLOOKUP(A46,'Por campo'!B:U,6,FALSE)</f>
        <v>0</v>
      </c>
      <c r="D46" s="1">
        <f>VLOOKUP(A46,'Por campo'!B:U,8,FALSE)</f>
        <v>0</v>
      </c>
      <c r="E46" s="1">
        <f>VLOOKUP(A46,'Por campo'!B:U,10,FALSE)</f>
        <v>0</v>
      </c>
      <c r="F46" s="1">
        <f>VLOOKUP($A46,'Por campo'!B:U,12,FALSE)</f>
        <v>0</v>
      </c>
      <c r="G46" t="str">
        <f>VLOOKUP($A46,'Por campo'!B:U,14,FALSE)</f>
        <v>Concluído</v>
      </c>
      <c r="H46" t="str">
        <f>VLOOKUP($A46,'Por campo'!B:U,18,FALSE)</f>
        <v>Adicionado 22/12/2023</v>
      </c>
      <c r="I46" t="str">
        <f t="shared" si="0"/>
        <v>Disponibilizado para teste</v>
      </c>
      <c r="J46" t="str">
        <f t="shared" si="1"/>
        <v>OK</v>
      </c>
      <c r="L46" s="46"/>
      <c r="O46" s="9" t="s">
        <v>3826</v>
      </c>
      <c r="P46" s="10">
        <v>2</v>
      </c>
    </row>
    <row r="47" spans="1:16" x14ac:dyDescent="0.3">
      <c r="A47" s="24" t="s">
        <v>3752</v>
      </c>
      <c r="B47" s="1">
        <f>VLOOKUP(A47,'Por campo'!B:U,2,FALSE)</f>
        <v>1892168</v>
      </c>
      <c r="C47" s="1">
        <f>VLOOKUP(A47,'Por campo'!B:U,6,FALSE)</f>
        <v>0</v>
      </c>
      <c r="D47" s="1">
        <f>VLOOKUP(A47,'Por campo'!B:U,8,FALSE)</f>
        <v>2344</v>
      </c>
      <c r="E47" s="1">
        <f>VLOOKUP(A47,'Por campo'!B:U,10,FALSE)</f>
        <v>122685</v>
      </c>
      <c r="F47" s="1">
        <f>VLOOKUP($A47,'Por campo'!B:U,12,FALSE)</f>
        <v>3665</v>
      </c>
      <c r="G47" t="str">
        <f>VLOOKUP($A47,'Por campo'!B:U,14,FALSE)</f>
        <v>Em teste</v>
      </c>
      <c r="H47" t="str">
        <f>VLOOKUP($A47,'Por campo'!B:U,18,FALSE)</f>
        <v>Sem alterações</v>
      </c>
      <c r="I47" t="str">
        <f t="shared" si="0"/>
        <v>Disponibilizado para teste</v>
      </c>
      <c r="J47" t="str">
        <f t="shared" si="1"/>
        <v>Em teste</v>
      </c>
      <c r="L47" s="44"/>
      <c r="O47" s="9" t="s">
        <v>3683</v>
      </c>
      <c r="P47" s="10">
        <v>50</v>
      </c>
    </row>
    <row r="48" spans="1:16" x14ac:dyDescent="0.3">
      <c r="A48" s="24" t="s">
        <v>3750</v>
      </c>
      <c r="B48" s="1">
        <f>VLOOKUP(A48,'Por campo'!B:U,2,FALSE)</f>
        <v>0</v>
      </c>
      <c r="C48" s="1">
        <f>VLOOKUP(A48,'Por campo'!B:U,6,FALSE)</f>
        <v>0</v>
      </c>
      <c r="D48" s="1">
        <f>VLOOKUP(A48,'Por campo'!B:U,8,FALSE)</f>
        <v>0</v>
      </c>
      <c r="E48" s="1">
        <f>VLOOKUP(A48,'Por campo'!B:U,10,FALSE)</f>
        <v>2017197</v>
      </c>
      <c r="F48" s="1">
        <f>VLOOKUP($A48,'Por campo'!B:U,12,FALSE)</f>
        <v>3665</v>
      </c>
      <c r="G48" t="str">
        <f>VLOOKUP($A48,'Por campo'!B:U,14,FALSE)</f>
        <v>Em Implementação</v>
      </c>
      <c r="H48" t="str">
        <f>VLOOKUP($A48,'Por campo'!B:U,18,FALSE)</f>
        <v>Sem alterações</v>
      </c>
      <c r="I48" t="str">
        <f t="shared" si="0"/>
        <v>Em implementação</v>
      </c>
      <c r="J48" t="str">
        <f t="shared" si="1"/>
        <v>Em Implementação</v>
      </c>
    </row>
    <row r="49" spans="1:10" x14ac:dyDescent="0.3">
      <c r="A49" s="24" t="s">
        <v>3761</v>
      </c>
      <c r="B49" s="1">
        <f>VLOOKUP(A49,'Por campo'!B:U,2,FALSE)</f>
        <v>0</v>
      </c>
      <c r="C49" s="1">
        <f>VLOOKUP(A49,'Por campo'!B:U,6,FALSE)</f>
        <v>0</v>
      </c>
      <c r="D49" s="1">
        <f>VLOOKUP(A49,'Por campo'!B:U,8,FALSE)</f>
        <v>0</v>
      </c>
      <c r="E49" s="1">
        <f>VLOOKUP(A49,'Por campo'!B:U,10,FALSE)</f>
        <v>2020862</v>
      </c>
      <c r="F49" s="1">
        <f>VLOOKUP($A49,'Por campo'!B:U,12,FALSE)</f>
        <v>0</v>
      </c>
      <c r="G49" t="str">
        <f>VLOOKUP($A49,'Por campo'!B:U,14,FALSE)</f>
        <v>Em análise de requisitos</v>
      </c>
      <c r="H49" t="str">
        <f>VLOOKUP($A49,'Por campo'!B:U,18,FALSE)</f>
        <v>Sem alterações</v>
      </c>
      <c r="I49" t="str">
        <f t="shared" si="0"/>
        <v>Em análise de requisitos</v>
      </c>
      <c r="J49" t="str">
        <f t="shared" si="1"/>
        <v>Em análise de requisitos</v>
      </c>
    </row>
    <row r="50" spans="1:10" x14ac:dyDescent="0.3">
      <c r="A50" s="24" t="s">
        <v>3749</v>
      </c>
      <c r="B50" s="1">
        <f>VLOOKUP(A50,'Por campo'!B:U,2,FALSE)</f>
        <v>0</v>
      </c>
      <c r="C50" s="1">
        <f>VLOOKUP(A50,'Por campo'!B:U,6,FALSE)</f>
        <v>0</v>
      </c>
      <c r="D50" s="1">
        <f>VLOOKUP(A50,'Por campo'!B:U,8,FALSE)</f>
        <v>0</v>
      </c>
      <c r="E50" s="1">
        <f>VLOOKUP(A50,'Por campo'!B:U,10,FALSE)</f>
        <v>2020862</v>
      </c>
      <c r="F50" s="1">
        <f>VLOOKUP($A50,'Por campo'!B:U,12,FALSE)</f>
        <v>0</v>
      </c>
      <c r="G50" t="str">
        <f>VLOOKUP($A50,'Por campo'!B:U,14,FALSE)</f>
        <v>Em implementação</v>
      </c>
      <c r="H50" t="str">
        <f>VLOOKUP($A50,'Por campo'!B:U,18,FALSE)</f>
        <v>Sem alterações</v>
      </c>
      <c r="I50" t="str">
        <f t="shared" si="0"/>
        <v>Em implementação</v>
      </c>
      <c r="J50" t="str">
        <f t="shared" si="1"/>
        <v>Em implementação</v>
      </c>
    </row>
    <row r="51" spans="1:10" x14ac:dyDescent="0.3">
      <c r="A51" s="24" t="s">
        <v>3748</v>
      </c>
      <c r="B51" s="1">
        <f>VLOOKUP(A51,'Por campo'!B:U,2,FALSE)</f>
        <v>0</v>
      </c>
      <c r="C51" s="1">
        <f>VLOOKUP(A51,'Por campo'!B:U,6,FALSE)</f>
        <v>0</v>
      </c>
      <c r="D51" s="1">
        <f>VLOOKUP(A51,'Por campo'!B:U,8,FALSE)</f>
        <v>0</v>
      </c>
      <c r="E51" s="1">
        <f>VLOOKUP(A51,'Por campo'!B:U,10,FALSE)</f>
        <v>2020862</v>
      </c>
      <c r="F51" s="1">
        <f>VLOOKUP($A51,'Por campo'!B:U,12,FALSE)</f>
        <v>0</v>
      </c>
      <c r="G51" t="str">
        <f>VLOOKUP($A51,'Por campo'!B:U,14,FALSE)</f>
        <v>Em implementação</v>
      </c>
      <c r="H51" t="str">
        <f>VLOOKUP($A51,'Por campo'!B:U,18,FALSE)</f>
        <v>Sem alterações</v>
      </c>
      <c r="I51" t="str">
        <f t="shared" si="0"/>
        <v>Em implementação</v>
      </c>
      <c r="J51" t="str">
        <f t="shared" si="1"/>
        <v>Em implementação</v>
      </c>
    </row>
    <row r="52" spans="1:10" x14ac:dyDescent="0.3">
      <c r="A52" s="24" t="s">
        <v>3732</v>
      </c>
      <c r="B52" s="1">
        <f>VLOOKUP(A52,'Por campo'!B:U,2,FALSE)</f>
        <v>2020862</v>
      </c>
      <c r="C52" s="1">
        <f>VLOOKUP(A52,'Por campo'!B:U,6,FALSE)</f>
        <v>0</v>
      </c>
      <c r="D52" s="1">
        <f>VLOOKUP(A52,'Por campo'!B:U,8,FALSE)</f>
        <v>0</v>
      </c>
      <c r="E52" s="1">
        <f>VLOOKUP(A52,'Por campo'!B:U,10,FALSE)</f>
        <v>0</v>
      </c>
      <c r="F52" s="1">
        <f>VLOOKUP($A52,'Por campo'!B:U,12,FALSE)</f>
        <v>0</v>
      </c>
      <c r="G52" t="str">
        <f>VLOOKUP($A52,'Por campo'!B:U,14,FALSE)</f>
        <v>Concluído</v>
      </c>
      <c r="H52" t="str">
        <f>VLOOKUP($A52,'Por campo'!B:U,18,FALSE)</f>
        <v>Sem alterações</v>
      </c>
      <c r="I52" t="str">
        <f t="shared" si="0"/>
        <v>Disponibilizado para teste</v>
      </c>
      <c r="J52" t="str">
        <f t="shared" si="1"/>
        <v>OK</v>
      </c>
    </row>
  </sheetData>
  <autoFilter ref="A1:J52"/>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69A57489-EBD6-4106-8E77-D6640D465639}">
  <ds:schemaRefs>
    <ds:schemaRef ds:uri="http://schemas.microsoft.com/sharepoint/v3/contenttype/forms"/>
  </ds:schemaRefs>
</ds:datastoreItem>
</file>

<file path=customXml/itemProps2.xml><?xml version="1.0" encoding="utf-8"?>
<ds:datastoreItem xmlns:ds="http://schemas.openxmlformats.org/officeDocument/2006/customXml" ds:itemID="{DF5AE553-F8B3-47F1-8543-4DA9B89B4303}"/>
</file>

<file path=customXml/itemProps3.xml><?xml version="1.0" encoding="utf-8"?>
<ds:datastoreItem xmlns:ds="http://schemas.openxmlformats.org/officeDocument/2006/customXml" ds:itemID="{0E6360D6-1E3D-4BBA-9FE4-C78BC7356407}">
  <ds:schemaRefs>
    <ds:schemaRef ds:uri="http://purl.org/dc/dcmitype/"/>
    <ds:schemaRef ds:uri="http://schemas.microsoft.com/office/2006/documentManagement/types"/>
    <ds:schemaRef ds:uri="http://schemas.microsoft.com/office/infopath/2007/PartnerControls"/>
    <ds:schemaRef ds:uri="http://www.w3.org/XML/1998/namespace"/>
    <ds:schemaRef ds:uri="http://purl.org/dc/elements/1.1/"/>
    <ds:schemaRef ds:uri="http://purl.org/dc/terms/"/>
    <ds:schemaRef ds:uri="http://schemas.openxmlformats.org/package/2006/metadata/core-properties"/>
    <ds:schemaRef ds:uri="http://schemas.microsoft.com/sharepoint/v3"/>
    <ds:schemaRef ds:uri="6ea7b29d-57ec-408d-9ea9-cf73b04f66d5"/>
    <ds:schemaRef ds:uri="http://schemas.microsoft.com/office/2006/metadata/propertie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Indicadores</vt:lpstr>
      <vt:lpstr>Sheet2</vt:lpstr>
      <vt:lpstr>N Cruza</vt:lpstr>
      <vt:lpstr>Sheet7</vt:lpstr>
      <vt:lpstr>Por campo</vt:lpstr>
      <vt:lpstr>Dashboard</vt:lpstr>
      <vt:lpstr>Resumo</vt:lpstr>
      <vt:lpstr>Status Relações</vt:lpstr>
      <vt:lpstr>Plano</vt:lpstr>
      <vt:lpstr>aux</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Joana Rita Bentinho Silva</cp:lastModifiedBy>
  <dcterms:created xsi:type="dcterms:W3CDTF">2024-01-19T14:18:45Z</dcterms:created>
  <dcterms:modified xsi:type="dcterms:W3CDTF">2024-03-21T14:56:03Z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2024-01-22T14:52:54Z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1022f1ae-cd06-42c7-a740-b7f00eedfd76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