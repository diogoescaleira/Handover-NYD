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1175\OneDrive - Santander Office 365\Documents\GitHub\BS_PILAR3_ESG\07. Exercicio Pillar3 - Jun24\01. Gloval\"/>
    </mc:Choice>
  </mc:AlternateContent>
  <bookViews>
    <workbookView xWindow="0" yWindow="0" windowWidth="13584" windowHeight="5772"/>
  </bookViews>
  <sheets>
    <sheet name="GLOVAL" sheetId="2" r:id="rId1"/>
  </sheets>
  <definedNames>
    <definedName name="_xlnm._FilterDatabase" localSheetId="0" hidden="1">GLOVAL!$A$1:$AJ$56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" i="2" l="1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2" i="2"/>
</calcChain>
</file>

<file path=xl/sharedStrings.xml><?xml version="1.0" encoding="utf-8"?>
<sst xmlns="http://schemas.openxmlformats.org/spreadsheetml/2006/main" count="641" uniqueCount="407">
  <si>
    <t>Setubal</t>
  </si>
  <si>
    <t>Barreiro</t>
  </si>
  <si>
    <t>União Das Freguesias De Barreiro E Lavradio</t>
  </si>
  <si>
    <t>Lisboa</t>
  </si>
  <si>
    <t>Lourinha</t>
  </si>
  <si>
    <t>Moita Dos Ferreiros</t>
  </si>
  <si>
    <t>União Das Freguesias De Alto Do Seixalinho. Santo André E Verderena</t>
  </si>
  <si>
    <t>Avenidas Novas</t>
  </si>
  <si>
    <t>COMERCIO</t>
  </si>
  <si>
    <t>Moita</t>
  </si>
  <si>
    <t>União das Freguesias de Baixa da Banheira e Vale Da Amoreira</t>
  </si>
  <si>
    <t>Coruche</t>
  </si>
  <si>
    <t>UniãƒO Das Freguesias De Coruche. FajãƒRda E Erra</t>
  </si>
  <si>
    <t>Oeiras</t>
  </si>
  <si>
    <t>União Das Freguesias De Carnaxide E Queijas</t>
  </si>
  <si>
    <t>Porto</t>
  </si>
  <si>
    <t>Paços De Ferreira</t>
  </si>
  <si>
    <t>Sintra</t>
  </si>
  <si>
    <t>UniãO Das Freguesias De Massamá E Monte Abraão</t>
  </si>
  <si>
    <t>Leiria</t>
  </si>
  <si>
    <t>União Das Freguesias De Colmeias E Memória</t>
  </si>
  <si>
    <t>Vila Franca De Xira</t>
  </si>
  <si>
    <t>Aveiro</t>
  </si>
  <si>
    <t>Águeda</t>
  </si>
  <si>
    <t>União Das Freguesias De Barrô E Aguada De Baixo</t>
  </si>
  <si>
    <t>﻿949</t>
  </si>
  <si>
    <t>Coimbra</t>
  </si>
  <si>
    <t>Gois</t>
  </si>
  <si>
    <t>Vila Nova Do Ceira</t>
  </si>
  <si>
    <t>SETUBAL</t>
  </si>
  <si>
    <t>SETUBAL (S. SEBASTIÃO)</t>
  </si>
  <si>
    <t>Braganca</t>
  </si>
  <si>
    <t>União Das Freguesias De Sé. Santa Maria E Meixedo</t>
  </si>
  <si>
    <t>Loures</t>
  </si>
  <si>
    <t>União Das Freguesias De Camarate. Unhos E Apelação</t>
  </si>
  <si>
    <t>Sesimbra</t>
  </si>
  <si>
    <t>Sesimbra (Santiago)</t>
  </si>
  <si>
    <t>ANGRA DO HEROÍSMO</t>
  </si>
  <si>
    <t>S. BARTOLOMEU DE REGATOS</t>
  </si>
  <si>
    <t>Caldas Da Rainha</t>
  </si>
  <si>
    <t>União Freg. De Caldas Da Rainha - Nossa Senhora Do Pópulo. Coto E São Gregório</t>
  </si>
  <si>
    <t>União Das Freguesias De Massamá e Monte Abraão</t>
  </si>
  <si>
    <t>Santarém</t>
  </si>
  <si>
    <t>Abra</t>
  </si>
  <si>
    <t>Portalegre</t>
  </si>
  <si>
    <t>Fortios</t>
  </si>
  <si>
    <t>União Das Freguesias De Póvoa De Santa Iria E Forte Da Casa</t>
  </si>
  <si>
    <t>Viana Do Castelo</t>
  </si>
  <si>
    <t>Caminha</t>
  </si>
  <si>
    <t>União Das Freguesias De Moledo E Cristelo</t>
  </si>
  <si>
    <t>Almeirim</t>
  </si>
  <si>
    <t>2101343557a</t>
  </si>
  <si>
    <t>OUTROS</t>
  </si>
  <si>
    <t>FARO</t>
  </si>
  <si>
    <t>LOULE</t>
  </si>
  <si>
    <t>LOULE (S. CLEMENTE)</t>
  </si>
  <si>
    <t>2101343557b</t>
  </si>
  <si>
    <t>Torres Vedras</t>
  </si>
  <si>
    <t>União Freg. De Torr. Vedras (S.Pedro. Santiago. S.M.Castelo E S.Mig.) E Matacães</t>
  </si>
  <si>
    <t>Castanheira De PãŠRa</t>
  </si>
  <si>
    <t>UniãƒO Das Freguesias De Castanheira De PãŠRa E Coentral</t>
  </si>
  <si>
    <t>27114</t>
  </si>
  <si>
    <t>150410</t>
  </si>
  <si>
    <t>27107</t>
  </si>
  <si>
    <t>110803</t>
  </si>
  <si>
    <t>27109</t>
  </si>
  <si>
    <t>150409</t>
  </si>
  <si>
    <t>27112</t>
  </si>
  <si>
    <t>57</t>
  </si>
  <si>
    <t>110657</t>
  </si>
  <si>
    <t>1000597</t>
  </si>
  <si>
    <t>27065</t>
  </si>
  <si>
    <t>07</t>
  </si>
  <si>
    <t>150607</t>
  </si>
  <si>
    <t>27106</t>
  </si>
  <si>
    <t>140909</t>
  </si>
  <si>
    <t>27108</t>
  </si>
  <si>
    <t>111013</t>
  </si>
  <si>
    <t>27068</t>
  </si>
  <si>
    <t>130918</t>
  </si>
  <si>
    <t>27052</t>
  </si>
  <si>
    <t>111125</t>
  </si>
  <si>
    <t>27087</t>
  </si>
  <si>
    <t>100907</t>
  </si>
  <si>
    <t>27115</t>
  </si>
  <si>
    <t>111409</t>
  </si>
  <si>
    <t>27092</t>
  </si>
  <si>
    <t>01</t>
  </si>
  <si>
    <t>010122</t>
  </si>
  <si>
    <t>060605</t>
  </si>
  <si>
    <t>9001781504</t>
  </si>
  <si>
    <t>150000</t>
  </si>
  <si>
    <t>151200</t>
  </si>
  <si>
    <t>151205</t>
  </si>
  <si>
    <t>27081</t>
  </si>
  <si>
    <t>02</t>
  </si>
  <si>
    <t>040257</t>
  </si>
  <si>
    <t>27118</t>
  </si>
  <si>
    <t>27080</t>
  </si>
  <si>
    <t>110731</t>
  </si>
  <si>
    <t>27113</t>
  </si>
  <si>
    <t>151102</t>
  </si>
  <si>
    <t>2101230365</t>
  </si>
  <si>
    <t>190000</t>
  </si>
  <si>
    <t>190100</t>
  </si>
  <si>
    <t>190111</t>
  </si>
  <si>
    <t>27110</t>
  </si>
  <si>
    <t>100617</t>
  </si>
  <si>
    <t>27082</t>
  </si>
  <si>
    <t>111128</t>
  </si>
  <si>
    <t>27075</t>
  </si>
  <si>
    <t>27103</t>
  </si>
  <si>
    <t>12</t>
  </si>
  <si>
    <t>121404</t>
  </si>
  <si>
    <t>27079</t>
  </si>
  <si>
    <t>111408</t>
  </si>
  <si>
    <t>27111</t>
  </si>
  <si>
    <t>160224</t>
  </si>
  <si>
    <t>27076</t>
  </si>
  <si>
    <t>140301</t>
  </si>
  <si>
    <t>69617171</t>
  </si>
  <si>
    <t>080000</t>
  </si>
  <si>
    <t>080800</t>
  </si>
  <si>
    <t>080808</t>
  </si>
  <si>
    <t>27069</t>
  </si>
  <si>
    <t>27078</t>
  </si>
  <si>
    <t>111326</t>
  </si>
  <si>
    <t>27067</t>
  </si>
  <si>
    <t>27074</t>
  </si>
  <si>
    <t>100703</t>
  </si>
  <si>
    <t>codigo_banco</t>
  </si>
  <si>
    <t>codigo_distrito</t>
  </si>
  <si>
    <t>nombre_distrito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</si>
  <si>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</si>
  <si>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</si>
  <si>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</si>
  <si>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</si>
  <si>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</si>
  <si>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</si>
  <si>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</si>
  <si>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</si>
  <si>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</si>
  <si>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</si>
  <si>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</si>
  <si>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</si>
  <si>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</si>
  <si>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</t>
  </si>
  <si>
    <t>longitud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</si>
  <si>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</si>
  <si>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</si>
  <si>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</si>
  <si>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</si>
  <si>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</si>
  <si>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</si>
  <si>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</si>
  <si>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</si>
  <si>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</si>
  <si>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</si>
  <si>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</si>
  <si>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</si>
  <si>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</si>
  <si>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</si>
  <si>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</si>
  <si>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</si>
  <si>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</si>
  <si>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110000</t>
  </si>
  <si>
    <t>140000</t>
  </si>
  <si>
    <t>130000</t>
  </si>
  <si>
    <t>100000</t>
  </si>
  <si>
    <t>010000</t>
  </si>
  <si>
    <t>060000</t>
  </si>
  <si>
    <t>040000</t>
  </si>
  <si>
    <t>120000</t>
  </si>
  <si>
    <t>160000</t>
  </si>
  <si>
    <t>150400</t>
  </si>
  <si>
    <t>110800</t>
  </si>
  <si>
    <t>110600</t>
  </si>
  <si>
    <t>150600</t>
  </si>
  <si>
    <t>140900</t>
  </si>
  <si>
    <t>111000</t>
  </si>
  <si>
    <t>130900</t>
  </si>
  <si>
    <t>111100</t>
  </si>
  <si>
    <t>100900</t>
  </si>
  <si>
    <t>111400</t>
  </si>
  <si>
    <t>010100</t>
  </si>
  <si>
    <t>060600</t>
  </si>
  <si>
    <t>040200</t>
  </si>
  <si>
    <t>110700</t>
  </si>
  <si>
    <t>151100</t>
  </si>
  <si>
    <t>100600</t>
  </si>
  <si>
    <t>121400</t>
  </si>
  <si>
    <t>160200</t>
  </si>
  <si>
    <t>140300</t>
  </si>
  <si>
    <t>111300</t>
  </si>
  <si>
    <t>100700</t>
  </si>
  <si>
    <t>2835</t>
  </si>
  <si>
    <t>407</t>
  </si>
  <si>
    <t>2530</t>
  </si>
  <si>
    <t>510</t>
  </si>
  <si>
    <t>2830</t>
  </si>
  <si>
    <t>064</t>
  </si>
  <si>
    <t>1600</t>
  </si>
  <si>
    <t>207</t>
  </si>
  <si>
    <t>151</t>
  </si>
  <si>
    <t>2100</t>
  </si>
  <si>
    <t>627</t>
  </si>
  <si>
    <t>2790</t>
  </si>
  <si>
    <t>4590</t>
  </si>
  <si>
    <t>505</t>
  </si>
  <si>
    <t>2745</t>
  </si>
  <si>
    <t>820</t>
  </si>
  <si>
    <t>2420</t>
  </si>
  <si>
    <t>109</t>
  </si>
  <si>
    <t>2600</t>
  </si>
  <si>
    <t>051</t>
  </si>
  <si>
    <t>3750</t>
  </si>
  <si>
    <t>031</t>
  </si>
  <si>
    <t>3330</t>
  </si>
  <si>
    <t>424</t>
  </si>
  <si>
    <t>2910</t>
  </si>
  <si>
    <t>076</t>
  </si>
  <si>
    <t>5300</t>
  </si>
  <si>
    <t>132</t>
  </si>
  <si>
    <t>2680</t>
  </si>
  <si>
    <t>2970</t>
  </si>
  <si>
    <t>634</t>
  </si>
  <si>
    <t>9700</t>
  </si>
  <si>
    <t>521</t>
  </si>
  <si>
    <t>2500</t>
  </si>
  <si>
    <t>227</t>
  </si>
  <si>
    <t>2710</t>
  </si>
  <si>
    <t>223</t>
  </si>
  <si>
    <t>7300</t>
  </si>
  <si>
    <t>669</t>
  </si>
  <si>
    <t>2625</t>
  </si>
  <si>
    <t>573</t>
  </si>
  <si>
    <t>4910</t>
  </si>
  <si>
    <t>210</t>
  </si>
  <si>
    <t>2080</t>
  </si>
  <si>
    <t>162</t>
  </si>
  <si>
    <t>8100</t>
  </si>
  <si>
    <t>038</t>
  </si>
  <si>
    <t>2560</t>
  </si>
  <si>
    <t>615</t>
  </si>
  <si>
    <t>3280</t>
  </si>
  <si>
    <t>041</t>
  </si>
  <si>
    <t>RUA</t>
  </si>
  <si>
    <t>AVENIDA</t>
  </si>
  <si>
    <t>TRAVESSA</t>
  </si>
  <si>
    <t>30</t>
  </si>
  <si>
    <t xml:space="preserve"> 6 de Janeiro</t>
  </si>
  <si>
    <t xml:space="preserve"> Principal</t>
  </si>
  <si>
    <t xml:space="preserve"> de São Gonçalo</t>
  </si>
  <si>
    <t xml:space="preserve"> Sousa Lopes</t>
  </si>
  <si>
    <t xml:space="preserve"> António Sérgio</t>
  </si>
  <si>
    <t xml:space="preserve"> da Capadoura</t>
  </si>
  <si>
    <t xml:space="preserve"> das Searas</t>
  </si>
  <si>
    <t xml:space="preserve"> D. Sílvia Cardoso</t>
  </si>
  <si>
    <t xml:space="preserve"> Miguel Torga</t>
  </si>
  <si>
    <t xml:space="preserve"> da Chumbaria</t>
  </si>
  <si>
    <t xml:space="preserve"> Maria Lamas</t>
  </si>
  <si>
    <t xml:space="preserve"> S. Cristóvão</t>
  </si>
  <si>
    <t xml:space="preserve"> de Cabril</t>
  </si>
  <si>
    <t xml:space="preserve"> Eduardo José Coelho</t>
  </si>
  <si>
    <t xml:space="preserve"> da Boavista</t>
  </si>
  <si>
    <t xml:space="preserve"> do Guarda Mor</t>
  </si>
  <si>
    <t xml:space="preserve"> dos Pescadores</t>
  </si>
  <si>
    <t xml:space="preserve"> Dr. Leonel Sotto Mayor</t>
  </si>
  <si>
    <t xml:space="preserve"> Serrado da Bica</t>
  </si>
  <si>
    <t xml:space="preserve"> da Silveira</t>
  </si>
  <si>
    <t>Mata Amores</t>
  </si>
  <si>
    <t xml:space="preserve"> da República</t>
  </si>
  <si>
    <t xml:space="preserve"> do Cruzeiro</t>
  </si>
  <si>
    <t xml:space="preserve"> Padre António Vieira</t>
  </si>
  <si>
    <t xml:space="preserve"> de S. Pedro</t>
  </si>
  <si>
    <t xml:space="preserve"> 1º de Dezembro</t>
  </si>
  <si>
    <t xml:space="preserve"> do Meio</t>
  </si>
  <si>
    <t xml:space="preserve"> Augusto Bernardes</t>
  </si>
  <si>
    <t xml:space="preserve"> João Bebiano</t>
  </si>
  <si>
    <t xml:space="preserve"> Nº 26 e 28</t>
  </si>
  <si>
    <t xml:space="preserve"> Nº 5, R/C ESQ. "A"</t>
  </si>
  <si>
    <t xml:space="preserve"> S/N</t>
  </si>
  <si>
    <t xml:space="preserve"> Nº 30</t>
  </si>
  <si>
    <t xml:space="preserve"> Nº 29, R/C "BF"</t>
  </si>
  <si>
    <t xml:space="preserve"> Nº 27, Cave "A"</t>
  </si>
  <si>
    <t xml:space="preserve"> Nº 41</t>
  </si>
  <si>
    <t xml:space="preserve"> Nº S/N</t>
  </si>
  <si>
    <t xml:space="preserve"> Nº 5</t>
  </si>
  <si>
    <t xml:space="preserve"> Nº 63 A</t>
  </si>
  <si>
    <t xml:space="preserve"> Nº 180</t>
  </si>
  <si>
    <t xml:space="preserve"> Nº 35</t>
  </si>
  <si>
    <t xml:space="preserve"> Nº 53, R/C "T"</t>
  </si>
  <si>
    <t xml:space="preserve"> Nº 6, 1º Esq. "C"</t>
  </si>
  <si>
    <t xml:space="preserve"> Nº 21, R/C "BC"</t>
  </si>
  <si>
    <t xml:space="preserve"> Nº 44, 2º Andar "E"</t>
  </si>
  <si>
    <t xml:space="preserve"> Nº 14, R/C Dto e Sótão "A"</t>
  </si>
  <si>
    <t xml:space="preserve"> Nº 5A, Rés do Chão, Estabelec</t>
  </si>
  <si>
    <t xml:space="preserve"> Lote MNO, 3º Andar "G"</t>
  </si>
  <si>
    <t xml:space="preserve"> S/N, Sub-Cave, Garagem 58 "S"</t>
  </si>
  <si>
    <t xml:space="preserve"> Nº 4, 2º andar B, 2º Piso "H"</t>
  </si>
  <si>
    <t xml:space="preserve"> Corpo A, Nº 2, 2º andar Dt.º </t>
  </si>
  <si>
    <t xml:space="preserve"> Nº 44 a 54, R/C, LOJA 1 "R"</t>
  </si>
  <si>
    <t xml:space="preserve"> Nº 6, 3º andar B "N"</t>
  </si>
  <si>
    <t xml:space="preserve"> Nº 26, Cave Esquerda "D"</t>
  </si>
  <si>
    <t xml:space="preserve"> nº 63/69, São Pedro - Angra d</t>
  </si>
  <si>
    <t xml:space="preserve"> nº 2A, São Pedro - Angra do H</t>
  </si>
  <si>
    <t xml:space="preserve">  26 e 28</t>
  </si>
  <si>
    <t xml:space="preserve">  5A</t>
  </si>
  <si>
    <t xml:space="preserve">  S/N</t>
  </si>
  <si>
    <t xml:space="preserve">  2A</t>
  </si>
  <si>
    <t>63/69</t>
  </si>
  <si>
    <t>FRACCAO HABITACIONAL</t>
  </si>
  <si>
    <t>LOJA</t>
  </si>
  <si>
    <t>MORADIA</t>
  </si>
  <si>
    <t>ESCRITORIO OU ATELIER</t>
  </si>
  <si>
    <t>ARMAZEM</t>
  </si>
  <si>
    <t>TERRENO RUSTICO</t>
  </si>
  <si>
    <t>60</t>
  </si>
  <si>
    <t>82</t>
  </si>
  <si>
    <t>771</t>
  </si>
  <si>
    <t>51</t>
  </si>
  <si>
    <t>221</t>
  </si>
  <si>
    <t>107</t>
  </si>
  <si>
    <t>0</t>
  </si>
  <si>
    <t>110</t>
  </si>
  <si>
    <t>190</t>
  </si>
  <si>
    <t>120</t>
  </si>
  <si>
    <t>154</t>
  </si>
  <si>
    <t>6500</t>
  </si>
  <si>
    <t>150</t>
  </si>
  <si>
    <t>86</t>
  </si>
  <si>
    <t>299</t>
  </si>
  <si>
    <t>95</t>
  </si>
  <si>
    <t>102</t>
  </si>
  <si>
    <t>500</t>
  </si>
  <si>
    <t>270</t>
  </si>
  <si>
    <t>137</t>
  </si>
  <si>
    <t>62</t>
  </si>
  <si>
    <t>127</t>
  </si>
  <si>
    <t>1937</t>
  </si>
  <si>
    <t>2011</t>
  </si>
  <si>
    <t>1984</t>
  </si>
  <si>
    <t>1981</t>
  </si>
  <si>
    <t>1959</t>
  </si>
  <si>
    <t>2006</t>
  </si>
  <si>
    <t>2007</t>
  </si>
  <si>
    <t>1992</t>
  </si>
  <si>
    <t>1968</t>
  </si>
  <si>
    <t>1983</t>
  </si>
  <si>
    <t>1995</t>
  </si>
  <si>
    <t>2004</t>
  </si>
  <si>
    <t>1988</t>
  </si>
  <si>
    <t>2005</t>
  </si>
  <si>
    <t>1950</t>
  </si>
  <si>
    <t>1979</t>
  </si>
  <si>
    <t>2013</t>
  </si>
  <si>
    <t>1980</t>
  </si>
  <si>
    <t>2000</t>
  </si>
  <si>
    <t>Santarem</t>
  </si>
  <si>
    <t>141600</t>
  </si>
  <si>
    <t>141602</t>
  </si>
  <si>
    <t>MNO</t>
  </si>
  <si>
    <t>Vale do Cobro</t>
  </si>
  <si>
    <t>Padre Rocha Ferreira</t>
  </si>
  <si>
    <t>430103</t>
  </si>
  <si>
    <t>430100</t>
  </si>
  <si>
    <t>430000</t>
  </si>
  <si>
    <t>ILHA TERCEIRA-ACORES</t>
  </si>
  <si>
    <t>ANGRA DO HEROÍSMO</t>
  </si>
  <si>
    <t>FETEIRA</t>
  </si>
  <si>
    <t>430104</t>
  </si>
  <si>
    <t>ANGRA (NOSSA SENHORA DA CONCEICAO)</t>
  </si>
  <si>
    <t>chave_gloval</t>
  </si>
  <si>
    <t>184DAA6CE1A0112BFB2D4D7C4903B9393DAFF112A7EDE59FE6738823FA568AB4</t>
  </si>
  <si>
    <t>81810E2089B51FFEF099BF7DA19E5105BB1787037F0282A46A7ABA4F98066100</t>
  </si>
  <si>
    <t>7CA34B7A2FE1B71702BF841DC1EA2DF2C4E602ACAD54A8232EEC603AF230138A</t>
  </si>
  <si>
    <t>F2ED961998C25A8BD05FC2FEBFA70FBCC101192860142D77A5B1753DA6585183</t>
  </si>
  <si>
    <t>FA5C09472887C8210DD3F3CF2A4D55DEEE7AC170FCD12FCC66393A9D02A18C10</t>
  </si>
  <si>
    <t>262668B654D750B8CFFC0217BA6CD5DC9996E5F61C246FBBE25892F947CC0F85</t>
  </si>
  <si>
    <t>9C08C51E2539BED00E524DC939B3B8EA65165D150EE322531113F061BC0A03E4</t>
  </si>
  <si>
    <t>09162CEC4F02288C7749A64EBE5C29E28AE1E1FC04DD8C18A4D9B2A32F1B8948</t>
  </si>
  <si>
    <t>424BDB7C56CE19D47923C6CC396F1F45793168FA620F6D609C24526C7F675A1A</t>
  </si>
  <si>
    <t>E7A2E62D73D860D097CBF78F7045A3151D6057D6E8C5BA20B4F20917716BE69C</t>
  </si>
  <si>
    <t>CFD0771C5A55C4C1D8D49D9FB91EDD3861721DC4E03990F7A4281C07B81B6E54</t>
  </si>
  <si>
    <t>E43A05C3638AAD2C22254F74CDCE675DE40FC741437FE14579E7822F308E958B</t>
  </si>
  <si>
    <t>A4B2A4E663F6CE80903A6FF9BB4987DF20C1F6C58B6A45D33106757C50AAD19C</t>
  </si>
  <si>
    <t>E8F889FF91C2CB05FACCF9D1301603244AEA01AE0CAF53F6EC7F1A88449C1D28</t>
  </si>
  <si>
    <t>CD01FDCD71D1555DEC7612C50E4FC4D97E7876A778126DE5DEF2634FA9BD30C9</t>
  </si>
  <si>
    <t>3FF8BDEBCF4E816DBD7A85FAB1DE5630D4FB8D451898807A74EB9D736881A529</t>
  </si>
  <si>
    <t>57E944FDAF971B30DFCFD7B19B5966DA3CC631EBE5AB91167E9342A8E3937A06</t>
  </si>
  <si>
    <t>C049D2975BD59EA14CA140171BE0CD06052B53A174089AF022BF1BCB95A4902E</t>
  </si>
  <si>
    <t>A7C1D09DCC41E7BFD710BAABB8E511E0C12EC9990D748CE006A382EDAC030BB3</t>
  </si>
  <si>
    <t>3E0335E202DC8F4546FFA0242B25CD23FA349F6778E4DFFC1793837B82745279</t>
  </si>
  <si>
    <t>B9F3AAAF0CE1B8B14281F7AC53E2B51BF1193E192EC874147245F360FAEB48E9</t>
  </si>
  <si>
    <t>76A803C4561423DF92E1F7A0CF79D125220CAE3F4F88FE826ED26FA6EE33982C</t>
  </si>
  <si>
    <t>5C196024BF92EFBECE9B6274BCD1F994E3C2BBC6ACD941818EBB1809C1BE320C</t>
  </si>
  <si>
    <t>7DB9CBB0433FAEA80BE87D9AB4DBB28BA3896F6815B4A6F9474C4FC51F86BCF9</t>
  </si>
  <si>
    <t>3281503C6B3F3BE2A1DA8614582D67D82AAEE8514FEEB264AD0A15641BEF0326</t>
  </si>
  <si>
    <t>B77E95D6D4479BBEAD08CAA20E59DD91A31DDFE5C182A09E1C981968A8CC6774</t>
  </si>
  <si>
    <t>89DBE31A7BE90A08B80D6FD6E39F407DAE2D956A877B9AF187FBCB3E6A91C4AB</t>
  </si>
  <si>
    <t>A7CC90BF38DAE2879476D0F1D410B32C10C2C7AB786AA7916A9CB89FB9AE7F6C</t>
  </si>
  <si>
    <t>1080656F3F79A3599DE7CDF345DE7518E3B99DADA93710425FE701F7363D950D</t>
  </si>
  <si>
    <t>E58D553C943D4444567B0776092A3ECA177D519CF3CC06408F08E415FE52BEBB</t>
  </si>
  <si>
    <t>97855449577447A59C16F32C6DE5540E0380C956CCD258A599981F4A9909D081</t>
  </si>
  <si>
    <t>EB51DEB36A86335C5057C4DD28AD73CC8C3EBB42F87098DC502CF8CD46DF5FEC</t>
  </si>
  <si>
    <t>992A208BA6BE943E78F37D5A3FCBCF64B24A89F62A533230FB970E8048CE04B0</t>
  </si>
  <si>
    <t>32290B219A81C7C6452ADECEDC8504BC36CD8BC16A1A6D8AD07E9607356BDE2D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</si>
</sst>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0" borderId="0" xfId="0" applyProtection="1"/>
    <xf numFmtId="0" fontId="0" fillId="0" borderId="0" xfId="0" applyFill="1"/>
    <xf numFmtId="0" fontId="0" fillId="0" borderId="0" xfId="0" quotePrefix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"/>
  <sheetViews>
    <sheetView tabSelected="1" workbookViewId="0">
      <selection activeCell="B4" sqref="B4"/>
    </sheetView>
  </sheetViews>
  <sheetFormatPr defaultRowHeight="14.4" x14ac:dyDescent="0.3"/>
  <cols>
    <col min="12" max="13" width="20.6640625" bestFit="1" customWidth="1"/>
    <col min="33" max="33" width="32.88671875" bestFit="1" customWidth="1"/>
  </cols>
  <sheetData>
    <row r="1" spans="1:38" x14ac:dyDescent="0.3">
      <c r="A1" t="s">
        <v>130</v>
      </c>
      <c r="B1" t="s">
        <v>372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  <c r="K1" s="2" t="s">
        <v>139</v>
      </c>
      <c r="L1" s="2" t="s">
        <v>140</v>
      </c>
      <c r="M1" s="2" t="s">
        <v>141</v>
      </c>
      <c r="N1" s="2" t="s">
        <v>142</v>
      </c>
      <c r="O1" s="2" t="s">
        <v>143</v>
      </c>
      <c r="P1" s="2" t="s">
        <v>144</v>
      </c>
      <c r="Q1" s="2" t="s">
        <v>145</v>
      </c>
      <c r="R1" t="s">
        <v>146</v>
      </c>
      <c r="S1" t="s">
        <v>147</v>
      </c>
      <c r="T1" s="2" t="s">
        <v>148</v>
      </c>
      <c r="U1" s="2" t="s">
        <v>149</v>
      </c>
      <c r="V1" s="2" t="s">
        <v>150</v>
      </c>
      <c r="W1" s="2" t="s">
        <v>151</v>
      </c>
      <c r="X1" s="2" t="s">
        <v>152</v>
      </c>
      <c r="Y1" s="2" t="s">
        <v>153</v>
      </c>
      <c r="Z1" s="2" t="s">
        <v>154</v>
      </c>
      <c r="AA1" s="2" t="s">
        <v>155</v>
      </c>
      <c r="AB1" t="s">
        <v>156</v>
      </c>
      <c r="AC1" t="s">
        <v>157</v>
      </c>
      <c r="AD1" t="s">
        <v>158</v>
      </c>
      <c r="AE1" t="s">
        <v>159</v>
      </c>
      <c r="AF1" t="s">
        <v>160</v>
      </c>
      <c r="AG1" s="2" t="s">
        <v>161</v>
      </c>
      <c r="AH1" t="s">
        <v>162</v>
      </c>
      <c r="AI1" t="s">
        <v>163</v>
      </c>
      <c r="AJ1" t="s">
        <v>164</v>
      </c>
    </row>
    <row r="2" spans="1:38" x14ac:dyDescent="0.3">
      <c r="A2" s="1" t="s">
        <v>61</v>
      </c>
      <c r="B2" s="1" t="s">
        <v>373</v>
      </c>
      <c r="C2" s="1" t="s">
        <v>91</v>
      </c>
      <c r="D2" s="1" t="s">
        <v>0</v>
      </c>
      <c r="E2" s="1" t="s">
        <v>174</v>
      </c>
      <c r="F2" s="1" t="s">
        <v>1</v>
      </c>
      <c r="G2" s="1" t="s">
        <v>62</v>
      </c>
      <c r="H2" t="s">
        <v>2</v>
      </c>
      <c r="I2" t="s">
        <v>2</v>
      </c>
      <c r="J2" t="s">
        <v>87</v>
      </c>
      <c r="K2" t="s">
        <v>246</v>
      </c>
      <c r="L2" t="s">
        <v>250</v>
      </c>
      <c r="M2" t="s">
        <v>306</v>
      </c>
      <c r="P2" t="s">
        <v>246</v>
      </c>
      <c r="Q2" t="s">
        <v>279</v>
      </c>
      <c r="S2" s="1"/>
      <c r="T2" t="s">
        <v>195</v>
      </c>
      <c r="U2" t="s">
        <v>196</v>
      </c>
      <c r="V2" t="s">
        <v>317</v>
      </c>
      <c r="W2" t="s">
        <v>339</v>
      </c>
      <c r="X2">
        <v>1</v>
      </c>
      <c r="Y2">
        <v>0</v>
      </c>
      <c r="Z2">
        <v>1</v>
      </c>
      <c r="AA2">
        <v>0</v>
      </c>
      <c r="AG2" t="s">
        <v>313</v>
      </c>
      <c r="AL2" t="str">
        <f>CONCATENATE("('",A2,"','",A2,"',",B2,"')")</f>
        <v>('27114','27114',184DAA6CE1A0112BFB2D4D7C4903B9393DAFF112A7EDE59FE6738823FA568AB4')</v>
      </c>
    </row>
    <row r="3" spans="1:38" x14ac:dyDescent="0.3">
      <c r="A3" s="1" t="s">
        <v>63</v>
      </c>
      <c r="B3" s="1" t="s">
        <v>374</v>
      </c>
      <c r="C3" s="1" t="s">
        <v>165</v>
      </c>
      <c r="D3" s="1" t="s">
        <v>3</v>
      </c>
      <c r="E3" s="1" t="s">
        <v>175</v>
      </c>
      <c r="F3" s="1" t="s">
        <v>4</v>
      </c>
      <c r="G3" s="1" t="s">
        <v>64</v>
      </c>
      <c r="H3" t="s">
        <v>5</v>
      </c>
      <c r="I3" t="s">
        <v>5</v>
      </c>
      <c r="J3" t="s">
        <v>87</v>
      </c>
      <c r="K3" t="s">
        <v>246</v>
      </c>
      <c r="L3" t="s">
        <v>251</v>
      </c>
      <c r="M3">
        <v>14</v>
      </c>
      <c r="P3" t="s">
        <v>246</v>
      </c>
      <c r="Q3" t="s">
        <v>295</v>
      </c>
      <c r="S3" s="1"/>
      <c r="T3" t="s">
        <v>197</v>
      </c>
      <c r="U3" t="s">
        <v>198</v>
      </c>
      <c r="V3" t="s">
        <v>318</v>
      </c>
      <c r="W3" t="s">
        <v>340</v>
      </c>
      <c r="X3">
        <v>1</v>
      </c>
      <c r="Y3">
        <v>0</v>
      </c>
      <c r="Z3">
        <v>1</v>
      </c>
      <c r="AA3">
        <v>0</v>
      </c>
      <c r="AG3" t="s">
        <v>313</v>
      </c>
      <c r="AL3" t="str">
        <f t="shared" ref="AL3:AL36" si="0">CONCATENATE("('",A3,"','",A3,"',",B3,"')")</f>
        <v>('27107','27107',81810E2089B51FFEF099BF7DA19E5105BB1787037F0282A46A7ABA4F98066100')</v>
      </c>
    </row>
    <row r="4" spans="1:38" x14ac:dyDescent="0.3">
      <c r="A4" s="1" t="s">
        <v>65</v>
      </c>
      <c r="B4" s="1" t="s">
        <v>375</v>
      </c>
      <c r="C4" s="1" t="s">
        <v>91</v>
      </c>
      <c r="D4" s="1" t="s">
        <v>0</v>
      </c>
      <c r="E4" s="1" t="s">
        <v>174</v>
      </c>
      <c r="F4" s="1" t="s">
        <v>1</v>
      </c>
      <c r="G4" s="1" t="s">
        <v>66</v>
      </c>
      <c r="H4" t="s">
        <v>6</v>
      </c>
      <c r="I4" t="s">
        <v>6</v>
      </c>
      <c r="J4" t="s">
        <v>87</v>
      </c>
      <c r="K4" t="s">
        <v>246</v>
      </c>
      <c r="L4" t="s">
        <v>252</v>
      </c>
      <c r="M4" t="s">
        <v>307</v>
      </c>
      <c r="P4" t="s">
        <v>246</v>
      </c>
      <c r="Q4" t="s">
        <v>296</v>
      </c>
      <c r="S4" s="1"/>
      <c r="T4" t="s">
        <v>199</v>
      </c>
      <c r="U4" t="s">
        <v>200</v>
      </c>
      <c r="V4" t="s">
        <v>112</v>
      </c>
      <c r="W4" t="s">
        <v>341</v>
      </c>
      <c r="X4">
        <v>0</v>
      </c>
      <c r="Y4">
        <v>0</v>
      </c>
      <c r="Z4">
        <v>0</v>
      </c>
      <c r="AA4">
        <v>1</v>
      </c>
      <c r="AG4" s="1" t="s">
        <v>312</v>
      </c>
      <c r="AL4" t="str">
        <f t="shared" si="0"/>
        <v>('27109','27109',7CA34B7A2FE1B71702BF841DC1EA2DF2C4E602ACAD54A8232EEC603AF230138A')</v>
      </c>
    </row>
    <row r="5" spans="1:38" x14ac:dyDescent="0.3">
      <c r="A5" s="1" t="s">
        <v>67</v>
      </c>
      <c r="B5" s="1" t="s">
        <v>376</v>
      </c>
      <c r="C5" s="1" t="s">
        <v>165</v>
      </c>
      <c r="D5" s="1" t="s">
        <v>3</v>
      </c>
      <c r="E5" s="1" t="s">
        <v>176</v>
      </c>
      <c r="F5" s="1" t="s">
        <v>3</v>
      </c>
      <c r="G5" s="1" t="s">
        <v>69</v>
      </c>
      <c r="H5" t="s">
        <v>7</v>
      </c>
      <c r="I5" t="s">
        <v>7</v>
      </c>
      <c r="J5" t="s">
        <v>87</v>
      </c>
      <c r="K5" t="s">
        <v>246</v>
      </c>
      <c r="L5" s="3" t="s">
        <v>253</v>
      </c>
      <c r="N5" t="s">
        <v>361</v>
      </c>
      <c r="P5" t="s">
        <v>246</v>
      </c>
      <c r="Q5" t="s">
        <v>297</v>
      </c>
      <c r="S5" s="1"/>
      <c r="T5" t="s">
        <v>201</v>
      </c>
      <c r="U5" t="s">
        <v>202</v>
      </c>
      <c r="V5" t="s">
        <v>319</v>
      </c>
      <c r="W5" t="s">
        <v>342</v>
      </c>
      <c r="X5">
        <v>0</v>
      </c>
      <c r="Y5">
        <v>0</v>
      </c>
      <c r="Z5">
        <v>0</v>
      </c>
      <c r="AA5">
        <v>0</v>
      </c>
      <c r="AG5" s="1" t="s">
        <v>314</v>
      </c>
      <c r="AL5" t="str">
        <f t="shared" si="0"/>
        <v>('27112','27112',F2ED961998C25A8BD05FC2FEBFA70FBCC101192860142D77A5B1753DA6585183')</v>
      </c>
    </row>
    <row r="6" spans="1:38" x14ac:dyDescent="0.3">
      <c r="A6" s="1" t="s">
        <v>70</v>
      </c>
      <c r="B6" s="1" t="s">
        <v>377</v>
      </c>
      <c r="C6" s="1"/>
      <c r="D6" s="1"/>
      <c r="E6" s="1"/>
      <c r="F6" s="1"/>
      <c r="G6" s="1"/>
      <c r="L6" s="4"/>
      <c r="S6" s="1"/>
      <c r="X6">
        <v>0</v>
      </c>
      <c r="Y6">
        <v>0</v>
      </c>
      <c r="Z6">
        <v>0</v>
      </c>
      <c r="AA6">
        <v>0</v>
      </c>
      <c r="AG6" s="1" t="s">
        <v>8</v>
      </c>
      <c r="AL6" t="str">
        <f t="shared" si="0"/>
        <v>('1000597','1000597',FA5C09472887C8210DD3F3CF2A4D55DEEE7AC170FCD12FCC66393A9D02A18C10')</v>
      </c>
    </row>
    <row r="7" spans="1:38" x14ac:dyDescent="0.3">
      <c r="A7" s="1" t="s">
        <v>71</v>
      </c>
      <c r="B7" s="1" t="s">
        <v>378</v>
      </c>
      <c r="C7" s="1" t="s">
        <v>91</v>
      </c>
      <c r="D7" s="1" t="s">
        <v>0</v>
      </c>
      <c r="E7" s="1" t="s">
        <v>177</v>
      </c>
      <c r="F7" s="1" t="s">
        <v>9</v>
      </c>
      <c r="G7" s="1" t="s">
        <v>73</v>
      </c>
      <c r="H7" t="s">
        <v>10</v>
      </c>
      <c r="I7" t="s">
        <v>10</v>
      </c>
      <c r="J7" t="s">
        <v>87</v>
      </c>
      <c r="K7" t="s">
        <v>246</v>
      </c>
      <c r="L7" t="s">
        <v>254</v>
      </c>
      <c r="M7">
        <v>5</v>
      </c>
      <c r="P7" t="s">
        <v>246</v>
      </c>
      <c r="Q7" t="s">
        <v>280</v>
      </c>
      <c r="S7" s="1"/>
      <c r="T7" t="s">
        <v>195</v>
      </c>
      <c r="U7" t="s">
        <v>203</v>
      </c>
      <c r="V7" t="s">
        <v>320</v>
      </c>
      <c r="W7" t="s">
        <v>343</v>
      </c>
      <c r="X7">
        <v>1</v>
      </c>
      <c r="Y7">
        <v>1</v>
      </c>
      <c r="Z7">
        <v>0</v>
      </c>
      <c r="AA7">
        <v>0</v>
      </c>
      <c r="AG7" s="1" t="s">
        <v>311</v>
      </c>
      <c r="AL7" t="str">
        <f t="shared" si="0"/>
        <v>('27065','27065',262668B654D750B8CFFC0217BA6CD5DC9996E5F61C246FBBE25892F947CC0F85')</v>
      </c>
    </row>
    <row r="8" spans="1:38" x14ac:dyDescent="0.3">
      <c r="A8" s="1" t="s">
        <v>74</v>
      </c>
      <c r="B8" s="1" t="s">
        <v>379</v>
      </c>
      <c r="C8" s="1" t="s">
        <v>166</v>
      </c>
      <c r="D8" s="1" t="s">
        <v>358</v>
      </c>
      <c r="E8" s="1" t="s">
        <v>178</v>
      </c>
      <c r="F8" s="1" t="s">
        <v>11</v>
      </c>
      <c r="G8" s="1" t="s">
        <v>75</v>
      </c>
      <c r="H8" t="s">
        <v>12</v>
      </c>
      <c r="I8" t="s">
        <v>12</v>
      </c>
      <c r="J8" t="s">
        <v>87</v>
      </c>
      <c r="K8" t="s">
        <v>246</v>
      </c>
      <c r="L8" t="s">
        <v>255</v>
      </c>
      <c r="M8" t="s">
        <v>281</v>
      </c>
      <c r="P8" t="s">
        <v>246</v>
      </c>
      <c r="Q8" t="s">
        <v>281</v>
      </c>
      <c r="S8" s="1"/>
      <c r="T8" t="s">
        <v>204</v>
      </c>
      <c r="U8" t="s">
        <v>205</v>
      </c>
      <c r="V8" t="s">
        <v>212</v>
      </c>
      <c r="W8" t="s">
        <v>344</v>
      </c>
      <c r="X8">
        <v>1</v>
      </c>
      <c r="Y8">
        <v>0</v>
      </c>
      <c r="Z8">
        <v>1</v>
      </c>
      <c r="AA8">
        <v>0</v>
      </c>
      <c r="AG8" t="s">
        <v>313</v>
      </c>
      <c r="AL8" t="str">
        <f t="shared" si="0"/>
        <v>('27106','27106',9C08C51E2539BED00E524DC939B3B8EA65165D150EE322531113F061BC0A03E4')</v>
      </c>
    </row>
    <row r="9" spans="1:38" x14ac:dyDescent="0.3">
      <c r="A9" s="1" t="s">
        <v>76</v>
      </c>
      <c r="B9" s="1" t="s">
        <v>380</v>
      </c>
      <c r="C9" s="1" t="s">
        <v>165</v>
      </c>
      <c r="D9" s="1" t="s">
        <v>3</v>
      </c>
      <c r="E9" s="1" t="s">
        <v>179</v>
      </c>
      <c r="F9" s="1" t="s">
        <v>13</v>
      </c>
      <c r="G9" s="1" t="s">
        <v>77</v>
      </c>
      <c r="H9" t="s">
        <v>14</v>
      </c>
      <c r="I9" t="s">
        <v>14</v>
      </c>
      <c r="J9" t="s">
        <v>87</v>
      </c>
      <c r="K9" t="s">
        <v>246</v>
      </c>
      <c r="L9" t="s">
        <v>256</v>
      </c>
      <c r="M9">
        <v>30</v>
      </c>
      <c r="P9" t="s">
        <v>246</v>
      </c>
      <c r="Q9" t="s">
        <v>282</v>
      </c>
      <c r="S9" s="1"/>
      <c r="T9" t="s">
        <v>206</v>
      </c>
      <c r="U9" t="s">
        <v>203</v>
      </c>
      <c r="V9" t="s">
        <v>321</v>
      </c>
      <c r="W9" t="s">
        <v>344</v>
      </c>
      <c r="X9">
        <v>1</v>
      </c>
      <c r="Y9">
        <v>0</v>
      </c>
      <c r="Z9">
        <v>1</v>
      </c>
      <c r="AA9">
        <v>0</v>
      </c>
      <c r="AG9" t="s">
        <v>313</v>
      </c>
      <c r="AL9" t="str">
        <f t="shared" si="0"/>
        <v>('27108','27108',09162CEC4F02288C7749A64EBE5C29E28AE1E1FC04DD8C18A4D9B2A32F1B8948')</v>
      </c>
    </row>
    <row r="10" spans="1:38" x14ac:dyDescent="0.3">
      <c r="A10" s="1" t="s">
        <v>78</v>
      </c>
      <c r="B10" s="1" t="s">
        <v>381</v>
      </c>
      <c r="C10" s="1" t="s">
        <v>167</v>
      </c>
      <c r="D10" s="1" t="s">
        <v>15</v>
      </c>
      <c r="E10" s="1" t="s">
        <v>180</v>
      </c>
      <c r="F10" s="1" t="s">
        <v>16</v>
      </c>
      <c r="G10" s="1" t="s">
        <v>79</v>
      </c>
      <c r="H10" t="s">
        <v>16</v>
      </c>
      <c r="I10" t="s">
        <v>16</v>
      </c>
      <c r="J10" t="s">
        <v>72</v>
      </c>
      <c r="K10" t="s">
        <v>248</v>
      </c>
      <c r="L10" t="s">
        <v>257</v>
      </c>
      <c r="M10">
        <v>29</v>
      </c>
      <c r="P10" t="s">
        <v>248</v>
      </c>
      <c r="Q10" t="s">
        <v>283</v>
      </c>
      <c r="S10" s="1"/>
      <c r="T10" t="s">
        <v>207</v>
      </c>
      <c r="U10" t="s">
        <v>208</v>
      </c>
      <c r="V10" t="s">
        <v>322</v>
      </c>
      <c r="W10" t="s">
        <v>345</v>
      </c>
      <c r="X10">
        <v>0</v>
      </c>
      <c r="Y10">
        <v>0</v>
      </c>
      <c r="Z10">
        <v>0</v>
      </c>
      <c r="AA10">
        <v>1</v>
      </c>
      <c r="AG10" s="1" t="s">
        <v>312</v>
      </c>
      <c r="AL10" t="str">
        <f t="shared" si="0"/>
        <v>('27068','27068',424BDB7C56CE19D47923C6CC396F1F45793168FA620F6D609C24526C7F675A1A')</v>
      </c>
    </row>
    <row r="11" spans="1:38" x14ac:dyDescent="0.3">
      <c r="A11" s="1" t="s">
        <v>80</v>
      </c>
      <c r="B11" s="1" t="s">
        <v>382</v>
      </c>
      <c r="C11" s="1" t="s">
        <v>165</v>
      </c>
      <c r="D11" s="1" t="s">
        <v>3</v>
      </c>
      <c r="E11" s="1" t="s">
        <v>181</v>
      </c>
      <c r="F11" s="1" t="s">
        <v>17</v>
      </c>
      <c r="G11" s="1" t="s">
        <v>81</v>
      </c>
      <c r="H11" t="s">
        <v>18</v>
      </c>
      <c r="I11" t="s">
        <v>18</v>
      </c>
      <c r="J11" t="s">
        <v>87</v>
      </c>
      <c r="K11" t="s">
        <v>246</v>
      </c>
      <c r="L11" t="s">
        <v>258</v>
      </c>
      <c r="M11" t="s">
        <v>281</v>
      </c>
      <c r="P11" t="s">
        <v>246</v>
      </c>
      <c r="Q11" t="s">
        <v>298</v>
      </c>
      <c r="S11" s="1"/>
      <c r="T11" t="s">
        <v>209</v>
      </c>
      <c r="U11" t="s">
        <v>210</v>
      </c>
      <c r="V11" t="s">
        <v>323</v>
      </c>
      <c r="W11" t="s">
        <v>346</v>
      </c>
      <c r="X11">
        <v>0</v>
      </c>
      <c r="Y11">
        <v>0</v>
      </c>
      <c r="Z11">
        <v>0</v>
      </c>
      <c r="AA11">
        <v>0</v>
      </c>
      <c r="AG11" s="1" t="s">
        <v>52</v>
      </c>
      <c r="AL11" t="str">
        <f t="shared" si="0"/>
        <v>('27052','27052',E7A2E62D73D860D097CBF78F7045A3151D6057D6E8C5BA20B4F20917716BE69C')</v>
      </c>
    </row>
    <row r="12" spans="1:38" x14ac:dyDescent="0.3">
      <c r="A12" s="1" t="s">
        <v>82</v>
      </c>
      <c r="B12" s="1" t="s">
        <v>383</v>
      </c>
      <c r="C12" s="1" t="s">
        <v>168</v>
      </c>
      <c r="D12" s="1" t="s">
        <v>19</v>
      </c>
      <c r="E12" s="1" t="s">
        <v>182</v>
      </c>
      <c r="F12" s="1" t="s">
        <v>19</v>
      </c>
      <c r="G12" s="1" t="s">
        <v>83</v>
      </c>
      <c r="H12" t="s">
        <v>20</v>
      </c>
      <c r="I12" t="s">
        <v>20</v>
      </c>
      <c r="J12" t="s">
        <v>87</v>
      </c>
      <c r="K12" t="s">
        <v>246</v>
      </c>
      <c r="L12" t="s">
        <v>259</v>
      </c>
      <c r="M12" t="s">
        <v>281</v>
      </c>
      <c r="P12" t="s">
        <v>246</v>
      </c>
      <c r="Q12" t="s">
        <v>281</v>
      </c>
      <c r="S12" s="1"/>
      <c r="T12" t="s">
        <v>211</v>
      </c>
      <c r="U12" t="s">
        <v>212</v>
      </c>
      <c r="V12" t="s">
        <v>324</v>
      </c>
      <c r="W12" t="s">
        <v>347</v>
      </c>
      <c r="X12">
        <v>1</v>
      </c>
      <c r="Y12">
        <v>0</v>
      </c>
      <c r="Z12">
        <v>1</v>
      </c>
      <c r="AA12">
        <v>0</v>
      </c>
      <c r="AG12" t="s">
        <v>313</v>
      </c>
      <c r="AL12" t="str">
        <f t="shared" si="0"/>
        <v>('27087','27087',CFD0771C5A55C4C1D8D49D9FB91EDD3861721DC4E03990F7A4281C07B81B6E54')</v>
      </c>
    </row>
    <row r="13" spans="1:38" x14ac:dyDescent="0.3">
      <c r="A13" s="1" t="s">
        <v>84</v>
      </c>
      <c r="B13" s="1" t="s">
        <v>384</v>
      </c>
      <c r="C13" s="1" t="s">
        <v>165</v>
      </c>
      <c r="D13" s="1" t="s">
        <v>3</v>
      </c>
      <c r="E13" s="1" t="s">
        <v>183</v>
      </c>
      <c r="F13" s="1" t="s">
        <v>21</v>
      </c>
      <c r="G13" s="1" t="s">
        <v>85</v>
      </c>
      <c r="H13" t="s">
        <v>21</v>
      </c>
      <c r="I13" t="s">
        <v>21</v>
      </c>
      <c r="J13" t="s">
        <v>87</v>
      </c>
      <c r="K13" t="s">
        <v>246</v>
      </c>
      <c r="L13" t="s">
        <v>260</v>
      </c>
      <c r="M13">
        <v>27</v>
      </c>
      <c r="P13" t="s">
        <v>246</v>
      </c>
      <c r="Q13" t="s">
        <v>284</v>
      </c>
      <c r="S13" s="1"/>
      <c r="T13" t="s">
        <v>213</v>
      </c>
      <c r="U13" t="s">
        <v>214</v>
      </c>
      <c r="V13" t="s">
        <v>325</v>
      </c>
      <c r="W13" t="s">
        <v>348</v>
      </c>
      <c r="X13">
        <v>0</v>
      </c>
      <c r="Y13">
        <v>0</v>
      </c>
      <c r="Z13">
        <v>0</v>
      </c>
      <c r="AA13">
        <v>1</v>
      </c>
      <c r="AG13" s="1" t="s">
        <v>312</v>
      </c>
      <c r="AL13" t="str">
        <f t="shared" si="0"/>
        <v>('27115','27115',E43A05C3638AAD2C22254F74CDCE675DE40FC741437FE14579E7822F308E958B')</v>
      </c>
    </row>
    <row r="14" spans="1:38" x14ac:dyDescent="0.3">
      <c r="A14" s="1" t="s">
        <v>86</v>
      </c>
      <c r="B14" s="1" t="s">
        <v>385</v>
      </c>
      <c r="C14" s="1" t="s">
        <v>169</v>
      </c>
      <c r="D14" s="1" t="s">
        <v>22</v>
      </c>
      <c r="E14" s="1" t="s">
        <v>184</v>
      </c>
      <c r="F14" s="1" t="s">
        <v>23</v>
      </c>
      <c r="G14" s="1" t="s">
        <v>88</v>
      </c>
      <c r="H14" t="s">
        <v>24</v>
      </c>
      <c r="I14" t="s">
        <v>24</v>
      </c>
      <c r="J14" t="s">
        <v>72</v>
      </c>
      <c r="K14" t="s">
        <v>248</v>
      </c>
      <c r="L14" t="s">
        <v>261</v>
      </c>
      <c r="M14">
        <v>41</v>
      </c>
      <c r="P14" t="s">
        <v>248</v>
      </c>
      <c r="Q14" t="s">
        <v>285</v>
      </c>
      <c r="S14" s="1"/>
      <c r="T14" t="s">
        <v>215</v>
      </c>
      <c r="U14" t="s">
        <v>216</v>
      </c>
      <c r="V14" t="s">
        <v>326</v>
      </c>
      <c r="W14" t="s">
        <v>349</v>
      </c>
      <c r="X14">
        <v>1</v>
      </c>
      <c r="Y14">
        <v>0</v>
      </c>
      <c r="Z14">
        <v>1</v>
      </c>
      <c r="AA14">
        <v>0</v>
      </c>
      <c r="AG14" t="s">
        <v>313</v>
      </c>
      <c r="AL14" t="str">
        <f t="shared" si="0"/>
        <v>('27092','27092',A4B2A4E663F6CE80903A6FF9BB4987DF20C1F6C58B6A45D33106757C50AAD19C')</v>
      </c>
    </row>
    <row r="15" spans="1:38" x14ac:dyDescent="0.3">
      <c r="A15" s="1" t="s">
        <v>25</v>
      </c>
      <c r="B15" s="1" t="s">
        <v>386</v>
      </c>
      <c r="C15" s="1" t="s">
        <v>170</v>
      </c>
      <c r="D15" s="1" t="s">
        <v>26</v>
      </c>
      <c r="E15" s="1" t="s">
        <v>185</v>
      </c>
      <c r="F15" s="1" t="s">
        <v>27</v>
      </c>
      <c r="G15" s="1" t="s">
        <v>89</v>
      </c>
      <c r="H15" t="s">
        <v>28</v>
      </c>
      <c r="I15" t="s">
        <v>28</v>
      </c>
      <c r="J15" t="s">
        <v>87</v>
      </c>
      <c r="K15" t="s">
        <v>246</v>
      </c>
      <c r="L15" s="3" t="s">
        <v>262</v>
      </c>
      <c r="M15" t="s">
        <v>308</v>
      </c>
      <c r="P15" t="s">
        <v>246</v>
      </c>
      <c r="Q15" t="s">
        <v>286</v>
      </c>
      <c r="S15" s="1"/>
      <c r="T15" t="s">
        <v>217</v>
      </c>
      <c r="U15" t="s">
        <v>218</v>
      </c>
      <c r="X15">
        <v>0</v>
      </c>
      <c r="Y15">
        <v>0</v>
      </c>
      <c r="Z15">
        <v>0</v>
      </c>
      <c r="AA15">
        <v>0</v>
      </c>
      <c r="AG15" s="1" t="s">
        <v>316</v>
      </c>
      <c r="AL15" t="str">
        <f t="shared" si="0"/>
        <v>('﻿949','﻿949',E8F889FF91C2CB05FACCF9D1301603244AEA01AE0CAF53F6EC7F1A88449C1D28')</v>
      </c>
    </row>
    <row r="16" spans="1:38" x14ac:dyDescent="0.3">
      <c r="A16" s="1" t="s">
        <v>90</v>
      </c>
      <c r="B16" s="1" t="s">
        <v>387</v>
      </c>
      <c r="C16" s="1" t="s">
        <v>91</v>
      </c>
      <c r="D16" s="1" t="s">
        <v>29</v>
      </c>
      <c r="E16" s="1" t="s">
        <v>92</v>
      </c>
      <c r="F16" s="1" t="s">
        <v>29</v>
      </c>
      <c r="G16" s="1" t="s">
        <v>93</v>
      </c>
      <c r="H16" t="s">
        <v>30</v>
      </c>
      <c r="I16" t="s">
        <v>30</v>
      </c>
      <c r="J16" s="5" t="s">
        <v>87</v>
      </c>
      <c r="K16" t="s">
        <v>246</v>
      </c>
      <c r="L16" t="s">
        <v>362</v>
      </c>
      <c r="S16" s="1"/>
      <c r="T16" t="s">
        <v>219</v>
      </c>
      <c r="U16" t="s">
        <v>220</v>
      </c>
      <c r="X16">
        <v>1</v>
      </c>
      <c r="Y16">
        <v>1</v>
      </c>
      <c r="Z16">
        <v>0</v>
      </c>
      <c r="AA16">
        <v>0</v>
      </c>
      <c r="AG16" s="1" t="s">
        <v>311</v>
      </c>
      <c r="AL16" t="str">
        <f t="shared" si="0"/>
        <v>('9001781504','9001781504',CD01FDCD71D1555DEC7612C50E4FC4D97E7876A778126DE5DEF2634FA9BD30C9')</v>
      </c>
    </row>
    <row r="17" spans="1:38" x14ac:dyDescent="0.3">
      <c r="A17" s="1" t="s">
        <v>94</v>
      </c>
      <c r="B17" s="1" t="s">
        <v>388</v>
      </c>
      <c r="C17" s="1" t="s">
        <v>171</v>
      </c>
      <c r="D17" s="1" t="s">
        <v>31</v>
      </c>
      <c r="E17" s="1" t="s">
        <v>186</v>
      </c>
      <c r="F17" s="1" t="s">
        <v>31</v>
      </c>
      <c r="G17" s="1" t="s">
        <v>96</v>
      </c>
      <c r="H17" t="s">
        <v>32</v>
      </c>
      <c r="I17" t="s">
        <v>32</v>
      </c>
      <c r="J17" t="s">
        <v>87</v>
      </c>
      <c r="K17" t="s">
        <v>246</v>
      </c>
      <c r="L17" t="s">
        <v>263</v>
      </c>
      <c r="M17">
        <v>5</v>
      </c>
      <c r="P17" t="s">
        <v>246</v>
      </c>
      <c r="Q17" t="s">
        <v>287</v>
      </c>
      <c r="S17" s="1"/>
      <c r="T17" t="s">
        <v>221</v>
      </c>
      <c r="U17" t="s">
        <v>222</v>
      </c>
      <c r="V17" t="s">
        <v>327</v>
      </c>
      <c r="W17" t="s">
        <v>350</v>
      </c>
      <c r="X17">
        <v>1</v>
      </c>
      <c r="Y17">
        <v>0</v>
      </c>
      <c r="Z17">
        <v>1</v>
      </c>
      <c r="AA17">
        <v>0</v>
      </c>
      <c r="AG17" t="s">
        <v>313</v>
      </c>
      <c r="AL17" t="str">
        <f t="shared" si="0"/>
        <v>('27081','27081',3FF8BDEBCF4E816DBD7A85FAB1DE5630D4FB8D451898807A74EB9D736881A529')</v>
      </c>
    </row>
    <row r="18" spans="1:38" x14ac:dyDescent="0.3">
      <c r="A18" s="1" t="s">
        <v>97</v>
      </c>
      <c r="B18" s="1" t="s">
        <v>389</v>
      </c>
      <c r="D18" s="1"/>
      <c r="E18" s="1"/>
      <c r="F18" s="1"/>
      <c r="G18" s="1"/>
      <c r="J18" t="s">
        <v>87</v>
      </c>
      <c r="K18" t="s">
        <v>246</v>
      </c>
      <c r="L18" t="s">
        <v>264</v>
      </c>
      <c r="M18" t="s">
        <v>281</v>
      </c>
      <c r="P18" t="s">
        <v>246</v>
      </c>
      <c r="Q18" t="s">
        <v>281</v>
      </c>
      <c r="S18" s="1"/>
      <c r="V18" t="s">
        <v>328</v>
      </c>
      <c r="W18" t="s">
        <v>349</v>
      </c>
      <c r="X18">
        <v>0</v>
      </c>
      <c r="Y18">
        <v>0</v>
      </c>
      <c r="Z18">
        <v>0</v>
      </c>
      <c r="AA18">
        <v>1</v>
      </c>
      <c r="AG18" t="s">
        <v>315</v>
      </c>
      <c r="AL18" t="str">
        <f t="shared" si="0"/>
        <v>('27118','27118',57E944FDAF971B30DFCFD7B19B5966DA3CC631EBE5AB91167E9342A8E3937A06')</v>
      </c>
    </row>
    <row r="19" spans="1:38" x14ac:dyDescent="0.3">
      <c r="A19" s="1" t="s">
        <v>98</v>
      </c>
      <c r="B19" s="1" t="s">
        <v>390</v>
      </c>
      <c r="C19" s="1" t="s">
        <v>165</v>
      </c>
      <c r="D19" s="1" t="s">
        <v>3</v>
      </c>
      <c r="E19" s="1" t="s">
        <v>187</v>
      </c>
      <c r="F19" s="1" t="s">
        <v>33</v>
      </c>
      <c r="G19" s="1" t="s">
        <v>99</v>
      </c>
      <c r="H19" t="s">
        <v>34</v>
      </c>
      <c r="I19" t="s">
        <v>34</v>
      </c>
      <c r="J19" t="s">
        <v>87</v>
      </c>
      <c r="K19" t="s">
        <v>246</v>
      </c>
      <c r="L19" t="s">
        <v>265</v>
      </c>
      <c r="M19">
        <v>4</v>
      </c>
      <c r="P19" t="s">
        <v>246</v>
      </c>
      <c r="Q19" t="s">
        <v>299</v>
      </c>
      <c r="S19" s="1"/>
      <c r="T19" t="s">
        <v>223</v>
      </c>
      <c r="U19" t="s">
        <v>212</v>
      </c>
      <c r="V19" t="s">
        <v>329</v>
      </c>
      <c r="W19" t="s">
        <v>345</v>
      </c>
      <c r="X19">
        <v>1</v>
      </c>
      <c r="Y19">
        <v>1</v>
      </c>
      <c r="Z19">
        <v>0</v>
      </c>
      <c r="AA19">
        <v>0</v>
      </c>
      <c r="AG19" s="1" t="s">
        <v>311</v>
      </c>
      <c r="AL19" t="str">
        <f t="shared" si="0"/>
        <v>('27080','27080',C049D2975BD59EA14CA140171BE0CD06052B53A174089AF022BF1BCB95A4902E')</v>
      </c>
    </row>
    <row r="20" spans="1:38" x14ac:dyDescent="0.3">
      <c r="A20" s="1" t="s">
        <v>100</v>
      </c>
      <c r="B20" s="1" t="s">
        <v>391</v>
      </c>
      <c r="C20" s="1" t="s">
        <v>91</v>
      </c>
      <c r="D20" s="1" t="s">
        <v>0</v>
      </c>
      <c r="E20" s="1" t="s">
        <v>188</v>
      </c>
      <c r="F20" s="1" t="s">
        <v>35</v>
      </c>
      <c r="G20" s="1" t="s">
        <v>101</v>
      </c>
      <c r="H20" t="s">
        <v>36</v>
      </c>
      <c r="I20" t="s">
        <v>36</v>
      </c>
      <c r="J20" t="s">
        <v>87</v>
      </c>
      <c r="K20" t="s">
        <v>246</v>
      </c>
      <c r="L20" t="s">
        <v>266</v>
      </c>
      <c r="M20">
        <v>2</v>
      </c>
      <c r="P20" t="s">
        <v>246</v>
      </c>
      <c r="Q20" t="s">
        <v>300</v>
      </c>
      <c r="S20" s="1"/>
      <c r="T20" t="s">
        <v>224</v>
      </c>
      <c r="U20" t="s">
        <v>225</v>
      </c>
      <c r="V20" t="s">
        <v>330</v>
      </c>
      <c r="W20" t="s">
        <v>351</v>
      </c>
      <c r="X20">
        <v>1</v>
      </c>
      <c r="Y20">
        <v>1</v>
      </c>
      <c r="Z20">
        <v>0</v>
      </c>
      <c r="AA20">
        <v>0</v>
      </c>
      <c r="AG20" s="1" t="s">
        <v>311</v>
      </c>
      <c r="AL20" t="str">
        <f t="shared" si="0"/>
        <v>('27113','27113',A7C1D09DCC41E7BFD710BAABB8E511E0C12EC9990D748CE006A382EDAC030BB3')</v>
      </c>
    </row>
    <row r="21" spans="1:38" x14ac:dyDescent="0.3">
      <c r="A21" s="1" t="s">
        <v>102</v>
      </c>
      <c r="B21" s="1" t="s">
        <v>392</v>
      </c>
      <c r="C21" s="1" t="s">
        <v>103</v>
      </c>
      <c r="D21" s="1" t="s">
        <v>37</v>
      </c>
      <c r="E21" s="1" t="s">
        <v>104</v>
      </c>
      <c r="F21" s="1" t="s">
        <v>37</v>
      </c>
      <c r="G21" s="1" t="s">
        <v>105</v>
      </c>
      <c r="H21" t="s">
        <v>38</v>
      </c>
      <c r="I21" t="s">
        <v>38</v>
      </c>
      <c r="J21" s="5" t="s">
        <v>87</v>
      </c>
      <c r="K21" t="s">
        <v>246</v>
      </c>
      <c r="L21" t="s">
        <v>363</v>
      </c>
      <c r="S21" s="1"/>
      <c r="T21" t="s">
        <v>226</v>
      </c>
      <c r="U21" t="s">
        <v>227</v>
      </c>
      <c r="X21">
        <v>1</v>
      </c>
      <c r="Y21">
        <v>1</v>
      </c>
      <c r="Z21">
        <v>0</v>
      </c>
      <c r="AA21">
        <v>0</v>
      </c>
      <c r="AG21" s="1" t="s">
        <v>311</v>
      </c>
      <c r="AL21" t="str">
        <f t="shared" si="0"/>
        <v>('2101230365','2101230365',3E0335E202DC8F4546FFA0242B25CD23FA349F6778E4DFFC1793837B82745279')</v>
      </c>
    </row>
    <row r="22" spans="1:38" x14ac:dyDescent="0.3">
      <c r="A22" s="1" t="s">
        <v>106</v>
      </c>
      <c r="B22" s="1" t="s">
        <v>393</v>
      </c>
      <c r="C22" s="1" t="s">
        <v>168</v>
      </c>
      <c r="D22" s="1" t="s">
        <v>19</v>
      </c>
      <c r="E22" s="1" t="s">
        <v>189</v>
      </c>
      <c r="F22" s="1" t="s">
        <v>39</v>
      </c>
      <c r="G22" s="1" t="s">
        <v>107</v>
      </c>
      <c r="H22" t="s">
        <v>40</v>
      </c>
      <c r="I22" t="s">
        <v>40</v>
      </c>
      <c r="J22" t="s">
        <v>87</v>
      </c>
      <c r="K22" t="s">
        <v>246</v>
      </c>
      <c r="L22" t="s">
        <v>267</v>
      </c>
      <c r="M22">
        <v>44</v>
      </c>
      <c r="P22" t="s">
        <v>246</v>
      </c>
      <c r="Q22" t="s">
        <v>301</v>
      </c>
      <c r="S22" s="1"/>
      <c r="T22" t="s">
        <v>228</v>
      </c>
      <c r="U22" t="s">
        <v>229</v>
      </c>
      <c r="V22" t="s">
        <v>331</v>
      </c>
      <c r="W22" t="s">
        <v>352</v>
      </c>
      <c r="X22">
        <v>0</v>
      </c>
      <c r="Y22">
        <v>0</v>
      </c>
      <c r="Z22">
        <v>0</v>
      </c>
      <c r="AA22">
        <v>1</v>
      </c>
      <c r="AG22" s="1" t="s">
        <v>312</v>
      </c>
      <c r="AL22" t="str">
        <f t="shared" si="0"/>
        <v>('27110','27110',B9F3AAAF0CE1B8B14281F7AC53E2B51BF1193E192EC874147245F360FAEB48E9')</v>
      </c>
    </row>
    <row r="23" spans="1:38" x14ac:dyDescent="0.3">
      <c r="A23" s="1" t="s">
        <v>108</v>
      </c>
      <c r="B23" s="1" t="s">
        <v>394</v>
      </c>
      <c r="C23" s="1" t="s">
        <v>165</v>
      </c>
      <c r="D23" s="1" t="s">
        <v>3</v>
      </c>
      <c r="E23" s="1" t="s">
        <v>181</v>
      </c>
      <c r="F23" s="1" t="s">
        <v>17</v>
      </c>
      <c r="G23" s="1" t="s">
        <v>109</v>
      </c>
      <c r="H23" t="s">
        <v>41</v>
      </c>
      <c r="I23" t="s">
        <v>41</v>
      </c>
      <c r="J23" t="s">
        <v>87</v>
      </c>
      <c r="K23" t="s">
        <v>246</v>
      </c>
      <c r="L23" t="s">
        <v>268</v>
      </c>
      <c r="M23">
        <v>6</v>
      </c>
      <c r="P23" t="s">
        <v>246</v>
      </c>
      <c r="Q23" t="s">
        <v>302</v>
      </c>
      <c r="S23" s="1"/>
      <c r="T23" t="s">
        <v>230</v>
      </c>
      <c r="U23" t="s">
        <v>231</v>
      </c>
      <c r="V23" t="s">
        <v>332</v>
      </c>
      <c r="W23" t="s">
        <v>350</v>
      </c>
      <c r="X23">
        <v>1</v>
      </c>
      <c r="Y23">
        <v>1</v>
      </c>
      <c r="Z23">
        <v>0</v>
      </c>
      <c r="AA23">
        <v>0</v>
      </c>
      <c r="AG23" s="1" t="s">
        <v>311</v>
      </c>
      <c r="AL23" t="str">
        <f t="shared" si="0"/>
        <v>('27082','27082',76A803C4561423DF92E1F7A0CF79D125220CAE3F4F88FE826ED26FA6EE33982C')</v>
      </c>
    </row>
    <row r="24" spans="1:38" x14ac:dyDescent="0.3">
      <c r="A24" s="1" t="s">
        <v>110</v>
      </c>
      <c r="B24" s="1" t="s">
        <v>395</v>
      </c>
      <c r="C24" s="1" t="s">
        <v>166</v>
      </c>
      <c r="D24" s="1" t="s">
        <v>42</v>
      </c>
      <c r="E24" s="1" t="s">
        <v>359</v>
      </c>
      <c r="F24" s="1" t="s">
        <v>42</v>
      </c>
      <c r="G24" s="1" t="s">
        <v>360</v>
      </c>
      <c r="H24" t="s">
        <v>43</v>
      </c>
      <c r="I24" t="s">
        <v>43</v>
      </c>
      <c r="J24" t="s">
        <v>87</v>
      </c>
      <c r="K24" t="s">
        <v>246</v>
      </c>
      <c r="L24" t="s">
        <v>269</v>
      </c>
      <c r="M24" t="s">
        <v>281</v>
      </c>
      <c r="P24" t="s">
        <v>246</v>
      </c>
      <c r="Q24" t="s">
        <v>281</v>
      </c>
      <c r="S24" s="1"/>
      <c r="V24" t="s">
        <v>323</v>
      </c>
      <c r="W24" t="s">
        <v>323</v>
      </c>
      <c r="X24">
        <v>0</v>
      </c>
      <c r="Y24">
        <v>0</v>
      </c>
      <c r="Z24">
        <v>0</v>
      </c>
      <c r="AA24">
        <v>0</v>
      </c>
      <c r="AG24" s="1" t="s">
        <v>316</v>
      </c>
      <c r="AL24" t="str">
        <f t="shared" si="0"/>
        <v>('27075','27075',5C196024BF92EFBECE9B6274BCD1F994E3C2BBC6ACD941818EBB1809C1BE320C')</v>
      </c>
    </row>
    <row r="25" spans="1:38" x14ac:dyDescent="0.3">
      <c r="A25" s="1" t="s">
        <v>111</v>
      </c>
      <c r="B25" s="1" t="s">
        <v>396</v>
      </c>
      <c r="C25" s="1" t="s">
        <v>172</v>
      </c>
      <c r="D25" s="1" t="s">
        <v>44</v>
      </c>
      <c r="E25" s="1" t="s">
        <v>190</v>
      </c>
      <c r="F25" s="1" t="s">
        <v>44</v>
      </c>
      <c r="G25" s="1" t="s">
        <v>113</v>
      </c>
      <c r="H25" t="s">
        <v>45</v>
      </c>
      <c r="I25" t="s">
        <v>45</v>
      </c>
      <c r="J25" t="s">
        <v>249</v>
      </c>
      <c r="K25" t="s">
        <v>52</v>
      </c>
      <c r="L25" t="s">
        <v>270</v>
      </c>
      <c r="M25">
        <v>63</v>
      </c>
      <c r="P25" t="s">
        <v>52</v>
      </c>
      <c r="Q25" t="s">
        <v>288</v>
      </c>
      <c r="S25" s="1"/>
      <c r="T25" t="s">
        <v>232</v>
      </c>
      <c r="U25" t="s">
        <v>233</v>
      </c>
      <c r="V25" t="s">
        <v>324</v>
      </c>
      <c r="W25" t="s">
        <v>353</v>
      </c>
      <c r="X25">
        <v>1</v>
      </c>
      <c r="Y25">
        <v>0</v>
      </c>
      <c r="Z25">
        <v>1</v>
      </c>
      <c r="AA25">
        <v>0</v>
      </c>
      <c r="AG25" t="s">
        <v>313</v>
      </c>
      <c r="AL25" t="str">
        <f t="shared" si="0"/>
        <v>('27103','27103',7DB9CBB0433FAEA80BE87D9AB4DBB28BA3896F6815B4A6F9474C4FC51F86BCF9')</v>
      </c>
    </row>
    <row r="26" spans="1:38" x14ac:dyDescent="0.3">
      <c r="A26" s="1" t="s">
        <v>114</v>
      </c>
      <c r="B26" s="1" t="s">
        <v>397</v>
      </c>
      <c r="C26" s="1" t="s">
        <v>165</v>
      </c>
      <c r="D26" s="1" t="s">
        <v>3</v>
      </c>
      <c r="E26" s="1" t="s">
        <v>183</v>
      </c>
      <c r="F26" s="1" t="s">
        <v>21</v>
      </c>
      <c r="G26" s="1" t="s">
        <v>115</v>
      </c>
      <c r="H26" t="s">
        <v>46</v>
      </c>
      <c r="I26" t="s">
        <v>46</v>
      </c>
      <c r="J26" t="s">
        <v>87</v>
      </c>
      <c r="K26" t="s">
        <v>246</v>
      </c>
      <c r="L26" t="s">
        <v>271</v>
      </c>
      <c r="M26">
        <v>26</v>
      </c>
      <c r="P26" t="s">
        <v>246</v>
      </c>
      <c r="Q26" t="s">
        <v>303</v>
      </c>
      <c r="S26" s="1"/>
      <c r="T26" t="s">
        <v>234</v>
      </c>
      <c r="U26" t="s">
        <v>235</v>
      </c>
      <c r="V26" t="s">
        <v>333</v>
      </c>
      <c r="W26" t="s">
        <v>354</v>
      </c>
      <c r="X26">
        <v>1</v>
      </c>
      <c r="Y26">
        <v>1</v>
      </c>
      <c r="Z26">
        <v>0</v>
      </c>
      <c r="AA26">
        <v>0</v>
      </c>
      <c r="AG26" s="1" t="s">
        <v>311</v>
      </c>
      <c r="AL26" t="str">
        <f t="shared" si="0"/>
        <v>('27079','27079',3281503C6B3F3BE2A1DA8614582D67D82AAEE8514FEEB264AD0A15641BEF0326')</v>
      </c>
    </row>
    <row r="27" spans="1:38" x14ac:dyDescent="0.3">
      <c r="A27" s="1" t="s">
        <v>116</v>
      </c>
      <c r="B27" s="1" t="s">
        <v>398</v>
      </c>
      <c r="C27" s="1" t="s">
        <v>173</v>
      </c>
      <c r="D27" s="1" t="s">
        <v>47</v>
      </c>
      <c r="E27" s="1" t="s">
        <v>191</v>
      </c>
      <c r="F27" s="1" t="s">
        <v>48</v>
      </c>
      <c r="G27" s="1" t="s">
        <v>117</v>
      </c>
      <c r="H27" t="s">
        <v>49</v>
      </c>
      <c r="I27" t="s">
        <v>49</v>
      </c>
      <c r="J27" t="s">
        <v>87</v>
      </c>
      <c r="K27" t="s">
        <v>246</v>
      </c>
      <c r="L27" t="s">
        <v>272</v>
      </c>
      <c r="M27">
        <v>180</v>
      </c>
      <c r="P27" t="s">
        <v>246</v>
      </c>
      <c r="Q27" t="s">
        <v>289</v>
      </c>
      <c r="S27" s="1"/>
      <c r="T27" t="s">
        <v>236</v>
      </c>
      <c r="U27" t="s">
        <v>237</v>
      </c>
      <c r="V27" t="s">
        <v>334</v>
      </c>
      <c r="W27" t="s">
        <v>355</v>
      </c>
      <c r="X27">
        <v>1</v>
      </c>
      <c r="Y27">
        <v>0</v>
      </c>
      <c r="Z27">
        <v>1</v>
      </c>
      <c r="AA27">
        <v>0</v>
      </c>
      <c r="AG27" t="s">
        <v>313</v>
      </c>
      <c r="AL27" t="str">
        <f t="shared" si="0"/>
        <v>('27111','27111',B77E95D6D4479BBEAD08CAA20E59DD91A31DDFE5C182A09E1C981968A8CC6774')</v>
      </c>
    </row>
    <row r="28" spans="1:38" x14ac:dyDescent="0.3">
      <c r="A28" s="1" t="s">
        <v>118</v>
      </c>
      <c r="B28" s="1" t="s">
        <v>399</v>
      </c>
      <c r="C28" s="1" t="s">
        <v>166</v>
      </c>
      <c r="D28" s="1" t="s">
        <v>42</v>
      </c>
      <c r="E28" s="1" t="s">
        <v>192</v>
      </c>
      <c r="F28" s="1" t="s">
        <v>50</v>
      </c>
      <c r="G28" s="1" t="s">
        <v>119</v>
      </c>
      <c r="H28" t="s">
        <v>50</v>
      </c>
      <c r="I28" t="s">
        <v>50</v>
      </c>
      <c r="J28" t="s">
        <v>87</v>
      </c>
      <c r="K28" t="s">
        <v>246</v>
      </c>
      <c r="L28" t="s">
        <v>273</v>
      </c>
      <c r="M28">
        <v>35</v>
      </c>
      <c r="P28" t="s">
        <v>246</v>
      </c>
      <c r="Q28" t="s">
        <v>290</v>
      </c>
      <c r="S28" s="1"/>
      <c r="T28" t="s">
        <v>238</v>
      </c>
      <c r="U28" t="s">
        <v>239</v>
      </c>
      <c r="V28" t="s">
        <v>335</v>
      </c>
      <c r="W28" t="s">
        <v>344</v>
      </c>
      <c r="X28">
        <v>1</v>
      </c>
      <c r="Y28">
        <v>0</v>
      </c>
      <c r="Z28">
        <v>1</v>
      </c>
      <c r="AA28">
        <v>0</v>
      </c>
      <c r="AG28" t="s">
        <v>313</v>
      </c>
      <c r="AL28" t="str">
        <f t="shared" si="0"/>
        <v>('27076','27076',89DBE31A7BE90A08B80D6FD6E39F407DAE2D956A877B9AF187FBCB3E6A91C4AB')</v>
      </c>
    </row>
    <row r="29" spans="1:38" x14ac:dyDescent="0.3">
      <c r="A29" s="1" t="s">
        <v>51</v>
      </c>
      <c r="B29" s="1" t="s">
        <v>400</v>
      </c>
      <c r="C29" s="1" t="s">
        <v>366</v>
      </c>
      <c r="D29" s="1" t="s">
        <v>367</v>
      </c>
      <c r="E29" s="1" t="s">
        <v>365</v>
      </c>
      <c r="F29" s="1" t="s">
        <v>368</v>
      </c>
      <c r="G29" s="1" t="s">
        <v>364</v>
      </c>
      <c r="H29" t="s">
        <v>369</v>
      </c>
      <c r="I29" t="s">
        <v>369</v>
      </c>
      <c r="J29" t="s">
        <v>87</v>
      </c>
      <c r="K29" t="s">
        <v>246</v>
      </c>
      <c r="L29" t="s">
        <v>274</v>
      </c>
      <c r="M29" t="s">
        <v>310</v>
      </c>
      <c r="P29" t="s">
        <v>246</v>
      </c>
      <c r="Q29" t="s">
        <v>304</v>
      </c>
      <c r="S29" s="1"/>
      <c r="T29">
        <v>9700</v>
      </c>
      <c r="U29">
        <v>187</v>
      </c>
      <c r="X29">
        <v>0</v>
      </c>
      <c r="Y29">
        <v>0</v>
      </c>
      <c r="Z29">
        <v>0</v>
      </c>
      <c r="AA29">
        <v>0</v>
      </c>
      <c r="AG29" s="1" t="s">
        <v>52</v>
      </c>
      <c r="AL29" t="str">
        <f t="shared" si="0"/>
        <v>('2101343557a','2101343557a',A7CC90BF38DAE2879476D0F1D410B32C10C2C7AB786AA7916A9CB89FB9AE7F6C')</v>
      </c>
    </row>
    <row r="30" spans="1:38" x14ac:dyDescent="0.3">
      <c r="A30" s="1" t="s">
        <v>120</v>
      </c>
      <c r="B30" s="1" t="s">
        <v>401</v>
      </c>
      <c r="C30" s="1" t="s">
        <v>121</v>
      </c>
      <c r="D30" s="1" t="s">
        <v>53</v>
      </c>
      <c r="E30" s="1" t="s">
        <v>122</v>
      </c>
      <c r="F30" s="1" t="s">
        <v>54</v>
      </c>
      <c r="G30" s="1" t="s">
        <v>123</v>
      </c>
      <c r="H30" t="s">
        <v>55</v>
      </c>
      <c r="I30" t="s">
        <v>55</v>
      </c>
      <c r="S30" s="1"/>
      <c r="T30" t="s">
        <v>240</v>
      </c>
      <c r="U30" t="s">
        <v>241</v>
      </c>
      <c r="X30">
        <v>1</v>
      </c>
      <c r="Y30">
        <v>1</v>
      </c>
      <c r="Z30">
        <v>0</v>
      </c>
      <c r="AA30">
        <v>0</v>
      </c>
      <c r="AG30" s="1" t="s">
        <v>311</v>
      </c>
      <c r="AL30" t="str">
        <f t="shared" si="0"/>
        <v>('69617171','69617171',1080656F3F79A3599DE7CDF345DE7518E3B99DADA93710425FE701F7363D950D')</v>
      </c>
    </row>
    <row r="31" spans="1:38" x14ac:dyDescent="0.3">
      <c r="A31" s="1" t="s">
        <v>124</v>
      </c>
      <c r="B31" s="1" t="s">
        <v>402</v>
      </c>
      <c r="C31" s="1" t="s">
        <v>167</v>
      </c>
      <c r="D31" s="1" t="s">
        <v>15</v>
      </c>
      <c r="E31" s="1" t="s">
        <v>180</v>
      </c>
      <c r="F31" s="1" t="s">
        <v>16</v>
      </c>
      <c r="G31" s="1" t="s">
        <v>79</v>
      </c>
      <c r="H31" t="s">
        <v>16</v>
      </c>
      <c r="I31" t="s">
        <v>16</v>
      </c>
      <c r="J31" t="s">
        <v>95</v>
      </c>
      <c r="K31" t="s">
        <v>247</v>
      </c>
      <c r="L31" t="s">
        <v>275</v>
      </c>
      <c r="M31">
        <v>53</v>
      </c>
      <c r="P31" t="s">
        <v>247</v>
      </c>
      <c r="Q31" t="s">
        <v>291</v>
      </c>
      <c r="S31" s="1"/>
      <c r="T31" t="s">
        <v>207</v>
      </c>
      <c r="U31" t="s">
        <v>208</v>
      </c>
      <c r="V31" t="s">
        <v>336</v>
      </c>
      <c r="W31" t="s">
        <v>345</v>
      </c>
      <c r="X31">
        <v>0</v>
      </c>
      <c r="Y31">
        <v>0</v>
      </c>
      <c r="Z31">
        <v>0</v>
      </c>
      <c r="AA31">
        <v>1</v>
      </c>
      <c r="AG31" s="1" t="s">
        <v>312</v>
      </c>
      <c r="AL31" t="str">
        <f t="shared" si="0"/>
        <v>('27069','27069',E58D553C943D4444567B0776092A3ECA177D519CF3CC06408F08E415FE52BEBB')</v>
      </c>
    </row>
    <row r="32" spans="1:38" x14ac:dyDescent="0.3">
      <c r="A32" s="1" t="s">
        <v>56</v>
      </c>
      <c r="B32" s="1" t="s">
        <v>403</v>
      </c>
      <c r="C32" s="1" t="s">
        <v>366</v>
      </c>
      <c r="D32" s="1" t="s">
        <v>367</v>
      </c>
      <c r="E32" s="1" t="s">
        <v>365</v>
      </c>
      <c r="F32" s="1" t="s">
        <v>368</v>
      </c>
      <c r="G32" s="1" t="s">
        <v>370</v>
      </c>
      <c r="H32" t="s">
        <v>371</v>
      </c>
      <c r="I32" t="s">
        <v>371</v>
      </c>
      <c r="J32" t="s">
        <v>87</v>
      </c>
      <c r="K32" t="s">
        <v>246</v>
      </c>
      <c r="L32" t="s">
        <v>276</v>
      </c>
      <c r="M32" t="s">
        <v>309</v>
      </c>
      <c r="P32" t="s">
        <v>246</v>
      </c>
      <c r="Q32" t="s">
        <v>305</v>
      </c>
      <c r="S32" s="1"/>
      <c r="T32">
        <v>9700</v>
      </c>
      <c r="U32">
        <v>120</v>
      </c>
      <c r="X32">
        <v>0</v>
      </c>
      <c r="Y32">
        <v>0</v>
      </c>
      <c r="Z32">
        <v>0</v>
      </c>
      <c r="AA32">
        <v>0</v>
      </c>
      <c r="AG32" s="1" t="s">
        <v>52</v>
      </c>
      <c r="AL32" t="str">
        <f t="shared" si="0"/>
        <v>('2101343557b','2101343557b',97855449577447A59C16F32C6DE5540E0380C956CCD258A599981F4A9909D081')</v>
      </c>
    </row>
    <row r="33" spans="1:38" x14ac:dyDescent="0.3">
      <c r="A33" s="1" t="s">
        <v>125</v>
      </c>
      <c r="B33" s="1" t="s">
        <v>404</v>
      </c>
      <c r="C33" s="1" t="s">
        <v>165</v>
      </c>
      <c r="D33" s="1" t="s">
        <v>3</v>
      </c>
      <c r="E33" s="1" t="s">
        <v>193</v>
      </c>
      <c r="F33" s="1" t="s">
        <v>57</v>
      </c>
      <c r="G33" s="1" t="s">
        <v>126</v>
      </c>
      <c r="H33" t="s">
        <v>58</v>
      </c>
      <c r="I33" t="s">
        <v>58</v>
      </c>
      <c r="J33" t="s">
        <v>87</v>
      </c>
      <c r="K33" t="s">
        <v>246</v>
      </c>
      <c r="L33" t="s">
        <v>277</v>
      </c>
      <c r="M33">
        <v>6</v>
      </c>
      <c r="P33" t="s">
        <v>246</v>
      </c>
      <c r="Q33" t="s">
        <v>292</v>
      </c>
      <c r="S33" s="1"/>
      <c r="T33" t="s">
        <v>242</v>
      </c>
      <c r="U33" t="s">
        <v>243</v>
      </c>
      <c r="V33" t="s">
        <v>337</v>
      </c>
      <c r="W33" t="s">
        <v>356</v>
      </c>
      <c r="X33">
        <v>1</v>
      </c>
      <c r="Y33">
        <v>1</v>
      </c>
      <c r="Z33">
        <v>0</v>
      </c>
      <c r="AA33">
        <v>0</v>
      </c>
      <c r="AG33" s="1" t="s">
        <v>311</v>
      </c>
      <c r="AL33" t="str">
        <f t="shared" si="0"/>
        <v>('27078','27078',EB51DEB36A86335C5057C4DD28AD73CC8C3EBB42F87098DC502CF8CD46DF5FEC')</v>
      </c>
    </row>
    <row r="34" spans="1:38" x14ac:dyDescent="0.3">
      <c r="A34" s="1" t="s">
        <v>127</v>
      </c>
      <c r="B34" s="1" t="s">
        <v>405</v>
      </c>
      <c r="C34" s="1" t="s">
        <v>167</v>
      </c>
      <c r="D34" s="1" t="s">
        <v>15</v>
      </c>
      <c r="E34" s="1" t="s">
        <v>180</v>
      </c>
      <c r="F34" s="1" t="s">
        <v>16</v>
      </c>
      <c r="G34" s="1" t="s">
        <v>79</v>
      </c>
      <c r="H34" t="s">
        <v>16</v>
      </c>
      <c r="I34" t="s">
        <v>16</v>
      </c>
      <c r="J34" t="s">
        <v>72</v>
      </c>
      <c r="K34" t="s">
        <v>248</v>
      </c>
      <c r="L34" t="s">
        <v>257</v>
      </c>
      <c r="M34">
        <v>21</v>
      </c>
      <c r="P34" t="s">
        <v>248</v>
      </c>
      <c r="Q34" t="s">
        <v>293</v>
      </c>
      <c r="S34" s="1"/>
      <c r="T34" t="s">
        <v>207</v>
      </c>
      <c r="U34" t="s">
        <v>208</v>
      </c>
      <c r="V34" t="s">
        <v>68</v>
      </c>
      <c r="W34" t="s">
        <v>345</v>
      </c>
      <c r="X34">
        <v>0</v>
      </c>
      <c r="Y34">
        <v>0</v>
      </c>
      <c r="Z34">
        <v>0</v>
      </c>
      <c r="AA34">
        <v>1</v>
      </c>
      <c r="AG34" s="1" t="s">
        <v>312</v>
      </c>
      <c r="AL34" t="str">
        <f t="shared" si="0"/>
        <v>('27067','27067',992A208BA6BE943E78F37D5A3FCBCF64B24A89F62A533230FB970E8048CE04B0')</v>
      </c>
    </row>
    <row r="35" spans="1:38" x14ac:dyDescent="0.3">
      <c r="A35" s="1" t="s">
        <v>128</v>
      </c>
      <c r="B35" s="1" t="s">
        <v>406</v>
      </c>
      <c r="C35" s="1" t="s">
        <v>168</v>
      </c>
      <c r="D35" s="1" t="s">
        <v>19</v>
      </c>
      <c r="E35" s="1" t="s">
        <v>194</v>
      </c>
      <c r="F35" s="1" t="s">
        <v>59</v>
      </c>
      <c r="G35" s="1" t="s">
        <v>129</v>
      </c>
      <c r="H35" t="s">
        <v>60</v>
      </c>
      <c r="I35" t="s">
        <v>60</v>
      </c>
      <c r="J35" t="s">
        <v>87</v>
      </c>
      <c r="K35" t="s">
        <v>246</v>
      </c>
      <c r="L35" t="s">
        <v>278</v>
      </c>
      <c r="M35">
        <v>44</v>
      </c>
      <c r="P35" t="s">
        <v>246</v>
      </c>
      <c r="Q35" t="s">
        <v>294</v>
      </c>
      <c r="S35" s="1"/>
      <c r="T35" t="s">
        <v>244</v>
      </c>
      <c r="U35" t="s">
        <v>245</v>
      </c>
      <c r="V35" t="s">
        <v>338</v>
      </c>
      <c r="W35" t="s">
        <v>357</v>
      </c>
      <c r="X35">
        <v>1</v>
      </c>
      <c r="Y35">
        <v>1</v>
      </c>
      <c r="Z35">
        <v>0</v>
      </c>
      <c r="AA35">
        <v>0</v>
      </c>
      <c r="AG35" s="1" t="s">
        <v>311</v>
      </c>
      <c r="AL35" t="str">
        <f t="shared" si="0"/>
        <v>('27074','27074',32290B219A81C7C6452ADECEDC8504BC36CD8BC16A1A6D8AD07E9607356BDE2D')</v>
      </c>
    </row>
    <row r="36" spans="1:38" x14ac:dyDescent="0.3">
      <c r="AL36" t="str">
        <f t="shared" si="0"/>
        <v>('','',')</v>
      </c>
    </row>
  </sheetData>
  <autoFilter ref="A1:AJ5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16" ma:contentTypeDescription="Create a new document." ma:contentTypeScope="" ma:versionID="a4eb8529a939c4058918af2411f4fedb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962bb65415dc8fedcda10a37589b22c0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10DA7A-E02A-4051-9F3A-A361E45108B3}">
  <ds:schemaRefs>
    <ds:schemaRef ds:uri="http://schemas.microsoft.com/sharepoint/v3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a2f0df9-978c-4e64-bc0f-0d70b3382699"/>
    <ds:schemaRef ds:uri="159a09cd-0c4f-4bb8-ba14-1119f34f4d57"/>
  </ds:schemaRefs>
</ds:datastoreItem>
</file>

<file path=customXml/itemProps2.xml><?xml version="1.0" encoding="utf-8"?>
<ds:datastoreItem xmlns:ds="http://schemas.openxmlformats.org/officeDocument/2006/customXml" ds:itemID="{F5D8F6B9-4AA8-417C-9C85-6731D754589E}"/>
</file>

<file path=customXml/itemProps3.xml><?xml version="1.0" encoding="utf-8"?>
<ds:datastoreItem xmlns:ds="http://schemas.openxmlformats.org/officeDocument/2006/customXml" ds:itemID="{1C35B5FD-B646-4120-A128-8198D8BEF9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GLOVAL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Almeida Braga</dc:creator>
  <cp:lastModifiedBy>Joana Almeida Braga</cp:lastModifiedBy>
  <dcterms:created xsi:type="dcterms:W3CDTF">2024-07-08T15:44:26Z</dcterms:created>
  <dcterms:modified xsi:type="dcterms:W3CDTF">2024-07-08T18:43:55Z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2024-07-08T16:43:35Z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295875e5-a469-4e5e-8d39-fdbc6f69bd90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