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-my.sharepoint.com/personal/e801175_corp_santander_pt/Documents/Documents/GitHub/BS_PILAR3_ESG/07. Exercicio Pillar3 - Jun24/03. Satélites Corporativos/02. Tabelas Master/Jun24/"/>
    </mc:Choice>
  </mc:AlternateContent>
  <bookViews>
    <workbookView xWindow="0" yWindow="0" windowWidth="19368" windowHeight="9192"/>
  </bookViews>
  <sheets>
    <sheet name="Sheet2" sheetId="2" r:id="rId1"/>
  </sheets>
  <definedNames>
    <definedName name="_xlnm._FilterDatabase" localSheetId="0" hidden="1">Sheet2!$B$6:$D$20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6" i="2" l="1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J48" i="2"/>
  <c r="I47" i="2"/>
  <c r="I46" i="2"/>
  <c r="I45" i="2"/>
  <c r="I44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7" i="2"/>
  <c r="J46" i="2"/>
  <c r="J45" i="2"/>
  <c r="J44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</calcChain>
</file>

<file path=xl/sharedStrings.xml><?xml version="1.0" encoding="utf-8"?>
<sst xmlns="http://schemas.openxmlformats.org/spreadsheetml/2006/main" count="306" uniqueCount="56">
  <si>
    <t>sfcs_tag_comgloval</t>
  </si>
  <si>
    <t>sfcs_green_activity_comgloval</t>
  </si>
  <si>
    <t>sum(end_of_period_balance)</t>
  </si>
  <si>
    <t>Sin información</t>
  </si>
  <si>
    <t>n/a</t>
  </si>
  <si>
    <t>Green</t>
  </si>
  <si>
    <t>Real estate - Building renovation loans</t>
  </si>
  <si>
    <t>Transport - Other</t>
  </si>
  <si>
    <t>Water and waste management</t>
  </si>
  <si>
    <t>Real estate - Other</t>
  </si>
  <si>
    <t>Energy</t>
  </si>
  <si>
    <t>NULL</t>
  </si>
  <si>
    <t>Agriculture, forestry and livestock</t>
  </si>
  <si>
    <t>Transport - Motor vehicle loans</t>
  </si>
  <si>
    <t>Social</t>
  </si>
  <si>
    <t>No Elegible</t>
  </si>
  <si>
    <t>Real estate - Loans collateralised by residential immovable property</t>
  </si>
  <si>
    <t>Manufacturing</t>
  </si>
  <si>
    <t>Sustainability Linked</t>
  </si>
  <si>
    <t>JUNHO</t>
  </si>
  <si>
    <t>DEZEMBRO</t>
  </si>
  <si>
    <t>VAR</t>
  </si>
  <si>
    <t>Soma end of period balance</t>
  </si>
  <si>
    <t>Nº de registos</t>
  </si>
  <si>
    <t>count(*)</t>
  </si>
  <si>
    <t>Tipos de veículo + combustivel</t>
  </si>
  <si>
    <t>des_combustivel</t>
  </si>
  <si>
    <t>des_detalle_lease</t>
  </si>
  <si>
    <t>ELECTRICO</t>
  </si>
  <si>
    <t>TT DE 1601KG A 2600KG</t>
  </si>
  <si>
    <t>ARMAZENS</t>
  </si>
  <si>
    <t>COMERCIAIS ATE 1600KG</t>
  </si>
  <si>
    <t>HIBRIDO</t>
  </si>
  <si>
    <t>COMERCIAIS DE 2601KG A 3500KG</t>
  </si>
  <si>
    <t>HIBRIDO/GASOLINA</t>
  </si>
  <si>
    <t>N/A</t>
  </si>
  <si>
    <t>REGA</t>
  </si>
  <si>
    <t>TT DE 2601KG A 3500KG</t>
  </si>
  <si>
    <t>VEICULOS PESADOS DE MERCADORIAS</t>
  </si>
  <si>
    <t>VEICULOS LIGEIROS DE PASSAGEIROS</t>
  </si>
  <si>
    <t>HIBRIDO/GASOLEO</t>
  </si>
  <si>
    <t>COMERCIAIS DE 1601KG A 2600KG</t>
  </si>
  <si>
    <t>EQUIPAMENTOS FOTOVOLTAICOS</t>
  </si>
  <si>
    <t>INST. HIDRAULICAS E DE TRATAMENTO AGUAS</t>
  </si>
  <si>
    <t>LOJAS E ESTABELECIMENTOS COMERCIAIS</t>
  </si>
  <si>
    <t>CICLOMOTOR OU MOTOCICLO AT� 50CM3</t>
  </si>
  <si>
    <t>N/A - Manual</t>
  </si>
  <si>
    <t>TT ATE 1600KG</t>
  </si>
  <si>
    <t>EQUIPAMENTOS TERMICOS</t>
  </si>
  <si>
    <t>MOTOCICLOS CILINDRADA SUPERIOR A 50CM3</t>
  </si>
  <si>
    <t>VEICULOS PESADOS DE PASSAGEIROS</t>
  </si>
  <si>
    <t>IMOVEIS PARA HABITACAO</t>
  </si>
  <si>
    <t>REBOQUE/SEMI-REBOQUE C/MATRICULA</t>
  </si>
  <si>
    <t>ESCRITORIOS</t>
  </si>
  <si>
    <t>EMBARCACOES</t>
  </si>
  <si>
    <t>EMPILHADOR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</si>
</sst>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4" fontId="2" fillId="0" borderId="0" xfId="0" applyNumberFormat="1" applyFont="1"/>
    <xf numFmtId="0" fontId="3" fillId="0" borderId="0" xfId="0" applyFont="1"/>
    <xf numFmtId="0" fontId="4" fillId="2" borderId="1" xfId="0" applyFont="1" applyFill="1" applyBorder="1"/>
    <xf numFmtId="0" fontId="2" fillId="0" borderId="1" xfId="0" applyFont="1" applyBorder="1"/>
    <xf numFmtId="4" fontId="2" fillId="0" borderId="1" xfId="0" applyNumberFormat="1" applyFont="1" applyBorder="1"/>
    <xf numFmtId="9" fontId="2" fillId="0" borderId="1" xfId="1" applyFont="1" applyBorder="1"/>
    <xf numFmtId="0" fontId="3" fillId="0" borderId="2" xfId="0" applyFont="1" applyBorder="1"/>
    <xf numFmtId="0" fontId="2" fillId="0" borderId="2" xfId="0" applyFont="1" applyBorder="1"/>
    <xf numFmtId="4" fontId="2" fillId="0" borderId="2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86"/>
  <sheetViews>
    <sheetView showGridLines="0" tabSelected="1" workbookViewId="0"/>
  </sheetViews>
  <sheetFormatPr defaultRowHeight="13.2" x14ac:dyDescent="0.25"/>
  <cols>
    <col min="1" max="1" width="2.5546875" style="1" customWidth="1"/>
    <col min="2" max="2" width="17.5546875" style="1" bestFit="1" customWidth="1"/>
    <col min="3" max="3" width="57.109375" style="1" bestFit="1" customWidth="1"/>
    <col min="4" max="4" width="17.88671875" style="1" bestFit="1" customWidth="1"/>
    <col min="5" max="5" width="1.33203125" style="1" customWidth="1"/>
    <col min="6" max="6" width="17.5546875" style="1" bestFit="1" customWidth="1"/>
    <col min="7" max="7" width="57.109375" style="1" bestFit="1" customWidth="1"/>
    <col min="8" max="8" width="18.5546875" style="2" customWidth="1"/>
    <col min="9" max="9" width="5.6640625" style="1" bestFit="1" customWidth="1"/>
    <col min="10" max="10" width="7.21875" style="1" bestFit="1" customWidth="1"/>
    <col min="11" max="16384" width="8.88671875" style="1"/>
  </cols>
  <sheetData>
    <row r="2" spans="2:10" x14ac:dyDescent="0.25">
      <c r="B2" s="8" t="s">
        <v>20</v>
      </c>
      <c r="C2" s="9"/>
      <c r="D2" s="9"/>
      <c r="F2" s="8" t="s">
        <v>19</v>
      </c>
      <c r="G2" s="9"/>
      <c r="H2" s="10"/>
    </row>
    <row r="4" spans="2:10" x14ac:dyDescent="0.25">
      <c r="B4" s="3" t="s">
        <v>22</v>
      </c>
    </row>
    <row r="6" spans="2:10" x14ac:dyDescent="0.25">
      <c r="B6" s="4" t="s">
        <v>0</v>
      </c>
      <c r="C6" s="4" t="s">
        <v>1</v>
      </c>
      <c r="D6" s="4" t="s">
        <v>2</v>
      </c>
      <c r="F6" s="4" t="s">
        <v>0</v>
      </c>
      <c r="G6" s="4" t="s">
        <v>1</v>
      </c>
      <c r="H6" s="4" t="s">
        <v>2</v>
      </c>
      <c r="J6" s="4" t="s">
        <v>21</v>
      </c>
    </row>
    <row r="7" spans="2:10" x14ac:dyDescent="0.25">
      <c r="B7" s="5" t="s">
        <v>5</v>
      </c>
      <c r="C7" s="5" t="s">
        <v>12</v>
      </c>
      <c r="D7" s="6">
        <v>27721996.460000001</v>
      </c>
      <c r="E7" s="2"/>
      <c r="F7" s="5" t="s">
        <v>5</v>
      </c>
      <c r="G7" s="5" t="s">
        <v>12</v>
      </c>
      <c r="H7" s="6">
        <v>18651428</v>
      </c>
      <c r="J7" s="7">
        <f>+H7/D7-1</f>
        <v>-0.32719751887595472</v>
      </c>
    </row>
    <row r="8" spans="2:10" x14ac:dyDescent="0.25">
      <c r="B8" s="5" t="s">
        <v>5</v>
      </c>
      <c r="C8" s="5" t="s">
        <v>10</v>
      </c>
      <c r="D8" s="6">
        <v>272583950.25870001</v>
      </c>
      <c r="E8" s="2"/>
      <c r="F8" s="5" t="s">
        <v>5</v>
      </c>
      <c r="G8" s="5" t="s">
        <v>10</v>
      </c>
      <c r="H8" s="6">
        <v>345769038.99080002</v>
      </c>
      <c r="J8" s="7">
        <f t="shared" ref="J8:J20" si="0">+H8/D8-1</f>
        <v>0.26848641918441118</v>
      </c>
    </row>
    <row r="9" spans="2:10" x14ac:dyDescent="0.25">
      <c r="B9" s="5" t="s">
        <v>5</v>
      </c>
      <c r="C9" s="5" t="s">
        <v>17</v>
      </c>
      <c r="D9" s="6">
        <v>200851.13</v>
      </c>
      <c r="E9" s="2"/>
      <c r="F9" s="5" t="s">
        <v>5</v>
      </c>
      <c r="G9" s="5" t="s">
        <v>17</v>
      </c>
      <c r="H9" s="6">
        <v>182160.41</v>
      </c>
      <c r="J9" s="7">
        <f t="shared" si="0"/>
        <v>-9.3057579511750865E-2</v>
      </c>
    </row>
    <row r="10" spans="2:10" x14ac:dyDescent="0.25">
      <c r="B10" s="5" t="s">
        <v>5</v>
      </c>
      <c r="C10" s="5" t="s">
        <v>6</v>
      </c>
      <c r="D10" s="6">
        <v>192042820.09257099</v>
      </c>
      <c r="E10" s="2"/>
      <c r="F10" s="5" t="s">
        <v>5</v>
      </c>
      <c r="G10" s="5" t="s">
        <v>6</v>
      </c>
      <c r="H10" s="6">
        <v>174375995.44050899</v>
      </c>
      <c r="J10" s="7">
        <f t="shared" si="0"/>
        <v>-9.1994195063090589E-2</v>
      </c>
    </row>
    <row r="11" spans="2:10" x14ac:dyDescent="0.25">
      <c r="B11" s="5" t="s">
        <v>5</v>
      </c>
      <c r="C11" s="5" t="s">
        <v>16</v>
      </c>
      <c r="D11" s="6">
        <v>1913448877.08004</v>
      </c>
      <c r="E11" s="2"/>
      <c r="F11" s="5" t="s">
        <v>5</v>
      </c>
      <c r="G11" s="5" t="s">
        <v>16</v>
      </c>
      <c r="H11" s="6">
        <v>2031472738.4557199</v>
      </c>
      <c r="J11" s="7">
        <f t="shared" si="0"/>
        <v>6.1681220120072711E-2</v>
      </c>
    </row>
    <row r="12" spans="2:10" x14ac:dyDescent="0.25">
      <c r="B12" s="5" t="s">
        <v>5</v>
      </c>
      <c r="C12" s="5" t="s">
        <v>9</v>
      </c>
      <c r="D12" s="6">
        <v>43723638.927358501</v>
      </c>
      <c r="E12" s="2"/>
      <c r="F12" s="5" t="s">
        <v>5</v>
      </c>
      <c r="G12" s="5" t="s">
        <v>9</v>
      </c>
      <c r="H12" s="6">
        <v>53739990.4756134</v>
      </c>
      <c r="J12" s="7">
        <f t="shared" si="0"/>
        <v>0.22908320976888152</v>
      </c>
    </row>
    <row r="13" spans="2:10" x14ac:dyDescent="0.25">
      <c r="B13" s="5" t="s">
        <v>5</v>
      </c>
      <c r="C13" s="5" t="s">
        <v>13</v>
      </c>
      <c r="D13" s="6">
        <v>82264013.079999998</v>
      </c>
      <c r="E13" s="2"/>
      <c r="F13" s="5" t="s">
        <v>5</v>
      </c>
      <c r="G13" s="5" t="s">
        <v>13</v>
      </c>
      <c r="H13" s="6">
        <v>95082426.510000005</v>
      </c>
      <c r="J13" s="7">
        <f t="shared" si="0"/>
        <v>0.15582042438817534</v>
      </c>
    </row>
    <row r="14" spans="2:10" x14ac:dyDescent="0.25">
      <c r="B14" s="5" t="s">
        <v>5</v>
      </c>
      <c r="C14" s="5" t="s">
        <v>7</v>
      </c>
      <c r="D14" s="6">
        <v>26053778.710000001</v>
      </c>
      <c r="E14" s="2"/>
      <c r="F14" s="5" t="s">
        <v>5</v>
      </c>
      <c r="G14" s="5" t="s">
        <v>7</v>
      </c>
      <c r="H14" s="6">
        <v>58972267.259999998</v>
      </c>
      <c r="J14" s="7">
        <f t="shared" si="0"/>
        <v>1.2634823115836618</v>
      </c>
    </row>
    <row r="15" spans="2:10" x14ac:dyDescent="0.25">
      <c r="B15" s="5" t="s">
        <v>5</v>
      </c>
      <c r="C15" s="5" t="s">
        <v>8</v>
      </c>
      <c r="D15" s="6">
        <v>28487204.449999999</v>
      </c>
      <c r="E15" s="2"/>
      <c r="F15" s="5" t="s">
        <v>5</v>
      </c>
      <c r="G15" s="5" t="s">
        <v>8</v>
      </c>
      <c r="H15" s="6">
        <v>29224239.920000002</v>
      </c>
      <c r="J15" s="7">
        <f t="shared" si="0"/>
        <v>2.5872509578594327E-2</v>
      </c>
    </row>
    <row r="16" spans="2:10" x14ac:dyDescent="0.25">
      <c r="B16" s="5" t="s">
        <v>15</v>
      </c>
      <c r="C16" s="5" t="s">
        <v>4</v>
      </c>
      <c r="D16" s="6">
        <v>6824751237.2111797</v>
      </c>
      <c r="E16" s="2"/>
      <c r="F16" s="5" t="s">
        <v>15</v>
      </c>
      <c r="G16" s="5" t="s">
        <v>4</v>
      </c>
      <c r="H16" s="6">
        <v>6965451526.7824898</v>
      </c>
      <c r="J16" s="7">
        <f t="shared" si="0"/>
        <v>2.0616178477562253E-2</v>
      </c>
    </row>
    <row r="17" spans="2:10" x14ac:dyDescent="0.25">
      <c r="B17" s="5" t="s">
        <v>11</v>
      </c>
      <c r="C17" s="5" t="s">
        <v>11</v>
      </c>
      <c r="D17" s="6">
        <v>17351327.5429</v>
      </c>
      <c r="E17" s="2"/>
      <c r="F17" s="5" t="s">
        <v>11</v>
      </c>
      <c r="G17" s="5" t="s">
        <v>11</v>
      </c>
      <c r="H17" s="6">
        <v>24006368.0592</v>
      </c>
      <c r="J17" s="7">
        <f t="shared" si="0"/>
        <v>0.38354647503747796</v>
      </c>
    </row>
    <row r="18" spans="2:10" x14ac:dyDescent="0.25">
      <c r="B18" s="5" t="s">
        <v>3</v>
      </c>
      <c r="C18" s="5" t="s">
        <v>4</v>
      </c>
      <c r="D18" s="6">
        <v>14953027468.559099</v>
      </c>
      <c r="E18" s="2"/>
      <c r="F18" s="5" t="s">
        <v>3</v>
      </c>
      <c r="G18" s="5" t="s">
        <v>4</v>
      </c>
      <c r="H18" s="6">
        <v>15348605103.4256</v>
      </c>
      <c r="J18" s="7">
        <f t="shared" si="0"/>
        <v>2.6454685226671382E-2</v>
      </c>
    </row>
    <row r="19" spans="2:10" x14ac:dyDescent="0.25">
      <c r="B19" s="5" t="s">
        <v>14</v>
      </c>
      <c r="C19" s="5" t="s">
        <v>4</v>
      </c>
      <c r="D19" s="6">
        <v>540432174.85000002</v>
      </c>
      <c r="E19" s="2"/>
      <c r="F19" s="5" t="s">
        <v>14</v>
      </c>
      <c r="G19" s="5" t="s">
        <v>4</v>
      </c>
      <c r="H19" s="6">
        <v>399780971.74000001</v>
      </c>
      <c r="J19" s="7">
        <f t="shared" si="0"/>
        <v>-0.26025690115330113</v>
      </c>
    </row>
    <row r="20" spans="2:10" x14ac:dyDescent="0.25">
      <c r="B20" s="5" t="s">
        <v>18</v>
      </c>
      <c r="C20" s="5" t="s">
        <v>4</v>
      </c>
      <c r="D20" s="6">
        <v>384797724.63</v>
      </c>
      <c r="E20" s="2"/>
      <c r="F20" s="5" t="s">
        <v>18</v>
      </c>
      <c r="G20" s="5" t="s">
        <v>4</v>
      </c>
      <c r="H20" s="6">
        <v>346625000</v>
      </c>
      <c r="J20" s="7">
        <f t="shared" si="0"/>
        <v>-9.9202053927696099E-2</v>
      </c>
    </row>
    <row r="23" spans="2:10" x14ac:dyDescent="0.25">
      <c r="B23" s="3" t="s">
        <v>23</v>
      </c>
    </row>
    <row r="24" spans="2:10" x14ac:dyDescent="0.25">
      <c r="B24" s="4" t="s">
        <v>0</v>
      </c>
      <c r="C24" s="4" t="s">
        <v>1</v>
      </c>
      <c r="D24" s="4" t="s">
        <v>24</v>
      </c>
      <c r="F24" s="4" t="s">
        <v>0</v>
      </c>
      <c r="G24" s="4" t="s">
        <v>1</v>
      </c>
      <c r="H24" s="4" t="s">
        <v>24</v>
      </c>
      <c r="J24" s="4" t="s">
        <v>21</v>
      </c>
    </row>
    <row r="25" spans="2:10" x14ac:dyDescent="0.25">
      <c r="B25" s="5" t="s">
        <v>5</v>
      </c>
      <c r="C25" s="5" t="s">
        <v>12</v>
      </c>
      <c r="D25" s="5">
        <v>62</v>
      </c>
      <c r="F25" s="5" t="s">
        <v>5</v>
      </c>
      <c r="G25" s="5" t="s">
        <v>12</v>
      </c>
      <c r="H25" s="6">
        <v>68</v>
      </c>
      <c r="J25" s="7">
        <f>+H25/D25-1</f>
        <v>9.6774193548387011E-2</v>
      </c>
    </row>
    <row r="26" spans="2:10" x14ac:dyDescent="0.25">
      <c r="B26" s="5" t="s">
        <v>5</v>
      </c>
      <c r="C26" s="5" t="s">
        <v>10</v>
      </c>
      <c r="D26" s="5">
        <v>378</v>
      </c>
      <c r="F26" s="5" t="s">
        <v>5</v>
      </c>
      <c r="G26" s="5" t="s">
        <v>10</v>
      </c>
      <c r="H26" s="6">
        <v>533</v>
      </c>
      <c r="J26" s="7">
        <f t="shared" ref="J26:J38" si="1">+H26/D26-1</f>
        <v>0.41005291005291</v>
      </c>
    </row>
    <row r="27" spans="2:10" x14ac:dyDescent="0.25">
      <c r="B27" s="5" t="s">
        <v>5</v>
      </c>
      <c r="C27" s="5" t="s">
        <v>17</v>
      </c>
      <c r="D27" s="5">
        <v>1</v>
      </c>
      <c r="F27" s="5" t="s">
        <v>5</v>
      </c>
      <c r="G27" s="5" t="s">
        <v>17</v>
      </c>
      <c r="H27" s="6">
        <v>1</v>
      </c>
      <c r="J27" s="7">
        <f t="shared" si="1"/>
        <v>0</v>
      </c>
    </row>
    <row r="28" spans="2:10" x14ac:dyDescent="0.25">
      <c r="B28" s="5" t="s">
        <v>5</v>
      </c>
      <c r="C28" s="5" t="s">
        <v>17</v>
      </c>
      <c r="D28" s="5">
        <v>387</v>
      </c>
      <c r="F28" s="5" t="s">
        <v>5</v>
      </c>
      <c r="G28" s="5" t="s">
        <v>6</v>
      </c>
      <c r="H28" s="6">
        <v>283</v>
      </c>
      <c r="J28" s="7">
        <f t="shared" si="1"/>
        <v>-0.26873385012919893</v>
      </c>
    </row>
    <row r="29" spans="2:10" x14ac:dyDescent="0.25">
      <c r="B29" s="5" t="s">
        <v>5</v>
      </c>
      <c r="C29" s="5" t="s">
        <v>16</v>
      </c>
      <c r="D29" s="5">
        <v>11775</v>
      </c>
      <c r="F29" s="5" t="s">
        <v>5</v>
      </c>
      <c r="G29" s="5" t="s">
        <v>16</v>
      </c>
      <c r="H29" s="6">
        <v>12045</v>
      </c>
      <c r="J29" s="7">
        <f t="shared" si="1"/>
        <v>2.2929936305732479E-2</v>
      </c>
    </row>
    <row r="30" spans="2:10" x14ac:dyDescent="0.25">
      <c r="B30" s="5" t="s">
        <v>5</v>
      </c>
      <c r="C30" s="5" t="s">
        <v>9</v>
      </c>
      <c r="D30" s="5">
        <v>117</v>
      </c>
      <c r="F30" s="5" t="s">
        <v>5</v>
      </c>
      <c r="G30" s="5" t="s">
        <v>9</v>
      </c>
      <c r="H30" s="6">
        <v>127</v>
      </c>
      <c r="J30" s="7">
        <f t="shared" si="1"/>
        <v>8.5470085470085388E-2</v>
      </c>
    </row>
    <row r="31" spans="2:10" x14ac:dyDescent="0.25">
      <c r="B31" s="5" t="s">
        <v>5</v>
      </c>
      <c r="C31" s="5" t="s">
        <v>13</v>
      </c>
      <c r="D31" s="5">
        <v>2369</v>
      </c>
      <c r="F31" s="5" t="s">
        <v>5</v>
      </c>
      <c r="G31" s="5" t="s">
        <v>13</v>
      </c>
      <c r="H31" s="6">
        <v>2809</v>
      </c>
      <c r="J31" s="7">
        <f t="shared" si="1"/>
        <v>0.18573237653018149</v>
      </c>
    </row>
    <row r="32" spans="2:10" x14ac:dyDescent="0.25">
      <c r="B32" s="5" t="s">
        <v>5</v>
      </c>
      <c r="C32" s="5" t="s">
        <v>7</v>
      </c>
      <c r="D32" s="5">
        <v>351</v>
      </c>
      <c r="F32" s="5" t="s">
        <v>5</v>
      </c>
      <c r="G32" s="5" t="s">
        <v>7</v>
      </c>
      <c r="H32" s="6">
        <v>1789</v>
      </c>
      <c r="J32" s="7">
        <f t="shared" si="1"/>
        <v>4.0968660968660968</v>
      </c>
    </row>
    <row r="33" spans="2:10" x14ac:dyDescent="0.25">
      <c r="B33" s="5" t="s">
        <v>5</v>
      </c>
      <c r="C33" s="5" t="s">
        <v>8</v>
      </c>
      <c r="D33" s="5">
        <v>718</v>
      </c>
      <c r="F33" s="5" t="s">
        <v>5</v>
      </c>
      <c r="G33" s="5" t="s">
        <v>8</v>
      </c>
      <c r="H33" s="6">
        <v>1453</v>
      </c>
      <c r="J33" s="7">
        <f t="shared" si="1"/>
        <v>1.0236768802228413</v>
      </c>
    </row>
    <row r="34" spans="2:10" x14ac:dyDescent="0.25">
      <c r="B34" s="5" t="s">
        <v>15</v>
      </c>
      <c r="C34" s="5" t="s">
        <v>4</v>
      </c>
      <c r="D34" s="5">
        <v>73612</v>
      </c>
      <c r="F34" s="5" t="s">
        <v>15</v>
      </c>
      <c r="G34" s="5" t="s">
        <v>4</v>
      </c>
      <c r="H34" s="6">
        <v>75793</v>
      </c>
      <c r="J34" s="7">
        <f t="shared" si="1"/>
        <v>2.9628321469325591E-2</v>
      </c>
    </row>
    <row r="35" spans="2:10" x14ac:dyDescent="0.25">
      <c r="B35" s="5" t="s">
        <v>11</v>
      </c>
      <c r="C35" s="5" t="s">
        <v>11</v>
      </c>
      <c r="D35" s="5">
        <v>13</v>
      </c>
      <c r="F35" s="5" t="s">
        <v>11</v>
      </c>
      <c r="G35" s="5" t="s">
        <v>11</v>
      </c>
      <c r="H35" s="6">
        <v>15</v>
      </c>
      <c r="J35" s="7">
        <f t="shared" si="1"/>
        <v>0.15384615384615374</v>
      </c>
    </row>
    <row r="36" spans="2:10" x14ac:dyDescent="0.25">
      <c r="B36" s="5" t="s">
        <v>3</v>
      </c>
      <c r="C36" s="5" t="s">
        <v>4</v>
      </c>
      <c r="D36" s="5">
        <v>434320</v>
      </c>
      <c r="F36" s="5" t="s">
        <v>3</v>
      </c>
      <c r="G36" s="5" t="s">
        <v>4</v>
      </c>
      <c r="H36" s="6">
        <v>397042</v>
      </c>
      <c r="J36" s="7">
        <f t="shared" si="1"/>
        <v>-8.5830723890219174E-2</v>
      </c>
    </row>
    <row r="37" spans="2:10" x14ac:dyDescent="0.25">
      <c r="B37" s="5" t="s">
        <v>14</v>
      </c>
      <c r="C37" s="5" t="s">
        <v>4</v>
      </c>
      <c r="D37" s="5">
        <v>13010</v>
      </c>
      <c r="F37" s="5" t="s">
        <v>14</v>
      </c>
      <c r="G37" s="5" t="s">
        <v>4</v>
      </c>
      <c r="H37" s="6">
        <v>11650</v>
      </c>
      <c r="J37" s="7">
        <f t="shared" si="1"/>
        <v>-0.10453497309761717</v>
      </c>
    </row>
    <row r="38" spans="2:10" x14ac:dyDescent="0.25">
      <c r="B38" s="5" t="s">
        <v>18</v>
      </c>
      <c r="C38" s="5" t="s">
        <v>4</v>
      </c>
      <c r="D38" s="5">
        <v>12328</v>
      </c>
      <c r="F38" s="5" t="s">
        <v>18</v>
      </c>
      <c r="G38" s="5" t="s">
        <v>4</v>
      </c>
      <c r="H38" s="6">
        <v>9310</v>
      </c>
      <c r="J38" s="7">
        <f t="shared" si="1"/>
        <v>-0.2448085658663206</v>
      </c>
    </row>
    <row r="41" spans="2:10" x14ac:dyDescent="0.25">
      <c r="B41" s="3" t="s">
        <v>25</v>
      </c>
    </row>
    <row r="43" spans="2:10" x14ac:dyDescent="0.25">
      <c r="B43" s="4" t="s">
        <v>26</v>
      </c>
      <c r="C43" s="4" t="s">
        <v>27</v>
      </c>
      <c r="D43" s="4" t="s">
        <v>24</v>
      </c>
      <c r="F43" s="4" t="s">
        <v>26</v>
      </c>
      <c r="G43" s="4" t="s">
        <v>27</v>
      </c>
      <c r="H43" s="4" t="s">
        <v>24</v>
      </c>
      <c r="J43" s="4" t="s">
        <v>21</v>
      </c>
    </row>
    <row r="44" spans="2:10" x14ac:dyDescent="0.25">
      <c r="B44" s="5" t="s">
        <v>28</v>
      </c>
      <c r="C44" s="5" t="s">
        <v>45</v>
      </c>
      <c r="D44" s="5">
        <v>18</v>
      </c>
      <c r="F44" s="5" t="s">
        <v>28</v>
      </c>
      <c r="G44" s="5" t="s">
        <v>45</v>
      </c>
      <c r="H44" s="5">
        <v>18</v>
      </c>
      <c r="I44" s="1" t="b">
        <f>G44=C44</f>
        <v>1</v>
      </c>
      <c r="J44" s="7">
        <f>+H44/D44-1</f>
        <v>0</v>
      </c>
    </row>
    <row r="45" spans="2:10" x14ac:dyDescent="0.25">
      <c r="B45" s="5" t="s">
        <v>28</v>
      </c>
      <c r="C45" s="5" t="s">
        <v>31</v>
      </c>
      <c r="D45" s="5">
        <v>6</v>
      </c>
      <c r="F45" s="5" t="s">
        <v>28</v>
      </c>
      <c r="G45" s="5" t="s">
        <v>31</v>
      </c>
      <c r="H45" s="5">
        <v>5</v>
      </c>
      <c r="I45" s="1" t="b">
        <f>G45=C45</f>
        <v>1</v>
      </c>
      <c r="J45" s="7">
        <f t="shared" ref="J45:J86" si="2">+H45/D45-1</f>
        <v>-0.16666666666666663</v>
      </c>
    </row>
    <row r="46" spans="2:10" x14ac:dyDescent="0.25">
      <c r="B46" s="5" t="s">
        <v>28</v>
      </c>
      <c r="C46" s="5" t="s">
        <v>41</v>
      </c>
      <c r="D46" s="5">
        <v>37</v>
      </c>
      <c r="F46" s="5" t="s">
        <v>28</v>
      </c>
      <c r="G46" s="5" t="s">
        <v>41</v>
      </c>
      <c r="H46" s="5">
        <v>48</v>
      </c>
      <c r="I46" s="1" t="b">
        <f t="shared" ref="I46:I86" si="3">G46=C46</f>
        <v>1</v>
      </c>
      <c r="J46" s="7">
        <f t="shared" si="2"/>
        <v>0.29729729729729737</v>
      </c>
    </row>
    <row r="47" spans="2:10" x14ac:dyDescent="0.25">
      <c r="B47" s="5" t="s">
        <v>28</v>
      </c>
      <c r="C47" s="5" t="s">
        <v>33</v>
      </c>
      <c r="D47" s="5">
        <v>35</v>
      </c>
      <c r="F47" s="5" t="s">
        <v>28</v>
      </c>
      <c r="G47" s="5" t="s">
        <v>33</v>
      </c>
      <c r="H47" s="5">
        <v>35</v>
      </c>
      <c r="I47" s="1" t="b">
        <f t="shared" si="3"/>
        <v>1</v>
      </c>
      <c r="J47" s="7">
        <f t="shared" si="2"/>
        <v>0</v>
      </c>
    </row>
    <row r="48" spans="2:10" x14ac:dyDescent="0.25">
      <c r="B48" s="5" t="s">
        <v>28</v>
      </c>
      <c r="C48" s="5" t="s">
        <v>55</v>
      </c>
      <c r="D48" s="5">
        <v>1</v>
      </c>
      <c r="F48" s="5"/>
      <c r="G48" s="5"/>
      <c r="H48" s="6"/>
      <c r="I48" s="1" t="b">
        <f t="shared" si="3"/>
        <v>0</v>
      </c>
      <c r="J48" s="7">
        <f t="shared" si="2"/>
        <v>-1</v>
      </c>
    </row>
    <row r="49" spans="2:10" x14ac:dyDescent="0.25">
      <c r="B49" s="5" t="s">
        <v>28</v>
      </c>
      <c r="C49" s="5" t="s">
        <v>49</v>
      </c>
      <c r="D49" s="5">
        <v>1</v>
      </c>
      <c r="F49" s="5" t="s">
        <v>28</v>
      </c>
      <c r="G49" s="5" t="s">
        <v>49</v>
      </c>
      <c r="H49" s="5">
        <v>1</v>
      </c>
      <c r="I49" s="1" t="b">
        <f t="shared" si="3"/>
        <v>1</v>
      </c>
      <c r="J49" s="7">
        <f>+H50/D49-1</f>
        <v>0</v>
      </c>
    </row>
    <row r="50" spans="2:10" x14ac:dyDescent="0.25">
      <c r="B50" s="5" t="s">
        <v>28</v>
      </c>
      <c r="C50" s="5" t="s">
        <v>52</v>
      </c>
      <c r="D50" s="5">
        <v>1</v>
      </c>
      <c r="F50" s="5" t="s">
        <v>28</v>
      </c>
      <c r="G50" s="5" t="s">
        <v>52</v>
      </c>
      <c r="H50" s="5">
        <v>1</v>
      </c>
      <c r="I50" s="1" t="b">
        <f t="shared" si="3"/>
        <v>1</v>
      </c>
      <c r="J50" s="7">
        <f>+H51/D50-1</f>
        <v>15</v>
      </c>
    </row>
    <row r="51" spans="2:10" x14ac:dyDescent="0.25">
      <c r="B51" s="5" t="s">
        <v>28</v>
      </c>
      <c r="C51" s="5" t="s">
        <v>47</v>
      </c>
      <c r="D51" s="5">
        <v>15</v>
      </c>
      <c r="F51" s="5" t="s">
        <v>28</v>
      </c>
      <c r="G51" s="5" t="s">
        <v>47</v>
      </c>
      <c r="H51" s="5">
        <v>16</v>
      </c>
      <c r="I51" s="1" t="b">
        <f t="shared" si="3"/>
        <v>1</v>
      </c>
      <c r="J51" s="7">
        <f>+H52/D51-1</f>
        <v>11.8</v>
      </c>
    </row>
    <row r="52" spans="2:10" x14ac:dyDescent="0.25">
      <c r="B52" s="5" t="s">
        <v>28</v>
      </c>
      <c r="C52" s="5" t="s">
        <v>29</v>
      </c>
      <c r="D52" s="5">
        <v>187</v>
      </c>
      <c r="F52" s="5" t="s">
        <v>28</v>
      </c>
      <c r="G52" s="5" t="s">
        <v>29</v>
      </c>
      <c r="H52" s="5">
        <v>192</v>
      </c>
      <c r="I52" s="1" t="b">
        <f t="shared" si="3"/>
        <v>1</v>
      </c>
      <c r="J52" s="7">
        <f>+H53/D52-1</f>
        <v>0.17112299465240643</v>
      </c>
    </row>
    <row r="53" spans="2:10" x14ac:dyDescent="0.25">
      <c r="B53" s="5" t="s">
        <v>28</v>
      </c>
      <c r="C53" s="5" t="s">
        <v>37</v>
      </c>
      <c r="D53" s="5">
        <v>227</v>
      </c>
      <c r="F53" s="5" t="s">
        <v>28</v>
      </c>
      <c r="G53" s="5" t="s">
        <v>37</v>
      </c>
      <c r="H53" s="5">
        <v>219</v>
      </c>
      <c r="I53" s="1" t="b">
        <f t="shared" si="3"/>
        <v>1</v>
      </c>
      <c r="J53" s="7">
        <f>+H54/D53-1</f>
        <v>7.2731277533039655</v>
      </c>
    </row>
    <row r="54" spans="2:10" x14ac:dyDescent="0.25">
      <c r="B54" s="5" t="s">
        <v>28</v>
      </c>
      <c r="C54" s="5" t="s">
        <v>39</v>
      </c>
      <c r="D54" s="5">
        <v>1632</v>
      </c>
      <c r="F54" s="5" t="s">
        <v>28</v>
      </c>
      <c r="G54" s="5" t="s">
        <v>39</v>
      </c>
      <c r="H54" s="5">
        <v>1878</v>
      </c>
      <c r="I54" s="1" t="b">
        <f t="shared" si="3"/>
        <v>1</v>
      </c>
      <c r="J54" s="7">
        <f>+H55/D54-1</f>
        <v>-0.99877450980392157</v>
      </c>
    </row>
    <row r="55" spans="2:10" x14ac:dyDescent="0.25">
      <c r="B55" s="5" t="s">
        <v>28</v>
      </c>
      <c r="C55" s="5" t="s">
        <v>38</v>
      </c>
      <c r="D55" s="5">
        <v>1</v>
      </c>
      <c r="F55" s="5" t="s">
        <v>28</v>
      </c>
      <c r="G55" s="5" t="s">
        <v>38</v>
      </c>
      <c r="H55" s="5">
        <v>2</v>
      </c>
      <c r="I55" s="1" t="b">
        <f t="shared" si="3"/>
        <v>1</v>
      </c>
      <c r="J55" s="7">
        <f>+H56/D55-1</f>
        <v>2</v>
      </c>
    </row>
    <row r="56" spans="2:10" x14ac:dyDescent="0.25">
      <c r="B56" s="5" t="s">
        <v>28</v>
      </c>
      <c r="C56" s="5" t="s">
        <v>50</v>
      </c>
      <c r="D56" s="5">
        <v>3</v>
      </c>
      <c r="F56" s="5" t="s">
        <v>28</v>
      </c>
      <c r="G56" s="5" t="s">
        <v>50</v>
      </c>
      <c r="H56" s="5">
        <v>3</v>
      </c>
      <c r="I56" s="1" t="b">
        <f t="shared" si="3"/>
        <v>1</v>
      </c>
      <c r="J56" s="7">
        <f>+H57/D56-1</f>
        <v>-0.66666666666666674</v>
      </c>
    </row>
    <row r="57" spans="2:10" x14ac:dyDescent="0.25">
      <c r="B57" s="5" t="s">
        <v>32</v>
      </c>
      <c r="C57" s="5" t="s">
        <v>33</v>
      </c>
      <c r="D57" s="5">
        <v>2</v>
      </c>
      <c r="F57" s="5" t="s">
        <v>32</v>
      </c>
      <c r="G57" s="5" t="s">
        <v>41</v>
      </c>
      <c r="H57" s="5">
        <v>1</v>
      </c>
      <c r="I57" s="1" t="b">
        <f t="shared" si="3"/>
        <v>0</v>
      </c>
      <c r="J57" s="7">
        <f>+H58/D57-1</f>
        <v>0</v>
      </c>
    </row>
    <row r="58" spans="2:10" x14ac:dyDescent="0.25">
      <c r="B58" s="5"/>
      <c r="C58" s="5"/>
      <c r="D58" s="5"/>
      <c r="F58" s="5" t="s">
        <v>32</v>
      </c>
      <c r="G58" s="5" t="s">
        <v>33</v>
      </c>
      <c r="H58" s="5">
        <v>2</v>
      </c>
      <c r="I58" s="1" t="b">
        <f t="shared" si="3"/>
        <v>0</v>
      </c>
      <c r="J58" s="7">
        <f>+H59/D59-1</f>
        <v>0</v>
      </c>
    </row>
    <row r="59" spans="2:10" x14ac:dyDescent="0.25">
      <c r="B59" s="5" t="s">
        <v>32</v>
      </c>
      <c r="C59" s="5" t="s">
        <v>52</v>
      </c>
      <c r="D59" s="5">
        <v>1</v>
      </c>
      <c r="F59" s="5" t="s">
        <v>32</v>
      </c>
      <c r="G59" s="5" t="s">
        <v>52</v>
      </c>
      <c r="H59" s="5">
        <v>1</v>
      </c>
      <c r="I59" s="1" t="b">
        <f t="shared" si="3"/>
        <v>1</v>
      </c>
      <c r="J59" s="7">
        <f>+H60/D60-1</f>
        <v>0.33333333333333326</v>
      </c>
    </row>
    <row r="60" spans="2:10" x14ac:dyDescent="0.25">
      <c r="B60" s="5" t="s">
        <v>32</v>
      </c>
      <c r="C60" s="5" t="s">
        <v>47</v>
      </c>
      <c r="D60" s="5">
        <v>3</v>
      </c>
      <c r="F60" s="5" t="s">
        <v>32</v>
      </c>
      <c r="G60" s="5" t="s">
        <v>47</v>
      </c>
      <c r="H60" s="5">
        <v>4</v>
      </c>
      <c r="I60" s="1" t="b">
        <f t="shared" si="3"/>
        <v>1</v>
      </c>
      <c r="J60" s="7">
        <f>+H61/D61-1</f>
        <v>0</v>
      </c>
    </row>
    <row r="61" spans="2:10" x14ac:dyDescent="0.25">
      <c r="B61" s="5" t="s">
        <v>32</v>
      </c>
      <c r="C61" s="5" t="s">
        <v>29</v>
      </c>
      <c r="D61" s="5">
        <v>21</v>
      </c>
      <c r="F61" s="5" t="s">
        <v>32</v>
      </c>
      <c r="G61" s="5" t="s">
        <v>29</v>
      </c>
      <c r="H61" s="5">
        <v>21</v>
      </c>
      <c r="I61" s="1" t="b">
        <f t="shared" si="3"/>
        <v>1</v>
      </c>
      <c r="J61" s="7">
        <f>+H62/D62-1</f>
        <v>-0.11111111111111116</v>
      </c>
    </row>
    <row r="62" spans="2:10" x14ac:dyDescent="0.25">
      <c r="B62" s="5" t="s">
        <v>32</v>
      </c>
      <c r="C62" s="5" t="s">
        <v>37</v>
      </c>
      <c r="D62" s="5">
        <v>9</v>
      </c>
      <c r="F62" s="5" t="s">
        <v>32</v>
      </c>
      <c r="G62" s="5" t="s">
        <v>37</v>
      </c>
      <c r="H62" s="5">
        <v>8</v>
      </c>
      <c r="I62" s="1" t="b">
        <f t="shared" si="3"/>
        <v>1</v>
      </c>
      <c r="J62" s="7">
        <f>+H63/D63-1</f>
        <v>1.3287671232876712</v>
      </c>
    </row>
    <row r="63" spans="2:10" x14ac:dyDescent="0.25">
      <c r="B63" s="5" t="s">
        <v>32</v>
      </c>
      <c r="C63" s="5" t="s">
        <v>39</v>
      </c>
      <c r="D63" s="5">
        <v>73</v>
      </c>
      <c r="F63" s="5" t="s">
        <v>32</v>
      </c>
      <c r="G63" s="5" t="s">
        <v>39</v>
      </c>
      <c r="H63" s="5">
        <v>170</v>
      </c>
      <c r="I63" s="1" t="b">
        <f t="shared" si="3"/>
        <v>1</v>
      </c>
      <c r="J63" s="7">
        <f>+H64/D64-1</f>
        <v>0</v>
      </c>
    </row>
    <row r="64" spans="2:10" x14ac:dyDescent="0.25">
      <c r="B64" s="5" t="s">
        <v>32</v>
      </c>
      <c r="C64" s="5" t="s">
        <v>38</v>
      </c>
      <c r="D64" s="5">
        <v>1</v>
      </c>
      <c r="F64" s="5" t="s">
        <v>32</v>
      </c>
      <c r="G64" s="5" t="s">
        <v>38</v>
      </c>
      <c r="H64" s="5">
        <v>1</v>
      </c>
      <c r="I64" s="1" t="b">
        <f t="shared" si="3"/>
        <v>1</v>
      </c>
      <c r="J64" s="7">
        <f>+H65/D65-1</f>
        <v>0</v>
      </c>
    </row>
    <row r="65" spans="2:10" x14ac:dyDescent="0.25">
      <c r="B65" s="5" t="s">
        <v>40</v>
      </c>
      <c r="C65" s="5" t="s">
        <v>47</v>
      </c>
      <c r="D65" s="5">
        <v>1</v>
      </c>
      <c r="F65" s="5" t="s">
        <v>40</v>
      </c>
      <c r="G65" s="5" t="s">
        <v>47</v>
      </c>
      <c r="H65" s="5">
        <v>1</v>
      </c>
      <c r="I65" s="1" t="b">
        <f t="shared" si="3"/>
        <v>1</v>
      </c>
      <c r="J65" s="7">
        <f>+H66/D66-1</f>
        <v>0.33333333333333326</v>
      </c>
    </row>
    <row r="66" spans="2:10" x14ac:dyDescent="0.25">
      <c r="B66" s="5" t="s">
        <v>40</v>
      </c>
      <c r="C66" s="5" t="s">
        <v>29</v>
      </c>
      <c r="D66" s="5">
        <v>3</v>
      </c>
      <c r="F66" s="5" t="s">
        <v>40</v>
      </c>
      <c r="G66" s="5" t="s">
        <v>29</v>
      </c>
      <c r="H66" s="5">
        <v>4</v>
      </c>
      <c r="I66" s="1" t="b">
        <f t="shared" si="3"/>
        <v>1</v>
      </c>
      <c r="J66" s="7">
        <f>+H67/D67-1</f>
        <v>1.6333333333333333</v>
      </c>
    </row>
    <row r="67" spans="2:10" x14ac:dyDescent="0.25">
      <c r="B67" s="5" t="s">
        <v>40</v>
      </c>
      <c r="C67" s="5" t="s">
        <v>39</v>
      </c>
      <c r="D67" s="5">
        <v>30</v>
      </c>
      <c r="F67" s="5" t="s">
        <v>40</v>
      </c>
      <c r="G67" s="5" t="s">
        <v>39</v>
      </c>
      <c r="H67" s="5">
        <v>79</v>
      </c>
      <c r="I67" s="1" t="b">
        <f t="shared" si="3"/>
        <v>1</v>
      </c>
      <c r="J67" s="7">
        <f>+H68/D68-1</f>
        <v>0</v>
      </c>
    </row>
    <row r="68" spans="2:10" x14ac:dyDescent="0.25">
      <c r="B68" s="5" t="s">
        <v>40</v>
      </c>
      <c r="C68" s="5" t="s">
        <v>38</v>
      </c>
      <c r="D68" s="5">
        <v>1</v>
      </c>
      <c r="F68" s="5" t="s">
        <v>40</v>
      </c>
      <c r="G68" s="5" t="s">
        <v>38</v>
      </c>
      <c r="H68" s="5">
        <v>1</v>
      </c>
      <c r="I68" s="1" t="b">
        <f t="shared" si="3"/>
        <v>1</v>
      </c>
      <c r="J68" s="7">
        <f>+H69/D69-1</f>
        <v>0</v>
      </c>
    </row>
    <row r="69" spans="2:10" x14ac:dyDescent="0.25">
      <c r="B69" s="5" t="s">
        <v>34</v>
      </c>
      <c r="C69" s="5" t="s">
        <v>31</v>
      </c>
      <c r="D69" s="5">
        <v>1</v>
      </c>
      <c r="F69" s="5" t="s">
        <v>34</v>
      </c>
      <c r="G69" s="5" t="s">
        <v>31</v>
      </c>
      <c r="H69" s="5">
        <v>1</v>
      </c>
      <c r="I69" s="1" t="b">
        <f t="shared" si="3"/>
        <v>1</v>
      </c>
      <c r="J69" s="7">
        <f>+H70/D70-1</f>
        <v>6.333333333333333</v>
      </c>
    </row>
    <row r="70" spans="2:10" x14ac:dyDescent="0.25">
      <c r="B70" s="5" t="s">
        <v>34</v>
      </c>
      <c r="C70" s="5" t="s">
        <v>41</v>
      </c>
      <c r="D70" s="5">
        <v>3</v>
      </c>
      <c r="F70" s="5" t="s">
        <v>34</v>
      </c>
      <c r="G70" s="5" t="s">
        <v>41</v>
      </c>
      <c r="H70" s="5">
        <v>22</v>
      </c>
      <c r="I70" s="1" t="b">
        <f t="shared" si="3"/>
        <v>1</v>
      </c>
      <c r="J70" s="7">
        <f>+H71/D71-1</f>
        <v>1</v>
      </c>
    </row>
    <row r="71" spans="2:10" x14ac:dyDescent="0.25">
      <c r="B71" s="5" t="s">
        <v>34</v>
      </c>
      <c r="C71" s="5" t="s">
        <v>33</v>
      </c>
      <c r="D71" s="5">
        <v>1</v>
      </c>
      <c r="F71" s="5" t="s">
        <v>34</v>
      </c>
      <c r="G71" s="5" t="s">
        <v>33</v>
      </c>
      <c r="H71" s="5">
        <v>2</v>
      </c>
      <c r="I71" s="1" t="b">
        <f t="shared" si="3"/>
        <v>1</v>
      </c>
      <c r="J71" s="7">
        <f>+H72/D72-1</f>
        <v>2</v>
      </c>
    </row>
    <row r="72" spans="2:10" x14ac:dyDescent="0.25">
      <c r="B72" s="5" t="s">
        <v>34</v>
      </c>
      <c r="C72" s="5" t="s">
        <v>47</v>
      </c>
      <c r="D72" s="5">
        <v>2</v>
      </c>
      <c r="F72" s="5" t="s">
        <v>34</v>
      </c>
      <c r="G72" s="5" t="s">
        <v>47</v>
      </c>
      <c r="H72" s="5">
        <v>6</v>
      </c>
      <c r="I72" s="1" t="b">
        <f t="shared" si="3"/>
        <v>1</v>
      </c>
      <c r="J72" s="7">
        <f>+H73/D73-1</f>
        <v>0.11267605633802824</v>
      </c>
    </row>
    <row r="73" spans="2:10" x14ac:dyDescent="0.25">
      <c r="B73" s="5" t="s">
        <v>34</v>
      </c>
      <c r="C73" s="5" t="s">
        <v>29</v>
      </c>
      <c r="D73" s="5">
        <v>71</v>
      </c>
      <c r="F73" s="5" t="s">
        <v>34</v>
      </c>
      <c r="G73" s="5" t="s">
        <v>29</v>
      </c>
      <c r="H73" s="5">
        <v>79</v>
      </c>
      <c r="I73" s="1" t="b">
        <f t="shared" si="3"/>
        <v>1</v>
      </c>
      <c r="J73" s="7">
        <f>+H74/D74-1</f>
        <v>0.22580645161290325</v>
      </c>
    </row>
    <row r="74" spans="2:10" x14ac:dyDescent="0.25">
      <c r="B74" s="5" t="s">
        <v>34</v>
      </c>
      <c r="C74" s="5" t="s">
        <v>37</v>
      </c>
      <c r="D74" s="5">
        <v>31</v>
      </c>
      <c r="F74" s="5" t="s">
        <v>34</v>
      </c>
      <c r="G74" s="5" t="s">
        <v>37</v>
      </c>
      <c r="H74" s="5">
        <v>38</v>
      </c>
      <c r="I74" s="1" t="b">
        <f t="shared" si="3"/>
        <v>1</v>
      </c>
      <c r="J74" s="7">
        <f>+H75/D75-1</f>
        <v>1.0369127516778525</v>
      </c>
    </row>
    <row r="75" spans="2:10" x14ac:dyDescent="0.25">
      <c r="B75" s="5" t="s">
        <v>34</v>
      </c>
      <c r="C75" s="5" t="s">
        <v>39</v>
      </c>
      <c r="D75" s="5">
        <v>298</v>
      </c>
      <c r="F75" s="5" t="s">
        <v>34</v>
      </c>
      <c r="G75" s="5" t="s">
        <v>39</v>
      </c>
      <c r="H75" s="5">
        <v>607</v>
      </c>
      <c r="I75" s="1" t="b">
        <f t="shared" si="3"/>
        <v>1</v>
      </c>
      <c r="J75" s="7">
        <f>+H76/D76-1</f>
        <v>0.19999999999999996</v>
      </c>
    </row>
    <row r="76" spans="2:10" x14ac:dyDescent="0.25">
      <c r="B76" s="5" t="s">
        <v>35</v>
      </c>
      <c r="C76" s="5" t="s">
        <v>54</v>
      </c>
      <c r="D76" s="5">
        <v>5</v>
      </c>
      <c r="F76" s="5" t="s">
        <v>35</v>
      </c>
      <c r="G76" s="5" t="s">
        <v>54</v>
      </c>
      <c r="H76" s="5">
        <v>6</v>
      </c>
      <c r="I76" s="1" t="b">
        <f t="shared" si="3"/>
        <v>1</v>
      </c>
      <c r="J76" s="7">
        <f>+H77/D77-1</f>
        <v>0</v>
      </c>
    </row>
    <row r="77" spans="2:10" x14ac:dyDescent="0.25">
      <c r="B77" s="5" t="s">
        <v>35</v>
      </c>
      <c r="C77" s="5" t="s">
        <v>42</v>
      </c>
      <c r="D77" s="5">
        <v>59</v>
      </c>
      <c r="F77" s="5" t="s">
        <v>35</v>
      </c>
      <c r="G77" s="5" t="s">
        <v>42</v>
      </c>
      <c r="H77" s="5">
        <v>59</v>
      </c>
      <c r="I77" s="1" t="b">
        <f t="shared" si="3"/>
        <v>1</v>
      </c>
      <c r="J77" s="7">
        <f>+H78/D78-1</f>
        <v>-9.0909090909090939E-2</v>
      </c>
    </row>
    <row r="78" spans="2:10" x14ac:dyDescent="0.25">
      <c r="B78" s="5" t="s">
        <v>35</v>
      </c>
      <c r="C78" s="5" t="s">
        <v>48</v>
      </c>
      <c r="D78" s="5">
        <v>11</v>
      </c>
      <c r="F78" s="5" t="s">
        <v>35</v>
      </c>
      <c r="G78" s="5" t="s">
        <v>48</v>
      </c>
      <c r="H78" s="5">
        <v>10</v>
      </c>
      <c r="I78" s="1" t="b">
        <f t="shared" si="3"/>
        <v>1</v>
      </c>
      <c r="J78" s="7">
        <f>+H79/D79-1</f>
        <v>0.125</v>
      </c>
    </row>
    <row r="79" spans="2:10" x14ac:dyDescent="0.25">
      <c r="B79" s="5" t="s">
        <v>35</v>
      </c>
      <c r="C79" s="5" t="s">
        <v>43</v>
      </c>
      <c r="D79" s="5">
        <v>8</v>
      </c>
      <c r="F79" s="5" t="s">
        <v>35</v>
      </c>
      <c r="G79" s="5" t="s">
        <v>43</v>
      </c>
      <c r="H79" s="5">
        <v>9</v>
      </c>
      <c r="I79" s="1" t="b">
        <f t="shared" si="3"/>
        <v>1</v>
      </c>
      <c r="J79" s="7">
        <f>+H80/D80-1</f>
        <v>0</v>
      </c>
    </row>
    <row r="80" spans="2:10" x14ac:dyDescent="0.25">
      <c r="B80" s="5" t="s">
        <v>35</v>
      </c>
      <c r="C80" s="5" t="s">
        <v>36</v>
      </c>
      <c r="D80" s="5">
        <v>3</v>
      </c>
      <c r="F80" s="5" t="s">
        <v>35</v>
      </c>
      <c r="G80" s="5" t="s">
        <v>36</v>
      </c>
      <c r="H80" s="5">
        <v>3</v>
      </c>
      <c r="I80" s="1" t="b">
        <f t="shared" si="3"/>
        <v>1</v>
      </c>
      <c r="J80" s="7">
        <f>+H81/D81-1</f>
        <v>-0.72586647209047794</v>
      </c>
    </row>
    <row r="81" spans="2:10" x14ac:dyDescent="0.25">
      <c r="B81" s="5" t="s">
        <v>46</v>
      </c>
      <c r="C81" s="5" t="s">
        <v>46</v>
      </c>
      <c r="D81" s="5">
        <v>13705</v>
      </c>
      <c r="F81" s="5" t="s">
        <v>46</v>
      </c>
      <c r="G81" s="5" t="s">
        <v>46</v>
      </c>
      <c r="H81" s="5">
        <v>3757</v>
      </c>
      <c r="I81" s="1" t="b">
        <f t="shared" si="3"/>
        <v>1</v>
      </c>
      <c r="J81" s="7">
        <f>+H82/D82-1</f>
        <v>0</v>
      </c>
    </row>
    <row r="82" spans="2:10" x14ac:dyDescent="0.25">
      <c r="B82" s="5" t="s">
        <v>11</v>
      </c>
      <c r="C82" s="5" t="s">
        <v>30</v>
      </c>
      <c r="D82" s="5">
        <v>3</v>
      </c>
      <c r="F82" s="5" t="s">
        <v>11</v>
      </c>
      <c r="G82" s="5" t="s">
        <v>30</v>
      </c>
      <c r="H82" s="5">
        <v>3</v>
      </c>
      <c r="I82" s="1" t="b">
        <f t="shared" si="3"/>
        <v>1</v>
      </c>
      <c r="J82" s="7">
        <f>+H83/D83-1</f>
        <v>0</v>
      </c>
    </row>
    <row r="83" spans="2:10" x14ac:dyDescent="0.25">
      <c r="B83" s="5" t="s">
        <v>11</v>
      </c>
      <c r="C83" s="5" t="s">
        <v>53</v>
      </c>
      <c r="D83" s="5">
        <v>2</v>
      </c>
      <c r="F83" s="5" t="s">
        <v>11</v>
      </c>
      <c r="G83" s="5" t="s">
        <v>53</v>
      </c>
      <c r="H83" s="5">
        <v>2</v>
      </c>
      <c r="I83" s="1" t="b">
        <f t="shared" si="3"/>
        <v>1</v>
      </c>
      <c r="J83" s="7">
        <f>+H84/D84-1</f>
        <v>-0.20588235294117652</v>
      </c>
    </row>
    <row r="84" spans="2:10" x14ac:dyDescent="0.25">
      <c r="B84" s="5" t="s">
        <v>11</v>
      </c>
      <c r="C84" s="5" t="s">
        <v>51</v>
      </c>
      <c r="D84" s="5">
        <v>34</v>
      </c>
      <c r="F84" s="5" t="s">
        <v>11</v>
      </c>
      <c r="G84" s="5" t="s">
        <v>51</v>
      </c>
      <c r="H84" s="5">
        <v>27</v>
      </c>
      <c r="I84" s="1" t="b">
        <f t="shared" si="3"/>
        <v>1</v>
      </c>
      <c r="J84" s="7">
        <f>+H85/D85-1</f>
        <v>0</v>
      </c>
    </row>
    <row r="85" spans="2:10" x14ac:dyDescent="0.25">
      <c r="B85" s="5" t="s">
        <v>11</v>
      </c>
      <c r="C85" s="5" t="s">
        <v>44</v>
      </c>
      <c r="D85" s="5">
        <v>20</v>
      </c>
      <c r="F85" s="5" t="s">
        <v>11</v>
      </c>
      <c r="G85" s="5" t="s">
        <v>44</v>
      </c>
      <c r="H85" s="5">
        <v>20</v>
      </c>
      <c r="I85" s="1" t="b">
        <f t="shared" si="3"/>
        <v>1</v>
      </c>
      <c r="J85" s="7">
        <f>+H86/D86-1</f>
        <v>-6.8693408397841882E-2</v>
      </c>
    </row>
    <row r="86" spans="2:10" x14ac:dyDescent="0.25">
      <c r="B86" s="5" t="s">
        <v>11</v>
      </c>
      <c r="C86" s="5" t="s">
        <v>11</v>
      </c>
      <c r="D86" s="5">
        <v>532875</v>
      </c>
      <c r="F86" s="5" t="s">
        <v>11</v>
      </c>
      <c r="G86" s="5" t="s">
        <v>11</v>
      </c>
      <c r="H86" s="5">
        <v>496270</v>
      </c>
      <c r="I86" s="1" t="b">
        <f t="shared" si="3"/>
        <v>1</v>
      </c>
      <c r="J86" s="7" t="e">
        <f>+H87/D87-1</f>
        <v>#DIV/0!</v>
      </c>
    </row>
  </sheetData>
  <sortState ref="B44:D85">
    <sortCondition ref="B44:B85"/>
    <sortCondition ref="C44:C85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5A6BCA4ACA584C9A1C03FD3956D51C" ma:contentTypeVersion="16" ma:contentTypeDescription="Criar um novo documento." ma:contentTypeScope="" ma:versionID="25cd4bb1aaf04bf7c36d581853a12fbf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2898a58c724212c25df4c06f581a570c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B6DA95-C844-4233-92B7-F36F1465F727}"/>
</file>

<file path=customXml/itemProps2.xml><?xml version="1.0" encoding="utf-8"?>
<ds:datastoreItem xmlns:ds="http://schemas.openxmlformats.org/officeDocument/2006/customXml" ds:itemID="{175D8C9E-C98D-4301-9C06-D63821478F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63C724-6D3D-426E-9928-51D6E602CE34}">
  <ds:schemaRefs>
    <ds:schemaRef ds:uri="http://www.w3.org/XML/1998/namespace"/>
    <ds:schemaRef ds:uri="http://purl.org/dc/terms/"/>
    <ds:schemaRef ds:uri="http://schemas.microsoft.com/sharepoint/v3"/>
    <ds:schemaRef ds:uri="6a2f0df9-978c-4e64-bc0f-0d70b3382699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159a09cd-0c4f-4bb8-ba14-1119f34f4d5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Almeida Braga</dc:creator>
  <cp:lastModifiedBy>Joana Almeida Braga</cp:lastModifiedBy>
  <dcterms:created xsi:type="dcterms:W3CDTF">2024-07-09T08:09:55Z</dcterms:created>
  <dcterms:modified xsi:type="dcterms:W3CDTF">2024-07-09T17:31:02Z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2024-07-09T14:47:53Z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f2ffadcf-973a-4866-a4e1-2f6880d35420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0x010100845A6BCA4ACA584C9A1C03FD3956D51C</vt:lpwstr>
  </property>
</Properties>
</file>