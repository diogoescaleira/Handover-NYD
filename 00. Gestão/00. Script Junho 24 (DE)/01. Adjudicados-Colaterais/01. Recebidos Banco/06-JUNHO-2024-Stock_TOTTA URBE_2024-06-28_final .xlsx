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24226"/>
  <xr:revisionPtr revIDLastSave="0" documentId="13_ncr:1_{941BF117-3059-4E7E-80C3-B504342A82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3" i="1" l="1"/>
  <c r="AN21" i="1"/>
  <c r="AN26" i="1"/>
  <c r="AN104" i="1"/>
  <c r="K109" i="1" l="1"/>
  <c r="AL109" i="1" l="1"/>
  <c r="AA106" i="1" l="1"/>
  <c r="AA105" i="1"/>
  <c r="AA104" i="1"/>
  <c r="AA103" i="1"/>
  <c r="AA102" i="1"/>
  <c r="AA101" i="1"/>
  <c r="AA26" i="1"/>
  <c r="AA25" i="1"/>
  <c r="AA22" i="1"/>
  <c r="AA21" i="1"/>
  <c r="AA20" i="1"/>
  <c r="AA16" i="1"/>
  <c r="AA12" i="1"/>
  <c r="AA11" i="1"/>
  <c r="AA10" i="1"/>
  <c r="AA9" i="1"/>
  <c r="AA8" i="1"/>
  <c r="AA7" i="1"/>
  <c r="AA6" i="1"/>
  <c r="AA5" i="1"/>
  <c r="AA4" i="1"/>
  <c r="AA3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4" i="1"/>
  <c r="AA23" i="1"/>
  <c r="AA19" i="1"/>
  <c r="AA18" i="1"/>
  <c r="AA17" i="1"/>
  <c r="AA15" i="1"/>
  <c r="AA14" i="1"/>
  <c r="AA1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B90" i="1" s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3" i="1"/>
  <c r="AB22" i="1" l="1"/>
  <c r="AB6" i="1"/>
  <c r="AB13" i="1"/>
  <c r="AB26" i="1"/>
  <c r="AB104" i="1"/>
  <c r="AB21" i="1"/>
  <c r="AB98" i="1"/>
  <c r="AB65" i="1"/>
  <c r="AB9" i="1"/>
  <c r="AH9" i="1" s="1"/>
  <c r="AB29" i="1"/>
  <c r="AF29" i="1" s="1"/>
  <c r="AB36" i="1"/>
  <c r="AB77" i="1"/>
  <c r="AB53" i="1"/>
  <c r="AB58" i="1"/>
  <c r="AF58" i="1" s="1"/>
  <c r="AB34" i="1"/>
  <c r="AB17" i="1"/>
  <c r="AB30" i="1"/>
  <c r="AB38" i="1"/>
  <c r="AB46" i="1"/>
  <c r="AB54" i="1"/>
  <c r="AB62" i="1"/>
  <c r="AB70" i="1"/>
  <c r="AH70" i="1" s="1"/>
  <c r="AB78" i="1"/>
  <c r="AB86" i="1"/>
  <c r="AB94" i="1"/>
  <c r="AB102" i="1"/>
  <c r="AH102" i="1" s="1"/>
  <c r="AB19" i="1"/>
  <c r="AB11" i="1"/>
  <c r="AB40" i="1"/>
  <c r="AB80" i="1"/>
  <c r="AF80" i="1" s="1"/>
  <c r="AB84" i="1"/>
  <c r="AB96" i="1"/>
  <c r="AB48" i="1"/>
  <c r="AB15" i="1"/>
  <c r="AB64" i="1"/>
  <c r="AB88" i="1"/>
  <c r="AB56" i="1"/>
  <c r="AB7" i="1"/>
  <c r="AB72" i="1"/>
  <c r="AB32" i="1"/>
  <c r="AB23" i="1"/>
  <c r="AB24" i="1"/>
  <c r="AB39" i="1"/>
  <c r="AB100" i="1"/>
  <c r="AB92" i="1"/>
  <c r="AH92" i="1" s="1"/>
  <c r="AB76" i="1"/>
  <c r="AF76" i="1" s="1"/>
  <c r="AB60" i="1"/>
  <c r="AB52" i="1"/>
  <c r="AB44" i="1"/>
  <c r="AB28" i="1"/>
  <c r="AB12" i="1"/>
  <c r="AB82" i="1"/>
  <c r="AB14" i="1"/>
  <c r="AB68" i="1"/>
  <c r="AB106" i="1"/>
  <c r="AB74" i="1"/>
  <c r="AB66" i="1"/>
  <c r="AB50" i="1"/>
  <c r="AB42" i="1"/>
  <c r="AB101" i="1"/>
  <c r="AB93" i="1"/>
  <c r="AB85" i="1"/>
  <c r="AB69" i="1"/>
  <c r="AB61" i="1"/>
  <c r="AB45" i="1"/>
  <c r="AB37" i="1"/>
  <c r="AB5" i="1"/>
  <c r="AB105" i="1"/>
  <c r="AB97" i="1"/>
  <c r="AB89" i="1"/>
  <c r="AB81" i="1"/>
  <c r="AB73" i="1"/>
  <c r="AB57" i="1"/>
  <c r="AB49" i="1"/>
  <c r="AB41" i="1"/>
  <c r="AB33" i="1"/>
  <c r="AB25" i="1"/>
  <c r="AB18" i="1"/>
  <c r="AH18" i="1" s="1"/>
  <c r="AB10" i="1"/>
  <c r="AB3" i="1"/>
  <c r="AB20" i="1"/>
  <c r="AB55" i="1"/>
  <c r="AB71" i="1"/>
  <c r="AB87" i="1"/>
  <c r="AB8" i="1"/>
  <c r="AB31" i="1"/>
  <c r="AB103" i="1"/>
  <c r="AB4" i="1"/>
  <c r="AB43" i="1"/>
  <c r="AB59" i="1"/>
  <c r="AB75" i="1"/>
  <c r="AB91" i="1"/>
  <c r="AB35" i="1"/>
  <c r="AB47" i="1"/>
  <c r="AB63" i="1"/>
  <c r="AB79" i="1"/>
  <c r="AB95" i="1"/>
  <c r="AB16" i="1"/>
  <c r="AB27" i="1"/>
  <c r="AB51" i="1"/>
  <c r="AB67" i="1"/>
  <c r="AB83" i="1"/>
  <c r="AB99" i="1"/>
  <c r="AH6" i="1"/>
  <c r="AF6" i="1"/>
  <c r="AH90" i="1"/>
  <c r="AF90" i="1"/>
  <c r="AF53" i="1"/>
  <c r="AH53" i="1"/>
  <c r="AH77" i="1"/>
  <c r="AF77" i="1"/>
  <c r="AH22" i="1"/>
  <c r="AF22" i="1"/>
  <c r="AH36" i="1"/>
  <c r="AF36" i="1"/>
  <c r="AH80" i="1"/>
  <c r="AH54" i="1"/>
  <c r="AF65" i="1"/>
  <c r="AH65" i="1"/>
  <c r="AF19" i="1"/>
  <c r="AF46" i="1"/>
  <c r="AF9" i="1" l="1"/>
  <c r="AH29" i="1"/>
  <c r="AH58" i="1"/>
  <c r="AF41" i="1"/>
  <c r="AH72" i="1"/>
  <c r="AH95" i="1"/>
  <c r="AF43" i="1"/>
  <c r="AF20" i="1"/>
  <c r="AH49" i="1"/>
  <c r="AF13" i="1"/>
  <c r="AH101" i="1"/>
  <c r="AF68" i="1"/>
  <c r="AH76" i="1"/>
  <c r="AH7" i="1"/>
  <c r="AF70" i="1"/>
  <c r="AH79" i="1"/>
  <c r="AH3" i="1"/>
  <c r="AB109" i="1"/>
  <c r="AF57" i="1"/>
  <c r="AH21" i="1"/>
  <c r="AH26" i="1"/>
  <c r="AF14" i="1"/>
  <c r="AF92" i="1"/>
  <c r="AH56" i="1"/>
  <c r="AF40" i="1"/>
  <c r="AH62" i="1"/>
  <c r="AF59" i="1"/>
  <c r="AH34" i="1"/>
  <c r="AF4" i="1"/>
  <c r="AH57" i="1"/>
  <c r="AH99" i="1"/>
  <c r="AH63" i="1"/>
  <c r="AH103" i="1"/>
  <c r="AH10" i="1"/>
  <c r="AF73" i="1"/>
  <c r="AH37" i="1"/>
  <c r="AH42" i="1"/>
  <c r="AH82" i="1"/>
  <c r="AH100" i="1"/>
  <c r="AF88" i="1"/>
  <c r="AH11" i="1"/>
  <c r="AF54" i="1"/>
  <c r="AH55" i="1"/>
  <c r="AF93" i="1"/>
  <c r="AH83" i="1"/>
  <c r="AH47" i="1"/>
  <c r="AH31" i="1"/>
  <c r="AF104" i="1"/>
  <c r="AH81" i="1"/>
  <c r="AH45" i="1"/>
  <c r="AH50" i="1"/>
  <c r="AH12" i="1"/>
  <c r="AH39" i="1"/>
  <c r="AH64" i="1"/>
  <c r="AH19" i="1"/>
  <c r="AH46" i="1"/>
  <c r="AH5" i="1"/>
  <c r="AF106" i="1"/>
  <c r="AF35" i="1"/>
  <c r="AF18" i="1"/>
  <c r="AH61" i="1"/>
  <c r="AH66" i="1"/>
  <c r="AH28" i="1"/>
  <c r="AH24" i="1"/>
  <c r="AH15" i="1"/>
  <c r="AF102" i="1"/>
  <c r="AH38" i="1"/>
  <c r="AH16" i="1"/>
  <c r="AF67" i="1"/>
  <c r="AF8" i="1"/>
  <c r="AF89" i="1"/>
  <c r="AF78" i="1"/>
  <c r="AH14" i="1"/>
  <c r="AF84" i="1"/>
  <c r="AH51" i="1"/>
  <c r="AH91" i="1"/>
  <c r="AH87" i="1"/>
  <c r="AH25" i="1"/>
  <c r="AF97" i="1"/>
  <c r="AH69" i="1"/>
  <c r="AH74" i="1"/>
  <c r="AH44" i="1"/>
  <c r="AH23" i="1"/>
  <c r="AF48" i="1"/>
  <c r="AH94" i="1"/>
  <c r="AH30" i="1"/>
  <c r="AF60" i="1"/>
  <c r="AF34" i="1"/>
  <c r="AH78" i="1"/>
  <c r="AH84" i="1"/>
  <c r="AH27" i="1"/>
  <c r="AH75" i="1"/>
  <c r="AH71" i="1"/>
  <c r="AF33" i="1"/>
  <c r="AF105" i="1"/>
  <c r="AF85" i="1"/>
  <c r="AH98" i="1"/>
  <c r="AF52" i="1"/>
  <c r="AH32" i="1"/>
  <c r="AH96" i="1"/>
  <c r="AH86" i="1"/>
  <c r="AH17" i="1"/>
  <c r="AF30" i="1"/>
  <c r="AF86" i="1"/>
  <c r="AF17" i="1"/>
  <c r="AF94" i="1"/>
  <c r="AH48" i="1"/>
  <c r="AF26" i="1"/>
  <c r="AF23" i="1"/>
  <c r="AH88" i="1"/>
  <c r="AF15" i="1"/>
  <c r="AF62" i="1"/>
  <c r="AF11" i="1"/>
  <c r="AF56" i="1"/>
  <c r="AF28" i="1"/>
  <c r="AH68" i="1"/>
  <c r="AH40" i="1"/>
  <c r="AF38" i="1"/>
  <c r="AF21" i="1"/>
  <c r="AF64" i="1"/>
  <c r="AH89" i="1"/>
  <c r="AH67" i="1"/>
  <c r="AF96" i="1"/>
  <c r="AH104" i="1"/>
  <c r="AF61" i="1"/>
  <c r="AF24" i="1"/>
  <c r="AF66" i="1"/>
  <c r="AF32" i="1"/>
  <c r="AF12" i="1"/>
  <c r="AH35" i="1"/>
  <c r="AF7" i="1"/>
  <c r="AF101" i="1"/>
  <c r="AH60" i="1"/>
  <c r="AH106" i="1"/>
  <c r="AF5" i="1"/>
  <c r="AF72" i="1"/>
  <c r="AH43" i="1"/>
  <c r="AH93" i="1"/>
  <c r="AH33" i="1"/>
  <c r="AF42" i="1"/>
  <c r="AF82" i="1"/>
  <c r="AF100" i="1"/>
  <c r="AH73" i="1"/>
  <c r="AF39" i="1"/>
  <c r="AH52" i="1"/>
  <c r="AF44" i="1"/>
  <c r="AF37" i="1"/>
  <c r="AF45" i="1"/>
  <c r="AF63" i="1"/>
  <c r="AF69" i="1"/>
  <c r="AF83" i="1"/>
  <c r="AF50" i="1"/>
  <c r="AF81" i="1"/>
  <c r="AF74" i="1"/>
  <c r="AH97" i="1"/>
  <c r="AF47" i="1"/>
  <c r="AF75" i="1"/>
  <c r="AH13" i="1"/>
  <c r="AF98" i="1"/>
  <c r="AF27" i="1"/>
  <c r="AF10" i="1"/>
  <c r="AH85" i="1"/>
  <c r="AH59" i="1"/>
  <c r="AH41" i="1"/>
  <c r="AF99" i="1"/>
  <c r="AF79" i="1"/>
  <c r="AF91" i="1"/>
  <c r="AF51" i="1"/>
  <c r="AF71" i="1"/>
  <c r="AF55" i="1"/>
  <c r="AF3" i="1"/>
  <c r="AF49" i="1"/>
  <c r="AF16" i="1"/>
  <c r="AF87" i="1"/>
  <c r="AH105" i="1"/>
  <c r="AH20" i="1"/>
  <c r="AF25" i="1"/>
  <c r="AF95" i="1"/>
  <c r="AF31" i="1"/>
  <c r="AF103" i="1"/>
  <c r="AH8" i="1"/>
  <c r="AH4" i="1"/>
  <c r="AN109" i="1" l="1"/>
</calcChain>
</file>

<file path=xl/sharedStrings.xml><?xml version="1.0" encoding="utf-8"?>
<sst xmlns="http://schemas.openxmlformats.org/spreadsheetml/2006/main" count="1702" uniqueCount="228">
  <si>
    <t>Cód. Imóvel</t>
  </si>
  <si>
    <t>GRD Imovel</t>
  </si>
  <si>
    <t>Entidade</t>
  </si>
  <si>
    <t>Concelho - Morada</t>
  </si>
  <si>
    <t>Devedor</t>
  </si>
  <si>
    <t>Nº Cliente</t>
  </si>
  <si>
    <t>Nº do Bem</t>
  </si>
  <si>
    <t>Classificação</t>
  </si>
  <si>
    <t>Tipo Imóvel</t>
  </si>
  <si>
    <t>Dt. Aquisição</t>
  </si>
  <si>
    <t>V Contab = V Aq</t>
  </si>
  <si>
    <t>Provisão Mês Ant.</t>
  </si>
  <si>
    <t>V Contb Liq</t>
  </si>
  <si>
    <t>Sinais</t>
  </si>
  <si>
    <t>VV</t>
  </si>
  <si>
    <t>Provisão Legal</t>
  </si>
  <si>
    <t>Dt com Compromisso</t>
  </si>
  <si>
    <t>% Propriedade</t>
  </si>
  <si>
    <t>VVR</t>
  </si>
  <si>
    <t>Empresa_Avaliadora</t>
  </si>
  <si>
    <t>Dt_Avaliacao</t>
  </si>
  <si>
    <t>% Provisão</t>
  </si>
  <si>
    <t>Dação Fomento à Construção</t>
  </si>
  <si>
    <t>DFC Estado</t>
  </si>
  <si>
    <t>Valor_Mercado</t>
  </si>
  <si>
    <t>N</t>
  </si>
  <si>
    <t>TOTTAURBE-VIA CONSULTEAM</t>
  </si>
  <si>
    <t>Agueda - Quinta da Loba, Urbanização Quinta da Loba, Lote 82</t>
  </si>
  <si>
    <t/>
  </si>
  <si>
    <t>Vendas</t>
  </si>
  <si>
    <t>TERRENO URBANO - Residencial</t>
  </si>
  <si>
    <t>2018-05-30</t>
  </si>
  <si>
    <t>BENEGE - PORTO</t>
  </si>
  <si>
    <t>2023-11-27</t>
  </si>
  <si>
    <t>Agueda - Quinta da Loba, Urbanização Quinta da Loba, Lote 83</t>
  </si>
  <si>
    <t>Agueda - Quinta da Loba, Urbanização Quinta da Loba, Lote 84</t>
  </si>
  <si>
    <t>Agueda - Quinta da Loba, Urbanização Quinta da Loba, Lote 85</t>
  </si>
  <si>
    <t>Agueda - Quinta da Loba, Urbanização Quinta da Loba, Lote 86</t>
  </si>
  <si>
    <t>Agueda - Quinta da Loba, Urbanização Quinta da Loba, Lote 91</t>
  </si>
  <si>
    <t>Compromissos</t>
  </si>
  <si>
    <t>Gondomar - Lugar do Vinhal</t>
  </si>
  <si>
    <t>2018-06-08</t>
  </si>
  <si>
    <t>BRICK - CONSULTORIA EM AVALIACAO IMOBILIARIA</t>
  </si>
  <si>
    <t>2023-09-19</t>
  </si>
  <si>
    <t>Penafiel - Lugar do Calvário, Lote 9B</t>
  </si>
  <si>
    <t>Regularização</t>
  </si>
  <si>
    <t>MENCOVAZ</t>
  </si>
  <si>
    <t>2023-09-20</t>
  </si>
  <si>
    <t>Portalegre - Inglesinhas, Painel da Estação, R/C (Lado Dto) "A"</t>
  </si>
  <si>
    <t>FRACCAO RESTAURANTE, H.CLUB ET - Comercial</t>
  </si>
  <si>
    <t>2018-07-19</t>
  </si>
  <si>
    <t>PVW PRICE, VALUE AND WORTH, LDA</t>
  </si>
  <si>
    <t>2024-05-07</t>
  </si>
  <si>
    <t>Portalegre - Inglesinhas, Painel da Estação, R/C (Lado Esq) "B"</t>
  </si>
  <si>
    <t>ARMAZEM - Comercial</t>
  </si>
  <si>
    <t>GI</t>
  </si>
  <si>
    <t>Montijo - Corte do Moinho</t>
  </si>
  <si>
    <t xml:space="preserve">Fercibe- Construções Civis Lda. </t>
  </si>
  <si>
    <t>2018-08-03</t>
  </si>
  <si>
    <t>LUSO-ROUX - LISBOA</t>
  </si>
  <si>
    <t>2021-10-25</t>
  </si>
  <si>
    <t>Palmela - Rua Sophia de Mello Breyner Andresenn, Lote 5, R/C DTO "B"</t>
  </si>
  <si>
    <t xml:space="preserve">Corigues,Sociedade Construtora do Sul,Lda </t>
  </si>
  <si>
    <t>FRACCAO HABITACIONAL - Residencial</t>
  </si>
  <si>
    <t>2022-06-06</t>
  </si>
  <si>
    <t>Santarém - Quinta das Cortezes, Lote 16</t>
  </si>
  <si>
    <t xml:space="preserve">  </t>
  </si>
  <si>
    <t>2018-08-09</t>
  </si>
  <si>
    <t>2023-12-29</t>
  </si>
  <si>
    <t>2023-06-28</t>
  </si>
  <si>
    <t>Setubal - Pote de Água, S/N</t>
  </si>
  <si>
    <t>2022-08-02</t>
  </si>
  <si>
    <t>Santarém - Quinta das Cortezes, Lote 17</t>
  </si>
  <si>
    <t xml:space="preserve">Angelina &amp; Rodrigues,Construções, Lda. </t>
  </si>
  <si>
    <t>2018-08-17</t>
  </si>
  <si>
    <t>Santarem - Quinta das Cortezes, Lote 1</t>
  </si>
  <si>
    <t>Santarém - Quinta das Cortezes, Lote 19</t>
  </si>
  <si>
    <t>Penafiel - Lugar do Calvário, Lote 9A</t>
  </si>
  <si>
    <t>Montijo - Sitio Nucho de Pegões Velhos, Casal 87</t>
  </si>
  <si>
    <t>Frederico Nascimento</t>
  </si>
  <si>
    <t>TERRENO RUSTICO - Outros</t>
  </si>
  <si>
    <t>2018-09-19</t>
  </si>
  <si>
    <t>2024-04-16</t>
  </si>
  <si>
    <t>Amadora - Praceta Arnaldo Gama, Nº 13-13A, CAVE "AT"</t>
  </si>
  <si>
    <t>LOJA - Comercial</t>
  </si>
  <si>
    <t>2024-05-24</t>
  </si>
  <si>
    <t>Coimbra - Rua da Escola Nova, Nº 109, "V" "V"</t>
  </si>
  <si>
    <t xml:space="preserve">Horácio Aguiar de Almeida </t>
  </si>
  <si>
    <t>GARAGEM - Outros</t>
  </si>
  <si>
    <t>2018-09-26</t>
  </si>
  <si>
    <t>2022-02-25</t>
  </si>
  <si>
    <t>Santarém - Quinta das Cortezes, Lote 60</t>
  </si>
  <si>
    <t>2018-10-23</t>
  </si>
  <si>
    <t>Lisboa - Rua Eduardo Bairrada, S/N</t>
  </si>
  <si>
    <t xml:space="preserve">Alcantaratejo </t>
  </si>
  <si>
    <t>2023-12-21</t>
  </si>
  <si>
    <t>Santarém - Quinta das Cortezes, Lote 2</t>
  </si>
  <si>
    <t>2018-11-22</t>
  </si>
  <si>
    <t>Santarém - Quinta das Cortezes, Lote 3</t>
  </si>
  <si>
    <t>Santarém - Quinta das Cortezes, Lote 4</t>
  </si>
  <si>
    <t>Santarém - Quinta das Cortezes, Lote 5</t>
  </si>
  <si>
    <t>Santarém - Quinta das Cortezes, Lote 6</t>
  </si>
  <si>
    <t>Santarém - Quinta das Cortezes, Lote 7</t>
  </si>
  <si>
    <t>Santarém - Quinta das Cortezes, Lote 8</t>
  </si>
  <si>
    <t>Santarém - Quinta das Cortezes, Lote 9</t>
  </si>
  <si>
    <t>Santarém - Quinta das Cortezes, Lote 10</t>
  </si>
  <si>
    <t>Santarém - Quinta das Cortezes, Lote 11</t>
  </si>
  <si>
    <t>Santarém - Quinta das Cortezes, Lote 12</t>
  </si>
  <si>
    <t>Santarém - Quinta das Cortezes, Lote 13</t>
  </si>
  <si>
    <t>Santarém - Quinta das Cortezes, Lote 14</t>
  </si>
  <si>
    <t>Santarém - Quinta das Cortezes, Lote 15</t>
  </si>
  <si>
    <t>Santarém - Quinta das Cortezes, Lote 18</t>
  </si>
  <si>
    <t>Santarém - Quinta das Cortezes, Lote 20</t>
  </si>
  <si>
    <t>Santarém - Quinta das Cortezes, Lote 21</t>
  </si>
  <si>
    <t>Santarém - Quinta das Cortezes, Lote 22</t>
  </si>
  <si>
    <t>Santarém - Quinta das Cortezes, Lote 23</t>
  </si>
  <si>
    <t>Santarém - Quinta das Cortezes, Lote 24</t>
  </si>
  <si>
    <t>Santarém - Quinta das Cortezes, Lote 25</t>
  </si>
  <si>
    <t>Santarém - Quinta das Cortezes, Lote 26</t>
  </si>
  <si>
    <t>Santarém - Quinta das Cortezes, Lote 27</t>
  </si>
  <si>
    <t>Santarém - Quinta das Cortezes, Lote 28</t>
  </si>
  <si>
    <t>Santarém - Quinta das Cortezes, Lote 29</t>
  </si>
  <si>
    <t>Santarém - Quinta das Cortezes, Lote 30</t>
  </si>
  <si>
    <t>Santarém - Quinta das Cortezes, Lote 31</t>
  </si>
  <si>
    <t>Santarém - Quinta das Cortezes, Lote 32</t>
  </si>
  <si>
    <t>Santarém - Quinta das Cortezes, Lote 33</t>
  </si>
  <si>
    <t>Santarém - Quinta das Cortezes, Lote 34</t>
  </si>
  <si>
    <t>Santarém - Quinta das Cortezes, Lote 35</t>
  </si>
  <si>
    <t>Santarém - Quinta das Cortezes, Lote 36</t>
  </si>
  <si>
    <t>Santarém - Quinta das Cortezes, Lote 37</t>
  </si>
  <si>
    <t>Santarém - Quinta das Cortezes, Lote 38</t>
  </si>
  <si>
    <t>Santarém - Quinta das Cortezes, Lote 39</t>
  </si>
  <si>
    <t>Santarém - Quinta das Cortezes, Lote 40</t>
  </si>
  <si>
    <t>Santarém - Quinta das Cortezes, Lote 41</t>
  </si>
  <si>
    <t>Santarém - Quinta das Cortezes, Lote 42</t>
  </si>
  <si>
    <t>Santarém - Quinta das Cortezes, Lote 43</t>
  </si>
  <si>
    <t>Santarém - Quinta das Cortezes, Lote 44</t>
  </si>
  <si>
    <t>Santarém - Quinta das Cortezes, Lote 45</t>
  </si>
  <si>
    <t>Santarém - Quinta das Cortezes, Lote 46</t>
  </si>
  <si>
    <t>Santarém - Quinta das Cortezes, Lote 47</t>
  </si>
  <si>
    <t>Santarém - Quinta das Cortezes, Lote 48</t>
  </si>
  <si>
    <t>Santarém - Quinta das Cortezes, Lote 49</t>
  </si>
  <si>
    <t>Santarém - Quinta das Cortezes, Lote 50</t>
  </si>
  <si>
    <t>Santarém - Quinta das Cortezes, Lote 51</t>
  </si>
  <si>
    <t>Santarém - Quinta das Cortezes, Lote 52</t>
  </si>
  <si>
    <t>Santarém - Quinta das Cortezes, Lote 53</t>
  </si>
  <si>
    <t>Santarém - Quinta das Cortezes, Lote 54</t>
  </si>
  <si>
    <t>Santarém - Quinta das Cortezes, Lote 55</t>
  </si>
  <si>
    <t>Santarém - Quinta das Cortezes, Lote 56</t>
  </si>
  <si>
    <t>Santarém - Quinta das Cortezes, Lote 57</t>
  </si>
  <si>
    <t>Santarém - Quinta das Cortezes, Lote 58</t>
  </si>
  <si>
    <t>Santarém - Quinta das Cortezes, Lote 59</t>
  </si>
  <si>
    <t>Santarém - Quinta das Cortezes, Lote 61</t>
  </si>
  <si>
    <t>Santarém - Quinta das Cortezes, Lote 62</t>
  </si>
  <si>
    <t>Santarém - Quinta das Cortezes, Lote 63</t>
  </si>
  <si>
    <t>Santarém - Quinta das Cortezes, Lote 64</t>
  </si>
  <si>
    <t>Santarém - Quinta das Cortezes, Lote 65</t>
  </si>
  <si>
    <t>Santarém - Quinta das Cortezes, Lote 66</t>
  </si>
  <si>
    <t>Santarém - Quinta das Cortezes, Lote 67</t>
  </si>
  <si>
    <t>Santarém - Quinta das Cortezes, Lote 68</t>
  </si>
  <si>
    <t>Santarém - Quinta das Cortezes, Lote 69</t>
  </si>
  <si>
    <t>Santarém - Quinta das Cortezes, Lote 70</t>
  </si>
  <si>
    <t>Santarém - Quinta das Cortezes, Lote 71</t>
  </si>
  <si>
    <t>Santarém - Quinta das Cortezes, Lote 72</t>
  </si>
  <si>
    <t>Santarém - Quinta das Cortezes, Lote 73</t>
  </si>
  <si>
    <t>Santarém - Quinta das Cortezes, Lote 74</t>
  </si>
  <si>
    <t>Santarém - Quinta das Cortezes, Lote 75</t>
  </si>
  <si>
    <t>CONSULTEAM</t>
  </si>
  <si>
    <t>Gondomar - Rua 25 de Abril, Nº 270, 2º Dtº. "F"</t>
  </si>
  <si>
    <t xml:space="preserve">Bombarda-Sociedade Imobiliária, Lda. </t>
  </si>
  <si>
    <t>2011-12-27</t>
  </si>
  <si>
    <t>2021-05-19</t>
  </si>
  <si>
    <t>LUSO-ROUX - PORTO</t>
  </si>
  <si>
    <t>2020-07-02</t>
  </si>
  <si>
    <t>Matosinhos - Rua de Recarei, Nº 740, 1º ESQº. "C"</t>
  </si>
  <si>
    <t xml:space="preserve">JOARTE II – Empreendimentos Imobiliários, Lda </t>
  </si>
  <si>
    <t>2021-03-16</t>
  </si>
  <si>
    <t>Albergaria-A-Velha - Rua Senhor dos Aflitos, Nº S/N "C"</t>
  </si>
  <si>
    <t xml:space="preserve">CAVALINAS – Construções, Lda </t>
  </si>
  <si>
    <t>MORADIA - Residencial</t>
  </si>
  <si>
    <t>2012-05-17</t>
  </si>
  <si>
    <t>2021-04-05</t>
  </si>
  <si>
    <t>Castelo De Paiva - Lugar da Camosa</t>
  </si>
  <si>
    <t xml:space="preserve">José Maria Pinto Monteiro &amp; Filhos </t>
  </si>
  <si>
    <t>2012-04-14</t>
  </si>
  <si>
    <t>2022-05-03</t>
  </si>
  <si>
    <t>Guimaraes - Lugar do Vale</t>
  </si>
  <si>
    <t>2018-12-28</t>
  </si>
  <si>
    <t>QUALITAS - LISBOA</t>
  </si>
  <si>
    <t>2016-12-22</t>
  </si>
  <si>
    <t>Aveiro - Quinta Clementina</t>
  </si>
  <si>
    <t>2023-10-17</t>
  </si>
  <si>
    <t>Santarem - Casal de S.Domingos, Lote 3</t>
  </si>
  <si>
    <t xml:space="preserve">Construções Ramalho Couto S.A. </t>
  </si>
  <si>
    <t>2019-03-12</t>
  </si>
  <si>
    <t>2024-04-10</t>
  </si>
  <si>
    <t>Palmela - Olhos de Àgua, S/N</t>
  </si>
  <si>
    <t xml:space="preserve">Fermolis,Construções, Lda </t>
  </si>
  <si>
    <t>BENEGE - LISBOA</t>
  </si>
  <si>
    <t>2023-08-02</t>
  </si>
  <si>
    <t>Matosinhos - Rua de Recarei</t>
  </si>
  <si>
    <t>2023-03-14</t>
  </si>
  <si>
    <t>P&amp;I COLLIERS - LISBOA</t>
  </si>
  <si>
    <t>2016-09-02</t>
  </si>
  <si>
    <t>Caldas Da Rainha - Rua Dr. Leonel Sotto Mayor, Nº 44 a 54, R/C, LOJA 1 "R"</t>
  </si>
  <si>
    <t xml:space="preserve">Sociedade Construções José Coutinho </t>
  </si>
  <si>
    <t>2024-03-19</t>
  </si>
  <si>
    <t>2023-07-26</t>
  </si>
  <si>
    <t>Provisão por dificuldade de venda</t>
  </si>
  <si>
    <t>Provisão adicional</t>
  </si>
  <si>
    <t>Provisão mês anterior</t>
  </si>
  <si>
    <t>DIF</t>
  </si>
  <si>
    <t>OBS</t>
  </si>
  <si>
    <t>CONTROLO</t>
  </si>
  <si>
    <t>Provisão a constituir/desfazer</t>
  </si>
  <si>
    <t>Guadiana</t>
  </si>
  <si>
    <t>Provisão Junho</t>
  </si>
  <si>
    <t>Valor reporte Nacional</t>
  </si>
  <si>
    <t>Valor Cargabal</t>
  </si>
  <si>
    <t>conta cargabal capital</t>
  </si>
  <si>
    <t>Imparidade Cargabal</t>
  </si>
  <si>
    <t>conta cargabal imparidade</t>
  </si>
  <si>
    <t>INFORMAÇÂO CARGABAL</t>
  </si>
  <si>
    <t>1605010</t>
  </si>
  <si>
    <t>2642300</t>
  </si>
  <si>
    <t>TOTTA URBE</t>
  </si>
  <si>
    <t>Centro comercial Gemini-loja 33- fração AS</t>
  </si>
  <si>
    <t>160511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</si>
</sst>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8"/>
      <name val="Santander Text"/>
      <family val="2"/>
    </font>
    <font>
      <b/>
      <sz val="9"/>
      <color rgb="FF0070C0"/>
      <name val="Santander Text"/>
      <family val="2"/>
    </font>
    <font>
      <b/>
      <sz val="8"/>
      <color rgb="FFFF0000"/>
      <name val="Santander Text"/>
      <family val="2"/>
    </font>
    <font>
      <b/>
      <sz val="8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4" fontId="2" fillId="0" borderId="0" xfId="0" applyNumberFormat="1" applyFont="1"/>
    <xf numFmtId="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right"/>
    </xf>
    <xf numFmtId="4" fontId="1" fillId="3" borderId="0" xfId="0" applyNumberFormat="1" applyFont="1" applyFill="1"/>
    <xf numFmtId="4" fontId="2" fillId="4" borderId="0" xfId="0" applyNumberFormat="1" applyFont="1" applyFill="1"/>
    <xf numFmtId="14" fontId="2" fillId="0" borderId="0" xfId="0" applyNumberFormat="1" applyFont="1"/>
    <xf numFmtId="4" fontId="2" fillId="3" borderId="0" xfId="0" applyNumberFormat="1" applyFont="1" applyFill="1"/>
    <xf numFmtId="4" fontId="4" fillId="0" borderId="0" xfId="0" applyNumberFormat="1" applyFont="1" applyAlignment="1">
      <alignment horizontal="center"/>
    </xf>
    <xf numFmtId="4" fontId="3" fillId="3" borderId="1" xfId="0" applyNumberFormat="1" applyFont="1" applyFill="1" applyBorder="1" applyAlignment="1">
      <alignment horizontal="center" wrapText="1"/>
    </xf>
    <xf numFmtId="0" fontId="2" fillId="3" borderId="0" xfId="0" applyFont="1" applyFill="1"/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611240/Downloads/05-MAIO-2024-StockAdjudicados_TOTTA%20URBE_2024-05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A3">
            <v>20050</v>
          </cell>
          <cell r="B3" t="str">
            <v>N</v>
          </cell>
          <cell r="C3" t="str">
            <v>TOTTAURBE-VIA CONSULTEAM</v>
          </cell>
          <cell r="D3" t="str">
            <v>Agueda - Quinta da Loba, Urbanização Quinta da Loba, Lote 82</v>
          </cell>
          <cell r="E3" t="str">
            <v/>
          </cell>
          <cell r="F3" t="str">
            <v/>
          </cell>
          <cell r="G3" t="str">
            <v/>
          </cell>
          <cell r="H3" t="str">
            <v>Vendas</v>
          </cell>
          <cell r="I3" t="str">
            <v>TERRENO URBANO - Residencial</v>
          </cell>
          <cell r="J3" t="str">
            <v>2018-05-30</v>
          </cell>
          <cell r="K3">
            <v>11033.08</v>
          </cell>
          <cell r="L3">
            <v>5663.08</v>
          </cell>
          <cell r="M3">
            <v>5370</v>
          </cell>
          <cell r="N3">
            <v>0</v>
          </cell>
          <cell r="O3">
            <v>0</v>
          </cell>
          <cell r="P3">
            <v>0</v>
          </cell>
          <cell r="Q3" t="str">
            <v/>
          </cell>
          <cell r="R3">
            <v>100</v>
          </cell>
          <cell r="S3">
            <v>5370</v>
          </cell>
          <cell r="T3" t="str">
            <v>BENEGE - PORTO</v>
          </cell>
          <cell r="U3" t="str">
            <v>2023-11-27</v>
          </cell>
          <cell r="V3">
            <v>0</v>
          </cell>
          <cell r="W3" t="str">
            <v/>
          </cell>
          <cell r="X3" t="str">
            <v/>
          </cell>
          <cell r="Y3">
            <v>7790</v>
          </cell>
          <cell r="AA3">
            <v>5370</v>
          </cell>
          <cell r="AB3">
            <v>5663.08</v>
          </cell>
          <cell r="AC3">
            <v>0</v>
          </cell>
          <cell r="AD3">
            <v>0</v>
          </cell>
        </row>
        <row r="4">
          <cell r="A4">
            <v>20051</v>
          </cell>
          <cell r="B4" t="str">
            <v>N</v>
          </cell>
          <cell r="C4" t="str">
            <v>TOTTAURBE-VIA CONSULTEAM</v>
          </cell>
          <cell r="D4" t="str">
            <v>Agueda - Quinta da Loba, Urbanização Quinta da Loba, Lote 83</v>
          </cell>
          <cell r="E4" t="str">
            <v/>
          </cell>
          <cell r="F4" t="str">
            <v/>
          </cell>
          <cell r="G4" t="str">
            <v/>
          </cell>
          <cell r="H4" t="str">
            <v>Vendas</v>
          </cell>
          <cell r="I4" t="str">
            <v>TERRENO URBANO - Residencial</v>
          </cell>
          <cell r="J4" t="str">
            <v>2018-05-30</v>
          </cell>
          <cell r="K4">
            <v>11033.08</v>
          </cell>
          <cell r="L4">
            <v>5663.08</v>
          </cell>
          <cell r="M4">
            <v>5370</v>
          </cell>
          <cell r="N4">
            <v>0</v>
          </cell>
          <cell r="O4">
            <v>0</v>
          </cell>
          <cell r="P4">
            <v>0</v>
          </cell>
          <cell r="Q4" t="str">
            <v/>
          </cell>
          <cell r="R4">
            <v>100</v>
          </cell>
          <cell r="S4">
            <v>5370</v>
          </cell>
          <cell r="T4" t="str">
            <v>BENEGE - PORTO</v>
          </cell>
          <cell r="U4" t="str">
            <v>2023-11-27</v>
          </cell>
          <cell r="V4">
            <v>0</v>
          </cell>
          <cell r="W4" t="str">
            <v/>
          </cell>
          <cell r="X4" t="str">
            <v/>
          </cell>
          <cell r="Y4">
            <v>7790</v>
          </cell>
          <cell r="AA4">
            <v>5370</v>
          </cell>
          <cell r="AB4">
            <v>5663.08</v>
          </cell>
          <cell r="AC4">
            <v>0</v>
          </cell>
          <cell r="AD4">
            <v>0</v>
          </cell>
        </row>
        <row r="5">
          <cell r="A5">
            <v>20052</v>
          </cell>
          <cell r="B5" t="str">
            <v>N</v>
          </cell>
          <cell r="C5" t="str">
            <v>TOTTAURBE-VIA CONSULTEAM</v>
          </cell>
          <cell r="D5" t="str">
            <v>Agueda - Quinta da Loba, Urbanização Quinta da Loba, Lote 84</v>
          </cell>
          <cell r="E5" t="str">
            <v/>
          </cell>
          <cell r="F5" t="str">
            <v/>
          </cell>
          <cell r="G5" t="str">
            <v/>
          </cell>
          <cell r="H5" t="str">
            <v>Vendas</v>
          </cell>
          <cell r="I5" t="str">
            <v>TERRENO URBANO - Residencial</v>
          </cell>
          <cell r="J5" t="str">
            <v>2018-05-30</v>
          </cell>
          <cell r="K5">
            <v>11033.08</v>
          </cell>
          <cell r="L5">
            <v>5663.08</v>
          </cell>
          <cell r="M5">
            <v>5370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>
            <v>100</v>
          </cell>
          <cell r="S5">
            <v>5370</v>
          </cell>
          <cell r="T5" t="str">
            <v>BENEGE - PORTO</v>
          </cell>
          <cell r="U5" t="str">
            <v>2023-11-27</v>
          </cell>
          <cell r="V5">
            <v>0</v>
          </cell>
          <cell r="W5" t="str">
            <v/>
          </cell>
          <cell r="X5" t="str">
            <v/>
          </cell>
          <cell r="Y5">
            <v>7790</v>
          </cell>
          <cell r="AA5">
            <v>5370</v>
          </cell>
          <cell r="AB5">
            <v>5663.08</v>
          </cell>
          <cell r="AC5">
            <v>0</v>
          </cell>
          <cell r="AD5">
            <v>0</v>
          </cell>
        </row>
        <row r="6">
          <cell r="A6">
            <v>20053</v>
          </cell>
          <cell r="B6" t="str">
            <v>N</v>
          </cell>
          <cell r="C6" t="str">
            <v>TOTTAURBE-VIA CONSULTEAM</v>
          </cell>
          <cell r="D6" t="str">
            <v>Agueda - Quinta da Loba, Urbanização Quinta da Loba, Lote 85</v>
          </cell>
          <cell r="E6" t="str">
            <v/>
          </cell>
          <cell r="F6" t="str">
            <v/>
          </cell>
          <cell r="G6" t="str">
            <v/>
          </cell>
          <cell r="H6" t="str">
            <v>Vendas</v>
          </cell>
          <cell r="I6" t="str">
            <v>TERRENO URBANO - Residencial</v>
          </cell>
          <cell r="J6" t="str">
            <v>2018-05-30</v>
          </cell>
          <cell r="K6">
            <v>11033.08</v>
          </cell>
          <cell r="L6">
            <v>5663.08</v>
          </cell>
          <cell r="M6">
            <v>5370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>
            <v>100</v>
          </cell>
          <cell r="S6">
            <v>5370</v>
          </cell>
          <cell r="T6" t="str">
            <v>BENEGE - PORTO</v>
          </cell>
          <cell r="U6" t="str">
            <v>2023-11-27</v>
          </cell>
          <cell r="V6">
            <v>0</v>
          </cell>
          <cell r="W6" t="str">
            <v/>
          </cell>
          <cell r="X6" t="str">
            <v/>
          </cell>
          <cell r="Y6">
            <v>7790</v>
          </cell>
          <cell r="AA6">
            <v>5370</v>
          </cell>
          <cell r="AB6">
            <v>5663.08</v>
          </cell>
          <cell r="AC6">
            <v>0</v>
          </cell>
          <cell r="AD6">
            <v>0</v>
          </cell>
        </row>
        <row r="7">
          <cell r="A7">
            <v>20054</v>
          </cell>
          <cell r="B7" t="str">
            <v>N</v>
          </cell>
          <cell r="C7" t="str">
            <v>TOTTAURBE-VIA CONSULTEAM</v>
          </cell>
          <cell r="D7" t="str">
            <v>Agueda - Quinta da Loba, Urbanização Quinta da Loba, Lote 86</v>
          </cell>
          <cell r="E7" t="str">
            <v/>
          </cell>
          <cell r="F7" t="str">
            <v/>
          </cell>
          <cell r="G7" t="str">
            <v/>
          </cell>
          <cell r="H7" t="str">
            <v>Vendas</v>
          </cell>
          <cell r="I7" t="str">
            <v>TERRENO URBANO - Residencial</v>
          </cell>
          <cell r="J7" t="str">
            <v>2018-05-30</v>
          </cell>
          <cell r="K7">
            <v>11033.08</v>
          </cell>
          <cell r="L7">
            <v>5663.08</v>
          </cell>
          <cell r="M7">
            <v>5370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>
            <v>100</v>
          </cell>
          <cell r="S7">
            <v>5370</v>
          </cell>
          <cell r="T7" t="str">
            <v>BENEGE - PORTO</v>
          </cell>
          <cell r="U7" t="str">
            <v>2023-11-27</v>
          </cell>
          <cell r="V7">
            <v>0</v>
          </cell>
          <cell r="W7" t="str">
            <v/>
          </cell>
          <cell r="X7" t="str">
            <v/>
          </cell>
          <cell r="Y7">
            <v>7790</v>
          </cell>
          <cell r="AA7">
            <v>5370</v>
          </cell>
          <cell r="AB7">
            <v>5663.08</v>
          </cell>
          <cell r="AC7">
            <v>0</v>
          </cell>
          <cell r="AD7">
            <v>0</v>
          </cell>
        </row>
        <row r="8">
          <cell r="A8">
            <v>20057</v>
          </cell>
          <cell r="B8" t="str">
            <v>N</v>
          </cell>
          <cell r="C8" t="str">
            <v>TOTTAURBE-VIA CONSULTEAM</v>
          </cell>
          <cell r="D8" t="str">
            <v>Agueda - Quinta da Loba, Urbanização Quinta da Loba, Lote 89</v>
          </cell>
          <cell r="E8" t="str">
            <v/>
          </cell>
          <cell r="F8" t="str">
            <v/>
          </cell>
          <cell r="G8" t="str">
            <v/>
          </cell>
          <cell r="H8" t="str">
            <v>Compromissos</v>
          </cell>
          <cell r="I8" t="str">
            <v>TERRENO URBANO - Residencial</v>
          </cell>
          <cell r="J8" t="str">
            <v>2018-05-30</v>
          </cell>
          <cell r="K8">
            <v>11033.77</v>
          </cell>
          <cell r="L8">
            <v>5663.77</v>
          </cell>
          <cell r="M8">
            <v>5370</v>
          </cell>
          <cell r="N8">
            <v>1500</v>
          </cell>
          <cell r="O8">
            <v>0</v>
          </cell>
          <cell r="P8">
            <v>0</v>
          </cell>
          <cell r="Q8" t="str">
            <v/>
          </cell>
          <cell r="R8">
            <v>100</v>
          </cell>
          <cell r="S8">
            <v>5370</v>
          </cell>
          <cell r="T8" t="str">
            <v>BENEGE - PORTO</v>
          </cell>
          <cell r="U8" t="str">
            <v>2023-11-27</v>
          </cell>
          <cell r="V8">
            <v>0</v>
          </cell>
          <cell r="W8" t="str">
            <v/>
          </cell>
          <cell r="X8" t="str">
            <v/>
          </cell>
          <cell r="Y8">
            <v>7790</v>
          </cell>
          <cell r="AA8">
            <v>5370</v>
          </cell>
          <cell r="AB8">
            <v>5663.77</v>
          </cell>
          <cell r="AC8">
            <v>0</v>
          </cell>
          <cell r="AD8">
            <v>0</v>
          </cell>
        </row>
        <row r="9">
          <cell r="A9">
            <v>20058</v>
          </cell>
          <cell r="B9" t="str">
            <v>N</v>
          </cell>
          <cell r="C9" t="str">
            <v>TOTTAURBE-VIA CONSULTEAM</v>
          </cell>
          <cell r="D9" t="str">
            <v>Agueda - Quinta da Loba, Urbanização Quinta da Loba, Lote 90</v>
          </cell>
          <cell r="E9" t="str">
            <v/>
          </cell>
          <cell r="F9" t="str">
            <v/>
          </cell>
          <cell r="G9" t="str">
            <v/>
          </cell>
          <cell r="H9" t="str">
            <v>Compromissos</v>
          </cell>
          <cell r="I9" t="str">
            <v>TERRENO URBANO - Residencial</v>
          </cell>
          <cell r="J9" t="str">
            <v>2018-05-30</v>
          </cell>
          <cell r="K9">
            <v>11033.77</v>
          </cell>
          <cell r="L9">
            <v>5663.77</v>
          </cell>
          <cell r="M9">
            <v>5370</v>
          </cell>
          <cell r="N9">
            <v>1500</v>
          </cell>
          <cell r="O9">
            <v>0</v>
          </cell>
          <cell r="P9">
            <v>0</v>
          </cell>
          <cell r="Q9" t="str">
            <v/>
          </cell>
          <cell r="R9">
            <v>100</v>
          </cell>
          <cell r="S9">
            <v>5370</v>
          </cell>
          <cell r="T9" t="str">
            <v>BENEGE - PORTO</v>
          </cell>
          <cell r="U9" t="str">
            <v>2023-11-27</v>
          </cell>
          <cell r="V9">
            <v>0</v>
          </cell>
          <cell r="W9" t="str">
            <v/>
          </cell>
          <cell r="X9" t="str">
            <v/>
          </cell>
          <cell r="Y9">
            <v>7790</v>
          </cell>
          <cell r="AA9">
            <v>5370</v>
          </cell>
          <cell r="AB9">
            <v>5663.77</v>
          </cell>
          <cell r="AC9">
            <v>0</v>
          </cell>
          <cell r="AD9">
            <v>0</v>
          </cell>
        </row>
        <row r="10">
          <cell r="A10">
            <v>20059</v>
          </cell>
          <cell r="B10" t="str">
            <v>N</v>
          </cell>
          <cell r="C10" t="str">
            <v>TOTTAURBE-VIA CONSULTEAM</v>
          </cell>
          <cell r="D10" t="str">
            <v>Agueda - Quinta da Loba, Urbanização Quinta da Loba, Lote 91</v>
          </cell>
          <cell r="E10" t="str">
            <v/>
          </cell>
          <cell r="F10" t="str">
            <v/>
          </cell>
          <cell r="G10" t="str">
            <v/>
          </cell>
          <cell r="H10" t="str">
            <v>Compromissos</v>
          </cell>
          <cell r="I10" t="str">
            <v>TERRENO URBANO - Residencial</v>
          </cell>
          <cell r="J10" t="str">
            <v>2018-05-30</v>
          </cell>
          <cell r="K10">
            <v>11033.77</v>
          </cell>
          <cell r="L10">
            <v>5663.77</v>
          </cell>
          <cell r="M10">
            <v>5370</v>
          </cell>
          <cell r="N10">
            <v>1500</v>
          </cell>
          <cell r="O10">
            <v>0</v>
          </cell>
          <cell r="P10">
            <v>0</v>
          </cell>
          <cell r="Q10" t="str">
            <v/>
          </cell>
          <cell r="R10">
            <v>100</v>
          </cell>
          <cell r="S10">
            <v>5370</v>
          </cell>
          <cell r="T10" t="str">
            <v>BENEGE - PORTO</v>
          </cell>
          <cell r="U10" t="str">
            <v>2023-11-27</v>
          </cell>
          <cell r="V10">
            <v>0</v>
          </cell>
          <cell r="W10" t="str">
            <v/>
          </cell>
          <cell r="X10" t="str">
            <v/>
          </cell>
          <cell r="Y10">
            <v>7790</v>
          </cell>
          <cell r="AA10">
            <v>5370</v>
          </cell>
          <cell r="AB10">
            <v>5663.77</v>
          </cell>
          <cell r="AC10">
            <v>0</v>
          </cell>
          <cell r="AD10">
            <v>0</v>
          </cell>
        </row>
        <row r="11">
          <cell r="A11">
            <v>20278</v>
          </cell>
          <cell r="B11" t="str">
            <v>N</v>
          </cell>
          <cell r="C11" t="str">
            <v>TOTTAURBE-VIA CONSULTEAM</v>
          </cell>
          <cell r="D11" t="str">
            <v>Gondomar - Lugar do Vinhal</v>
          </cell>
          <cell r="E11" t="str">
            <v/>
          </cell>
          <cell r="F11" t="str">
            <v/>
          </cell>
          <cell r="G11" t="str">
            <v/>
          </cell>
          <cell r="H11" t="str">
            <v>Vendas</v>
          </cell>
          <cell r="I11" t="str">
            <v>TERRENO URBANO - Residencial</v>
          </cell>
          <cell r="J11" t="str">
            <v>2018-06-08</v>
          </cell>
          <cell r="K11">
            <v>74485.45</v>
          </cell>
          <cell r="L11">
            <v>12500</v>
          </cell>
          <cell r="M11">
            <v>61985.45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>
            <v>100</v>
          </cell>
          <cell r="S11">
            <v>110000</v>
          </cell>
          <cell r="T11" t="str">
            <v>BRICK - CONSULTORIA EM AVALIACAO IMOBILIARIA</v>
          </cell>
          <cell r="U11" t="str">
            <v>2023-09-19</v>
          </cell>
          <cell r="V11">
            <v>0</v>
          </cell>
          <cell r="W11" t="str">
            <v/>
          </cell>
          <cell r="X11" t="str">
            <v/>
          </cell>
          <cell r="Y11">
            <v>150000</v>
          </cell>
          <cell r="AA11">
            <v>110000</v>
          </cell>
          <cell r="AB11">
            <v>12500</v>
          </cell>
          <cell r="AC11">
            <v>0</v>
          </cell>
          <cell r="AD11">
            <v>12500</v>
          </cell>
        </row>
        <row r="12">
          <cell r="A12">
            <v>20285</v>
          </cell>
          <cell r="B12" t="str">
            <v>N</v>
          </cell>
          <cell r="C12" t="str">
            <v>TOTTAURBE-VIA CONSULTEAM</v>
          </cell>
          <cell r="D12" t="str">
            <v>Penafiel - Lugar do Calvário, Lote 9B</v>
          </cell>
          <cell r="E12" t="str">
            <v/>
          </cell>
          <cell r="F12" t="str">
            <v/>
          </cell>
          <cell r="G12" t="str">
            <v/>
          </cell>
          <cell r="H12" t="str">
            <v>Regularização</v>
          </cell>
          <cell r="I12" t="str">
            <v>TERRENO URBANO - Residencial</v>
          </cell>
          <cell r="J12" t="str">
            <v>2018-06-08</v>
          </cell>
          <cell r="K12">
            <v>81300.84</v>
          </cell>
          <cell r="L12">
            <v>22300.84</v>
          </cell>
          <cell r="M12">
            <v>59000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>
            <v>100</v>
          </cell>
          <cell r="S12">
            <v>59000</v>
          </cell>
          <cell r="T12" t="str">
            <v>MENCOVAZ</v>
          </cell>
          <cell r="U12" t="str">
            <v>2023-09-20</v>
          </cell>
          <cell r="V12">
            <v>0</v>
          </cell>
          <cell r="W12" t="str">
            <v/>
          </cell>
          <cell r="X12" t="str">
            <v/>
          </cell>
          <cell r="Y12">
            <v>70000</v>
          </cell>
          <cell r="AA12">
            <v>59000</v>
          </cell>
          <cell r="AB12">
            <v>22300.839999999997</v>
          </cell>
          <cell r="AC12">
            <v>0</v>
          </cell>
          <cell r="AD12">
            <v>0</v>
          </cell>
        </row>
        <row r="13">
          <cell r="A13">
            <v>20749</v>
          </cell>
          <cell r="B13" t="str">
            <v>N</v>
          </cell>
          <cell r="C13" t="str">
            <v>TOTTAURBE-VIA CONSULTEAM</v>
          </cell>
          <cell r="D13" t="str">
            <v>Portalegre - Inglesinhas, Painel da Estação, R/C (Lado Dto) "A"</v>
          </cell>
          <cell r="E13" t="str">
            <v/>
          </cell>
          <cell r="F13" t="str">
            <v/>
          </cell>
          <cell r="G13" t="str">
            <v/>
          </cell>
          <cell r="H13" t="str">
            <v>Vendas</v>
          </cell>
          <cell r="I13" t="str">
            <v>FRACCAO RESTAURANTE, H.CLUB ET - Comercial</v>
          </cell>
          <cell r="J13" t="str">
            <v>2018-07-19</v>
          </cell>
          <cell r="K13">
            <v>238812.42</v>
          </cell>
          <cell r="L13">
            <v>77112.42</v>
          </cell>
          <cell r="M13">
            <v>161700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>
            <v>100</v>
          </cell>
          <cell r="S13">
            <v>161700</v>
          </cell>
          <cell r="T13" t="str">
            <v>PVW PRICE, VALUE AND WORTH, LDA</v>
          </cell>
          <cell r="U13" t="str">
            <v>2024-05-07</v>
          </cell>
          <cell r="V13">
            <v>0</v>
          </cell>
          <cell r="W13" t="str">
            <v/>
          </cell>
          <cell r="X13" t="str">
            <v/>
          </cell>
          <cell r="Y13">
            <v>187600</v>
          </cell>
          <cell r="AA13">
            <v>161700</v>
          </cell>
          <cell r="AB13">
            <v>77112.420000000013</v>
          </cell>
          <cell r="AC13">
            <v>0</v>
          </cell>
          <cell r="AD13">
            <v>0</v>
          </cell>
        </row>
        <row r="14">
          <cell r="A14">
            <v>20750</v>
          </cell>
          <cell r="B14" t="str">
            <v>N</v>
          </cell>
          <cell r="C14" t="str">
            <v>TOTTAURBE-VIA CONSULTEAM</v>
          </cell>
          <cell r="D14" t="str">
            <v>Portalegre - Inglesinhas, Painel da Estação, R/C (Lado Esq) "B"</v>
          </cell>
          <cell r="E14" t="str">
            <v/>
          </cell>
          <cell r="F14" t="str">
            <v/>
          </cell>
          <cell r="G14" t="str">
            <v/>
          </cell>
          <cell r="H14" t="str">
            <v>Vendas</v>
          </cell>
          <cell r="I14" t="str">
            <v>ARMAZEM - Comercial</v>
          </cell>
          <cell r="J14" t="str">
            <v>2018-07-19</v>
          </cell>
          <cell r="K14">
            <v>74550</v>
          </cell>
          <cell r="L14">
            <v>17550</v>
          </cell>
          <cell r="M14">
            <v>57000</v>
          </cell>
          <cell r="N14">
            <v>0</v>
          </cell>
          <cell r="O14">
            <v>0</v>
          </cell>
          <cell r="P14">
            <v>0</v>
          </cell>
          <cell r="Q14" t="str">
            <v/>
          </cell>
          <cell r="R14">
            <v>100</v>
          </cell>
          <cell r="S14">
            <v>57000</v>
          </cell>
          <cell r="T14" t="str">
            <v>PVW PRICE, VALUE AND WORTH, LDA</v>
          </cell>
          <cell r="U14" t="str">
            <v>2024-05-07</v>
          </cell>
          <cell r="V14">
            <v>0</v>
          </cell>
          <cell r="W14" t="str">
            <v/>
          </cell>
          <cell r="X14" t="str">
            <v/>
          </cell>
          <cell r="Y14">
            <v>66100</v>
          </cell>
          <cell r="AA14">
            <v>57000</v>
          </cell>
          <cell r="AB14">
            <v>17550</v>
          </cell>
          <cell r="AC14">
            <v>0</v>
          </cell>
          <cell r="AD14">
            <v>0</v>
          </cell>
        </row>
        <row r="15">
          <cell r="A15">
            <v>20904</v>
          </cell>
          <cell r="B15" t="str">
            <v>GI</v>
          </cell>
          <cell r="C15" t="str">
            <v>TOTTAURBE-VIA CONSULTEAM</v>
          </cell>
          <cell r="D15" t="str">
            <v>Montijo - Corte do Moinho</v>
          </cell>
          <cell r="E15" t="str">
            <v xml:space="preserve">Fercibe- Construções Civis Lda. </v>
          </cell>
          <cell r="F15" t="str">
            <v/>
          </cell>
          <cell r="G15" t="str">
            <v/>
          </cell>
          <cell r="H15" t="str">
            <v>Compromissos</v>
          </cell>
          <cell r="I15" t="str">
            <v>TERRENO URBANO - Residencial</v>
          </cell>
          <cell r="J15" t="str">
            <v>2018-08-03</v>
          </cell>
          <cell r="K15">
            <v>1105077.05</v>
          </cell>
          <cell r="L15">
            <v>225181.65</v>
          </cell>
          <cell r="M15">
            <v>879895.4</v>
          </cell>
          <cell r="N15">
            <v>87989.54</v>
          </cell>
          <cell r="O15">
            <v>879895.4</v>
          </cell>
          <cell r="P15">
            <v>0</v>
          </cell>
          <cell r="Q15">
            <v>45276</v>
          </cell>
          <cell r="R15">
            <v>100</v>
          </cell>
          <cell r="S15">
            <v>1301000</v>
          </cell>
          <cell r="T15" t="str">
            <v>LUSO-ROUX - LISBOA</v>
          </cell>
          <cell r="U15" t="str">
            <v>2021-10-25</v>
          </cell>
          <cell r="V15">
            <v>0</v>
          </cell>
          <cell r="W15" t="str">
            <v/>
          </cell>
          <cell r="X15" t="str">
            <v/>
          </cell>
          <cell r="Y15">
            <v>1649100</v>
          </cell>
          <cell r="AA15">
            <v>879895.4</v>
          </cell>
          <cell r="AB15">
            <v>225181.65000000002</v>
          </cell>
          <cell r="AC15">
            <v>0</v>
          </cell>
          <cell r="AD15">
            <v>0</v>
          </cell>
        </row>
        <row r="16">
          <cell r="A16">
            <v>21096</v>
          </cell>
          <cell r="B16" t="str">
            <v>N</v>
          </cell>
          <cell r="C16" t="str">
            <v>TOTTAURBE-VIA CONSULTEAM</v>
          </cell>
          <cell r="D16" t="str">
            <v>Palmela - Rua Sophia de Mello Breyner Andresenn, Lote 5, R/C DTO "B"</v>
          </cell>
          <cell r="E16" t="str">
            <v xml:space="preserve">Corigues,Sociedade Construtora do Sul,Lda </v>
          </cell>
          <cell r="F16" t="str">
            <v/>
          </cell>
          <cell r="G16" t="str">
            <v/>
          </cell>
          <cell r="H16" t="str">
            <v>Compromissos</v>
          </cell>
          <cell r="I16" t="str">
            <v>FRACCAO HABITACIONAL - Residencial</v>
          </cell>
          <cell r="J16" t="str">
            <v>2018-08-03</v>
          </cell>
          <cell r="K16">
            <v>73072.460000000006</v>
          </cell>
          <cell r="L16">
            <v>0</v>
          </cell>
          <cell r="M16">
            <v>73072.460000000006</v>
          </cell>
          <cell r="N16">
            <v>12255.78</v>
          </cell>
          <cell r="O16">
            <v>122557.82</v>
          </cell>
          <cell r="P16">
            <v>0</v>
          </cell>
          <cell r="Q16">
            <v>45276</v>
          </cell>
          <cell r="R16">
            <v>100</v>
          </cell>
          <cell r="S16">
            <v>120500</v>
          </cell>
          <cell r="T16" t="str">
            <v>LUSO-ROUX - LISBOA</v>
          </cell>
          <cell r="U16" t="str">
            <v>2022-06-06</v>
          </cell>
          <cell r="V16">
            <v>0</v>
          </cell>
          <cell r="W16" t="str">
            <v/>
          </cell>
          <cell r="X16" t="str">
            <v/>
          </cell>
          <cell r="Y16">
            <v>147600</v>
          </cell>
          <cell r="AA16">
            <v>122557.82</v>
          </cell>
          <cell r="AB16">
            <v>0</v>
          </cell>
          <cell r="AC16">
            <v>0</v>
          </cell>
          <cell r="AD16">
            <v>0</v>
          </cell>
        </row>
        <row r="17">
          <cell r="A17">
            <v>21222</v>
          </cell>
          <cell r="B17" t="str">
            <v>GI</v>
          </cell>
          <cell r="C17" t="str">
            <v>TOTTAURBE-VIA CONSULTEAM</v>
          </cell>
          <cell r="D17" t="str">
            <v>Santarém - Quinta das Cortezes, Lote 16</v>
          </cell>
          <cell r="E17" t="str">
            <v xml:space="preserve">  </v>
          </cell>
          <cell r="F17" t="str">
            <v/>
          </cell>
          <cell r="G17" t="str">
            <v/>
          </cell>
          <cell r="H17" t="str">
            <v>Compromissos</v>
          </cell>
          <cell r="I17" t="str">
            <v>TERRENO URBANO - Residencial</v>
          </cell>
          <cell r="J17" t="str">
            <v>2018-08-09</v>
          </cell>
          <cell r="K17">
            <v>50094.85</v>
          </cell>
          <cell r="L17">
            <v>13184.85</v>
          </cell>
          <cell r="M17">
            <v>36910</v>
          </cell>
          <cell r="N17">
            <v>5536.5</v>
          </cell>
          <cell r="O17">
            <v>36910</v>
          </cell>
          <cell r="P17">
            <v>0</v>
          </cell>
          <cell r="Q17" t="str">
            <v>2023-12-29</v>
          </cell>
          <cell r="R17">
            <v>100</v>
          </cell>
          <cell r="S17">
            <v>31900</v>
          </cell>
          <cell r="T17" t="str">
            <v>LUSO-ROUX - LISBOA</v>
          </cell>
          <cell r="U17" t="str">
            <v>2023-06-28</v>
          </cell>
          <cell r="V17">
            <v>0</v>
          </cell>
          <cell r="W17" t="str">
            <v/>
          </cell>
          <cell r="X17" t="str">
            <v/>
          </cell>
          <cell r="Y17">
            <v>44700</v>
          </cell>
          <cell r="AA17">
            <v>36910</v>
          </cell>
          <cell r="AB17">
            <v>13184.849999999999</v>
          </cell>
          <cell r="AC17">
            <v>0</v>
          </cell>
          <cell r="AD17">
            <v>0</v>
          </cell>
        </row>
        <row r="18">
          <cell r="A18">
            <v>21335</v>
          </cell>
          <cell r="B18" t="str">
            <v>GI</v>
          </cell>
          <cell r="C18" t="str">
            <v>TOTTAURBE-VIA CONSULTEAM</v>
          </cell>
          <cell r="D18" t="str">
            <v>Setubal - Pote de Água, S/N</v>
          </cell>
          <cell r="E18" t="str">
            <v xml:space="preserve">  </v>
          </cell>
          <cell r="F18" t="str">
            <v/>
          </cell>
          <cell r="G18" t="str">
            <v/>
          </cell>
          <cell r="H18" t="str">
            <v>Vendas</v>
          </cell>
          <cell r="I18" t="str">
            <v>TERRENO URBANO - Residencial</v>
          </cell>
          <cell r="J18" t="str">
            <v>2018-08-09</v>
          </cell>
          <cell r="K18">
            <v>18859.349999999999</v>
          </cell>
          <cell r="L18">
            <v>10959.35</v>
          </cell>
          <cell r="M18">
            <v>7900</v>
          </cell>
          <cell r="N18">
            <v>0</v>
          </cell>
          <cell r="O18">
            <v>0</v>
          </cell>
          <cell r="P18">
            <v>0</v>
          </cell>
          <cell r="Q18" t="str">
            <v/>
          </cell>
          <cell r="R18">
            <v>100</v>
          </cell>
          <cell r="S18">
            <v>7900</v>
          </cell>
          <cell r="T18" t="str">
            <v>MENCOVAZ</v>
          </cell>
          <cell r="U18" t="str">
            <v>2022-08-02</v>
          </cell>
          <cell r="V18">
            <v>0</v>
          </cell>
          <cell r="W18" t="str">
            <v/>
          </cell>
          <cell r="X18" t="str">
            <v/>
          </cell>
          <cell r="Y18">
            <v>10000</v>
          </cell>
          <cell r="AA18">
            <v>7900</v>
          </cell>
          <cell r="AB18">
            <v>10959.349999999999</v>
          </cell>
          <cell r="AC18">
            <v>0</v>
          </cell>
          <cell r="AD18">
            <v>0</v>
          </cell>
        </row>
        <row r="19">
          <cell r="A19">
            <v>21523</v>
          </cell>
          <cell r="B19" t="str">
            <v>GI</v>
          </cell>
          <cell r="C19" t="str">
            <v>TOTTAURBE-VIA CONSULTEAM</v>
          </cell>
          <cell r="D19" t="str">
            <v>Santarém - Quinta das Cortezes, Lote 17</v>
          </cell>
          <cell r="E19" t="str">
            <v xml:space="preserve">Angelina &amp; Rodrigues,Construções, Lda. </v>
          </cell>
          <cell r="F19" t="str">
            <v/>
          </cell>
          <cell r="G19" t="str">
            <v/>
          </cell>
          <cell r="H19" t="str">
            <v>Compromissos</v>
          </cell>
          <cell r="I19" t="str">
            <v>TERRENO URBANO - Residencial</v>
          </cell>
          <cell r="J19" t="str">
            <v>2018-08-17</v>
          </cell>
          <cell r="K19">
            <v>44995.18</v>
          </cell>
          <cell r="L19">
            <v>8085.18</v>
          </cell>
          <cell r="M19">
            <v>36910</v>
          </cell>
          <cell r="N19">
            <v>5536.5</v>
          </cell>
          <cell r="O19">
            <v>36910</v>
          </cell>
          <cell r="P19">
            <v>0</v>
          </cell>
          <cell r="Q19" t="str">
            <v>2023-12-29</v>
          </cell>
          <cell r="R19">
            <v>100</v>
          </cell>
          <cell r="S19">
            <v>31900</v>
          </cell>
          <cell r="T19" t="str">
            <v>LUSO-ROUX - LISBOA</v>
          </cell>
          <cell r="U19" t="str">
            <v>2023-06-28</v>
          </cell>
          <cell r="V19">
            <v>0</v>
          </cell>
          <cell r="W19" t="str">
            <v/>
          </cell>
          <cell r="X19" t="str">
            <v/>
          </cell>
          <cell r="Y19">
            <v>44700</v>
          </cell>
          <cell r="AA19">
            <v>36910</v>
          </cell>
          <cell r="AB19">
            <v>8085.18</v>
          </cell>
          <cell r="AC19">
            <v>0</v>
          </cell>
          <cell r="AD19">
            <v>0</v>
          </cell>
        </row>
        <row r="20">
          <cell r="A20">
            <v>21595</v>
          </cell>
          <cell r="B20" t="str">
            <v>GI</v>
          </cell>
          <cell r="C20" t="str">
            <v>TOTTAURBE-VIA CONSULTEAM</v>
          </cell>
          <cell r="D20" t="str">
            <v>Santarem - Quinta das Cortezes, Lote 1</v>
          </cell>
          <cell r="E20" t="str">
            <v xml:space="preserve">  </v>
          </cell>
          <cell r="F20" t="str">
            <v/>
          </cell>
          <cell r="G20" t="str">
            <v/>
          </cell>
          <cell r="H20" t="str">
            <v>Compromissos</v>
          </cell>
          <cell r="I20" t="str">
            <v>TERRENO URBANO - Residencial</v>
          </cell>
          <cell r="J20" t="str">
            <v>2018-08-17</v>
          </cell>
          <cell r="K20">
            <v>54367.5</v>
          </cell>
          <cell r="L20">
            <v>9697.5</v>
          </cell>
          <cell r="M20">
            <v>44670</v>
          </cell>
          <cell r="N20">
            <v>6700.5</v>
          </cell>
          <cell r="O20">
            <v>44670</v>
          </cell>
          <cell r="P20">
            <v>0</v>
          </cell>
          <cell r="Q20" t="str">
            <v>2023-12-29</v>
          </cell>
          <cell r="R20">
            <v>100</v>
          </cell>
          <cell r="S20">
            <v>38600</v>
          </cell>
          <cell r="T20" t="str">
            <v>LUSO-ROUX - LISBOA</v>
          </cell>
          <cell r="U20" t="str">
            <v>2023-06-28</v>
          </cell>
          <cell r="V20">
            <v>0</v>
          </cell>
          <cell r="W20" t="str">
            <v/>
          </cell>
          <cell r="X20" t="str">
            <v/>
          </cell>
          <cell r="Y20">
            <v>54100</v>
          </cell>
          <cell r="AA20">
            <v>44670</v>
          </cell>
          <cell r="AB20">
            <v>9697.5</v>
          </cell>
          <cell r="AC20">
            <v>0</v>
          </cell>
          <cell r="AD20">
            <v>0</v>
          </cell>
        </row>
        <row r="21">
          <cell r="A21">
            <v>21596</v>
          </cell>
          <cell r="B21" t="str">
            <v>GI</v>
          </cell>
          <cell r="C21" t="str">
            <v>TOTTAURBE-VIA CONSULTEAM</v>
          </cell>
          <cell r="D21" t="str">
            <v>Santarém - Quinta das Cortezes, Lote 19</v>
          </cell>
          <cell r="E21" t="str">
            <v xml:space="preserve">  </v>
          </cell>
          <cell r="F21" t="str">
            <v/>
          </cell>
          <cell r="G21" t="str">
            <v/>
          </cell>
          <cell r="H21" t="str">
            <v>Compromissos</v>
          </cell>
          <cell r="I21" t="str">
            <v>TERRENO URBANO - Residencial</v>
          </cell>
          <cell r="J21" t="str">
            <v>2018-08-17</v>
          </cell>
          <cell r="K21">
            <v>41146.879999999997</v>
          </cell>
          <cell r="L21">
            <v>3406.88</v>
          </cell>
          <cell r="M21">
            <v>37740</v>
          </cell>
          <cell r="N21">
            <v>5661</v>
          </cell>
          <cell r="O21">
            <v>37740</v>
          </cell>
          <cell r="P21">
            <v>0</v>
          </cell>
          <cell r="Q21" t="str">
            <v>2023-12-29</v>
          </cell>
          <cell r="R21">
            <v>100</v>
          </cell>
          <cell r="S21">
            <v>32600</v>
          </cell>
          <cell r="T21" t="str">
            <v>LUSO-ROUX - LISBOA</v>
          </cell>
          <cell r="U21" t="str">
            <v>2023-06-28</v>
          </cell>
          <cell r="V21">
            <v>0</v>
          </cell>
          <cell r="W21" t="str">
            <v/>
          </cell>
          <cell r="X21" t="str">
            <v/>
          </cell>
          <cell r="Y21">
            <v>45700</v>
          </cell>
          <cell r="AA21">
            <v>37740</v>
          </cell>
          <cell r="AB21">
            <v>3406.8799999999974</v>
          </cell>
          <cell r="AC21">
            <v>0</v>
          </cell>
          <cell r="AD21">
            <v>0</v>
          </cell>
        </row>
        <row r="22">
          <cell r="A22">
            <v>21614</v>
          </cell>
          <cell r="B22" t="str">
            <v>N</v>
          </cell>
          <cell r="C22" t="str">
            <v>TOTTAURBE-VIA CONSULTEAM</v>
          </cell>
          <cell r="D22" t="str">
            <v>Penafiel - Lugar do Calvário, Lote 9A</v>
          </cell>
          <cell r="E22" t="str">
            <v xml:space="preserve">  </v>
          </cell>
          <cell r="F22" t="str">
            <v/>
          </cell>
          <cell r="G22" t="str">
            <v/>
          </cell>
          <cell r="H22" t="str">
            <v>Regularização</v>
          </cell>
          <cell r="I22" t="str">
            <v>TERRENO URBANO - Residencial</v>
          </cell>
          <cell r="J22" t="str">
            <v>2018-08-17</v>
          </cell>
          <cell r="K22">
            <v>77391.600000000006</v>
          </cell>
          <cell r="L22">
            <v>18391.599999999999</v>
          </cell>
          <cell r="M22">
            <v>59000</v>
          </cell>
          <cell r="N22">
            <v>0</v>
          </cell>
          <cell r="O22">
            <v>0</v>
          </cell>
          <cell r="P22">
            <v>0</v>
          </cell>
          <cell r="Q22" t="str">
            <v/>
          </cell>
          <cell r="R22">
            <v>100</v>
          </cell>
          <cell r="S22">
            <v>59000</v>
          </cell>
          <cell r="T22" t="str">
            <v>MENCOVAZ</v>
          </cell>
          <cell r="U22" t="str">
            <v>2023-09-20</v>
          </cell>
          <cell r="V22">
            <v>0</v>
          </cell>
          <cell r="W22" t="str">
            <v/>
          </cell>
          <cell r="X22" t="str">
            <v/>
          </cell>
          <cell r="Y22">
            <v>70000</v>
          </cell>
          <cell r="AA22">
            <v>59000</v>
          </cell>
          <cell r="AB22">
            <v>18391.600000000006</v>
          </cell>
          <cell r="AC22">
            <v>0</v>
          </cell>
          <cell r="AD22">
            <v>0</v>
          </cell>
        </row>
        <row r="23">
          <cell r="A23">
            <v>21954</v>
          </cell>
          <cell r="B23" t="str">
            <v>GI</v>
          </cell>
          <cell r="C23" t="str">
            <v>TOTTAURBE-VIA CONSULTEAM</v>
          </cell>
          <cell r="D23" t="str">
            <v>Montijo - Sitio Nucho de Pegões Velhos, Casal 87</v>
          </cell>
          <cell r="E23" t="str">
            <v>Frederico Nascimento</v>
          </cell>
          <cell r="F23" t="str">
            <v/>
          </cell>
          <cell r="G23" t="str">
            <v/>
          </cell>
          <cell r="H23" t="str">
            <v>Vendas</v>
          </cell>
          <cell r="I23" t="str">
            <v>TERRENO RUSTICO - Outros</v>
          </cell>
          <cell r="J23" t="str">
            <v>2018-09-19</v>
          </cell>
          <cell r="K23">
            <v>1162935</v>
          </cell>
          <cell r="L23">
            <v>649935</v>
          </cell>
          <cell r="M23">
            <v>513000</v>
          </cell>
          <cell r="N23">
            <v>0</v>
          </cell>
          <cell r="O23">
            <v>0</v>
          </cell>
          <cell r="P23">
            <v>0</v>
          </cell>
          <cell r="Q23" t="str">
            <v/>
          </cell>
          <cell r="R23">
            <v>100</v>
          </cell>
          <cell r="S23">
            <v>663000</v>
          </cell>
          <cell r="T23" t="str">
            <v>MENCOVAZ</v>
          </cell>
          <cell r="U23" t="str">
            <v>2024-04-16</v>
          </cell>
          <cell r="V23">
            <v>0</v>
          </cell>
          <cell r="W23" t="str">
            <v/>
          </cell>
          <cell r="X23" t="str">
            <v/>
          </cell>
          <cell r="Y23">
            <v>858000</v>
          </cell>
          <cell r="AA23">
            <v>663000</v>
          </cell>
          <cell r="AB23">
            <v>649935</v>
          </cell>
          <cell r="AC23">
            <v>0</v>
          </cell>
          <cell r="AD23">
            <v>150000</v>
          </cell>
        </row>
        <row r="24">
          <cell r="A24">
            <v>22189</v>
          </cell>
          <cell r="B24" t="str">
            <v>N</v>
          </cell>
          <cell r="C24" t="str">
            <v>TOTTAURBE-VIA CONSULTEAM</v>
          </cell>
          <cell r="D24" t="str">
            <v>Amadora - Praceta Arnaldo Gama, Nº 13-13A, CAVE "AT"</v>
          </cell>
          <cell r="E24" t="str">
            <v xml:space="preserve">  </v>
          </cell>
          <cell r="F24" t="str">
            <v/>
          </cell>
          <cell r="G24" t="str">
            <v/>
          </cell>
          <cell r="H24" t="str">
            <v>Regularização</v>
          </cell>
          <cell r="I24" t="str">
            <v>LOJA - Comercial</v>
          </cell>
          <cell r="J24" t="str">
            <v>2018-09-19</v>
          </cell>
          <cell r="K24">
            <v>188606.38</v>
          </cell>
          <cell r="L24">
            <v>0</v>
          </cell>
          <cell r="M24">
            <v>188606.38</v>
          </cell>
          <cell r="N24">
            <v>0</v>
          </cell>
          <cell r="O24">
            <v>0</v>
          </cell>
          <cell r="P24">
            <v>0</v>
          </cell>
          <cell r="Q24" t="str">
            <v/>
          </cell>
          <cell r="R24">
            <v>100</v>
          </cell>
          <cell r="S24">
            <v>251200</v>
          </cell>
          <cell r="T24" t="str">
            <v>LUSO-ROUX - LISBOA</v>
          </cell>
          <cell r="U24" t="str">
            <v>2024-05-24</v>
          </cell>
          <cell r="V24">
            <v>0</v>
          </cell>
          <cell r="W24" t="str">
            <v/>
          </cell>
          <cell r="X24" t="str">
            <v/>
          </cell>
          <cell r="Y24">
            <v>337100</v>
          </cell>
          <cell r="AA24">
            <v>251200</v>
          </cell>
          <cell r="AB24">
            <v>0</v>
          </cell>
          <cell r="AC24">
            <v>0</v>
          </cell>
          <cell r="AD24">
            <v>0</v>
          </cell>
        </row>
        <row r="25">
          <cell r="A25">
            <v>22397</v>
          </cell>
          <cell r="B25" t="str">
            <v>N</v>
          </cell>
          <cell r="C25" t="str">
            <v>TOTTAURBE-VIA CONSULTEAM</v>
          </cell>
          <cell r="D25" t="str">
            <v>Coimbra - Rua da Escola Nova, Nº 109, "V" "V"</v>
          </cell>
          <cell r="E25" t="str">
            <v xml:space="preserve">Horácio Aguiar de Almeida </v>
          </cell>
          <cell r="F25" t="str">
            <v/>
          </cell>
          <cell r="G25" t="str">
            <v/>
          </cell>
          <cell r="H25" t="str">
            <v>Compromissos</v>
          </cell>
          <cell r="I25" t="str">
            <v>GARAGEM - Outros</v>
          </cell>
          <cell r="J25" t="str">
            <v>2018-09-26</v>
          </cell>
          <cell r="K25">
            <v>2008.76</v>
          </cell>
          <cell r="L25">
            <v>0</v>
          </cell>
          <cell r="M25">
            <v>2008.76</v>
          </cell>
          <cell r="N25">
            <v>541.04999999999995</v>
          </cell>
          <cell r="O25">
            <v>5410.5</v>
          </cell>
          <cell r="P25">
            <v>0</v>
          </cell>
          <cell r="Q25">
            <v>45276</v>
          </cell>
          <cell r="R25">
            <v>100</v>
          </cell>
          <cell r="S25">
            <v>5592</v>
          </cell>
          <cell r="T25" t="str">
            <v>BENEGE - PORTO</v>
          </cell>
          <cell r="U25" t="str">
            <v>2022-02-25</v>
          </cell>
          <cell r="V25">
            <v>0</v>
          </cell>
          <cell r="W25" t="str">
            <v/>
          </cell>
          <cell r="X25" t="str">
            <v/>
          </cell>
          <cell r="Y25">
            <v>6500</v>
          </cell>
          <cell r="AA25">
            <v>5410.5</v>
          </cell>
          <cell r="AB25">
            <v>0</v>
          </cell>
          <cell r="AC25">
            <v>0</v>
          </cell>
          <cell r="AD25">
            <v>0</v>
          </cell>
        </row>
        <row r="26">
          <cell r="A26">
            <v>22465</v>
          </cell>
          <cell r="B26" t="str">
            <v>GI</v>
          </cell>
          <cell r="C26" t="str">
            <v>TOTTAURBE-VIA CONSULTEAM</v>
          </cell>
          <cell r="D26" t="str">
            <v>Santarém - Quinta das Cortezes, Lote 60</v>
          </cell>
          <cell r="E26" t="str">
            <v xml:space="preserve">Angelina &amp; Rodrigues,Construções, Lda. </v>
          </cell>
          <cell r="F26" t="str">
            <v/>
          </cell>
          <cell r="G26" t="str">
            <v/>
          </cell>
          <cell r="H26" t="str">
            <v>Compromissos</v>
          </cell>
          <cell r="I26" t="str">
            <v>TERRENO URBANO - Residencial</v>
          </cell>
          <cell r="J26" t="str">
            <v>2018-10-23</v>
          </cell>
          <cell r="K26">
            <v>51828.09</v>
          </cell>
          <cell r="L26">
            <v>6088.09</v>
          </cell>
          <cell r="M26">
            <v>45740</v>
          </cell>
          <cell r="N26">
            <v>6861</v>
          </cell>
          <cell r="O26">
            <v>45740</v>
          </cell>
          <cell r="P26">
            <v>0</v>
          </cell>
          <cell r="Q26" t="str">
            <v>2023-12-29</v>
          </cell>
          <cell r="R26">
            <v>100</v>
          </cell>
          <cell r="S26">
            <v>39500</v>
          </cell>
          <cell r="T26" t="str">
            <v>LUSO-ROUX - LISBOA</v>
          </cell>
          <cell r="U26" t="str">
            <v>2023-06-28</v>
          </cell>
          <cell r="V26">
            <v>0</v>
          </cell>
          <cell r="W26" t="str">
            <v/>
          </cell>
          <cell r="X26" t="str">
            <v/>
          </cell>
          <cell r="Y26">
            <v>55400</v>
          </cell>
          <cell r="AA26">
            <v>45740</v>
          </cell>
          <cell r="AB26">
            <v>6088.0899999999965</v>
          </cell>
          <cell r="AC26">
            <v>0</v>
          </cell>
          <cell r="AD26">
            <v>0</v>
          </cell>
        </row>
        <row r="27">
          <cell r="A27">
            <v>22503</v>
          </cell>
          <cell r="B27" t="str">
            <v>GI</v>
          </cell>
          <cell r="C27" t="str">
            <v>TOTTAURBE-VIA CONSULTEAM</v>
          </cell>
          <cell r="D27" t="str">
            <v>Lisboa - Rua Eduardo Bairrada, S/N</v>
          </cell>
          <cell r="E27" t="str">
            <v xml:space="preserve">Alcantaratejo </v>
          </cell>
          <cell r="F27" t="str">
            <v/>
          </cell>
          <cell r="G27" t="str">
            <v/>
          </cell>
          <cell r="H27" t="str">
            <v>Vendas</v>
          </cell>
          <cell r="I27" t="str">
            <v>TERRENO URBANO - Residencial</v>
          </cell>
          <cell r="J27" t="str">
            <v>2018-10-23</v>
          </cell>
          <cell r="K27">
            <v>167311.5</v>
          </cell>
          <cell r="L27">
            <v>151311.5</v>
          </cell>
          <cell r="M27">
            <v>16000</v>
          </cell>
          <cell r="N27">
            <v>0</v>
          </cell>
          <cell r="O27">
            <v>0</v>
          </cell>
          <cell r="P27">
            <v>0</v>
          </cell>
          <cell r="Q27" t="str">
            <v/>
          </cell>
          <cell r="R27">
            <v>100</v>
          </cell>
          <cell r="S27">
            <v>16000</v>
          </cell>
          <cell r="T27" t="str">
            <v>MENCOVAZ</v>
          </cell>
          <cell r="U27" t="str">
            <v>2023-08-11</v>
          </cell>
          <cell r="V27">
            <v>0</v>
          </cell>
          <cell r="W27" t="str">
            <v/>
          </cell>
          <cell r="X27" t="str">
            <v/>
          </cell>
          <cell r="Y27">
            <v>18600</v>
          </cell>
          <cell r="AA27">
            <v>16000</v>
          </cell>
          <cell r="AB27">
            <v>151311.5</v>
          </cell>
          <cell r="AC27">
            <v>0</v>
          </cell>
          <cell r="AD27">
            <v>0</v>
          </cell>
        </row>
        <row r="28">
          <cell r="A28">
            <v>22541</v>
          </cell>
          <cell r="B28" t="str">
            <v>GI</v>
          </cell>
          <cell r="C28" t="str">
            <v>TOTTAURBE-VIA CONSULTEAM</v>
          </cell>
          <cell r="D28" t="str">
            <v>Lisboa - Rua Eduardo Bairrada, S/N</v>
          </cell>
          <cell r="E28" t="str">
            <v/>
          </cell>
          <cell r="F28" t="str">
            <v/>
          </cell>
          <cell r="G28" t="str">
            <v/>
          </cell>
          <cell r="H28" t="str">
            <v>Vendas</v>
          </cell>
          <cell r="I28" t="str">
            <v>TERRENO URBANO - Residencial</v>
          </cell>
          <cell r="J28" t="str">
            <v>2018-10-23</v>
          </cell>
          <cell r="K28">
            <v>378763</v>
          </cell>
          <cell r="L28">
            <v>0</v>
          </cell>
          <cell r="M28">
            <v>378763</v>
          </cell>
          <cell r="N28">
            <v>0</v>
          </cell>
          <cell r="O28">
            <v>0</v>
          </cell>
          <cell r="P28">
            <v>0</v>
          </cell>
          <cell r="Q28" t="str">
            <v/>
          </cell>
          <cell r="R28">
            <v>100</v>
          </cell>
          <cell r="S28">
            <v>1498000</v>
          </cell>
          <cell r="T28" t="str">
            <v>MENCOVAZ</v>
          </cell>
          <cell r="U28" t="str">
            <v>2023-08-11</v>
          </cell>
          <cell r="V28">
            <v>0</v>
          </cell>
          <cell r="W28" t="str">
            <v/>
          </cell>
          <cell r="X28" t="str">
            <v/>
          </cell>
          <cell r="Y28">
            <v>1747000</v>
          </cell>
          <cell r="AA28">
            <v>1498000</v>
          </cell>
          <cell r="AB28">
            <v>0</v>
          </cell>
          <cell r="AC28">
            <v>0</v>
          </cell>
          <cell r="AD28">
            <v>0</v>
          </cell>
        </row>
        <row r="29">
          <cell r="A29">
            <v>23238</v>
          </cell>
          <cell r="B29" t="str">
            <v>GI</v>
          </cell>
          <cell r="C29" t="str">
            <v>TOTTAURBE-VIA CONSULTEAM</v>
          </cell>
          <cell r="D29" t="str">
            <v>Santarém - Quinta das Cortezes, Lote 2</v>
          </cell>
          <cell r="E29" t="str">
            <v/>
          </cell>
          <cell r="F29" t="str">
            <v/>
          </cell>
          <cell r="G29" t="str">
            <v/>
          </cell>
          <cell r="H29" t="str">
            <v>Compromissos</v>
          </cell>
          <cell r="I29" t="str">
            <v>TERRENO URBANO - Residencial</v>
          </cell>
          <cell r="J29" t="str">
            <v>2018-11-22</v>
          </cell>
          <cell r="K29">
            <v>51746.94</v>
          </cell>
          <cell r="L29">
            <v>5506.94</v>
          </cell>
          <cell r="M29">
            <v>46240</v>
          </cell>
          <cell r="N29">
            <v>6936</v>
          </cell>
          <cell r="O29">
            <v>46240</v>
          </cell>
          <cell r="P29">
            <v>0</v>
          </cell>
          <cell r="Q29" t="str">
            <v>2023-12-29</v>
          </cell>
          <cell r="R29">
            <v>100</v>
          </cell>
          <cell r="S29">
            <v>39900</v>
          </cell>
          <cell r="T29" t="str">
            <v>LUSO-ROUX - LISBOA</v>
          </cell>
          <cell r="U29" t="str">
            <v>2023-06-28</v>
          </cell>
          <cell r="V29">
            <v>0</v>
          </cell>
          <cell r="W29" t="str">
            <v/>
          </cell>
          <cell r="X29" t="str">
            <v/>
          </cell>
          <cell r="Y29">
            <v>56000</v>
          </cell>
          <cell r="AA29">
            <v>46240</v>
          </cell>
          <cell r="AB29">
            <v>5506.9400000000023</v>
          </cell>
          <cell r="AC29">
            <v>0</v>
          </cell>
          <cell r="AD29">
            <v>0</v>
          </cell>
        </row>
        <row r="30">
          <cell r="A30">
            <v>23239</v>
          </cell>
          <cell r="B30" t="str">
            <v>GI</v>
          </cell>
          <cell r="C30" t="str">
            <v>TOTTAURBE-VIA CONSULTEAM</v>
          </cell>
          <cell r="D30" t="str">
            <v>Santarém - Quinta das Cortezes, Lote 3</v>
          </cell>
          <cell r="E30" t="str">
            <v/>
          </cell>
          <cell r="F30" t="str">
            <v/>
          </cell>
          <cell r="G30" t="str">
            <v/>
          </cell>
          <cell r="H30" t="str">
            <v>Compromissos</v>
          </cell>
          <cell r="I30" t="str">
            <v>TERRENO URBANO - Residencial</v>
          </cell>
          <cell r="J30" t="str">
            <v>2018-11-22</v>
          </cell>
          <cell r="K30">
            <v>82112.789999999994</v>
          </cell>
          <cell r="L30">
            <v>11512.79</v>
          </cell>
          <cell r="M30">
            <v>70600</v>
          </cell>
          <cell r="N30">
            <v>10590</v>
          </cell>
          <cell r="O30">
            <v>70600</v>
          </cell>
          <cell r="P30">
            <v>0</v>
          </cell>
          <cell r="Q30" t="str">
            <v>2023-12-29</v>
          </cell>
          <cell r="R30">
            <v>100</v>
          </cell>
          <cell r="S30">
            <v>61000</v>
          </cell>
          <cell r="T30" t="str">
            <v>LUSO-ROUX - LISBOA</v>
          </cell>
          <cell r="U30" t="str">
            <v>2023-06-28</v>
          </cell>
          <cell r="V30">
            <v>0</v>
          </cell>
          <cell r="W30" t="str">
            <v/>
          </cell>
          <cell r="X30" t="str">
            <v/>
          </cell>
          <cell r="Y30">
            <v>85600</v>
          </cell>
          <cell r="AA30">
            <v>70600</v>
          </cell>
          <cell r="AB30">
            <v>11512.789999999994</v>
          </cell>
          <cell r="AC30">
            <v>0</v>
          </cell>
          <cell r="AD30">
            <v>0</v>
          </cell>
        </row>
        <row r="31">
          <cell r="A31">
            <v>23240</v>
          </cell>
          <cell r="B31" t="str">
            <v>GI</v>
          </cell>
          <cell r="C31" t="str">
            <v>TOTTAURBE-VIA CONSULTEAM</v>
          </cell>
          <cell r="D31" t="str">
            <v>Santarém - Quinta das Cortezes, Lote 4</v>
          </cell>
          <cell r="E31" t="str">
            <v/>
          </cell>
          <cell r="F31" t="str">
            <v/>
          </cell>
          <cell r="G31" t="str">
            <v/>
          </cell>
          <cell r="H31" t="str">
            <v>Compromissos</v>
          </cell>
          <cell r="I31" t="str">
            <v>TERRENO URBANO - Residencial</v>
          </cell>
          <cell r="J31" t="str">
            <v>2018-11-22</v>
          </cell>
          <cell r="K31">
            <v>67135.42</v>
          </cell>
          <cell r="L31">
            <v>10245.42</v>
          </cell>
          <cell r="M31">
            <v>56890</v>
          </cell>
          <cell r="N31">
            <v>8533.5</v>
          </cell>
          <cell r="O31">
            <v>56890</v>
          </cell>
          <cell r="P31">
            <v>0</v>
          </cell>
          <cell r="Q31" t="str">
            <v>2023-12-29</v>
          </cell>
          <cell r="R31">
            <v>100</v>
          </cell>
          <cell r="S31">
            <v>49100</v>
          </cell>
          <cell r="T31" t="str">
            <v>LUSO-ROUX - LISBOA</v>
          </cell>
          <cell r="U31" t="str">
            <v>2023-06-28</v>
          </cell>
          <cell r="V31">
            <v>0</v>
          </cell>
          <cell r="W31" t="str">
            <v/>
          </cell>
          <cell r="X31" t="str">
            <v/>
          </cell>
          <cell r="Y31">
            <v>68900</v>
          </cell>
          <cell r="AA31">
            <v>56890</v>
          </cell>
          <cell r="AB31">
            <v>10245.419999999998</v>
          </cell>
          <cell r="AC31">
            <v>0</v>
          </cell>
          <cell r="AD31">
            <v>0</v>
          </cell>
        </row>
        <row r="32">
          <cell r="A32">
            <v>23241</v>
          </cell>
          <cell r="B32" t="str">
            <v>GI</v>
          </cell>
          <cell r="C32" t="str">
            <v>TOTTAURBE-VIA CONSULTEAM</v>
          </cell>
          <cell r="D32" t="str">
            <v>Santarém - Quinta das Cortezes, Lote 5</v>
          </cell>
          <cell r="E32" t="str">
            <v/>
          </cell>
          <cell r="F32" t="str">
            <v/>
          </cell>
          <cell r="G32" t="str">
            <v/>
          </cell>
          <cell r="H32" t="str">
            <v>Compromissos</v>
          </cell>
          <cell r="I32" t="str">
            <v>TERRENO URBANO - Residencial</v>
          </cell>
          <cell r="J32" t="str">
            <v>2018-11-22</v>
          </cell>
          <cell r="K32">
            <v>73392.25</v>
          </cell>
          <cell r="L32">
            <v>4452.25</v>
          </cell>
          <cell r="M32">
            <v>68940</v>
          </cell>
          <cell r="N32">
            <v>10341</v>
          </cell>
          <cell r="O32">
            <v>68940</v>
          </cell>
          <cell r="P32">
            <v>0</v>
          </cell>
          <cell r="Q32" t="str">
            <v>2023-12-29</v>
          </cell>
          <cell r="R32">
            <v>100</v>
          </cell>
          <cell r="S32">
            <v>59500</v>
          </cell>
          <cell r="T32" t="str">
            <v>LUSO-ROUX - LISBOA</v>
          </cell>
          <cell r="U32" t="str">
            <v>2023-06-28</v>
          </cell>
          <cell r="V32">
            <v>0</v>
          </cell>
          <cell r="W32" t="str">
            <v/>
          </cell>
          <cell r="X32" t="str">
            <v/>
          </cell>
          <cell r="Y32">
            <v>83500</v>
          </cell>
          <cell r="AA32">
            <v>68940</v>
          </cell>
          <cell r="AB32">
            <v>4452.25</v>
          </cell>
          <cell r="AC32">
            <v>0</v>
          </cell>
          <cell r="AD32">
            <v>0</v>
          </cell>
        </row>
        <row r="33">
          <cell r="A33">
            <v>23242</v>
          </cell>
          <cell r="B33" t="str">
            <v>GI</v>
          </cell>
          <cell r="C33" t="str">
            <v>TOTTAURBE-VIA CONSULTEAM</v>
          </cell>
          <cell r="D33" t="str">
            <v>Santarém - Quinta das Cortezes, Lote 6</v>
          </cell>
          <cell r="E33" t="str">
            <v/>
          </cell>
          <cell r="F33" t="str">
            <v/>
          </cell>
          <cell r="G33" t="str">
            <v/>
          </cell>
          <cell r="H33" t="str">
            <v>Compromissos</v>
          </cell>
          <cell r="I33" t="str">
            <v>TERRENO URBANO - Residencial</v>
          </cell>
          <cell r="J33" t="str">
            <v>2018-11-22</v>
          </cell>
          <cell r="K33">
            <v>65340.71</v>
          </cell>
          <cell r="L33">
            <v>7790.71</v>
          </cell>
          <cell r="M33">
            <v>57550</v>
          </cell>
          <cell r="N33">
            <v>8632.5</v>
          </cell>
          <cell r="O33">
            <v>57550</v>
          </cell>
          <cell r="P33">
            <v>0</v>
          </cell>
          <cell r="Q33" t="str">
            <v>2023-12-29</v>
          </cell>
          <cell r="R33">
            <v>100</v>
          </cell>
          <cell r="S33">
            <v>49700</v>
          </cell>
          <cell r="T33" t="str">
            <v>LUSO-ROUX - LISBOA</v>
          </cell>
          <cell r="U33" t="str">
            <v>2023-06-28</v>
          </cell>
          <cell r="V33">
            <v>0</v>
          </cell>
          <cell r="W33" t="str">
            <v/>
          </cell>
          <cell r="X33" t="str">
            <v/>
          </cell>
          <cell r="Y33">
            <v>69700</v>
          </cell>
          <cell r="AA33">
            <v>57550</v>
          </cell>
          <cell r="AB33">
            <v>7790.7099999999991</v>
          </cell>
          <cell r="AC33">
            <v>0</v>
          </cell>
          <cell r="AD33">
            <v>0</v>
          </cell>
        </row>
        <row r="34">
          <cell r="A34">
            <v>23243</v>
          </cell>
          <cell r="B34" t="str">
            <v>GI</v>
          </cell>
          <cell r="C34" t="str">
            <v>TOTTAURBE-VIA CONSULTEAM</v>
          </cell>
          <cell r="D34" t="str">
            <v>Santarém - Quinta das Cortezes, Lote 7</v>
          </cell>
          <cell r="E34" t="str">
            <v/>
          </cell>
          <cell r="F34" t="str">
            <v/>
          </cell>
          <cell r="G34" t="str">
            <v/>
          </cell>
          <cell r="H34" t="str">
            <v>Compromissos</v>
          </cell>
          <cell r="I34" t="str">
            <v>TERRENO URBANO - Residencial</v>
          </cell>
          <cell r="J34" t="str">
            <v>2018-11-22</v>
          </cell>
          <cell r="K34">
            <v>54546.18</v>
          </cell>
          <cell r="L34">
            <v>5006.18</v>
          </cell>
          <cell r="M34">
            <v>49540</v>
          </cell>
          <cell r="N34">
            <v>7431</v>
          </cell>
          <cell r="O34">
            <v>49540</v>
          </cell>
          <cell r="P34">
            <v>0</v>
          </cell>
          <cell r="Q34" t="str">
            <v>2023-12-29</v>
          </cell>
          <cell r="R34">
            <v>100</v>
          </cell>
          <cell r="S34">
            <v>42800</v>
          </cell>
          <cell r="T34" t="str">
            <v>LUSO-ROUX - LISBOA</v>
          </cell>
          <cell r="U34" t="str">
            <v>2023-06-28</v>
          </cell>
          <cell r="V34">
            <v>0</v>
          </cell>
          <cell r="W34" t="str">
            <v/>
          </cell>
          <cell r="X34" t="str">
            <v/>
          </cell>
          <cell r="Y34">
            <v>60000</v>
          </cell>
          <cell r="AA34">
            <v>49540</v>
          </cell>
          <cell r="AB34">
            <v>5006.18</v>
          </cell>
          <cell r="AC34">
            <v>0</v>
          </cell>
          <cell r="AD34">
            <v>0</v>
          </cell>
        </row>
        <row r="35">
          <cell r="A35">
            <v>23244</v>
          </cell>
          <cell r="B35" t="str">
            <v>GI</v>
          </cell>
          <cell r="C35" t="str">
            <v>TOTTAURBE-VIA CONSULTEAM</v>
          </cell>
          <cell r="D35" t="str">
            <v>Santarém - Quinta das Cortezes, Lote 8</v>
          </cell>
          <cell r="E35" t="str">
            <v/>
          </cell>
          <cell r="F35" t="str">
            <v/>
          </cell>
          <cell r="G35" t="str">
            <v/>
          </cell>
          <cell r="H35" t="str">
            <v>Compromissos</v>
          </cell>
          <cell r="I35" t="str">
            <v>TERRENO URBANO - Residencial</v>
          </cell>
          <cell r="J35" t="str">
            <v>2018-11-22</v>
          </cell>
          <cell r="K35">
            <v>59060.03</v>
          </cell>
          <cell r="L35">
            <v>5550.03</v>
          </cell>
          <cell r="M35">
            <v>53510</v>
          </cell>
          <cell r="N35">
            <v>8026.5</v>
          </cell>
          <cell r="O35">
            <v>53510</v>
          </cell>
          <cell r="P35">
            <v>0</v>
          </cell>
          <cell r="Q35" t="str">
            <v>2023-12-29</v>
          </cell>
          <cell r="R35">
            <v>100</v>
          </cell>
          <cell r="S35">
            <v>46200</v>
          </cell>
          <cell r="T35" t="str">
            <v>LUSO-ROUX - LISBOA</v>
          </cell>
          <cell r="U35" t="str">
            <v>2023-06-28</v>
          </cell>
          <cell r="V35">
            <v>0</v>
          </cell>
          <cell r="W35" t="str">
            <v/>
          </cell>
          <cell r="X35" t="str">
            <v/>
          </cell>
          <cell r="Y35">
            <v>64800</v>
          </cell>
          <cell r="AA35">
            <v>53510</v>
          </cell>
          <cell r="AB35">
            <v>5550.0299999999988</v>
          </cell>
          <cell r="AC35">
            <v>0</v>
          </cell>
          <cell r="AD35">
            <v>0</v>
          </cell>
        </row>
        <row r="36">
          <cell r="A36">
            <v>23245</v>
          </cell>
          <cell r="B36" t="str">
            <v>GI</v>
          </cell>
          <cell r="C36" t="str">
            <v>TOTTAURBE-VIA CONSULTEAM</v>
          </cell>
          <cell r="D36" t="str">
            <v>Santarém - Quinta das Cortezes, Lote 9</v>
          </cell>
          <cell r="E36" t="str">
            <v/>
          </cell>
          <cell r="F36" t="str">
            <v/>
          </cell>
          <cell r="G36" t="str">
            <v/>
          </cell>
          <cell r="H36" t="str">
            <v>Compromissos</v>
          </cell>
          <cell r="I36" t="str">
            <v>TERRENO URBANO - Residencial</v>
          </cell>
          <cell r="J36" t="str">
            <v>2018-11-22</v>
          </cell>
          <cell r="K36">
            <v>74759.64</v>
          </cell>
          <cell r="L36">
            <v>11259.64</v>
          </cell>
          <cell r="M36">
            <v>63500</v>
          </cell>
          <cell r="N36">
            <v>9525</v>
          </cell>
          <cell r="O36">
            <v>63500</v>
          </cell>
          <cell r="P36">
            <v>0</v>
          </cell>
          <cell r="Q36" t="str">
            <v>2023-12-29</v>
          </cell>
          <cell r="R36">
            <v>100</v>
          </cell>
          <cell r="S36">
            <v>54800</v>
          </cell>
          <cell r="T36" t="str">
            <v>LUSO-ROUX - LISBOA</v>
          </cell>
          <cell r="U36" t="str">
            <v>2023-06-28</v>
          </cell>
          <cell r="V36">
            <v>0</v>
          </cell>
          <cell r="W36" t="str">
            <v/>
          </cell>
          <cell r="X36" t="str">
            <v/>
          </cell>
          <cell r="Y36">
            <v>76900</v>
          </cell>
          <cell r="AA36">
            <v>63500</v>
          </cell>
          <cell r="AB36">
            <v>11259.64</v>
          </cell>
          <cell r="AC36">
            <v>0</v>
          </cell>
          <cell r="AD36">
            <v>0</v>
          </cell>
        </row>
        <row r="37">
          <cell r="A37">
            <v>23246</v>
          </cell>
          <cell r="B37" t="str">
            <v>GI</v>
          </cell>
          <cell r="C37" t="str">
            <v>TOTTAURBE-VIA CONSULTEAM</v>
          </cell>
          <cell r="D37" t="str">
            <v>Santarém - Quinta das Cortezes, Lote 10</v>
          </cell>
          <cell r="E37" t="str">
            <v/>
          </cell>
          <cell r="F37" t="str">
            <v/>
          </cell>
          <cell r="G37" t="str">
            <v/>
          </cell>
          <cell r="H37" t="str">
            <v>Compromissos</v>
          </cell>
          <cell r="I37" t="str">
            <v>TERRENO URBANO - Residencial</v>
          </cell>
          <cell r="J37" t="str">
            <v>2018-11-22</v>
          </cell>
          <cell r="K37">
            <v>65777.279999999999</v>
          </cell>
          <cell r="L37">
            <v>8307.2800000000007</v>
          </cell>
          <cell r="M37">
            <v>57470</v>
          </cell>
          <cell r="N37">
            <v>8620.5</v>
          </cell>
          <cell r="O37">
            <v>57470</v>
          </cell>
          <cell r="P37">
            <v>0</v>
          </cell>
          <cell r="Q37" t="str">
            <v>2023-12-29</v>
          </cell>
          <cell r="R37">
            <v>100</v>
          </cell>
          <cell r="S37">
            <v>49600</v>
          </cell>
          <cell r="T37" t="str">
            <v>LUSO-ROUX - LISBOA</v>
          </cell>
          <cell r="U37" t="str">
            <v>2023-06-28</v>
          </cell>
          <cell r="V37">
            <v>0</v>
          </cell>
          <cell r="W37" t="str">
            <v/>
          </cell>
          <cell r="X37" t="str">
            <v/>
          </cell>
          <cell r="Y37">
            <v>69600</v>
          </cell>
          <cell r="AA37">
            <v>57470</v>
          </cell>
          <cell r="AB37">
            <v>8307.2799999999988</v>
          </cell>
          <cell r="AC37">
            <v>0</v>
          </cell>
          <cell r="AD37">
            <v>0</v>
          </cell>
        </row>
        <row r="38">
          <cell r="A38">
            <v>23247</v>
          </cell>
          <cell r="B38" t="str">
            <v>GI</v>
          </cell>
          <cell r="C38" t="str">
            <v>TOTTAURBE-VIA CONSULTEAM</v>
          </cell>
          <cell r="D38" t="str">
            <v>Santarém - Quinta das Cortezes, Lote 11</v>
          </cell>
          <cell r="E38" t="str">
            <v/>
          </cell>
          <cell r="F38" t="str">
            <v/>
          </cell>
          <cell r="G38" t="str">
            <v/>
          </cell>
          <cell r="H38" t="str">
            <v>Compromissos</v>
          </cell>
          <cell r="I38" t="str">
            <v>TERRENO URBANO - Residencial</v>
          </cell>
          <cell r="J38" t="str">
            <v>2018-11-22</v>
          </cell>
          <cell r="K38">
            <v>69140.13</v>
          </cell>
          <cell r="L38">
            <v>6550.13</v>
          </cell>
          <cell r="M38">
            <v>62590</v>
          </cell>
          <cell r="N38">
            <v>9388.5</v>
          </cell>
          <cell r="O38">
            <v>62590</v>
          </cell>
          <cell r="P38">
            <v>0</v>
          </cell>
          <cell r="Q38" t="str">
            <v>2023-12-29</v>
          </cell>
          <cell r="R38">
            <v>100</v>
          </cell>
          <cell r="S38">
            <v>54000</v>
          </cell>
          <cell r="T38" t="str">
            <v>LUSO-ROUX - LISBOA</v>
          </cell>
          <cell r="U38" t="str">
            <v>2023-06-28</v>
          </cell>
          <cell r="V38">
            <v>0</v>
          </cell>
          <cell r="W38" t="str">
            <v/>
          </cell>
          <cell r="X38" t="str">
            <v/>
          </cell>
          <cell r="Y38">
            <v>75800</v>
          </cell>
          <cell r="AA38">
            <v>62590</v>
          </cell>
          <cell r="AB38">
            <v>6550.1300000000047</v>
          </cell>
          <cell r="AC38">
            <v>0</v>
          </cell>
          <cell r="AD38">
            <v>0</v>
          </cell>
        </row>
        <row r="39">
          <cell r="A39">
            <v>23248</v>
          </cell>
          <cell r="B39" t="str">
            <v>GI</v>
          </cell>
          <cell r="C39" t="str">
            <v>TOTTAURBE-VIA CONSULTEAM</v>
          </cell>
          <cell r="D39" t="str">
            <v>Santarém - Quinta das Cortezes, Lote 12</v>
          </cell>
          <cell r="E39" t="str">
            <v/>
          </cell>
          <cell r="F39" t="str">
            <v/>
          </cell>
          <cell r="G39" t="str">
            <v/>
          </cell>
          <cell r="H39" t="str">
            <v>Compromissos</v>
          </cell>
          <cell r="I39" t="str">
            <v>TERRENO URBANO - Residencial</v>
          </cell>
          <cell r="J39" t="str">
            <v>2018-11-22</v>
          </cell>
          <cell r="K39">
            <v>46539.78</v>
          </cell>
          <cell r="L39">
            <v>4679.78</v>
          </cell>
          <cell r="M39">
            <v>41860</v>
          </cell>
          <cell r="N39">
            <v>6279</v>
          </cell>
          <cell r="O39">
            <v>41860</v>
          </cell>
          <cell r="P39">
            <v>0</v>
          </cell>
          <cell r="Q39" t="str">
            <v>2023-12-29</v>
          </cell>
          <cell r="R39">
            <v>100</v>
          </cell>
          <cell r="S39">
            <v>36100</v>
          </cell>
          <cell r="T39" t="str">
            <v>LUSO-ROUX - LISBOA</v>
          </cell>
          <cell r="U39" t="str">
            <v>2023-06-28</v>
          </cell>
          <cell r="V39">
            <v>0</v>
          </cell>
          <cell r="W39" t="str">
            <v/>
          </cell>
          <cell r="X39" t="str">
            <v/>
          </cell>
          <cell r="Y39">
            <v>50700</v>
          </cell>
          <cell r="AA39">
            <v>41860</v>
          </cell>
          <cell r="AB39">
            <v>4679.7799999999988</v>
          </cell>
          <cell r="AC39">
            <v>0</v>
          </cell>
          <cell r="AD39">
            <v>0</v>
          </cell>
        </row>
        <row r="40">
          <cell r="A40">
            <v>23249</v>
          </cell>
          <cell r="B40" t="str">
            <v>GI</v>
          </cell>
          <cell r="C40" t="str">
            <v>TOTTAURBE-VIA CONSULTEAM</v>
          </cell>
          <cell r="D40" t="str">
            <v>Santarém - Quinta das Cortezes, Lote 13</v>
          </cell>
          <cell r="E40" t="str">
            <v/>
          </cell>
          <cell r="F40" t="str">
            <v/>
          </cell>
          <cell r="G40" t="str">
            <v/>
          </cell>
          <cell r="H40" t="str">
            <v>Compromissos</v>
          </cell>
          <cell r="I40" t="str">
            <v>TERRENO URBANO - Residencial</v>
          </cell>
          <cell r="J40" t="str">
            <v>2018-11-22</v>
          </cell>
          <cell r="K40">
            <v>51731.76</v>
          </cell>
          <cell r="L40">
            <v>5741.76</v>
          </cell>
          <cell r="M40">
            <v>45990</v>
          </cell>
          <cell r="N40">
            <v>6898.5</v>
          </cell>
          <cell r="O40">
            <v>45990</v>
          </cell>
          <cell r="P40">
            <v>0</v>
          </cell>
          <cell r="Q40" t="str">
            <v>2023-12-29</v>
          </cell>
          <cell r="R40">
            <v>100</v>
          </cell>
          <cell r="S40">
            <v>39700</v>
          </cell>
          <cell r="T40" t="str">
            <v>LUSO-ROUX - LISBOA</v>
          </cell>
          <cell r="U40" t="str">
            <v>2023-06-28</v>
          </cell>
          <cell r="V40">
            <v>0</v>
          </cell>
          <cell r="W40" t="str">
            <v/>
          </cell>
          <cell r="X40" t="str">
            <v/>
          </cell>
          <cell r="Y40">
            <v>55700</v>
          </cell>
          <cell r="AA40">
            <v>45990</v>
          </cell>
          <cell r="AB40">
            <v>5741.760000000002</v>
          </cell>
          <cell r="AC40">
            <v>0</v>
          </cell>
          <cell r="AD40">
            <v>0</v>
          </cell>
        </row>
        <row r="41">
          <cell r="A41">
            <v>23250</v>
          </cell>
          <cell r="B41" t="str">
            <v>GI</v>
          </cell>
          <cell r="C41" t="str">
            <v>TOTTAURBE-VIA CONSULTEAM</v>
          </cell>
          <cell r="D41" t="str">
            <v>Santarém - Quinta das Cortezes, Lote 14</v>
          </cell>
          <cell r="E41" t="str">
            <v/>
          </cell>
          <cell r="F41" t="str">
            <v/>
          </cell>
          <cell r="G41" t="str">
            <v/>
          </cell>
          <cell r="H41" t="str">
            <v>Compromissos</v>
          </cell>
          <cell r="I41" t="str">
            <v>TERRENO URBANO - Residencial</v>
          </cell>
          <cell r="J41" t="str">
            <v>2018-11-22</v>
          </cell>
          <cell r="K41">
            <v>50631.76</v>
          </cell>
          <cell r="L41">
            <v>12891.76</v>
          </cell>
          <cell r="M41">
            <v>37740</v>
          </cell>
          <cell r="N41">
            <v>5661</v>
          </cell>
          <cell r="O41">
            <v>37740</v>
          </cell>
          <cell r="P41">
            <v>0</v>
          </cell>
          <cell r="Q41" t="str">
            <v>2023-12-29</v>
          </cell>
          <cell r="R41">
            <v>100</v>
          </cell>
          <cell r="S41">
            <v>32600</v>
          </cell>
          <cell r="T41" t="str">
            <v>LUSO-ROUX - LISBOA</v>
          </cell>
          <cell r="U41" t="str">
            <v>2023-06-28</v>
          </cell>
          <cell r="V41">
            <v>0</v>
          </cell>
          <cell r="W41" t="str">
            <v/>
          </cell>
          <cell r="X41" t="str">
            <v/>
          </cell>
          <cell r="Y41">
            <v>45700</v>
          </cell>
          <cell r="AA41">
            <v>37740</v>
          </cell>
          <cell r="AB41">
            <v>12891.760000000002</v>
          </cell>
          <cell r="AC41">
            <v>0</v>
          </cell>
          <cell r="AD41">
            <v>0</v>
          </cell>
        </row>
        <row r="42">
          <cell r="A42">
            <v>23251</v>
          </cell>
          <cell r="B42" t="str">
            <v>GI</v>
          </cell>
          <cell r="C42" t="str">
            <v>TOTTAURBE-VIA CONSULTEAM</v>
          </cell>
          <cell r="D42" t="str">
            <v>Santarém - Quinta das Cortezes, Lote 15</v>
          </cell>
          <cell r="E42" t="str">
            <v/>
          </cell>
          <cell r="F42" t="str">
            <v/>
          </cell>
          <cell r="G42" t="str">
            <v/>
          </cell>
          <cell r="H42" t="str">
            <v>Compromissos</v>
          </cell>
          <cell r="I42" t="str">
            <v>TERRENO URBANO - Residencial</v>
          </cell>
          <cell r="J42" t="str">
            <v>2018-11-22</v>
          </cell>
          <cell r="K42">
            <v>33661.39</v>
          </cell>
          <cell r="L42">
            <v>881.39</v>
          </cell>
          <cell r="M42">
            <v>32780</v>
          </cell>
          <cell r="N42">
            <v>4917</v>
          </cell>
          <cell r="O42">
            <v>32780</v>
          </cell>
          <cell r="P42">
            <v>0</v>
          </cell>
          <cell r="Q42" t="str">
            <v>2023-12-29</v>
          </cell>
          <cell r="R42">
            <v>100</v>
          </cell>
          <cell r="S42">
            <v>28300</v>
          </cell>
          <cell r="T42" t="str">
            <v>LUSO-ROUX - LISBOA</v>
          </cell>
          <cell r="U42" t="str">
            <v>2023-06-28</v>
          </cell>
          <cell r="V42">
            <v>0</v>
          </cell>
          <cell r="W42" t="str">
            <v/>
          </cell>
          <cell r="X42" t="str">
            <v/>
          </cell>
          <cell r="Y42">
            <v>39700</v>
          </cell>
          <cell r="AA42">
            <v>32780</v>
          </cell>
          <cell r="AB42">
            <v>881.38999999999942</v>
          </cell>
          <cell r="AC42">
            <v>0</v>
          </cell>
          <cell r="AD42">
            <v>0</v>
          </cell>
        </row>
        <row r="43">
          <cell r="A43">
            <v>23252</v>
          </cell>
          <cell r="B43" t="str">
            <v>GI</v>
          </cell>
          <cell r="C43" t="str">
            <v>TOTTAURBE-VIA CONSULTEAM</v>
          </cell>
          <cell r="D43" t="str">
            <v>Santarém - Quinta das Cortezes, Lote 18</v>
          </cell>
          <cell r="E43" t="str">
            <v/>
          </cell>
          <cell r="F43" t="str">
            <v/>
          </cell>
          <cell r="G43" t="str">
            <v/>
          </cell>
          <cell r="H43" t="str">
            <v>Compromissos</v>
          </cell>
          <cell r="I43" t="str">
            <v>TERRENO URBANO - Residencial</v>
          </cell>
          <cell r="J43" t="str">
            <v>2018-11-22</v>
          </cell>
          <cell r="K43">
            <v>29454.04</v>
          </cell>
          <cell r="L43">
            <v>0</v>
          </cell>
          <cell r="M43">
            <v>29454.04</v>
          </cell>
          <cell r="N43">
            <v>5661</v>
          </cell>
          <cell r="O43">
            <v>37740</v>
          </cell>
          <cell r="P43">
            <v>0</v>
          </cell>
          <cell r="Q43" t="str">
            <v>2023-12-29</v>
          </cell>
          <cell r="R43">
            <v>100</v>
          </cell>
          <cell r="S43">
            <v>32600</v>
          </cell>
          <cell r="T43" t="str">
            <v>LUSO-ROUX - LISBOA</v>
          </cell>
          <cell r="U43" t="str">
            <v>2023-06-28</v>
          </cell>
          <cell r="V43">
            <v>0</v>
          </cell>
          <cell r="W43" t="str">
            <v/>
          </cell>
          <cell r="X43" t="str">
            <v/>
          </cell>
          <cell r="Y43">
            <v>45700</v>
          </cell>
          <cell r="AA43">
            <v>37740</v>
          </cell>
          <cell r="AB43">
            <v>0</v>
          </cell>
          <cell r="AC43">
            <v>0</v>
          </cell>
          <cell r="AD43">
            <v>0</v>
          </cell>
        </row>
        <row r="44">
          <cell r="A44">
            <v>23253</v>
          </cell>
          <cell r="B44" t="str">
            <v>GI</v>
          </cell>
          <cell r="C44" t="str">
            <v>TOTTAURBE-VIA CONSULTEAM</v>
          </cell>
          <cell r="D44" t="str">
            <v>Santarém - Quinta das Cortezes, Lote 20</v>
          </cell>
          <cell r="E44" t="str">
            <v/>
          </cell>
          <cell r="F44" t="str">
            <v/>
          </cell>
          <cell r="G44" t="str">
            <v/>
          </cell>
          <cell r="H44" t="str">
            <v>Compromissos</v>
          </cell>
          <cell r="I44" t="str">
            <v>TERRENO URBANO - Residencial</v>
          </cell>
          <cell r="J44" t="str">
            <v>2018-11-22</v>
          </cell>
          <cell r="K44">
            <v>37060.15</v>
          </cell>
          <cell r="L44">
            <v>1310.1500000000001</v>
          </cell>
          <cell r="M44">
            <v>35750</v>
          </cell>
          <cell r="N44">
            <v>5362.5</v>
          </cell>
          <cell r="O44">
            <v>35750</v>
          </cell>
          <cell r="P44">
            <v>0</v>
          </cell>
          <cell r="Q44" t="str">
            <v>2023-12-29</v>
          </cell>
          <cell r="R44">
            <v>100</v>
          </cell>
          <cell r="S44">
            <v>30900</v>
          </cell>
          <cell r="T44" t="str">
            <v>LUSO-ROUX - LISBOA</v>
          </cell>
          <cell r="U44" t="str">
            <v>2023-06-28</v>
          </cell>
          <cell r="V44">
            <v>0</v>
          </cell>
          <cell r="W44" t="str">
            <v/>
          </cell>
          <cell r="X44" t="str">
            <v/>
          </cell>
          <cell r="Y44">
            <v>43300</v>
          </cell>
          <cell r="AA44">
            <v>35750</v>
          </cell>
          <cell r="AB44">
            <v>1310.1500000000015</v>
          </cell>
          <cell r="AC44">
            <v>0</v>
          </cell>
          <cell r="AD44">
            <v>0</v>
          </cell>
        </row>
        <row r="45">
          <cell r="A45">
            <v>23254</v>
          </cell>
          <cell r="B45" t="str">
            <v>GI</v>
          </cell>
          <cell r="C45" t="str">
            <v>TOTTAURBE-VIA CONSULTEAM</v>
          </cell>
          <cell r="D45" t="str">
            <v>Santarém - Quinta das Cortezes, Lote 21</v>
          </cell>
          <cell r="E45" t="str">
            <v/>
          </cell>
          <cell r="F45" t="str">
            <v/>
          </cell>
          <cell r="G45" t="str">
            <v/>
          </cell>
          <cell r="H45" t="str">
            <v>Compromissos</v>
          </cell>
          <cell r="I45" t="str">
            <v>TERRENO URBANO - Residencial</v>
          </cell>
          <cell r="J45" t="str">
            <v>2018-11-22</v>
          </cell>
          <cell r="K45">
            <v>39329.67</v>
          </cell>
          <cell r="L45">
            <v>769.67</v>
          </cell>
          <cell r="M45">
            <v>38560</v>
          </cell>
          <cell r="N45">
            <v>5784</v>
          </cell>
          <cell r="O45">
            <v>38560</v>
          </cell>
          <cell r="P45">
            <v>0</v>
          </cell>
          <cell r="Q45" t="str">
            <v>2023-12-29</v>
          </cell>
          <cell r="R45">
            <v>100</v>
          </cell>
          <cell r="S45">
            <v>33300</v>
          </cell>
          <cell r="T45" t="str">
            <v>LUSO-ROUX - LISBOA</v>
          </cell>
          <cell r="U45" t="str">
            <v>2023-06-28</v>
          </cell>
          <cell r="V45">
            <v>0</v>
          </cell>
          <cell r="W45" t="str">
            <v/>
          </cell>
          <cell r="X45" t="str">
            <v/>
          </cell>
          <cell r="Y45">
            <v>46700</v>
          </cell>
          <cell r="AA45">
            <v>38560</v>
          </cell>
          <cell r="AB45">
            <v>769.66999999999825</v>
          </cell>
          <cell r="AC45">
            <v>0</v>
          </cell>
          <cell r="AD45">
            <v>0</v>
          </cell>
        </row>
        <row r="46">
          <cell r="A46">
            <v>23255</v>
          </cell>
          <cell r="B46" t="str">
            <v>GI</v>
          </cell>
          <cell r="C46" t="str">
            <v>TOTTAURBE-VIA CONSULTEAM</v>
          </cell>
          <cell r="D46" t="str">
            <v>Santarém - Quinta das Cortezes, Lote 22</v>
          </cell>
          <cell r="E46" t="str">
            <v/>
          </cell>
          <cell r="F46" t="str">
            <v/>
          </cell>
          <cell r="G46" t="str">
            <v/>
          </cell>
          <cell r="H46" t="str">
            <v>Compromissos</v>
          </cell>
          <cell r="I46" t="str">
            <v>TERRENO URBANO - Residencial</v>
          </cell>
          <cell r="J46" t="str">
            <v>2018-11-22</v>
          </cell>
          <cell r="K46">
            <v>38245.54</v>
          </cell>
          <cell r="L46">
            <v>1335.54</v>
          </cell>
          <cell r="M46">
            <v>36910</v>
          </cell>
          <cell r="N46">
            <v>5536.5</v>
          </cell>
          <cell r="O46">
            <v>36910</v>
          </cell>
          <cell r="P46">
            <v>0</v>
          </cell>
          <cell r="Q46" t="str">
            <v>2023-12-29</v>
          </cell>
          <cell r="R46">
            <v>100</v>
          </cell>
          <cell r="S46">
            <v>31900</v>
          </cell>
          <cell r="T46" t="str">
            <v>LUSO-ROUX - LISBOA</v>
          </cell>
          <cell r="U46" t="str">
            <v>2023-06-28</v>
          </cell>
          <cell r="V46">
            <v>0</v>
          </cell>
          <cell r="W46" t="str">
            <v/>
          </cell>
          <cell r="X46" t="str">
            <v/>
          </cell>
          <cell r="Y46">
            <v>44700</v>
          </cell>
          <cell r="AA46">
            <v>36910</v>
          </cell>
          <cell r="AB46">
            <v>1335.5400000000009</v>
          </cell>
          <cell r="AC46">
            <v>0</v>
          </cell>
          <cell r="AD46">
            <v>0</v>
          </cell>
        </row>
        <row r="47">
          <cell r="A47">
            <v>23256</v>
          </cell>
          <cell r="B47" t="str">
            <v>GI</v>
          </cell>
          <cell r="C47" t="str">
            <v>TOTTAURBE-VIA CONSULTEAM</v>
          </cell>
          <cell r="D47" t="str">
            <v>Santarém - Quinta das Cortezes, Lote 23</v>
          </cell>
          <cell r="E47" t="str">
            <v/>
          </cell>
          <cell r="F47" t="str">
            <v/>
          </cell>
          <cell r="G47" t="str">
            <v/>
          </cell>
          <cell r="H47" t="str">
            <v>Compromissos</v>
          </cell>
          <cell r="I47" t="str">
            <v>TERRENO URBANO - Residencial</v>
          </cell>
          <cell r="J47" t="str">
            <v>2018-11-22</v>
          </cell>
          <cell r="K47">
            <v>67048.149999999994</v>
          </cell>
          <cell r="L47">
            <v>8508.15</v>
          </cell>
          <cell r="M47">
            <v>58540</v>
          </cell>
          <cell r="N47">
            <v>8781</v>
          </cell>
          <cell r="O47">
            <v>58540</v>
          </cell>
          <cell r="P47">
            <v>0</v>
          </cell>
          <cell r="Q47" t="str">
            <v>2023-12-29</v>
          </cell>
          <cell r="R47">
            <v>100</v>
          </cell>
          <cell r="S47">
            <v>50500</v>
          </cell>
          <cell r="T47" t="str">
            <v>LUSO-ROUX - LISBOA</v>
          </cell>
          <cell r="U47" t="str">
            <v>2023-06-28</v>
          </cell>
          <cell r="V47">
            <v>0</v>
          </cell>
          <cell r="W47" t="str">
            <v/>
          </cell>
          <cell r="X47" t="str">
            <v/>
          </cell>
          <cell r="Y47">
            <v>70900</v>
          </cell>
          <cell r="AA47">
            <v>58540</v>
          </cell>
          <cell r="AB47">
            <v>8508.1499999999942</v>
          </cell>
          <cell r="AC47">
            <v>0</v>
          </cell>
          <cell r="AD47">
            <v>0</v>
          </cell>
        </row>
        <row r="48">
          <cell r="A48">
            <v>23257</v>
          </cell>
          <cell r="B48" t="str">
            <v>GI</v>
          </cell>
          <cell r="C48" t="str">
            <v>TOTTAURBE-VIA CONSULTEAM</v>
          </cell>
          <cell r="D48" t="str">
            <v>Santarém - Quinta das Cortezes, Lote 24</v>
          </cell>
          <cell r="E48" t="str">
            <v/>
          </cell>
          <cell r="F48" t="str">
            <v/>
          </cell>
          <cell r="G48" t="str">
            <v/>
          </cell>
          <cell r="H48" t="str">
            <v>Compromissos</v>
          </cell>
          <cell r="I48" t="str">
            <v>TERRENO URBANO - Residencial</v>
          </cell>
          <cell r="J48" t="str">
            <v>2018-11-22</v>
          </cell>
          <cell r="K48">
            <v>36435.08</v>
          </cell>
          <cell r="L48">
            <v>1675.08</v>
          </cell>
          <cell r="M48">
            <v>34760</v>
          </cell>
          <cell r="N48">
            <v>5214</v>
          </cell>
          <cell r="O48">
            <v>34760</v>
          </cell>
          <cell r="P48">
            <v>0</v>
          </cell>
          <cell r="Q48" t="str">
            <v>2023-12-29</v>
          </cell>
          <cell r="R48">
            <v>100</v>
          </cell>
          <cell r="S48">
            <v>30000</v>
          </cell>
          <cell r="T48" t="str">
            <v>LUSO-ROUX - LISBOA</v>
          </cell>
          <cell r="U48" t="str">
            <v>2023-06-28</v>
          </cell>
          <cell r="V48">
            <v>0</v>
          </cell>
          <cell r="W48" t="str">
            <v/>
          </cell>
          <cell r="X48" t="str">
            <v/>
          </cell>
          <cell r="Y48">
            <v>42100</v>
          </cell>
          <cell r="AA48">
            <v>34760</v>
          </cell>
          <cell r="AB48">
            <v>1675.0800000000017</v>
          </cell>
          <cell r="AC48">
            <v>0</v>
          </cell>
          <cell r="AD48">
            <v>0</v>
          </cell>
        </row>
        <row r="49">
          <cell r="A49">
            <v>23258</v>
          </cell>
          <cell r="B49" t="str">
            <v>GI</v>
          </cell>
          <cell r="C49" t="str">
            <v>TOTTAURBE-VIA CONSULTEAM</v>
          </cell>
          <cell r="D49" t="str">
            <v>Santarém - Quinta das Cortezes, Lote 25</v>
          </cell>
          <cell r="E49" t="str">
            <v/>
          </cell>
          <cell r="F49" t="str">
            <v/>
          </cell>
          <cell r="G49" t="str">
            <v/>
          </cell>
          <cell r="H49" t="str">
            <v>Compromissos</v>
          </cell>
          <cell r="I49" t="str">
            <v>TERRENO URBANO - Residencial</v>
          </cell>
          <cell r="J49" t="str">
            <v>2018-11-22</v>
          </cell>
          <cell r="K49">
            <v>37022.82</v>
          </cell>
          <cell r="L49">
            <v>1432.82</v>
          </cell>
          <cell r="M49">
            <v>35590</v>
          </cell>
          <cell r="N49">
            <v>5338.5</v>
          </cell>
          <cell r="O49">
            <v>35590</v>
          </cell>
          <cell r="P49">
            <v>0</v>
          </cell>
          <cell r="Q49" t="str">
            <v>2023-12-29</v>
          </cell>
          <cell r="R49">
            <v>100</v>
          </cell>
          <cell r="S49">
            <v>30700</v>
          </cell>
          <cell r="T49" t="str">
            <v>LUSO-ROUX - LISBOA</v>
          </cell>
          <cell r="U49" t="str">
            <v>2023-06-28</v>
          </cell>
          <cell r="V49">
            <v>0</v>
          </cell>
          <cell r="W49" t="str">
            <v/>
          </cell>
          <cell r="X49" t="str">
            <v/>
          </cell>
          <cell r="Y49">
            <v>43100</v>
          </cell>
          <cell r="AA49">
            <v>35590</v>
          </cell>
          <cell r="AB49">
            <v>1432.8199999999997</v>
          </cell>
          <cell r="AC49">
            <v>0</v>
          </cell>
          <cell r="AD49">
            <v>0</v>
          </cell>
        </row>
        <row r="50">
          <cell r="A50">
            <v>23259</v>
          </cell>
          <cell r="B50" t="str">
            <v>GI</v>
          </cell>
          <cell r="C50" t="str">
            <v>TOTTAURBE-VIA CONSULTEAM</v>
          </cell>
          <cell r="D50" t="str">
            <v>Santarém - Quinta das Cortezes, Lote 26</v>
          </cell>
          <cell r="E50" t="str">
            <v/>
          </cell>
          <cell r="F50" t="str">
            <v/>
          </cell>
          <cell r="G50" t="str">
            <v/>
          </cell>
          <cell r="H50" t="str">
            <v>Compromissos</v>
          </cell>
          <cell r="I50" t="str">
            <v>TERRENO URBANO - Residencial</v>
          </cell>
          <cell r="J50" t="str">
            <v>2018-11-22</v>
          </cell>
          <cell r="K50">
            <v>70475.38</v>
          </cell>
          <cell r="L50">
            <v>11195.38</v>
          </cell>
          <cell r="M50">
            <v>59280</v>
          </cell>
          <cell r="N50">
            <v>8892</v>
          </cell>
          <cell r="O50">
            <v>59280</v>
          </cell>
          <cell r="P50">
            <v>0</v>
          </cell>
          <cell r="Q50" t="str">
            <v>2023-12-29</v>
          </cell>
          <cell r="R50">
            <v>100</v>
          </cell>
          <cell r="S50">
            <v>51200</v>
          </cell>
          <cell r="T50" t="str">
            <v>LUSO-ROUX - LISBOA</v>
          </cell>
          <cell r="U50" t="str">
            <v>2023-06-28</v>
          </cell>
          <cell r="V50">
            <v>0</v>
          </cell>
          <cell r="W50" t="str">
            <v/>
          </cell>
          <cell r="X50" t="str">
            <v/>
          </cell>
          <cell r="Y50">
            <v>71800</v>
          </cell>
          <cell r="AA50">
            <v>59280</v>
          </cell>
          <cell r="AB50">
            <v>11195.380000000005</v>
          </cell>
          <cell r="AC50">
            <v>0</v>
          </cell>
          <cell r="AD50">
            <v>0</v>
          </cell>
        </row>
        <row r="51">
          <cell r="A51">
            <v>23260</v>
          </cell>
          <cell r="B51" t="str">
            <v>GI</v>
          </cell>
          <cell r="C51" t="str">
            <v>TOTTAURBE-VIA CONSULTEAM</v>
          </cell>
          <cell r="D51" t="str">
            <v>Santarém - Quinta das Cortezes, Lote 27</v>
          </cell>
          <cell r="E51" t="str">
            <v/>
          </cell>
          <cell r="F51" t="str">
            <v/>
          </cell>
          <cell r="G51" t="str">
            <v/>
          </cell>
          <cell r="H51" t="str">
            <v>Compromissos</v>
          </cell>
          <cell r="I51" t="str">
            <v>TERRENO URBANO - Residencial</v>
          </cell>
          <cell r="J51" t="str">
            <v>2018-11-22</v>
          </cell>
          <cell r="K51">
            <v>77264.63</v>
          </cell>
          <cell r="L51">
            <v>10804.63</v>
          </cell>
          <cell r="M51">
            <v>66460</v>
          </cell>
          <cell r="N51">
            <v>9969</v>
          </cell>
          <cell r="O51">
            <v>66460</v>
          </cell>
          <cell r="P51">
            <v>0</v>
          </cell>
          <cell r="Q51" t="str">
            <v>2023-12-29</v>
          </cell>
          <cell r="R51">
            <v>100</v>
          </cell>
          <cell r="S51">
            <v>57400</v>
          </cell>
          <cell r="T51" t="str">
            <v>LUSO-ROUX - LISBOA</v>
          </cell>
          <cell r="U51" t="str">
            <v>2023-06-28</v>
          </cell>
          <cell r="V51">
            <v>0</v>
          </cell>
          <cell r="W51" t="str">
            <v/>
          </cell>
          <cell r="X51" t="str">
            <v/>
          </cell>
          <cell r="Y51">
            <v>80500</v>
          </cell>
          <cell r="AA51">
            <v>66460</v>
          </cell>
          <cell r="AB51">
            <v>10804.630000000005</v>
          </cell>
          <cell r="AC51">
            <v>0</v>
          </cell>
          <cell r="AD51">
            <v>0</v>
          </cell>
        </row>
        <row r="52">
          <cell r="A52">
            <v>23261</v>
          </cell>
          <cell r="B52" t="str">
            <v>GI</v>
          </cell>
          <cell r="C52" t="str">
            <v>TOTTAURBE-VIA CONSULTEAM</v>
          </cell>
          <cell r="D52" t="str">
            <v>Santarém - Quinta das Cortezes, Lote 28</v>
          </cell>
          <cell r="E52" t="str">
            <v/>
          </cell>
          <cell r="F52" t="str">
            <v/>
          </cell>
          <cell r="G52" t="str">
            <v/>
          </cell>
          <cell r="H52" t="str">
            <v>Compromissos</v>
          </cell>
          <cell r="I52" t="str">
            <v>TERRENO URBANO - Residencial</v>
          </cell>
          <cell r="J52" t="str">
            <v>2018-11-22</v>
          </cell>
          <cell r="K52">
            <v>56881.14</v>
          </cell>
          <cell r="L52">
            <v>7011.14</v>
          </cell>
          <cell r="M52">
            <v>49870</v>
          </cell>
          <cell r="N52">
            <v>7480.5</v>
          </cell>
          <cell r="O52">
            <v>49870</v>
          </cell>
          <cell r="P52">
            <v>0</v>
          </cell>
          <cell r="Q52" t="str">
            <v>2023-12-29</v>
          </cell>
          <cell r="R52">
            <v>100</v>
          </cell>
          <cell r="S52">
            <v>43100</v>
          </cell>
          <cell r="T52" t="str">
            <v>LUSO-ROUX - LISBOA</v>
          </cell>
          <cell r="U52" t="str">
            <v>2023-06-28</v>
          </cell>
          <cell r="V52">
            <v>0</v>
          </cell>
          <cell r="W52" t="str">
            <v/>
          </cell>
          <cell r="X52" t="str">
            <v/>
          </cell>
          <cell r="Y52">
            <v>60400</v>
          </cell>
          <cell r="AA52">
            <v>49870</v>
          </cell>
          <cell r="AB52">
            <v>7011.1399999999994</v>
          </cell>
          <cell r="AC52">
            <v>0</v>
          </cell>
          <cell r="AD52">
            <v>0</v>
          </cell>
        </row>
        <row r="53">
          <cell r="A53">
            <v>23262</v>
          </cell>
          <cell r="B53" t="str">
            <v>GI</v>
          </cell>
          <cell r="C53" t="str">
            <v>TOTTAURBE-VIA CONSULTEAM</v>
          </cell>
          <cell r="D53" t="str">
            <v>Santarém - Quinta das Cortezes, Lote 29</v>
          </cell>
          <cell r="E53" t="str">
            <v/>
          </cell>
          <cell r="F53" t="str">
            <v/>
          </cell>
          <cell r="G53" t="str">
            <v/>
          </cell>
          <cell r="H53" t="str">
            <v>Compromissos</v>
          </cell>
          <cell r="I53" t="str">
            <v>TERRENO URBANO - Residencial</v>
          </cell>
          <cell r="J53" t="str">
            <v>2018-11-22</v>
          </cell>
          <cell r="K53">
            <v>75678.67</v>
          </cell>
          <cell r="L53">
            <v>11858.67</v>
          </cell>
          <cell r="M53">
            <v>63820</v>
          </cell>
          <cell r="N53">
            <v>9573</v>
          </cell>
          <cell r="O53">
            <v>63820</v>
          </cell>
          <cell r="P53">
            <v>0</v>
          </cell>
          <cell r="Q53" t="str">
            <v>2023-12-29</v>
          </cell>
          <cell r="R53">
            <v>100</v>
          </cell>
          <cell r="S53">
            <v>55100</v>
          </cell>
          <cell r="T53" t="str">
            <v>LUSO-ROUX - LISBOA</v>
          </cell>
          <cell r="U53" t="str">
            <v>2023-06-28</v>
          </cell>
          <cell r="V53">
            <v>0</v>
          </cell>
          <cell r="W53" t="str">
            <v/>
          </cell>
          <cell r="X53" t="str">
            <v/>
          </cell>
          <cell r="Y53">
            <v>77300</v>
          </cell>
          <cell r="AA53">
            <v>63820</v>
          </cell>
          <cell r="AB53">
            <v>11858.669999999998</v>
          </cell>
          <cell r="AC53">
            <v>0</v>
          </cell>
          <cell r="AD53">
            <v>0</v>
          </cell>
        </row>
        <row r="54">
          <cell r="A54">
            <v>23263</v>
          </cell>
          <cell r="B54" t="str">
            <v>GI</v>
          </cell>
          <cell r="C54" t="str">
            <v>TOTTAURBE-VIA CONSULTEAM</v>
          </cell>
          <cell r="D54" t="str">
            <v>Santarém - Quinta das Cortezes, Lote 30</v>
          </cell>
          <cell r="E54" t="str">
            <v/>
          </cell>
          <cell r="F54" t="str">
            <v/>
          </cell>
          <cell r="G54" t="str">
            <v/>
          </cell>
          <cell r="H54" t="str">
            <v>Compromissos</v>
          </cell>
          <cell r="I54" t="str">
            <v>TERRENO URBANO - Residencial</v>
          </cell>
          <cell r="J54" t="str">
            <v>2018-11-22</v>
          </cell>
          <cell r="K54">
            <v>75677.36</v>
          </cell>
          <cell r="L54">
            <v>11857.36</v>
          </cell>
          <cell r="M54">
            <v>63820</v>
          </cell>
          <cell r="N54">
            <v>9573</v>
          </cell>
          <cell r="O54">
            <v>63820</v>
          </cell>
          <cell r="P54">
            <v>0</v>
          </cell>
          <cell r="Q54" t="str">
            <v>2023-12-29</v>
          </cell>
          <cell r="R54">
            <v>100</v>
          </cell>
          <cell r="S54">
            <v>55100</v>
          </cell>
          <cell r="T54" t="str">
            <v>LUSO-ROUX - LISBOA</v>
          </cell>
          <cell r="U54" t="str">
            <v>2023-06-28</v>
          </cell>
          <cell r="V54">
            <v>0</v>
          </cell>
          <cell r="W54" t="str">
            <v/>
          </cell>
          <cell r="X54" t="str">
            <v/>
          </cell>
          <cell r="Y54">
            <v>77300</v>
          </cell>
          <cell r="AA54">
            <v>63820</v>
          </cell>
          <cell r="AB54">
            <v>11857.36</v>
          </cell>
          <cell r="AC54">
            <v>0</v>
          </cell>
          <cell r="AD54">
            <v>0</v>
          </cell>
        </row>
        <row r="55">
          <cell r="A55">
            <v>23264</v>
          </cell>
          <cell r="B55" t="str">
            <v>GI</v>
          </cell>
          <cell r="C55" t="str">
            <v>TOTTAURBE-VIA CONSULTEAM</v>
          </cell>
          <cell r="D55" t="str">
            <v>Santarém - Quinta das Cortezes, Lote 31</v>
          </cell>
          <cell r="E55" t="str">
            <v/>
          </cell>
          <cell r="F55" t="str">
            <v/>
          </cell>
          <cell r="G55" t="str">
            <v/>
          </cell>
          <cell r="H55" t="str">
            <v>Compromissos</v>
          </cell>
          <cell r="I55" t="str">
            <v>TERRENO URBANO - Residencial</v>
          </cell>
          <cell r="J55" t="str">
            <v>2018-11-22</v>
          </cell>
          <cell r="K55">
            <v>70221.740000000005</v>
          </cell>
          <cell r="L55">
            <v>12831.74</v>
          </cell>
          <cell r="M55">
            <v>57390</v>
          </cell>
          <cell r="N55">
            <v>8608.5</v>
          </cell>
          <cell r="O55">
            <v>57390</v>
          </cell>
          <cell r="P55">
            <v>0</v>
          </cell>
          <cell r="Q55" t="str">
            <v>2023-12-29</v>
          </cell>
          <cell r="R55">
            <v>100</v>
          </cell>
          <cell r="S55">
            <v>49500</v>
          </cell>
          <cell r="T55" t="str">
            <v>LUSO-ROUX - LISBOA</v>
          </cell>
          <cell r="U55" t="str">
            <v>2023-06-28</v>
          </cell>
          <cell r="V55">
            <v>0</v>
          </cell>
          <cell r="W55" t="str">
            <v/>
          </cell>
          <cell r="X55" t="str">
            <v/>
          </cell>
          <cell r="Y55">
            <v>69500</v>
          </cell>
          <cell r="AA55">
            <v>57390</v>
          </cell>
          <cell r="AB55">
            <v>12831.740000000005</v>
          </cell>
          <cell r="AC55">
            <v>0</v>
          </cell>
          <cell r="AD55">
            <v>0</v>
          </cell>
        </row>
        <row r="56">
          <cell r="A56">
            <v>23265</v>
          </cell>
          <cell r="B56" t="str">
            <v>GI</v>
          </cell>
          <cell r="C56" t="str">
            <v>TOTTAURBE-VIA CONSULTEAM</v>
          </cell>
          <cell r="D56" t="str">
            <v>Santarém - Quinta das Cortezes, Lote 32</v>
          </cell>
          <cell r="E56" t="str">
            <v/>
          </cell>
          <cell r="F56" t="str">
            <v/>
          </cell>
          <cell r="G56" t="str">
            <v/>
          </cell>
          <cell r="H56" t="str">
            <v>Compromissos</v>
          </cell>
          <cell r="I56" t="str">
            <v>TERRENO URBANO - Residencial</v>
          </cell>
          <cell r="J56" t="str">
            <v>2018-11-22</v>
          </cell>
          <cell r="K56">
            <v>42119.71</v>
          </cell>
          <cell r="L56">
            <v>2729.71</v>
          </cell>
          <cell r="M56">
            <v>39390</v>
          </cell>
          <cell r="N56">
            <v>5908.5</v>
          </cell>
          <cell r="O56">
            <v>39390</v>
          </cell>
          <cell r="P56">
            <v>0</v>
          </cell>
          <cell r="Q56" t="str">
            <v>2023-12-29</v>
          </cell>
          <cell r="R56">
            <v>100</v>
          </cell>
          <cell r="S56">
            <v>34000</v>
          </cell>
          <cell r="T56" t="str">
            <v>LUSO-ROUX - LISBOA</v>
          </cell>
          <cell r="U56" t="str">
            <v>2023-06-28</v>
          </cell>
          <cell r="V56">
            <v>0</v>
          </cell>
          <cell r="W56" t="str">
            <v/>
          </cell>
          <cell r="X56" t="str">
            <v/>
          </cell>
          <cell r="Y56">
            <v>47700</v>
          </cell>
          <cell r="AA56">
            <v>39390</v>
          </cell>
          <cell r="AB56">
            <v>2729.7099999999991</v>
          </cell>
          <cell r="AC56">
            <v>0</v>
          </cell>
          <cell r="AD56">
            <v>0</v>
          </cell>
        </row>
        <row r="57">
          <cell r="A57">
            <v>23266</v>
          </cell>
          <cell r="B57" t="str">
            <v>GI</v>
          </cell>
          <cell r="C57" t="str">
            <v>TOTTAURBE-VIA CONSULTEAM</v>
          </cell>
          <cell r="D57" t="str">
            <v>Santarém - Quinta das Cortezes, Lote 33</v>
          </cell>
          <cell r="E57" t="str">
            <v/>
          </cell>
          <cell r="F57" t="str">
            <v/>
          </cell>
          <cell r="G57" t="str">
            <v/>
          </cell>
          <cell r="H57" t="str">
            <v>Compromissos</v>
          </cell>
          <cell r="I57" t="str">
            <v>TERRENO URBANO - Residencial</v>
          </cell>
          <cell r="J57" t="str">
            <v>2018-11-22</v>
          </cell>
          <cell r="K57">
            <v>27062.89</v>
          </cell>
          <cell r="L57">
            <v>4272.8900000000003</v>
          </cell>
          <cell r="M57">
            <v>22790</v>
          </cell>
          <cell r="N57">
            <v>3418.5</v>
          </cell>
          <cell r="O57">
            <v>22790</v>
          </cell>
          <cell r="P57">
            <v>0</v>
          </cell>
          <cell r="Q57" t="str">
            <v>2023-12-29</v>
          </cell>
          <cell r="R57">
            <v>100</v>
          </cell>
          <cell r="S57">
            <v>19700</v>
          </cell>
          <cell r="T57" t="str">
            <v>LUSO-ROUX - LISBOA</v>
          </cell>
          <cell r="U57" t="str">
            <v>2023-06-28</v>
          </cell>
          <cell r="V57">
            <v>0</v>
          </cell>
          <cell r="W57" t="str">
            <v/>
          </cell>
          <cell r="X57" t="str">
            <v/>
          </cell>
          <cell r="Y57">
            <v>27600</v>
          </cell>
          <cell r="AA57">
            <v>22790</v>
          </cell>
          <cell r="AB57">
            <v>4272.8899999999994</v>
          </cell>
          <cell r="AC57">
            <v>0</v>
          </cell>
          <cell r="AD57">
            <v>0</v>
          </cell>
        </row>
        <row r="58">
          <cell r="A58">
            <v>23267</v>
          </cell>
          <cell r="B58" t="str">
            <v>GI</v>
          </cell>
          <cell r="C58" t="str">
            <v>TOTTAURBE-VIA CONSULTEAM</v>
          </cell>
          <cell r="D58" t="str">
            <v>Santarém - Quinta das Cortezes, Lote 34</v>
          </cell>
          <cell r="E58" t="str">
            <v/>
          </cell>
          <cell r="F58" t="str">
            <v/>
          </cell>
          <cell r="G58" t="str">
            <v/>
          </cell>
          <cell r="H58" t="str">
            <v>Compromissos</v>
          </cell>
          <cell r="I58" t="str">
            <v>TERRENO URBANO - Residencial</v>
          </cell>
          <cell r="J58" t="str">
            <v>2018-11-22</v>
          </cell>
          <cell r="K58">
            <v>42119.71</v>
          </cell>
          <cell r="L58">
            <v>2729.71</v>
          </cell>
          <cell r="M58">
            <v>39390</v>
          </cell>
          <cell r="N58">
            <v>5908.5</v>
          </cell>
          <cell r="O58">
            <v>39390</v>
          </cell>
          <cell r="P58">
            <v>0</v>
          </cell>
          <cell r="Q58" t="str">
            <v>2023-12-29</v>
          </cell>
          <cell r="R58">
            <v>100</v>
          </cell>
          <cell r="S58">
            <v>34000</v>
          </cell>
          <cell r="T58" t="str">
            <v>LUSO-ROUX - LISBOA</v>
          </cell>
          <cell r="U58" t="str">
            <v>2023-06-28</v>
          </cell>
          <cell r="V58">
            <v>0</v>
          </cell>
          <cell r="W58" t="str">
            <v/>
          </cell>
          <cell r="X58" t="str">
            <v/>
          </cell>
          <cell r="Y58">
            <v>47700</v>
          </cell>
          <cell r="AA58">
            <v>39390</v>
          </cell>
          <cell r="AB58">
            <v>2729.7099999999991</v>
          </cell>
          <cell r="AC58">
            <v>0</v>
          </cell>
          <cell r="AD58">
            <v>0</v>
          </cell>
        </row>
        <row r="59">
          <cell r="A59">
            <v>23268</v>
          </cell>
          <cell r="B59" t="str">
            <v>GI</v>
          </cell>
          <cell r="C59" t="str">
            <v>TOTTAURBE-VIA CONSULTEAM</v>
          </cell>
          <cell r="D59" t="str">
            <v>Santarém - Quinta das Cortezes, Lote 35</v>
          </cell>
          <cell r="E59" t="str">
            <v/>
          </cell>
          <cell r="F59" t="str">
            <v/>
          </cell>
          <cell r="G59" t="str">
            <v/>
          </cell>
          <cell r="H59" t="str">
            <v>Compromissos</v>
          </cell>
          <cell r="I59" t="str">
            <v>TERRENO URBANO - Residencial</v>
          </cell>
          <cell r="J59" t="str">
            <v>2018-11-22</v>
          </cell>
          <cell r="K59">
            <v>49808.11</v>
          </cell>
          <cell r="L59">
            <v>5798.11</v>
          </cell>
          <cell r="M59">
            <v>44010</v>
          </cell>
          <cell r="N59">
            <v>6601.5</v>
          </cell>
          <cell r="O59">
            <v>44010</v>
          </cell>
          <cell r="P59">
            <v>0</v>
          </cell>
          <cell r="Q59" t="str">
            <v>2023-12-29</v>
          </cell>
          <cell r="R59">
            <v>100</v>
          </cell>
          <cell r="S59">
            <v>38000</v>
          </cell>
          <cell r="T59" t="str">
            <v>LUSO-ROUX - LISBOA</v>
          </cell>
          <cell r="U59" t="str">
            <v>2023-06-28</v>
          </cell>
          <cell r="V59">
            <v>0</v>
          </cell>
          <cell r="W59" t="str">
            <v/>
          </cell>
          <cell r="X59" t="str">
            <v/>
          </cell>
          <cell r="Y59">
            <v>53300</v>
          </cell>
          <cell r="AA59">
            <v>44010</v>
          </cell>
          <cell r="AB59">
            <v>5798.1100000000006</v>
          </cell>
          <cell r="AC59">
            <v>0</v>
          </cell>
          <cell r="AD59">
            <v>0</v>
          </cell>
        </row>
        <row r="60">
          <cell r="A60">
            <v>23269</v>
          </cell>
          <cell r="B60" t="str">
            <v>GI</v>
          </cell>
          <cell r="C60" t="str">
            <v>TOTTAURBE-VIA CONSULTEAM</v>
          </cell>
          <cell r="D60" t="str">
            <v>Santarém - Quinta das Cortezes, Lote 36</v>
          </cell>
          <cell r="E60" t="str">
            <v/>
          </cell>
          <cell r="F60" t="str">
            <v/>
          </cell>
          <cell r="G60" t="str">
            <v/>
          </cell>
          <cell r="H60" t="str">
            <v>Compromissos</v>
          </cell>
          <cell r="I60" t="str">
            <v>TERRENO URBANO - Residencial</v>
          </cell>
          <cell r="J60" t="str">
            <v>2018-11-22</v>
          </cell>
          <cell r="K60">
            <v>53358.44</v>
          </cell>
          <cell r="L60">
            <v>5298.44</v>
          </cell>
          <cell r="M60">
            <v>48060</v>
          </cell>
          <cell r="N60">
            <v>7209</v>
          </cell>
          <cell r="O60">
            <v>48060</v>
          </cell>
          <cell r="P60">
            <v>0</v>
          </cell>
          <cell r="Q60" t="str">
            <v>2023-12-29</v>
          </cell>
          <cell r="R60">
            <v>100</v>
          </cell>
          <cell r="S60">
            <v>41500</v>
          </cell>
          <cell r="T60" t="str">
            <v>LUSO-ROUX - LISBOA</v>
          </cell>
          <cell r="U60" t="str">
            <v>2023-06-28</v>
          </cell>
          <cell r="V60">
            <v>0</v>
          </cell>
          <cell r="W60" t="str">
            <v/>
          </cell>
          <cell r="X60" t="str">
            <v/>
          </cell>
          <cell r="Y60">
            <v>58200</v>
          </cell>
          <cell r="AA60">
            <v>48060</v>
          </cell>
          <cell r="AB60">
            <v>5298.4400000000023</v>
          </cell>
          <cell r="AC60">
            <v>0</v>
          </cell>
          <cell r="AD60">
            <v>0</v>
          </cell>
        </row>
        <row r="61">
          <cell r="A61">
            <v>23270</v>
          </cell>
          <cell r="B61" t="str">
            <v>GI</v>
          </cell>
          <cell r="C61" t="str">
            <v>TOTTAURBE-VIA CONSULTEAM</v>
          </cell>
          <cell r="D61" t="str">
            <v>Santarém - Quinta das Cortezes, Lote 37</v>
          </cell>
          <cell r="E61" t="str">
            <v/>
          </cell>
          <cell r="F61" t="str">
            <v/>
          </cell>
          <cell r="G61" t="str">
            <v/>
          </cell>
          <cell r="H61" t="str">
            <v>Compromissos</v>
          </cell>
          <cell r="I61" t="str">
            <v>TERRENO URBANO - Residencial</v>
          </cell>
          <cell r="J61" t="str">
            <v>2018-11-22</v>
          </cell>
          <cell r="K61">
            <v>54966.91</v>
          </cell>
          <cell r="L61">
            <v>6906.91</v>
          </cell>
          <cell r="M61">
            <v>48060</v>
          </cell>
          <cell r="N61">
            <v>7209</v>
          </cell>
          <cell r="O61">
            <v>48060</v>
          </cell>
          <cell r="P61">
            <v>0</v>
          </cell>
          <cell r="Q61" t="str">
            <v>2023-12-29</v>
          </cell>
          <cell r="R61">
            <v>100</v>
          </cell>
          <cell r="S61">
            <v>41500</v>
          </cell>
          <cell r="T61" t="str">
            <v>LUSO-ROUX - LISBOA</v>
          </cell>
          <cell r="U61" t="str">
            <v>2023-06-28</v>
          </cell>
          <cell r="V61">
            <v>0</v>
          </cell>
          <cell r="W61" t="str">
            <v/>
          </cell>
          <cell r="X61" t="str">
            <v/>
          </cell>
          <cell r="Y61">
            <v>58200</v>
          </cell>
          <cell r="AA61">
            <v>48060</v>
          </cell>
          <cell r="AB61">
            <v>6906.9100000000035</v>
          </cell>
          <cell r="AC61">
            <v>0</v>
          </cell>
          <cell r="AD61">
            <v>0</v>
          </cell>
        </row>
        <row r="62">
          <cell r="A62">
            <v>23271</v>
          </cell>
          <cell r="B62" t="str">
            <v>GI</v>
          </cell>
          <cell r="C62" t="str">
            <v>TOTTAURBE-VIA CONSULTEAM</v>
          </cell>
          <cell r="D62" t="str">
            <v>Santarém - Quinta das Cortezes, Lote 38</v>
          </cell>
          <cell r="E62" t="str">
            <v/>
          </cell>
          <cell r="F62" t="str">
            <v/>
          </cell>
          <cell r="G62" t="str">
            <v/>
          </cell>
          <cell r="H62" t="str">
            <v>Compromissos</v>
          </cell>
          <cell r="I62" t="str">
            <v>TERRENO URBANO - Residencial</v>
          </cell>
          <cell r="J62" t="str">
            <v>2018-11-22</v>
          </cell>
          <cell r="K62">
            <v>71475.289999999994</v>
          </cell>
          <cell r="L62">
            <v>9475.2900000000009</v>
          </cell>
          <cell r="M62">
            <v>62000</v>
          </cell>
          <cell r="N62">
            <v>9300</v>
          </cell>
          <cell r="O62">
            <v>62000</v>
          </cell>
          <cell r="P62">
            <v>0</v>
          </cell>
          <cell r="Q62" t="str">
            <v>2023-12-29</v>
          </cell>
          <cell r="R62">
            <v>100</v>
          </cell>
          <cell r="S62">
            <v>53500</v>
          </cell>
          <cell r="T62" t="str">
            <v>LUSO-ROUX - LISBOA</v>
          </cell>
          <cell r="U62" t="str">
            <v>2023-06-28</v>
          </cell>
          <cell r="V62">
            <v>0</v>
          </cell>
          <cell r="W62" t="str">
            <v/>
          </cell>
          <cell r="X62" t="str">
            <v/>
          </cell>
          <cell r="Y62">
            <v>75100</v>
          </cell>
          <cell r="AA62">
            <v>62000</v>
          </cell>
          <cell r="AB62">
            <v>9475.2899999999936</v>
          </cell>
          <cell r="AC62">
            <v>0</v>
          </cell>
          <cell r="AD62">
            <v>0</v>
          </cell>
        </row>
        <row r="63">
          <cell r="A63">
            <v>23272</v>
          </cell>
          <cell r="B63" t="str">
            <v>GI</v>
          </cell>
          <cell r="C63" t="str">
            <v>TOTTAURBE-VIA CONSULTEAM</v>
          </cell>
          <cell r="D63" t="str">
            <v>Santarém - Quinta das Cortezes, Lote 39</v>
          </cell>
          <cell r="E63" t="str">
            <v/>
          </cell>
          <cell r="F63" t="str">
            <v/>
          </cell>
          <cell r="G63" t="str">
            <v/>
          </cell>
          <cell r="H63" t="str">
            <v>Compromissos</v>
          </cell>
          <cell r="I63" t="str">
            <v>TERRENO URBANO - Residencial</v>
          </cell>
          <cell r="J63" t="str">
            <v>2018-11-22</v>
          </cell>
          <cell r="K63">
            <v>73489.429999999993</v>
          </cell>
          <cell r="L63">
            <v>9169.43</v>
          </cell>
          <cell r="M63">
            <v>64320</v>
          </cell>
          <cell r="N63">
            <v>9648</v>
          </cell>
          <cell r="O63">
            <v>64320</v>
          </cell>
          <cell r="P63">
            <v>0</v>
          </cell>
          <cell r="Q63" t="str">
            <v>2023-12-29</v>
          </cell>
          <cell r="R63">
            <v>100</v>
          </cell>
          <cell r="S63">
            <v>55500</v>
          </cell>
          <cell r="T63" t="str">
            <v>LUSO-ROUX - LISBOA</v>
          </cell>
          <cell r="U63" t="str">
            <v>2023-06-28</v>
          </cell>
          <cell r="V63">
            <v>0</v>
          </cell>
          <cell r="W63" t="str">
            <v/>
          </cell>
          <cell r="X63" t="str">
            <v/>
          </cell>
          <cell r="Y63">
            <v>77900</v>
          </cell>
          <cell r="AA63">
            <v>64320</v>
          </cell>
          <cell r="AB63">
            <v>9169.429999999993</v>
          </cell>
          <cell r="AC63">
            <v>0</v>
          </cell>
          <cell r="AD63">
            <v>0</v>
          </cell>
        </row>
        <row r="64">
          <cell r="A64">
            <v>23273</v>
          </cell>
          <cell r="B64" t="str">
            <v>GI</v>
          </cell>
          <cell r="C64" t="str">
            <v>TOTTAURBE-VIA CONSULTEAM</v>
          </cell>
          <cell r="D64" t="str">
            <v>Santarém - Quinta das Cortezes, Lote 40</v>
          </cell>
          <cell r="E64" t="str">
            <v/>
          </cell>
          <cell r="F64" t="str">
            <v/>
          </cell>
          <cell r="G64" t="str">
            <v/>
          </cell>
          <cell r="H64" t="str">
            <v>Compromissos</v>
          </cell>
          <cell r="I64" t="str">
            <v>TERRENO URBANO - Residencial</v>
          </cell>
          <cell r="J64" t="str">
            <v>2018-11-22</v>
          </cell>
          <cell r="K64">
            <v>70454.27</v>
          </cell>
          <cell r="L64">
            <v>11334.27</v>
          </cell>
          <cell r="M64">
            <v>59120</v>
          </cell>
          <cell r="N64">
            <v>8868</v>
          </cell>
          <cell r="O64">
            <v>59120</v>
          </cell>
          <cell r="P64">
            <v>0</v>
          </cell>
          <cell r="Q64" t="str">
            <v>2023-12-29</v>
          </cell>
          <cell r="R64">
            <v>100</v>
          </cell>
          <cell r="S64">
            <v>51000</v>
          </cell>
          <cell r="T64" t="str">
            <v>LUSO-ROUX - LISBOA</v>
          </cell>
          <cell r="U64" t="str">
            <v>2023-06-28</v>
          </cell>
          <cell r="V64">
            <v>0</v>
          </cell>
          <cell r="W64" t="str">
            <v/>
          </cell>
          <cell r="X64" t="str">
            <v/>
          </cell>
          <cell r="Y64">
            <v>71600</v>
          </cell>
          <cell r="AA64">
            <v>59120</v>
          </cell>
          <cell r="AB64">
            <v>11334.270000000004</v>
          </cell>
          <cell r="AC64">
            <v>0</v>
          </cell>
          <cell r="AD64">
            <v>0</v>
          </cell>
        </row>
        <row r="65">
          <cell r="A65">
            <v>23274</v>
          </cell>
          <cell r="B65" t="str">
            <v>GI</v>
          </cell>
          <cell r="C65" t="str">
            <v>TOTTAURBE-VIA CONSULTEAM</v>
          </cell>
          <cell r="D65" t="str">
            <v>Santarém - Quinta das Cortezes, Lote 41</v>
          </cell>
          <cell r="E65" t="str">
            <v/>
          </cell>
          <cell r="F65" t="str">
            <v/>
          </cell>
          <cell r="G65" t="str">
            <v/>
          </cell>
          <cell r="H65" t="str">
            <v>Compromissos</v>
          </cell>
          <cell r="I65" t="str">
            <v>TERRENO URBANO - Residencial</v>
          </cell>
          <cell r="J65" t="str">
            <v>2018-11-22</v>
          </cell>
          <cell r="K65">
            <v>40038.370000000003</v>
          </cell>
          <cell r="L65">
            <v>2308.37</v>
          </cell>
          <cell r="M65">
            <v>37730</v>
          </cell>
          <cell r="N65">
            <v>5659.5</v>
          </cell>
          <cell r="O65">
            <v>37730</v>
          </cell>
          <cell r="P65">
            <v>0</v>
          </cell>
          <cell r="Q65" t="str">
            <v>2023-12-29</v>
          </cell>
          <cell r="R65">
            <v>100</v>
          </cell>
          <cell r="S65">
            <v>32600</v>
          </cell>
          <cell r="T65" t="str">
            <v>LUSO-ROUX - LISBOA</v>
          </cell>
          <cell r="U65" t="str">
            <v>2023-06-28</v>
          </cell>
          <cell r="V65">
            <v>0</v>
          </cell>
          <cell r="W65" t="str">
            <v/>
          </cell>
          <cell r="X65" t="str">
            <v/>
          </cell>
          <cell r="Y65">
            <v>45700</v>
          </cell>
          <cell r="AA65">
            <v>37730</v>
          </cell>
          <cell r="AB65">
            <v>2308.3700000000026</v>
          </cell>
          <cell r="AC65">
            <v>0</v>
          </cell>
          <cell r="AD65">
            <v>0</v>
          </cell>
        </row>
        <row r="66">
          <cell r="A66">
            <v>23275</v>
          </cell>
          <cell r="B66" t="str">
            <v>GI</v>
          </cell>
          <cell r="C66" t="str">
            <v>TOTTAURBE-VIA CONSULTEAM</v>
          </cell>
          <cell r="D66" t="str">
            <v>Santarém - Quinta das Cortezes, Lote 42</v>
          </cell>
          <cell r="E66" t="str">
            <v/>
          </cell>
          <cell r="F66" t="str">
            <v/>
          </cell>
          <cell r="G66" t="str">
            <v/>
          </cell>
          <cell r="H66" t="str">
            <v>Compromissos</v>
          </cell>
          <cell r="I66" t="str">
            <v>TERRENO URBANO - Residencial</v>
          </cell>
          <cell r="J66" t="str">
            <v>2018-11-22</v>
          </cell>
          <cell r="K66">
            <v>49112.160000000003</v>
          </cell>
          <cell r="L66">
            <v>5262.16</v>
          </cell>
          <cell r="M66">
            <v>43850</v>
          </cell>
          <cell r="N66">
            <v>6577.5</v>
          </cell>
          <cell r="O66">
            <v>43850</v>
          </cell>
          <cell r="P66">
            <v>0</v>
          </cell>
          <cell r="Q66" t="str">
            <v>2023-12-29</v>
          </cell>
          <cell r="R66">
            <v>100</v>
          </cell>
          <cell r="S66">
            <v>37800</v>
          </cell>
          <cell r="T66" t="str">
            <v>LUSO-ROUX - LISBOA</v>
          </cell>
          <cell r="U66" t="str">
            <v>2023-06-28</v>
          </cell>
          <cell r="V66">
            <v>0</v>
          </cell>
          <cell r="W66" t="str">
            <v/>
          </cell>
          <cell r="X66" t="str">
            <v/>
          </cell>
          <cell r="Y66">
            <v>53100</v>
          </cell>
          <cell r="AA66">
            <v>43850</v>
          </cell>
          <cell r="AB66">
            <v>5262.1600000000035</v>
          </cell>
          <cell r="AC66">
            <v>0</v>
          </cell>
          <cell r="AD66">
            <v>0</v>
          </cell>
        </row>
        <row r="67">
          <cell r="A67">
            <v>23276</v>
          </cell>
          <cell r="B67" t="str">
            <v>GI</v>
          </cell>
          <cell r="C67" t="str">
            <v>TOTTAURBE-VIA CONSULTEAM</v>
          </cell>
          <cell r="D67" t="str">
            <v>Santarém - Quinta das Cortezes, Lote 43</v>
          </cell>
          <cell r="E67" t="str">
            <v/>
          </cell>
          <cell r="F67" t="str">
            <v/>
          </cell>
          <cell r="G67" t="str">
            <v/>
          </cell>
          <cell r="H67" t="str">
            <v>Compromissos</v>
          </cell>
          <cell r="I67" t="str">
            <v>TERRENO URBANO - Residencial</v>
          </cell>
          <cell r="J67" t="str">
            <v>2018-11-22</v>
          </cell>
          <cell r="K67">
            <v>70624.479999999996</v>
          </cell>
          <cell r="L67">
            <v>11834.48</v>
          </cell>
          <cell r="M67">
            <v>58790</v>
          </cell>
          <cell r="N67">
            <v>8818.5</v>
          </cell>
          <cell r="O67">
            <v>58790</v>
          </cell>
          <cell r="P67">
            <v>0</v>
          </cell>
          <cell r="Q67" t="str">
            <v>2023-12-29</v>
          </cell>
          <cell r="R67">
            <v>100</v>
          </cell>
          <cell r="S67">
            <v>50800</v>
          </cell>
          <cell r="T67" t="str">
            <v>LUSO-ROUX - LISBOA</v>
          </cell>
          <cell r="U67" t="str">
            <v>2023-06-28</v>
          </cell>
          <cell r="V67">
            <v>0</v>
          </cell>
          <cell r="W67" t="str">
            <v/>
          </cell>
          <cell r="X67" t="str">
            <v/>
          </cell>
          <cell r="Y67">
            <v>71200</v>
          </cell>
          <cell r="AA67">
            <v>58790</v>
          </cell>
          <cell r="AB67">
            <v>11834.479999999996</v>
          </cell>
          <cell r="AC67">
            <v>0</v>
          </cell>
          <cell r="AD67">
            <v>0</v>
          </cell>
        </row>
        <row r="68">
          <cell r="A68">
            <v>23277</v>
          </cell>
          <cell r="B68" t="str">
            <v>GI</v>
          </cell>
          <cell r="C68" t="str">
            <v>TOTTAURBE-VIA CONSULTEAM</v>
          </cell>
          <cell r="D68" t="str">
            <v>Santarém - Quinta das Cortezes, Lote 44</v>
          </cell>
          <cell r="E68" t="str">
            <v/>
          </cell>
          <cell r="F68" t="str">
            <v/>
          </cell>
          <cell r="G68" t="str">
            <v/>
          </cell>
          <cell r="H68" t="str">
            <v>Compromissos</v>
          </cell>
          <cell r="I68" t="str">
            <v>TERRENO URBANO - Residencial</v>
          </cell>
          <cell r="J68" t="str">
            <v>2018-11-22</v>
          </cell>
          <cell r="K68">
            <v>70538.720000000001</v>
          </cell>
          <cell r="L68">
            <v>11498.72</v>
          </cell>
          <cell r="M68">
            <v>59040</v>
          </cell>
          <cell r="N68">
            <v>8856</v>
          </cell>
          <cell r="O68">
            <v>59040</v>
          </cell>
          <cell r="P68">
            <v>0</v>
          </cell>
          <cell r="Q68" t="str">
            <v>2023-12-29</v>
          </cell>
          <cell r="R68">
            <v>100</v>
          </cell>
          <cell r="S68">
            <v>51000</v>
          </cell>
          <cell r="T68" t="str">
            <v>LUSO-ROUX - LISBOA</v>
          </cell>
          <cell r="U68" t="str">
            <v>2023-06-28</v>
          </cell>
          <cell r="V68">
            <v>0</v>
          </cell>
          <cell r="W68" t="str">
            <v/>
          </cell>
          <cell r="X68" t="str">
            <v/>
          </cell>
          <cell r="Y68">
            <v>71500</v>
          </cell>
          <cell r="AA68">
            <v>59040</v>
          </cell>
          <cell r="AB68">
            <v>11498.720000000001</v>
          </cell>
          <cell r="AC68">
            <v>0</v>
          </cell>
          <cell r="AD68">
            <v>0</v>
          </cell>
        </row>
        <row r="69">
          <cell r="A69">
            <v>23278</v>
          </cell>
          <cell r="B69" t="str">
            <v>GI</v>
          </cell>
          <cell r="C69" t="str">
            <v>TOTTAURBE-VIA CONSULTEAM</v>
          </cell>
          <cell r="D69" t="str">
            <v>Santarém - Quinta das Cortezes, Lote 45</v>
          </cell>
          <cell r="E69" t="str">
            <v/>
          </cell>
          <cell r="F69" t="str">
            <v/>
          </cell>
          <cell r="G69" t="str">
            <v/>
          </cell>
          <cell r="H69" t="str">
            <v>Compromissos</v>
          </cell>
          <cell r="I69" t="str">
            <v>TERRENO URBANO - Residencial</v>
          </cell>
          <cell r="J69" t="str">
            <v>2018-11-22</v>
          </cell>
          <cell r="K69">
            <v>84231.52</v>
          </cell>
          <cell r="L69">
            <v>1831.52</v>
          </cell>
          <cell r="M69">
            <v>82400</v>
          </cell>
          <cell r="N69">
            <v>12360</v>
          </cell>
          <cell r="O69">
            <v>82400</v>
          </cell>
          <cell r="P69">
            <v>0</v>
          </cell>
          <cell r="Q69" t="str">
            <v>2023-12-29</v>
          </cell>
          <cell r="R69">
            <v>100</v>
          </cell>
          <cell r="S69">
            <v>71100</v>
          </cell>
          <cell r="T69" t="str">
            <v>LUSO-ROUX - LISBOA</v>
          </cell>
          <cell r="U69" t="str">
            <v>2023-06-28</v>
          </cell>
          <cell r="V69">
            <v>0</v>
          </cell>
          <cell r="W69" t="str">
            <v/>
          </cell>
          <cell r="X69" t="str">
            <v/>
          </cell>
          <cell r="Y69">
            <v>99800</v>
          </cell>
          <cell r="AA69">
            <v>82400</v>
          </cell>
          <cell r="AB69">
            <v>1831.5200000000041</v>
          </cell>
          <cell r="AC69">
            <v>0</v>
          </cell>
          <cell r="AD69">
            <v>0</v>
          </cell>
        </row>
        <row r="70">
          <cell r="A70">
            <v>23279</v>
          </cell>
          <cell r="B70" t="str">
            <v>GI</v>
          </cell>
          <cell r="C70" t="str">
            <v>TOTTAURBE-VIA CONSULTEAM</v>
          </cell>
          <cell r="D70" t="str">
            <v>Santarém - Quinta das Cortezes, Lote 46</v>
          </cell>
          <cell r="E70" t="str">
            <v/>
          </cell>
          <cell r="F70" t="str">
            <v/>
          </cell>
          <cell r="G70" t="str">
            <v/>
          </cell>
          <cell r="H70" t="str">
            <v>Compromissos</v>
          </cell>
          <cell r="I70" t="str">
            <v>TERRENO URBANO - Residencial</v>
          </cell>
          <cell r="J70" t="str">
            <v>2018-11-22</v>
          </cell>
          <cell r="K70">
            <v>57657.01</v>
          </cell>
          <cell r="L70">
            <v>6877.01</v>
          </cell>
          <cell r="M70">
            <v>50780</v>
          </cell>
          <cell r="N70">
            <v>7617</v>
          </cell>
          <cell r="O70">
            <v>50780</v>
          </cell>
          <cell r="P70">
            <v>0</v>
          </cell>
          <cell r="Q70" t="str">
            <v>2023-12-29</v>
          </cell>
          <cell r="R70">
            <v>100</v>
          </cell>
          <cell r="S70">
            <v>43800</v>
          </cell>
          <cell r="T70" t="str">
            <v>LUSO-ROUX - LISBOA</v>
          </cell>
          <cell r="U70" t="str">
            <v>2023-06-28</v>
          </cell>
          <cell r="V70">
            <v>0</v>
          </cell>
          <cell r="W70" t="str">
            <v/>
          </cell>
          <cell r="X70" t="str">
            <v/>
          </cell>
          <cell r="Y70">
            <v>61500</v>
          </cell>
          <cell r="AA70">
            <v>50780</v>
          </cell>
          <cell r="AB70">
            <v>6877.010000000002</v>
          </cell>
          <cell r="AC70">
            <v>0</v>
          </cell>
          <cell r="AD70">
            <v>0</v>
          </cell>
        </row>
        <row r="71">
          <cell r="A71">
            <v>23280</v>
          </cell>
          <cell r="B71" t="str">
            <v>GI</v>
          </cell>
          <cell r="C71" t="str">
            <v>TOTTAURBE-VIA CONSULTEAM</v>
          </cell>
          <cell r="D71" t="str">
            <v>Santarém - Quinta das Cortezes, Lote 47</v>
          </cell>
          <cell r="E71" t="str">
            <v/>
          </cell>
          <cell r="F71" t="str">
            <v/>
          </cell>
          <cell r="G71" t="str">
            <v/>
          </cell>
          <cell r="H71" t="str">
            <v>Compromissos</v>
          </cell>
          <cell r="I71" t="str">
            <v>TERRENO URBANO - Residencial</v>
          </cell>
          <cell r="J71" t="str">
            <v>2018-11-22</v>
          </cell>
          <cell r="K71">
            <v>56931.66</v>
          </cell>
          <cell r="L71">
            <v>6731.66</v>
          </cell>
          <cell r="M71">
            <v>50200</v>
          </cell>
          <cell r="N71">
            <v>7530</v>
          </cell>
          <cell r="O71">
            <v>50200</v>
          </cell>
          <cell r="P71">
            <v>0</v>
          </cell>
          <cell r="Q71" t="str">
            <v>2023-12-29</v>
          </cell>
          <cell r="R71">
            <v>100</v>
          </cell>
          <cell r="S71">
            <v>43300</v>
          </cell>
          <cell r="T71" t="str">
            <v>LUSO-ROUX - LISBOA</v>
          </cell>
          <cell r="U71" t="str">
            <v>2023-06-28</v>
          </cell>
          <cell r="V71">
            <v>0</v>
          </cell>
          <cell r="W71" t="str">
            <v/>
          </cell>
          <cell r="X71" t="str">
            <v/>
          </cell>
          <cell r="Y71">
            <v>60800</v>
          </cell>
          <cell r="AA71">
            <v>50200</v>
          </cell>
          <cell r="AB71">
            <v>6731.6600000000035</v>
          </cell>
          <cell r="AC71">
            <v>0</v>
          </cell>
          <cell r="AD71">
            <v>0</v>
          </cell>
        </row>
        <row r="72">
          <cell r="A72">
            <v>23281</v>
          </cell>
          <cell r="B72" t="str">
            <v>GI</v>
          </cell>
          <cell r="C72" t="str">
            <v>TOTTAURBE-VIA CONSULTEAM</v>
          </cell>
          <cell r="D72" t="str">
            <v>Santarém - Quinta das Cortezes, Lote 48</v>
          </cell>
          <cell r="E72" t="str">
            <v/>
          </cell>
          <cell r="F72" t="str">
            <v/>
          </cell>
          <cell r="G72" t="str">
            <v/>
          </cell>
          <cell r="H72" t="str">
            <v>Compromissos</v>
          </cell>
          <cell r="I72" t="str">
            <v>TERRENO URBANO - Residencial</v>
          </cell>
          <cell r="J72" t="str">
            <v>2018-11-22</v>
          </cell>
          <cell r="K72">
            <v>62883.3</v>
          </cell>
          <cell r="L72">
            <v>8063.3</v>
          </cell>
          <cell r="M72">
            <v>54820</v>
          </cell>
          <cell r="N72">
            <v>8223</v>
          </cell>
          <cell r="O72">
            <v>54820</v>
          </cell>
          <cell r="P72">
            <v>0</v>
          </cell>
          <cell r="Q72" t="str">
            <v>2023-12-29</v>
          </cell>
          <cell r="R72">
            <v>100</v>
          </cell>
          <cell r="S72">
            <v>47300</v>
          </cell>
          <cell r="T72" t="str">
            <v>LUSO-ROUX - LISBOA</v>
          </cell>
          <cell r="U72" t="str">
            <v>2023-06-28</v>
          </cell>
          <cell r="V72">
            <v>0</v>
          </cell>
          <cell r="W72" t="str">
            <v/>
          </cell>
          <cell r="X72" t="str">
            <v/>
          </cell>
          <cell r="Y72">
            <v>66400</v>
          </cell>
          <cell r="AA72">
            <v>54820</v>
          </cell>
          <cell r="AB72">
            <v>8063.3000000000029</v>
          </cell>
          <cell r="AC72">
            <v>0</v>
          </cell>
          <cell r="AD72">
            <v>0</v>
          </cell>
        </row>
        <row r="73">
          <cell r="A73">
            <v>23282</v>
          </cell>
          <cell r="B73" t="str">
            <v>GI</v>
          </cell>
          <cell r="C73" t="str">
            <v>TOTTAURBE-VIA CONSULTEAM</v>
          </cell>
          <cell r="D73" t="str">
            <v>Santarém - Quinta das Cortezes, Lote 49</v>
          </cell>
          <cell r="E73" t="str">
            <v/>
          </cell>
          <cell r="F73" t="str">
            <v/>
          </cell>
          <cell r="G73" t="str">
            <v/>
          </cell>
          <cell r="H73" t="str">
            <v>Compromissos</v>
          </cell>
          <cell r="I73" t="str">
            <v>TERRENO URBANO - Residencial</v>
          </cell>
          <cell r="J73" t="str">
            <v>2018-11-22</v>
          </cell>
          <cell r="K73">
            <v>80234.649999999994</v>
          </cell>
          <cell r="L73">
            <v>11624.65</v>
          </cell>
          <cell r="M73">
            <v>68610</v>
          </cell>
          <cell r="N73">
            <v>10291.5</v>
          </cell>
          <cell r="O73">
            <v>68610</v>
          </cell>
          <cell r="P73">
            <v>0</v>
          </cell>
          <cell r="Q73" t="str">
            <v>2023-12-29</v>
          </cell>
          <cell r="R73">
            <v>100</v>
          </cell>
          <cell r="S73">
            <v>59200</v>
          </cell>
          <cell r="T73" t="str">
            <v>LUSO-ROUX - LISBOA</v>
          </cell>
          <cell r="U73" t="str">
            <v>2023-06-28</v>
          </cell>
          <cell r="V73">
            <v>0</v>
          </cell>
          <cell r="W73" t="str">
            <v/>
          </cell>
          <cell r="X73" t="str">
            <v/>
          </cell>
          <cell r="Y73">
            <v>83100</v>
          </cell>
          <cell r="AA73">
            <v>68610</v>
          </cell>
          <cell r="AB73">
            <v>11624.649999999994</v>
          </cell>
          <cell r="AC73">
            <v>0</v>
          </cell>
          <cell r="AD73">
            <v>0</v>
          </cell>
        </row>
        <row r="74">
          <cell r="A74">
            <v>23283</v>
          </cell>
          <cell r="B74" t="str">
            <v>GI</v>
          </cell>
          <cell r="C74" t="str">
            <v>TOTTAURBE-VIA CONSULTEAM</v>
          </cell>
          <cell r="D74" t="str">
            <v>Santarém - Quinta das Cortezes, Lote 50</v>
          </cell>
          <cell r="E74" t="str">
            <v/>
          </cell>
          <cell r="F74" t="str">
            <v/>
          </cell>
          <cell r="G74" t="str">
            <v/>
          </cell>
          <cell r="H74" t="str">
            <v>Compromissos</v>
          </cell>
          <cell r="I74" t="str">
            <v>TERRENO URBANO - Residencial</v>
          </cell>
          <cell r="J74" t="str">
            <v>2018-11-22</v>
          </cell>
          <cell r="K74">
            <v>88309.09</v>
          </cell>
          <cell r="L74">
            <v>1939.09</v>
          </cell>
          <cell r="M74">
            <v>86370</v>
          </cell>
          <cell r="N74">
            <v>12955.5</v>
          </cell>
          <cell r="O74">
            <v>86370</v>
          </cell>
          <cell r="P74">
            <v>0</v>
          </cell>
          <cell r="Q74" t="str">
            <v>2023-12-29</v>
          </cell>
          <cell r="R74">
            <v>100</v>
          </cell>
          <cell r="S74">
            <v>74600</v>
          </cell>
          <cell r="T74" t="str">
            <v>LUSO-ROUX - LISBOA</v>
          </cell>
          <cell r="U74" t="str">
            <v>2023-06-28</v>
          </cell>
          <cell r="V74">
            <v>0</v>
          </cell>
          <cell r="W74" t="str">
            <v/>
          </cell>
          <cell r="X74" t="str">
            <v/>
          </cell>
          <cell r="Y74">
            <v>104600</v>
          </cell>
          <cell r="AA74">
            <v>86370</v>
          </cell>
          <cell r="AB74">
            <v>1939.0899999999965</v>
          </cell>
          <cell r="AC74">
            <v>0</v>
          </cell>
          <cell r="AD74">
            <v>0</v>
          </cell>
        </row>
        <row r="75">
          <cell r="A75">
            <v>23284</v>
          </cell>
          <cell r="B75" t="str">
            <v>GI</v>
          </cell>
          <cell r="C75" t="str">
            <v>TOTTAURBE-VIA CONSULTEAM</v>
          </cell>
          <cell r="D75" t="str">
            <v>Santarém - Quinta das Cortezes, Lote 51</v>
          </cell>
          <cell r="E75" t="str">
            <v/>
          </cell>
          <cell r="F75" t="str">
            <v/>
          </cell>
          <cell r="G75" t="str">
            <v/>
          </cell>
          <cell r="H75" t="str">
            <v>Compromissos</v>
          </cell>
          <cell r="I75" t="str">
            <v>TERRENO URBANO - Residencial</v>
          </cell>
          <cell r="J75" t="str">
            <v>2018-11-22</v>
          </cell>
          <cell r="K75">
            <v>73214.490000000005</v>
          </cell>
          <cell r="L75">
            <v>11944.49</v>
          </cell>
          <cell r="M75">
            <v>61270</v>
          </cell>
          <cell r="N75">
            <v>9190.5</v>
          </cell>
          <cell r="O75">
            <v>61270</v>
          </cell>
          <cell r="P75">
            <v>0</v>
          </cell>
          <cell r="Q75" t="str">
            <v>2023-12-29</v>
          </cell>
          <cell r="R75">
            <v>100</v>
          </cell>
          <cell r="S75">
            <v>52900</v>
          </cell>
          <cell r="T75" t="str">
            <v>LUSO-ROUX - LISBOA</v>
          </cell>
          <cell r="U75" t="str">
            <v>2023-06-28</v>
          </cell>
          <cell r="V75">
            <v>0</v>
          </cell>
          <cell r="W75" t="str">
            <v/>
          </cell>
          <cell r="X75" t="str">
            <v/>
          </cell>
          <cell r="Y75">
            <v>74200</v>
          </cell>
          <cell r="AA75">
            <v>61270</v>
          </cell>
          <cell r="AB75">
            <v>11944.490000000005</v>
          </cell>
          <cell r="AC75">
            <v>0</v>
          </cell>
          <cell r="AD75">
            <v>0</v>
          </cell>
        </row>
        <row r="76">
          <cell r="A76">
            <v>23285</v>
          </cell>
          <cell r="B76" t="str">
            <v>GI</v>
          </cell>
          <cell r="C76" t="str">
            <v>TOTTAURBE-VIA CONSULTEAM</v>
          </cell>
          <cell r="D76" t="str">
            <v>Santarém - Quinta das Cortezes, Lote 52</v>
          </cell>
          <cell r="E76" t="str">
            <v/>
          </cell>
          <cell r="F76" t="str">
            <v/>
          </cell>
          <cell r="G76" t="str">
            <v/>
          </cell>
          <cell r="H76" t="str">
            <v>Compromissos</v>
          </cell>
          <cell r="I76" t="str">
            <v>TERRENO URBANO - Residencial</v>
          </cell>
          <cell r="J76" t="str">
            <v>2018-11-22</v>
          </cell>
          <cell r="K76">
            <v>73826.55</v>
          </cell>
          <cell r="L76">
            <v>10576.55</v>
          </cell>
          <cell r="M76">
            <v>63250</v>
          </cell>
          <cell r="N76">
            <v>9487.5</v>
          </cell>
          <cell r="O76">
            <v>63250</v>
          </cell>
          <cell r="P76">
            <v>0</v>
          </cell>
          <cell r="Q76" t="str">
            <v>2023-12-29</v>
          </cell>
          <cell r="R76">
            <v>100</v>
          </cell>
          <cell r="S76">
            <v>54600</v>
          </cell>
          <cell r="T76" t="str">
            <v>LUSO-ROUX - LISBOA</v>
          </cell>
          <cell r="U76" t="str">
            <v>2023-06-28</v>
          </cell>
          <cell r="V76">
            <v>0</v>
          </cell>
          <cell r="W76" t="str">
            <v/>
          </cell>
          <cell r="X76" t="str">
            <v/>
          </cell>
          <cell r="Y76">
            <v>76600</v>
          </cell>
          <cell r="AA76">
            <v>63250</v>
          </cell>
          <cell r="AB76">
            <v>10576.550000000003</v>
          </cell>
          <cell r="AC76">
            <v>0</v>
          </cell>
          <cell r="AD76">
            <v>0</v>
          </cell>
        </row>
        <row r="77">
          <cell r="A77">
            <v>23286</v>
          </cell>
          <cell r="B77" t="str">
            <v>GI</v>
          </cell>
          <cell r="C77" t="str">
            <v>TOTTAURBE-VIA CONSULTEAM</v>
          </cell>
          <cell r="D77" t="str">
            <v>Santarém - Quinta das Cortezes, Lote 53</v>
          </cell>
          <cell r="E77" t="str">
            <v/>
          </cell>
          <cell r="F77" t="str">
            <v/>
          </cell>
          <cell r="G77" t="str">
            <v/>
          </cell>
          <cell r="H77" t="str">
            <v>Compromissos</v>
          </cell>
          <cell r="I77" t="str">
            <v>TERRENO URBANO - Residencial</v>
          </cell>
          <cell r="J77" t="str">
            <v>2018-11-22</v>
          </cell>
          <cell r="K77">
            <v>73108.56</v>
          </cell>
          <cell r="L77">
            <v>11348.56</v>
          </cell>
          <cell r="M77">
            <v>61760</v>
          </cell>
          <cell r="N77">
            <v>9264</v>
          </cell>
          <cell r="O77">
            <v>61760</v>
          </cell>
          <cell r="P77">
            <v>0</v>
          </cell>
          <cell r="Q77" t="str">
            <v>2023-12-29</v>
          </cell>
          <cell r="R77">
            <v>100</v>
          </cell>
          <cell r="S77">
            <v>53300</v>
          </cell>
          <cell r="T77" t="str">
            <v>LUSO-ROUX - LISBOA</v>
          </cell>
          <cell r="U77" t="str">
            <v>2023-06-28</v>
          </cell>
          <cell r="V77">
            <v>0</v>
          </cell>
          <cell r="W77" t="str">
            <v/>
          </cell>
          <cell r="X77" t="str">
            <v/>
          </cell>
          <cell r="Y77">
            <v>74800</v>
          </cell>
          <cell r="AA77">
            <v>61760</v>
          </cell>
          <cell r="AB77">
            <v>11348.559999999998</v>
          </cell>
          <cell r="AC77">
            <v>0</v>
          </cell>
          <cell r="AD77">
            <v>0</v>
          </cell>
        </row>
        <row r="78">
          <cell r="A78">
            <v>23287</v>
          </cell>
          <cell r="B78" t="str">
            <v>GI</v>
          </cell>
          <cell r="C78" t="str">
            <v>TOTTAURBE-VIA CONSULTEAM</v>
          </cell>
          <cell r="D78" t="str">
            <v>Santarém - Quinta das Cortezes, Lote 54</v>
          </cell>
          <cell r="E78" t="str">
            <v/>
          </cell>
          <cell r="F78" t="str">
            <v/>
          </cell>
          <cell r="G78" t="str">
            <v/>
          </cell>
          <cell r="H78" t="str">
            <v>Compromissos</v>
          </cell>
          <cell r="I78" t="str">
            <v>TERRENO URBANO - Residencial</v>
          </cell>
          <cell r="J78" t="str">
            <v>2018-11-22</v>
          </cell>
          <cell r="K78">
            <v>50858.53</v>
          </cell>
          <cell r="L78">
            <v>6028.53</v>
          </cell>
          <cell r="M78">
            <v>44830</v>
          </cell>
          <cell r="N78">
            <v>6724.5</v>
          </cell>
          <cell r="O78">
            <v>44830</v>
          </cell>
          <cell r="P78">
            <v>0</v>
          </cell>
          <cell r="Q78" t="str">
            <v>2023-12-29</v>
          </cell>
          <cell r="R78">
            <v>100</v>
          </cell>
          <cell r="S78">
            <v>38700</v>
          </cell>
          <cell r="T78" t="str">
            <v>LUSO-ROUX - LISBOA</v>
          </cell>
          <cell r="U78" t="str">
            <v>2023-06-28</v>
          </cell>
          <cell r="V78">
            <v>0</v>
          </cell>
          <cell r="W78" t="str">
            <v/>
          </cell>
          <cell r="X78" t="str">
            <v/>
          </cell>
          <cell r="Y78">
            <v>54300</v>
          </cell>
          <cell r="AA78">
            <v>44830</v>
          </cell>
          <cell r="AB78">
            <v>6028.5299999999988</v>
          </cell>
          <cell r="AC78">
            <v>0</v>
          </cell>
          <cell r="AD78">
            <v>0</v>
          </cell>
        </row>
        <row r="79">
          <cell r="A79">
            <v>23288</v>
          </cell>
          <cell r="B79" t="str">
            <v>GI</v>
          </cell>
          <cell r="C79" t="str">
            <v>TOTTAURBE-VIA CONSULTEAM</v>
          </cell>
          <cell r="D79" t="str">
            <v>Santarém - Quinta das Cortezes, Lote 55</v>
          </cell>
          <cell r="E79" t="str">
            <v/>
          </cell>
          <cell r="F79" t="str">
            <v/>
          </cell>
          <cell r="G79" t="str">
            <v/>
          </cell>
          <cell r="H79" t="str">
            <v>Compromissos</v>
          </cell>
          <cell r="I79" t="str">
            <v>TERRENO URBANO - Residencial</v>
          </cell>
          <cell r="J79" t="str">
            <v>2018-11-22</v>
          </cell>
          <cell r="K79">
            <v>46523.19</v>
          </cell>
          <cell r="L79">
            <v>5483.19</v>
          </cell>
          <cell r="M79">
            <v>41040</v>
          </cell>
          <cell r="N79">
            <v>6156</v>
          </cell>
          <cell r="O79">
            <v>41040</v>
          </cell>
          <cell r="P79">
            <v>0</v>
          </cell>
          <cell r="Q79" t="str">
            <v>2023-12-29</v>
          </cell>
          <cell r="R79">
            <v>100</v>
          </cell>
          <cell r="S79">
            <v>35400</v>
          </cell>
          <cell r="T79" t="str">
            <v>LUSO-ROUX - LISBOA</v>
          </cell>
          <cell r="U79" t="str">
            <v>2023-06-28</v>
          </cell>
          <cell r="V79">
            <v>0</v>
          </cell>
          <cell r="W79" t="str">
            <v/>
          </cell>
          <cell r="X79" t="str">
            <v/>
          </cell>
          <cell r="Y79">
            <v>49700</v>
          </cell>
          <cell r="AA79">
            <v>41040</v>
          </cell>
          <cell r="AB79">
            <v>5483.1900000000023</v>
          </cell>
          <cell r="AC79">
            <v>0</v>
          </cell>
          <cell r="AD79">
            <v>0</v>
          </cell>
        </row>
        <row r="80">
          <cell r="A80">
            <v>23289</v>
          </cell>
          <cell r="B80" t="str">
            <v>GI</v>
          </cell>
          <cell r="C80" t="str">
            <v>TOTTAURBE-VIA CONSULTEAM</v>
          </cell>
          <cell r="D80" t="str">
            <v>Santarém - Quinta das Cortezes, Lote 56</v>
          </cell>
          <cell r="E80" t="str">
            <v/>
          </cell>
          <cell r="F80" t="str">
            <v/>
          </cell>
          <cell r="G80" t="str">
            <v/>
          </cell>
          <cell r="H80" t="str">
            <v>Compromissos</v>
          </cell>
          <cell r="I80" t="str">
            <v>TERRENO URBANO - Residencial</v>
          </cell>
          <cell r="J80" t="str">
            <v>2018-11-22</v>
          </cell>
          <cell r="K80">
            <v>46523.19</v>
          </cell>
          <cell r="L80">
            <v>5483.19</v>
          </cell>
          <cell r="M80">
            <v>41040</v>
          </cell>
          <cell r="N80">
            <v>6156</v>
          </cell>
          <cell r="O80">
            <v>41040</v>
          </cell>
          <cell r="P80">
            <v>0</v>
          </cell>
          <cell r="Q80" t="str">
            <v>2023-12-29</v>
          </cell>
          <cell r="R80">
            <v>100</v>
          </cell>
          <cell r="S80">
            <v>35400</v>
          </cell>
          <cell r="T80" t="str">
            <v>LUSO-ROUX - LISBOA</v>
          </cell>
          <cell r="U80" t="str">
            <v>2023-06-28</v>
          </cell>
          <cell r="V80">
            <v>0</v>
          </cell>
          <cell r="W80" t="str">
            <v/>
          </cell>
          <cell r="X80" t="str">
            <v/>
          </cell>
          <cell r="Y80">
            <v>49700</v>
          </cell>
          <cell r="AA80">
            <v>41040</v>
          </cell>
          <cell r="AB80">
            <v>5483.1900000000023</v>
          </cell>
          <cell r="AC80">
            <v>0</v>
          </cell>
          <cell r="AD80">
            <v>0</v>
          </cell>
        </row>
        <row r="81">
          <cell r="A81">
            <v>23290</v>
          </cell>
          <cell r="B81" t="str">
            <v>GI</v>
          </cell>
          <cell r="C81" t="str">
            <v>TOTTAURBE-VIA CONSULTEAM</v>
          </cell>
          <cell r="D81" t="str">
            <v>Santarém - Quinta das Cortezes, Lote 57</v>
          </cell>
          <cell r="E81" t="str">
            <v/>
          </cell>
          <cell r="F81" t="str">
            <v/>
          </cell>
          <cell r="G81" t="str">
            <v/>
          </cell>
          <cell r="H81" t="str">
            <v>Compromissos</v>
          </cell>
          <cell r="I81" t="str">
            <v>TERRENO URBANO - Residencial</v>
          </cell>
          <cell r="J81" t="str">
            <v>2018-11-22</v>
          </cell>
          <cell r="K81">
            <v>46523.19</v>
          </cell>
          <cell r="L81">
            <v>5483.19</v>
          </cell>
          <cell r="M81">
            <v>41040</v>
          </cell>
          <cell r="N81">
            <v>6156</v>
          </cell>
          <cell r="O81">
            <v>41040</v>
          </cell>
          <cell r="P81">
            <v>0</v>
          </cell>
          <cell r="Q81" t="str">
            <v>2023-12-29</v>
          </cell>
          <cell r="R81">
            <v>100</v>
          </cell>
          <cell r="S81">
            <v>35400</v>
          </cell>
          <cell r="T81" t="str">
            <v>LUSO-ROUX - LISBOA</v>
          </cell>
          <cell r="U81" t="str">
            <v>2023-06-28</v>
          </cell>
          <cell r="V81">
            <v>0</v>
          </cell>
          <cell r="W81" t="str">
            <v/>
          </cell>
          <cell r="X81" t="str">
            <v/>
          </cell>
          <cell r="Y81">
            <v>49700</v>
          </cell>
          <cell r="AA81">
            <v>41040</v>
          </cell>
          <cell r="AB81">
            <v>5483.1900000000023</v>
          </cell>
          <cell r="AC81">
            <v>0</v>
          </cell>
          <cell r="AD81">
            <v>0</v>
          </cell>
        </row>
        <row r="82">
          <cell r="A82">
            <v>23291</v>
          </cell>
          <cell r="B82" t="str">
            <v>GI</v>
          </cell>
          <cell r="C82" t="str">
            <v>TOTTAURBE-VIA CONSULTEAM</v>
          </cell>
          <cell r="D82" t="str">
            <v>Santarém - Quinta das Cortezes, Lote 58</v>
          </cell>
          <cell r="E82" t="str">
            <v/>
          </cell>
          <cell r="F82" t="str">
            <v/>
          </cell>
          <cell r="G82" t="str">
            <v/>
          </cell>
          <cell r="H82" t="str">
            <v>Compromissos</v>
          </cell>
          <cell r="I82" t="str">
            <v>TERRENO URBANO - Residencial</v>
          </cell>
          <cell r="J82" t="str">
            <v>2018-11-22</v>
          </cell>
          <cell r="K82">
            <v>73829.009999999995</v>
          </cell>
          <cell r="L82">
            <v>11079.01</v>
          </cell>
          <cell r="M82">
            <v>62750</v>
          </cell>
          <cell r="N82">
            <v>9412.5</v>
          </cell>
          <cell r="O82">
            <v>62750</v>
          </cell>
          <cell r="P82">
            <v>0</v>
          </cell>
          <cell r="Q82" t="str">
            <v>2023-12-29</v>
          </cell>
          <cell r="R82">
            <v>100</v>
          </cell>
          <cell r="S82">
            <v>54200</v>
          </cell>
          <cell r="T82" t="str">
            <v>LUSO-ROUX - LISBOA</v>
          </cell>
          <cell r="U82" t="str">
            <v>2023-06-28</v>
          </cell>
          <cell r="V82">
            <v>0</v>
          </cell>
          <cell r="W82" t="str">
            <v/>
          </cell>
          <cell r="X82" t="str">
            <v/>
          </cell>
          <cell r="Y82">
            <v>76000</v>
          </cell>
          <cell r="AA82">
            <v>62750</v>
          </cell>
          <cell r="AB82">
            <v>11079.009999999995</v>
          </cell>
          <cell r="AC82">
            <v>0</v>
          </cell>
          <cell r="AD82">
            <v>0</v>
          </cell>
        </row>
        <row r="83">
          <cell r="A83">
            <v>23292</v>
          </cell>
          <cell r="B83" t="str">
            <v>GI</v>
          </cell>
          <cell r="C83" t="str">
            <v>TOTTAURBE-VIA CONSULTEAM</v>
          </cell>
          <cell r="D83" t="str">
            <v>Santarém - Quinta das Cortezes, Lote 59</v>
          </cell>
          <cell r="E83" t="str">
            <v/>
          </cell>
          <cell r="F83" t="str">
            <v/>
          </cell>
          <cell r="G83" t="str">
            <v/>
          </cell>
          <cell r="H83" t="str">
            <v>Compromissos</v>
          </cell>
          <cell r="I83" t="str">
            <v>TERRENO URBANO - Residencial</v>
          </cell>
          <cell r="J83" t="str">
            <v>2018-11-22</v>
          </cell>
          <cell r="K83">
            <v>51828.09</v>
          </cell>
          <cell r="L83">
            <v>6088.09</v>
          </cell>
          <cell r="M83">
            <v>45740</v>
          </cell>
          <cell r="N83">
            <v>6861</v>
          </cell>
          <cell r="O83">
            <v>45740</v>
          </cell>
          <cell r="P83">
            <v>0</v>
          </cell>
          <cell r="Q83" t="str">
            <v>2023-12-29</v>
          </cell>
          <cell r="R83">
            <v>100</v>
          </cell>
          <cell r="S83">
            <v>39500</v>
          </cell>
          <cell r="T83" t="str">
            <v>LUSO-ROUX - LISBOA</v>
          </cell>
          <cell r="U83" t="str">
            <v>2023-06-28</v>
          </cell>
          <cell r="V83">
            <v>0</v>
          </cell>
          <cell r="W83" t="str">
            <v/>
          </cell>
          <cell r="X83" t="str">
            <v/>
          </cell>
          <cell r="Y83">
            <v>55400</v>
          </cell>
          <cell r="AA83">
            <v>45740</v>
          </cell>
          <cell r="AB83">
            <v>6088.0899999999965</v>
          </cell>
          <cell r="AC83">
            <v>0</v>
          </cell>
          <cell r="AD83">
            <v>0</v>
          </cell>
        </row>
        <row r="84">
          <cell r="A84">
            <v>23293</v>
          </cell>
          <cell r="B84" t="str">
            <v>GI</v>
          </cell>
          <cell r="C84" t="str">
            <v>TOTTAURBE-VIA CONSULTEAM</v>
          </cell>
          <cell r="D84" t="str">
            <v>Santarém - Quinta das Cortezes, Lote 61</v>
          </cell>
          <cell r="E84" t="str">
            <v/>
          </cell>
          <cell r="F84" t="str">
            <v/>
          </cell>
          <cell r="G84" t="str">
            <v/>
          </cell>
          <cell r="H84" t="str">
            <v>Compromissos</v>
          </cell>
          <cell r="I84" t="str">
            <v>TERRENO URBANO - Residencial</v>
          </cell>
          <cell r="J84" t="str">
            <v>2018-11-22</v>
          </cell>
          <cell r="K84">
            <v>67528.17</v>
          </cell>
          <cell r="L84">
            <v>9898.17</v>
          </cell>
          <cell r="M84">
            <v>57630</v>
          </cell>
          <cell r="N84">
            <v>8644.5</v>
          </cell>
          <cell r="O84">
            <v>57630</v>
          </cell>
          <cell r="P84">
            <v>0</v>
          </cell>
          <cell r="Q84" t="str">
            <v>2023-12-29</v>
          </cell>
          <cell r="R84">
            <v>100</v>
          </cell>
          <cell r="S84">
            <v>49800</v>
          </cell>
          <cell r="T84" t="str">
            <v>LUSO-ROUX - LISBOA</v>
          </cell>
          <cell r="U84" t="str">
            <v>2023-06-28</v>
          </cell>
          <cell r="V84">
            <v>0</v>
          </cell>
          <cell r="W84" t="str">
            <v/>
          </cell>
          <cell r="X84" t="str">
            <v/>
          </cell>
          <cell r="Y84">
            <v>69800</v>
          </cell>
          <cell r="AA84">
            <v>57630</v>
          </cell>
          <cell r="AB84">
            <v>9898.1699999999983</v>
          </cell>
          <cell r="AC84">
            <v>0</v>
          </cell>
          <cell r="AD84">
            <v>0</v>
          </cell>
        </row>
        <row r="85">
          <cell r="A85">
            <v>23294</v>
          </cell>
          <cell r="B85" t="str">
            <v>GI</v>
          </cell>
          <cell r="C85" t="str">
            <v>TOTTAURBE-VIA CONSULTEAM</v>
          </cell>
          <cell r="D85" t="str">
            <v>Santarém - Quinta das Cortezes, Lote 62</v>
          </cell>
          <cell r="E85" t="str">
            <v/>
          </cell>
          <cell r="F85" t="str">
            <v/>
          </cell>
          <cell r="G85" t="str">
            <v/>
          </cell>
          <cell r="H85" t="str">
            <v>Compromissos</v>
          </cell>
          <cell r="I85" t="str">
            <v>TERRENO URBANO - Residencial</v>
          </cell>
          <cell r="J85" t="str">
            <v>2018-11-22</v>
          </cell>
          <cell r="K85">
            <v>55542.79</v>
          </cell>
          <cell r="L85">
            <v>5252.79</v>
          </cell>
          <cell r="M85">
            <v>50290</v>
          </cell>
          <cell r="N85">
            <v>7543.5</v>
          </cell>
          <cell r="O85">
            <v>50290</v>
          </cell>
          <cell r="P85">
            <v>0</v>
          </cell>
          <cell r="Q85" t="str">
            <v>2023-12-29</v>
          </cell>
          <cell r="R85">
            <v>100</v>
          </cell>
          <cell r="S85">
            <v>43400</v>
          </cell>
          <cell r="T85" t="str">
            <v>LUSO-ROUX - LISBOA</v>
          </cell>
          <cell r="U85" t="str">
            <v>2023-06-28</v>
          </cell>
          <cell r="V85">
            <v>0</v>
          </cell>
          <cell r="W85" t="str">
            <v/>
          </cell>
          <cell r="X85" t="str">
            <v/>
          </cell>
          <cell r="Y85">
            <v>60900</v>
          </cell>
          <cell r="AA85">
            <v>50290</v>
          </cell>
          <cell r="AB85">
            <v>5252.7900000000009</v>
          </cell>
          <cell r="AC85">
            <v>0</v>
          </cell>
          <cell r="AD85">
            <v>0</v>
          </cell>
        </row>
        <row r="86">
          <cell r="A86">
            <v>23295</v>
          </cell>
          <cell r="B86" t="str">
            <v>GI</v>
          </cell>
          <cell r="C86" t="str">
            <v>TOTTAURBE-VIA CONSULTEAM</v>
          </cell>
          <cell r="D86" t="str">
            <v>Santarém - Quinta das Cortezes, Lote 63</v>
          </cell>
          <cell r="E86" t="str">
            <v/>
          </cell>
          <cell r="F86" t="str">
            <v/>
          </cell>
          <cell r="G86" t="str">
            <v/>
          </cell>
          <cell r="H86" t="str">
            <v>Compromissos</v>
          </cell>
          <cell r="I86" t="str">
            <v>TERRENO URBANO - Residencial</v>
          </cell>
          <cell r="J86" t="str">
            <v>2018-11-22</v>
          </cell>
          <cell r="K86">
            <v>81392.429999999993</v>
          </cell>
          <cell r="L86">
            <v>10052.43</v>
          </cell>
          <cell r="M86">
            <v>71340</v>
          </cell>
          <cell r="N86">
            <v>10701</v>
          </cell>
          <cell r="O86">
            <v>71340</v>
          </cell>
          <cell r="P86">
            <v>0</v>
          </cell>
          <cell r="Q86" t="str">
            <v>2023-12-29</v>
          </cell>
          <cell r="R86">
            <v>100</v>
          </cell>
          <cell r="S86">
            <v>61600</v>
          </cell>
          <cell r="T86" t="str">
            <v>LUSO-ROUX - LISBOA</v>
          </cell>
          <cell r="U86" t="str">
            <v>2023-06-28</v>
          </cell>
          <cell r="V86">
            <v>0</v>
          </cell>
          <cell r="W86" t="str">
            <v/>
          </cell>
          <cell r="X86" t="str">
            <v/>
          </cell>
          <cell r="Y86">
            <v>86400</v>
          </cell>
          <cell r="AA86">
            <v>71340</v>
          </cell>
          <cell r="AB86">
            <v>10052.429999999993</v>
          </cell>
          <cell r="AC86">
            <v>0</v>
          </cell>
          <cell r="AD86">
            <v>0</v>
          </cell>
        </row>
        <row r="87">
          <cell r="A87">
            <v>23296</v>
          </cell>
          <cell r="B87" t="str">
            <v>GI</v>
          </cell>
          <cell r="C87" t="str">
            <v>TOTTAURBE-VIA CONSULTEAM</v>
          </cell>
          <cell r="D87" t="str">
            <v>Santarém - Quinta das Cortezes, Lote 64</v>
          </cell>
          <cell r="E87" t="str">
            <v/>
          </cell>
          <cell r="F87" t="str">
            <v/>
          </cell>
          <cell r="G87" t="str">
            <v/>
          </cell>
          <cell r="H87" t="str">
            <v>Compromissos</v>
          </cell>
          <cell r="I87" t="str">
            <v>TERRENO URBANO - Residencial</v>
          </cell>
          <cell r="J87" t="str">
            <v>2018-11-22</v>
          </cell>
          <cell r="K87">
            <v>62239.57</v>
          </cell>
          <cell r="L87">
            <v>6749.57</v>
          </cell>
          <cell r="M87">
            <v>55490</v>
          </cell>
          <cell r="N87">
            <v>8323.5</v>
          </cell>
          <cell r="O87">
            <v>55490</v>
          </cell>
          <cell r="P87">
            <v>0</v>
          </cell>
          <cell r="Q87" t="str">
            <v>2023-12-29</v>
          </cell>
          <cell r="R87">
            <v>100</v>
          </cell>
          <cell r="S87">
            <v>47900</v>
          </cell>
          <cell r="T87" t="str">
            <v>LUSO-ROUX - LISBOA</v>
          </cell>
          <cell r="U87" t="str">
            <v>2023-06-28</v>
          </cell>
          <cell r="V87">
            <v>0</v>
          </cell>
          <cell r="W87" t="str">
            <v/>
          </cell>
          <cell r="X87" t="str">
            <v/>
          </cell>
          <cell r="Y87">
            <v>67200</v>
          </cell>
          <cell r="AA87">
            <v>55490</v>
          </cell>
          <cell r="AB87">
            <v>6749.57</v>
          </cell>
          <cell r="AC87">
            <v>0</v>
          </cell>
          <cell r="AD87">
            <v>0</v>
          </cell>
        </row>
        <row r="88">
          <cell r="A88">
            <v>23297</v>
          </cell>
          <cell r="B88" t="str">
            <v>GI</v>
          </cell>
          <cell r="C88" t="str">
            <v>TOTTAURBE-VIA CONSULTEAM</v>
          </cell>
          <cell r="D88" t="str">
            <v>Santarém - Quinta das Cortezes, Lote 65</v>
          </cell>
          <cell r="E88" t="str">
            <v/>
          </cell>
          <cell r="F88" t="str">
            <v/>
          </cell>
          <cell r="G88" t="str">
            <v/>
          </cell>
          <cell r="H88" t="str">
            <v>Compromissos</v>
          </cell>
          <cell r="I88" t="str">
            <v>TERRENO URBANO - Residencial</v>
          </cell>
          <cell r="J88" t="str">
            <v>2018-11-22</v>
          </cell>
          <cell r="K88">
            <v>53242.98</v>
          </cell>
          <cell r="L88">
            <v>4942.9799999999996</v>
          </cell>
          <cell r="M88">
            <v>48300</v>
          </cell>
          <cell r="N88">
            <v>7245</v>
          </cell>
          <cell r="O88">
            <v>48300</v>
          </cell>
          <cell r="P88">
            <v>0</v>
          </cell>
          <cell r="Q88" t="str">
            <v>2023-12-29</v>
          </cell>
          <cell r="R88">
            <v>100</v>
          </cell>
          <cell r="S88">
            <v>41700</v>
          </cell>
          <cell r="T88" t="str">
            <v>LUSO-ROUX - LISBOA</v>
          </cell>
          <cell r="U88" t="str">
            <v>2023-06-28</v>
          </cell>
          <cell r="V88">
            <v>0</v>
          </cell>
          <cell r="W88" t="str">
            <v/>
          </cell>
          <cell r="X88" t="str">
            <v/>
          </cell>
          <cell r="Y88">
            <v>58500</v>
          </cell>
          <cell r="AA88">
            <v>48300</v>
          </cell>
          <cell r="AB88">
            <v>4942.9800000000032</v>
          </cell>
          <cell r="AC88">
            <v>0</v>
          </cell>
          <cell r="AD88">
            <v>0</v>
          </cell>
        </row>
        <row r="89">
          <cell r="A89">
            <v>23298</v>
          </cell>
          <cell r="B89" t="str">
            <v>GI</v>
          </cell>
          <cell r="C89" t="str">
            <v>TOTTAURBE-VIA CONSULTEAM</v>
          </cell>
          <cell r="D89" t="str">
            <v>Santarém - Quinta das Cortezes, Lote 66</v>
          </cell>
          <cell r="E89" t="str">
            <v/>
          </cell>
          <cell r="F89" t="str">
            <v/>
          </cell>
          <cell r="G89" t="str">
            <v/>
          </cell>
          <cell r="H89" t="str">
            <v>Compromissos</v>
          </cell>
          <cell r="I89" t="str">
            <v>TERRENO URBANO - Residencial</v>
          </cell>
          <cell r="J89" t="str">
            <v>2018-11-22</v>
          </cell>
          <cell r="K89">
            <v>62346.17</v>
          </cell>
          <cell r="L89">
            <v>6856.17</v>
          </cell>
          <cell r="M89">
            <v>55490</v>
          </cell>
          <cell r="N89">
            <v>8323.5</v>
          </cell>
          <cell r="O89">
            <v>55490</v>
          </cell>
          <cell r="P89">
            <v>0</v>
          </cell>
          <cell r="Q89" t="str">
            <v>2023-12-29</v>
          </cell>
          <cell r="R89">
            <v>100</v>
          </cell>
          <cell r="S89">
            <v>47900</v>
          </cell>
          <cell r="T89" t="str">
            <v>LUSO-ROUX - LISBOA</v>
          </cell>
          <cell r="U89" t="str">
            <v>2023-06-28</v>
          </cell>
          <cell r="V89">
            <v>0</v>
          </cell>
          <cell r="W89" t="str">
            <v/>
          </cell>
          <cell r="X89" t="str">
            <v/>
          </cell>
          <cell r="Y89">
            <v>67200</v>
          </cell>
          <cell r="AA89">
            <v>55490</v>
          </cell>
          <cell r="AB89">
            <v>6856.1699999999983</v>
          </cell>
          <cell r="AC89">
            <v>0</v>
          </cell>
          <cell r="AD89">
            <v>0</v>
          </cell>
        </row>
        <row r="90">
          <cell r="A90">
            <v>23299</v>
          </cell>
          <cell r="B90" t="str">
            <v>GI</v>
          </cell>
          <cell r="C90" t="str">
            <v>TOTTAURBE-VIA CONSULTEAM</v>
          </cell>
          <cell r="D90" t="str">
            <v>Santarém - Quinta das Cortezes, Lote 67</v>
          </cell>
          <cell r="E90" t="str">
            <v/>
          </cell>
          <cell r="F90" t="str">
            <v/>
          </cell>
          <cell r="G90" t="str">
            <v/>
          </cell>
          <cell r="H90" t="str">
            <v>Compromissos</v>
          </cell>
          <cell r="I90" t="str">
            <v>TERRENO URBANO - Residencial</v>
          </cell>
          <cell r="J90" t="str">
            <v>2018-11-22</v>
          </cell>
          <cell r="K90">
            <v>83212.77</v>
          </cell>
          <cell r="L90">
            <v>2112.77</v>
          </cell>
          <cell r="M90">
            <v>81100</v>
          </cell>
          <cell r="N90">
            <v>12165</v>
          </cell>
          <cell r="O90">
            <v>81100</v>
          </cell>
          <cell r="P90">
            <v>0</v>
          </cell>
          <cell r="Q90" t="str">
            <v>2023-12-29</v>
          </cell>
          <cell r="R90">
            <v>100</v>
          </cell>
          <cell r="S90">
            <v>70100</v>
          </cell>
          <cell r="T90" t="str">
            <v>LUSO-ROUX - LISBOA</v>
          </cell>
          <cell r="U90" t="str">
            <v>2023-06-28</v>
          </cell>
          <cell r="V90">
            <v>0</v>
          </cell>
          <cell r="W90" t="str">
            <v/>
          </cell>
          <cell r="X90" t="str">
            <v/>
          </cell>
          <cell r="Y90">
            <v>98300</v>
          </cell>
          <cell r="AA90">
            <v>81100</v>
          </cell>
          <cell r="AB90">
            <v>2112.7700000000041</v>
          </cell>
          <cell r="AC90">
            <v>0</v>
          </cell>
          <cell r="AD90">
            <v>0</v>
          </cell>
        </row>
        <row r="91">
          <cell r="A91">
            <v>23300</v>
          </cell>
          <cell r="B91" t="str">
            <v>GI</v>
          </cell>
          <cell r="C91" t="str">
            <v>TOTTAURBE-VIA CONSULTEAM</v>
          </cell>
          <cell r="D91" t="str">
            <v>Santarém - Quinta das Cortezes, Lote 68</v>
          </cell>
          <cell r="E91" t="str">
            <v/>
          </cell>
          <cell r="F91" t="str">
            <v/>
          </cell>
          <cell r="G91" t="str">
            <v/>
          </cell>
          <cell r="H91" t="str">
            <v>Compromissos</v>
          </cell>
          <cell r="I91" t="str">
            <v>TERRENO URBANO - Residencial</v>
          </cell>
          <cell r="J91" t="str">
            <v>2018-11-22</v>
          </cell>
          <cell r="K91">
            <v>88956.89</v>
          </cell>
          <cell r="L91">
            <v>12576.89</v>
          </cell>
          <cell r="M91">
            <v>76380</v>
          </cell>
          <cell r="N91">
            <v>11457</v>
          </cell>
          <cell r="O91">
            <v>76380</v>
          </cell>
          <cell r="P91">
            <v>0</v>
          </cell>
          <cell r="Q91" t="str">
            <v>2023-12-29</v>
          </cell>
          <cell r="R91">
            <v>100</v>
          </cell>
          <cell r="S91">
            <v>65900</v>
          </cell>
          <cell r="T91" t="str">
            <v>LUSO-ROUX - LISBOA</v>
          </cell>
          <cell r="U91" t="str">
            <v>2023-06-28</v>
          </cell>
          <cell r="V91">
            <v>0</v>
          </cell>
          <cell r="W91" t="str">
            <v/>
          </cell>
          <cell r="X91" t="str">
            <v/>
          </cell>
          <cell r="Y91">
            <v>92500</v>
          </cell>
          <cell r="AA91">
            <v>76380</v>
          </cell>
          <cell r="AB91">
            <v>12576.89</v>
          </cell>
          <cell r="AC91">
            <v>0</v>
          </cell>
          <cell r="AD91">
            <v>0</v>
          </cell>
        </row>
        <row r="92">
          <cell r="A92">
            <v>23301</v>
          </cell>
          <cell r="B92" t="str">
            <v>GI</v>
          </cell>
          <cell r="C92" t="str">
            <v>TOTTAURBE-VIA CONSULTEAM</v>
          </cell>
          <cell r="D92" t="str">
            <v>Santarém - Quinta das Cortezes, Lote 69</v>
          </cell>
          <cell r="E92" t="str">
            <v/>
          </cell>
          <cell r="F92" t="str">
            <v/>
          </cell>
          <cell r="G92" t="str">
            <v/>
          </cell>
          <cell r="H92" t="str">
            <v>Compromissos</v>
          </cell>
          <cell r="I92" t="str">
            <v>TERRENO URBANO - Residencial</v>
          </cell>
          <cell r="J92" t="str">
            <v>2018-11-22</v>
          </cell>
          <cell r="K92">
            <v>73930.61</v>
          </cell>
          <cell r="L92">
            <v>11670.61</v>
          </cell>
          <cell r="M92">
            <v>62260</v>
          </cell>
          <cell r="N92">
            <v>9339</v>
          </cell>
          <cell r="O92">
            <v>62260</v>
          </cell>
          <cell r="P92">
            <v>0</v>
          </cell>
          <cell r="Q92" t="str">
            <v>2023-12-29</v>
          </cell>
          <cell r="R92">
            <v>100</v>
          </cell>
          <cell r="S92">
            <v>53700</v>
          </cell>
          <cell r="T92" t="str">
            <v>LUSO-ROUX - LISBOA</v>
          </cell>
          <cell r="U92" t="str">
            <v>2023-06-28</v>
          </cell>
          <cell r="V92">
            <v>0</v>
          </cell>
          <cell r="W92" t="str">
            <v/>
          </cell>
          <cell r="X92" t="str">
            <v/>
          </cell>
          <cell r="Y92">
            <v>75400</v>
          </cell>
          <cell r="AA92">
            <v>62260</v>
          </cell>
          <cell r="AB92">
            <v>11670.61</v>
          </cell>
          <cell r="AC92">
            <v>0</v>
          </cell>
          <cell r="AD92">
            <v>0</v>
          </cell>
        </row>
        <row r="93">
          <cell r="A93">
            <v>23302</v>
          </cell>
          <cell r="B93" t="str">
            <v>GI</v>
          </cell>
          <cell r="C93" t="str">
            <v>TOTTAURBE-VIA CONSULTEAM</v>
          </cell>
          <cell r="D93" t="str">
            <v>Santarém - Quinta das Cortezes, Lote 70</v>
          </cell>
          <cell r="E93" t="str">
            <v/>
          </cell>
          <cell r="F93" t="str">
            <v/>
          </cell>
          <cell r="G93" t="str">
            <v/>
          </cell>
          <cell r="H93" t="str">
            <v>Compromissos</v>
          </cell>
          <cell r="I93" t="str">
            <v>TERRENO URBANO - Residencial</v>
          </cell>
          <cell r="J93" t="str">
            <v>2018-11-22</v>
          </cell>
          <cell r="K93">
            <v>74643.990000000005</v>
          </cell>
          <cell r="L93">
            <v>10733.99</v>
          </cell>
          <cell r="M93">
            <v>63910</v>
          </cell>
          <cell r="N93">
            <v>9586.5</v>
          </cell>
          <cell r="O93">
            <v>63910</v>
          </cell>
          <cell r="P93">
            <v>0</v>
          </cell>
          <cell r="Q93" t="str">
            <v>2023-12-29</v>
          </cell>
          <cell r="R93">
            <v>100</v>
          </cell>
          <cell r="S93">
            <v>55200</v>
          </cell>
          <cell r="T93" t="str">
            <v>LUSO-ROUX - LISBOA</v>
          </cell>
          <cell r="U93" t="str">
            <v>2023-06-28</v>
          </cell>
          <cell r="V93">
            <v>0</v>
          </cell>
          <cell r="W93" t="str">
            <v/>
          </cell>
          <cell r="X93" t="str">
            <v/>
          </cell>
          <cell r="Y93">
            <v>77400</v>
          </cell>
          <cell r="AA93">
            <v>63910</v>
          </cell>
          <cell r="AB93">
            <v>10733.990000000005</v>
          </cell>
          <cell r="AC93">
            <v>0</v>
          </cell>
          <cell r="AD93">
            <v>0</v>
          </cell>
        </row>
        <row r="94">
          <cell r="A94">
            <v>23303</v>
          </cell>
          <cell r="B94" t="str">
            <v>GI</v>
          </cell>
          <cell r="C94" t="str">
            <v>TOTTAURBE-VIA CONSULTEAM</v>
          </cell>
          <cell r="D94" t="str">
            <v>Santarém - Quinta das Cortezes, Lote 71</v>
          </cell>
          <cell r="E94" t="str">
            <v/>
          </cell>
          <cell r="F94" t="str">
            <v/>
          </cell>
          <cell r="G94" t="str">
            <v/>
          </cell>
          <cell r="H94" t="str">
            <v>Compromissos</v>
          </cell>
          <cell r="I94" t="str">
            <v>TERRENO URBANO - Residencial</v>
          </cell>
          <cell r="J94" t="str">
            <v>2018-11-22</v>
          </cell>
          <cell r="K94">
            <v>71659.17</v>
          </cell>
          <cell r="L94">
            <v>10969.17</v>
          </cell>
          <cell r="M94">
            <v>60690</v>
          </cell>
          <cell r="N94">
            <v>9103.5</v>
          </cell>
          <cell r="O94">
            <v>60690</v>
          </cell>
          <cell r="P94">
            <v>0</v>
          </cell>
          <cell r="Q94" t="str">
            <v>2023-12-29</v>
          </cell>
          <cell r="R94">
            <v>100</v>
          </cell>
          <cell r="S94">
            <v>52400</v>
          </cell>
          <cell r="T94" t="str">
            <v>LUSO-ROUX - LISBOA</v>
          </cell>
          <cell r="U94" t="str">
            <v>2023-06-28</v>
          </cell>
          <cell r="V94">
            <v>0</v>
          </cell>
          <cell r="W94" t="str">
            <v/>
          </cell>
          <cell r="X94" t="str">
            <v/>
          </cell>
          <cell r="Y94">
            <v>73500</v>
          </cell>
          <cell r="AA94">
            <v>60690</v>
          </cell>
          <cell r="AB94">
            <v>10969.169999999998</v>
          </cell>
          <cell r="AC94">
            <v>0</v>
          </cell>
          <cell r="AD94">
            <v>0</v>
          </cell>
        </row>
        <row r="95">
          <cell r="A95">
            <v>23304</v>
          </cell>
          <cell r="B95" t="str">
            <v>GI</v>
          </cell>
          <cell r="C95" t="str">
            <v>TOTTAURBE-VIA CONSULTEAM</v>
          </cell>
          <cell r="D95" t="str">
            <v>Santarém - Quinta das Cortezes, Lote 72</v>
          </cell>
          <cell r="E95" t="str">
            <v/>
          </cell>
          <cell r="F95" t="str">
            <v/>
          </cell>
          <cell r="G95" t="str">
            <v/>
          </cell>
          <cell r="H95" t="str">
            <v>Compromissos</v>
          </cell>
          <cell r="I95" t="str">
            <v>TERRENO URBANO - Residencial</v>
          </cell>
          <cell r="J95" t="str">
            <v>2018-11-22</v>
          </cell>
          <cell r="K95">
            <v>71659.17</v>
          </cell>
          <cell r="L95">
            <v>10969.17</v>
          </cell>
          <cell r="M95">
            <v>60690</v>
          </cell>
          <cell r="N95">
            <v>9103.5</v>
          </cell>
          <cell r="O95">
            <v>60690</v>
          </cell>
          <cell r="P95">
            <v>0</v>
          </cell>
          <cell r="Q95" t="str">
            <v>2023-12-29</v>
          </cell>
          <cell r="R95">
            <v>100</v>
          </cell>
          <cell r="S95">
            <v>52400</v>
          </cell>
          <cell r="T95" t="str">
            <v>LUSO-ROUX - LISBOA</v>
          </cell>
          <cell r="U95" t="str">
            <v>2023-06-28</v>
          </cell>
          <cell r="V95">
            <v>0</v>
          </cell>
          <cell r="W95" t="str">
            <v/>
          </cell>
          <cell r="X95" t="str">
            <v/>
          </cell>
          <cell r="Y95">
            <v>73500</v>
          </cell>
          <cell r="AA95">
            <v>60690</v>
          </cell>
          <cell r="AB95">
            <v>10969.169999999998</v>
          </cell>
          <cell r="AC95">
            <v>0</v>
          </cell>
          <cell r="AD95">
            <v>0</v>
          </cell>
        </row>
        <row r="96">
          <cell r="A96">
            <v>23305</v>
          </cell>
          <cell r="B96" t="str">
            <v>GI</v>
          </cell>
          <cell r="C96" t="str">
            <v>TOTTAURBE-VIA CONSULTEAM</v>
          </cell>
          <cell r="D96" t="str">
            <v>Santarém - Quinta das Cortezes, Lote 73</v>
          </cell>
          <cell r="E96" t="str">
            <v/>
          </cell>
          <cell r="F96" t="str">
            <v/>
          </cell>
          <cell r="G96" t="str">
            <v/>
          </cell>
          <cell r="H96" t="str">
            <v>Compromissos</v>
          </cell>
          <cell r="I96" t="str">
            <v>TERRENO URBANO - Residencial</v>
          </cell>
          <cell r="J96" t="str">
            <v>2018-11-22</v>
          </cell>
          <cell r="K96">
            <v>57443.99</v>
          </cell>
          <cell r="L96">
            <v>0</v>
          </cell>
          <cell r="M96">
            <v>57443.99</v>
          </cell>
          <cell r="N96">
            <v>9586.5</v>
          </cell>
          <cell r="O96">
            <v>63910</v>
          </cell>
          <cell r="P96">
            <v>0</v>
          </cell>
          <cell r="Q96" t="str">
            <v>2023-12-29</v>
          </cell>
          <cell r="R96">
            <v>100</v>
          </cell>
          <cell r="S96">
            <v>55200</v>
          </cell>
          <cell r="T96" t="str">
            <v>LUSO-ROUX - LISBOA</v>
          </cell>
          <cell r="U96" t="str">
            <v>2023-06-28</v>
          </cell>
          <cell r="V96">
            <v>0</v>
          </cell>
          <cell r="W96" t="str">
            <v/>
          </cell>
          <cell r="X96" t="str">
            <v/>
          </cell>
          <cell r="Y96">
            <v>77400</v>
          </cell>
          <cell r="AA96">
            <v>63910</v>
          </cell>
          <cell r="AB96">
            <v>0</v>
          </cell>
          <cell r="AC96">
            <v>0</v>
          </cell>
          <cell r="AD96">
            <v>0</v>
          </cell>
        </row>
        <row r="97">
          <cell r="A97">
            <v>23306</v>
          </cell>
          <cell r="B97" t="str">
            <v>GI</v>
          </cell>
          <cell r="C97" t="str">
            <v>TOTTAURBE-VIA CONSULTEAM</v>
          </cell>
          <cell r="D97" t="str">
            <v>Santarém - Quinta das Cortezes, Lote 74</v>
          </cell>
          <cell r="E97" t="str">
            <v/>
          </cell>
          <cell r="F97" t="str">
            <v/>
          </cell>
          <cell r="G97" t="str">
            <v/>
          </cell>
          <cell r="H97" t="str">
            <v>Compromissos</v>
          </cell>
          <cell r="I97" t="str">
            <v>TERRENO URBANO - Residencial</v>
          </cell>
          <cell r="J97" t="str">
            <v>2018-11-22</v>
          </cell>
          <cell r="K97">
            <v>74643.990000000005</v>
          </cell>
          <cell r="L97">
            <v>10733.99</v>
          </cell>
          <cell r="M97">
            <v>63910</v>
          </cell>
          <cell r="N97">
            <v>9586.5</v>
          </cell>
          <cell r="O97">
            <v>63910</v>
          </cell>
          <cell r="P97">
            <v>0</v>
          </cell>
          <cell r="Q97" t="str">
            <v>2023-12-29</v>
          </cell>
          <cell r="R97">
            <v>100</v>
          </cell>
          <cell r="S97">
            <v>55200</v>
          </cell>
          <cell r="T97" t="str">
            <v>LUSO-ROUX - LISBOA</v>
          </cell>
          <cell r="U97" t="str">
            <v>2023-06-28</v>
          </cell>
          <cell r="V97">
            <v>0</v>
          </cell>
          <cell r="W97" t="str">
            <v/>
          </cell>
          <cell r="X97" t="str">
            <v/>
          </cell>
          <cell r="Y97">
            <v>77400</v>
          </cell>
          <cell r="AA97">
            <v>63910</v>
          </cell>
          <cell r="AB97">
            <v>10733.990000000005</v>
          </cell>
          <cell r="AC97">
            <v>0</v>
          </cell>
          <cell r="AD97">
            <v>0</v>
          </cell>
        </row>
        <row r="98">
          <cell r="A98">
            <v>23307</v>
          </cell>
          <cell r="B98" t="str">
            <v>GI</v>
          </cell>
          <cell r="C98" t="str">
            <v>TOTTAURBE-VIA CONSULTEAM</v>
          </cell>
          <cell r="D98" t="str">
            <v>Santarém - Quinta das Cortezes, Lote 75</v>
          </cell>
          <cell r="E98" t="str">
            <v/>
          </cell>
          <cell r="F98" t="str">
            <v/>
          </cell>
          <cell r="G98" t="str">
            <v/>
          </cell>
          <cell r="H98" t="str">
            <v>Compromissos</v>
          </cell>
          <cell r="I98" t="str">
            <v>TERRENO URBANO - Residencial</v>
          </cell>
          <cell r="J98" t="str">
            <v>2018-11-22</v>
          </cell>
          <cell r="K98">
            <v>87917.66</v>
          </cell>
          <cell r="L98">
            <v>2417.66</v>
          </cell>
          <cell r="M98">
            <v>85500</v>
          </cell>
          <cell r="N98">
            <v>12825</v>
          </cell>
          <cell r="O98">
            <v>85500</v>
          </cell>
          <cell r="P98">
            <v>0</v>
          </cell>
          <cell r="Q98" t="str">
            <v>2023-12-29</v>
          </cell>
          <cell r="R98">
            <v>100</v>
          </cell>
          <cell r="S98">
            <v>74000</v>
          </cell>
          <cell r="T98" t="str">
            <v>LUSO-ROUX - LISBOA</v>
          </cell>
          <cell r="U98" t="str">
            <v>2023-06-28</v>
          </cell>
          <cell r="V98">
            <v>0</v>
          </cell>
          <cell r="W98" t="str">
            <v/>
          </cell>
          <cell r="X98" t="str">
            <v/>
          </cell>
          <cell r="Y98">
            <v>103800</v>
          </cell>
          <cell r="AA98">
            <v>85500</v>
          </cell>
          <cell r="AB98">
            <v>2417.6600000000035</v>
          </cell>
          <cell r="AC98">
            <v>0</v>
          </cell>
          <cell r="AD98">
            <v>0</v>
          </cell>
        </row>
        <row r="99">
          <cell r="A99">
            <v>25044</v>
          </cell>
          <cell r="B99" t="str">
            <v>N</v>
          </cell>
          <cell r="C99" t="str">
            <v>CONSULTEAM</v>
          </cell>
          <cell r="D99" t="str">
            <v>Gondomar - Rua 25 de Abril, Nº 270, 2º Dtº. "F"</v>
          </cell>
          <cell r="E99" t="str">
            <v xml:space="preserve">Bombarda-Sociedade Imobiliária, Lda. </v>
          </cell>
          <cell r="F99" t="str">
            <v/>
          </cell>
          <cell r="G99" t="str">
            <v/>
          </cell>
          <cell r="H99" t="str">
            <v>Compromissos</v>
          </cell>
          <cell r="I99" t="str">
            <v>FRACCAO HABITACIONAL - Residencial</v>
          </cell>
          <cell r="J99" t="str">
            <v>2011-12-27</v>
          </cell>
          <cell r="K99">
            <v>46300</v>
          </cell>
          <cell r="L99">
            <v>0</v>
          </cell>
          <cell r="M99">
            <v>46300</v>
          </cell>
          <cell r="N99">
            <v>10000</v>
          </cell>
          <cell r="O99">
            <v>100000</v>
          </cell>
          <cell r="P99">
            <v>0</v>
          </cell>
          <cell r="Q99" t="str">
            <v>2021-05-19</v>
          </cell>
          <cell r="R99">
            <v>100</v>
          </cell>
          <cell r="S99">
            <v>98300</v>
          </cell>
          <cell r="T99" t="str">
            <v>LUSO-ROUX - PORTO</v>
          </cell>
          <cell r="U99" t="str">
            <v>2020-07-02</v>
          </cell>
          <cell r="V99">
            <v>0</v>
          </cell>
          <cell r="W99" t="str">
            <v/>
          </cell>
          <cell r="X99" t="str">
            <v/>
          </cell>
          <cell r="Y99">
            <v>115400</v>
          </cell>
          <cell r="AA99">
            <v>100000</v>
          </cell>
          <cell r="AB99">
            <v>0</v>
          </cell>
          <cell r="AC99">
            <v>0</v>
          </cell>
          <cell r="AD99">
            <v>0</v>
          </cell>
        </row>
        <row r="100">
          <cell r="A100">
            <v>25083</v>
          </cell>
          <cell r="B100" t="str">
            <v>N</v>
          </cell>
          <cell r="C100" t="str">
            <v>CONSULTEAM</v>
          </cell>
          <cell r="D100" t="str">
            <v>Matosinhos - Rua de Recarei, Nº 740, 1º ESQº. "C"</v>
          </cell>
          <cell r="E100" t="str">
            <v xml:space="preserve">JOARTE II – Empreendimentos Imobiliários, Lda </v>
          </cell>
          <cell r="F100" t="str">
            <v/>
          </cell>
          <cell r="G100" t="str">
            <v/>
          </cell>
          <cell r="H100" t="str">
            <v>Compromissos</v>
          </cell>
          <cell r="I100" t="str">
            <v>FRACCAO HABITACIONAL - Residencial</v>
          </cell>
          <cell r="J100" t="str">
            <v>2011-12-27</v>
          </cell>
          <cell r="K100">
            <v>63000</v>
          </cell>
          <cell r="L100">
            <v>0</v>
          </cell>
          <cell r="M100">
            <v>63000</v>
          </cell>
          <cell r="N100">
            <v>13957.14</v>
          </cell>
          <cell r="O100">
            <v>139571.38</v>
          </cell>
          <cell r="P100">
            <v>0</v>
          </cell>
          <cell r="Q100">
            <v>45276</v>
          </cell>
          <cell r="R100">
            <v>100</v>
          </cell>
          <cell r="S100">
            <v>199235</v>
          </cell>
          <cell r="T100" t="str">
            <v>BENEGE - PORTO</v>
          </cell>
          <cell r="U100" t="str">
            <v>2021-03-16</v>
          </cell>
          <cell r="V100">
            <v>0</v>
          </cell>
          <cell r="W100" t="str">
            <v/>
          </cell>
          <cell r="X100" t="str">
            <v/>
          </cell>
          <cell r="Y100">
            <v>231600</v>
          </cell>
          <cell r="AA100">
            <v>139571.38</v>
          </cell>
          <cell r="AB100">
            <v>0</v>
          </cell>
          <cell r="AC100">
            <v>0</v>
          </cell>
          <cell r="AD100">
            <v>0</v>
          </cell>
        </row>
        <row r="101">
          <cell r="A101">
            <v>25092</v>
          </cell>
          <cell r="B101" t="str">
            <v>N</v>
          </cell>
          <cell r="C101" t="str">
            <v>CONSULTEAM</v>
          </cell>
          <cell r="D101" t="str">
            <v>Albergaria-A-Velha - Rua Senhor dos Aflitos, Nº S/N "C"</v>
          </cell>
          <cell r="E101" t="str">
            <v xml:space="preserve">CAVALINAS – Construções, Lda </v>
          </cell>
          <cell r="F101" t="str">
            <v/>
          </cell>
          <cell r="G101" t="str">
            <v/>
          </cell>
          <cell r="H101" t="str">
            <v>Compromissos</v>
          </cell>
          <cell r="I101" t="str">
            <v>MORADIA - Residencial</v>
          </cell>
          <cell r="J101" t="str">
            <v>2012-05-17</v>
          </cell>
          <cell r="K101">
            <v>66700</v>
          </cell>
          <cell r="L101">
            <v>7285.27</v>
          </cell>
          <cell r="M101">
            <v>59414.73</v>
          </cell>
          <cell r="N101">
            <v>5941.47</v>
          </cell>
          <cell r="O101">
            <v>59414.73</v>
          </cell>
          <cell r="P101">
            <v>0</v>
          </cell>
          <cell r="Q101">
            <v>45276</v>
          </cell>
          <cell r="R101">
            <v>100</v>
          </cell>
          <cell r="S101">
            <v>98425</v>
          </cell>
          <cell r="T101" t="str">
            <v>BENEGE - PORTO</v>
          </cell>
          <cell r="U101" t="str">
            <v>2021-04-05</v>
          </cell>
          <cell r="V101">
            <v>0</v>
          </cell>
          <cell r="W101" t="str">
            <v/>
          </cell>
          <cell r="X101" t="str">
            <v/>
          </cell>
          <cell r="Y101">
            <v>123100</v>
          </cell>
          <cell r="AA101">
            <v>59414.73</v>
          </cell>
          <cell r="AB101">
            <v>7285.2699999999968</v>
          </cell>
          <cell r="AC101">
            <v>0</v>
          </cell>
          <cell r="AD101">
            <v>0</v>
          </cell>
        </row>
        <row r="102">
          <cell r="A102">
            <v>25095</v>
          </cell>
          <cell r="B102" t="str">
            <v>N</v>
          </cell>
          <cell r="C102" t="str">
            <v>CONSULTEAM</v>
          </cell>
          <cell r="D102" t="str">
            <v>Castelo De Paiva - Lugar da Camosa</v>
          </cell>
          <cell r="E102" t="str">
            <v xml:space="preserve">José Maria Pinto Monteiro &amp; Filhos </v>
          </cell>
          <cell r="F102" t="str">
            <v/>
          </cell>
          <cell r="G102" t="str">
            <v/>
          </cell>
          <cell r="H102" t="str">
            <v>Compromissos</v>
          </cell>
          <cell r="I102" t="str">
            <v>MORADIA - Residencial</v>
          </cell>
          <cell r="J102" t="str">
            <v>2012-04-14</v>
          </cell>
          <cell r="K102">
            <v>21900</v>
          </cell>
          <cell r="L102">
            <v>17712.45</v>
          </cell>
          <cell r="M102">
            <v>4187.55</v>
          </cell>
          <cell r="N102">
            <v>418.76</v>
          </cell>
          <cell r="O102">
            <v>4187.55</v>
          </cell>
          <cell r="P102">
            <v>0</v>
          </cell>
          <cell r="Q102">
            <v>45276</v>
          </cell>
          <cell r="R102">
            <v>100</v>
          </cell>
          <cell r="S102">
            <v>4000</v>
          </cell>
          <cell r="T102" t="str">
            <v>MENCOVAZ</v>
          </cell>
          <cell r="U102" t="str">
            <v>2022-05-03</v>
          </cell>
          <cell r="V102">
            <v>0</v>
          </cell>
          <cell r="W102" t="str">
            <v/>
          </cell>
          <cell r="X102" t="str">
            <v/>
          </cell>
          <cell r="Y102">
            <v>5400</v>
          </cell>
          <cell r="AA102">
            <v>4187.55</v>
          </cell>
          <cell r="AB102">
            <v>17712.45</v>
          </cell>
          <cell r="AC102">
            <v>0</v>
          </cell>
          <cell r="AD102">
            <v>0</v>
          </cell>
        </row>
        <row r="103">
          <cell r="A103">
            <v>25654</v>
          </cell>
          <cell r="B103" t="str">
            <v>N</v>
          </cell>
          <cell r="C103" t="str">
            <v>TOTTAURBE-VIA CONSULTEAM</v>
          </cell>
          <cell r="D103" t="str">
            <v>Guimaraes - Lugar do Vale</v>
          </cell>
          <cell r="E103" t="str">
            <v/>
          </cell>
          <cell r="F103" t="str">
            <v/>
          </cell>
          <cell r="G103" t="str">
            <v/>
          </cell>
          <cell r="H103" t="str">
            <v>Regularização</v>
          </cell>
          <cell r="I103" t="str">
            <v>TERRENO RUSTICO - Outros</v>
          </cell>
          <cell r="J103" t="str">
            <v>2018-12-28</v>
          </cell>
          <cell r="K103">
            <v>47870.25</v>
          </cell>
          <cell r="L103">
            <v>16170.25</v>
          </cell>
          <cell r="M103">
            <v>31700</v>
          </cell>
          <cell r="N103">
            <v>0</v>
          </cell>
          <cell r="O103">
            <v>0</v>
          </cell>
          <cell r="P103">
            <v>0</v>
          </cell>
          <cell r="Q103" t="str">
            <v/>
          </cell>
          <cell r="R103">
            <v>100</v>
          </cell>
          <cell r="S103">
            <v>31700</v>
          </cell>
          <cell r="T103" t="str">
            <v>QUALITAS - LISBOA</v>
          </cell>
          <cell r="U103" t="str">
            <v>2016-12-22</v>
          </cell>
          <cell r="V103">
            <v>0</v>
          </cell>
          <cell r="W103" t="str">
            <v/>
          </cell>
          <cell r="X103" t="str">
            <v/>
          </cell>
          <cell r="Y103">
            <v>44800</v>
          </cell>
          <cell r="AA103">
            <v>31700</v>
          </cell>
          <cell r="AB103">
            <v>16170.25</v>
          </cell>
          <cell r="AC103">
            <v>0</v>
          </cell>
          <cell r="AD103">
            <v>0</v>
          </cell>
        </row>
        <row r="104">
          <cell r="A104">
            <v>25657</v>
          </cell>
          <cell r="B104" t="str">
            <v>N</v>
          </cell>
          <cell r="C104" t="str">
            <v>TOTTAURBE-VIA CONSULTEAM</v>
          </cell>
          <cell r="D104" t="str">
            <v>Aveiro - Quinta Clementina</v>
          </cell>
          <cell r="E104" t="str">
            <v/>
          </cell>
          <cell r="F104" t="str">
            <v/>
          </cell>
          <cell r="G104" t="str">
            <v/>
          </cell>
          <cell r="H104" t="str">
            <v>Vendas</v>
          </cell>
          <cell r="I104" t="str">
            <v>TERRENO RUSTICO - Outros</v>
          </cell>
          <cell r="J104" t="str">
            <v>2018-12-28</v>
          </cell>
          <cell r="K104">
            <v>107415</v>
          </cell>
          <cell r="L104">
            <v>45415</v>
          </cell>
          <cell r="M104">
            <v>62000</v>
          </cell>
          <cell r="N104">
            <v>0</v>
          </cell>
          <cell r="O104">
            <v>0</v>
          </cell>
          <cell r="P104">
            <v>0</v>
          </cell>
          <cell r="Q104" t="str">
            <v/>
          </cell>
          <cell r="R104">
            <v>100</v>
          </cell>
          <cell r="S104">
            <v>62000</v>
          </cell>
          <cell r="T104" t="str">
            <v>BRICK - CONSULTORIA EM AVALIACAO IMOBILIARIA</v>
          </cell>
          <cell r="U104" t="str">
            <v>2023-10-17</v>
          </cell>
          <cell r="V104">
            <v>0</v>
          </cell>
          <cell r="W104" t="str">
            <v/>
          </cell>
          <cell r="X104" t="str">
            <v/>
          </cell>
          <cell r="Y104">
            <v>78000</v>
          </cell>
          <cell r="AA104">
            <v>62000</v>
          </cell>
          <cell r="AB104">
            <v>45415</v>
          </cell>
          <cell r="AC104">
            <v>0</v>
          </cell>
          <cell r="AD104">
            <v>0</v>
          </cell>
        </row>
        <row r="105">
          <cell r="A105">
            <v>25850</v>
          </cell>
          <cell r="B105" t="str">
            <v>N</v>
          </cell>
          <cell r="C105" t="str">
            <v>TOTTAURBE-VIA CONSULTEAM</v>
          </cell>
          <cell r="D105" t="str">
            <v>Santarem - Casal de S.Domingos, Lote 3</v>
          </cell>
          <cell r="E105" t="str">
            <v xml:space="preserve">Construções Ramalho Couto S.A. </v>
          </cell>
          <cell r="F105" t="str">
            <v/>
          </cell>
          <cell r="G105" t="str">
            <v/>
          </cell>
          <cell r="H105" t="str">
            <v>Vendas</v>
          </cell>
          <cell r="I105" t="str">
            <v>TERRENO URBANO - Residencial</v>
          </cell>
          <cell r="J105" t="str">
            <v>2019-03-12</v>
          </cell>
          <cell r="K105">
            <v>143909.01999999999</v>
          </cell>
          <cell r="L105">
            <v>0</v>
          </cell>
          <cell r="M105">
            <v>143909.01999999999</v>
          </cell>
          <cell r="N105">
            <v>0</v>
          </cell>
          <cell r="O105">
            <v>0</v>
          </cell>
          <cell r="P105">
            <v>0</v>
          </cell>
          <cell r="Q105" t="str">
            <v/>
          </cell>
          <cell r="R105">
            <v>100</v>
          </cell>
          <cell r="S105">
            <v>184000</v>
          </cell>
          <cell r="T105" t="str">
            <v>MENCOVAZ</v>
          </cell>
          <cell r="U105" t="str">
            <v>2024-04-10</v>
          </cell>
          <cell r="V105">
            <v>0</v>
          </cell>
          <cell r="W105" t="str">
            <v/>
          </cell>
          <cell r="X105" t="str">
            <v/>
          </cell>
          <cell r="Y105">
            <v>228000</v>
          </cell>
          <cell r="AA105">
            <v>184000</v>
          </cell>
          <cell r="AB105">
            <v>0</v>
          </cell>
          <cell r="AC105">
            <v>0</v>
          </cell>
          <cell r="AD105">
            <v>0</v>
          </cell>
        </row>
        <row r="106">
          <cell r="A106">
            <v>25945</v>
          </cell>
          <cell r="B106" t="str">
            <v>GI</v>
          </cell>
          <cell r="C106" t="str">
            <v>TOTTAURBE-VIA CONSULTEAM</v>
          </cell>
          <cell r="D106" t="str">
            <v>Palmela - Olhos de Àgua, S/N</v>
          </cell>
          <cell r="E106" t="str">
            <v xml:space="preserve">Fermolis,Construções, Lda </v>
          </cell>
          <cell r="F106" t="str">
            <v/>
          </cell>
          <cell r="G106" t="str">
            <v/>
          </cell>
          <cell r="H106" t="str">
            <v>Vendas</v>
          </cell>
          <cell r="I106" t="str">
            <v>TERRENO RUSTICO - Outros</v>
          </cell>
          <cell r="J106" t="str">
            <v>2019-03-12</v>
          </cell>
          <cell r="K106">
            <v>2137091.25</v>
          </cell>
          <cell r="L106">
            <v>877091.25</v>
          </cell>
          <cell r="M106">
            <v>1260000</v>
          </cell>
          <cell r="N106">
            <v>0</v>
          </cell>
          <cell r="O106">
            <v>0</v>
          </cell>
          <cell r="P106">
            <v>0</v>
          </cell>
          <cell r="Q106" t="str">
            <v/>
          </cell>
          <cell r="R106">
            <v>100</v>
          </cell>
          <cell r="S106">
            <v>1260000</v>
          </cell>
          <cell r="T106" t="str">
            <v>BENEGE - LISBOA</v>
          </cell>
          <cell r="U106" t="str">
            <v>2023-08-02</v>
          </cell>
          <cell r="V106">
            <v>0</v>
          </cell>
          <cell r="W106" t="str">
            <v/>
          </cell>
          <cell r="X106" t="str">
            <v/>
          </cell>
          <cell r="Y106">
            <v>1609000</v>
          </cell>
          <cell r="AA106">
            <v>1260000</v>
          </cell>
          <cell r="AB106">
            <v>877091.25</v>
          </cell>
          <cell r="AC106">
            <v>0</v>
          </cell>
          <cell r="AD106">
            <v>0</v>
          </cell>
        </row>
        <row r="107">
          <cell r="A107">
            <v>27029</v>
          </cell>
          <cell r="B107" t="str">
            <v>N</v>
          </cell>
          <cell r="C107" t="str">
            <v>TOTTAURBE-VIA CONSULTEAM</v>
          </cell>
          <cell r="D107" t="str">
            <v>Matosinhos - Rua de Recarei</v>
          </cell>
          <cell r="E107" t="str">
            <v xml:space="preserve">JOARTE II – Empreendimentos Imobiliários, Lda </v>
          </cell>
          <cell r="F107" t="str">
            <v/>
          </cell>
          <cell r="G107" t="str">
            <v/>
          </cell>
          <cell r="H107" t="str">
            <v>Regularização</v>
          </cell>
          <cell r="I107" t="str">
            <v>TERRENO URBANO - Residencial</v>
          </cell>
          <cell r="J107" t="str">
            <v>2023-03-14</v>
          </cell>
          <cell r="K107">
            <v>100</v>
          </cell>
          <cell r="L107">
            <v>0</v>
          </cell>
          <cell r="M107">
            <v>100</v>
          </cell>
          <cell r="N107">
            <v>0</v>
          </cell>
          <cell r="O107">
            <v>0</v>
          </cell>
          <cell r="P107">
            <v>0</v>
          </cell>
          <cell r="Q107" t="str">
            <v/>
          </cell>
          <cell r="R107">
            <v>100</v>
          </cell>
          <cell r="S107">
            <v>400</v>
          </cell>
          <cell r="T107" t="str">
            <v>P&amp;I COLLIERS - LISBOA</v>
          </cell>
          <cell r="U107" t="str">
            <v>2016-09-02</v>
          </cell>
          <cell r="V107">
            <v>0</v>
          </cell>
          <cell r="W107" t="str">
            <v/>
          </cell>
          <cell r="X107" t="str">
            <v/>
          </cell>
          <cell r="Y107">
            <v>500</v>
          </cell>
          <cell r="AA107">
            <v>400</v>
          </cell>
          <cell r="AB107">
            <v>0</v>
          </cell>
          <cell r="AC107">
            <v>0</v>
          </cell>
          <cell r="AD107">
            <v>0</v>
          </cell>
        </row>
        <row r="108">
          <cell r="A108">
            <v>27110</v>
          </cell>
          <cell r="B108" t="str">
            <v>N</v>
          </cell>
          <cell r="C108" t="str">
            <v>TOTTAURBE-VIA CONSULTEAM</v>
          </cell>
          <cell r="D108" t="str">
            <v>Caldas Da Rainha - Rua Dr. Leonel Sotto Mayor, Nº 44 a 54, R/C, LOJA 1 "R"</v>
          </cell>
          <cell r="E108" t="str">
            <v xml:space="preserve">Sociedade Construções José Coutinho </v>
          </cell>
          <cell r="F108" t="str">
            <v/>
          </cell>
          <cell r="G108" t="str">
            <v/>
          </cell>
          <cell r="H108" t="str">
            <v>Compromissos</v>
          </cell>
          <cell r="I108" t="str">
            <v>LOJA - Comercial</v>
          </cell>
          <cell r="J108" t="str">
            <v>2024-03-19</v>
          </cell>
          <cell r="K108">
            <v>110338.92</v>
          </cell>
          <cell r="L108">
            <v>31338.92</v>
          </cell>
          <cell r="M108">
            <v>79000</v>
          </cell>
          <cell r="N108">
            <v>1500</v>
          </cell>
          <cell r="O108">
            <v>0</v>
          </cell>
          <cell r="P108">
            <v>0</v>
          </cell>
          <cell r="Q108" t="str">
            <v/>
          </cell>
          <cell r="R108">
            <v>100</v>
          </cell>
          <cell r="S108">
            <v>79000</v>
          </cell>
          <cell r="T108" t="str">
            <v>MENCOVAZ</v>
          </cell>
          <cell r="U108" t="str">
            <v>2023-07-26</v>
          </cell>
          <cell r="V108">
            <v>0</v>
          </cell>
          <cell r="W108" t="str">
            <v/>
          </cell>
          <cell r="X108" t="str">
            <v/>
          </cell>
          <cell r="Y108">
            <v>92700</v>
          </cell>
          <cell r="AA108">
            <v>79000</v>
          </cell>
          <cell r="AB108">
            <v>31338.92</v>
          </cell>
          <cell r="AC108">
            <v>0</v>
          </cell>
          <cell r="AD108">
            <v>0</v>
          </cell>
        </row>
        <row r="109">
          <cell r="AA109" t="str">
            <v>Provisão para CADUCIDADE de IMT a liquidar</v>
          </cell>
          <cell r="AB109">
            <v>610000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5"/>
  <sheetViews>
    <sheetView tabSelected="1" zoomScaleNormal="100" workbookViewId="0">
      <selection activeCell="AO107" sqref="AO107"/>
    </sheetView>
  </sheetViews>
  <sheetFormatPr defaultColWidth="8.85546875" defaultRowHeight="12.75" x14ac:dyDescent="0.25"/>
  <cols>
    <col min="1" max="1" width="8.140625" style="1" bestFit="1" customWidth="1"/>
    <col min="2" max="2" width="8" style="1" bestFit="1" customWidth="1"/>
    <col min="3" max="3" width="8.28515625" style="1" customWidth="1"/>
    <col min="4" max="4" width="12.7109375" style="1" customWidth="1"/>
    <col min="5" max="5" width="15.140625" style="1" customWidth="1"/>
    <col min="6" max="6" width="7" style="1" bestFit="1" customWidth="1"/>
    <col min="7" max="7" width="7.42578125" style="1" bestFit="1" customWidth="1"/>
    <col min="8" max="8" width="10.28515625" style="1" bestFit="1" customWidth="1"/>
    <col min="9" max="9" width="30.42578125" style="1" bestFit="1" customWidth="1"/>
    <col min="10" max="10" width="8.85546875" style="1"/>
    <col min="11" max="11" width="13.5703125" style="12" bestFit="1" customWidth="1"/>
    <col min="12" max="12" width="11.85546875" style="2" bestFit="1" customWidth="1"/>
    <col min="13" max="13" width="9.140625" style="2" bestFit="1" customWidth="1"/>
    <col min="14" max="14" width="7.42578125" style="2" bestFit="1" customWidth="1"/>
    <col min="15" max="15" width="8" style="2" bestFit="1" customWidth="1"/>
    <col min="16" max="16" width="9.85546875" style="1" bestFit="1" customWidth="1"/>
    <col min="17" max="17" width="14.42578125" style="1" bestFit="1" customWidth="1"/>
    <col min="18" max="18" width="10" style="1" bestFit="1" customWidth="1"/>
    <col min="19" max="19" width="9.140625" style="2" bestFit="1" customWidth="1"/>
    <col min="20" max="20" width="32.140625" style="1" bestFit="1" customWidth="1"/>
    <col min="21" max="21" width="8.85546875" style="1"/>
    <col min="22" max="22" width="7.7109375" style="1" bestFit="1" customWidth="1"/>
    <col min="23" max="23" width="19.140625" style="1" bestFit="1" customWidth="1"/>
    <col min="24" max="24" width="7.7109375" style="1" bestFit="1" customWidth="1"/>
    <col min="25" max="25" width="10.42578125" style="2" bestFit="1" customWidth="1"/>
    <col min="26" max="26" width="8.85546875" style="1"/>
    <col min="27" max="27" width="33" style="1" customWidth="1"/>
    <col min="28" max="28" width="10.140625" style="15" customWidth="1"/>
    <col min="29" max="32" width="10.140625" style="1" customWidth="1"/>
    <col min="33" max="33" width="12.42578125" style="1" bestFit="1" customWidth="1"/>
    <col min="34" max="34" width="10.140625" style="1" customWidth="1"/>
    <col min="35" max="35" width="12.85546875" style="1" customWidth="1"/>
    <col min="36" max="36" width="10.140625" style="1" customWidth="1"/>
    <col min="37" max="37" width="10" style="1" bestFit="1" customWidth="1"/>
    <col min="38" max="38" width="12.140625" style="2" bestFit="1" customWidth="1"/>
    <col min="39" max="39" width="12.140625" style="1" customWidth="1"/>
    <col min="40" max="40" width="17.7109375" style="1" bestFit="1" customWidth="1"/>
    <col min="41" max="16384" width="8.85546875" style="1"/>
  </cols>
  <sheetData>
    <row r="1" spans="1:43" x14ac:dyDescent="0.25">
      <c r="K1" s="12" t="s">
        <v>217</v>
      </c>
      <c r="AB1" s="12" t="s">
        <v>217</v>
      </c>
      <c r="AG1" s="8"/>
      <c r="AH1" s="2"/>
      <c r="AI1" s="2"/>
      <c r="AL1" s="16" t="s">
        <v>222</v>
      </c>
      <c r="AM1" s="16"/>
      <c r="AN1" s="16"/>
      <c r="AO1" s="16"/>
    </row>
    <row r="2" spans="1:43" ht="42.7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  <c r="S2" s="2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2" t="s">
        <v>24</v>
      </c>
      <c r="AB2" s="14" t="s">
        <v>216</v>
      </c>
      <c r="AC2" s="4" t="s">
        <v>208</v>
      </c>
      <c r="AD2" s="3" t="s">
        <v>209</v>
      </c>
      <c r="AE2" s="4" t="s">
        <v>210</v>
      </c>
      <c r="AF2" s="5" t="s">
        <v>211</v>
      </c>
      <c r="AG2" s="5" t="s">
        <v>212</v>
      </c>
      <c r="AH2" s="6" t="s">
        <v>213</v>
      </c>
      <c r="AI2" s="7" t="s">
        <v>214</v>
      </c>
      <c r="AJ2" s="6" t="s">
        <v>215</v>
      </c>
      <c r="AK2" s="13"/>
      <c r="AL2" s="12" t="s">
        <v>218</v>
      </c>
      <c r="AM2" s="15" t="s">
        <v>219</v>
      </c>
      <c r="AN2" s="15" t="s">
        <v>220</v>
      </c>
      <c r="AO2" s="15" t="s">
        <v>221</v>
      </c>
    </row>
    <row r="3" spans="1:43" x14ac:dyDescent="0.25">
      <c r="A3" s="1">
        <v>20050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28</v>
      </c>
      <c r="G3" s="1" t="s">
        <v>28</v>
      </c>
      <c r="H3" s="1" t="s">
        <v>29</v>
      </c>
      <c r="I3" s="1" t="s">
        <v>30</v>
      </c>
      <c r="J3" s="1" t="s">
        <v>31</v>
      </c>
      <c r="K3" s="12">
        <v>11033.08</v>
      </c>
      <c r="L3" s="2">
        <v>5663.08</v>
      </c>
      <c r="M3" s="2">
        <v>5370</v>
      </c>
      <c r="N3" s="2">
        <v>0</v>
      </c>
      <c r="O3" s="2">
        <v>0</v>
      </c>
      <c r="P3" s="1">
        <v>0</v>
      </c>
      <c r="Q3" s="1" t="s">
        <v>28</v>
      </c>
      <c r="R3" s="1">
        <v>100</v>
      </c>
      <c r="S3" s="2">
        <v>5370</v>
      </c>
      <c r="T3" s="1" t="s">
        <v>32</v>
      </c>
      <c r="U3" s="1" t="s">
        <v>33</v>
      </c>
      <c r="V3" s="1">
        <v>0</v>
      </c>
      <c r="W3" s="1" t="s">
        <v>28</v>
      </c>
      <c r="X3" s="1" t="s">
        <v>28</v>
      </c>
      <c r="Y3" s="2">
        <v>7790</v>
      </c>
      <c r="AA3" s="2">
        <f>+S3</f>
        <v>5370</v>
      </c>
      <c r="AB3" s="9">
        <f t="shared" ref="AB3:AB65" si="0">IF((K3-AA3)&gt;0,K3-AA3,0)+AD3+AC3</f>
        <v>5663.08</v>
      </c>
      <c r="AC3" s="2">
        <f>VLOOKUP(A3,[1]Sheet1!$A$3:$AD$575,29,)</f>
        <v>0</v>
      </c>
      <c r="AD3" s="10">
        <f>VLOOKUP(A3,[1]Sheet1!$A$3:$AD$575,30,0)</f>
        <v>0</v>
      </c>
      <c r="AE3" s="2">
        <f>VLOOKUP(A3,[1]Sheet1!$A$3:$AD$575,28,0)</f>
        <v>5663.08</v>
      </c>
      <c r="AF3" s="2">
        <f t="shared" ref="AF3:AF65" si="1">+AB3-AE3</f>
        <v>0</v>
      </c>
      <c r="AH3" s="2">
        <f>+K3-AB3</f>
        <v>5370</v>
      </c>
      <c r="AK3" s="2"/>
      <c r="AL3" s="2">
        <v>11562.52</v>
      </c>
      <c r="AM3" s="1" t="s">
        <v>223</v>
      </c>
      <c r="AN3" s="2">
        <v>6192.52</v>
      </c>
      <c r="AO3" s="1" t="s">
        <v>224</v>
      </c>
      <c r="AQ3" s="2"/>
    </row>
    <row r="4" spans="1:43" x14ac:dyDescent="0.25">
      <c r="A4" s="1">
        <v>20051</v>
      </c>
      <c r="B4" s="1" t="s">
        <v>25</v>
      </c>
      <c r="C4" s="1" t="s">
        <v>26</v>
      </c>
      <c r="D4" s="1" t="s">
        <v>34</v>
      </c>
      <c r="E4" s="1" t="s">
        <v>28</v>
      </c>
      <c r="F4" s="1" t="s">
        <v>28</v>
      </c>
      <c r="G4" s="1" t="s">
        <v>28</v>
      </c>
      <c r="H4" s="1" t="s">
        <v>29</v>
      </c>
      <c r="I4" s="1" t="s">
        <v>30</v>
      </c>
      <c r="J4" s="1" t="s">
        <v>31</v>
      </c>
      <c r="K4" s="12">
        <v>11033.08</v>
      </c>
      <c r="L4" s="2">
        <v>5663.08</v>
      </c>
      <c r="M4" s="2">
        <v>5370</v>
      </c>
      <c r="N4" s="2">
        <v>0</v>
      </c>
      <c r="O4" s="2">
        <v>0</v>
      </c>
      <c r="P4" s="1">
        <v>0</v>
      </c>
      <c r="Q4" s="1" t="s">
        <v>28</v>
      </c>
      <c r="R4" s="1">
        <v>100</v>
      </c>
      <c r="S4" s="2">
        <v>5370</v>
      </c>
      <c r="T4" s="1" t="s">
        <v>32</v>
      </c>
      <c r="U4" s="1" t="s">
        <v>33</v>
      </c>
      <c r="V4" s="1">
        <v>0</v>
      </c>
      <c r="W4" s="1" t="s">
        <v>28</v>
      </c>
      <c r="X4" s="1" t="s">
        <v>28</v>
      </c>
      <c r="Y4" s="2">
        <v>7790</v>
      </c>
      <c r="AA4" s="2">
        <f t="shared" ref="AA4:AA12" si="2">+S4</f>
        <v>5370</v>
      </c>
      <c r="AB4" s="9">
        <f t="shared" si="0"/>
        <v>5663.08</v>
      </c>
      <c r="AC4" s="2">
        <f>VLOOKUP(A4,[1]Sheet1!$A$3:$AD$575,29,)</f>
        <v>0</v>
      </c>
      <c r="AD4" s="10">
        <f>VLOOKUP(A4,[1]Sheet1!$A$3:$AD$575,30,0)</f>
        <v>0</v>
      </c>
      <c r="AE4" s="2">
        <f>VLOOKUP(A4,[1]Sheet1!$A$3:$AD$575,28,0)</f>
        <v>5663.08</v>
      </c>
      <c r="AF4" s="2">
        <f t="shared" si="1"/>
        <v>0</v>
      </c>
      <c r="AH4" s="2">
        <f t="shared" ref="AH4:AH66" si="3">+K4-AB4</f>
        <v>5370</v>
      </c>
      <c r="AK4" s="2"/>
      <c r="AL4" s="2">
        <v>11562.52</v>
      </c>
      <c r="AM4" s="1" t="s">
        <v>223</v>
      </c>
      <c r="AN4" s="2">
        <v>6192.52</v>
      </c>
      <c r="AO4" s="1" t="s">
        <v>224</v>
      </c>
      <c r="AQ4" s="2"/>
    </row>
    <row r="5" spans="1:43" x14ac:dyDescent="0.25">
      <c r="A5" s="1">
        <v>20052</v>
      </c>
      <c r="B5" s="1" t="s">
        <v>25</v>
      </c>
      <c r="C5" s="1" t="s">
        <v>26</v>
      </c>
      <c r="D5" s="1" t="s">
        <v>35</v>
      </c>
      <c r="E5" s="1" t="s">
        <v>28</v>
      </c>
      <c r="F5" s="1" t="s">
        <v>28</v>
      </c>
      <c r="G5" s="1" t="s">
        <v>28</v>
      </c>
      <c r="H5" s="1" t="s">
        <v>29</v>
      </c>
      <c r="I5" s="1" t="s">
        <v>30</v>
      </c>
      <c r="J5" s="1" t="s">
        <v>31</v>
      </c>
      <c r="K5" s="12">
        <v>11033.08</v>
      </c>
      <c r="L5" s="2">
        <v>5663.08</v>
      </c>
      <c r="M5" s="2">
        <v>5370</v>
      </c>
      <c r="N5" s="2">
        <v>0</v>
      </c>
      <c r="O5" s="2">
        <v>0</v>
      </c>
      <c r="P5" s="1">
        <v>0</v>
      </c>
      <c r="Q5" s="1" t="s">
        <v>28</v>
      </c>
      <c r="R5" s="1">
        <v>100</v>
      </c>
      <c r="S5" s="2">
        <v>5370</v>
      </c>
      <c r="T5" s="1" t="s">
        <v>32</v>
      </c>
      <c r="U5" s="1" t="s">
        <v>33</v>
      </c>
      <c r="V5" s="1">
        <v>0</v>
      </c>
      <c r="W5" s="1" t="s">
        <v>28</v>
      </c>
      <c r="X5" s="1" t="s">
        <v>28</v>
      </c>
      <c r="Y5" s="2">
        <v>7790</v>
      </c>
      <c r="AA5" s="2">
        <f t="shared" si="2"/>
        <v>5370</v>
      </c>
      <c r="AB5" s="9">
        <f t="shared" si="0"/>
        <v>5663.08</v>
      </c>
      <c r="AC5" s="2">
        <f>VLOOKUP(A5,[1]Sheet1!$A$3:$AD$575,29,)</f>
        <v>0</v>
      </c>
      <c r="AD5" s="10">
        <f>VLOOKUP(A5,[1]Sheet1!$A$3:$AD$575,30,0)</f>
        <v>0</v>
      </c>
      <c r="AE5" s="2">
        <f>VLOOKUP(A5,[1]Sheet1!$A$3:$AD$575,28,0)</f>
        <v>5663.08</v>
      </c>
      <c r="AF5" s="2">
        <f t="shared" si="1"/>
        <v>0</v>
      </c>
      <c r="AH5" s="2">
        <f t="shared" si="3"/>
        <v>5370</v>
      </c>
      <c r="AK5" s="2"/>
      <c r="AL5" s="2">
        <v>11562.52</v>
      </c>
      <c r="AM5" s="1" t="s">
        <v>223</v>
      </c>
      <c r="AN5" s="2">
        <v>6192.52</v>
      </c>
      <c r="AO5" s="1" t="s">
        <v>224</v>
      </c>
      <c r="AQ5" s="2"/>
    </row>
    <row r="6" spans="1:43" x14ac:dyDescent="0.25">
      <c r="A6" s="1">
        <v>20053</v>
      </c>
      <c r="B6" s="1" t="s">
        <v>25</v>
      </c>
      <c r="C6" s="1" t="s">
        <v>26</v>
      </c>
      <c r="D6" s="1" t="s">
        <v>36</v>
      </c>
      <c r="E6" s="1" t="s">
        <v>28</v>
      </c>
      <c r="F6" s="1" t="s">
        <v>28</v>
      </c>
      <c r="G6" s="1" t="s">
        <v>28</v>
      </c>
      <c r="H6" s="1" t="s">
        <v>29</v>
      </c>
      <c r="I6" s="1" t="s">
        <v>30</v>
      </c>
      <c r="J6" s="1" t="s">
        <v>31</v>
      </c>
      <c r="K6" s="12">
        <v>11033.08</v>
      </c>
      <c r="L6" s="2">
        <v>5663.08</v>
      </c>
      <c r="M6" s="2">
        <v>5370</v>
      </c>
      <c r="N6" s="2">
        <v>0</v>
      </c>
      <c r="O6" s="2">
        <v>0</v>
      </c>
      <c r="P6" s="1">
        <v>0</v>
      </c>
      <c r="Q6" s="1" t="s">
        <v>28</v>
      </c>
      <c r="R6" s="1">
        <v>100</v>
      </c>
      <c r="S6" s="2">
        <v>5370</v>
      </c>
      <c r="T6" s="1" t="s">
        <v>32</v>
      </c>
      <c r="U6" s="1" t="s">
        <v>33</v>
      </c>
      <c r="V6" s="1">
        <v>0</v>
      </c>
      <c r="W6" s="1" t="s">
        <v>28</v>
      </c>
      <c r="X6" s="1" t="s">
        <v>28</v>
      </c>
      <c r="Y6" s="2">
        <v>7790</v>
      </c>
      <c r="AA6" s="2">
        <f t="shared" si="2"/>
        <v>5370</v>
      </c>
      <c r="AB6" s="9">
        <f t="shared" si="0"/>
        <v>5663.08</v>
      </c>
      <c r="AC6" s="2">
        <f>VLOOKUP(A6,[1]Sheet1!$A$3:$AD$575,29,)</f>
        <v>0</v>
      </c>
      <c r="AD6" s="10">
        <f>VLOOKUP(A6,[1]Sheet1!$A$3:$AD$575,30,0)</f>
        <v>0</v>
      </c>
      <c r="AE6" s="2">
        <f>VLOOKUP(A6,[1]Sheet1!$A$3:$AD$575,28,0)</f>
        <v>5663.08</v>
      </c>
      <c r="AF6" s="2">
        <f t="shared" si="1"/>
        <v>0</v>
      </c>
      <c r="AH6" s="2">
        <f t="shared" si="3"/>
        <v>5370</v>
      </c>
      <c r="AK6" s="2"/>
      <c r="AL6" s="2">
        <v>11562.52</v>
      </c>
      <c r="AM6" s="1" t="s">
        <v>223</v>
      </c>
      <c r="AN6" s="2">
        <v>6192.52</v>
      </c>
      <c r="AO6" s="1" t="s">
        <v>224</v>
      </c>
      <c r="AQ6" s="2"/>
    </row>
    <row r="7" spans="1:43" x14ac:dyDescent="0.25">
      <c r="A7" s="1">
        <v>20054</v>
      </c>
      <c r="B7" s="1" t="s">
        <v>25</v>
      </c>
      <c r="C7" s="1" t="s">
        <v>26</v>
      </c>
      <c r="D7" s="1" t="s">
        <v>37</v>
      </c>
      <c r="E7" s="1" t="s">
        <v>28</v>
      </c>
      <c r="F7" s="1" t="s">
        <v>28</v>
      </c>
      <c r="G7" s="1" t="s">
        <v>28</v>
      </c>
      <c r="H7" s="1" t="s">
        <v>29</v>
      </c>
      <c r="I7" s="1" t="s">
        <v>30</v>
      </c>
      <c r="J7" s="1" t="s">
        <v>31</v>
      </c>
      <c r="K7" s="12">
        <v>11033.08</v>
      </c>
      <c r="L7" s="2">
        <v>5663.08</v>
      </c>
      <c r="M7" s="2">
        <v>5370</v>
      </c>
      <c r="N7" s="2">
        <v>0</v>
      </c>
      <c r="O7" s="2">
        <v>0</v>
      </c>
      <c r="P7" s="1">
        <v>0</v>
      </c>
      <c r="Q7" s="1" t="s">
        <v>28</v>
      </c>
      <c r="R7" s="1">
        <v>100</v>
      </c>
      <c r="S7" s="2">
        <v>5370</v>
      </c>
      <c r="T7" s="1" t="s">
        <v>32</v>
      </c>
      <c r="U7" s="1" t="s">
        <v>33</v>
      </c>
      <c r="V7" s="1">
        <v>0</v>
      </c>
      <c r="W7" s="1" t="s">
        <v>28</v>
      </c>
      <c r="X7" s="1" t="s">
        <v>28</v>
      </c>
      <c r="Y7" s="2">
        <v>7790</v>
      </c>
      <c r="AA7" s="2">
        <f t="shared" si="2"/>
        <v>5370</v>
      </c>
      <c r="AB7" s="9">
        <f t="shared" si="0"/>
        <v>5663.08</v>
      </c>
      <c r="AC7" s="2">
        <f>VLOOKUP(A7,[1]Sheet1!$A$3:$AD$575,29,)</f>
        <v>0</v>
      </c>
      <c r="AD7" s="10">
        <f>VLOOKUP(A7,[1]Sheet1!$A$3:$AD$575,30,0)</f>
        <v>0</v>
      </c>
      <c r="AE7" s="2">
        <f>VLOOKUP(A7,[1]Sheet1!$A$3:$AD$575,28,0)</f>
        <v>5663.08</v>
      </c>
      <c r="AF7" s="2">
        <f t="shared" si="1"/>
        <v>0</v>
      </c>
      <c r="AH7" s="2">
        <f t="shared" si="3"/>
        <v>5370</v>
      </c>
      <c r="AK7" s="2"/>
      <c r="AL7" s="2">
        <v>11562.52</v>
      </c>
      <c r="AM7" s="1" t="s">
        <v>223</v>
      </c>
      <c r="AN7" s="2">
        <v>6192.52</v>
      </c>
      <c r="AO7" s="1" t="s">
        <v>224</v>
      </c>
      <c r="AQ7" s="2"/>
    </row>
    <row r="8" spans="1:43" x14ac:dyDescent="0.25">
      <c r="A8" s="1">
        <v>20059</v>
      </c>
      <c r="B8" s="1" t="s">
        <v>25</v>
      </c>
      <c r="C8" s="1" t="s">
        <v>26</v>
      </c>
      <c r="D8" s="1" t="s">
        <v>38</v>
      </c>
      <c r="E8" s="1" t="s">
        <v>28</v>
      </c>
      <c r="F8" s="1" t="s">
        <v>28</v>
      </c>
      <c r="G8" s="1" t="s">
        <v>28</v>
      </c>
      <c r="H8" s="1" t="s">
        <v>39</v>
      </c>
      <c r="I8" s="1" t="s">
        <v>30</v>
      </c>
      <c r="J8" s="1" t="s">
        <v>31</v>
      </c>
      <c r="K8" s="12">
        <v>11033.77</v>
      </c>
      <c r="L8" s="2">
        <v>5663.77</v>
      </c>
      <c r="M8" s="2">
        <v>5370</v>
      </c>
      <c r="N8" s="2">
        <v>1500</v>
      </c>
      <c r="O8" s="2">
        <v>0</v>
      </c>
      <c r="P8" s="1">
        <v>0</v>
      </c>
      <c r="Q8" s="1" t="s">
        <v>28</v>
      </c>
      <c r="R8" s="1">
        <v>100</v>
      </c>
      <c r="S8" s="2">
        <v>5370</v>
      </c>
      <c r="T8" s="1" t="s">
        <v>32</v>
      </c>
      <c r="U8" s="1" t="s">
        <v>33</v>
      </c>
      <c r="V8" s="1">
        <v>0</v>
      </c>
      <c r="W8" s="1" t="s">
        <v>28</v>
      </c>
      <c r="X8" s="1" t="s">
        <v>28</v>
      </c>
      <c r="Y8" s="2">
        <v>7790</v>
      </c>
      <c r="AA8" s="2">
        <f t="shared" si="2"/>
        <v>5370</v>
      </c>
      <c r="AB8" s="9">
        <f t="shared" si="0"/>
        <v>5663.77</v>
      </c>
      <c r="AC8" s="2">
        <f>VLOOKUP(A8,[1]Sheet1!$A$3:$AD$575,29,)</f>
        <v>0</v>
      </c>
      <c r="AD8" s="10">
        <f>VLOOKUP(A8,[1]Sheet1!$A$3:$AD$575,30,0)</f>
        <v>0</v>
      </c>
      <c r="AE8" s="2">
        <f>VLOOKUP(A8,[1]Sheet1!$A$3:$AD$575,28,0)</f>
        <v>5663.77</v>
      </c>
      <c r="AF8" s="2">
        <f t="shared" si="1"/>
        <v>0</v>
      </c>
      <c r="AH8" s="2">
        <f t="shared" si="3"/>
        <v>5370</v>
      </c>
      <c r="AK8" s="2"/>
      <c r="AL8" s="2">
        <v>11610.7</v>
      </c>
      <c r="AM8" s="1" t="s">
        <v>223</v>
      </c>
      <c r="AN8" s="2">
        <v>6240.7000000000007</v>
      </c>
      <c r="AO8" s="1" t="s">
        <v>224</v>
      </c>
      <c r="AQ8" s="2"/>
    </row>
    <row r="9" spans="1:43" x14ac:dyDescent="0.25">
      <c r="A9" s="1">
        <v>20278</v>
      </c>
      <c r="B9" s="1" t="s">
        <v>25</v>
      </c>
      <c r="C9" s="1" t="s">
        <v>26</v>
      </c>
      <c r="D9" s="1" t="s">
        <v>40</v>
      </c>
      <c r="E9" s="1" t="s">
        <v>28</v>
      </c>
      <c r="F9" s="1" t="s">
        <v>28</v>
      </c>
      <c r="G9" s="1" t="s">
        <v>28</v>
      </c>
      <c r="H9" s="1" t="s">
        <v>29</v>
      </c>
      <c r="I9" s="1" t="s">
        <v>30</v>
      </c>
      <c r="J9" s="1" t="s">
        <v>41</v>
      </c>
      <c r="K9" s="12">
        <v>74485.45</v>
      </c>
      <c r="L9" s="2">
        <v>12500</v>
      </c>
      <c r="M9" s="2">
        <v>61985.45</v>
      </c>
      <c r="N9" s="2">
        <v>0</v>
      </c>
      <c r="O9" s="2">
        <v>0</v>
      </c>
      <c r="P9" s="1">
        <v>0</v>
      </c>
      <c r="Q9" s="1" t="s">
        <v>28</v>
      </c>
      <c r="R9" s="1">
        <v>100</v>
      </c>
      <c r="S9" s="2">
        <v>110000</v>
      </c>
      <c r="T9" s="1" t="s">
        <v>42</v>
      </c>
      <c r="U9" s="1" t="s">
        <v>43</v>
      </c>
      <c r="V9" s="1">
        <v>0</v>
      </c>
      <c r="W9" s="1" t="s">
        <v>28</v>
      </c>
      <c r="X9" s="1" t="s">
        <v>28</v>
      </c>
      <c r="Y9" s="2">
        <v>150000</v>
      </c>
      <c r="AA9" s="2">
        <f t="shared" si="2"/>
        <v>110000</v>
      </c>
      <c r="AB9" s="9">
        <f t="shared" si="0"/>
        <v>12500</v>
      </c>
      <c r="AC9" s="2">
        <f>VLOOKUP(A9,[1]Sheet1!$A$3:$AD$575,29,)</f>
        <v>0</v>
      </c>
      <c r="AD9" s="10">
        <f>VLOOKUP(A9,[1]Sheet1!$A$3:$AD$575,30,0)</f>
        <v>12500</v>
      </c>
      <c r="AE9" s="2">
        <f>VLOOKUP(A9,[1]Sheet1!$A$3:$AD$575,28,0)</f>
        <v>12500</v>
      </c>
      <c r="AF9" s="2">
        <f t="shared" si="1"/>
        <v>0</v>
      </c>
      <c r="AH9" s="2">
        <f t="shared" si="3"/>
        <v>61985.45</v>
      </c>
      <c r="AK9" s="2"/>
      <c r="AL9" s="2">
        <v>122572.55</v>
      </c>
      <c r="AM9" s="1" t="s">
        <v>223</v>
      </c>
      <c r="AN9" s="2">
        <v>60587.100000000006</v>
      </c>
      <c r="AO9" s="1" t="s">
        <v>224</v>
      </c>
      <c r="AQ9" s="2"/>
    </row>
    <row r="10" spans="1:43" x14ac:dyDescent="0.25">
      <c r="A10" s="1">
        <v>20285</v>
      </c>
      <c r="B10" s="1" t="s">
        <v>25</v>
      </c>
      <c r="C10" s="1" t="s">
        <v>26</v>
      </c>
      <c r="D10" s="1" t="s">
        <v>44</v>
      </c>
      <c r="E10" s="1" t="s">
        <v>28</v>
      </c>
      <c r="F10" s="1" t="s">
        <v>28</v>
      </c>
      <c r="G10" s="1" t="s">
        <v>28</v>
      </c>
      <c r="H10" s="1" t="s">
        <v>45</v>
      </c>
      <c r="I10" s="1" t="s">
        <v>30</v>
      </c>
      <c r="J10" s="1" t="s">
        <v>41</v>
      </c>
      <c r="K10" s="12">
        <v>81300.84</v>
      </c>
      <c r="L10" s="2">
        <v>22300.84</v>
      </c>
      <c r="M10" s="2">
        <v>59000</v>
      </c>
      <c r="N10" s="2">
        <v>0</v>
      </c>
      <c r="O10" s="2">
        <v>0</v>
      </c>
      <c r="P10" s="1">
        <v>0</v>
      </c>
      <c r="Q10" s="1" t="s">
        <v>28</v>
      </c>
      <c r="R10" s="1">
        <v>100</v>
      </c>
      <c r="S10" s="2">
        <v>59000</v>
      </c>
      <c r="T10" s="1" t="s">
        <v>46</v>
      </c>
      <c r="U10" s="1" t="s">
        <v>47</v>
      </c>
      <c r="V10" s="1">
        <v>0</v>
      </c>
      <c r="W10" s="1" t="s">
        <v>28</v>
      </c>
      <c r="X10" s="1" t="s">
        <v>28</v>
      </c>
      <c r="Y10" s="2">
        <v>70000</v>
      </c>
      <c r="AA10" s="2">
        <f t="shared" si="2"/>
        <v>59000</v>
      </c>
      <c r="AB10" s="9">
        <f t="shared" si="0"/>
        <v>22300.839999999997</v>
      </c>
      <c r="AC10" s="2">
        <f>VLOOKUP(A10,[1]Sheet1!$A$3:$AD$575,29,)</f>
        <v>0</v>
      </c>
      <c r="AD10" s="10">
        <f>VLOOKUP(A10,[1]Sheet1!$A$3:$AD$575,30,0)</f>
        <v>0</v>
      </c>
      <c r="AE10" s="2">
        <f>VLOOKUP(A10,[1]Sheet1!$A$3:$AD$575,28,0)</f>
        <v>22300.839999999997</v>
      </c>
      <c r="AF10" s="2">
        <f t="shared" si="1"/>
        <v>0</v>
      </c>
      <c r="AH10" s="2">
        <f t="shared" si="3"/>
        <v>59000</v>
      </c>
      <c r="AK10" s="2"/>
      <c r="AL10" s="2">
        <v>115095</v>
      </c>
      <c r="AM10" s="1" t="s">
        <v>223</v>
      </c>
      <c r="AN10" s="2">
        <v>56095</v>
      </c>
      <c r="AO10" s="1" t="s">
        <v>224</v>
      </c>
      <c r="AQ10" s="2"/>
    </row>
    <row r="11" spans="1:43" x14ac:dyDescent="0.25">
      <c r="A11" s="1">
        <v>20749</v>
      </c>
      <c r="B11" s="1" t="s">
        <v>25</v>
      </c>
      <c r="C11" s="1" t="s">
        <v>26</v>
      </c>
      <c r="D11" s="1" t="s">
        <v>48</v>
      </c>
      <c r="E11" s="1" t="s">
        <v>28</v>
      </c>
      <c r="F11" s="1" t="s">
        <v>28</v>
      </c>
      <c r="G11" s="1" t="s">
        <v>28</v>
      </c>
      <c r="H11" s="1" t="s">
        <v>29</v>
      </c>
      <c r="I11" s="1" t="s">
        <v>49</v>
      </c>
      <c r="J11" s="1" t="s">
        <v>50</v>
      </c>
      <c r="K11" s="12">
        <v>238812.42</v>
      </c>
      <c r="L11" s="2">
        <v>77112.42</v>
      </c>
      <c r="M11" s="2">
        <v>161700</v>
      </c>
      <c r="N11" s="2">
        <v>0</v>
      </c>
      <c r="O11" s="2">
        <v>0</v>
      </c>
      <c r="P11" s="1">
        <v>0</v>
      </c>
      <c r="Q11" s="1" t="s">
        <v>28</v>
      </c>
      <c r="R11" s="1">
        <v>100</v>
      </c>
      <c r="S11" s="2">
        <v>161700</v>
      </c>
      <c r="T11" s="1" t="s">
        <v>51</v>
      </c>
      <c r="U11" s="1" t="s">
        <v>52</v>
      </c>
      <c r="V11" s="1">
        <v>0</v>
      </c>
      <c r="W11" s="1" t="s">
        <v>28</v>
      </c>
      <c r="X11" s="1" t="s">
        <v>28</v>
      </c>
      <c r="Y11" s="2">
        <v>187600</v>
      </c>
      <c r="AA11" s="2">
        <f t="shared" si="2"/>
        <v>161700</v>
      </c>
      <c r="AB11" s="9">
        <f t="shared" si="0"/>
        <v>77112.420000000013</v>
      </c>
      <c r="AC11" s="2">
        <f>VLOOKUP(A11,[1]Sheet1!$A$3:$AD$575,29,)</f>
        <v>0</v>
      </c>
      <c r="AD11" s="10">
        <f>VLOOKUP(A11,[1]Sheet1!$A$3:$AD$575,30,0)</f>
        <v>0</v>
      </c>
      <c r="AE11" s="2">
        <f>VLOOKUP(A11,[1]Sheet1!$A$3:$AD$575,28,0)</f>
        <v>77112.420000000013</v>
      </c>
      <c r="AF11" s="2">
        <f t="shared" si="1"/>
        <v>0</v>
      </c>
      <c r="AH11" s="2">
        <f t="shared" si="3"/>
        <v>161700</v>
      </c>
      <c r="AK11" s="2"/>
      <c r="AL11" s="2">
        <v>222500</v>
      </c>
      <c r="AM11" s="1" t="s">
        <v>223</v>
      </c>
      <c r="AN11" s="2">
        <v>60800</v>
      </c>
      <c r="AO11" s="1" t="s">
        <v>224</v>
      </c>
      <c r="AQ11" s="2"/>
    </row>
    <row r="12" spans="1:43" x14ac:dyDescent="0.25">
      <c r="A12" s="1">
        <v>20750</v>
      </c>
      <c r="B12" s="1" t="s">
        <v>25</v>
      </c>
      <c r="C12" s="1" t="s">
        <v>26</v>
      </c>
      <c r="D12" s="1" t="s">
        <v>53</v>
      </c>
      <c r="E12" s="1" t="s">
        <v>28</v>
      </c>
      <c r="F12" s="1" t="s">
        <v>28</v>
      </c>
      <c r="G12" s="1" t="s">
        <v>28</v>
      </c>
      <c r="H12" s="1" t="s">
        <v>29</v>
      </c>
      <c r="I12" s="1" t="s">
        <v>54</v>
      </c>
      <c r="J12" s="1" t="s">
        <v>50</v>
      </c>
      <c r="K12" s="12">
        <v>74550</v>
      </c>
      <c r="L12" s="2">
        <v>17550</v>
      </c>
      <c r="M12" s="2">
        <v>57000</v>
      </c>
      <c r="N12" s="2">
        <v>0</v>
      </c>
      <c r="O12" s="2">
        <v>0</v>
      </c>
      <c r="P12" s="1">
        <v>0</v>
      </c>
      <c r="Q12" s="1" t="s">
        <v>28</v>
      </c>
      <c r="R12" s="1">
        <v>100</v>
      </c>
      <c r="S12" s="2">
        <v>57000</v>
      </c>
      <c r="T12" s="1" t="s">
        <v>51</v>
      </c>
      <c r="U12" s="1" t="s">
        <v>52</v>
      </c>
      <c r="V12" s="1">
        <v>0</v>
      </c>
      <c r="W12" s="1" t="s">
        <v>28</v>
      </c>
      <c r="X12" s="1" t="s">
        <v>28</v>
      </c>
      <c r="Y12" s="2">
        <v>66100</v>
      </c>
      <c r="AA12" s="2">
        <f t="shared" si="2"/>
        <v>57000</v>
      </c>
      <c r="AB12" s="9">
        <f t="shared" si="0"/>
        <v>17550</v>
      </c>
      <c r="AC12" s="2">
        <f>VLOOKUP(A12,[1]Sheet1!$A$3:$AD$575,29,)</f>
        <v>0</v>
      </c>
      <c r="AD12" s="10">
        <f>VLOOKUP(A12,[1]Sheet1!$A$3:$AD$575,30,0)</f>
        <v>0</v>
      </c>
      <c r="AE12" s="2">
        <f>VLOOKUP(A12,[1]Sheet1!$A$3:$AD$575,28,0)</f>
        <v>17550</v>
      </c>
      <c r="AF12" s="2">
        <f t="shared" si="1"/>
        <v>0</v>
      </c>
      <c r="AH12" s="2">
        <f t="shared" si="3"/>
        <v>57000</v>
      </c>
      <c r="AK12" s="2"/>
      <c r="AL12" s="2">
        <v>70000</v>
      </c>
      <c r="AM12" s="1" t="s">
        <v>223</v>
      </c>
      <c r="AN12" s="2">
        <v>13000</v>
      </c>
      <c r="AO12" s="1" t="s">
        <v>224</v>
      </c>
      <c r="AQ12" s="2"/>
    </row>
    <row r="13" spans="1:43" x14ac:dyDescent="0.25">
      <c r="A13" s="1">
        <v>20904</v>
      </c>
      <c r="B13" s="1" t="s">
        <v>55</v>
      </c>
      <c r="C13" s="1" t="s">
        <v>26</v>
      </c>
      <c r="D13" s="1" t="s">
        <v>56</v>
      </c>
      <c r="E13" s="1" t="s">
        <v>57</v>
      </c>
      <c r="F13" s="1" t="s">
        <v>28</v>
      </c>
      <c r="G13" s="1" t="s">
        <v>28</v>
      </c>
      <c r="H13" s="1" t="s">
        <v>39</v>
      </c>
      <c r="I13" s="1" t="s">
        <v>30</v>
      </c>
      <c r="J13" s="1" t="s">
        <v>58</v>
      </c>
      <c r="K13" s="12">
        <v>1105077.05</v>
      </c>
      <c r="L13" s="2">
        <v>225181.65</v>
      </c>
      <c r="M13" s="2">
        <v>879895.4</v>
      </c>
      <c r="N13" s="2">
        <v>87989.54</v>
      </c>
      <c r="O13" s="2">
        <v>879895.4</v>
      </c>
      <c r="P13" s="1">
        <v>0</v>
      </c>
      <c r="Q13" s="11">
        <v>45276</v>
      </c>
      <c r="R13" s="1">
        <v>100</v>
      </c>
      <c r="S13" s="1">
        <v>1301000</v>
      </c>
      <c r="T13" s="1" t="s">
        <v>59</v>
      </c>
      <c r="U13" s="1" t="s">
        <v>60</v>
      </c>
      <c r="V13" s="1">
        <v>0</v>
      </c>
      <c r="W13" s="1" t="s">
        <v>28</v>
      </c>
      <c r="X13" s="1" t="s">
        <v>28</v>
      </c>
      <c r="Y13" s="2">
        <v>1649100</v>
      </c>
      <c r="AA13" s="2">
        <f>+O13</f>
        <v>879895.4</v>
      </c>
      <c r="AB13" s="9">
        <f>IF((K13-AA13)&gt;0,K13-AA13,0)+AD13+AC13+150000</f>
        <v>375181.65</v>
      </c>
      <c r="AC13" s="2">
        <f>VLOOKUP(A13,[1]Sheet1!$A$3:$AD$575,29,)</f>
        <v>0</v>
      </c>
      <c r="AD13" s="10">
        <f>VLOOKUP(A13,[1]Sheet1!$A$3:$AD$575,30,0)</f>
        <v>0</v>
      </c>
      <c r="AE13" s="2">
        <f>VLOOKUP(A13,[1]Sheet1!$A$3:$AD$575,28,0)</f>
        <v>225181.65000000002</v>
      </c>
      <c r="AF13" s="2">
        <f t="shared" si="1"/>
        <v>150000</v>
      </c>
      <c r="AH13" s="2">
        <f t="shared" si="3"/>
        <v>729895.4</v>
      </c>
      <c r="AK13" s="2"/>
      <c r="AL13" s="2">
        <v>2009000</v>
      </c>
      <c r="AM13" s="1" t="s">
        <v>223</v>
      </c>
      <c r="AN13" s="2">
        <f>1129104.6+150000</f>
        <v>1279104.6000000001</v>
      </c>
      <c r="AO13" s="1" t="s">
        <v>224</v>
      </c>
      <c r="AQ13" s="2"/>
    </row>
    <row r="14" spans="1:43" x14ac:dyDescent="0.25">
      <c r="A14" s="1">
        <v>21096</v>
      </c>
      <c r="B14" s="1" t="s">
        <v>25</v>
      </c>
      <c r="C14" s="1" t="s">
        <v>26</v>
      </c>
      <c r="D14" s="1" t="s">
        <v>61</v>
      </c>
      <c r="E14" s="1" t="s">
        <v>62</v>
      </c>
      <c r="F14" s="1" t="s">
        <v>28</v>
      </c>
      <c r="G14" s="1" t="s">
        <v>28</v>
      </c>
      <c r="H14" s="1" t="s">
        <v>39</v>
      </c>
      <c r="I14" s="1" t="s">
        <v>63</v>
      </c>
      <c r="J14" s="1" t="s">
        <v>58</v>
      </c>
      <c r="K14" s="12">
        <v>73072.460000000006</v>
      </c>
      <c r="L14" s="2">
        <v>0</v>
      </c>
      <c r="M14" s="2">
        <v>73072.460000000006</v>
      </c>
      <c r="N14" s="2">
        <v>12255.78</v>
      </c>
      <c r="O14" s="2">
        <v>122557.82</v>
      </c>
      <c r="P14" s="1">
        <v>0</v>
      </c>
      <c r="Q14" s="11">
        <v>45276</v>
      </c>
      <c r="R14" s="1">
        <v>100</v>
      </c>
      <c r="S14" s="1">
        <v>120500</v>
      </c>
      <c r="T14" s="1" t="s">
        <v>59</v>
      </c>
      <c r="U14" s="1" t="s">
        <v>64</v>
      </c>
      <c r="V14" s="1">
        <v>0</v>
      </c>
      <c r="W14" s="1" t="s">
        <v>28</v>
      </c>
      <c r="X14" s="1" t="s">
        <v>28</v>
      </c>
      <c r="Y14" s="2">
        <v>147600</v>
      </c>
      <c r="AA14" s="2">
        <f t="shared" ref="AA14:AA15" si="4">+O14</f>
        <v>122557.82</v>
      </c>
      <c r="AB14" s="9">
        <f t="shared" si="0"/>
        <v>0</v>
      </c>
      <c r="AC14" s="2">
        <f>VLOOKUP(A14,[1]Sheet1!$A$3:$AD$575,29,)</f>
        <v>0</v>
      </c>
      <c r="AD14" s="10">
        <f>VLOOKUP(A14,[1]Sheet1!$A$3:$AD$575,30,0)</f>
        <v>0</v>
      </c>
      <c r="AE14" s="2">
        <f>VLOOKUP(A14,[1]Sheet1!$A$3:$AD$575,28,0)</f>
        <v>0</v>
      </c>
      <c r="AF14" s="2">
        <f t="shared" si="1"/>
        <v>0</v>
      </c>
      <c r="AH14" s="2">
        <f t="shared" si="3"/>
        <v>73072.460000000006</v>
      </c>
      <c r="AK14" s="2"/>
      <c r="AL14" s="2">
        <v>98019.12</v>
      </c>
      <c r="AM14" s="1" t="s">
        <v>223</v>
      </c>
      <c r="AN14" s="2">
        <v>24946.659999999989</v>
      </c>
      <c r="AO14" s="1" t="s">
        <v>224</v>
      </c>
      <c r="AQ14" s="2"/>
    </row>
    <row r="15" spans="1:43" x14ac:dyDescent="0.25">
      <c r="A15" s="1">
        <v>21222</v>
      </c>
      <c r="B15" s="1" t="s">
        <v>55</v>
      </c>
      <c r="C15" s="1" t="s">
        <v>26</v>
      </c>
      <c r="D15" s="1" t="s">
        <v>65</v>
      </c>
      <c r="E15" s="1" t="s">
        <v>66</v>
      </c>
      <c r="F15" s="1" t="s">
        <v>28</v>
      </c>
      <c r="G15" s="1" t="s">
        <v>28</v>
      </c>
      <c r="H15" s="1" t="s">
        <v>39</v>
      </c>
      <c r="I15" s="1" t="s">
        <v>30</v>
      </c>
      <c r="J15" s="1" t="s">
        <v>67</v>
      </c>
      <c r="K15" s="12">
        <v>50094.85</v>
      </c>
      <c r="L15" s="2">
        <v>13184.85</v>
      </c>
      <c r="M15" s="2">
        <v>36910</v>
      </c>
      <c r="N15" s="2">
        <v>5536.5</v>
      </c>
      <c r="O15" s="2">
        <v>36910</v>
      </c>
      <c r="P15" s="1">
        <v>0</v>
      </c>
      <c r="Q15" s="1" t="s">
        <v>68</v>
      </c>
      <c r="R15" s="1">
        <v>100</v>
      </c>
      <c r="S15" s="1">
        <v>31900</v>
      </c>
      <c r="T15" s="1" t="s">
        <v>59</v>
      </c>
      <c r="U15" s="1" t="s">
        <v>69</v>
      </c>
      <c r="V15" s="1">
        <v>0</v>
      </c>
      <c r="W15" s="1" t="s">
        <v>28</v>
      </c>
      <c r="X15" s="1" t="s">
        <v>28</v>
      </c>
      <c r="Y15" s="2">
        <v>44700</v>
      </c>
      <c r="AA15" s="2">
        <f t="shared" si="4"/>
        <v>36910</v>
      </c>
      <c r="AB15" s="9">
        <f t="shared" si="0"/>
        <v>13184.849999999999</v>
      </c>
      <c r="AC15" s="2">
        <f>VLOOKUP(A15,[1]Sheet1!$A$3:$AD$575,29,)</f>
        <v>0</v>
      </c>
      <c r="AD15" s="10">
        <f>VLOOKUP(A15,[1]Sheet1!$A$3:$AD$575,30,0)</f>
        <v>0</v>
      </c>
      <c r="AE15" s="2">
        <f>VLOOKUP(A15,[1]Sheet1!$A$3:$AD$575,28,0)</f>
        <v>13184.849999999999</v>
      </c>
      <c r="AF15" s="2">
        <f t="shared" si="1"/>
        <v>0</v>
      </c>
      <c r="AH15" s="2">
        <f t="shared" si="3"/>
        <v>36910</v>
      </c>
      <c r="AK15" s="2"/>
      <c r="AL15" s="2">
        <v>165523.6</v>
      </c>
      <c r="AM15" s="1" t="s">
        <v>223</v>
      </c>
      <c r="AN15" s="2">
        <v>128613.6</v>
      </c>
      <c r="AO15" s="1" t="s">
        <v>224</v>
      </c>
      <c r="AQ15" s="2"/>
    </row>
    <row r="16" spans="1:43" x14ac:dyDescent="0.25">
      <c r="A16" s="1">
        <v>21335</v>
      </c>
      <c r="B16" s="1" t="s">
        <v>55</v>
      </c>
      <c r="C16" s="1" t="s">
        <v>26</v>
      </c>
      <c r="D16" s="1" t="s">
        <v>70</v>
      </c>
      <c r="E16" s="1" t="s">
        <v>66</v>
      </c>
      <c r="F16" s="1" t="s">
        <v>28</v>
      </c>
      <c r="G16" s="1" t="s">
        <v>28</v>
      </c>
      <c r="H16" s="1" t="s">
        <v>29</v>
      </c>
      <c r="I16" s="1" t="s">
        <v>30</v>
      </c>
      <c r="J16" s="1" t="s">
        <v>67</v>
      </c>
      <c r="K16" s="12">
        <v>18859.349999999999</v>
      </c>
      <c r="L16" s="2">
        <v>10959.35</v>
      </c>
      <c r="M16" s="2">
        <v>7900</v>
      </c>
      <c r="N16" s="2">
        <v>0</v>
      </c>
      <c r="O16" s="2">
        <v>0</v>
      </c>
      <c r="P16" s="1">
        <v>0</v>
      </c>
      <c r="Q16" s="1" t="s">
        <v>28</v>
      </c>
      <c r="R16" s="1">
        <v>100</v>
      </c>
      <c r="S16" s="2">
        <v>7900</v>
      </c>
      <c r="T16" s="1" t="s">
        <v>46</v>
      </c>
      <c r="U16" s="1" t="s">
        <v>71</v>
      </c>
      <c r="V16" s="1">
        <v>0</v>
      </c>
      <c r="W16" s="1" t="s">
        <v>28</v>
      </c>
      <c r="X16" s="1" t="s">
        <v>28</v>
      </c>
      <c r="Y16" s="2">
        <v>10000</v>
      </c>
      <c r="AA16" s="2">
        <f>+S16</f>
        <v>7900</v>
      </c>
      <c r="AB16" s="9">
        <f t="shared" si="0"/>
        <v>10959.349999999999</v>
      </c>
      <c r="AC16" s="2">
        <f>VLOOKUP(A16,[1]Sheet1!$A$3:$AD$575,29,)</f>
        <v>0</v>
      </c>
      <c r="AD16" s="10">
        <f>VLOOKUP(A16,[1]Sheet1!$A$3:$AD$575,30,0)</f>
        <v>0</v>
      </c>
      <c r="AE16" s="2">
        <f>VLOOKUP(A16,[1]Sheet1!$A$3:$AD$575,28,0)</f>
        <v>10959.349999999999</v>
      </c>
      <c r="AF16" s="2">
        <f t="shared" si="1"/>
        <v>0</v>
      </c>
      <c r="AH16" s="2">
        <f t="shared" si="3"/>
        <v>7900</v>
      </c>
      <c r="AK16" s="2"/>
      <c r="AL16" s="2">
        <v>33145.61</v>
      </c>
      <c r="AM16" s="1" t="s">
        <v>223</v>
      </c>
      <c r="AN16" s="2">
        <v>25245.61</v>
      </c>
      <c r="AO16" s="1" t="s">
        <v>224</v>
      </c>
      <c r="AQ16" s="2"/>
    </row>
    <row r="17" spans="1:43" x14ac:dyDescent="0.25">
      <c r="A17" s="1">
        <v>21523</v>
      </c>
      <c r="B17" s="1" t="s">
        <v>55</v>
      </c>
      <c r="C17" s="1" t="s">
        <v>26</v>
      </c>
      <c r="D17" s="1" t="s">
        <v>72</v>
      </c>
      <c r="E17" s="1" t="s">
        <v>73</v>
      </c>
      <c r="F17" s="1" t="s">
        <v>28</v>
      </c>
      <c r="G17" s="1" t="s">
        <v>28</v>
      </c>
      <c r="H17" s="1" t="s">
        <v>39</v>
      </c>
      <c r="I17" s="1" t="s">
        <v>30</v>
      </c>
      <c r="J17" s="1" t="s">
        <v>74</v>
      </c>
      <c r="K17" s="12">
        <v>44995.18</v>
      </c>
      <c r="L17" s="2">
        <v>8085.18</v>
      </c>
      <c r="M17" s="2">
        <v>36910</v>
      </c>
      <c r="N17" s="2">
        <v>5536.5</v>
      </c>
      <c r="O17" s="2">
        <v>36910</v>
      </c>
      <c r="P17" s="1">
        <v>0</v>
      </c>
      <c r="Q17" s="1" t="s">
        <v>68</v>
      </c>
      <c r="R17" s="1">
        <v>100</v>
      </c>
      <c r="S17" s="1">
        <v>31900</v>
      </c>
      <c r="T17" s="1" t="s">
        <v>59</v>
      </c>
      <c r="U17" s="1" t="s">
        <v>69</v>
      </c>
      <c r="V17" s="1">
        <v>0</v>
      </c>
      <c r="W17" s="1" t="s">
        <v>28</v>
      </c>
      <c r="X17" s="1" t="s">
        <v>28</v>
      </c>
      <c r="Y17" s="2">
        <v>44700</v>
      </c>
      <c r="AA17" s="2">
        <f t="shared" ref="AA17:AA19" si="5">+O17</f>
        <v>36910</v>
      </c>
      <c r="AB17" s="9">
        <f t="shared" si="0"/>
        <v>8085.18</v>
      </c>
      <c r="AC17" s="2">
        <f>VLOOKUP(A17,[1]Sheet1!$A$3:$AD$575,29,)</f>
        <v>0</v>
      </c>
      <c r="AD17" s="10">
        <f>VLOOKUP(A17,[1]Sheet1!$A$3:$AD$575,30,0)</f>
        <v>0</v>
      </c>
      <c r="AE17" s="2">
        <f>VLOOKUP(A17,[1]Sheet1!$A$3:$AD$575,28,0)</f>
        <v>8085.18</v>
      </c>
      <c r="AF17" s="2">
        <f t="shared" si="1"/>
        <v>0</v>
      </c>
      <c r="AH17" s="2">
        <f t="shared" si="3"/>
        <v>36910</v>
      </c>
      <c r="AK17" s="2"/>
      <c r="AL17" s="2">
        <v>174873</v>
      </c>
      <c r="AM17" s="1" t="s">
        <v>223</v>
      </c>
      <c r="AN17" s="2">
        <v>137963</v>
      </c>
      <c r="AO17" s="1" t="s">
        <v>224</v>
      </c>
      <c r="AQ17" s="2"/>
    </row>
    <row r="18" spans="1:43" x14ac:dyDescent="0.25">
      <c r="A18" s="1">
        <v>21595</v>
      </c>
      <c r="B18" s="1" t="s">
        <v>55</v>
      </c>
      <c r="C18" s="1" t="s">
        <v>26</v>
      </c>
      <c r="D18" s="1" t="s">
        <v>75</v>
      </c>
      <c r="E18" s="1" t="s">
        <v>66</v>
      </c>
      <c r="F18" s="1" t="s">
        <v>28</v>
      </c>
      <c r="G18" s="1" t="s">
        <v>28</v>
      </c>
      <c r="H18" s="1" t="s">
        <v>39</v>
      </c>
      <c r="I18" s="1" t="s">
        <v>30</v>
      </c>
      <c r="J18" s="1" t="s">
        <v>74</v>
      </c>
      <c r="K18" s="12">
        <v>54367.5</v>
      </c>
      <c r="L18" s="2">
        <v>9697.5</v>
      </c>
      <c r="M18" s="2">
        <v>44670</v>
      </c>
      <c r="N18" s="2">
        <v>6700.5</v>
      </c>
      <c r="O18" s="2">
        <v>44670</v>
      </c>
      <c r="P18" s="1">
        <v>0</v>
      </c>
      <c r="Q18" s="1" t="s">
        <v>68</v>
      </c>
      <c r="R18" s="1">
        <v>100</v>
      </c>
      <c r="S18" s="1">
        <v>38600</v>
      </c>
      <c r="T18" s="1" t="s">
        <v>59</v>
      </c>
      <c r="U18" s="1" t="s">
        <v>69</v>
      </c>
      <c r="V18" s="1">
        <v>0</v>
      </c>
      <c r="W18" s="1" t="s">
        <v>28</v>
      </c>
      <c r="X18" s="1" t="s">
        <v>28</v>
      </c>
      <c r="Y18" s="2">
        <v>54100</v>
      </c>
      <c r="AA18" s="2">
        <f t="shared" si="5"/>
        <v>44670</v>
      </c>
      <c r="AB18" s="9">
        <f t="shared" si="0"/>
        <v>9697.5</v>
      </c>
      <c r="AC18" s="2">
        <f>VLOOKUP(A18,[1]Sheet1!$A$3:$AD$575,29,)</f>
        <v>0</v>
      </c>
      <c r="AD18" s="10">
        <f>VLOOKUP(A18,[1]Sheet1!$A$3:$AD$575,30,0)</f>
        <v>0</v>
      </c>
      <c r="AE18" s="2">
        <f>VLOOKUP(A18,[1]Sheet1!$A$3:$AD$575,28,0)</f>
        <v>9697.5</v>
      </c>
      <c r="AF18" s="2">
        <f t="shared" si="1"/>
        <v>0</v>
      </c>
      <c r="AH18" s="2">
        <f t="shared" si="3"/>
        <v>44670</v>
      </c>
      <c r="AK18" s="2"/>
      <c r="AL18" s="2">
        <v>153000</v>
      </c>
      <c r="AM18" s="1" t="s">
        <v>223</v>
      </c>
      <c r="AN18" s="2">
        <v>108330</v>
      </c>
      <c r="AO18" s="1" t="s">
        <v>224</v>
      </c>
      <c r="AQ18" s="2"/>
    </row>
    <row r="19" spans="1:43" x14ac:dyDescent="0.25">
      <c r="A19" s="1">
        <v>21596</v>
      </c>
      <c r="B19" s="1" t="s">
        <v>55</v>
      </c>
      <c r="C19" s="1" t="s">
        <v>26</v>
      </c>
      <c r="D19" s="1" t="s">
        <v>76</v>
      </c>
      <c r="E19" s="1" t="s">
        <v>66</v>
      </c>
      <c r="F19" s="1" t="s">
        <v>28</v>
      </c>
      <c r="G19" s="1" t="s">
        <v>28</v>
      </c>
      <c r="H19" s="1" t="s">
        <v>39</v>
      </c>
      <c r="I19" s="1" t="s">
        <v>30</v>
      </c>
      <c r="J19" s="1" t="s">
        <v>74</v>
      </c>
      <c r="K19" s="12">
        <v>41146.879999999997</v>
      </c>
      <c r="L19" s="2">
        <v>3406.88</v>
      </c>
      <c r="M19" s="2">
        <v>37740</v>
      </c>
      <c r="N19" s="2">
        <v>5661</v>
      </c>
      <c r="O19" s="2">
        <v>37740</v>
      </c>
      <c r="P19" s="1">
        <v>0</v>
      </c>
      <c r="Q19" s="1" t="s">
        <v>68</v>
      </c>
      <c r="R19" s="1">
        <v>100</v>
      </c>
      <c r="S19" s="1">
        <v>32600</v>
      </c>
      <c r="T19" s="1" t="s">
        <v>59</v>
      </c>
      <c r="U19" s="1" t="s">
        <v>69</v>
      </c>
      <c r="V19" s="1">
        <v>0</v>
      </c>
      <c r="W19" s="1" t="s">
        <v>28</v>
      </c>
      <c r="X19" s="1" t="s">
        <v>28</v>
      </c>
      <c r="Y19" s="2">
        <v>45700</v>
      </c>
      <c r="AA19" s="2">
        <f t="shared" si="5"/>
        <v>37740</v>
      </c>
      <c r="AB19" s="9">
        <f t="shared" si="0"/>
        <v>3406.8799999999974</v>
      </c>
      <c r="AC19" s="2">
        <f>VLOOKUP(A19,[1]Sheet1!$A$3:$AD$575,29,)</f>
        <v>0</v>
      </c>
      <c r="AD19" s="10">
        <f>VLOOKUP(A19,[1]Sheet1!$A$3:$AD$575,30,0)</f>
        <v>0</v>
      </c>
      <c r="AE19" s="2">
        <f>VLOOKUP(A19,[1]Sheet1!$A$3:$AD$575,28,0)</f>
        <v>3406.8799999999974</v>
      </c>
      <c r="AF19" s="2">
        <f t="shared" si="1"/>
        <v>0</v>
      </c>
      <c r="AH19" s="2">
        <f t="shared" si="3"/>
        <v>37740</v>
      </c>
      <c r="AK19" s="2"/>
      <c r="AL19" s="2">
        <v>119625</v>
      </c>
      <c r="AM19" s="1" t="s">
        <v>223</v>
      </c>
      <c r="AN19" s="2">
        <v>81885</v>
      </c>
      <c r="AO19" s="1" t="s">
        <v>224</v>
      </c>
      <c r="AQ19" s="2"/>
    </row>
    <row r="20" spans="1:43" x14ac:dyDescent="0.25">
      <c r="A20" s="1">
        <v>21614</v>
      </c>
      <c r="B20" s="1" t="s">
        <v>25</v>
      </c>
      <c r="C20" s="1" t="s">
        <v>26</v>
      </c>
      <c r="D20" s="1" t="s">
        <v>77</v>
      </c>
      <c r="E20" s="1" t="s">
        <v>66</v>
      </c>
      <c r="F20" s="1" t="s">
        <v>28</v>
      </c>
      <c r="G20" s="1" t="s">
        <v>28</v>
      </c>
      <c r="H20" s="1" t="s">
        <v>45</v>
      </c>
      <c r="I20" s="1" t="s">
        <v>30</v>
      </c>
      <c r="J20" s="1" t="s">
        <v>74</v>
      </c>
      <c r="K20" s="12">
        <v>77391.600000000006</v>
      </c>
      <c r="L20" s="2">
        <v>18391.599999999999</v>
      </c>
      <c r="M20" s="2">
        <v>59000</v>
      </c>
      <c r="N20" s="2">
        <v>0</v>
      </c>
      <c r="O20" s="2">
        <v>0</v>
      </c>
      <c r="P20" s="1">
        <v>0</v>
      </c>
      <c r="Q20" s="1" t="s">
        <v>28</v>
      </c>
      <c r="R20" s="1">
        <v>100</v>
      </c>
      <c r="S20" s="2">
        <v>59000</v>
      </c>
      <c r="T20" s="1" t="s">
        <v>46</v>
      </c>
      <c r="U20" s="1" t="s">
        <v>47</v>
      </c>
      <c r="V20" s="1">
        <v>0</v>
      </c>
      <c r="W20" s="1" t="s">
        <v>28</v>
      </c>
      <c r="X20" s="1" t="s">
        <v>28</v>
      </c>
      <c r="Y20" s="2">
        <v>70000</v>
      </c>
      <c r="AA20" s="2">
        <f t="shared" ref="AA20:AA22" si="6">+S20</f>
        <v>59000</v>
      </c>
      <c r="AB20" s="9">
        <f t="shared" si="0"/>
        <v>18391.600000000006</v>
      </c>
      <c r="AC20" s="2">
        <f>VLOOKUP(A20,[1]Sheet1!$A$3:$AD$575,29,)</f>
        <v>0</v>
      </c>
      <c r="AD20" s="10">
        <f>VLOOKUP(A20,[1]Sheet1!$A$3:$AD$575,30,0)</f>
        <v>0</v>
      </c>
      <c r="AE20" s="2">
        <f>VLOOKUP(A20,[1]Sheet1!$A$3:$AD$575,28,0)</f>
        <v>18391.600000000006</v>
      </c>
      <c r="AF20" s="2">
        <f t="shared" si="1"/>
        <v>0</v>
      </c>
      <c r="AH20" s="2">
        <f t="shared" si="3"/>
        <v>59000</v>
      </c>
      <c r="AK20" s="2"/>
      <c r="AL20" s="2">
        <v>78366.350000000006</v>
      </c>
      <c r="AM20" s="1" t="s">
        <v>223</v>
      </c>
      <c r="AN20" s="2">
        <v>19366.350000000006</v>
      </c>
      <c r="AO20" s="1" t="s">
        <v>224</v>
      </c>
      <c r="AQ20" s="2"/>
    </row>
    <row r="21" spans="1:43" x14ac:dyDescent="0.25">
      <c r="A21" s="1">
        <v>21954</v>
      </c>
      <c r="B21" s="1" t="s">
        <v>55</v>
      </c>
      <c r="C21" s="1" t="s">
        <v>26</v>
      </c>
      <c r="D21" s="1" t="s">
        <v>78</v>
      </c>
      <c r="E21" s="1" t="s">
        <v>79</v>
      </c>
      <c r="F21" s="1" t="s">
        <v>28</v>
      </c>
      <c r="G21" s="1" t="s">
        <v>28</v>
      </c>
      <c r="H21" s="1" t="s">
        <v>29</v>
      </c>
      <c r="I21" s="1" t="s">
        <v>80</v>
      </c>
      <c r="J21" s="1" t="s">
        <v>81</v>
      </c>
      <c r="K21" s="12">
        <v>1162935</v>
      </c>
      <c r="L21" s="2">
        <v>649935</v>
      </c>
      <c r="M21" s="2">
        <v>513000</v>
      </c>
      <c r="N21" s="2">
        <v>0</v>
      </c>
      <c r="O21" s="2">
        <v>0</v>
      </c>
      <c r="P21" s="1">
        <v>0</v>
      </c>
      <c r="Q21" s="1" t="s">
        <v>28</v>
      </c>
      <c r="R21" s="1">
        <v>100</v>
      </c>
      <c r="S21" s="2">
        <v>663000</v>
      </c>
      <c r="T21" s="1" t="s">
        <v>46</v>
      </c>
      <c r="U21" s="1" t="s">
        <v>82</v>
      </c>
      <c r="V21" s="1">
        <v>0</v>
      </c>
      <c r="W21" s="1" t="s">
        <v>28</v>
      </c>
      <c r="X21" s="1" t="s">
        <v>28</v>
      </c>
      <c r="Y21" s="2">
        <v>858000</v>
      </c>
      <c r="AA21" s="2">
        <f t="shared" si="6"/>
        <v>663000</v>
      </c>
      <c r="AB21" s="9">
        <f>IF((K21-AA21)&gt;0,K21-AA21,0)+AD21+AC21+150000</f>
        <v>799935</v>
      </c>
      <c r="AC21" s="2">
        <f>VLOOKUP(A21,[1]Sheet1!$A$3:$AD$575,29,)</f>
        <v>0</v>
      </c>
      <c r="AD21" s="10">
        <f>VLOOKUP(A21,[1]Sheet1!$A$3:$AD$575,30,0)</f>
        <v>150000</v>
      </c>
      <c r="AE21" s="2">
        <f>VLOOKUP(A21,[1]Sheet1!$A$3:$AD$575,28,0)</f>
        <v>649935</v>
      </c>
      <c r="AF21" s="2">
        <f t="shared" si="1"/>
        <v>150000</v>
      </c>
      <c r="AH21" s="2">
        <f t="shared" si="3"/>
        <v>363000</v>
      </c>
      <c r="AK21" s="2"/>
      <c r="AL21" s="2">
        <v>2489359.9700000002</v>
      </c>
      <c r="AM21" s="1" t="s">
        <v>223</v>
      </c>
      <c r="AN21" s="2">
        <f>1976359.97+150000</f>
        <v>2126359.9699999997</v>
      </c>
      <c r="AO21" s="1" t="s">
        <v>224</v>
      </c>
      <c r="AQ21" s="2"/>
    </row>
    <row r="22" spans="1:43" x14ac:dyDescent="0.25">
      <c r="A22" s="1">
        <v>22189</v>
      </c>
      <c r="B22" s="1" t="s">
        <v>25</v>
      </c>
      <c r="C22" s="1" t="s">
        <v>26</v>
      </c>
      <c r="D22" s="1" t="s">
        <v>83</v>
      </c>
      <c r="E22" s="1" t="s">
        <v>66</v>
      </c>
      <c r="F22" s="1" t="s">
        <v>28</v>
      </c>
      <c r="G22" s="1" t="s">
        <v>28</v>
      </c>
      <c r="H22" s="1" t="s">
        <v>45</v>
      </c>
      <c r="I22" s="1" t="s">
        <v>84</v>
      </c>
      <c r="J22" s="1" t="s">
        <v>81</v>
      </c>
      <c r="K22" s="12">
        <v>188606.38</v>
      </c>
      <c r="L22" s="2">
        <v>0</v>
      </c>
      <c r="M22" s="2">
        <v>188606.38</v>
      </c>
      <c r="N22" s="2">
        <v>0</v>
      </c>
      <c r="O22" s="2">
        <v>0</v>
      </c>
      <c r="P22" s="1">
        <v>0</v>
      </c>
      <c r="Q22" s="1" t="s">
        <v>28</v>
      </c>
      <c r="R22" s="1">
        <v>100</v>
      </c>
      <c r="S22" s="2">
        <v>251200</v>
      </c>
      <c r="T22" s="1" t="s">
        <v>59</v>
      </c>
      <c r="U22" s="1" t="s">
        <v>85</v>
      </c>
      <c r="V22" s="1">
        <v>0</v>
      </c>
      <c r="W22" s="1" t="s">
        <v>28</v>
      </c>
      <c r="X22" s="1" t="s">
        <v>28</v>
      </c>
      <c r="Y22" s="2">
        <v>337100</v>
      </c>
      <c r="AA22" s="2">
        <f t="shared" si="6"/>
        <v>251200</v>
      </c>
      <c r="AB22" s="9">
        <f t="shared" si="0"/>
        <v>0</v>
      </c>
      <c r="AC22" s="2">
        <f>VLOOKUP(A22,[1]Sheet1!$A$3:$AD$575,29,)</f>
        <v>0</v>
      </c>
      <c r="AD22" s="10">
        <f>VLOOKUP(A22,[1]Sheet1!$A$3:$AD$575,30,0)</f>
        <v>0</v>
      </c>
      <c r="AE22" s="2">
        <f>VLOOKUP(A22,[1]Sheet1!$A$3:$AD$575,28,0)</f>
        <v>0</v>
      </c>
      <c r="AF22" s="2">
        <f t="shared" si="1"/>
        <v>0</v>
      </c>
      <c r="AH22" s="2">
        <f t="shared" si="3"/>
        <v>188606.38</v>
      </c>
      <c r="AK22" s="2"/>
      <c r="AL22" s="2">
        <v>330600</v>
      </c>
      <c r="AM22" s="1" t="s">
        <v>223</v>
      </c>
      <c r="AN22" s="2">
        <v>141993.62</v>
      </c>
      <c r="AO22" s="1" t="s">
        <v>224</v>
      </c>
      <c r="AQ22" s="2"/>
    </row>
    <row r="23" spans="1:43" x14ac:dyDescent="0.25">
      <c r="A23" s="1">
        <v>22397</v>
      </c>
      <c r="B23" s="1" t="s">
        <v>25</v>
      </c>
      <c r="C23" s="1" t="s">
        <v>26</v>
      </c>
      <c r="D23" s="1" t="s">
        <v>86</v>
      </c>
      <c r="E23" s="1" t="s">
        <v>87</v>
      </c>
      <c r="F23" s="1" t="s">
        <v>28</v>
      </c>
      <c r="G23" s="1" t="s">
        <v>28</v>
      </c>
      <c r="H23" s="1" t="s">
        <v>39</v>
      </c>
      <c r="I23" s="1" t="s">
        <v>88</v>
      </c>
      <c r="J23" s="1" t="s">
        <v>89</v>
      </c>
      <c r="K23" s="12">
        <v>2008.76</v>
      </c>
      <c r="L23" s="2">
        <v>0</v>
      </c>
      <c r="M23" s="2">
        <v>2008.76</v>
      </c>
      <c r="N23" s="2">
        <v>541.04999999999995</v>
      </c>
      <c r="O23" s="2">
        <v>5410.5</v>
      </c>
      <c r="P23" s="1">
        <v>0</v>
      </c>
      <c r="Q23" s="11">
        <v>45276</v>
      </c>
      <c r="R23" s="1">
        <v>100</v>
      </c>
      <c r="S23" s="1">
        <v>5592</v>
      </c>
      <c r="T23" s="1" t="s">
        <v>32</v>
      </c>
      <c r="U23" s="1" t="s">
        <v>90</v>
      </c>
      <c r="V23" s="1">
        <v>0</v>
      </c>
      <c r="W23" s="1" t="s">
        <v>28</v>
      </c>
      <c r="X23" s="1" t="s">
        <v>28</v>
      </c>
      <c r="Y23" s="2">
        <v>6500</v>
      </c>
      <c r="AA23" s="2">
        <f t="shared" ref="AA23:AA24" si="7">+O23</f>
        <v>5410.5</v>
      </c>
      <c r="AB23" s="9">
        <f t="shared" si="0"/>
        <v>0</v>
      </c>
      <c r="AC23" s="2">
        <f>VLOOKUP(A23,[1]Sheet1!$A$3:$AD$575,29,)</f>
        <v>0</v>
      </c>
      <c r="AD23" s="10">
        <f>VLOOKUP(A23,[1]Sheet1!$A$3:$AD$575,30,0)</f>
        <v>0</v>
      </c>
      <c r="AE23" s="2">
        <f>VLOOKUP(A23,[1]Sheet1!$A$3:$AD$575,28,0)</f>
        <v>0</v>
      </c>
      <c r="AF23" s="2">
        <f t="shared" si="1"/>
        <v>0</v>
      </c>
      <c r="AH23" s="2">
        <f t="shared" si="3"/>
        <v>2008.76</v>
      </c>
      <c r="AK23" s="2"/>
      <c r="AL23" s="2">
        <v>3150</v>
      </c>
      <c r="AM23" s="1" t="s">
        <v>223</v>
      </c>
      <c r="AN23" s="2">
        <v>1141.24</v>
      </c>
      <c r="AO23" s="1" t="s">
        <v>224</v>
      </c>
      <c r="AQ23" s="2"/>
    </row>
    <row r="24" spans="1:43" x14ac:dyDescent="0.25">
      <c r="A24" s="1">
        <v>22465</v>
      </c>
      <c r="B24" s="1" t="s">
        <v>55</v>
      </c>
      <c r="C24" s="1" t="s">
        <v>26</v>
      </c>
      <c r="D24" s="1" t="s">
        <v>91</v>
      </c>
      <c r="E24" s="1" t="s">
        <v>73</v>
      </c>
      <c r="F24" s="1" t="s">
        <v>28</v>
      </c>
      <c r="G24" s="1" t="s">
        <v>28</v>
      </c>
      <c r="H24" s="1" t="s">
        <v>39</v>
      </c>
      <c r="I24" s="1" t="s">
        <v>30</v>
      </c>
      <c r="J24" s="1" t="s">
        <v>92</v>
      </c>
      <c r="K24" s="12">
        <v>51828.09</v>
      </c>
      <c r="L24" s="2">
        <v>6088.09</v>
      </c>
      <c r="M24" s="2">
        <v>45740</v>
      </c>
      <c r="N24" s="2">
        <v>6861</v>
      </c>
      <c r="O24" s="2">
        <v>45740</v>
      </c>
      <c r="P24" s="1">
        <v>0</v>
      </c>
      <c r="Q24" s="1" t="s">
        <v>68</v>
      </c>
      <c r="R24" s="1">
        <v>100</v>
      </c>
      <c r="S24" s="1">
        <v>39500</v>
      </c>
      <c r="T24" s="1" t="s">
        <v>59</v>
      </c>
      <c r="U24" s="1" t="s">
        <v>69</v>
      </c>
      <c r="V24" s="1">
        <v>0</v>
      </c>
      <c r="W24" s="1" t="s">
        <v>28</v>
      </c>
      <c r="X24" s="1" t="s">
        <v>28</v>
      </c>
      <c r="Y24" s="2">
        <v>55400</v>
      </c>
      <c r="AA24" s="2">
        <f t="shared" si="7"/>
        <v>45740</v>
      </c>
      <c r="AB24" s="9">
        <f t="shared" si="0"/>
        <v>6088.0899999999965</v>
      </c>
      <c r="AC24" s="2">
        <f>VLOOKUP(A24,[1]Sheet1!$A$3:$AD$575,29,)</f>
        <v>0</v>
      </c>
      <c r="AD24" s="10">
        <f>VLOOKUP(A24,[1]Sheet1!$A$3:$AD$575,30,0)</f>
        <v>0</v>
      </c>
      <c r="AE24" s="2">
        <f>VLOOKUP(A24,[1]Sheet1!$A$3:$AD$575,28,0)</f>
        <v>6088.0899999999965</v>
      </c>
      <c r="AF24" s="2">
        <f t="shared" si="1"/>
        <v>0</v>
      </c>
      <c r="AH24" s="2">
        <f t="shared" si="3"/>
        <v>45740</v>
      </c>
      <c r="AK24" s="2"/>
      <c r="AL24" s="2">
        <v>115674.51</v>
      </c>
      <c r="AM24" s="1" t="s">
        <v>223</v>
      </c>
      <c r="AN24" s="2">
        <v>69934.509999999995</v>
      </c>
      <c r="AO24" s="1" t="s">
        <v>224</v>
      </c>
      <c r="AQ24" s="2"/>
    </row>
    <row r="25" spans="1:43" x14ac:dyDescent="0.25">
      <c r="A25" s="1">
        <v>22503</v>
      </c>
      <c r="B25" s="1" t="s">
        <v>55</v>
      </c>
      <c r="C25" s="1" t="s">
        <v>26</v>
      </c>
      <c r="D25" s="1" t="s">
        <v>93</v>
      </c>
      <c r="E25" s="1" t="s">
        <v>94</v>
      </c>
      <c r="F25" s="1" t="s">
        <v>28</v>
      </c>
      <c r="G25" s="1" t="s">
        <v>28</v>
      </c>
      <c r="H25" s="1" t="s">
        <v>29</v>
      </c>
      <c r="I25" s="1" t="s">
        <v>30</v>
      </c>
      <c r="J25" s="1" t="s">
        <v>92</v>
      </c>
      <c r="K25" s="12">
        <v>167311.5</v>
      </c>
      <c r="L25" s="2">
        <v>151311.5</v>
      </c>
      <c r="M25" s="2">
        <v>16000</v>
      </c>
      <c r="N25" s="2">
        <v>0</v>
      </c>
      <c r="O25" s="2">
        <v>0</v>
      </c>
      <c r="P25" s="1">
        <v>0</v>
      </c>
      <c r="Q25" s="1" t="s">
        <v>28</v>
      </c>
      <c r="R25" s="1">
        <v>100</v>
      </c>
      <c r="S25" s="2">
        <v>16000</v>
      </c>
      <c r="T25" s="1" t="s">
        <v>46</v>
      </c>
      <c r="U25" s="1" t="s">
        <v>95</v>
      </c>
      <c r="V25" s="1">
        <v>0</v>
      </c>
      <c r="W25" s="1" t="s">
        <v>28</v>
      </c>
      <c r="X25" s="1" t="s">
        <v>28</v>
      </c>
      <c r="Y25" s="2">
        <v>18600</v>
      </c>
      <c r="AA25" s="2">
        <f t="shared" ref="AA25:AA26" si="8">+S25</f>
        <v>16000</v>
      </c>
      <c r="AB25" s="9">
        <f t="shared" si="0"/>
        <v>151311.5</v>
      </c>
      <c r="AC25" s="2">
        <f>VLOOKUP(A25,[1]Sheet1!$A$3:$AD$575,29,)</f>
        <v>0</v>
      </c>
      <c r="AD25" s="10">
        <f>VLOOKUP(A25,[1]Sheet1!$A$3:$AD$575,30,0)</f>
        <v>0</v>
      </c>
      <c r="AE25" s="2">
        <f>VLOOKUP(A25,[1]Sheet1!$A$3:$AD$575,28,0)</f>
        <v>151311.5</v>
      </c>
      <c r="AF25" s="2">
        <f t="shared" si="1"/>
        <v>0</v>
      </c>
      <c r="AH25" s="2">
        <f t="shared" si="3"/>
        <v>16000</v>
      </c>
      <c r="AK25" s="2"/>
      <c r="AL25" s="2">
        <v>234000</v>
      </c>
      <c r="AM25" s="1" t="s">
        <v>223</v>
      </c>
      <c r="AN25" s="2">
        <v>218000</v>
      </c>
      <c r="AO25" s="1" t="s">
        <v>224</v>
      </c>
      <c r="AQ25" s="2"/>
    </row>
    <row r="26" spans="1:43" x14ac:dyDescent="0.25">
      <c r="A26" s="1">
        <v>22541</v>
      </c>
      <c r="B26" s="1" t="s">
        <v>55</v>
      </c>
      <c r="C26" s="1" t="s">
        <v>26</v>
      </c>
      <c r="D26" s="1" t="s">
        <v>93</v>
      </c>
      <c r="E26" s="1" t="s">
        <v>28</v>
      </c>
      <c r="F26" s="1" t="s">
        <v>28</v>
      </c>
      <c r="G26" s="1" t="s">
        <v>28</v>
      </c>
      <c r="H26" s="1" t="s">
        <v>29</v>
      </c>
      <c r="I26" s="1" t="s">
        <v>30</v>
      </c>
      <c r="J26" s="1" t="s">
        <v>92</v>
      </c>
      <c r="K26" s="12">
        <v>378763</v>
      </c>
      <c r="L26" s="2">
        <v>0</v>
      </c>
      <c r="M26" s="2">
        <v>378763</v>
      </c>
      <c r="N26" s="2">
        <v>0</v>
      </c>
      <c r="O26" s="2">
        <v>0</v>
      </c>
      <c r="P26" s="1">
        <v>0</v>
      </c>
      <c r="Q26" s="1" t="s">
        <v>28</v>
      </c>
      <c r="R26" s="1">
        <v>100</v>
      </c>
      <c r="S26" s="2">
        <v>1498000</v>
      </c>
      <c r="T26" s="1" t="s">
        <v>46</v>
      </c>
      <c r="U26" s="1" t="s">
        <v>95</v>
      </c>
      <c r="V26" s="1">
        <v>0</v>
      </c>
      <c r="W26" s="1" t="s">
        <v>28</v>
      </c>
      <c r="X26" s="1" t="s">
        <v>28</v>
      </c>
      <c r="Y26" s="2">
        <v>1747000</v>
      </c>
      <c r="AA26" s="2">
        <f t="shared" si="8"/>
        <v>1498000</v>
      </c>
      <c r="AB26" s="9">
        <f>IF((K26-AA26)&gt;0,K26-AA26,0)+AD26+AC26+100000</f>
        <v>100000</v>
      </c>
      <c r="AC26" s="2">
        <f>VLOOKUP(A26,[1]Sheet1!$A$3:$AD$575,29,)</f>
        <v>0</v>
      </c>
      <c r="AD26" s="10">
        <f>VLOOKUP(A26,[1]Sheet1!$A$3:$AD$575,30,0)</f>
        <v>0</v>
      </c>
      <c r="AE26" s="2">
        <f>VLOOKUP(A26,[1]Sheet1!$A$3:$AD$575,28,0)</f>
        <v>0</v>
      </c>
      <c r="AF26" s="2">
        <f t="shared" si="1"/>
        <v>100000</v>
      </c>
      <c r="AH26" s="2">
        <f t="shared" si="3"/>
        <v>278763</v>
      </c>
      <c r="AK26" s="2"/>
      <c r="AL26" s="2">
        <v>603545.07999999996</v>
      </c>
      <c r="AM26" s="1" t="s">
        <v>223</v>
      </c>
      <c r="AN26" s="2">
        <f>224782.08+100000</f>
        <v>324782.07999999996</v>
      </c>
      <c r="AO26" s="1" t="s">
        <v>224</v>
      </c>
      <c r="AQ26" s="2"/>
    </row>
    <row r="27" spans="1:43" x14ac:dyDescent="0.25">
      <c r="A27" s="1">
        <v>23238</v>
      </c>
      <c r="B27" s="1" t="s">
        <v>55</v>
      </c>
      <c r="C27" s="1" t="s">
        <v>26</v>
      </c>
      <c r="D27" s="1" t="s">
        <v>96</v>
      </c>
      <c r="E27" s="1" t="s">
        <v>28</v>
      </c>
      <c r="F27" s="1" t="s">
        <v>28</v>
      </c>
      <c r="G27" s="1" t="s">
        <v>28</v>
      </c>
      <c r="H27" s="1" t="s">
        <v>39</v>
      </c>
      <c r="I27" s="1" t="s">
        <v>30</v>
      </c>
      <c r="J27" s="1" t="s">
        <v>97</v>
      </c>
      <c r="K27" s="12">
        <v>51746.94</v>
      </c>
      <c r="L27" s="2">
        <v>5506.94</v>
      </c>
      <c r="M27" s="2">
        <v>46240</v>
      </c>
      <c r="N27" s="2">
        <v>6936</v>
      </c>
      <c r="O27" s="2">
        <v>46240</v>
      </c>
      <c r="P27" s="1">
        <v>0</v>
      </c>
      <c r="Q27" s="1" t="s">
        <v>68</v>
      </c>
      <c r="R27" s="1">
        <v>100</v>
      </c>
      <c r="S27" s="1">
        <v>39900</v>
      </c>
      <c r="T27" s="1" t="s">
        <v>59</v>
      </c>
      <c r="U27" s="1" t="s">
        <v>69</v>
      </c>
      <c r="V27" s="1">
        <v>0</v>
      </c>
      <c r="W27" s="1" t="s">
        <v>28</v>
      </c>
      <c r="X27" s="1" t="s">
        <v>28</v>
      </c>
      <c r="Y27" s="2">
        <v>56000</v>
      </c>
      <c r="AA27" s="2">
        <f t="shared" ref="AA27:AA90" si="9">+O27</f>
        <v>46240</v>
      </c>
      <c r="AB27" s="9">
        <f t="shared" si="0"/>
        <v>5506.9400000000023</v>
      </c>
      <c r="AC27" s="2">
        <f>VLOOKUP(A27,[1]Sheet1!$A$3:$AD$575,29,)</f>
        <v>0</v>
      </c>
      <c r="AD27" s="10">
        <f>VLOOKUP(A27,[1]Sheet1!$A$3:$AD$575,30,0)</f>
        <v>0</v>
      </c>
      <c r="AE27" s="2">
        <f>VLOOKUP(A27,[1]Sheet1!$A$3:$AD$575,28,0)</f>
        <v>5506.9400000000023</v>
      </c>
      <c r="AF27" s="2">
        <f t="shared" si="1"/>
        <v>0</v>
      </c>
      <c r="AH27" s="2">
        <f t="shared" si="3"/>
        <v>46240</v>
      </c>
      <c r="AK27" s="2"/>
      <c r="AL27" s="2">
        <v>109474.52</v>
      </c>
      <c r="AM27" s="1" t="s">
        <v>223</v>
      </c>
      <c r="AN27" s="2">
        <v>63234.520000000004</v>
      </c>
      <c r="AO27" s="1" t="s">
        <v>224</v>
      </c>
      <c r="AQ27" s="2"/>
    </row>
    <row r="28" spans="1:43" x14ac:dyDescent="0.25">
      <c r="A28" s="1">
        <v>23239</v>
      </c>
      <c r="B28" s="1" t="s">
        <v>55</v>
      </c>
      <c r="C28" s="1" t="s">
        <v>26</v>
      </c>
      <c r="D28" s="1" t="s">
        <v>98</v>
      </c>
      <c r="E28" s="1" t="s">
        <v>28</v>
      </c>
      <c r="F28" s="1" t="s">
        <v>28</v>
      </c>
      <c r="G28" s="1" t="s">
        <v>28</v>
      </c>
      <c r="H28" s="1" t="s">
        <v>39</v>
      </c>
      <c r="I28" s="1" t="s">
        <v>30</v>
      </c>
      <c r="J28" s="1" t="s">
        <v>97</v>
      </c>
      <c r="K28" s="12">
        <v>82112.789999999994</v>
      </c>
      <c r="L28" s="2">
        <v>11512.79</v>
      </c>
      <c r="M28" s="2">
        <v>70600</v>
      </c>
      <c r="N28" s="2">
        <v>10590</v>
      </c>
      <c r="O28" s="2">
        <v>70600</v>
      </c>
      <c r="P28" s="1">
        <v>0</v>
      </c>
      <c r="Q28" s="1" t="s">
        <v>68</v>
      </c>
      <c r="R28" s="1">
        <v>100</v>
      </c>
      <c r="S28" s="1">
        <v>61000</v>
      </c>
      <c r="T28" s="1" t="s">
        <v>59</v>
      </c>
      <c r="U28" s="1" t="s">
        <v>69</v>
      </c>
      <c r="V28" s="1">
        <v>0</v>
      </c>
      <c r="W28" s="1" t="s">
        <v>28</v>
      </c>
      <c r="X28" s="1" t="s">
        <v>28</v>
      </c>
      <c r="Y28" s="2">
        <v>85600</v>
      </c>
      <c r="AA28" s="2">
        <f t="shared" si="9"/>
        <v>70600</v>
      </c>
      <c r="AB28" s="9">
        <f t="shared" si="0"/>
        <v>11512.789999999994</v>
      </c>
      <c r="AC28" s="2">
        <f>VLOOKUP(A28,[1]Sheet1!$A$3:$AD$575,29,)</f>
        <v>0</v>
      </c>
      <c r="AD28" s="10">
        <f>VLOOKUP(A28,[1]Sheet1!$A$3:$AD$575,30,0)</f>
        <v>0</v>
      </c>
      <c r="AE28" s="2">
        <f>VLOOKUP(A28,[1]Sheet1!$A$3:$AD$575,28,0)</f>
        <v>11512.789999999994</v>
      </c>
      <c r="AF28" s="2">
        <f t="shared" si="1"/>
        <v>0</v>
      </c>
      <c r="AH28" s="2">
        <f t="shared" si="3"/>
        <v>70600</v>
      </c>
      <c r="AK28" s="2"/>
      <c r="AL28" s="2">
        <v>144794.51999999999</v>
      </c>
      <c r="AM28" s="1" t="s">
        <v>223</v>
      </c>
      <c r="AN28" s="2">
        <v>74194.51999999999</v>
      </c>
      <c r="AO28" s="1" t="s">
        <v>224</v>
      </c>
      <c r="AQ28" s="2"/>
    </row>
    <row r="29" spans="1:43" x14ac:dyDescent="0.25">
      <c r="A29" s="1">
        <v>23240</v>
      </c>
      <c r="B29" s="1" t="s">
        <v>55</v>
      </c>
      <c r="C29" s="1" t="s">
        <v>26</v>
      </c>
      <c r="D29" s="1" t="s">
        <v>99</v>
      </c>
      <c r="E29" s="1" t="s">
        <v>28</v>
      </c>
      <c r="F29" s="1" t="s">
        <v>28</v>
      </c>
      <c r="G29" s="1" t="s">
        <v>28</v>
      </c>
      <c r="H29" s="1" t="s">
        <v>39</v>
      </c>
      <c r="I29" s="1" t="s">
        <v>30</v>
      </c>
      <c r="J29" s="1" t="s">
        <v>97</v>
      </c>
      <c r="K29" s="12">
        <v>67135.42</v>
      </c>
      <c r="L29" s="2">
        <v>10245.42</v>
      </c>
      <c r="M29" s="2">
        <v>56890</v>
      </c>
      <c r="N29" s="2">
        <v>8533.5</v>
      </c>
      <c r="O29" s="2">
        <v>56890</v>
      </c>
      <c r="P29" s="1">
        <v>0</v>
      </c>
      <c r="Q29" s="1" t="s">
        <v>68</v>
      </c>
      <c r="R29" s="1">
        <v>100</v>
      </c>
      <c r="S29" s="1">
        <v>49100</v>
      </c>
      <c r="T29" s="1" t="s">
        <v>59</v>
      </c>
      <c r="U29" s="1" t="s">
        <v>69</v>
      </c>
      <c r="V29" s="1">
        <v>0</v>
      </c>
      <c r="W29" s="1" t="s">
        <v>28</v>
      </c>
      <c r="X29" s="1" t="s">
        <v>28</v>
      </c>
      <c r="Y29" s="2">
        <v>68900</v>
      </c>
      <c r="AA29" s="2">
        <f t="shared" si="9"/>
        <v>56890</v>
      </c>
      <c r="AB29" s="9">
        <f t="shared" si="0"/>
        <v>10245.419999999998</v>
      </c>
      <c r="AC29" s="2">
        <f>VLOOKUP(A29,[1]Sheet1!$A$3:$AD$575,29,)</f>
        <v>0</v>
      </c>
      <c r="AD29" s="10">
        <f>VLOOKUP(A29,[1]Sheet1!$A$3:$AD$575,30,0)</f>
        <v>0</v>
      </c>
      <c r="AE29" s="2">
        <f>VLOOKUP(A29,[1]Sheet1!$A$3:$AD$575,28,0)</f>
        <v>10245.419999999998</v>
      </c>
      <c r="AF29" s="2">
        <f t="shared" si="1"/>
        <v>0</v>
      </c>
      <c r="AH29" s="2">
        <f t="shared" si="3"/>
        <v>56890</v>
      </c>
      <c r="AK29" s="2"/>
      <c r="AL29" s="2">
        <v>143574.53</v>
      </c>
      <c r="AM29" s="1" t="s">
        <v>223</v>
      </c>
      <c r="AN29" s="2">
        <v>86684.53</v>
      </c>
      <c r="AO29" s="1" t="s">
        <v>224</v>
      </c>
      <c r="AQ29" s="2"/>
    </row>
    <row r="30" spans="1:43" x14ac:dyDescent="0.25">
      <c r="A30" s="1">
        <v>23241</v>
      </c>
      <c r="B30" s="1" t="s">
        <v>55</v>
      </c>
      <c r="C30" s="1" t="s">
        <v>26</v>
      </c>
      <c r="D30" s="1" t="s">
        <v>100</v>
      </c>
      <c r="E30" s="1" t="s">
        <v>28</v>
      </c>
      <c r="F30" s="1" t="s">
        <v>28</v>
      </c>
      <c r="G30" s="1" t="s">
        <v>28</v>
      </c>
      <c r="H30" s="1" t="s">
        <v>39</v>
      </c>
      <c r="I30" s="1" t="s">
        <v>30</v>
      </c>
      <c r="J30" s="1" t="s">
        <v>97</v>
      </c>
      <c r="K30" s="12">
        <v>73392.25</v>
      </c>
      <c r="L30" s="2">
        <v>4452.25</v>
      </c>
      <c r="M30" s="2">
        <v>68940</v>
      </c>
      <c r="N30" s="2">
        <v>10341</v>
      </c>
      <c r="O30" s="2">
        <v>68940</v>
      </c>
      <c r="P30" s="1">
        <v>0</v>
      </c>
      <c r="Q30" s="1" t="s">
        <v>68</v>
      </c>
      <c r="R30" s="1">
        <v>100</v>
      </c>
      <c r="S30" s="1">
        <v>59500</v>
      </c>
      <c r="T30" s="1" t="s">
        <v>59</v>
      </c>
      <c r="U30" s="1" t="s">
        <v>69</v>
      </c>
      <c r="V30" s="1">
        <v>0</v>
      </c>
      <c r="W30" s="1" t="s">
        <v>28</v>
      </c>
      <c r="X30" s="1" t="s">
        <v>28</v>
      </c>
      <c r="Y30" s="2">
        <v>83500</v>
      </c>
      <c r="AA30" s="2">
        <f t="shared" si="9"/>
        <v>68940</v>
      </c>
      <c r="AB30" s="9">
        <f t="shared" si="0"/>
        <v>4452.25</v>
      </c>
      <c r="AC30" s="2">
        <f>VLOOKUP(A30,[1]Sheet1!$A$3:$AD$575,29,)</f>
        <v>0</v>
      </c>
      <c r="AD30" s="10">
        <f>VLOOKUP(A30,[1]Sheet1!$A$3:$AD$575,30,0)</f>
        <v>0</v>
      </c>
      <c r="AE30" s="2">
        <f>VLOOKUP(A30,[1]Sheet1!$A$3:$AD$575,28,0)</f>
        <v>4452.25</v>
      </c>
      <c r="AF30" s="2">
        <f t="shared" si="1"/>
        <v>0</v>
      </c>
      <c r="AH30" s="2">
        <f t="shared" si="3"/>
        <v>68940</v>
      </c>
      <c r="AK30" s="2"/>
      <c r="AL30" s="2">
        <v>125994.53</v>
      </c>
      <c r="AM30" s="1" t="s">
        <v>223</v>
      </c>
      <c r="AN30" s="2">
        <v>57054.53</v>
      </c>
      <c r="AO30" s="1" t="s">
        <v>224</v>
      </c>
      <c r="AQ30" s="2"/>
    </row>
    <row r="31" spans="1:43" x14ac:dyDescent="0.25">
      <c r="A31" s="1">
        <v>23242</v>
      </c>
      <c r="B31" s="1" t="s">
        <v>55</v>
      </c>
      <c r="C31" s="1" t="s">
        <v>26</v>
      </c>
      <c r="D31" s="1" t="s">
        <v>101</v>
      </c>
      <c r="E31" s="1" t="s">
        <v>28</v>
      </c>
      <c r="F31" s="1" t="s">
        <v>28</v>
      </c>
      <c r="G31" s="1" t="s">
        <v>28</v>
      </c>
      <c r="H31" s="1" t="s">
        <v>39</v>
      </c>
      <c r="I31" s="1" t="s">
        <v>30</v>
      </c>
      <c r="J31" s="1" t="s">
        <v>97</v>
      </c>
      <c r="K31" s="12">
        <v>65340.71</v>
      </c>
      <c r="L31" s="2">
        <v>7790.71</v>
      </c>
      <c r="M31" s="2">
        <v>57550</v>
      </c>
      <c r="N31" s="2">
        <v>8632.5</v>
      </c>
      <c r="O31" s="2">
        <v>57550</v>
      </c>
      <c r="P31" s="1">
        <v>0</v>
      </c>
      <c r="Q31" s="1" t="s">
        <v>68</v>
      </c>
      <c r="R31" s="1">
        <v>100</v>
      </c>
      <c r="S31" s="1">
        <v>49700</v>
      </c>
      <c r="T31" s="1" t="s">
        <v>59</v>
      </c>
      <c r="U31" s="1" t="s">
        <v>69</v>
      </c>
      <c r="V31" s="1">
        <v>0</v>
      </c>
      <c r="W31" s="1" t="s">
        <v>28</v>
      </c>
      <c r="X31" s="1" t="s">
        <v>28</v>
      </c>
      <c r="Y31" s="2">
        <v>69700</v>
      </c>
      <c r="AA31" s="2">
        <f t="shared" si="9"/>
        <v>57550</v>
      </c>
      <c r="AB31" s="9">
        <f t="shared" si="0"/>
        <v>7790.7099999999991</v>
      </c>
      <c r="AC31" s="2">
        <f>VLOOKUP(A31,[1]Sheet1!$A$3:$AD$575,29,)</f>
        <v>0</v>
      </c>
      <c r="AD31" s="10">
        <f>VLOOKUP(A31,[1]Sheet1!$A$3:$AD$575,30,0)</f>
        <v>0</v>
      </c>
      <c r="AE31" s="2">
        <f>VLOOKUP(A31,[1]Sheet1!$A$3:$AD$575,28,0)</f>
        <v>7790.7099999999991</v>
      </c>
      <c r="AF31" s="2">
        <f t="shared" si="1"/>
        <v>0</v>
      </c>
      <c r="AH31" s="2">
        <f t="shared" si="3"/>
        <v>57550</v>
      </c>
      <c r="AK31" s="2"/>
      <c r="AL31" s="2">
        <v>128574.53</v>
      </c>
      <c r="AM31" s="1" t="s">
        <v>223</v>
      </c>
      <c r="AN31" s="2">
        <v>71024.53</v>
      </c>
      <c r="AO31" s="1" t="s">
        <v>224</v>
      </c>
      <c r="AQ31" s="2"/>
    </row>
    <row r="32" spans="1:43" x14ac:dyDescent="0.25">
      <c r="A32" s="1">
        <v>23243</v>
      </c>
      <c r="B32" s="1" t="s">
        <v>55</v>
      </c>
      <c r="C32" s="1" t="s">
        <v>26</v>
      </c>
      <c r="D32" s="1" t="s">
        <v>102</v>
      </c>
      <c r="E32" s="1" t="s">
        <v>28</v>
      </c>
      <c r="F32" s="1" t="s">
        <v>28</v>
      </c>
      <c r="G32" s="1" t="s">
        <v>28</v>
      </c>
      <c r="H32" s="1" t="s">
        <v>39</v>
      </c>
      <c r="I32" s="1" t="s">
        <v>30</v>
      </c>
      <c r="J32" s="1" t="s">
        <v>97</v>
      </c>
      <c r="K32" s="12">
        <v>54546.18</v>
      </c>
      <c r="L32" s="2">
        <v>5006.18</v>
      </c>
      <c r="M32" s="2">
        <v>49540</v>
      </c>
      <c r="N32" s="2">
        <v>7431</v>
      </c>
      <c r="O32" s="2">
        <v>49540</v>
      </c>
      <c r="P32" s="1">
        <v>0</v>
      </c>
      <c r="Q32" s="1" t="s">
        <v>68</v>
      </c>
      <c r="R32" s="1">
        <v>100</v>
      </c>
      <c r="S32" s="1">
        <v>42800</v>
      </c>
      <c r="T32" s="1" t="s">
        <v>59</v>
      </c>
      <c r="U32" s="1" t="s">
        <v>69</v>
      </c>
      <c r="V32" s="1">
        <v>0</v>
      </c>
      <c r="W32" s="1" t="s">
        <v>28</v>
      </c>
      <c r="X32" s="1" t="s">
        <v>28</v>
      </c>
      <c r="Y32" s="2">
        <v>60000</v>
      </c>
      <c r="AA32" s="2">
        <f t="shared" si="9"/>
        <v>49540</v>
      </c>
      <c r="AB32" s="9">
        <f t="shared" si="0"/>
        <v>5006.18</v>
      </c>
      <c r="AC32" s="2">
        <f>VLOOKUP(A32,[1]Sheet1!$A$3:$AD$575,29,)</f>
        <v>0</v>
      </c>
      <c r="AD32" s="10">
        <f>VLOOKUP(A32,[1]Sheet1!$A$3:$AD$575,30,0)</f>
        <v>0</v>
      </c>
      <c r="AE32" s="2">
        <f>VLOOKUP(A32,[1]Sheet1!$A$3:$AD$575,28,0)</f>
        <v>5006.18</v>
      </c>
      <c r="AF32" s="2">
        <f t="shared" si="1"/>
        <v>0</v>
      </c>
      <c r="AH32" s="2">
        <f t="shared" si="3"/>
        <v>49540</v>
      </c>
      <c r="AK32" s="2"/>
      <c r="AL32" s="2">
        <v>114174.53</v>
      </c>
      <c r="AM32" s="1" t="s">
        <v>223</v>
      </c>
      <c r="AN32" s="2">
        <v>64634.53</v>
      </c>
      <c r="AO32" s="1" t="s">
        <v>224</v>
      </c>
      <c r="AQ32" s="2"/>
    </row>
    <row r="33" spans="1:43" x14ac:dyDescent="0.25">
      <c r="A33" s="1">
        <v>23244</v>
      </c>
      <c r="B33" s="1" t="s">
        <v>55</v>
      </c>
      <c r="C33" s="1" t="s">
        <v>26</v>
      </c>
      <c r="D33" s="1" t="s">
        <v>103</v>
      </c>
      <c r="E33" s="1" t="s">
        <v>28</v>
      </c>
      <c r="F33" s="1" t="s">
        <v>28</v>
      </c>
      <c r="G33" s="1" t="s">
        <v>28</v>
      </c>
      <c r="H33" s="1" t="s">
        <v>39</v>
      </c>
      <c r="I33" s="1" t="s">
        <v>30</v>
      </c>
      <c r="J33" s="1" t="s">
        <v>97</v>
      </c>
      <c r="K33" s="12">
        <v>59060.03</v>
      </c>
      <c r="L33" s="2">
        <v>5550.03</v>
      </c>
      <c r="M33" s="2">
        <v>53510</v>
      </c>
      <c r="N33" s="2">
        <v>8026.5</v>
      </c>
      <c r="O33" s="2">
        <v>53510</v>
      </c>
      <c r="P33" s="1">
        <v>0</v>
      </c>
      <c r="Q33" s="1" t="s">
        <v>68</v>
      </c>
      <c r="R33" s="1">
        <v>100</v>
      </c>
      <c r="S33" s="1">
        <v>46200</v>
      </c>
      <c r="T33" s="1" t="s">
        <v>59</v>
      </c>
      <c r="U33" s="1" t="s">
        <v>69</v>
      </c>
      <c r="V33" s="1">
        <v>0</v>
      </c>
      <c r="W33" s="1" t="s">
        <v>28</v>
      </c>
      <c r="X33" s="1" t="s">
        <v>28</v>
      </c>
      <c r="Y33" s="2">
        <v>64800</v>
      </c>
      <c r="AA33" s="2">
        <f t="shared" si="9"/>
        <v>53510</v>
      </c>
      <c r="AB33" s="9">
        <f t="shared" si="0"/>
        <v>5550.0299999999988</v>
      </c>
      <c r="AC33" s="2">
        <f>VLOOKUP(A33,[1]Sheet1!$A$3:$AD$575,29,)</f>
        <v>0</v>
      </c>
      <c r="AD33" s="10">
        <f>VLOOKUP(A33,[1]Sheet1!$A$3:$AD$575,30,0)</f>
        <v>0</v>
      </c>
      <c r="AE33" s="2">
        <f>VLOOKUP(A33,[1]Sheet1!$A$3:$AD$575,28,0)</f>
        <v>5550.0299999999988</v>
      </c>
      <c r="AF33" s="2">
        <f t="shared" si="1"/>
        <v>0</v>
      </c>
      <c r="AH33" s="2">
        <f t="shared" si="3"/>
        <v>53510</v>
      </c>
      <c r="AK33" s="2"/>
      <c r="AL33" s="2">
        <v>124874.53</v>
      </c>
      <c r="AM33" s="1" t="s">
        <v>223</v>
      </c>
      <c r="AN33" s="2">
        <v>71364.53</v>
      </c>
      <c r="AO33" s="1" t="s">
        <v>224</v>
      </c>
      <c r="AQ33" s="2"/>
    </row>
    <row r="34" spans="1:43" x14ac:dyDescent="0.25">
      <c r="A34" s="1">
        <v>23245</v>
      </c>
      <c r="B34" s="1" t="s">
        <v>55</v>
      </c>
      <c r="C34" s="1" t="s">
        <v>26</v>
      </c>
      <c r="D34" s="1" t="s">
        <v>104</v>
      </c>
      <c r="E34" s="1" t="s">
        <v>28</v>
      </c>
      <c r="F34" s="1" t="s">
        <v>28</v>
      </c>
      <c r="G34" s="1" t="s">
        <v>28</v>
      </c>
      <c r="H34" s="1" t="s">
        <v>39</v>
      </c>
      <c r="I34" s="1" t="s">
        <v>30</v>
      </c>
      <c r="J34" s="1" t="s">
        <v>97</v>
      </c>
      <c r="K34" s="12">
        <v>74759.64</v>
      </c>
      <c r="L34" s="2">
        <v>11259.64</v>
      </c>
      <c r="M34" s="2">
        <v>63500</v>
      </c>
      <c r="N34" s="2">
        <v>9525</v>
      </c>
      <c r="O34" s="2">
        <v>63500</v>
      </c>
      <c r="P34" s="1">
        <v>0</v>
      </c>
      <c r="Q34" s="1" t="s">
        <v>68</v>
      </c>
      <c r="R34" s="1">
        <v>100</v>
      </c>
      <c r="S34" s="1">
        <v>54800</v>
      </c>
      <c r="T34" s="1" t="s">
        <v>59</v>
      </c>
      <c r="U34" s="1" t="s">
        <v>69</v>
      </c>
      <c r="V34" s="1">
        <v>0</v>
      </c>
      <c r="W34" s="1" t="s">
        <v>28</v>
      </c>
      <c r="X34" s="1" t="s">
        <v>28</v>
      </c>
      <c r="Y34" s="2">
        <v>76900</v>
      </c>
      <c r="AA34" s="2">
        <f t="shared" si="9"/>
        <v>63500</v>
      </c>
      <c r="AB34" s="9">
        <f t="shared" si="0"/>
        <v>11259.64</v>
      </c>
      <c r="AC34" s="2">
        <f>VLOOKUP(A34,[1]Sheet1!$A$3:$AD$575,29,)</f>
        <v>0</v>
      </c>
      <c r="AD34" s="10">
        <f>VLOOKUP(A34,[1]Sheet1!$A$3:$AD$575,30,0)</f>
        <v>0</v>
      </c>
      <c r="AE34" s="2">
        <f>VLOOKUP(A34,[1]Sheet1!$A$3:$AD$575,28,0)</f>
        <v>11259.64</v>
      </c>
      <c r="AF34" s="2">
        <f t="shared" si="1"/>
        <v>0</v>
      </c>
      <c r="AH34" s="2">
        <f t="shared" si="3"/>
        <v>63500</v>
      </c>
      <c r="AK34" s="2"/>
      <c r="AL34" s="2">
        <v>159974.53</v>
      </c>
      <c r="AM34" s="1" t="s">
        <v>223</v>
      </c>
      <c r="AN34" s="2">
        <v>96474.53</v>
      </c>
      <c r="AO34" s="1" t="s">
        <v>224</v>
      </c>
      <c r="AQ34" s="2"/>
    </row>
    <row r="35" spans="1:43" x14ac:dyDescent="0.25">
      <c r="A35" s="1">
        <v>23246</v>
      </c>
      <c r="B35" s="1" t="s">
        <v>55</v>
      </c>
      <c r="C35" s="1" t="s">
        <v>26</v>
      </c>
      <c r="D35" s="1" t="s">
        <v>105</v>
      </c>
      <c r="E35" s="1" t="s">
        <v>28</v>
      </c>
      <c r="F35" s="1" t="s">
        <v>28</v>
      </c>
      <c r="G35" s="1" t="s">
        <v>28</v>
      </c>
      <c r="H35" s="1" t="s">
        <v>39</v>
      </c>
      <c r="I35" s="1" t="s">
        <v>30</v>
      </c>
      <c r="J35" s="1" t="s">
        <v>97</v>
      </c>
      <c r="K35" s="12">
        <v>65777.279999999999</v>
      </c>
      <c r="L35" s="2">
        <v>8307.2800000000007</v>
      </c>
      <c r="M35" s="2">
        <v>57470</v>
      </c>
      <c r="N35" s="2">
        <v>8620.5</v>
      </c>
      <c r="O35" s="2">
        <v>57470</v>
      </c>
      <c r="P35" s="1">
        <v>0</v>
      </c>
      <c r="Q35" s="1" t="s">
        <v>68</v>
      </c>
      <c r="R35" s="1">
        <v>100</v>
      </c>
      <c r="S35" s="1">
        <v>49600</v>
      </c>
      <c r="T35" s="1" t="s">
        <v>59</v>
      </c>
      <c r="U35" s="1" t="s">
        <v>69</v>
      </c>
      <c r="V35" s="1">
        <v>0</v>
      </c>
      <c r="W35" s="1" t="s">
        <v>28</v>
      </c>
      <c r="X35" s="1" t="s">
        <v>28</v>
      </c>
      <c r="Y35" s="2">
        <v>69600</v>
      </c>
      <c r="AA35" s="2">
        <f t="shared" si="9"/>
        <v>57470</v>
      </c>
      <c r="AB35" s="9">
        <f t="shared" si="0"/>
        <v>8307.2799999999988</v>
      </c>
      <c r="AC35" s="2">
        <f>VLOOKUP(A35,[1]Sheet1!$A$3:$AD$575,29,)</f>
        <v>0</v>
      </c>
      <c r="AD35" s="10">
        <f>VLOOKUP(A35,[1]Sheet1!$A$3:$AD$575,30,0)</f>
        <v>0</v>
      </c>
      <c r="AE35" s="2">
        <f>VLOOKUP(A35,[1]Sheet1!$A$3:$AD$575,28,0)</f>
        <v>8307.2799999999988</v>
      </c>
      <c r="AF35" s="2">
        <f t="shared" si="1"/>
        <v>0</v>
      </c>
      <c r="AH35" s="2">
        <f t="shared" si="3"/>
        <v>57470</v>
      </c>
      <c r="AK35" s="2"/>
      <c r="AL35" s="2">
        <v>131474.53</v>
      </c>
      <c r="AM35" s="1" t="s">
        <v>223</v>
      </c>
      <c r="AN35" s="2">
        <v>74004.53</v>
      </c>
      <c r="AO35" s="1" t="s">
        <v>224</v>
      </c>
      <c r="AQ35" s="2"/>
    </row>
    <row r="36" spans="1:43" x14ac:dyDescent="0.25">
      <c r="A36" s="1">
        <v>23247</v>
      </c>
      <c r="B36" s="1" t="s">
        <v>55</v>
      </c>
      <c r="C36" s="1" t="s">
        <v>26</v>
      </c>
      <c r="D36" s="1" t="s">
        <v>106</v>
      </c>
      <c r="E36" s="1" t="s">
        <v>28</v>
      </c>
      <c r="F36" s="1" t="s">
        <v>28</v>
      </c>
      <c r="G36" s="1" t="s">
        <v>28</v>
      </c>
      <c r="H36" s="1" t="s">
        <v>39</v>
      </c>
      <c r="I36" s="1" t="s">
        <v>30</v>
      </c>
      <c r="J36" s="1" t="s">
        <v>97</v>
      </c>
      <c r="K36" s="12">
        <v>69140.13</v>
      </c>
      <c r="L36" s="2">
        <v>6550.13</v>
      </c>
      <c r="M36" s="2">
        <v>62590</v>
      </c>
      <c r="N36" s="2">
        <v>9388.5</v>
      </c>
      <c r="O36" s="2">
        <v>62590</v>
      </c>
      <c r="P36" s="1">
        <v>0</v>
      </c>
      <c r="Q36" s="1" t="s">
        <v>68</v>
      </c>
      <c r="R36" s="1">
        <v>100</v>
      </c>
      <c r="S36" s="1">
        <v>54000</v>
      </c>
      <c r="T36" s="1" t="s">
        <v>59</v>
      </c>
      <c r="U36" s="1" t="s">
        <v>69</v>
      </c>
      <c r="V36" s="1">
        <v>0</v>
      </c>
      <c r="W36" s="1" t="s">
        <v>28</v>
      </c>
      <c r="X36" s="1" t="s">
        <v>28</v>
      </c>
      <c r="Y36" s="2">
        <v>75800</v>
      </c>
      <c r="AA36" s="2">
        <f t="shared" si="9"/>
        <v>62590</v>
      </c>
      <c r="AB36" s="9">
        <f t="shared" si="0"/>
        <v>6550.1300000000047</v>
      </c>
      <c r="AC36" s="2">
        <f>VLOOKUP(A36,[1]Sheet1!$A$3:$AD$575,29,)</f>
        <v>0</v>
      </c>
      <c r="AD36" s="10">
        <f>VLOOKUP(A36,[1]Sheet1!$A$3:$AD$575,30,0)</f>
        <v>0</v>
      </c>
      <c r="AE36" s="2">
        <f>VLOOKUP(A36,[1]Sheet1!$A$3:$AD$575,28,0)</f>
        <v>6550.1300000000047</v>
      </c>
      <c r="AF36" s="2">
        <f t="shared" si="1"/>
        <v>0</v>
      </c>
      <c r="AH36" s="2">
        <f t="shared" si="3"/>
        <v>62590</v>
      </c>
      <c r="AK36" s="2"/>
      <c r="AL36" s="2">
        <v>118874.53</v>
      </c>
      <c r="AM36" s="1" t="s">
        <v>223</v>
      </c>
      <c r="AN36" s="2">
        <v>56284.53</v>
      </c>
      <c r="AO36" s="1" t="s">
        <v>224</v>
      </c>
      <c r="AQ36" s="2"/>
    </row>
    <row r="37" spans="1:43" x14ac:dyDescent="0.25">
      <c r="A37" s="1">
        <v>23248</v>
      </c>
      <c r="B37" s="1" t="s">
        <v>55</v>
      </c>
      <c r="C37" s="1" t="s">
        <v>26</v>
      </c>
      <c r="D37" s="1" t="s">
        <v>107</v>
      </c>
      <c r="E37" s="1" t="s">
        <v>28</v>
      </c>
      <c r="F37" s="1" t="s">
        <v>28</v>
      </c>
      <c r="G37" s="1" t="s">
        <v>28</v>
      </c>
      <c r="H37" s="1" t="s">
        <v>39</v>
      </c>
      <c r="I37" s="1" t="s">
        <v>30</v>
      </c>
      <c r="J37" s="1" t="s">
        <v>97</v>
      </c>
      <c r="K37" s="12">
        <v>46539.78</v>
      </c>
      <c r="L37" s="2">
        <v>4679.78</v>
      </c>
      <c r="M37" s="2">
        <v>41860</v>
      </c>
      <c r="N37" s="2">
        <v>6279</v>
      </c>
      <c r="O37" s="2">
        <v>41860</v>
      </c>
      <c r="P37" s="1">
        <v>0</v>
      </c>
      <c r="Q37" s="1" t="s">
        <v>68</v>
      </c>
      <c r="R37" s="1">
        <v>100</v>
      </c>
      <c r="S37" s="1">
        <v>36100</v>
      </c>
      <c r="T37" s="1" t="s">
        <v>59</v>
      </c>
      <c r="U37" s="1" t="s">
        <v>69</v>
      </c>
      <c r="V37" s="1">
        <v>0</v>
      </c>
      <c r="W37" s="1" t="s">
        <v>28</v>
      </c>
      <c r="X37" s="1" t="s">
        <v>28</v>
      </c>
      <c r="Y37" s="2">
        <v>50700</v>
      </c>
      <c r="AA37" s="2">
        <f t="shared" si="9"/>
        <v>41860</v>
      </c>
      <c r="AB37" s="9">
        <f t="shared" si="0"/>
        <v>4679.7799999999988</v>
      </c>
      <c r="AC37" s="2">
        <f>VLOOKUP(A37,[1]Sheet1!$A$3:$AD$575,29,)</f>
        <v>0</v>
      </c>
      <c r="AD37" s="10">
        <f>VLOOKUP(A37,[1]Sheet1!$A$3:$AD$575,30,0)</f>
        <v>0</v>
      </c>
      <c r="AE37" s="2">
        <f>VLOOKUP(A37,[1]Sheet1!$A$3:$AD$575,28,0)</f>
        <v>4679.7799999999988</v>
      </c>
      <c r="AF37" s="2">
        <f t="shared" si="1"/>
        <v>0</v>
      </c>
      <c r="AH37" s="2">
        <f t="shared" si="3"/>
        <v>41860</v>
      </c>
      <c r="AK37" s="2"/>
      <c r="AL37" s="2">
        <v>99274.53</v>
      </c>
      <c r="AM37" s="1" t="s">
        <v>223</v>
      </c>
      <c r="AN37" s="2">
        <v>57414.53</v>
      </c>
      <c r="AO37" s="1" t="s">
        <v>224</v>
      </c>
      <c r="AQ37" s="2"/>
    </row>
    <row r="38" spans="1:43" x14ac:dyDescent="0.25">
      <c r="A38" s="1">
        <v>23249</v>
      </c>
      <c r="B38" s="1" t="s">
        <v>55</v>
      </c>
      <c r="C38" s="1" t="s">
        <v>26</v>
      </c>
      <c r="D38" s="1" t="s">
        <v>108</v>
      </c>
      <c r="E38" s="1" t="s">
        <v>28</v>
      </c>
      <c r="F38" s="1" t="s">
        <v>28</v>
      </c>
      <c r="G38" s="1" t="s">
        <v>28</v>
      </c>
      <c r="H38" s="1" t="s">
        <v>39</v>
      </c>
      <c r="I38" s="1" t="s">
        <v>30</v>
      </c>
      <c r="J38" s="1" t="s">
        <v>97</v>
      </c>
      <c r="K38" s="12">
        <v>51731.76</v>
      </c>
      <c r="L38" s="2">
        <v>5741.76</v>
      </c>
      <c r="M38" s="2">
        <v>45990</v>
      </c>
      <c r="N38" s="2">
        <v>6898.5</v>
      </c>
      <c r="O38" s="2">
        <v>45990</v>
      </c>
      <c r="P38" s="1">
        <v>0</v>
      </c>
      <c r="Q38" s="1" t="s">
        <v>68</v>
      </c>
      <c r="R38" s="1">
        <v>100</v>
      </c>
      <c r="S38" s="1">
        <v>39700</v>
      </c>
      <c r="T38" s="1" t="s">
        <v>59</v>
      </c>
      <c r="U38" s="1" t="s">
        <v>69</v>
      </c>
      <c r="V38" s="1">
        <v>0</v>
      </c>
      <c r="W38" s="1" t="s">
        <v>28</v>
      </c>
      <c r="X38" s="1" t="s">
        <v>28</v>
      </c>
      <c r="Y38" s="2">
        <v>55700</v>
      </c>
      <c r="AA38" s="2">
        <f t="shared" si="9"/>
        <v>45990</v>
      </c>
      <c r="AB38" s="9">
        <f t="shared" si="0"/>
        <v>5741.760000000002</v>
      </c>
      <c r="AC38" s="2">
        <f>VLOOKUP(A38,[1]Sheet1!$A$3:$AD$575,29,)</f>
        <v>0</v>
      </c>
      <c r="AD38" s="10">
        <f>VLOOKUP(A38,[1]Sheet1!$A$3:$AD$575,30,0)</f>
        <v>0</v>
      </c>
      <c r="AE38" s="2">
        <f>VLOOKUP(A38,[1]Sheet1!$A$3:$AD$575,28,0)</f>
        <v>5741.760000000002</v>
      </c>
      <c r="AF38" s="2">
        <f t="shared" si="1"/>
        <v>0</v>
      </c>
      <c r="AH38" s="2">
        <f t="shared" si="3"/>
        <v>45990</v>
      </c>
      <c r="AK38" s="2"/>
      <c r="AL38" s="2">
        <v>113414.53</v>
      </c>
      <c r="AM38" s="1" t="s">
        <v>223</v>
      </c>
      <c r="AN38" s="2">
        <v>67424.53</v>
      </c>
      <c r="AO38" s="1" t="s">
        <v>224</v>
      </c>
      <c r="AQ38" s="2"/>
    </row>
    <row r="39" spans="1:43" x14ac:dyDescent="0.25">
      <c r="A39" s="1">
        <v>23250</v>
      </c>
      <c r="B39" s="1" t="s">
        <v>55</v>
      </c>
      <c r="C39" s="1" t="s">
        <v>26</v>
      </c>
      <c r="D39" s="1" t="s">
        <v>109</v>
      </c>
      <c r="E39" s="1" t="s">
        <v>28</v>
      </c>
      <c r="F39" s="1" t="s">
        <v>28</v>
      </c>
      <c r="G39" s="1" t="s">
        <v>28</v>
      </c>
      <c r="H39" s="1" t="s">
        <v>39</v>
      </c>
      <c r="I39" s="1" t="s">
        <v>30</v>
      </c>
      <c r="J39" s="1" t="s">
        <v>97</v>
      </c>
      <c r="K39" s="12">
        <v>50631.76</v>
      </c>
      <c r="L39" s="2">
        <v>12891.76</v>
      </c>
      <c r="M39" s="2">
        <v>37740</v>
      </c>
      <c r="N39" s="2">
        <v>5661</v>
      </c>
      <c r="O39" s="2">
        <v>37740</v>
      </c>
      <c r="P39" s="1">
        <v>0</v>
      </c>
      <c r="Q39" s="1" t="s">
        <v>68</v>
      </c>
      <c r="R39" s="1">
        <v>100</v>
      </c>
      <c r="S39" s="1">
        <v>32600</v>
      </c>
      <c r="T39" s="1" t="s">
        <v>59</v>
      </c>
      <c r="U39" s="1" t="s">
        <v>69</v>
      </c>
      <c r="V39" s="1">
        <v>0</v>
      </c>
      <c r="W39" s="1" t="s">
        <v>28</v>
      </c>
      <c r="X39" s="1" t="s">
        <v>28</v>
      </c>
      <c r="Y39" s="2">
        <v>45700</v>
      </c>
      <c r="AA39" s="2">
        <f t="shared" si="9"/>
        <v>37740</v>
      </c>
      <c r="AB39" s="9">
        <f t="shared" si="0"/>
        <v>12891.760000000002</v>
      </c>
      <c r="AC39" s="2">
        <f>VLOOKUP(A39,[1]Sheet1!$A$3:$AD$575,29,)</f>
        <v>0</v>
      </c>
      <c r="AD39" s="10">
        <f>VLOOKUP(A39,[1]Sheet1!$A$3:$AD$575,30,0)</f>
        <v>0</v>
      </c>
      <c r="AE39" s="2">
        <f>VLOOKUP(A39,[1]Sheet1!$A$3:$AD$575,28,0)</f>
        <v>12891.760000000002</v>
      </c>
      <c r="AF39" s="2">
        <f t="shared" si="1"/>
        <v>0</v>
      </c>
      <c r="AH39" s="2">
        <f t="shared" si="3"/>
        <v>37740</v>
      </c>
      <c r="AK39" s="2"/>
      <c r="AL39" s="2">
        <v>86474.53</v>
      </c>
      <c r="AM39" s="1" t="s">
        <v>223</v>
      </c>
      <c r="AN39" s="2">
        <v>48734.53</v>
      </c>
      <c r="AO39" s="1" t="s">
        <v>224</v>
      </c>
      <c r="AQ39" s="2"/>
    </row>
    <row r="40" spans="1:43" x14ac:dyDescent="0.25">
      <c r="A40" s="1">
        <v>23251</v>
      </c>
      <c r="B40" s="1" t="s">
        <v>55</v>
      </c>
      <c r="C40" s="1" t="s">
        <v>26</v>
      </c>
      <c r="D40" s="1" t="s">
        <v>110</v>
      </c>
      <c r="E40" s="1" t="s">
        <v>28</v>
      </c>
      <c r="F40" s="1" t="s">
        <v>28</v>
      </c>
      <c r="G40" s="1" t="s">
        <v>28</v>
      </c>
      <c r="H40" s="1" t="s">
        <v>39</v>
      </c>
      <c r="I40" s="1" t="s">
        <v>30</v>
      </c>
      <c r="J40" s="1" t="s">
        <v>97</v>
      </c>
      <c r="K40" s="12">
        <v>33661.39</v>
      </c>
      <c r="L40" s="2">
        <v>881.39</v>
      </c>
      <c r="M40" s="2">
        <v>32780</v>
      </c>
      <c r="N40" s="2">
        <v>4917</v>
      </c>
      <c r="O40" s="2">
        <v>32780</v>
      </c>
      <c r="P40" s="1">
        <v>0</v>
      </c>
      <c r="Q40" s="1" t="s">
        <v>68</v>
      </c>
      <c r="R40" s="1">
        <v>100</v>
      </c>
      <c r="S40" s="1">
        <v>28300</v>
      </c>
      <c r="T40" s="1" t="s">
        <v>59</v>
      </c>
      <c r="U40" s="1" t="s">
        <v>69</v>
      </c>
      <c r="V40" s="1">
        <v>0</v>
      </c>
      <c r="W40" s="1" t="s">
        <v>28</v>
      </c>
      <c r="X40" s="1" t="s">
        <v>28</v>
      </c>
      <c r="Y40" s="2">
        <v>39700</v>
      </c>
      <c r="AA40" s="2">
        <f t="shared" si="9"/>
        <v>32780</v>
      </c>
      <c r="AB40" s="9">
        <f t="shared" si="0"/>
        <v>881.38999999999942</v>
      </c>
      <c r="AC40" s="2">
        <f>VLOOKUP(A40,[1]Sheet1!$A$3:$AD$575,29,)</f>
        <v>0</v>
      </c>
      <c r="AD40" s="10">
        <f>VLOOKUP(A40,[1]Sheet1!$A$3:$AD$575,30,0)</f>
        <v>0</v>
      </c>
      <c r="AE40" s="2">
        <f>VLOOKUP(A40,[1]Sheet1!$A$3:$AD$575,28,0)</f>
        <v>881.38999999999942</v>
      </c>
      <c r="AF40" s="2">
        <f t="shared" si="1"/>
        <v>0</v>
      </c>
      <c r="AH40" s="2">
        <f t="shared" si="3"/>
        <v>32780</v>
      </c>
      <c r="AK40" s="2"/>
      <c r="AL40" s="2">
        <v>71874.53</v>
      </c>
      <c r="AM40" s="1" t="s">
        <v>223</v>
      </c>
      <c r="AN40" s="2">
        <v>39094.53</v>
      </c>
      <c r="AO40" s="1" t="s">
        <v>224</v>
      </c>
      <c r="AQ40" s="2"/>
    </row>
    <row r="41" spans="1:43" x14ac:dyDescent="0.25">
      <c r="A41" s="1">
        <v>23252</v>
      </c>
      <c r="B41" s="1" t="s">
        <v>55</v>
      </c>
      <c r="C41" s="1" t="s">
        <v>26</v>
      </c>
      <c r="D41" s="1" t="s">
        <v>111</v>
      </c>
      <c r="E41" s="1" t="s">
        <v>28</v>
      </c>
      <c r="F41" s="1" t="s">
        <v>28</v>
      </c>
      <c r="G41" s="1" t="s">
        <v>28</v>
      </c>
      <c r="H41" s="1" t="s">
        <v>39</v>
      </c>
      <c r="I41" s="1" t="s">
        <v>30</v>
      </c>
      <c r="J41" s="1" t="s">
        <v>97</v>
      </c>
      <c r="K41" s="12">
        <v>29454.04</v>
      </c>
      <c r="L41" s="2">
        <v>0</v>
      </c>
      <c r="M41" s="2">
        <v>29454.04</v>
      </c>
      <c r="N41" s="2">
        <v>5661</v>
      </c>
      <c r="O41" s="2">
        <v>37740</v>
      </c>
      <c r="P41" s="1">
        <v>0</v>
      </c>
      <c r="Q41" s="1" t="s">
        <v>68</v>
      </c>
      <c r="R41" s="1">
        <v>100</v>
      </c>
      <c r="S41" s="1">
        <v>32600</v>
      </c>
      <c r="T41" s="1" t="s">
        <v>59</v>
      </c>
      <c r="U41" s="1" t="s">
        <v>69</v>
      </c>
      <c r="V41" s="1">
        <v>0</v>
      </c>
      <c r="W41" s="1" t="s">
        <v>28</v>
      </c>
      <c r="X41" s="1" t="s">
        <v>28</v>
      </c>
      <c r="Y41" s="2">
        <v>45700</v>
      </c>
      <c r="AA41" s="2">
        <f t="shared" si="9"/>
        <v>37740</v>
      </c>
      <c r="AB41" s="9">
        <f t="shared" si="0"/>
        <v>0</v>
      </c>
      <c r="AC41" s="2">
        <f>VLOOKUP(A41,[1]Sheet1!$A$3:$AD$575,29,)</f>
        <v>0</v>
      </c>
      <c r="AD41" s="10">
        <f>VLOOKUP(A41,[1]Sheet1!$A$3:$AD$575,30,0)</f>
        <v>0</v>
      </c>
      <c r="AE41" s="2">
        <f>VLOOKUP(A41,[1]Sheet1!$A$3:$AD$575,28,0)</f>
        <v>0</v>
      </c>
      <c r="AF41" s="2">
        <f t="shared" si="1"/>
        <v>0</v>
      </c>
      <c r="AH41" s="2">
        <f t="shared" si="3"/>
        <v>29454.04</v>
      </c>
      <c r="AK41" s="2"/>
      <c r="AL41" s="2">
        <v>82574.53</v>
      </c>
      <c r="AM41" s="1" t="s">
        <v>223</v>
      </c>
      <c r="AN41" s="2">
        <v>53120.49</v>
      </c>
      <c r="AO41" s="1" t="s">
        <v>224</v>
      </c>
      <c r="AQ41" s="2"/>
    </row>
    <row r="42" spans="1:43" x14ac:dyDescent="0.25">
      <c r="A42" s="1">
        <v>23253</v>
      </c>
      <c r="B42" s="1" t="s">
        <v>55</v>
      </c>
      <c r="C42" s="1" t="s">
        <v>26</v>
      </c>
      <c r="D42" s="1" t="s">
        <v>112</v>
      </c>
      <c r="E42" s="1" t="s">
        <v>28</v>
      </c>
      <c r="F42" s="1" t="s">
        <v>28</v>
      </c>
      <c r="G42" s="1" t="s">
        <v>28</v>
      </c>
      <c r="H42" s="1" t="s">
        <v>39</v>
      </c>
      <c r="I42" s="1" t="s">
        <v>30</v>
      </c>
      <c r="J42" s="1" t="s">
        <v>97</v>
      </c>
      <c r="K42" s="12">
        <v>37060.15</v>
      </c>
      <c r="L42" s="2">
        <v>1310.1500000000001</v>
      </c>
      <c r="M42" s="2">
        <v>35750</v>
      </c>
      <c r="N42" s="2">
        <v>5362.5</v>
      </c>
      <c r="O42" s="2">
        <v>35750</v>
      </c>
      <c r="P42" s="1">
        <v>0</v>
      </c>
      <c r="Q42" s="1" t="s">
        <v>68</v>
      </c>
      <c r="R42" s="1">
        <v>100</v>
      </c>
      <c r="S42" s="1">
        <v>30900</v>
      </c>
      <c r="T42" s="1" t="s">
        <v>59</v>
      </c>
      <c r="U42" s="1" t="s">
        <v>69</v>
      </c>
      <c r="V42" s="1">
        <v>0</v>
      </c>
      <c r="W42" s="1" t="s">
        <v>28</v>
      </c>
      <c r="X42" s="1" t="s">
        <v>28</v>
      </c>
      <c r="Y42" s="2">
        <v>43300</v>
      </c>
      <c r="AA42" s="2">
        <f t="shared" si="9"/>
        <v>35750</v>
      </c>
      <c r="AB42" s="9">
        <f t="shared" si="0"/>
        <v>1310.1500000000015</v>
      </c>
      <c r="AC42" s="2">
        <f>VLOOKUP(A42,[1]Sheet1!$A$3:$AD$575,29,)</f>
        <v>0</v>
      </c>
      <c r="AD42" s="10">
        <f>VLOOKUP(A42,[1]Sheet1!$A$3:$AD$575,30,0)</f>
        <v>0</v>
      </c>
      <c r="AE42" s="2">
        <f>VLOOKUP(A42,[1]Sheet1!$A$3:$AD$575,28,0)</f>
        <v>1310.1500000000015</v>
      </c>
      <c r="AF42" s="2">
        <f t="shared" si="1"/>
        <v>0</v>
      </c>
      <c r="AH42" s="2">
        <f t="shared" si="3"/>
        <v>35750</v>
      </c>
      <c r="AK42" s="2"/>
      <c r="AL42" s="2">
        <v>81134.53</v>
      </c>
      <c r="AM42" s="1" t="s">
        <v>223</v>
      </c>
      <c r="AN42" s="2">
        <v>45384.53</v>
      </c>
      <c r="AO42" s="1" t="s">
        <v>224</v>
      </c>
      <c r="AQ42" s="2"/>
    </row>
    <row r="43" spans="1:43" x14ac:dyDescent="0.25">
      <c r="A43" s="1">
        <v>23254</v>
      </c>
      <c r="B43" s="1" t="s">
        <v>55</v>
      </c>
      <c r="C43" s="1" t="s">
        <v>26</v>
      </c>
      <c r="D43" s="1" t="s">
        <v>113</v>
      </c>
      <c r="E43" s="1" t="s">
        <v>28</v>
      </c>
      <c r="F43" s="1" t="s">
        <v>28</v>
      </c>
      <c r="G43" s="1" t="s">
        <v>28</v>
      </c>
      <c r="H43" s="1" t="s">
        <v>39</v>
      </c>
      <c r="I43" s="1" t="s">
        <v>30</v>
      </c>
      <c r="J43" s="1" t="s">
        <v>97</v>
      </c>
      <c r="K43" s="12">
        <v>39329.67</v>
      </c>
      <c r="L43" s="2">
        <v>769.67</v>
      </c>
      <c r="M43" s="2">
        <v>38560</v>
      </c>
      <c r="N43" s="2">
        <v>5784</v>
      </c>
      <c r="O43" s="2">
        <v>38560</v>
      </c>
      <c r="P43" s="1">
        <v>0</v>
      </c>
      <c r="Q43" s="1" t="s">
        <v>68</v>
      </c>
      <c r="R43" s="1">
        <v>100</v>
      </c>
      <c r="S43" s="1">
        <v>33300</v>
      </c>
      <c r="T43" s="1" t="s">
        <v>59</v>
      </c>
      <c r="U43" s="1" t="s">
        <v>69</v>
      </c>
      <c r="V43" s="1">
        <v>0</v>
      </c>
      <c r="W43" s="1" t="s">
        <v>28</v>
      </c>
      <c r="X43" s="1" t="s">
        <v>28</v>
      </c>
      <c r="Y43" s="2">
        <v>46700</v>
      </c>
      <c r="AA43" s="2">
        <f t="shared" si="9"/>
        <v>38560</v>
      </c>
      <c r="AB43" s="9">
        <f t="shared" si="0"/>
        <v>769.66999999999825</v>
      </c>
      <c r="AC43" s="2">
        <f>VLOOKUP(A43,[1]Sheet1!$A$3:$AD$575,29,)</f>
        <v>0</v>
      </c>
      <c r="AD43" s="10">
        <f>VLOOKUP(A43,[1]Sheet1!$A$3:$AD$575,30,0)</f>
        <v>0</v>
      </c>
      <c r="AE43" s="2">
        <f>VLOOKUP(A43,[1]Sheet1!$A$3:$AD$575,28,0)</f>
        <v>769.66999999999825</v>
      </c>
      <c r="AF43" s="2">
        <f t="shared" si="1"/>
        <v>0</v>
      </c>
      <c r="AH43" s="2">
        <f t="shared" si="3"/>
        <v>38560</v>
      </c>
      <c r="AK43" s="2"/>
      <c r="AL43" s="2">
        <v>83874.53</v>
      </c>
      <c r="AM43" s="1" t="s">
        <v>223</v>
      </c>
      <c r="AN43" s="2">
        <v>45314.53</v>
      </c>
      <c r="AO43" s="1" t="s">
        <v>224</v>
      </c>
      <c r="AQ43" s="2"/>
    </row>
    <row r="44" spans="1:43" x14ac:dyDescent="0.25">
      <c r="A44" s="1">
        <v>23255</v>
      </c>
      <c r="B44" s="1" t="s">
        <v>55</v>
      </c>
      <c r="C44" s="1" t="s">
        <v>26</v>
      </c>
      <c r="D44" s="1" t="s">
        <v>114</v>
      </c>
      <c r="E44" s="1" t="s">
        <v>28</v>
      </c>
      <c r="F44" s="1" t="s">
        <v>28</v>
      </c>
      <c r="G44" s="1" t="s">
        <v>28</v>
      </c>
      <c r="H44" s="1" t="s">
        <v>39</v>
      </c>
      <c r="I44" s="1" t="s">
        <v>30</v>
      </c>
      <c r="J44" s="1" t="s">
        <v>97</v>
      </c>
      <c r="K44" s="12">
        <v>38245.54</v>
      </c>
      <c r="L44" s="2">
        <v>1335.54</v>
      </c>
      <c r="M44" s="2">
        <v>36910</v>
      </c>
      <c r="N44" s="2">
        <v>5536.5</v>
      </c>
      <c r="O44" s="2">
        <v>36910</v>
      </c>
      <c r="P44" s="1">
        <v>0</v>
      </c>
      <c r="Q44" s="1" t="s">
        <v>68</v>
      </c>
      <c r="R44" s="1">
        <v>100</v>
      </c>
      <c r="S44" s="1">
        <v>31900</v>
      </c>
      <c r="T44" s="1" t="s">
        <v>59</v>
      </c>
      <c r="U44" s="1" t="s">
        <v>69</v>
      </c>
      <c r="V44" s="1">
        <v>0</v>
      </c>
      <c r="W44" s="1" t="s">
        <v>28</v>
      </c>
      <c r="X44" s="1" t="s">
        <v>28</v>
      </c>
      <c r="Y44" s="2">
        <v>44700</v>
      </c>
      <c r="AA44" s="2">
        <f t="shared" si="9"/>
        <v>36910</v>
      </c>
      <c r="AB44" s="9">
        <f t="shared" si="0"/>
        <v>1335.5400000000009</v>
      </c>
      <c r="AC44" s="2">
        <f>VLOOKUP(A44,[1]Sheet1!$A$3:$AD$575,29,)</f>
        <v>0</v>
      </c>
      <c r="AD44" s="10">
        <f>VLOOKUP(A44,[1]Sheet1!$A$3:$AD$575,30,0)</f>
        <v>0</v>
      </c>
      <c r="AE44" s="2">
        <f>VLOOKUP(A44,[1]Sheet1!$A$3:$AD$575,28,0)</f>
        <v>1335.5400000000009</v>
      </c>
      <c r="AF44" s="2">
        <f t="shared" si="1"/>
        <v>0</v>
      </c>
      <c r="AH44" s="2">
        <f t="shared" si="3"/>
        <v>36910</v>
      </c>
      <c r="AK44" s="2"/>
      <c r="AL44" s="2">
        <v>83774.53</v>
      </c>
      <c r="AM44" s="1" t="s">
        <v>223</v>
      </c>
      <c r="AN44" s="2">
        <v>46864.53</v>
      </c>
      <c r="AO44" s="1" t="s">
        <v>224</v>
      </c>
      <c r="AQ44" s="2"/>
    </row>
    <row r="45" spans="1:43" x14ac:dyDescent="0.25">
      <c r="A45" s="1">
        <v>23256</v>
      </c>
      <c r="B45" s="1" t="s">
        <v>55</v>
      </c>
      <c r="C45" s="1" t="s">
        <v>26</v>
      </c>
      <c r="D45" s="1" t="s">
        <v>115</v>
      </c>
      <c r="E45" s="1" t="s">
        <v>28</v>
      </c>
      <c r="F45" s="1" t="s">
        <v>28</v>
      </c>
      <c r="G45" s="1" t="s">
        <v>28</v>
      </c>
      <c r="H45" s="1" t="s">
        <v>39</v>
      </c>
      <c r="I45" s="1" t="s">
        <v>30</v>
      </c>
      <c r="J45" s="1" t="s">
        <v>97</v>
      </c>
      <c r="K45" s="12">
        <v>67048.149999999994</v>
      </c>
      <c r="L45" s="2">
        <v>8508.15</v>
      </c>
      <c r="M45" s="2">
        <v>58540</v>
      </c>
      <c r="N45" s="2">
        <v>8781</v>
      </c>
      <c r="O45" s="2">
        <v>58540</v>
      </c>
      <c r="P45" s="1">
        <v>0</v>
      </c>
      <c r="Q45" s="1" t="s">
        <v>68</v>
      </c>
      <c r="R45" s="1">
        <v>100</v>
      </c>
      <c r="S45" s="1">
        <v>50500</v>
      </c>
      <c r="T45" s="1" t="s">
        <v>59</v>
      </c>
      <c r="U45" s="1" t="s">
        <v>69</v>
      </c>
      <c r="V45" s="1">
        <v>0</v>
      </c>
      <c r="W45" s="1" t="s">
        <v>28</v>
      </c>
      <c r="X45" s="1" t="s">
        <v>28</v>
      </c>
      <c r="Y45" s="2">
        <v>70900</v>
      </c>
      <c r="AA45" s="2">
        <f t="shared" si="9"/>
        <v>58540</v>
      </c>
      <c r="AB45" s="9">
        <f t="shared" si="0"/>
        <v>8508.1499999999942</v>
      </c>
      <c r="AC45" s="2">
        <f>VLOOKUP(A45,[1]Sheet1!$A$3:$AD$575,29,)</f>
        <v>0</v>
      </c>
      <c r="AD45" s="10">
        <f>VLOOKUP(A45,[1]Sheet1!$A$3:$AD$575,30,0)</f>
        <v>0</v>
      </c>
      <c r="AE45" s="2">
        <f>VLOOKUP(A45,[1]Sheet1!$A$3:$AD$575,28,0)</f>
        <v>8508.1499999999942</v>
      </c>
      <c r="AF45" s="2">
        <f t="shared" si="1"/>
        <v>0</v>
      </c>
      <c r="AH45" s="2">
        <f t="shared" si="3"/>
        <v>58540</v>
      </c>
      <c r="AK45" s="2"/>
      <c r="AL45" s="2">
        <v>133874.53</v>
      </c>
      <c r="AM45" s="1" t="s">
        <v>223</v>
      </c>
      <c r="AN45" s="2">
        <v>75334.53</v>
      </c>
      <c r="AO45" s="1" t="s">
        <v>224</v>
      </c>
      <c r="AQ45" s="2"/>
    </row>
    <row r="46" spans="1:43" x14ac:dyDescent="0.25">
      <c r="A46" s="1">
        <v>23257</v>
      </c>
      <c r="B46" s="1" t="s">
        <v>55</v>
      </c>
      <c r="C46" s="1" t="s">
        <v>26</v>
      </c>
      <c r="D46" s="1" t="s">
        <v>116</v>
      </c>
      <c r="E46" s="1" t="s">
        <v>28</v>
      </c>
      <c r="F46" s="1" t="s">
        <v>28</v>
      </c>
      <c r="G46" s="1" t="s">
        <v>28</v>
      </c>
      <c r="H46" s="1" t="s">
        <v>39</v>
      </c>
      <c r="I46" s="1" t="s">
        <v>30</v>
      </c>
      <c r="J46" s="1" t="s">
        <v>97</v>
      </c>
      <c r="K46" s="12">
        <v>36435.08</v>
      </c>
      <c r="L46" s="2">
        <v>1675.08</v>
      </c>
      <c r="M46" s="2">
        <v>34760</v>
      </c>
      <c r="N46" s="2">
        <v>5214</v>
      </c>
      <c r="O46" s="2">
        <v>34760</v>
      </c>
      <c r="P46" s="1">
        <v>0</v>
      </c>
      <c r="Q46" s="1" t="s">
        <v>68</v>
      </c>
      <c r="R46" s="1">
        <v>100</v>
      </c>
      <c r="S46" s="1">
        <v>30000</v>
      </c>
      <c r="T46" s="1" t="s">
        <v>59</v>
      </c>
      <c r="U46" s="1" t="s">
        <v>69</v>
      </c>
      <c r="V46" s="1">
        <v>0</v>
      </c>
      <c r="W46" s="1" t="s">
        <v>28</v>
      </c>
      <c r="X46" s="1" t="s">
        <v>28</v>
      </c>
      <c r="Y46" s="2">
        <v>42100</v>
      </c>
      <c r="AA46" s="2">
        <f t="shared" si="9"/>
        <v>34760</v>
      </c>
      <c r="AB46" s="9">
        <f t="shared" si="0"/>
        <v>1675.0800000000017</v>
      </c>
      <c r="AC46" s="2">
        <f>VLOOKUP(A46,[1]Sheet1!$A$3:$AD$575,29,)</f>
        <v>0</v>
      </c>
      <c r="AD46" s="10">
        <f>VLOOKUP(A46,[1]Sheet1!$A$3:$AD$575,30,0)</f>
        <v>0</v>
      </c>
      <c r="AE46" s="2">
        <f>VLOOKUP(A46,[1]Sheet1!$A$3:$AD$575,28,0)</f>
        <v>1675.0800000000017</v>
      </c>
      <c r="AF46" s="2">
        <f t="shared" si="1"/>
        <v>0</v>
      </c>
      <c r="AH46" s="2">
        <f t="shared" si="3"/>
        <v>34760</v>
      </c>
      <c r="AK46" s="2"/>
      <c r="AL46" s="2">
        <v>81674.53</v>
      </c>
      <c r="AM46" s="1" t="s">
        <v>223</v>
      </c>
      <c r="AN46" s="2">
        <v>46914.53</v>
      </c>
      <c r="AO46" s="1" t="s">
        <v>224</v>
      </c>
      <c r="AQ46" s="2"/>
    </row>
    <row r="47" spans="1:43" x14ac:dyDescent="0.25">
      <c r="A47" s="1">
        <v>23258</v>
      </c>
      <c r="B47" s="1" t="s">
        <v>55</v>
      </c>
      <c r="C47" s="1" t="s">
        <v>26</v>
      </c>
      <c r="D47" s="1" t="s">
        <v>117</v>
      </c>
      <c r="E47" s="1" t="s">
        <v>28</v>
      </c>
      <c r="F47" s="1" t="s">
        <v>28</v>
      </c>
      <c r="G47" s="1" t="s">
        <v>28</v>
      </c>
      <c r="H47" s="1" t="s">
        <v>39</v>
      </c>
      <c r="I47" s="1" t="s">
        <v>30</v>
      </c>
      <c r="J47" s="1" t="s">
        <v>97</v>
      </c>
      <c r="K47" s="12">
        <v>37022.82</v>
      </c>
      <c r="L47" s="2">
        <v>1432.82</v>
      </c>
      <c r="M47" s="2">
        <v>35590</v>
      </c>
      <c r="N47" s="2">
        <v>5338.5</v>
      </c>
      <c r="O47" s="2">
        <v>35590</v>
      </c>
      <c r="P47" s="1">
        <v>0</v>
      </c>
      <c r="Q47" s="1" t="s">
        <v>68</v>
      </c>
      <c r="R47" s="1">
        <v>100</v>
      </c>
      <c r="S47" s="1">
        <v>30700</v>
      </c>
      <c r="T47" s="1" t="s">
        <v>59</v>
      </c>
      <c r="U47" s="1" t="s">
        <v>69</v>
      </c>
      <c r="V47" s="1">
        <v>0</v>
      </c>
      <c r="W47" s="1" t="s">
        <v>28</v>
      </c>
      <c r="X47" s="1" t="s">
        <v>28</v>
      </c>
      <c r="Y47" s="2">
        <v>43100</v>
      </c>
      <c r="AA47" s="2">
        <f t="shared" si="9"/>
        <v>35590</v>
      </c>
      <c r="AB47" s="9">
        <f t="shared" si="0"/>
        <v>1432.8199999999997</v>
      </c>
      <c r="AC47" s="2">
        <f>VLOOKUP(A47,[1]Sheet1!$A$3:$AD$575,29,)</f>
        <v>0</v>
      </c>
      <c r="AD47" s="10">
        <f>VLOOKUP(A47,[1]Sheet1!$A$3:$AD$575,30,0)</f>
        <v>0</v>
      </c>
      <c r="AE47" s="2">
        <f>VLOOKUP(A47,[1]Sheet1!$A$3:$AD$575,28,0)</f>
        <v>1432.8199999999997</v>
      </c>
      <c r="AF47" s="2">
        <f t="shared" si="1"/>
        <v>0</v>
      </c>
      <c r="AH47" s="2">
        <f t="shared" si="3"/>
        <v>35590</v>
      </c>
      <c r="AK47" s="2"/>
      <c r="AL47" s="2">
        <v>82774.53</v>
      </c>
      <c r="AM47" s="1" t="s">
        <v>223</v>
      </c>
      <c r="AN47" s="2">
        <v>47184.53</v>
      </c>
      <c r="AO47" s="1" t="s">
        <v>224</v>
      </c>
      <c r="AQ47" s="2"/>
    </row>
    <row r="48" spans="1:43" x14ac:dyDescent="0.25">
      <c r="A48" s="1">
        <v>23259</v>
      </c>
      <c r="B48" s="1" t="s">
        <v>55</v>
      </c>
      <c r="C48" s="1" t="s">
        <v>26</v>
      </c>
      <c r="D48" s="1" t="s">
        <v>118</v>
      </c>
      <c r="E48" s="1" t="s">
        <v>28</v>
      </c>
      <c r="F48" s="1" t="s">
        <v>28</v>
      </c>
      <c r="G48" s="1" t="s">
        <v>28</v>
      </c>
      <c r="H48" s="1" t="s">
        <v>39</v>
      </c>
      <c r="I48" s="1" t="s">
        <v>30</v>
      </c>
      <c r="J48" s="1" t="s">
        <v>97</v>
      </c>
      <c r="K48" s="12">
        <v>70475.38</v>
      </c>
      <c r="L48" s="2">
        <v>11195.38</v>
      </c>
      <c r="M48" s="2">
        <v>59280</v>
      </c>
      <c r="N48" s="2">
        <v>8892</v>
      </c>
      <c r="O48" s="2">
        <v>59280</v>
      </c>
      <c r="P48" s="1">
        <v>0</v>
      </c>
      <c r="Q48" s="1" t="s">
        <v>68</v>
      </c>
      <c r="R48" s="1">
        <v>100</v>
      </c>
      <c r="S48" s="1">
        <v>51200</v>
      </c>
      <c r="T48" s="1" t="s">
        <v>59</v>
      </c>
      <c r="U48" s="1" t="s">
        <v>69</v>
      </c>
      <c r="V48" s="1">
        <v>0</v>
      </c>
      <c r="W48" s="1" t="s">
        <v>28</v>
      </c>
      <c r="X48" s="1" t="s">
        <v>28</v>
      </c>
      <c r="Y48" s="2">
        <v>71800</v>
      </c>
      <c r="AA48" s="2">
        <f t="shared" si="9"/>
        <v>59280</v>
      </c>
      <c r="AB48" s="9">
        <f t="shared" si="0"/>
        <v>11195.380000000005</v>
      </c>
      <c r="AC48" s="2">
        <f>VLOOKUP(A48,[1]Sheet1!$A$3:$AD$575,29,)</f>
        <v>0</v>
      </c>
      <c r="AD48" s="10">
        <f>VLOOKUP(A48,[1]Sheet1!$A$3:$AD$575,30,0)</f>
        <v>0</v>
      </c>
      <c r="AE48" s="2">
        <f>VLOOKUP(A48,[1]Sheet1!$A$3:$AD$575,28,0)</f>
        <v>11195.380000000005</v>
      </c>
      <c r="AF48" s="2">
        <f t="shared" si="1"/>
        <v>0</v>
      </c>
      <c r="AH48" s="2">
        <f t="shared" si="3"/>
        <v>59280</v>
      </c>
      <c r="AK48" s="2"/>
      <c r="AL48" s="2">
        <v>154374.53</v>
      </c>
      <c r="AM48" s="1" t="s">
        <v>223</v>
      </c>
      <c r="AN48" s="2">
        <v>95094.53</v>
      </c>
      <c r="AO48" s="1" t="s">
        <v>224</v>
      </c>
      <c r="AQ48" s="2"/>
    </row>
    <row r="49" spans="1:43" x14ac:dyDescent="0.25">
      <c r="A49" s="1">
        <v>23260</v>
      </c>
      <c r="B49" s="1" t="s">
        <v>55</v>
      </c>
      <c r="C49" s="1" t="s">
        <v>26</v>
      </c>
      <c r="D49" s="1" t="s">
        <v>119</v>
      </c>
      <c r="E49" s="1" t="s">
        <v>28</v>
      </c>
      <c r="F49" s="1" t="s">
        <v>28</v>
      </c>
      <c r="G49" s="1" t="s">
        <v>28</v>
      </c>
      <c r="H49" s="1" t="s">
        <v>39</v>
      </c>
      <c r="I49" s="1" t="s">
        <v>30</v>
      </c>
      <c r="J49" s="1" t="s">
        <v>97</v>
      </c>
      <c r="K49" s="12">
        <v>77264.63</v>
      </c>
      <c r="L49" s="2">
        <v>10804.63</v>
      </c>
      <c r="M49" s="2">
        <v>66460</v>
      </c>
      <c r="N49" s="2">
        <v>9969</v>
      </c>
      <c r="O49" s="2">
        <v>66460</v>
      </c>
      <c r="P49" s="1">
        <v>0</v>
      </c>
      <c r="Q49" s="1" t="s">
        <v>68</v>
      </c>
      <c r="R49" s="1">
        <v>100</v>
      </c>
      <c r="S49" s="1">
        <v>57400</v>
      </c>
      <c r="T49" s="1" t="s">
        <v>59</v>
      </c>
      <c r="U49" s="1" t="s">
        <v>69</v>
      </c>
      <c r="V49" s="1">
        <v>0</v>
      </c>
      <c r="W49" s="1" t="s">
        <v>28</v>
      </c>
      <c r="X49" s="1" t="s">
        <v>28</v>
      </c>
      <c r="Y49" s="2">
        <v>80500</v>
      </c>
      <c r="AA49" s="2">
        <f t="shared" si="9"/>
        <v>66460</v>
      </c>
      <c r="AB49" s="9">
        <f t="shared" si="0"/>
        <v>10804.630000000005</v>
      </c>
      <c r="AC49" s="2">
        <f>VLOOKUP(A49,[1]Sheet1!$A$3:$AD$575,29,)</f>
        <v>0</v>
      </c>
      <c r="AD49" s="10">
        <f>VLOOKUP(A49,[1]Sheet1!$A$3:$AD$575,30,0)</f>
        <v>0</v>
      </c>
      <c r="AE49" s="2">
        <f>VLOOKUP(A49,[1]Sheet1!$A$3:$AD$575,28,0)</f>
        <v>10804.630000000005</v>
      </c>
      <c r="AF49" s="2">
        <f t="shared" si="1"/>
        <v>0</v>
      </c>
      <c r="AH49" s="2">
        <f t="shared" si="3"/>
        <v>66460</v>
      </c>
      <c r="AK49" s="2"/>
      <c r="AL49" s="2">
        <v>135914.53</v>
      </c>
      <c r="AM49" s="1" t="s">
        <v>223</v>
      </c>
      <c r="AN49" s="2">
        <v>69454.53</v>
      </c>
      <c r="AO49" s="1" t="s">
        <v>224</v>
      </c>
      <c r="AQ49" s="2"/>
    </row>
    <row r="50" spans="1:43" x14ac:dyDescent="0.25">
      <c r="A50" s="1">
        <v>23261</v>
      </c>
      <c r="B50" s="1" t="s">
        <v>55</v>
      </c>
      <c r="C50" s="1" t="s">
        <v>26</v>
      </c>
      <c r="D50" s="1" t="s">
        <v>120</v>
      </c>
      <c r="E50" s="1" t="s">
        <v>28</v>
      </c>
      <c r="F50" s="1" t="s">
        <v>28</v>
      </c>
      <c r="G50" s="1" t="s">
        <v>28</v>
      </c>
      <c r="H50" s="1" t="s">
        <v>39</v>
      </c>
      <c r="I50" s="1" t="s">
        <v>30</v>
      </c>
      <c r="J50" s="1" t="s">
        <v>97</v>
      </c>
      <c r="K50" s="12">
        <v>56881.14</v>
      </c>
      <c r="L50" s="2">
        <v>7011.14</v>
      </c>
      <c r="M50" s="2">
        <v>49870</v>
      </c>
      <c r="N50" s="2">
        <v>7480.5</v>
      </c>
      <c r="O50" s="2">
        <v>49870</v>
      </c>
      <c r="P50" s="1">
        <v>0</v>
      </c>
      <c r="Q50" s="1" t="s">
        <v>68</v>
      </c>
      <c r="R50" s="1">
        <v>100</v>
      </c>
      <c r="S50" s="1">
        <v>43100</v>
      </c>
      <c r="T50" s="1" t="s">
        <v>59</v>
      </c>
      <c r="U50" s="1" t="s">
        <v>69</v>
      </c>
      <c r="V50" s="1">
        <v>0</v>
      </c>
      <c r="W50" s="1" t="s">
        <v>28</v>
      </c>
      <c r="X50" s="1" t="s">
        <v>28</v>
      </c>
      <c r="Y50" s="2">
        <v>60400</v>
      </c>
      <c r="AA50" s="2">
        <f t="shared" si="9"/>
        <v>49870</v>
      </c>
      <c r="AB50" s="9">
        <f t="shared" si="0"/>
        <v>7011.1399999999994</v>
      </c>
      <c r="AC50" s="2">
        <f>VLOOKUP(A50,[1]Sheet1!$A$3:$AD$575,29,)</f>
        <v>0</v>
      </c>
      <c r="AD50" s="10">
        <f>VLOOKUP(A50,[1]Sheet1!$A$3:$AD$575,30,0)</f>
        <v>0</v>
      </c>
      <c r="AE50" s="2">
        <f>VLOOKUP(A50,[1]Sheet1!$A$3:$AD$575,28,0)</f>
        <v>7011.1399999999994</v>
      </c>
      <c r="AF50" s="2">
        <f t="shared" si="1"/>
        <v>0</v>
      </c>
      <c r="AH50" s="2">
        <f t="shared" si="3"/>
        <v>49870</v>
      </c>
      <c r="AK50" s="2"/>
      <c r="AL50" s="2">
        <v>129074.53</v>
      </c>
      <c r="AM50" s="1" t="s">
        <v>223</v>
      </c>
      <c r="AN50" s="2">
        <v>79204.53</v>
      </c>
      <c r="AO50" s="1" t="s">
        <v>224</v>
      </c>
      <c r="AQ50" s="2"/>
    </row>
    <row r="51" spans="1:43" x14ac:dyDescent="0.25">
      <c r="A51" s="1">
        <v>23262</v>
      </c>
      <c r="B51" s="1" t="s">
        <v>55</v>
      </c>
      <c r="C51" s="1" t="s">
        <v>26</v>
      </c>
      <c r="D51" s="1" t="s">
        <v>121</v>
      </c>
      <c r="E51" s="1" t="s">
        <v>28</v>
      </c>
      <c r="F51" s="1" t="s">
        <v>28</v>
      </c>
      <c r="G51" s="1" t="s">
        <v>28</v>
      </c>
      <c r="H51" s="1" t="s">
        <v>39</v>
      </c>
      <c r="I51" s="1" t="s">
        <v>30</v>
      </c>
      <c r="J51" s="1" t="s">
        <v>97</v>
      </c>
      <c r="K51" s="12">
        <v>75678.67</v>
      </c>
      <c r="L51" s="2">
        <v>11858.67</v>
      </c>
      <c r="M51" s="2">
        <v>63820</v>
      </c>
      <c r="N51" s="2">
        <v>9573</v>
      </c>
      <c r="O51" s="2">
        <v>63820</v>
      </c>
      <c r="P51" s="1">
        <v>0</v>
      </c>
      <c r="Q51" s="1" t="s">
        <v>68</v>
      </c>
      <c r="R51" s="1">
        <v>100</v>
      </c>
      <c r="S51" s="1">
        <v>55100</v>
      </c>
      <c r="T51" s="1" t="s">
        <v>59</v>
      </c>
      <c r="U51" s="1" t="s">
        <v>69</v>
      </c>
      <c r="V51" s="1">
        <v>0</v>
      </c>
      <c r="W51" s="1" t="s">
        <v>28</v>
      </c>
      <c r="X51" s="1" t="s">
        <v>28</v>
      </c>
      <c r="Y51" s="2">
        <v>77300</v>
      </c>
      <c r="AA51" s="2">
        <f t="shared" si="9"/>
        <v>63820</v>
      </c>
      <c r="AB51" s="9">
        <f t="shared" si="0"/>
        <v>11858.669999999998</v>
      </c>
      <c r="AC51" s="2">
        <f>VLOOKUP(A51,[1]Sheet1!$A$3:$AD$575,29,)</f>
        <v>0</v>
      </c>
      <c r="AD51" s="10">
        <f>VLOOKUP(A51,[1]Sheet1!$A$3:$AD$575,30,0)</f>
        <v>0</v>
      </c>
      <c r="AE51" s="2">
        <f>VLOOKUP(A51,[1]Sheet1!$A$3:$AD$575,28,0)</f>
        <v>11858.669999999998</v>
      </c>
      <c r="AF51" s="2">
        <f t="shared" si="1"/>
        <v>0</v>
      </c>
      <c r="AH51" s="2">
        <f t="shared" si="3"/>
        <v>63820</v>
      </c>
      <c r="AK51" s="2"/>
      <c r="AL51" s="2">
        <v>164174.53</v>
      </c>
      <c r="AM51" s="1" t="s">
        <v>223</v>
      </c>
      <c r="AN51" s="2">
        <v>100354.53</v>
      </c>
      <c r="AO51" s="1" t="s">
        <v>224</v>
      </c>
      <c r="AQ51" s="2"/>
    </row>
    <row r="52" spans="1:43" x14ac:dyDescent="0.25">
      <c r="A52" s="1">
        <v>23263</v>
      </c>
      <c r="B52" s="1" t="s">
        <v>55</v>
      </c>
      <c r="C52" s="1" t="s">
        <v>26</v>
      </c>
      <c r="D52" s="1" t="s">
        <v>122</v>
      </c>
      <c r="E52" s="1" t="s">
        <v>28</v>
      </c>
      <c r="F52" s="1" t="s">
        <v>28</v>
      </c>
      <c r="G52" s="1" t="s">
        <v>28</v>
      </c>
      <c r="H52" s="1" t="s">
        <v>39</v>
      </c>
      <c r="I52" s="1" t="s">
        <v>30</v>
      </c>
      <c r="J52" s="1" t="s">
        <v>97</v>
      </c>
      <c r="K52" s="12">
        <v>75677.36</v>
      </c>
      <c r="L52" s="2">
        <v>11857.36</v>
      </c>
      <c r="M52" s="2">
        <v>63820</v>
      </c>
      <c r="N52" s="2">
        <v>9573</v>
      </c>
      <c r="O52" s="2">
        <v>63820</v>
      </c>
      <c r="P52" s="1">
        <v>0</v>
      </c>
      <c r="Q52" s="1" t="s">
        <v>68</v>
      </c>
      <c r="R52" s="1">
        <v>100</v>
      </c>
      <c r="S52" s="1">
        <v>55100</v>
      </c>
      <c r="T52" s="1" t="s">
        <v>59</v>
      </c>
      <c r="U52" s="1" t="s">
        <v>69</v>
      </c>
      <c r="V52" s="1">
        <v>0</v>
      </c>
      <c r="W52" s="1" t="s">
        <v>28</v>
      </c>
      <c r="X52" s="1" t="s">
        <v>28</v>
      </c>
      <c r="Y52" s="2">
        <v>77300</v>
      </c>
      <c r="AA52" s="2">
        <f t="shared" si="9"/>
        <v>63820</v>
      </c>
      <c r="AB52" s="9">
        <f t="shared" si="0"/>
        <v>11857.36</v>
      </c>
      <c r="AC52" s="2">
        <f>VLOOKUP(A52,[1]Sheet1!$A$3:$AD$575,29,)</f>
        <v>0</v>
      </c>
      <c r="AD52" s="10">
        <f>VLOOKUP(A52,[1]Sheet1!$A$3:$AD$575,30,0)</f>
        <v>0</v>
      </c>
      <c r="AE52" s="2">
        <f>VLOOKUP(A52,[1]Sheet1!$A$3:$AD$575,28,0)</f>
        <v>11857.36</v>
      </c>
      <c r="AF52" s="2">
        <f t="shared" si="1"/>
        <v>0</v>
      </c>
      <c r="AH52" s="2">
        <f t="shared" si="3"/>
        <v>63820</v>
      </c>
      <c r="AK52" s="2"/>
      <c r="AL52" s="2">
        <v>164174.53</v>
      </c>
      <c r="AM52" s="1" t="s">
        <v>223</v>
      </c>
      <c r="AN52" s="2">
        <v>100354.53</v>
      </c>
      <c r="AO52" s="1" t="s">
        <v>224</v>
      </c>
      <c r="AQ52" s="2"/>
    </row>
    <row r="53" spans="1:43" x14ac:dyDescent="0.25">
      <c r="A53" s="1">
        <v>23264</v>
      </c>
      <c r="B53" s="1" t="s">
        <v>55</v>
      </c>
      <c r="C53" s="1" t="s">
        <v>26</v>
      </c>
      <c r="D53" s="1" t="s">
        <v>123</v>
      </c>
      <c r="E53" s="1" t="s">
        <v>28</v>
      </c>
      <c r="F53" s="1" t="s">
        <v>28</v>
      </c>
      <c r="G53" s="1" t="s">
        <v>28</v>
      </c>
      <c r="H53" s="1" t="s">
        <v>39</v>
      </c>
      <c r="I53" s="1" t="s">
        <v>30</v>
      </c>
      <c r="J53" s="1" t="s">
        <v>97</v>
      </c>
      <c r="K53" s="12">
        <v>70221.740000000005</v>
      </c>
      <c r="L53" s="2">
        <v>12831.74</v>
      </c>
      <c r="M53" s="2">
        <v>57390</v>
      </c>
      <c r="N53" s="2">
        <v>8608.5</v>
      </c>
      <c r="O53" s="2">
        <v>57390</v>
      </c>
      <c r="P53" s="1">
        <v>0</v>
      </c>
      <c r="Q53" s="1" t="s">
        <v>68</v>
      </c>
      <c r="R53" s="1">
        <v>100</v>
      </c>
      <c r="S53" s="1">
        <v>49500</v>
      </c>
      <c r="T53" s="1" t="s">
        <v>59</v>
      </c>
      <c r="U53" s="1" t="s">
        <v>69</v>
      </c>
      <c r="V53" s="1">
        <v>0</v>
      </c>
      <c r="W53" s="1" t="s">
        <v>28</v>
      </c>
      <c r="X53" s="1" t="s">
        <v>28</v>
      </c>
      <c r="Y53" s="2">
        <v>69500</v>
      </c>
      <c r="AA53" s="2">
        <f t="shared" si="9"/>
        <v>57390</v>
      </c>
      <c r="AB53" s="9">
        <f t="shared" si="0"/>
        <v>12831.740000000005</v>
      </c>
      <c r="AC53" s="2">
        <f>VLOOKUP(A53,[1]Sheet1!$A$3:$AD$575,29,)</f>
        <v>0</v>
      </c>
      <c r="AD53" s="10">
        <f>VLOOKUP(A53,[1]Sheet1!$A$3:$AD$575,30,0)</f>
        <v>0</v>
      </c>
      <c r="AE53" s="2">
        <f>VLOOKUP(A53,[1]Sheet1!$A$3:$AD$575,28,0)</f>
        <v>12831.740000000005</v>
      </c>
      <c r="AF53" s="2">
        <f t="shared" si="1"/>
        <v>0</v>
      </c>
      <c r="AH53" s="2">
        <f t="shared" si="3"/>
        <v>57390</v>
      </c>
      <c r="AK53" s="2"/>
      <c r="AL53" s="2">
        <v>154874.53</v>
      </c>
      <c r="AM53" s="1" t="s">
        <v>223</v>
      </c>
      <c r="AN53" s="2">
        <v>97484.53</v>
      </c>
      <c r="AO53" s="1" t="s">
        <v>224</v>
      </c>
      <c r="AQ53" s="2"/>
    </row>
    <row r="54" spans="1:43" x14ac:dyDescent="0.25">
      <c r="A54" s="1">
        <v>23265</v>
      </c>
      <c r="B54" s="1" t="s">
        <v>55</v>
      </c>
      <c r="C54" s="1" t="s">
        <v>26</v>
      </c>
      <c r="D54" s="1" t="s">
        <v>124</v>
      </c>
      <c r="E54" s="1" t="s">
        <v>28</v>
      </c>
      <c r="F54" s="1" t="s">
        <v>28</v>
      </c>
      <c r="G54" s="1" t="s">
        <v>28</v>
      </c>
      <c r="H54" s="1" t="s">
        <v>39</v>
      </c>
      <c r="I54" s="1" t="s">
        <v>30</v>
      </c>
      <c r="J54" s="1" t="s">
        <v>97</v>
      </c>
      <c r="K54" s="12">
        <v>42119.71</v>
      </c>
      <c r="L54" s="2">
        <v>2729.71</v>
      </c>
      <c r="M54" s="2">
        <v>39390</v>
      </c>
      <c r="N54" s="2">
        <v>5908.5</v>
      </c>
      <c r="O54" s="2">
        <v>39390</v>
      </c>
      <c r="P54" s="1">
        <v>0</v>
      </c>
      <c r="Q54" s="1" t="s">
        <v>68</v>
      </c>
      <c r="R54" s="1">
        <v>100</v>
      </c>
      <c r="S54" s="1">
        <v>34000</v>
      </c>
      <c r="T54" s="1" t="s">
        <v>59</v>
      </c>
      <c r="U54" s="1" t="s">
        <v>69</v>
      </c>
      <c r="V54" s="1">
        <v>0</v>
      </c>
      <c r="W54" s="1" t="s">
        <v>28</v>
      </c>
      <c r="X54" s="1" t="s">
        <v>28</v>
      </c>
      <c r="Y54" s="2">
        <v>47700</v>
      </c>
      <c r="AA54" s="2">
        <f t="shared" si="9"/>
        <v>39390</v>
      </c>
      <c r="AB54" s="9">
        <f t="shared" si="0"/>
        <v>2729.7099999999991</v>
      </c>
      <c r="AC54" s="2">
        <f>VLOOKUP(A54,[1]Sheet1!$A$3:$AD$575,29,)</f>
        <v>0</v>
      </c>
      <c r="AD54" s="10">
        <f>VLOOKUP(A54,[1]Sheet1!$A$3:$AD$575,30,0)</f>
        <v>0</v>
      </c>
      <c r="AE54" s="2">
        <f>VLOOKUP(A54,[1]Sheet1!$A$3:$AD$575,28,0)</f>
        <v>2729.7099999999991</v>
      </c>
      <c r="AF54" s="2">
        <f t="shared" si="1"/>
        <v>0</v>
      </c>
      <c r="AH54" s="2">
        <f t="shared" si="3"/>
        <v>39390</v>
      </c>
      <c r="AK54" s="2"/>
      <c r="AL54" s="2">
        <v>99374.53</v>
      </c>
      <c r="AM54" s="1" t="s">
        <v>223</v>
      </c>
      <c r="AN54" s="2">
        <v>59984.53</v>
      </c>
      <c r="AO54" s="1" t="s">
        <v>224</v>
      </c>
      <c r="AQ54" s="2"/>
    </row>
    <row r="55" spans="1:43" x14ac:dyDescent="0.25">
      <c r="A55" s="1">
        <v>23266</v>
      </c>
      <c r="B55" s="1" t="s">
        <v>55</v>
      </c>
      <c r="C55" s="1" t="s">
        <v>26</v>
      </c>
      <c r="D55" s="1" t="s">
        <v>125</v>
      </c>
      <c r="E55" s="1" t="s">
        <v>28</v>
      </c>
      <c r="F55" s="1" t="s">
        <v>28</v>
      </c>
      <c r="G55" s="1" t="s">
        <v>28</v>
      </c>
      <c r="H55" s="1" t="s">
        <v>39</v>
      </c>
      <c r="I55" s="1" t="s">
        <v>30</v>
      </c>
      <c r="J55" s="1" t="s">
        <v>97</v>
      </c>
      <c r="K55" s="12">
        <v>27062.89</v>
      </c>
      <c r="L55" s="2">
        <v>4272.8900000000003</v>
      </c>
      <c r="M55" s="2">
        <v>22790</v>
      </c>
      <c r="N55" s="2">
        <v>3418.5</v>
      </c>
      <c r="O55" s="2">
        <v>22790</v>
      </c>
      <c r="P55" s="1">
        <v>0</v>
      </c>
      <c r="Q55" s="1" t="s">
        <v>68</v>
      </c>
      <c r="R55" s="1">
        <v>100</v>
      </c>
      <c r="S55" s="1">
        <v>19700</v>
      </c>
      <c r="T55" s="1" t="s">
        <v>59</v>
      </c>
      <c r="U55" s="1" t="s">
        <v>69</v>
      </c>
      <c r="V55" s="1">
        <v>0</v>
      </c>
      <c r="W55" s="1" t="s">
        <v>28</v>
      </c>
      <c r="X55" s="1" t="s">
        <v>28</v>
      </c>
      <c r="Y55" s="2">
        <v>27600</v>
      </c>
      <c r="AA55" s="2">
        <f t="shared" si="9"/>
        <v>22790</v>
      </c>
      <c r="AB55" s="9">
        <f t="shared" si="0"/>
        <v>4272.8899999999994</v>
      </c>
      <c r="AC55" s="2">
        <f>VLOOKUP(A55,[1]Sheet1!$A$3:$AD$575,29,)</f>
        <v>0</v>
      </c>
      <c r="AD55" s="10">
        <f>VLOOKUP(A55,[1]Sheet1!$A$3:$AD$575,30,0)</f>
        <v>0</v>
      </c>
      <c r="AE55" s="2">
        <f>VLOOKUP(A55,[1]Sheet1!$A$3:$AD$575,28,0)</f>
        <v>4272.8899999999994</v>
      </c>
      <c r="AF55" s="2">
        <f t="shared" si="1"/>
        <v>0</v>
      </c>
      <c r="AH55" s="2">
        <f t="shared" si="3"/>
        <v>22790</v>
      </c>
      <c r="AK55" s="2"/>
      <c r="AL55" s="2">
        <v>76074.53</v>
      </c>
      <c r="AM55" s="1" t="s">
        <v>223</v>
      </c>
      <c r="AN55" s="2">
        <v>53284.53</v>
      </c>
      <c r="AO55" s="1" t="s">
        <v>224</v>
      </c>
      <c r="AQ55" s="2"/>
    </row>
    <row r="56" spans="1:43" x14ac:dyDescent="0.25">
      <c r="A56" s="1">
        <v>23267</v>
      </c>
      <c r="B56" s="1" t="s">
        <v>55</v>
      </c>
      <c r="C56" s="1" t="s">
        <v>26</v>
      </c>
      <c r="D56" s="1" t="s">
        <v>126</v>
      </c>
      <c r="E56" s="1" t="s">
        <v>28</v>
      </c>
      <c r="F56" s="1" t="s">
        <v>28</v>
      </c>
      <c r="G56" s="1" t="s">
        <v>28</v>
      </c>
      <c r="H56" s="1" t="s">
        <v>39</v>
      </c>
      <c r="I56" s="1" t="s">
        <v>30</v>
      </c>
      <c r="J56" s="1" t="s">
        <v>97</v>
      </c>
      <c r="K56" s="12">
        <v>42119.71</v>
      </c>
      <c r="L56" s="2">
        <v>2729.71</v>
      </c>
      <c r="M56" s="2">
        <v>39390</v>
      </c>
      <c r="N56" s="2">
        <v>5908.5</v>
      </c>
      <c r="O56" s="2">
        <v>39390</v>
      </c>
      <c r="P56" s="1">
        <v>0</v>
      </c>
      <c r="Q56" s="1" t="s">
        <v>68</v>
      </c>
      <c r="R56" s="1">
        <v>100</v>
      </c>
      <c r="S56" s="1">
        <v>34000</v>
      </c>
      <c r="T56" s="1" t="s">
        <v>59</v>
      </c>
      <c r="U56" s="1" t="s">
        <v>69</v>
      </c>
      <c r="V56" s="1">
        <v>0</v>
      </c>
      <c r="W56" s="1" t="s">
        <v>28</v>
      </c>
      <c r="X56" s="1" t="s">
        <v>28</v>
      </c>
      <c r="Y56" s="2">
        <v>47700</v>
      </c>
      <c r="AA56" s="2">
        <f t="shared" si="9"/>
        <v>39390</v>
      </c>
      <c r="AB56" s="9">
        <f t="shared" si="0"/>
        <v>2729.7099999999991</v>
      </c>
      <c r="AC56" s="2">
        <f>VLOOKUP(A56,[1]Sheet1!$A$3:$AD$575,29,)</f>
        <v>0</v>
      </c>
      <c r="AD56" s="10">
        <f>VLOOKUP(A56,[1]Sheet1!$A$3:$AD$575,30,0)</f>
        <v>0</v>
      </c>
      <c r="AE56" s="2">
        <f>VLOOKUP(A56,[1]Sheet1!$A$3:$AD$575,28,0)</f>
        <v>2729.7099999999991</v>
      </c>
      <c r="AF56" s="2">
        <f t="shared" si="1"/>
        <v>0</v>
      </c>
      <c r="AH56" s="2">
        <f t="shared" si="3"/>
        <v>39390</v>
      </c>
      <c r="AK56" s="2"/>
      <c r="AL56" s="2">
        <v>99374.53</v>
      </c>
      <c r="AM56" s="1" t="s">
        <v>223</v>
      </c>
      <c r="AN56" s="2">
        <v>59984.53</v>
      </c>
      <c r="AO56" s="1" t="s">
        <v>224</v>
      </c>
      <c r="AQ56" s="2"/>
    </row>
    <row r="57" spans="1:43" x14ac:dyDescent="0.25">
      <c r="A57" s="1">
        <v>23268</v>
      </c>
      <c r="B57" s="1" t="s">
        <v>55</v>
      </c>
      <c r="C57" s="1" t="s">
        <v>26</v>
      </c>
      <c r="D57" s="1" t="s">
        <v>127</v>
      </c>
      <c r="E57" s="1" t="s">
        <v>28</v>
      </c>
      <c r="F57" s="1" t="s">
        <v>28</v>
      </c>
      <c r="G57" s="1" t="s">
        <v>28</v>
      </c>
      <c r="H57" s="1" t="s">
        <v>39</v>
      </c>
      <c r="I57" s="1" t="s">
        <v>30</v>
      </c>
      <c r="J57" s="1" t="s">
        <v>97</v>
      </c>
      <c r="K57" s="12">
        <v>49808.11</v>
      </c>
      <c r="L57" s="2">
        <v>5798.11</v>
      </c>
      <c r="M57" s="2">
        <v>44010</v>
      </c>
      <c r="N57" s="2">
        <v>6601.5</v>
      </c>
      <c r="O57" s="2">
        <v>44010</v>
      </c>
      <c r="P57" s="1">
        <v>0</v>
      </c>
      <c r="Q57" s="1" t="s">
        <v>68</v>
      </c>
      <c r="R57" s="1">
        <v>100</v>
      </c>
      <c r="S57" s="1">
        <v>38000</v>
      </c>
      <c r="T57" s="1" t="s">
        <v>59</v>
      </c>
      <c r="U57" s="1" t="s">
        <v>69</v>
      </c>
      <c r="V57" s="1">
        <v>0</v>
      </c>
      <c r="W57" s="1" t="s">
        <v>28</v>
      </c>
      <c r="X57" s="1" t="s">
        <v>28</v>
      </c>
      <c r="Y57" s="2">
        <v>53300</v>
      </c>
      <c r="AA57" s="2">
        <f t="shared" si="9"/>
        <v>44010</v>
      </c>
      <c r="AB57" s="9">
        <f t="shared" si="0"/>
        <v>5798.1100000000006</v>
      </c>
      <c r="AC57" s="2">
        <f>VLOOKUP(A57,[1]Sheet1!$A$3:$AD$575,29,)</f>
        <v>0</v>
      </c>
      <c r="AD57" s="10">
        <f>VLOOKUP(A57,[1]Sheet1!$A$3:$AD$575,30,0)</f>
        <v>0</v>
      </c>
      <c r="AE57" s="2">
        <f>VLOOKUP(A57,[1]Sheet1!$A$3:$AD$575,28,0)</f>
        <v>5798.1100000000006</v>
      </c>
      <c r="AF57" s="2">
        <f t="shared" si="1"/>
        <v>0</v>
      </c>
      <c r="AH57" s="2">
        <f t="shared" si="3"/>
        <v>44010</v>
      </c>
      <c r="AK57" s="2"/>
      <c r="AL57" s="2">
        <v>110874.53</v>
      </c>
      <c r="AM57" s="1" t="s">
        <v>223</v>
      </c>
      <c r="AN57" s="2">
        <v>66864.53</v>
      </c>
      <c r="AO57" s="1" t="s">
        <v>224</v>
      </c>
      <c r="AQ57" s="2"/>
    </row>
    <row r="58" spans="1:43" x14ac:dyDescent="0.25">
      <c r="A58" s="1">
        <v>23269</v>
      </c>
      <c r="B58" s="1" t="s">
        <v>55</v>
      </c>
      <c r="C58" s="1" t="s">
        <v>26</v>
      </c>
      <c r="D58" s="1" t="s">
        <v>128</v>
      </c>
      <c r="E58" s="1" t="s">
        <v>28</v>
      </c>
      <c r="F58" s="1" t="s">
        <v>28</v>
      </c>
      <c r="G58" s="1" t="s">
        <v>28</v>
      </c>
      <c r="H58" s="1" t="s">
        <v>39</v>
      </c>
      <c r="I58" s="1" t="s">
        <v>30</v>
      </c>
      <c r="J58" s="1" t="s">
        <v>97</v>
      </c>
      <c r="K58" s="12">
        <v>53358.44</v>
      </c>
      <c r="L58" s="2">
        <v>5298.44</v>
      </c>
      <c r="M58" s="2">
        <v>48060</v>
      </c>
      <c r="N58" s="2">
        <v>7209</v>
      </c>
      <c r="O58" s="2">
        <v>48060</v>
      </c>
      <c r="P58" s="1">
        <v>0</v>
      </c>
      <c r="Q58" s="1" t="s">
        <v>68</v>
      </c>
      <c r="R58" s="1">
        <v>100</v>
      </c>
      <c r="S58" s="1">
        <v>41500</v>
      </c>
      <c r="T58" s="1" t="s">
        <v>59</v>
      </c>
      <c r="U58" s="1" t="s">
        <v>69</v>
      </c>
      <c r="V58" s="1">
        <v>0</v>
      </c>
      <c r="W58" s="1" t="s">
        <v>28</v>
      </c>
      <c r="X58" s="1" t="s">
        <v>28</v>
      </c>
      <c r="Y58" s="2">
        <v>58200</v>
      </c>
      <c r="AA58" s="2">
        <f t="shared" si="9"/>
        <v>48060</v>
      </c>
      <c r="AB58" s="9">
        <f t="shared" si="0"/>
        <v>5298.4400000000023</v>
      </c>
      <c r="AC58" s="2">
        <f>VLOOKUP(A58,[1]Sheet1!$A$3:$AD$575,29,)</f>
        <v>0</v>
      </c>
      <c r="AD58" s="10">
        <f>VLOOKUP(A58,[1]Sheet1!$A$3:$AD$575,30,0)</f>
        <v>0</v>
      </c>
      <c r="AE58" s="2">
        <f>VLOOKUP(A58,[1]Sheet1!$A$3:$AD$575,28,0)</f>
        <v>5298.4400000000023</v>
      </c>
      <c r="AF58" s="2">
        <f t="shared" si="1"/>
        <v>0</v>
      </c>
      <c r="AH58" s="2">
        <f t="shared" si="3"/>
        <v>48060</v>
      </c>
      <c r="AK58" s="2"/>
      <c r="AL58" s="2">
        <v>113874.53</v>
      </c>
      <c r="AM58" s="1" t="s">
        <v>223</v>
      </c>
      <c r="AN58" s="2">
        <v>65814.53</v>
      </c>
      <c r="AO58" s="1" t="s">
        <v>224</v>
      </c>
      <c r="AQ58" s="2"/>
    </row>
    <row r="59" spans="1:43" x14ac:dyDescent="0.25">
      <c r="A59" s="1">
        <v>23270</v>
      </c>
      <c r="B59" s="1" t="s">
        <v>55</v>
      </c>
      <c r="C59" s="1" t="s">
        <v>26</v>
      </c>
      <c r="D59" s="1" t="s">
        <v>129</v>
      </c>
      <c r="E59" s="1" t="s">
        <v>28</v>
      </c>
      <c r="F59" s="1" t="s">
        <v>28</v>
      </c>
      <c r="G59" s="1" t="s">
        <v>28</v>
      </c>
      <c r="H59" s="1" t="s">
        <v>39</v>
      </c>
      <c r="I59" s="1" t="s">
        <v>30</v>
      </c>
      <c r="J59" s="1" t="s">
        <v>97</v>
      </c>
      <c r="K59" s="12">
        <v>54966.91</v>
      </c>
      <c r="L59" s="2">
        <v>6906.91</v>
      </c>
      <c r="M59" s="2">
        <v>48060</v>
      </c>
      <c r="N59" s="2">
        <v>7209</v>
      </c>
      <c r="O59" s="2">
        <v>48060</v>
      </c>
      <c r="P59" s="1">
        <v>0</v>
      </c>
      <c r="Q59" s="1" t="s">
        <v>68</v>
      </c>
      <c r="R59" s="1">
        <v>100</v>
      </c>
      <c r="S59" s="1">
        <v>41500</v>
      </c>
      <c r="T59" s="1" t="s">
        <v>59</v>
      </c>
      <c r="U59" s="1" t="s">
        <v>69</v>
      </c>
      <c r="V59" s="1">
        <v>0</v>
      </c>
      <c r="W59" s="1" t="s">
        <v>28</v>
      </c>
      <c r="X59" s="1" t="s">
        <v>28</v>
      </c>
      <c r="Y59" s="2">
        <v>58200</v>
      </c>
      <c r="AA59" s="2">
        <f t="shared" si="9"/>
        <v>48060</v>
      </c>
      <c r="AB59" s="9">
        <f t="shared" si="0"/>
        <v>6906.9100000000035</v>
      </c>
      <c r="AC59" s="2">
        <f>VLOOKUP(A59,[1]Sheet1!$A$3:$AD$575,29,)</f>
        <v>0</v>
      </c>
      <c r="AD59" s="10">
        <f>VLOOKUP(A59,[1]Sheet1!$A$3:$AD$575,30,0)</f>
        <v>0</v>
      </c>
      <c r="AE59" s="2">
        <f>VLOOKUP(A59,[1]Sheet1!$A$3:$AD$575,28,0)</f>
        <v>6906.9100000000035</v>
      </c>
      <c r="AF59" s="2">
        <f t="shared" si="1"/>
        <v>0</v>
      </c>
      <c r="AH59" s="2">
        <f t="shared" si="3"/>
        <v>48060</v>
      </c>
      <c r="AK59" s="2"/>
      <c r="AL59" s="2">
        <v>113874.53</v>
      </c>
      <c r="AM59" s="1" t="s">
        <v>223</v>
      </c>
      <c r="AN59" s="2">
        <v>65814.53</v>
      </c>
      <c r="AO59" s="1" t="s">
        <v>224</v>
      </c>
      <c r="AQ59" s="2"/>
    </row>
    <row r="60" spans="1:43" x14ac:dyDescent="0.25">
      <c r="A60" s="1">
        <v>23271</v>
      </c>
      <c r="B60" s="1" t="s">
        <v>55</v>
      </c>
      <c r="C60" s="1" t="s">
        <v>26</v>
      </c>
      <c r="D60" s="1" t="s">
        <v>130</v>
      </c>
      <c r="E60" s="1" t="s">
        <v>28</v>
      </c>
      <c r="F60" s="1" t="s">
        <v>28</v>
      </c>
      <c r="G60" s="1" t="s">
        <v>28</v>
      </c>
      <c r="H60" s="1" t="s">
        <v>39</v>
      </c>
      <c r="I60" s="1" t="s">
        <v>30</v>
      </c>
      <c r="J60" s="1" t="s">
        <v>97</v>
      </c>
      <c r="K60" s="12">
        <v>71475.289999999994</v>
      </c>
      <c r="L60" s="2">
        <v>9475.2900000000009</v>
      </c>
      <c r="M60" s="2">
        <v>62000</v>
      </c>
      <c r="N60" s="2">
        <v>9300</v>
      </c>
      <c r="O60" s="2">
        <v>62000</v>
      </c>
      <c r="P60" s="1">
        <v>0</v>
      </c>
      <c r="Q60" s="1" t="s">
        <v>68</v>
      </c>
      <c r="R60" s="1">
        <v>100</v>
      </c>
      <c r="S60" s="1">
        <v>53500</v>
      </c>
      <c r="T60" s="1" t="s">
        <v>59</v>
      </c>
      <c r="U60" s="1" t="s">
        <v>69</v>
      </c>
      <c r="V60" s="1">
        <v>0</v>
      </c>
      <c r="W60" s="1" t="s">
        <v>28</v>
      </c>
      <c r="X60" s="1" t="s">
        <v>28</v>
      </c>
      <c r="Y60" s="2">
        <v>75100</v>
      </c>
      <c r="AA60" s="2">
        <f t="shared" si="9"/>
        <v>62000</v>
      </c>
      <c r="AB60" s="9">
        <f t="shared" si="0"/>
        <v>9475.2899999999936</v>
      </c>
      <c r="AC60" s="2">
        <f>VLOOKUP(A60,[1]Sheet1!$A$3:$AD$575,29,)</f>
        <v>0</v>
      </c>
      <c r="AD60" s="10">
        <f>VLOOKUP(A60,[1]Sheet1!$A$3:$AD$575,30,0)</f>
        <v>0</v>
      </c>
      <c r="AE60" s="2">
        <f>VLOOKUP(A60,[1]Sheet1!$A$3:$AD$575,28,0)</f>
        <v>9475.2899999999936</v>
      </c>
      <c r="AF60" s="2">
        <f t="shared" si="1"/>
        <v>0</v>
      </c>
      <c r="AH60" s="2">
        <f t="shared" si="3"/>
        <v>62000</v>
      </c>
      <c r="AK60" s="2"/>
      <c r="AL60" s="2">
        <v>156774.53</v>
      </c>
      <c r="AM60" s="1" t="s">
        <v>223</v>
      </c>
      <c r="AN60" s="2">
        <v>94774.53</v>
      </c>
      <c r="AO60" s="1" t="s">
        <v>224</v>
      </c>
      <c r="AQ60" s="2"/>
    </row>
    <row r="61" spans="1:43" x14ac:dyDescent="0.25">
      <c r="A61" s="1">
        <v>23272</v>
      </c>
      <c r="B61" s="1" t="s">
        <v>55</v>
      </c>
      <c r="C61" s="1" t="s">
        <v>26</v>
      </c>
      <c r="D61" s="1" t="s">
        <v>131</v>
      </c>
      <c r="E61" s="1" t="s">
        <v>28</v>
      </c>
      <c r="F61" s="1" t="s">
        <v>28</v>
      </c>
      <c r="G61" s="1" t="s">
        <v>28</v>
      </c>
      <c r="H61" s="1" t="s">
        <v>39</v>
      </c>
      <c r="I61" s="1" t="s">
        <v>30</v>
      </c>
      <c r="J61" s="1" t="s">
        <v>97</v>
      </c>
      <c r="K61" s="12">
        <v>73489.429999999993</v>
      </c>
      <c r="L61" s="2">
        <v>9169.43</v>
      </c>
      <c r="M61" s="2">
        <v>64320</v>
      </c>
      <c r="N61" s="2">
        <v>9648</v>
      </c>
      <c r="O61" s="2">
        <v>64320</v>
      </c>
      <c r="P61" s="1">
        <v>0</v>
      </c>
      <c r="Q61" s="1" t="s">
        <v>68</v>
      </c>
      <c r="R61" s="1">
        <v>100</v>
      </c>
      <c r="S61" s="1">
        <v>55500</v>
      </c>
      <c r="T61" s="1" t="s">
        <v>59</v>
      </c>
      <c r="U61" s="1" t="s">
        <v>69</v>
      </c>
      <c r="V61" s="1">
        <v>0</v>
      </c>
      <c r="W61" s="1" t="s">
        <v>28</v>
      </c>
      <c r="X61" s="1" t="s">
        <v>28</v>
      </c>
      <c r="Y61" s="2">
        <v>77900</v>
      </c>
      <c r="AA61" s="2">
        <f t="shared" si="9"/>
        <v>64320</v>
      </c>
      <c r="AB61" s="9">
        <f t="shared" si="0"/>
        <v>9169.429999999993</v>
      </c>
      <c r="AC61" s="2">
        <f>VLOOKUP(A61,[1]Sheet1!$A$3:$AD$575,29,)</f>
        <v>0</v>
      </c>
      <c r="AD61" s="10">
        <f>VLOOKUP(A61,[1]Sheet1!$A$3:$AD$575,30,0)</f>
        <v>0</v>
      </c>
      <c r="AE61" s="2">
        <f>VLOOKUP(A61,[1]Sheet1!$A$3:$AD$575,28,0)</f>
        <v>9169.429999999993</v>
      </c>
      <c r="AF61" s="2">
        <f t="shared" si="1"/>
        <v>0</v>
      </c>
      <c r="AH61" s="2">
        <f t="shared" si="3"/>
        <v>64320</v>
      </c>
      <c r="AK61" s="2"/>
      <c r="AL61" s="2">
        <v>162774.53</v>
      </c>
      <c r="AM61" s="1" t="s">
        <v>223</v>
      </c>
      <c r="AN61" s="2">
        <v>98454.53</v>
      </c>
      <c r="AO61" s="1" t="s">
        <v>224</v>
      </c>
      <c r="AQ61" s="2"/>
    </row>
    <row r="62" spans="1:43" x14ac:dyDescent="0.25">
      <c r="A62" s="1">
        <v>23273</v>
      </c>
      <c r="B62" s="1" t="s">
        <v>55</v>
      </c>
      <c r="C62" s="1" t="s">
        <v>26</v>
      </c>
      <c r="D62" s="1" t="s">
        <v>132</v>
      </c>
      <c r="E62" s="1" t="s">
        <v>28</v>
      </c>
      <c r="F62" s="1" t="s">
        <v>28</v>
      </c>
      <c r="G62" s="1" t="s">
        <v>28</v>
      </c>
      <c r="H62" s="1" t="s">
        <v>39</v>
      </c>
      <c r="I62" s="1" t="s">
        <v>30</v>
      </c>
      <c r="J62" s="1" t="s">
        <v>97</v>
      </c>
      <c r="K62" s="12">
        <v>70454.27</v>
      </c>
      <c r="L62" s="2">
        <v>11334.27</v>
      </c>
      <c r="M62" s="2">
        <v>59120</v>
      </c>
      <c r="N62" s="2">
        <v>8868</v>
      </c>
      <c r="O62" s="2">
        <v>59120</v>
      </c>
      <c r="P62" s="1">
        <v>0</v>
      </c>
      <c r="Q62" s="1" t="s">
        <v>68</v>
      </c>
      <c r="R62" s="1">
        <v>100</v>
      </c>
      <c r="S62" s="1">
        <v>51000</v>
      </c>
      <c r="T62" s="1" t="s">
        <v>59</v>
      </c>
      <c r="U62" s="1" t="s">
        <v>69</v>
      </c>
      <c r="V62" s="1">
        <v>0</v>
      </c>
      <c r="W62" s="1" t="s">
        <v>28</v>
      </c>
      <c r="X62" s="1" t="s">
        <v>28</v>
      </c>
      <c r="Y62" s="2">
        <v>71600</v>
      </c>
      <c r="AA62" s="2">
        <f t="shared" si="9"/>
        <v>59120</v>
      </c>
      <c r="AB62" s="9">
        <f t="shared" si="0"/>
        <v>11334.270000000004</v>
      </c>
      <c r="AC62" s="2">
        <f>VLOOKUP(A62,[1]Sheet1!$A$3:$AD$575,29,)</f>
        <v>0</v>
      </c>
      <c r="AD62" s="10">
        <f>VLOOKUP(A62,[1]Sheet1!$A$3:$AD$575,30,0)</f>
        <v>0</v>
      </c>
      <c r="AE62" s="2">
        <f>VLOOKUP(A62,[1]Sheet1!$A$3:$AD$575,28,0)</f>
        <v>11334.270000000004</v>
      </c>
      <c r="AF62" s="2">
        <f t="shared" si="1"/>
        <v>0</v>
      </c>
      <c r="AH62" s="2">
        <f t="shared" si="3"/>
        <v>59120</v>
      </c>
      <c r="AK62" s="2"/>
      <c r="AL62" s="2">
        <v>154074.53</v>
      </c>
      <c r="AM62" s="1" t="s">
        <v>223</v>
      </c>
      <c r="AN62" s="2">
        <v>94954.53</v>
      </c>
      <c r="AO62" s="1" t="s">
        <v>224</v>
      </c>
      <c r="AQ62" s="2"/>
    </row>
    <row r="63" spans="1:43" x14ac:dyDescent="0.25">
      <c r="A63" s="1">
        <v>23274</v>
      </c>
      <c r="B63" s="1" t="s">
        <v>55</v>
      </c>
      <c r="C63" s="1" t="s">
        <v>26</v>
      </c>
      <c r="D63" s="1" t="s">
        <v>133</v>
      </c>
      <c r="E63" s="1" t="s">
        <v>28</v>
      </c>
      <c r="F63" s="1" t="s">
        <v>28</v>
      </c>
      <c r="G63" s="1" t="s">
        <v>28</v>
      </c>
      <c r="H63" s="1" t="s">
        <v>39</v>
      </c>
      <c r="I63" s="1" t="s">
        <v>30</v>
      </c>
      <c r="J63" s="1" t="s">
        <v>97</v>
      </c>
      <c r="K63" s="12">
        <v>40038.370000000003</v>
      </c>
      <c r="L63" s="2">
        <v>2308.37</v>
      </c>
      <c r="M63" s="2">
        <v>37730</v>
      </c>
      <c r="N63" s="2">
        <v>5659.5</v>
      </c>
      <c r="O63" s="2">
        <v>37730</v>
      </c>
      <c r="P63" s="1">
        <v>0</v>
      </c>
      <c r="Q63" s="1" t="s">
        <v>68</v>
      </c>
      <c r="R63" s="1">
        <v>100</v>
      </c>
      <c r="S63" s="1">
        <v>32600</v>
      </c>
      <c r="T63" s="1" t="s">
        <v>59</v>
      </c>
      <c r="U63" s="1" t="s">
        <v>69</v>
      </c>
      <c r="V63" s="1">
        <v>0</v>
      </c>
      <c r="W63" s="1" t="s">
        <v>28</v>
      </c>
      <c r="X63" s="1" t="s">
        <v>28</v>
      </c>
      <c r="Y63" s="2">
        <v>45700</v>
      </c>
      <c r="AA63" s="2">
        <f t="shared" si="9"/>
        <v>37730</v>
      </c>
      <c r="AB63" s="9">
        <f t="shared" si="0"/>
        <v>2308.3700000000026</v>
      </c>
      <c r="AC63" s="2">
        <f>VLOOKUP(A63,[1]Sheet1!$A$3:$AD$575,29,)</f>
        <v>0</v>
      </c>
      <c r="AD63" s="10">
        <f>VLOOKUP(A63,[1]Sheet1!$A$3:$AD$575,30,0)</f>
        <v>0</v>
      </c>
      <c r="AE63" s="2">
        <f>VLOOKUP(A63,[1]Sheet1!$A$3:$AD$575,28,0)</f>
        <v>2308.3700000000026</v>
      </c>
      <c r="AF63" s="2">
        <f t="shared" si="1"/>
        <v>0</v>
      </c>
      <c r="AH63" s="2">
        <f t="shared" si="3"/>
        <v>37730</v>
      </c>
      <c r="AK63" s="2"/>
      <c r="AL63" s="2">
        <v>93174.53</v>
      </c>
      <c r="AM63" s="1" t="s">
        <v>223</v>
      </c>
      <c r="AN63" s="2">
        <v>55444.53</v>
      </c>
      <c r="AO63" s="1" t="s">
        <v>224</v>
      </c>
      <c r="AQ63" s="2"/>
    </row>
    <row r="64" spans="1:43" x14ac:dyDescent="0.25">
      <c r="A64" s="1">
        <v>23275</v>
      </c>
      <c r="B64" s="1" t="s">
        <v>55</v>
      </c>
      <c r="C64" s="1" t="s">
        <v>26</v>
      </c>
      <c r="D64" s="1" t="s">
        <v>134</v>
      </c>
      <c r="E64" s="1" t="s">
        <v>28</v>
      </c>
      <c r="F64" s="1" t="s">
        <v>28</v>
      </c>
      <c r="G64" s="1" t="s">
        <v>28</v>
      </c>
      <c r="H64" s="1" t="s">
        <v>39</v>
      </c>
      <c r="I64" s="1" t="s">
        <v>30</v>
      </c>
      <c r="J64" s="1" t="s">
        <v>97</v>
      </c>
      <c r="K64" s="12">
        <v>49112.160000000003</v>
      </c>
      <c r="L64" s="2">
        <v>5262.16</v>
      </c>
      <c r="M64" s="2">
        <v>43850</v>
      </c>
      <c r="N64" s="2">
        <v>6577.5</v>
      </c>
      <c r="O64" s="2">
        <v>43850</v>
      </c>
      <c r="P64" s="1">
        <v>0</v>
      </c>
      <c r="Q64" s="1" t="s">
        <v>68</v>
      </c>
      <c r="R64" s="1">
        <v>100</v>
      </c>
      <c r="S64" s="1">
        <v>37800</v>
      </c>
      <c r="T64" s="1" t="s">
        <v>59</v>
      </c>
      <c r="U64" s="1" t="s">
        <v>69</v>
      </c>
      <c r="V64" s="1">
        <v>0</v>
      </c>
      <c r="W64" s="1" t="s">
        <v>28</v>
      </c>
      <c r="X64" s="1" t="s">
        <v>28</v>
      </c>
      <c r="Y64" s="2">
        <v>53100</v>
      </c>
      <c r="AA64" s="2">
        <f t="shared" si="9"/>
        <v>43850</v>
      </c>
      <c r="AB64" s="9">
        <f t="shared" si="0"/>
        <v>5262.1600000000035</v>
      </c>
      <c r="AC64" s="2">
        <f>VLOOKUP(A64,[1]Sheet1!$A$3:$AD$575,29,)</f>
        <v>0</v>
      </c>
      <c r="AD64" s="10">
        <f>VLOOKUP(A64,[1]Sheet1!$A$3:$AD$575,30,0)</f>
        <v>0</v>
      </c>
      <c r="AE64" s="2">
        <f>VLOOKUP(A64,[1]Sheet1!$A$3:$AD$575,28,0)</f>
        <v>5262.1600000000035</v>
      </c>
      <c r="AF64" s="2">
        <f t="shared" si="1"/>
        <v>0</v>
      </c>
      <c r="AH64" s="2">
        <f t="shared" si="3"/>
        <v>43850</v>
      </c>
      <c r="AK64" s="2"/>
      <c r="AL64" s="2">
        <v>106974.53</v>
      </c>
      <c r="AM64" s="1" t="s">
        <v>223</v>
      </c>
      <c r="AN64" s="2">
        <v>63124.53</v>
      </c>
      <c r="AO64" s="1" t="s">
        <v>224</v>
      </c>
      <c r="AQ64" s="2"/>
    </row>
    <row r="65" spans="1:43" x14ac:dyDescent="0.25">
      <c r="A65" s="1">
        <v>23276</v>
      </c>
      <c r="B65" s="1" t="s">
        <v>55</v>
      </c>
      <c r="C65" s="1" t="s">
        <v>26</v>
      </c>
      <c r="D65" s="1" t="s">
        <v>135</v>
      </c>
      <c r="E65" s="1" t="s">
        <v>28</v>
      </c>
      <c r="F65" s="1" t="s">
        <v>28</v>
      </c>
      <c r="G65" s="1" t="s">
        <v>28</v>
      </c>
      <c r="H65" s="1" t="s">
        <v>39</v>
      </c>
      <c r="I65" s="1" t="s">
        <v>30</v>
      </c>
      <c r="J65" s="1" t="s">
        <v>97</v>
      </c>
      <c r="K65" s="12">
        <v>70624.479999999996</v>
      </c>
      <c r="L65" s="2">
        <v>11834.48</v>
      </c>
      <c r="M65" s="2">
        <v>58790</v>
      </c>
      <c r="N65" s="2">
        <v>8818.5</v>
      </c>
      <c r="O65" s="2">
        <v>58790</v>
      </c>
      <c r="P65" s="1">
        <v>0</v>
      </c>
      <c r="Q65" s="1" t="s">
        <v>68</v>
      </c>
      <c r="R65" s="1">
        <v>100</v>
      </c>
      <c r="S65" s="1">
        <v>50800</v>
      </c>
      <c r="T65" s="1" t="s">
        <v>59</v>
      </c>
      <c r="U65" s="1" t="s">
        <v>69</v>
      </c>
      <c r="V65" s="1">
        <v>0</v>
      </c>
      <c r="W65" s="1" t="s">
        <v>28</v>
      </c>
      <c r="X65" s="1" t="s">
        <v>28</v>
      </c>
      <c r="Y65" s="2">
        <v>71200</v>
      </c>
      <c r="AA65" s="2">
        <f t="shared" si="9"/>
        <v>58790</v>
      </c>
      <c r="AB65" s="9">
        <f t="shared" si="0"/>
        <v>11834.479999999996</v>
      </c>
      <c r="AC65" s="2">
        <f>VLOOKUP(A65,[1]Sheet1!$A$3:$AD$575,29,)</f>
        <v>0</v>
      </c>
      <c r="AD65" s="10">
        <f>VLOOKUP(A65,[1]Sheet1!$A$3:$AD$575,30,0)</f>
        <v>0</v>
      </c>
      <c r="AE65" s="2">
        <f>VLOOKUP(A65,[1]Sheet1!$A$3:$AD$575,28,0)</f>
        <v>11834.479999999996</v>
      </c>
      <c r="AF65" s="2">
        <f t="shared" si="1"/>
        <v>0</v>
      </c>
      <c r="AH65" s="2">
        <f t="shared" si="3"/>
        <v>58790</v>
      </c>
      <c r="AK65" s="2"/>
      <c r="AL65" s="2">
        <v>157974.53</v>
      </c>
      <c r="AM65" s="1" t="s">
        <v>223</v>
      </c>
      <c r="AN65" s="2">
        <v>99184.53</v>
      </c>
      <c r="AO65" s="1" t="s">
        <v>224</v>
      </c>
      <c r="AQ65" s="2"/>
    </row>
    <row r="66" spans="1:43" x14ac:dyDescent="0.25">
      <c r="A66" s="1">
        <v>23277</v>
      </c>
      <c r="B66" s="1" t="s">
        <v>55</v>
      </c>
      <c r="C66" s="1" t="s">
        <v>26</v>
      </c>
      <c r="D66" s="1" t="s">
        <v>136</v>
      </c>
      <c r="E66" s="1" t="s">
        <v>28</v>
      </c>
      <c r="F66" s="1" t="s">
        <v>28</v>
      </c>
      <c r="G66" s="1" t="s">
        <v>28</v>
      </c>
      <c r="H66" s="1" t="s">
        <v>39</v>
      </c>
      <c r="I66" s="1" t="s">
        <v>30</v>
      </c>
      <c r="J66" s="1" t="s">
        <v>97</v>
      </c>
      <c r="K66" s="12">
        <v>70538.720000000001</v>
      </c>
      <c r="L66" s="2">
        <v>11498.72</v>
      </c>
      <c r="M66" s="2">
        <v>59040</v>
      </c>
      <c r="N66" s="2">
        <v>8856</v>
      </c>
      <c r="O66" s="2">
        <v>59040</v>
      </c>
      <c r="P66" s="1">
        <v>0</v>
      </c>
      <c r="Q66" s="1" t="s">
        <v>68</v>
      </c>
      <c r="R66" s="1">
        <v>100</v>
      </c>
      <c r="S66" s="1">
        <v>51000</v>
      </c>
      <c r="T66" s="1" t="s">
        <v>59</v>
      </c>
      <c r="U66" s="1" t="s">
        <v>69</v>
      </c>
      <c r="V66" s="1">
        <v>0</v>
      </c>
      <c r="W66" s="1" t="s">
        <v>28</v>
      </c>
      <c r="X66" s="1" t="s">
        <v>28</v>
      </c>
      <c r="Y66" s="2">
        <v>71500</v>
      </c>
      <c r="AA66" s="2">
        <f t="shared" si="9"/>
        <v>59040</v>
      </c>
      <c r="AB66" s="9">
        <f t="shared" ref="AB66:AB106" si="10">IF((K66-AA66)&gt;0,K66-AA66,0)+AD66+AC66</f>
        <v>11498.720000000001</v>
      </c>
      <c r="AC66" s="2">
        <f>VLOOKUP(A66,[1]Sheet1!$A$3:$AD$575,29,)</f>
        <v>0</v>
      </c>
      <c r="AD66" s="10">
        <f>VLOOKUP(A66,[1]Sheet1!$A$3:$AD$575,30,0)</f>
        <v>0</v>
      </c>
      <c r="AE66" s="2">
        <f>VLOOKUP(A66,[1]Sheet1!$A$3:$AD$575,28,0)</f>
        <v>11498.720000000001</v>
      </c>
      <c r="AF66" s="2">
        <f t="shared" ref="AF66:AF106" si="11">+AB66-AE66</f>
        <v>0</v>
      </c>
      <c r="AH66" s="2">
        <f t="shared" si="3"/>
        <v>59040</v>
      </c>
      <c r="AK66" s="2"/>
      <c r="AL66" s="2">
        <v>155874.53</v>
      </c>
      <c r="AM66" s="1" t="s">
        <v>223</v>
      </c>
      <c r="AN66" s="2">
        <v>96834.53</v>
      </c>
      <c r="AO66" s="1" t="s">
        <v>224</v>
      </c>
      <c r="AQ66" s="2"/>
    </row>
    <row r="67" spans="1:43" x14ac:dyDescent="0.25">
      <c r="A67" s="1">
        <v>23278</v>
      </c>
      <c r="B67" s="1" t="s">
        <v>55</v>
      </c>
      <c r="C67" s="1" t="s">
        <v>26</v>
      </c>
      <c r="D67" s="1" t="s">
        <v>137</v>
      </c>
      <c r="E67" s="1" t="s">
        <v>28</v>
      </c>
      <c r="F67" s="1" t="s">
        <v>28</v>
      </c>
      <c r="G67" s="1" t="s">
        <v>28</v>
      </c>
      <c r="H67" s="1" t="s">
        <v>39</v>
      </c>
      <c r="I67" s="1" t="s">
        <v>30</v>
      </c>
      <c r="J67" s="1" t="s">
        <v>97</v>
      </c>
      <c r="K67" s="12">
        <v>84231.52</v>
      </c>
      <c r="L67" s="2">
        <v>1831.52</v>
      </c>
      <c r="M67" s="2">
        <v>82400</v>
      </c>
      <c r="N67" s="2">
        <v>12360</v>
      </c>
      <c r="O67" s="2">
        <v>82400</v>
      </c>
      <c r="P67" s="1">
        <v>0</v>
      </c>
      <c r="Q67" s="1" t="s">
        <v>68</v>
      </c>
      <c r="R67" s="1">
        <v>100</v>
      </c>
      <c r="S67" s="1">
        <v>71100</v>
      </c>
      <c r="T67" s="1" t="s">
        <v>59</v>
      </c>
      <c r="U67" s="1" t="s">
        <v>69</v>
      </c>
      <c r="V67" s="1">
        <v>0</v>
      </c>
      <c r="W67" s="1" t="s">
        <v>28</v>
      </c>
      <c r="X67" s="1" t="s">
        <v>28</v>
      </c>
      <c r="Y67" s="2">
        <v>99800</v>
      </c>
      <c r="AA67" s="2">
        <f t="shared" si="9"/>
        <v>82400</v>
      </c>
      <c r="AB67" s="9">
        <f t="shared" si="10"/>
        <v>1831.5200000000041</v>
      </c>
      <c r="AC67" s="2">
        <f>VLOOKUP(A67,[1]Sheet1!$A$3:$AD$575,29,)</f>
        <v>0</v>
      </c>
      <c r="AD67" s="10">
        <f>VLOOKUP(A67,[1]Sheet1!$A$3:$AD$575,30,0)</f>
        <v>0</v>
      </c>
      <c r="AE67" s="2">
        <f>VLOOKUP(A67,[1]Sheet1!$A$3:$AD$575,28,0)</f>
        <v>1831.5200000000041</v>
      </c>
      <c r="AF67" s="2">
        <f t="shared" si="11"/>
        <v>0</v>
      </c>
      <c r="AH67" s="2">
        <f t="shared" ref="AH67:AH106" si="12">+K67-AB67</f>
        <v>82400</v>
      </c>
      <c r="AK67" s="2"/>
      <c r="AL67" s="2">
        <v>171820.53</v>
      </c>
      <c r="AM67" s="1" t="s">
        <v>223</v>
      </c>
      <c r="AN67" s="2">
        <v>89420.53</v>
      </c>
      <c r="AO67" s="1" t="s">
        <v>224</v>
      </c>
      <c r="AQ67" s="2"/>
    </row>
    <row r="68" spans="1:43" x14ac:dyDescent="0.25">
      <c r="A68" s="1">
        <v>23279</v>
      </c>
      <c r="B68" s="1" t="s">
        <v>55</v>
      </c>
      <c r="C68" s="1" t="s">
        <v>26</v>
      </c>
      <c r="D68" s="1" t="s">
        <v>138</v>
      </c>
      <c r="E68" s="1" t="s">
        <v>28</v>
      </c>
      <c r="F68" s="1" t="s">
        <v>28</v>
      </c>
      <c r="G68" s="1" t="s">
        <v>28</v>
      </c>
      <c r="H68" s="1" t="s">
        <v>39</v>
      </c>
      <c r="I68" s="1" t="s">
        <v>30</v>
      </c>
      <c r="J68" s="1" t="s">
        <v>97</v>
      </c>
      <c r="K68" s="12">
        <v>57657.01</v>
      </c>
      <c r="L68" s="2">
        <v>6877.01</v>
      </c>
      <c r="M68" s="2">
        <v>50780</v>
      </c>
      <c r="N68" s="2">
        <v>7617</v>
      </c>
      <c r="O68" s="2">
        <v>50780</v>
      </c>
      <c r="P68" s="1">
        <v>0</v>
      </c>
      <c r="Q68" s="1" t="s">
        <v>68</v>
      </c>
      <c r="R68" s="1">
        <v>100</v>
      </c>
      <c r="S68" s="1">
        <v>43800</v>
      </c>
      <c r="T68" s="1" t="s">
        <v>59</v>
      </c>
      <c r="U68" s="1" t="s">
        <v>69</v>
      </c>
      <c r="V68" s="1">
        <v>0</v>
      </c>
      <c r="W68" s="1" t="s">
        <v>28</v>
      </c>
      <c r="X68" s="1" t="s">
        <v>28</v>
      </c>
      <c r="Y68" s="2">
        <v>61500</v>
      </c>
      <c r="AA68" s="2">
        <f t="shared" si="9"/>
        <v>50780</v>
      </c>
      <c r="AB68" s="9">
        <f t="shared" si="10"/>
        <v>6877.010000000002</v>
      </c>
      <c r="AC68" s="2">
        <f>VLOOKUP(A68,[1]Sheet1!$A$3:$AD$575,29,)</f>
        <v>0</v>
      </c>
      <c r="AD68" s="10">
        <f>VLOOKUP(A68,[1]Sheet1!$A$3:$AD$575,30,0)</f>
        <v>0</v>
      </c>
      <c r="AE68" s="2">
        <f>VLOOKUP(A68,[1]Sheet1!$A$3:$AD$575,28,0)</f>
        <v>6877.010000000002</v>
      </c>
      <c r="AF68" s="2">
        <f t="shared" si="11"/>
        <v>0</v>
      </c>
      <c r="AH68" s="2">
        <f t="shared" si="12"/>
        <v>50780</v>
      </c>
      <c r="AK68" s="2"/>
      <c r="AL68" s="2">
        <v>129674.53</v>
      </c>
      <c r="AM68" s="1" t="s">
        <v>223</v>
      </c>
      <c r="AN68" s="2">
        <v>78894.53</v>
      </c>
      <c r="AO68" s="1" t="s">
        <v>224</v>
      </c>
      <c r="AQ68" s="2"/>
    </row>
    <row r="69" spans="1:43" x14ac:dyDescent="0.25">
      <c r="A69" s="1">
        <v>23280</v>
      </c>
      <c r="B69" s="1" t="s">
        <v>55</v>
      </c>
      <c r="C69" s="1" t="s">
        <v>26</v>
      </c>
      <c r="D69" s="1" t="s">
        <v>139</v>
      </c>
      <c r="E69" s="1" t="s">
        <v>28</v>
      </c>
      <c r="F69" s="1" t="s">
        <v>28</v>
      </c>
      <c r="G69" s="1" t="s">
        <v>28</v>
      </c>
      <c r="H69" s="1" t="s">
        <v>39</v>
      </c>
      <c r="I69" s="1" t="s">
        <v>30</v>
      </c>
      <c r="J69" s="1" t="s">
        <v>97</v>
      </c>
      <c r="K69" s="12">
        <v>56931.66</v>
      </c>
      <c r="L69" s="2">
        <v>6731.66</v>
      </c>
      <c r="M69" s="2">
        <v>50200</v>
      </c>
      <c r="N69" s="2">
        <v>7530</v>
      </c>
      <c r="O69" s="2">
        <v>50200</v>
      </c>
      <c r="P69" s="1">
        <v>0</v>
      </c>
      <c r="Q69" s="1" t="s">
        <v>68</v>
      </c>
      <c r="R69" s="1">
        <v>100</v>
      </c>
      <c r="S69" s="1">
        <v>43300</v>
      </c>
      <c r="T69" s="1" t="s">
        <v>59</v>
      </c>
      <c r="U69" s="1" t="s">
        <v>69</v>
      </c>
      <c r="V69" s="1">
        <v>0</v>
      </c>
      <c r="W69" s="1" t="s">
        <v>28</v>
      </c>
      <c r="X69" s="1" t="s">
        <v>28</v>
      </c>
      <c r="Y69" s="2">
        <v>60800</v>
      </c>
      <c r="AA69" s="2">
        <f t="shared" si="9"/>
        <v>50200</v>
      </c>
      <c r="AB69" s="9">
        <f t="shared" si="10"/>
        <v>6731.6600000000035</v>
      </c>
      <c r="AC69" s="2">
        <f>VLOOKUP(A69,[1]Sheet1!$A$3:$AD$575,29,)</f>
        <v>0</v>
      </c>
      <c r="AD69" s="10">
        <f>VLOOKUP(A69,[1]Sheet1!$A$3:$AD$575,30,0)</f>
        <v>0</v>
      </c>
      <c r="AE69" s="2">
        <f>VLOOKUP(A69,[1]Sheet1!$A$3:$AD$575,28,0)</f>
        <v>6731.6600000000035</v>
      </c>
      <c r="AF69" s="2">
        <f t="shared" si="11"/>
        <v>0</v>
      </c>
      <c r="AH69" s="2">
        <f t="shared" si="12"/>
        <v>50200</v>
      </c>
      <c r="AK69" s="2"/>
      <c r="AL69" s="2">
        <v>127674.53</v>
      </c>
      <c r="AM69" s="1" t="s">
        <v>223</v>
      </c>
      <c r="AN69" s="2">
        <v>77474.53</v>
      </c>
      <c r="AO69" s="1" t="s">
        <v>224</v>
      </c>
      <c r="AQ69" s="2"/>
    </row>
    <row r="70" spans="1:43" x14ac:dyDescent="0.25">
      <c r="A70" s="1">
        <v>23281</v>
      </c>
      <c r="B70" s="1" t="s">
        <v>55</v>
      </c>
      <c r="C70" s="1" t="s">
        <v>26</v>
      </c>
      <c r="D70" s="1" t="s">
        <v>140</v>
      </c>
      <c r="E70" s="1" t="s">
        <v>28</v>
      </c>
      <c r="F70" s="1" t="s">
        <v>28</v>
      </c>
      <c r="G70" s="1" t="s">
        <v>28</v>
      </c>
      <c r="H70" s="1" t="s">
        <v>39</v>
      </c>
      <c r="I70" s="1" t="s">
        <v>30</v>
      </c>
      <c r="J70" s="1" t="s">
        <v>97</v>
      </c>
      <c r="K70" s="12">
        <v>62883.3</v>
      </c>
      <c r="L70" s="2">
        <v>8063.3</v>
      </c>
      <c r="M70" s="2">
        <v>54820</v>
      </c>
      <c r="N70" s="2">
        <v>8223</v>
      </c>
      <c r="O70" s="2">
        <v>54820</v>
      </c>
      <c r="P70" s="1">
        <v>0</v>
      </c>
      <c r="Q70" s="1" t="s">
        <v>68</v>
      </c>
      <c r="R70" s="1">
        <v>100</v>
      </c>
      <c r="S70" s="1">
        <v>47300</v>
      </c>
      <c r="T70" s="1" t="s">
        <v>59</v>
      </c>
      <c r="U70" s="1" t="s">
        <v>69</v>
      </c>
      <c r="V70" s="1">
        <v>0</v>
      </c>
      <c r="W70" s="1" t="s">
        <v>28</v>
      </c>
      <c r="X70" s="1" t="s">
        <v>28</v>
      </c>
      <c r="Y70" s="2">
        <v>66400</v>
      </c>
      <c r="AA70" s="2">
        <f t="shared" si="9"/>
        <v>54820</v>
      </c>
      <c r="AB70" s="9">
        <f t="shared" si="10"/>
        <v>8063.3000000000029</v>
      </c>
      <c r="AC70" s="2">
        <f>VLOOKUP(A70,[1]Sheet1!$A$3:$AD$575,29,)</f>
        <v>0</v>
      </c>
      <c r="AD70" s="10">
        <f>VLOOKUP(A70,[1]Sheet1!$A$3:$AD$575,30,0)</f>
        <v>0</v>
      </c>
      <c r="AE70" s="2">
        <f>VLOOKUP(A70,[1]Sheet1!$A$3:$AD$575,28,0)</f>
        <v>8063.3000000000029</v>
      </c>
      <c r="AF70" s="2">
        <f t="shared" si="11"/>
        <v>0</v>
      </c>
      <c r="AH70" s="2">
        <f t="shared" si="12"/>
        <v>54820</v>
      </c>
      <c r="AK70" s="2"/>
      <c r="AL70" s="2">
        <v>144674.53</v>
      </c>
      <c r="AM70" s="1" t="s">
        <v>223</v>
      </c>
      <c r="AN70" s="2">
        <v>89854.53</v>
      </c>
      <c r="AO70" s="1" t="s">
        <v>224</v>
      </c>
      <c r="AQ70" s="2"/>
    </row>
    <row r="71" spans="1:43" x14ac:dyDescent="0.25">
      <c r="A71" s="1">
        <v>23282</v>
      </c>
      <c r="B71" s="1" t="s">
        <v>55</v>
      </c>
      <c r="C71" s="1" t="s">
        <v>26</v>
      </c>
      <c r="D71" s="1" t="s">
        <v>141</v>
      </c>
      <c r="E71" s="1" t="s">
        <v>28</v>
      </c>
      <c r="F71" s="1" t="s">
        <v>28</v>
      </c>
      <c r="G71" s="1" t="s">
        <v>28</v>
      </c>
      <c r="H71" s="1" t="s">
        <v>39</v>
      </c>
      <c r="I71" s="1" t="s">
        <v>30</v>
      </c>
      <c r="J71" s="1" t="s">
        <v>97</v>
      </c>
      <c r="K71" s="12">
        <v>80234.649999999994</v>
      </c>
      <c r="L71" s="2">
        <v>11624.65</v>
      </c>
      <c r="M71" s="2">
        <v>68610</v>
      </c>
      <c r="N71" s="2">
        <v>10291.5</v>
      </c>
      <c r="O71" s="2">
        <v>68610</v>
      </c>
      <c r="P71" s="1">
        <v>0</v>
      </c>
      <c r="Q71" s="1" t="s">
        <v>68</v>
      </c>
      <c r="R71" s="1">
        <v>100</v>
      </c>
      <c r="S71" s="1">
        <v>59200</v>
      </c>
      <c r="T71" s="1" t="s">
        <v>59</v>
      </c>
      <c r="U71" s="1" t="s">
        <v>69</v>
      </c>
      <c r="V71" s="1">
        <v>0</v>
      </c>
      <c r="W71" s="1" t="s">
        <v>28</v>
      </c>
      <c r="X71" s="1" t="s">
        <v>28</v>
      </c>
      <c r="Y71" s="2">
        <v>83100</v>
      </c>
      <c r="AA71" s="2">
        <f t="shared" si="9"/>
        <v>68610</v>
      </c>
      <c r="AB71" s="9">
        <f t="shared" si="10"/>
        <v>11624.649999999994</v>
      </c>
      <c r="AC71" s="2">
        <f>VLOOKUP(A71,[1]Sheet1!$A$3:$AD$575,29,)</f>
        <v>0</v>
      </c>
      <c r="AD71" s="10">
        <f>VLOOKUP(A71,[1]Sheet1!$A$3:$AD$575,30,0)</f>
        <v>0</v>
      </c>
      <c r="AE71" s="2">
        <f>VLOOKUP(A71,[1]Sheet1!$A$3:$AD$575,28,0)</f>
        <v>11624.649999999994</v>
      </c>
      <c r="AF71" s="2">
        <f t="shared" si="11"/>
        <v>0</v>
      </c>
      <c r="AH71" s="2">
        <f t="shared" si="12"/>
        <v>68610</v>
      </c>
      <c r="AK71" s="2"/>
      <c r="AL71" s="2">
        <v>143514.53</v>
      </c>
      <c r="AM71" s="1" t="s">
        <v>223</v>
      </c>
      <c r="AN71" s="2">
        <v>74904.53</v>
      </c>
      <c r="AO71" s="1" t="s">
        <v>224</v>
      </c>
      <c r="AQ71" s="2"/>
    </row>
    <row r="72" spans="1:43" x14ac:dyDescent="0.25">
      <c r="A72" s="1">
        <v>23283</v>
      </c>
      <c r="B72" s="1" t="s">
        <v>55</v>
      </c>
      <c r="C72" s="1" t="s">
        <v>26</v>
      </c>
      <c r="D72" s="1" t="s">
        <v>142</v>
      </c>
      <c r="E72" s="1" t="s">
        <v>28</v>
      </c>
      <c r="F72" s="1" t="s">
        <v>28</v>
      </c>
      <c r="G72" s="1" t="s">
        <v>28</v>
      </c>
      <c r="H72" s="1" t="s">
        <v>39</v>
      </c>
      <c r="I72" s="1" t="s">
        <v>30</v>
      </c>
      <c r="J72" s="1" t="s">
        <v>97</v>
      </c>
      <c r="K72" s="12">
        <v>88309.09</v>
      </c>
      <c r="L72" s="2">
        <v>1939.09</v>
      </c>
      <c r="M72" s="2">
        <v>86370</v>
      </c>
      <c r="N72" s="2">
        <v>12955.5</v>
      </c>
      <c r="O72" s="2">
        <v>86370</v>
      </c>
      <c r="P72" s="1">
        <v>0</v>
      </c>
      <c r="Q72" s="1" t="s">
        <v>68</v>
      </c>
      <c r="R72" s="1">
        <v>100</v>
      </c>
      <c r="S72" s="1">
        <v>74600</v>
      </c>
      <c r="T72" s="1" t="s">
        <v>59</v>
      </c>
      <c r="U72" s="1" t="s">
        <v>69</v>
      </c>
      <c r="V72" s="1">
        <v>0</v>
      </c>
      <c r="W72" s="1" t="s">
        <v>28</v>
      </c>
      <c r="X72" s="1" t="s">
        <v>28</v>
      </c>
      <c r="Y72" s="2">
        <v>104600</v>
      </c>
      <c r="AA72" s="2">
        <f t="shared" si="9"/>
        <v>86370</v>
      </c>
      <c r="AB72" s="9">
        <f t="shared" si="10"/>
        <v>1939.0899999999965</v>
      </c>
      <c r="AC72" s="2">
        <f>VLOOKUP(A72,[1]Sheet1!$A$3:$AD$575,29,)</f>
        <v>0</v>
      </c>
      <c r="AD72" s="10">
        <f>VLOOKUP(A72,[1]Sheet1!$A$3:$AD$575,30,0)</f>
        <v>0</v>
      </c>
      <c r="AE72" s="2">
        <f>VLOOKUP(A72,[1]Sheet1!$A$3:$AD$575,28,0)</f>
        <v>1939.0899999999965</v>
      </c>
      <c r="AF72" s="2">
        <f t="shared" si="11"/>
        <v>0</v>
      </c>
      <c r="AH72" s="2">
        <f t="shared" si="12"/>
        <v>86370</v>
      </c>
      <c r="AK72" s="2"/>
      <c r="AL72" s="2">
        <v>179736.53</v>
      </c>
      <c r="AM72" s="1" t="s">
        <v>223</v>
      </c>
      <c r="AN72" s="2">
        <v>93366.53</v>
      </c>
      <c r="AO72" s="1" t="s">
        <v>224</v>
      </c>
      <c r="AQ72" s="2"/>
    </row>
    <row r="73" spans="1:43" x14ac:dyDescent="0.25">
      <c r="A73" s="1">
        <v>23284</v>
      </c>
      <c r="B73" s="1" t="s">
        <v>55</v>
      </c>
      <c r="C73" s="1" t="s">
        <v>26</v>
      </c>
      <c r="D73" s="1" t="s">
        <v>143</v>
      </c>
      <c r="E73" s="1" t="s">
        <v>28</v>
      </c>
      <c r="F73" s="1" t="s">
        <v>28</v>
      </c>
      <c r="G73" s="1" t="s">
        <v>28</v>
      </c>
      <c r="H73" s="1" t="s">
        <v>39</v>
      </c>
      <c r="I73" s="1" t="s">
        <v>30</v>
      </c>
      <c r="J73" s="1" t="s">
        <v>97</v>
      </c>
      <c r="K73" s="12">
        <v>73214.490000000005</v>
      </c>
      <c r="L73" s="2">
        <v>11944.49</v>
      </c>
      <c r="M73" s="2">
        <v>61270</v>
      </c>
      <c r="N73" s="2">
        <v>9190.5</v>
      </c>
      <c r="O73" s="2">
        <v>61270</v>
      </c>
      <c r="P73" s="1">
        <v>0</v>
      </c>
      <c r="Q73" s="1" t="s">
        <v>68</v>
      </c>
      <c r="R73" s="1">
        <v>100</v>
      </c>
      <c r="S73" s="1">
        <v>52900</v>
      </c>
      <c r="T73" s="1" t="s">
        <v>59</v>
      </c>
      <c r="U73" s="1" t="s">
        <v>69</v>
      </c>
      <c r="V73" s="1">
        <v>0</v>
      </c>
      <c r="W73" s="1" t="s">
        <v>28</v>
      </c>
      <c r="X73" s="1" t="s">
        <v>28</v>
      </c>
      <c r="Y73" s="2">
        <v>74200</v>
      </c>
      <c r="AA73" s="2">
        <f t="shared" si="9"/>
        <v>61270</v>
      </c>
      <c r="AB73" s="9">
        <f t="shared" si="10"/>
        <v>11944.490000000005</v>
      </c>
      <c r="AC73" s="2">
        <f>VLOOKUP(A73,[1]Sheet1!$A$3:$AD$575,29,)</f>
        <v>0</v>
      </c>
      <c r="AD73" s="10">
        <f>VLOOKUP(A73,[1]Sheet1!$A$3:$AD$575,30,0)</f>
        <v>0</v>
      </c>
      <c r="AE73" s="2">
        <f>VLOOKUP(A73,[1]Sheet1!$A$3:$AD$575,28,0)</f>
        <v>11944.490000000005</v>
      </c>
      <c r="AF73" s="2">
        <f t="shared" si="11"/>
        <v>0</v>
      </c>
      <c r="AH73" s="2">
        <f t="shared" si="12"/>
        <v>61270</v>
      </c>
      <c r="AK73" s="2"/>
      <c r="AL73" s="2">
        <v>158774.53</v>
      </c>
      <c r="AM73" s="1" t="s">
        <v>223</v>
      </c>
      <c r="AN73" s="2">
        <v>97504.53</v>
      </c>
      <c r="AO73" s="1" t="s">
        <v>224</v>
      </c>
      <c r="AQ73" s="2"/>
    </row>
    <row r="74" spans="1:43" x14ac:dyDescent="0.25">
      <c r="A74" s="1">
        <v>23285</v>
      </c>
      <c r="B74" s="1" t="s">
        <v>55</v>
      </c>
      <c r="C74" s="1" t="s">
        <v>26</v>
      </c>
      <c r="D74" s="1" t="s">
        <v>144</v>
      </c>
      <c r="E74" s="1" t="s">
        <v>28</v>
      </c>
      <c r="F74" s="1" t="s">
        <v>28</v>
      </c>
      <c r="G74" s="1" t="s">
        <v>28</v>
      </c>
      <c r="H74" s="1" t="s">
        <v>39</v>
      </c>
      <c r="I74" s="1" t="s">
        <v>30</v>
      </c>
      <c r="J74" s="1" t="s">
        <v>97</v>
      </c>
      <c r="K74" s="12">
        <v>73826.55</v>
      </c>
      <c r="L74" s="2">
        <v>10576.55</v>
      </c>
      <c r="M74" s="2">
        <v>63250</v>
      </c>
      <c r="N74" s="2">
        <v>9487.5</v>
      </c>
      <c r="O74" s="2">
        <v>63250</v>
      </c>
      <c r="P74" s="1">
        <v>0</v>
      </c>
      <c r="Q74" s="1" t="s">
        <v>68</v>
      </c>
      <c r="R74" s="1">
        <v>100</v>
      </c>
      <c r="S74" s="1">
        <v>54600</v>
      </c>
      <c r="T74" s="1" t="s">
        <v>59</v>
      </c>
      <c r="U74" s="1" t="s">
        <v>69</v>
      </c>
      <c r="V74" s="1">
        <v>0</v>
      </c>
      <c r="W74" s="1" t="s">
        <v>28</v>
      </c>
      <c r="X74" s="1" t="s">
        <v>28</v>
      </c>
      <c r="Y74" s="2">
        <v>76600</v>
      </c>
      <c r="AA74" s="2">
        <f t="shared" si="9"/>
        <v>63250</v>
      </c>
      <c r="AB74" s="9">
        <f t="shared" si="10"/>
        <v>10576.550000000003</v>
      </c>
      <c r="AC74" s="2">
        <f>VLOOKUP(A74,[1]Sheet1!$A$3:$AD$575,29,)</f>
        <v>0</v>
      </c>
      <c r="AD74" s="10">
        <f>VLOOKUP(A74,[1]Sheet1!$A$3:$AD$575,30,0)</f>
        <v>0</v>
      </c>
      <c r="AE74" s="2">
        <f>VLOOKUP(A74,[1]Sheet1!$A$3:$AD$575,28,0)</f>
        <v>10576.550000000003</v>
      </c>
      <c r="AF74" s="2">
        <f t="shared" si="11"/>
        <v>0</v>
      </c>
      <c r="AH74" s="2">
        <f t="shared" si="12"/>
        <v>63250</v>
      </c>
      <c r="AK74" s="2"/>
      <c r="AL74" s="2">
        <v>131274.53</v>
      </c>
      <c r="AM74" s="1" t="s">
        <v>223</v>
      </c>
      <c r="AN74" s="2">
        <v>68024.53</v>
      </c>
      <c r="AO74" s="1" t="s">
        <v>224</v>
      </c>
      <c r="AQ74" s="2"/>
    </row>
    <row r="75" spans="1:43" x14ac:dyDescent="0.25">
      <c r="A75" s="1">
        <v>23286</v>
      </c>
      <c r="B75" s="1" t="s">
        <v>55</v>
      </c>
      <c r="C75" s="1" t="s">
        <v>26</v>
      </c>
      <c r="D75" s="1" t="s">
        <v>145</v>
      </c>
      <c r="E75" s="1" t="s">
        <v>28</v>
      </c>
      <c r="F75" s="1" t="s">
        <v>28</v>
      </c>
      <c r="G75" s="1" t="s">
        <v>28</v>
      </c>
      <c r="H75" s="1" t="s">
        <v>39</v>
      </c>
      <c r="I75" s="1" t="s">
        <v>30</v>
      </c>
      <c r="J75" s="1" t="s">
        <v>97</v>
      </c>
      <c r="K75" s="12">
        <v>73108.56</v>
      </c>
      <c r="L75" s="2">
        <v>11348.56</v>
      </c>
      <c r="M75" s="2">
        <v>61760</v>
      </c>
      <c r="N75" s="2">
        <v>9264</v>
      </c>
      <c r="O75" s="2">
        <v>61760</v>
      </c>
      <c r="P75" s="1">
        <v>0</v>
      </c>
      <c r="Q75" s="1" t="s">
        <v>68</v>
      </c>
      <c r="R75" s="1">
        <v>100</v>
      </c>
      <c r="S75" s="1">
        <v>53300</v>
      </c>
      <c r="T75" s="1" t="s">
        <v>59</v>
      </c>
      <c r="U75" s="1" t="s">
        <v>69</v>
      </c>
      <c r="V75" s="1">
        <v>0</v>
      </c>
      <c r="W75" s="1" t="s">
        <v>28</v>
      </c>
      <c r="X75" s="1" t="s">
        <v>28</v>
      </c>
      <c r="Y75" s="2">
        <v>74800</v>
      </c>
      <c r="AA75" s="2">
        <f t="shared" si="9"/>
        <v>61760</v>
      </c>
      <c r="AB75" s="9">
        <f t="shared" si="10"/>
        <v>11348.559999999998</v>
      </c>
      <c r="AC75" s="2">
        <f>VLOOKUP(A75,[1]Sheet1!$A$3:$AD$575,29,)</f>
        <v>0</v>
      </c>
      <c r="AD75" s="10">
        <f>VLOOKUP(A75,[1]Sheet1!$A$3:$AD$575,30,0)</f>
        <v>0</v>
      </c>
      <c r="AE75" s="2">
        <f>VLOOKUP(A75,[1]Sheet1!$A$3:$AD$575,28,0)</f>
        <v>11348.559999999998</v>
      </c>
      <c r="AF75" s="2">
        <f t="shared" si="11"/>
        <v>0</v>
      </c>
      <c r="AH75" s="2">
        <f t="shared" si="12"/>
        <v>61760</v>
      </c>
      <c r="AK75" s="2"/>
      <c r="AL75" s="2">
        <v>158674.53</v>
      </c>
      <c r="AM75" s="1" t="s">
        <v>223</v>
      </c>
      <c r="AN75" s="2">
        <v>96914.53</v>
      </c>
      <c r="AO75" s="1" t="s">
        <v>224</v>
      </c>
      <c r="AQ75" s="2"/>
    </row>
    <row r="76" spans="1:43" x14ac:dyDescent="0.25">
      <c r="A76" s="1">
        <v>23287</v>
      </c>
      <c r="B76" s="1" t="s">
        <v>55</v>
      </c>
      <c r="C76" s="1" t="s">
        <v>26</v>
      </c>
      <c r="D76" s="1" t="s">
        <v>146</v>
      </c>
      <c r="E76" s="1" t="s">
        <v>28</v>
      </c>
      <c r="F76" s="1" t="s">
        <v>28</v>
      </c>
      <c r="G76" s="1" t="s">
        <v>28</v>
      </c>
      <c r="H76" s="1" t="s">
        <v>39</v>
      </c>
      <c r="I76" s="1" t="s">
        <v>30</v>
      </c>
      <c r="J76" s="1" t="s">
        <v>97</v>
      </c>
      <c r="K76" s="12">
        <v>50858.53</v>
      </c>
      <c r="L76" s="2">
        <v>6028.53</v>
      </c>
      <c r="M76" s="2">
        <v>44830</v>
      </c>
      <c r="N76" s="2">
        <v>6724.5</v>
      </c>
      <c r="O76" s="2">
        <v>44830</v>
      </c>
      <c r="P76" s="1">
        <v>0</v>
      </c>
      <c r="Q76" s="1" t="s">
        <v>68</v>
      </c>
      <c r="R76" s="1">
        <v>100</v>
      </c>
      <c r="S76" s="1">
        <v>38700</v>
      </c>
      <c r="T76" s="1" t="s">
        <v>59</v>
      </c>
      <c r="U76" s="1" t="s">
        <v>69</v>
      </c>
      <c r="V76" s="1">
        <v>0</v>
      </c>
      <c r="W76" s="1" t="s">
        <v>28</v>
      </c>
      <c r="X76" s="1" t="s">
        <v>28</v>
      </c>
      <c r="Y76" s="2">
        <v>54300</v>
      </c>
      <c r="AA76" s="2">
        <f t="shared" si="9"/>
        <v>44830</v>
      </c>
      <c r="AB76" s="9">
        <f t="shared" si="10"/>
        <v>6028.5299999999988</v>
      </c>
      <c r="AC76" s="2">
        <f>VLOOKUP(A76,[1]Sheet1!$A$3:$AD$575,29,)</f>
        <v>0</v>
      </c>
      <c r="AD76" s="10">
        <f>VLOOKUP(A76,[1]Sheet1!$A$3:$AD$575,30,0)</f>
        <v>0</v>
      </c>
      <c r="AE76" s="2">
        <f>VLOOKUP(A76,[1]Sheet1!$A$3:$AD$575,28,0)</f>
        <v>6028.5299999999988</v>
      </c>
      <c r="AF76" s="2">
        <f t="shared" si="11"/>
        <v>0</v>
      </c>
      <c r="AH76" s="2">
        <f t="shared" si="12"/>
        <v>44830</v>
      </c>
      <c r="AK76" s="2"/>
      <c r="AL76" s="2">
        <v>113084.53</v>
      </c>
      <c r="AM76" s="1" t="s">
        <v>223</v>
      </c>
      <c r="AN76" s="2">
        <v>68254.53</v>
      </c>
      <c r="AO76" s="1" t="s">
        <v>224</v>
      </c>
      <c r="AQ76" s="2"/>
    </row>
    <row r="77" spans="1:43" x14ac:dyDescent="0.25">
      <c r="A77" s="1">
        <v>23288</v>
      </c>
      <c r="B77" s="1" t="s">
        <v>55</v>
      </c>
      <c r="C77" s="1" t="s">
        <v>26</v>
      </c>
      <c r="D77" s="1" t="s">
        <v>147</v>
      </c>
      <c r="E77" s="1" t="s">
        <v>28</v>
      </c>
      <c r="F77" s="1" t="s">
        <v>28</v>
      </c>
      <c r="G77" s="1" t="s">
        <v>28</v>
      </c>
      <c r="H77" s="1" t="s">
        <v>39</v>
      </c>
      <c r="I77" s="1" t="s">
        <v>30</v>
      </c>
      <c r="J77" s="1" t="s">
        <v>97</v>
      </c>
      <c r="K77" s="12">
        <v>46523.19</v>
      </c>
      <c r="L77" s="2">
        <v>5483.19</v>
      </c>
      <c r="M77" s="2">
        <v>41040</v>
      </c>
      <c r="N77" s="2">
        <v>6156</v>
      </c>
      <c r="O77" s="2">
        <v>41040</v>
      </c>
      <c r="P77" s="1">
        <v>0</v>
      </c>
      <c r="Q77" s="1" t="s">
        <v>68</v>
      </c>
      <c r="R77" s="1">
        <v>100</v>
      </c>
      <c r="S77" s="1">
        <v>35400</v>
      </c>
      <c r="T77" s="1" t="s">
        <v>59</v>
      </c>
      <c r="U77" s="1" t="s">
        <v>69</v>
      </c>
      <c r="V77" s="1">
        <v>0</v>
      </c>
      <c r="W77" s="1" t="s">
        <v>28</v>
      </c>
      <c r="X77" s="1" t="s">
        <v>28</v>
      </c>
      <c r="Y77" s="2">
        <v>49700</v>
      </c>
      <c r="AA77" s="2">
        <f t="shared" si="9"/>
        <v>41040</v>
      </c>
      <c r="AB77" s="9">
        <f t="shared" si="10"/>
        <v>5483.1900000000023</v>
      </c>
      <c r="AC77" s="2">
        <f>VLOOKUP(A77,[1]Sheet1!$A$3:$AD$575,29,)</f>
        <v>0</v>
      </c>
      <c r="AD77" s="10">
        <f>VLOOKUP(A77,[1]Sheet1!$A$3:$AD$575,30,0)</f>
        <v>0</v>
      </c>
      <c r="AE77" s="2">
        <f>VLOOKUP(A77,[1]Sheet1!$A$3:$AD$575,28,0)</f>
        <v>5483.1900000000023</v>
      </c>
      <c r="AF77" s="2">
        <f t="shared" si="11"/>
        <v>0</v>
      </c>
      <c r="AH77" s="2">
        <f t="shared" si="12"/>
        <v>41040</v>
      </c>
      <c r="AK77" s="2"/>
      <c r="AL77" s="2">
        <v>103914.53</v>
      </c>
      <c r="AM77" s="1" t="s">
        <v>223</v>
      </c>
      <c r="AN77" s="2">
        <v>62874.53</v>
      </c>
      <c r="AO77" s="1" t="s">
        <v>224</v>
      </c>
      <c r="AQ77" s="2"/>
    </row>
    <row r="78" spans="1:43" x14ac:dyDescent="0.25">
      <c r="A78" s="1">
        <v>23289</v>
      </c>
      <c r="B78" s="1" t="s">
        <v>55</v>
      </c>
      <c r="C78" s="1" t="s">
        <v>26</v>
      </c>
      <c r="D78" s="1" t="s">
        <v>148</v>
      </c>
      <c r="E78" s="1" t="s">
        <v>28</v>
      </c>
      <c r="F78" s="1" t="s">
        <v>28</v>
      </c>
      <c r="G78" s="1" t="s">
        <v>28</v>
      </c>
      <c r="H78" s="1" t="s">
        <v>39</v>
      </c>
      <c r="I78" s="1" t="s">
        <v>30</v>
      </c>
      <c r="J78" s="1" t="s">
        <v>97</v>
      </c>
      <c r="K78" s="12">
        <v>46523.19</v>
      </c>
      <c r="L78" s="2">
        <v>5483.19</v>
      </c>
      <c r="M78" s="2">
        <v>41040</v>
      </c>
      <c r="N78" s="2">
        <v>6156</v>
      </c>
      <c r="O78" s="2">
        <v>41040</v>
      </c>
      <c r="P78" s="1">
        <v>0</v>
      </c>
      <c r="Q78" s="1" t="s">
        <v>68</v>
      </c>
      <c r="R78" s="1">
        <v>100</v>
      </c>
      <c r="S78" s="1">
        <v>35400</v>
      </c>
      <c r="T78" s="1" t="s">
        <v>59</v>
      </c>
      <c r="U78" s="1" t="s">
        <v>69</v>
      </c>
      <c r="V78" s="1">
        <v>0</v>
      </c>
      <c r="W78" s="1" t="s">
        <v>28</v>
      </c>
      <c r="X78" s="1" t="s">
        <v>28</v>
      </c>
      <c r="Y78" s="2">
        <v>49700</v>
      </c>
      <c r="AA78" s="2">
        <f t="shared" si="9"/>
        <v>41040</v>
      </c>
      <c r="AB78" s="9">
        <f t="shared" si="10"/>
        <v>5483.1900000000023</v>
      </c>
      <c r="AC78" s="2">
        <f>VLOOKUP(A78,[1]Sheet1!$A$3:$AD$575,29,)</f>
        <v>0</v>
      </c>
      <c r="AD78" s="10">
        <f>VLOOKUP(A78,[1]Sheet1!$A$3:$AD$575,30,0)</f>
        <v>0</v>
      </c>
      <c r="AE78" s="2">
        <f>VLOOKUP(A78,[1]Sheet1!$A$3:$AD$575,28,0)</f>
        <v>5483.1900000000023</v>
      </c>
      <c r="AF78" s="2">
        <f t="shared" si="11"/>
        <v>0</v>
      </c>
      <c r="AH78" s="2">
        <f t="shared" si="12"/>
        <v>41040</v>
      </c>
      <c r="AK78" s="2"/>
      <c r="AL78" s="2">
        <v>103914.53</v>
      </c>
      <c r="AM78" s="1" t="s">
        <v>223</v>
      </c>
      <c r="AN78" s="2">
        <v>62874.53</v>
      </c>
      <c r="AO78" s="1" t="s">
        <v>224</v>
      </c>
      <c r="AQ78" s="2"/>
    </row>
    <row r="79" spans="1:43" x14ac:dyDescent="0.25">
      <c r="A79" s="1">
        <v>23290</v>
      </c>
      <c r="B79" s="1" t="s">
        <v>55</v>
      </c>
      <c r="C79" s="1" t="s">
        <v>26</v>
      </c>
      <c r="D79" s="1" t="s">
        <v>149</v>
      </c>
      <c r="E79" s="1" t="s">
        <v>28</v>
      </c>
      <c r="F79" s="1" t="s">
        <v>28</v>
      </c>
      <c r="G79" s="1" t="s">
        <v>28</v>
      </c>
      <c r="H79" s="1" t="s">
        <v>39</v>
      </c>
      <c r="I79" s="1" t="s">
        <v>30</v>
      </c>
      <c r="J79" s="1" t="s">
        <v>97</v>
      </c>
      <c r="K79" s="12">
        <v>46523.19</v>
      </c>
      <c r="L79" s="2">
        <v>5483.19</v>
      </c>
      <c r="M79" s="2">
        <v>41040</v>
      </c>
      <c r="N79" s="2">
        <v>6156</v>
      </c>
      <c r="O79" s="2">
        <v>41040</v>
      </c>
      <c r="P79" s="1">
        <v>0</v>
      </c>
      <c r="Q79" s="1" t="s">
        <v>68</v>
      </c>
      <c r="R79" s="1">
        <v>100</v>
      </c>
      <c r="S79" s="1">
        <v>35400</v>
      </c>
      <c r="T79" s="1" t="s">
        <v>59</v>
      </c>
      <c r="U79" s="1" t="s">
        <v>69</v>
      </c>
      <c r="V79" s="1">
        <v>0</v>
      </c>
      <c r="W79" s="1" t="s">
        <v>28</v>
      </c>
      <c r="X79" s="1" t="s">
        <v>28</v>
      </c>
      <c r="Y79" s="2">
        <v>49700</v>
      </c>
      <c r="AA79" s="2">
        <f t="shared" si="9"/>
        <v>41040</v>
      </c>
      <c r="AB79" s="9">
        <f t="shared" si="10"/>
        <v>5483.1900000000023</v>
      </c>
      <c r="AC79" s="2">
        <f>VLOOKUP(A79,[1]Sheet1!$A$3:$AD$575,29,)</f>
        <v>0</v>
      </c>
      <c r="AD79" s="10">
        <f>VLOOKUP(A79,[1]Sheet1!$A$3:$AD$575,30,0)</f>
        <v>0</v>
      </c>
      <c r="AE79" s="2">
        <f>VLOOKUP(A79,[1]Sheet1!$A$3:$AD$575,28,0)</f>
        <v>5483.1900000000023</v>
      </c>
      <c r="AF79" s="2">
        <f t="shared" si="11"/>
        <v>0</v>
      </c>
      <c r="AH79" s="2">
        <f t="shared" si="12"/>
        <v>41040</v>
      </c>
      <c r="AK79" s="2"/>
      <c r="AL79" s="2">
        <v>103914.53</v>
      </c>
      <c r="AM79" s="1" t="s">
        <v>223</v>
      </c>
      <c r="AN79" s="2">
        <v>62874.53</v>
      </c>
      <c r="AO79" s="1" t="s">
        <v>224</v>
      </c>
      <c r="AQ79" s="2"/>
    </row>
    <row r="80" spans="1:43" x14ac:dyDescent="0.25">
      <c r="A80" s="1">
        <v>23291</v>
      </c>
      <c r="B80" s="1" t="s">
        <v>55</v>
      </c>
      <c r="C80" s="1" t="s">
        <v>26</v>
      </c>
      <c r="D80" s="1" t="s">
        <v>150</v>
      </c>
      <c r="E80" s="1" t="s">
        <v>28</v>
      </c>
      <c r="F80" s="1" t="s">
        <v>28</v>
      </c>
      <c r="G80" s="1" t="s">
        <v>28</v>
      </c>
      <c r="H80" s="1" t="s">
        <v>39</v>
      </c>
      <c r="I80" s="1" t="s">
        <v>30</v>
      </c>
      <c r="J80" s="1" t="s">
        <v>97</v>
      </c>
      <c r="K80" s="12">
        <v>73829.009999999995</v>
      </c>
      <c r="L80" s="2">
        <v>11079.01</v>
      </c>
      <c r="M80" s="2">
        <v>62750</v>
      </c>
      <c r="N80" s="2">
        <v>9412.5</v>
      </c>
      <c r="O80" s="2">
        <v>62750</v>
      </c>
      <c r="P80" s="1">
        <v>0</v>
      </c>
      <c r="Q80" s="1" t="s">
        <v>68</v>
      </c>
      <c r="R80" s="1">
        <v>100</v>
      </c>
      <c r="S80" s="1">
        <v>54200</v>
      </c>
      <c r="T80" s="1" t="s">
        <v>59</v>
      </c>
      <c r="U80" s="1" t="s">
        <v>69</v>
      </c>
      <c r="V80" s="1">
        <v>0</v>
      </c>
      <c r="W80" s="1" t="s">
        <v>28</v>
      </c>
      <c r="X80" s="1" t="s">
        <v>28</v>
      </c>
      <c r="Y80" s="2">
        <v>76000</v>
      </c>
      <c r="AA80" s="2">
        <f t="shared" si="9"/>
        <v>62750</v>
      </c>
      <c r="AB80" s="9">
        <f t="shared" si="10"/>
        <v>11079.009999999995</v>
      </c>
      <c r="AC80" s="2">
        <f>VLOOKUP(A80,[1]Sheet1!$A$3:$AD$575,29,)</f>
        <v>0</v>
      </c>
      <c r="AD80" s="10">
        <f>VLOOKUP(A80,[1]Sheet1!$A$3:$AD$575,30,0)</f>
        <v>0</v>
      </c>
      <c r="AE80" s="2">
        <f>VLOOKUP(A80,[1]Sheet1!$A$3:$AD$575,28,0)</f>
        <v>11079.009999999995</v>
      </c>
      <c r="AF80" s="2">
        <f t="shared" si="11"/>
        <v>0</v>
      </c>
      <c r="AH80" s="2">
        <f t="shared" si="12"/>
        <v>62750</v>
      </c>
      <c r="AK80" s="2"/>
      <c r="AL80" s="2">
        <v>158074.53</v>
      </c>
      <c r="AM80" s="1" t="s">
        <v>223</v>
      </c>
      <c r="AN80" s="2">
        <v>95324.53</v>
      </c>
      <c r="AO80" s="1" t="s">
        <v>224</v>
      </c>
      <c r="AQ80" s="2"/>
    </row>
    <row r="81" spans="1:43" x14ac:dyDescent="0.25">
      <c r="A81" s="1">
        <v>23292</v>
      </c>
      <c r="B81" s="1" t="s">
        <v>55</v>
      </c>
      <c r="C81" s="1" t="s">
        <v>26</v>
      </c>
      <c r="D81" s="1" t="s">
        <v>151</v>
      </c>
      <c r="E81" s="1" t="s">
        <v>28</v>
      </c>
      <c r="F81" s="1" t="s">
        <v>28</v>
      </c>
      <c r="G81" s="1" t="s">
        <v>28</v>
      </c>
      <c r="H81" s="1" t="s">
        <v>39</v>
      </c>
      <c r="I81" s="1" t="s">
        <v>30</v>
      </c>
      <c r="J81" s="1" t="s">
        <v>97</v>
      </c>
      <c r="K81" s="12">
        <v>51828.09</v>
      </c>
      <c r="L81" s="2">
        <v>6088.09</v>
      </c>
      <c r="M81" s="2">
        <v>45740</v>
      </c>
      <c r="N81" s="2">
        <v>6861</v>
      </c>
      <c r="O81" s="2">
        <v>45740</v>
      </c>
      <c r="P81" s="1">
        <v>0</v>
      </c>
      <c r="Q81" s="1" t="s">
        <v>68</v>
      </c>
      <c r="R81" s="1">
        <v>100</v>
      </c>
      <c r="S81" s="1">
        <v>39500</v>
      </c>
      <c r="T81" s="1" t="s">
        <v>59</v>
      </c>
      <c r="U81" s="1" t="s">
        <v>69</v>
      </c>
      <c r="V81" s="1">
        <v>0</v>
      </c>
      <c r="W81" s="1" t="s">
        <v>28</v>
      </c>
      <c r="X81" s="1" t="s">
        <v>28</v>
      </c>
      <c r="Y81" s="2">
        <v>55400</v>
      </c>
      <c r="AA81" s="2">
        <f t="shared" si="9"/>
        <v>45740</v>
      </c>
      <c r="AB81" s="9">
        <f t="shared" si="10"/>
        <v>6088.0899999999965</v>
      </c>
      <c r="AC81" s="2">
        <f>VLOOKUP(A81,[1]Sheet1!$A$3:$AD$575,29,)</f>
        <v>0</v>
      </c>
      <c r="AD81" s="10">
        <f>VLOOKUP(A81,[1]Sheet1!$A$3:$AD$575,30,0)</f>
        <v>0</v>
      </c>
      <c r="AE81" s="2">
        <f>VLOOKUP(A81,[1]Sheet1!$A$3:$AD$575,28,0)</f>
        <v>6088.0899999999965</v>
      </c>
      <c r="AF81" s="2">
        <f t="shared" si="11"/>
        <v>0</v>
      </c>
      <c r="AH81" s="2">
        <f t="shared" si="12"/>
        <v>45740</v>
      </c>
      <c r="AK81" s="2"/>
      <c r="AL81" s="2">
        <v>115674.52</v>
      </c>
      <c r="AM81" s="1" t="s">
        <v>223</v>
      </c>
      <c r="AN81" s="2">
        <v>69934.52</v>
      </c>
      <c r="AO81" s="1" t="s">
        <v>224</v>
      </c>
      <c r="AQ81" s="2"/>
    </row>
    <row r="82" spans="1:43" x14ac:dyDescent="0.25">
      <c r="A82" s="1">
        <v>23293</v>
      </c>
      <c r="B82" s="1" t="s">
        <v>55</v>
      </c>
      <c r="C82" s="1" t="s">
        <v>26</v>
      </c>
      <c r="D82" s="1" t="s">
        <v>152</v>
      </c>
      <c r="E82" s="1" t="s">
        <v>28</v>
      </c>
      <c r="F82" s="1" t="s">
        <v>28</v>
      </c>
      <c r="G82" s="1" t="s">
        <v>28</v>
      </c>
      <c r="H82" s="1" t="s">
        <v>39</v>
      </c>
      <c r="I82" s="1" t="s">
        <v>30</v>
      </c>
      <c r="J82" s="1" t="s">
        <v>97</v>
      </c>
      <c r="K82" s="12">
        <v>67528.17</v>
      </c>
      <c r="L82" s="2">
        <v>9898.17</v>
      </c>
      <c r="M82" s="2">
        <v>57630</v>
      </c>
      <c r="N82" s="2">
        <v>8644.5</v>
      </c>
      <c r="O82" s="2">
        <v>57630</v>
      </c>
      <c r="P82" s="1">
        <v>0</v>
      </c>
      <c r="Q82" s="1" t="s">
        <v>68</v>
      </c>
      <c r="R82" s="1">
        <v>100</v>
      </c>
      <c r="S82" s="1">
        <v>49800</v>
      </c>
      <c r="T82" s="1" t="s">
        <v>59</v>
      </c>
      <c r="U82" s="1" t="s">
        <v>69</v>
      </c>
      <c r="V82" s="1">
        <v>0</v>
      </c>
      <c r="W82" s="1" t="s">
        <v>28</v>
      </c>
      <c r="X82" s="1" t="s">
        <v>28</v>
      </c>
      <c r="Y82" s="2">
        <v>69800</v>
      </c>
      <c r="AA82" s="2">
        <f t="shared" si="9"/>
        <v>57630</v>
      </c>
      <c r="AB82" s="9">
        <f t="shared" si="10"/>
        <v>9898.1699999999983</v>
      </c>
      <c r="AC82" s="2">
        <f>VLOOKUP(A82,[1]Sheet1!$A$3:$AD$575,29,)</f>
        <v>0</v>
      </c>
      <c r="AD82" s="10">
        <f>VLOOKUP(A82,[1]Sheet1!$A$3:$AD$575,30,0)</f>
        <v>0</v>
      </c>
      <c r="AE82" s="2">
        <f>VLOOKUP(A82,[1]Sheet1!$A$3:$AD$575,28,0)</f>
        <v>9898.1699999999983</v>
      </c>
      <c r="AF82" s="2">
        <f t="shared" si="11"/>
        <v>0</v>
      </c>
      <c r="AH82" s="2">
        <f t="shared" si="12"/>
        <v>57630</v>
      </c>
      <c r="AK82" s="2"/>
      <c r="AL82" s="2">
        <v>142674.51</v>
      </c>
      <c r="AM82" s="1" t="s">
        <v>223</v>
      </c>
      <c r="AN82" s="2">
        <v>85044.510000000009</v>
      </c>
      <c r="AO82" s="1" t="s">
        <v>224</v>
      </c>
      <c r="AQ82" s="2"/>
    </row>
    <row r="83" spans="1:43" x14ac:dyDescent="0.25">
      <c r="A83" s="1">
        <v>23294</v>
      </c>
      <c r="B83" s="1" t="s">
        <v>55</v>
      </c>
      <c r="C83" s="1" t="s">
        <v>26</v>
      </c>
      <c r="D83" s="1" t="s">
        <v>153</v>
      </c>
      <c r="E83" s="1" t="s">
        <v>28</v>
      </c>
      <c r="F83" s="1" t="s">
        <v>28</v>
      </c>
      <c r="G83" s="1" t="s">
        <v>28</v>
      </c>
      <c r="H83" s="1" t="s">
        <v>39</v>
      </c>
      <c r="I83" s="1" t="s">
        <v>30</v>
      </c>
      <c r="J83" s="1" t="s">
        <v>97</v>
      </c>
      <c r="K83" s="12">
        <v>55542.79</v>
      </c>
      <c r="L83" s="2">
        <v>5252.79</v>
      </c>
      <c r="M83" s="2">
        <v>50290</v>
      </c>
      <c r="N83" s="2">
        <v>7543.5</v>
      </c>
      <c r="O83" s="2">
        <v>50290</v>
      </c>
      <c r="P83" s="1">
        <v>0</v>
      </c>
      <c r="Q83" s="1" t="s">
        <v>68</v>
      </c>
      <c r="R83" s="1">
        <v>100</v>
      </c>
      <c r="S83" s="1">
        <v>43400</v>
      </c>
      <c r="T83" s="1" t="s">
        <v>59</v>
      </c>
      <c r="U83" s="1" t="s">
        <v>69</v>
      </c>
      <c r="V83" s="1">
        <v>0</v>
      </c>
      <c r="W83" s="1" t="s">
        <v>28</v>
      </c>
      <c r="X83" s="1" t="s">
        <v>28</v>
      </c>
      <c r="Y83" s="2">
        <v>60900</v>
      </c>
      <c r="AA83" s="2">
        <f t="shared" si="9"/>
        <v>50290</v>
      </c>
      <c r="AB83" s="9">
        <f t="shared" si="10"/>
        <v>5252.7900000000009</v>
      </c>
      <c r="AC83" s="2">
        <f>VLOOKUP(A83,[1]Sheet1!$A$3:$AD$575,29,)</f>
        <v>0</v>
      </c>
      <c r="AD83" s="10">
        <f>VLOOKUP(A83,[1]Sheet1!$A$3:$AD$575,30,0)</f>
        <v>0</v>
      </c>
      <c r="AE83" s="2">
        <f>VLOOKUP(A83,[1]Sheet1!$A$3:$AD$575,28,0)</f>
        <v>5252.7900000000009</v>
      </c>
      <c r="AF83" s="2">
        <f t="shared" si="11"/>
        <v>0</v>
      </c>
      <c r="AH83" s="2">
        <f t="shared" si="12"/>
        <v>50290</v>
      </c>
      <c r="AK83" s="2"/>
      <c r="AL83" s="2">
        <v>117474.52</v>
      </c>
      <c r="AM83" s="1" t="s">
        <v>223</v>
      </c>
      <c r="AN83" s="2">
        <v>67184.52</v>
      </c>
      <c r="AO83" s="1" t="s">
        <v>224</v>
      </c>
      <c r="AQ83" s="2"/>
    </row>
    <row r="84" spans="1:43" x14ac:dyDescent="0.25">
      <c r="A84" s="1">
        <v>23295</v>
      </c>
      <c r="B84" s="1" t="s">
        <v>55</v>
      </c>
      <c r="C84" s="1" t="s">
        <v>26</v>
      </c>
      <c r="D84" s="1" t="s">
        <v>154</v>
      </c>
      <c r="E84" s="1" t="s">
        <v>28</v>
      </c>
      <c r="F84" s="1" t="s">
        <v>28</v>
      </c>
      <c r="G84" s="1" t="s">
        <v>28</v>
      </c>
      <c r="H84" s="1" t="s">
        <v>39</v>
      </c>
      <c r="I84" s="1" t="s">
        <v>30</v>
      </c>
      <c r="J84" s="1" t="s">
        <v>97</v>
      </c>
      <c r="K84" s="12">
        <v>81392.429999999993</v>
      </c>
      <c r="L84" s="2">
        <v>10052.43</v>
      </c>
      <c r="M84" s="2">
        <v>71340</v>
      </c>
      <c r="N84" s="2">
        <v>10701</v>
      </c>
      <c r="O84" s="2">
        <v>71340</v>
      </c>
      <c r="P84" s="1">
        <v>0</v>
      </c>
      <c r="Q84" s="1" t="s">
        <v>68</v>
      </c>
      <c r="R84" s="1">
        <v>100</v>
      </c>
      <c r="S84" s="1">
        <v>61600</v>
      </c>
      <c r="T84" s="1" t="s">
        <v>59</v>
      </c>
      <c r="U84" s="1" t="s">
        <v>69</v>
      </c>
      <c r="V84" s="1">
        <v>0</v>
      </c>
      <c r="W84" s="1" t="s">
        <v>28</v>
      </c>
      <c r="X84" s="1" t="s">
        <v>28</v>
      </c>
      <c r="Y84" s="2">
        <v>86400</v>
      </c>
      <c r="AA84" s="2">
        <f t="shared" si="9"/>
        <v>71340</v>
      </c>
      <c r="AB84" s="9">
        <f t="shared" si="10"/>
        <v>10052.429999999993</v>
      </c>
      <c r="AC84" s="2">
        <f>VLOOKUP(A84,[1]Sheet1!$A$3:$AD$575,29,)</f>
        <v>0</v>
      </c>
      <c r="AD84" s="10">
        <f>VLOOKUP(A84,[1]Sheet1!$A$3:$AD$575,30,0)</f>
        <v>0</v>
      </c>
      <c r="AE84" s="2">
        <f>VLOOKUP(A84,[1]Sheet1!$A$3:$AD$575,28,0)</f>
        <v>10052.429999999993</v>
      </c>
      <c r="AF84" s="2">
        <f t="shared" si="11"/>
        <v>0</v>
      </c>
      <c r="AH84" s="2">
        <f t="shared" si="12"/>
        <v>71340</v>
      </c>
      <c r="AK84" s="2"/>
      <c r="AL84" s="2">
        <v>140474.51999999999</v>
      </c>
      <c r="AM84" s="1" t="s">
        <v>223</v>
      </c>
      <c r="AN84" s="2">
        <v>69134.51999999999</v>
      </c>
      <c r="AO84" s="1" t="s">
        <v>224</v>
      </c>
      <c r="AQ84" s="2"/>
    </row>
    <row r="85" spans="1:43" x14ac:dyDescent="0.25">
      <c r="A85" s="1">
        <v>23296</v>
      </c>
      <c r="B85" s="1" t="s">
        <v>55</v>
      </c>
      <c r="C85" s="1" t="s">
        <v>26</v>
      </c>
      <c r="D85" s="1" t="s">
        <v>155</v>
      </c>
      <c r="E85" s="1" t="s">
        <v>28</v>
      </c>
      <c r="F85" s="1" t="s">
        <v>28</v>
      </c>
      <c r="G85" s="1" t="s">
        <v>28</v>
      </c>
      <c r="H85" s="1" t="s">
        <v>39</v>
      </c>
      <c r="I85" s="1" t="s">
        <v>30</v>
      </c>
      <c r="J85" s="1" t="s">
        <v>97</v>
      </c>
      <c r="K85" s="12">
        <v>62239.57</v>
      </c>
      <c r="L85" s="2">
        <v>6749.57</v>
      </c>
      <c r="M85" s="2">
        <v>55490</v>
      </c>
      <c r="N85" s="2">
        <v>8323.5</v>
      </c>
      <c r="O85" s="2">
        <v>55490</v>
      </c>
      <c r="P85" s="1">
        <v>0</v>
      </c>
      <c r="Q85" s="1" t="s">
        <v>68</v>
      </c>
      <c r="R85" s="1">
        <v>100</v>
      </c>
      <c r="S85" s="1">
        <v>47900</v>
      </c>
      <c r="T85" s="1" t="s">
        <v>59</v>
      </c>
      <c r="U85" s="1" t="s">
        <v>69</v>
      </c>
      <c r="V85" s="1">
        <v>0</v>
      </c>
      <c r="W85" s="1" t="s">
        <v>28</v>
      </c>
      <c r="X85" s="1" t="s">
        <v>28</v>
      </c>
      <c r="Y85" s="2">
        <v>67200</v>
      </c>
      <c r="AA85" s="2">
        <f t="shared" si="9"/>
        <v>55490</v>
      </c>
      <c r="AB85" s="9">
        <f t="shared" si="10"/>
        <v>6749.57</v>
      </c>
      <c r="AC85" s="2">
        <f>VLOOKUP(A85,[1]Sheet1!$A$3:$AD$575,29,)</f>
        <v>0</v>
      </c>
      <c r="AD85" s="10">
        <f>VLOOKUP(A85,[1]Sheet1!$A$3:$AD$575,30,0)</f>
        <v>0</v>
      </c>
      <c r="AE85" s="2">
        <f>VLOOKUP(A85,[1]Sheet1!$A$3:$AD$575,28,0)</f>
        <v>6749.57</v>
      </c>
      <c r="AF85" s="2">
        <f t="shared" si="11"/>
        <v>0</v>
      </c>
      <c r="AH85" s="2">
        <f t="shared" si="12"/>
        <v>55490</v>
      </c>
      <c r="AK85" s="2"/>
      <c r="AL85" s="2">
        <v>136874.51</v>
      </c>
      <c r="AM85" s="1" t="s">
        <v>223</v>
      </c>
      <c r="AN85" s="2">
        <v>81384.510000000009</v>
      </c>
      <c r="AO85" s="1" t="s">
        <v>224</v>
      </c>
      <c r="AQ85" s="2"/>
    </row>
    <row r="86" spans="1:43" x14ac:dyDescent="0.25">
      <c r="A86" s="1">
        <v>23297</v>
      </c>
      <c r="B86" s="1" t="s">
        <v>55</v>
      </c>
      <c r="C86" s="1" t="s">
        <v>26</v>
      </c>
      <c r="D86" s="1" t="s">
        <v>156</v>
      </c>
      <c r="E86" s="1" t="s">
        <v>28</v>
      </c>
      <c r="F86" s="1" t="s">
        <v>28</v>
      </c>
      <c r="G86" s="1" t="s">
        <v>28</v>
      </c>
      <c r="H86" s="1" t="s">
        <v>39</v>
      </c>
      <c r="I86" s="1" t="s">
        <v>30</v>
      </c>
      <c r="J86" s="1" t="s">
        <v>97</v>
      </c>
      <c r="K86" s="12">
        <v>53242.98</v>
      </c>
      <c r="L86" s="2">
        <v>4942.9799999999996</v>
      </c>
      <c r="M86" s="2">
        <v>48300</v>
      </c>
      <c r="N86" s="2">
        <v>7245</v>
      </c>
      <c r="O86" s="2">
        <v>48300</v>
      </c>
      <c r="P86" s="1">
        <v>0</v>
      </c>
      <c r="Q86" s="1" t="s">
        <v>68</v>
      </c>
      <c r="R86" s="1">
        <v>100</v>
      </c>
      <c r="S86" s="1">
        <v>41700</v>
      </c>
      <c r="T86" s="1" t="s">
        <v>59</v>
      </c>
      <c r="U86" s="1" t="s">
        <v>69</v>
      </c>
      <c r="V86" s="1">
        <v>0</v>
      </c>
      <c r="W86" s="1" t="s">
        <v>28</v>
      </c>
      <c r="X86" s="1" t="s">
        <v>28</v>
      </c>
      <c r="Y86" s="2">
        <v>58500</v>
      </c>
      <c r="AA86" s="2">
        <f t="shared" si="9"/>
        <v>48300</v>
      </c>
      <c r="AB86" s="9">
        <f t="shared" si="10"/>
        <v>4942.9800000000032</v>
      </c>
      <c r="AC86" s="2">
        <f>VLOOKUP(A86,[1]Sheet1!$A$3:$AD$575,29,)</f>
        <v>0</v>
      </c>
      <c r="AD86" s="10">
        <f>VLOOKUP(A86,[1]Sheet1!$A$3:$AD$575,30,0)</f>
        <v>0</v>
      </c>
      <c r="AE86" s="2">
        <f>VLOOKUP(A86,[1]Sheet1!$A$3:$AD$575,28,0)</f>
        <v>4942.9800000000032</v>
      </c>
      <c r="AF86" s="2">
        <f t="shared" si="11"/>
        <v>0</v>
      </c>
      <c r="AH86" s="2">
        <f t="shared" si="12"/>
        <v>48300</v>
      </c>
      <c r="AK86" s="2"/>
      <c r="AL86" s="2">
        <v>111274.51</v>
      </c>
      <c r="AM86" s="1" t="s">
        <v>223</v>
      </c>
      <c r="AN86" s="2">
        <v>62974.509999999995</v>
      </c>
      <c r="AO86" s="1" t="s">
        <v>224</v>
      </c>
      <c r="AQ86" s="2"/>
    </row>
    <row r="87" spans="1:43" x14ac:dyDescent="0.25">
      <c r="A87" s="1">
        <v>23298</v>
      </c>
      <c r="B87" s="1" t="s">
        <v>55</v>
      </c>
      <c r="C87" s="1" t="s">
        <v>26</v>
      </c>
      <c r="D87" s="1" t="s">
        <v>157</v>
      </c>
      <c r="E87" s="1" t="s">
        <v>28</v>
      </c>
      <c r="F87" s="1" t="s">
        <v>28</v>
      </c>
      <c r="G87" s="1" t="s">
        <v>28</v>
      </c>
      <c r="H87" s="1" t="s">
        <v>39</v>
      </c>
      <c r="I87" s="1" t="s">
        <v>30</v>
      </c>
      <c r="J87" s="1" t="s">
        <v>97</v>
      </c>
      <c r="K87" s="12">
        <v>62346.17</v>
      </c>
      <c r="L87" s="2">
        <v>6856.17</v>
      </c>
      <c r="M87" s="2">
        <v>55490</v>
      </c>
      <c r="N87" s="2">
        <v>8323.5</v>
      </c>
      <c r="O87" s="2">
        <v>55490</v>
      </c>
      <c r="P87" s="1">
        <v>0</v>
      </c>
      <c r="Q87" s="1" t="s">
        <v>68</v>
      </c>
      <c r="R87" s="1">
        <v>100</v>
      </c>
      <c r="S87" s="1">
        <v>47900</v>
      </c>
      <c r="T87" s="1" t="s">
        <v>59</v>
      </c>
      <c r="U87" s="1" t="s">
        <v>69</v>
      </c>
      <c r="V87" s="1">
        <v>0</v>
      </c>
      <c r="W87" s="1" t="s">
        <v>28</v>
      </c>
      <c r="X87" s="1" t="s">
        <v>28</v>
      </c>
      <c r="Y87" s="2">
        <v>67200</v>
      </c>
      <c r="AA87" s="2">
        <f t="shared" si="9"/>
        <v>55490</v>
      </c>
      <c r="AB87" s="9">
        <f t="shared" si="10"/>
        <v>6856.1699999999983</v>
      </c>
      <c r="AC87" s="2">
        <f>VLOOKUP(A87,[1]Sheet1!$A$3:$AD$575,29,)</f>
        <v>0</v>
      </c>
      <c r="AD87" s="10">
        <f>VLOOKUP(A87,[1]Sheet1!$A$3:$AD$575,30,0)</f>
        <v>0</v>
      </c>
      <c r="AE87" s="2">
        <f>VLOOKUP(A87,[1]Sheet1!$A$3:$AD$575,28,0)</f>
        <v>6856.1699999999983</v>
      </c>
      <c r="AF87" s="2">
        <f t="shared" si="11"/>
        <v>0</v>
      </c>
      <c r="AH87" s="2">
        <f t="shared" si="12"/>
        <v>55490</v>
      </c>
      <c r="AK87" s="2"/>
      <c r="AL87" s="2">
        <v>136874.51</v>
      </c>
      <c r="AM87" s="1" t="s">
        <v>223</v>
      </c>
      <c r="AN87" s="2">
        <v>81384.510000000009</v>
      </c>
      <c r="AO87" s="1" t="s">
        <v>224</v>
      </c>
      <c r="AQ87" s="2"/>
    </row>
    <row r="88" spans="1:43" x14ac:dyDescent="0.25">
      <c r="A88" s="1">
        <v>23299</v>
      </c>
      <c r="B88" s="1" t="s">
        <v>55</v>
      </c>
      <c r="C88" s="1" t="s">
        <v>26</v>
      </c>
      <c r="D88" s="1" t="s">
        <v>158</v>
      </c>
      <c r="E88" s="1" t="s">
        <v>28</v>
      </c>
      <c r="F88" s="1" t="s">
        <v>28</v>
      </c>
      <c r="G88" s="1" t="s">
        <v>28</v>
      </c>
      <c r="H88" s="1" t="s">
        <v>39</v>
      </c>
      <c r="I88" s="1" t="s">
        <v>30</v>
      </c>
      <c r="J88" s="1" t="s">
        <v>97</v>
      </c>
      <c r="K88" s="12">
        <v>83212.77</v>
      </c>
      <c r="L88" s="2">
        <v>2112.77</v>
      </c>
      <c r="M88" s="2">
        <v>81100</v>
      </c>
      <c r="N88" s="2">
        <v>12165</v>
      </c>
      <c r="O88" s="2">
        <v>81100</v>
      </c>
      <c r="P88" s="1">
        <v>0</v>
      </c>
      <c r="Q88" s="1" t="s">
        <v>68</v>
      </c>
      <c r="R88" s="1">
        <v>100</v>
      </c>
      <c r="S88" s="1">
        <v>70100</v>
      </c>
      <c r="T88" s="1" t="s">
        <v>59</v>
      </c>
      <c r="U88" s="1" t="s">
        <v>69</v>
      </c>
      <c r="V88" s="1">
        <v>0</v>
      </c>
      <c r="W88" s="1" t="s">
        <v>28</v>
      </c>
      <c r="X88" s="1" t="s">
        <v>28</v>
      </c>
      <c r="Y88" s="2">
        <v>98300</v>
      </c>
      <c r="AA88" s="2">
        <f t="shared" si="9"/>
        <v>81100</v>
      </c>
      <c r="AB88" s="9">
        <f t="shared" si="10"/>
        <v>2112.7700000000041</v>
      </c>
      <c r="AC88" s="2">
        <f>VLOOKUP(A88,[1]Sheet1!$A$3:$AD$575,29,)</f>
        <v>0</v>
      </c>
      <c r="AD88" s="10">
        <f>VLOOKUP(A88,[1]Sheet1!$A$3:$AD$575,30,0)</f>
        <v>0</v>
      </c>
      <c r="AE88" s="2">
        <f>VLOOKUP(A88,[1]Sheet1!$A$3:$AD$575,28,0)</f>
        <v>2112.7700000000041</v>
      </c>
      <c r="AF88" s="2">
        <f t="shared" si="11"/>
        <v>0</v>
      </c>
      <c r="AH88" s="2">
        <f t="shared" si="12"/>
        <v>81100</v>
      </c>
      <c r="AK88" s="2"/>
      <c r="AL88" s="2">
        <v>170874.51</v>
      </c>
      <c r="AM88" s="1" t="s">
        <v>223</v>
      </c>
      <c r="AN88" s="2">
        <v>89774.510000000009</v>
      </c>
      <c r="AO88" s="1" t="s">
        <v>224</v>
      </c>
      <c r="AQ88" s="2"/>
    </row>
    <row r="89" spans="1:43" x14ac:dyDescent="0.25">
      <c r="A89" s="1">
        <v>23300</v>
      </c>
      <c r="B89" s="1" t="s">
        <v>55</v>
      </c>
      <c r="C89" s="1" t="s">
        <v>26</v>
      </c>
      <c r="D89" s="1" t="s">
        <v>159</v>
      </c>
      <c r="E89" s="1" t="s">
        <v>28</v>
      </c>
      <c r="F89" s="1" t="s">
        <v>28</v>
      </c>
      <c r="G89" s="1" t="s">
        <v>28</v>
      </c>
      <c r="H89" s="1" t="s">
        <v>39</v>
      </c>
      <c r="I89" s="1" t="s">
        <v>30</v>
      </c>
      <c r="J89" s="1" t="s">
        <v>97</v>
      </c>
      <c r="K89" s="12">
        <v>88956.89</v>
      </c>
      <c r="L89" s="2">
        <v>12576.89</v>
      </c>
      <c r="M89" s="2">
        <v>76380</v>
      </c>
      <c r="N89" s="2">
        <v>11457</v>
      </c>
      <c r="O89" s="2">
        <v>76380</v>
      </c>
      <c r="P89" s="1">
        <v>0</v>
      </c>
      <c r="Q89" s="1" t="s">
        <v>68</v>
      </c>
      <c r="R89" s="1">
        <v>100</v>
      </c>
      <c r="S89" s="1">
        <v>65900</v>
      </c>
      <c r="T89" s="1" t="s">
        <v>59</v>
      </c>
      <c r="U89" s="1" t="s">
        <v>69</v>
      </c>
      <c r="V89" s="1">
        <v>0</v>
      </c>
      <c r="W89" s="1" t="s">
        <v>28</v>
      </c>
      <c r="X89" s="1" t="s">
        <v>28</v>
      </c>
      <c r="Y89" s="2">
        <v>92500</v>
      </c>
      <c r="AA89" s="2">
        <f t="shared" si="9"/>
        <v>76380</v>
      </c>
      <c r="AB89" s="9">
        <f t="shared" si="10"/>
        <v>12576.89</v>
      </c>
      <c r="AC89" s="2">
        <f>VLOOKUP(A89,[1]Sheet1!$A$3:$AD$575,29,)</f>
        <v>0</v>
      </c>
      <c r="AD89" s="10">
        <f>VLOOKUP(A89,[1]Sheet1!$A$3:$AD$575,30,0)</f>
        <v>0</v>
      </c>
      <c r="AE89" s="2">
        <f>VLOOKUP(A89,[1]Sheet1!$A$3:$AD$575,28,0)</f>
        <v>12576.89</v>
      </c>
      <c r="AF89" s="2">
        <f t="shared" si="11"/>
        <v>0</v>
      </c>
      <c r="AH89" s="2">
        <f t="shared" si="12"/>
        <v>76380</v>
      </c>
      <c r="AK89" s="2"/>
      <c r="AL89" s="2">
        <v>155674.51</v>
      </c>
      <c r="AM89" s="1" t="s">
        <v>223</v>
      </c>
      <c r="AN89" s="2">
        <v>79294.510000000009</v>
      </c>
      <c r="AO89" s="1" t="s">
        <v>224</v>
      </c>
      <c r="AQ89" s="2"/>
    </row>
    <row r="90" spans="1:43" x14ac:dyDescent="0.25">
      <c r="A90" s="1">
        <v>23301</v>
      </c>
      <c r="B90" s="1" t="s">
        <v>55</v>
      </c>
      <c r="C90" s="1" t="s">
        <v>26</v>
      </c>
      <c r="D90" s="1" t="s">
        <v>160</v>
      </c>
      <c r="E90" s="1" t="s">
        <v>28</v>
      </c>
      <c r="F90" s="1" t="s">
        <v>28</v>
      </c>
      <c r="G90" s="1" t="s">
        <v>28</v>
      </c>
      <c r="H90" s="1" t="s">
        <v>39</v>
      </c>
      <c r="I90" s="1" t="s">
        <v>30</v>
      </c>
      <c r="J90" s="1" t="s">
        <v>97</v>
      </c>
      <c r="K90" s="12">
        <v>73930.61</v>
      </c>
      <c r="L90" s="2">
        <v>11670.61</v>
      </c>
      <c r="M90" s="2">
        <v>62260</v>
      </c>
      <c r="N90" s="2">
        <v>9339</v>
      </c>
      <c r="O90" s="2">
        <v>62260</v>
      </c>
      <c r="P90" s="1">
        <v>0</v>
      </c>
      <c r="Q90" s="1" t="s">
        <v>68</v>
      </c>
      <c r="R90" s="1">
        <v>100</v>
      </c>
      <c r="S90" s="1">
        <v>53700</v>
      </c>
      <c r="T90" s="1" t="s">
        <v>59</v>
      </c>
      <c r="U90" s="1" t="s">
        <v>69</v>
      </c>
      <c r="V90" s="1">
        <v>0</v>
      </c>
      <c r="W90" s="1" t="s">
        <v>28</v>
      </c>
      <c r="X90" s="1" t="s">
        <v>28</v>
      </c>
      <c r="Y90" s="2">
        <v>75400</v>
      </c>
      <c r="AA90" s="2">
        <f t="shared" si="9"/>
        <v>62260</v>
      </c>
      <c r="AB90" s="9">
        <f t="shared" si="10"/>
        <v>11670.61</v>
      </c>
      <c r="AC90" s="2">
        <f>VLOOKUP(A90,[1]Sheet1!$A$3:$AD$575,29,)</f>
        <v>0</v>
      </c>
      <c r="AD90" s="10">
        <f>VLOOKUP(A90,[1]Sheet1!$A$3:$AD$575,30,0)</f>
        <v>0</v>
      </c>
      <c r="AE90" s="2">
        <f>VLOOKUP(A90,[1]Sheet1!$A$3:$AD$575,28,0)</f>
        <v>11670.61</v>
      </c>
      <c r="AF90" s="2">
        <f t="shared" si="11"/>
        <v>0</v>
      </c>
      <c r="AH90" s="2">
        <f t="shared" si="12"/>
        <v>62260</v>
      </c>
      <c r="AK90" s="2"/>
      <c r="AL90" s="2">
        <v>160674.51</v>
      </c>
      <c r="AM90" s="1" t="s">
        <v>223</v>
      </c>
      <c r="AN90" s="2">
        <v>98414.510000000009</v>
      </c>
      <c r="AO90" s="1" t="s">
        <v>224</v>
      </c>
      <c r="AQ90" s="2"/>
    </row>
    <row r="91" spans="1:43" x14ac:dyDescent="0.25">
      <c r="A91" s="1">
        <v>23302</v>
      </c>
      <c r="B91" s="1" t="s">
        <v>55</v>
      </c>
      <c r="C91" s="1" t="s">
        <v>26</v>
      </c>
      <c r="D91" s="1" t="s">
        <v>161</v>
      </c>
      <c r="E91" s="1" t="s">
        <v>28</v>
      </c>
      <c r="F91" s="1" t="s">
        <v>28</v>
      </c>
      <c r="G91" s="1" t="s">
        <v>28</v>
      </c>
      <c r="H91" s="1" t="s">
        <v>39</v>
      </c>
      <c r="I91" s="1" t="s">
        <v>30</v>
      </c>
      <c r="J91" s="1" t="s">
        <v>97</v>
      </c>
      <c r="K91" s="12">
        <v>74643.990000000005</v>
      </c>
      <c r="L91" s="2">
        <v>10733.99</v>
      </c>
      <c r="M91" s="2">
        <v>63910</v>
      </c>
      <c r="N91" s="2">
        <v>9586.5</v>
      </c>
      <c r="O91" s="2">
        <v>63910</v>
      </c>
      <c r="P91" s="1">
        <v>0</v>
      </c>
      <c r="Q91" s="1" t="s">
        <v>68</v>
      </c>
      <c r="R91" s="1">
        <v>100</v>
      </c>
      <c r="S91" s="1">
        <v>55200</v>
      </c>
      <c r="T91" s="1" t="s">
        <v>59</v>
      </c>
      <c r="U91" s="1" t="s">
        <v>69</v>
      </c>
      <c r="V91" s="1">
        <v>0</v>
      </c>
      <c r="W91" s="1" t="s">
        <v>28</v>
      </c>
      <c r="X91" s="1" t="s">
        <v>28</v>
      </c>
      <c r="Y91" s="2">
        <v>77400</v>
      </c>
      <c r="AA91" s="2">
        <f t="shared" ref="AA91:AA100" si="13">+O91</f>
        <v>63910</v>
      </c>
      <c r="AB91" s="9">
        <f t="shared" si="10"/>
        <v>10733.990000000005</v>
      </c>
      <c r="AC91" s="2">
        <f>VLOOKUP(A91,[1]Sheet1!$A$3:$AD$575,29,)</f>
        <v>0</v>
      </c>
      <c r="AD91" s="10">
        <f>VLOOKUP(A91,[1]Sheet1!$A$3:$AD$575,30,0)</f>
        <v>0</v>
      </c>
      <c r="AE91" s="2">
        <f>VLOOKUP(A91,[1]Sheet1!$A$3:$AD$575,28,0)</f>
        <v>10733.990000000005</v>
      </c>
      <c r="AF91" s="2">
        <f t="shared" si="11"/>
        <v>0</v>
      </c>
      <c r="AH91" s="2">
        <f t="shared" si="12"/>
        <v>63910</v>
      </c>
      <c r="AK91" s="2"/>
      <c r="AL91" s="2">
        <v>132714.51</v>
      </c>
      <c r="AM91" s="1" t="s">
        <v>223</v>
      </c>
      <c r="AN91" s="2">
        <v>68804.510000000009</v>
      </c>
      <c r="AO91" s="1" t="s">
        <v>224</v>
      </c>
      <c r="AQ91" s="2"/>
    </row>
    <row r="92" spans="1:43" x14ac:dyDescent="0.25">
      <c r="A92" s="1">
        <v>23303</v>
      </c>
      <c r="B92" s="1" t="s">
        <v>55</v>
      </c>
      <c r="C92" s="1" t="s">
        <v>26</v>
      </c>
      <c r="D92" s="1" t="s">
        <v>162</v>
      </c>
      <c r="E92" s="1" t="s">
        <v>28</v>
      </c>
      <c r="F92" s="1" t="s">
        <v>28</v>
      </c>
      <c r="G92" s="1" t="s">
        <v>28</v>
      </c>
      <c r="H92" s="1" t="s">
        <v>39</v>
      </c>
      <c r="I92" s="1" t="s">
        <v>30</v>
      </c>
      <c r="J92" s="1" t="s">
        <v>97</v>
      </c>
      <c r="K92" s="12">
        <v>71659.17</v>
      </c>
      <c r="L92" s="2">
        <v>10969.17</v>
      </c>
      <c r="M92" s="2">
        <v>60690</v>
      </c>
      <c r="N92" s="2">
        <v>9103.5</v>
      </c>
      <c r="O92" s="2">
        <v>60690</v>
      </c>
      <c r="P92" s="1">
        <v>0</v>
      </c>
      <c r="Q92" s="1" t="s">
        <v>68</v>
      </c>
      <c r="R92" s="1">
        <v>100</v>
      </c>
      <c r="S92" s="1">
        <v>52400</v>
      </c>
      <c r="T92" s="1" t="s">
        <v>59</v>
      </c>
      <c r="U92" s="1" t="s">
        <v>69</v>
      </c>
      <c r="V92" s="1">
        <v>0</v>
      </c>
      <c r="W92" s="1" t="s">
        <v>28</v>
      </c>
      <c r="X92" s="1" t="s">
        <v>28</v>
      </c>
      <c r="Y92" s="2">
        <v>73500</v>
      </c>
      <c r="AA92" s="2">
        <f t="shared" si="13"/>
        <v>60690</v>
      </c>
      <c r="AB92" s="9">
        <f t="shared" si="10"/>
        <v>10969.169999999998</v>
      </c>
      <c r="AC92" s="2">
        <f>VLOOKUP(A92,[1]Sheet1!$A$3:$AD$575,29,)</f>
        <v>0</v>
      </c>
      <c r="AD92" s="10">
        <f>VLOOKUP(A92,[1]Sheet1!$A$3:$AD$575,30,0)</f>
        <v>0</v>
      </c>
      <c r="AE92" s="2">
        <f>VLOOKUP(A92,[1]Sheet1!$A$3:$AD$575,28,0)</f>
        <v>10969.169999999998</v>
      </c>
      <c r="AF92" s="2">
        <f t="shared" si="11"/>
        <v>0</v>
      </c>
      <c r="AH92" s="2">
        <f t="shared" si="12"/>
        <v>60690</v>
      </c>
      <c r="AK92" s="2"/>
      <c r="AL92" s="2">
        <v>154674.51</v>
      </c>
      <c r="AM92" s="1" t="s">
        <v>223</v>
      </c>
      <c r="AN92" s="2">
        <v>93984.510000000009</v>
      </c>
      <c r="AO92" s="1" t="s">
        <v>224</v>
      </c>
      <c r="AQ92" s="2"/>
    </row>
    <row r="93" spans="1:43" x14ac:dyDescent="0.25">
      <c r="A93" s="1">
        <v>23304</v>
      </c>
      <c r="B93" s="1" t="s">
        <v>55</v>
      </c>
      <c r="C93" s="1" t="s">
        <v>26</v>
      </c>
      <c r="D93" s="1" t="s">
        <v>163</v>
      </c>
      <c r="E93" s="1" t="s">
        <v>28</v>
      </c>
      <c r="F93" s="1" t="s">
        <v>28</v>
      </c>
      <c r="G93" s="1" t="s">
        <v>28</v>
      </c>
      <c r="H93" s="1" t="s">
        <v>39</v>
      </c>
      <c r="I93" s="1" t="s">
        <v>30</v>
      </c>
      <c r="J93" s="1" t="s">
        <v>97</v>
      </c>
      <c r="K93" s="12">
        <v>71659.17</v>
      </c>
      <c r="L93" s="2">
        <v>10969.17</v>
      </c>
      <c r="M93" s="2">
        <v>60690</v>
      </c>
      <c r="N93" s="2">
        <v>9103.5</v>
      </c>
      <c r="O93" s="2">
        <v>60690</v>
      </c>
      <c r="P93" s="1">
        <v>0</v>
      </c>
      <c r="Q93" s="1" t="s">
        <v>68</v>
      </c>
      <c r="R93" s="1">
        <v>100</v>
      </c>
      <c r="S93" s="1">
        <v>52400</v>
      </c>
      <c r="T93" s="1" t="s">
        <v>59</v>
      </c>
      <c r="U93" s="1" t="s">
        <v>69</v>
      </c>
      <c r="V93" s="1">
        <v>0</v>
      </c>
      <c r="W93" s="1" t="s">
        <v>28</v>
      </c>
      <c r="X93" s="1" t="s">
        <v>28</v>
      </c>
      <c r="Y93" s="2">
        <v>73500</v>
      </c>
      <c r="AA93" s="2">
        <f t="shared" si="13"/>
        <v>60690</v>
      </c>
      <c r="AB93" s="9">
        <f t="shared" si="10"/>
        <v>10969.169999999998</v>
      </c>
      <c r="AC93" s="2">
        <f>VLOOKUP(A93,[1]Sheet1!$A$3:$AD$575,29,)</f>
        <v>0</v>
      </c>
      <c r="AD93" s="10">
        <f>VLOOKUP(A93,[1]Sheet1!$A$3:$AD$575,30,0)</f>
        <v>0</v>
      </c>
      <c r="AE93" s="2">
        <f>VLOOKUP(A93,[1]Sheet1!$A$3:$AD$575,28,0)</f>
        <v>10969.169999999998</v>
      </c>
      <c r="AF93" s="2">
        <f t="shared" si="11"/>
        <v>0</v>
      </c>
      <c r="AH93" s="2">
        <f t="shared" si="12"/>
        <v>60690</v>
      </c>
      <c r="AK93" s="2"/>
      <c r="AL93" s="2">
        <v>154674.51</v>
      </c>
      <c r="AM93" s="1" t="s">
        <v>223</v>
      </c>
      <c r="AN93" s="2">
        <v>93984.510000000009</v>
      </c>
      <c r="AO93" s="1" t="s">
        <v>224</v>
      </c>
      <c r="AQ93" s="2"/>
    </row>
    <row r="94" spans="1:43" x14ac:dyDescent="0.25">
      <c r="A94" s="1">
        <v>23305</v>
      </c>
      <c r="B94" s="1" t="s">
        <v>55</v>
      </c>
      <c r="C94" s="1" t="s">
        <v>26</v>
      </c>
      <c r="D94" s="1" t="s">
        <v>164</v>
      </c>
      <c r="E94" s="1" t="s">
        <v>28</v>
      </c>
      <c r="F94" s="1" t="s">
        <v>28</v>
      </c>
      <c r="G94" s="1" t="s">
        <v>28</v>
      </c>
      <c r="H94" s="1" t="s">
        <v>39</v>
      </c>
      <c r="I94" s="1" t="s">
        <v>30</v>
      </c>
      <c r="J94" s="1" t="s">
        <v>97</v>
      </c>
      <c r="K94" s="12">
        <v>57443.99</v>
      </c>
      <c r="L94" s="2">
        <v>0</v>
      </c>
      <c r="M94" s="2">
        <v>57443.99</v>
      </c>
      <c r="N94" s="2">
        <v>9586.5</v>
      </c>
      <c r="O94" s="2">
        <v>63910</v>
      </c>
      <c r="P94" s="1">
        <v>0</v>
      </c>
      <c r="Q94" s="1" t="s">
        <v>68</v>
      </c>
      <c r="R94" s="1">
        <v>100</v>
      </c>
      <c r="S94" s="1">
        <v>55200</v>
      </c>
      <c r="T94" s="1" t="s">
        <v>59</v>
      </c>
      <c r="U94" s="1" t="s">
        <v>69</v>
      </c>
      <c r="V94" s="1">
        <v>0</v>
      </c>
      <c r="W94" s="1" t="s">
        <v>28</v>
      </c>
      <c r="X94" s="1" t="s">
        <v>28</v>
      </c>
      <c r="Y94" s="2">
        <v>77400</v>
      </c>
      <c r="AA94" s="2">
        <f t="shared" si="13"/>
        <v>63910</v>
      </c>
      <c r="AB94" s="9">
        <f t="shared" si="10"/>
        <v>0</v>
      </c>
      <c r="AC94" s="2">
        <f>VLOOKUP(A94,[1]Sheet1!$A$3:$AD$575,29,)</f>
        <v>0</v>
      </c>
      <c r="AD94" s="10">
        <f>VLOOKUP(A94,[1]Sheet1!$A$3:$AD$575,30,0)</f>
        <v>0</v>
      </c>
      <c r="AE94" s="2">
        <f>VLOOKUP(A94,[1]Sheet1!$A$3:$AD$575,28,0)</f>
        <v>0</v>
      </c>
      <c r="AF94" s="2">
        <f t="shared" si="11"/>
        <v>0</v>
      </c>
      <c r="AH94" s="2">
        <f t="shared" si="12"/>
        <v>57443.99</v>
      </c>
      <c r="AK94" s="2"/>
      <c r="AL94" s="2">
        <v>93402.51</v>
      </c>
      <c r="AM94" s="1" t="s">
        <v>223</v>
      </c>
      <c r="AN94" s="2">
        <v>35958.519999999997</v>
      </c>
      <c r="AO94" s="1" t="s">
        <v>224</v>
      </c>
      <c r="AQ94" s="2"/>
    </row>
    <row r="95" spans="1:43" x14ac:dyDescent="0.25">
      <c r="A95" s="1">
        <v>23306</v>
      </c>
      <c r="B95" s="1" t="s">
        <v>55</v>
      </c>
      <c r="C95" s="1" t="s">
        <v>26</v>
      </c>
      <c r="D95" s="1" t="s">
        <v>165</v>
      </c>
      <c r="E95" s="1" t="s">
        <v>28</v>
      </c>
      <c r="F95" s="1" t="s">
        <v>28</v>
      </c>
      <c r="G95" s="1" t="s">
        <v>28</v>
      </c>
      <c r="H95" s="1" t="s">
        <v>39</v>
      </c>
      <c r="I95" s="1" t="s">
        <v>30</v>
      </c>
      <c r="J95" s="1" t="s">
        <v>97</v>
      </c>
      <c r="K95" s="12">
        <v>74643.990000000005</v>
      </c>
      <c r="L95" s="2">
        <v>10733.99</v>
      </c>
      <c r="M95" s="2">
        <v>63910</v>
      </c>
      <c r="N95" s="2">
        <v>9586.5</v>
      </c>
      <c r="O95" s="2">
        <v>63910</v>
      </c>
      <c r="P95" s="1">
        <v>0</v>
      </c>
      <c r="Q95" s="1" t="s">
        <v>68</v>
      </c>
      <c r="R95" s="1">
        <v>100</v>
      </c>
      <c r="S95" s="1">
        <v>55200</v>
      </c>
      <c r="T95" s="1" t="s">
        <v>59</v>
      </c>
      <c r="U95" s="1" t="s">
        <v>69</v>
      </c>
      <c r="V95" s="1">
        <v>0</v>
      </c>
      <c r="W95" s="1" t="s">
        <v>28</v>
      </c>
      <c r="X95" s="1" t="s">
        <v>28</v>
      </c>
      <c r="Y95" s="2">
        <v>77400</v>
      </c>
      <c r="AA95" s="2">
        <f t="shared" si="13"/>
        <v>63910</v>
      </c>
      <c r="AB95" s="9">
        <f t="shared" si="10"/>
        <v>10733.990000000005</v>
      </c>
      <c r="AC95" s="2">
        <f>VLOOKUP(A95,[1]Sheet1!$A$3:$AD$575,29,)</f>
        <v>0</v>
      </c>
      <c r="AD95" s="10">
        <f>VLOOKUP(A95,[1]Sheet1!$A$3:$AD$575,30,0)</f>
        <v>0</v>
      </c>
      <c r="AE95" s="2">
        <f>VLOOKUP(A95,[1]Sheet1!$A$3:$AD$575,28,0)</f>
        <v>10733.990000000005</v>
      </c>
      <c r="AF95" s="2">
        <f t="shared" si="11"/>
        <v>0</v>
      </c>
      <c r="AH95" s="2">
        <f t="shared" si="12"/>
        <v>63910</v>
      </c>
      <c r="AK95" s="2"/>
      <c r="AL95" s="2">
        <v>132714.51</v>
      </c>
      <c r="AM95" s="1" t="s">
        <v>223</v>
      </c>
      <c r="AN95" s="2">
        <v>68804.510000000009</v>
      </c>
      <c r="AO95" s="1" t="s">
        <v>224</v>
      </c>
      <c r="AQ95" s="2"/>
    </row>
    <row r="96" spans="1:43" x14ac:dyDescent="0.25">
      <c r="A96" s="1">
        <v>23307</v>
      </c>
      <c r="B96" s="1" t="s">
        <v>55</v>
      </c>
      <c r="C96" s="1" t="s">
        <v>26</v>
      </c>
      <c r="D96" s="1" t="s">
        <v>166</v>
      </c>
      <c r="E96" s="1" t="s">
        <v>28</v>
      </c>
      <c r="F96" s="1" t="s">
        <v>28</v>
      </c>
      <c r="G96" s="1" t="s">
        <v>28</v>
      </c>
      <c r="H96" s="1" t="s">
        <v>39</v>
      </c>
      <c r="I96" s="1" t="s">
        <v>30</v>
      </c>
      <c r="J96" s="1" t="s">
        <v>97</v>
      </c>
      <c r="K96" s="12">
        <v>87917.66</v>
      </c>
      <c r="L96" s="2">
        <v>2417.66</v>
      </c>
      <c r="M96" s="2">
        <v>85500</v>
      </c>
      <c r="N96" s="2">
        <v>12825</v>
      </c>
      <c r="O96" s="2">
        <v>85500</v>
      </c>
      <c r="P96" s="1">
        <v>0</v>
      </c>
      <c r="Q96" s="1" t="s">
        <v>68</v>
      </c>
      <c r="R96" s="1">
        <v>100</v>
      </c>
      <c r="S96" s="1">
        <v>74000</v>
      </c>
      <c r="T96" s="1" t="s">
        <v>59</v>
      </c>
      <c r="U96" s="1" t="s">
        <v>69</v>
      </c>
      <c r="V96" s="1">
        <v>0</v>
      </c>
      <c r="W96" s="1" t="s">
        <v>28</v>
      </c>
      <c r="X96" s="1" t="s">
        <v>28</v>
      </c>
      <c r="Y96" s="2">
        <v>103800</v>
      </c>
      <c r="AA96" s="2">
        <f t="shared" si="13"/>
        <v>85500</v>
      </c>
      <c r="AB96" s="9">
        <f t="shared" si="10"/>
        <v>2417.6600000000035</v>
      </c>
      <c r="AC96" s="2">
        <f>VLOOKUP(A96,[1]Sheet1!$A$3:$AD$575,29,)</f>
        <v>0</v>
      </c>
      <c r="AD96" s="10">
        <f>VLOOKUP(A96,[1]Sheet1!$A$3:$AD$575,30,0)</f>
        <v>0</v>
      </c>
      <c r="AE96" s="2">
        <f>VLOOKUP(A96,[1]Sheet1!$A$3:$AD$575,28,0)</f>
        <v>2417.6600000000035</v>
      </c>
      <c r="AF96" s="2">
        <f t="shared" si="11"/>
        <v>0</v>
      </c>
      <c r="AH96" s="2">
        <f t="shared" si="12"/>
        <v>85500</v>
      </c>
      <c r="AK96" s="2"/>
      <c r="AL96" s="2">
        <v>180386.5</v>
      </c>
      <c r="AM96" s="1" t="s">
        <v>223</v>
      </c>
      <c r="AN96" s="2">
        <v>94886.5</v>
      </c>
      <c r="AO96" s="1" t="s">
        <v>224</v>
      </c>
      <c r="AQ96" s="2"/>
    </row>
    <row r="97" spans="1:43" x14ac:dyDescent="0.25">
      <c r="A97" s="1">
        <v>25044</v>
      </c>
      <c r="B97" s="1" t="s">
        <v>25</v>
      </c>
      <c r="C97" s="1" t="s">
        <v>167</v>
      </c>
      <c r="D97" s="1" t="s">
        <v>168</v>
      </c>
      <c r="E97" s="1" t="s">
        <v>169</v>
      </c>
      <c r="F97" s="1" t="s">
        <v>28</v>
      </c>
      <c r="G97" s="1" t="s">
        <v>28</v>
      </c>
      <c r="H97" s="1" t="s">
        <v>39</v>
      </c>
      <c r="I97" s="1" t="s">
        <v>63</v>
      </c>
      <c r="J97" s="1" t="s">
        <v>170</v>
      </c>
      <c r="K97" s="12">
        <v>46300</v>
      </c>
      <c r="L97" s="2">
        <v>0</v>
      </c>
      <c r="M97" s="2">
        <v>46300</v>
      </c>
      <c r="N97" s="2">
        <v>10000</v>
      </c>
      <c r="O97" s="2">
        <v>100000</v>
      </c>
      <c r="P97" s="1">
        <v>0</v>
      </c>
      <c r="Q97" s="1" t="s">
        <v>171</v>
      </c>
      <c r="R97" s="1">
        <v>100</v>
      </c>
      <c r="S97" s="1">
        <v>98300</v>
      </c>
      <c r="T97" s="1" t="s">
        <v>172</v>
      </c>
      <c r="U97" s="1" t="s">
        <v>173</v>
      </c>
      <c r="V97" s="1">
        <v>0</v>
      </c>
      <c r="W97" s="1" t="s">
        <v>28</v>
      </c>
      <c r="X97" s="1" t="s">
        <v>28</v>
      </c>
      <c r="Y97" s="2">
        <v>115400</v>
      </c>
      <c r="AA97" s="2">
        <f t="shared" si="13"/>
        <v>100000</v>
      </c>
      <c r="AB97" s="9">
        <f t="shared" si="10"/>
        <v>0</v>
      </c>
      <c r="AC97" s="2">
        <f>VLOOKUP(A97,[1]Sheet1!$A$3:$AD$575,29,)</f>
        <v>0</v>
      </c>
      <c r="AD97" s="10">
        <f>VLOOKUP(A97,[1]Sheet1!$A$3:$AD$575,30,0)</f>
        <v>0</v>
      </c>
      <c r="AE97" s="2">
        <f>VLOOKUP(A97,[1]Sheet1!$A$3:$AD$575,28,0)</f>
        <v>0</v>
      </c>
      <c r="AF97" s="2">
        <f t="shared" si="11"/>
        <v>0</v>
      </c>
      <c r="AH97" s="2">
        <f t="shared" si="12"/>
        <v>46300</v>
      </c>
      <c r="AK97" s="2"/>
      <c r="AL97" s="2">
        <v>100842.5</v>
      </c>
      <c r="AM97" s="1" t="s">
        <v>223</v>
      </c>
      <c r="AN97" s="2">
        <v>54542.5</v>
      </c>
      <c r="AO97" s="1" t="s">
        <v>224</v>
      </c>
      <c r="AQ97" s="2"/>
    </row>
    <row r="98" spans="1:43" x14ac:dyDescent="0.25">
      <c r="A98" s="1">
        <v>25083</v>
      </c>
      <c r="B98" s="1" t="s">
        <v>25</v>
      </c>
      <c r="C98" s="1" t="s">
        <v>167</v>
      </c>
      <c r="D98" s="1" t="s">
        <v>174</v>
      </c>
      <c r="E98" s="1" t="s">
        <v>175</v>
      </c>
      <c r="F98" s="1" t="s">
        <v>28</v>
      </c>
      <c r="G98" s="1" t="s">
        <v>28</v>
      </c>
      <c r="H98" s="1" t="s">
        <v>39</v>
      </c>
      <c r="I98" s="1" t="s">
        <v>63</v>
      </c>
      <c r="J98" s="1" t="s">
        <v>170</v>
      </c>
      <c r="K98" s="12">
        <v>63000</v>
      </c>
      <c r="L98" s="2">
        <v>0</v>
      </c>
      <c r="M98" s="2">
        <v>63000</v>
      </c>
      <c r="N98" s="2">
        <v>13957.14</v>
      </c>
      <c r="O98" s="2">
        <v>139571.38</v>
      </c>
      <c r="P98" s="1">
        <v>0</v>
      </c>
      <c r="Q98" s="11">
        <v>45276</v>
      </c>
      <c r="R98" s="1">
        <v>100</v>
      </c>
      <c r="S98" s="1">
        <v>199235</v>
      </c>
      <c r="T98" s="1" t="s">
        <v>32</v>
      </c>
      <c r="U98" s="1" t="s">
        <v>176</v>
      </c>
      <c r="V98" s="1">
        <v>0</v>
      </c>
      <c r="W98" s="1" t="s">
        <v>28</v>
      </c>
      <c r="X98" s="1" t="s">
        <v>28</v>
      </c>
      <c r="Y98" s="2">
        <v>231600</v>
      </c>
      <c r="AA98" s="2">
        <f t="shared" si="13"/>
        <v>139571.38</v>
      </c>
      <c r="AB98" s="9">
        <f>IF((K98-AA98)&gt;0,K98-AA98,0)+AD98+AC98</f>
        <v>0</v>
      </c>
      <c r="AC98" s="2">
        <f>VLOOKUP(A98,[1]Sheet1!$A$3:$AD$575,29,)</f>
        <v>0</v>
      </c>
      <c r="AD98" s="10">
        <f>VLOOKUP(A98,[1]Sheet1!$A$3:$AD$575,30,0)</f>
        <v>0</v>
      </c>
      <c r="AE98" s="2">
        <f>VLOOKUP(A98,[1]Sheet1!$A$3:$AD$575,28,0)</f>
        <v>0</v>
      </c>
      <c r="AF98" s="2">
        <f t="shared" si="11"/>
        <v>0</v>
      </c>
      <c r="AH98" s="2">
        <f t="shared" si="12"/>
        <v>63000</v>
      </c>
      <c r="AK98" s="2"/>
      <c r="AL98" s="2">
        <v>107507.5</v>
      </c>
      <c r="AM98" s="1" t="s">
        <v>223</v>
      </c>
      <c r="AN98" s="2">
        <v>44507.5</v>
      </c>
      <c r="AO98" s="1" t="s">
        <v>224</v>
      </c>
      <c r="AQ98" s="2"/>
    </row>
    <row r="99" spans="1:43" x14ac:dyDescent="0.25">
      <c r="A99" s="1">
        <v>25092</v>
      </c>
      <c r="B99" s="1" t="s">
        <v>25</v>
      </c>
      <c r="C99" s="1" t="s">
        <v>167</v>
      </c>
      <c r="D99" s="1" t="s">
        <v>177</v>
      </c>
      <c r="E99" s="1" t="s">
        <v>178</v>
      </c>
      <c r="F99" s="1" t="s">
        <v>28</v>
      </c>
      <c r="G99" s="1" t="s">
        <v>28</v>
      </c>
      <c r="H99" s="1" t="s">
        <v>39</v>
      </c>
      <c r="I99" s="1" t="s">
        <v>179</v>
      </c>
      <c r="J99" s="1" t="s">
        <v>180</v>
      </c>
      <c r="K99" s="12">
        <v>66700</v>
      </c>
      <c r="L99" s="2">
        <v>7285.27</v>
      </c>
      <c r="M99" s="2">
        <v>59414.73</v>
      </c>
      <c r="N99" s="2">
        <v>5941.47</v>
      </c>
      <c r="O99" s="2">
        <v>59414.73</v>
      </c>
      <c r="P99" s="1">
        <v>0</v>
      </c>
      <c r="Q99" s="11">
        <v>45276</v>
      </c>
      <c r="R99" s="1">
        <v>100</v>
      </c>
      <c r="S99" s="1">
        <v>98425</v>
      </c>
      <c r="T99" s="1" t="s">
        <v>32</v>
      </c>
      <c r="U99" s="1" t="s">
        <v>181</v>
      </c>
      <c r="V99" s="1">
        <v>0</v>
      </c>
      <c r="W99" s="1" t="s">
        <v>28</v>
      </c>
      <c r="X99" s="1" t="s">
        <v>28</v>
      </c>
      <c r="Y99" s="2">
        <v>123100</v>
      </c>
      <c r="AA99" s="2">
        <f t="shared" si="13"/>
        <v>59414.73</v>
      </c>
      <c r="AB99" s="9">
        <f t="shared" si="10"/>
        <v>7285.2699999999968</v>
      </c>
      <c r="AC99" s="2">
        <f>VLOOKUP(A99,[1]Sheet1!$A$3:$AD$575,29,)</f>
        <v>0</v>
      </c>
      <c r="AD99" s="10">
        <f>VLOOKUP(A99,[1]Sheet1!$A$3:$AD$575,30,0)</f>
        <v>0</v>
      </c>
      <c r="AE99" s="2">
        <f>VLOOKUP(A99,[1]Sheet1!$A$3:$AD$575,28,0)</f>
        <v>7285.2699999999968</v>
      </c>
      <c r="AF99" s="2">
        <f t="shared" si="11"/>
        <v>0</v>
      </c>
      <c r="AH99" s="2">
        <f t="shared" si="12"/>
        <v>59414.73</v>
      </c>
      <c r="AK99" s="2"/>
      <c r="AL99" s="2">
        <v>151405</v>
      </c>
      <c r="AM99" s="1" t="s">
        <v>223</v>
      </c>
      <c r="AN99" s="2">
        <v>91990.26999999999</v>
      </c>
      <c r="AO99" s="1" t="s">
        <v>224</v>
      </c>
      <c r="AQ99" s="2"/>
    </row>
    <row r="100" spans="1:43" x14ac:dyDescent="0.25">
      <c r="A100" s="1">
        <v>25095</v>
      </c>
      <c r="B100" s="1" t="s">
        <v>25</v>
      </c>
      <c r="C100" s="1" t="s">
        <v>167</v>
      </c>
      <c r="D100" s="1" t="s">
        <v>182</v>
      </c>
      <c r="E100" s="1" t="s">
        <v>183</v>
      </c>
      <c r="F100" s="1" t="s">
        <v>28</v>
      </c>
      <c r="G100" s="1" t="s">
        <v>28</v>
      </c>
      <c r="H100" s="1" t="s">
        <v>39</v>
      </c>
      <c r="I100" s="1" t="s">
        <v>179</v>
      </c>
      <c r="J100" s="1" t="s">
        <v>184</v>
      </c>
      <c r="K100" s="12">
        <v>21900</v>
      </c>
      <c r="L100" s="2">
        <v>17712.45</v>
      </c>
      <c r="M100" s="2">
        <v>4187.55</v>
      </c>
      <c r="N100" s="2">
        <v>418.76</v>
      </c>
      <c r="O100" s="2">
        <v>4187.55</v>
      </c>
      <c r="P100" s="1">
        <v>0</v>
      </c>
      <c r="Q100" s="11">
        <v>45276</v>
      </c>
      <c r="R100" s="1">
        <v>100</v>
      </c>
      <c r="S100" s="1">
        <v>4000</v>
      </c>
      <c r="T100" s="1" t="s">
        <v>46</v>
      </c>
      <c r="U100" s="1" t="s">
        <v>185</v>
      </c>
      <c r="V100" s="1">
        <v>0</v>
      </c>
      <c r="W100" s="1" t="s">
        <v>28</v>
      </c>
      <c r="X100" s="1" t="s">
        <v>28</v>
      </c>
      <c r="Y100" s="2">
        <v>5400</v>
      </c>
      <c r="AA100" s="2">
        <f t="shared" si="13"/>
        <v>4187.55</v>
      </c>
      <c r="AB100" s="9">
        <f t="shared" si="10"/>
        <v>17712.45</v>
      </c>
      <c r="AC100" s="2">
        <f>VLOOKUP(A100,[1]Sheet1!$A$3:$AD$575,29,)</f>
        <v>0</v>
      </c>
      <c r="AD100" s="10">
        <f>VLOOKUP(A100,[1]Sheet1!$A$3:$AD$575,30,0)</f>
        <v>0</v>
      </c>
      <c r="AE100" s="2">
        <f>VLOOKUP(A100,[1]Sheet1!$A$3:$AD$575,28,0)</f>
        <v>17712.45</v>
      </c>
      <c r="AF100" s="2">
        <f t="shared" si="11"/>
        <v>0</v>
      </c>
      <c r="AH100" s="2">
        <f t="shared" si="12"/>
        <v>4187.5499999999993</v>
      </c>
      <c r="AK100" s="2"/>
      <c r="AL100" s="2">
        <v>52325</v>
      </c>
      <c r="AM100" s="1" t="s">
        <v>223</v>
      </c>
      <c r="AN100" s="2">
        <v>48137.45</v>
      </c>
      <c r="AO100" s="1" t="s">
        <v>224</v>
      </c>
      <c r="AQ100" s="2"/>
    </row>
    <row r="101" spans="1:43" x14ac:dyDescent="0.25">
      <c r="A101" s="1">
        <v>25654</v>
      </c>
      <c r="B101" s="1" t="s">
        <v>25</v>
      </c>
      <c r="C101" s="1" t="s">
        <v>26</v>
      </c>
      <c r="D101" s="1" t="s">
        <v>186</v>
      </c>
      <c r="E101" s="1" t="s">
        <v>28</v>
      </c>
      <c r="F101" s="1" t="s">
        <v>28</v>
      </c>
      <c r="G101" s="1" t="s">
        <v>28</v>
      </c>
      <c r="H101" s="1" t="s">
        <v>45</v>
      </c>
      <c r="I101" s="1" t="s">
        <v>80</v>
      </c>
      <c r="J101" s="1" t="s">
        <v>187</v>
      </c>
      <c r="K101" s="12">
        <v>47870.25</v>
      </c>
      <c r="L101" s="2">
        <v>16170.25</v>
      </c>
      <c r="M101" s="2">
        <v>31700</v>
      </c>
      <c r="N101" s="2">
        <v>0</v>
      </c>
      <c r="O101" s="2">
        <v>0</v>
      </c>
      <c r="P101" s="1">
        <v>0</v>
      </c>
      <c r="Q101" s="1" t="s">
        <v>28</v>
      </c>
      <c r="R101" s="1">
        <v>100</v>
      </c>
      <c r="S101" s="2">
        <v>31700</v>
      </c>
      <c r="T101" s="1" t="s">
        <v>188</v>
      </c>
      <c r="U101" s="1" t="s">
        <v>189</v>
      </c>
      <c r="V101" s="1">
        <v>0</v>
      </c>
      <c r="W101" s="1" t="s">
        <v>28</v>
      </c>
      <c r="X101" s="1" t="s">
        <v>28</v>
      </c>
      <c r="Y101" s="2">
        <v>44800</v>
      </c>
      <c r="AA101" s="2">
        <f t="shared" ref="AA101:AA106" si="14">+S101</f>
        <v>31700</v>
      </c>
      <c r="AB101" s="9">
        <f t="shared" si="10"/>
        <v>16170.25</v>
      </c>
      <c r="AC101" s="2">
        <f>VLOOKUP(A101,[1]Sheet1!$A$3:$AD$575,29,)</f>
        <v>0</v>
      </c>
      <c r="AD101" s="10">
        <f>VLOOKUP(A101,[1]Sheet1!$A$3:$AD$575,30,0)</f>
        <v>0</v>
      </c>
      <c r="AE101" s="2">
        <f>VLOOKUP(A101,[1]Sheet1!$A$3:$AD$575,28,0)</f>
        <v>16170.25</v>
      </c>
      <c r="AF101" s="2">
        <f t="shared" si="11"/>
        <v>0</v>
      </c>
      <c r="AH101" s="2">
        <f t="shared" si="12"/>
        <v>31700</v>
      </c>
      <c r="AK101" s="2"/>
      <c r="AL101" s="2">
        <v>79380</v>
      </c>
      <c r="AM101" s="1" t="s">
        <v>223</v>
      </c>
      <c r="AN101" s="2">
        <v>47680</v>
      </c>
      <c r="AO101" s="1" t="s">
        <v>224</v>
      </c>
      <c r="AQ101" s="2"/>
    </row>
    <row r="102" spans="1:43" x14ac:dyDescent="0.25">
      <c r="A102" s="1">
        <v>25657</v>
      </c>
      <c r="B102" s="1" t="s">
        <v>25</v>
      </c>
      <c r="C102" s="1" t="s">
        <v>26</v>
      </c>
      <c r="D102" s="1" t="s">
        <v>190</v>
      </c>
      <c r="E102" s="1" t="s">
        <v>28</v>
      </c>
      <c r="F102" s="1" t="s">
        <v>28</v>
      </c>
      <c r="G102" s="1" t="s">
        <v>28</v>
      </c>
      <c r="H102" s="1" t="s">
        <v>29</v>
      </c>
      <c r="I102" s="1" t="s">
        <v>80</v>
      </c>
      <c r="J102" s="1" t="s">
        <v>187</v>
      </c>
      <c r="K102" s="12">
        <v>107415</v>
      </c>
      <c r="L102" s="2">
        <v>45415</v>
      </c>
      <c r="M102" s="2">
        <v>62000</v>
      </c>
      <c r="N102" s="2">
        <v>0</v>
      </c>
      <c r="O102" s="2">
        <v>0</v>
      </c>
      <c r="P102" s="1">
        <v>0</v>
      </c>
      <c r="Q102" s="1" t="s">
        <v>28</v>
      </c>
      <c r="R102" s="1">
        <v>100</v>
      </c>
      <c r="S102" s="2">
        <v>62000</v>
      </c>
      <c r="T102" s="1" t="s">
        <v>42</v>
      </c>
      <c r="U102" s="1" t="s">
        <v>191</v>
      </c>
      <c r="V102" s="1">
        <v>0</v>
      </c>
      <c r="W102" s="1" t="s">
        <v>28</v>
      </c>
      <c r="X102" s="1" t="s">
        <v>28</v>
      </c>
      <c r="Y102" s="2">
        <v>78000</v>
      </c>
      <c r="AA102" s="2">
        <f t="shared" si="14"/>
        <v>62000</v>
      </c>
      <c r="AB102" s="9">
        <f t="shared" si="10"/>
        <v>45415</v>
      </c>
      <c r="AC102" s="2">
        <f>VLOOKUP(A102,[1]Sheet1!$A$3:$AD$575,29,)</f>
        <v>0</v>
      </c>
      <c r="AD102" s="10">
        <f>VLOOKUP(A102,[1]Sheet1!$A$3:$AD$575,30,0)</f>
        <v>0</v>
      </c>
      <c r="AE102" s="2">
        <f>VLOOKUP(A102,[1]Sheet1!$A$3:$AD$575,28,0)</f>
        <v>45415</v>
      </c>
      <c r="AF102" s="2">
        <f t="shared" si="11"/>
        <v>0</v>
      </c>
      <c r="AH102" s="2">
        <f t="shared" si="12"/>
        <v>62000</v>
      </c>
      <c r="AK102" s="2"/>
      <c r="AL102" s="2">
        <v>130000</v>
      </c>
      <c r="AM102" s="1" t="s">
        <v>223</v>
      </c>
      <c r="AN102" s="2">
        <v>68000</v>
      </c>
      <c r="AO102" s="1" t="s">
        <v>224</v>
      </c>
      <c r="AQ102" s="2"/>
    </row>
    <row r="103" spans="1:43" x14ac:dyDescent="0.25">
      <c r="A103" s="1">
        <v>25850</v>
      </c>
      <c r="B103" s="1" t="s">
        <v>25</v>
      </c>
      <c r="C103" s="1" t="s">
        <v>26</v>
      </c>
      <c r="D103" s="1" t="s">
        <v>192</v>
      </c>
      <c r="E103" s="1" t="s">
        <v>193</v>
      </c>
      <c r="F103" s="1" t="s">
        <v>28</v>
      </c>
      <c r="G103" s="1" t="s">
        <v>28</v>
      </c>
      <c r="H103" s="1" t="s">
        <v>29</v>
      </c>
      <c r="I103" s="1" t="s">
        <v>30</v>
      </c>
      <c r="J103" s="1" t="s">
        <v>194</v>
      </c>
      <c r="K103" s="12">
        <v>143909.01999999999</v>
      </c>
      <c r="L103" s="2">
        <v>0</v>
      </c>
      <c r="M103" s="2">
        <v>143909.01999999999</v>
      </c>
      <c r="N103" s="2">
        <v>0</v>
      </c>
      <c r="O103" s="2">
        <v>0</v>
      </c>
      <c r="P103" s="1">
        <v>0</v>
      </c>
      <c r="Q103" s="1" t="s">
        <v>28</v>
      </c>
      <c r="R103" s="1">
        <v>100</v>
      </c>
      <c r="S103" s="2">
        <v>184000</v>
      </c>
      <c r="T103" s="1" t="s">
        <v>46</v>
      </c>
      <c r="U103" s="1" t="s">
        <v>195</v>
      </c>
      <c r="V103" s="1">
        <v>0</v>
      </c>
      <c r="W103" s="1" t="s">
        <v>28</v>
      </c>
      <c r="X103" s="1" t="s">
        <v>28</v>
      </c>
      <c r="Y103" s="2">
        <v>228000</v>
      </c>
      <c r="AA103" s="2">
        <f t="shared" si="14"/>
        <v>184000</v>
      </c>
      <c r="AB103" s="9">
        <f t="shared" si="10"/>
        <v>0</v>
      </c>
      <c r="AC103" s="2">
        <f>VLOOKUP(A103,[1]Sheet1!$A$3:$AD$575,29,)</f>
        <v>0</v>
      </c>
      <c r="AD103" s="10">
        <f>VLOOKUP(A103,[1]Sheet1!$A$3:$AD$575,30,0)</f>
        <v>0</v>
      </c>
      <c r="AE103" s="2">
        <f>VLOOKUP(A103,[1]Sheet1!$A$3:$AD$575,28,0)</f>
        <v>0</v>
      </c>
      <c r="AF103" s="2">
        <f t="shared" si="11"/>
        <v>0</v>
      </c>
      <c r="AH103" s="2">
        <f t="shared" si="12"/>
        <v>143909.01999999999</v>
      </c>
      <c r="AK103" s="2"/>
      <c r="AL103" s="2">
        <v>439913.88</v>
      </c>
      <c r="AM103" s="1" t="s">
        <v>223</v>
      </c>
      <c r="AN103" s="2">
        <v>296004.86</v>
      </c>
      <c r="AO103" s="1" t="s">
        <v>224</v>
      </c>
      <c r="AQ103" s="2"/>
    </row>
    <row r="104" spans="1:43" x14ac:dyDescent="0.25">
      <c r="A104" s="1">
        <v>25945</v>
      </c>
      <c r="B104" s="1" t="s">
        <v>55</v>
      </c>
      <c r="C104" s="1" t="s">
        <v>26</v>
      </c>
      <c r="D104" s="1" t="s">
        <v>196</v>
      </c>
      <c r="E104" s="1" t="s">
        <v>197</v>
      </c>
      <c r="F104" s="1" t="s">
        <v>28</v>
      </c>
      <c r="G104" s="1" t="s">
        <v>28</v>
      </c>
      <c r="H104" s="1" t="s">
        <v>29</v>
      </c>
      <c r="I104" s="1" t="s">
        <v>80</v>
      </c>
      <c r="J104" s="1" t="s">
        <v>194</v>
      </c>
      <c r="K104" s="12">
        <v>2137091.25</v>
      </c>
      <c r="L104" s="2">
        <v>877091.25</v>
      </c>
      <c r="M104" s="2">
        <v>1260000</v>
      </c>
      <c r="N104" s="2">
        <v>0</v>
      </c>
      <c r="O104" s="2">
        <v>0</v>
      </c>
      <c r="P104" s="1">
        <v>0</v>
      </c>
      <c r="Q104" s="1" t="s">
        <v>28</v>
      </c>
      <c r="R104" s="1">
        <v>100</v>
      </c>
      <c r="S104" s="2">
        <v>1260000</v>
      </c>
      <c r="T104" s="1" t="s">
        <v>198</v>
      </c>
      <c r="U104" s="1" t="s">
        <v>199</v>
      </c>
      <c r="V104" s="1">
        <v>0</v>
      </c>
      <c r="W104" s="1" t="s">
        <v>28</v>
      </c>
      <c r="X104" s="1" t="s">
        <v>28</v>
      </c>
      <c r="Y104" s="2">
        <v>1609000</v>
      </c>
      <c r="AA104" s="2">
        <f t="shared" si="14"/>
        <v>1260000</v>
      </c>
      <c r="AB104" s="9">
        <f>IF((K104-AA104)&gt;0,K104-AA104,0)+AD104+AC104+210000</f>
        <v>1087091.25</v>
      </c>
      <c r="AC104" s="2">
        <f>VLOOKUP(A104,[1]Sheet1!$A$3:$AD$575,29,)</f>
        <v>0</v>
      </c>
      <c r="AD104" s="10">
        <f>VLOOKUP(A104,[1]Sheet1!$A$3:$AD$575,30,0)</f>
        <v>0</v>
      </c>
      <c r="AE104" s="2">
        <f>VLOOKUP(A104,[1]Sheet1!$A$3:$AD$575,28,0)</f>
        <v>877091.25</v>
      </c>
      <c r="AF104" s="2">
        <f t="shared" si="11"/>
        <v>210000</v>
      </c>
      <c r="AH104" s="2">
        <f t="shared" si="12"/>
        <v>1050000</v>
      </c>
      <c r="AK104" s="2"/>
      <c r="AL104" s="2">
        <v>2400000</v>
      </c>
      <c r="AM104" s="1" t="s">
        <v>223</v>
      </c>
      <c r="AN104" s="2">
        <f>1140000+210000</f>
        <v>1350000</v>
      </c>
      <c r="AO104" s="1" t="s">
        <v>224</v>
      </c>
      <c r="AQ104" s="2"/>
    </row>
    <row r="105" spans="1:43" x14ac:dyDescent="0.25">
      <c r="A105" s="1">
        <v>27029</v>
      </c>
      <c r="B105" s="1" t="s">
        <v>25</v>
      </c>
      <c r="C105" s="1" t="s">
        <v>26</v>
      </c>
      <c r="D105" s="1" t="s">
        <v>200</v>
      </c>
      <c r="E105" s="1" t="s">
        <v>175</v>
      </c>
      <c r="F105" s="1" t="s">
        <v>28</v>
      </c>
      <c r="G105" s="1" t="s">
        <v>28</v>
      </c>
      <c r="H105" s="1" t="s">
        <v>45</v>
      </c>
      <c r="I105" s="1" t="s">
        <v>30</v>
      </c>
      <c r="J105" s="1" t="s">
        <v>201</v>
      </c>
      <c r="K105" s="12">
        <v>100</v>
      </c>
      <c r="L105" s="2">
        <v>0</v>
      </c>
      <c r="M105" s="2">
        <v>100</v>
      </c>
      <c r="N105" s="2">
        <v>0</v>
      </c>
      <c r="O105" s="2">
        <v>0</v>
      </c>
      <c r="P105" s="1">
        <v>0</v>
      </c>
      <c r="Q105" s="1" t="s">
        <v>28</v>
      </c>
      <c r="R105" s="1">
        <v>100</v>
      </c>
      <c r="S105" s="2">
        <v>400</v>
      </c>
      <c r="T105" s="1" t="s">
        <v>202</v>
      </c>
      <c r="U105" s="1" t="s">
        <v>203</v>
      </c>
      <c r="V105" s="1">
        <v>0</v>
      </c>
      <c r="W105" s="1" t="s">
        <v>28</v>
      </c>
      <c r="X105" s="1" t="s">
        <v>28</v>
      </c>
      <c r="Y105" s="2">
        <v>500</v>
      </c>
      <c r="AA105" s="2">
        <f t="shared" si="14"/>
        <v>400</v>
      </c>
      <c r="AB105" s="9">
        <f t="shared" si="10"/>
        <v>0</v>
      </c>
      <c r="AC105" s="2">
        <f>VLOOKUP(A105,[1]Sheet1!$A$3:$AD$575,29,)</f>
        <v>0</v>
      </c>
      <c r="AD105" s="10">
        <f>VLOOKUP(A105,[1]Sheet1!$A$3:$AD$575,30,0)</f>
        <v>0</v>
      </c>
      <c r="AE105" s="2">
        <f>VLOOKUP(A105,[1]Sheet1!$A$3:$AD$575,28,0)</f>
        <v>0</v>
      </c>
      <c r="AF105" s="2">
        <f t="shared" si="11"/>
        <v>0</v>
      </c>
      <c r="AH105" s="2">
        <f t="shared" si="12"/>
        <v>100</v>
      </c>
      <c r="AK105" s="2"/>
      <c r="AL105" s="2">
        <v>550</v>
      </c>
      <c r="AM105" s="1" t="s">
        <v>223</v>
      </c>
      <c r="AN105" s="2">
        <v>450</v>
      </c>
      <c r="AO105" s="1" t="s">
        <v>224</v>
      </c>
      <c r="AQ105" s="2"/>
    </row>
    <row r="106" spans="1:43" x14ac:dyDescent="0.25">
      <c r="A106" s="1">
        <v>27110</v>
      </c>
      <c r="B106" s="1" t="s">
        <v>25</v>
      </c>
      <c r="C106" s="1" t="s">
        <v>26</v>
      </c>
      <c r="D106" s="1" t="s">
        <v>204</v>
      </c>
      <c r="E106" s="1" t="s">
        <v>205</v>
      </c>
      <c r="F106" s="1" t="s">
        <v>28</v>
      </c>
      <c r="G106" s="1" t="s">
        <v>28</v>
      </c>
      <c r="H106" s="1" t="s">
        <v>39</v>
      </c>
      <c r="I106" s="1" t="s">
        <v>84</v>
      </c>
      <c r="J106" s="1" t="s">
        <v>206</v>
      </c>
      <c r="K106" s="12">
        <v>110338.92</v>
      </c>
      <c r="L106" s="2">
        <v>31338.92</v>
      </c>
      <c r="M106" s="2">
        <v>79000</v>
      </c>
      <c r="N106" s="2">
        <v>1500</v>
      </c>
      <c r="O106" s="2">
        <v>0</v>
      </c>
      <c r="P106" s="1">
        <v>0</v>
      </c>
      <c r="Q106" s="1" t="s">
        <v>28</v>
      </c>
      <c r="R106" s="1">
        <v>100</v>
      </c>
      <c r="S106" s="2">
        <v>79000</v>
      </c>
      <c r="T106" s="1" t="s">
        <v>46</v>
      </c>
      <c r="U106" s="1" t="s">
        <v>207</v>
      </c>
      <c r="V106" s="1">
        <v>0</v>
      </c>
      <c r="W106" s="1" t="s">
        <v>28</v>
      </c>
      <c r="X106" s="1" t="s">
        <v>28</v>
      </c>
      <c r="Y106" s="2">
        <v>92700</v>
      </c>
      <c r="AA106" s="2">
        <f t="shared" si="14"/>
        <v>79000</v>
      </c>
      <c r="AB106" s="9">
        <f t="shared" si="10"/>
        <v>31338.92</v>
      </c>
      <c r="AC106" s="2">
        <f>VLOOKUP(A106,[1]Sheet1!$A$3:$AD$575,29,)</f>
        <v>0</v>
      </c>
      <c r="AD106" s="10">
        <f>VLOOKUP(A106,[1]Sheet1!$A$3:$AD$575,30,0)</f>
        <v>0</v>
      </c>
      <c r="AE106" s="2">
        <f>VLOOKUP(A106,[1]Sheet1!$A$3:$AD$575,28,0)</f>
        <v>31338.92</v>
      </c>
      <c r="AF106" s="2">
        <f t="shared" si="11"/>
        <v>0</v>
      </c>
      <c r="AH106" s="2">
        <f t="shared" si="12"/>
        <v>79000</v>
      </c>
      <c r="AK106" s="2"/>
      <c r="AL106" s="2">
        <v>143503.19</v>
      </c>
      <c r="AM106" s="1" t="s">
        <v>223</v>
      </c>
      <c r="AN106" s="2">
        <v>64503.19</v>
      </c>
      <c r="AO106" s="1" t="s">
        <v>224</v>
      </c>
      <c r="AQ106" s="2"/>
    </row>
    <row r="107" spans="1:43" ht="12" customHeight="1" x14ac:dyDescent="0.25">
      <c r="C107" s="1" t="s">
        <v>225</v>
      </c>
      <c r="D107" s="1" t="s">
        <v>226</v>
      </c>
      <c r="K107" s="12">
        <v>100000</v>
      </c>
      <c r="AB107" s="12">
        <v>0</v>
      </c>
      <c r="AE107" s="2"/>
      <c r="AK107" s="2"/>
      <c r="AL107" s="2">
        <v>100000</v>
      </c>
      <c r="AM107" s="1" t="s">
        <v>227</v>
      </c>
      <c r="AN107" s="1">
        <v>0</v>
      </c>
      <c r="AQ107" s="2"/>
    </row>
    <row r="109" spans="1:43" s="15" customFormat="1" x14ac:dyDescent="0.25">
      <c r="K109" s="12">
        <f>SUM(K3:K108)</f>
        <v>11100811.220000001</v>
      </c>
      <c r="L109" s="12"/>
      <c r="M109" s="12"/>
      <c r="N109" s="12"/>
      <c r="O109" s="12"/>
      <c r="S109" s="12"/>
      <c r="Y109" s="12"/>
      <c r="AB109" s="12">
        <f>SUM(AB3:AB108)</f>
        <v>3360800.44</v>
      </c>
      <c r="AK109" s="12"/>
      <c r="AL109" s="12">
        <f>SUM(AL3:AL108)</f>
        <v>19884894.939999968</v>
      </c>
      <c r="AM109" s="12"/>
      <c r="AN109" s="12">
        <f>SUM(AN3:AN108)</f>
        <v>12144884.16</v>
      </c>
    </row>
    <row r="110" spans="1:43" x14ac:dyDescent="0.25">
      <c r="AB110" s="12"/>
      <c r="AJ110" s="2"/>
      <c r="AK110" s="2"/>
      <c r="AM110" s="2"/>
      <c r="AN110" s="2"/>
    </row>
    <row r="111" spans="1:43" x14ac:dyDescent="0.25">
      <c r="AN111" s="2"/>
    </row>
    <row r="112" spans="1:43" x14ac:dyDescent="0.25">
      <c r="AB112" s="12"/>
    </row>
    <row r="113" spans="40:40" x14ac:dyDescent="0.25">
      <c r="AN113" s="2"/>
    </row>
    <row r="115" spans="40:40" x14ac:dyDescent="0.25">
      <c r="AN115" s="2"/>
    </row>
  </sheetData>
  <autoFilter ref="A2:AO2" xr:uid="{00000000-0009-0000-0000-000000000000}"/>
  <mergeCells count="1">
    <mergeCell ref="AL1:AO1"/>
  </mergeCells>
  <pageMargins left="1.8" right="1.8" top="1.9" bottom="1.9" header="0.5" footer="0.5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FCBAC7-D487-47E9-93B6-1CF510ED63F2}"/>
</file>

<file path=customXml/itemProps2.xml><?xml version="1.0" encoding="utf-8"?>
<ds:datastoreItem xmlns:ds="http://schemas.openxmlformats.org/officeDocument/2006/customXml" ds:itemID="{A5A38943-D8EE-405E-8FA4-35CD2AE21BB8}"/>
</file>

<file path=customXml/itemProps3.xml><?xml version="1.0" encoding="utf-8"?>
<ds:datastoreItem xmlns:ds="http://schemas.openxmlformats.org/officeDocument/2006/customXml" ds:itemID="{DAE4A198-E391-4B55-85E9-1184D6236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2024-06-28T15:25:43Z</dcterms:created>
  <dcterms:modified xsi:type="dcterms:W3CDTF">2024-07-03T08:30:55Z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2024-06-28T15:25:23Z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2f89c661-6ff1-4e0b-9352-f14b9b063d03</vt:lpwstr>
  </property>
  <property fmtid="{D5CDD505-2E9C-101B-9397-08002B2CF9AE}" pid="8" name="MSIP_Label_0c2abd79-57a9-4473-8700-c843f76a1e37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0x010100845A6BCA4ACA584C9A1C03FD3956D51C</vt:lpwstr>
  </property>
</Properties>
</file>