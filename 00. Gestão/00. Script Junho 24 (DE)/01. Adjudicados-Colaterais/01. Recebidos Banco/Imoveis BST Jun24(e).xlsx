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0550"/>
  </bookViews>
  <sheets>
    <sheet name="Controlo Jun24" sheetId="2" r:id="rId1"/>
    <sheet name="Stock Adjudicados+Próprios" sheetId="8" r:id="rId2"/>
    <sheet name="Stock Dações+Arrematações" sheetId="10" r:id="rId3"/>
    <sheet name="Stock Imoveis IFIC" sheetId="11" r:id="rId4"/>
  </sheets>
  <externalReferences>
    <externalReference r:id="rId5"/>
  </externalReferences>
  <definedNames>
    <definedName name="_xlnm._FilterDatabase" localSheetId="1" hidden="1">'Stock Adjudicados+Próprios'!$A$1:$AH$427</definedName>
    <definedName name="_xlnm._FilterDatabase" localSheetId="2" hidden="1">'Stock Dações+Arrematações'!$A$5:$Z$5</definedName>
    <definedName name="_xlnm._FilterDatabase" localSheetId="3" hidden="1">'Stock Imoveis IFIC'!$A$4:$I$14</definedName>
    <definedName name="balancete" localSheetId="2">#REF!</definedName>
    <definedName name="balancete" localSheetId="3">#REF!</definedName>
    <definedName name="balancete">#REF!</definedName>
    <definedName name="bta" localSheetId="2">#REF!</definedName>
    <definedName name="bta" localSheetId="3">#REF!</definedName>
    <definedName name="bta">#REF!</definedName>
    <definedName name="CAYMAN" localSheetId="2">#REF!</definedName>
    <definedName name="CAYMAN" localSheetId="3">#REF!</definedName>
    <definedName name="CAYMAN">#REF!</definedName>
    <definedName name="cpp" localSheetId="2">#REF!</definedName>
    <definedName name="cpp" localSheetId="3">#REF!</definedName>
    <definedName name="cpp">#REF!</definedName>
    <definedName name="IT" localSheetId="2">[1]LANÇAMENTO!#REF!</definedName>
    <definedName name="IT" localSheetId="3">[1]LANÇAMENTO!#REF!</definedName>
    <definedName name="IT">[1]LANÇAMENTO!#REF!</definedName>
    <definedName name="madeira" localSheetId="2">#REF!</definedName>
    <definedName name="madeira" localSheetId="3">#REF!</definedName>
    <definedName name="madeira">#REF!</definedName>
    <definedName name="_xlnm.Print_Area" localSheetId="2">'Stock Dações+Arrematações'!#REF!</definedName>
    <definedName name="_xlnm.Print_Area" localSheetId="3">'Stock Imoveis IFIC'!$A$1:$Z$18</definedName>
    <definedName name="_xlnm.Print_Titles" localSheetId="2">'Stock Dações+Arrematações'!$1:$4</definedName>
    <definedName name="_xlnm.Print_Titles" localSheetId="3">'Stock Imoveis IFIC'!$A:$L,'Stock Imoveis IFIC'!$1:$4</definedName>
  </definedNames>
  <calcPr calcId="162913"/>
</workbook>
</file>

<file path=xl/calcChain.xml><?xml version="1.0" encoding="utf-8"?>
<calcChain xmlns="http://schemas.openxmlformats.org/spreadsheetml/2006/main">
  <c r="W24" i="2" l="1"/>
  <c r="T24" i="2"/>
  <c r="Z5" i="2"/>
  <c r="W5" i="2"/>
  <c r="T5" i="2"/>
  <c r="N25" i="2"/>
  <c r="K25" i="2"/>
  <c r="N24" i="2"/>
  <c r="K24" i="2"/>
  <c r="Q6" i="2"/>
  <c r="N6" i="2"/>
  <c r="K6" i="2"/>
  <c r="Q5" i="2"/>
  <c r="N5" i="2"/>
  <c r="K5" i="2"/>
  <c r="B5" i="2"/>
  <c r="E26" i="2"/>
  <c r="B26" i="2"/>
  <c r="E25" i="2"/>
  <c r="B25" i="2"/>
  <c r="E24" i="2"/>
  <c r="B24" i="2"/>
  <c r="H8" i="2"/>
  <c r="E8" i="2"/>
  <c r="E19" i="2" s="1"/>
  <c r="B8" i="2"/>
  <c r="H7" i="2"/>
  <c r="E7" i="2"/>
  <c r="E18" i="2" s="1"/>
  <c r="H6" i="2"/>
  <c r="E6" i="2"/>
  <c r="B6" i="2"/>
  <c r="E5" i="2"/>
  <c r="B7" i="2"/>
  <c r="Z18" i="11"/>
  <c r="Y18" i="11"/>
  <c r="X18" i="11"/>
  <c r="V18" i="11"/>
  <c r="U18" i="11"/>
  <c r="T18" i="11"/>
  <c r="S18" i="11"/>
  <c r="Q18" i="11"/>
  <c r="P18" i="11"/>
  <c r="N18" i="11"/>
  <c r="L18" i="11"/>
  <c r="J18" i="11"/>
  <c r="I18" i="11"/>
  <c r="E17" i="2" l="1"/>
  <c r="Z5" i="10"/>
  <c r="X5" i="10"/>
  <c r="W5" i="10"/>
  <c r="U5" i="10"/>
  <c r="T5" i="10"/>
  <c r="K5" i="10"/>
  <c r="I5" i="10"/>
  <c r="G5" i="10"/>
  <c r="K35" i="2" l="1"/>
  <c r="K34" i="2"/>
  <c r="E34" i="2"/>
  <c r="B17" i="2" l="1"/>
  <c r="W34" i="2"/>
  <c r="T34" i="2"/>
  <c r="Z17" i="2" l="1"/>
  <c r="W17" i="2"/>
  <c r="T17" i="2"/>
  <c r="N35" i="2" l="1"/>
  <c r="N34" i="2"/>
  <c r="Q18" i="2"/>
  <c r="Q17" i="2"/>
  <c r="N18" i="2"/>
  <c r="N17" i="2"/>
  <c r="K18" i="2"/>
  <c r="K17" i="2"/>
  <c r="E36" i="2" l="1"/>
  <c r="E35" i="2"/>
  <c r="B36" i="2"/>
  <c r="B35" i="2"/>
  <c r="B34" i="2"/>
  <c r="H19" i="2" l="1"/>
  <c r="H18" i="2"/>
  <c r="H17" i="2"/>
  <c r="B19" i="2"/>
  <c r="B18" i="2"/>
</calcChain>
</file>

<file path=xl/sharedStrings.xml><?xml version="1.0" encoding="utf-8"?>
<sst xmlns="http://schemas.openxmlformats.org/spreadsheetml/2006/main" count="8896" uniqueCount="1891">
  <si>
    <t>Cód. Imóvel</t>
  </si>
  <si>
    <t>GRD Imovel</t>
  </si>
  <si>
    <t>Entidade</t>
  </si>
  <si>
    <t>Concelho - Morada</t>
  </si>
  <si>
    <t>Devedor</t>
  </si>
  <si>
    <t>Nº Cliente</t>
  </si>
  <si>
    <t>Nº do Bem</t>
  </si>
  <si>
    <t>Classificação</t>
  </si>
  <si>
    <t>Tipo Imóvel</t>
  </si>
  <si>
    <t>Dt. Aquisição</t>
  </si>
  <si>
    <t>V Contab = V Aq</t>
  </si>
  <si>
    <t>Provisão Mês Ant.</t>
  </si>
  <si>
    <t>V Contb Liq</t>
  </si>
  <si>
    <t>Sinais</t>
  </si>
  <si>
    <t>VV</t>
  </si>
  <si>
    <t>Provisão Legal</t>
  </si>
  <si>
    <t>Dt com Compromisso</t>
  </si>
  <si>
    <t>% Propriedade</t>
  </si>
  <si>
    <t>VVR</t>
  </si>
  <si>
    <t>Empresa_Avaliadora</t>
  </si>
  <si>
    <t>Dt_Avaliacao</t>
  </si>
  <si>
    <t>% Provisão</t>
  </si>
  <si>
    <t>Dação Fomento à Construção</t>
  </si>
  <si>
    <t>DFC Estado</t>
  </si>
  <si>
    <t>Valor_Mercado</t>
  </si>
  <si>
    <t>N</t>
  </si>
  <si>
    <t>SANTANDER - RECUPERACAO DE CREDITOS</t>
  </si>
  <si>
    <t>Gois - Rua de Cabril, Nº S/N</t>
  </si>
  <si>
    <t>ADRIANO COSTA</t>
  </si>
  <si>
    <t>653</t>
  </si>
  <si>
    <t/>
  </si>
  <si>
    <t>Regularização</t>
  </si>
  <si>
    <t>TERRENO RUSTICO - Outros</t>
  </si>
  <si>
    <t>1993-06-09</t>
  </si>
  <si>
    <t>BENEGE - PORTO</t>
  </si>
  <si>
    <t>Benavente - BENAVENTE-Arneiro dos Corvos, Lt72 Fr P  (Parq.) "P"</t>
  </si>
  <si>
    <t>Alvaro Ferreira</t>
  </si>
  <si>
    <t>Compromissos</t>
  </si>
  <si>
    <t>PARQUEAMENTO - Outros</t>
  </si>
  <si>
    <t>1990-10-18</t>
  </si>
  <si>
    <t>2005-04-19</t>
  </si>
  <si>
    <t>QUALITAS - LISBOA</t>
  </si>
  <si>
    <t>2009-04-26</t>
  </si>
  <si>
    <t>DFC</t>
  </si>
  <si>
    <t>Construção Terminada</t>
  </si>
  <si>
    <t>Almada - Terras da Costa</t>
  </si>
  <si>
    <t>Serra &amp; irmãos, Lda.</t>
  </si>
  <si>
    <t>8005060840</t>
  </si>
  <si>
    <t>TERRENO URBANO - Residencial</t>
  </si>
  <si>
    <t>1993-02-26</t>
  </si>
  <si>
    <t>Oleiros - OLEIROS - Admoço, S/N</t>
  </si>
  <si>
    <t>ÁLVARO ANTUNES SANTOS</t>
  </si>
  <si>
    <t>8002820781</t>
  </si>
  <si>
    <t>MORADIA - Residencial</t>
  </si>
  <si>
    <t>2000-12-12</t>
  </si>
  <si>
    <t>CPU - LISBOA</t>
  </si>
  <si>
    <t>Vila Nova De Gaia - Rua Vila D'Este, Nº 54, 1º dto "E"</t>
  </si>
  <si>
    <t>IMAFIL/FERALMAIA</t>
  </si>
  <si>
    <t>9000661226</t>
  </si>
  <si>
    <t>Vendas</t>
  </si>
  <si>
    <t>ESCRITORIO OU ATELIER - Comercial</t>
  </si>
  <si>
    <t>2002-03-04</t>
  </si>
  <si>
    <t>CPU - PORTO</t>
  </si>
  <si>
    <t>Paredes - Rua Dr. José Leite de Vasconcelos, Nº 2, Piso 1 "G"</t>
  </si>
  <si>
    <t>Ind. Reunidas do Tâmega, S.A.</t>
  </si>
  <si>
    <t>9001737248</t>
  </si>
  <si>
    <t>GARAGEM - Outros</t>
  </si>
  <si>
    <t>2003-08-29</t>
  </si>
  <si>
    <t>Avis - AVIS - Rossio - Rua 1º de Maio, 9</t>
  </si>
  <si>
    <t>Papelaco Turismo-I Turist. Imob.SA</t>
  </si>
  <si>
    <t>9000675239</t>
  </si>
  <si>
    <t>ARMAZEM - Comercial</t>
  </si>
  <si>
    <t>2004-07-27</t>
  </si>
  <si>
    <t>2007-12-12</t>
  </si>
  <si>
    <t>Sintra - Rua de São João, Nº 33, Armazém B, R/C e 1º andar "B"</t>
  </si>
  <si>
    <t>Bernardino Braz &amp; Braz, Lda</t>
  </si>
  <si>
    <t>9001500575</t>
  </si>
  <si>
    <t>2004-09-15</t>
  </si>
  <si>
    <t>MENCOVAZ</t>
  </si>
  <si>
    <t>2022-06-22</t>
  </si>
  <si>
    <t>Maia - Quinta do Meilão, Lote 31</t>
  </si>
  <si>
    <t>Jaime Franklim Romano Fernandes</t>
  </si>
  <si>
    <t>9001035124</t>
  </si>
  <si>
    <t>2004-08-31</t>
  </si>
  <si>
    <t>2022-02-18</t>
  </si>
  <si>
    <t>2020-06-29</t>
  </si>
  <si>
    <t>LOJA - Comercial</t>
  </si>
  <si>
    <t>GI</t>
  </si>
  <si>
    <t>Ovar - Trav.Elias Garcia,nº62,2º Dt.Ft., Ap.9 "I"</t>
  </si>
  <si>
    <t>Construtora Residência, Lda.</t>
  </si>
  <si>
    <t>9001832548</t>
  </si>
  <si>
    <t>FRACCAO HABITACIONAL - Residencial</t>
  </si>
  <si>
    <t>2003-08-04</t>
  </si>
  <si>
    <t>Ovar - Trav.Elias Garcia,nº62,2ºCt.Esq.Tras., Ap.14 "O"</t>
  </si>
  <si>
    <t>Ovar - Trav.Elias Garcia,nº62,2ºEsq.Tras., Ap.16 "Q"</t>
  </si>
  <si>
    <t>Ovar - Tv. Elias Garcia,nº112, 4º Dt. Tras., Ap.40 "AR"</t>
  </si>
  <si>
    <t>Ovar - Tv.Elias Garcia,nº112 4º Esq. Cto., Ap.45 "AX"</t>
  </si>
  <si>
    <t>2022-05-02</t>
  </si>
  <si>
    <t>Ovar - R. Fundação Pepolim,nº63,2º Ft.,Ap.62 "BP"</t>
  </si>
  <si>
    <t>Figueira Da Foz - Rua Dr. Santos Rocha, Nº 70</t>
  </si>
  <si>
    <t>Maria Graziela Carriço Alves</t>
  </si>
  <si>
    <t>8005478523</t>
  </si>
  <si>
    <t>2009-05-07</t>
  </si>
  <si>
    <t>LUSO-ROUX - PORTO</t>
  </si>
  <si>
    <t>2022-03-17</t>
  </si>
  <si>
    <t>PREDIO MISTO - OUTROS</t>
  </si>
  <si>
    <t>VALTECSA, LDA</t>
  </si>
  <si>
    <t>BENEGE - LISBOA</t>
  </si>
  <si>
    <t>Odivelas - Rua Padre João Pinto, Nº 9, 1º FRENTE "E"</t>
  </si>
  <si>
    <t>Maria Helena Pereira Marques</t>
  </si>
  <si>
    <t>2291057587</t>
  </si>
  <si>
    <t>003012936830001</t>
  </si>
  <si>
    <t>2012-03-27</t>
  </si>
  <si>
    <t>CUSTO MARGINAL, LDA</t>
  </si>
  <si>
    <t>2022-04-04</t>
  </si>
  <si>
    <t>Abrantes - Rua Dr. António Ferreira Brandão, Nº 23</t>
  </si>
  <si>
    <t>Carlos Manuel Silva Ramos</t>
  </si>
  <si>
    <t>9001540469</t>
  </si>
  <si>
    <t>003012028190000</t>
  </si>
  <si>
    <t>2010-07-08</t>
  </si>
  <si>
    <t>LUSO-ROUX - LISBOA</t>
  </si>
  <si>
    <t>2022-03-03</t>
  </si>
  <si>
    <t>PVW PRICE, VALUE AND WORTH, LDA</t>
  </si>
  <si>
    <t>BRICK - CONSULTORIA EM AVALIAÇÃO IMOBILIÁRIA</t>
  </si>
  <si>
    <t>2022-02-08</t>
  </si>
  <si>
    <t>Alcobaça - Rua da Jardineira, S/N</t>
  </si>
  <si>
    <t xml:space="preserve">Eric Fernandes </t>
  </si>
  <si>
    <t>003013163900000</t>
  </si>
  <si>
    <t>2013-04-03</t>
  </si>
  <si>
    <t>2022-06-17</t>
  </si>
  <si>
    <t>Figueira Da Foz - Rua Manuel Ribeiro Varino, Nº 10</t>
  </si>
  <si>
    <t xml:space="preserve">Luis Fernando Ferreira Neves Rodrigues </t>
  </si>
  <si>
    <t>9002553621</t>
  </si>
  <si>
    <t>000010845940000</t>
  </si>
  <si>
    <t>2013-07-11</t>
  </si>
  <si>
    <t>Figueira Da Foz - Rua das Neves, Nº 9</t>
  </si>
  <si>
    <t xml:space="preserve">Henrique José Fernandes Rato </t>
  </si>
  <si>
    <t>2671005640</t>
  </si>
  <si>
    <t>003011880930000</t>
  </si>
  <si>
    <t>2013-10-08</t>
  </si>
  <si>
    <t>2022-05-06</t>
  </si>
  <si>
    <t>Amarante - Travessa de Langeais, Lote 36</t>
  </si>
  <si>
    <t xml:space="preserve">Manuel Paiva - Sociedade Gestão Imobiliária, Lda. </t>
  </si>
  <si>
    <t>1700093441</t>
  </si>
  <si>
    <t>009013879970000</t>
  </si>
  <si>
    <t>2013-11-07</t>
  </si>
  <si>
    <t>2022-01-07</t>
  </si>
  <si>
    <t>Amarante - Travessa de Langeais, Lote 37</t>
  </si>
  <si>
    <t>009013879990000</t>
  </si>
  <si>
    <t>Miranda Do Corvo - Estrada da Godinhela, S/N</t>
  </si>
  <si>
    <t xml:space="preserve">José A. Correia - Comércio Auto, Lda. </t>
  </si>
  <si>
    <t>8043537365</t>
  </si>
  <si>
    <t>2014-01-22</t>
  </si>
  <si>
    <t>2021-04-29</t>
  </si>
  <si>
    <t>2022-03-18</t>
  </si>
  <si>
    <t>2021-02-12</t>
  </si>
  <si>
    <t>FRACCAO RESTAURANTE, H.CLUB ET - Comercial</t>
  </si>
  <si>
    <t>CPU - ENERGIA E AMBIENTE LDA.</t>
  </si>
  <si>
    <t>Montemor-O-Novo - Rua da Papoila, Nº 2</t>
  </si>
  <si>
    <t xml:space="preserve">Maria Manuela Groginha Carneiro Monteiro Coelho </t>
  </si>
  <si>
    <t>9001776713</t>
  </si>
  <si>
    <t>003011093160000</t>
  </si>
  <si>
    <t>2015-01-28</t>
  </si>
  <si>
    <t>Valongo - Travessa Vasco da Gama, Nº 80</t>
  </si>
  <si>
    <t xml:space="preserve">Maria José Oliveira Santos Silva </t>
  </si>
  <si>
    <t>9001515829</t>
  </si>
  <si>
    <t>000010329420000</t>
  </si>
  <si>
    <t>2014-12-10</t>
  </si>
  <si>
    <t>2022-05-04</t>
  </si>
  <si>
    <t>Torres Novas - Sesmarias S/N</t>
  </si>
  <si>
    <t xml:space="preserve">Fernando Miguel Lopes Soares </t>
  </si>
  <si>
    <t>9002487933</t>
  </si>
  <si>
    <t>000010902680000</t>
  </si>
  <si>
    <t>2014-04-30</t>
  </si>
  <si>
    <t>Loures - Praceta Barahona Fernandes, Lote B7B, 8º DTO. "Z"</t>
  </si>
  <si>
    <t xml:space="preserve">Fábio Soares Oliveira </t>
  </si>
  <si>
    <t>7400513068</t>
  </si>
  <si>
    <t>003013229210001</t>
  </si>
  <si>
    <t>2013-06-14</t>
  </si>
  <si>
    <t>2022-03-02</t>
  </si>
  <si>
    <t>2021-09-27</t>
  </si>
  <si>
    <t>Moita - Rua Cândido dos Reis, Nº 58 e 60, R/C "A"</t>
  </si>
  <si>
    <t xml:space="preserve">Cartario Pinto Construções, S.A. </t>
  </si>
  <si>
    <t>3921003830</t>
  </si>
  <si>
    <t>2016-01-21</t>
  </si>
  <si>
    <t>BANIF</t>
  </si>
  <si>
    <t>Ponta Delgada - Alameda de Belém, Nº 502</t>
  </si>
  <si>
    <t xml:space="preserve">Fábio Manuel Medeiros Sousa </t>
  </si>
  <si>
    <t>2101301937</t>
  </si>
  <si>
    <t>083015001980000</t>
  </si>
  <si>
    <t>2015-12-23</t>
  </si>
  <si>
    <t>OUTROS</t>
  </si>
  <si>
    <t>2020-07-17</t>
  </si>
  <si>
    <t xml:space="preserve">Ermelinda Graça Santos Francisco </t>
  </si>
  <si>
    <t>2015-12-21</t>
  </si>
  <si>
    <t>Povoação - Pico, S/N</t>
  </si>
  <si>
    <t xml:space="preserve">Carlos Miguel Lopes Pereira </t>
  </si>
  <si>
    <t>2101323828</t>
  </si>
  <si>
    <t>Ponta Delgada - Rua Pero Garcia, Nº 2-A</t>
  </si>
  <si>
    <t>083015103770000</t>
  </si>
  <si>
    <t>Santarém - Rua Primeiro de Maio, S/N</t>
  </si>
  <si>
    <t xml:space="preserve">Helena Isabel Campos Montes Silva </t>
  </si>
  <si>
    <t>2100789769</t>
  </si>
  <si>
    <t>2016-05-16</t>
  </si>
  <si>
    <t>Vila Praia Da Vitória - Estrada 25 de Abril, Nº 291-A</t>
  </si>
  <si>
    <t xml:space="preserve">Carlos Manuel Rosa Silva </t>
  </si>
  <si>
    <t>2101294583</t>
  </si>
  <si>
    <t>Carregal Do Sal - Rua Afonso Marques, Nº 54</t>
  </si>
  <si>
    <t xml:space="preserve">Maria João Figueiredo Pina </t>
  </si>
  <si>
    <t>7400215696</t>
  </si>
  <si>
    <t>003012384270001</t>
  </si>
  <si>
    <t>2016-09-12</t>
  </si>
  <si>
    <t>Sintra - Rua da Reserva Botânica, Nº 25, PISO-3, GA "B"</t>
  </si>
  <si>
    <t xml:space="preserve">António José Coelho Almeida </t>
  </si>
  <si>
    <t>5100716299</t>
  </si>
  <si>
    <t>000000284170001</t>
  </si>
  <si>
    <t>2014-02-24</t>
  </si>
  <si>
    <t>Santa Cruz - Achadinha do Pico, S/N "B"</t>
  </si>
  <si>
    <t xml:space="preserve">Filipe António Perez da Silva  </t>
  </si>
  <si>
    <t>2100583448</t>
  </si>
  <si>
    <t>2016-04-13</t>
  </si>
  <si>
    <t>Santa Cruz - Achadinha do Pico, S/N "C"</t>
  </si>
  <si>
    <t>Paredes - Rua Antero Ferreira Leal, Nº S/N</t>
  </si>
  <si>
    <t xml:space="preserve">Sílvia Filipa Moreira Machado Rodrigues </t>
  </si>
  <si>
    <t>003014090770000</t>
  </si>
  <si>
    <t>2016-09-26</t>
  </si>
  <si>
    <t>BRICK - CONSULTORIA EM AVALIACAO IMOBILIARIA</t>
  </si>
  <si>
    <t>2018-06-01</t>
  </si>
  <si>
    <t>BANIF- VIA DCR/DCO</t>
  </si>
  <si>
    <t>Ribeira Grande - Rua João da Horta, Nº 74 e 76</t>
  </si>
  <si>
    <t xml:space="preserve">Carlos Manuel Medeiros Fidelix </t>
  </si>
  <si>
    <t>2101206994</t>
  </si>
  <si>
    <t>232626087710</t>
  </si>
  <si>
    <t>2017-03-16</t>
  </si>
  <si>
    <t>2021-11-29</t>
  </si>
  <si>
    <t>Leiria - Rua Comissão de Iniciativa, Nº 13, PISO UM LA, Loja 97 "DA"</t>
  </si>
  <si>
    <t xml:space="preserve">Carlos Teodoro Maio </t>
  </si>
  <si>
    <t>8025632517</t>
  </si>
  <si>
    <t>000000010103733</t>
  </si>
  <si>
    <t>2015-10-31</t>
  </si>
  <si>
    <t xml:space="preserve">José Norberto de Gouveia de Gouveia </t>
  </si>
  <si>
    <t>82220</t>
  </si>
  <si>
    <t>PREDIO MISTO - MORADIA - Residencial</t>
  </si>
  <si>
    <t>2016-07-05</t>
  </si>
  <si>
    <t>Lagoa (Açores) - Rua do Paúl, Nº 14</t>
  </si>
  <si>
    <t xml:space="preserve">Ezer Samuel Almeida Arruda </t>
  </si>
  <si>
    <t>2101299944</t>
  </si>
  <si>
    <t>083015098690000</t>
  </si>
  <si>
    <t>2017-01-11</t>
  </si>
  <si>
    <t>Porto - Avenida da Boavista, Nº 1167, R/C E PISO, INTERMEDIO "B"</t>
  </si>
  <si>
    <t xml:space="preserve">Lourival Adelino Vicente Ferreira </t>
  </si>
  <si>
    <t>9002299227</t>
  </si>
  <si>
    <t>0011036782</t>
  </si>
  <si>
    <t>2016-05-31</t>
  </si>
  <si>
    <t>Porto - Avenida da Boavista, Nº 1159, SUB-CAVE, PARQ. "CL"</t>
  </si>
  <si>
    <t>0011036788</t>
  </si>
  <si>
    <t>Porto - Avenida da Boavista, Nº 1159, SUB-CAVE, PARQ. "CK"</t>
  </si>
  <si>
    <t>0011036787</t>
  </si>
  <si>
    <t>Porto - Avenida da Boavista, Nº 1159, SUB-CAVE, PARQ. "CT"</t>
  </si>
  <si>
    <t>0011036784</t>
  </si>
  <si>
    <t>ARRECADACAO - Outros</t>
  </si>
  <si>
    <t>2017-02-01</t>
  </si>
  <si>
    <t>2016-06-06</t>
  </si>
  <si>
    <t>Vila Real - Rua Miguel Torga, Bloco 1, R/C LADO D, LJ101-101A "M"</t>
  </si>
  <si>
    <t xml:space="preserve">Sousa &amp; Machado, Lda. </t>
  </si>
  <si>
    <t>2801004197</t>
  </si>
  <si>
    <t>000000010108296</t>
  </si>
  <si>
    <t>2015-02-01</t>
  </si>
  <si>
    <t>POPULAR - TRANSITORIO</t>
  </si>
  <si>
    <t>2022-03-24</t>
  </si>
  <si>
    <t>Aveiro - Travessa da Estação, Nº 59</t>
  </si>
  <si>
    <t xml:space="preserve">Decorplus - Centro da Construção, Lda.   </t>
  </si>
  <si>
    <t>9002594309</t>
  </si>
  <si>
    <t>0010048442</t>
  </si>
  <si>
    <t>2022-04-06</t>
  </si>
  <si>
    <t>IMOVALUE</t>
  </si>
  <si>
    <t>Vila Nova De Gaia - Rua da Rasa, Nº 668, R/C "D"</t>
  </si>
  <si>
    <t>2018-09-26</t>
  </si>
  <si>
    <t>POPULAR</t>
  </si>
  <si>
    <t>Alenquer - Quinta da Carnota de Baixo, S/N</t>
  </si>
  <si>
    <t>Euro-Chitaca, Lda.</t>
  </si>
  <si>
    <t>2001-10-19</t>
  </si>
  <si>
    <t>Coimbra - Beco do Regedor (S. Martinho de Arvore), Nº 9</t>
  </si>
  <si>
    <t>2009-06-03</t>
  </si>
  <si>
    <t>2022-05-20</t>
  </si>
  <si>
    <t>Leiria - Travessa de Casal Novo, Nº 8</t>
  </si>
  <si>
    <t>CONSTRUCOES JOAQUIM RITO &amp; FILHOS LDA</t>
  </si>
  <si>
    <t>2009-01-13</t>
  </si>
  <si>
    <t>Penafiel - Rua de Miragaia, Nº 351</t>
  </si>
  <si>
    <t>2008-12-02</t>
  </si>
  <si>
    <t>Setubal - Pote de Àgua, S/N, BLOCO A, R/C ESQ. "A"</t>
  </si>
  <si>
    <t>Sociedade de Urbanizações Domínios do Sado, Lda</t>
  </si>
  <si>
    <t>2008-04-11</t>
  </si>
  <si>
    <t>2020-07-22</t>
  </si>
  <si>
    <t>Em Construção</t>
  </si>
  <si>
    <t>Setubal - Pote de Àgua, S/N, BLOCO D, 1º ESQ. "AA"</t>
  </si>
  <si>
    <t>Setubal - Pote de Àgua, S/N, BLOCO D, 1º DTO "AB"</t>
  </si>
  <si>
    <t>Setubal - Pote de Àgua, S/N, BLOCO D, 2º ESQ. "AC"</t>
  </si>
  <si>
    <t>Setubal - Pote de Àgua, S/N, BLOCO D, 2º DTO "AD"</t>
  </si>
  <si>
    <t>Setubal - Pote de Àgua, S/N, BLOCO D, 3º ESQ. "AE"</t>
  </si>
  <si>
    <t>Setubal - Pote de Àgua, S/N, BLOCO D, 3º DTO "AF"</t>
  </si>
  <si>
    <t>Setubal - Pote de Àgua, S/N, BLOCO E, R/C "AG"</t>
  </si>
  <si>
    <t>Setubal - Pote de Àgua, S/N, BLOCO E, 1º ESQ. "AH"</t>
  </si>
  <si>
    <t>Setubal - Pote de Àgua, S/N, BLOCO E, 1º DTO "AI"</t>
  </si>
  <si>
    <t>Setubal - Pote de Àgua, S/N, BLOCO E, 2º ESQ. "AJ"</t>
  </si>
  <si>
    <t>Setubal - Pote de Àgua, S/N, BLOCO E, 2º DTO "AK"</t>
  </si>
  <si>
    <t>Setubal - Pote de Àgua, S/N, BLOCO E, 3º ESQ. "AL"</t>
  </si>
  <si>
    <t>Setubal - Pote de Àgua, S/N, BLOCO E, 3º DTO "AM"</t>
  </si>
  <si>
    <t>Setubal - Pote de Àgua, S/N, BLOCO F, R/C ESQ. "AN"</t>
  </si>
  <si>
    <t>Setubal - Pote de Àgua, S/N, BLOCO F, R/C DTO "AO"</t>
  </si>
  <si>
    <t>Setubal - Pote de Àgua, S/N, BLOCO F, 1º ESQ. "AP"</t>
  </si>
  <si>
    <t>Setubal - Pote de Àgua, S/N, BLOCO F, 1º DTO "AQ"</t>
  </si>
  <si>
    <t>2008-04-14</t>
  </si>
  <si>
    <t>Setubal - Pote de Àgua, S/N, BLOCO F, 2º ESQ. "AR"</t>
  </si>
  <si>
    <t>Setubal - Pote de Àgua, S/N, BLOCO F, 2º DTO "AS"</t>
  </si>
  <si>
    <t>Setubal - Pote de Àgua, S/N, BLOCO F, 3º ESQ. "AT"</t>
  </si>
  <si>
    <t>Setubal - Pote de Àgua, S/N, BLOCO F, 3º DTO "AU"</t>
  </si>
  <si>
    <t>Setubal - Pote de Àgua, S/N, BLOCO G, R/C ESQ. "AV"</t>
  </si>
  <si>
    <t>Setubal - Pote de Àgua, S/N, BLOCO G, R/C DTO "AW"</t>
  </si>
  <si>
    <t>Setubal - Pote de Àgua, S/N, BLOCO A, R/C DTO "B"</t>
  </si>
  <si>
    <t>Setubal - Pote de Àgua, S/N, BLOCO H, R/C ESQ. "BE"</t>
  </si>
  <si>
    <t>Setubal - Pote de Àgua, S/N, BLOCO H, R/C DTO "BF"</t>
  </si>
  <si>
    <t>Setubal - Pote de Àgua, S/N, BLOCO I, R/C "BM"</t>
  </si>
  <si>
    <t>Setubal - Pote de Àgua, S/N, BLOCO I, 1º ESQ. "BN"</t>
  </si>
  <si>
    <t>Setubal - Pote de Àgua, S/N, BLOCO I, 1º DTO "BO"</t>
  </si>
  <si>
    <t>Setubal - Pote de Àgua, S/N, BLOCO I, 2º ESQ. "BP"</t>
  </si>
  <si>
    <t>Setubal - Pote de Àgua, S/N, BLOCO I, 2º DTO "BQ"</t>
  </si>
  <si>
    <t>Setubal - Pote de Àgua, S/N, BLOCO I, 3º ESQ. "BR"</t>
  </si>
  <si>
    <t>Setubal - Pote de Àgua, BLOCO I, 3º DTO "BS"</t>
  </si>
  <si>
    <t>Setubal - Pote de Àgua, S/N, BLOCO J, R/C ESQ. "BT"</t>
  </si>
  <si>
    <t>Setubal - Pote de Àgua, S/N, BLOCO J, R/C DTO "BU"</t>
  </si>
  <si>
    <t>Setubal - Pote de Àgua, BLOCO J, 1º ESQ. "BV"</t>
  </si>
  <si>
    <t>Setubal - Pote de Água, S/N, BLOCO J, 1º DTO "BW"</t>
  </si>
  <si>
    <t>Setubal - Pote de Água, S/N, BLOCO J, 2º ESQ. "BX"</t>
  </si>
  <si>
    <t>Setubal - Pote de Àgua, S/N, BLOCO J, 2º DTO "BZ"</t>
  </si>
  <si>
    <t>Setubal - Pote de Àgua, S/N, BLOCO J, 3º ESQ. "CA"</t>
  </si>
  <si>
    <t>Setubal - Pote de Água, S/N, BLOCO J, 3º DTO "CB"</t>
  </si>
  <si>
    <t>Setubal - Pote de Água, S/N, BLOCO L, R/C ESQ. "CC"</t>
  </si>
  <si>
    <t>Setubal - Pote de Água, S/N, BLOCO L, R/C DTO "CD"</t>
  </si>
  <si>
    <t>Setubal - Pote de Água, S/N, BLOCO L, 1º ESQ. "CE"</t>
  </si>
  <si>
    <t>Setubal - Pote de Água, S/N, BLOCO L, 1º DTO "CF"</t>
  </si>
  <si>
    <t>Setubal - Pote de Água, S/N, BLOCO L, 2º ESQ. "CG"</t>
  </si>
  <si>
    <t>Setubal - Pote de Água, S/N, BLOCO L, 2º DTO "CH"</t>
  </si>
  <si>
    <t>Setubal - Pote de Água, S/N, BLOCO L, 3º ESQ. "CI"</t>
  </si>
  <si>
    <t>Setubal - Pote de Água, S/N, BLOCO L, 3º DTO "CJ"</t>
  </si>
  <si>
    <t>Setubal - Pote de Água, S/N, CAVE "CK"</t>
  </si>
  <si>
    <t>Setubal - Pote de Água, S/N, SUBCAVE, GARAGEM 1 "CL"</t>
  </si>
  <si>
    <t>Setubal - Pote de Água, S/N, SUBCAVE, GARAGEM 2 "CM"</t>
  </si>
  <si>
    <t>Setubal - Pote de Água, S/N, SUBCAVE, GARAGEM 3 "CN"</t>
  </si>
  <si>
    <t>Setubal - Pote de Água, S/N, SUBCAVE, GARAGEM 4 "CO"</t>
  </si>
  <si>
    <t>Setubal - Pote de Água, S/N, SUBCAVE, GARAGEM 5 "CP"</t>
  </si>
  <si>
    <t>Setubal - Pote de Água, S/N, SUBCAVE, GARAGEM 6 "CQ"</t>
  </si>
  <si>
    <t>Setubal - Pote de Água, S/N, SUBCAVE, GARAGEM 7 "CR"</t>
  </si>
  <si>
    <t>Setubal - Pote de Água, S/N, SUBCAVE, GARAGEM 8 "CS"</t>
  </si>
  <si>
    <t>Setubal - Pote de Água, S/N, SUBCAVE, GARAGEM 9 "CT"</t>
  </si>
  <si>
    <t>Setubal - Pote de Água, S/N, SUBCAVE, GARAGEM 10 "CU"</t>
  </si>
  <si>
    <t>Setubal - Pote de Água, S/N, SUBCAVE, GARAGEM 11 "CV"</t>
  </si>
  <si>
    <t>Setubal - Pote de Água, S/N, SUBCAVE, GARAGEM 12 "CW"</t>
  </si>
  <si>
    <t>Setubal - Pote de Água, S/N, SUBCAVE, GARAGEM 13 "CX"</t>
  </si>
  <si>
    <t>Setubal - Pote de Água, S/N, SUBCAVE, GARAGEM 14 "CZ"</t>
  </si>
  <si>
    <t>Setubal - Pote de Água, S/N, SUBCAVE, GARAGEM 15 "DA"</t>
  </si>
  <si>
    <t>Setubal - Pote de Água, S/N, SUBCAVE, GARAGEM 16 "DB"</t>
  </si>
  <si>
    <t>Setubal - Pote de Água, S/N, SUBCAVE, GARAGEM 17 "DC"</t>
  </si>
  <si>
    <t>Setubal - Pote de Água, S/N, SUBCAVE, GARAGEM 18 "DD"</t>
  </si>
  <si>
    <t>Setubal - Pote de Água, S/N, SUBCAVE, GARAGEM 19 "DE"</t>
  </si>
  <si>
    <t>Setubal - Pote de Água, S/N, SUBCAVE, GARAGEM 20 "DF"</t>
  </si>
  <si>
    <t>Setubal - Pote de Água, S/N, SUBCAVE, GARAGEM 21 "DG"</t>
  </si>
  <si>
    <t>Setubal - Pote de Água, S/N, SUBCAVE, GARAGEM 22 "DH"</t>
  </si>
  <si>
    <t>Setubal - Pote de Água, S/N, SUBCAVE, GARAGEM 23 "DI"</t>
  </si>
  <si>
    <t>Setubal - Pote de Água, S/N, SUBCAVE, GARAGEM 24 "DJ"</t>
  </si>
  <si>
    <t>Setubal - Pote de Água, S/N, SUBCAVE, GARAGEM 25 "DK"</t>
  </si>
  <si>
    <t>Setubal - Pote de Água, S/N, SUBCAVE, GARAGEM 26 "DL"</t>
  </si>
  <si>
    <t>Setubal - Pote de Água, S/N, SUBCAVE, GARAGEM 27 "DM"</t>
  </si>
  <si>
    <t>Setubal - Pote de Água, S/N, SUBCAVE, GARAGEM 28 "DN"</t>
  </si>
  <si>
    <t>Setubal - Pote de Água, S/N, SUBCAVE, GARAGEM 29 "DO"</t>
  </si>
  <si>
    <t>Setubal - Pote de Água, S/N, SUBCAVE, GARAGEM 30 "DP"</t>
  </si>
  <si>
    <t>Setubal - Pote de Água, S/N, SUBCAVE, GARAGEM 31 "DQ"</t>
  </si>
  <si>
    <t>Setubal - Pote de Água, S/N, SUBCAVE, GARAGEM 32 "DR"</t>
  </si>
  <si>
    <t>Setubal - Pote de Água, S/N, SUBCAVE, GARAGEM 33 "DS"</t>
  </si>
  <si>
    <t>Setubal - Pote de Água, S/N, SUBCAVE, GARAGEM 34 "DT"</t>
  </si>
  <si>
    <t>Setubal - Pote de Água, S/N, SUBCAVE, GARAGEM 35 "DU"</t>
  </si>
  <si>
    <t>Setubal - Pote de Água, S/N, SUBCAVE, GARAGEM 36 "DV"</t>
  </si>
  <si>
    <t>Setubal - Pote de Água, S/N, SUBCAVE, GARAGEM 37 "DW"</t>
  </si>
  <si>
    <t>Setubal - Pote de Água, S/N, SUBCAVE, GARAGEM 38 "DX"</t>
  </si>
  <si>
    <t>Setubal - Pote de Água, S/N, SUBCAVE, GARAGEM 39 "DZ"</t>
  </si>
  <si>
    <t>Setubal - Pote de Água, S/N, SUBCAVE, GARAGEM 40 "EA"</t>
  </si>
  <si>
    <t>Setubal - Pote de Água, S/N, SUBCAVE, GARAGEM 41 "EB"</t>
  </si>
  <si>
    <t>Setubal - Pote de Água, S/N, SUBCAVE, GARAGEM 42 "EC"</t>
  </si>
  <si>
    <t>Setubal - Pote de Água, S/N, SUBCAVE, GARAGEM 43 "ED"</t>
  </si>
  <si>
    <t>Setubal - Pote de Água, S/N, SUBCAVE, GARAGEM 44 "EE"</t>
  </si>
  <si>
    <t>Setubal - Pote de Água, S/N, SUBCAVE, GARAGEM 45 "EF"</t>
  </si>
  <si>
    <t>Setubal - Pote de Água, S/N, SUBCAVE, GARAGEM 46 "EG"</t>
  </si>
  <si>
    <t>Setubal - Pote de Água, S/N, SUBCAVE, GARAGEM 47 "EH"</t>
  </si>
  <si>
    <t>Setubal - Pote de Água, S/N, SUBCAVE, GARAGEM 48 "EI"</t>
  </si>
  <si>
    <t>Setubal - Pote de Água, S/N, SUBCAVE, GARAGEM 49 "EJ"</t>
  </si>
  <si>
    <t>Setubal - Pote de Água, S/N, SUBCAVE, GARAGEM 50 "EK"</t>
  </si>
  <si>
    <t>Setubal - Pote de Água, S/N, SUBCAVE, GARAGEM 51 "EL"</t>
  </si>
  <si>
    <t>Setubal - Pote de Água, S/N, SUBCAVE, GARAGEM 52 "EM"</t>
  </si>
  <si>
    <t>Setubal - Pote de Água, S/N, SUBCAVE, GARAGEM 53 "EN"</t>
  </si>
  <si>
    <t>Setubal - Pote de Água, S/N, SUBCAVE, GARAGEM 54 "EO"</t>
  </si>
  <si>
    <t>Setubal - Pote de Água, S/N, SUBCAVE, GARAGEM 55 "EP"</t>
  </si>
  <si>
    <t>Setubal - Pote de Água, S/N, SUBCAVE, GARAGEM 56 "EQ"</t>
  </si>
  <si>
    <t>Setubal - Pote de Água, S/N, SUBCAVE, GARAGEM 57 "ER"</t>
  </si>
  <si>
    <t>Setubal - Pote de Água, S/N, SUBCAVE, GARAGEM 58 "ES"</t>
  </si>
  <si>
    <t>Setubal - Pote de Água, S/N, SUBCAVE, GARAGEM 59 "ET"</t>
  </si>
  <si>
    <t>Setubal - Pote de Água, S/N, SUBCAVE, GARAGEM 60 "EU"</t>
  </si>
  <si>
    <t>Setubal - Pote de Água, S/N, SUBCAVE, GARAGEM 61 "EV"</t>
  </si>
  <si>
    <t>Setubal - Pote de Água, S/N, SUBCAVE, GARAGEM 62 "EW"</t>
  </si>
  <si>
    <t>Setubal - Pote de Água, S/N, SUBCAVE, GARAGEM 63 "EX"</t>
  </si>
  <si>
    <t>Setubal - Pote de Água, S/N, SUBCAVE, GARAGEM 64 "EZ"</t>
  </si>
  <si>
    <t>Setubal - Pote de Água, S/N, SUBCAVE, GARAGEM 65 "FA"</t>
  </si>
  <si>
    <t>Setubal - Pote de Água, S/N, SUBCAVE, GARAGEM 66 "FB"</t>
  </si>
  <si>
    <t>Setubal - Pote de Água, S/N, SUBCAVE, GARAGEM 67 "FC"</t>
  </si>
  <si>
    <t>Setubal - Pote de Água, S/N, SUBCAVE, GARAGEM 68 "FD"</t>
  </si>
  <si>
    <t>Setubal - Pote de Água, S/N, SUBCAVE, GARAGEM 69 "FE"</t>
  </si>
  <si>
    <t>Setubal - Pote de Água, S/N, SUBCAVE, GARAGEM 70 "FF"</t>
  </si>
  <si>
    <t>Setubal - Pote de Água, S/N, SUBCAVE, ARREC. 1 "FG"</t>
  </si>
  <si>
    <t>Setubal - Pote de Água, S/N, SUBCAVE, ARREC. 2 "FH"</t>
  </si>
  <si>
    <t>Setubal - Pote de Água, S/N, SUBCAVE, ARREC. 3 "FI"</t>
  </si>
  <si>
    <t>Setubal - Pote de Água, S/N, SUBCAVE, ARREC. 4 "FJ"</t>
  </si>
  <si>
    <t>Setubal - Pote de Água, S/N, SUBCAVE, ARREC. 5 "FK"</t>
  </si>
  <si>
    <t>Setubal - Pote de Água, S/N, SUBCAVE, ARREC. 6 "FL"</t>
  </si>
  <si>
    <t>Setubal - Pote de Água, S/N, SUBCAVE, ARREC. 7 "FM"</t>
  </si>
  <si>
    <t>Setubal - Pote de Água, S/N, SUBCAVE, ARREC. 8 "FN"</t>
  </si>
  <si>
    <t>Setubal - Pote de Água, S/N, SUBCAVE, ARREC. 9 "FO"</t>
  </si>
  <si>
    <t>Setubal - Pote de Água, S/N, SUBCAVE, ARREC. 10 "FP"</t>
  </si>
  <si>
    <t>Setubal - Pote de Água, S/N, SUBCAVE, ARREC. 11 "FQ"</t>
  </si>
  <si>
    <t>Setubal - Pote de Água, S/N, SUBCAVE, ARREC. 12 "FR"</t>
  </si>
  <si>
    <t>Setubal - Pote de Água, S/N, SUBCAVE, ARREC. 13 "FS"</t>
  </si>
  <si>
    <t>Setubal - Pote de Água, S/N, SUBCAVE, ARREC. 14 "FT"</t>
  </si>
  <si>
    <t>Setubal - Pote de Água, S/N, SUBCAVE, ARREC. 15 "FU"</t>
  </si>
  <si>
    <t>Setubal - Pote de Água, S/N, SUBCAVE, ARREC. 16 "FV"</t>
  </si>
  <si>
    <t>Setubal - Pote de Água, S/N, SUBCAVE, ARREC. 17 "FW"</t>
  </si>
  <si>
    <t>Setubal - Pote de Água, S/N, SUBCAVE, ARREC. 18 "FX"</t>
  </si>
  <si>
    <t>Setubal - Pote de Água, S/N, SUBCAVE, ARREC. 19 "FZ"</t>
  </si>
  <si>
    <t>Setubal - Pote de Água, S/N, SUBCAVE, ARREC. 20 "GA"</t>
  </si>
  <si>
    <t>Setubal - Pote de Água, S/N, SUBCAVE, ARREC. 21 "GB"</t>
  </si>
  <si>
    <t>Setubal - Pote de Água, S/N, SUBCAVE, ARREC. 22 "GC"</t>
  </si>
  <si>
    <t>Setubal - Pote de Água, S/N, SUBCAVE, ARREC. 23 "GD"</t>
  </si>
  <si>
    <t>Setubal - Pote de Água, S/N, SUBCAVE, ARREC. 24 "GE"</t>
  </si>
  <si>
    <t>Setubal - Pote de Água, S/N, SUBCAVE, ARREC. 25 "GF"</t>
  </si>
  <si>
    <t>Setubal - Pote de Água, S/N, SUBCAVE, ARREC. 26 "GG"</t>
  </si>
  <si>
    <t>Setubal - Pote de Água, S/N, SUBCAVE, ARREC. 27 "GH"</t>
  </si>
  <si>
    <t>Setubal - Pote de Água, S/N, SUBCAVE, ARREC. 28 "GI"</t>
  </si>
  <si>
    <t>Setubal - Pote de Água, S/N, SUBCAVE, ARREC. 29 "GJ"</t>
  </si>
  <si>
    <t>Setubal - Pote de Água, S/N, SUBCAVE, ARREC. 30 "GK"</t>
  </si>
  <si>
    <t>Setubal - Pote de Água, S/N, SUBCAVE, ARREC. 31 "GL"</t>
  </si>
  <si>
    <t>Setubal - Pote de Água, S/N, SUBCAVE, ARREC. 32 "GM"</t>
  </si>
  <si>
    <t>Setubal - Pote de Água, S/N, SUBCAVE, ARREC. 33 "GN"</t>
  </si>
  <si>
    <t>Setubal - Pote de Água, S/N, SUBCAVE, ARREC. 34 "GO"</t>
  </si>
  <si>
    <t>Setubal - Pote de Água, S/N, SUBCAVE, ARREC. 35 "GP"</t>
  </si>
  <si>
    <t>Setubal - Pote de Água, S/N, SUBCAVE, ARREC. 36 "GQ"</t>
  </si>
  <si>
    <t>Setubal - Pote de Água, S/N, SUBCAVE, ARREC. 37 "GR"</t>
  </si>
  <si>
    <t>Setubal - Pote de Água, S/N, SUBCAVE, ARREC. 38 "GS"</t>
  </si>
  <si>
    <t>Setubal - Pote de Água, S/N, SUBCAVE, ARREC. 39 "GT"</t>
  </si>
  <si>
    <t>Setubal - Pote de Água, S/N, SUBCAVE, ARREC. 40 "GU"</t>
  </si>
  <si>
    <t>Setubal - Pote de Água, S/N, SUBCAVE, ARREC. 41 "GV"</t>
  </si>
  <si>
    <t>Setubal - Pote de Água, S/N, SUBCAVE, ARREC. 42 "GW"</t>
  </si>
  <si>
    <t>Setubal - Pote de Água, S/N, SUBCAVE, ARREC. 43 "GX"</t>
  </si>
  <si>
    <t>Setubal - Pote de Água, S/N, SUBCAVE, ARREC. 44 "GZ"</t>
  </si>
  <si>
    <t>Setubal - Pote de Água, S/N, SUBCAVE, ARREC. 45 "HA"</t>
  </si>
  <si>
    <t>Setubal - Pote de Água, S/N, SUBCAVE, ARREC. 46 "HB"</t>
  </si>
  <si>
    <t>Setubal - Pote de Água, S/N, SUBCAVE, ARREC. 47 "HC"</t>
  </si>
  <si>
    <t>Setubal - Pote de Água, S/N, SUBCAVE, ARREC. 48 "HD"</t>
  </si>
  <si>
    <t>Setubal - Pote de Água, S/N, SUBCAVE, ARREC. 49 "HE"</t>
  </si>
  <si>
    <t>Setubal - Pote de Água, S/N, SUBCAVE, ARREC. 50 "HF"</t>
  </si>
  <si>
    <t>Setubal - Pote de Água, S/N, BLOCO B, R/C "I"</t>
  </si>
  <si>
    <t>Setubal - Pote de Água, S/N, BLOCO C, R/C ESQ. "P"</t>
  </si>
  <si>
    <t>Setubal - Pote de Água, S/N, BLOCO C, R/C DTO "Q"</t>
  </si>
  <si>
    <t>Setubal - Pote de Água, S/N, BLOCO C, 1º ESQ. "R"</t>
  </si>
  <si>
    <t>Setubal - Pote de Água, S/N, BLOCO C, 1º DTO "S"</t>
  </si>
  <si>
    <t>Setubal - Pote de Água, S/N, BLOCO C, 2º ESQ. "T"</t>
  </si>
  <si>
    <t>Setubal - Pote de Água, S/N, BLOCO C, 2º DTO "U"</t>
  </si>
  <si>
    <t>Setubal - Pote de Água, S/N, BLOCO C, 3º ESQ. "V"</t>
  </si>
  <si>
    <t>Setubal - Pote de Água, S/N, BLOCO C, 3º DTO "W"</t>
  </si>
  <si>
    <t>Setubal - Pote de Água, S/N, BLOCO D, R/C ESQ. "X"</t>
  </si>
  <si>
    <t>Setubal - Pote de Água, S/N, BLOCO D, R/C DTO "Z"</t>
  </si>
  <si>
    <t>Santa Maria Da Feira - Rua do Viaduto, Nº 11</t>
  </si>
  <si>
    <t xml:space="preserve">Vítor Manuel dos Reis Ferreira </t>
  </si>
  <si>
    <t>2008-11-10</t>
  </si>
  <si>
    <t>Santa Maria Da Feira - Rua da Mota, 892</t>
  </si>
  <si>
    <t>Hernani da Costa Mota</t>
  </si>
  <si>
    <t>2022-05-24</t>
  </si>
  <si>
    <t>Santa Maria Da Feira - Lugar Grandal, Armazem</t>
  </si>
  <si>
    <t xml:space="preserve">Augusto Fernando Henriques Batista </t>
  </si>
  <si>
    <t>2009-12-16</t>
  </si>
  <si>
    <t>Tomar - Rua da Estação de Fátima, S/N</t>
  </si>
  <si>
    <t xml:space="preserve">António Mendes da Silva Costa </t>
  </si>
  <si>
    <t>2009-12-15</t>
  </si>
  <si>
    <t>Torres Vedras - Rua Poço da Beata, Nº 15</t>
  </si>
  <si>
    <t>Luís Manuel Pereira Ventura</t>
  </si>
  <si>
    <t>2008-11-03</t>
  </si>
  <si>
    <t>2022-06-20</t>
  </si>
  <si>
    <t>Vila Nova De Gaia - Largo de França Borges, Nº60, 2º, "G" "G"</t>
  </si>
  <si>
    <t>Abílio J. P. M. Oliveira Couto</t>
  </si>
  <si>
    <t>2003-05-15</t>
  </si>
  <si>
    <t>2022-02-14</t>
  </si>
  <si>
    <t>Setubal - Sitio da Liroa, Lote 22</t>
  </si>
  <si>
    <t>AGN - Sociedade Imobiliária Lda</t>
  </si>
  <si>
    <t>2009-12-31</t>
  </si>
  <si>
    <t xml:space="preserve">Comcasa-Sociedade de Gestão Imobiliária </t>
  </si>
  <si>
    <t>2011-03-25</t>
  </si>
  <si>
    <t>Alcobaca - Estrada de Alcobaça, S/N</t>
  </si>
  <si>
    <t xml:space="preserve">NMOV-Indústria de Móveis SA </t>
  </si>
  <si>
    <t>2011-04-29</t>
  </si>
  <si>
    <t xml:space="preserve">Amândio Correia Cavadas </t>
  </si>
  <si>
    <t>2011-09-20</t>
  </si>
  <si>
    <t>2022-04-27</t>
  </si>
  <si>
    <t>Palmela - Urbanizacao Golf do Montado, Lote 3, CEL.10, R/C E 1º, APART.G3 "G3"</t>
  </si>
  <si>
    <t xml:space="preserve">Varandas do Golf - Gestão de Empreendimentos turísticos lda </t>
  </si>
  <si>
    <t>2007-06-29</t>
  </si>
  <si>
    <t xml:space="preserve">António Sabino Duarte, Lda. </t>
  </si>
  <si>
    <t>2012-02-01</t>
  </si>
  <si>
    <t>2021-12-30</t>
  </si>
  <si>
    <t>Sintra - Casal da Ouressa, S/N</t>
  </si>
  <si>
    <t>Feira - Rua 5 de Outubro, Nº 2681</t>
  </si>
  <si>
    <t xml:space="preserve">CORTIÇAS PEREIRA DA SILVA &amp; ROCHA LDA </t>
  </si>
  <si>
    <t>2012-09-18</t>
  </si>
  <si>
    <t>CONSORCIO POPULAR</t>
  </si>
  <si>
    <t xml:space="preserve">ALBERTO MARTINS DE MESQUITA E FILHOS, S.A </t>
  </si>
  <si>
    <t>2011-12-20</t>
  </si>
  <si>
    <t>Porto - Rua de Santa Catarina, Nº 1502, R/C "BQ"</t>
  </si>
  <si>
    <t>Porto - Rua das Doze Casas, Nº 331 e 335, R/C "BS"</t>
  </si>
  <si>
    <t>Tarouca - Lugar de Mataduço, Nº S/N</t>
  </si>
  <si>
    <t xml:space="preserve">Duarte dos Santos Vicente </t>
  </si>
  <si>
    <t>2013-02-06</t>
  </si>
  <si>
    <t>Alcobaca - Roberto, S/N</t>
  </si>
  <si>
    <t xml:space="preserve">Pedro Marques Verissimo </t>
  </si>
  <si>
    <t>2013-05-17</t>
  </si>
  <si>
    <t>Vila Nova De Famalicao - Rua de Santa Eulália, Nº 91, BL B, R/C "C"</t>
  </si>
  <si>
    <t xml:space="preserve">Construções Nortplantas, Ldª </t>
  </si>
  <si>
    <t>2013-06-26</t>
  </si>
  <si>
    <t>Vila Nova De Famalicao - Rua de Santa Eulália, Bloco B, R/C, "D", Nº 97</t>
  </si>
  <si>
    <t>Almada - Rua Agatão Lança, Nº 28, CAVE DTA "A"</t>
  </si>
  <si>
    <t xml:space="preserve">Domingos e Fernandes,Lda </t>
  </si>
  <si>
    <t>2014-11-14</t>
  </si>
  <si>
    <t>2022-05-30</t>
  </si>
  <si>
    <t>Ferreira Do Zezere - Portinha, S/N</t>
  </si>
  <si>
    <t xml:space="preserve">Rómulo Filipe Alves Branco </t>
  </si>
  <si>
    <t>2014-03-26</t>
  </si>
  <si>
    <t>Santa Maria Da Feira - Lugar da Lagoinha</t>
  </si>
  <si>
    <t xml:space="preserve">Joaquim Beire da Rocha Herdeiros </t>
  </si>
  <si>
    <t>2014-11-03</t>
  </si>
  <si>
    <t>2021-11-17</t>
  </si>
  <si>
    <t>Sintra - Praceta Infante Isabel, nº4 e 4A e R. D. Isabel de Aragão, Nº 19-19A, 1º ESQ. "M"</t>
  </si>
  <si>
    <t xml:space="preserve">José António Costa Clara  </t>
  </si>
  <si>
    <t>2015-09-08</t>
  </si>
  <si>
    <t>Mafra - Praceta das Amoras, S/N</t>
  </si>
  <si>
    <t xml:space="preserve">Ana Cristina Aragão Rodrigues </t>
  </si>
  <si>
    <t>2015-06-05</t>
  </si>
  <si>
    <t>Alcobaca - Rua Pinheiro da Velha, Nº 8</t>
  </si>
  <si>
    <t xml:space="preserve">José António Lenha da Silva </t>
  </si>
  <si>
    <t>2015-05-07</t>
  </si>
  <si>
    <t>Ferreira Do Zezere - Curral Padrinho, S/N</t>
  </si>
  <si>
    <t xml:space="preserve">António José Lopes Marques </t>
  </si>
  <si>
    <t>2015-05-21</t>
  </si>
  <si>
    <t>2022-06-23</t>
  </si>
  <si>
    <t>INSTALACAO INDUSTRIAL - Comercial</t>
  </si>
  <si>
    <t>2021-03-01</t>
  </si>
  <si>
    <t>Abrantes - Parque Industrial de Abrantes, Lote 10 e 11</t>
  </si>
  <si>
    <t xml:space="preserve">Granja &amp; Filhos, Lda </t>
  </si>
  <si>
    <t>2015-09-15</t>
  </si>
  <si>
    <t>2022-02-25</t>
  </si>
  <si>
    <t>Paredes - Rua Central de Bairros, n.º 903</t>
  </si>
  <si>
    <t xml:space="preserve">Móveis Casinha, Lda </t>
  </si>
  <si>
    <t>2015-09-18</t>
  </si>
  <si>
    <t>Alenquer - Rua do Rocha, Nº 14</t>
  </si>
  <si>
    <t>2015-10-19</t>
  </si>
  <si>
    <t>Abrantes - Rua do Cabeço da Senhora da Luz, S/N</t>
  </si>
  <si>
    <t xml:space="preserve">Estevão Ferreira Olival  </t>
  </si>
  <si>
    <t>2015-11-18</t>
  </si>
  <si>
    <t>2022-06-14</t>
  </si>
  <si>
    <t xml:space="preserve">Cohiba, Empreendimentos Imobiliarios, Lda </t>
  </si>
  <si>
    <t>Mafra - Travessa da Lagoa, Nº 1, Bloco D "AM"</t>
  </si>
  <si>
    <t>OUTROS - Outros</t>
  </si>
  <si>
    <t>2016-06-22</t>
  </si>
  <si>
    <t>Maia - Travessa de Mandim, Nº S/N</t>
  </si>
  <si>
    <t xml:space="preserve">José da Silva Ribeiro </t>
  </si>
  <si>
    <t>2015-10-06</t>
  </si>
  <si>
    <t>2021-10-18</t>
  </si>
  <si>
    <t>Maia - Travessa Largo de Mandim, Nº 100</t>
  </si>
  <si>
    <t>Santarem - Rua Principal, S/N</t>
  </si>
  <si>
    <t xml:space="preserve">Marcofil Industria de Marmores </t>
  </si>
  <si>
    <t>2016-07-11</t>
  </si>
  <si>
    <t>Paredes - Rua Flores, Nº 236</t>
  </si>
  <si>
    <t xml:space="preserve">José Alberto Moreira Polido </t>
  </si>
  <si>
    <t>2016-05-25</t>
  </si>
  <si>
    <t>Santa Maria Da Feira - Rua de Gueifar, Nº S/N</t>
  </si>
  <si>
    <t xml:space="preserve">Brascor - Industria de Cortiça, Lda </t>
  </si>
  <si>
    <t>2021-06-21</t>
  </si>
  <si>
    <t>Portalegre - Rua da Fonte do Cortiço, Nº 1</t>
  </si>
  <si>
    <t xml:space="preserve">Carlos Alberto Cruz Trindade </t>
  </si>
  <si>
    <t>2016-07-28</t>
  </si>
  <si>
    <t>2022-06-07</t>
  </si>
  <si>
    <t xml:space="preserve">Eugénio Martins Ferro </t>
  </si>
  <si>
    <t>2017-02-14</t>
  </si>
  <si>
    <t>Sintra - Limites da Rinchoa, Lote 22</t>
  </si>
  <si>
    <t>Sintra - Limites da Rinchoa, Lote 23</t>
  </si>
  <si>
    <t xml:space="preserve">Santa Esmeralda Sociedade de Investimentos Imobiliários Lda </t>
  </si>
  <si>
    <t>Agueda - Urbanizacao Quinta da Loba, Lote 35</t>
  </si>
  <si>
    <t>Agueda - Urbanizacao Quinta da Loba, Lote 37</t>
  </si>
  <si>
    <t>Agueda - Urbanizacao Quinta da Loba, Lote 38</t>
  </si>
  <si>
    <t>Agueda - Urbanizacao Quinta da Loba, Lote 39</t>
  </si>
  <si>
    <t>Agueda - Urbanizacao Quinta da Loba, Lote 45</t>
  </si>
  <si>
    <t>Agueda - Urbanizacao Quinta da Loba, Lote 46</t>
  </si>
  <si>
    <t>Agueda - Urbanizacao Quinta da Loba, Lote 47</t>
  </si>
  <si>
    <t>Agueda - Urbanizacao Quinta da Loba, Lote 48</t>
  </si>
  <si>
    <t>Agueda - Urbanizacao Quinta da Loba, Lote 49</t>
  </si>
  <si>
    <t>Agueda - Urbanizacao Quinta da Loba, Lote 52</t>
  </si>
  <si>
    <t>Agueda - Urbanizacao Quinta da Loba, Lote 53</t>
  </si>
  <si>
    <t>Agueda - Urbanizacao Quinta da Loba, Lote 54</t>
  </si>
  <si>
    <t>Agueda - Urbanizacao Quinta da Loba, Lote 55</t>
  </si>
  <si>
    <t>Agueda - Urbanizacao Quinta da Loba, Lote 56</t>
  </si>
  <si>
    <t>Agueda - Urbanizacao Quinta da Loba, Lote 57</t>
  </si>
  <si>
    <t>Agueda - Urbanizacao Quinta da Loba, Lote 63</t>
  </si>
  <si>
    <t>Agueda - Urbanizacao Quinta da Loba, Lote 65</t>
  </si>
  <si>
    <t>Agueda - Urbanizacao Quinta da Loba, Lote 70</t>
  </si>
  <si>
    <t>Agueda - Urbanizacao Quinta da Loba, Lote 71</t>
  </si>
  <si>
    <t>Agueda - Urbanizacao Quinta da Loba, Lote 72</t>
  </si>
  <si>
    <t>Agueda - Urbanizacao Quinta da Loba, Lote 104</t>
  </si>
  <si>
    <t>Agueda - Urbanizacao Quinta da Loba, Lote 105</t>
  </si>
  <si>
    <t>Agueda - Urbanizacao Quinta da Loba, Lote 110</t>
  </si>
  <si>
    <t>Agueda - Urbanizacao Quinta da Loba, Lote 111</t>
  </si>
  <si>
    <t>Agueda - Urbanizacao Quinta da Loba, Lote 112</t>
  </si>
  <si>
    <t>Agueda - Urbanizacao Quinta da Loba, Lote 117</t>
  </si>
  <si>
    <t>Agueda - Urbanizacao Quinta da Loba, Lote 118</t>
  </si>
  <si>
    <t>Agueda - Urbanizacao Quinta da Loba, Lote 121</t>
  </si>
  <si>
    <t>Agueda - Urbanizacao Quinta da Loba, Lote 122</t>
  </si>
  <si>
    <t>Agueda - Urbanizacao Quinta da Loba, Lote 123</t>
  </si>
  <si>
    <t>Agueda - Urbanizacao Quinta da Loba, Lote 127</t>
  </si>
  <si>
    <t>Agueda - Urbanizacao Quinta da Loba, Lote 128</t>
  </si>
  <si>
    <t>Agueda - Urbanizacao Quinta da Loba, Lote 129</t>
  </si>
  <si>
    <t>Agueda - Urbanizacao Quinta da Loba, Lote 130</t>
  </si>
  <si>
    <t>Agueda - Urbanizacao Quinta da Loba, Lote 131</t>
  </si>
  <si>
    <t>Agueda - Quinta da Loba</t>
  </si>
  <si>
    <t>Vila Franca De Xira - Salgadeira, S/N</t>
  </si>
  <si>
    <t xml:space="preserve">Terraços da Encosta Empreendimentos Imobiliários, Lda. </t>
  </si>
  <si>
    <t>2016-06-30</t>
  </si>
  <si>
    <t>Vila Franca De Xira - O Lagar, Salgadinha e Espraganal, S/N</t>
  </si>
  <si>
    <t>2016-12-13</t>
  </si>
  <si>
    <t>Benavente - Cabeço da Marinha, S/N</t>
  </si>
  <si>
    <t xml:space="preserve">FANDANGO - Actividades Festivas, Lda </t>
  </si>
  <si>
    <t>EDIFICIO - Residencial</t>
  </si>
  <si>
    <t>2017-05-22</t>
  </si>
  <si>
    <t>2017-09-18</t>
  </si>
  <si>
    <t>2021-01-05</t>
  </si>
  <si>
    <t>2017-12-20</t>
  </si>
  <si>
    <t>Cartaxo - Rua das Amendoeiras, S/N</t>
  </si>
  <si>
    <t xml:space="preserve">Rui Pedro Fernandes das Neves </t>
  </si>
  <si>
    <t>Almada - Estrada Nacional 110-1, S/N</t>
  </si>
  <si>
    <t>Real Sucesso - Empreendimentos Imobiliários, Lda</t>
  </si>
  <si>
    <t>2009-01-08</t>
  </si>
  <si>
    <t>2021-03-24</t>
  </si>
  <si>
    <t>Vila Praia Da Vitória - Canada Funda, S/N</t>
  </si>
  <si>
    <t>ARTUR MANUEL LEVENE CAMPOS RIBEIRO</t>
  </si>
  <si>
    <t>2101328385</t>
  </si>
  <si>
    <t>084015125870000</t>
  </si>
  <si>
    <t>2018-10-24</t>
  </si>
  <si>
    <t>ARQUIANGRA</t>
  </si>
  <si>
    <t>2018-10-03</t>
  </si>
  <si>
    <t>Oliveira Do Bairro - Rua Direita, Nº 14</t>
  </si>
  <si>
    <t>ANTONIO JOSE MATOS CARVALHAL REIS</t>
  </si>
  <si>
    <t>9001469431</t>
  </si>
  <si>
    <t>006012947140000</t>
  </si>
  <si>
    <t>POPULAR-VIA DCR/DCO</t>
  </si>
  <si>
    <t>Odemira - Urbanizacao Zambujeira Village, Lote 1</t>
  </si>
  <si>
    <t xml:space="preserve">Amaro &amp; Gonçalves, S.A. </t>
  </si>
  <si>
    <t>5100329573</t>
  </si>
  <si>
    <t>Odemira - Urbanizacao Zambujeira Village, Lote 2</t>
  </si>
  <si>
    <t>Odemira - Urbanizacao Zambujeira Village, Lote 3</t>
  </si>
  <si>
    <t>Odemira - Urbanizacao Zambujeira Village, Lote 17</t>
  </si>
  <si>
    <t>Odemira - Urbanizacao Zambujeira Village, Lote 16</t>
  </si>
  <si>
    <t>Odemira - Urbanizacao Zambujeira Village, Lote 29</t>
  </si>
  <si>
    <t>Odemira - Urbanizacao Zambujeira Village, Lote 27</t>
  </si>
  <si>
    <t>Odemira - Urbanizacao Zambujeira Village, Lote 19</t>
  </si>
  <si>
    <t>Odemira - Urbanizacao Zambujeira Village, Lote 18</t>
  </si>
  <si>
    <t>Odemira - Urbanizacao Zambujeira Village, Lote 10</t>
  </si>
  <si>
    <t>Odemira - Urbanizacao Zambujeira Village, Lote 12</t>
  </si>
  <si>
    <t>Odemira - Urbanizacao Zambujeira Village, Lote 13</t>
  </si>
  <si>
    <t>Odemira - Urbanizacao Zambujeira Village, Lote 15</t>
  </si>
  <si>
    <t>Odemira - Urbanizacao Zambujeira Village, Lote 14</t>
  </si>
  <si>
    <t>Odemira - Urbanizacao Zambujeira Village, Lote 26</t>
  </si>
  <si>
    <t>Odemira - Urbanizacao Zambujeira Village, Lote 25</t>
  </si>
  <si>
    <t>Odemira - Urbanizacao Zambujeira Village, Lote 9</t>
  </si>
  <si>
    <t>Odemira - Urbanizacao Zambujeira Village, Lote 28</t>
  </si>
  <si>
    <t>Odemira - Urbanizacao Zambujeira Village, Lote 24</t>
  </si>
  <si>
    <t>Odemira - Urbanizacao Zambujeira Village, Lote 23</t>
  </si>
  <si>
    <t>Odemira - Urbanizacao Zambujeira Village, Lote 22</t>
  </si>
  <si>
    <t>Odemira - Urbanizacao Zambujeira Village, Lote 21</t>
  </si>
  <si>
    <t>Odemira - Urbanizacao Zambujeira Village, Lote 11</t>
  </si>
  <si>
    <t>Odemira - Urbanizacao Zambujeira Village, Lote 20</t>
  </si>
  <si>
    <t>Odemira - Urbanizacao Zambujeira Village, Lote 4</t>
  </si>
  <si>
    <t>Odemira - Urbanizacao Zambujeira Village, Lote 5</t>
  </si>
  <si>
    <t>Odemira - Urbanizacao Zambujeira Village, Lote 6</t>
  </si>
  <si>
    <t>Odemira - Urbanizacao Zambujeira Village, Lote 7</t>
  </si>
  <si>
    <t>Odemira - Urbanizacao Zambujeira Village, Lote 8</t>
  </si>
  <si>
    <t>Nelas - Avenida António Joaquim Henriques, Bloco 3, Nº 64-A, R/C DTO, Loja n.º 1 "A"</t>
  </si>
  <si>
    <t>MACOMAX - MATERIAIS E CONSTRUCAO, LDA</t>
  </si>
  <si>
    <t>2101014816</t>
  </si>
  <si>
    <t>0061078902</t>
  </si>
  <si>
    <t>2018-09-01</t>
  </si>
  <si>
    <t>Nelas - Avenida António Joaquim Henriques, Bloco 3, Nº 64-B, R/C ESQ, Loja n.º 2 "B"</t>
  </si>
  <si>
    <t>0061078901</t>
  </si>
  <si>
    <t>Montemor-O-Velho - Beco da Rua Nova, nº6, lado esquerdo</t>
  </si>
  <si>
    <t>MARIA CONCEICAO AGUIAR DUARTE CARVALHAL REIS</t>
  </si>
  <si>
    <t>2100684474</t>
  </si>
  <si>
    <t>084014758370000</t>
  </si>
  <si>
    <t>Santa Comba Dao - Rua da Estação, Nº 13</t>
  </si>
  <si>
    <t>COCHE MOVEIS - MOBILIARIO E ARTESANATO DE MADEIRA</t>
  </si>
  <si>
    <t>8045899851</t>
  </si>
  <si>
    <t>003211553920000</t>
  </si>
  <si>
    <t>2019-02-07</t>
  </si>
  <si>
    <t>Barreiro - Rua Voz do Operário, Nº 43, R/C "O"</t>
  </si>
  <si>
    <t>Carlos Alberto Moreira Rodrigues</t>
  </si>
  <si>
    <t>9001053116</t>
  </si>
  <si>
    <t>0001009975</t>
  </si>
  <si>
    <t>2017-03-01</t>
  </si>
  <si>
    <t>Porto De Mos - Beco dos Cabecinhos, Nº 8</t>
  </si>
  <si>
    <t>CARLOS MANUEL NEVES CARREIRA</t>
  </si>
  <si>
    <t>8046339335</t>
  </si>
  <si>
    <t>000010831860000</t>
  </si>
  <si>
    <t>2018-02-22</t>
  </si>
  <si>
    <t>Amadora - Rua das Fontainhas, Lote 10</t>
  </si>
  <si>
    <t xml:space="preserve">VENDICONSTROI - Construção Civil, Lda.  </t>
  </si>
  <si>
    <t>5100264246</t>
  </si>
  <si>
    <t>063216037440000</t>
  </si>
  <si>
    <t>2019-06-12</t>
  </si>
  <si>
    <t>2022-01-13</t>
  </si>
  <si>
    <t>Almada - Rua República da Guiné Bissau, S/N</t>
  </si>
  <si>
    <t xml:space="preserve">Anabela Duque Silva Santos  </t>
  </si>
  <si>
    <t>9001918192</t>
  </si>
  <si>
    <t>000000396120000</t>
  </si>
  <si>
    <t>2014-06-23</t>
  </si>
  <si>
    <t>Braganca - Rua S. João, Nº 50, R/C ESQ. "A"</t>
  </si>
  <si>
    <t>MARIA JOSE REIS MARAVILHA ESTEVES</t>
  </si>
  <si>
    <t>0000208051</t>
  </si>
  <si>
    <t>003012608300001</t>
  </si>
  <si>
    <t>2020-01-16</t>
  </si>
  <si>
    <t>Viana Do Alentejo - Rua André de Resende, Nº 11-B, R/C "B"</t>
  </si>
  <si>
    <t>CATARINA MARIA PENETRA MAGRO</t>
  </si>
  <si>
    <t>8018671276</t>
  </si>
  <si>
    <t>0001004416</t>
  </si>
  <si>
    <t>2013-10-01</t>
  </si>
  <si>
    <t>2021-12-21</t>
  </si>
  <si>
    <t>2021-12-15</t>
  </si>
  <si>
    <t>Cartaxo - Urbanizacao Quinta do Brito, Lote 37, R/C ESQ. "A"</t>
  </si>
  <si>
    <t xml:space="preserve">Empoi - Empresa de Participações Comerciais, S.A </t>
  </si>
  <si>
    <t>2008-07-01</t>
  </si>
  <si>
    <t>Cartaxo - Urbanizacao Quinta do Brito, Lote 37, R/C DTO "B"</t>
  </si>
  <si>
    <t>Lamego - Rua São João, S/N, Piso 1 - Loja 5  "E"</t>
  </si>
  <si>
    <t>DIGIREGIÃO - IMOBILIARIA E SERVIÇOS, LDA</t>
  </si>
  <si>
    <t>2101032412</t>
  </si>
  <si>
    <t>0069022851</t>
  </si>
  <si>
    <t>2016-11-01</t>
  </si>
  <si>
    <t>Sintra - Rua Elias Garcia, Nº 109 A</t>
  </si>
  <si>
    <t>CENTRO COMERCIAL INFANTE, LDA</t>
  </si>
  <si>
    <t>2100122136</t>
  </si>
  <si>
    <t>000017064270000</t>
  </si>
  <si>
    <t>2019-11-04</t>
  </si>
  <si>
    <t>AZ 76 - CONSULTORES DE INVESTIMENTO E ENGª, LDA</t>
  </si>
  <si>
    <t>2021-01-12</t>
  </si>
  <si>
    <t>2021-06-08</t>
  </si>
  <si>
    <t>Benavente - Rua da Caixa de Previdência, Lote 25</t>
  </si>
  <si>
    <t>ANTONIO ALBERTO CANCIO SANTOS CHENDO</t>
  </si>
  <si>
    <t>2100805525</t>
  </si>
  <si>
    <t>084014793880000</t>
  </si>
  <si>
    <t>2020-06-24</t>
  </si>
  <si>
    <t>Vila Franca De Xira - Calcada da Costa Branca, S/N</t>
  </si>
  <si>
    <t>Infraímo - Sociedade Imobiliária, Lda.</t>
  </si>
  <si>
    <t>8046389225</t>
  </si>
  <si>
    <t>2018-09-21</t>
  </si>
  <si>
    <t>2021-09-30</t>
  </si>
  <si>
    <t>2021-05-27</t>
  </si>
  <si>
    <t>Sintra - Rua da Liberdade, Nº 89, R/C "A"</t>
  </si>
  <si>
    <t>MARIA AMELIA OLIVEIRA MASSANO TEIXEIRA</t>
  </si>
  <si>
    <t>8045533788</t>
  </si>
  <si>
    <t>003012337660000</t>
  </si>
  <si>
    <t>2020-06-30</t>
  </si>
  <si>
    <t>Angra Do Heroísmo - Rua do Meio de S. Pedro, Nº 2</t>
  </si>
  <si>
    <t>TIAGO SOARES OLIVEIRA</t>
  </si>
  <si>
    <t>2101305667</t>
  </si>
  <si>
    <t>083015082340000</t>
  </si>
  <si>
    <t>2022-01-10</t>
  </si>
  <si>
    <t>Salvaterra De Magos - Rua A, S/N e Rua B, S/N</t>
  </si>
  <si>
    <t>I.P.I. -INDUSTRIA DE PRODUTOS DE ILUMINACAO LDA</t>
  </si>
  <si>
    <t>2100850066</t>
  </si>
  <si>
    <t>0069016871</t>
  </si>
  <si>
    <t>Ferreira Do Alentejo - Rua Jose Agostinho de Macedo, Nº 22</t>
  </si>
  <si>
    <t>JOAO FRANCISCO FIALHO SERRA</t>
  </si>
  <si>
    <t>2100796443</t>
  </si>
  <si>
    <t>084014797230001</t>
  </si>
  <si>
    <t>2021-06-07</t>
  </si>
  <si>
    <t>Vila Nova De Famalicão - Rua José Elísio Goncalves Cerejeira, Nº 541, Bloco B, R/C Esqº "Z"</t>
  </si>
  <si>
    <t>MANUEL FERREIRA SILVA LDA</t>
  </si>
  <si>
    <t>8045438366</t>
  </si>
  <si>
    <t>000014606860000</t>
  </si>
  <si>
    <t>2018-06-21</t>
  </si>
  <si>
    <t>Almada - Rua Gomes Leal, Nº 16, 6º Andar Rectaguarda Dto  "Y"</t>
  </si>
  <si>
    <t>CARLOS MANUEL TELES DA SILVA</t>
  </si>
  <si>
    <t>9000568507</t>
  </si>
  <si>
    <t>000011053460001</t>
  </si>
  <si>
    <t>IMÓVEIS EM PRÉ-ABERTURA</t>
  </si>
  <si>
    <t>Provisão Adicional</t>
  </si>
  <si>
    <t>2740901</t>
  </si>
  <si>
    <t>2740904</t>
  </si>
  <si>
    <t>2740904-2740900</t>
  </si>
  <si>
    <t>299001</t>
  </si>
  <si>
    <t>299004</t>
  </si>
  <si>
    <t>299004-299000</t>
  </si>
  <si>
    <t>299021</t>
  </si>
  <si>
    <t>299020</t>
  </si>
  <si>
    <t>VC-PCI</t>
  </si>
  <si>
    <t>VC-IFRS</t>
  </si>
  <si>
    <t>PL-PCI</t>
  </si>
  <si>
    <t>PL-IFRS</t>
  </si>
  <si>
    <t>PA-PCI</t>
  </si>
  <si>
    <t>PA-IFRS</t>
  </si>
  <si>
    <t>SANTANDER - PROPRIOS</t>
  </si>
  <si>
    <t>Vila Nova De Famalicao - Rua Vasconcelos e Castro, S/N, 1º NASC. E "C"</t>
  </si>
  <si>
    <t>Vila Nova De Famalicao - Rua Vasconcelos e Castro, S/N, 3º RECUADO "G"</t>
  </si>
  <si>
    <t>Abrantes - Avenida Dr. António Augusto Silva Martins, S/N, R/C Dto. "E"</t>
  </si>
  <si>
    <t>Vendas Novas - Avenida da Republica, Nº 92-A, CAVE E R/C "AA"</t>
  </si>
  <si>
    <t>Maia - Rua Padre António, Nº 386, CV e R/C "A"</t>
  </si>
  <si>
    <t>POPULAR - PROPRIOS</t>
  </si>
  <si>
    <t>Feira - Travessa da Laranjeira, Nº 51, R/C, Loja 4 "D"</t>
  </si>
  <si>
    <t>Porto - Rua da Constituição, Nº 1495, R/C "B"</t>
  </si>
  <si>
    <t>Moita - Rua Major José Luis Fernandes, Nº 7, R/C "A"</t>
  </si>
  <si>
    <t>POPULAR - PROPRIOS - VIA DCIS</t>
  </si>
  <si>
    <t>Bombarral - Rua do Comércio, Nº 2B, R/C "A"</t>
  </si>
  <si>
    <t>Loures - Alameda Salgueiro Maia, S/N, R/C, LOJA Nº3 "B"</t>
  </si>
  <si>
    <t>Santarém - Rua Dr. António Maria Galhordas, S/N, CAVE E R/C "A"</t>
  </si>
  <si>
    <t>Agueda - Rua Fernando Caldeira, Nº 17, R/C "A"</t>
  </si>
  <si>
    <t>Abrantes - Avenida das Forças Armadas, Nº 463-C, R/C "D"</t>
  </si>
  <si>
    <t>Abrantes - Avenida das Forças Armadas, S/N, PISO -1 "AX"</t>
  </si>
  <si>
    <t>Ovar - Praceta Centro D' Villa, Nº 4, R/C "BO"</t>
  </si>
  <si>
    <t>Ovar - Praceta Centro D'Villa, Nº 3, R/C "BT"</t>
  </si>
  <si>
    <t>Maia - Rua D. Afonso Henriques, Nº 2706, R/C "AB"</t>
  </si>
  <si>
    <t>Maia - Rua D. Afonso Henriques, Nº 2714, R/C, LOJA 1 "AC"</t>
  </si>
  <si>
    <t>Paços De Ferreira - Rua D. José Lencastre, Nº 87, R/C Dt.º e Cave Dt.ª "B"</t>
  </si>
  <si>
    <t>Vila Nova De Gaia - Rua Barão Corvo, nº 492 e Rua das Luzes, Nº 40, R/C Cinco "E"</t>
  </si>
  <si>
    <t>Vila Nova De Gaia - Rua Barão Corvo, Nº 490, R/C Seis "F"</t>
  </si>
  <si>
    <t>Santo Tirso - Avenida Conde de Vizela, Nº 54, R/C Esq. e Dto "B"</t>
  </si>
  <si>
    <t>Carregal Do Sal - Avenida Nossa Senhora das Febres, Nº 16, R/C "F"</t>
  </si>
  <si>
    <t>Coimbra - Rua da Sofia, Nº 52, Cave e R/C "A"</t>
  </si>
  <si>
    <t>Funchal - Rua 31 de Janeiro, nºs 81 e 82  e Rua da Conceição, Nº 93 a 103, Bloco Três, Cave, Loja "X"</t>
  </si>
  <si>
    <t>Funchal - Rua 31 de Janeiro, nºs 81 e 82 e Rua da Conceição, Nº 93 a 103, Bloco Três, Cave, Loja "Z"</t>
  </si>
  <si>
    <t>Funchal - Rua 31 de Janeiro, nºs 81 e 82 e Rua da Conceição, Nº 93 a 103, Bloco Três, Cave, Loja "AB"</t>
  </si>
  <si>
    <t>Funchal - Rua 31 de Janeiro, nºs 81 e 82 e Rua da Conceição, Nº 93 a 103, Bloco Três, Cave, Loja "CD"</t>
  </si>
  <si>
    <t>Funchal - Rua 31 de Janeiro, nºs 81 e 82 e Rua da Conceição, Nº 93 a 103, Bloco Três, Cave, Loja "EF"</t>
  </si>
  <si>
    <t>Funchal - Rua 31 de Janeiro, nºs 81 e 82 e Rua da Conceição, Nº 93 a 103, Bloco Três, Cave, Loja "GH"</t>
  </si>
  <si>
    <t>Abrantes - Avenida Dr. António Augusto da Silva Martins, S/N, R/C Esq. "D"</t>
  </si>
  <si>
    <t>Abrantes - Avenida Dr. António Augusto da Silva Martins, S/N, Cave Esquerda "A"</t>
  </si>
  <si>
    <t>Porto - Praca Almeida Garret, Nº 35 e 37, Cave e R/C "A"</t>
  </si>
  <si>
    <t>Porto - Praca Almeida Garret, Nº 39, 1º Andar frente "B"</t>
  </si>
  <si>
    <t>Porto - Praca Almeida Garret, Nº 39, 1º Andar traseiras "C"</t>
  </si>
  <si>
    <t>Vila Franca De Xira - Rua de Santa Maria, Nº 4A, Bloco 4, Piso 0, Loja nº 1 "DP"</t>
  </si>
  <si>
    <t>Torres Novas - Rua Carlos Reis, Nº 10, Cave  "E"</t>
  </si>
  <si>
    <t>Lisboa - Rua Almeida e Sousa, Nº 30-C, R/C e Cave  "B"</t>
  </si>
  <si>
    <t>Setubal - Praca da Independência, Nº 6-B, Loja L-2 "O"</t>
  </si>
  <si>
    <t>Tábua - Rua Dr. Francisco Beirão, S/N, R/C e Cave  "I"</t>
  </si>
  <si>
    <t>2740900</t>
  </si>
  <si>
    <t>299000</t>
  </si>
  <si>
    <t>2740991</t>
  </si>
  <si>
    <t>299011</t>
  </si>
  <si>
    <t>299031</t>
  </si>
  <si>
    <t>STOCK</t>
  </si>
  <si>
    <t>BALANCETE</t>
  </si>
  <si>
    <t>PCI</t>
  </si>
  <si>
    <t>CONTROLO</t>
  </si>
  <si>
    <t>IFRS</t>
  </si>
  <si>
    <t>19910000</t>
  </si>
  <si>
    <t>1910000</t>
  </si>
  <si>
    <t>19911000</t>
  </si>
  <si>
    <t>19910001</t>
  </si>
  <si>
    <t>1910008</t>
  </si>
  <si>
    <t>19911001</t>
  </si>
  <si>
    <t>Moeda: 978</t>
  </si>
  <si>
    <t>Origem</t>
  </si>
  <si>
    <t>Balcão</t>
  </si>
  <si>
    <t>Nr. Cliente</t>
  </si>
  <si>
    <t>GP / TC</t>
  </si>
  <si>
    <t>Nome Cliente</t>
  </si>
  <si>
    <t>Entradas</t>
  </si>
  <si>
    <t>V.Contabilistico</t>
  </si>
  <si>
    <t>Valor Avaliação</t>
  </si>
  <si>
    <t>Valor Provisão</t>
  </si>
  <si>
    <t>Data da Adjudicação</t>
  </si>
  <si>
    <t>Data do Título</t>
  </si>
  <si>
    <t>Gestimo</t>
  </si>
  <si>
    <t>Tipo de Bem</t>
  </si>
  <si>
    <t>Morada</t>
  </si>
  <si>
    <t>LOCALIDADE</t>
  </si>
  <si>
    <t>Antiguidade</t>
  </si>
  <si>
    <t>Avaliação</t>
  </si>
  <si>
    <t>Provisão</t>
  </si>
  <si>
    <t>%</t>
  </si>
  <si>
    <t>INSUFICIÊNCIA</t>
  </si>
  <si>
    <t>CUSTO</t>
  </si>
  <si>
    <t>% PROVISÃO</t>
  </si>
  <si>
    <t>PROVISÃO</t>
  </si>
  <si>
    <t>Data</t>
  </si>
  <si>
    <t>U.O.</t>
  </si>
  <si>
    <t>Montante</t>
  </si>
  <si>
    <t>Ajustada</t>
  </si>
  <si>
    <t>Av.Ajustada</t>
  </si>
  <si>
    <t>s/ V. Liq</t>
  </si>
  <si>
    <t>TOTAL</t>
  </si>
  <si>
    <t>BAPOP</t>
  </si>
  <si>
    <t>ANTÓNIO MANUEL DIAS PRAXEDES</t>
  </si>
  <si>
    <t>BST</t>
  </si>
  <si>
    <t>8009161420</t>
  </si>
  <si>
    <t>António Pinto Almeida Lino</t>
  </si>
  <si>
    <t>Rua Dr. Rafael Duque, 3 - 1º Dtº - Benfica - Lisboa</t>
  </si>
  <si>
    <t>7400168683</t>
  </si>
  <si>
    <t>Maria Gorete Santos Serrano</t>
  </si>
  <si>
    <t>Rua dos Ferreiros, 198 e 200 - Funchal</t>
  </si>
  <si>
    <t>2611001226</t>
  </si>
  <si>
    <t>RE0151852013</t>
  </si>
  <si>
    <t>Manuel Virgilio Oliveira</t>
  </si>
  <si>
    <t>Rua Central de Arcos, 1540 - S. Pedro Fins - Maia</t>
  </si>
  <si>
    <t>3761002127</t>
  </si>
  <si>
    <t>TC7081622010</t>
  </si>
  <si>
    <t>Maria Teresa Alves Sousa Cavalheiro</t>
  </si>
  <si>
    <t>Boa Água I , lote 463 - Quinta do Conde  -  Sesimbra</t>
  </si>
  <si>
    <t>7400091336</t>
  </si>
  <si>
    <t>TC7057092012</t>
  </si>
  <si>
    <t>Manuela Jesus Clemente Sequeira</t>
  </si>
  <si>
    <t>1/2 fracção</t>
  </si>
  <si>
    <t>Av. Pinhal de Vidal, 14 - Corroios - Seixal</t>
  </si>
  <si>
    <t>7400356304</t>
  </si>
  <si>
    <t>TC7081642009</t>
  </si>
  <si>
    <t>Média One - Multimedia Unipessoal, Lda.</t>
  </si>
  <si>
    <t>Rua dos Olivais, 108 - Arcos - Anadia</t>
  </si>
  <si>
    <t>8000237888</t>
  </si>
  <si>
    <t>TC7033182007</t>
  </si>
  <si>
    <t>Fernando Coutinho Duarte</t>
  </si>
  <si>
    <t>Burinhosa - Pataias - Alcobaça</t>
  </si>
  <si>
    <t>8010464178</t>
  </si>
  <si>
    <t>Miriam Thelma C R M Pereira Menezes</t>
  </si>
  <si>
    <t>Têm Usufruto</t>
  </si>
  <si>
    <t>Rua das Oliveiras, Quinta do Brasilieiro, 22 - 1º - Corroios - Seixal</t>
  </si>
  <si>
    <t>8030275314</t>
  </si>
  <si>
    <t>Rui Vaz Guerra/Cremilda Maria Mendonça</t>
  </si>
  <si>
    <t>Rua Sacadura Cabral, 1 - Couço - Coruche</t>
  </si>
  <si>
    <t>8046483844</t>
  </si>
  <si>
    <t>9000817157</t>
  </si>
  <si>
    <t>TC8034122008</t>
  </si>
  <si>
    <t>Manuel Antonio Lopes Jacob</t>
  </si>
  <si>
    <t>Sitio da Carreira, 72  - Fatela - Fundão</t>
  </si>
  <si>
    <t>9002101516</t>
  </si>
  <si>
    <t>Olivio Moreira Cabral</t>
  </si>
  <si>
    <t>Loteamento Marchil, Rua Tomé da Costa, Lt. 16 B - 1º D - Montenegro - Faro</t>
  </si>
  <si>
    <t>7400469164</t>
  </si>
  <si>
    <t>TC7109992011</t>
  </si>
  <si>
    <t>Jorge Manuel Lopes Branco Silva</t>
  </si>
  <si>
    <t>Rua Eça de Queirós, 22 - Almeirim</t>
  </si>
  <si>
    <t>7400325342</t>
  </si>
  <si>
    <t>RE0148162015</t>
  </si>
  <si>
    <t>Fernando Antonio Silva</t>
  </si>
  <si>
    <t>Pereiras de Cima - Quarteira - Loulé</t>
  </si>
  <si>
    <t>9000507854</t>
  </si>
  <si>
    <t>RE0284872013</t>
  </si>
  <si>
    <t>Olinda Maria Ormeche Gonçalves/José Luis Alves Costa</t>
  </si>
  <si>
    <t>Aldeia Nova do Barroso-Chã - Montalegre</t>
  </si>
  <si>
    <t>8027577467</t>
  </si>
  <si>
    <t>TC0124042014</t>
  </si>
  <si>
    <t>Manuel Santos Ferreira</t>
  </si>
  <si>
    <t>1700007349</t>
  </si>
  <si>
    <t>TC7058462012</t>
  </si>
  <si>
    <t>Sérgio Bruno Gallego Mergulhão Considra/Sandra Isabel da Silva Oliveira</t>
  </si>
  <si>
    <t>Rua Sá de Miranda , Lotes 1741,1742 e 1743 , 1º , Quinta do Conde</t>
  </si>
  <si>
    <t>9001054885a</t>
  </si>
  <si>
    <t>RE0141332016</t>
  </si>
  <si>
    <t>Carlos Manuel Miranda Teofilo</t>
  </si>
  <si>
    <t>Rua Bartolomeu Dias, 62 - R/c D - Casais do Baleal - Ferrel - Peniche</t>
  </si>
  <si>
    <t>2100200851</t>
  </si>
  <si>
    <t>2101100929</t>
  </si>
  <si>
    <t>2101100924</t>
  </si>
  <si>
    <t>2100094299</t>
  </si>
  <si>
    <t>RE0349132016</t>
  </si>
  <si>
    <t>Fernando Alberto Freitas Santos/Maria Liseta Fernandes de Andrade</t>
  </si>
  <si>
    <t>Sitío da Pedra Nossa Senhora - Campanário - Ribeira Brava - Funchal</t>
  </si>
  <si>
    <t>2100137257</t>
  </si>
  <si>
    <t>2100164453</t>
  </si>
  <si>
    <t>7400452376</t>
  </si>
  <si>
    <t>9002370446</t>
  </si>
  <si>
    <t>RE0331722014</t>
  </si>
  <si>
    <t>Ana Paula Alberto Jone</t>
  </si>
  <si>
    <t>Rua dos Moínhos, 43 - R/c Esq. - Queluz - Sintra</t>
  </si>
  <si>
    <t>9002335694</t>
  </si>
  <si>
    <t>2101322256</t>
  </si>
  <si>
    <t>7400323190</t>
  </si>
  <si>
    <t>7400258484</t>
  </si>
  <si>
    <t>RE0382682013</t>
  </si>
  <si>
    <t>Luis Miguel Lourenço Vicente</t>
  </si>
  <si>
    <t>Rua António Espirito Santo, 5 - R/c Dtº - Quinta da Gordalina - Marrazes - Leiria</t>
  </si>
  <si>
    <t>2101349503</t>
  </si>
  <si>
    <t>TC9096422009</t>
  </si>
  <si>
    <t>Fernando Manuel Medeiros Melo</t>
  </si>
  <si>
    <t>Rua do Porto Novo, 11 - S. Mateus - Madalena - Horta</t>
  </si>
  <si>
    <t>2100441243</t>
  </si>
  <si>
    <t>2101296342</t>
  </si>
  <si>
    <t>TC0348542016</t>
  </si>
  <si>
    <t>Acácio Miguel Ponte Silva</t>
  </si>
  <si>
    <t>Rua da Boa Viagem , nº 49 - Calhetas</t>
  </si>
  <si>
    <t>2100946288</t>
  </si>
  <si>
    <t>2100176174</t>
  </si>
  <si>
    <t>TC9002242003</t>
  </si>
  <si>
    <t>João Júlio Oliveira Costa</t>
  </si>
  <si>
    <t>Rua Foros da Amora, 58 - R/c (Estabelecimento Dtº) - Amora - Seixal</t>
  </si>
  <si>
    <t>8041386281</t>
  </si>
  <si>
    <t>9000152654</t>
  </si>
  <si>
    <t>2101221030</t>
  </si>
  <si>
    <t>1700103155</t>
  </si>
  <si>
    <t>9001487268</t>
  </si>
  <si>
    <t>7400442428</t>
  </si>
  <si>
    <t>7400374370</t>
  </si>
  <si>
    <t>RE0148132018</t>
  </si>
  <si>
    <t>Igor Leandro Deep Dantas / Carina Vanessa Santos Vaz Rodrigues</t>
  </si>
  <si>
    <t>Rua São Tomé e Príncepe, 8 - 2º Dtº - Vialonga - V. F. Xira</t>
  </si>
  <si>
    <t>9001791600</t>
  </si>
  <si>
    <t>RE0204242018</t>
  </si>
  <si>
    <t>Mara Rute Mendonca Matos</t>
  </si>
  <si>
    <t>Rua José Afonso, 1 - R/c Dtº - Moita</t>
  </si>
  <si>
    <t>2100987096</t>
  </si>
  <si>
    <t>2101611677</t>
  </si>
  <si>
    <t>TC0227672019</t>
  </si>
  <si>
    <t>Filipe António Monteiro Dias Benedetto</t>
  </si>
  <si>
    <t>Rua Dr. Fernando Ferreira, 268 - Rates - Póvoa de Varzim</t>
  </si>
  <si>
    <t>7400388622</t>
  </si>
  <si>
    <t>29911</t>
  </si>
  <si>
    <t>Stock Adjudicados + Próprios</t>
  </si>
  <si>
    <t>Stock Dações+Arrematações</t>
  </si>
  <si>
    <t>27900</t>
  </si>
  <si>
    <t>27901</t>
  </si>
  <si>
    <t>29910</t>
  </si>
  <si>
    <t>29920</t>
  </si>
  <si>
    <t>29921</t>
  </si>
  <si>
    <t>Provisões Regulamentares</t>
  </si>
  <si>
    <t>Contrato</t>
  </si>
  <si>
    <t>Série</t>
  </si>
  <si>
    <t>Imovel</t>
  </si>
  <si>
    <t>Securitizado</t>
  </si>
  <si>
    <t>Cliente</t>
  </si>
  <si>
    <t>Data NL</t>
  </si>
  <si>
    <t>Imobilizado</t>
  </si>
  <si>
    <t>ValorNL</t>
  </si>
  <si>
    <t>Total da Provisão</t>
  </si>
  <si>
    <t>Antiguidade NLO (dias)</t>
  </si>
  <si>
    <t>Total de Provisões</t>
  </si>
  <si>
    <t>ANTIGUIDADE AVALIAÇÃO            (em n.º anos)</t>
  </si>
  <si>
    <t>V.MERCADO</t>
  </si>
  <si>
    <t>Avaliação Ajustada</t>
  </si>
  <si>
    <t>Provisão Avaliação Ajustada</t>
  </si>
  <si>
    <t>PROVISÃO LEGAL</t>
  </si>
  <si>
    <t>VLIQUIDO</t>
  </si>
  <si>
    <t>DIFICULDADE DE VENDA</t>
  </si>
  <si>
    <t>% Cobertura</t>
  </si>
  <si>
    <t>PERDA ESPERADA</t>
  </si>
  <si>
    <t>TOTAL PROVISÃO</t>
  </si>
  <si>
    <t>45 X 24 TRANSF COMERCIO C</t>
  </si>
  <si>
    <t>TER-TAPADA GRANDE F</t>
  </si>
  <si>
    <t>HAB-FIAL</t>
  </si>
  <si>
    <t>RISAN-TECNICA E INDUSTRIA</t>
  </si>
  <si>
    <t>ARM-RUA DA GÂNDARA,</t>
  </si>
  <si>
    <t>EUROAVAC INSTALACOES DE A</t>
  </si>
  <si>
    <t>COM-CASAL DE BAIXO</t>
  </si>
  <si>
    <t>CONTALVIS - CENTRO CONTAB</t>
  </si>
  <si>
    <t>ESC-PRACA D JOAO I</t>
  </si>
  <si>
    <t>ESC-AV CMDTE AFONSO</t>
  </si>
  <si>
    <t>NATALIA VERISSIMO MEALHA</t>
  </si>
  <si>
    <t>Total Imóveis Recuperados</t>
  </si>
  <si>
    <t>Total</t>
  </si>
  <si>
    <t>27490</t>
  </si>
  <si>
    <t>29990</t>
  </si>
  <si>
    <t>29992</t>
  </si>
  <si>
    <t>Stock Imóveis IFIC</t>
  </si>
  <si>
    <t>2022-07-01</t>
  </si>
  <si>
    <t>2022-07-27</t>
  </si>
  <si>
    <t>2022-07-05</t>
  </si>
  <si>
    <t>Santa Cruz - Travessa da Fazendinha, Nº 20</t>
  </si>
  <si>
    <t>2022-06-28</t>
  </si>
  <si>
    <t>2022-08-02</t>
  </si>
  <si>
    <t>2022-09-07</t>
  </si>
  <si>
    <t>Feira - Lugar do Areal, Urbanização Terra Negra</t>
  </si>
  <si>
    <t>2022-07-04</t>
  </si>
  <si>
    <t>2022-08-17</t>
  </si>
  <si>
    <t>2022-06-30</t>
  </si>
  <si>
    <t>2022-07-06</t>
  </si>
  <si>
    <t>2022-09-22</t>
  </si>
  <si>
    <t>Porto De Mos - Rua do Chouso Pires, Nº 1</t>
  </si>
  <si>
    <t>MANUEL SANTOS ROSARIO</t>
  </si>
  <si>
    <t>9000212689</t>
  </si>
  <si>
    <t>004013828420000</t>
  </si>
  <si>
    <t>2019-10-06</t>
  </si>
  <si>
    <t>Soure - Fujaco, S/N</t>
  </si>
  <si>
    <t>L R P - BRITAS DO CENTRO SA</t>
  </si>
  <si>
    <t>5100346919</t>
  </si>
  <si>
    <t>000017284970000</t>
  </si>
  <si>
    <t>Elvas - Rua Eurico Gama, Nº 11</t>
  </si>
  <si>
    <t>JAIME MANUEL LIMAS PEREIRA</t>
  </si>
  <si>
    <t>5100026311</t>
  </si>
  <si>
    <t>064015976940000</t>
  </si>
  <si>
    <t>2020-02-06</t>
  </si>
  <si>
    <t>Ribeira Grande - Rua São Sebastião, Nº 57</t>
  </si>
  <si>
    <t>EDUARDA MARIA MELO AGUIAR BOTELHO</t>
  </si>
  <si>
    <t>2101229659</t>
  </si>
  <si>
    <t>083015080720000</t>
  </si>
  <si>
    <t>Pombal - Rua Principal, Nº 124</t>
  </si>
  <si>
    <t>DIOGO DOS SANTOS ROSA</t>
  </si>
  <si>
    <t>7400771332</t>
  </si>
  <si>
    <t>003013847970000</t>
  </si>
  <si>
    <t>Santiago Do Cacem - Nascedios, Lote 26</t>
  </si>
  <si>
    <t>JOSE PEREIRA SOBRAL</t>
  </si>
  <si>
    <t>003012855350000</t>
  </si>
  <si>
    <t>2020-01-09</t>
  </si>
  <si>
    <t>Palmela - Urbanizacao Quinta da Torre, Lote 28, Armazém nº1 - R/C e 1º andar "A"</t>
  </si>
  <si>
    <t>5100160676</t>
  </si>
  <si>
    <t>0069621691</t>
  </si>
  <si>
    <t>2022-03-01</t>
  </si>
  <si>
    <t>Oeiras - Avenida de Portugal, Nº 12C, R/C "B"</t>
  </si>
  <si>
    <t>Vila Franca De Xira - Rua Almeida Garret, nºs 32 e 38, Av. 25 de Abril, Nº 13 e 37, Piso 0, Loja 101 "AI"</t>
  </si>
  <si>
    <t>Vila Franca De Xira - Rua Almeida Garret, nºs 32 e 38, Av. 25 de Abril, Nº 13 e nº37, Piso 0, Loja 102 "AJ"</t>
  </si>
  <si>
    <t>2100757894</t>
  </si>
  <si>
    <t>5100480266</t>
  </si>
  <si>
    <t>8046449476</t>
  </si>
  <si>
    <t>7400196620</t>
  </si>
  <si>
    <t>TC0345092019</t>
  </si>
  <si>
    <t>Rui Jorge Araujo de Sousa</t>
  </si>
  <si>
    <t>Rua Direira Nº 143 - Amoreira - Rio de Moinhos - concelho de Abrantes</t>
  </si>
  <si>
    <t>Vitor Manuel Pimenta Sintra</t>
  </si>
  <si>
    <t>Covas, Vale de Moinho, 1º - Vila Nova de Poiares</t>
  </si>
  <si>
    <t>199100240</t>
  </si>
  <si>
    <t>199100241</t>
  </si>
  <si>
    <t>Feira - Pousadela, S/N</t>
  </si>
  <si>
    <t>SANTOS AZEVEDO E BALONA - CONSTRUCAO E ARTIGOS PARA O LAR, LDA</t>
  </si>
  <si>
    <t>2100596379</t>
  </si>
  <si>
    <t>0069025091</t>
  </si>
  <si>
    <t>2017-11-01</t>
  </si>
  <si>
    <t>Feira - Urbanizacao do Serrado, S/N</t>
  </si>
  <si>
    <t>SANTOS AZEVEDO E BALONA - CONSTRUCAO E ARTIGOS PAR</t>
  </si>
  <si>
    <t>0069025092</t>
  </si>
  <si>
    <t>2022-12-16</t>
  </si>
  <si>
    <t>EQUIVALÊNCIAS</t>
  </si>
  <si>
    <t>CARGABAL</t>
  </si>
  <si>
    <t>2642300</t>
  </si>
  <si>
    <t>26423100</t>
  </si>
  <si>
    <t>1605000</t>
  </si>
  <si>
    <t>Figueira Da Foz - 2.ª Trav.da Rua Fausto Pereira de Almeida, Nº 1, 8ºCentro Esq. Posterior "BP"</t>
  </si>
  <si>
    <t xml:space="preserve">Rosária Maria Costa Marques Nunes </t>
  </si>
  <si>
    <t>7400213576</t>
  </si>
  <si>
    <t>003012735910001</t>
  </si>
  <si>
    <t>2017-06-29</t>
  </si>
  <si>
    <t>Figueira Da Foz - Avenida Dr. Joaquim de Carvalho, Nº 2, Piso 2, a 10ª, do lado esq. frente  "BE"</t>
  </si>
  <si>
    <t>MUNIRO DJAU</t>
  </si>
  <si>
    <t>003012639970001</t>
  </si>
  <si>
    <t>2017-07-04</t>
  </si>
  <si>
    <t>Loule - Rua Engenheiro Joaquim Apolónia, S/N</t>
  </si>
  <si>
    <t>FERNANDO DOS SANTOS FERNANDES</t>
  </si>
  <si>
    <t>084015133860000</t>
  </si>
  <si>
    <t>2020-03-03</t>
  </si>
  <si>
    <t>Castanheira De Pêra - Largo 1º de Maio, Nº 5 a 11</t>
  </si>
  <si>
    <t>RUI ALEXANDRE HENRIQUES PIRES</t>
  </si>
  <si>
    <t>000010206990000</t>
  </si>
  <si>
    <t>2022-11-01</t>
  </si>
  <si>
    <t>Sardoal - Rua Vale do Porto, Lote nº 2</t>
  </si>
  <si>
    <t>LUIS MANUEL SERRAS DA SILVA</t>
  </si>
  <si>
    <t>063015995640000</t>
  </si>
  <si>
    <t>2021-05-11</t>
  </si>
  <si>
    <t>Porto - Largo de Valverde, Nº 368</t>
  </si>
  <si>
    <t>JOSE MANUEL COSTA SANTOS TORRES</t>
  </si>
  <si>
    <t>083014896810000</t>
  </si>
  <si>
    <t>2016-01-22</t>
  </si>
  <si>
    <t>Vila Viçosa - Rua General Humberto Delgado, Nº 155 e 155A, R/C e 1º andar "B"</t>
  </si>
  <si>
    <t>JOAO ANTONIO SANTANA LEITAO</t>
  </si>
  <si>
    <t>8022421611</t>
  </si>
  <si>
    <t>004013956120000</t>
  </si>
  <si>
    <t>2023-05-03</t>
  </si>
  <si>
    <t>2023-02-02</t>
  </si>
  <si>
    <t>2022-05-01</t>
  </si>
  <si>
    <t>TC287672021</t>
  </si>
  <si>
    <t>SILVIA MARIA TEIXEIRA BARROS</t>
  </si>
  <si>
    <t>Rua Santa Eufémia, nº 597, Tougues, Vila do Conde</t>
  </si>
  <si>
    <t>TC0141772015</t>
  </si>
  <si>
    <t>Anabela Rebelo Figueiredo</t>
  </si>
  <si>
    <t xml:space="preserve">1/2 Fracção; 1º titular Henrique Manuel Costa Fonseca 9002212370 </t>
  </si>
  <si>
    <t>Rua Formosa - Bloco B, nº 66, 8ºS, Guarda</t>
  </si>
  <si>
    <t>949</t>
  </si>
  <si>
    <t>1502</t>
  </si>
  <si>
    <t>1539</t>
  </si>
  <si>
    <t>2090</t>
  </si>
  <si>
    <t>2435</t>
  </si>
  <si>
    <t>2665</t>
  </si>
  <si>
    <t>3221</t>
  </si>
  <si>
    <t>3301</t>
  </si>
  <si>
    <t>5116</t>
  </si>
  <si>
    <t>7346</t>
  </si>
  <si>
    <t>7351</t>
  </si>
  <si>
    <t>7353</t>
  </si>
  <si>
    <t>7378</t>
  </si>
  <si>
    <t>7383</t>
  </si>
  <si>
    <t>7400</t>
  </si>
  <si>
    <t>8264</t>
  </si>
  <si>
    <t>12024</t>
  </si>
  <si>
    <t>12230</t>
  </si>
  <si>
    <t>15140</t>
  </si>
  <si>
    <t>15141</t>
  </si>
  <si>
    <t>15226</t>
  </si>
  <si>
    <t>15473</t>
  </si>
  <si>
    <t>15474</t>
  </si>
  <si>
    <t>15975</t>
  </si>
  <si>
    <t>16870</t>
  </si>
  <si>
    <t>16943</t>
  </si>
  <si>
    <t>16976</t>
  </si>
  <si>
    <t>17261</t>
  </si>
  <si>
    <t>18072</t>
  </si>
  <si>
    <t>18101</t>
  </si>
  <si>
    <t>18102</t>
  </si>
  <si>
    <t>18272</t>
  </si>
  <si>
    <t>18477</t>
  </si>
  <si>
    <t>18481</t>
  </si>
  <si>
    <t>18545</t>
  </si>
  <si>
    <t>18558</t>
  </si>
  <si>
    <t>18656</t>
  </si>
  <si>
    <t>18747</t>
  </si>
  <si>
    <t>18748</t>
  </si>
  <si>
    <t>18760</t>
  </si>
  <si>
    <t>19061</t>
  </si>
  <si>
    <t>19156</t>
  </si>
  <si>
    <t>19283</t>
  </si>
  <si>
    <t>19346</t>
  </si>
  <si>
    <t>19368</t>
  </si>
  <si>
    <t>19369</t>
  </si>
  <si>
    <t>19370</t>
  </si>
  <si>
    <t>19371</t>
  </si>
  <si>
    <t>19502</t>
  </si>
  <si>
    <t>19503</t>
  </si>
  <si>
    <t>19594</t>
  </si>
  <si>
    <t>20789</t>
  </si>
  <si>
    <t>22432</t>
  </si>
  <si>
    <t>23348</t>
  </si>
  <si>
    <t>23354</t>
  </si>
  <si>
    <t>23358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</si>
  <si>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</si>
  <si>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</si>
  <si>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</si>
  <si>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</si>
  <si>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</si>
  <si>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</si>
  <si>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</si>
  <si>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</si>
  <si>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</si>
  <si>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</si>
  <si>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</si>
  <si>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</si>
  <si>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</si>
  <si>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</si>
  <si>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</si>
  <si>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</si>
  <si>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</si>
  <si>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</si>
  <si>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</si>
  <si>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</si>
  <si>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</si>
  <si>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</si>
  <si>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</si>
  <si>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</si>
  <si>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</si>
  <si>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</si>
  <si>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</si>
  <si>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</si>
  <si>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</si>
  <si>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</si>
  <si>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</si>
  <si>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</si>
  <si>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</si>
  <si>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</si>
  <si>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</si>
  <si>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</si>
  <si>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</si>
  <si>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</si>
  <si>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</si>
  <si>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</si>
  <si>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</si>
  <si>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</si>
  <si>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</si>
  <si>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</si>
  <si>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</si>
  <si>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</si>
  <si>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</si>
  <si>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</si>
  <si>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</si>
  <si>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</si>
  <si>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</si>
  <si>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</si>
  <si>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</si>
  <si>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</si>
  <si>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</si>
  <si>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</si>
  <si>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</si>
  <si>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</si>
  <si>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</si>
  <si>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</si>
  <si>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</si>
  <si>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</si>
  <si>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</si>
  <si>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</si>
  <si>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</si>
  <si>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</si>
  <si>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</si>
  <si>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</si>
  <si>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</si>
  <si>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</si>
  <si>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</si>
  <si>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</si>
  <si>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</si>
  <si>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</si>
  <si>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</si>
  <si>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</si>
  <si>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</si>
  <si>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</si>
  <si>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</si>
  <si>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</si>
  <si>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</si>
  <si>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</si>
  <si>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</si>
  <si>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</si>
  <si>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</si>
  <si>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</si>
  <si>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</si>
  <si>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</si>
  <si>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</si>
  <si>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</si>
  <si>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</si>
  <si>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</si>
  <si>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</si>
  <si>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</si>
  <si>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</si>
  <si>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</si>
  <si>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</si>
  <si>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</si>
  <si>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</si>
  <si>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</si>
  <si>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</si>
  <si>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</si>
  <si>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</si>
  <si>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</si>
  <si>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</si>
  <si>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</si>
  <si>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</si>
  <si>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</si>
  <si>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</si>
  <si>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</si>
  <si>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</si>
  <si>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</si>
  <si>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</si>
  <si>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</si>
  <si>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</si>
  <si>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</si>
  <si>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</si>
  <si>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</si>
  <si>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</si>
  <si>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</si>
  <si>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</si>
  <si>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</si>
  <si>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</si>
  <si>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</si>
  <si>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</si>
  <si>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</si>
  <si>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</si>
  <si>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</si>
  <si>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</si>
  <si>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</si>
  <si>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</si>
  <si>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</si>
  <si>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</si>
  <si>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</si>
  <si>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</si>
  <si>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</si>
  <si>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</si>
  <si>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</si>
  <si>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</si>
  <si>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</si>
  <si>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</si>
  <si>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</si>
  <si>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</si>
  <si>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</si>
  <si>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</si>
  <si>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</si>
  <si>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</si>
  <si>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</si>
  <si>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</si>
  <si>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</si>
  <si>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</si>
  <si>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</si>
  <si>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</si>
  <si>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</si>
  <si>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</si>
  <si>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</si>
  <si>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</si>
  <si>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</si>
  <si>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</si>
  <si>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</si>
  <si>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</si>
  <si>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</si>
  <si>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</si>
  <si>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</si>
  <si>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</si>
  <si>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</si>
  <si>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</si>
  <si>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</si>
  <si>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</si>
  <si>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</si>
  <si>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</si>
  <si>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</si>
  <si>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</si>
  <si>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</si>
  <si>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</si>
  <si>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</si>
  <si>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</si>
  <si>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</si>
  <si>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</si>
  <si>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</si>
  <si>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</si>
  <si>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</si>
  <si>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</si>
  <si>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</si>
  <si>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</si>
  <si>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</si>
  <si>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</si>
  <si>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</si>
  <si>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23674</t>
  </si>
  <si>
    <t>23680</t>
  </si>
  <si>
    <t>23685</t>
  </si>
  <si>
    <t>23694</t>
  </si>
  <si>
    <t>23702</t>
  </si>
  <si>
    <t>23720</t>
  </si>
  <si>
    <t>23730</t>
  </si>
  <si>
    <t>23758</t>
  </si>
  <si>
    <t>23760</t>
  </si>
  <si>
    <t>23778</t>
  </si>
  <si>
    <t>23788</t>
  </si>
  <si>
    <t>23791</t>
  </si>
  <si>
    <t>23792</t>
  </si>
  <si>
    <t>23829</t>
  </si>
  <si>
    <t>23872</t>
  </si>
  <si>
    <t>23917</t>
  </si>
  <si>
    <t>23923</t>
  </si>
  <si>
    <t>23924</t>
  </si>
  <si>
    <t>23938</t>
  </si>
  <si>
    <t>23949</t>
  </si>
  <si>
    <t>23976</t>
  </si>
  <si>
    <t>23992</t>
  </si>
  <si>
    <t>23997</t>
  </si>
  <si>
    <t>24019</t>
  </si>
  <si>
    <t>24113</t>
  </si>
  <si>
    <t>24166</t>
  </si>
  <si>
    <t>24167</t>
  </si>
  <si>
    <t>24175</t>
  </si>
  <si>
    <t>24217</t>
  </si>
  <si>
    <t>24233</t>
  </si>
  <si>
    <t>24267</t>
  </si>
  <si>
    <t>24279</t>
  </si>
  <si>
    <t>24280</t>
  </si>
  <si>
    <t>24305</t>
  </si>
  <si>
    <t>24307</t>
  </si>
  <si>
    <t>24308</t>
  </si>
  <si>
    <t>24309</t>
  </si>
  <si>
    <t>24313</t>
  </si>
  <si>
    <t>24314</t>
  </si>
  <si>
    <t>24315</t>
  </si>
  <si>
    <t>24316</t>
  </si>
  <si>
    <t>24317</t>
  </si>
  <si>
    <t>24320</t>
  </si>
  <si>
    <t>24321</t>
  </si>
  <si>
    <t>24322</t>
  </si>
  <si>
    <t>24323</t>
  </si>
  <si>
    <t>24324</t>
  </si>
  <si>
    <t>24325</t>
  </si>
  <si>
    <t>24331</t>
  </si>
  <si>
    <t>24333</t>
  </si>
  <si>
    <t>24338</t>
  </si>
  <si>
    <t>24339</t>
  </si>
  <si>
    <t>24340</t>
  </si>
  <si>
    <t>24349</t>
  </si>
  <si>
    <t>24350</t>
  </si>
  <si>
    <t>24355</t>
  </si>
  <si>
    <t>24356</t>
  </si>
  <si>
    <t>24357</t>
  </si>
  <si>
    <t>24362</t>
  </si>
  <si>
    <t>24363</t>
  </si>
  <si>
    <t>24366</t>
  </si>
  <si>
    <t>24367</t>
  </si>
  <si>
    <t>24368</t>
  </si>
  <si>
    <t>24372</t>
  </si>
  <si>
    <t>24373</t>
  </si>
  <si>
    <t>24374</t>
  </si>
  <si>
    <t>24375</t>
  </si>
  <si>
    <t>24376</t>
  </si>
  <si>
    <t>24378</t>
  </si>
  <si>
    <t>24382</t>
  </si>
  <si>
    <t>24383</t>
  </si>
  <si>
    <t>24738</t>
  </si>
  <si>
    <t>24978</t>
  </si>
  <si>
    <t>25516</t>
  </si>
  <si>
    <t>25588</t>
  </si>
  <si>
    <t>25602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</si>
  <si>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</si>
  <si>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</si>
  <si>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</si>
  <si>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</si>
  <si>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</si>
  <si>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</si>
  <si>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</si>
  <si>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</si>
  <si>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</si>
  <si>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</si>
  <si>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</si>
  <si>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</si>
  <si>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</si>
  <si>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</si>
  <si>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</si>
  <si>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</si>
  <si>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</si>
  <si>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</si>
  <si>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</si>
  <si>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</si>
  <si>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</si>
  <si>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</si>
  <si>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</si>
  <si>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</si>
  <si>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</si>
  <si>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</si>
  <si>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</si>
  <si>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</si>
  <si>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</si>
  <si>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26044</t>
  </si>
  <si>
    <t>26045</t>
  </si>
  <si>
    <t>26050</t>
  </si>
  <si>
    <t>26051</t>
  </si>
  <si>
    <t>26074</t>
  </si>
  <si>
    <t>26378</t>
  </si>
  <si>
    <t>26381</t>
  </si>
  <si>
    <t>26399</t>
  </si>
  <si>
    <t>26401</t>
  </si>
  <si>
    <t>26405</t>
  </si>
  <si>
    <t>26442</t>
  </si>
  <si>
    <t>26510</t>
  </si>
  <si>
    <t>26511</t>
  </si>
  <si>
    <t>26536</t>
  </si>
  <si>
    <t>26574</t>
  </si>
  <si>
    <t>26610</t>
  </si>
  <si>
    <t>26679</t>
  </si>
  <si>
    <t>26748</t>
  </si>
  <si>
    <t>26749</t>
  </si>
  <si>
    <t>26777</t>
  </si>
  <si>
    <t>26784</t>
  </si>
  <si>
    <t>26800</t>
  </si>
  <si>
    <t>26848</t>
  </si>
  <si>
    <t>26902</t>
  </si>
  <si>
    <t>26926</t>
  </si>
  <si>
    <t>26977</t>
  </si>
  <si>
    <t>26978</t>
  </si>
  <si>
    <t>26979</t>
  </si>
  <si>
    <t>26980</t>
  </si>
  <si>
    <t>26984</t>
  </si>
  <si>
    <t>26989</t>
  </si>
  <si>
    <t>26994</t>
  </si>
  <si>
    <t>27006</t>
  </si>
  <si>
    <t>27007</t>
  </si>
  <si>
    <t>27008</t>
  </si>
  <si>
    <t>27026</t>
  </si>
  <si>
    <t>27035</t>
  </si>
  <si>
    <t>2023-07-26</t>
  </si>
  <si>
    <t>2023-09-15</t>
  </si>
  <si>
    <t>2023-09-14</t>
  </si>
  <si>
    <t>2023-12-14</t>
  </si>
  <si>
    <t>2023-08-04</t>
  </si>
  <si>
    <t>2023-09-20</t>
  </si>
  <si>
    <t>2023-09-22</t>
  </si>
  <si>
    <t>2023-07-27</t>
  </si>
  <si>
    <t>2023-07-31</t>
  </si>
  <si>
    <t>2023-08-07</t>
  </si>
  <si>
    <t>2023-03-07</t>
  </si>
  <si>
    <t>2023-09-12</t>
  </si>
  <si>
    <t>2023-10-04</t>
  </si>
  <si>
    <t>2023-10-24</t>
  </si>
  <si>
    <t>2023-11-27</t>
  </si>
  <si>
    <t>2023-08-02</t>
  </si>
  <si>
    <t>2023-09-11</t>
  </si>
  <si>
    <t>2023-09-13</t>
  </si>
  <si>
    <t>2023-10-16</t>
  </si>
  <si>
    <t>Sintra - Avenida Padre Alberto Neto, Nº 31, 3º Dto "U"</t>
  </si>
  <si>
    <t>FLAVIO ROBERTO GALVAO LIRA</t>
  </si>
  <si>
    <t>003013034600001</t>
  </si>
  <si>
    <t>Moita - Rua das Beiras, Nº 1, R/C ESQ. "B"</t>
  </si>
  <si>
    <t>MARIA CEU PALMA ROSA</t>
  </si>
  <si>
    <t>000010652700001</t>
  </si>
  <si>
    <t>2018-10-11</t>
  </si>
  <si>
    <t>2023-10-19</t>
  </si>
  <si>
    <t>2023-10-12</t>
  </si>
  <si>
    <t>2023-12-12</t>
  </si>
  <si>
    <t>Fundao - Rua Conde Idanha-a- Nova, Nº 25, Piso -2, Loja 5 "F"</t>
  </si>
  <si>
    <t>COSTA &amp; COSTA TOPOGRAFIA E INFORMATICA, LDA</t>
  </si>
  <si>
    <t>2100694126</t>
  </si>
  <si>
    <t>0069008291</t>
  </si>
  <si>
    <t>2023-09-27</t>
  </si>
  <si>
    <t>2023-01-10</t>
  </si>
  <si>
    <t>Chamusca - Casal das Oliveiras, S/N</t>
  </si>
  <si>
    <t>ROSA MARIA FRANCISCO PEREIRA ALVES</t>
  </si>
  <si>
    <t>000000481610000</t>
  </si>
  <si>
    <t>2017-09-12</t>
  </si>
  <si>
    <t>Santa Cruz Das Flores - Rua da Cruz, S/N</t>
  </si>
  <si>
    <t>LUCIAN MIRCEA PETERNEL NAGY</t>
  </si>
  <si>
    <t>083014994510000</t>
  </si>
  <si>
    <t>2017-05-23</t>
  </si>
  <si>
    <t>Almeirim - Rua das Cancelas, Nº 8,10 e 12</t>
  </si>
  <si>
    <t>Sintra - Rua Vasco Santana, Nº 13, 3º Esq.  "M"</t>
  </si>
  <si>
    <t>PAULA CRISTINA VIEIRA LOURENCO OLIVEIRA</t>
  </si>
  <si>
    <t>083014763990000</t>
  </si>
  <si>
    <t>2016-12-14</t>
  </si>
  <si>
    <t>2023-11-09</t>
  </si>
  <si>
    <t>ARMANDO MANUEL FERREIRA BORGES</t>
  </si>
  <si>
    <t>083015073860000</t>
  </si>
  <si>
    <t>2018-09-28</t>
  </si>
  <si>
    <t>Santa Cruz - Estrada do Aeroporto, Nº 106, Bloco A, 4º Andar "AR"</t>
  </si>
  <si>
    <t>JOSE GREGORIO RODRIGUES SILVA</t>
  </si>
  <si>
    <t>083014841800000</t>
  </si>
  <si>
    <t>2017-12-27</t>
  </si>
  <si>
    <t>Braga - Avenida Dr. Domingos Soares, Nº 72</t>
  </si>
  <si>
    <t>MARIA CLARA CASTRO COSTA GONCALVES</t>
  </si>
  <si>
    <t>2100703210</t>
  </si>
  <si>
    <t>083014886670000</t>
  </si>
  <si>
    <t>2017-09-13</t>
  </si>
  <si>
    <t>IVAN MARIA MORON PENDAS</t>
  </si>
  <si>
    <t>084014937300000</t>
  </si>
  <si>
    <t>2016-11-07</t>
  </si>
  <si>
    <t>PELAYO MORON PENDAS</t>
  </si>
  <si>
    <t>MARIA JOSE FERREIRA BARBOSA ABREU</t>
  </si>
  <si>
    <t>2100596532</t>
  </si>
  <si>
    <t>086014734080000</t>
  </si>
  <si>
    <t>2023-10-11</t>
  </si>
  <si>
    <t>Mafra - Avenida 1º de Novembro, Nº 8</t>
  </si>
  <si>
    <t>2023-12-19</t>
  </si>
  <si>
    <t>2023-09-05</t>
  </si>
  <si>
    <t>26708</t>
  </si>
  <si>
    <t>26803</t>
  </si>
  <si>
    <t>27036</t>
  </si>
  <si>
    <t>27043</t>
  </si>
  <si>
    <t>27045</t>
  </si>
  <si>
    <t>27046</t>
  </si>
  <si>
    <t>27047</t>
  </si>
  <si>
    <t>27053</t>
  </si>
  <si>
    <t>27054</t>
  </si>
  <si>
    <t>27059</t>
  </si>
  <si>
    <t>27060</t>
  </si>
  <si>
    <t>27061</t>
  </si>
  <si>
    <t>27062</t>
  </si>
  <si>
    <t>27066</t>
  </si>
  <si>
    <t>Lagoa (Algarve) - Estrada do Farol, Nº 54, R/C - Loja Um "P"</t>
  </si>
  <si>
    <t>Lagoa (Algarve) - Estrada do Farol, Nº 54, R/C - Loja Dois "Q"</t>
  </si>
  <si>
    <t>2023-08-08</t>
  </si>
  <si>
    <t>2023-08-23</t>
  </si>
  <si>
    <t>2023-09-29</t>
  </si>
  <si>
    <t>2023-07-04</t>
  </si>
  <si>
    <t>Caracas-Terreno</t>
  </si>
  <si>
    <t>TC0159542022</t>
  </si>
  <si>
    <t>António Carlos da Silva Almeida</t>
  </si>
  <si>
    <t>Rua do Prado - Póvoa do Veado - Reriz</t>
  </si>
  <si>
    <t>RE0131032022</t>
  </si>
  <si>
    <t>Jacinto da Conceição Santos</t>
  </si>
  <si>
    <t>Travessa Gago Coutinho, 6 - Outeiros - Vieira de Leiria</t>
  </si>
  <si>
    <t>BRANQUINHOS FURNACE REPAI</t>
  </si>
  <si>
    <t>ARM-R. DOS LAVADOUR</t>
  </si>
  <si>
    <t>TER-RUA DOS LAVADOU</t>
  </si>
  <si>
    <t>2101093131</t>
  </si>
  <si>
    <t>5100485213</t>
  </si>
  <si>
    <t>27052</t>
  </si>
  <si>
    <t>Sintra - Rua Miguel Torga, S/N, Sub-Cave, Garagem 58 "S"</t>
  </si>
  <si>
    <t>2018-03-28</t>
  </si>
  <si>
    <t>Vila Praia Da VitãRia - Caminho de Santo Isidro, Nº 32</t>
  </si>
  <si>
    <t>Castro Marim - Urbanizacao Quinta do Sobral, Lote 48</t>
  </si>
  <si>
    <t>Paços De Ferreira - Travessa de Vila Verde, Nº 15</t>
  </si>
  <si>
    <t>27065</t>
  </si>
  <si>
    <t>Moita - Rua António Sérgio, Nº 5, R/C ESQ. "A"</t>
  </si>
  <si>
    <t>VASCO NUNO PINHEIRO SIMOES</t>
  </si>
  <si>
    <t>003013215210001</t>
  </si>
  <si>
    <t>27067</t>
  </si>
  <si>
    <t>Paços De Ferreira - Travessa D. Sílvia Cardoso, Nº 21, R/C "BC"</t>
  </si>
  <si>
    <t>PORTO INFANTE EMPREENDIMENTOS IMOBILIARIOS LDA</t>
  </si>
  <si>
    <t>1700186932</t>
  </si>
  <si>
    <t>009111552590000</t>
  </si>
  <si>
    <t>2023-05-17</t>
  </si>
  <si>
    <t>27068</t>
  </si>
  <si>
    <t>Paços De Ferreira - Travessa D. Sílvia Cardoso, Nº 29, R/C "BF"</t>
  </si>
  <si>
    <t>27069</t>
  </si>
  <si>
    <t>Paços De Ferreira - Avenida 1º de Dezembro, Nº 53, R/C "T"</t>
  </si>
  <si>
    <t>27074</t>
  </si>
  <si>
    <t>Castanheira De PãRa - Rua João Bebiano, Nº 44, 2º Andar "E"</t>
  </si>
  <si>
    <t>MARIA BENEDITA COSTA DE CARVALHO</t>
  </si>
  <si>
    <t>7400073329</t>
  </si>
  <si>
    <t>2018-11-08</t>
  </si>
  <si>
    <t>27075</t>
  </si>
  <si>
    <t>Santarém - Rua da Silveira, S/N</t>
  </si>
  <si>
    <t>PAULETE MICAELA OLIVEIRA SILVA</t>
  </si>
  <si>
    <t>000010556070000</t>
  </si>
  <si>
    <t>2015-12-01</t>
  </si>
  <si>
    <t>27076</t>
  </si>
  <si>
    <t>Almeirim - Rua Padre António Vieira, Nº 35</t>
  </si>
  <si>
    <t>CARLOS ALBERTO VERISSIMO CRUZ SAMPAIO</t>
  </si>
  <si>
    <t>5100191964</t>
  </si>
  <si>
    <t>063016028580000</t>
  </si>
  <si>
    <t>2019-03-29</t>
  </si>
  <si>
    <t>27078</t>
  </si>
  <si>
    <t>Torres Vedras - Rua Augusto Bernardes, Nº 6, 1º Esq. "C"</t>
  </si>
  <si>
    <t>CARLOS ALBERTO DE FREITAS</t>
  </si>
  <si>
    <t>004001187230001</t>
  </si>
  <si>
    <t>2018-10-04</t>
  </si>
  <si>
    <t>27079</t>
  </si>
  <si>
    <t>Vila Franca De Xira - Rua da República, Nº 26, Cave Esquerda "D"</t>
  </si>
  <si>
    <t>AUGUSTO DA CRUZ FIGUEIREDO</t>
  </si>
  <si>
    <t>0000133775</t>
  </si>
  <si>
    <t>003000420500001</t>
  </si>
  <si>
    <t>2016-05-12</t>
  </si>
  <si>
    <t>27080</t>
  </si>
  <si>
    <t>Loures - Rua do Guarda Mor, Nº 4, 2º andar B, 2º Piso "H"</t>
  </si>
  <si>
    <t>RUTE SOFIA COSTA PEREIRA FILIPE</t>
  </si>
  <si>
    <t>003013142860001</t>
  </si>
  <si>
    <t>2018-11-14</t>
  </si>
  <si>
    <t>27081</t>
  </si>
  <si>
    <t>Braganca - Rua Eduardo José Coelho, Nº 5</t>
  </si>
  <si>
    <t>LUIS MANUEL PEREIRA BENITES</t>
  </si>
  <si>
    <t>7400369360</t>
  </si>
  <si>
    <t>000018595790000</t>
  </si>
  <si>
    <t>2023-02-10</t>
  </si>
  <si>
    <t>27082</t>
  </si>
  <si>
    <t>Sintra - Rua Serrado da Bica, Nº 6, 3º andar B "N"</t>
  </si>
  <si>
    <t>TIAGO LOPES SANTOS</t>
  </si>
  <si>
    <t>083014936610000</t>
  </si>
  <si>
    <t>27087</t>
  </si>
  <si>
    <t>Leiria - Rua da Chumbaria, S/N</t>
  </si>
  <si>
    <t xml:space="preserve">Oscar Manuel Costa Moreira </t>
  </si>
  <si>
    <t>084014727120000</t>
  </si>
  <si>
    <t>27092</t>
  </si>
  <si>
    <t>Águeda - Travessa S. Cristóvão, Nº 41</t>
  </si>
  <si>
    <t>Ana Natália Alves Silva Barbosa</t>
  </si>
  <si>
    <t>5100622207</t>
  </si>
  <si>
    <t>063016052790000</t>
  </si>
  <si>
    <t>2023-10-27</t>
  </si>
  <si>
    <t>27103</t>
  </si>
  <si>
    <t>Portalegre - Mata Amores, Nº 63 A</t>
  </si>
  <si>
    <t>Cidália Maria Gil Tavares Louro</t>
  </si>
  <si>
    <t>000010413770000</t>
  </si>
  <si>
    <t>2016-11-15</t>
  </si>
  <si>
    <t>27106</t>
  </si>
  <si>
    <t>Coruche - Rua da Capadoura, S/N</t>
  </si>
  <si>
    <t>JOAO PAULO SOLANO MACHADO</t>
  </si>
  <si>
    <t>8016769571</t>
  </si>
  <si>
    <t>513011255200000</t>
  </si>
  <si>
    <t>2022-01-12</t>
  </si>
  <si>
    <t>27107</t>
  </si>
  <si>
    <t>Lourinha - Rua Principal, Nº 14, R/C Dto e Sótão "A"</t>
  </si>
  <si>
    <t>ANA RITA RODRIGUES GUERREIRO</t>
  </si>
  <si>
    <t>7402090236</t>
  </si>
  <si>
    <t>003017187660000</t>
  </si>
  <si>
    <t>2024-01-10</t>
  </si>
  <si>
    <t>27108</t>
  </si>
  <si>
    <t>Oeiras - Rua das Searas, Nº 30</t>
  </si>
  <si>
    <t>CARLOS MANUEL ALMEIDA E SILVA</t>
  </si>
  <si>
    <t>084014909790000</t>
  </si>
  <si>
    <t>2016-03-29</t>
  </si>
  <si>
    <t>27109</t>
  </si>
  <si>
    <t>Barreiro - Rua de São Gonçalo, Nº 5A, Rés do Chão, Estabelecimento nº 7 "N"</t>
  </si>
  <si>
    <t>Manuel Joaquim Rosa Brito</t>
  </si>
  <si>
    <t>9001630918</t>
  </si>
  <si>
    <t>2008-02-26</t>
  </si>
  <si>
    <t>27111</t>
  </si>
  <si>
    <t>Caminha - Rua do Cruzeiro, Nº 180</t>
  </si>
  <si>
    <t xml:space="preserve">Carlos José Fernandes &amp; Companhia </t>
  </si>
  <si>
    <t>8008962171</t>
  </si>
  <si>
    <t>0001012147</t>
  </si>
  <si>
    <t>2020-08-01</t>
  </si>
  <si>
    <t>27113</t>
  </si>
  <si>
    <t>Sesimbra - Rua dos Pescadores, Corpo A, Nº 2, 2º andar Dt.º "R"</t>
  </si>
  <si>
    <t xml:space="preserve">João Pedro Neto Vilão Brito Gonçalves </t>
  </si>
  <si>
    <t>8043098849</t>
  </si>
  <si>
    <t>083015141770000</t>
  </si>
  <si>
    <t>27114</t>
  </si>
  <si>
    <t>Barreiro - Rua 6 de Janeiro, Nº 26 e 28</t>
  </si>
  <si>
    <t>António José Jesus Vital</t>
  </si>
  <si>
    <t>9000436419</t>
  </si>
  <si>
    <t>000010361460000</t>
  </si>
  <si>
    <t>2015-04-24</t>
  </si>
  <si>
    <t>27115</t>
  </si>
  <si>
    <t>Vila Franca De Xira - Rua Maria Lamas, Nº 27, Cave "A"</t>
  </si>
  <si>
    <t>VENSOFIL-SOCIEDADE INSTALADORA DE AGUAS E ELECTRIC</t>
  </si>
  <si>
    <t>2100219547</t>
  </si>
  <si>
    <t>000018787510000</t>
  </si>
  <si>
    <t>2024-02-15</t>
  </si>
  <si>
    <t>27118</t>
  </si>
  <si>
    <t>Sintra - Rua da Boavista, S/N</t>
  </si>
  <si>
    <t>Moviflor 7 - Comércio de Mobiliário, S.A.</t>
  </si>
  <si>
    <t>N/A</t>
  </si>
  <si>
    <t>2016-09-13</t>
  </si>
  <si>
    <t>2024-04-23</t>
  </si>
  <si>
    <t>2024-05-07</t>
  </si>
  <si>
    <t>2024-01-17</t>
  </si>
  <si>
    <t>2024-05-21</t>
  </si>
  <si>
    <t>2024-05-15</t>
  </si>
  <si>
    <t>2024-06-18</t>
  </si>
  <si>
    <t>2024-06-07</t>
  </si>
  <si>
    <t>2024-04-09</t>
  </si>
  <si>
    <t>2024-04-12</t>
  </si>
  <si>
    <t>2024-05-10</t>
  </si>
  <si>
    <t>2024-06-05</t>
  </si>
  <si>
    <t>2024-03-08</t>
  </si>
  <si>
    <t>2024-06-11</t>
  </si>
  <si>
    <t>2024-06-06</t>
  </si>
  <si>
    <t>2024-03-28</t>
  </si>
  <si>
    <t>2024-06-19</t>
  </si>
  <si>
    <t>2024-05-24</t>
  </si>
  <si>
    <t>2024-04-04</t>
  </si>
  <si>
    <t>2024-05-09</t>
  </si>
  <si>
    <t>2024-05-08</t>
  </si>
  <si>
    <t>2024-04-29</t>
  </si>
  <si>
    <t>2024-01-25</t>
  </si>
  <si>
    <t>2024-06-04</t>
  </si>
  <si>
    <t>2024-03-11</t>
  </si>
  <si>
    <t>2024-06-12</t>
  </si>
  <si>
    <t>2024-03-05</t>
  </si>
  <si>
    <t>2024-04-18</t>
  </si>
  <si>
    <t>2024-01-09</t>
  </si>
  <si>
    <t>2024-02-02</t>
  </si>
  <si>
    <t>2024-04-15</t>
  </si>
  <si>
    <t>2024-01-23</t>
  </si>
  <si>
    <t>2024-02-09</t>
  </si>
  <si>
    <t>2024-01-22</t>
  </si>
  <si>
    <t>2024-02-06</t>
  </si>
  <si>
    <t>2024-06-03</t>
  </si>
  <si>
    <t>2024-04-08</t>
  </si>
  <si>
    <t>2024-04-19</t>
  </si>
  <si>
    <t>2024-04-30</t>
  </si>
  <si>
    <t>2024-03-21</t>
  </si>
  <si>
    <t>2024-01-31</t>
  </si>
  <si>
    <t>2024-03-19</t>
  </si>
  <si>
    <t>2024-01-20</t>
  </si>
  <si>
    <t>2024-03-26</t>
  </si>
  <si>
    <t>2023-12-15</t>
  </si>
  <si>
    <t>2024-03-06</t>
  </si>
  <si>
    <t>2024-04-02</t>
  </si>
  <si>
    <t>2024-03-07</t>
  </si>
  <si>
    <t>2024-04-05</t>
  </si>
  <si>
    <t>2016-12-05</t>
  </si>
  <si>
    <t>2014-04-10</t>
  </si>
  <si>
    <t>2024-01-18</t>
  </si>
  <si>
    <t>2006-11-17</t>
  </si>
  <si>
    <t>2020-08-17</t>
  </si>
  <si>
    <t>2017-02-13</t>
  </si>
  <si>
    <t>2014-01-06</t>
  </si>
  <si>
    <t>2024-04-10</t>
  </si>
  <si>
    <t>2024-01-01</t>
  </si>
  <si>
    <t>2024-04-01</t>
  </si>
  <si>
    <t>Sintra - Rua Dr. João de Barros, Nº 116 B, R/C, LOJA UM "B"</t>
  </si>
  <si>
    <t>Sintra - Rua Dr. João de Barros, Nº 116 A, R/C, LOJA DOIS "B1"</t>
  </si>
  <si>
    <t>Lisboa - Rua Sousa Lopes, Lote MNO, 3º Andar "G"</t>
  </si>
  <si>
    <t>2024-01-15</t>
  </si>
  <si>
    <t>2024-04-24</t>
  </si>
  <si>
    <t>2024-05-13</t>
  </si>
  <si>
    <t>2024-05-29</t>
  </si>
  <si>
    <t>2024-05-23</t>
  </si>
  <si>
    <t>2024-04-11</t>
  </si>
  <si>
    <t>2024-05-30</t>
  </si>
  <si>
    <t>2024-03-14</t>
  </si>
  <si>
    <t>2024-02-14</t>
  </si>
  <si>
    <t>2024-06-20</t>
  </si>
  <si>
    <t>2024-01-12</t>
  </si>
  <si>
    <t>2101343557a</t>
  </si>
  <si>
    <t>TC0237512022</t>
  </si>
  <si>
    <t>Pedro Oliveira &amp; Filhos, Lda.</t>
  </si>
  <si>
    <t>Rua de S. Pedro, nº 63/69, São Pedro - Angra do Heroísmo</t>
  </si>
  <si>
    <t>2101343557b</t>
  </si>
  <si>
    <t>Rua do Meio, nº 2A, São Pedro - Angra do Heroísmo</t>
  </si>
  <si>
    <t>TC0248452016</t>
  </si>
  <si>
    <t>Ana Luísa Inácio Correia</t>
  </si>
  <si>
    <t>TC0245522022</t>
  </si>
  <si>
    <t>Carla Patrícia da Costa Medeiros</t>
  </si>
  <si>
    <t>IMOVEIS EM STOCK A 30/06/2023 - LEAS4</t>
  </si>
  <si>
    <t>FERNANDO DA SILVA OLIVEIR</t>
  </si>
  <si>
    <t>HAB-CORGOS DE SANTA</t>
  </si>
  <si>
    <t>CELEIRO DOS ANIMAIS - REP</t>
  </si>
  <si>
    <t>COM-ESTRADA NACIONA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</si>
</sst>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;\(#,##0.00\)"/>
    <numFmt numFmtId="165" formatCode="mmmm/yyyy"/>
    <numFmt numFmtId="166" formatCode="dd\-mm\-yyyy;@"/>
    <numFmt numFmtId="167" formatCode="0.0%"/>
    <numFmt numFmtId="168" formatCode="0.0"/>
    <numFmt numFmtId="169" formatCode="#,##0.0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.5"/>
      <name val="MS Sans Serif"/>
      <family val="2"/>
    </font>
    <font>
      <b/>
      <sz val="8"/>
      <name val="Arial"/>
      <family val="2"/>
    </font>
    <font>
      <sz val="8.5"/>
      <name val="MS Sans Serif"/>
      <family val="2"/>
    </font>
    <font>
      <b/>
      <sz val="10"/>
      <color indexed="12"/>
      <name val="Arial"/>
      <family val="2"/>
    </font>
    <font>
      <sz val="12"/>
      <color indexed="12"/>
      <name val="Arial"/>
      <family val="2"/>
    </font>
    <font>
      <sz val="12"/>
      <name val="Arial"/>
      <family val="2"/>
    </font>
    <font>
      <sz val="11"/>
      <color indexed="17"/>
      <name val="MS Sans Serif"/>
      <family val="2"/>
    </font>
    <font>
      <b/>
      <sz val="8"/>
      <color indexed="13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b/>
      <sz val="8"/>
      <color rgb="FFFFFF00"/>
      <name val="Arial"/>
      <family val="2"/>
    </font>
    <font>
      <sz val="10"/>
      <color theme="1"/>
      <name val="Arial"/>
      <family val="2"/>
    </font>
    <font>
      <sz val="8.5"/>
      <name val="MS Sans Serif"/>
    </font>
    <font>
      <sz val="10"/>
      <name val="Times New Roman"/>
      <family val="1"/>
    </font>
    <font>
      <b/>
      <sz val="11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6" fillId="0" borderId="0"/>
    <xf numFmtId="0" fontId="5" fillId="0" borderId="0"/>
    <xf numFmtId="0" fontId="21" fillId="0" borderId="0"/>
    <xf numFmtId="0" fontId="2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187">
    <xf numFmtId="0" fontId="0" fillId="0" borderId="0" xfId="0" applyProtection="1"/>
    <xf numFmtId="0" fontId="0" fillId="0" borderId="0" xfId="0" applyFill="1" applyProtection="1"/>
    <xf numFmtId="0" fontId="3" fillId="0" borderId="0" xfId="0" applyFont="1" applyProtection="1"/>
    <xf numFmtId="0" fontId="3" fillId="2" borderId="0" xfId="0" applyFont="1" applyFill="1" applyAlignment="1" applyProtection="1">
      <alignment horizontal="center"/>
    </xf>
    <xf numFmtId="0" fontId="0" fillId="2" borderId="0" xfId="0" applyFill="1" applyProtection="1"/>
    <xf numFmtId="0" fontId="0" fillId="2" borderId="0" xfId="0" quotePrefix="1" applyFill="1" applyProtection="1"/>
    <xf numFmtId="4" fontId="0" fillId="0" borderId="0" xfId="0" applyNumberFormat="1" applyProtection="1"/>
    <xf numFmtId="0" fontId="3" fillId="3" borderId="0" xfId="0" applyFont="1" applyFill="1" applyAlignment="1" applyProtection="1">
      <alignment horizontal="center"/>
    </xf>
    <xf numFmtId="0" fontId="0" fillId="3" borderId="0" xfId="0" applyFill="1" applyProtection="1"/>
    <xf numFmtId="0" fontId="4" fillId="0" borderId="0" xfId="0" applyFont="1" applyAlignment="1" applyProtection="1">
      <alignment horizont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/>
    <xf numFmtId="0" fontId="11" fillId="0" borderId="0" xfId="1" applyFont="1" applyAlignment="1">
      <alignment horizontal="center" vertical="center" wrapText="1"/>
    </xf>
    <xf numFmtId="0" fontId="12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" fontId="12" fillId="0" borderId="0" xfId="1" applyNumberFormat="1" applyFont="1" applyAlignment="1">
      <alignment horizontal="center" vertical="center" wrapText="1"/>
    </xf>
    <xf numFmtId="165" fontId="8" fillId="0" borderId="0" xfId="1" applyNumberFormat="1" applyFont="1" applyAlignment="1">
      <alignment horizontal="right" vertical="center" wrapText="1"/>
    </xf>
    <xf numFmtId="3" fontId="10" fillId="0" borderId="0" xfId="1" applyNumberFormat="1" applyFont="1" applyAlignment="1"/>
    <xf numFmtId="4" fontId="10" fillId="0" borderId="0" xfId="1" applyNumberFormat="1" applyFont="1" applyAlignment="1"/>
    <xf numFmtId="4" fontId="10" fillId="0" borderId="0" xfId="1" applyNumberFormat="1" applyFont="1" applyAlignment="1">
      <alignment horizontal="center"/>
    </xf>
    <xf numFmtId="0" fontId="3" fillId="0" borderId="0" xfId="1" applyFont="1" applyAlignment="1">
      <alignment horizontal="left" vertical="center"/>
    </xf>
    <xf numFmtId="0" fontId="13" fillId="0" borderId="0" xfId="1" applyFont="1" applyAlignment="1">
      <alignment horizontal="center"/>
    </xf>
    <xf numFmtId="0" fontId="7" fillId="0" borderId="0" xfId="1" applyNumberFormat="1" applyFont="1" applyAlignment="1">
      <alignment horizontal="left"/>
    </xf>
    <xf numFmtId="1" fontId="7" fillId="0" borderId="0" xfId="1" applyNumberFormat="1" applyFont="1" applyAlignment="1">
      <alignment horizontal="left"/>
    </xf>
    <xf numFmtId="0" fontId="7" fillId="0" borderId="0" xfId="1" applyFont="1" applyAlignment="1">
      <alignment horizontal="center"/>
    </xf>
    <xf numFmtId="4" fontId="7" fillId="0" borderId="0" xfId="1" applyNumberFormat="1" applyFont="1" applyAlignment="1">
      <alignment horizontal="left"/>
    </xf>
    <xf numFmtId="3" fontId="7" fillId="0" borderId="0" xfId="1" applyNumberFormat="1" applyFont="1" applyAlignment="1">
      <alignment horizontal="left"/>
    </xf>
    <xf numFmtId="10" fontId="14" fillId="4" borderId="1" xfId="2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/>
    </xf>
    <xf numFmtId="164" fontId="15" fillId="5" borderId="0" xfId="1" applyNumberFormat="1" applyFont="1" applyFill="1" applyBorder="1" applyAlignment="1">
      <alignment horizontal="center" vertical="center"/>
    </xf>
    <xf numFmtId="0" fontId="15" fillId="5" borderId="0" xfId="1" applyNumberFormat="1" applyFont="1" applyFill="1" applyBorder="1" applyAlignment="1">
      <alignment horizontal="center" vertical="center"/>
    </xf>
    <xf numFmtId="14" fontId="15" fillId="5" borderId="0" xfId="1" applyNumberFormat="1" applyFont="1" applyFill="1" applyBorder="1" applyAlignment="1">
      <alignment horizontal="center" vertical="center"/>
    </xf>
    <xf numFmtId="1" fontId="15" fillId="5" borderId="0" xfId="1" applyNumberFormat="1" applyFont="1" applyFill="1" applyBorder="1" applyAlignment="1">
      <alignment horizontal="center" vertical="center"/>
    </xf>
    <xf numFmtId="166" fontId="15" fillId="6" borderId="3" xfId="1" applyNumberFormat="1" applyFont="1" applyFill="1" applyBorder="1" applyAlignment="1">
      <alignment horizontal="center" vertical="center" wrapText="1"/>
    </xf>
    <xf numFmtId="166" fontId="15" fillId="4" borderId="3" xfId="1" applyNumberFormat="1" applyFont="1" applyFill="1" applyBorder="1" applyAlignment="1">
      <alignment horizontal="center" vertical="center" wrapText="1"/>
    </xf>
    <xf numFmtId="167" fontId="15" fillId="6" borderId="0" xfId="1" applyNumberFormat="1" applyFont="1" applyFill="1" applyAlignment="1">
      <alignment horizontal="center" vertical="center" wrapText="1"/>
    </xf>
    <xf numFmtId="4" fontId="15" fillId="4" borderId="0" xfId="1" applyNumberFormat="1" applyFont="1" applyFill="1" applyAlignment="1">
      <alignment horizontal="center" vertical="center" wrapText="1"/>
    </xf>
    <xf numFmtId="4" fontId="15" fillId="6" borderId="0" xfId="1" applyNumberFormat="1" applyFont="1" applyFill="1" applyAlignment="1">
      <alignment horizontal="center" vertical="center" wrapText="1"/>
    </xf>
    <xf numFmtId="0" fontId="16" fillId="5" borderId="0" xfId="1" applyFont="1" applyFill="1" applyBorder="1" applyAlignment="1">
      <alignment horizontal="center" vertical="center"/>
    </xf>
    <xf numFmtId="4" fontId="15" fillId="4" borderId="0" xfId="1" applyNumberFormat="1" applyFont="1" applyFill="1" applyAlignment="1">
      <alignment horizontal="right" vertical="center" wrapText="1"/>
    </xf>
    <xf numFmtId="164" fontId="17" fillId="5" borderId="6" xfId="1" applyNumberFormat="1" applyFont="1" applyFill="1" applyBorder="1" applyAlignment="1">
      <alignment horizontal="center" vertical="center"/>
    </xf>
    <xf numFmtId="164" fontId="17" fillId="5" borderId="7" xfId="1" applyNumberFormat="1" applyFont="1" applyFill="1" applyBorder="1" applyAlignment="1">
      <alignment horizontal="center" vertical="center"/>
    </xf>
    <xf numFmtId="14" fontId="15" fillId="5" borderId="8" xfId="1" applyNumberFormat="1" applyFont="1" applyFill="1" applyBorder="1" applyAlignment="1">
      <alignment horizontal="center"/>
    </xf>
    <xf numFmtId="0" fontId="15" fillId="5" borderId="8" xfId="1" applyFont="1" applyFill="1" applyBorder="1" applyAlignment="1">
      <alignment horizontal="center"/>
    </xf>
    <xf numFmtId="164" fontId="17" fillId="5" borderId="8" xfId="1" applyNumberFormat="1" applyFont="1" applyFill="1" applyBorder="1" applyAlignment="1">
      <alignment vertical="center"/>
    </xf>
    <xf numFmtId="164" fontId="17" fillId="5" borderId="8" xfId="1" applyNumberFormat="1" applyFont="1" applyFill="1" applyBorder="1" applyAlignment="1">
      <alignment horizontal="center" vertical="center"/>
    </xf>
    <xf numFmtId="164" fontId="17" fillId="5" borderId="2" xfId="1" applyNumberFormat="1" applyFont="1" applyFill="1" applyBorder="1" applyAlignment="1">
      <alignment horizontal="center" vertical="center"/>
    </xf>
    <xf numFmtId="0" fontId="15" fillId="5" borderId="2" xfId="1" applyFont="1" applyFill="1" applyBorder="1" applyAlignment="1">
      <alignment horizontal="center"/>
    </xf>
    <xf numFmtId="1" fontId="17" fillId="5" borderId="0" xfId="1" applyNumberFormat="1" applyFont="1" applyFill="1" applyBorder="1" applyAlignment="1">
      <alignment horizontal="center" vertical="center"/>
    </xf>
    <xf numFmtId="14" fontId="18" fillId="6" borderId="1" xfId="1" applyNumberFormat="1" applyFont="1" applyFill="1" applyBorder="1" applyAlignment="1">
      <alignment horizontal="center"/>
    </xf>
    <xf numFmtId="164" fontId="17" fillId="6" borderId="8" xfId="1" applyNumberFormat="1" applyFont="1" applyFill="1" applyBorder="1" applyAlignment="1">
      <alignment vertical="center"/>
    </xf>
    <xf numFmtId="0" fontId="7" fillId="0" borderId="0" xfId="1" applyFont="1" applyAlignment="1"/>
    <xf numFmtId="1" fontId="6" fillId="0" borderId="1" xfId="1" quotePrefix="1" applyNumberFormat="1" applyFont="1" applyFill="1" applyBorder="1" applyAlignment="1">
      <alignment horizontal="center"/>
    </xf>
    <xf numFmtId="14" fontId="6" fillId="0" borderId="1" xfId="1" applyNumberFormat="1" applyFont="1" applyFill="1" applyBorder="1" applyAlignment="1">
      <alignment horizontal="left"/>
    </xf>
    <xf numFmtId="14" fontId="6" fillId="0" borderId="1" xfId="1" applyNumberFormat="1" applyFont="1" applyFill="1" applyBorder="1" applyAlignment="1">
      <alignment horizontal="center"/>
    </xf>
    <xf numFmtId="164" fontId="6" fillId="0" borderId="1" xfId="1" applyNumberFormat="1" applyFont="1" applyFill="1" applyBorder="1" applyAlignment="1"/>
    <xf numFmtId="1" fontId="6" fillId="0" borderId="1" xfId="1" applyNumberFormat="1" applyFont="1" applyFill="1" applyBorder="1" applyAlignment="1">
      <alignment horizontal="center"/>
    </xf>
    <xf numFmtId="4" fontId="6" fillId="0" borderId="1" xfId="1" quotePrefix="1" applyNumberFormat="1" applyFont="1" applyFill="1" applyBorder="1" applyAlignment="1"/>
    <xf numFmtId="14" fontId="6" fillId="0" borderId="1" xfId="1" quotePrefix="1" applyNumberFormat="1" applyFont="1" applyFill="1" applyBorder="1" applyAlignment="1">
      <alignment horizontal="center"/>
    </xf>
    <xf numFmtId="164" fontId="6" fillId="0" borderId="9" xfId="1" applyNumberFormat="1" applyFont="1" applyFill="1" applyBorder="1" applyAlignment="1"/>
    <xf numFmtId="9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Border="1" applyAlignment="1">
      <alignment horizontal="center"/>
    </xf>
    <xf numFmtId="4" fontId="6" fillId="0" borderId="1" xfId="1" applyNumberFormat="1" applyFont="1" applyBorder="1" applyAlignment="1">
      <alignment horizontal="right"/>
    </xf>
    <xf numFmtId="167" fontId="6" fillId="0" borderId="1" xfId="1" applyNumberFormat="1" applyFont="1" applyBorder="1" applyAlignment="1"/>
    <xf numFmtId="4" fontId="6" fillId="0" borderId="1" xfId="1" applyNumberFormat="1" applyFont="1" applyBorder="1" applyAlignment="1"/>
    <xf numFmtId="167" fontId="6" fillId="0" borderId="9" xfId="1" applyNumberFormat="1" applyFont="1" applyBorder="1" applyAlignment="1">
      <alignment horizontal="center"/>
    </xf>
    <xf numFmtId="4" fontId="6" fillId="0" borderId="9" xfId="1" applyNumberFormat="1" applyFont="1" applyBorder="1" applyAlignment="1"/>
    <xf numFmtId="4" fontId="7" fillId="0" borderId="0" xfId="1" applyNumberFormat="1" applyFont="1" applyAlignment="1"/>
    <xf numFmtId="49" fontId="6" fillId="0" borderId="1" xfId="1" quotePrefix="1" applyNumberFormat="1" applyFont="1" applyFill="1" applyBorder="1" applyAlignment="1">
      <alignment horizontal="center"/>
    </xf>
    <xf numFmtId="0" fontId="6" fillId="0" borderId="10" xfId="1" applyNumberFormat="1" applyFont="1" applyFill="1" applyBorder="1" applyAlignment="1">
      <alignment horizontal="center"/>
    </xf>
    <xf numFmtId="14" fontId="6" fillId="0" borderId="10" xfId="1" applyNumberFormat="1" applyFont="1" applyFill="1" applyBorder="1" applyAlignment="1">
      <alignment horizontal="left"/>
    </xf>
    <xf numFmtId="0" fontId="6" fillId="0" borderId="10" xfId="1" applyNumberFormat="1" applyFont="1" applyFill="1" applyBorder="1" applyAlignment="1">
      <alignment horizontal="left"/>
    </xf>
    <xf numFmtId="0" fontId="6" fillId="0" borderId="1" xfId="1" applyNumberFormat="1" applyFont="1" applyFill="1" applyBorder="1" applyAlignment="1">
      <alignment horizontal="right"/>
    </xf>
    <xf numFmtId="168" fontId="6" fillId="0" borderId="1" xfId="1" applyNumberFormat="1" applyFont="1" applyFill="1" applyBorder="1" applyAlignment="1">
      <alignment horizontal="center"/>
    </xf>
    <xf numFmtId="4" fontId="6" fillId="0" borderId="1" xfId="1" applyNumberFormat="1" applyFont="1" applyFill="1" applyBorder="1" applyAlignment="1">
      <alignment horizontal="right"/>
    </xf>
    <xf numFmtId="167" fontId="6" fillId="0" borderId="1" xfId="1" applyNumberFormat="1" applyFont="1" applyFill="1" applyBorder="1" applyAlignment="1"/>
    <xf numFmtId="4" fontId="6" fillId="0" borderId="1" xfId="1" applyNumberFormat="1" applyFont="1" applyFill="1" applyBorder="1" applyAlignment="1"/>
    <xf numFmtId="167" fontId="6" fillId="0" borderId="1" xfId="1" applyNumberFormat="1" applyFont="1" applyFill="1" applyBorder="1" applyAlignment="1">
      <alignment horizontal="center"/>
    </xf>
    <xf numFmtId="0" fontId="6" fillId="0" borderId="1" xfId="1" applyNumberFormat="1" applyFont="1" applyFill="1" applyBorder="1" applyAlignment="1">
      <alignment horizontal="center"/>
    </xf>
    <xf numFmtId="0" fontId="6" fillId="0" borderId="1" xfId="1" applyNumberFormat="1" applyFont="1" applyFill="1" applyBorder="1" applyAlignment="1">
      <alignment horizontal="left"/>
    </xf>
    <xf numFmtId="168" fontId="6" fillId="0" borderId="9" xfId="1" applyNumberFormat="1" applyFont="1" applyFill="1" applyBorder="1" applyAlignment="1">
      <alignment horizontal="center"/>
    </xf>
    <xf numFmtId="4" fontId="6" fillId="0" borderId="9" xfId="1" applyNumberFormat="1" applyFont="1" applyFill="1" applyBorder="1" applyAlignment="1">
      <alignment horizontal="right"/>
    </xf>
    <xf numFmtId="167" fontId="6" fillId="0" borderId="9" xfId="1" applyNumberFormat="1" applyFont="1" applyFill="1" applyBorder="1" applyAlignment="1"/>
    <xf numFmtId="4" fontId="6" fillId="0" borderId="9" xfId="1" applyNumberFormat="1" applyFont="1" applyFill="1" applyBorder="1" applyAlignment="1"/>
    <xf numFmtId="167" fontId="6" fillId="0" borderId="9" xfId="1" applyNumberFormat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NumberFormat="1" applyFont="1" applyAlignment="1"/>
    <xf numFmtId="14" fontId="7" fillId="0" borderId="0" xfId="1" applyNumberFormat="1" applyFont="1" applyAlignment="1"/>
    <xf numFmtId="1" fontId="9" fillId="0" borderId="0" xfId="1" applyNumberFormat="1" applyFont="1" applyAlignment="1">
      <alignment horizontal="center"/>
    </xf>
    <xf numFmtId="1" fontId="7" fillId="0" borderId="0" xfId="1" applyNumberFormat="1" applyFont="1" applyAlignment="1">
      <alignment horizontal="center"/>
    </xf>
    <xf numFmtId="3" fontId="9" fillId="0" borderId="0" xfId="1" applyNumberFormat="1" applyFont="1" applyAlignment="1"/>
    <xf numFmtId="4" fontId="9" fillId="0" borderId="0" xfId="1" applyNumberFormat="1" applyFont="1" applyAlignment="1"/>
    <xf numFmtId="0" fontId="9" fillId="0" borderId="0" xfId="1" applyFont="1" applyAlignment="1"/>
    <xf numFmtId="3" fontId="7" fillId="0" borderId="0" xfId="1" applyNumberFormat="1" applyFont="1" applyAlignment="1"/>
    <xf numFmtId="0" fontId="20" fillId="2" borderId="0" xfId="1" applyFont="1" applyFill="1" applyAlignment="1">
      <alignment horizontal="center"/>
    </xf>
    <xf numFmtId="0" fontId="20" fillId="3" borderId="0" xfId="1" applyFont="1" applyFill="1" applyAlignment="1">
      <alignment horizontal="center"/>
    </xf>
    <xf numFmtId="0" fontId="5" fillId="0" borderId="0" xfId="3" applyFont="1" applyFill="1"/>
    <xf numFmtId="4" fontId="5" fillId="0" borderId="0" xfId="3" applyNumberFormat="1" applyFont="1" applyFill="1"/>
    <xf numFmtId="0" fontId="5" fillId="0" borderId="0" xfId="3" applyFont="1" applyFill="1" applyAlignment="1">
      <alignment horizontal="center"/>
    </xf>
    <xf numFmtId="4" fontId="0" fillId="0" borderId="0" xfId="0" applyNumberFormat="1" applyFill="1"/>
    <xf numFmtId="4" fontId="6" fillId="0" borderId="0" xfId="0" applyNumberFormat="1" applyFont="1" applyFill="1" applyAlignment="1">
      <alignment horizontal="center"/>
    </xf>
    <xf numFmtId="4" fontId="5" fillId="0" borderId="0" xfId="0" applyNumberFormat="1" applyFont="1" applyFill="1"/>
    <xf numFmtId="0" fontId="3" fillId="0" borderId="0" xfId="0" applyFont="1" applyFill="1" applyAlignment="1">
      <alignment vertical="center" wrapText="1"/>
    </xf>
    <xf numFmtId="4" fontId="5" fillId="0" borderId="0" xfId="3" applyNumberFormat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14" fontId="3" fillId="7" borderId="0" xfId="0" applyNumberFormat="1" applyFont="1" applyFill="1" applyAlignment="1">
      <alignment horizontal="center"/>
    </xf>
    <xf numFmtId="4" fontId="3" fillId="0" borderId="1" xfId="0" applyNumberFormat="1" applyFont="1" applyFill="1" applyBorder="1" applyAlignment="1">
      <alignment horizontal="center" wrapText="1"/>
    </xf>
    <xf numFmtId="0" fontId="0" fillId="0" borderId="0" xfId="0"/>
    <xf numFmtId="10" fontId="22" fillId="7" borderId="12" xfId="0" applyNumberFormat="1" applyFont="1" applyFill="1" applyBorder="1" applyAlignment="1">
      <alignment horizontal="center"/>
    </xf>
    <xf numFmtId="10" fontId="22" fillId="0" borderId="12" xfId="0" applyNumberFormat="1" applyFont="1" applyBorder="1" applyAlignment="1">
      <alignment horizontal="center"/>
    </xf>
    <xf numFmtId="0" fontId="3" fillId="8" borderId="1" xfId="0" applyFont="1" applyFill="1" applyBorder="1" applyAlignment="1">
      <alignment horizontal="center" wrapText="1"/>
    </xf>
    <xf numFmtId="4" fontId="3" fillId="8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4" fontId="3" fillId="0" borderId="1" xfId="3" applyNumberFormat="1" applyFont="1" applyFill="1" applyBorder="1" applyAlignment="1">
      <alignment horizontal="center" vertical="center" wrapText="1"/>
    </xf>
    <xf numFmtId="4" fontId="23" fillId="4" borderId="0" xfId="3" applyNumberFormat="1" applyFont="1" applyFill="1" applyAlignment="1">
      <alignment horizontal="center" wrapText="1"/>
    </xf>
    <xf numFmtId="4" fontId="23" fillId="9" borderId="0" xfId="3" applyNumberFormat="1" applyFont="1" applyFill="1" applyAlignment="1">
      <alignment horizontal="center" wrapText="1"/>
    </xf>
    <xf numFmtId="4" fontId="23" fillId="5" borderId="0" xfId="3" applyNumberFormat="1" applyFont="1" applyFill="1" applyAlignment="1">
      <alignment horizontal="center" wrapText="1"/>
    </xf>
    <xf numFmtId="0" fontId="0" fillId="0" borderId="0" xfId="0" applyFill="1"/>
    <xf numFmtId="14" fontId="0" fillId="0" borderId="0" xfId="0" applyNumberFormat="1" applyFill="1"/>
    <xf numFmtId="4" fontId="5" fillId="0" borderId="0" xfId="4" applyNumberFormat="1" applyFont="1" applyFill="1"/>
    <xf numFmtId="3" fontId="0" fillId="0" borderId="0" xfId="0" applyNumberFormat="1" applyFill="1"/>
    <xf numFmtId="169" fontId="0" fillId="0" borderId="0" xfId="0" applyNumberFormat="1" applyAlignment="1">
      <alignment horizontal="center"/>
    </xf>
    <xf numFmtId="4" fontId="24" fillId="0" borderId="0" xfId="0" applyNumberFormat="1" applyFont="1" applyFill="1"/>
    <xf numFmtId="4" fontId="0" fillId="0" borderId="0" xfId="0" applyNumberFormat="1"/>
    <xf numFmtId="4" fontId="24" fillId="0" borderId="0" xfId="0" applyNumberFormat="1" applyFont="1"/>
    <xf numFmtId="167" fontId="0" fillId="0" borderId="0" xfId="0" applyNumberFormat="1"/>
    <xf numFmtId="1" fontId="5" fillId="0" borderId="0" xfId="3" applyNumberFormat="1" applyFont="1" applyFill="1"/>
    <xf numFmtId="14" fontId="0" fillId="0" borderId="0" xfId="0" applyNumberFormat="1"/>
    <xf numFmtId="0" fontId="5" fillId="0" borderId="0" xfId="0" applyFont="1" applyFill="1"/>
    <xf numFmtId="0" fontId="5" fillId="0" borderId="0" xfId="0" applyFont="1"/>
    <xf numFmtId="14" fontId="5" fillId="0" borderId="0" xfId="0" applyNumberFormat="1" applyFont="1"/>
    <xf numFmtId="0" fontId="3" fillId="0" borderId="0" xfId="4" applyFont="1" applyFill="1"/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0" fontId="25" fillId="0" borderId="0" xfId="4" applyFont="1" applyFill="1" applyAlignment="1">
      <alignment horizontal="center"/>
    </xf>
    <xf numFmtId="14" fontId="25" fillId="0" borderId="0" xfId="4" applyNumberFormat="1" applyFont="1" applyFill="1" applyAlignment="1">
      <alignment horizontal="center"/>
    </xf>
    <xf numFmtId="4" fontId="3" fillId="10" borderId="13" xfId="0" applyNumberFormat="1" applyFont="1" applyFill="1" applyBorder="1"/>
    <xf numFmtId="4" fontId="25" fillId="0" borderId="0" xfId="0" applyNumberFormat="1" applyFont="1" applyFill="1"/>
    <xf numFmtId="4" fontId="3" fillId="0" borderId="0" xfId="0" applyNumberFormat="1" applyFont="1" applyFill="1"/>
    <xf numFmtId="4" fontId="3" fillId="11" borderId="13" xfId="0" applyNumberFormat="1" applyFont="1" applyFill="1" applyBorder="1"/>
    <xf numFmtId="0" fontId="26" fillId="0" borderId="0" xfId="3" applyFont="1" applyFill="1"/>
    <xf numFmtId="0" fontId="3" fillId="2" borderId="0" xfId="0" applyFont="1" applyFill="1" applyAlignment="1" applyProtection="1">
      <alignment horizontal="center" vertical="center"/>
    </xf>
    <xf numFmtId="0" fontId="3" fillId="3" borderId="0" xfId="0" applyFont="1" applyFill="1" applyAlignment="1" applyProtection="1">
      <alignment horizontal="center" vertical="center"/>
    </xf>
    <xf numFmtId="0" fontId="19" fillId="0" borderId="0" xfId="7" applyFont="1"/>
    <xf numFmtId="14" fontId="19" fillId="0" borderId="0" xfId="7" applyNumberFormat="1" applyFont="1"/>
    <xf numFmtId="4" fontId="0" fillId="0" borderId="0" xfId="0" applyNumberFormat="1" applyFill="1" applyProtection="1"/>
    <xf numFmtId="0" fontId="3" fillId="0" borderId="0" xfId="0" applyFont="1" applyFill="1" applyProtection="1"/>
    <xf numFmtId="0" fontId="0" fillId="0" borderId="15" xfId="0" applyFill="1" applyBorder="1" applyProtection="1"/>
    <xf numFmtId="0" fontId="0" fillId="0" borderId="16" xfId="0" quotePrefix="1" applyFill="1" applyBorder="1" applyProtection="1"/>
    <xf numFmtId="0" fontId="0" fillId="0" borderId="16" xfId="0" applyFill="1" applyBorder="1" applyProtection="1"/>
    <xf numFmtId="0" fontId="0" fillId="0" borderId="17" xfId="0" quotePrefix="1" applyFill="1" applyBorder="1" applyProtection="1"/>
    <xf numFmtId="4" fontId="0" fillId="0" borderId="18" xfId="0" applyNumberFormat="1" applyFill="1" applyBorder="1" applyProtection="1"/>
    <xf numFmtId="4" fontId="0" fillId="0" borderId="11" xfId="0" applyNumberFormat="1" applyFill="1" applyBorder="1" applyProtection="1"/>
    <xf numFmtId="4" fontId="0" fillId="0" borderId="19" xfId="0" applyNumberFormat="1" applyFill="1" applyBorder="1" applyProtection="1"/>
    <xf numFmtId="0" fontId="0" fillId="0" borderId="18" xfId="0" applyFill="1" applyBorder="1" applyProtection="1"/>
    <xf numFmtId="0" fontId="0" fillId="0" borderId="11" xfId="0" applyFill="1" applyBorder="1" applyProtection="1"/>
    <xf numFmtId="0" fontId="0" fillId="0" borderId="19" xfId="0" quotePrefix="1" applyFill="1" applyBorder="1" applyProtection="1"/>
    <xf numFmtId="0" fontId="0" fillId="0" borderId="18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8" xfId="0" quotePrefix="1" applyFill="1" applyBorder="1" applyProtection="1"/>
    <xf numFmtId="0" fontId="0" fillId="0" borderId="15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4" xfId="0" quotePrefix="1" applyFill="1" applyBorder="1" applyProtection="1"/>
    <xf numFmtId="4" fontId="0" fillId="0" borderId="14" xfId="0" applyNumberFormat="1" applyFill="1" applyBorder="1" applyProtection="1"/>
    <xf numFmtId="0" fontId="3" fillId="7" borderId="0" xfId="0" applyFont="1" applyFill="1" applyProtection="1"/>
    <xf numFmtId="2" fontId="0" fillId="7" borderId="0" xfId="0" applyNumberFormat="1" applyFill="1" applyProtection="1"/>
    <xf numFmtId="49" fontId="0" fillId="0" borderId="0" xfId="0" applyNumberFormat="1" applyFill="1" applyProtection="1"/>
    <xf numFmtId="0" fontId="30" fillId="4" borderId="0" xfId="0" applyFont="1" applyFill="1" applyAlignment="1" applyProtection="1">
      <alignment horizontal="centerContinuous"/>
    </xf>
    <xf numFmtId="0" fontId="30" fillId="4" borderId="0" xfId="0" applyFont="1" applyFill="1" applyAlignment="1" applyProtection="1">
      <alignment horizontal="center"/>
    </xf>
    <xf numFmtId="0" fontId="0" fillId="0" borderId="11" xfId="0" quotePrefix="1" applyFill="1" applyBorder="1" applyProtection="1"/>
    <xf numFmtId="0" fontId="0" fillId="0" borderId="10" xfId="0" quotePrefix="1" applyFill="1" applyBorder="1" applyProtection="1"/>
    <xf numFmtId="0" fontId="0" fillId="0" borderId="11" xfId="0" quotePrefix="1" applyBorder="1" applyProtection="1"/>
    <xf numFmtId="0" fontId="0" fillId="0" borderId="10" xfId="0" quotePrefix="1" applyBorder="1" applyProtection="1"/>
    <xf numFmtId="0" fontId="0" fillId="3" borderId="0" xfId="0" quotePrefix="1" applyNumberFormat="1" applyFill="1" applyProtection="1"/>
    <xf numFmtId="14" fontId="15" fillId="5" borderId="0" xfId="1" applyNumberFormat="1" applyFont="1" applyFill="1" applyBorder="1" applyAlignment="1">
      <alignment horizontal="center" vertical="center" wrapText="1"/>
    </xf>
    <xf numFmtId="49" fontId="0" fillId="0" borderId="0" xfId="0" applyNumberFormat="1" applyProtection="1"/>
    <xf numFmtId="0" fontId="0" fillId="7" borderId="0" xfId="0" applyFill="1" applyProtection="1"/>
    <xf numFmtId="0" fontId="27" fillId="4" borderId="0" xfId="0" applyFont="1" applyFill="1" applyAlignment="1" applyProtection="1">
      <alignment horizontal="center"/>
    </xf>
    <xf numFmtId="0" fontId="28" fillId="4" borderId="0" xfId="0" applyFont="1" applyFill="1" applyAlignment="1" applyProtection="1">
      <alignment horizontal="center"/>
    </xf>
    <xf numFmtId="0" fontId="29" fillId="4" borderId="0" xfId="0" applyFont="1" applyFill="1" applyAlignment="1" applyProtection="1">
      <alignment horizontal="center"/>
    </xf>
    <xf numFmtId="164" fontId="15" fillId="5" borderId="2" xfId="1" applyNumberFormat="1" applyFont="1" applyFill="1" applyBorder="1" applyAlignment="1">
      <alignment horizontal="center" vertical="center"/>
    </xf>
    <xf numFmtId="164" fontId="15" fillId="5" borderId="4" xfId="1" applyNumberFormat="1" applyFont="1" applyFill="1" applyBorder="1" applyAlignment="1">
      <alignment horizontal="center" vertical="center"/>
    </xf>
    <xf numFmtId="14" fontId="15" fillId="5" borderId="0" xfId="1" applyNumberFormat="1" applyFont="1" applyFill="1" applyBorder="1" applyAlignment="1">
      <alignment horizontal="center" vertical="center" wrapText="1"/>
    </xf>
    <xf numFmtId="14" fontId="15" fillId="5" borderId="5" xfId="1" applyNumberFormat="1" applyFont="1" applyFill="1" applyBorder="1" applyAlignment="1">
      <alignment horizontal="center" vertical="center" wrapText="1"/>
    </xf>
    <xf numFmtId="0" fontId="3" fillId="0" borderId="0" xfId="0" quotePrefix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0">
    <cellStyle name="Normal" xfId="0" builtinId="0"/>
    <cellStyle name="Normal 13" xfId="5"/>
    <cellStyle name="Normal 13 2" xfId="7"/>
    <cellStyle name="Normal 2" xfId="1"/>
    <cellStyle name="Normal 2 2" xfId="6"/>
    <cellStyle name="Normal 6" xfId="9"/>
    <cellStyle name="Normal 8" xfId="8"/>
    <cellStyle name="Normal_Adjudicados - 2013_04" xfId="2"/>
    <cellStyle name="Normal_sottoRecEquip_311003" xfId="4"/>
    <cellStyle name="Normal_sottoRecImoveis_311003" xfId="3"/>
  </cellStyles>
  <dxfs count="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ntabilidade\Prestacoes\BST\Provisoes\Activos%20n&#227;o%20financeiros\2013\274090%20-%20Im&#243;veis%20Adjudicados\2013_04\Adjudicados%20-%202013_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LANÇAMENTO"/>
      <sheetName val="VARIAÇÃO"/>
      <sheetName val="PROVISÕES ÓPTICA DESINV"/>
      <sheetName val="274090 - ADJUD"/>
      <sheetName val="ENTRADAS"/>
      <sheetName val="SAÍDAS"/>
      <sheetName val="MÊS ANTES-ADJUD"/>
      <sheetName val="DIF. VENDA-DESINV"/>
      <sheetName val="Folha1"/>
      <sheetName val="RELATÓRIO INSPEC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showGridLines="0" tabSelected="1" workbookViewId="0">
      <selection sqref="A1:H1"/>
    </sheetView>
  </sheetViews>
  <sheetFormatPr defaultRowHeight="12.5" x14ac:dyDescent="0.25"/>
  <cols>
    <col min="1" max="1" width="15.54296875" bestFit="1" customWidth="1"/>
    <col min="2" max="2" width="13.453125" bestFit="1" customWidth="1"/>
    <col min="3" max="3" width="1.54296875" customWidth="1"/>
    <col min="4" max="4" width="13.54296875" bestFit="1" customWidth="1"/>
    <col min="5" max="5" width="12.7265625" bestFit="1" customWidth="1"/>
    <col min="6" max="6" width="1.54296875" customWidth="1"/>
    <col min="7" max="7" width="13.54296875" bestFit="1" customWidth="1"/>
    <col min="8" max="8" width="12.7265625" bestFit="1" customWidth="1"/>
    <col min="9" max="9" width="1.7265625" customWidth="1"/>
    <col min="10" max="10" width="15.54296875" customWidth="1"/>
    <col min="11" max="11" width="12.26953125" bestFit="1" customWidth="1"/>
    <col min="12" max="12" width="1.7265625" customWidth="1"/>
    <col min="13" max="13" width="10" bestFit="1" customWidth="1"/>
    <col min="14" max="14" width="12.26953125" customWidth="1"/>
    <col min="15" max="15" width="1.7265625" customWidth="1"/>
    <col min="17" max="17" width="12.26953125" bestFit="1" customWidth="1"/>
    <col min="18" max="18" width="1.7265625" customWidth="1"/>
    <col min="19" max="19" width="12" bestFit="1" customWidth="1"/>
    <col min="20" max="20" width="13.453125" bestFit="1" customWidth="1"/>
    <col min="21" max="21" width="1.7265625" customWidth="1"/>
    <col min="22" max="22" width="10" bestFit="1" customWidth="1"/>
    <col min="23" max="23" width="12.7265625" bestFit="1" customWidth="1"/>
    <col min="24" max="24" width="1.7265625" customWidth="1"/>
    <col min="26" max="26" width="10.1796875" bestFit="1" customWidth="1"/>
  </cols>
  <sheetData>
    <row r="1" spans="1:26" ht="18" x14ac:dyDescent="0.4">
      <c r="A1" s="178" t="s">
        <v>1031</v>
      </c>
      <c r="B1" s="179"/>
      <c r="C1" s="179"/>
      <c r="D1" s="179"/>
      <c r="E1" s="179"/>
      <c r="F1" s="179"/>
      <c r="G1" s="179"/>
      <c r="H1" s="179"/>
      <c r="J1" s="178" t="s">
        <v>1032</v>
      </c>
      <c r="K1" s="179"/>
      <c r="L1" s="179"/>
      <c r="M1" s="179"/>
      <c r="N1" s="179"/>
      <c r="O1" s="179"/>
      <c r="P1" s="179"/>
      <c r="Q1" s="179"/>
      <c r="S1" s="178" t="s">
        <v>1076</v>
      </c>
      <c r="T1" s="179"/>
      <c r="U1" s="179"/>
      <c r="V1" s="179"/>
      <c r="W1" s="179"/>
      <c r="X1" s="179"/>
      <c r="Y1" s="179"/>
      <c r="Z1" s="179"/>
    </row>
    <row r="3" spans="1:26" ht="18" x14ac:dyDescent="0.4">
      <c r="A3" s="178" t="s">
        <v>867</v>
      </c>
      <c r="B3" s="179"/>
      <c r="C3" s="179"/>
      <c r="D3" s="179"/>
      <c r="E3" s="179"/>
      <c r="F3" s="179"/>
      <c r="G3" s="179"/>
      <c r="H3" s="179"/>
      <c r="J3" s="178" t="s">
        <v>867</v>
      </c>
      <c r="K3" s="179"/>
      <c r="L3" s="179"/>
      <c r="M3" s="179"/>
      <c r="N3" s="179"/>
      <c r="O3" s="179"/>
      <c r="P3" s="179"/>
      <c r="Q3" s="179"/>
      <c r="S3" s="178" t="s">
        <v>867</v>
      </c>
      <c r="T3" s="179"/>
      <c r="U3" s="179"/>
      <c r="V3" s="179"/>
      <c r="W3" s="179"/>
      <c r="X3" s="179"/>
      <c r="Y3" s="179"/>
      <c r="Z3" s="179"/>
    </row>
    <row r="4" spans="1:26" ht="13" x14ac:dyDescent="0.3">
      <c r="A4" s="2" t="s">
        <v>865</v>
      </c>
      <c r="J4" s="2" t="s">
        <v>865</v>
      </c>
      <c r="S4" s="2" t="s">
        <v>865</v>
      </c>
    </row>
    <row r="5" spans="1:26" x14ac:dyDescent="0.25">
      <c r="A5" s="147" t="s">
        <v>805</v>
      </c>
      <c r="B5" s="151">
        <f>+SUMIF('Stock Adjudicados+Próprios'!$AC$2:$AC$610,'Controlo Jun24'!A5,'Stock Adjudicados+Próprios'!$K$2:$K$610)</f>
        <v>36734071.88000001</v>
      </c>
      <c r="C5" s="1"/>
      <c r="D5" s="147" t="s">
        <v>808</v>
      </c>
      <c r="E5" s="151">
        <f>+SUMIF('Stock Adjudicados+Próprios'!$AE$2:$AE$610,'Controlo Jun24'!D5,'Stock Adjudicados+Próprios'!$P$2:$P$610)</f>
        <v>19748331.760000005</v>
      </c>
      <c r="F5" s="1"/>
      <c r="G5" s="147"/>
      <c r="H5" s="151"/>
      <c r="J5" s="160" t="s">
        <v>1033</v>
      </c>
      <c r="K5" s="151">
        <f>+SUMIF('Stock Dações+Arrematações'!$AB$6:$AB$72,'Controlo Jun24'!J5,'Stock Dações+Arrematações'!$G$6:$G$72)</f>
        <v>103300</v>
      </c>
      <c r="L5" s="145"/>
      <c r="M5" s="160" t="s">
        <v>1035</v>
      </c>
      <c r="N5" s="151">
        <f>+SUMIF('Stock Dações+Arrematações'!$AD$6:$AD$72,'Controlo Jun24'!M5,'Stock Dações+Arrematações'!$K$6:$K$72)</f>
        <v>103300</v>
      </c>
      <c r="O5" s="145"/>
      <c r="P5" s="160" t="s">
        <v>1030</v>
      </c>
      <c r="Q5" s="151">
        <f>+SUMIF('Stock Dações+Arrematações'!$AF$6:$AF$72,'Controlo Jun24'!P5,'Stock Dações+Arrematações'!$U$6:$U$72)+SUMIF('Stock Dações+Arrematações'!$AF$6:$AF$72,'Controlo Jun24'!P5,'Stock Dações+Arrematações'!$W$6:$W$72)+SUMIF('Stock Dações+Arrematações'!$AF$6:$AF$72,'Controlo Jun24'!P5,'Stock Dações+Arrematações'!$X$6:$X$72)</f>
        <v>0</v>
      </c>
      <c r="S5" s="163" t="s">
        <v>1073</v>
      </c>
      <c r="T5" s="164">
        <f>+SUMIF('Stock Imoveis IFIC'!$AB$5:$AB$15,'Controlo Jun24'!S5,'Stock Imoveis IFIC'!$I$5:$I$15)</f>
        <v>695195.8600000001</v>
      </c>
      <c r="U5" s="145"/>
      <c r="V5" s="163" t="s">
        <v>1074</v>
      </c>
      <c r="W5" s="164">
        <f>+SUMIF('Stock Imoveis IFIC'!$AD$5:$AD$15,'Controlo Jun24'!V5,'Stock Imoveis IFIC'!$T$5:$T$15)</f>
        <v>25780.409999999996</v>
      </c>
      <c r="X5" s="145"/>
      <c r="Y5" s="163" t="s">
        <v>1075</v>
      </c>
      <c r="Z5" s="164">
        <f>+SUMIF('Stock Imoveis IFIC'!$AF$5:$AF$15,'Controlo Jun24'!Y5,'Stock Imoveis IFIC'!$S$5:$S$15)+SUMIF('Stock Imoveis IFIC'!$AF$5:$AF$15,'Controlo Jun24'!Y5,'Stock Imoveis IFIC'!$X$5:$X$15)+SUMIF('Stock Imoveis IFIC'!$AF$5:$AF$15,'Controlo Jun24'!Y5,'Stock Imoveis IFIC'!$Y$5:$Y$15)</f>
        <v>26404.343185000002</v>
      </c>
    </row>
    <row r="6" spans="1:26" x14ac:dyDescent="0.25">
      <c r="A6" s="148" t="s">
        <v>860</v>
      </c>
      <c r="B6" s="152">
        <f>+SUMIF('Stock Adjudicados+Próprios'!$AC$2:$AC$610,'Controlo Jun24'!A6,'Stock Adjudicados+Próprios'!$K$2:$K$610)</f>
        <v>0</v>
      </c>
      <c r="C6" s="1"/>
      <c r="D6" s="148" t="s">
        <v>861</v>
      </c>
      <c r="E6" s="152">
        <f>+SUMIF('Stock Adjudicados+Próprios'!$AE$2:$AE$610,'Controlo Jun24'!D6,'Stock Adjudicados+Próprios'!$P$2:$P$610)</f>
        <v>0</v>
      </c>
      <c r="F6" s="1"/>
      <c r="G6" s="148" t="s">
        <v>810</v>
      </c>
      <c r="H6" s="152">
        <f>+SUMIF('Stock Adjudicados+Próprios'!$AG$2:$AG$610,'Controlo Jun24'!G6,'Stock Adjudicados+Próprios'!$Q$2:$Q$610)</f>
        <v>2471148.3103271383</v>
      </c>
      <c r="J6" s="156" t="s">
        <v>1034</v>
      </c>
      <c r="K6" s="153">
        <f>+SUMIF('Stock Dações+Arrematações'!$AB$6:$AB$72,'Controlo Jun24'!J6,'Stock Dações+Arrematações'!$G$6:$G$72)</f>
        <v>2321762.8400000008</v>
      </c>
      <c r="L6" s="145"/>
      <c r="M6" s="156" t="s">
        <v>1036</v>
      </c>
      <c r="N6" s="153">
        <f>+SUMIF('Stock Dações+Arrematações'!$AD$6:$AD$72,'Controlo Jun24'!M6,'Stock Dações+Arrematações'!$K$6:$K$72)</f>
        <v>16968.959999999995</v>
      </c>
      <c r="O6" s="145"/>
      <c r="P6" s="156" t="s">
        <v>1037</v>
      </c>
      <c r="Q6" s="153">
        <f>+SUMIF('Stock Dações+Arrematações'!$AF$6:$AF$72,'Controlo Jun24'!P6,'Stock Dações+Arrematações'!$U$6:$U$72)+SUMIF('Stock Dações+Arrematações'!$AF$6:$AF$72,'Controlo Jun24'!P6,'Stock Dações+Arrematações'!$W$6:$W$72)+SUMIF('Stock Dações+Arrematações'!$AF$6:$AF$72,'Controlo Jun24'!P6,'Stock Dações+Arrematações'!$X$6:$X$72)</f>
        <v>661600.40823356679</v>
      </c>
      <c r="S6" s="1"/>
      <c r="T6" s="1"/>
      <c r="U6" s="1"/>
      <c r="V6" s="1"/>
      <c r="W6" s="1"/>
      <c r="X6" s="1"/>
      <c r="Y6" s="1"/>
      <c r="Z6" s="1"/>
    </row>
    <row r="7" spans="1:26" x14ac:dyDescent="0.25">
      <c r="A7" s="149" t="s">
        <v>803</v>
      </c>
      <c r="B7" s="152">
        <f>+SUMIF('Stock Adjudicados+Próprios'!$AC$2:$AC$610,'Controlo Jun24'!A7,'Stock Adjudicados+Próprios'!$K$2:$K$610)</f>
        <v>6586461.0751000009</v>
      </c>
      <c r="C7" s="1"/>
      <c r="D7" s="149" t="s">
        <v>806</v>
      </c>
      <c r="E7" s="152">
        <f>+SUMIF('Stock Adjudicados+Próprios'!$AE$2:$AE$610,'Controlo Jun24'!D7,'Stock Adjudicados+Próprios'!$P$2:$P$610)</f>
        <v>1543327.4500000002</v>
      </c>
      <c r="F7" s="1"/>
      <c r="G7" s="149" t="s">
        <v>809</v>
      </c>
      <c r="H7" s="152">
        <f>+SUMIF('Stock Adjudicados+Próprios'!$AG$2:$AG$610,'Controlo Jun24'!G7,'Stock Adjudicados+Próprios'!$Q$2:$Q$610)</f>
        <v>1824999.3613992354</v>
      </c>
      <c r="J7" s="1"/>
      <c r="K7" s="145"/>
      <c r="L7" s="1"/>
      <c r="M7" s="1"/>
      <c r="N7" s="145"/>
      <c r="O7" s="1"/>
      <c r="P7" s="1"/>
      <c r="Q7" s="145"/>
      <c r="S7" s="1"/>
      <c r="T7" s="1"/>
      <c r="U7" s="1"/>
      <c r="V7" s="1"/>
      <c r="W7" s="1"/>
      <c r="X7" s="1"/>
      <c r="Y7" s="1"/>
      <c r="Z7" s="1"/>
    </row>
    <row r="8" spans="1:26" x14ac:dyDescent="0.25">
      <c r="A8" s="150" t="s">
        <v>862</v>
      </c>
      <c r="B8" s="153">
        <f>+SUMIF('Stock Adjudicados+Próprios'!$AC$2:$AC$610,'Controlo Jun24'!A8,'Stock Adjudicados+Próprios'!$K$2:$K$610)</f>
        <v>10888764.719999999</v>
      </c>
      <c r="C8" s="1"/>
      <c r="D8" s="150" t="s">
        <v>863</v>
      </c>
      <c r="E8" s="153">
        <f>+SUMIF('Stock Adjudicados+Próprios'!$AE$2:$AE$610,'Controlo Jun24'!D8,'Stock Adjudicados+Próprios'!$P$2:$P$610)</f>
        <v>4719117.3500000006</v>
      </c>
      <c r="F8" s="1"/>
      <c r="G8" s="150" t="s">
        <v>864</v>
      </c>
      <c r="H8" s="153">
        <f>+SUMIF('Stock Adjudicados+Próprios'!$AG$2:$AG$610,'Controlo Jun24'!G8,'Stock Adjudicados+Próprios'!$Q$2:$Q$610)</f>
        <v>977551.52149306913</v>
      </c>
      <c r="J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  <c r="P9" s="1"/>
      <c r="Q9" s="1"/>
      <c r="S9" s="1"/>
      <c r="T9" s="1"/>
      <c r="U9" s="1"/>
      <c r="V9" s="1"/>
      <c r="W9" s="1"/>
      <c r="X9" s="1"/>
      <c r="Y9" s="1"/>
      <c r="Z9" s="1"/>
    </row>
    <row r="10" spans="1:26" ht="13" x14ac:dyDescent="0.3">
      <c r="A10" s="146" t="s">
        <v>866</v>
      </c>
      <c r="B10" s="1"/>
      <c r="C10" s="1"/>
      <c r="D10" s="1"/>
      <c r="E10" s="1"/>
      <c r="F10" s="1"/>
      <c r="G10" s="1"/>
      <c r="H10" s="1"/>
      <c r="J10" s="146" t="s">
        <v>866</v>
      </c>
      <c r="K10" s="1"/>
      <c r="L10" s="1"/>
      <c r="M10" s="1"/>
      <c r="N10" s="1"/>
      <c r="O10" s="1"/>
      <c r="P10" s="1"/>
      <c r="Q10" s="1"/>
      <c r="S10" s="146" t="s">
        <v>866</v>
      </c>
      <c r="T10" s="1"/>
      <c r="U10" s="1"/>
      <c r="V10" s="1"/>
      <c r="W10" s="1"/>
      <c r="X10" s="1"/>
      <c r="Y10" s="1"/>
      <c r="Z10" s="1"/>
    </row>
    <row r="11" spans="1:26" x14ac:dyDescent="0.25">
      <c r="A11" s="147" t="s">
        <v>860</v>
      </c>
      <c r="B11" s="151">
        <v>5782650.1500000004</v>
      </c>
      <c r="C11" s="1"/>
      <c r="D11" s="147" t="s">
        <v>861</v>
      </c>
      <c r="E11" s="151">
        <v>1106189.03</v>
      </c>
      <c r="F11" s="1"/>
      <c r="G11" s="147" t="s">
        <v>810</v>
      </c>
      <c r="H11" s="151">
        <v>2471148.31</v>
      </c>
      <c r="I11" s="6"/>
      <c r="J11" s="160" t="s">
        <v>1033</v>
      </c>
      <c r="K11" s="151">
        <v>-103299.95</v>
      </c>
      <c r="L11" s="145"/>
      <c r="M11" s="160" t="s">
        <v>1035</v>
      </c>
      <c r="N11" s="151">
        <v>103300.01</v>
      </c>
      <c r="O11" s="145"/>
      <c r="P11" s="160" t="s">
        <v>1030</v>
      </c>
      <c r="Q11" s="151">
        <v>0</v>
      </c>
      <c r="S11" s="163" t="s">
        <v>1073</v>
      </c>
      <c r="T11" s="164">
        <v>-695195.86</v>
      </c>
      <c r="U11" s="145"/>
      <c r="V11" s="163" t="s">
        <v>1074</v>
      </c>
      <c r="W11" s="164">
        <v>25780.400000000001</v>
      </c>
      <c r="X11" s="145"/>
      <c r="Y11" s="163" t="s">
        <v>1075</v>
      </c>
      <c r="Z11" s="164">
        <v>26404.33</v>
      </c>
    </row>
    <row r="12" spans="1:26" x14ac:dyDescent="0.25">
      <c r="A12" s="148" t="s">
        <v>803</v>
      </c>
      <c r="B12" s="152">
        <v>-6586461.0800000001</v>
      </c>
      <c r="C12" s="1"/>
      <c r="D12" s="148" t="s">
        <v>806</v>
      </c>
      <c r="E12" s="152">
        <v>1543327.45</v>
      </c>
      <c r="F12" s="1"/>
      <c r="G12" s="148" t="s">
        <v>809</v>
      </c>
      <c r="H12" s="152">
        <v>1824999.36</v>
      </c>
      <c r="I12" s="6"/>
      <c r="J12" s="156" t="s">
        <v>1034</v>
      </c>
      <c r="K12" s="153">
        <v>-2321762.84</v>
      </c>
      <c r="L12" s="145"/>
      <c r="M12" s="156" t="s">
        <v>1036</v>
      </c>
      <c r="N12" s="153">
        <v>16969.03</v>
      </c>
      <c r="O12" s="145"/>
      <c r="P12" s="156" t="s">
        <v>1037</v>
      </c>
      <c r="Q12" s="153">
        <v>661600.41</v>
      </c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49" t="s">
        <v>804</v>
      </c>
      <c r="B13" s="152">
        <v>-42516722.020000003</v>
      </c>
      <c r="C13" s="1"/>
      <c r="D13" s="149" t="s">
        <v>807</v>
      </c>
      <c r="E13" s="152">
        <v>18642142.649999999</v>
      </c>
      <c r="F13" s="1"/>
      <c r="G13" s="149"/>
      <c r="H13" s="152"/>
      <c r="J13" s="1"/>
      <c r="K13" s="1"/>
      <c r="L13" s="1"/>
      <c r="M13" s="1"/>
      <c r="N13" s="1"/>
      <c r="O13" s="1"/>
      <c r="P13" s="1"/>
      <c r="Q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50" t="s">
        <v>862</v>
      </c>
      <c r="B14" s="153">
        <v>-10888764.029999999</v>
      </c>
      <c r="C14" s="1"/>
      <c r="D14" s="150" t="s">
        <v>863</v>
      </c>
      <c r="E14" s="153">
        <v>4719117.3</v>
      </c>
      <c r="F14" s="1"/>
      <c r="G14" s="150" t="s">
        <v>864</v>
      </c>
      <c r="H14" s="153">
        <v>977551.52</v>
      </c>
      <c r="J14" s="1"/>
      <c r="K14" s="1"/>
      <c r="L14" s="1"/>
      <c r="M14" s="1"/>
      <c r="N14" s="1"/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  <c r="O15" s="1"/>
      <c r="P15" s="1"/>
      <c r="Q15" s="1"/>
      <c r="S15" s="1"/>
      <c r="T15" s="1"/>
      <c r="U15" s="1"/>
      <c r="V15" s="1"/>
      <c r="W15" s="1"/>
      <c r="X15" s="1"/>
      <c r="Y15" s="1"/>
      <c r="Z15" s="1"/>
    </row>
    <row r="16" spans="1:26" ht="13" x14ac:dyDescent="0.3">
      <c r="A16" s="146" t="s">
        <v>868</v>
      </c>
      <c r="B16" s="1"/>
      <c r="C16" s="1"/>
      <c r="D16" s="1"/>
      <c r="E16" s="1"/>
      <c r="F16" s="1"/>
      <c r="G16" s="1"/>
      <c r="H16" s="1"/>
      <c r="J16" s="146" t="s">
        <v>868</v>
      </c>
      <c r="K16" s="1"/>
      <c r="L16" s="1"/>
      <c r="M16" s="1"/>
      <c r="N16" s="1"/>
      <c r="O16" s="1"/>
      <c r="P16" s="1"/>
      <c r="Q16" s="1"/>
      <c r="S16" s="146" t="s">
        <v>868</v>
      </c>
      <c r="T16" s="1"/>
      <c r="U16" s="1"/>
      <c r="V16" s="1"/>
      <c r="W16" s="1"/>
      <c r="X16" s="1"/>
      <c r="Y16" s="1"/>
      <c r="Z16" s="1"/>
    </row>
    <row r="17" spans="1:26" x14ac:dyDescent="0.25">
      <c r="A17" s="154" t="s">
        <v>805</v>
      </c>
      <c r="B17" s="151">
        <f>+B11+B13+B5+B6</f>
        <v>1.000000536441803E-2</v>
      </c>
      <c r="C17" s="1"/>
      <c r="D17" s="154" t="s">
        <v>808</v>
      </c>
      <c r="E17" s="151">
        <f>+E11+E13-E5-E6</f>
        <v>-8.0000005662441254E-2</v>
      </c>
      <c r="F17" s="1"/>
      <c r="G17" s="154" t="s">
        <v>810</v>
      </c>
      <c r="H17" s="151">
        <f>+H11-H6</f>
        <v>-3.2713823020458221E-4</v>
      </c>
      <c r="J17" s="160" t="s">
        <v>1033</v>
      </c>
      <c r="K17" s="151">
        <f>+K11+K5</f>
        <v>5.0000000002910383E-2</v>
      </c>
      <c r="L17" s="145"/>
      <c r="M17" s="160" t="s">
        <v>1035</v>
      </c>
      <c r="N17" s="151">
        <f>+N11-N5</f>
        <v>9.9999999947613105E-3</v>
      </c>
      <c r="O17" s="145"/>
      <c r="P17" s="160" t="s">
        <v>1030</v>
      </c>
      <c r="Q17" s="151">
        <f>+Q11-Q5</f>
        <v>0</v>
      </c>
      <c r="S17" s="163" t="s">
        <v>1073</v>
      </c>
      <c r="T17" s="164">
        <f>+T11+T5</f>
        <v>0</v>
      </c>
      <c r="U17" s="145"/>
      <c r="V17" s="163" t="s">
        <v>1074</v>
      </c>
      <c r="W17" s="164">
        <f>+W11-W5</f>
        <v>-9.9999999947613105E-3</v>
      </c>
      <c r="X17" s="145"/>
      <c r="Y17" s="163" t="s">
        <v>1075</v>
      </c>
      <c r="Z17" s="164">
        <f>+Z11-Z5</f>
        <v>-1.3184999999793945E-2</v>
      </c>
    </row>
    <row r="18" spans="1:26" x14ac:dyDescent="0.25">
      <c r="A18" s="155" t="s">
        <v>803</v>
      </c>
      <c r="B18" s="152">
        <f>+B12+B7</f>
        <v>-4.899999126791954E-3</v>
      </c>
      <c r="C18" s="1"/>
      <c r="D18" s="155" t="s">
        <v>806</v>
      </c>
      <c r="E18" s="152">
        <f>+E12-E7</f>
        <v>0</v>
      </c>
      <c r="F18" s="1"/>
      <c r="G18" s="155" t="s">
        <v>809</v>
      </c>
      <c r="H18" s="152">
        <f>+H12-H7</f>
        <v>-1.3992353342473507E-3</v>
      </c>
      <c r="J18" s="156" t="s">
        <v>1034</v>
      </c>
      <c r="K18" s="153">
        <f>+K12+K6</f>
        <v>0</v>
      </c>
      <c r="L18" s="145"/>
      <c r="M18" s="156" t="s">
        <v>1036</v>
      </c>
      <c r="N18" s="153">
        <f>+N12-N6</f>
        <v>7.0000000003346941E-2</v>
      </c>
      <c r="O18" s="145"/>
      <c r="P18" s="156" t="s">
        <v>1037</v>
      </c>
      <c r="Q18" s="153">
        <f>+Q12-Q6</f>
        <v>1.7664332408457994E-3</v>
      </c>
    </row>
    <row r="19" spans="1:26" x14ac:dyDescent="0.25">
      <c r="A19" s="156" t="s">
        <v>862</v>
      </c>
      <c r="B19" s="153">
        <f>+B14+B8</f>
        <v>0.68999999947845936</v>
      </c>
      <c r="C19" s="1"/>
      <c r="D19" s="156" t="s">
        <v>863</v>
      </c>
      <c r="E19" s="153">
        <f>+E14-E8</f>
        <v>-5.000000074505806E-2</v>
      </c>
      <c r="F19" s="1"/>
      <c r="G19" s="156" t="s">
        <v>864</v>
      </c>
      <c r="H19" s="153">
        <f>+H14-H8</f>
        <v>-1.4930691104382277E-3</v>
      </c>
    </row>
    <row r="22" spans="1:26" ht="18" x14ac:dyDescent="0.4">
      <c r="A22" s="178" t="s">
        <v>869</v>
      </c>
      <c r="B22" s="180"/>
      <c r="C22" s="180"/>
      <c r="D22" s="180"/>
      <c r="E22" s="180"/>
      <c r="F22" s="9"/>
      <c r="G22" s="9"/>
      <c r="H22" s="9"/>
      <c r="J22" s="178" t="s">
        <v>869</v>
      </c>
      <c r="K22" s="180"/>
      <c r="L22" s="180"/>
      <c r="M22" s="180"/>
      <c r="N22" s="180"/>
      <c r="O22" s="9"/>
      <c r="P22" s="9"/>
      <c r="Q22" s="9"/>
      <c r="S22" s="178" t="s">
        <v>869</v>
      </c>
      <c r="T22" s="180"/>
      <c r="U22" s="180"/>
      <c r="V22" s="180"/>
      <c r="W22" s="180"/>
    </row>
    <row r="23" spans="1:26" ht="13" x14ac:dyDescent="0.3">
      <c r="A23" s="2" t="s">
        <v>865</v>
      </c>
      <c r="J23" s="2" t="s">
        <v>865</v>
      </c>
      <c r="S23" s="2" t="s">
        <v>865</v>
      </c>
    </row>
    <row r="24" spans="1:26" x14ac:dyDescent="0.25">
      <c r="A24" s="157">
        <v>19910000</v>
      </c>
      <c r="B24" s="151">
        <f>+SUMIF('Stock Adjudicados+Próprios'!$AD$2:$AD$610,'Controlo Jun24'!A24,'Stock Adjudicados+Próprios'!$K$2:$K$610)</f>
        <v>6586461.0751000009</v>
      </c>
      <c r="C24" s="1"/>
      <c r="D24" s="157">
        <v>19910001</v>
      </c>
      <c r="E24" s="151">
        <f>+SUMIF('Stock Adjudicados+Próprios'!$AF$2:$AF$610,'Controlo Jun24'!D24,'Stock Adjudicados+Próprios'!$P$2:$P$610)+SUMIF('Stock Adjudicados+Próprios'!$AH$2:$AH$610,'Controlo Jun24'!D24,'Stock Adjudicados+Próprios'!$Q$2:$Q$610)</f>
        <v>3368326.8113992354</v>
      </c>
      <c r="J24" s="161">
        <v>199100200</v>
      </c>
      <c r="K24" s="151">
        <f>+SUMIF('Stock Dações+Arrematações'!$AC$6:$AC$72,'Controlo Jun24'!J24,'Stock Dações+Arrematações'!$G$6:$G$72)</f>
        <v>103300</v>
      </c>
      <c r="L24" s="145"/>
      <c r="M24" s="161">
        <v>199100201</v>
      </c>
      <c r="N24" s="151">
        <f>+SUMIF('Stock Dações+Arrematações'!$AE$6:$AE$72,'Controlo Jun24'!M24,'Stock Dações+Arrematações'!$Z$6:$Z$72)</f>
        <v>103300</v>
      </c>
      <c r="O24" s="6"/>
      <c r="S24" s="163" t="s">
        <v>1132</v>
      </c>
      <c r="T24" s="164">
        <f>+SUMIF('Stock Imoveis IFIC'!$AC$5:$AC$15,'Controlo Jun24'!S24,'Stock Imoveis IFIC'!$I$5:$I$15)</f>
        <v>695195.8600000001</v>
      </c>
      <c r="U24" s="6"/>
      <c r="V24" s="163" t="s">
        <v>1133</v>
      </c>
      <c r="W24" s="164">
        <f>+SUMIF('Stock Imoveis IFIC'!$AE$5:$AE$15,'Controlo Jun24'!V24,'Stock Imoveis IFIC'!$T$5:$T$15)+SUMIF('Stock Imoveis IFIC'!$AE$5:$AE$15,'Controlo Jun24'!V24,'Stock Imoveis IFIC'!$S$5:$S$15)+SUMIF('Stock Imoveis IFIC'!$AE$5:$AE$15,'Controlo Jun24'!V24,'Stock Imoveis IFIC'!$X$5:$X$15)+SUMIF('Stock Imoveis IFIC'!$AE$5:$AE$15,'Controlo Jun24'!V24,'Stock Imoveis IFIC'!$Y$5:$Y$15)</f>
        <v>52184.753184999994</v>
      </c>
    </row>
    <row r="25" spans="1:26" x14ac:dyDescent="0.25">
      <c r="A25" s="158">
        <v>1910000</v>
      </c>
      <c r="B25" s="152">
        <f>+SUMIF('Stock Adjudicados+Próprios'!$AD$2:$AD$610,'Controlo Jun24'!A25,'Stock Adjudicados+Próprios'!$K$2:$K$610)</f>
        <v>36734071.88000001</v>
      </c>
      <c r="C25" s="1"/>
      <c r="D25" s="158">
        <v>1910008</v>
      </c>
      <c r="E25" s="152">
        <f>+SUMIF('Stock Adjudicados+Próprios'!$AF$2:$AF$610,'Controlo Jun24'!D25,'Stock Adjudicados+Próprios'!$P$2:$P$610)+SUMIF('Stock Adjudicados+Próprios'!$AH$2:$AH$610,'Controlo Jun24'!D25,'Stock Adjudicados+Próprios'!$Q$2:$Q$610)</f>
        <v>22219480.070327144</v>
      </c>
      <c r="J25" s="162">
        <v>199100210</v>
      </c>
      <c r="K25" s="153">
        <f>+SUMIF('Stock Dações+Arrematações'!$AC$6:$AC$72,'Controlo Jun24'!J25,'Stock Dações+Arrematações'!$G$6:$G$72)</f>
        <v>2321762.8400000008</v>
      </c>
      <c r="L25" s="145"/>
      <c r="M25" s="162">
        <v>199100211</v>
      </c>
      <c r="N25" s="153">
        <f>+SUMIF('Stock Dações+Arrematações'!$AE$6:$AE$72,'Controlo Jun24'!M25,'Stock Dações+Arrematações'!$Z$6:$Z$72)</f>
        <v>678569.36823356687</v>
      </c>
      <c r="O25" s="6"/>
    </row>
    <row r="26" spans="1:26" x14ac:dyDescent="0.25">
      <c r="A26" s="159">
        <v>19911000</v>
      </c>
      <c r="B26" s="153">
        <f>+SUMIF('Stock Adjudicados+Próprios'!$AD$2:$AD$610,'Controlo Jun24'!A26,'Stock Adjudicados+Próprios'!$K$2:$K$610)</f>
        <v>10888764.719999999</v>
      </c>
      <c r="C26" s="1"/>
      <c r="D26" s="159">
        <v>19911001</v>
      </c>
      <c r="E26" s="153">
        <f>+SUMIF('Stock Adjudicados+Próprios'!$AF$2:$AF$610,'Controlo Jun24'!D26,'Stock Adjudicados+Próprios'!$P$2:$P$610)+SUMIF('Stock Adjudicados+Próprios'!$AH$2:$AH$610,'Controlo Jun24'!D26,'Stock Adjudicados+Próprios'!$Q$2:$Q$610)</f>
        <v>5696668.8714930695</v>
      </c>
      <c r="J26" s="1"/>
      <c r="K26" s="145"/>
      <c r="L26" s="1"/>
      <c r="M26" s="1"/>
      <c r="N26" s="1"/>
    </row>
    <row r="27" spans="1:26" x14ac:dyDescent="0.25">
      <c r="A27" s="1"/>
      <c r="B27" s="1"/>
      <c r="C27" s="1"/>
      <c r="D27" s="1"/>
      <c r="E27" s="1"/>
      <c r="J27" s="1"/>
      <c r="K27" s="1"/>
      <c r="L27" s="1"/>
      <c r="M27" s="1"/>
      <c r="N27" s="1"/>
    </row>
    <row r="28" spans="1:26" ht="13" x14ac:dyDescent="0.3">
      <c r="A28" s="146" t="s">
        <v>866</v>
      </c>
      <c r="B28" s="1"/>
      <c r="C28" s="1"/>
      <c r="D28" s="1"/>
      <c r="E28" s="1"/>
      <c r="J28" s="146" t="s">
        <v>866</v>
      </c>
      <c r="K28" s="1"/>
      <c r="L28" s="1"/>
      <c r="M28" s="1"/>
      <c r="N28" s="1"/>
      <c r="S28" s="2" t="s">
        <v>866</v>
      </c>
    </row>
    <row r="29" spans="1:26" x14ac:dyDescent="0.25">
      <c r="A29" s="157" t="s">
        <v>870</v>
      </c>
      <c r="B29" s="151">
        <v>-6586461.0800000001</v>
      </c>
      <c r="C29" s="1"/>
      <c r="D29" s="157" t="s">
        <v>873</v>
      </c>
      <c r="E29" s="151">
        <v>3368326.81</v>
      </c>
      <c r="J29" s="161">
        <v>199100200</v>
      </c>
      <c r="K29" s="151">
        <v>-103299.95</v>
      </c>
      <c r="L29" s="145"/>
      <c r="M29" s="161">
        <v>199100201</v>
      </c>
      <c r="N29" s="151">
        <v>103300.01</v>
      </c>
      <c r="O29" s="6"/>
      <c r="S29" s="163" t="s">
        <v>1132</v>
      </c>
      <c r="T29" s="164">
        <v>-695195.86</v>
      </c>
      <c r="U29" s="6"/>
      <c r="V29" s="163" t="s">
        <v>1133</v>
      </c>
      <c r="W29" s="164">
        <v>52184.73</v>
      </c>
    </row>
    <row r="30" spans="1:26" x14ac:dyDescent="0.25">
      <c r="A30" s="158" t="s">
        <v>871</v>
      </c>
      <c r="B30" s="152">
        <v>-36734071.869999997</v>
      </c>
      <c r="C30" s="1"/>
      <c r="D30" s="158" t="s">
        <v>874</v>
      </c>
      <c r="E30" s="152">
        <v>22219479.989999998</v>
      </c>
      <c r="J30" s="162">
        <v>199100210</v>
      </c>
      <c r="K30" s="153">
        <v>-2321762.84</v>
      </c>
      <c r="L30" s="145"/>
      <c r="M30" s="162">
        <v>199100211</v>
      </c>
      <c r="N30" s="153">
        <v>678569.44</v>
      </c>
      <c r="O30" s="6"/>
    </row>
    <row r="31" spans="1:26" x14ac:dyDescent="0.25">
      <c r="A31" s="159" t="s">
        <v>872</v>
      </c>
      <c r="B31" s="153">
        <v>-10888764.029999999</v>
      </c>
      <c r="C31" s="1"/>
      <c r="D31" s="159" t="s">
        <v>875</v>
      </c>
      <c r="E31" s="153">
        <v>5696668.8200000003</v>
      </c>
      <c r="J31" s="1"/>
      <c r="K31" s="1"/>
      <c r="L31" s="1"/>
      <c r="M31" s="1"/>
      <c r="N31" s="1"/>
      <c r="T31" s="6"/>
      <c r="U31" s="6"/>
    </row>
    <row r="32" spans="1:26" x14ac:dyDescent="0.25">
      <c r="A32" s="1"/>
      <c r="B32" s="1"/>
      <c r="C32" s="1"/>
      <c r="D32" s="1"/>
      <c r="E32" s="1"/>
      <c r="J32" s="1"/>
      <c r="K32" s="1"/>
      <c r="L32" s="1"/>
      <c r="M32" s="1"/>
      <c r="N32" s="1"/>
    </row>
    <row r="33" spans="1:23" ht="13" x14ac:dyDescent="0.3">
      <c r="A33" s="146" t="s">
        <v>868</v>
      </c>
      <c r="B33" s="1"/>
      <c r="C33" s="1"/>
      <c r="D33" s="1"/>
      <c r="E33" s="1"/>
      <c r="J33" s="146" t="s">
        <v>868</v>
      </c>
      <c r="K33" s="1"/>
      <c r="L33" s="1"/>
      <c r="M33" s="1"/>
      <c r="N33" s="1"/>
      <c r="S33" s="2" t="s">
        <v>868</v>
      </c>
    </row>
    <row r="34" spans="1:23" x14ac:dyDescent="0.25">
      <c r="A34" s="157">
        <v>19910000</v>
      </c>
      <c r="B34" s="151">
        <f>+B24+B29</f>
        <v>-4.899999126791954E-3</v>
      </c>
      <c r="C34" s="1"/>
      <c r="D34" s="157">
        <v>19910001</v>
      </c>
      <c r="E34" s="151">
        <f>+E24-E29</f>
        <v>1.3992353342473507E-3</v>
      </c>
      <c r="J34" s="161">
        <v>199100200</v>
      </c>
      <c r="K34" s="151">
        <f>+K24+K29</f>
        <v>5.0000000002910383E-2</v>
      </c>
      <c r="L34" s="145"/>
      <c r="M34" s="161">
        <v>199100201</v>
      </c>
      <c r="N34" s="151">
        <f>+N29-N24</f>
        <v>9.9999999947613105E-3</v>
      </c>
      <c r="O34" s="6"/>
      <c r="S34" s="163" t="s">
        <v>1132</v>
      </c>
      <c r="T34" s="164">
        <f>+T29+T24</f>
        <v>0</v>
      </c>
      <c r="U34" s="6"/>
      <c r="V34" s="163" t="s">
        <v>1133</v>
      </c>
      <c r="W34" s="164">
        <f>+W29-W24</f>
        <v>-2.3184999990917277E-2</v>
      </c>
    </row>
    <row r="35" spans="1:23" x14ac:dyDescent="0.25">
      <c r="A35" s="158">
        <v>1910000</v>
      </c>
      <c r="B35" s="152">
        <f t="shared" ref="B35:B36" si="0">+B25+B30</f>
        <v>1.0000012814998627E-2</v>
      </c>
      <c r="C35" s="1"/>
      <c r="D35" s="158">
        <v>1910008</v>
      </c>
      <c r="E35" s="152">
        <f t="shared" ref="E35:E36" si="1">+E25-E30</f>
        <v>8.0327145755290985E-2</v>
      </c>
      <c r="J35" s="162">
        <v>199100210</v>
      </c>
      <c r="K35" s="153">
        <f>+K25+K30</f>
        <v>0</v>
      </c>
      <c r="L35" s="145"/>
      <c r="M35" s="162">
        <v>199100211</v>
      </c>
      <c r="N35" s="153">
        <f>+N30-N25</f>
        <v>7.1766433073207736E-2</v>
      </c>
      <c r="O35" s="6"/>
    </row>
    <row r="36" spans="1:23" x14ac:dyDescent="0.25">
      <c r="A36" s="159">
        <v>19911000</v>
      </c>
      <c r="B36" s="153">
        <f t="shared" si="0"/>
        <v>0.68999999947845936</v>
      </c>
      <c r="C36" s="1"/>
      <c r="D36" s="159">
        <v>19911001</v>
      </c>
      <c r="E36" s="153">
        <f t="shared" si="1"/>
        <v>5.1493069157004356E-2</v>
      </c>
    </row>
    <row r="38" spans="1:23" ht="13" x14ac:dyDescent="0.3">
      <c r="A38" s="168" t="s">
        <v>1143</v>
      </c>
      <c r="B38" s="168"/>
    </row>
    <row r="39" spans="1:23" ht="13" x14ac:dyDescent="0.3">
      <c r="A39" s="169" t="s">
        <v>869</v>
      </c>
      <c r="B39" s="169" t="s">
        <v>1144</v>
      </c>
    </row>
    <row r="40" spans="1:23" x14ac:dyDescent="0.25">
      <c r="A40" s="157">
        <v>19910000</v>
      </c>
      <c r="B40" s="157">
        <v>1605010</v>
      </c>
    </row>
    <row r="41" spans="1:23" x14ac:dyDescent="0.25">
      <c r="A41" s="158">
        <v>1910000</v>
      </c>
      <c r="B41" s="158">
        <v>1605010</v>
      </c>
    </row>
    <row r="42" spans="1:23" x14ac:dyDescent="0.25">
      <c r="A42" s="158">
        <v>19911000</v>
      </c>
      <c r="B42" s="158">
        <v>160510</v>
      </c>
    </row>
    <row r="43" spans="1:23" x14ac:dyDescent="0.25">
      <c r="A43" s="158">
        <v>19910001</v>
      </c>
      <c r="B43" s="172" t="s">
        <v>1145</v>
      </c>
    </row>
    <row r="44" spans="1:23" x14ac:dyDescent="0.25">
      <c r="A44" s="158">
        <v>1910008</v>
      </c>
      <c r="B44" s="172" t="s">
        <v>1145</v>
      </c>
    </row>
    <row r="45" spans="1:23" x14ac:dyDescent="0.25">
      <c r="A45" s="158">
        <v>19911001</v>
      </c>
      <c r="B45" s="172" t="s">
        <v>1146</v>
      </c>
    </row>
    <row r="46" spans="1:23" x14ac:dyDescent="0.25">
      <c r="A46" s="158">
        <v>199100200</v>
      </c>
      <c r="B46" s="158">
        <v>1605010</v>
      </c>
    </row>
    <row r="47" spans="1:23" x14ac:dyDescent="0.25">
      <c r="A47" s="158">
        <v>199100210</v>
      </c>
      <c r="B47" s="158">
        <v>1605010</v>
      </c>
    </row>
    <row r="48" spans="1:23" x14ac:dyDescent="0.25">
      <c r="A48" s="158">
        <v>199100201</v>
      </c>
      <c r="B48" s="172" t="s">
        <v>1145</v>
      </c>
    </row>
    <row r="49" spans="1:2" x14ac:dyDescent="0.25">
      <c r="A49" s="158">
        <v>199100211</v>
      </c>
      <c r="B49" s="172" t="s">
        <v>1145</v>
      </c>
    </row>
    <row r="50" spans="1:2" x14ac:dyDescent="0.25">
      <c r="A50" s="170" t="s">
        <v>1132</v>
      </c>
      <c r="B50" s="172" t="s">
        <v>1147</v>
      </c>
    </row>
    <row r="51" spans="1:2" x14ac:dyDescent="0.25">
      <c r="A51" s="171" t="s">
        <v>1133</v>
      </c>
      <c r="B51" s="173" t="s">
        <v>1145</v>
      </c>
    </row>
  </sheetData>
  <mergeCells count="9">
    <mergeCell ref="S1:Z1"/>
    <mergeCell ref="S3:Z3"/>
    <mergeCell ref="J22:N22"/>
    <mergeCell ref="S22:W22"/>
    <mergeCell ref="A3:H3"/>
    <mergeCell ref="A1:H1"/>
    <mergeCell ref="J1:Q1"/>
    <mergeCell ref="J3:Q3"/>
    <mergeCell ref="A22:E2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7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9.08984375" defaultRowHeight="12.5" x14ac:dyDescent="0.25"/>
  <cols>
    <col min="1" max="1" width="10.36328125" bestFit="1" customWidth="1"/>
    <col min="2" max="2" width="10.54296875" customWidth="1"/>
    <col min="3" max="3" width="40.36328125" customWidth="1"/>
    <col min="4" max="4" width="80" customWidth="1"/>
    <col min="5" max="5" width="68.54296875" customWidth="1"/>
    <col min="6" max="6" width="10.81640625" customWidth="1"/>
    <col min="7" max="7" width="15.90625" customWidth="1"/>
    <col min="8" max="8" width="12.7265625" customWidth="1"/>
    <col min="9" max="9" width="43.81640625" customWidth="1"/>
    <col min="10" max="10" width="11.36328125" customWidth="1"/>
    <col min="11" max="11" width="14.453125" customWidth="1"/>
    <col min="12" max="12" width="15.54296875" customWidth="1"/>
    <col min="13" max="13" width="10.1796875" customWidth="1"/>
    <col min="14" max="14" width="8.81640625" customWidth="1"/>
    <col min="15" max="15" width="8.81640625" bestFit="1" customWidth="1"/>
    <col min="16" max="16" width="12.6328125" bestFit="1" customWidth="1"/>
    <col min="17" max="17" width="12.6328125" customWidth="1"/>
    <col min="18" max="18" width="18.26953125" bestFit="1" customWidth="1"/>
    <col min="19" max="19" width="12.90625" bestFit="1" customWidth="1"/>
    <col min="20" max="20" width="8.81640625" bestFit="1" customWidth="1"/>
    <col min="21" max="21" width="78.08984375" bestFit="1" customWidth="1"/>
    <col min="22" max="22" width="11.26953125" bestFit="1" customWidth="1"/>
    <col min="23" max="23" width="9.90625" bestFit="1" customWidth="1"/>
    <col min="24" max="24" width="25" bestFit="1" customWidth="1"/>
    <col min="25" max="25" width="19.08984375" bestFit="1" customWidth="1"/>
    <col min="26" max="26" width="13.1796875" bestFit="1" customWidth="1"/>
  </cols>
  <sheetData>
    <row r="1" spans="1:34" ht="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65" t="s">
        <v>802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C1" s="3" t="s">
        <v>811</v>
      </c>
      <c r="AD1" s="7" t="s">
        <v>812</v>
      </c>
      <c r="AE1" s="3" t="s">
        <v>813</v>
      </c>
      <c r="AF1" s="7" t="s">
        <v>814</v>
      </c>
      <c r="AG1" s="3" t="s">
        <v>815</v>
      </c>
      <c r="AH1" s="7" t="s">
        <v>816</v>
      </c>
    </row>
    <row r="2" spans="1:34" x14ac:dyDescent="0.25">
      <c r="A2" s="176" t="s">
        <v>1187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1023.57</v>
      </c>
      <c r="L2" s="166">
        <v>1023.57</v>
      </c>
      <c r="M2">
        <v>0</v>
      </c>
      <c r="N2">
        <v>0</v>
      </c>
      <c r="O2">
        <v>0</v>
      </c>
      <c r="P2">
        <v>1023.57</v>
      </c>
      <c r="Q2" s="166">
        <v>0</v>
      </c>
      <c r="R2" t="s">
        <v>30</v>
      </c>
      <c r="S2">
        <v>75</v>
      </c>
      <c r="T2">
        <v>700</v>
      </c>
      <c r="U2" t="s">
        <v>122</v>
      </c>
      <c r="V2" t="s">
        <v>1765</v>
      </c>
      <c r="W2">
        <v>100</v>
      </c>
      <c r="X2" t="s">
        <v>30</v>
      </c>
      <c r="Y2" t="s">
        <v>30</v>
      </c>
      <c r="Z2">
        <v>900</v>
      </c>
      <c r="AC2" s="4" t="s">
        <v>803</v>
      </c>
      <c r="AD2" s="8">
        <v>19910000</v>
      </c>
      <c r="AE2" s="4" t="s">
        <v>806</v>
      </c>
      <c r="AF2" s="8">
        <v>19910001</v>
      </c>
      <c r="AG2" s="4" t="s">
        <v>809</v>
      </c>
      <c r="AH2" s="8">
        <v>19910001</v>
      </c>
    </row>
    <row r="3" spans="1:34" x14ac:dyDescent="0.25">
      <c r="A3" s="176" t="s">
        <v>1188</v>
      </c>
      <c r="B3" t="s">
        <v>25</v>
      </c>
      <c r="C3" t="s">
        <v>26</v>
      </c>
      <c r="D3" t="s">
        <v>35</v>
      </c>
      <c r="E3" t="s">
        <v>36</v>
      </c>
      <c r="F3" t="s">
        <v>30</v>
      </c>
      <c r="G3" t="s">
        <v>30</v>
      </c>
      <c r="H3" t="s">
        <v>37</v>
      </c>
      <c r="I3" t="s">
        <v>38</v>
      </c>
      <c r="J3" t="s">
        <v>39</v>
      </c>
      <c r="K3">
        <v>18801.150000000001</v>
      </c>
      <c r="L3" s="166">
        <v>18801.150000000001</v>
      </c>
      <c r="M3">
        <v>0</v>
      </c>
      <c r="N3">
        <v>12878.53</v>
      </c>
      <c r="O3">
        <v>18455.52</v>
      </c>
      <c r="P3">
        <v>18801.150000000001</v>
      </c>
      <c r="Q3" s="166">
        <v>0</v>
      </c>
      <c r="R3" t="s">
        <v>40</v>
      </c>
      <c r="S3">
        <v>100</v>
      </c>
      <c r="T3">
        <v>55603</v>
      </c>
      <c r="U3" t="s">
        <v>41</v>
      </c>
      <c r="V3" t="s">
        <v>42</v>
      </c>
      <c r="W3">
        <v>100</v>
      </c>
      <c r="X3" t="s">
        <v>43</v>
      </c>
      <c r="Y3" t="s">
        <v>44</v>
      </c>
      <c r="Z3">
        <v>72000</v>
      </c>
      <c r="AC3" s="4" t="s">
        <v>805</v>
      </c>
      <c r="AD3" s="8">
        <v>1910000</v>
      </c>
      <c r="AE3" s="4" t="s">
        <v>808</v>
      </c>
      <c r="AF3" s="8">
        <v>1910008</v>
      </c>
      <c r="AG3" s="4" t="s">
        <v>810</v>
      </c>
      <c r="AH3" s="8">
        <v>1910008</v>
      </c>
    </row>
    <row r="4" spans="1:34" x14ac:dyDescent="0.25">
      <c r="A4" s="176" t="s">
        <v>1189</v>
      </c>
      <c r="B4" t="s">
        <v>25</v>
      </c>
      <c r="C4" t="s">
        <v>26</v>
      </c>
      <c r="D4" t="s">
        <v>45</v>
      </c>
      <c r="E4" t="s">
        <v>46</v>
      </c>
      <c r="F4" t="s">
        <v>47</v>
      </c>
      <c r="G4" t="s">
        <v>30</v>
      </c>
      <c r="H4" t="s">
        <v>31</v>
      </c>
      <c r="I4" t="s">
        <v>48</v>
      </c>
      <c r="J4" t="s">
        <v>49</v>
      </c>
      <c r="K4">
        <v>54867.77</v>
      </c>
      <c r="L4" s="166">
        <v>54867.77</v>
      </c>
      <c r="M4">
        <v>0</v>
      </c>
      <c r="N4">
        <v>0</v>
      </c>
      <c r="O4">
        <v>0</v>
      </c>
      <c r="P4">
        <v>54867.77</v>
      </c>
      <c r="Q4" s="166">
        <v>0</v>
      </c>
      <c r="R4" t="s">
        <v>30</v>
      </c>
      <c r="S4">
        <v>100</v>
      </c>
      <c r="T4">
        <v>0</v>
      </c>
      <c r="U4" t="s">
        <v>30</v>
      </c>
      <c r="V4" t="s">
        <v>30</v>
      </c>
      <c r="W4">
        <v>100</v>
      </c>
      <c r="X4" t="s">
        <v>30</v>
      </c>
      <c r="Y4" t="s">
        <v>30</v>
      </c>
      <c r="Z4">
        <v>0</v>
      </c>
      <c r="AC4" s="4" t="s">
        <v>803</v>
      </c>
      <c r="AD4" s="8">
        <v>19910000</v>
      </c>
      <c r="AE4" s="4" t="s">
        <v>806</v>
      </c>
      <c r="AF4" s="8">
        <v>19910001</v>
      </c>
      <c r="AG4" s="4" t="s">
        <v>809</v>
      </c>
      <c r="AH4" s="8">
        <v>19910001</v>
      </c>
    </row>
    <row r="5" spans="1:34" x14ac:dyDescent="0.25">
      <c r="A5" s="176" t="s">
        <v>1190</v>
      </c>
      <c r="B5" t="s">
        <v>25</v>
      </c>
      <c r="C5" t="s">
        <v>26</v>
      </c>
      <c r="D5" t="s">
        <v>50</v>
      </c>
      <c r="E5" t="s">
        <v>51</v>
      </c>
      <c r="F5" t="s">
        <v>52</v>
      </c>
      <c r="G5" t="s">
        <v>30</v>
      </c>
      <c r="H5" t="s">
        <v>31</v>
      </c>
      <c r="I5" t="s">
        <v>53</v>
      </c>
      <c r="J5" t="s">
        <v>54</v>
      </c>
      <c r="K5">
        <v>72558.425099999993</v>
      </c>
      <c r="L5" s="166">
        <v>72557.880071042091</v>
      </c>
      <c r="M5">
        <v>0.54510000000000003</v>
      </c>
      <c r="N5">
        <v>0</v>
      </c>
      <c r="O5">
        <v>0</v>
      </c>
      <c r="P5">
        <v>0</v>
      </c>
      <c r="Q5" s="166">
        <v>72557.880071042091</v>
      </c>
      <c r="R5" t="s">
        <v>30</v>
      </c>
      <c r="S5">
        <v>100</v>
      </c>
      <c r="T5">
        <v>77730</v>
      </c>
      <c r="U5" t="s">
        <v>107</v>
      </c>
      <c r="V5" t="s">
        <v>1804</v>
      </c>
      <c r="W5">
        <v>0</v>
      </c>
      <c r="X5" t="s">
        <v>30</v>
      </c>
      <c r="Y5" t="s">
        <v>30</v>
      </c>
      <c r="Z5">
        <v>94800</v>
      </c>
      <c r="AC5" s="4" t="s">
        <v>803</v>
      </c>
      <c r="AD5" s="8">
        <v>19910000</v>
      </c>
      <c r="AE5" s="4" t="s">
        <v>806</v>
      </c>
      <c r="AF5" s="8">
        <v>19910001</v>
      </c>
      <c r="AG5" s="4" t="s">
        <v>809</v>
      </c>
      <c r="AH5" s="8">
        <v>19910001</v>
      </c>
    </row>
    <row r="6" spans="1:34" x14ac:dyDescent="0.25">
      <c r="A6" s="176" t="s">
        <v>1191</v>
      </c>
      <c r="B6" t="s">
        <v>25</v>
      </c>
      <c r="C6" t="s">
        <v>26</v>
      </c>
      <c r="D6" t="s">
        <v>56</v>
      </c>
      <c r="E6" t="s">
        <v>57</v>
      </c>
      <c r="F6" t="s">
        <v>58</v>
      </c>
      <c r="G6" t="s">
        <v>30</v>
      </c>
      <c r="H6" t="s">
        <v>59</v>
      </c>
      <c r="I6" t="s">
        <v>60</v>
      </c>
      <c r="J6" t="s">
        <v>61</v>
      </c>
      <c r="K6">
        <v>19453.12</v>
      </c>
      <c r="L6" s="166">
        <v>19453.12</v>
      </c>
      <c r="M6">
        <v>0</v>
      </c>
      <c r="N6">
        <v>0</v>
      </c>
      <c r="O6">
        <v>0</v>
      </c>
      <c r="P6">
        <v>19453.12</v>
      </c>
      <c r="Q6" s="166">
        <v>0</v>
      </c>
      <c r="R6" t="s">
        <v>30</v>
      </c>
      <c r="S6">
        <v>100</v>
      </c>
      <c r="T6">
        <v>44200</v>
      </c>
      <c r="U6" t="s">
        <v>62</v>
      </c>
      <c r="V6" t="s">
        <v>1805</v>
      </c>
      <c r="W6">
        <v>100</v>
      </c>
      <c r="X6" t="s">
        <v>30</v>
      </c>
      <c r="Y6" t="s">
        <v>30</v>
      </c>
      <c r="Z6">
        <v>52000</v>
      </c>
      <c r="AC6" s="4" t="s">
        <v>805</v>
      </c>
      <c r="AD6" s="8">
        <v>1910000</v>
      </c>
      <c r="AE6" s="4" t="s">
        <v>808</v>
      </c>
      <c r="AF6" s="8">
        <v>1910008</v>
      </c>
      <c r="AG6" s="4" t="s">
        <v>810</v>
      </c>
      <c r="AH6" s="8">
        <v>1910008</v>
      </c>
    </row>
    <row r="7" spans="1:34" x14ac:dyDescent="0.25">
      <c r="A7" s="176" t="s">
        <v>1192</v>
      </c>
      <c r="B7" t="s">
        <v>25</v>
      </c>
      <c r="C7" t="s">
        <v>26</v>
      </c>
      <c r="D7" t="s">
        <v>63</v>
      </c>
      <c r="E7" t="s">
        <v>64</v>
      </c>
      <c r="F7" t="s">
        <v>65</v>
      </c>
      <c r="G7" t="s">
        <v>30</v>
      </c>
      <c r="H7" t="s">
        <v>59</v>
      </c>
      <c r="I7" t="s">
        <v>66</v>
      </c>
      <c r="J7" t="s">
        <v>67</v>
      </c>
      <c r="K7">
        <v>30000</v>
      </c>
      <c r="L7" s="166">
        <v>29562.215519999998</v>
      </c>
      <c r="M7">
        <v>437.78</v>
      </c>
      <c r="N7">
        <v>0</v>
      </c>
      <c r="O7">
        <v>0</v>
      </c>
      <c r="P7">
        <v>0</v>
      </c>
      <c r="Q7" s="166">
        <v>29562.215519999998</v>
      </c>
      <c r="R7" t="s">
        <v>30</v>
      </c>
      <c r="S7">
        <v>100</v>
      </c>
      <c r="T7">
        <v>82800</v>
      </c>
      <c r="U7" t="s">
        <v>103</v>
      </c>
      <c r="V7" t="s">
        <v>1806</v>
      </c>
      <c r="W7">
        <v>0</v>
      </c>
      <c r="X7" t="s">
        <v>43</v>
      </c>
      <c r="Y7" t="s">
        <v>44</v>
      </c>
      <c r="Z7">
        <v>108500</v>
      </c>
      <c r="AC7" s="4" t="s">
        <v>805</v>
      </c>
      <c r="AD7" s="8">
        <v>1910000</v>
      </c>
      <c r="AE7" s="4" t="s">
        <v>808</v>
      </c>
      <c r="AF7" s="8">
        <v>1910008</v>
      </c>
      <c r="AG7" s="4" t="s">
        <v>810</v>
      </c>
      <c r="AH7" s="8">
        <v>1910008</v>
      </c>
    </row>
    <row r="8" spans="1:34" x14ac:dyDescent="0.25">
      <c r="A8" s="176" t="s">
        <v>1193</v>
      </c>
      <c r="B8" t="s">
        <v>25</v>
      </c>
      <c r="C8" t="s">
        <v>26</v>
      </c>
      <c r="D8" t="s">
        <v>68</v>
      </c>
      <c r="E8" t="s">
        <v>69</v>
      </c>
      <c r="F8" t="s">
        <v>70</v>
      </c>
      <c r="G8" t="s">
        <v>30</v>
      </c>
      <c r="H8" t="s">
        <v>31</v>
      </c>
      <c r="I8" t="s">
        <v>71</v>
      </c>
      <c r="J8" t="s">
        <v>72</v>
      </c>
      <c r="K8">
        <v>10970.09</v>
      </c>
      <c r="L8" s="166">
        <v>10970.09</v>
      </c>
      <c r="M8">
        <v>0</v>
      </c>
      <c r="N8">
        <v>0</v>
      </c>
      <c r="O8">
        <v>0</v>
      </c>
      <c r="P8">
        <v>10970.09</v>
      </c>
      <c r="Q8" s="166">
        <v>0</v>
      </c>
      <c r="R8" t="s">
        <v>30</v>
      </c>
      <c r="S8">
        <v>100</v>
      </c>
      <c r="T8">
        <v>6175</v>
      </c>
      <c r="U8" t="s">
        <v>41</v>
      </c>
      <c r="V8" t="s">
        <v>73</v>
      </c>
      <c r="W8">
        <v>100</v>
      </c>
      <c r="X8" t="s">
        <v>30</v>
      </c>
      <c r="Y8" t="s">
        <v>30</v>
      </c>
      <c r="Z8">
        <v>8250</v>
      </c>
      <c r="AC8" s="4" t="s">
        <v>803</v>
      </c>
      <c r="AD8" s="8">
        <v>19910000</v>
      </c>
      <c r="AE8" s="4" t="s">
        <v>806</v>
      </c>
      <c r="AF8" s="8">
        <v>19910001</v>
      </c>
      <c r="AG8" s="4" t="s">
        <v>809</v>
      </c>
      <c r="AH8" s="8">
        <v>19910001</v>
      </c>
    </row>
    <row r="9" spans="1:34" x14ac:dyDescent="0.25">
      <c r="A9" s="176" t="s">
        <v>1194</v>
      </c>
      <c r="B9" t="s">
        <v>25</v>
      </c>
      <c r="C9" t="s">
        <v>26</v>
      </c>
      <c r="D9" t="s">
        <v>74</v>
      </c>
      <c r="E9" t="s">
        <v>75</v>
      </c>
      <c r="F9" t="s">
        <v>76</v>
      </c>
      <c r="G9" t="s">
        <v>30</v>
      </c>
      <c r="H9" t="s">
        <v>59</v>
      </c>
      <c r="I9" t="s">
        <v>71</v>
      </c>
      <c r="J9" t="s">
        <v>77</v>
      </c>
      <c r="K9">
        <v>320234.38</v>
      </c>
      <c r="L9" s="166">
        <v>223863.32506600002</v>
      </c>
      <c r="M9">
        <v>96371.05</v>
      </c>
      <c r="N9">
        <v>0</v>
      </c>
      <c r="O9">
        <v>0</v>
      </c>
      <c r="P9">
        <v>0</v>
      </c>
      <c r="Q9" s="166">
        <v>223863.32506600002</v>
      </c>
      <c r="R9" t="s">
        <v>30</v>
      </c>
      <c r="S9">
        <v>100</v>
      </c>
      <c r="T9">
        <v>364200</v>
      </c>
      <c r="U9" t="s">
        <v>113</v>
      </c>
      <c r="V9" t="s">
        <v>1807</v>
      </c>
      <c r="W9">
        <v>0</v>
      </c>
      <c r="X9" t="s">
        <v>30</v>
      </c>
      <c r="Y9" t="s">
        <v>30</v>
      </c>
      <c r="Z9">
        <v>425000</v>
      </c>
      <c r="AC9" s="4" t="s">
        <v>805</v>
      </c>
      <c r="AD9" s="8">
        <v>1910000</v>
      </c>
      <c r="AE9" s="4" t="s">
        <v>808</v>
      </c>
      <c r="AF9" s="8">
        <v>1910008</v>
      </c>
      <c r="AG9" s="4" t="s">
        <v>810</v>
      </c>
      <c r="AH9" s="8">
        <v>1910008</v>
      </c>
    </row>
    <row r="10" spans="1:34" x14ac:dyDescent="0.25">
      <c r="A10" s="176" t="s">
        <v>1195</v>
      </c>
      <c r="B10" t="s">
        <v>25</v>
      </c>
      <c r="C10" t="s">
        <v>26</v>
      </c>
      <c r="D10" t="s">
        <v>80</v>
      </c>
      <c r="E10" t="s">
        <v>81</v>
      </c>
      <c r="F10" t="s">
        <v>82</v>
      </c>
      <c r="G10" t="s">
        <v>30</v>
      </c>
      <c r="H10" t="s">
        <v>37</v>
      </c>
      <c r="I10" t="s">
        <v>53</v>
      </c>
      <c r="J10" t="s">
        <v>83</v>
      </c>
      <c r="K10">
        <v>34172.58</v>
      </c>
      <c r="L10" s="166">
        <v>659.53079400000013</v>
      </c>
      <c r="M10">
        <v>33513.050000000003</v>
      </c>
      <c r="N10">
        <v>14950</v>
      </c>
      <c r="O10">
        <v>149500</v>
      </c>
      <c r="P10">
        <v>0</v>
      </c>
      <c r="Q10" s="166">
        <v>659.53079400000013</v>
      </c>
      <c r="R10" t="s">
        <v>84</v>
      </c>
      <c r="S10">
        <v>100</v>
      </c>
      <c r="T10">
        <v>146790</v>
      </c>
      <c r="U10" t="s">
        <v>34</v>
      </c>
      <c r="V10" t="s">
        <v>85</v>
      </c>
      <c r="W10">
        <v>0</v>
      </c>
      <c r="X10" t="s">
        <v>30</v>
      </c>
      <c r="Y10" t="s">
        <v>30</v>
      </c>
      <c r="Z10">
        <v>182750</v>
      </c>
      <c r="AC10" s="4" t="s">
        <v>805</v>
      </c>
      <c r="AD10" s="8">
        <v>1910000</v>
      </c>
      <c r="AE10" s="4" t="s">
        <v>808</v>
      </c>
      <c r="AF10" s="8">
        <v>1910008</v>
      </c>
      <c r="AG10" s="4" t="s">
        <v>810</v>
      </c>
      <c r="AH10" s="8">
        <v>1910008</v>
      </c>
    </row>
    <row r="11" spans="1:34" x14ac:dyDescent="0.25">
      <c r="A11" s="176" t="s">
        <v>1196</v>
      </c>
      <c r="B11" t="s">
        <v>87</v>
      </c>
      <c r="C11" t="s">
        <v>26</v>
      </c>
      <c r="D11" t="s">
        <v>88</v>
      </c>
      <c r="E11" t="s">
        <v>89</v>
      </c>
      <c r="F11" t="s">
        <v>90</v>
      </c>
      <c r="G11" t="s">
        <v>30</v>
      </c>
      <c r="H11" t="s">
        <v>31</v>
      </c>
      <c r="I11" t="s">
        <v>91</v>
      </c>
      <c r="J11" t="s">
        <v>92</v>
      </c>
      <c r="K11">
        <v>124344.2</v>
      </c>
      <c r="L11" s="166">
        <v>86367.304488199996</v>
      </c>
      <c r="M11">
        <v>37976.9</v>
      </c>
      <c r="N11">
        <v>0</v>
      </c>
      <c r="O11">
        <v>0</v>
      </c>
      <c r="P11">
        <v>7894.1999999999971</v>
      </c>
      <c r="Q11" s="166">
        <v>78473.104488199999</v>
      </c>
      <c r="R11" t="s">
        <v>30</v>
      </c>
      <c r="S11">
        <v>100</v>
      </c>
      <c r="T11">
        <v>116450</v>
      </c>
      <c r="U11" t="s">
        <v>62</v>
      </c>
      <c r="V11" t="s">
        <v>1805</v>
      </c>
      <c r="W11">
        <v>0</v>
      </c>
      <c r="X11" t="s">
        <v>43</v>
      </c>
      <c r="Y11" t="s">
        <v>44</v>
      </c>
      <c r="Z11">
        <v>137000</v>
      </c>
      <c r="AC11" s="4" t="s">
        <v>803</v>
      </c>
      <c r="AD11" s="8">
        <v>19910000</v>
      </c>
      <c r="AE11" s="4" t="s">
        <v>806</v>
      </c>
      <c r="AF11" s="8">
        <v>19910001</v>
      </c>
      <c r="AG11" s="4" t="s">
        <v>809</v>
      </c>
      <c r="AH11" s="8">
        <v>19910001</v>
      </c>
    </row>
    <row r="12" spans="1:34" x14ac:dyDescent="0.25">
      <c r="A12" s="176" t="s">
        <v>1197</v>
      </c>
      <c r="B12" t="s">
        <v>87</v>
      </c>
      <c r="C12" t="s">
        <v>26</v>
      </c>
      <c r="D12" t="s">
        <v>93</v>
      </c>
      <c r="E12" t="s">
        <v>89</v>
      </c>
      <c r="F12" t="s">
        <v>90</v>
      </c>
      <c r="G12" t="s">
        <v>30</v>
      </c>
      <c r="H12" t="s">
        <v>31</v>
      </c>
      <c r="I12" t="s">
        <v>91</v>
      </c>
      <c r="J12" t="s">
        <v>92</v>
      </c>
      <c r="K12">
        <v>156026.29999999999</v>
      </c>
      <c r="L12" s="166">
        <v>117687.45361639999</v>
      </c>
      <c r="M12">
        <v>38338.85</v>
      </c>
      <c r="N12">
        <v>0</v>
      </c>
      <c r="O12">
        <v>0</v>
      </c>
      <c r="P12">
        <v>10931.299999999988</v>
      </c>
      <c r="Q12" s="166">
        <v>106756.1536164</v>
      </c>
      <c r="R12" t="s">
        <v>30</v>
      </c>
      <c r="S12">
        <v>100</v>
      </c>
      <c r="T12">
        <v>145095</v>
      </c>
      <c r="U12" t="s">
        <v>34</v>
      </c>
      <c r="V12" t="s">
        <v>1574</v>
      </c>
      <c r="W12">
        <v>0</v>
      </c>
      <c r="X12" t="s">
        <v>43</v>
      </c>
      <c r="Y12" t="s">
        <v>44</v>
      </c>
      <c r="Z12">
        <v>183000</v>
      </c>
      <c r="AC12" s="4" t="s">
        <v>803</v>
      </c>
      <c r="AD12" s="8">
        <v>19910000</v>
      </c>
      <c r="AE12" s="4" t="s">
        <v>806</v>
      </c>
      <c r="AF12" s="8">
        <v>19910001</v>
      </c>
      <c r="AG12" s="4" t="s">
        <v>809</v>
      </c>
      <c r="AH12" s="8">
        <v>19910001</v>
      </c>
    </row>
    <row r="13" spans="1:34" x14ac:dyDescent="0.25">
      <c r="A13" s="176" t="s">
        <v>1198</v>
      </c>
      <c r="B13" t="s">
        <v>87</v>
      </c>
      <c r="C13" t="s">
        <v>26</v>
      </c>
      <c r="D13" t="s">
        <v>94</v>
      </c>
      <c r="E13" t="s">
        <v>89</v>
      </c>
      <c r="F13" t="s">
        <v>90</v>
      </c>
      <c r="G13" t="s">
        <v>30</v>
      </c>
      <c r="H13" t="s">
        <v>31</v>
      </c>
      <c r="I13" t="s">
        <v>91</v>
      </c>
      <c r="J13" t="s">
        <v>92</v>
      </c>
      <c r="K13">
        <v>115786.62</v>
      </c>
      <c r="L13" s="166">
        <v>92986.739555399996</v>
      </c>
      <c r="M13">
        <v>22799.88</v>
      </c>
      <c r="N13">
        <v>0</v>
      </c>
      <c r="O13">
        <v>0</v>
      </c>
      <c r="P13">
        <v>18036.619999999995</v>
      </c>
      <c r="Q13" s="166">
        <v>74950.119555400001</v>
      </c>
      <c r="R13" t="s">
        <v>30</v>
      </c>
      <c r="S13">
        <v>100</v>
      </c>
      <c r="T13">
        <v>97750</v>
      </c>
      <c r="U13" t="s">
        <v>62</v>
      </c>
      <c r="V13" t="s">
        <v>1805</v>
      </c>
      <c r="W13">
        <v>0</v>
      </c>
      <c r="X13" t="s">
        <v>43</v>
      </c>
      <c r="Y13" t="s">
        <v>44</v>
      </c>
      <c r="Z13">
        <v>115000</v>
      </c>
      <c r="AC13" s="4" t="s">
        <v>803</v>
      </c>
      <c r="AD13" s="8">
        <v>19910000</v>
      </c>
      <c r="AE13" s="4" t="s">
        <v>806</v>
      </c>
      <c r="AF13" s="8">
        <v>19910001</v>
      </c>
      <c r="AG13" s="4" t="s">
        <v>809</v>
      </c>
      <c r="AH13" s="8">
        <v>19910001</v>
      </c>
    </row>
    <row r="14" spans="1:34" x14ac:dyDescent="0.25">
      <c r="A14" s="176" t="s">
        <v>1199</v>
      </c>
      <c r="B14" t="s">
        <v>87</v>
      </c>
      <c r="C14" t="s">
        <v>26</v>
      </c>
      <c r="D14" t="s">
        <v>95</v>
      </c>
      <c r="E14" t="s">
        <v>89</v>
      </c>
      <c r="F14" t="s">
        <v>90</v>
      </c>
      <c r="G14" t="s">
        <v>30</v>
      </c>
      <c r="H14" t="s">
        <v>31</v>
      </c>
      <c r="I14" t="s">
        <v>91</v>
      </c>
      <c r="J14" t="s">
        <v>92</v>
      </c>
      <c r="K14">
        <v>118189.87</v>
      </c>
      <c r="L14" s="166">
        <v>94615.644526599994</v>
      </c>
      <c r="M14">
        <v>23574.23</v>
      </c>
      <c r="N14">
        <v>0</v>
      </c>
      <c r="O14">
        <v>0</v>
      </c>
      <c r="P14">
        <v>20439.869999999995</v>
      </c>
      <c r="Q14" s="166">
        <v>74175.774526599998</v>
      </c>
      <c r="R14" t="s">
        <v>30</v>
      </c>
      <c r="S14">
        <v>100</v>
      </c>
      <c r="T14">
        <v>97750</v>
      </c>
      <c r="U14" t="s">
        <v>62</v>
      </c>
      <c r="V14" t="s">
        <v>1805</v>
      </c>
      <c r="W14">
        <v>0</v>
      </c>
      <c r="X14" t="s">
        <v>43</v>
      </c>
      <c r="Y14" t="s">
        <v>44</v>
      </c>
      <c r="Z14">
        <v>115000</v>
      </c>
      <c r="AC14" s="4" t="s">
        <v>803</v>
      </c>
      <c r="AD14" s="8">
        <v>19910000</v>
      </c>
      <c r="AE14" s="4" t="s">
        <v>806</v>
      </c>
      <c r="AF14" s="8">
        <v>19910001</v>
      </c>
      <c r="AG14" s="4" t="s">
        <v>809</v>
      </c>
      <c r="AH14" s="8">
        <v>19910001</v>
      </c>
    </row>
    <row r="15" spans="1:34" x14ac:dyDescent="0.25">
      <c r="A15" s="176" t="s">
        <v>1200</v>
      </c>
      <c r="B15" t="s">
        <v>87</v>
      </c>
      <c r="C15" t="s">
        <v>26</v>
      </c>
      <c r="D15" t="s">
        <v>96</v>
      </c>
      <c r="E15" t="s">
        <v>89</v>
      </c>
      <c r="F15" t="s">
        <v>90</v>
      </c>
      <c r="G15" t="s">
        <v>30</v>
      </c>
      <c r="H15" t="s">
        <v>31</v>
      </c>
      <c r="I15" t="s">
        <v>91</v>
      </c>
      <c r="J15" t="s">
        <v>92</v>
      </c>
      <c r="K15">
        <v>113375.76</v>
      </c>
      <c r="L15" s="166">
        <v>113375.76</v>
      </c>
      <c r="M15">
        <v>0</v>
      </c>
      <c r="N15">
        <v>0</v>
      </c>
      <c r="O15">
        <v>0</v>
      </c>
      <c r="P15">
        <v>6250.7599999999948</v>
      </c>
      <c r="Q15" s="166">
        <v>107125</v>
      </c>
      <c r="R15" t="s">
        <v>30</v>
      </c>
      <c r="S15">
        <v>100</v>
      </c>
      <c r="T15">
        <v>107125</v>
      </c>
      <c r="U15" t="s">
        <v>34</v>
      </c>
      <c r="V15" t="s">
        <v>1575</v>
      </c>
      <c r="W15">
        <v>0</v>
      </c>
      <c r="X15" t="s">
        <v>43</v>
      </c>
      <c r="Y15" t="s">
        <v>44</v>
      </c>
      <c r="Z15">
        <v>128000</v>
      </c>
      <c r="AC15" s="4" t="s">
        <v>803</v>
      </c>
      <c r="AD15" s="8">
        <v>19910000</v>
      </c>
      <c r="AE15" s="4" t="s">
        <v>806</v>
      </c>
      <c r="AF15" s="8">
        <v>19910001</v>
      </c>
      <c r="AG15" s="4" t="s">
        <v>809</v>
      </c>
      <c r="AH15" s="8">
        <v>19910001</v>
      </c>
    </row>
    <row r="16" spans="1:34" x14ac:dyDescent="0.25">
      <c r="A16" s="176" t="s">
        <v>1201</v>
      </c>
      <c r="B16" t="s">
        <v>87</v>
      </c>
      <c r="C16" t="s">
        <v>26</v>
      </c>
      <c r="D16" t="s">
        <v>98</v>
      </c>
      <c r="E16" t="s">
        <v>89</v>
      </c>
      <c r="F16" t="s">
        <v>90</v>
      </c>
      <c r="G16" t="s">
        <v>30</v>
      </c>
      <c r="H16" t="s">
        <v>31</v>
      </c>
      <c r="I16" t="s">
        <v>91</v>
      </c>
      <c r="J16" t="s">
        <v>92</v>
      </c>
      <c r="K16">
        <v>112274.95</v>
      </c>
      <c r="L16" s="166">
        <v>74937.97300659999</v>
      </c>
      <c r="M16">
        <v>37336.980000000003</v>
      </c>
      <c r="N16">
        <v>0</v>
      </c>
      <c r="O16">
        <v>0</v>
      </c>
      <c r="P16">
        <v>2054.9499999999971</v>
      </c>
      <c r="Q16" s="166">
        <v>72883.023006599993</v>
      </c>
      <c r="R16" t="s">
        <v>30</v>
      </c>
      <c r="S16">
        <v>100</v>
      </c>
      <c r="T16">
        <v>110220</v>
      </c>
      <c r="U16" t="s">
        <v>34</v>
      </c>
      <c r="V16" t="s">
        <v>1808</v>
      </c>
      <c r="W16">
        <v>0</v>
      </c>
      <c r="X16" t="s">
        <v>43</v>
      </c>
      <c r="Y16" t="s">
        <v>44</v>
      </c>
      <c r="Z16">
        <v>129800</v>
      </c>
      <c r="AC16" s="4" t="s">
        <v>803</v>
      </c>
      <c r="AD16" s="8">
        <v>19910000</v>
      </c>
      <c r="AE16" s="4" t="s">
        <v>806</v>
      </c>
      <c r="AF16" s="8">
        <v>19910001</v>
      </c>
      <c r="AG16" s="4" t="s">
        <v>809</v>
      </c>
      <c r="AH16" s="8">
        <v>19910001</v>
      </c>
    </row>
    <row r="17" spans="1:34" x14ac:dyDescent="0.25">
      <c r="A17" s="176" t="s">
        <v>1202</v>
      </c>
      <c r="B17" t="s">
        <v>25</v>
      </c>
      <c r="C17" t="s">
        <v>26</v>
      </c>
      <c r="D17" t="s">
        <v>99</v>
      </c>
      <c r="E17" t="s">
        <v>100</v>
      </c>
      <c r="F17" t="s">
        <v>101</v>
      </c>
      <c r="G17" t="s">
        <v>30</v>
      </c>
      <c r="H17" t="s">
        <v>37</v>
      </c>
      <c r="I17" t="s">
        <v>71</v>
      </c>
      <c r="J17" t="s">
        <v>102</v>
      </c>
      <c r="K17">
        <v>42107.6</v>
      </c>
      <c r="L17" s="166">
        <v>34600.331693</v>
      </c>
      <c r="M17">
        <v>7507.27</v>
      </c>
      <c r="N17">
        <v>765.5</v>
      </c>
      <c r="O17" s="8">
        <v>7655.01</v>
      </c>
      <c r="P17">
        <v>34452.589999999997</v>
      </c>
      <c r="Q17" s="166">
        <v>147.74169300000005</v>
      </c>
      <c r="R17" s="174" t="s">
        <v>1142</v>
      </c>
      <c r="S17">
        <v>100</v>
      </c>
      <c r="T17">
        <v>26500</v>
      </c>
      <c r="U17" t="s">
        <v>103</v>
      </c>
      <c r="V17" t="s">
        <v>104</v>
      </c>
      <c r="W17">
        <v>0</v>
      </c>
      <c r="X17" t="s">
        <v>30</v>
      </c>
      <c r="Y17" t="s">
        <v>30</v>
      </c>
      <c r="Z17">
        <v>32500</v>
      </c>
      <c r="AC17" s="4" t="s">
        <v>805</v>
      </c>
      <c r="AD17" s="8">
        <v>1910000</v>
      </c>
      <c r="AE17" s="4" t="s">
        <v>808</v>
      </c>
      <c r="AF17" s="8">
        <v>1910008</v>
      </c>
      <c r="AG17" s="4" t="s">
        <v>810</v>
      </c>
      <c r="AH17" s="8">
        <v>1910008</v>
      </c>
    </row>
    <row r="18" spans="1:34" x14ac:dyDescent="0.25">
      <c r="A18" s="176" t="s">
        <v>1203</v>
      </c>
      <c r="B18" t="s">
        <v>25</v>
      </c>
      <c r="C18" t="s">
        <v>26</v>
      </c>
      <c r="D18" t="s">
        <v>108</v>
      </c>
      <c r="E18" t="s">
        <v>109</v>
      </c>
      <c r="F18" t="s">
        <v>110</v>
      </c>
      <c r="G18" t="s">
        <v>111</v>
      </c>
      <c r="H18" t="s">
        <v>31</v>
      </c>
      <c r="I18" t="s">
        <v>91</v>
      </c>
      <c r="J18" t="s">
        <v>112</v>
      </c>
      <c r="K18">
        <v>0</v>
      </c>
      <c r="L18" s="166">
        <v>0</v>
      </c>
      <c r="M18">
        <v>0</v>
      </c>
      <c r="N18">
        <v>0</v>
      </c>
      <c r="O18">
        <v>0</v>
      </c>
      <c r="P18">
        <v>0</v>
      </c>
      <c r="Q18" s="166">
        <v>0</v>
      </c>
      <c r="R18" t="s">
        <v>30</v>
      </c>
      <c r="S18">
        <v>100</v>
      </c>
      <c r="T18">
        <v>20000</v>
      </c>
      <c r="U18" t="s">
        <v>113</v>
      </c>
      <c r="V18" t="s">
        <v>1809</v>
      </c>
      <c r="W18">
        <v>100</v>
      </c>
      <c r="X18" t="s">
        <v>30</v>
      </c>
      <c r="Y18" t="s">
        <v>30</v>
      </c>
      <c r="Z18">
        <v>25000</v>
      </c>
      <c r="AC18" s="4" t="s">
        <v>803</v>
      </c>
      <c r="AD18" s="8">
        <v>19910000</v>
      </c>
      <c r="AE18" s="4" t="s">
        <v>806</v>
      </c>
      <c r="AF18" s="8">
        <v>19910001</v>
      </c>
      <c r="AG18" s="4" t="s">
        <v>809</v>
      </c>
      <c r="AH18" s="8">
        <v>19910001</v>
      </c>
    </row>
    <row r="19" spans="1:34" x14ac:dyDescent="0.25">
      <c r="A19" s="176" t="s">
        <v>1204</v>
      </c>
      <c r="B19" t="s">
        <v>25</v>
      </c>
      <c r="C19" t="s">
        <v>26</v>
      </c>
      <c r="D19" t="s">
        <v>115</v>
      </c>
      <c r="E19" t="s">
        <v>116</v>
      </c>
      <c r="F19" t="s">
        <v>117</v>
      </c>
      <c r="G19" t="s">
        <v>118</v>
      </c>
      <c r="H19" t="s">
        <v>37</v>
      </c>
      <c r="I19" t="s">
        <v>53</v>
      </c>
      <c r="J19" t="s">
        <v>119</v>
      </c>
      <c r="K19">
        <v>30109.25</v>
      </c>
      <c r="L19" s="166">
        <v>581.10852499999999</v>
      </c>
      <c r="M19">
        <v>29528.14</v>
      </c>
      <c r="N19">
        <v>3226.03</v>
      </c>
      <c r="O19" s="8">
        <v>32260.3</v>
      </c>
      <c r="P19">
        <v>0</v>
      </c>
      <c r="Q19" s="166">
        <v>581.10852499999999</v>
      </c>
      <c r="R19" s="174" t="s">
        <v>1142</v>
      </c>
      <c r="S19">
        <v>100</v>
      </c>
      <c r="T19">
        <v>36825</v>
      </c>
      <c r="U19" t="s">
        <v>120</v>
      </c>
      <c r="V19" t="s">
        <v>121</v>
      </c>
      <c r="W19">
        <v>0</v>
      </c>
      <c r="X19" t="s">
        <v>30</v>
      </c>
      <c r="Y19" t="s">
        <v>30</v>
      </c>
      <c r="Z19">
        <v>45850</v>
      </c>
      <c r="AC19" s="4" t="s">
        <v>805</v>
      </c>
      <c r="AD19" s="8">
        <v>1910000</v>
      </c>
      <c r="AE19" s="4" t="s">
        <v>808</v>
      </c>
      <c r="AF19" s="8">
        <v>1910008</v>
      </c>
      <c r="AG19" s="4" t="s">
        <v>810</v>
      </c>
      <c r="AH19" s="8">
        <v>1910008</v>
      </c>
    </row>
    <row r="20" spans="1:34" x14ac:dyDescent="0.25">
      <c r="A20" s="176" t="s">
        <v>1205</v>
      </c>
      <c r="B20" t="s">
        <v>25</v>
      </c>
      <c r="C20" t="s">
        <v>26</v>
      </c>
      <c r="D20" t="s">
        <v>125</v>
      </c>
      <c r="E20" t="s">
        <v>126</v>
      </c>
      <c r="F20" t="s">
        <v>1675</v>
      </c>
      <c r="G20" t="s">
        <v>127</v>
      </c>
      <c r="H20" t="s">
        <v>37</v>
      </c>
      <c r="I20" t="s">
        <v>53</v>
      </c>
      <c r="J20" t="s">
        <v>128</v>
      </c>
      <c r="K20">
        <v>146770.76999999999</v>
      </c>
      <c r="L20" s="166">
        <v>10617.776477999998</v>
      </c>
      <c r="M20">
        <v>136152.99</v>
      </c>
      <c r="N20">
        <v>13883.25</v>
      </c>
      <c r="O20" s="8">
        <v>138832.46</v>
      </c>
      <c r="P20">
        <v>7938.3099999999977</v>
      </c>
      <c r="Q20" s="166">
        <v>2679.4664779999998</v>
      </c>
      <c r="R20" s="174" t="s">
        <v>1142</v>
      </c>
      <c r="S20">
        <v>100</v>
      </c>
      <c r="T20">
        <v>173600</v>
      </c>
      <c r="U20" t="s">
        <v>113</v>
      </c>
      <c r="V20" t="s">
        <v>129</v>
      </c>
      <c r="W20">
        <v>0</v>
      </c>
      <c r="X20" t="s">
        <v>30</v>
      </c>
      <c r="Y20" t="s">
        <v>30</v>
      </c>
      <c r="Z20">
        <v>215000</v>
      </c>
      <c r="AC20" s="4" t="s">
        <v>805</v>
      </c>
      <c r="AD20" s="8">
        <v>1910000</v>
      </c>
      <c r="AE20" s="4" t="s">
        <v>808</v>
      </c>
      <c r="AF20" s="8">
        <v>1910008</v>
      </c>
      <c r="AG20" s="4" t="s">
        <v>810</v>
      </c>
      <c r="AH20" s="8">
        <v>1910008</v>
      </c>
    </row>
    <row r="21" spans="1:34" x14ac:dyDescent="0.25">
      <c r="A21" s="176" t="s">
        <v>1206</v>
      </c>
      <c r="B21" t="s">
        <v>25</v>
      </c>
      <c r="C21" t="s">
        <v>26</v>
      </c>
      <c r="D21" t="s">
        <v>130</v>
      </c>
      <c r="E21" t="s">
        <v>131</v>
      </c>
      <c r="F21" t="s">
        <v>132</v>
      </c>
      <c r="G21" t="s">
        <v>133</v>
      </c>
      <c r="H21" t="s">
        <v>31</v>
      </c>
      <c r="I21" t="s">
        <v>53</v>
      </c>
      <c r="J21" t="s">
        <v>134</v>
      </c>
      <c r="K21">
        <v>40097</v>
      </c>
      <c r="L21" s="166">
        <v>13842.701129494291</v>
      </c>
      <c r="M21">
        <v>26254.3</v>
      </c>
      <c r="N21">
        <v>0</v>
      </c>
      <c r="O21">
        <v>0</v>
      </c>
      <c r="P21">
        <v>0</v>
      </c>
      <c r="Q21" s="166">
        <v>13842.701129494291</v>
      </c>
      <c r="R21" t="s">
        <v>30</v>
      </c>
      <c r="S21">
        <v>100</v>
      </c>
      <c r="T21">
        <v>50970</v>
      </c>
      <c r="U21" t="s">
        <v>103</v>
      </c>
      <c r="V21" t="s">
        <v>1578</v>
      </c>
      <c r="W21">
        <v>0</v>
      </c>
      <c r="X21" t="s">
        <v>30</v>
      </c>
      <c r="Y21" t="s">
        <v>30</v>
      </c>
      <c r="Z21">
        <v>69100</v>
      </c>
      <c r="AC21" s="4" t="s">
        <v>803</v>
      </c>
      <c r="AD21" s="8">
        <v>19910000</v>
      </c>
      <c r="AE21" s="4" t="s">
        <v>806</v>
      </c>
      <c r="AF21" s="8">
        <v>19910001</v>
      </c>
      <c r="AG21" s="4" t="s">
        <v>809</v>
      </c>
      <c r="AH21" s="8">
        <v>19910001</v>
      </c>
    </row>
    <row r="22" spans="1:34" x14ac:dyDescent="0.25">
      <c r="A22" s="176" t="s">
        <v>1207</v>
      </c>
      <c r="B22" t="s">
        <v>25</v>
      </c>
      <c r="C22" t="s">
        <v>26</v>
      </c>
      <c r="D22" t="s">
        <v>135</v>
      </c>
      <c r="E22" t="s">
        <v>136</v>
      </c>
      <c r="F22" t="s">
        <v>137</v>
      </c>
      <c r="G22" t="s">
        <v>138</v>
      </c>
      <c r="H22" t="s">
        <v>37</v>
      </c>
      <c r="I22" t="s">
        <v>53</v>
      </c>
      <c r="J22" t="s">
        <v>139</v>
      </c>
      <c r="K22">
        <v>193629.23</v>
      </c>
      <c r="L22" s="166">
        <v>24324.781169000024</v>
      </c>
      <c r="M22">
        <v>169304.45</v>
      </c>
      <c r="N22">
        <v>17263.63</v>
      </c>
      <c r="O22" s="8">
        <v>172636.33</v>
      </c>
      <c r="P22">
        <v>20992.900000000023</v>
      </c>
      <c r="Q22" s="166">
        <v>3331.8811689999998</v>
      </c>
      <c r="R22" s="174" t="s">
        <v>1142</v>
      </c>
      <c r="S22">
        <v>100</v>
      </c>
      <c r="T22">
        <v>180000</v>
      </c>
      <c r="U22" t="s">
        <v>122</v>
      </c>
      <c r="V22" t="s">
        <v>140</v>
      </c>
      <c r="W22">
        <v>0</v>
      </c>
      <c r="X22" t="s">
        <v>30</v>
      </c>
      <c r="Y22" t="s">
        <v>30</v>
      </c>
      <c r="Z22">
        <v>211000</v>
      </c>
      <c r="AC22" s="4" t="s">
        <v>805</v>
      </c>
      <c r="AD22" s="8">
        <v>1910000</v>
      </c>
      <c r="AE22" s="4" t="s">
        <v>808</v>
      </c>
      <c r="AF22" s="8">
        <v>1910008</v>
      </c>
      <c r="AG22" s="4" t="s">
        <v>810</v>
      </c>
      <c r="AH22" s="8">
        <v>1910008</v>
      </c>
    </row>
    <row r="23" spans="1:34" x14ac:dyDescent="0.25">
      <c r="A23" s="176" t="s">
        <v>1208</v>
      </c>
      <c r="B23" t="s">
        <v>25</v>
      </c>
      <c r="C23" t="s">
        <v>26</v>
      </c>
      <c r="D23" t="s">
        <v>141</v>
      </c>
      <c r="E23" t="s">
        <v>142</v>
      </c>
      <c r="F23" t="s">
        <v>143</v>
      </c>
      <c r="G23" t="s">
        <v>144</v>
      </c>
      <c r="H23" t="s">
        <v>37</v>
      </c>
      <c r="I23" t="s">
        <v>48</v>
      </c>
      <c r="J23" t="s">
        <v>145</v>
      </c>
      <c r="K23">
        <v>59044.21</v>
      </c>
      <c r="L23" s="166">
        <v>18835.509999999998</v>
      </c>
      <c r="M23">
        <v>40208.699999999997</v>
      </c>
      <c r="N23">
        <v>2572.1999999999998</v>
      </c>
      <c r="O23">
        <v>105000</v>
      </c>
      <c r="P23">
        <v>0</v>
      </c>
      <c r="Q23" s="166">
        <v>1139.553253</v>
      </c>
      <c r="R23" t="s">
        <v>1810</v>
      </c>
      <c r="S23">
        <v>100</v>
      </c>
      <c r="T23">
        <v>41000</v>
      </c>
      <c r="U23" t="s">
        <v>103</v>
      </c>
      <c r="V23" t="s">
        <v>1811</v>
      </c>
      <c r="W23">
        <v>0</v>
      </c>
      <c r="X23" t="s">
        <v>30</v>
      </c>
      <c r="Y23" t="s">
        <v>30</v>
      </c>
      <c r="Z23">
        <v>52300</v>
      </c>
      <c r="AC23" s="4" t="s">
        <v>805</v>
      </c>
      <c r="AD23" s="8">
        <v>1910000</v>
      </c>
      <c r="AE23" s="4" t="s">
        <v>808</v>
      </c>
      <c r="AF23" s="8">
        <v>1910008</v>
      </c>
      <c r="AG23" s="4" t="s">
        <v>810</v>
      </c>
      <c r="AH23" s="8">
        <v>1910008</v>
      </c>
    </row>
    <row r="24" spans="1:34" x14ac:dyDescent="0.25">
      <c r="A24" s="176" t="s">
        <v>1209</v>
      </c>
      <c r="B24" t="s">
        <v>25</v>
      </c>
      <c r="C24" t="s">
        <v>26</v>
      </c>
      <c r="D24" t="s">
        <v>147</v>
      </c>
      <c r="E24" t="s">
        <v>142</v>
      </c>
      <c r="F24" t="s">
        <v>143</v>
      </c>
      <c r="G24" t="s">
        <v>148</v>
      </c>
      <c r="H24" t="s">
        <v>37</v>
      </c>
      <c r="I24" t="s">
        <v>48</v>
      </c>
      <c r="J24" t="s">
        <v>145</v>
      </c>
      <c r="K24">
        <v>55092.21</v>
      </c>
      <c r="L24" s="166">
        <v>11941.41</v>
      </c>
      <c r="M24">
        <v>43150.8</v>
      </c>
      <c r="N24">
        <v>2677.8</v>
      </c>
      <c r="O24">
        <v>54390</v>
      </c>
      <c r="P24">
        <v>702.20999999999913</v>
      </c>
      <c r="Q24" s="166">
        <v>1049.7270000000001</v>
      </c>
      <c r="R24" t="s">
        <v>1810</v>
      </c>
      <c r="S24">
        <v>100</v>
      </c>
      <c r="T24">
        <v>44000</v>
      </c>
      <c r="U24" t="s">
        <v>103</v>
      </c>
      <c r="V24" t="s">
        <v>1811</v>
      </c>
      <c r="W24">
        <v>0</v>
      </c>
      <c r="X24" t="s">
        <v>30</v>
      </c>
      <c r="Y24" t="s">
        <v>30</v>
      </c>
      <c r="Z24">
        <v>56200</v>
      </c>
      <c r="AC24" s="4" t="s">
        <v>805</v>
      </c>
      <c r="AD24" s="8">
        <v>1910000</v>
      </c>
      <c r="AE24" s="4" t="s">
        <v>808</v>
      </c>
      <c r="AF24" s="8">
        <v>1910008</v>
      </c>
      <c r="AG24" s="4" t="s">
        <v>810</v>
      </c>
      <c r="AH24" s="8">
        <v>1910008</v>
      </c>
    </row>
    <row r="25" spans="1:34" x14ac:dyDescent="0.25">
      <c r="A25" s="176" t="s">
        <v>1210</v>
      </c>
      <c r="B25" t="s">
        <v>25</v>
      </c>
      <c r="C25" t="s">
        <v>26</v>
      </c>
      <c r="D25" t="s">
        <v>149</v>
      </c>
      <c r="E25" t="s">
        <v>150</v>
      </c>
      <c r="F25" t="s">
        <v>151</v>
      </c>
      <c r="G25" t="s">
        <v>30</v>
      </c>
      <c r="H25" t="s">
        <v>37</v>
      </c>
      <c r="I25" t="s">
        <v>53</v>
      </c>
      <c r="J25" t="s">
        <v>152</v>
      </c>
      <c r="K25">
        <v>71091.39</v>
      </c>
      <c r="L25" s="166">
        <v>8720.9000489999999</v>
      </c>
      <c r="M25">
        <v>62370.49</v>
      </c>
      <c r="N25">
        <v>6359.79</v>
      </c>
      <c r="O25" s="8">
        <v>63597.93</v>
      </c>
      <c r="P25">
        <v>7493.4599999999991</v>
      </c>
      <c r="Q25" s="166">
        <v>1227.440049</v>
      </c>
      <c r="R25" s="174" t="s">
        <v>1142</v>
      </c>
      <c r="S25">
        <v>100</v>
      </c>
      <c r="T25">
        <v>66011.210000000006</v>
      </c>
      <c r="U25" t="s">
        <v>34</v>
      </c>
      <c r="V25" t="s">
        <v>153</v>
      </c>
      <c r="W25">
        <v>0</v>
      </c>
      <c r="X25" t="s">
        <v>30</v>
      </c>
      <c r="Y25" t="s">
        <v>30</v>
      </c>
      <c r="Z25">
        <v>97200</v>
      </c>
      <c r="AC25" s="4" t="s">
        <v>805</v>
      </c>
      <c r="AD25" s="8">
        <v>1910000</v>
      </c>
      <c r="AE25" s="4" t="s">
        <v>808</v>
      </c>
      <c r="AF25" s="8">
        <v>1910008</v>
      </c>
      <c r="AG25" s="4" t="s">
        <v>810</v>
      </c>
      <c r="AH25" s="8">
        <v>1910008</v>
      </c>
    </row>
    <row r="26" spans="1:34" x14ac:dyDescent="0.25">
      <c r="A26" s="176" t="s">
        <v>1211</v>
      </c>
      <c r="B26" t="s">
        <v>25</v>
      </c>
      <c r="C26" t="s">
        <v>26</v>
      </c>
      <c r="D26" t="s">
        <v>158</v>
      </c>
      <c r="E26" t="s">
        <v>159</v>
      </c>
      <c r="F26" t="s">
        <v>160</v>
      </c>
      <c r="G26" t="s">
        <v>161</v>
      </c>
      <c r="H26" t="s">
        <v>37</v>
      </c>
      <c r="I26" t="s">
        <v>53</v>
      </c>
      <c r="J26" t="s">
        <v>162</v>
      </c>
      <c r="K26">
        <v>129819.38</v>
      </c>
      <c r="L26" s="166">
        <v>2505.5140340000003</v>
      </c>
      <c r="M26">
        <v>127313.87</v>
      </c>
      <c r="N26">
        <v>21519.3</v>
      </c>
      <c r="O26" s="8">
        <v>215192.99</v>
      </c>
      <c r="P26">
        <v>0</v>
      </c>
      <c r="Q26" s="166">
        <v>2505.5140340000003</v>
      </c>
      <c r="R26" s="174" t="s">
        <v>1142</v>
      </c>
      <c r="S26">
        <v>100</v>
      </c>
      <c r="T26">
        <v>221760</v>
      </c>
      <c r="U26" t="s">
        <v>120</v>
      </c>
      <c r="V26" t="s">
        <v>124</v>
      </c>
      <c r="W26">
        <v>0</v>
      </c>
      <c r="X26" t="s">
        <v>30</v>
      </c>
      <c r="Y26" t="s">
        <v>30</v>
      </c>
      <c r="Z26">
        <v>281100</v>
      </c>
      <c r="AC26" s="4" t="s">
        <v>805</v>
      </c>
      <c r="AD26" s="8">
        <v>1910000</v>
      </c>
      <c r="AE26" s="4" t="s">
        <v>808</v>
      </c>
      <c r="AF26" s="8">
        <v>1910008</v>
      </c>
      <c r="AG26" s="4" t="s">
        <v>810</v>
      </c>
      <c r="AH26" s="8">
        <v>1910008</v>
      </c>
    </row>
    <row r="27" spans="1:34" x14ac:dyDescent="0.25">
      <c r="A27" s="176" t="s">
        <v>1212</v>
      </c>
      <c r="B27" t="s">
        <v>25</v>
      </c>
      <c r="C27" t="s">
        <v>26</v>
      </c>
      <c r="D27" t="s">
        <v>163</v>
      </c>
      <c r="E27" t="s">
        <v>164</v>
      </c>
      <c r="F27" t="s">
        <v>165</v>
      </c>
      <c r="G27" t="s">
        <v>166</v>
      </c>
      <c r="H27" t="s">
        <v>37</v>
      </c>
      <c r="I27" t="s">
        <v>53</v>
      </c>
      <c r="J27" t="s">
        <v>167</v>
      </c>
      <c r="K27">
        <v>159518.63</v>
      </c>
      <c r="L27" s="166">
        <v>32558.983067000001</v>
      </c>
      <c r="M27">
        <v>126959.65</v>
      </c>
      <c r="N27">
        <v>12945.82</v>
      </c>
      <c r="O27" s="8">
        <v>129458.19</v>
      </c>
      <c r="P27">
        <v>30060.440000000002</v>
      </c>
      <c r="Q27" s="166">
        <v>2498.5430670000001</v>
      </c>
      <c r="R27" s="174" t="s">
        <v>1142</v>
      </c>
      <c r="S27">
        <v>100</v>
      </c>
      <c r="T27">
        <v>114800</v>
      </c>
      <c r="U27" t="s">
        <v>103</v>
      </c>
      <c r="V27" t="s">
        <v>168</v>
      </c>
      <c r="W27">
        <v>0</v>
      </c>
      <c r="X27" t="s">
        <v>30</v>
      </c>
      <c r="Y27" t="s">
        <v>30</v>
      </c>
      <c r="Z27">
        <v>149000</v>
      </c>
      <c r="AC27" s="4" t="s">
        <v>805</v>
      </c>
      <c r="AD27" s="8">
        <v>1910000</v>
      </c>
      <c r="AE27" s="4" t="s">
        <v>808</v>
      </c>
      <c r="AF27" s="8">
        <v>1910008</v>
      </c>
      <c r="AG27" s="4" t="s">
        <v>810</v>
      </c>
      <c r="AH27" s="8">
        <v>1910008</v>
      </c>
    </row>
    <row r="28" spans="1:34" x14ac:dyDescent="0.25">
      <c r="A28" s="176" t="s">
        <v>1213</v>
      </c>
      <c r="B28" t="s">
        <v>25</v>
      </c>
      <c r="C28" t="s">
        <v>26</v>
      </c>
      <c r="D28" t="s">
        <v>169</v>
      </c>
      <c r="E28" t="s">
        <v>170</v>
      </c>
      <c r="F28" t="s">
        <v>171</v>
      </c>
      <c r="G28" t="s">
        <v>172</v>
      </c>
      <c r="H28" t="s">
        <v>37</v>
      </c>
      <c r="I28" t="s">
        <v>53</v>
      </c>
      <c r="J28" t="s">
        <v>173</v>
      </c>
      <c r="K28">
        <v>117420.65</v>
      </c>
      <c r="L28" s="166">
        <v>2266.2185450000002</v>
      </c>
      <c r="M28">
        <v>115154.43</v>
      </c>
      <c r="N28">
        <v>16310</v>
      </c>
      <c r="O28" s="8">
        <v>163100</v>
      </c>
      <c r="P28">
        <v>0</v>
      </c>
      <c r="Q28" s="166">
        <v>2266.2185450000002</v>
      </c>
      <c r="R28" s="174" t="s">
        <v>1142</v>
      </c>
      <c r="S28">
        <v>100</v>
      </c>
      <c r="T28">
        <v>186200</v>
      </c>
      <c r="U28" t="s">
        <v>122</v>
      </c>
      <c r="V28" t="s">
        <v>1077</v>
      </c>
      <c r="W28">
        <v>0</v>
      </c>
      <c r="X28" t="s">
        <v>30</v>
      </c>
      <c r="Y28" t="s">
        <v>30</v>
      </c>
      <c r="Z28">
        <v>216000</v>
      </c>
      <c r="AC28" s="4" t="s">
        <v>805</v>
      </c>
      <c r="AD28" s="8">
        <v>1910000</v>
      </c>
      <c r="AE28" s="4" t="s">
        <v>808</v>
      </c>
      <c r="AF28" s="8">
        <v>1910008</v>
      </c>
      <c r="AG28" s="4" t="s">
        <v>810</v>
      </c>
      <c r="AH28" s="8">
        <v>1910008</v>
      </c>
    </row>
    <row r="29" spans="1:34" x14ac:dyDescent="0.25">
      <c r="A29" s="176" t="s">
        <v>1214</v>
      </c>
      <c r="B29" t="s">
        <v>25</v>
      </c>
      <c r="C29" t="s">
        <v>26</v>
      </c>
      <c r="D29" t="s">
        <v>174</v>
      </c>
      <c r="E29" t="s">
        <v>175</v>
      </c>
      <c r="F29" t="s">
        <v>176</v>
      </c>
      <c r="G29" t="s">
        <v>177</v>
      </c>
      <c r="H29" t="s">
        <v>37</v>
      </c>
      <c r="I29" t="s">
        <v>91</v>
      </c>
      <c r="J29" t="s">
        <v>178</v>
      </c>
      <c r="K29">
        <v>68269.14</v>
      </c>
      <c r="L29" s="166">
        <v>1317.5944020000002</v>
      </c>
      <c r="M29">
        <v>66951.55</v>
      </c>
      <c r="N29">
        <v>14010</v>
      </c>
      <c r="O29" s="8">
        <v>140100</v>
      </c>
      <c r="P29">
        <v>0</v>
      </c>
      <c r="Q29" s="166">
        <v>1317.5944020000002</v>
      </c>
      <c r="R29" s="174" t="s">
        <v>1142</v>
      </c>
      <c r="S29">
        <v>100</v>
      </c>
      <c r="T29">
        <v>84800</v>
      </c>
      <c r="U29" t="s">
        <v>120</v>
      </c>
      <c r="V29" t="s">
        <v>179</v>
      </c>
      <c r="W29">
        <v>0</v>
      </c>
      <c r="X29" t="s">
        <v>30</v>
      </c>
      <c r="Y29" t="s">
        <v>30</v>
      </c>
      <c r="Z29">
        <v>102500</v>
      </c>
      <c r="AC29" s="4" t="s">
        <v>805</v>
      </c>
      <c r="AD29" s="8">
        <v>1910000</v>
      </c>
      <c r="AE29" s="4" t="s">
        <v>808</v>
      </c>
      <c r="AF29" s="8">
        <v>1910008</v>
      </c>
      <c r="AG29" s="4" t="s">
        <v>810</v>
      </c>
      <c r="AH29" s="8">
        <v>1910008</v>
      </c>
    </row>
    <row r="30" spans="1:34" x14ac:dyDescent="0.25">
      <c r="A30" s="176" t="s">
        <v>1215</v>
      </c>
      <c r="B30" t="s">
        <v>25</v>
      </c>
      <c r="C30" t="s">
        <v>26</v>
      </c>
      <c r="D30" t="s">
        <v>181</v>
      </c>
      <c r="E30" t="s">
        <v>182</v>
      </c>
      <c r="F30" t="s">
        <v>183</v>
      </c>
      <c r="G30" t="s">
        <v>30</v>
      </c>
      <c r="H30" t="s">
        <v>37</v>
      </c>
      <c r="I30" t="s">
        <v>86</v>
      </c>
      <c r="J30" t="s">
        <v>184</v>
      </c>
      <c r="K30">
        <v>37557.69</v>
      </c>
      <c r="L30" s="166">
        <v>3233.1900000000023</v>
      </c>
      <c r="M30">
        <v>34324.5</v>
      </c>
      <c r="N30">
        <v>3500</v>
      </c>
      <c r="O30">
        <v>35000</v>
      </c>
      <c r="P30">
        <v>2557.6900000000023</v>
      </c>
      <c r="Q30" s="166">
        <v>675.5</v>
      </c>
      <c r="R30" t="s">
        <v>1812</v>
      </c>
      <c r="S30">
        <v>100</v>
      </c>
      <c r="T30">
        <v>28000</v>
      </c>
      <c r="U30" t="s">
        <v>120</v>
      </c>
      <c r="V30" t="s">
        <v>1573</v>
      </c>
      <c r="W30">
        <v>0</v>
      </c>
      <c r="X30" t="s">
        <v>30</v>
      </c>
      <c r="Y30" t="s">
        <v>30</v>
      </c>
      <c r="Z30">
        <v>37000</v>
      </c>
      <c r="AC30" s="4" t="s">
        <v>805</v>
      </c>
      <c r="AD30" s="8">
        <v>1910000</v>
      </c>
      <c r="AE30" s="4" t="s">
        <v>808</v>
      </c>
      <c r="AF30" s="8">
        <v>1910008</v>
      </c>
      <c r="AG30" s="4" t="s">
        <v>810</v>
      </c>
      <c r="AH30" s="8">
        <v>1910008</v>
      </c>
    </row>
    <row r="31" spans="1:34" x14ac:dyDescent="0.25">
      <c r="A31" s="176" t="s">
        <v>1216</v>
      </c>
      <c r="B31" t="s">
        <v>25</v>
      </c>
      <c r="C31" t="s">
        <v>185</v>
      </c>
      <c r="D31" t="s">
        <v>186</v>
      </c>
      <c r="E31" t="s">
        <v>187</v>
      </c>
      <c r="F31" t="s">
        <v>188</v>
      </c>
      <c r="G31" t="s">
        <v>189</v>
      </c>
      <c r="H31" t="s">
        <v>31</v>
      </c>
      <c r="I31" t="s">
        <v>53</v>
      </c>
      <c r="J31" t="s">
        <v>190</v>
      </c>
      <c r="K31">
        <v>37434.51</v>
      </c>
      <c r="L31" s="166">
        <v>37434.51</v>
      </c>
      <c r="M31">
        <v>0</v>
      </c>
      <c r="N31">
        <v>0</v>
      </c>
      <c r="O31">
        <v>0</v>
      </c>
      <c r="P31">
        <v>37434.51</v>
      </c>
      <c r="Q31" s="166">
        <v>0</v>
      </c>
      <c r="R31" t="s">
        <v>30</v>
      </c>
      <c r="S31">
        <v>50</v>
      </c>
      <c r="T31">
        <v>0</v>
      </c>
      <c r="U31" t="s">
        <v>191</v>
      </c>
      <c r="V31" t="s">
        <v>192</v>
      </c>
      <c r="W31">
        <v>100</v>
      </c>
      <c r="X31" t="s">
        <v>30</v>
      </c>
      <c r="Y31" t="s">
        <v>30</v>
      </c>
      <c r="Z31">
        <v>0</v>
      </c>
      <c r="AC31" s="4" t="s">
        <v>803</v>
      </c>
      <c r="AD31" s="8">
        <v>19910000</v>
      </c>
      <c r="AE31" s="4" t="s">
        <v>806</v>
      </c>
      <c r="AF31" s="8">
        <v>19910001</v>
      </c>
      <c r="AG31" s="4" t="s">
        <v>809</v>
      </c>
      <c r="AH31" s="8">
        <v>19910001</v>
      </c>
    </row>
    <row r="32" spans="1:34" x14ac:dyDescent="0.25">
      <c r="A32" s="176" t="s">
        <v>1217</v>
      </c>
      <c r="B32" t="s">
        <v>25</v>
      </c>
      <c r="C32" t="s">
        <v>185</v>
      </c>
      <c r="D32" t="s">
        <v>186</v>
      </c>
      <c r="E32" t="s">
        <v>193</v>
      </c>
      <c r="F32" t="s">
        <v>188</v>
      </c>
      <c r="G32" t="s">
        <v>189</v>
      </c>
      <c r="H32" t="s">
        <v>31</v>
      </c>
      <c r="I32" t="s">
        <v>53</v>
      </c>
      <c r="J32" t="s">
        <v>194</v>
      </c>
      <c r="K32">
        <v>36700.5</v>
      </c>
      <c r="L32" s="166">
        <v>36700.5</v>
      </c>
      <c r="M32">
        <v>0</v>
      </c>
      <c r="N32">
        <v>0</v>
      </c>
      <c r="O32">
        <v>0</v>
      </c>
      <c r="P32">
        <v>36700.5</v>
      </c>
      <c r="Q32" s="166">
        <v>0</v>
      </c>
      <c r="R32" t="s">
        <v>30</v>
      </c>
      <c r="S32">
        <v>50</v>
      </c>
      <c r="T32">
        <v>0</v>
      </c>
      <c r="U32" t="s">
        <v>191</v>
      </c>
      <c r="V32" t="s">
        <v>192</v>
      </c>
      <c r="W32">
        <v>100</v>
      </c>
      <c r="X32" t="s">
        <v>30</v>
      </c>
      <c r="Y32" t="s">
        <v>30</v>
      </c>
      <c r="Z32">
        <v>0</v>
      </c>
      <c r="AC32" s="4" t="s">
        <v>803</v>
      </c>
      <c r="AD32" s="8">
        <v>19910000</v>
      </c>
      <c r="AE32" s="4" t="s">
        <v>806</v>
      </c>
      <c r="AF32" s="8">
        <v>19910001</v>
      </c>
      <c r="AG32" s="4" t="s">
        <v>809</v>
      </c>
      <c r="AH32" s="8">
        <v>19910001</v>
      </c>
    </row>
    <row r="33" spans="1:34" x14ac:dyDescent="0.25">
      <c r="A33" s="176" t="s">
        <v>1218</v>
      </c>
      <c r="B33" t="s">
        <v>25</v>
      </c>
      <c r="C33" t="s">
        <v>185</v>
      </c>
      <c r="D33" t="s">
        <v>195</v>
      </c>
      <c r="E33" t="s">
        <v>196</v>
      </c>
      <c r="F33" t="s">
        <v>197</v>
      </c>
      <c r="G33" t="s">
        <v>30</v>
      </c>
      <c r="H33" t="s">
        <v>31</v>
      </c>
      <c r="I33" t="s">
        <v>32</v>
      </c>
      <c r="J33" t="s">
        <v>194</v>
      </c>
      <c r="K33">
        <v>20545.38</v>
      </c>
      <c r="L33" s="166">
        <v>20545.38</v>
      </c>
      <c r="M33">
        <v>0</v>
      </c>
      <c r="N33">
        <v>0</v>
      </c>
      <c r="O33">
        <v>0</v>
      </c>
      <c r="P33">
        <v>20545.38</v>
      </c>
      <c r="Q33" s="166">
        <v>0</v>
      </c>
      <c r="R33" t="s">
        <v>30</v>
      </c>
      <c r="S33">
        <v>100</v>
      </c>
      <c r="T33">
        <v>0</v>
      </c>
      <c r="U33" t="s">
        <v>191</v>
      </c>
      <c r="V33" t="s">
        <v>192</v>
      </c>
      <c r="W33">
        <v>100</v>
      </c>
      <c r="X33" t="s">
        <v>30</v>
      </c>
      <c r="Y33" t="s">
        <v>30</v>
      </c>
      <c r="Z33">
        <v>0</v>
      </c>
      <c r="AC33" s="4" t="s">
        <v>803</v>
      </c>
      <c r="AD33" s="8">
        <v>19910000</v>
      </c>
      <c r="AE33" s="4" t="s">
        <v>806</v>
      </c>
      <c r="AF33" s="8">
        <v>19910001</v>
      </c>
      <c r="AG33" s="4" t="s">
        <v>809</v>
      </c>
      <c r="AH33" s="8">
        <v>19910001</v>
      </c>
    </row>
    <row r="34" spans="1:34" x14ac:dyDescent="0.25">
      <c r="A34" s="176" t="s">
        <v>1219</v>
      </c>
      <c r="B34" t="s">
        <v>25</v>
      </c>
      <c r="C34" t="s">
        <v>185</v>
      </c>
      <c r="D34" t="s">
        <v>198</v>
      </c>
      <c r="E34" t="s">
        <v>196</v>
      </c>
      <c r="F34" t="s">
        <v>197</v>
      </c>
      <c r="G34" t="s">
        <v>199</v>
      </c>
      <c r="H34" t="s">
        <v>31</v>
      </c>
      <c r="I34" t="s">
        <v>53</v>
      </c>
      <c r="J34" t="s">
        <v>194</v>
      </c>
      <c r="K34">
        <v>59600</v>
      </c>
      <c r="L34" s="166">
        <v>59600</v>
      </c>
      <c r="M34">
        <v>0</v>
      </c>
      <c r="N34">
        <v>0</v>
      </c>
      <c r="O34">
        <v>0</v>
      </c>
      <c r="P34">
        <v>59600</v>
      </c>
      <c r="Q34" s="166">
        <v>0</v>
      </c>
      <c r="R34" t="s">
        <v>30</v>
      </c>
      <c r="S34">
        <v>50</v>
      </c>
      <c r="T34">
        <v>0</v>
      </c>
      <c r="U34" t="s">
        <v>191</v>
      </c>
      <c r="V34" t="s">
        <v>192</v>
      </c>
      <c r="W34">
        <v>100</v>
      </c>
      <c r="X34" t="s">
        <v>30</v>
      </c>
      <c r="Y34" t="s">
        <v>30</v>
      </c>
      <c r="Z34">
        <v>0</v>
      </c>
      <c r="AC34" s="4" t="s">
        <v>803</v>
      </c>
      <c r="AD34" s="8">
        <v>19910000</v>
      </c>
      <c r="AE34" s="4" t="s">
        <v>806</v>
      </c>
      <c r="AF34" s="8">
        <v>19910001</v>
      </c>
      <c r="AG34" s="4" t="s">
        <v>809</v>
      </c>
      <c r="AH34" s="8">
        <v>19910001</v>
      </c>
    </row>
    <row r="35" spans="1:34" x14ac:dyDescent="0.25">
      <c r="A35" s="176" t="s">
        <v>1220</v>
      </c>
      <c r="B35" t="s">
        <v>25</v>
      </c>
      <c r="C35" t="s">
        <v>185</v>
      </c>
      <c r="D35" t="s">
        <v>200</v>
      </c>
      <c r="E35" t="s">
        <v>201</v>
      </c>
      <c r="F35" t="s">
        <v>202</v>
      </c>
      <c r="G35" t="s">
        <v>30</v>
      </c>
      <c r="H35" t="s">
        <v>37</v>
      </c>
      <c r="I35" t="s">
        <v>105</v>
      </c>
      <c r="J35" t="s">
        <v>203</v>
      </c>
      <c r="K35">
        <v>54932.39</v>
      </c>
      <c r="L35" s="166">
        <v>50587.398650000003</v>
      </c>
      <c r="M35">
        <v>4344.99</v>
      </c>
      <c r="N35">
        <v>443.05</v>
      </c>
      <c r="O35" s="8">
        <v>4430.5</v>
      </c>
      <c r="P35">
        <v>50501.89</v>
      </c>
      <c r="Q35" s="166">
        <v>85.508650000000003</v>
      </c>
      <c r="R35" s="174" t="s">
        <v>1142</v>
      </c>
      <c r="S35">
        <v>100</v>
      </c>
      <c r="T35">
        <v>19600</v>
      </c>
      <c r="U35" t="s">
        <v>107</v>
      </c>
      <c r="V35" t="s">
        <v>114</v>
      </c>
      <c r="W35">
        <v>0</v>
      </c>
      <c r="X35" t="s">
        <v>30</v>
      </c>
      <c r="Y35" t="s">
        <v>30</v>
      </c>
      <c r="Z35">
        <v>24300</v>
      </c>
      <c r="AC35" s="4" t="s">
        <v>805</v>
      </c>
      <c r="AD35" s="8">
        <v>1910000</v>
      </c>
      <c r="AE35" s="4" t="s">
        <v>808</v>
      </c>
      <c r="AF35" s="8">
        <v>1910008</v>
      </c>
      <c r="AG35" s="4" t="s">
        <v>810</v>
      </c>
      <c r="AH35" s="8">
        <v>1910008</v>
      </c>
    </row>
    <row r="36" spans="1:34" x14ac:dyDescent="0.25">
      <c r="A36" s="176" t="s">
        <v>1221</v>
      </c>
      <c r="B36" t="s">
        <v>25</v>
      </c>
      <c r="C36" t="s">
        <v>185</v>
      </c>
      <c r="D36" t="s">
        <v>204</v>
      </c>
      <c r="E36" t="s">
        <v>205</v>
      </c>
      <c r="F36" t="s">
        <v>206</v>
      </c>
      <c r="G36" t="s">
        <v>30</v>
      </c>
      <c r="H36" t="s">
        <v>31</v>
      </c>
      <c r="I36" t="s">
        <v>53</v>
      </c>
      <c r="J36" t="s">
        <v>184</v>
      </c>
      <c r="K36">
        <v>55000</v>
      </c>
      <c r="L36" s="166">
        <v>55000</v>
      </c>
      <c r="M36">
        <v>0</v>
      </c>
      <c r="N36">
        <v>0</v>
      </c>
      <c r="O36">
        <v>0</v>
      </c>
      <c r="P36">
        <v>55000</v>
      </c>
      <c r="Q36" s="166">
        <v>0</v>
      </c>
      <c r="R36" t="s">
        <v>30</v>
      </c>
      <c r="S36">
        <v>100</v>
      </c>
      <c r="T36">
        <v>0</v>
      </c>
      <c r="U36" t="s">
        <v>191</v>
      </c>
      <c r="V36" t="s">
        <v>192</v>
      </c>
      <c r="W36">
        <v>100</v>
      </c>
      <c r="X36" t="s">
        <v>30</v>
      </c>
      <c r="Y36" t="s">
        <v>30</v>
      </c>
      <c r="Z36">
        <v>0</v>
      </c>
      <c r="AC36" s="4" t="s">
        <v>803</v>
      </c>
      <c r="AD36" s="8">
        <v>19910000</v>
      </c>
      <c r="AE36" s="4" t="s">
        <v>806</v>
      </c>
      <c r="AF36" s="8">
        <v>19910001</v>
      </c>
      <c r="AG36" s="4" t="s">
        <v>809</v>
      </c>
      <c r="AH36" s="8">
        <v>19910001</v>
      </c>
    </row>
    <row r="37" spans="1:34" x14ac:dyDescent="0.25">
      <c r="A37" s="176" t="s">
        <v>1222</v>
      </c>
      <c r="B37" t="s">
        <v>25</v>
      </c>
      <c r="C37" t="s">
        <v>26</v>
      </c>
      <c r="D37" t="s">
        <v>207</v>
      </c>
      <c r="E37" t="s">
        <v>208</v>
      </c>
      <c r="F37" t="s">
        <v>209</v>
      </c>
      <c r="G37" t="s">
        <v>210</v>
      </c>
      <c r="H37" t="s">
        <v>37</v>
      </c>
      <c r="I37" t="s">
        <v>53</v>
      </c>
      <c r="J37" t="s">
        <v>211</v>
      </c>
      <c r="K37">
        <v>77552.13</v>
      </c>
      <c r="L37" s="166">
        <v>1496.7561090000002</v>
      </c>
      <c r="M37">
        <v>76055.37</v>
      </c>
      <c r="N37">
        <v>10371.39</v>
      </c>
      <c r="O37" s="8">
        <v>103713.92</v>
      </c>
      <c r="P37">
        <v>0</v>
      </c>
      <c r="Q37" s="166">
        <v>1496.7561090000002</v>
      </c>
      <c r="R37" s="174" t="s">
        <v>1142</v>
      </c>
      <c r="S37">
        <v>100</v>
      </c>
      <c r="T37">
        <v>112490</v>
      </c>
      <c r="U37" t="s">
        <v>103</v>
      </c>
      <c r="V37" t="s">
        <v>1077</v>
      </c>
      <c r="W37">
        <v>0</v>
      </c>
      <c r="X37" t="s">
        <v>30</v>
      </c>
      <c r="Y37" t="s">
        <v>30</v>
      </c>
      <c r="Z37">
        <v>142600</v>
      </c>
      <c r="AC37" s="4" t="s">
        <v>805</v>
      </c>
      <c r="AD37" s="8">
        <v>1910000</v>
      </c>
      <c r="AE37" s="4" t="s">
        <v>808</v>
      </c>
      <c r="AF37" s="8">
        <v>1910008</v>
      </c>
      <c r="AG37" s="4" t="s">
        <v>810</v>
      </c>
      <c r="AH37" s="8">
        <v>1910008</v>
      </c>
    </row>
    <row r="38" spans="1:34" x14ac:dyDescent="0.25">
      <c r="A38" s="176" t="s">
        <v>1223</v>
      </c>
      <c r="B38" t="s">
        <v>25</v>
      </c>
      <c r="C38" t="s">
        <v>26</v>
      </c>
      <c r="D38" t="s">
        <v>212</v>
      </c>
      <c r="E38" t="s">
        <v>213</v>
      </c>
      <c r="F38" t="s">
        <v>214</v>
      </c>
      <c r="G38" t="s">
        <v>215</v>
      </c>
      <c r="H38" t="s">
        <v>37</v>
      </c>
      <c r="I38" t="s">
        <v>66</v>
      </c>
      <c r="J38" t="s">
        <v>216</v>
      </c>
      <c r="K38">
        <v>5751.46</v>
      </c>
      <c r="L38" s="166">
        <v>111.00317800000001</v>
      </c>
      <c r="M38">
        <v>5640.46</v>
      </c>
      <c r="N38">
        <v>1213.28</v>
      </c>
      <c r="O38" s="8">
        <v>12132.81</v>
      </c>
      <c r="P38">
        <v>0</v>
      </c>
      <c r="Q38" s="166">
        <v>111.00317800000001</v>
      </c>
      <c r="R38" s="174" t="s">
        <v>1142</v>
      </c>
      <c r="S38">
        <v>100</v>
      </c>
      <c r="T38">
        <v>11900</v>
      </c>
      <c r="U38" t="s">
        <v>113</v>
      </c>
      <c r="V38" t="s">
        <v>180</v>
      </c>
      <c r="W38">
        <v>0</v>
      </c>
      <c r="X38" t="s">
        <v>30</v>
      </c>
      <c r="Y38" t="s">
        <v>30</v>
      </c>
      <c r="Z38">
        <v>14000</v>
      </c>
      <c r="AC38" s="4" t="s">
        <v>805</v>
      </c>
      <c r="AD38" s="8">
        <v>1910000</v>
      </c>
      <c r="AE38" s="4" t="s">
        <v>808</v>
      </c>
      <c r="AF38" s="8">
        <v>1910008</v>
      </c>
      <c r="AG38" s="4" t="s">
        <v>810</v>
      </c>
      <c r="AH38" s="8">
        <v>1910008</v>
      </c>
    </row>
    <row r="39" spans="1:34" x14ac:dyDescent="0.25">
      <c r="A39" s="176" t="s">
        <v>1224</v>
      </c>
      <c r="B39" t="s">
        <v>25</v>
      </c>
      <c r="C39" t="s">
        <v>185</v>
      </c>
      <c r="D39" t="s">
        <v>217</v>
      </c>
      <c r="E39" t="s">
        <v>218</v>
      </c>
      <c r="F39" t="s">
        <v>219</v>
      </c>
      <c r="G39" t="s">
        <v>30</v>
      </c>
      <c r="H39" t="s">
        <v>37</v>
      </c>
      <c r="I39" t="s">
        <v>53</v>
      </c>
      <c r="J39" t="s">
        <v>220</v>
      </c>
      <c r="K39">
        <v>131619.29999999999</v>
      </c>
      <c r="L39" s="166">
        <v>2540.2524899999999</v>
      </c>
      <c r="M39">
        <v>129079.05</v>
      </c>
      <c r="N39">
        <v>14070</v>
      </c>
      <c r="O39" s="8">
        <v>140700</v>
      </c>
      <c r="P39">
        <v>0</v>
      </c>
      <c r="Q39" s="166">
        <v>2540.2524899999999</v>
      </c>
      <c r="R39" s="174" t="s">
        <v>1142</v>
      </c>
      <c r="S39">
        <v>100</v>
      </c>
      <c r="T39">
        <v>141090</v>
      </c>
      <c r="U39" t="s">
        <v>122</v>
      </c>
      <c r="V39" t="s">
        <v>1078</v>
      </c>
      <c r="W39">
        <v>0</v>
      </c>
      <c r="X39" t="s">
        <v>30</v>
      </c>
      <c r="Y39" t="s">
        <v>30</v>
      </c>
      <c r="Z39">
        <v>171795</v>
      </c>
      <c r="AC39" s="4" t="s">
        <v>805</v>
      </c>
      <c r="AD39" s="8">
        <v>1910000</v>
      </c>
      <c r="AE39" s="4" t="s">
        <v>808</v>
      </c>
      <c r="AF39" s="8">
        <v>1910008</v>
      </c>
      <c r="AG39" s="4" t="s">
        <v>810</v>
      </c>
      <c r="AH39" s="8">
        <v>1910008</v>
      </c>
    </row>
    <row r="40" spans="1:34" x14ac:dyDescent="0.25">
      <c r="A40" s="176" t="s">
        <v>1225</v>
      </c>
      <c r="B40" t="s">
        <v>25</v>
      </c>
      <c r="C40" t="s">
        <v>185</v>
      </c>
      <c r="D40" t="s">
        <v>221</v>
      </c>
      <c r="E40" t="s">
        <v>218</v>
      </c>
      <c r="F40" t="s">
        <v>219</v>
      </c>
      <c r="G40" t="s">
        <v>30</v>
      </c>
      <c r="H40" t="s">
        <v>37</v>
      </c>
      <c r="I40" t="s">
        <v>53</v>
      </c>
      <c r="J40" t="s">
        <v>220</v>
      </c>
      <c r="K40">
        <v>131619.29999999999</v>
      </c>
      <c r="L40" s="166">
        <v>2540.2524899999999</v>
      </c>
      <c r="M40">
        <v>129079.05</v>
      </c>
      <c r="N40">
        <v>15700</v>
      </c>
      <c r="O40" s="8">
        <v>157000</v>
      </c>
      <c r="P40">
        <v>0</v>
      </c>
      <c r="Q40" s="166">
        <v>2540.2524899999999</v>
      </c>
      <c r="R40" s="174" t="s">
        <v>1142</v>
      </c>
      <c r="S40">
        <v>100</v>
      </c>
      <c r="T40">
        <v>135145</v>
      </c>
      <c r="U40" t="s">
        <v>122</v>
      </c>
      <c r="V40" t="s">
        <v>1078</v>
      </c>
      <c r="W40">
        <v>0</v>
      </c>
      <c r="X40" t="s">
        <v>30</v>
      </c>
      <c r="Y40" t="s">
        <v>30</v>
      </c>
      <c r="Z40">
        <v>164555</v>
      </c>
      <c r="AC40" s="4" t="s">
        <v>805</v>
      </c>
      <c r="AD40" s="8">
        <v>1910000</v>
      </c>
      <c r="AE40" s="4" t="s">
        <v>808</v>
      </c>
      <c r="AF40" s="8">
        <v>1910008</v>
      </c>
      <c r="AG40" s="4" t="s">
        <v>810</v>
      </c>
      <c r="AH40" s="8">
        <v>1910008</v>
      </c>
    </row>
    <row r="41" spans="1:34" x14ac:dyDescent="0.25">
      <c r="A41" s="176" t="s">
        <v>1226</v>
      </c>
      <c r="B41" t="s">
        <v>25</v>
      </c>
      <c r="C41" t="s">
        <v>26</v>
      </c>
      <c r="D41" t="s">
        <v>222</v>
      </c>
      <c r="E41" t="s">
        <v>223</v>
      </c>
      <c r="F41" t="s">
        <v>1676</v>
      </c>
      <c r="G41" t="s">
        <v>224</v>
      </c>
      <c r="H41" t="s">
        <v>37</v>
      </c>
      <c r="I41" t="s">
        <v>53</v>
      </c>
      <c r="J41" t="s">
        <v>225</v>
      </c>
      <c r="K41">
        <v>139353.57</v>
      </c>
      <c r="L41" s="166">
        <v>2689.5239010000005</v>
      </c>
      <c r="M41">
        <v>136664.04999999999</v>
      </c>
      <c r="N41">
        <v>16256.3</v>
      </c>
      <c r="O41" s="8">
        <v>162562.97</v>
      </c>
      <c r="P41">
        <v>0</v>
      </c>
      <c r="Q41" s="166">
        <v>2689.5239010000005</v>
      </c>
      <c r="R41" s="174" t="s">
        <v>1142</v>
      </c>
      <c r="S41">
        <v>100</v>
      </c>
      <c r="T41">
        <v>139000</v>
      </c>
      <c r="U41" t="s">
        <v>226</v>
      </c>
      <c r="V41" t="s">
        <v>168</v>
      </c>
      <c r="W41">
        <v>0</v>
      </c>
      <c r="X41" t="s">
        <v>30</v>
      </c>
      <c r="Y41" t="s">
        <v>30</v>
      </c>
      <c r="Z41">
        <v>168000</v>
      </c>
      <c r="AC41" s="4" t="s">
        <v>805</v>
      </c>
      <c r="AD41" s="8">
        <v>1910000</v>
      </c>
      <c r="AE41" s="4" t="s">
        <v>808</v>
      </c>
      <c r="AF41" s="8">
        <v>1910008</v>
      </c>
      <c r="AG41" s="4" t="s">
        <v>810</v>
      </c>
      <c r="AH41" s="8">
        <v>1910008</v>
      </c>
    </row>
    <row r="42" spans="1:34" x14ac:dyDescent="0.25">
      <c r="A42" s="176" t="s">
        <v>1227</v>
      </c>
      <c r="B42" t="s">
        <v>25</v>
      </c>
      <c r="C42" t="s">
        <v>228</v>
      </c>
      <c r="D42" t="s">
        <v>229</v>
      </c>
      <c r="E42" t="s">
        <v>230</v>
      </c>
      <c r="F42" t="s">
        <v>231</v>
      </c>
      <c r="G42" t="s">
        <v>232</v>
      </c>
      <c r="H42" t="s">
        <v>37</v>
      </c>
      <c r="I42" t="s">
        <v>53</v>
      </c>
      <c r="J42" t="s">
        <v>233</v>
      </c>
      <c r="K42">
        <v>82013.759999999995</v>
      </c>
      <c r="L42" s="166">
        <v>18944.619368999993</v>
      </c>
      <c r="M42">
        <v>63069.14</v>
      </c>
      <c r="N42">
        <v>6431.03</v>
      </c>
      <c r="O42" s="8">
        <v>64310.33</v>
      </c>
      <c r="P42">
        <v>17703.429999999993</v>
      </c>
      <c r="Q42" s="166">
        <v>1241.1893690000002</v>
      </c>
      <c r="R42" s="174" t="s">
        <v>1142</v>
      </c>
      <c r="S42">
        <v>100</v>
      </c>
      <c r="T42">
        <v>51000</v>
      </c>
      <c r="U42" t="s">
        <v>78</v>
      </c>
      <c r="V42" t="s">
        <v>1079</v>
      </c>
      <c r="W42">
        <v>0</v>
      </c>
      <c r="X42" t="s">
        <v>30</v>
      </c>
      <c r="Y42" t="s">
        <v>30</v>
      </c>
      <c r="Z42">
        <v>59000</v>
      </c>
      <c r="AC42" s="4" t="s">
        <v>805</v>
      </c>
      <c r="AD42" s="8">
        <v>1910000</v>
      </c>
      <c r="AE42" s="4" t="s">
        <v>808</v>
      </c>
      <c r="AF42" s="8">
        <v>1910008</v>
      </c>
      <c r="AG42" s="4" t="s">
        <v>810</v>
      </c>
      <c r="AH42" s="8">
        <v>1910008</v>
      </c>
    </row>
    <row r="43" spans="1:34" x14ac:dyDescent="0.25">
      <c r="A43" s="176" t="s">
        <v>1228</v>
      </c>
      <c r="B43" t="s">
        <v>25</v>
      </c>
      <c r="C43" t="s">
        <v>26</v>
      </c>
      <c r="D43" t="s">
        <v>235</v>
      </c>
      <c r="E43" t="s">
        <v>236</v>
      </c>
      <c r="F43" t="s">
        <v>237</v>
      </c>
      <c r="G43" t="s">
        <v>238</v>
      </c>
      <c r="H43" t="s">
        <v>31</v>
      </c>
      <c r="I43" t="s">
        <v>86</v>
      </c>
      <c r="J43" t="s">
        <v>239</v>
      </c>
      <c r="K43">
        <v>1334.65</v>
      </c>
      <c r="L43" s="166">
        <v>1334.65</v>
      </c>
      <c r="M43">
        <v>0</v>
      </c>
      <c r="N43">
        <v>0</v>
      </c>
      <c r="O43">
        <v>0</v>
      </c>
      <c r="P43">
        <v>0</v>
      </c>
      <c r="Q43" s="166">
        <v>1334.65</v>
      </c>
      <c r="R43" t="s">
        <v>30</v>
      </c>
      <c r="S43">
        <v>100</v>
      </c>
      <c r="T43">
        <v>2400</v>
      </c>
      <c r="U43" t="s">
        <v>120</v>
      </c>
      <c r="V43" t="s">
        <v>1813</v>
      </c>
      <c r="W43">
        <v>0</v>
      </c>
      <c r="X43" t="s">
        <v>30</v>
      </c>
      <c r="Y43" t="s">
        <v>30</v>
      </c>
      <c r="Z43">
        <v>3800</v>
      </c>
      <c r="AC43" s="4" t="s">
        <v>803</v>
      </c>
      <c r="AD43" s="8">
        <v>19910000</v>
      </c>
      <c r="AE43" s="4" t="s">
        <v>806</v>
      </c>
      <c r="AF43" s="8">
        <v>19910001</v>
      </c>
      <c r="AG43" s="4" t="s">
        <v>809</v>
      </c>
      <c r="AH43" s="8">
        <v>19910001</v>
      </c>
    </row>
    <row r="44" spans="1:34" x14ac:dyDescent="0.25">
      <c r="A44" s="176" t="s">
        <v>1229</v>
      </c>
      <c r="B44" t="s">
        <v>25</v>
      </c>
      <c r="C44" t="s">
        <v>185</v>
      </c>
      <c r="D44" t="s">
        <v>1080</v>
      </c>
      <c r="E44" t="s">
        <v>240</v>
      </c>
      <c r="F44" t="s">
        <v>241</v>
      </c>
      <c r="G44" t="s">
        <v>30</v>
      </c>
      <c r="H44" t="s">
        <v>31</v>
      </c>
      <c r="I44" t="s">
        <v>242</v>
      </c>
      <c r="J44" t="s">
        <v>243</v>
      </c>
      <c r="K44">
        <v>279975.7</v>
      </c>
      <c r="L44" s="166">
        <v>63462.143782644845</v>
      </c>
      <c r="M44">
        <v>216513.56</v>
      </c>
      <c r="N44">
        <v>0</v>
      </c>
      <c r="O44">
        <v>0</v>
      </c>
      <c r="P44">
        <v>4175.7000000000116</v>
      </c>
      <c r="Q44" s="166">
        <v>59286.443782644834</v>
      </c>
      <c r="R44" t="s">
        <v>30</v>
      </c>
      <c r="S44">
        <v>100</v>
      </c>
      <c r="T44">
        <v>275800</v>
      </c>
      <c r="U44" t="s">
        <v>120</v>
      </c>
      <c r="V44" t="s">
        <v>1579</v>
      </c>
      <c r="W44">
        <v>0</v>
      </c>
      <c r="X44" t="s">
        <v>30</v>
      </c>
      <c r="Y44" t="s">
        <v>30</v>
      </c>
      <c r="Z44">
        <v>374100</v>
      </c>
      <c r="AC44" s="4" t="s">
        <v>803</v>
      </c>
      <c r="AD44" s="8">
        <v>19910000</v>
      </c>
      <c r="AE44" s="4" t="s">
        <v>806</v>
      </c>
      <c r="AF44" s="8">
        <v>19910001</v>
      </c>
      <c r="AG44" s="4" t="s">
        <v>809</v>
      </c>
      <c r="AH44" s="8">
        <v>19910001</v>
      </c>
    </row>
    <row r="45" spans="1:34" x14ac:dyDescent="0.25">
      <c r="A45" s="176" t="s">
        <v>1230</v>
      </c>
      <c r="B45" t="s">
        <v>25</v>
      </c>
      <c r="C45" t="s">
        <v>228</v>
      </c>
      <c r="D45" t="s">
        <v>244</v>
      </c>
      <c r="E45" t="s">
        <v>245</v>
      </c>
      <c r="F45" t="s">
        <v>246</v>
      </c>
      <c r="G45" t="s">
        <v>247</v>
      </c>
      <c r="H45" t="s">
        <v>37</v>
      </c>
      <c r="I45" t="s">
        <v>53</v>
      </c>
      <c r="J45" t="s">
        <v>248</v>
      </c>
      <c r="K45">
        <v>19000</v>
      </c>
      <c r="L45" s="166">
        <v>608.72803497095379</v>
      </c>
      <c r="M45">
        <v>18391.27</v>
      </c>
      <c r="N45">
        <v>1500</v>
      </c>
      <c r="O45">
        <v>0</v>
      </c>
      <c r="P45">
        <v>0</v>
      </c>
      <c r="Q45" s="166">
        <v>608.72803497095379</v>
      </c>
      <c r="R45" t="s">
        <v>30</v>
      </c>
      <c r="S45">
        <v>50</v>
      </c>
      <c r="T45">
        <v>28550</v>
      </c>
      <c r="U45" t="s">
        <v>120</v>
      </c>
      <c r="V45" t="s">
        <v>1813</v>
      </c>
      <c r="W45">
        <v>0</v>
      </c>
      <c r="X45" t="s">
        <v>30</v>
      </c>
      <c r="Y45" t="s">
        <v>30</v>
      </c>
      <c r="Z45">
        <v>35000</v>
      </c>
      <c r="AC45" s="4" t="s">
        <v>805</v>
      </c>
      <c r="AD45" s="8">
        <v>1910000</v>
      </c>
      <c r="AE45" s="4" t="s">
        <v>808</v>
      </c>
      <c r="AF45" s="8">
        <v>1910008</v>
      </c>
      <c r="AG45" s="4" t="s">
        <v>810</v>
      </c>
      <c r="AH45" s="8">
        <v>1910008</v>
      </c>
    </row>
    <row r="46" spans="1:34" x14ac:dyDescent="0.25">
      <c r="A46" s="176" t="s">
        <v>1231</v>
      </c>
      <c r="B46" t="s">
        <v>25</v>
      </c>
      <c r="C46" t="s">
        <v>26</v>
      </c>
      <c r="D46" t="s">
        <v>249</v>
      </c>
      <c r="E46" t="s">
        <v>250</v>
      </c>
      <c r="F46" t="s">
        <v>251</v>
      </c>
      <c r="G46" t="s">
        <v>252</v>
      </c>
      <c r="H46" t="s">
        <v>59</v>
      </c>
      <c r="I46" t="s">
        <v>86</v>
      </c>
      <c r="J46" t="s">
        <v>253</v>
      </c>
      <c r="K46">
        <v>126131.63</v>
      </c>
      <c r="L46" s="166">
        <v>4041.0452251359693</v>
      </c>
      <c r="M46">
        <v>122090.58</v>
      </c>
      <c r="N46">
        <v>0</v>
      </c>
      <c r="O46">
        <v>0</v>
      </c>
      <c r="P46">
        <v>0</v>
      </c>
      <c r="Q46" s="166">
        <v>4041.0452251359693</v>
      </c>
      <c r="R46" t="s">
        <v>30</v>
      </c>
      <c r="S46">
        <v>100</v>
      </c>
      <c r="T46">
        <v>421100</v>
      </c>
      <c r="U46" t="s">
        <v>113</v>
      </c>
      <c r="V46" t="s">
        <v>1806</v>
      </c>
      <c r="W46">
        <v>0</v>
      </c>
      <c r="X46" t="s">
        <v>30</v>
      </c>
      <c r="Y46" t="s">
        <v>30</v>
      </c>
      <c r="Z46">
        <v>503370</v>
      </c>
      <c r="AC46" s="4" t="s">
        <v>805</v>
      </c>
      <c r="AD46" s="8">
        <v>1910000</v>
      </c>
      <c r="AE46" s="4" t="s">
        <v>808</v>
      </c>
      <c r="AF46" s="8">
        <v>1910008</v>
      </c>
      <c r="AG46" s="4" t="s">
        <v>810</v>
      </c>
      <c r="AH46" s="8">
        <v>1910008</v>
      </c>
    </row>
    <row r="47" spans="1:34" x14ac:dyDescent="0.25">
      <c r="A47" s="176" t="s">
        <v>1232</v>
      </c>
      <c r="B47" t="s">
        <v>25</v>
      </c>
      <c r="C47" t="s">
        <v>26</v>
      </c>
      <c r="D47" t="s">
        <v>254</v>
      </c>
      <c r="E47" t="s">
        <v>250</v>
      </c>
      <c r="F47" t="s">
        <v>251</v>
      </c>
      <c r="G47" t="s">
        <v>255</v>
      </c>
      <c r="H47" t="s">
        <v>59</v>
      </c>
      <c r="I47" t="s">
        <v>38</v>
      </c>
      <c r="J47" t="s">
        <v>253</v>
      </c>
      <c r="K47">
        <v>2727.3</v>
      </c>
      <c r="L47" s="166">
        <v>87.378103672435913</v>
      </c>
      <c r="M47">
        <v>2639.92</v>
      </c>
      <c r="N47">
        <v>0</v>
      </c>
      <c r="O47">
        <v>0</v>
      </c>
      <c r="P47">
        <v>0</v>
      </c>
      <c r="Q47" s="166">
        <v>87.378103672435913</v>
      </c>
      <c r="R47" t="s">
        <v>30</v>
      </c>
      <c r="S47">
        <v>100</v>
      </c>
      <c r="T47">
        <v>10040</v>
      </c>
      <c r="U47" t="s">
        <v>113</v>
      </c>
      <c r="V47" t="s">
        <v>1806</v>
      </c>
      <c r="W47">
        <v>0</v>
      </c>
      <c r="X47" t="s">
        <v>30</v>
      </c>
      <c r="Y47" t="s">
        <v>30</v>
      </c>
      <c r="Z47">
        <v>12000</v>
      </c>
      <c r="AC47" s="4" t="s">
        <v>805</v>
      </c>
      <c r="AD47" s="8">
        <v>1910000</v>
      </c>
      <c r="AE47" s="4" t="s">
        <v>808</v>
      </c>
      <c r="AF47" s="8">
        <v>1910008</v>
      </c>
      <c r="AG47" s="4" t="s">
        <v>810</v>
      </c>
      <c r="AH47" s="8">
        <v>1910008</v>
      </c>
    </row>
    <row r="48" spans="1:34" x14ac:dyDescent="0.25">
      <c r="A48" s="176" t="s">
        <v>1233</v>
      </c>
      <c r="B48" t="s">
        <v>25</v>
      </c>
      <c r="C48" t="s">
        <v>26</v>
      </c>
      <c r="D48" t="s">
        <v>256</v>
      </c>
      <c r="E48" t="s">
        <v>250</v>
      </c>
      <c r="F48" t="s">
        <v>251</v>
      </c>
      <c r="G48" t="s">
        <v>257</v>
      </c>
      <c r="H48" t="s">
        <v>59</v>
      </c>
      <c r="I48" t="s">
        <v>38</v>
      </c>
      <c r="J48" t="s">
        <v>253</v>
      </c>
      <c r="K48">
        <v>2727.31</v>
      </c>
      <c r="L48" s="166">
        <v>87.378424055612214</v>
      </c>
      <c r="M48">
        <v>2639.93</v>
      </c>
      <c r="N48">
        <v>0</v>
      </c>
      <c r="O48">
        <v>0</v>
      </c>
      <c r="P48">
        <v>0</v>
      </c>
      <c r="Q48" s="166">
        <v>87.378424055612214</v>
      </c>
      <c r="R48" t="s">
        <v>30</v>
      </c>
      <c r="S48">
        <v>100</v>
      </c>
      <c r="T48">
        <v>10040</v>
      </c>
      <c r="U48" t="s">
        <v>113</v>
      </c>
      <c r="V48" t="s">
        <v>1806</v>
      </c>
      <c r="W48">
        <v>0</v>
      </c>
      <c r="X48" t="s">
        <v>30</v>
      </c>
      <c r="Y48" t="s">
        <v>30</v>
      </c>
      <c r="Z48">
        <v>12000</v>
      </c>
      <c r="AC48" s="4" t="s">
        <v>805</v>
      </c>
      <c r="AD48" s="8">
        <v>1910000</v>
      </c>
      <c r="AE48" s="4" t="s">
        <v>808</v>
      </c>
      <c r="AF48" s="8">
        <v>1910008</v>
      </c>
      <c r="AG48" s="4" t="s">
        <v>810</v>
      </c>
      <c r="AH48" s="8">
        <v>1910008</v>
      </c>
    </row>
    <row r="49" spans="1:34" x14ac:dyDescent="0.25">
      <c r="A49" s="176" t="s">
        <v>1234</v>
      </c>
      <c r="B49" t="s">
        <v>25</v>
      </c>
      <c r="C49" t="s">
        <v>26</v>
      </c>
      <c r="D49" t="s">
        <v>258</v>
      </c>
      <c r="E49" t="s">
        <v>250</v>
      </c>
      <c r="F49" t="s">
        <v>251</v>
      </c>
      <c r="G49" t="s">
        <v>259</v>
      </c>
      <c r="H49" t="s">
        <v>59</v>
      </c>
      <c r="I49" t="s">
        <v>38</v>
      </c>
      <c r="J49" t="s">
        <v>253</v>
      </c>
      <c r="K49">
        <v>4513.7299999999996</v>
      </c>
      <c r="L49" s="166">
        <v>144.61231543628648</v>
      </c>
      <c r="M49">
        <v>4369.12</v>
      </c>
      <c r="N49">
        <v>0</v>
      </c>
      <c r="O49">
        <v>0</v>
      </c>
      <c r="P49">
        <v>0</v>
      </c>
      <c r="Q49" s="166">
        <v>144.61231543628648</v>
      </c>
      <c r="R49" t="s">
        <v>30</v>
      </c>
      <c r="S49">
        <v>100</v>
      </c>
      <c r="T49">
        <v>14720</v>
      </c>
      <c r="U49" t="s">
        <v>113</v>
      </c>
      <c r="V49" t="s">
        <v>1806</v>
      </c>
      <c r="W49">
        <v>0</v>
      </c>
      <c r="X49" t="s">
        <v>30</v>
      </c>
      <c r="Y49" t="s">
        <v>30</v>
      </c>
      <c r="Z49">
        <v>17600</v>
      </c>
      <c r="AC49" s="4" t="s">
        <v>805</v>
      </c>
      <c r="AD49" s="8">
        <v>1910000</v>
      </c>
      <c r="AE49" s="4" t="s">
        <v>808</v>
      </c>
      <c r="AF49" s="8">
        <v>1910008</v>
      </c>
      <c r="AG49" s="4" t="s">
        <v>810</v>
      </c>
      <c r="AH49" s="8">
        <v>1910008</v>
      </c>
    </row>
    <row r="50" spans="1:34" x14ac:dyDescent="0.25">
      <c r="A50" s="176" t="s">
        <v>1235</v>
      </c>
      <c r="B50" t="s">
        <v>25</v>
      </c>
      <c r="C50" t="s">
        <v>26</v>
      </c>
      <c r="D50" t="s">
        <v>1148</v>
      </c>
      <c r="E50" t="s">
        <v>1149</v>
      </c>
      <c r="F50" t="s">
        <v>1150</v>
      </c>
      <c r="G50" t="s">
        <v>1151</v>
      </c>
      <c r="H50" t="s">
        <v>59</v>
      </c>
      <c r="I50" t="s">
        <v>91</v>
      </c>
      <c r="J50" t="s">
        <v>1152</v>
      </c>
      <c r="K50">
        <v>16330.68</v>
      </c>
      <c r="L50" s="166">
        <v>523.20751295470825</v>
      </c>
      <c r="M50">
        <v>15807.47</v>
      </c>
      <c r="N50">
        <v>0</v>
      </c>
      <c r="O50">
        <v>0</v>
      </c>
      <c r="P50">
        <v>0</v>
      </c>
      <c r="Q50" s="166">
        <v>523.20751295470825</v>
      </c>
      <c r="R50" t="s">
        <v>30</v>
      </c>
      <c r="S50">
        <v>50</v>
      </c>
      <c r="T50">
        <v>77300</v>
      </c>
      <c r="U50" t="s">
        <v>103</v>
      </c>
      <c r="V50" t="s">
        <v>1814</v>
      </c>
      <c r="W50">
        <v>0</v>
      </c>
      <c r="X50" t="s">
        <v>30</v>
      </c>
      <c r="Y50" t="s">
        <v>30</v>
      </c>
      <c r="Z50">
        <v>98000</v>
      </c>
      <c r="AC50" s="4" t="s">
        <v>805</v>
      </c>
      <c r="AD50" s="8">
        <v>1910000</v>
      </c>
      <c r="AE50" s="4" t="s">
        <v>808</v>
      </c>
      <c r="AF50" s="8">
        <v>1910008</v>
      </c>
      <c r="AG50" s="4" t="s">
        <v>810</v>
      </c>
      <c r="AH50" s="8">
        <v>1910008</v>
      </c>
    </row>
    <row r="51" spans="1:34" x14ac:dyDescent="0.25">
      <c r="A51" s="176" t="s">
        <v>1236</v>
      </c>
      <c r="B51" t="s">
        <v>25</v>
      </c>
      <c r="C51" t="s">
        <v>26</v>
      </c>
      <c r="D51" t="s">
        <v>1153</v>
      </c>
      <c r="E51" t="s">
        <v>1149</v>
      </c>
      <c r="F51" t="s">
        <v>1150</v>
      </c>
      <c r="G51" t="s">
        <v>1151</v>
      </c>
      <c r="H51" t="s">
        <v>59</v>
      </c>
      <c r="I51" t="s">
        <v>66</v>
      </c>
      <c r="J51" t="s">
        <v>1152</v>
      </c>
      <c r="K51">
        <v>2005.95</v>
      </c>
      <c r="L51" s="166">
        <v>64.267263249999203</v>
      </c>
      <c r="M51">
        <v>1941.68</v>
      </c>
      <c r="N51">
        <v>0</v>
      </c>
      <c r="O51">
        <v>0</v>
      </c>
      <c r="P51">
        <v>0</v>
      </c>
      <c r="Q51" s="166">
        <v>64.267263249999203</v>
      </c>
      <c r="R51" t="s">
        <v>30</v>
      </c>
      <c r="S51">
        <v>50</v>
      </c>
      <c r="T51">
        <v>11300</v>
      </c>
      <c r="U51" t="s">
        <v>103</v>
      </c>
      <c r="V51" t="s">
        <v>1814</v>
      </c>
      <c r="W51">
        <v>0</v>
      </c>
      <c r="X51" t="s">
        <v>30</v>
      </c>
      <c r="Y51" t="s">
        <v>30</v>
      </c>
      <c r="Z51">
        <v>14300</v>
      </c>
      <c r="AC51" s="4" t="s">
        <v>805</v>
      </c>
      <c r="AD51" s="8">
        <v>1910000</v>
      </c>
      <c r="AE51" s="4" t="s">
        <v>808</v>
      </c>
      <c r="AF51" s="8">
        <v>1910008</v>
      </c>
      <c r="AG51" s="4" t="s">
        <v>810</v>
      </c>
      <c r="AH51" s="8">
        <v>1910008</v>
      </c>
    </row>
    <row r="52" spans="1:34" x14ac:dyDescent="0.25">
      <c r="A52" s="176" t="s">
        <v>1237</v>
      </c>
      <c r="B52" t="s">
        <v>25</v>
      </c>
      <c r="C52" t="s">
        <v>26</v>
      </c>
      <c r="D52" t="s">
        <v>263</v>
      </c>
      <c r="E52" t="s">
        <v>264</v>
      </c>
      <c r="F52" t="s">
        <v>265</v>
      </c>
      <c r="G52" t="s">
        <v>266</v>
      </c>
      <c r="H52" t="s">
        <v>31</v>
      </c>
      <c r="I52" t="s">
        <v>86</v>
      </c>
      <c r="J52" t="s">
        <v>267</v>
      </c>
      <c r="K52">
        <v>77248.66</v>
      </c>
      <c r="L52" s="166">
        <v>35388.670579450001</v>
      </c>
      <c r="M52">
        <v>41859.99</v>
      </c>
      <c r="N52">
        <v>0</v>
      </c>
      <c r="O52">
        <v>0</v>
      </c>
      <c r="P52">
        <v>0</v>
      </c>
      <c r="Q52" s="166">
        <v>35388.670579450001</v>
      </c>
      <c r="R52" t="s">
        <v>30</v>
      </c>
      <c r="S52">
        <v>100</v>
      </c>
      <c r="T52">
        <v>172400</v>
      </c>
      <c r="U52" t="s">
        <v>34</v>
      </c>
      <c r="V52" t="s">
        <v>1813</v>
      </c>
      <c r="W52">
        <v>0</v>
      </c>
      <c r="X52" t="s">
        <v>30</v>
      </c>
      <c r="Y52" t="s">
        <v>30</v>
      </c>
      <c r="Z52">
        <v>218700</v>
      </c>
      <c r="AC52" s="4" t="s">
        <v>803</v>
      </c>
      <c r="AD52" s="8">
        <v>19910000</v>
      </c>
      <c r="AE52" s="4" t="s">
        <v>806</v>
      </c>
      <c r="AF52" s="8">
        <v>19910001</v>
      </c>
      <c r="AG52" s="4" t="s">
        <v>809</v>
      </c>
      <c r="AH52" s="8">
        <v>19910001</v>
      </c>
    </row>
    <row r="53" spans="1:34" x14ac:dyDescent="0.25">
      <c r="A53" s="176" t="s">
        <v>1238</v>
      </c>
      <c r="B53" t="s">
        <v>25</v>
      </c>
      <c r="C53" t="s">
        <v>26</v>
      </c>
      <c r="D53" t="s">
        <v>270</v>
      </c>
      <c r="E53" t="s">
        <v>271</v>
      </c>
      <c r="F53" t="s">
        <v>272</v>
      </c>
      <c r="G53" t="s">
        <v>273</v>
      </c>
      <c r="H53" t="s">
        <v>59</v>
      </c>
      <c r="I53" t="s">
        <v>86</v>
      </c>
      <c r="J53" t="s">
        <v>227</v>
      </c>
      <c r="K53">
        <v>111038.49</v>
      </c>
      <c r="L53" s="166">
        <v>3557.4864117811535</v>
      </c>
      <c r="M53">
        <v>107481</v>
      </c>
      <c r="N53">
        <v>0</v>
      </c>
      <c r="O53">
        <v>0</v>
      </c>
      <c r="P53">
        <v>0</v>
      </c>
      <c r="Q53" s="166">
        <v>3557.4864117811535</v>
      </c>
      <c r="R53" t="s">
        <v>30</v>
      </c>
      <c r="S53">
        <v>100</v>
      </c>
      <c r="T53">
        <v>216000</v>
      </c>
      <c r="U53" t="s">
        <v>78</v>
      </c>
      <c r="V53" t="s">
        <v>1577</v>
      </c>
      <c r="W53">
        <v>0</v>
      </c>
      <c r="X53" t="s">
        <v>30</v>
      </c>
      <c r="Y53" t="s">
        <v>30</v>
      </c>
      <c r="Z53">
        <v>252400</v>
      </c>
      <c r="AC53" s="4" t="s">
        <v>805</v>
      </c>
      <c r="AD53" s="8">
        <v>1910000</v>
      </c>
      <c r="AE53" s="4" t="s">
        <v>808</v>
      </c>
      <c r="AF53" s="8">
        <v>1910008</v>
      </c>
      <c r="AG53" s="4" t="s">
        <v>810</v>
      </c>
      <c r="AH53" s="8">
        <v>1910008</v>
      </c>
    </row>
    <row r="54" spans="1:34" x14ac:dyDescent="0.25">
      <c r="A54" s="176" t="s">
        <v>1239</v>
      </c>
      <c r="B54" t="s">
        <v>25</v>
      </c>
      <c r="C54" t="s">
        <v>26</v>
      </c>
      <c r="D54" t="s">
        <v>276</v>
      </c>
      <c r="E54" t="s">
        <v>30</v>
      </c>
      <c r="F54" t="s">
        <v>30</v>
      </c>
      <c r="G54" t="s">
        <v>30</v>
      </c>
      <c r="H54" t="s">
        <v>59</v>
      </c>
      <c r="I54" t="s">
        <v>86</v>
      </c>
      <c r="J54" t="s">
        <v>277</v>
      </c>
      <c r="K54">
        <v>79621.740000000005</v>
      </c>
      <c r="L54" s="166">
        <v>9345.2036238000019</v>
      </c>
      <c r="M54">
        <v>70276.539999999994</v>
      </c>
      <c r="N54">
        <v>0</v>
      </c>
      <c r="O54">
        <v>0</v>
      </c>
      <c r="P54">
        <v>0</v>
      </c>
      <c r="Q54" s="166">
        <v>9345.2036238000019</v>
      </c>
      <c r="R54" t="s">
        <v>30</v>
      </c>
      <c r="S54">
        <v>100</v>
      </c>
      <c r="T54">
        <v>91900</v>
      </c>
      <c r="U54" t="s">
        <v>34</v>
      </c>
      <c r="V54" t="s">
        <v>1815</v>
      </c>
      <c r="W54">
        <v>0</v>
      </c>
      <c r="X54" t="s">
        <v>30</v>
      </c>
      <c r="Y54" t="s">
        <v>30</v>
      </c>
      <c r="Z54">
        <v>120400</v>
      </c>
      <c r="AC54" s="4" t="s">
        <v>805</v>
      </c>
      <c r="AD54" s="8">
        <v>1910000</v>
      </c>
      <c r="AE54" s="4" t="s">
        <v>808</v>
      </c>
      <c r="AF54" s="8">
        <v>1910008</v>
      </c>
      <c r="AG54" s="4" t="s">
        <v>810</v>
      </c>
      <c r="AH54" s="8">
        <v>1910008</v>
      </c>
    </row>
    <row r="55" spans="1:34" x14ac:dyDescent="0.25">
      <c r="A55" s="176" t="s">
        <v>1240</v>
      </c>
      <c r="B55" t="s">
        <v>87</v>
      </c>
      <c r="C55" t="s">
        <v>278</v>
      </c>
      <c r="D55" t="s">
        <v>279</v>
      </c>
      <c r="E55" t="s">
        <v>280</v>
      </c>
      <c r="F55" t="s">
        <v>30</v>
      </c>
      <c r="G55" t="s">
        <v>30</v>
      </c>
      <c r="H55" t="s">
        <v>37</v>
      </c>
      <c r="I55" t="s">
        <v>105</v>
      </c>
      <c r="J55" t="s">
        <v>281</v>
      </c>
      <c r="K55">
        <v>3081439.91</v>
      </c>
      <c r="L55" s="166">
        <v>3024250.1149040004</v>
      </c>
      <c r="M55">
        <v>57189.8</v>
      </c>
      <c r="N55">
        <v>5831.53</v>
      </c>
      <c r="O55" s="8">
        <v>58315.28</v>
      </c>
      <c r="P55">
        <v>3023124.6300000004</v>
      </c>
      <c r="Q55" s="166">
        <v>1125.484903999996</v>
      </c>
      <c r="R55" s="174" t="s">
        <v>1142</v>
      </c>
      <c r="S55">
        <v>100</v>
      </c>
      <c r="T55">
        <v>317000</v>
      </c>
      <c r="U55" t="s">
        <v>226</v>
      </c>
      <c r="V55" t="s">
        <v>274</v>
      </c>
      <c r="W55">
        <v>0</v>
      </c>
      <c r="X55" t="s">
        <v>30</v>
      </c>
      <c r="Y55" t="s">
        <v>30</v>
      </c>
      <c r="Z55">
        <v>418000</v>
      </c>
      <c r="AC55" s="4" t="s">
        <v>805</v>
      </c>
      <c r="AD55" s="8">
        <v>1910000</v>
      </c>
      <c r="AE55" s="4" t="s">
        <v>808</v>
      </c>
      <c r="AF55" s="8">
        <v>1910008</v>
      </c>
      <c r="AG55" s="4" t="s">
        <v>810</v>
      </c>
      <c r="AH55" s="8">
        <v>1910008</v>
      </c>
    </row>
    <row r="56" spans="1:34" x14ac:dyDescent="0.25">
      <c r="A56" s="176" t="s">
        <v>1241</v>
      </c>
      <c r="B56" t="s">
        <v>25</v>
      </c>
      <c r="C56" t="s">
        <v>278</v>
      </c>
      <c r="D56" t="s">
        <v>282</v>
      </c>
      <c r="E56" t="s">
        <v>30</v>
      </c>
      <c r="F56" t="s">
        <v>30</v>
      </c>
      <c r="G56" t="s">
        <v>30</v>
      </c>
      <c r="H56" t="s">
        <v>37</v>
      </c>
      <c r="I56" t="s">
        <v>53</v>
      </c>
      <c r="J56" t="s">
        <v>283</v>
      </c>
      <c r="K56">
        <v>41900.89</v>
      </c>
      <c r="L56" s="166">
        <v>5777.5802530000001</v>
      </c>
      <c r="M56">
        <v>36123.31</v>
      </c>
      <c r="N56">
        <v>3683.42</v>
      </c>
      <c r="O56" s="8">
        <v>36834.21</v>
      </c>
      <c r="P56">
        <v>5066.68</v>
      </c>
      <c r="Q56" s="166">
        <v>710.90025300000002</v>
      </c>
      <c r="R56" s="174" t="s">
        <v>1142</v>
      </c>
      <c r="S56">
        <v>100</v>
      </c>
      <c r="T56">
        <v>41000</v>
      </c>
      <c r="U56" t="s">
        <v>78</v>
      </c>
      <c r="V56" t="s">
        <v>284</v>
      </c>
      <c r="W56">
        <v>0</v>
      </c>
      <c r="X56" t="s">
        <v>30</v>
      </c>
      <c r="Y56" t="s">
        <v>30</v>
      </c>
      <c r="Z56">
        <v>48000</v>
      </c>
      <c r="AC56" s="4" t="s">
        <v>805</v>
      </c>
      <c r="AD56" s="8">
        <v>1910000</v>
      </c>
      <c r="AE56" s="4" t="s">
        <v>808</v>
      </c>
      <c r="AF56" s="8">
        <v>1910008</v>
      </c>
      <c r="AG56" s="4" t="s">
        <v>810</v>
      </c>
      <c r="AH56" s="8">
        <v>1910008</v>
      </c>
    </row>
    <row r="57" spans="1:34" x14ac:dyDescent="0.25">
      <c r="A57" s="176" t="s">
        <v>1242</v>
      </c>
      <c r="B57" t="s">
        <v>25</v>
      </c>
      <c r="C57" t="s">
        <v>278</v>
      </c>
      <c r="D57" t="s">
        <v>285</v>
      </c>
      <c r="E57" t="s">
        <v>286</v>
      </c>
      <c r="F57" t="s">
        <v>30</v>
      </c>
      <c r="G57" t="s">
        <v>30</v>
      </c>
      <c r="H57" t="s">
        <v>37</v>
      </c>
      <c r="I57" t="s">
        <v>53</v>
      </c>
      <c r="J57" t="s">
        <v>287</v>
      </c>
      <c r="K57">
        <v>166340.79</v>
      </c>
      <c r="L57" s="166">
        <v>3210.3772470000004</v>
      </c>
      <c r="M57">
        <v>163130.41</v>
      </c>
      <c r="N57">
        <v>20459.900000000001</v>
      </c>
      <c r="O57" s="8">
        <v>204599.04000000001</v>
      </c>
      <c r="P57">
        <v>0</v>
      </c>
      <c r="Q57" s="166">
        <v>3210.3772470000004</v>
      </c>
      <c r="R57" s="174" t="s">
        <v>1142</v>
      </c>
      <c r="S57">
        <v>100</v>
      </c>
      <c r="T57">
        <v>197920</v>
      </c>
      <c r="U57" t="s">
        <v>107</v>
      </c>
      <c r="V57" t="s">
        <v>1081</v>
      </c>
      <c r="W57">
        <v>0</v>
      </c>
      <c r="X57" t="s">
        <v>30</v>
      </c>
      <c r="Y57" t="s">
        <v>30</v>
      </c>
      <c r="Z57">
        <v>245800</v>
      </c>
      <c r="AC57" s="4" t="s">
        <v>805</v>
      </c>
      <c r="AD57" s="8">
        <v>1910000</v>
      </c>
      <c r="AE57" s="4" t="s">
        <v>808</v>
      </c>
      <c r="AF57" s="8">
        <v>1910008</v>
      </c>
      <c r="AG57" s="4" t="s">
        <v>810</v>
      </c>
      <c r="AH57" s="8">
        <v>1910008</v>
      </c>
    </row>
    <row r="58" spans="1:34" x14ac:dyDescent="0.25">
      <c r="A58" s="176" t="s">
        <v>1243</v>
      </c>
      <c r="B58" t="s">
        <v>25</v>
      </c>
      <c r="C58" t="s">
        <v>278</v>
      </c>
      <c r="D58" t="s">
        <v>288</v>
      </c>
      <c r="E58" t="s">
        <v>30</v>
      </c>
      <c r="F58" t="s">
        <v>30</v>
      </c>
      <c r="G58" t="s">
        <v>30</v>
      </c>
      <c r="H58" t="s">
        <v>31</v>
      </c>
      <c r="I58" t="s">
        <v>53</v>
      </c>
      <c r="J58" t="s">
        <v>289</v>
      </c>
      <c r="K58">
        <v>129986.45</v>
      </c>
      <c r="L58" s="166">
        <v>129986.45</v>
      </c>
      <c r="M58">
        <v>0</v>
      </c>
      <c r="N58">
        <v>0</v>
      </c>
      <c r="O58">
        <v>0</v>
      </c>
      <c r="P58">
        <v>19986.449999999997</v>
      </c>
      <c r="Q58" s="166">
        <v>110000</v>
      </c>
      <c r="R58" t="s">
        <v>30</v>
      </c>
      <c r="S58">
        <v>100</v>
      </c>
      <c r="T58">
        <v>110000</v>
      </c>
      <c r="U58" t="s">
        <v>78</v>
      </c>
      <c r="V58" t="s">
        <v>1578</v>
      </c>
      <c r="W58">
        <v>0</v>
      </c>
      <c r="X58" t="s">
        <v>30</v>
      </c>
      <c r="Y58" t="s">
        <v>30</v>
      </c>
      <c r="Z58">
        <v>128200</v>
      </c>
      <c r="AC58" s="4" t="s">
        <v>803</v>
      </c>
      <c r="AD58" s="8">
        <v>19910000</v>
      </c>
      <c r="AE58" s="4" t="s">
        <v>806</v>
      </c>
      <c r="AF58" s="8">
        <v>19910001</v>
      </c>
      <c r="AG58" s="4" t="s">
        <v>809</v>
      </c>
      <c r="AH58" s="8">
        <v>19910001</v>
      </c>
    </row>
    <row r="59" spans="1:34" x14ac:dyDescent="0.25">
      <c r="A59" s="176" t="s">
        <v>1244</v>
      </c>
      <c r="B59" t="s">
        <v>87</v>
      </c>
      <c r="C59" t="s">
        <v>278</v>
      </c>
      <c r="D59" t="s">
        <v>290</v>
      </c>
      <c r="E59" t="s">
        <v>291</v>
      </c>
      <c r="F59" t="s">
        <v>30</v>
      </c>
      <c r="G59" t="s">
        <v>30</v>
      </c>
      <c r="H59" t="s">
        <v>37</v>
      </c>
      <c r="I59" t="s">
        <v>86</v>
      </c>
      <c r="J59" t="s">
        <v>292</v>
      </c>
      <c r="K59">
        <v>87385.9</v>
      </c>
      <c r="L59" s="166">
        <v>84320.888868999988</v>
      </c>
      <c r="M59">
        <v>3065.01</v>
      </c>
      <c r="N59">
        <v>312.52999999999997</v>
      </c>
      <c r="O59" s="8">
        <v>3125.33</v>
      </c>
      <c r="P59">
        <v>84260.569999999992</v>
      </c>
      <c r="Q59" s="166">
        <v>60.318869000000035</v>
      </c>
      <c r="R59" s="174" t="s">
        <v>1142</v>
      </c>
      <c r="S59">
        <v>100</v>
      </c>
      <c r="T59">
        <v>41700</v>
      </c>
      <c r="U59" t="s">
        <v>78</v>
      </c>
      <c r="V59" t="s">
        <v>1082</v>
      </c>
      <c r="W59">
        <v>0</v>
      </c>
      <c r="X59" t="s">
        <v>43</v>
      </c>
      <c r="Y59" t="s">
        <v>294</v>
      </c>
      <c r="Z59">
        <v>52500</v>
      </c>
      <c r="AC59" s="4" t="s">
        <v>805</v>
      </c>
      <c r="AD59" s="8">
        <v>1910000</v>
      </c>
      <c r="AE59" s="4" t="s">
        <v>808</v>
      </c>
      <c r="AF59" s="8">
        <v>1910008</v>
      </c>
      <c r="AG59" s="4" t="s">
        <v>810</v>
      </c>
      <c r="AH59" s="8">
        <v>1910008</v>
      </c>
    </row>
    <row r="60" spans="1:34" x14ac:dyDescent="0.25">
      <c r="A60" s="176" t="s">
        <v>1245</v>
      </c>
      <c r="B60" t="s">
        <v>87</v>
      </c>
      <c r="C60" t="s">
        <v>278</v>
      </c>
      <c r="D60" t="s">
        <v>295</v>
      </c>
      <c r="E60" t="s">
        <v>291</v>
      </c>
      <c r="F60" t="s">
        <v>30</v>
      </c>
      <c r="G60" t="s">
        <v>30</v>
      </c>
      <c r="H60" t="s">
        <v>37</v>
      </c>
      <c r="I60" t="s">
        <v>91</v>
      </c>
      <c r="J60" t="s">
        <v>292</v>
      </c>
      <c r="K60">
        <v>22229.86</v>
      </c>
      <c r="L60" s="166">
        <v>10655.109022000001</v>
      </c>
      <c r="M60">
        <v>11574.75</v>
      </c>
      <c r="N60">
        <v>1180.25</v>
      </c>
      <c r="O60" s="8">
        <v>11802.54</v>
      </c>
      <c r="P60">
        <v>10427.32</v>
      </c>
      <c r="Q60" s="166">
        <v>227.78902200000002</v>
      </c>
      <c r="R60" s="174" t="s">
        <v>1142</v>
      </c>
      <c r="S60">
        <v>100</v>
      </c>
      <c r="T60">
        <v>7100</v>
      </c>
      <c r="U60" t="s">
        <v>78</v>
      </c>
      <c r="V60" t="s">
        <v>1082</v>
      </c>
      <c r="W60">
        <v>0</v>
      </c>
      <c r="X60" t="s">
        <v>43</v>
      </c>
      <c r="Y60" t="s">
        <v>294</v>
      </c>
      <c r="Z60">
        <v>9000</v>
      </c>
      <c r="AC60" s="4" t="s">
        <v>805</v>
      </c>
      <c r="AD60" s="8">
        <v>1910000</v>
      </c>
      <c r="AE60" s="4" t="s">
        <v>808</v>
      </c>
      <c r="AF60" s="8">
        <v>1910008</v>
      </c>
      <c r="AG60" s="4" t="s">
        <v>810</v>
      </c>
      <c r="AH60" s="8">
        <v>1910008</v>
      </c>
    </row>
    <row r="61" spans="1:34" x14ac:dyDescent="0.25">
      <c r="A61" s="176" t="s">
        <v>1246</v>
      </c>
      <c r="B61" t="s">
        <v>87</v>
      </c>
      <c r="C61" t="s">
        <v>278</v>
      </c>
      <c r="D61" t="s">
        <v>296</v>
      </c>
      <c r="E61" t="s">
        <v>291</v>
      </c>
      <c r="F61" t="s">
        <v>30</v>
      </c>
      <c r="G61" t="s">
        <v>30</v>
      </c>
      <c r="H61" t="s">
        <v>37</v>
      </c>
      <c r="I61" t="s">
        <v>91</v>
      </c>
      <c r="J61" t="s">
        <v>292</v>
      </c>
      <c r="K61">
        <v>26578.67</v>
      </c>
      <c r="L61" s="166">
        <v>19404.025711999999</v>
      </c>
      <c r="M61">
        <v>7174.64</v>
      </c>
      <c r="N61">
        <v>731.58</v>
      </c>
      <c r="O61" s="8">
        <v>7315.84</v>
      </c>
      <c r="P61">
        <v>19262.829999999998</v>
      </c>
      <c r="Q61" s="166">
        <v>141.19571200000001</v>
      </c>
      <c r="R61" s="174" t="s">
        <v>1142</v>
      </c>
      <c r="S61">
        <v>100</v>
      </c>
      <c r="T61">
        <v>6200</v>
      </c>
      <c r="U61" t="s">
        <v>78</v>
      </c>
      <c r="V61" t="s">
        <v>1082</v>
      </c>
      <c r="W61">
        <v>0</v>
      </c>
      <c r="X61" t="s">
        <v>43</v>
      </c>
      <c r="Y61" t="s">
        <v>294</v>
      </c>
      <c r="Z61">
        <v>7800</v>
      </c>
      <c r="AC61" s="4" t="s">
        <v>805</v>
      </c>
      <c r="AD61" s="8">
        <v>1910000</v>
      </c>
      <c r="AE61" s="4" t="s">
        <v>808</v>
      </c>
      <c r="AF61" s="8">
        <v>1910008</v>
      </c>
      <c r="AG61" s="4" t="s">
        <v>810</v>
      </c>
      <c r="AH61" s="8">
        <v>1910008</v>
      </c>
    </row>
    <row r="62" spans="1:34" x14ac:dyDescent="0.25">
      <c r="A62" s="176" t="s">
        <v>1247</v>
      </c>
      <c r="B62" t="s">
        <v>87</v>
      </c>
      <c r="C62" t="s">
        <v>278</v>
      </c>
      <c r="D62" t="s">
        <v>297</v>
      </c>
      <c r="E62" t="s">
        <v>291</v>
      </c>
      <c r="F62" t="s">
        <v>30</v>
      </c>
      <c r="G62" t="s">
        <v>30</v>
      </c>
      <c r="H62" t="s">
        <v>37</v>
      </c>
      <c r="I62" t="s">
        <v>91</v>
      </c>
      <c r="J62" t="s">
        <v>292</v>
      </c>
      <c r="K62">
        <v>22229.86</v>
      </c>
      <c r="L62" s="166">
        <v>12039.200353000002</v>
      </c>
      <c r="M62">
        <v>10190.66</v>
      </c>
      <c r="N62">
        <v>1039.1199999999999</v>
      </c>
      <c r="O62" s="8">
        <v>10391.209999999999</v>
      </c>
      <c r="P62">
        <v>11838.650000000001</v>
      </c>
      <c r="Q62" s="166">
        <v>200.550353</v>
      </c>
      <c r="R62" s="174" t="s">
        <v>1142</v>
      </c>
      <c r="S62">
        <v>100</v>
      </c>
      <c r="T62">
        <v>7100</v>
      </c>
      <c r="U62" t="s">
        <v>78</v>
      </c>
      <c r="V62" t="s">
        <v>1082</v>
      </c>
      <c r="W62">
        <v>0</v>
      </c>
      <c r="X62" t="s">
        <v>43</v>
      </c>
      <c r="Y62" t="s">
        <v>294</v>
      </c>
      <c r="Z62">
        <v>9000</v>
      </c>
      <c r="AC62" s="4" t="s">
        <v>805</v>
      </c>
      <c r="AD62" s="8">
        <v>1910000</v>
      </c>
      <c r="AE62" s="4" t="s">
        <v>808</v>
      </c>
      <c r="AF62" s="8">
        <v>1910008</v>
      </c>
      <c r="AG62" s="4" t="s">
        <v>810</v>
      </c>
      <c r="AH62" s="8">
        <v>1910008</v>
      </c>
    </row>
    <row r="63" spans="1:34" x14ac:dyDescent="0.25">
      <c r="A63" s="176" t="s">
        <v>1248</v>
      </c>
      <c r="B63" t="s">
        <v>87</v>
      </c>
      <c r="C63" t="s">
        <v>278</v>
      </c>
      <c r="D63" t="s">
        <v>298</v>
      </c>
      <c r="E63" t="s">
        <v>291</v>
      </c>
      <c r="F63" t="s">
        <v>30</v>
      </c>
      <c r="G63" t="s">
        <v>30</v>
      </c>
      <c r="H63" t="s">
        <v>37</v>
      </c>
      <c r="I63" t="s">
        <v>91</v>
      </c>
      <c r="J63" t="s">
        <v>292</v>
      </c>
      <c r="K63">
        <v>26578.67</v>
      </c>
      <c r="L63" s="166">
        <v>19653.309844999996</v>
      </c>
      <c r="M63">
        <v>6925.36</v>
      </c>
      <c r="N63">
        <v>706.16</v>
      </c>
      <c r="O63" s="8">
        <v>7061.65</v>
      </c>
      <c r="P63">
        <v>19517.019999999997</v>
      </c>
      <c r="Q63" s="166">
        <v>136.28984500000004</v>
      </c>
      <c r="R63" s="174" t="s">
        <v>1142</v>
      </c>
      <c r="S63">
        <v>100</v>
      </c>
      <c r="T63">
        <v>6200</v>
      </c>
      <c r="U63" t="s">
        <v>78</v>
      </c>
      <c r="V63" t="s">
        <v>1082</v>
      </c>
      <c r="W63">
        <v>0</v>
      </c>
      <c r="X63" t="s">
        <v>43</v>
      </c>
      <c r="Y63" t="s">
        <v>294</v>
      </c>
      <c r="Z63">
        <v>7800</v>
      </c>
      <c r="AC63" s="4" t="s">
        <v>805</v>
      </c>
      <c r="AD63" s="8">
        <v>1910000</v>
      </c>
      <c r="AE63" s="4" t="s">
        <v>808</v>
      </c>
      <c r="AF63" s="8">
        <v>1910008</v>
      </c>
      <c r="AG63" s="4" t="s">
        <v>810</v>
      </c>
      <c r="AH63" s="8">
        <v>1910008</v>
      </c>
    </row>
    <row r="64" spans="1:34" x14ac:dyDescent="0.25">
      <c r="A64" s="176" t="s">
        <v>1249</v>
      </c>
      <c r="B64" t="s">
        <v>87</v>
      </c>
      <c r="C64" t="s">
        <v>278</v>
      </c>
      <c r="D64" t="s">
        <v>299</v>
      </c>
      <c r="E64" t="s">
        <v>291</v>
      </c>
      <c r="F64" t="s">
        <v>30</v>
      </c>
      <c r="G64" t="s">
        <v>30</v>
      </c>
      <c r="H64" t="s">
        <v>37</v>
      </c>
      <c r="I64" t="s">
        <v>91</v>
      </c>
      <c r="J64" t="s">
        <v>292</v>
      </c>
      <c r="K64">
        <v>22229.86</v>
      </c>
      <c r="L64" s="166">
        <v>15179.166385</v>
      </c>
      <c r="M64">
        <v>7050.69</v>
      </c>
      <c r="N64">
        <v>718.94</v>
      </c>
      <c r="O64" s="8">
        <v>7189.45</v>
      </c>
      <c r="P64">
        <v>15040.41</v>
      </c>
      <c r="Q64" s="166">
        <v>138.75638500000002</v>
      </c>
      <c r="R64" s="174" t="s">
        <v>1142</v>
      </c>
      <c r="S64">
        <v>100</v>
      </c>
      <c r="T64">
        <v>7000</v>
      </c>
      <c r="U64" t="s">
        <v>78</v>
      </c>
      <c r="V64" t="s">
        <v>1082</v>
      </c>
      <c r="W64">
        <v>0</v>
      </c>
      <c r="X64" t="s">
        <v>43</v>
      </c>
      <c r="Y64" t="s">
        <v>294</v>
      </c>
      <c r="Z64">
        <v>8800</v>
      </c>
      <c r="AC64" s="4" t="s">
        <v>805</v>
      </c>
      <c r="AD64" s="8">
        <v>1910000</v>
      </c>
      <c r="AE64" s="4" t="s">
        <v>808</v>
      </c>
      <c r="AF64" s="8">
        <v>1910008</v>
      </c>
      <c r="AG64" s="4" t="s">
        <v>810</v>
      </c>
      <c r="AH64" s="8">
        <v>1910008</v>
      </c>
    </row>
    <row r="65" spans="1:34" x14ac:dyDescent="0.25">
      <c r="A65" s="176" t="s">
        <v>1250</v>
      </c>
      <c r="B65" t="s">
        <v>87</v>
      </c>
      <c r="C65" t="s">
        <v>278</v>
      </c>
      <c r="D65" t="s">
        <v>300</v>
      </c>
      <c r="E65" t="s">
        <v>291</v>
      </c>
      <c r="F65" t="s">
        <v>30</v>
      </c>
      <c r="G65" t="s">
        <v>30</v>
      </c>
      <c r="H65" t="s">
        <v>37</v>
      </c>
      <c r="I65" t="s">
        <v>91</v>
      </c>
      <c r="J65" t="s">
        <v>292</v>
      </c>
      <c r="K65">
        <v>26315.33</v>
      </c>
      <c r="L65" s="166">
        <v>20160.211625000004</v>
      </c>
      <c r="M65">
        <v>6155.12</v>
      </c>
      <c r="N65">
        <v>627.62</v>
      </c>
      <c r="O65" s="8">
        <v>6276.25</v>
      </c>
      <c r="P65">
        <v>20039.080000000002</v>
      </c>
      <c r="Q65" s="166">
        <v>121.13162500000001</v>
      </c>
      <c r="R65" s="174" t="s">
        <v>1142</v>
      </c>
      <c r="S65">
        <v>100</v>
      </c>
      <c r="T65">
        <v>6400</v>
      </c>
      <c r="U65" t="s">
        <v>78</v>
      </c>
      <c r="V65" t="s">
        <v>1082</v>
      </c>
      <c r="W65">
        <v>0</v>
      </c>
      <c r="X65" t="s">
        <v>43</v>
      </c>
      <c r="Y65" t="s">
        <v>294</v>
      </c>
      <c r="Z65">
        <v>8000</v>
      </c>
      <c r="AC65" s="4" t="s">
        <v>805</v>
      </c>
      <c r="AD65" s="8">
        <v>1910000</v>
      </c>
      <c r="AE65" s="4" t="s">
        <v>808</v>
      </c>
      <c r="AF65" s="8">
        <v>1910008</v>
      </c>
      <c r="AG65" s="4" t="s">
        <v>810</v>
      </c>
      <c r="AH65" s="8">
        <v>1910008</v>
      </c>
    </row>
    <row r="66" spans="1:34" x14ac:dyDescent="0.25">
      <c r="A66" s="176" t="s">
        <v>1251</v>
      </c>
      <c r="B66" t="s">
        <v>87</v>
      </c>
      <c r="C66" t="s">
        <v>278</v>
      </c>
      <c r="D66" t="s">
        <v>301</v>
      </c>
      <c r="E66" t="s">
        <v>291</v>
      </c>
      <c r="F66" t="s">
        <v>30</v>
      </c>
      <c r="G66" t="s">
        <v>30</v>
      </c>
      <c r="H66" t="s">
        <v>37</v>
      </c>
      <c r="I66" t="s">
        <v>86</v>
      </c>
      <c r="J66" t="s">
        <v>292</v>
      </c>
      <c r="K66">
        <v>13021.7</v>
      </c>
      <c r="L66" s="166">
        <v>12908.801815999999</v>
      </c>
      <c r="M66">
        <v>112.9</v>
      </c>
      <c r="N66">
        <v>11.51</v>
      </c>
      <c r="O66" s="8">
        <v>115.12</v>
      </c>
      <c r="P66">
        <v>12906.58</v>
      </c>
      <c r="Q66" s="166">
        <v>2.2218160000000156</v>
      </c>
      <c r="R66" s="174" t="s">
        <v>1142</v>
      </c>
      <c r="S66">
        <v>100</v>
      </c>
      <c r="T66">
        <v>3700</v>
      </c>
      <c r="U66" t="s">
        <v>78</v>
      </c>
      <c r="V66" t="s">
        <v>1082</v>
      </c>
      <c r="W66">
        <v>0</v>
      </c>
      <c r="X66" t="s">
        <v>43</v>
      </c>
      <c r="Y66" t="s">
        <v>294</v>
      </c>
      <c r="Z66">
        <v>4600</v>
      </c>
      <c r="AC66" s="4" t="s">
        <v>805</v>
      </c>
      <c r="AD66" s="8">
        <v>1910000</v>
      </c>
      <c r="AE66" s="4" t="s">
        <v>808</v>
      </c>
      <c r="AF66" s="8">
        <v>1910008</v>
      </c>
      <c r="AG66" s="4" t="s">
        <v>810</v>
      </c>
      <c r="AH66" s="8">
        <v>1910008</v>
      </c>
    </row>
    <row r="67" spans="1:34" x14ac:dyDescent="0.25">
      <c r="A67" s="176" t="s">
        <v>1252</v>
      </c>
      <c r="B67" t="s">
        <v>87</v>
      </c>
      <c r="C67" t="s">
        <v>278</v>
      </c>
      <c r="D67" t="s">
        <v>302</v>
      </c>
      <c r="E67" t="s">
        <v>291</v>
      </c>
      <c r="F67" t="s">
        <v>30</v>
      </c>
      <c r="G67" t="s">
        <v>30</v>
      </c>
      <c r="H67" t="s">
        <v>37</v>
      </c>
      <c r="I67" t="s">
        <v>91</v>
      </c>
      <c r="J67" t="s">
        <v>292</v>
      </c>
      <c r="K67">
        <v>22218.04</v>
      </c>
      <c r="L67" s="166">
        <v>15768.593941000001</v>
      </c>
      <c r="M67">
        <v>6449.45</v>
      </c>
      <c r="N67">
        <v>657.64</v>
      </c>
      <c r="O67" s="8">
        <v>6576.37</v>
      </c>
      <c r="P67">
        <v>15641.670000000002</v>
      </c>
      <c r="Q67" s="166">
        <v>126.92394099999999</v>
      </c>
      <c r="R67" s="174" t="s">
        <v>1142</v>
      </c>
      <c r="S67">
        <v>100</v>
      </c>
      <c r="T67">
        <v>6200</v>
      </c>
      <c r="U67" t="s">
        <v>78</v>
      </c>
      <c r="V67" t="s">
        <v>1082</v>
      </c>
      <c r="W67">
        <v>0</v>
      </c>
      <c r="X67" t="s">
        <v>43</v>
      </c>
      <c r="Y67" t="s">
        <v>294</v>
      </c>
      <c r="Z67">
        <v>7800</v>
      </c>
      <c r="AC67" s="4" t="s">
        <v>805</v>
      </c>
      <c r="AD67" s="8">
        <v>1910000</v>
      </c>
      <c r="AE67" s="4" t="s">
        <v>808</v>
      </c>
      <c r="AF67" s="8">
        <v>1910008</v>
      </c>
      <c r="AG67" s="4" t="s">
        <v>810</v>
      </c>
      <c r="AH67" s="8">
        <v>1910008</v>
      </c>
    </row>
    <row r="68" spans="1:34" x14ac:dyDescent="0.25">
      <c r="A68" s="176" t="s">
        <v>1253</v>
      </c>
      <c r="B68" t="s">
        <v>87</v>
      </c>
      <c r="C68" t="s">
        <v>278</v>
      </c>
      <c r="D68" t="s">
        <v>303</v>
      </c>
      <c r="E68" t="s">
        <v>291</v>
      </c>
      <c r="F68" t="s">
        <v>30</v>
      </c>
      <c r="G68" t="s">
        <v>30</v>
      </c>
      <c r="H68" t="s">
        <v>37</v>
      </c>
      <c r="I68" t="s">
        <v>91</v>
      </c>
      <c r="J68" t="s">
        <v>292</v>
      </c>
      <c r="K68">
        <v>26563.62</v>
      </c>
      <c r="L68" s="166">
        <v>14595.098357999999</v>
      </c>
      <c r="M68">
        <v>11968.52</v>
      </c>
      <c r="N68">
        <v>1220.4100000000001</v>
      </c>
      <c r="O68" s="8">
        <v>12204.06</v>
      </c>
      <c r="P68">
        <v>14359.56</v>
      </c>
      <c r="Q68" s="166">
        <v>235.53835800000002</v>
      </c>
      <c r="R68" s="174" t="s">
        <v>1142</v>
      </c>
      <c r="S68">
        <v>100</v>
      </c>
      <c r="T68">
        <v>7100</v>
      </c>
      <c r="U68" t="s">
        <v>78</v>
      </c>
      <c r="V68" t="s">
        <v>1082</v>
      </c>
      <c r="W68">
        <v>0</v>
      </c>
      <c r="X68" t="s">
        <v>43</v>
      </c>
      <c r="Y68" t="s">
        <v>294</v>
      </c>
      <c r="Z68">
        <v>9000</v>
      </c>
      <c r="AC68" s="4" t="s">
        <v>805</v>
      </c>
      <c r="AD68" s="8">
        <v>1910000</v>
      </c>
      <c r="AE68" s="4" t="s">
        <v>808</v>
      </c>
      <c r="AF68" s="8">
        <v>1910008</v>
      </c>
      <c r="AG68" s="4" t="s">
        <v>810</v>
      </c>
      <c r="AH68" s="8">
        <v>1910008</v>
      </c>
    </row>
    <row r="69" spans="1:34" x14ac:dyDescent="0.25">
      <c r="A69" s="176" t="s">
        <v>1254</v>
      </c>
      <c r="B69" t="s">
        <v>87</v>
      </c>
      <c r="C69" t="s">
        <v>278</v>
      </c>
      <c r="D69" t="s">
        <v>304</v>
      </c>
      <c r="E69" t="s">
        <v>291</v>
      </c>
      <c r="F69" t="s">
        <v>30</v>
      </c>
      <c r="G69" t="s">
        <v>30</v>
      </c>
      <c r="H69" t="s">
        <v>37</v>
      </c>
      <c r="I69" t="s">
        <v>91</v>
      </c>
      <c r="J69" t="s">
        <v>292</v>
      </c>
      <c r="K69">
        <v>22218.04</v>
      </c>
      <c r="L69" s="166">
        <v>15271.869391000002</v>
      </c>
      <c r="M69">
        <v>6946.17</v>
      </c>
      <c r="N69">
        <v>708.29</v>
      </c>
      <c r="O69" s="8">
        <v>7082.87</v>
      </c>
      <c r="P69">
        <v>15135.170000000002</v>
      </c>
      <c r="Q69" s="166">
        <v>136.69939099999999</v>
      </c>
      <c r="R69" s="174" t="s">
        <v>1142</v>
      </c>
      <c r="S69">
        <v>100</v>
      </c>
      <c r="T69">
        <v>6200</v>
      </c>
      <c r="U69" t="s">
        <v>78</v>
      </c>
      <c r="V69" t="s">
        <v>1082</v>
      </c>
      <c r="W69">
        <v>0</v>
      </c>
      <c r="X69" t="s">
        <v>43</v>
      </c>
      <c r="Y69" t="s">
        <v>294</v>
      </c>
      <c r="Z69">
        <v>7800</v>
      </c>
      <c r="AC69" s="4" t="s">
        <v>805</v>
      </c>
      <c r="AD69" s="8">
        <v>1910000</v>
      </c>
      <c r="AE69" s="4" t="s">
        <v>808</v>
      </c>
      <c r="AF69" s="8">
        <v>1910008</v>
      </c>
      <c r="AG69" s="4" t="s">
        <v>810</v>
      </c>
      <c r="AH69" s="8">
        <v>1910008</v>
      </c>
    </row>
    <row r="70" spans="1:34" x14ac:dyDescent="0.25">
      <c r="A70" s="176" t="s">
        <v>1255</v>
      </c>
      <c r="B70" t="s">
        <v>87</v>
      </c>
      <c r="C70" t="s">
        <v>278</v>
      </c>
      <c r="D70" t="s">
        <v>305</v>
      </c>
      <c r="E70" t="s">
        <v>291</v>
      </c>
      <c r="F70" t="s">
        <v>30</v>
      </c>
      <c r="G70" t="s">
        <v>30</v>
      </c>
      <c r="H70" t="s">
        <v>37</v>
      </c>
      <c r="I70" t="s">
        <v>91</v>
      </c>
      <c r="J70" t="s">
        <v>292</v>
      </c>
      <c r="K70">
        <v>26563.62</v>
      </c>
      <c r="L70" s="166">
        <v>18893.624142000001</v>
      </c>
      <c r="M70">
        <v>7670</v>
      </c>
      <c r="N70">
        <v>782.09</v>
      </c>
      <c r="O70" s="8">
        <v>7820.94</v>
      </c>
      <c r="P70">
        <v>18742.68</v>
      </c>
      <c r="Q70" s="166">
        <v>150.94414199999997</v>
      </c>
      <c r="R70" s="174" t="s">
        <v>1142</v>
      </c>
      <c r="S70">
        <v>100</v>
      </c>
      <c r="T70">
        <v>7100</v>
      </c>
      <c r="U70" t="s">
        <v>78</v>
      </c>
      <c r="V70" t="s">
        <v>1082</v>
      </c>
      <c r="W70">
        <v>0</v>
      </c>
      <c r="X70" t="s">
        <v>43</v>
      </c>
      <c r="Y70" t="s">
        <v>294</v>
      </c>
      <c r="Z70">
        <v>9000</v>
      </c>
      <c r="AC70" s="4" t="s">
        <v>805</v>
      </c>
      <c r="AD70" s="8">
        <v>1910000</v>
      </c>
      <c r="AE70" s="4" t="s">
        <v>808</v>
      </c>
      <c r="AF70" s="8">
        <v>1910008</v>
      </c>
      <c r="AG70" s="4" t="s">
        <v>810</v>
      </c>
      <c r="AH70" s="8">
        <v>1910008</v>
      </c>
    </row>
    <row r="71" spans="1:34" x14ac:dyDescent="0.25">
      <c r="A71" s="176" t="s">
        <v>1256</v>
      </c>
      <c r="B71" t="s">
        <v>87</v>
      </c>
      <c r="C71" t="s">
        <v>278</v>
      </c>
      <c r="D71" t="s">
        <v>306</v>
      </c>
      <c r="E71" t="s">
        <v>291</v>
      </c>
      <c r="F71" t="s">
        <v>30</v>
      </c>
      <c r="G71" t="s">
        <v>30</v>
      </c>
      <c r="H71" t="s">
        <v>37</v>
      </c>
      <c r="I71" t="s">
        <v>91</v>
      </c>
      <c r="J71" t="s">
        <v>292</v>
      </c>
      <c r="K71">
        <v>22218.04</v>
      </c>
      <c r="L71" s="166">
        <v>14965.145659</v>
      </c>
      <c r="M71">
        <v>7252.89</v>
      </c>
      <c r="N71">
        <v>739.56</v>
      </c>
      <c r="O71" s="8">
        <v>7395.63</v>
      </c>
      <c r="P71">
        <v>14822.41</v>
      </c>
      <c r="Q71" s="166">
        <v>142.73565900000003</v>
      </c>
      <c r="R71" s="174" t="s">
        <v>1142</v>
      </c>
      <c r="S71">
        <v>100</v>
      </c>
      <c r="T71">
        <v>6200</v>
      </c>
      <c r="U71" t="s">
        <v>78</v>
      </c>
      <c r="V71" t="s">
        <v>1082</v>
      </c>
      <c r="W71">
        <v>0</v>
      </c>
      <c r="X71" t="s">
        <v>43</v>
      </c>
      <c r="Y71" t="s">
        <v>294</v>
      </c>
      <c r="Z71">
        <v>7800</v>
      </c>
      <c r="AC71" s="4" t="s">
        <v>805</v>
      </c>
      <c r="AD71" s="8">
        <v>1910000</v>
      </c>
      <c r="AE71" s="4" t="s">
        <v>808</v>
      </c>
      <c r="AF71" s="8">
        <v>1910008</v>
      </c>
      <c r="AG71" s="4" t="s">
        <v>810</v>
      </c>
      <c r="AH71" s="8">
        <v>1910008</v>
      </c>
    </row>
    <row r="72" spans="1:34" x14ac:dyDescent="0.25">
      <c r="A72" s="176" t="s">
        <v>1257</v>
      </c>
      <c r="B72" t="s">
        <v>87</v>
      </c>
      <c r="C72" t="s">
        <v>278</v>
      </c>
      <c r="D72" t="s">
        <v>307</v>
      </c>
      <c r="E72" t="s">
        <v>291</v>
      </c>
      <c r="F72" t="s">
        <v>30</v>
      </c>
      <c r="G72" t="s">
        <v>30</v>
      </c>
      <c r="H72" t="s">
        <v>37</v>
      </c>
      <c r="I72" t="s">
        <v>91</v>
      </c>
      <c r="J72" t="s">
        <v>292</v>
      </c>
      <c r="K72">
        <v>26301.360000000001</v>
      </c>
      <c r="L72" s="166">
        <v>14719.68528</v>
      </c>
      <c r="M72">
        <v>11581.67</v>
      </c>
      <c r="N72">
        <v>1180.96</v>
      </c>
      <c r="O72" s="8">
        <v>11809.6</v>
      </c>
      <c r="P72">
        <v>14491.76</v>
      </c>
      <c r="Q72" s="166">
        <v>227.92528000000001</v>
      </c>
      <c r="R72" s="174" t="s">
        <v>1142</v>
      </c>
      <c r="S72">
        <v>100</v>
      </c>
      <c r="T72">
        <v>7300</v>
      </c>
      <c r="U72" t="s">
        <v>78</v>
      </c>
      <c r="V72" t="s">
        <v>1082</v>
      </c>
      <c r="W72">
        <v>0</v>
      </c>
      <c r="X72" t="s">
        <v>43</v>
      </c>
      <c r="Y72" t="s">
        <v>294</v>
      </c>
      <c r="Z72">
        <v>9200</v>
      </c>
      <c r="AC72" s="4" t="s">
        <v>805</v>
      </c>
      <c r="AD72" s="8">
        <v>1910000</v>
      </c>
      <c r="AE72" s="4" t="s">
        <v>808</v>
      </c>
      <c r="AF72" s="8">
        <v>1910008</v>
      </c>
      <c r="AG72" s="4" t="s">
        <v>810</v>
      </c>
      <c r="AH72" s="8">
        <v>1910008</v>
      </c>
    </row>
    <row r="73" spans="1:34" x14ac:dyDescent="0.25">
      <c r="A73" s="176" t="s">
        <v>1258</v>
      </c>
      <c r="B73" t="s">
        <v>87</v>
      </c>
      <c r="C73" t="s">
        <v>278</v>
      </c>
      <c r="D73" t="s">
        <v>308</v>
      </c>
      <c r="E73" t="s">
        <v>291</v>
      </c>
      <c r="F73" t="s">
        <v>30</v>
      </c>
      <c r="G73" t="s">
        <v>30</v>
      </c>
      <c r="H73" t="s">
        <v>37</v>
      </c>
      <c r="I73" t="s">
        <v>86</v>
      </c>
      <c r="J73" t="s">
        <v>292</v>
      </c>
      <c r="K73">
        <v>12628.31</v>
      </c>
      <c r="L73" s="166">
        <v>12627.329299999999</v>
      </c>
      <c r="M73">
        <v>0.98</v>
      </c>
      <c r="N73">
        <v>0.1</v>
      </c>
      <c r="O73" s="8">
        <v>1</v>
      </c>
      <c r="P73">
        <v>12627.31</v>
      </c>
      <c r="Q73" s="166">
        <v>1.9300000000000001E-2</v>
      </c>
      <c r="R73" s="174" t="s">
        <v>1142</v>
      </c>
      <c r="S73">
        <v>100</v>
      </c>
      <c r="T73">
        <v>2100</v>
      </c>
      <c r="U73" t="s">
        <v>78</v>
      </c>
      <c r="V73" t="s">
        <v>1082</v>
      </c>
      <c r="W73">
        <v>0</v>
      </c>
      <c r="X73" t="s">
        <v>43</v>
      </c>
      <c r="Y73" t="s">
        <v>294</v>
      </c>
      <c r="Z73">
        <v>2700</v>
      </c>
      <c r="AC73" s="4" t="s">
        <v>805</v>
      </c>
      <c r="AD73" s="8">
        <v>1910000</v>
      </c>
      <c r="AE73" s="4" t="s">
        <v>808</v>
      </c>
      <c r="AF73" s="8">
        <v>1910008</v>
      </c>
      <c r="AG73" s="4" t="s">
        <v>810</v>
      </c>
      <c r="AH73" s="8">
        <v>1910008</v>
      </c>
    </row>
    <row r="74" spans="1:34" x14ac:dyDescent="0.25">
      <c r="A74" s="176" t="s">
        <v>1259</v>
      </c>
      <c r="B74" t="s">
        <v>87</v>
      </c>
      <c r="C74" t="s">
        <v>278</v>
      </c>
      <c r="D74" t="s">
        <v>309</v>
      </c>
      <c r="E74" t="s">
        <v>291</v>
      </c>
      <c r="F74" t="s">
        <v>30</v>
      </c>
      <c r="G74" t="s">
        <v>30</v>
      </c>
      <c r="H74" t="s">
        <v>37</v>
      </c>
      <c r="I74" t="s">
        <v>86</v>
      </c>
      <c r="J74" t="s">
        <v>292</v>
      </c>
      <c r="K74">
        <v>17027.63</v>
      </c>
      <c r="L74" s="166">
        <v>16146.686804000001</v>
      </c>
      <c r="M74">
        <v>880.94</v>
      </c>
      <c r="N74">
        <v>89.83</v>
      </c>
      <c r="O74" s="8">
        <v>898.28</v>
      </c>
      <c r="P74">
        <v>16129.35</v>
      </c>
      <c r="Q74" s="166">
        <v>17.336804000000015</v>
      </c>
      <c r="R74" s="174" t="s">
        <v>1142</v>
      </c>
      <c r="S74">
        <v>100</v>
      </c>
      <c r="T74">
        <v>6600</v>
      </c>
      <c r="U74" t="s">
        <v>78</v>
      </c>
      <c r="V74" t="s">
        <v>1082</v>
      </c>
      <c r="W74">
        <v>0</v>
      </c>
      <c r="X74" t="s">
        <v>43</v>
      </c>
      <c r="Y74" t="s">
        <v>294</v>
      </c>
      <c r="Z74">
        <v>8300</v>
      </c>
      <c r="AC74" s="4" t="s">
        <v>805</v>
      </c>
      <c r="AD74" s="8">
        <v>1910000</v>
      </c>
      <c r="AE74" s="4" t="s">
        <v>808</v>
      </c>
      <c r="AF74" s="8">
        <v>1910008</v>
      </c>
      <c r="AG74" s="4" t="s">
        <v>810</v>
      </c>
      <c r="AH74" s="8">
        <v>1910008</v>
      </c>
    </row>
    <row r="75" spans="1:34" x14ac:dyDescent="0.25">
      <c r="A75" s="176" t="s">
        <v>1260</v>
      </c>
      <c r="B75" t="s">
        <v>87</v>
      </c>
      <c r="C75" t="s">
        <v>278</v>
      </c>
      <c r="D75" t="s">
        <v>310</v>
      </c>
      <c r="E75" t="s">
        <v>291</v>
      </c>
      <c r="F75" t="s">
        <v>30</v>
      </c>
      <c r="G75" t="s">
        <v>30</v>
      </c>
      <c r="H75" t="s">
        <v>37</v>
      </c>
      <c r="I75" t="s">
        <v>91</v>
      </c>
      <c r="J75" t="s">
        <v>292</v>
      </c>
      <c r="K75">
        <v>19026.830000000002</v>
      </c>
      <c r="L75" s="166">
        <v>12857.148230000001</v>
      </c>
      <c r="M75">
        <v>6169.68</v>
      </c>
      <c r="N75">
        <v>629.11</v>
      </c>
      <c r="O75" s="8">
        <v>6291.1</v>
      </c>
      <c r="P75">
        <v>12735.730000000001</v>
      </c>
      <c r="Q75" s="166">
        <v>121.41823000000001</v>
      </c>
      <c r="R75" s="174" t="s">
        <v>1142</v>
      </c>
      <c r="S75">
        <v>100</v>
      </c>
      <c r="T75">
        <v>7100</v>
      </c>
      <c r="U75" t="s">
        <v>78</v>
      </c>
      <c r="V75" t="s">
        <v>1082</v>
      </c>
      <c r="W75">
        <v>0</v>
      </c>
      <c r="X75" t="s">
        <v>43</v>
      </c>
      <c r="Y75" t="s">
        <v>294</v>
      </c>
      <c r="Z75">
        <v>9000</v>
      </c>
      <c r="AC75" s="4" t="s">
        <v>805</v>
      </c>
      <c r="AD75" s="8">
        <v>1910000</v>
      </c>
      <c r="AE75" s="4" t="s">
        <v>808</v>
      </c>
      <c r="AF75" s="8">
        <v>1910008</v>
      </c>
      <c r="AG75" s="4" t="s">
        <v>810</v>
      </c>
      <c r="AH75" s="8">
        <v>1910008</v>
      </c>
    </row>
    <row r="76" spans="1:34" x14ac:dyDescent="0.25">
      <c r="A76" s="176" t="s">
        <v>1261</v>
      </c>
      <c r="B76" t="s">
        <v>87</v>
      </c>
      <c r="C76" t="s">
        <v>278</v>
      </c>
      <c r="D76" t="s">
        <v>311</v>
      </c>
      <c r="E76" t="s">
        <v>291</v>
      </c>
      <c r="F76" t="s">
        <v>30</v>
      </c>
      <c r="G76" t="s">
        <v>30</v>
      </c>
      <c r="H76" t="s">
        <v>37</v>
      </c>
      <c r="I76" t="s">
        <v>91</v>
      </c>
      <c r="J76" t="s">
        <v>312</v>
      </c>
      <c r="K76">
        <v>22749.01</v>
      </c>
      <c r="L76" s="166">
        <v>16534.471011999998</v>
      </c>
      <c r="M76">
        <v>6214.54</v>
      </c>
      <c r="N76">
        <v>633.67999999999995</v>
      </c>
      <c r="O76" s="8">
        <v>6336.84</v>
      </c>
      <c r="P76">
        <v>16412.169999999998</v>
      </c>
      <c r="Q76" s="166">
        <v>122.30101200000001</v>
      </c>
      <c r="R76" s="174" t="s">
        <v>1142</v>
      </c>
      <c r="S76">
        <v>100</v>
      </c>
      <c r="T76">
        <v>6200</v>
      </c>
      <c r="U76" t="s">
        <v>78</v>
      </c>
      <c r="V76" t="s">
        <v>1082</v>
      </c>
      <c r="W76">
        <v>0</v>
      </c>
      <c r="X76" t="s">
        <v>43</v>
      </c>
      <c r="Y76" t="s">
        <v>294</v>
      </c>
      <c r="Z76">
        <v>7800</v>
      </c>
      <c r="AC76" s="4" t="s">
        <v>805</v>
      </c>
      <c r="AD76" s="8">
        <v>1910000</v>
      </c>
      <c r="AE76" s="4" t="s">
        <v>808</v>
      </c>
      <c r="AF76" s="8">
        <v>1910008</v>
      </c>
      <c r="AG76" s="4" t="s">
        <v>810</v>
      </c>
      <c r="AH76" s="8">
        <v>1910008</v>
      </c>
    </row>
    <row r="77" spans="1:34" x14ac:dyDescent="0.25">
      <c r="A77" s="176" t="s">
        <v>1262</v>
      </c>
      <c r="B77" t="s">
        <v>87</v>
      </c>
      <c r="C77" t="s">
        <v>278</v>
      </c>
      <c r="D77" t="s">
        <v>313</v>
      </c>
      <c r="E77" t="s">
        <v>291</v>
      </c>
      <c r="F77" t="s">
        <v>30</v>
      </c>
      <c r="G77" t="s">
        <v>30</v>
      </c>
      <c r="H77" t="s">
        <v>37</v>
      </c>
      <c r="I77" t="s">
        <v>91</v>
      </c>
      <c r="J77" t="s">
        <v>312</v>
      </c>
      <c r="K77">
        <v>19026.830000000002</v>
      </c>
      <c r="L77" s="166">
        <v>9722.9291000000012</v>
      </c>
      <c r="M77">
        <v>9303.9</v>
      </c>
      <c r="N77">
        <v>948.7</v>
      </c>
      <c r="O77" s="8">
        <v>9487</v>
      </c>
      <c r="P77">
        <v>9539.8300000000017</v>
      </c>
      <c r="Q77" s="166">
        <v>183.09910000000002</v>
      </c>
      <c r="R77" s="174" t="s">
        <v>1142</v>
      </c>
      <c r="S77">
        <v>100</v>
      </c>
      <c r="T77">
        <v>7100</v>
      </c>
      <c r="U77" t="s">
        <v>78</v>
      </c>
      <c r="V77" t="s">
        <v>1082</v>
      </c>
      <c r="W77">
        <v>0</v>
      </c>
      <c r="X77" t="s">
        <v>43</v>
      </c>
      <c r="Y77" t="s">
        <v>294</v>
      </c>
      <c r="Z77">
        <v>9000</v>
      </c>
      <c r="AC77" s="4" t="s">
        <v>805</v>
      </c>
      <c r="AD77" s="8">
        <v>1910000</v>
      </c>
      <c r="AE77" s="4" t="s">
        <v>808</v>
      </c>
      <c r="AF77" s="8">
        <v>1910008</v>
      </c>
      <c r="AG77" s="4" t="s">
        <v>810</v>
      </c>
      <c r="AH77" s="8">
        <v>1910008</v>
      </c>
    </row>
    <row r="78" spans="1:34" x14ac:dyDescent="0.25">
      <c r="A78" s="176" t="s">
        <v>1263</v>
      </c>
      <c r="B78" t="s">
        <v>87</v>
      </c>
      <c r="C78" t="s">
        <v>278</v>
      </c>
      <c r="D78" t="s">
        <v>314</v>
      </c>
      <c r="E78" t="s">
        <v>291</v>
      </c>
      <c r="F78" t="s">
        <v>30</v>
      </c>
      <c r="G78" t="s">
        <v>30</v>
      </c>
      <c r="H78" t="s">
        <v>37</v>
      </c>
      <c r="I78" t="s">
        <v>91</v>
      </c>
      <c r="J78" t="s">
        <v>312</v>
      </c>
      <c r="K78">
        <v>22749.01</v>
      </c>
      <c r="L78" s="166">
        <v>15414.933312999998</v>
      </c>
      <c r="M78">
        <v>7334.08</v>
      </c>
      <c r="N78">
        <v>747.84</v>
      </c>
      <c r="O78" s="8">
        <v>7478.41</v>
      </c>
      <c r="P78">
        <v>15270.599999999999</v>
      </c>
      <c r="Q78" s="166">
        <v>144.333313</v>
      </c>
      <c r="R78" s="174" t="s">
        <v>1142</v>
      </c>
      <c r="S78">
        <v>100</v>
      </c>
      <c r="T78">
        <v>6200</v>
      </c>
      <c r="U78" t="s">
        <v>78</v>
      </c>
      <c r="V78" t="s">
        <v>1082</v>
      </c>
      <c r="W78">
        <v>0</v>
      </c>
      <c r="X78" t="s">
        <v>43</v>
      </c>
      <c r="Y78" t="s">
        <v>294</v>
      </c>
      <c r="Z78">
        <v>7800</v>
      </c>
      <c r="AC78" s="4" t="s">
        <v>805</v>
      </c>
      <c r="AD78" s="8">
        <v>1910000</v>
      </c>
      <c r="AE78" s="4" t="s">
        <v>808</v>
      </c>
      <c r="AF78" s="8">
        <v>1910008</v>
      </c>
      <c r="AG78" s="4" t="s">
        <v>810</v>
      </c>
      <c r="AH78" s="8">
        <v>1910008</v>
      </c>
    </row>
    <row r="79" spans="1:34" x14ac:dyDescent="0.25">
      <c r="A79" s="176" t="s">
        <v>1264</v>
      </c>
      <c r="B79" t="s">
        <v>87</v>
      </c>
      <c r="C79" t="s">
        <v>278</v>
      </c>
      <c r="D79" t="s">
        <v>315</v>
      </c>
      <c r="E79" t="s">
        <v>291</v>
      </c>
      <c r="F79" t="s">
        <v>30</v>
      </c>
      <c r="G79" t="s">
        <v>30</v>
      </c>
      <c r="H79" t="s">
        <v>37</v>
      </c>
      <c r="I79" t="s">
        <v>91</v>
      </c>
      <c r="J79" t="s">
        <v>312</v>
      </c>
      <c r="K79">
        <v>19026.830000000002</v>
      </c>
      <c r="L79" s="166">
        <v>9630.8021420000005</v>
      </c>
      <c r="M79">
        <v>9396.0300000000007</v>
      </c>
      <c r="N79">
        <v>958.1</v>
      </c>
      <c r="O79" s="8">
        <v>9580.94</v>
      </c>
      <c r="P79">
        <v>9445.8900000000012</v>
      </c>
      <c r="Q79" s="166">
        <v>184.91214200000002</v>
      </c>
      <c r="R79" s="174" t="s">
        <v>1142</v>
      </c>
      <c r="S79">
        <v>100</v>
      </c>
      <c r="T79">
        <v>7000</v>
      </c>
      <c r="U79" t="s">
        <v>78</v>
      </c>
      <c r="V79" t="s">
        <v>1082</v>
      </c>
      <c r="W79">
        <v>0</v>
      </c>
      <c r="X79" t="s">
        <v>43</v>
      </c>
      <c r="Y79" t="s">
        <v>294</v>
      </c>
      <c r="Z79">
        <v>8800</v>
      </c>
      <c r="AC79" s="4" t="s">
        <v>805</v>
      </c>
      <c r="AD79" s="8">
        <v>1910000</v>
      </c>
      <c r="AE79" s="4" t="s">
        <v>808</v>
      </c>
      <c r="AF79" s="8">
        <v>1910008</v>
      </c>
      <c r="AG79" s="4" t="s">
        <v>810</v>
      </c>
      <c r="AH79" s="8">
        <v>1910008</v>
      </c>
    </row>
    <row r="80" spans="1:34" x14ac:dyDescent="0.25">
      <c r="A80" s="176" t="s">
        <v>1265</v>
      </c>
      <c r="B80" t="s">
        <v>87</v>
      </c>
      <c r="C80" t="s">
        <v>278</v>
      </c>
      <c r="D80" t="s">
        <v>316</v>
      </c>
      <c r="E80" t="s">
        <v>291</v>
      </c>
      <c r="F80" t="s">
        <v>30</v>
      </c>
      <c r="G80" t="s">
        <v>30</v>
      </c>
      <c r="H80" t="s">
        <v>37</v>
      </c>
      <c r="I80" t="s">
        <v>91</v>
      </c>
      <c r="J80" t="s">
        <v>312</v>
      </c>
      <c r="K80">
        <v>22523.29</v>
      </c>
      <c r="L80" s="166">
        <v>15941.047354000002</v>
      </c>
      <c r="M80">
        <v>6582.24</v>
      </c>
      <c r="N80">
        <v>671.18</v>
      </c>
      <c r="O80" s="8">
        <v>6711.78</v>
      </c>
      <c r="P80">
        <v>15811.510000000002</v>
      </c>
      <c r="Q80" s="166">
        <v>129.53735399999999</v>
      </c>
      <c r="R80" s="174" t="s">
        <v>1142</v>
      </c>
      <c r="S80">
        <v>100</v>
      </c>
      <c r="T80">
        <v>6100</v>
      </c>
      <c r="U80" t="s">
        <v>78</v>
      </c>
      <c r="V80" t="s">
        <v>1082</v>
      </c>
      <c r="W80">
        <v>0</v>
      </c>
      <c r="X80" t="s">
        <v>43</v>
      </c>
      <c r="Y80" t="s">
        <v>294</v>
      </c>
      <c r="Z80">
        <v>7700</v>
      </c>
      <c r="AC80" s="4" t="s">
        <v>805</v>
      </c>
      <c r="AD80" s="8">
        <v>1910000</v>
      </c>
      <c r="AE80" s="4" t="s">
        <v>808</v>
      </c>
      <c r="AF80" s="8">
        <v>1910008</v>
      </c>
      <c r="AG80" s="4" t="s">
        <v>810</v>
      </c>
      <c r="AH80" s="8">
        <v>1910008</v>
      </c>
    </row>
    <row r="81" spans="1:34" x14ac:dyDescent="0.25">
      <c r="A81" s="176" t="s">
        <v>1266</v>
      </c>
      <c r="B81" t="s">
        <v>87</v>
      </c>
      <c r="C81" t="s">
        <v>278</v>
      </c>
      <c r="D81" t="s">
        <v>317</v>
      </c>
      <c r="E81" t="s">
        <v>291</v>
      </c>
      <c r="F81" t="s">
        <v>30</v>
      </c>
      <c r="G81" t="s">
        <v>30</v>
      </c>
      <c r="H81" t="s">
        <v>37</v>
      </c>
      <c r="I81" t="s">
        <v>86</v>
      </c>
      <c r="J81" t="s">
        <v>312</v>
      </c>
      <c r="K81">
        <v>76636.149999999994</v>
      </c>
      <c r="L81" s="166">
        <v>74694.265929999994</v>
      </c>
      <c r="M81">
        <v>1941.88</v>
      </c>
      <c r="N81">
        <v>198.01</v>
      </c>
      <c r="O81" s="8">
        <v>1980.1</v>
      </c>
      <c r="P81">
        <v>74656.049999999988</v>
      </c>
      <c r="Q81" s="166">
        <v>38.215930000000114</v>
      </c>
      <c r="R81" s="174" t="s">
        <v>1142</v>
      </c>
      <c r="S81">
        <v>100</v>
      </c>
      <c r="T81">
        <v>53300</v>
      </c>
      <c r="U81" t="s">
        <v>78</v>
      </c>
      <c r="V81" t="s">
        <v>1082</v>
      </c>
      <c r="W81">
        <v>0</v>
      </c>
      <c r="X81" t="s">
        <v>43</v>
      </c>
      <c r="Y81" t="s">
        <v>294</v>
      </c>
      <c r="Z81">
        <v>67200</v>
      </c>
      <c r="AC81" s="4" t="s">
        <v>805</v>
      </c>
      <c r="AD81" s="8">
        <v>1910000</v>
      </c>
      <c r="AE81" s="4" t="s">
        <v>808</v>
      </c>
      <c r="AF81" s="8">
        <v>1910008</v>
      </c>
      <c r="AG81" s="4" t="s">
        <v>810</v>
      </c>
      <c r="AH81" s="8">
        <v>1910008</v>
      </c>
    </row>
    <row r="82" spans="1:34" x14ac:dyDescent="0.25">
      <c r="A82" s="176" t="s">
        <v>1267</v>
      </c>
      <c r="B82" t="s">
        <v>87</v>
      </c>
      <c r="C82" t="s">
        <v>278</v>
      </c>
      <c r="D82" t="s">
        <v>318</v>
      </c>
      <c r="E82" t="s">
        <v>291</v>
      </c>
      <c r="F82" t="s">
        <v>30</v>
      </c>
      <c r="G82" t="s">
        <v>30</v>
      </c>
      <c r="H82" t="s">
        <v>37</v>
      </c>
      <c r="I82" t="s">
        <v>86</v>
      </c>
      <c r="J82" t="s">
        <v>312</v>
      </c>
      <c r="K82">
        <v>76636.149999999994</v>
      </c>
      <c r="L82" s="166">
        <v>72254.264716000005</v>
      </c>
      <c r="M82">
        <v>4381.8900000000003</v>
      </c>
      <c r="N82">
        <v>446.81</v>
      </c>
      <c r="O82" s="8">
        <v>4468.12</v>
      </c>
      <c r="P82">
        <v>72168.03</v>
      </c>
      <c r="Q82" s="166">
        <v>86.234715999999921</v>
      </c>
      <c r="R82" s="174" t="s">
        <v>1142</v>
      </c>
      <c r="S82">
        <v>100</v>
      </c>
      <c r="T82">
        <v>49900</v>
      </c>
      <c r="U82" t="s">
        <v>78</v>
      </c>
      <c r="V82" t="s">
        <v>1082</v>
      </c>
      <c r="W82">
        <v>0</v>
      </c>
      <c r="X82" t="s">
        <v>43</v>
      </c>
      <c r="Y82" t="s">
        <v>294</v>
      </c>
      <c r="Z82">
        <v>62900</v>
      </c>
      <c r="AC82" s="4" t="s">
        <v>805</v>
      </c>
      <c r="AD82" s="8">
        <v>1910000</v>
      </c>
      <c r="AE82" s="4" t="s">
        <v>808</v>
      </c>
      <c r="AF82" s="8">
        <v>1910008</v>
      </c>
      <c r="AG82" s="4" t="s">
        <v>810</v>
      </c>
      <c r="AH82" s="8">
        <v>1910008</v>
      </c>
    </row>
    <row r="83" spans="1:34" x14ac:dyDescent="0.25">
      <c r="A83" s="176" t="s">
        <v>1268</v>
      </c>
      <c r="B83" t="s">
        <v>87</v>
      </c>
      <c r="C83" t="s">
        <v>278</v>
      </c>
      <c r="D83" t="s">
        <v>319</v>
      </c>
      <c r="E83" t="s">
        <v>291</v>
      </c>
      <c r="F83" t="s">
        <v>30</v>
      </c>
      <c r="G83" t="s">
        <v>30</v>
      </c>
      <c r="H83" t="s">
        <v>37</v>
      </c>
      <c r="I83" t="s">
        <v>86</v>
      </c>
      <c r="J83" t="s">
        <v>292</v>
      </c>
      <c r="K83">
        <v>84160.04</v>
      </c>
      <c r="L83" s="166">
        <v>79100.010472999988</v>
      </c>
      <c r="M83">
        <v>5060.03</v>
      </c>
      <c r="N83">
        <v>515.97</v>
      </c>
      <c r="O83" s="8">
        <v>5159.6099999999997</v>
      </c>
      <c r="P83">
        <v>79000.429999999993</v>
      </c>
      <c r="Q83" s="166">
        <v>99.580473000000012</v>
      </c>
      <c r="R83" s="174" t="s">
        <v>1142</v>
      </c>
      <c r="S83">
        <v>100</v>
      </c>
      <c r="T83">
        <v>53900</v>
      </c>
      <c r="U83" t="s">
        <v>78</v>
      </c>
      <c r="V83" t="s">
        <v>1082</v>
      </c>
      <c r="W83">
        <v>0</v>
      </c>
      <c r="X83" t="s">
        <v>43</v>
      </c>
      <c r="Y83" t="s">
        <v>294</v>
      </c>
      <c r="Z83">
        <v>67900</v>
      </c>
      <c r="AC83" s="4" t="s">
        <v>805</v>
      </c>
      <c r="AD83" s="8">
        <v>1910000</v>
      </c>
      <c r="AE83" s="4" t="s">
        <v>808</v>
      </c>
      <c r="AF83" s="8">
        <v>1910008</v>
      </c>
      <c r="AG83" s="4" t="s">
        <v>810</v>
      </c>
      <c r="AH83" s="8">
        <v>1910008</v>
      </c>
    </row>
    <row r="84" spans="1:34" x14ac:dyDescent="0.25">
      <c r="A84" s="176" t="s">
        <v>1269</v>
      </c>
      <c r="B84" t="s">
        <v>87</v>
      </c>
      <c r="C84" t="s">
        <v>278</v>
      </c>
      <c r="D84" t="s">
        <v>320</v>
      </c>
      <c r="E84" t="s">
        <v>291</v>
      </c>
      <c r="F84" t="s">
        <v>30</v>
      </c>
      <c r="G84" t="s">
        <v>30</v>
      </c>
      <c r="H84" t="s">
        <v>37</v>
      </c>
      <c r="I84" t="s">
        <v>86</v>
      </c>
      <c r="J84" t="s">
        <v>312</v>
      </c>
      <c r="K84">
        <v>59116.25</v>
      </c>
      <c r="L84" s="166">
        <v>55637.530573999997</v>
      </c>
      <c r="M84">
        <v>3478.72</v>
      </c>
      <c r="N84">
        <v>354.72</v>
      </c>
      <c r="O84" s="8">
        <v>3547.18</v>
      </c>
      <c r="P84">
        <v>55569.07</v>
      </c>
      <c r="Q84" s="166">
        <v>68.460574000000008</v>
      </c>
      <c r="R84" s="174" t="s">
        <v>1142</v>
      </c>
      <c r="S84">
        <v>100</v>
      </c>
      <c r="T84">
        <v>38700</v>
      </c>
      <c r="U84" t="s">
        <v>78</v>
      </c>
      <c r="V84" t="s">
        <v>1082</v>
      </c>
      <c r="W84">
        <v>0</v>
      </c>
      <c r="X84" t="s">
        <v>43</v>
      </c>
      <c r="Y84" t="s">
        <v>294</v>
      </c>
      <c r="Z84">
        <v>48700</v>
      </c>
      <c r="AC84" s="4" t="s">
        <v>805</v>
      </c>
      <c r="AD84" s="8">
        <v>1910000</v>
      </c>
      <c r="AE84" s="4" t="s">
        <v>808</v>
      </c>
      <c r="AF84" s="8">
        <v>1910008</v>
      </c>
      <c r="AG84" s="4" t="s">
        <v>810</v>
      </c>
      <c r="AH84" s="8">
        <v>1910008</v>
      </c>
    </row>
    <row r="85" spans="1:34" x14ac:dyDescent="0.25">
      <c r="A85" s="176" t="s">
        <v>1270</v>
      </c>
      <c r="B85" t="s">
        <v>87</v>
      </c>
      <c r="C85" t="s">
        <v>278</v>
      </c>
      <c r="D85" t="s">
        <v>321</v>
      </c>
      <c r="E85" t="s">
        <v>291</v>
      </c>
      <c r="F85" t="s">
        <v>30</v>
      </c>
      <c r="G85" t="s">
        <v>30</v>
      </c>
      <c r="H85" t="s">
        <v>37</v>
      </c>
      <c r="I85" t="s">
        <v>86</v>
      </c>
      <c r="J85" t="s">
        <v>312</v>
      </c>
      <c r="K85">
        <v>58363.86</v>
      </c>
      <c r="L85" s="166">
        <v>57028.93116</v>
      </c>
      <c r="M85">
        <v>1334.93</v>
      </c>
      <c r="N85">
        <v>136.12</v>
      </c>
      <c r="O85" s="8">
        <v>1361.2</v>
      </c>
      <c r="P85">
        <v>57002.66</v>
      </c>
      <c r="Q85" s="166">
        <v>26.271159999999945</v>
      </c>
      <c r="R85" s="174" t="s">
        <v>1142</v>
      </c>
      <c r="S85">
        <v>100</v>
      </c>
      <c r="T85">
        <v>36000</v>
      </c>
      <c r="U85" t="s">
        <v>78</v>
      </c>
      <c r="V85" t="s">
        <v>1082</v>
      </c>
      <c r="W85">
        <v>0</v>
      </c>
      <c r="X85" t="s">
        <v>43</v>
      </c>
      <c r="Y85" t="s">
        <v>294</v>
      </c>
      <c r="Z85">
        <v>45300</v>
      </c>
      <c r="AC85" s="4" t="s">
        <v>805</v>
      </c>
      <c r="AD85" s="8">
        <v>1910000</v>
      </c>
      <c r="AE85" s="4" t="s">
        <v>808</v>
      </c>
      <c r="AF85" s="8">
        <v>1910008</v>
      </c>
      <c r="AG85" s="4" t="s">
        <v>810</v>
      </c>
      <c r="AH85" s="8">
        <v>1910008</v>
      </c>
    </row>
    <row r="86" spans="1:34" x14ac:dyDescent="0.25">
      <c r="A86" s="176" t="s">
        <v>1271</v>
      </c>
      <c r="B86" t="s">
        <v>87</v>
      </c>
      <c r="C86" t="s">
        <v>278</v>
      </c>
      <c r="D86" t="s">
        <v>322</v>
      </c>
      <c r="E86" t="s">
        <v>291</v>
      </c>
      <c r="F86" t="s">
        <v>30</v>
      </c>
      <c r="G86" t="s">
        <v>30</v>
      </c>
      <c r="H86" t="s">
        <v>37</v>
      </c>
      <c r="I86" t="s">
        <v>86</v>
      </c>
      <c r="J86" t="s">
        <v>312</v>
      </c>
      <c r="K86">
        <v>90656.38</v>
      </c>
      <c r="L86" s="166">
        <v>87700.579620999997</v>
      </c>
      <c r="M86">
        <v>2955.8</v>
      </c>
      <c r="N86">
        <v>301.39999999999998</v>
      </c>
      <c r="O86" s="8">
        <v>3013.97</v>
      </c>
      <c r="P86">
        <v>87642.41</v>
      </c>
      <c r="Q86" s="166">
        <v>58.169621000000028</v>
      </c>
      <c r="R86" s="174" t="s">
        <v>1142</v>
      </c>
      <c r="S86">
        <v>100</v>
      </c>
      <c r="T86">
        <v>64300</v>
      </c>
      <c r="U86" t="s">
        <v>78</v>
      </c>
      <c r="V86" t="s">
        <v>1082</v>
      </c>
      <c r="W86">
        <v>0</v>
      </c>
      <c r="X86" t="s">
        <v>43</v>
      </c>
      <c r="Y86" t="s">
        <v>294</v>
      </c>
      <c r="Z86">
        <v>81000</v>
      </c>
      <c r="AC86" s="4" t="s">
        <v>805</v>
      </c>
      <c r="AD86" s="8">
        <v>1910000</v>
      </c>
      <c r="AE86" s="4" t="s">
        <v>808</v>
      </c>
      <c r="AF86" s="8">
        <v>1910008</v>
      </c>
      <c r="AG86" s="4" t="s">
        <v>810</v>
      </c>
      <c r="AH86" s="8">
        <v>1910008</v>
      </c>
    </row>
    <row r="87" spans="1:34" x14ac:dyDescent="0.25">
      <c r="A87" s="176" t="s">
        <v>1272</v>
      </c>
      <c r="B87" t="s">
        <v>87</v>
      </c>
      <c r="C87" t="s">
        <v>278</v>
      </c>
      <c r="D87" t="s">
        <v>323</v>
      </c>
      <c r="E87" t="s">
        <v>291</v>
      </c>
      <c r="F87" t="s">
        <v>30</v>
      </c>
      <c r="G87" t="s">
        <v>30</v>
      </c>
      <c r="H87" t="s">
        <v>37</v>
      </c>
      <c r="I87" t="s">
        <v>91</v>
      </c>
      <c r="J87" t="s">
        <v>312</v>
      </c>
      <c r="K87">
        <v>93606.82</v>
      </c>
      <c r="L87" s="166">
        <v>46266.881494000008</v>
      </c>
      <c r="M87">
        <v>47339.94</v>
      </c>
      <c r="N87">
        <v>4827.16</v>
      </c>
      <c r="O87" s="8">
        <v>48271.58</v>
      </c>
      <c r="P87">
        <v>45335.240000000005</v>
      </c>
      <c r="Q87" s="166">
        <v>931.64149400000008</v>
      </c>
      <c r="R87" s="174" t="s">
        <v>1142</v>
      </c>
      <c r="S87">
        <v>100</v>
      </c>
      <c r="T87">
        <v>67600</v>
      </c>
      <c r="U87" t="s">
        <v>78</v>
      </c>
      <c r="V87" t="s">
        <v>1082</v>
      </c>
      <c r="W87">
        <v>0</v>
      </c>
      <c r="X87" t="s">
        <v>43</v>
      </c>
      <c r="Y87" t="s">
        <v>294</v>
      </c>
      <c r="Z87">
        <v>85100</v>
      </c>
      <c r="AC87" s="4" t="s">
        <v>805</v>
      </c>
      <c r="AD87" s="8">
        <v>1910000</v>
      </c>
      <c r="AE87" s="4" t="s">
        <v>808</v>
      </c>
      <c r="AF87" s="8">
        <v>1910008</v>
      </c>
      <c r="AG87" s="4" t="s">
        <v>810</v>
      </c>
      <c r="AH87" s="8">
        <v>1910008</v>
      </c>
    </row>
    <row r="88" spans="1:34" x14ac:dyDescent="0.25">
      <c r="A88" s="176" t="s">
        <v>1273</v>
      </c>
      <c r="B88" t="s">
        <v>87</v>
      </c>
      <c r="C88" t="s">
        <v>278</v>
      </c>
      <c r="D88" t="s">
        <v>324</v>
      </c>
      <c r="E88" t="s">
        <v>291</v>
      </c>
      <c r="F88" t="s">
        <v>30</v>
      </c>
      <c r="G88" t="s">
        <v>30</v>
      </c>
      <c r="H88" t="s">
        <v>37</v>
      </c>
      <c r="I88" t="s">
        <v>91</v>
      </c>
      <c r="J88" t="s">
        <v>312</v>
      </c>
      <c r="K88">
        <v>111915.66</v>
      </c>
      <c r="L88" s="166">
        <v>85891.520397</v>
      </c>
      <c r="M88">
        <v>26024.14</v>
      </c>
      <c r="N88">
        <v>2653.63</v>
      </c>
      <c r="O88" s="8">
        <v>26536.29</v>
      </c>
      <c r="P88">
        <v>85379.37</v>
      </c>
      <c r="Q88" s="166">
        <v>512.15039700000023</v>
      </c>
      <c r="R88" s="174" t="s">
        <v>1142</v>
      </c>
      <c r="S88">
        <v>100</v>
      </c>
      <c r="T88">
        <v>58700</v>
      </c>
      <c r="U88" t="s">
        <v>78</v>
      </c>
      <c r="V88" t="s">
        <v>1082</v>
      </c>
      <c r="W88">
        <v>0</v>
      </c>
      <c r="X88" t="s">
        <v>43</v>
      </c>
      <c r="Y88" t="s">
        <v>294</v>
      </c>
      <c r="Z88">
        <v>74000</v>
      </c>
      <c r="AC88" s="4" t="s">
        <v>805</v>
      </c>
      <c r="AD88" s="8">
        <v>1910000</v>
      </c>
      <c r="AE88" s="4" t="s">
        <v>808</v>
      </c>
      <c r="AF88" s="8">
        <v>1910008</v>
      </c>
      <c r="AG88" s="4" t="s">
        <v>810</v>
      </c>
      <c r="AH88" s="8">
        <v>1910008</v>
      </c>
    </row>
    <row r="89" spans="1:34" x14ac:dyDescent="0.25">
      <c r="A89" s="176" t="s">
        <v>1274</v>
      </c>
      <c r="B89" t="s">
        <v>87</v>
      </c>
      <c r="C89" t="s">
        <v>278</v>
      </c>
      <c r="D89" t="s">
        <v>325</v>
      </c>
      <c r="E89" t="s">
        <v>291</v>
      </c>
      <c r="F89" t="s">
        <v>30</v>
      </c>
      <c r="G89" t="s">
        <v>30</v>
      </c>
      <c r="H89" t="s">
        <v>37</v>
      </c>
      <c r="I89" t="s">
        <v>91</v>
      </c>
      <c r="J89" t="s">
        <v>312</v>
      </c>
      <c r="K89">
        <v>93606.82</v>
      </c>
      <c r="L89" s="166">
        <v>56177.914150000004</v>
      </c>
      <c r="M89">
        <v>37428.910000000003</v>
      </c>
      <c r="N89">
        <v>3816.55</v>
      </c>
      <c r="O89" s="8">
        <v>38165.5</v>
      </c>
      <c r="P89">
        <v>55441.320000000007</v>
      </c>
      <c r="Q89" s="166">
        <v>736.59415000000001</v>
      </c>
      <c r="R89" s="174" t="s">
        <v>1142</v>
      </c>
      <c r="S89">
        <v>100</v>
      </c>
      <c r="T89">
        <v>67600</v>
      </c>
      <c r="U89" t="s">
        <v>78</v>
      </c>
      <c r="V89" t="s">
        <v>1082</v>
      </c>
      <c r="W89">
        <v>0</v>
      </c>
      <c r="X89" t="s">
        <v>43</v>
      </c>
      <c r="Y89" t="s">
        <v>294</v>
      </c>
      <c r="Z89">
        <v>85100</v>
      </c>
      <c r="AC89" s="4" t="s">
        <v>805</v>
      </c>
      <c r="AD89" s="8">
        <v>1910000</v>
      </c>
      <c r="AE89" s="4" t="s">
        <v>808</v>
      </c>
      <c r="AF89" s="8">
        <v>1910008</v>
      </c>
      <c r="AG89" s="4" t="s">
        <v>810</v>
      </c>
      <c r="AH89" s="8">
        <v>1910008</v>
      </c>
    </row>
    <row r="90" spans="1:34" x14ac:dyDescent="0.25">
      <c r="A90" s="176" t="s">
        <v>1275</v>
      </c>
      <c r="B90" t="s">
        <v>87</v>
      </c>
      <c r="C90" t="s">
        <v>278</v>
      </c>
      <c r="D90" t="s">
        <v>326</v>
      </c>
      <c r="E90" t="s">
        <v>291</v>
      </c>
      <c r="F90" t="s">
        <v>30</v>
      </c>
      <c r="G90" t="s">
        <v>30</v>
      </c>
      <c r="H90" t="s">
        <v>37</v>
      </c>
      <c r="I90" t="s">
        <v>91</v>
      </c>
      <c r="J90" t="s">
        <v>312</v>
      </c>
      <c r="K90">
        <v>111915.66</v>
      </c>
      <c r="L90" s="166">
        <v>77298.18568200001</v>
      </c>
      <c r="M90">
        <v>34617.47</v>
      </c>
      <c r="N90">
        <v>3529.88</v>
      </c>
      <c r="O90" s="8">
        <v>35298.74</v>
      </c>
      <c r="P90">
        <v>76616.920000000013</v>
      </c>
      <c r="Q90" s="166">
        <v>681.26568199999986</v>
      </c>
      <c r="R90" s="174" t="s">
        <v>1142</v>
      </c>
      <c r="S90">
        <v>100</v>
      </c>
      <c r="T90">
        <v>58700</v>
      </c>
      <c r="U90" t="s">
        <v>78</v>
      </c>
      <c r="V90" t="s">
        <v>1082</v>
      </c>
      <c r="W90">
        <v>0</v>
      </c>
      <c r="X90" t="s">
        <v>43</v>
      </c>
      <c r="Y90" t="s">
        <v>294</v>
      </c>
      <c r="Z90">
        <v>74000</v>
      </c>
      <c r="AC90" s="4" t="s">
        <v>805</v>
      </c>
      <c r="AD90" s="8">
        <v>1910000</v>
      </c>
      <c r="AE90" s="4" t="s">
        <v>808</v>
      </c>
      <c r="AF90" s="8">
        <v>1910008</v>
      </c>
      <c r="AG90" s="4" t="s">
        <v>810</v>
      </c>
      <c r="AH90" s="8">
        <v>1910008</v>
      </c>
    </row>
    <row r="91" spans="1:34" x14ac:dyDescent="0.25">
      <c r="A91" s="176" t="s">
        <v>1276</v>
      </c>
      <c r="B91" t="s">
        <v>87</v>
      </c>
      <c r="C91" t="s">
        <v>278</v>
      </c>
      <c r="D91" t="s">
        <v>327</v>
      </c>
      <c r="E91" t="s">
        <v>291</v>
      </c>
      <c r="F91" t="s">
        <v>30</v>
      </c>
      <c r="G91" t="s">
        <v>30</v>
      </c>
      <c r="H91" t="s">
        <v>37</v>
      </c>
      <c r="I91" t="s">
        <v>91</v>
      </c>
      <c r="J91" t="s">
        <v>312</v>
      </c>
      <c r="K91">
        <v>93606.82</v>
      </c>
      <c r="L91" s="166">
        <v>62873.486488000002</v>
      </c>
      <c r="M91">
        <v>30733.33</v>
      </c>
      <c r="N91">
        <v>3133.82</v>
      </c>
      <c r="O91" s="8">
        <v>31338.16</v>
      </c>
      <c r="P91">
        <v>62268.66</v>
      </c>
      <c r="Q91" s="166">
        <v>604.82648800000015</v>
      </c>
      <c r="R91" s="174" t="s">
        <v>1142</v>
      </c>
      <c r="S91">
        <v>100</v>
      </c>
      <c r="T91">
        <v>65900</v>
      </c>
      <c r="U91" t="s">
        <v>78</v>
      </c>
      <c r="V91" t="s">
        <v>1082</v>
      </c>
      <c r="W91">
        <v>0</v>
      </c>
      <c r="X91" t="s">
        <v>43</v>
      </c>
      <c r="Y91" t="s">
        <v>294</v>
      </c>
      <c r="Z91">
        <v>83000</v>
      </c>
      <c r="AC91" s="4" t="s">
        <v>805</v>
      </c>
      <c r="AD91" s="8">
        <v>1910000</v>
      </c>
      <c r="AE91" s="4" t="s">
        <v>808</v>
      </c>
      <c r="AF91" s="8">
        <v>1910008</v>
      </c>
      <c r="AG91" s="4" t="s">
        <v>810</v>
      </c>
      <c r="AH91" s="8">
        <v>1910008</v>
      </c>
    </row>
    <row r="92" spans="1:34" x14ac:dyDescent="0.25">
      <c r="A92" s="176" t="s">
        <v>1277</v>
      </c>
      <c r="B92" t="s">
        <v>87</v>
      </c>
      <c r="C92" t="s">
        <v>278</v>
      </c>
      <c r="D92" t="s">
        <v>328</v>
      </c>
      <c r="E92" t="s">
        <v>291</v>
      </c>
      <c r="F92" t="s">
        <v>30</v>
      </c>
      <c r="G92" t="s">
        <v>30</v>
      </c>
      <c r="H92" t="s">
        <v>37</v>
      </c>
      <c r="I92" t="s">
        <v>91</v>
      </c>
      <c r="J92" t="s">
        <v>312</v>
      </c>
      <c r="K92">
        <v>110809.65</v>
      </c>
      <c r="L92" s="166">
        <v>72379.420029000001</v>
      </c>
      <c r="M92">
        <v>38430.230000000003</v>
      </c>
      <c r="N92">
        <v>3918.65</v>
      </c>
      <c r="O92" s="8">
        <v>39186.53</v>
      </c>
      <c r="P92">
        <v>71623.12</v>
      </c>
      <c r="Q92" s="166">
        <v>756.30002899999999</v>
      </c>
      <c r="R92" s="174" t="s">
        <v>1142</v>
      </c>
      <c r="S92">
        <v>100</v>
      </c>
      <c r="T92">
        <v>58800</v>
      </c>
      <c r="U92" t="s">
        <v>78</v>
      </c>
      <c r="V92" t="s">
        <v>1082</v>
      </c>
      <c r="W92">
        <v>0</v>
      </c>
      <c r="X92" t="s">
        <v>43</v>
      </c>
      <c r="Y92" t="s">
        <v>294</v>
      </c>
      <c r="Z92">
        <v>74100</v>
      </c>
      <c r="AC92" s="4" t="s">
        <v>805</v>
      </c>
      <c r="AD92" s="8">
        <v>1910000</v>
      </c>
      <c r="AE92" s="4" t="s">
        <v>808</v>
      </c>
      <c r="AF92" s="8">
        <v>1910008</v>
      </c>
      <c r="AG92" s="4" t="s">
        <v>810</v>
      </c>
      <c r="AH92" s="8">
        <v>1910008</v>
      </c>
    </row>
    <row r="93" spans="1:34" x14ac:dyDescent="0.25">
      <c r="A93" s="176" t="s">
        <v>1278</v>
      </c>
      <c r="B93" t="s">
        <v>87</v>
      </c>
      <c r="C93" t="s">
        <v>278</v>
      </c>
      <c r="D93" t="s">
        <v>329</v>
      </c>
      <c r="E93" t="s">
        <v>291</v>
      </c>
      <c r="F93" t="s">
        <v>30</v>
      </c>
      <c r="G93" t="s">
        <v>30</v>
      </c>
      <c r="H93" t="s">
        <v>37</v>
      </c>
      <c r="I93" t="s">
        <v>86</v>
      </c>
      <c r="J93" t="s">
        <v>312</v>
      </c>
      <c r="K93">
        <v>12026.39</v>
      </c>
      <c r="L93" s="166">
        <v>12025.409299999999</v>
      </c>
      <c r="M93">
        <v>0.98</v>
      </c>
      <c r="N93">
        <v>0.1</v>
      </c>
      <c r="O93" s="8">
        <v>1</v>
      </c>
      <c r="P93">
        <v>12025.39</v>
      </c>
      <c r="Q93" s="166">
        <v>1.9300000000000001E-2</v>
      </c>
      <c r="R93" s="174" t="s">
        <v>1142</v>
      </c>
      <c r="S93">
        <v>100</v>
      </c>
      <c r="T93">
        <v>3700</v>
      </c>
      <c r="U93" t="s">
        <v>78</v>
      </c>
      <c r="V93" t="s">
        <v>1082</v>
      </c>
      <c r="W93">
        <v>0</v>
      </c>
      <c r="X93" t="s">
        <v>43</v>
      </c>
      <c r="Y93" t="s">
        <v>294</v>
      </c>
      <c r="Z93">
        <v>4700</v>
      </c>
      <c r="AC93" s="4" t="s">
        <v>805</v>
      </c>
      <c r="AD93" s="8">
        <v>1910000</v>
      </c>
      <c r="AE93" s="4" t="s">
        <v>808</v>
      </c>
      <c r="AF93" s="8">
        <v>1910008</v>
      </c>
      <c r="AG93" s="4" t="s">
        <v>810</v>
      </c>
      <c r="AH93" s="8">
        <v>1910008</v>
      </c>
    </row>
    <row r="94" spans="1:34" x14ac:dyDescent="0.25">
      <c r="A94" s="176" t="s">
        <v>1279</v>
      </c>
      <c r="B94" t="s">
        <v>87</v>
      </c>
      <c r="C94" t="s">
        <v>278</v>
      </c>
      <c r="D94" t="s">
        <v>330</v>
      </c>
      <c r="E94" t="s">
        <v>291</v>
      </c>
      <c r="F94" t="s">
        <v>30</v>
      </c>
      <c r="G94" t="s">
        <v>30</v>
      </c>
      <c r="H94" t="s">
        <v>37</v>
      </c>
      <c r="I94" t="s">
        <v>86</v>
      </c>
      <c r="J94" t="s">
        <v>312</v>
      </c>
      <c r="K94">
        <v>12648.73</v>
      </c>
      <c r="L94" s="166">
        <v>12647.749299999999</v>
      </c>
      <c r="M94">
        <v>0.98</v>
      </c>
      <c r="N94">
        <v>0.1</v>
      </c>
      <c r="O94" s="8">
        <v>1</v>
      </c>
      <c r="P94">
        <v>12647.73</v>
      </c>
      <c r="Q94" s="166">
        <v>1.9300000000000001E-2</v>
      </c>
      <c r="R94" s="174" t="s">
        <v>1142</v>
      </c>
      <c r="S94">
        <v>100</v>
      </c>
      <c r="T94">
        <v>4000</v>
      </c>
      <c r="U94" t="s">
        <v>78</v>
      </c>
      <c r="V94" t="s">
        <v>1082</v>
      </c>
      <c r="W94">
        <v>0</v>
      </c>
      <c r="X94" t="s">
        <v>43</v>
      </c>
      <c r="Y94" t="s">
        <v>294</v>
      </c>
      <c r="Z94">
        <v>5000</v>
      </c>
      <c r="AC94" s="4" t="s">
        <v>805</v>
      </c>
      <c r="AD94" s="8">
        <v>1910000</v>
      </c>
      <c r="AE94" s="4" t="s">
        <v>808</v>
      </c>
      <c r="AF94" s="8">
        <v>1910008</v>
      </c>
      <c r="AG94" s="4" t="s">
        <v>810</v>
      </c>
      <c r="AH94" s="8">
        <v>1910008</v>
      </c>
    </row>
    <row r="95" spans="1:34" x14ac:dyDescent="0.25">
      <c r="A95" s="176" t="s">
        <v>1280</v>
      </c>
      <c r="B95" t="s">
        <v>87</v>
      </c>
      <c r="C95" t="s">
        <v>278</v>
      </c>
      <c r="D95" t="s">
        <v>331</v>
      </c>
      <c r="E95" t="s">
        <v>291</v>
      </c>
      <c r="F95" t="s">
        <v>30</v>
      </c>
      <c r="G95" t="s">
        <v>30</v>
      </c>
      <c r="H95" t="s">
        <v>37</v>
      </c>
      <c r="I95" t="s">
        <v>91</v>
      </c>
      <c r="J95" t="s">
        <v>312</v>
      </c>
      <c r="K95">
        <v>21232.41</v>
      </c>
      <c r="L95" s="166">
        <v>13175.351465999998</v>
      </c>
      <c r="M95">
        <v>8057.06</v>
      </c>
      <c r="N95">
        <v>821.56</v>
      </c>
      <c r="O95" s="8">
        <v>8215.6200000000008</v>
      </c>
      <c r="P95">
        <v>13016.789999999999</v>
      </c>
      <c r="Q95" s="166">
        <v>158.56146600000002</v>
      </c>
      <c r="R95" s="174" t="s">
        <v>1142</v>
      </c>
      <c r="S95">
        <v>100</v>
      </c>
      <c r="T95">
        <v>7100</v>
      </c>
      <c r="U95" t="s">
        <v>78</v>
      </c>
      <c r="V95" t="s">
        <v>1082</v>
      </c>
      <c r="W95">
        <v>0</v>
      </c>
      <c r="X95" t="s">
        <v>43</v>
      </c>
      <c r="Y95" t="s">
        <v>294</v>
      </c>
      <c r="Z95">
        <v>9000</v>
      </c>
      <c r="AC95" s="4" t="s">
        <v>805</v>
      </c>
      <c r="AD95" s="8">
        <v>1910000</v>
      </c>
      <c r="AE95" s="4" t="s">
        <v>808</v>
      </c>
      <c r="AF95" s="8">
        <v>1910008</v>
      </c>
      <c r="AG95" s="4" t="s">
        <v>810</v>
      </c>
      <c r="AH95" s="8">
        <v>1910008</v>
      </c>
    </row>
    <row r="96" spans="1:34" x14ac:dyDescent="0.25">
      <c r="A96" s="176" t="s">
        <v>1281</v>
      </c>
      <c r="B96" t="s">
        <v>87</v>
      </c>
      <c r="C96" t="s">
        <v>278</v>
      </c>
      <c r="D96" t="s">
        <v>332</v>
      </c>
      <c r="E96" t="s">
        <v>291</v>
      </c>
      <c r="F96" t="s">
        <v>30</v>
      </c>
      <c r="G96" t="s">
        <v>30</v>
      </c>
      <c r="H96" t="s">
        <v>37</v>
      </c>
      <c r="I96" t="s">
        <v>91</v>
      </c>
      <c r="J96" t="s">
        <v>312</v>
      </c>
      <c r="K96">
        <v>25385.59</v>
      </c>
      <c r="L96" s="166">
        <v>17500.683544000003</v>
      </c>
      <c r="M96">
        <v>7884.91</v>
      </c>
      <c r="N96">
        <v>804.01</v>
      </c>
      <c r="O96" s="8">
        <v>8040.08</v>
      </c>
      <c r="P96">
        <v>17345.510000000002</v>
      </c>
      <c r="Q96" s="166">
        <v>155.17354399999996</v>
      </c>
      <c r="R96" s="174" t="s">
        <v>1142</v>
      </c>
      <c r="S96">
        <v>100</v>
      </c>
      <c r="T96">
        <v>6200</v>
      </c>
      <c r="U96" t="s">
        <v>78</v>
      </c>
      <c r="V96" t="s">
        <v>1082</v>
      </c>
      <c r="W96">
        <v>0</v>
      </c>
      <c r="X96" t="s">
        <v>43</v>
      </c>
      <c r="Y96" t="s">
        <v>294</v>
      </c>
      <c r="Z96">
        <v>7800</v>
      </c>
      <c r="AC96" s="4" t="s">
        <v>805</v>
      </c>
      <c r="AD96" s="8">
        <v>1910000</v>
      </c>
      <c r="AE96" s="4" t="s">
        <v>808</v>
      </c>
      <c r="AF96" s="8">
        <v>1910008</v>
      </c>
      <c r="AG96" s="4" t="s">
        <v>810</v>
      </c>
      <c r="AH96" s="8">
        <v>1910008</v>
      </c>
    </row>
    <row r="97" spans="1:34" x14ac:dyDescent="0.25">
      <c r="A97" s="176" t="s">
        <v>1282</v>
      </c>
      <c r="B97" t="s">
        <v>87</v>
      </c>
      <c r="C97" t="s">
        <v>278</v>
      </c>
      <c r="D97" t="s">
        <v>333</v>
      </c>
      <c r="E97" t="s">
        <v>291</v>
      </c>
      <c r="F97" t="s">
        <v>30</v>
      </c>
      <c r="G97" t="s">
        <v>30</v>
      </c>
      <c r="H97" t="s">
        <v>37</v>
      </c>
      <c r="I97" t="s">
        <v>91</v>
      </c>
      <c r="J97" t="s">
        <v>312</v>
      </c>
      <c r="K97">
        <v>21232.41</v>
      </c>
      <c r="L97" s="166">
        <v>10038.464832</v>
      </c>
      <c r="M97">
        <v>11193.95</v>
      </c>
      <c r="N97">
        <v>1141.42</v>
      </c>
      <c r="O97" s="8">
        <v>11414.24</v>
      </c>
      <c r="P97">
        <v>9818.17</v>
      </c>
      <c r="Q97" s="166">
        <v>220.29483200000001</v>
      </c>
      <c r="R97" s="174" t="s">
        <v>1142</v>
      </c>
      <c r="S97">
        <v>100</v>
      </c>
      <c r="T97">
        <v>7100</v>
      </c>
      <c r="U97" t="s">
        <v>78</v>
      </c>
      <c r="V97" t="s">
        <v>1082</v>
      </c>
      <c r="W97">
        <v>0</v>
      </c>
      <c r="X97" t="s">
        <v>43</v>
      </c>
      <c r="Y97" t="s">
        <v>294</v>
      </c>
      <c r="Z97">
        <v>9000</v>
      </c>
      <c r="AC97" s="4" t="s">
        <v>805</v>
      </c>
      <c r="AD97" s="8">
        <v>1910000</v>
      </c>
      <c r="AE97" s="4" t="s">
        <v>808</v>
      </c>
      <c r="AF97" s="8">
        <v>1910008</v>
      </c>
      <c r="AG97" s="4" t="s">
        <v>810</v>
      </c>
      <c r="AH97" s="8">
        <v>1910008</v>
      </c>
    </row>
    <row r="98" spans="1:34" x14ac:dyDescent="0.25">
      <c r="A98" s="176" t="s">
        <v>1283</v>
      </c>
      <c r="B98" t="s">
        <v>87</v>
      </c>
      <c r="C98" t="s">
        <v>278</v>
      </c>
      <c r="D98" t="s">
        <v>334</v>
      </c>
      <c r="E98" t="s">
        <v>291</v>
      </c>
      <c r="F98" t="s">
        <v>30</v>
      </c>
      <c r="G98" t="s">
        <v>30</v>
      </c>
      <c r="H98" t="s">
        <v>37</v>
      </c>
      <c r="I98" t="s">
        <v>91</v>
      </c>
      <c r="J98" t="s">
        <v>312</v>
      </c>
      <c r="K98">
        <v>25385.59</v>
      </c>
      <c r="L98" s="166">
        <v>16410.292248999998</v>
      </c>
      <c r="M98">
        <v>8975.2999999999993</v>
      </c>
      <c r="N98">
        <v>915.19</v>
      </c>
      <c r="O98" s="8">
        <v>9151.93</v>
      </c>
      <c r="P98">
        <v>16233.66</v>
      </c>
      <c r="Q98" s="166">
        <v>176.63224900000003</v>
      </c>
      <c r="R98" s="174" t="s">
        <v>1142</v>
      </c>
      <c r="S98">
        <v>100</v>
      </c>
      <c r="T98">
        <v>6200</v>
      </c>
      <c r="U98" t="s">
        <v>78</v>
      </c>
      <c r="V98" t="s">
        <v>1082</v>
      </c>
      <c r="W98">
        <v>0</v>
      </c>
      <c r="X98" t="s">
        <v>43</v>
      </c>
      <c r="Y98" t="s">
        <v>294</v>
      </c>
      <c r="Z98">
        <v>7800</v>
      </c>
      <c r="AC98" s="4" t="s">
        <v>805</v>
      </c>
      <c r="AD98" s="8">
        <v>1910000</v>
      </c>
      <c r="AE98" s="4" t="s">
        <v>808</v>
      </c>
      <c r="AF98" s="8">
        <v>1910008</v>
      </c>
      <c r="AG98" s="4" t="s">
        <v>810</v>
      </c>
      <c r="AH98" s="8">
        <v>1910008</v>
      </c>
    </row>
    <row r="99" spans="1:34" x14ac:dyDescent="0.25">
      <c r="A99" s="176" t="s">
        <v>1284</v>
      </c>
      <c r="B99" t="s">
        <v>87</v>
      </c>
      <c r="C99" t="s">
        <v>278</v>
      </c>
      <c r="D99" t="s">
        <v>335</v>
      </c>
      <c r="E99" t="s">
        <v>291</v>
      </c>
      <c r="F99" t="s">
        <v>30</v>
      </c>
      <c r="G99" t="s">
        <v>30</v>
      </c>
      <c r="H99" t="s">
        <v>37</v>
      </c>
      <c r="I99" t="s">
        <v>91</v>
      </c>
      <c r="J99" t="s">
        <v>312</v>
      </c>
      <c r="K99">
        <v>21232.41</v>
      </c>
      <c r="L99" s="166">
        <v>13659.062127000001</v>
      </c>
      <c r="M99">
        <v>7573.35</v>
      </c>
      <c r="N99">
        <v>772.24</v>
      </c>
      <c r="O99" s="8">
        <v>7722.39</v>
      </c>
      <c r="P99">
        <v>13510.02</v>
      </c>
      <c r="Q99" s="166">
        <v>149.04212699999999</v>
      </c>
      <c r="R99" s="174" t="s">
        <v>1142</v>
      </c>
      <c r="S99">
        <v>100</v>
      </c>
      <c r="T99">
        <v>7000</v>
      </c>
      <c r="U99" t="s">
        <v>78</v>
      </c>
      <c r="V99" t="s">
        <v>1082</v>
      </c>
      <c r="W99">
        <v>0</v>
      </c>
      <c r="X99" t="s">
        <v>43</v>
      </c>
      <c r="Y99" t="s">
        <v>294</v>
      </c>
      <c r="Z99">
        <v>8800</v>
      </c>
      <c r="AC99" s="4" t="s">
        <v>805</v>
      </c>
      <c r="AD99" s="8">
        <v>1910000</v>
      </c>
      <c r="AE99" s="4" t="s">
        <v>808</v>
      </c>
      <c r="AF99" s="8">
        <v>1910008</v>
      </c>
      <c r="AG99" s="4" t="s">
        <v>810</v>
      </c>
      <c r="AH99" s="8">
        <v>1910008</v>
      </c>
    </row>
    <row r="100" spans="1:34" x14ac:dyDescent="0.25">
      <c r="A100" s="176" t="s">
        <v>1285</v>
      </c>
      <c r="B100" t="s">
        <v>87</v>
      </c>
      <c r="C100" t="s">
        <v>278</v>
      </c>
      <c r="D100" t="s">
        <v>336</v>
      </c>
      <c r="E100" t="s">
        <v>291</v>
      </c>
      <c r="F100" t="s">
        <v>30</v>
      </c>
      <c r="G100" t="s">
        <v>30</v>
      </c>
      <c r="H100" t="s">
        <v>37</v>
      </c>
      <c r="I100" t="s">
        <v>91</v>
      </c>
      <c r="J100" t="s">
        <v>312</v>
      </c>
      <c r="K100">
        <v>25134.080000000002</v>
      </c>
      <c r="L100" s="166">
        <v>16158.782249000002</v>
      </c>
      <c r="M100">
        <v>8975.2999999999993</v>
      </c>
      <c r="N100">
        <v>915.19</v>
      </c>
      <c r="O100" s="8">
        <v>9151.93</v>
      </c>
      <c r="P100">
        <v>15982.150000000001</v>
      </c>
      <c r="Q100" s="166">
        <v>176.63224900000003</v>
      </c>
      <c r="R100" s="174" t="s">
        <v>1142</v>
      </c>
      <c r="S100">
        <v>100</v>
      </c>
      <c r="T100">
        <v>6300</v>
      </c>
      <c r="U100" t="s">
        <v>78</v>
      </c>
      <c r="V100" t="s">
        <v>1082</v>
      </c>
      <c r="W100">
        <v>0</v>
      </c>
      <c r="X100" t="s">
        <v>43</v>
      </c>
      <c r="Y100" t="s">
        <v>294</v>
      </c>
      <c r="Z100">
        <v>7900</v>
      </c>
      <c r="AC100" s="4" t="s">
        <v>805</v>
      </c>
      <c r="AD100" s="8">
        <v>1910000</v>
      </c>
      <c r="AE100" s="4" t="s">
        <v>808</v>
      </c>
      <c r="AF100" s="8">
        <v>1910008</v>
      </c>
      <c r="AG100" s="4" t="s">
        <v>810</v>
      </c>
      <c r="AH100" s="8">
        <v>1910008</v>
      </c>
    </row>
    <row r="101" spans="1:34" x14ac:dyDescent="0.25">
      <c r="A101" s="176" t="s">
        <v>1286</v>
      </c>
      <c r="B101" t="s">
        <v>87</v>
      </c>
      <c r="C101" t="s">
        <v>278</v>
      </c>
      <c r="D101" t="s">
        <v>337</v>
      </c>
      <c r="E101" t="s">
        <v>291</v>
      </c>
      <c r="F101" t="s">
        <v>30</v>
      </c>
      <c r="G101" t="s">
        <v>30</v>
      </c>
      <c r="H101" t="s">
        <v>37</v>
      </c>
      <c r="I101" t="s">
        <v>86</v>
      </c>
      <c r="J101" t="s">
        <v>312</v>
      </c>
      <c r="K101">
        <v>10290.530000000001</v>
      </c>
      <c r="L101" s="166">
        <v>10289.549300000001</v>
      </c>
      <c r="M101">
        <v>0.98</v>
      </c>
      <c r="N101">
        <v>0.1</v>
      </c>
      <c r="O101" s="8">
        <v>1</v>
      </c>
      <c r="P101">
        <v>10289.530000000001</v>
      </c>
      <c r="Q101" s="166">
        <v>1.9300000000000001E-2</v>
      </c>
      <c r="R101" s="174" t="s">
        <v>1142</v>
      </c>
      <c r="S101">
        <v>100</v>
      </c>
      <c r="T101">
        <v>3700</v>
      </c>
      <c r="U101" t="s">
        <v>78</v>
      </c>
      <c r="V101" t="s">
        <v>1082</v>
      </c>
      <c r="W101">
        <v>0</v>
      </c>
      <c r="X101" t="s">
        <v>43</v>
      </c>
      <c r="Y101" t="s">
        <v>294</v>
      </c>
      <c r="Z101">
        <v>4600</v>
      </c>
      <c r="AC101" s="4" t="s">
        <v>805</v>
      </c>
      <c r="AD101" s="8">
        <v>1910000</v>
      </c>
      <c r="AE101" s="4" t="s">
        <v>808</v>
      </c>
      <c r="AF101" s="8">
        <v>1910008</v>
      </c>
      <c r="AG101" s="4" t="s">
        <v>810</v>
      </c>
      <c r="AH101" s="8">
        <v>1910008</v>
      </c>
    </row>
    <row r="102" spans="1:34" x14ac:dyDescent="0.25">
      <c r="A102" s="176" t="s">
        <v>1287</v>
      </c>
      <c r="B102" t="s">
        <v>87</v>
      </c>
      <c r="C102" t="s">
        <v>278</v>
      </c>
      <c r="D102" t="s">
        <v>338</v>
      </c>
      <c r="E102" t="s">
        <v>291</v>
      </c>
      <c r="F102" t="s">
        <v>30</v>
      </c>
      <c r="G102" t="s">
        <v>30</v>
      </c>
      <c r="H102" t="s">
        <v>37</v>
      </c>
      <c r="I102" t="s">
        <v>86</v>
      </c>
      <c r="J102" t="s">
        <v>312</v>
      </c>
      <c r="K102">
        <v>9784.2800000000007</v>
      </c>
      <c r="L102" s="166">
        <v>9783.2993000000006</v>
      </c>
      <c r="M102">
        <v>0.98</v>
      </c>
      <c r="N102">
        <v>0.1</v>
      </c>
      <c r="O102" s="8">
        <v>1</v>
      </c>
      <c r="P102">
        <v>9783.2800000000007</v>
      </c>
      <c r="Q102" s="166">
        <v>1.9300000000000001E-2</v>
      </c>
      <c r="R102" s="174" t="s">
        <v>1142</v>
      </c>
      <c r="S102">
        <v>100</v>
      </c>
      <c r="T102">
        <v>4000</v>
      </c>
      <c r="U102" t="s">
        <v>78</v>
      </c>
      <c r="V102" t="s">
        <v>1082</v>
      </c>
      <c r="W102">
        <v>0</v>
      </c>
      <c r="X102" t="s">
        <v>43</v>
      </c>
      <c r="Y102" t="s">
        <v>294</v>
      </c>
      <c r="Z102">
        <v>5000</v>
      </c>
      <c r="AC102" s="4" t="s">
        <v>805</v>
      </c>
      <c r="AD102" s="8">
        <v>1910000</v>
      </c>
      <c r="AE102" s="4" t="s">
        <v>808</v>
      </c>
      <c r="AF102" s="8">
        <v>1910008</v>
      </c>
      <c r="AG102" s="4" t="s">
        <v>810</v>
      </c>
      <c r="AH102" s="8">
        <v>1910008</v>
      </c>
    </row>
    <row r="103" spans="1:34" x14ac:dyDescent="0.25">
      <c r="A103" s="176" t="s">
        <v>1288</v>
      </c>
      <c r="B103" t="s">
        <v>87</v>
      </c>
      <c r="C103" t="s">
        <v>278</v>
      </c>
      <c r="D103" t="s">
        <v>339</v>
      </c>
      <c r="E103" t="s">
        <v>291</v>
      </c>
      <c r="F103" t="s">
        <v>30</v>
      </c>
      <c r="G103" t="s">
        <v>30</v>
      </c>
      <c r="H103" t="s">
        <v>37</v>
      </c>
      <c r="I103" t="s">
        <v>91</v>
      </c>
      <c r="J103" t="s">
        <v>312</v>
      </c>
      <c r="K103">
        <v>17273.77</v>
      </c>
      <c r="L103" s="166">
        <v>8239.0516360000001</v>
      </c>
      <c r="M103">
        <v>9034.7199999999993</v>
      </c>
      <c r="N103">
        <v>921.25</v>
      </c>
      <c r="O103" s="8">
        <v>9212.52</v>
      </c>
      <c r="P103">
        <v>8061.25</v>
      </c>
      <c r="Q103" s="166">
        <v>177.80163600000003</v>
      </c>
      <c r="R103" s="174" t="s">
        <v>1142</v>
      </c>
      <c r="S103">
        <v>100</v>
      </c>
      <c r="T103">
        <v>7100</v>
      </c>
      <c r="U103" t="s">
        <v>78</v>
      </c>
      <c r="V103" t="s">
        <v>1082</v>
      </c>
      <c r="W103">
        <v>0</v>
      </c>
      <c r="X103" t="s">
        <v>43</v>
      </c>
      <c r="Y103" t="s">
        <v>294</v>
      </c>
      <c r="Z103">
        <v>9000</v>
      </c>
      <c r="AC103" s="4" t="s">
        <v>805</v>
      </c>
      <c r="AD103" s="8">
        <v>1910000</v>
      </c>
      <c r="AE103" s="4" t="s">
        <v>808</v>
      </c>
      <c r="AF103" s="8">
        <v>1910008</v>
      </c>
      <c r="AG103" s="4" t="s">
        <v>810</v>
      </c>
      <c r="AH103" s="8">
        <v>1910008</v>
      </c>
    </row>
    <row r="104" spans="1:34" x14ac:dyDescent="0.25">
      <c r="A104" s="176" t="s">
        <v>1289</v>
      </c>
      <c r="B104" t="s">
        <v>87</v>
      </c>
      <c r="C104" t="s">
        <v>278</v>
      </c>
      <c r="D104" t="s">
        <v>340</v>
      </c>
      <c r="E104" t="s">
        <v>291</v>
      </c>
      <c r="F104" t="s">
        <v>30</v>
      </c>
      <c r="G104" t="s">
        <v>30</v>
      </c>
      <c r="H104" t="s">
        <v>37</v>
      </c>
      <c r="I104" t="s">
        <v>91</v>
      </c>
      <c r="J104" t="s">
        <v>312</v>
      </c>
      <c r="K104">
        <v>20653.07</v>
      </c>
      <c r="L104" s="166">
        <v>14282.746817000001</v>
      </c>
      <c r="M104">
        <v>6370.32</v>
      </c>
      <c r="N104">
        <v>649.57000000000005</v>
      </c>
      <c r="O104" s="8">
        <v>6495.69</v>
      </c>
      <c r="P104">
        <v>14157.380000000001</v>
      </c>
      <c r="Q104" s="166">
        <v>125.36681699999998</v>
      </c>
      <c r="R104" s="174" t="s">
        <v>1142</v>
      </c>
      <c r="S104">
        <v>100</v>
      </c>
      <c r="T104">
        <v>6200</v>
      </c>
      <c r="U104" t="s">
        <v>78</v>
      </c>
      <c r="V104" t="s">
        <v>1082</v>
      </c>
      <c r="W104">
        <v>0</v>
      </c>
      <c r="X104" t="s">
        <v>43</v>
      </c>
      <c r="Y104" t="s">
        <v>294</v>
      </c>
      <c r="Z104">
        <v>7800</v>
      </c>
      <c r="AC104" s="4" t="s">
        <v>805</v>
      </c>
      <c r="AD104" s="8">
        <v>1910000</v>
      </c>
      <c r="AE104" s="4" t="s">
        <v>808</v>
      </c>
      <c r="AF104" s="8">
        <v>1910008</v>
      </c>
      <c r="AG104" s="4" t="s">
        <v>810</v>
      </c>
      <c r="AH104" s="8">
        <v>1910008</v>
      </c>
    </row>
    <row r="105" spans="1:34" x14ac:dyDescent="0.25">
      <c r="A105" s="176" t="s">
        <v>1290</v>
      </c>
      <c r="B105" t="s">
        <v>87</v>
      </c>
      <c r="C105" t="s">
        <v>278</v>
      </c>
      <c r="D105" t="s">
        <v>341</v>
      </c>
      <c r="E105" t="s">
        <v>291</v>
      </c>
      <c r="F105" t="s">
        <v>30</v>
      </c>
      <c r="G105" t="s">
        <v>30</v>
      </c>
      <c r="H105" t="s">
        <v>37</v>
      </c>
      <c r="I105" t="s">
        <v>91</v>
      </c>
      <c r="J105" t="s">
        <v>312</v>
      </c>
      <c r="K105">
        <v>17273.77</v>
      </c>
      <c r="L105" s="166">
        <v>7547.6777500000007</v>
      </c>
      <c r="M105">
        <v>9726.09</v>
      </c>
      <c r="N105">
        <v>991.75</v>
      </c>
      <c r="O105" s="8">
        <v>9917.5</v>
      </c>
      <c r="P105">
        <v>7356.27</v>
      </c>
      <c r="Q105" s="166">
        <v>191.40775000000002</v>
      </c>
      <c r="R105" s="174" t="s">
        <v>1142</v>
      </c>
      <c r="S105">
        <v>100</v>
      </c>
      <c r="T105">
        <v>7100</v>
      </c>
      <c r="U105" t="s">
        <v>78</v>
      </c>
      <c r="V105" t="s">
        <v>1082</v>
      </c>
      <c r="W105">
        <v>0</v>
      </c>
      <c r="X105" t="s">
        <v>43</v>
      </c>
      <c r="Y105" t="s">
        <v>294</v>
      </c>
      <c r="Z105">
        <v>9000</v>
      </c>
      <c r="AC105" s="4" t="s">
        <v>805</v>
      </c>
      <c r="AD105" s="8">
        <v>1910000</v>
      </c>
      <c r="AE105" s="4" t="s">
        <v>808</v>
      </c>
      <c r="AF105" s="8">
        <v>1910008</v>
      </c>
      <c r="AG105" s="4" t="s">
        <v>810</v>
      </c>
      <c r="AH105" s="8">
        <v>1910008</v>
      </c>
    </row>
    <row r="106" spans="1:34" x14ac:dyDescent="0.25">
      <c r="A106" s="176" t="s">
        <v>1291</v>
      </c>
      <c r="B106" t="s">
        <v>87</v>
      </c>
      <c r="C106" t="s">
        <v>278</v>
      </c>
      <c r="D106" t="s">
        <v>342</v>
      </c>
      <c r="E106" t="s">
        <v>291</v>
      </c>
      <c r="F106" t="s">
        <v>30</v>
      </c>
      <c r="G106" t="s">
        <v>30</v>
      </c>
      <c r="H106" t="s">
        <v>37</v>
      </c>
      <c r="I106" t="s">
        <v>91</v>
      </c>
      <c r="J106" t="s">
        <v>312</v>
      </c>
      <c r="K106">
        <v>20653.07</v>
      </c>
      <c r="L106" s="166">
        <v>13474.904999</v>
      </c>
      <c r="M106">
        <v>7178.17</v>
      </c>
      <c r="N106">
        <v>731.94</v>
      </c>
      <c r="O106" s="8">
        <v>7319.43</v>
      </c>
      <c r="P106">
        <v>13333.64</v>
      </c>
      <c r="Q106" s="166">
        <v>141.26499900000002</v>
      </c>
      <c r="R106" s="174" t="s">
        <v>1142</v>
      </c>
      <c r="S106">
        <v>100</v>
      </c>
      <c r="T106">
        <v>6200</v>
      </c>
      <c r="U106" t="s">
        <v>78</v>
      </c>
      <c r="V106" t="s">
        <v>1082</v>
      </c>
      <c r="W106">
        <v>0</v>
      </c>
      <c r="X106" t="s">
        <v>43</v>
      </c>
      <c r="Y106" t="s">
        <v>294</v>
      </c>
      <c r="Z106">
        <v>7800</v>
      </c>
      <c r="AC106" s="4" t="s">
        <v>805</v>
      </c>
      <c r="AD106" s="8">
        <v>1910000</v>
      </c>
      <c r="AE106" s="4" t="s">
        <v>808</v>
      </c>
      <c r="AF106" s="8">
        <v>1910008</v>
      </c>
      <c r="AG106" s="4" t="s">
        <v>810</v>
      </c>
      <c r="AH106" s="8">
        <v>1910008</v>
      </c>
    </row>
    <row r="107" spans="1:34" x14ac:dyDescent="0.25">
      <c r="A107" s="176" t="s">
        <v>1292</v>
      </c>
      <c r="B107" t="s">
        <v>87</v>
      </c>
      <c r="C107" t="s">
        <v>278</v>
      </c>
      <c r="D107" t="s">
        <v>343</v>
      </c>
      <c r="E107" t="s">
        <v>291</v>
      </c>
      <c r="F107" t="s">
        <v>30</v>
      </c>
      <c r="G107" t="s">
        <v>30</v>
      </c>
      <c r="H107" t="s">
        <v>37</v>
      </c>
      <c r="I107" t="s">
        <v>91</v>
      </c>
      <c r="J107" t="s">
        <v>312</v>
      </c>
      <c r="K107">
        <v>17273.77</v>
      </c>
      <c r="L107" s="166">
        <v>8095.506577000001</v>
      </c>
      <c r="M107">
        <v>9178.26</v>
      </c>
      <c r="N107">
        <v>935.89</v>
      </c>
      <c r="O107" s="8">
        <v>9358.89</v>
      </c>
      <c r="P107">
        <v>7914.880000000001</v>
      </c>
      <c r="Q107" s="166">
        <v>180.626577</v>
      </c>
      <c r="R107" s="174" t="s">
        <v>1142</v>
      </c>
      <c r="S107">
        <v>100</v>
      </c>
      <c r="T107">
        <v>7000</v>
      </c>
      <c r="U107" t="s">
        <v>78</v>
      </c>
      <c r="V107" t="s">
        <v>1082</v>
      </c>
      <c r="W107">
        <v>0</v>
      </c>
      <c r="X107" t="s">
        <v>43</v>
      </c>
      <c r="Y107" t="s">
        <v>294</v>
      </c>
      <c r="Z107">
        <v>8800</v>
      </c>
      <c r="AC107" s="4" t="s">
        <v>805</v>
      </c>
      <c r="AD107" s="8">
        <v>1910000</v>
      </c>
      <c r="AE107" s="4" t="s">
        <v>808</v>
      </c>
      <c r="AF107" s="8">
        <v>1910008</v>
      </c>
      <c r="AG107" s="4" t="s">
        <v>810</v>
      </c>
      <c r="AH107" s="8">
        <v>1910008</v>
      </c>
    </row>
    <row r="108" spans="1:34" x14ac:dyDescent="0.25">
      <c r="A108" s="176" t="s">
        <v>1293</v>
      </c>
      <c r="B108" t="s">
        <v>87</v>
      </c>
      <c r="C108" t="s">
        <v>278</v>
      </c>
      <c r="D108" t="s">
        <v>344</v>
      </c>
      <c r="E108" t="s">
        <v>291</v>
      </c>
      <c r="F108" t="s">
        <v>30</v>
      </c>
      <c r="G108" t="s">
        <v>30</v>
      </c>
      <c r="H108" t="s">
        <v>37</v>
      </c>
      <c r="I108" t="s">
        <v>91</v>
      </c>
      <c r="J108" t="s">
        <v>312</v>
      </c>
      <c r="K108">
        <v>20448.849999999999</v>
      </c>
      <c r="L108" s="166">
        <v>13722.160050999999</v>
      </c>
      <c r="M108">
        <v>6726.69</v>
      </c>
      <c r="N108">
        <v>685.91</v>
      </c>
      <c r="O108" s="8">
        <v>6859.07</v>
      </c>
      <c r="P108">
        <v>13589.779999999999</v>
      </c>
      <c r="Q108" s="166">
        <v>132.38005100000001</v>
      </c>
      <c r="R108" s="174" t="s">
        <v>1142</v>
      </c>
      <c r="S108">
        <v>100</v>
      </c>
      <c r="T108">
        <v>6200</v>
      </c>
      <c r="U108" t="s">
        <v>78</v>
      </c>
      <c r="V108" t="s">
        <v>1082</v>
      </c>
      <c r="W108">
        <v>0</v>
      </c>
      <c r="X108" t="s">
        <v>43</v>
      </c>
      <c r="Y108" t="s">
        <v>294</v>
      </c>
      <c r="Z108">
        <v>7800</v>
      </c>
      <c r="AC108" s="4" t="s">
        <v>805</v>
      </c>
      <c r="AD108" s="8">
        <v>1910000</v>
      </c>
      <c r="AE108" s="4" t="s">
        <v>808</v>
      </c>
      <c r="AF108" s="8">
        <v>1910008</v>
      </c>
      <c r="AG108" s="4" t="s">
        <v>810</v>
      </c>
      <c r="AH108" s="8">
        <v>1910008</v>
      </c>
    </row>
    <row r="109" spans="1:34" x14ac:dyDescent="0.25">
      <c r="A109" s="176" t="s">
        <v>1294</v>
      </c>
      <c r="B109" t="s">
        <v>87</v>
      </c>
      <c r="C109" t="s">
        <v>278</v>
      </c>
      <c r="D109" t="s">
        <v>345</v>
      </c>
      <c r="E109" t="s">
        <v>291</v>
      </c>
      <c r="F109" t="s">
        <v>30</v>
      </c>
      <c r="G109" t="s">
        <v>30</v>
      </c>
      <c r="H109" t="s">
        <v>37</v>
      </c>
      <c r="I109" t="s">
        <v>66</v>
      </c>
      <c r="J109" t="s">
        <v>312</v>
      </c>
      <c r="K109">
        <v>345610.4</v>
      </c>
      <c r="L109" s="166">
        <v>280215.75488000002</v>
      </c>
      <c r="M109">
        <v>65394.65</v>
      </c>
      <c r="N109">
        <v>6668.16</v>
      </c>
      <c r="O109" s="8">
        <v>66681.600000000006</v>
      </c>
      <c r="P109">
        <v>278928.80000000005</v>
      </c>
      <c r="Q109" s="166">
        <v>1286.9548799999995</v>
      </c>
      <c r="R109" s="174" t="s">
        <v>1142</v>
      </c>
      <c r="S109">
        <v>100</v>
      </c>
      <c r="T109">
        <v>1900</v>
      </c>
      <c r="U109" t="s">
        <v>78</v>
      </c>
      <c r="V109" t="s">
        <v>1082</v>
      </c>
      <c r="W109">
        <v>0</v>
      </c>
      <c r="X109" t="s">
        <v>43</v>
      </c>
      <c r="Y109" t="s">
        <v>294</v>
      </c>
      <c r="Z109">
        <v>2400</v>
      </c>
      <c r="AC109" s="4" t="s">
        <v>805</v>
      </c>
      <c r="AD109" s="8">
        <v>1910000</v>
      </c>
      <c r="AE109" s="4" t="s">
        <v>808</v>
      </c>
      <c r="AF109" s="8">
        <v>1910008</v>
      </c>
      <c r="AG109" s="4" t="s">
        <v>810</v>
      </c>
      <c r="AH109" s="8">
        <v>1910008</v>
      </c>
    </row>
    <row r="110" spans="1:34" x14ac:dyDescent="0.25">
      <c r="A110" s="176" t="s">
        <v>1295</v>
      </c>
      <c r="B110" t="s">
        <v>87</v>
      </c>
      <c r="C110" t="s">
        <v>278</v>
      </c>
      <c r="D110" t="s">
        <v>346</v>
      </c>
      <c r="E110" t="s">
        <v>291</v>
      </c>
      <c r="F110" t="s">
        <v>30</v>
      </c>
      <c r="G110" t="s">
        <v>30</v>
      </c>
      <c r="H110" t="s">
        <v>37</v>
      </c>
      <c r="I110" t="s">
        <v>66</v>
      </c>
      <c r="J110" t="s">
        <v>312</v>
      </c>
      <c r="K110">
        <v>10722.57</v>
      </c>
      <c r="L110" s="166">
        <v>10721.5893</v>
      </c>
      <c r="M110">
        <v>0.98</v>
      </c>
      <c r="N110">
        <v>0.1</v>
      </c>
      <c r="O110" s="8">
        <v>1</v>
      </c>
      <c r="P110">
        <v>10721.57</v>
      </c>
      <c r="Q110" s="166">
        <v>1.9300000000000001E-2</v>
      </c>
      <c r="R110" s="174" t="s">
        <v>1142</v>
      </c>
      <c r="S110">
        <v>100</v>
      </c>
      <c r="T110">
        <v>1700</v>
      </c>
      <c r="U110" t="s">
        <v>78</v>
      </c>
      <c r="V110" t="s">
        <v>1082</v>
      </c>
      <c r="W110">
        <v>0</v>
      </c>
      <c r="X110" t="s">
        <v>43</v>
      </c>
      <c r="Y110" t="s">
        <v>294</v>
      </c>
      <c r="Z110">
        <v>2200</v>
      </c>
      <c r="AC110" s="4" t="s">
        <v>805</v>
      </c>
      <c r="AD110" s="8">
        <v>1910000</v>
      </c>
      <c r="AE110" s="4" t="s">
        <v>808</v>
      </c>
      <c r="AF110" s="8">
        <v>1910008</v>
      </c>
      <c r="AG110" s="4" t="s">
        <v>810</v>
      </c>
      <c r="AH110" s="8">
        <v>1910008</v>
      </c>
    </row>
    <row r="111" spans="1:34" x14ac:dyDescent="0.25">
      <c r="A111" s="176" t="s">
        <v>1296</v>
      </c>
      <c r="B111" t="s">
        <v>87</v>
      </c>
      <c r="C111" t="s">
        <v>278</v>
      </c>
      <c r="D111" t="s">
        <v>347</v>
      </c>
      <c r="E111" t="s">
        <v>291</v>
      </c>
      <c r="F111" t="s">
        <v>30</v>
      </c>
      <c r="G111" t="s">
        <v>30</v>
      </c>
      <c r="H111" t="s">
        <v>37</v>
      </c>
      <c r="I111" t="s">
        <v>66</v>
      </c>
      <c r="J111" t="s">
        <v>312</v>
      </c>
      <c r="K111">
        <v>13435.51</v>
      </c>
      <c r="L111" s="166">
        <v>13434.5293</v>
      </c>
      <c r="M111">
        <v>0.98</v>
      </c>
      <c r="N111">
        <v>0.1</v>
      </c>
      <c r="O111" s="8">
        <v>1</v>
      </c>
      <c r="P111">
        <v>13434.51</v>
      </c>
      <c r="Q111" s="166">
        <v>1.9300000000000001E-2</v>
      </c>
      <c r="R111" s="174" t="s">
        <v>1142</v>
      </c>
      <c r="S111">
        <v>100</v>
      </c>
      <c r="T111">
        <v>1600</v>
      </c>
      <c r="U111" t="s">
        <v>78</v>
      </c>
      <c r="V111" t="s">
        <v>1082</v>
      </c>
      <c r="W111">
        <v>0</v>
      </c>
      <c r="X111" t="s">
        <v>43</v>
      </c>
      <c r="Y111" t="s">
        <v>294</v>
      </c>
      <c r="Z111">
        <v>2000</v>
      </c>
      <c r="AC111" s="4" t="s">
        <v>805</v>
      </c>
      <c r="AD111" s="8">
        <v>1910000</v>
      </c>
      <c r="AE111" s="4" t="s">
        <v>808</v>
      </c>
      <c r="AF111" s="8">
        <v>1910008</v>
      </c>
      <c r="AG111" s="4" t="s">
        <v>810</v>
      </c>
      <c r="AH111" s="8">
        <v>1910008</v>
      </c>
    </row>
    <row r="112" spans="1:34" x14ac:dyDescent="0.25">
      <c r="A112" s="176" t="s">
        <v>1297</v>
      </c>
      <c r="B112" t="s">
        <v>87</v>
      </c>
      <c r="C112" t="s">
        <v>278</v>
      </c>
      <c r="D112" t="s">
        <v>348</v>
      </c>
      <c r="E112" t="s">
        <v>291</v>
      </c>
      <c r="F112" t="s">
        <v>30</v>
      </c>
      <c r="G112" t="s">
        <v>30</v>
      </c>
      <c r="H112" t="s">
        <v>37</v>
      </c>
      <c r="I112" t="s">
        <v>66</v>
      </c>
      <c r="J112" t="s">
        <v>312</v>
      </c>
      <c r="K112">
        <v>10748.41</v>
      </c>
      <c r="L112" s="166">
        <v>10747.4293</v>
      </c>
      <c r="M112">
        <v>0.98</v>
      </c>
      <c r="N112">
        <v>0.1</v>
      </c>
      <c r="O112" s="8">
        <v>1</v>
      </c>
      <c r="P112">
        <v>10747.41</v>
      </c>
      <c r="Q112" s="166">
        <v>1.9300000000000001E-2</v>
      </c>
      <c r="R112" s="174" t="s">
        <v>1142</v>
      </c>
      <c r="S112">
        <v>100</v>
      </c>
      <c r="T112">
        <v>1700</v>
      </c>
      <c r="U112" t="s">
        <v>78</v>
      </c>
      <c r="V112" t="s">
        <v>1082</v>
      </c>
      <c r="W112">
        <v>0</v>
      </c>
      <c r="X112" t="s">
        <v>43</v>
      </c>
      <c r="Y112" t="s">
        <v>294</v>
      </c>
      <c r="Z112">
        <v>2200</v>
      </c>
      <c r="AC112" s="4" t="s">
        <v>805</v>
      </c>
      <c r="AD112" s="8">
        <v>1910000</v>
      </c>
      <c r="AE112" s="4" t="s">
        <v>808</v>
      </c>
      <c r="AF112" s="8">
        <v>1910008</v>
      </c>
      <c r="AG112" s="4" t="s">
        <v>810</v>
      </c>
      <c r="AH112" s="8">
        <v>1910008</v>
      </c>
    </row>
    <row r="113" spans="1:34" x14ac:dyDescent="0.25">
      <c r="A113" s="176" t="s">
        <v>1298</v>
      </c>
      <c r="B113" t="s">
        <v>87</v>
      </c>
      <c r="C113" t="s">
        <v>278</v>
      </c>
      <c r="D113" t="s">
        <v>349</v>
      </c>
      <c r="E113" t="s">
        <v>291</v>
      </c>
      <c r="F113" t="s">
        <v>30</v>
      </c>
      <c r="G113" t="s">
        <v>30</v>
      </c>
      <c r="H113" t="s">
        <v>37</v>
      </c>
      <c r="I113" t="s">
        <v>66</v>
      </c>
      <c r="J113" t="s">
        <v>312</v>
      </c>
      <c r="K113">
        <v>10748.41</v>
      </c>
      <c r="L113" s="166">
        <v>10747.4293</v>
      </c>
      <c r="M113">
        <v>0.98</v>
      </c>
      <c r="N113">
        <v>0.1</v>
      </c>
      <c r="O113" s="8">
        <v>1</v>
      </c>
      <c r="P113">
        <v>10747.41</v>
      </c>
      <c r="Q113" s="166">
        <v>1.9300000000000001E-2</v>
      </c>
      <c r="R113" s="174" t="s">
        <v>1142</v>
      </c>
      <c r="S113">
        <v>100</v>
      </c>
      <c r="T113">
        <v>1700</v>
      </c>
      <c r="U113" t="s">
        <v>78</v>
      </c>
      <c r="V113" t="s">
        <v>1082</v>
      </c>
      <c r="W113">
        <v>0</v>
      </c>
      <c r="X113" t="s">
        <v>43</v>
      </c>
      <c r="Y113" t="s">
        <v>294</v>
      </c>
      <c r="Z113">
        <v>2200</v>
      </c>
      <c r="AC113" s="4" t="s">
        <v>805</v>
      </c>
      <c r="AD113" s="8">
        <v>1910000</v>
      </c>
      <c r="AE113" s="4" t="s">
        <v>808</v>
      </c>
      <c r="AF113" s="8">
        <v>1910008</v>
      </c>
      <c r="AG113" s="4" t="s">
        <v>810</v>
      </c>
      <c r="AH113" s="8">
        <v>1910008</v>
      </c>
    </row>
    <row r="114" spans="1:34" x14ac:dyDescent="0.25">
      <c r="A114" s="176" t="s">
        <v>1299</v>
      </c>
      <c r="B114" t="s">
        <v>87</v>
      </c>
      <c r="C114" t="s">
        <v>278</v>
      </c>
      <c r="D114" t="s">
        <v>350</v>
      </c>
      <c r="E114" t="s">
        <v>291</v>
      </c>
      <c r="F114" t="s">
        <v>30</v>
      </c>
      <c r="G114" t="s">
        <v>30</v>
      </c>
      <c r="H114" t="s">
        <v>37</v>
      </c>
      <c r="I114" t="s">
        <v>66</v>
      </c>
      <c r="J114" t="s">
        <v>312</v>
      </c>
      <c r="K114">
        <v>10748.41</v>
      </c>
      <c r="L114" s="166">
        <v>10747.4293</v>
      </c>
      <c r="M114">
        <v>0.98</v>
      </c>
      <c r="N114">
        <v>0.1</v>
      </c>
      <c r="O114" s="8">
        <v>1</v>
      </c>
      <c r="P114">
        <v>10747.41</v>
      </c>
      <c r="Q114" s="166">
        <v>1.9300000000000001E-2</v>
      </c>
      <c r="R114" s="174" t="s">
        <v>1142</v>
      </c>
      <c r="S114">
        <v>100</v>
      </c>
      <c r="T114">
        <v>1600</v>
      </c>
      <c r="U114" t="s">
        <v>78</v>
      </c>
      <c r="V114" t="s">
        <v>1082</v>
      </c>
      <c r="W114">
        <v>0</v>
      </c>
      <c r="X114" t="s">
        <v>43</v>
      </c>
      <c r="Y114" t="s">
        <v>294</v>
      </c>
      <c r="Z114">
        <v>2000</v>
      </c>
      <c r="AC114" s="4" t="s">
        <v>805</v>
      </c>
      <c r="AD114" s="8">
        <v>1910000</v>
      </c>
      <c r="AE114" s="4" t="s">
        <v>808</v>
      </c>
      <c r="AF114" s="8">
        <v>1910008</v>
      </c>
      <c r="AG114" s="4" t="s">
        <v>810</v>
      </c>
      <c r="AH114" s="8">
        <v>1910008</v>
      </c>
    </row>
    <row r="115" spans="1:34" x14ac:dyDescent="0.25">
      <c r="A115" s="176" t="s">
        <v>1300</v>
      </c>
      <c r="B115" t="s">
        <v>87</v>
      </c>
      <c r="C115" t="s">
        <v>278</v>
      </c>
      <c r="D115" t="s">
        <v>351</v>
      </c>
      <c r="E115" t="s">
        <v>291</v>
      </c>
      <c r="F115" t="s">
        <v>30</v>
      </c>
      <c r="G115" t="s">
        <v>30</v>
      </c>
      <c r="H115" t="s">
        <v>37</v>
      </c>
      <c r="I115" t="s">
        <v>66</v>
      </c>
      <c r="J115" t="s">
        <v>312</v>
      </c>
      <c r="K115">
        <v>10748.41</v>
      </c>
      <c r="L115" s="166">
        <v>10747.4293</v>
      </c>
      <c r="M115">
        <v>0.98</v>
      </c>
      <c r="N115">
        <v>0.1</v>
      </c>
      <c r="O115" s="8">
        <v>1</v>
      </c>
      <c r="P115">
        <v>10747.41</v>
      </c>
      <c r="Q115" s="166">
        <v>1.9300000000000001E-2</v>
      </c>
      <c r="R115" s="174" t="s">
        <v>1142</v>
      </c>
      <c r="S115">
        <v>100</v>
      </c>
      <c r="T115">
        <v>2000</v>
      </c>
      <c r="U115" t="s">
        <v>78</v>
      </c>
      <c r="V115" t="s">
        <v>1082</v>
      </c>
      <c r="W115">
        <v>0</v>
      </c>
      <c r="X115" t="s">
        <v>43</v>
      </c>
      <c r="Y115" t="s">
        <v>294</v>
      </c>
      <c r="Z115">
        <v>2500</v>
      </c>
      <c r="AC115" s="4" t="s">
        <v>805</v>
      </c>
      <c r="AD115" s="8">
        <v>1910000</v>
      </c>
      <c r="AE115" s="4" t="s">
        <v>808</v>
      </c>
      <c r="AF115" s="8">
        <v>1910008</v>
      </c>
      <c r="AG115" s="4" t="s">
        <v>810</v>
      </c>
      <c r="AH115" s="8">
        <v>1910008</v>
      </c>
    </row>
    <row r="116" spans="1:34" x14ac:dyDescent="0.25">
      <c r="A116" s="176" t="s">
        <v>1301</v>
      </c>
      <c r="B116" t="s">
        <v>87</v>
      </c>
      <c r="C116" t="s">
        <v>278</v>
      </c>
      <c r="D116" t="s">
        <v>352</v>
      </c>
      <c r="E116" t="s">
        <v>291</v>
      </c>
      <c r="F116" t="s">
        <v>30</v>
      </c>
      <c r="G116" t="s">
        <v>30</v>
      </c>
      <c r="H116" t="s">
        <v>37</v>
      </c>
      <c r="I116" t="s">
        <v>66</v>
      </c>
      <c r="J116" t="s">
        <v>312</v>
      </c>
      <c r="K116">
        <v>13435.51</v>
      </c>
      <c r="L116" s="166">
        <v>13434.5293</v>
      </c>
      <c r="M116">
        <v>0.98</v>
      </c>
      <c r="N116">
        <v>0.1</v>
      </c>
      <c r="O116" s="8">
        <v>1</v>
      </c>
      <c r="P116">
        <v>13434.51</v>
      </c>
      <c r="Q116" s="166">
        <v>1.9300000000000001E-2</v>
      </c>
      <c r="R116" s="174" t="s">
        <v>1142</v>
      </c>
      <c r="S116">
        <v>100</v>
      </c>
      <c r="T116">
        <v>1700</v>
      </c>
      <c r="U116" t="s">
        <v>78</v>
      </c>
      <c r="V116" t="s">
        <v>1082</v>
      </c>
      <c r="W116">
        <v>0</v>
      </c>
      <c r="X116" t="s">
        <v>43</v>
      </c>
      <c r="Y116" t="s">
        <v>294</v>
      </c>
      <c r="Z116">
        <v>2200</v>
      </c>
      <c r="AC116" s="4" t="s">
        <v>805</v>
      </c>
      <c r="AD116" s="8">
        <v>1910000</v>
      </c>
      <c r="AE116" s="4" t="s">
        <v>808</v>
      </c>
      <c r="AF116" s="8">
        <v>1910008</v>
      </c>
      <c r="AG116" s="4" t="s">
        <v>810</v>
      </c>
      <c r="AH116" s="8">
        <v>1910008</v>
      </c>
    </row>
    <row r="117" spans="1:34" x14ac:dyDescent="0.25">
      <c r="A117" s="176" t="s">
        <v>1302</v>
      </c>
      <c r="B117" t="s">
        <v>87</v>
      </c>
      <c r="C117" t="s">
        <v>278</v>
      </c>
      <c r="D117" t="s">
        <v>353</v>
      </c>
      <c r="E117" t="s">
        <v>291</v>
      </c>
      <c r="F117" t="s">
        <v>30</v>
      </c>
      <c r="G117" t="s">
        <v>30</v>
      </c>
      <c r="H117" t="s">
        <v>37</v>
      </c>
      <c r="I117" t="s">
        <v>66</v>
      </c>
      <c r="J117" t="s">
        <v>312</v>
      </c>
      <c r="K117">
        <v>10748.41</v>
      </c>
      <c r="L117" s="166">
        <v>10747.4293</v>
      </c>
      <c r="M117">
        <v>0.98</v>
      </c>
      <c r="N117">
        <v>0.1</v>
      </c>
      <c r="O117" s="8">
        <v>1</v>
      </c>
      <c r="P117">
        <v>10747.41</v>
      </c>
      <c r="Q117" s="166">
        <v>1.9300000000000001E-2</v>
      </c>
      <c r="R117" s="174" t="s">
        <v>1142</v>
      </c>
      <c r="S117">
        <v>100</v>
      </c>
      <c r="T117">
        <v>2100</v>
      </c>
      <c r="U117" t="s">
        <v>78</v>
      </c>
      <c r="V117" t="s">
        <v>1082</v>
      </c>
      <c r="W117">
        <v>0</v>
      </c>
      <c r="X117" t="s">
        <v>43</v>
      </c>
      <c r="Y117" t="s">
        <v>294</v>
      </c>
      <c r="Z117">
        <v>2700</v>
      </c>
      <c r="AC117" s="4" t="s">
        <v>805</v>
      </c>
      <c r="AD117" s="8">
        <v>1910000</v>
      </c>
      <c r="AE117" s="4" t="s">
        <v>808</v>
      </c>
      <c r="AF117" s="8">
        <v>1910008</v>
      </c>
      <c r="AG117" s="4" t="s">
        <v>810</v>
      </c>
      <c r="AH117" s="8">
        <v>1910008</v>
      </c>
    </row>
    <row r="118" spans="1:34" x14ac:dyDescent="0.25">
      <c r="A118" s="176" t="s">
        <v>1303</v>
      </c>
      <c r="B118" t="s">
        <v>87</v>
      </c>
      <c r="C118" t="s">
        <v>278</v>
      </c>
      <c r="D118" t="s">
        <v>354</v>
      </c>
      <c r="E118" t="s">
        <v>291</v>
      </c>
      <c r="F118" t="s">
        <v>30</v>
      </c>
      <c r="G118" t="s">
        <v>30</v>
      </c>
      <c r="H118" t="s">
        <v>37</v>
      </c>
      <c r="I118" t="s">
        <v>66</v>
      </c>
      <c r="J118" t="s">
        <v>312</v>
      </c>
      <c r="K118">
        <v>13435.51</v>
      </c>
      <c r="L118" s="166">
        <v>13434.5293</v>
      </c>
      <c r="M118">
        <v>0.98</v>
      </c>
      <c r="N118">
        <v>0.1</v>
      </c>
      <c r="O118" s="8">
        <v>1</v>
      </c>
      <c r="P118">
        <v>13434.51</v>
      </c>
      <c r="Q118" s="166">
        <v>1.9300000000000001E-2</v>
      </c>
      <c r="R118" s="174" t="s">
        <v>1142</v>
      </c>
      <c r="S118">
        <v>100</v>
      </c>
      <c r="T118">
        <v>2100</v>
      </c>
      <c r="U118" t="s">
        <v>78</v>
      </c>
      <c r="V118" t="s">
        <v>1082</v>
      </c>
      <c r="W118">
        <v>0</v>
      </c>
      <c r="X118" t="s">
        <v>43</v>
      </c>
      <c r="Y118" t="s">
        <v>294</v>
      </c>
      <c r="Z118">
        <v>2700</v>
      </c>
      <c r="AC118" s="4" t="s">
        <v>805</v>
      </c>
      <c r="AD118" s="8">
        <v>1910000</v>
      </c>
      <c r="AE118" s="4" t="s">
        <v>808</v>
      </c>
      <c r="AF118" s="8">
        <v>1910008</v>
      </c>
      <c r="AG118" s="4" t="s">
        <v>810</v>
      </c>
      <c r="AH118" s="8">
        <v>1910008</v>
      </c>
    </row>
    <row r="119" spans="1:34" x14ac:dyDescent="0.25">
      <c r="A119" s="176" t="s">
        <v>1304</v>
      </c>
      <c r="B119" t="s">
        <v>87</v>
      </c>
      <c r="C119" t="s">
        <v>278</v>
      </c>
      <c r="D119" t="s">
        <v>355</v>
      </c>
      <c r="E119" t="s">
        <v>291</v>
      </c>
      <c r="F119" t="s">
        <v>30</v>
      </c>
      <c r="G119" t="s">
        <v>30</v>
      </c>
      <c r="H119" t="s">
        <v>37</v>
      </c>
      <c r="I119" t="s">
        <v>66</v>
      </c>
      <c r="J119" t="s">
        <v>312</v>
      </c>
      <c r="K119">
        <v>13435.51</v>
      </c>
      <c r="L119" s="166">
        <v>13379.158978000001</v>
      </c>
      <c r="M119">
        <v>56.35</v>
      </c>
      <c r="N119">
        <v>5.75</v>
      </c>
      <c r="O119" s="8">
        <v>57.46</v>
      </c>
      <c r="P119">
        <v>13378.050000000001</v>
      </c>
      <c r="Q119" s="166">
        <v>1.1089779999999831</v>
      </c>
      <c r="R119" s="174" t="s">
        <v>1142</v>
      </c>
      <c r="S119">
        <v>100</v>
      </c>
      <c r="T119">
        <v>1500</v>
      </c>
      <c r="U119" t="s">
        <v>78</v>
      </c>
      <c r="V119" t="s">
        <v>1082</v>
      </c>
      <c r="W119">
        <v>0</v>
      </c>
      <c r="X119" t="s">
        <v>43</v>
      </c>
      <c r="Y119" t="s">
        <v>294</v>
      </c>
      <c r="Z119">
        <v>1900</v>
      </c>
      <c r="AC119" s="4" t="s">
        <v>805</v>
      </c>
      <c r="AD119" s="8">
        <v>1910000</v>
      </c>
      <c r="AE119" s="4" t="s">
        <v>808</v>
      </c>
      <c r="AF119" s="8">
        <v>1910008</v>
      </c>
      <c r="AG119" s="4" t="s">
        <v>810</v>
      </c>
      <c r="AH119" s="8">
        <v>1910008</v>
      </c>
    </row>
    <row r="120" spans="1:34" x14ac:dyDescent="0.25">
      <c r="A120" s="176" t="s">
        <v>1305</v>
      </c>
      <c r="B120" t="s">
        <v>87</v>
      </c>
      <c r="C120" t="s">
        <v>278</v>
      </c>
      <c r="D120" t="s">
        <v>356</v>
      </c>
      <c r="E120" t="s">
        <v>291</v>
      </c>
      <c r="F120" t="s">
        <v>30</v>
      </c>
      <c r="G120" t="s">
        <v>30</v>
      </c>
      <c r="H120" t="s">
        <v>37</v>
      </c>
      <c r="I120" t="s">
        <v>66</v>
      </c>
      <c r="J120" t="s">
        <v>312</v>
      </c>
      <c r="K120">
        <v>10748.41</v>
      </c>
      <c r="L120" s="166">
        <v>10747.4293</v>
      </c>
      <c r="M120">
        <v>0.98</v>
      </c>
      <c r="N120">
        <v>0.1</v>
      </c>
      <c r="O120" s="8">
        <v>1</v>
      </c>
      <c r="P120">
        <v>10747.41</v>
      </c>
      <c r="Q120" s="166">
        <v>1.9300000000000001E-2</v>
      </c>
      <c r="R120" s="174" t="s">
        <v>1142</v>
      </c>
      <c r="S120">
        <v>100</v>
      </c>
      <c r="T120">
        <v>1500</v>
      </c>
      <c r="U120" t="s">
        <v>78</v>
      </c>
      <c r="V120" t="s">
        <v>1082</v>
      </c>
      <c r="W120">
        <v>0</v>
      </c>
      <c r="X120" t="s">
        <v>43</v>
      </c>
      <c r="Y120" t="s">
        <v>294</v>
      </c>
      <c r="Z120">
        <v>1900</v>
      </c>
      <c r="AC120" s="4" t="s">
        <v>805</v>
      </c>
      <c r="AD120" s="8">
        <v>1910000</v>
      </c>
      <c r="AE120" s="4" t="s">
        <v>808</v>
      </c>
      <c r="AF120" s="8">
        <v>1910008</v>
      </c>
      <c r="AG120" s="4" t="s">
        <v>810</v>
      </c>
      <c r="AH120" s="8">
        <v>1910008</v>
      </c>
    </row>
    <row r="121" spans="1:34" x14ac:dyDescent="0.25">
      <c r="A121" s="176" t="s">
        <v>1306</v>
      </c>
      <c r="B121" t="s">
        <v>87</v>
      </c>
      <c r="C121" t="s">
        <v>278</v>
      </c>
      <c r="D121" t="s">
        <v>357</v>
      </c>
      <c r="E121" t="s">
        <v>291</v>
      </c>
      <c r="F121" t="s">
        <v>30</v>
      </c>
      <c r="G121" t="s">
        <v>30</v>
      </c>
      <c r="H121" t="s">
        <v>37</v>
      </c>
      <c r="I121" t="s">
        <v>66</v>
      </c>
      <c r="J121" t="s">
        <v>312</v>
      </c>
      <c r="K121">
        <v>10748.41</v>
      </c>
      <c r="L121" s="166">
        <v>10747.4293</v>
      </c>
      <c r="M121">
        <v>0.98</v>
      </c>
      <c r="N121">
        <v>0.1</v>
      </c>
      <c r="O121" s="8">
        <v>1</v>
      </c>
      <c r="P121">
        <v>10747.41</v>
      </c>
      <c r="Q121" s="166">
        <v>1.9300000000000001E-2</v>
      </c>
      <c r="R121" s="174" t="s">
        <v>1142</v>
      </c>
      <c r="S121">
        <v>100</v>
      </c>
      <c r="T121">
        <v>2400</v>
      </c>
      <c r="U121" t="s">
        <v>78</v>
      </c>
      <c r="V121" t="s">
        <v>1082</v>
      </c>
      <c r="W121">
        <v>0</v>
      </c>
      <c r="X121" t="s">
        <v>43</v>
      </c>
      <c r="Y121" t="s">
        <v>294</v>
      </c>
      <c r="Z121">
        <v>3000</v>
      </c>
      <c r="AC121" s="4" t="s">
        <v>805</v>
      </c>
      <c r="AD121" s="8">
        <v>1910000</v>
      </c>
      <c r="AE121" s="4" t="s">
        <v>808</v>
      </c>
      <c r="AF121" s="8">
        <v>1910008</v>
      </c>
      <c r="AG121" s="4" t="s">
        <v>810</v>
      </c>
      <c r="AH121" s="8">
        <v>1910008</v>
      </c>
    </row>
    <row r="122" spans="1:34" x14ac:dyDescent="0.25">
      <c r="A122" s="176" t="s">
        <v>1307</v>
      </c>
      <c r="B122" t="s">
        <v>87</v>
      </c>
      <c r="C122" t="s">
        <v>278</v>
      </c>
      <c r="D122" t="s">
        <v>358</v>
      </c>
      <c r="E122" t="s">
        <v>291</v>
      </c>
      <c r="F122" t="s">
        <v>30</v>
      </c>
      <c r="G122" t="s">
        <v>30</v>
      </c>
      <c r="H122" t="s">
        <v>37</v>
      </c>
      <c r="I122" t="s">
        <v>66</v>
      </c>
      <c r="J122" t="s">
        <v>312</v>
      </c>
      <c r="K122">
        <v>9145.82</v>
      </c>
      <c r="L122" s="166">
        <v>9144.8392999999996</v>
      </c>
      <c r="M122">
        <v>0.98</v>
      </c>
      <c r="N122">
        <v>0.1</v>
      </c>
      <c r="O122" s="8">
        <v>1</v>
      </c>
      <c r="P122">
        <v>9144.82</v>
      </c>
      <c r="Q122" s="166">
        <v>1.9300000000000001E-2</v>
      </c>
      <c r="R122" s="174" t="s">
        <v>1142</v>
      </c>
      <c r="S122">
        <v>100</v>
      </c>
      <c r="T122">
        <v>2400</v>
      </c>
      <c r="U122" t="s">
        <v>78</v>
      </c>
      <c r="V122" t="s">
        <v>1082</v>
      </c>
      <c r="W122">
        <v>0</v>
      </c>
      <c r="X122" t="s">
        <v>43</v>
      </c>
      <c r="Y122" t="s">
        <v>294</v>
      </c>
      <c r="Z122">
        <v>3000</v>
      </c>
      <c r="AC122" s="4" t="s">
        <v>805</v>
      </c>
      <c r="AD122" s="8">
        <v>1910000</v>
      </c>
      <c r="AE122" s="4" t="s">
        <v>808</v>
      </c>
      <c r="AF122" s="8">
        <v>1910008</v>
      </c>
      <c r="AG122" s="4" t="s">
        <v>810</v>
      </c>
      <c r="AH122" s="8">
        <v>1910008</v>
      </c>
    </row>
    <row r="123" spans="1:34" x14ac:dyDescent="0.25">
      <c r="A123" s="176" t="s">
        <v>1308</v>
      </c>
      <c r="B123" t="s">
        <v>87</v>
      </c>
      <c r="C123" t="s">
        <v>278</v>
      </c>
      <c r="D123" t="s">
        <v>359</v>
      </c>
      <c r="E123" t="s">
        <v>291</v>
      </c>
      <c r="F123" t="s">
        <v>30</v>
      </c>
      <c r="G123" t="s">
        <v>30</v>
      </c>
      <c r="H123" t="s">
        <v>37</v>
      </c>
      <c r="I123" t="s">
        <v>66</v>
      </c>
      <c r="J123" t="s">
        <v>312</v>
      </c>
      <c r="K123">
        <v>9145.82</v>
      </c>
      <c r="L123" s="166">
        <v>9144.8392999999996</v>
      </c>
      <c r="M123">
        <v>0.98</v>
      </c>
      <c r="N123">
        <v>0.1</v>
      </c>
      <c r="O123" s="8">
        <v>1</v>
      </c>
      <c r="P123">
        <v>9144.82</v>
      </c>
      <c r="Q123" s="166">
        <v>1.9300000000000001E-2</v>
      </c>
      <c r="R123" s="174" t="s">
        <v>1142</v>
      </c>
      <c r="S123">
        <v>100</v>
      </c>
      <c r="T123">
        <v>2300</v>
      </c>
      <c r="U123" t="s">
        <v>78</v>
      </c>
      <c r="V123" t="s">
        <v>1082</v>
      </c>
      <c r="W123">
        <v>0</v>
      </c>
      <c r="X123" t="s">
        <v>43</v>
      </c>
      <c r="Y123" t="s">
        <v>294</v>
      </c>
      <c r="Z123">
        <v>2900</v>
      </c>
      <c r="AC123" s="4" t="s">
        <v>805</v>
      </c>
      <c r="AD123" s="8">
        <v>1910000</v>
      </c>
      <c r="AE123" s="4" t="s">
        <v>808</v>
      </c>
      <c r="AF123" s="8">
        <v>1910008</v>
      </c>
      <c r="AG123" s="4" t="s">
        <v>810</v>
      </c>
      <c r="AH123" s="8">
        <v>1910008</v>
      </c>
    </row>
    <row r="124" spans="1:34" x14ac:dyDescent="0.25">
      <c r="A124" s="176" t="s">
        <v>1309</v>
      </c>
      <c r="B124" t="s">
        <v>87</v>
      </c>
      <c r="C124" t="s">
        <v>278</v>
      </c>
      <c r="D124" t="s">
        <v>360</v>
      </c>
      <c r="E124" t="s">
        <v>291</v>
      </c>
      <c r="F124" t="s">
        <v>30</v>
      </c>
      <c r="G124" t="s">
        <v>30</v>
      </c>
      <c r="H124" t="s">
        <v>37</v>
      </c>
      <c r="I124" t="s">
        <v>66</v>
      </c>
      <c r="J124" t="s">
        <v>312</v>
      </c>
      <c r="K124">
        <v>9145.82</v>
      </c>
      <c r="L124" s="166">
        <v>9144.8392999999996</v>
      </c>
      <c r="M124">
        <v>0.98</v>
      </c>
      <c r="N124">
        <v>0.1</v>
      </c>
      <c r="O124" s="8">
        <v>1</v>
      </c>
      <c r="P124">
        <v>9144.82</v>
      </c>
      <c r="Q124" s="166">
        <v>1.9300000000000001E-2</v>
      </c>
      <c r="R124" s="174" t="s">
        <v>1142</v>
      </c>
      <c r="S124">
        <v>100</v>
      </c>
      <c r="T124">
        <v>200</v>
      </c>
      <c r="U124" t="s">
        <v>78</v>
      </c>
      <c r="V124" t="s">
        <v>1082</v>
      </c>
      <c r="W124">
        <v>0</v>
      </c>
      <c r="X124" t="s">
        <v>43</v>
      </c>
      <c r="Y124" t="s">
        <v>294</v>
      </c>
      <c r="Z124">
        <v>300</v>
      </c>
      <c r="AC124" s="4" t="s">
        <v>805</v>
      </c>
      <c r="AD124" s="8">
        <v>1910000</v>
      </c>
      <c r="AE124" s="4" t="s">
        <v>808</v>
      </c>
      <c r="AF124" s="8">
        <v>1910008</v>
      </c>
      <c r="AG124" s="4" t="s">
        <v>810</v>
      </c>
      <c r="AH124" s="8">
        <v>1910008</v>
      </c>
    </row>
    <row r="125" spans="1:34" x14ac:dyDescent="0.25">
      <c r="A125" s="176" t="s">
        <v>1310</v>
      </c>
      <c r="B125" t="s">
        <v>87</v>
      </c>
      <c r="C125" t="s">
        <v>278</v>
      </c>
      <c r="D125" t="s">
        <v>361</v>
      </c>
      <c r="E125" t="s">
        <v>291</v>
      </c>
      <c r="F125" t="s">
        <v>30</v>
      </c>
      <c r="G125" t="s">
        <v>30</v>
      </c>
      <c r="H125" t="s">
        <v>37</v>
      </c>
      <c r="I125" t="s">
        <v>66</v>
      </c>
      <c r="J125" t="s">
        <v>312</v>
      </c>
      <c r="K125">
        <v>2074.44</v>
      </c>
      <c r="L125" s="166">
        <v>2073.4593</v>
      </c>
      <c r="M125">
        <v>0.98</v>
      </c>
      <c r="N125">
        <v>0.1</v>
      </c>
      <c r="O125" s="8">
        <v>1</v>
      </c>
      <c r="P125">
        <v>2073.44</v>
      </c>
      <c r="Q125" s="166">
        <v>1.9300000000000001E-2</v>
      </c>
      <c r="R125" s="174" t="s">
        <v>1142</v>
      </c>
      <c r="S125">
        <v>100</v>
      </c>
      <c r="T125">
        <v>200</v>
      </c>
      <c r="U125" t="s">
        <v>78</v>
      </c>
      <c r="V125" t="s">
        <v>1082</v>
      </c>
      <c r="W125">
        <v>0</v>
      </c>
      <c r="X125" t="s">
        <v>43</v>
      </c>
      <c r="Y125" t="s">
        <v>294</v>
      </c>
      <c r="Z125">
        <v>300</v>
      </c>
      <c r="AC125" s="4" t="s">
        <v>805</v>
      </c>
      <c r="AD125" s="8">
        <v>1910000</v>
      </c>
      <c r="AE125" s="4" t="s">
        <v>808</v>
      </c>
      <c r="AF125" s="8">
        <v>1910008</v>
      </c>
      <c r="AG125" s="4" t="s">
        <v>810</v>
      </c>
      <c r="AH125" s="8">
        <v>1910008</v>
      </c>
    </row>
    <row r="126" spans="1:34" x14ac:dyDescent="0.25">
      <c r="A126" s="176" t="s">
        <v>1311</v>
      </c>
      <c r="B126" t="s">
        <v>87</v>
      </c>
      <c r="C126" t="s">
        <v>278</v>
      </c>
      <c r="D126" t="s">
        <v>362</v>
      </c>
      <c r="E126" t="s">
        <v>291</v>
      </c>
      <c r="F126" t="s">
        <v>30</v>
      </c>
      <c r="G126" t="s">
        <v>30</v>
      </c>
      <c r="H126" t="s">
        <v>37</v>
      </c>
      <c r="I126" t="s">
        <v>66</v>
      </c>
      <c r="J126" t="s">
        <v>312</v>
      </c>
      <c r="K126">
        <v>2074.44</v>
      </c>
      <c r="L126" s="166">
        <v>2073.4593</v>
      </c>
      <c r="M126">
        <v>0.98</v>
      </c>
      <c r="N126">
        <v>0.1</v>
      </c>
      <c r="O126" s="8">
        <v>1</v>
      </c>
      <c r="P126">
        <v>2073.44</v>
      </c>
      <c r="Q126" s="166">
        <v>1.9300000000000001E-2</v>
      </c>
      <c r="R126" s="174" t="s">
        <v>1142</v>
      </c>
      <c r="S126">
        <v>100</v>
      </c>
      <c r="T126">
        <v>300</v>
      </c>
      <c r="U126" t="s">
        <v>78</v>
      </c>
      <c r="V126" t="s">
        <v>1082</v>
      </c>
      <c r="W126">
        <v>0</v>
      </c>
      <c r="X126" t="s">
        <v>43</v>
      </c>
      <c r="Y126" t="s">
        <v>294</v>
      </c>
      <c r="Z126">
        <v>400</v>
      </c>
      <c r="AC126" s="4" t="s">
        <v>805</v>
      </c>
      <c r="AD126" s="8">
        <v>1910000</v>
      </c>
      <c r="AE126" s="4" t="s">
        <v>808</v>
      </c>
      <c r="AF126" s="8">
        <v>1910008</v>
      </c>
      <c r="AG126" s="4" t="s">
        <v>810</v>
      </c>
      <c r="AH126" s="8">
        <v>1910008</v>
      </c>
    </row>
    <row r="127" spans="1:34" x14ac:dyDescent="0.25">
      <c r="A127" s="176" t="s">
        <v>1312</v>
      </c>
      <c r="B127" t="s">
        <v>87</v>
      </c>
      <c r="C127" t="s">
        <v>278</v>
      </c>
      <c r="D127" t="s">
        <v>363</v>
      </c>
      <c r="E127" t="s">
        <v>291</v>
      </c>
      <c r="F127" t="s">
        <v>30</v>
      </c>
      <c r="G127" t="s">
        <v>30</v>
      </c>
      <c r="H127" t="s">
        <v>37</v>
      </c>
      <c r="I127" t="s">
        <v>66</v>
      </c>
      <c r="J127" t="s">
        <v>312</v>
      </c>
      <c r="K127">
        <v>2593.59</v>
      </c>
      <c r="L127" s="166">
        <v>2592.6093000000001</v>
      </c>
      <c r="M127">
        <v>0.98</v>
      </c>
      <c r="N127">
        <v>0.1</v>
      </c>
      <c r="O127" s="8">
        <v>1</v>
      </c>
      <c r="P127">
        <v>2592.59</v>
      </c>
      <c r="Q127" s="166">
        <v>1.9300000000000001E-2</v>
      </c>
      <c r="R127" s="174" t="s">
        <v>1142</v>
      </c>
      <c r="S127">
        <v>100</v>
      </c>
      <c r="T127">
        <v>200</v>
      </c>
      <c r="U127" t="s">
        <v>78</v>
      </c>
      <c r="V127" t="s">
        <v>1082</v>
      </c>
      <c r="W127">
        <v>0</v>
      </c>
      <c r="X127" t="s">
        <v>43</v>
      </c>
      <c r="Y127" t="s">
        <v>294</v>
      </c>
      <c r="Z127">
        <v>300</v>
      </c>
      <c r="AC127" s="4" t="s">
        <v>805</v>
      </c>
      <c r="AD127" s="8">
        <v>1910000</v>
      </c>
      <c r="AE127" s="4" t="s">
        <v>808</v>
      </c>
      <c r="AF127" s="8">
        <v>1910008</v>
      </c>
      <c r="AG127" s="4" t="s">
        <v>810</v>
      </c>
      <c r="AH127" s="8">
        <v>1910008</v>
      </c>
    </row>
    <row r="128" spans="1:34" x14ac:dyDescent="0.25">
      <c r="A128" s="176" t="s">
        <v>1313</v>
      </c>
      <c r="B128" t="s">
        <v>87</v>
      </c>
      <c r="C128" t="s">
        <v>278</v>
      </c>
      <c r="D128" t="s">
        <v>364</v>
      </c>
      <c r="E128" t="s">
        <v>291</v>
      </c>
      <c r="F128" t="s">
        <v>30</v>
      </c>
      <c r="G128" t="s">
        <v>30</v>
      </c>
      <c r="H128" t="s">
        <v>37</v>
      </c>
      <c r="I128" t="s">
        <v>66</v>
      </c>
      <c r="J128" t="s">
        <v>312</v>
      </c>
      <c r="K128">
        <v>1687.5</v>
      </c>
      <c r="L128" s="166">
        <v>1686.5192999999999</v>
      </c>
      <c r="M128">
        <v>0.98</v>
      </c>
      <c r="N128">
        <v>0.1</v>
      </c>
      <c r="O128" s="8">
        <v>1</v>
      </c>
      <c r="P128">
        <v>1686.5</v>
      </c>
      <c r="Q128" s="166">
        <v>1.9300000000000001E-2</v>
      </c>
      <c r="R128" s="174" t="s">
        <v>1142</v>
      </c>
      <c r="S128">
        <v>100</v>
      </c>
      <c r="T128">
        <v>200</v>
      </c>
      <c r="U128" t="s">
        <v>78</v>
      </c>
      <c r="V128" t="s">
        <v>1082</v>
      </c>
      <c r="W128">
        <v>0</v>
      </c>
      <c r="X128" t="s">
        <v>43</v>
      </c>
      <c r="Y128" t="s">
        <v>294</v>
      </c>
      <c r="Z128">
        <v>300</v>
      </c>
      <c r="AC128" s="4" t="s">
        <v>805</v>
      </c>
      <c r="AD128" s="8">
        <v>1910000</v>
      </c>
      <c r="AE128" s="4" t="s">
        <v>808</v>
      </c>
      <c r="AF128" s="8">
        <v>1910008</v>
      </c>
      <c r="AG128" s="4" t="s">
        <v>810</v>
      </c>
      <c r="AH128" s="8">
        <v>1910008</v>
      </c>
    </row>
    <row r="129" spans="1:34" x14ac:dyDescent="0.25">
      <c r="A129" s="176" t="s">
        <v>1314</v>
      </c>
      <c r="B129" t="s">
        <v>87</v>
      </c>
      <c r="C129" t="s">
        <v>278</v>
      </c>
      <c r="D129" t="s">
        <v>365</v>
      </c>
      <c r="E129" t="s">
        <v>291</v>
      </c>
      <c r="F129" t="s">
        <v>30</v>
      </c>
      <c r="G129" t="s">
        <v>30</v>
      </c>
      <c r="H129" t="s">
        <v>37</v>
      </c>
      <c r="I129" t="s">
        <v>66</v>
      </c>
      <c r="J129" t="s">
        <v>312</v>
      </c>
      <c r="K129">
        <v>2296.14</v>
      </c>
      <c r="L129" s="166">
        <v>2295.1592999999998</v>
      </c>
      <c r="M129">
        <v>0.98</v>
      </c>
      <c r="N129">
        <v>0.1</v>
      </c>
      <c r="O129" s="8">
        <v>1</v>
      </c>
      <c r="P129">
        <v>2295.14</v>
      </c>
      <c r="Q129" s="166">
        <v>1.9300000000000001E-2</v>
      </c>
      <c r="R129" s="174" t="s">
        <v>1142</v>
      </c>
      <c r="S129">
        <v>100</v>
      </c>
      <c r="T129">
        <v>300</v>
      </c>
      <c r="U129" t="s">
        <v>78</v>
      </c>
      <c r="V129" t="s">
        <v>1082</v>
      </c>
      <c r="W129">
        <v>0</v>
      </c>
      <c r="X129" t="s">
        <v>43</v>
      </c>
      <c r="Y129" t="s">
        <v>294</v>
      </c>
      <c r="Z129">
        <v>400</v>
      </c>
      <c r="AC129" s="4" t="s">
        <v>805</v>
      </c>
      <c r="AD129" s="8">
        <v>1910000</v>
      </c>
      <c r="AE129" s="4" t="s">
        <v>808</v>
      </c>
      <c r="AF129" s="8">
        <v>1910008</v>
      </c>
      <c r="AG129" s="4" t="s">
        <v>810</v>
      </c>
      <c r="AH129" s="8">
        <v>1910008</v>
      </c>
    </row>
    <row r="130" spans="1:34" x14ac:dyDescent="0.25">
      <c r="A130" s="176" t="s">
        <v>1315</v>
      </c>
      <c r="B130" t="s">
        <v>87</v>
      </c>
      <c r="C130" t="s">
        <v>278</v>
      </c>
      <c r="D130" t="s">
        <v>366</v>
      </c>
      <c r="E130" t="s">
        <v>291</v>
      </c>
      <c r="F130" t="s">
        <v>30</v>
      </c>
      <c r="G130" t="s">
        <v>30</v>
      </c>
      <c r="H130" t="s">
        <v>37</v>
      </c>
      <c r="I130" t="s">
        <v>66</v>
      </c>
      <c r="J130" t="s">
        <v>312</v>
      </c>
      <c r="K130">
        <v>2109.91</v>
      </c>
      <c r="L130" s="166">
        <v>2108.9292999999998</v>
      </c>
      <c r="M130">
        <v>0.98</v>
      </c>
      <c r="N130">
        <v>0.1</v>
      </c>
      <c r="O130" s="8">
        <v>1</v>
      </c>
      <c r="P130">
        <v>2108.91</v>
      </c>
      <c r="Q130" s="166">
        <v>1.9300000000000001E-2</v>
      </c>
      <c r="R130" s="174" t="s">
        <v>1142</v>
      </c>
      <c r="S130">
        <v>100</v>
      </c>
      <c r="T130">
        <v>200</v>
      </c>
      <c r="U130" t="s">
        <v>78</v>
      </c>
      <c r="V130" t="s">
        <v>1082</v>
      </c>
      <c r="W130">
        <v>0</v>
      </c>
      <c r="X130" t="s">
        <v>43</v>
      </c>
      <c r="Y130" t="s">
        <v>294</v>
      </c>
      <c r="Z130">
        <v>300</v>
      </c>
      <c r="AC130" s="4" t="s">
        <v>805</v>
      </c>
      <c r="AD130" s="8">
        <v>1910000</v>
      </c>
      <c r="AE130" s="4" t="s">
        <v>808</v>
      </c>
      <c r="AF130" s="8">
        <v>1910008</v>
      </c>
      <c r="AG130" s="4" t="s">
        <v>810</v>
      </c>
      <c r="AH130" s="8">
        <v>1910008</v>
      </c>
    </row>
    <row r="131" spans="1:34" x14ac:dyDescent="0.25">
      <c r="A131" s="176" t="s">
        <v>1316</v>
      </c>
      <c r="B131" t="s">
        <v>87</v>
      </c>
      <c r="C131" t="s">
        <v>278</v>
      </c>
      <c r="D131" t="s">
        <v>367</v>
      </c>
      <c r="E131" t="s">
        <v>291</v>
      </c>
      <c r="F131" t="s">
        <v>30</v>
      </c>
      <c r="G131" t="s">
        <v>30</v>
      </c>
      <c r="H131" t="s">
        <v>37</v>
      </c>
      <c r="I131" t="s">
        <v>66</v>
      </c>
      <c r="J131" t="s">
        <v>312</v>
      </c>
      <c r="K131">
        <v>1687.5</v>
      </c>
      <c r="L131" s="166">
        <v>1686.5192999999999</v>
      </c>
      <c r="M131">
        <v>0.98</v>
      </c>
      <c r="N131">
        <v>0.1</v>
      </c>
      <c r="O131" s="8">
        <v>1</v>
      </c>
      <c r="P131">
        <v>1686.5</v>
      </c>
      <c r="Q131" s="166">
        <v>1.9300000000000001E-2</v>
      </c>
      <c r="R131" s="174" t="s">
        <v>1142</v>
      </c>
      <c r="S131">
        <v>100</v>
      </c>
      <c r="T131">
        <v>400</v>
      </c>
      <c r="U131" t="s">
        <v>78</v>
      </c>
      <c r="V131" t="s">
        <v>1082</v>
      </c>
      <c r="W131">
        <v>0</v>
      </c>
      <c r="X131" t="s">
        <v>43</v>
      </c>
      <c r="Y131" t="s">
        <v>294</v>
      </c>
      <c r="Z131">
        <v>500</v>
      </c>
      <c r="AC131" s="4" t="s">
        <v>805</v>
      </c>
      <c r="AD131" s="8">
        <v>1910000</v>
      </c>
      <c r="AE131" s="4" t="s">
        <v>808</v>
      </c>
      <c r="AF131" s="8">
        <v>1910008</v>
      </c>
      <c r="AG131" s="4" t="s">
        <v>810</v>
      </c>
      <c r="AH131" s="8">
        <v>1910008</v>
      </c>
    </row>
    <row r="132" spans="1:34" x14ac:dyDescent="0.25">
      <c r="A132" s="176" t="s">
        <v>1317</v>
      </c>
      <c r="B132" t="s">
        <v>87</v>
      </c>
      <c r="C132" t="s">
        <v>278</v>
      </c>
      <c r="D132" t="s">
        <v>368</v>
      </c>
      <c r="E132" t="s">
        <v>291</v>
      </c>
      <c r="F132" t="s">
        <v>30</v>
      </c>
      <c r="G132" t="s">
        <v>30</v>
      </c>
      <c r="H132" t="s">
        <v>37</v>
      </c>
      <c r="I132" t="s">
        <v>66</v>
      </c>
      <c r="J132" t="s">
        <v>312</v>
      </c>
      <c r="K132">
        <v>2109.91</v>
      </c>
      <c r="L132" s="166">
        <v>2108.9292999999998</v>
      </c>
      <c r="M132">
        <v>0.98</v>
      </c>
      <c r="N132">
        <v>0.1</v>
      </c>
      <c r="O132" s="8">
        <v>1</v>
      </c>
      <c r="P132">
        <v>2108.91</v>
      </c>
      <c r="Q132" s="166">
        <v>1.9300000000000001E-2</v>
      </c>
      <c r="R132" s="174" t="s">
        <v>1142</v>
      </c>
      <c r="S132">
        <v>100</v>
      </c>
      <c r="T132">
        <v>400</v>
      </c>
      <c r="U132" t="s">
        <v>78</v>
      </c>
      <c r="V132" t="s">
        <v>1082</v>
      </c>
      <c r="W132">
        <v>0</v>
      </c>
      <c r="X132" t="s">
        <v>43</v>
      </c>
      <c r="Y132" t="s">
        <v>294</v>
      </c>
      <c r="Z132">
        <v>500</v>
      </c>
      <c r="AC132" s="4" t="s">
        <v>805</v>
      </c>
      <c r="AD132" s="8">
        <v>1910000</v>
      </c>
      <c r="AE132" s="4" t="s">
        <v>808</v>
      </c>
      <c r="AF132" s="8">
        <v>1910008</v>
      </c>
      <c r="AG132" s="4" t="s">
        <v>810</v>
      </c>
      <c r="AH132" s="8">
        <v>1910008</v>
      </c>
    </row>
    <row r="133" spans="1:34" x14ac:dyDescent="0.25">
      <c r="A133" s="176" t="s">
        <v>1318</v>
      </c>
      <c r="B133" t="s">
        <v>87</v>
      </c>
      <c r="C133" t="s">
        <v>278</v>
      </c>
      <c r="D133" t="s">
        <v>369</v>
      </c>
      <c r="E133" t="s">
        <v>291</v>
      </c>
      <c r="F133" t="s">
        <v>30</v>
      </c>
      <c r="G133" t="s">
        <v>30</v>
      </c>
      <c r="H133" t="s">
        <v>37</v>
      </c>
      <c r="I133" t="s">
        <v>66</v>
      </c>
      <c r="J133" t="s">
        <v>312</v>
      </c>
      <c r="K133">
        <v>2109.91</v>
      </c>
      <c r="L133" s="166">
        <v>2108.9292999999998</v>
      </c>
      <c r="M133">
        <v>0.98</v>
      </c>
      <c r="N133">
        <v>0.1</v>
      </c>
      <c r="O133" s="8">
        <v>1</v>
      </c>
      <c r="P133">
        <v>2108.91</v>
      </c>
      <c r="Q133" s="166">
        <v>1.9300000000000001E-2</v>
      </c>
      <c r="R133" s="174" t="s">
        <v>1142</v>
      </c>
      <c r="S133">
        <v>100</v>
      </c>
      <c r="T133">
        <v>200</v>
      </c>
      <c r="U133" t="s">
        <v>78</v>
      </c>
      <c r="V133" t="s">
        <v>1082</v>
      </c>
      <c r="W133">
        <v>0</v>
      </c>
      <c r="X133" t="s">
        <v>43</v>
      </c>
      <c r="Y133" t="s">
        <v>294</v>
      </c>
      <c r="Z133">
        <v>300</v>
      </c>
      <c r="AC133" s="4" t="s">
        <v>805</v>
      </c>
      <c r="AD133" s="8">
        <v>1910000</v>
      </c>
      <c r="AE133" s="4" t="s">
        <v>808</v>
      </c>
      <c r="AF133" s="8">
        <v>1910008</v>
      </c>
      <c r="AG133" s="4" t="s">
        <v>810</v>
      </c>
      <c r="AH133" s="8">
        <v>1910008</v>
      </c>
    </row>
    <row r="134" spans="1:34" x14ac:dyDescent="0.25">
      <c r="A134" s="176" t="s">
        <v>1319</v>
      </c>
      <c r="B134" t="s">
        <v>87</v>
      </c>
      <c r="C134" t="s">
        <v>278</v>
      </c>
      <c r="D134" t="s">
        <v>370</v>
      </c>
      <c r="E134" t="s">
        <v>291</v>
      </c>
      <c r="F134" t="s">
        <v>30</v>
      </c>
      <c r="G134" t="s">
        <v>30</v>
      </c>
      <c r="H134" t="s">
        <v>37</v>
      </c>
      <c r="I134" t="s">
        <v>66</v>
      </c>
      <c r="J134" t="s">
        <v>312</v>
      </c>
      <c r="K134">
        <v>1687.5</v>
      </c>
      <c r="L134" s="166">
        <v>1686.5192999999999</v>
      </c>
      <c r="M134">
        <v>0.98</v>
      </c>
      <c r="N134">
        <v>0.1</v>
      </c>
      <c r="O134" s="8">
        <v>1</v>
      </c>
      <c r="P134">
        <v>1686.5</v>
      </c>
      <c r="Q134" s="166">
        <v>1.9300000000000001E-2</v>
      </c>
      <c r="R134" s="174" t="s">
        <v>1142</v>
      </c>
      <c r="S134">
        <v>100</v>
      </c>
      <c r="T134">
        <v>200</v>
      </c>
      <c r="U134" t="s">
        <v>78</v>
      </c>
      <c r="V134" t="s">
        <v>1082</v>
      </c>
      <c r="W134">
        <v>0</v>
      </c>
      <c r="X134" t="s">
        <v>43</v>
      </c>
      <c r="Y134" t="s">
        <v>294</v>
      </c>
      <c r="Z134">
        <v>300</v>
      </c>
      <c r="AC134" s="4" t="s">
        <v>805</v>
      </c>
      <c r="AD134" s="8">
        <v>1910000</v>
      </c>
      <c r="AE134" s="4" t="s">
        <v>808</v>
      </c>
      <c r="AF134" s="8">
        <v>1910008</v>
      </c>
      <c r="AG134" s="4" t="s">
        <v>810</v>
      </c>
      <c r="AH134" s="8">
        <v>1910008</v>
      </c>
    </row>
    <row r="135" spans="1:34" x14ac:dyDescent="0.25">
      <c r="A135" s="176" t="s">
        <v>1320</v>
      </c>
      <c r="B135" t="s">
        <v>87</v>
      </c>
      <c r="C135" t="s">
        <v>278</v>
      </c>
      <c r="D135" t="s">
        <v>371</v>
      </c>
      <c r="E135" t="s">
        <v>291</v>
      </c>
      <c r="F135" t="s">
        <v>30</v>
      </c>
      <c r="G135" t="s">
        <v>30</v>
      </c>
      <c r="H135" t="s">
        <v>37</v>
      </c>
      <c r="I135" t="s">
        <v>66</v>
      </c>
      <c r="J135" t="s">
        <v>312</v>
      </c>
      <c r="K135">
        <v>2074.44</v>
      </c>
      <c r="L135" s="166">
        <v>2073.4593</v>
      </c>
      <c r="M135">
        <v>0.98</v>
      </c>
      <c r="N135">
        <v>0.1</v>
      </c>
      <c r="O135" s="8">
        <v>1</v>
      </c>
      <c r="P135">
        <v>2073.44</v>
      </c>
      <c r="Q135" s="166">
        <v>1.9300000000000001E-2</v>
      </c>
      <c r="R135" s="174" t="s">
        <v>1142</v>
      </c>
      <c r="S135">
        <v>100</v>
      </c>
      <c r="T135">
        <v>400</v>
      </c>
      <c r="U135" t="s">
        <v>78</v>
      </c>
      <c r="V135" t="s">
        <v>1082</v>
      </c>
      <c r="W135">
        <v>0</v>
      </c>
      <c r="X135" t="s">
        <v>43</v>
      </c>
      <c r="Y135" t="s">
        <v>294</v>
      </c>
      <c r="Z135">
        <v>500</v>
      </c>
      <c r="AC135" s="4" t="s">
        <v>805</v>
      </c>
      <c r="AD135" s="8">
        <v>1910000</v>
      </c>
      <c r="AE135" s="4" t="s">
        <v>808</v>
      </c>
      <c r="AF135" s="8">
        <v>1910008</v>
      </c>
      <c r="AG135" s="4" t="s">
        <v>810</v>
      </c>
      <c r="AH135" s="8">
        <v>1910008</v>
      </c>
    </row>
    <row r="136" spans="1:34" x14ac:dyDescent="0.25">
      <c r="A136" s="176" t="s">
        <v>1321</v>
      </c>
      <c r="B136" t="s">
        <v>87</v>
      </c>
      <c r="C136" t="s">
        <v>278</v>
      </c>
      <c r="D136" t="s">
        <v>372</v>
      </c>
      <c r="E136" t="s">
        <v>291</v>
      </c>
      <c r="F136" t="s">
        <v>30</v>
      </c>
      <c r="G136" t="s">
        <v>30</v>
      </c>
      <c r="H136" t="s">
        <v>37</v>
      </c>
      <c r="I136" t="s">
        <v>66</v>
      </c>
      <c r="J136" t="s">
        <v>312</v>
      </c>
      <c r="K136">
        <v>3111.66</v>
      </c>
      <c r="L136" s="166">
        <v>3110.6792999999998</v>
      </c>
      <c r="M136">
        <v>0.98</v>
      </c>
      <c r="N136">
        <v>0.1</v>
      </c>
      <c r="O136" s="8">
        <v>1</v>
      </c>
      <c r="P136">
        <v>3110.66</v>
      </c>
      <c r="Q136" s="166">
        <v>1.9300000000000001E-2</v>
      </c>
      <c r="R136" s="174" t="s">
        <v>1142</v>
      </c>
      <c r="S136">
        <v>100</v>
      </c>
      <c r="T136">
        <v>200</v>
      </c>
      <c r="U136" t="s">
        <v>78</v>
      </c>
      <c r="V136" t="s">
        <v>1082</v>
      </c>
      <c r="W136">
        <v>0</v>
      </c>
      <c r="X136" t="s">
        <v>43</v>
      </c>
      <c r="Y136" t="s">
        <v>294</v>
      </c>
      <c r="Z136">
        <v>300</v>
      </c>
      <c r="AC136" s="4" t="s">
        <v>805</v>
      </c>
      <c r="AD136" s="8">
        <v>1910000</v>
      </c>
      <c r="AE136" s="4" t="s">
        <v>808</v>
      </c>
      <c r="AF136" s="8">
        <v>1910008</v>
      </c>
      <c r="AG136" s="4" t="s">
        <v>810</v>
      </c>
      <c r="AH136" s="8">
        <v>1910008</v>
      </c>
    </row>
    <row r="137" spans="1:34" x14ac:dyDescent="0.25">
      <c r="A137" s="176" t="s">
        <v>1322</v>
      </c>
      <c r="B137" t="s">
        <v>87</v>
      </c>
      <c r="C137" t="s">
        <v>278</v>
      </c>
      <c r="D137" t="s">
        <v>373</v>
      </c>
      <c r="E137" t="s">
        <v>291</v>
      </c>
      <c r="F137" t="s">
        <v>30</v>
      </c>
      <c r="G137" t="s">
        <v>30</v>
      </c>
      <c r="H137" t="s">
        <v>37</v>
      </c>
      <c r="I137" t="s">
        <v>66</v>
      </c>
      <c r="J137" t="s">
        <v>312</v>
      </c>
      <c r="K137">
        <v>2074.44</v>
      </c>
      <c r="L137" s="166">
        <v>2073.4593</v>
      </c>
      <c r="M137">
        <v>0.98</v>
      </c>
      <c r="N137">
        <v>0.1</v>
      </c>
      <c r="O137" s="8">
        <v>1</v>
      </c>
      <c r="P137">
        <v>2073.44</v>
      </c>
      <c r="Q137" s="166">
        <v>1.9300000000000001E-2</v>
      </c>
      <c r="R137" s="174" t="s">
        <v>1142</v>
      </c>
      <c r="S137">
        <v>100</v>
      </c>
      <c r="T137">
        <v>2600</v>
      </c>
      <c r="U137" t="s">
        <v>78</v>
      </c>
      <c r="V137" t="s">
        <v>1082</v>
      </c>
      <c r="W137">
        <v>0</v>
      </c>
      <c r="X137" t="s">
        <v>43</v>
      </c>
      <c r="Y137" t="s">
        <v>294</v>
      </c>
      <c r="Z137">
        <v>3300</v>
      </c>
      <c r="AC137" s="4" t="s">
        <v>805</v>
      </c>
      <c r="AD137" s="8">
        <v>1910000</v>
      </c>
      <c r="AE137" s="4" t="s">
        <v>808</v>
      </c>
      <c r="AF137" s="8">
        <v>1910008</v>
      </c>
      <c r="AG137" s="4" t="s">
        <v>810</v>
      </c>
      <c r="AH137" s="8">
        <v>1910008</v>
      </c>
    </row>
    <row r="138" spans="1:34" x14ac:dyDescent="0.25">
      <c r="A138" s="176" t="s">
        <v>1323</v>
      </c>
      <c r="B138" t="s">
        <v>87</v>
      </c>
      <c r="C138" t="s">
        <v>278</v>
      </c>
      <c r="D138" t="s">
        <v>374</v>
      </c>
      <c r="E138" t="s">
        <v>291</v>
      </c>
      <c r="F138" t="s">
        <v>30</v>
      </c>
      <c r="G138" t="s">
        <v>30</v>
      </c>
      <c r="H138" t="s">
        <v>37</v>
      </c>
      <c r="I138" t="s">
        <v>66</v>
      </c>
      <c r="J138" t="s">
        <v>312</v>
      </c>
      <c r="K138">
        <v>9145.82</v>
      </c>
      <c r="L138" s="166">
        <v>9144.8392999999996</v>
      </c>
      <c r="M138">
        <v>0.98</v>
      </c>
      <c r="N138">
        <v>0.1</v>
      </c>
      <c r="O138" s="8">
        <v>1</v>
      </c>
      <c r="P138">
        <v>9144.82</v>
      </c>
      <c r="Q138" s="166">
        <v>1.9300000000000001E-2</v>
      </c>
      <c r="R138" s="174" t="s">
        <v>1142</v>
      </c>
      <c r="S138">
        <v>100</v>
      </c>
      <c r="T138">
        <v>3900</v>
      </c>
      <c r="U138" t="s">
        <v>78</v>
      </c>
      <c r="V138" t="s">
        <v>1082</v>
      </c>
      <c r="W138">
        <v>0</v>
      </c>
      <c r="X138" t="s">
        <v>43</v>
      </c>
      <c r="Y138" t="s">
        <v>294</v>
      </c>
      <c r="Z138">
        <v>4900</v>
      </c>
      <c r="AC138" s="4" t="s">
        <v>805</v>
      </c>
      <c r="AD138" s="8">
        <v>1910000</v>
      </c>
      <c r="AE138" s="4" t="s">
        <v>808</v>
      </c>
      <c r="AF138" s="8">
        <v>1910008</v>
      </c>
      <c r="AG138" s="4" t="s">
        <v>810</v>
      </c>
      <c r="AH138" s="8">
        <v>1910008</v>
      </c>
    </row>
    <row r="139" spans="1:34" x14ac:dyDescent="0.25">
      <c r="A139" s="176" t="s">
        <v>1324</v>
      </c>
      <c r="B139" t="s">
        <v>87</v>
      </c>
      <c r="C139" t="s">
        <v>278</v>
      </c>
      <c r="D139" t="s">
        <v>375</v>
      </c>
      <c r="E139" t="s">
        <v>291</v>
      </c>
      <c r="F139" t="s">
        <v>30</v>
      </c>
      <c r="G139" t="s">
        <v>30</v>
      </c>
      <c r="H139" t="s">
        <v>37</v>
      </c>
      <c r="I139" t="s">
        <v>66</v>
      </c>
      <c r="J139" t="s">
        <v>312</v>
      </c>
      <c r="K139">
        <v>13718.19</v>
      </c>
      <c r="L139" s="166">
        <v>13717.2093</v>
      </c>
      <c r="M139">
        <v>0.98</v>
      </c>
      <c r="N139">
        <v>0.1</v>
      </c>
      <c r="O139" s="8">
        <v>1</v>
      </c>
      <c r="P139">
        <v>13717.19</v>
      </c>
      <c r="Q139" s="166">
        <v>1.9300000000000001E-2</v>
      </c>
      <c r="R139" s="174" t="s">
        <v>1142</v>
      </c>
      <c r="S139">
        <v>100</v>
      </c>
      <c r="T139">
        <v>2600</v>
      </c>
      <c r="U139" t="s">
        <v>78</v>
      </c>
      <c r="V139" t="s">
        <v>1082</v>
      </c>
      <c r="W139">
        <v>0</v>
      </c>
      <c r="X139" t="s">
        <v>43</v>
      </c>
      <c r="Y139" t="s">
        <v>294</v>
      </c>
      <c r="Z139">
        <v>3300</v>
      </c>
      <c r="AC139" s="4" t="s">
        <v>805</v>
      </c>
      <c r="AD139" s="8">
        <v>1910000</v>
      </c>
      <c r="AE139" s="4" t="s">
        <v>808</v>
      </c>
      <c r="AF139" s="8">
        <v>1910008</v>
      </c>
      <c r="AG139" s="4" t="s">
        <v>810</v>
      </c>
      <c r="AH139" s="8">
        <v>1910008</v>
      </c>
    </row>
    <row r="140" spans="1:34" x14ac:dyDescent="0.25">
      <c r="A140" s="176" t="s">
        <v>1325</v>
      </c>
      <c r="B140" t="s">
        <v>87</v>
      </c>
      <c r="C140" t="s">
        <v>278</v>
      </c>
      <c r="D140" t="s">
        <v>376</v>
      </c>
      <c r="E140" t="s">
        <v>291</v>
      </c>
      <c r="F140" t="s">
        <v>30</v>
      </c>
      <c r="G140" t="s">
        <v>30</v>
      </c>
      <c r="H140" t="s">
        <v>37</v>
      </c>
      <c r="I140" t="s">
        <v>66</v>
      </c>
      <c r="J140" t="s">
        <v>312</v>
      </c>
      <c r="K140">
        <v>9145.82</v>
      </c>
      <c r="L140" s="166">
        <v>9144.8392999999996</v>
      </c>
      <c r="M140">
        <v>0.98</v>
      </c>
      <c r="N140">
        <v>0.1</v>
      </c>
      <c r="O140" s="8">
        <v>1</v>
      </c>
      <c r="P140">
        <v>9144.82</v>
      </c>
      <c r="Q140" s="166">
        <v>1.9300000000000001E-2</v>
      </c>
      <c r="R140" s="174" t="s">
        <v>1142</v>
      </c>
      <c r="S140">
        <v>100</v>
      </c>
      <c r="T140">
        <v>1600</v>
      </c>
      <c r="U140" t="s">
        <v>78</v>
      </c>
      <c r="V140" t="s">
        <v>1082</v>
      </c>
      <c r="W140">
        <v>0</v>
      </c>
      <c r="X140" t="s">
        <v>43</v>
      </c>
      <c r="Y140" t="s">
        <v>294</v>
      </c>
      <c r="Z140">
        <v>2000</v>
      </c>
      <c r="AC140" s="4" t="s">
        <v>805</v>
      </c>
      <c r="AD140" s="8">
        <v>1910000</v>
      </c>
      <c r="AE140" s="4" t="s">
        <v>808</v>
      </c>
      <c r="AF140" s="8">
        <v>1910008</v>
      </c>
      <c r="AG140" s="4" t="s">
        <v>810</v>
      </c>
      <c r="AH140" s="8">
        <v>1910008</v>
      </c>
    </row>
    <row r="141" spans="1:34" x14ac:dyDescent="0.25">
      <c r="A141" s="176" t="s">
        <v>1326</v>
      </c>
      <c r="B141" t="s">
        <v>87</v>
      </c>
      <c r="C141" t="s">
        <v>278</v>
      </c>
      <c r="D141" t="s">
        <v>377</v>
      </c>
      <c r="E141" t="s">
        <v>291</v>
      </c>
      <c r="F141" t="s">
        <v>30</v>
      </c>
      <c r="G141" t="s">
        <v>30</v>
      </c>
      <c r="H141" t="s">
        <v>37</v>
      </c>
      <c r="I141" t="s">
        <v>66</v>
      </c>
      <c r="J141" t="s">
        <v>312</v>
      </c>
      <c r="K141">
        <v>10748.41</v>
      </c>
      <c r="L141" s="166">
        <v>10747.4293</v>
      </c>
      <c r="M141">
        <v>0.98</v>
      </c>
      <c r="N141">
        <v>0.1</v>
      </c>
      <c r="O141" s="8">
        <v>1</v>
      </c>
      <c r="P141">
        <v>10747.41</v>
      </c>
      <c r="Q141" s="166">
        <v>1.9300000000000001E-2</v>
      </c>
      <c r="R141" s="174" t="s">
        <v>1142</v>
      </c>
      <c r="S141">
        <v>100</v>
      </c>
      <c r="T141">
        <v>2300</v>
      </c>
      <c r="U141" t="s">
        <v>78</v>
      </c>
      <c r="V141" t="s">
        <v>1082</v>
      </c>
      <c r="W141">
        <v>0</v>
      </c>
      <c r="X141" t="s">
        <v>43</v>
      </c>
      <c r="Y141" t="s">
        <v>294</v>
      </c>
      <c r="Z141">
        <v>2900</v>
      </c>
      <c r="AC141" s="4" t="s">
        <v>805</v>
      </c>
      <c r="AD141" s="8">
        <v>1910000</v>
      </c>
      <c r="AE141" s="4" t="s">
        <v>808</v>
      </c>
      <c r="AF141" s="8">
        <v>1910008</v>
      </c>
      <c r="AG141" s="4" t="s">
        <v>810</v>
      </c>
      <c r="AH141" s="8">
        <v>1910008</v>
      </c>
    </row>
    <row r="142" spans="1:34" x14ac:dyDescent="0.25">
      <c r="A142" s="176" t="s">
        <v>1327</v>
      </c>
      <c r="B142" t="s">
        <v>87</v>
      </c>
      <c r="C142" t="s">
        <v>278</v>
      </c>
      <c r="D142" t="s">
        <v>378</v>
      </c>
      <c r="E142" t="s">
        <v>291</v>
      </c>
      <c r="F142" t="s">
        <v>30</v>
      </c>
      <c r="G142" t="s">
        <v>30</v>
      </c>
      <c r="H142" t="s">
        <v>37</v>
      </c>
      <c r="I142" t="s">
        <v>66</v>
      </c>
      <c r="J142" t="s">
        <v>312</v>
      </c>
      <c r="K142">
        <v>13435.51</v>
      </c>
      <c r="L142" s="166">
        <v>13295.054146</v>
      </c>
      <c r="M142">
        <v>140.46</v>
      </c>
      <c r="N142">
        <v>14.32</v>
      </c>
      <c r="O142" s="8">
        <v>143.22</v>
      </c>
      <c r="P142">
        <v>13292.29</v>
      </c>
      <c r="Q142" s="166">
        <v>2.7641459999999873</v>
      </c>
      <c r="R142" s="174" t="s">
        <v>1142</v>
      </c>
      <c r="S142">
        <v>100</v>
      </c>
      <c r="T142">
        <v>2300</v>
      </c>
      <c r="U142" t="s">
        <v>78</v>
      </c>
      <c r="V142" t="s">
        <v>1082</v>
      </c>
      <c r="W142">
        <v>0</v>
      </c>
      <c r="X142" t="s">
        <v>43</v>
      </c>
      <c r="Y142" t="s">
        <v>294</v>
      </c>
      <c r="Z142">
        <v>2900</v>
      </c>
      <c r="AC142" s="4" t="s">
        <v>805</v>
      </c>
      <c r="AD142" s="8">
        <v>1910000</v>
      </c>
      <c r="AE142" s="4" t="s">
        <v>808</v>
      </c>
      <c r="AF142" s="8">
        <v>1910008</v>
      </c>
      <c r="AG142" s="4" t="s">
        <v>810</v>
      </c>
      <c r="AH142" s="8">
        <v>1910008</v>
      </c>
    </row>
    <row r="143" spans="1:34" x14ac:dyDescent="0.25">
      <c r="A143" s="176" t="s">
        <v>1328</v>
      </c>
      <c r="B143" t="s">
        <v>87</v>
      </c>
      <c r="C143" t="s">
        <v>278</v>
      </c>
      <c r="D143" t="s">
        <v>379</v>
      </c>
      <c r="E143" t="s">
        <v>291</v>
      </c>
      <c r="F143" t="s">
        <v>30</v>
      </c>
      <c r="G143" t="s">
        <v>30</v>
      </c>
      <c r="H143" t="s">
        <v>37</v>
      </c>
      <c r="I143" t="s">
        <v>66</v>
      </c>
      <c r="J143" t="s">
        <v>312</v>
      </c>
      <c r="K143">
        <v>13435.51</v>
      </c>
      <c r="L143" s="166">
        <v>13434.5293</v>
      </c>
      <c r="M143">
        <v>0.98</v>
      </c>
      <c r="N143">
        <v>0.1</v>
      </c>
      <c r="O143" s="8">
        <v>1</v>
      </c>
      <c r="P143">
        <v>13434.51</v>
      </c>
      <c r="Q143" s="166">
        <v>1.9300000000000001E-2</v>
      </c>
      <c r="R143" s="174" t="s">
        <v>1142</v>
      </c>
      <c r="S143">
        <v>100</v>
      </c>
      <c r="T143">
        <v>1600</v>
      </c>
      <c r="U143" t="s">
        <v>78</v>
      </c>
      <c r="V143" t="s">
        <v>1082</v>
      </c>
      <c r="W143">
        <v>0</v>
      </c>
      <c r="X143" t="s">
        <v>43</v>
      </c>
      <c r="Y143" t="s">
        <v>294</v>
      </c>
      <c r="Z143">
        <v>2000</v>
      </c>
      <c r="AC143" s="4" t="s">
        <v>805</v>
      </c>
      <c r="AD143" s="8">
        <v>1910000</v>
      </c>
      <c r="AE143" s="4" t="s">
        <v>808</v>
      </c>
      <c r="AF143" s="8">
        <v>1910008</v>
      </c>
      <c r="AG143" s="4" t="s">
        <v>810</v>
      </c>
      <c r="AH143" s="8">
        <v>1910008</v>
      </c>
    </row>
    <row r="144" spans="1:34" x14ac:dyDescent="0.25">
      <c r="A144" s="176" t="s">
        <v>1329</v>
      </c>
      <c r="B144" t="s">
        <v>87</v>
      </c>
      <c r="C144" t="s">
        <v>278</v>
      </c>
      <c r="D144" t="s">
        <v>380</v>
      </c>
      <c r="E144" t="s">
        <v>291</v>
      </c>
      <c r="F144" t="s">
        <v>30</v>
      </c>
      <c r="G144" t="s">
        <v>30</v>
      </c>
      <c r="H144" t="s">
        <v>37</v>
      </c>
      <c r="I144" t="s">
        <v>66</v>
      </c>
      <c r="J144" t="s">
        <v>312</v>
      </c>
      <c r="K144">
        <v>10748.41</v>
      </c>
      <c r="L144" s="166">
        <v>10747.4293</v>
      </c>
      <c r="M144">
        <v>0.98</v>
      </c>
      <c r="N144">
        <v>0.1</v>
      </c>
      <c r="O144" s="8">
        <v>1</v>
      </c>
      <c r="P144">
        <v>10747.41</v>
      </c>
      <c r="Q144" s="166">
        <v>1.9300000000000001E-2</v>
      </c>
      <c r="R144" s="174" t="s">
        <v>1142</v>
      </c>
      <c r="S144">
        <v>100</v>
      </c>
      <c r="T144">
        <v>1600</v>
      </c>
      <c r="U144" t="s">
        <v>78</v>
      </c>
      <c r="V144" t="s">
        <v>1082</v>
      </c>
      <c r="W144">
        <v>0</v>
      </c>
      <c r="X144" t="s">
        <v>43</v>
      </c>
      <c r="Y144" t="s">
        <v>294</v>
      </c>
      <c r="Z144">
        <v>2000</v>
      </c>
      <c r="AC144" s="4" t="s">
        <v>805</v>
      </c>
      <c r="AD144" s="8">
        <v>1910000</v>
      </c>
      <c r="AE144" s="4" t="s">
        <v>808</v>
      </c>
      <c r="AF144" s="8">
        <v>1910008</v>
      </c>
      <c r="AG144" s="4" t="s">
        <v>810</v>
      </c>
      <c r="AH144" s="8">
        <v>1910008</v>
      </c>
    </row>
    <row r="145" spans="1:34" x14ac:dyDescent="0.25">
      <c r="A145" s="176" t="s">
        <v>1330</v>
      </c>
      <c r="B145" t="s">
        <v>87</v>
      </c>
      <c r="C145" t="s">
        <v>278</v>
      </c>
      <c r="D145" t="s">
        <v>381</v>
      </c>
      <c r="E145" t="s">
        <v>291</v>
      </c>
      <c r="F145" t="s">
        <v>30</v>
      </c>
      <c r="G145" t="s">
        <v>30</v>
      </c>
      <c r="H145" t="s">
        <v>37</v>
      </c>
      <c r="I145" t="s">
        <v>66</v>
      </c>
      <c r="J145" t="s">
        <v>312</v>
      </c>
      <c r="K145">
        <v>10748.41</v>
      </c>
      <c r="L145" s="166">
        <v>10747.4293</v>
      </c>
      <c r="M145">
        <v>0.98</v>
      </c>
      <c r="N145">
        <v>0.1</v>
      </c>
      <c r="O145" s="8">
        <v>1</v>
      </c>
      <c r="P145">
        <v>10747.41</v>
      </c>
      <c r="Q145" s="166">
        <v>1.9300000000000001E-2</v>
      </c>
      <c r="R145" s="174" t="s">
        <v>1142</v>
      </c>
      <c r="S145">
        <v>100</v>
      </c>
      <c r="T145">
        <v>1600</v>
      </c>
      <c r="U145" t="s">
        <v>78</v>
      </c>
      <c r="V145" t="s">
        <v>1082</v>
      </c>
      <c r="W145">
        <v>0</v>
      </c>
      <c r="X145" t="s">
        <v>43</v>
      </c>
      <c r="Y145" t="s">
        <v>294</v>
      </c>
      <c r="Z145">
        <v>2000</v>
      </c>
      <c r="AC145" s="4" t="s">
        <v>805</v>
      </c>
      <c r="AD145" s="8">
        <v>1910000</v>
      </c>
      <c r="AE145" s="4" t="s">
        <v>808</v>
      </c>
      <c r="AF145" s="8">
        <v>1910008</v>
      </c>
      <c r="AG145" s="4" t="s">
        <v>810</v>
      </c>
      <c r="AH145" s="8">
        <v>1910008</v>
      </c>
    </row>
    <row r="146" spans="1:34" x14ac:dyDescent="0.25">
      <c r="A146" s="176" t="s">
        <v>1331</v>
      </c>
      <c r="B146" t="s">
        <v>87</v>
      </c>
      <c r="C146" t="s">
        <v>278</v>
      </c>
      <c r="D146" t="s">
        <v>382</v>
      </c>
      <c r="E146" t="s">
        <v>291</v>
      </c>
      <c r="F146" t="s">
        <v>30</v>
      </c>
      <c r="G146" t="s">
        <v>30</v>
      </c>
      <c r="H146" t="s">
        <v>37</v>
      </c>
      <c r="I146" t="s">
        <v>66</v>
      </c>
      <c r="J146" t="s">
        <v>312</v>
      </c>
      <c r="K146">
        <v>10748.41</v>
      </c>
      <c r="L146" s="166">
        <v>10747.4293</v>
      </c>
      <c r="M146">
        <v>0.98</v>
      </c>
      <c r="N146">
        <v>0.1</v>
      </c>
      <c r="O146" s="8">
        <v>1</v>
      </c>
      <c r="P146">
        <v>10747.41</v>
      </c>
      <c r="Q146" s="166">
        <v>1.9300000000000001E-2</v>
      </c>
      <c r="R146" s="174" t="s">
        <v>1142</v>
      </c>
      <c r="S146">
        <v>100</v>
      </c>
      <c r="T146">
        <v>1600</v>
      </c>
      <c r="U146" t="s">
        <v>78</v>
      </c>
      <c r="V146" t="s">
        <v>1082</v>
      </c>
      <c r="W146">
        <v>0</v>
      </c>
      <c r="X146" t="s">
        <v>43</v>
      </c>
      <c r="Y146" t="s">
        <v>294</v>
      </c>
      <c r="Z146">
        <v>2000</v>
      </c>
      <c r="AC146" s="4" t="s">
        <v>805</v>
      </c>
      <c r="AD146" s="8">
        <v>1910000</v>
      </c>
      <c r="AE146" s="4" t="s">
        <v>808</v>
      </c>
      <c r="AF146" s="8">
        <v>1910008</v>
      </c>
      <c r="AG146" s="4" t="s">
        <v>810</v>
      </c>
      <c r="AH146" s="8">
        <v>1910008</v>
      </c>
    </row>
    <row r="147" spans="1:34" x14ac:dyDescent="0.25">
      <c r="A147" s="176" t="s">
        <v>1332</v>
      </c>
      <c r="B147" t="s">
        <v>87</v>
      </c>
      <c r="C147" t="s">
        <v>278</v>
      </c>
      <c r="D147" t="s">
        <v>383</v>
      </c>
      <c r="E147" t="s">
        <v>291</v>
      </c>
      <c r="F147" t="s">
        <v>30</v>
      </c>
      <c r="G147" t="s">
        <v>30</v>
      </c>
      <c r="H147" t="s">
        <v>37</v>
      </c>
      <c r="I147" t="s">
        <v>66</v>
      </c>
      <c r="J147" t="s">
        <v>312</v>
      </c>
      <c r="K147">
        <v>10748.41</v>
      </c>
      <c r="L147" s="166">
        <v>10747.4293</v>
      </c>
      <c r="M147">
        <v>0.98</v>
      </c>
      <c r="N147">
        <v>0.1</v>
      </c>
      <c r="O147" s="8">
        <v>1</v>
      </c>
      <c r="P147">
        <v>10747.41</v>
      </c>
      <c r="Q147" s="166">
        <v>1.9300000000000001E-2</v>
      </c>
      <c r="R147" s="174" t="s">
        <v>1142</v>
      </c>
      <c r="S147">
        <v>100</v>
      </c>
      <c r="T147">
        <v>2300</v>
      </c>
      <c r="U147" t="s">
        <v>78</v>
      </c>
      <c r="V147" t="s">
        <v>1082</v>
      </c>
      <c r="W147">
        <v>0</v>
      </c>
      <c r="X147" t="s">
        <v>43</v>
      </c>
      <c r="Y147" t="s">
        <v>294</v>
      </c>
      <c r="Z147">
        <v>2900</v>
      </c>
      <c r="AC147" s="4" t="s">
        <v>805</v>
      </c>
      <c r="AD147" s="8">
        <v>1910000</v>
      </c>
      <c r="AE147" s="4" t="s">
        <v>808</v>
      </c>
      <c r="AF147" s="8">
        <v>1910008</v>
      </c>
      <c r="AG147" s="4" t="s">
        <v>810</v>
      </c>
      <c r="AH147" s="8">
        <v>1910008</v>
      </c>
    </row>
    <row r="148" spans="1:34" x14ac:dyDescent="0.25">
      <c r="A148" s="176" t="s">
        <v>1333</v>
      </c>
      <c r="B148" t="s">
        <v>87</v>
      </c>
      <c r="C148" t="s">
        <v>278</v>
      </c>
      <c r="D148" t="s">
        <v>384</v>
      </c>
      <c r="E148" t="s">
        <v>291</v>
      </c>
      <c r="F148" t="s">
        <v>30</v>
      </c>
      <c r="G148" t="s">
        <v>30</v>
      </c>
      <c r="H148" t="s">
        <v>37</v>
      </c>
      <c r="I148" t="s">
        <v>66</v>
      </c>
      <c r="J148" t="s">
        <v>312</v>
      </c>
      <c r="K148">
        <v>13435.51</v>
      </c>
      <c r="L148" s="166">
        <v>13434.5293</v>
      </c>
      <c r="M148">
        <v>0.98</v>
      </c>
      <c r="N148">
        <v>0.1</v>
      </c>
      <c r="O148" s="8">
        <v>1</v>
      </c>
      <c r="P148">
        <v>13434.51</v>
      </c>
      <c r="Q148" s="166">
        <v>1.9300000000000001E-2</v>
      </c>
      <c r="R148" s="174" t="s">
        <v>1142</v>
      </c>
      <c r="S148">
        <v>100</v>
      </c>
      <c r="T148">
        <v>2300</v>
      </c>
      <c r="U148" t="s">
        <v>78</v>
      </c>
      <c r="V148" t="s">
        <v>1082</v>
      </c>
      <c r="W148">
        <v>0</v>
      </c>
      <c r="X148" t="s">
        <v>43</v>
      </c>
      <c r="Y148" t="s">
        <v>294</v>
      </c>
      <c r="Z148">
        <v>2900</v>
      </c>
      <c r="AC148" s="4" t="s">
        <v>805</v>
      </c>
      <c r="AD148" s="8">
        <v>1910000</v>
      </c>
      <c r="AE148" s="4" t="s">
        <v>808</v>
      </c>
      <c r="AF148" s="8">
        <v>1910008</v>
      </c>
      <c r="AG148" s="4" t="s">
        <v>810</v>
      </c>
      <c r="AH148" s="8">
        <v>1910008</v>
      </c>
    </row>
    <row r="149" spans="1:34" x14ac:dyDescent="0.25">
      <c r="A149" s="176" t="s">
        <v>1334</v>
      </c>
      <c r="B149" t="s">
        <v>87</v>
      </c>
      <c r="C149" t="s">
        <v>278</v>
      </c>
      <c r="D149" t="s">
        <v>385</v>
      </c>
      <c r="E149" t="s">
        <v>291</v>
      </c>
      <c r="F149" t="s">
        <v>30</v>
      </c>
      <c r="G149" t="s">
        <v>30</v>
      </c>
      <c r="H149" t="s">
        <v>37</v>
      </c>
      <c r="I149" t="s">
        <v>66</v>
      </c>
      <c r="J149" t="s">
        <v>312</v>
      </c>
      <c r="K149">
        <v>13435.51</v>
      </c>
      <c r="L149" s="166">
        <v>13363.016656</v>
      </c>
      <c r="M149">
        <v>72.489999999999995</v>
      </c>
      <c r="N149">
        <v>7.39</v>
      </c>
      <c r="O149" s="8">
        <v>73.92</v>
      </c>
      <c r="P149">
        <v>13361.59</v>
      </c>
      <c r="Q149" s="166">
        <v>1.4266560000000015</v>
      </c>
      <c r="R149" s="174" t="s">
        <v>1142</v>
      </c>
      <c r="S149">
        <v>100</v>
      </c>
      <c r="T149">
        <v>1600</v>
      </c>
      <c r="U149" t="s">
        <v>78</v>
      </c>
      <c r="V149" t="s">
        <v>1082</v>
      </c>
      <c r="W149">
        <v>0</v>
      </c>
      <c r="X149" t="s">
        <v>43</v>
      </c>
      <c r="Y149" t="s">
        <v>294</v>
      </c>
      <c r="Z149">
        <v>2000</v>
      </c>
      <c r="AC149" s="4" t="s">
        <v>805</v>
      </c>
      <c r="AD149" s="8">
        <v>1910000</v>
      </c>
      <c r="AE149" s="4" t="s">
        <v>808</v>
      </c>
      <c r="AF149" s="8">
        <v>1910008</v>
      </c>
      <c r="AG149" s="4" t="s">
        <v>810</v>
      </c>
      <c r="AH149" s="8">
        <v>1910008</v>
      </c>
    </row>
    <row r="150" spans="1:34" x14ac:dyDescent="0.25">
      <c r="A150" s="176" t="s">
        <v>1335</v>
      </c>
      <c r="B150" t="s">
        <v>87</v>
      </c>
      <c r="C150" t="s">
        <v>278</v>
      </c>
      <c r="D150" t="s">
        <v>386</v>
      </c>
      <c r="E150" t="s">
        <v>291</v>
      </c>
      <c r="F150" t="s">
        <v>30</v>
      </c>
      <c r="G150" t="s">
        <v>30</v>
      </c>
      <c r="H150" t="s">
        <v>37</v>
      </c>
      <c r="I150" t="s">
        <v>66</v>
      </c>
      <c r="J150" t="s">
        <v>312</v>
      </c>
      <c r="K150">
        <v>10748.41</v>
      </c>
      <c r="L150" s="166">
        <v>10747.4293</v>
      </c>
      <c r="M150">
        <v>0.98</v>
      </c>
      <c r="N150">
        <v>0.1</v>
      </c>
      <c r="O150" s="8">
        <v>1</v>
      </c>
      <c r="P150">
        <v>10747.41</v>
      </c>
      <c r="Q150" s="166">
        <v>1.9300000000000001E-2</v>
      </c>
      <c r="R150" s="174" t="s">
        <v>1142</v>
      </c>
      <c r="S150">
        <v>100</v>
      </c>
      <c r="T150">
        <v>1500</v>
      </c>
      <c r="U150" t="s">
        <v>78</v>
      </c>
      <c r="V150" t="s">
        <v>1082</v>
      </c>
      <c r="W150">
        <v>0</v>
      </c>
      <c r="X150" t="s">
        <v>43</v>
      </c>
      <c r="Y150" t="s">
        <v>294</v>
      </c>
      <c r="Z150">
        <v>1900</v>
      </c>
      <c r="AC150" s="4" t="s">
        <v>805</v>
      </c>
      <c r="AD150" s="8">
        <v>1910000</v>
      </c>
      <c r="AE150" s="4" t="s">
        <v>808</v>
      </c>
      <c r="AF150" s="8">
        <v>1910008</v>
      </c>
      <c r="AG150" s="4" t="s">
        <v>810</v>
      </c>
      <c r="AH150" s="8">
        <v>1910008</v>
      </c>
    </row>
    <row r="151" spans="1:34" x14ac:dyDescent="0.25">
      <c r="A151" s="176" t="s">
        <v>1336</v>
      </c>
      <c r="B151" t="s">
        <v>87</v>
      </c>
      <c r="C151" t="s">
        <v>278</v>
      </c>
      <c r="D151" t="s">
        <v>387</v>
      </c>
      <c r="E151" t="s">
        <v>291</v>
      </c>
      <c r="F151" t="s">
        <v>30</v>
      </c>
      <c r="G151" t="s">
        <v>30</v>
      </c>
      <c r="H151" t="s">
        <v>37</v>
      </c>
      <c r="I151" t="s">
        <v>66</v>
      </c>
      <c r="J151" t="s">
        <v>312</v>
      </c>
      <c r="K151">
        <v>4276.79</v>
      </c>
      <c r="L151" s="166">
        <v>4275.8092999999999</v>
      </c>
      <c r="M151">
        <v>0.98</v>
      </c>
      <c r="N151">
        <v>0.1</v>
      </c>
      <c r="O151" s="8">
        <v>1</v>
      </c>
      <c r="P151">
        <v>4275.79</v>
      </c>
      <c r="Q151" s="166">
        <v>1.9300000000000001E-2</v>
      </c>
      <c r="R151" s="174" t="s">
        <v>1142</v>
      </c>
      <c r="S151">
        <v>100</v>
      </c>
      <c r="T151">
        <v>2300</v>
      </c>
      <c r="U151" t="s">
        <v>78</v>
      </c>
      <c r="V151" t="s">
        <v>1082</v>
      </c>
      <c r="W151">
        <v>0</v>
      </c>
      <c r="X151" t="s">
        <v>43</v>
      </c>
      <c r="Y151" t="s">
        <v>294</v>
      </c>
      <c r="Z151">
        <v>2900</v>
      </c>
      <c r="AC151" s="4" t="s">
        <v>805</v>
      </c>
      <c r="AD151" s="8">
        <v>1910000</v>
      </c>
      <c r="AE151" s="4" t="s">
        <v>808</v>
      </c>
      <c r="AF151" s="8">
        <v>1910008</v>
      </c>
      <c r="AG151" s="4" t="s">
        <v>810</v>
      </c>
      <c r="AH151" s="8">
        <v>1910008</v>
      </c>
    </row>
    <row r="152" spans="1:34" x14ac:dyDescent="0.25">
      <c r="A152" s="176" t="s">
        <v>1337</v>
      </c>
      <c r="B152" t="s">
        <v>87</v>
      </c>
      <c r="C152" t="s">
        <v>278</v>
      </c>
      <c r="D152" t="s">
        <v>388</v>
      </c>
      <c r="E152" t="s">
        <v>291</v>
      </c>
      <c r="F152" t="s">
        <v>30</v>
      </c>
      <c r="G152" t="s">
        <v>30</v>
      </c>
      <c r="H152" t="s">
        <v>37</v>
      </c>
      <c r="I152" t="s">
        <v>66</v>
      </c>
      <c r="J152" t="s">
        <v>312</v>
      </c>
      <c r="K152">
        <v>6415.73</v>
      </c>
      <c r="L152" s="166">
        <v>6414.7492999999995</v>
      </c>
      <c r="M152">
        <v>0.98</v>
      </c>
      <c r="N152">
        <v>0.1</v>
      </c>
      <c r="O152" s="8">
        <v>1</v>
      </c>
      <c r="P152">
        <v>6414.73</v>
      </c>
      <c r="Q152" s="166">
        <v>1.9300000000000001E-2</v>
      </c>
      <c r="R152" s="174" t="s">
        <v>1142</v>
      </c>
      <c r="S152">
        <v>100</v>
      </c>
      <c r="T152">
        <v>1500</v>
      </c>
      <c r="U152" t="s">
        <v>78</v>
      </c>
      <c r="V152" t="s">
        <v>1082</v>
      </c>
      <c r="W152">
        <v>0</v>
      </c>
      <c r="X152" t="s">
        <v>43</v>
      </c>
      <c r="Y152" t="s">
        <v>294</v>
      </c>
      <c r="Z152">
        <v>1900</v>
      </c>
      <c r="AC152" s="4" t="s">
        <v>805</v>
      </c>
      <c r="AD152" s="8">
        <v>1910000</v>
      </c>
      <c r="AE152" s="4" t="s">
        <v>808</v>
      </c>
      <c r="AF152" s="8">
        <v>1910008</v>
      </c>
      <c r="AG152" s="4" t="s">
        <v>810</v>
      </c>
      <c r="AH152" s="8">
        <v>1910008</v>
      </c>
    </row>
    <row r="153" spans="1:34" x14ac:dyDescent="0.25">
      <c r="A153" s="176" t="s">
        <v>1338</v>
      </c>
      <c r="B153" t="s">
        <v>87</v>
      </c>
      <c r="C153" t="s">
        <v>278</v>
      </c>
      <c r="D153" t="s">
        <v>389</v>
      </c>
      <c r="E153" t="s">
        <v>291</v>
      </c>
      <c r="F153" t="s">
        <v>30</v>
      </c>
      <c r="G153" t="s">
        <v>30</v>
      </c>
      <c r="H153" t="s">
        <v>37</v>
      </c>
      <c r="I153" t="s">
        <v>66</v>
      </c>
      <c r="J153" t="s">
        <v>312</v>
      </c>
      <c r="K153">
        <v>4276.79</v>
      </c>
      <c r="L153" s="166">
        <v>4275.8092999999999</v>
      </c>
      <c r="M153">
        <v>0.98</v>
      </c>
      <c r="N153">
        <v>0.1</v>
      </c>
      <c r="O153" s="8">
        <v>1</v>
      </c>
      <c r="P153">
        <v>4275.79</v>
      </c>
      <c r="Q153" s="166">
        <v>1.9300000000000001E-2</v>
      </c>
      <c r="R153" s="174" t="s">
        <v>1142</v>
      </c>
      <c r="S153">
        <v>100</v>
      </c>
      <c r="T153">
        <v>200</v>
      </c>
      <c r="U153" t="s">
        <v>78</v>
      </c>
      <c r="V153" t="s">
        <v>1082</v>
      </c>
      <c r="W153">
        <v>0</v>
      </c>
      <c r="X153" t="s">
        <v>43</v>
      </c>
      <c r="Y153" t="s">
        <v>294</v>
      </c>
      <c r="Z153">
        <v>300</v>
      </c>
      <c r="AC153" s="4" t="s">
        <v>805</v>
      </c>
      <c r="AD153" s="8">
        <v>1910000</v>
      </c>
      <c r="AE153" s="4" t="s">
        <v>808</v>
      </c>
      <c r="AF153" s="8">
        <v>1910008</v>
      </c>
      <c r="AG153" s="4" t="s">
        <v>810</v>
      </c>
      <c r="AH153" s="8">
        <v>1910008</v>
      </c>
    </row>
    <row r="154" spans="1:34" x14ac:dyDescent="0.25">
      <c r="A154" s="176" t="s">
        <v>1339</v>
      </c>
      <c r="B154" t="s">
        <v>87</v>
      </c>
      <c r="C154" t="s">
        <v>278</v>
      </c>
      <c r="D154" t="s">
        <v>390</v>
      </c>
      <c r="E154" t="s">
        <v>291</v>
      </c>
      <c r="F154" t="s">
        <v>30</v>
      </c>
      <c r="G154" t="s">
        <v>30</v>
      </c>
      <c r="H154" t="s">
        <v>37</v>
      </c>
      <c r="I154" t="s">
        <v>66</v>
      </c>
      <c r="J154" t="s">
        <v>312</v>
      </c>
      <c r="K154">
        <v>2172.25</v>
      </c>
      <c r="L154" s="166">
        <v>2171.2692999999999</v>
      </c>
      <c r="M154">
        <v>0.98</v>
      </c>
      <c r="N154">
        <v>0.1</v>
      </c>
      <c r="O154" s="8">
        <v>1</v>
      </c>
      <c r="P154">
        <v>2171.25</v>
      </c>
      <c r="Q154" s="166">
        <v>1.9300000000000001E-2</v>
      </c>
      <c r="R154" s="174" t="s">
        <v>1142</v>
      </c>
      <c r="S154">
        <v>100</v>
      </c>
      <c r="T154">
        <v>400</v>
      </c>
      <c r="U154" t="s">
        <v>78</v>
      </c>
      <c r="V154" t="s">
        <v>1082</v>
      </c>
      <c r="W154">
        <v>0</v>
      </c>
      <c r="X154" t="s">
        <v>43</v>
      </c>
      <c r="Y154" t="s">
        <v>294</v>
      </c>
      <c r="Z154">
        <v>500</v>
      </c>
      <c r="AC154" s="4" t="s">
        <v>805</v>
      </c>
      <c r="AD154" s="8">
        <v>1910000</v>
      </c>
      <c r="AE154" s="4" t="s">
        <v>808</v>
      </c>
      <c r="AF154" s="8">
        <v>1910008</v>
      </c>
      <c r="AG154" s="4" t="s">
        <v>810</v>
      </c>
      <c r="AH154" s="8">
        <v>1910008</v>
      </c>
    </row>
    <row r="155" spans="1:34" x14ac:dyDescent="0.25">
      <c r="A155" s="176" t="s">
        <v>1340</v>
      </c>
      <c r="B155" t="s">
        <v>87</v>
      </c>
      <c r="C155" t="s">
        <v>278</v>
      </c>
      <c r="D155" t="s">
        <v>391</v>
      </c>
      <c r="E155" t="s">
        <v>291</v>
      </c>
      <c r="F155" t="s">
        <v>30</v>
      </c>
      <c r="G155" t="s">
        <v>30</v>
      </c>
      <c r="H155" t="s">
        <v>37</v>
      </c>
      <c r="I155" t="s">
        <v>66</v>
      </c>
      <c r="J155" t="s">
        <v>312</v>
      </c>
      <c r="K155">
        <v>3257.84</v>
      </c>
      <c r="L155" s="166">
        <v>3256.8593000000001</v>
      </c>
      <c r="M155">
        <v>0.98</v>
      </c>
      <c r="N155">
        <v>0.1</v>
      </c>
      <c r="O155" s="8">
        <v>1</v>
      </c>
      <c r="P155">
        <v>3256.84</v>
      </c>
      <c r="Q155" s="166">
        <v>1.9300000000000001E-2</v>
      </c>
      <c r="R155" s="174" t="s">
        <v>1142</v>
      </c>
      <c r="S155">
        <v>100</v>
      </c>
      <c r="T155">
        <v>200</v>
      </c>
      <c r="U155" t="s">
        <v>78</v>
      </c>
      <c r="V155" t="s">
        <v>1082</v>
      </c>
      <c r="W155">
        <v>0</v>
      </c>
      <c r="X155" t="s">
        <v>43</v>
      </c>
      <c r="Y155" t="s">
        <v>294</v>
      </c>
      <c r="Z155">
        <v>300</v>
      </c>
      <c r="AC155" s="4" t="s">
        <v>805</v>
      </c>
      <c r="AD155" s="8">
        <v>1910000</v>
      </c>
      <c r="AE155" s="4" t="s">
        <v>808</v>
      </c>
      <c r="AF155" s="8">
        <v>1910008</v>
      </c>
      <c r="AG155" s="4" t="s">
        <v>810</v>
      </c>
      <c r="AH155" s="8">
        <v>1910008</v>
      </c>
    </row>
    <row r="156" spans="1:34" x14ac:dyDescent="0.25">
      <c r="A156" s="176" t="s">
        <v>1341</v>
      </c>
      <c r="B156" t="s">
        <v>87</v>
      </c>
      <c r="C156" t="s">
        <v>278</v>
      </c>
      <c r="D156" t="s">
        <v>392</v>
      </c>
      <c r="E156" t="s">
        <v>291</v>
      </c>
      <c r="F156" t="s">
        <v>30</v>
      </c>
      <c r="G156" t="s">
        <v>30</v>
      </c>
      <c r="H156" t="s">
        <v>37</v>
      </c>
      <c r="I156" t="s">
        <v>66</v>
      </c>
      <c r="J156" t="s">
        <v>312</v>
      </c>
      <c r="K156">
        <v>2172.25</v>
      </c>
      <c r="L156" s="166">
        <v>2171.2692999999999</v>
      </c>
      <c r="M156">
        <v>0.98</v>
      </c>
      <c r="N156">
        <v>0.1</v>
      </c>
      <c r="O156" s="8">
        <v>1</v>
      </c>
      <c r="P156">
        <v>2171.25</v>
      </c>
      <c r="Q156" s="166">
        <v>1.9300000000000001E-2</v>
      </c>
      <c r="R156" s="174" t="s">
        <v>1142</v>
      </c>
      <c r="S156">
        <v>100</v>
      </c>
      <c r="T156">
        <v>200</v>
      </c>
      <c r="U156" t="s">
        <v>78</v>
      </c>
      <c r="V156" t="s">
        <v>1082</v>
      </c>
      <c r="W156">
        <v>0</v>
      </c>
      <c r="X156" t="s">
        <v>43</v>
      </c>
      <c r="Y156" t="s">
        <v>294</v>
      </c>
      <c r="Z156">
        <v>300</v>
      </c>
      <c r="AC156" s="4" t="s">
        <v>805</v>
      </c>
      <c r="AD156" s="8">
        <v>1910000</v>
      </c>
      <c r="AE156" s="4" t="s">
        <v>808</v>
      </c>
      <c r="AF156" s="8">
        <v>1910008</v>
      </c>
      <c r="AG156" s="4" t="s">
        <v>810</v>
      </c>
      <c r="AH156" s="8">
        <v>1910008</v>
      </c>
    </row>
    <row r="157" spans="1:34" x14ac:dyDescent="0.25">
      <c r="A157" s="176" t="s">
        <v>1342</v>
      </c>
      <c r="B157" t="s">
        <v>87</v>
      </c>
      <c r="C157" t="s">
        <v>278</v>
      </c>
      <c r="D157" t="s">
        <v>393</v>
      </c>
      <c r="E157" t="s">
        <v>291</v>
      </c>
      <c r="F157" t="s">
        <v>30</v>
      </c>
      <c r="G157" t="s">
        <v>30</v>
      </c>
      <c r="H157" t="s">
        <v>37</v>
      </c>
      <c r="I157" t="s">
        <v>66</v>
      </c>
      <c r="J157" t="s">
        <v>312</v>
      </c>
      <c r="K157">
        <v>2171.1799999999998</v>
      </c>
      <c r="L157" s="166">
        <v>2170.1992999999998</v>
      </c>
      <c r="M157">
        <v>0.98</v>
      </c>
      <c r="N157">
        <v>0.1</v>
      </c>
      <c r="O157" s="8">
        <v>1</v>
      </c>
      <c r="P157">
        <v>2170.1799999999998</v>
      </c>
      <c r="Q157" s="166">
        <v>1.9300000000000001E-2</v>
      </c>
      <c r="R157" s="174" t="s">
        <v>1142</v>
      </c>
      <c r="S157">
        <v>100</v>
      </c>
      <c r="T157">
        <v>400</v>
      </c>
      <c r="U157" t="s">
        <v>78</v>
      </c>
      <c r="V157" t="s">
        <v>1082</v>
      </c>
      <c r="W157">
        <v>0</v>
      </c>
      <c r="X157" t="s">
        <v>43</v>
      </c>
      <c r="Y157" t="s">
        <v>294</v>
      </c>
      <c r="Z157">
        <v>500</v>
      </c>
      <c r="AC157" s="4" t="s">
        <v>805</v>
      </c>
      <c r="AD157" s="8">
        <v>1910000</v>
      </c>
      <c r="AE157" s="4" t="s">
        <v>808</v>
      </c>
      <c r="AF157" s="8">
        <v>1910008</v>
      </c>
      <c r="AG157" s="4" t="s">
        <v>810</v>
      </c>
      <c r="AH157" s="8">
        <v>1910008</v>
      </c>
    </row>
    <row r="158" spans="1:34" x14ac:dyDescent="0.25">
      <c r="A158" s="176" t="s">
        <v>1343</v>
      </c>
      <c r="B158" t="s">
        <v>87</v>
      </c>
      <c r="C158" t="s">
        <v>278</v>
      </c>
      <c r="D158" t="s">
        <v>394</v>
      </c>
      <c r="E158" t="s">
        <v>291</v>
      </c>
      <c r="F158" t="s">
        <v>30</v>
      </c>
      <c r="G158" t="s">
        <v>30</v>
      </c>
      <c r="H158" t="s">
        <v>37</v>
      </c>
      <c r="I158" t="s">
        <v>66</v>
      </c>
      <c r="J158" t="s">
        <v>312</v>
      </c>
      <c r="K158">
        <v>2713.97</v>
      </c>
      <c r="L158" s="166">
        <v>2712.9892999999997</v>
      </c>
      <c r="M158">
        <v>0.98</v>
      </c>
      <c r="N158">
        <v>0.1</v>
      </c>
      <c r="O158" s="8">
        <v>1</v>
      </c>
      <c r="P158">
        <v>2712.97</v>
      </c>
      <c r="Q158" s="166">
        <v>1.9300000000000001E-2</v>
      </c>
      <c r="R158" s="174" t="s">
        <v>1142</v>
      </c>
      <c r="S158">
        <v>100</v>
      </c>
      <c r="T158">
        <v>400</v>
      </c>
      <c r="U158" t="s">
        <v>78</v>
      </c>
      <c r="V158" t="s">
        <v>1082</v>
      </c>
      <c r="W158">
        <v>0</v>
      </c>
      <c r="X158" t="s">
        <v>43</v>
      </c>
      <c r="Y158" t="s">
        <v>294</v>
      </c>
      <c r="Z158">
        <v>500</v>
      </c>
      <c r="AC158" s="4" t="s">
        <v>805</v>
      </c>
      <c r="AD158" s="8">
        <v>1910000</v>
      </c>
      <c r="AE158" s="4" t="s">
        <v>808</v>
      </c>
      <c r="AF158" s="8">
        <v>1910008</v>
      </c>
      <c r="AG158" s="4" t="s">
        <v>810</v>
      </c>
      <c r="AH158" s="8">
        <v>1910008</v>
      </c>
    </row>
    <row r="159" spans="1:34" x14ac:dyDescent="0.25">
      <c r="A159" s="176" t="s">
        <v>1344</v>
      </c>
      <c r="B159" t="s">
        <v>87</v>
      </c>
      <c r="C159" t="s">
        <v>278</v>
      </c>
      <c r="D159" t="s">
        <v>395</v>
      </c>
      <c r="E159" t="s">
        <v>291</v>
      </c>
      <c r="F159" t="s">
        <v>30</v>
      </c>
      <c r="G159" t="s">
        <v>30</v>
      </c>
      <c r="H159" t="s">
        <v>37</v>
      </c>
      <c r="I159" t="s">
        <v>66</v>
      </c>
      <c r="J159" t="s">
        <v>312</v>
      </c>
      <c r="K159">
        <v>2713.97</v>
      </c>
      <c r="L159" s="166">
        <v>2712.9892999999997</v>
      </c>
      <c r="M159">
        <v>0.98</v>
      </c>
      <c r="N159">
        <v>0.1</v>
      </c>
      <c r="O159" s="8">
        <v>1</v>
      </c>
      <c r="P159">
        <v>2712.97</v>
      </c>
      <c r="Q159" s="166">
        <v>1.9300000000000001E-2</v>
      </c>
      <c r="R159" s="174" t="s">
        <v>1142</v>
      </c>
      <c r="S159">
        <v>100</v>
      </c>
      <c r="T159">
        <v>200</v>
      </c>
      <c r="U159" t="s">
        <v>78</v>
      </c>
      <c r="V159" t="s">
        <v>1082</v>
      </c>
      <c r="W159">
        <v>0</v>
      </c>
      <c r="X159" t="s">
        <v>43</v>
      </c>
      <c r="Y159" t="s">
        <v>294</v>
      </c>
      <c r="Z159">
        <v>300</v>
      </c>
      <c r="AC159" s="4" t="s">
        <v>805</v>
      </c>
      <c r="AD159" s="8">
        <v>1910000</v>
      </c>
      <c r="AE159" s="4" t="s">
        <v>808</v>
      </c>
      <c r="AF159" s="8">
        <v>1910008</v>
      </c>
      <c r="AG159" s="4" t="s">
        <v>810</v>
      </c>
      <c r="AH159" s="8">
        <v>1910008</v>
      </c>
    </row>
    <row r="160" spans="1:34" x14ac:dyDescent="0.25">
      <c r="A160" s="176" t="s">
        <v>1345</v>
      </c>
      <c r="B160" t="s">
        <v>87</v>
      </c>
      <c r="C160" t="s">
        <v>278</v>
      </c>
      <c r="D160" t="s">
        <v>396</v>
      </c>
      <c r="E160" t="s">
        <v>291</v>
      </c>
      <c r="F160" t="s">
        <v>30</v>
      </c>
      <c r="G160" t="s">
        <v>30</v>
      </c>
      <c r="H160" t="s">
        <v>37</v>
      </c>
      <c r="I160" t="s">
        <v>66</v>
      </c>
      <c r="J160" t="s">
        <v>312</v>
      </c>
      <c r="K160">
        <v>2171.1799999999998</v>
      </c>
      <c r="L160" s="166">
        <v>2170.1992999999998</v>
      </c>
      <c r="M160">
        <v>0.98</v>
      </c>
      <c r="N160">
        <v>0.1</v>
      </c>
      <c r="O160" s="8">
        <v>1</v>
      </c>
      <c r="P160">
        <v>2170.1799999999998</v>
      </c>
      <c r="Q160" s="166">
        <v>1.9300000000000001E-2</v>
      </c>
      <c r="R160" s="174" t="s">
        <v>1142</v>
      </c>
      <c r="S160">
        <v>100</v>
      </c>
      <c r="T160">
        <v>200</v>
      </c>
      <c r="U160" t="s">
        <v>78</v>
      </c>
      <c r="V160" t="s">
        <v>1082</v>
      </c>
      <c r="W160">
        <v>0</v>
      </c>
      <c r="X160" t="s">
        <v>43</v>
      </c>
      <c r="Y160" t="s">
        <v>294</v>
      </c>
      <c r="Z160">
        <v>300</v>
      </c>
      <c r="AC160" s="4" t="s">
        <v>805</v>
      </c>
      <c r="AD160" s="8">
        <v>1910000</v>
      </c>
      <c r="AE160" s="4" t="s">
        <v>808</v>
      </c>
      <c r="AF160" s="8">
        <v>1910008</v>
      </c>
      <c r="AG160" s="4" t="s">
        <v>810</v>
      </c>
      <c r="AH160" s="8">
        <v>1910008</v>
      </c>
    </row>
    <row r="161" spans="1:34" x14ac:dyDescent="0.25">
      <c r="A161" s="176" t="s">
        <v>1346</v>
      </c>
      <c r="B161" t="s">
        <v>87</v>
      </c>
      <c r="C161" t="s">
        <v>278</v>
      </c>
      <c r="D161" t="s">
        <v>397</v>
      </c>
      <c r="E161" t="s">
        <v>291</v>
      </c>
      <c r="F161" t="s">
        <v>30</v>
      </c>
      <c r="G161" t="s">
        <v>30</v>
      </c>
      <c r="H161" t="s">
        <v>37</v>
      </c>
      <c r="I161" t="s">
        <v>66</v>
      </c>
      <c r="J161" t="s">
        <v>312</v>
      </c>
      <c r="K161">
        <v>1859.47</v>
      </c>
      <c r="L161" s="166">
        <v>1858.4893</v>
      </c>
      <c r="M161">
        <v>0.98</v>
      </c>
      <c r="N161">
        <v>0.1</v>
      </c>
      <c r="O161" s="8">
        <v>1</v>
      </c>
      <c r="P161">
        <v>1858.47</v>
      </c>
      <c r="Q161" s="166">
        <v>1.9300000000000001E-2</v>
      </c>
      <c r="R161" s="174" t="s">
        <v>1142</v>
      </c>
      <c r="S161">
        <v>100</v>
      </c>
      <c r="T161">
        <v>200</v>
      </c>
      <c r="U161" t="s">
        <v>78</v>
      </c>
      <c r="V161" t="s">
        <v>1082</v>
      </c>
      <c r="W161">
        <v>0</v>
      </c>
      <c r="X161" t="s">
        <v>43</v>
      </c>
      <c r="Y161" t="s">
        <v>294</v>
      </c>
      <c r="Z161">
        <v>300</v>
      </c>
      <c r="AC161" s="4" t="s">
        <v>805</v>
      </c>
      <c r="AD161" s="8">
        <v>1910000</v>
      </c>
      <c r="AE161" s="4" t="s">
        <v>808</v>
      </c>
      <c r="AF161" s="8">
        <v>1910008</v>
      </c>
      <c r="AG161" s="4" t="s">
        <v>810</v>
      </c>
      <c r="AH161" s="8">
        <v>1910008</v>
      </c>
    </row>
    <row r="162" spans="1:34" x14ac:dyDescent="0.25">
      <c r="A162" s="176" t="s">
        <v>1347</v>
      </c>
      <c r="B162" t="s">
        <v>87</v>
      </c>
      <c r="C162" t="s">
        <v>278</v>
      </c>
      <c r="D162" t="s">
        <v>398</v>
      </c>
      <c r="E162" t="s">
        <v>291</v>
      </c>
      <c r="F162" t="s">
        <v>30</v>
      </c>
      <c r="G162" t="s">
        <v>30</v>
      </c>
      <c r="H162" t="s">
        <v>37</v>
      </c>
      <c r="I162" t="s">
        <v>66</v>
      </c>
      <c r="J162" t="s">
        <v>312</v>
      </c>
      <c r="K162">
        <v>1859.47</v>
      </c>
      <c r="L162" s="166">
        <v>1858.4893</v>
      </c>
      <c r="M162">
        <v>0.98</v>
      </c>
      <c r="N162">
        <v>0.1</v>
      </c>
      <c r="O162" s="8">
        <v>1</v>
      </c>
      <c r="P162">
        <v>1858.47</v>
      </c>
      <c r="Q162" s="166">
        <v>1.9300000000000001E-2</v>
      </c>
      <c r="R162" s="174" t="s">
        <v>1142</v>
      </c>
      <c r="S162">
        <v>100</v>
      </c>
      <c r="T162">
        <v>300</v>
      </c>
      <c r="U162" t="s">
        <v>78</v>
      </c>
      <c r="V162" t="s">
        <v>1082</v>
      </c>
      <c r="W162">
        <v>0</v>
      </c>
      <c r="X162" t="s">
        <v>43</v>
      </c>
      <c r="Y162" t="s">
        <v>294</v>
      </c>
      <c r="Z162">
        <v>400</v>
      </c>
      <c r="AC162" s="4" t="s">
        <v>805</v>
      </c>
      <c r="AD162" s="8">
        <v>1910000</v>
      </c>
      <c r="AE162" s="4" t="s">
        <v>808</v>
      </c>
      <c r="AF162" s="8">
        <v>1910008</v>
      </c>
      <c r="AG162" s="4" t="s">
        <v>810</v>
      </c>
      <c r="AH162" s="8">
        <v>1910008</v>
      </c>
    </row>
    <row r="163" spans="1:34" x14ac:dyDescent="0.25">
      <c r="A163" s="176" t="s">
        <v>1348</v>
      </c>
      <c r="B163" t="s">
        <v>87</v>
      </c>
      <c r="C163" t="s">
        <v>278</v>
      </c>
      <c r="D163" t="s">
        <v>399</v>
      </c>
      <c r="E163" t="s">
        <v>291</v>
      </c>
      <c r="F163" t="s">
        <v>30</v>
      </c>
      <c r="G163" t="s">
        <v>30</v>
      </c>
      <c r="H163" t="s">
        <v>37</v>
      </c>
      <c r="I163" t="s">
        <v>66</v>
      </c>
      <c r="J163" t="s">
        <v>312</v>
      </c>
      <c r="K163">
        <v>1859.47</v>
      </c>
      <c r="L163" s="166">
        <v>1858.4893</v>
      </c>
      <c r="M163">
        <v>0.98</v>
      </c>
      <c r="N163">
        <v>0.1</v>
      </c>
      <c r="O163" s="8">
        <v>1</v>
      </c>
      <c r="P163">
        <v>1858.47</v>
      </c>
      <c r="Q163" s="166">
        <v>1.9300000000000001E-2</v>
      </c>
      <c r="R163" s="174" t="s">
        <v>1142</v>
      </c>
      <c r="S163">
        <v>100</v>
      </c>
      <c r="T163">
        <v>300</v>
      </c>
      <c r="U163" t="s">
        <v>78</v>
      </c>
      <c r="V163" t="s">
        <v>1082</v>
      </c>
      <c r="W163">
        <v>0</v>
      </c>
      <c r="X163" t="s">
        <v>43</v>
      </c>
      <c r="Y163" t="s">
        <v>294</v>
      </c>
      <c r="Z163">
        <v>400</v>
      </c>
      <c r="AC163" s="4" t="s">
        <v>805</v>
      </c>
      <c r="AD163" s="8">
        <v>1910000</v>
      </c>
      <c r="AE163" s="4" t="s">
        <v>808</v>
      </c>
      <c r="AF163" s="8">
        <v>1910008</v>
      </c>
      <c r="AG163" s="4" t="s">
        <v>810</v>
      </c>
      <c r="AH163" s="8">
        <v>1910008</v>
      </c>
    </row>
    <row r="164" spans="1:34" x14ac:dyDescent="0.25">
      <c r="A164" s="176" t="s">
        <v>1349</v>
      </c>
      <c r="B164" t="s">
        <v>87</v>
      </c>
      <c r="C164" t="s">
        <v>278</v>
      </c>
      <c r="D164" t="s">
        <v>400</v>
      </c>
      <c r="E164" t="s">
        <v>291</v>
      </c>
      <c r="F164" t="s">
        <v>30</v>
      </c>
      <c r="G164" t="s">
        <v>30</v>
      </c>
      <c r="H164" t="s">
        <v>37</v>
      </c>
      <c r="I164" t="s">
        <v>66</v>
      </c>
      <c r="J164" t="s">
        <v>312</v>
      </c>
      <c r="K164">
        <v>2323.81</v>
      </c>
      <c r="L164" s="166">
        <v>2322.8292999999999</v>
      </c>
      <c r="M164">
        <v>0.98</v>
      </c>
      <c r="N164">
        <v>0.1</v>
      </c>
      <c r="O164" s="8">
        <v>1</v>
      </c>
      <c r="P164">
        <v>2322.81</v>
      </c>
      <c r="Q164" s="166">
        <v>1.9300000000000001E-2</v>
      </c>
      <c r="R164" s="174" t="s">
        <v>1142</v>
      </c>
      <c r="S164">
        <v>100</v>
      </c>
      <c r="T164">
        <v>300</v>
      </c>
      <c r="U164" t="s">
        <v>78</v>
      </c>
      <c r="V164" t="s">
        <v>1082</v>
      </c>
      <c r="W164">
        <v>0</v>
      </c>
      <c r="X164" t="s">
        <v>43</v>
      </c>
      <c r="Y164" t="s">
        <v>294</v>
      </c>
      <c r="Z164">
        <v>400</v>
      </c>
      <c r="AC164" s="4" t="s">
        <v>805</v>
      </c>
      <c r="AD164" s="8">
        <v>1910000</v>
      </c>
      <c r="AE164" s="4" t="s">
        <v>808</v>
      </c>
      <c r="AF164" s="8">
        <v>1910008</v>
      </c>
      <c r="AG164" s="4" t="s">
        <v>810</v>
      </c>
      <c r="AH164" s="8">
        <v>1910008</v>
      </c>
    </row>
    <row r="165" spans="1:34" x14ac:dyDescent="0.25">
      <c r="A165" s="176" t="s">
        <v>1350</v>
      </c>
      <c r="B165" t="s">
        <v>87</v>
      </c>
      <c r="C165" t="s">
        <v>278</v>
      </c>
      <c r="D165" t="s">
        <v>401</v>
      </c>
      <c r="E165" t="s">
        <v>291</v>
      </c>
      <c r="F165" t="s">
        <v>30</v>
      </c>
      <c r="G165" t="s">
        <v>30</v>
      </c>
      <c r="H165" t="s">
        <v>37</v>
      </c>
      <c r="I165" t="s">
        <v>66</v>
      </c>
      <c r="J165" t="s">
        <v>312</v>
      </c>
      <c r="K165">
        <v>1859.47</v>
      </c>
      <c r="L165" s="166">
        <v>1858.4893</v>
      </c>
      <c r="M165">
        <v>0.98</v>
      </c>
      <c r="N165">
        <v>0.1</v>
      </c>
      <c r="O165" s="8">
        <v>1</v>
      </c>
      <c r="P165">
        <v>1858.47</v>
      </c>
      <c r="Q165" s="166">
        <v>1.9300000000000001E-2</v>
      </c>
      <c r="R165" s="174" t="s">
        <v>1142</v>
      </c>
      <c r="S165">
        <v>100</v>
      </c>
      <c r="T165">
        <v>400</v>
      </c>
      <c r="U165" t="s">
        <v>78</v>
      </c>
      <c r="V165" t="s">
        <v>1082</v>
      </c>
      <c r="W165">
        <v>0</v>
      </c>
      <c r="X165" t="s">
        <v>43</v>
      </c>
      <c r="Y165" t="s">
        <v>294</v>
      </c>
      <c r="Z165">
        <v>500</v>
      </c>
      <c r="AC165" s="4" t="s">
        <v>805</v>
      </c>
      <c r="AD165" s="8">
        <v>1910000</v>
      </c>
      <c r="AE165" s="4" t="s">
        <v>808</v>
      </c>
      <c r="AF165" s="8">
        <v>1910008</v>
      </c>
      <c r="AG165" s="4" t="s">
        <v>810</v>
      </c>
      <c r="AH165" s="8">
        <v>1910008</v>
      </c>
    </row>
    <row r="166" spans="1:34" x14ac:dyDescent="0.25">
      <c r="A166" s="176" t="s">
        <v>1351</v>
      </c>
      <c r="B166" t="s">
        <v>87</v>
      </c>
      <c r="C166" t="s">
        <v>278</v>
      </c>
      <c r="D166" t="s">
        <v>402</v>
      </c>
      <c r="E166" t="s">
        <v>291</v>
      </c>
      <c r="F166" t="s">
        <v>30</v>
      </c>
      <c r="G166" t="s">
        <v>30</v>
      </c>
      <c r="H166" t="s">
        <v>37</v>
      </c>
      <c r="I166" t="s">
        <v>66</v>
      </c>
      <c r="J166" t="s">
        <v>312</v>
      </c>
      <c r="K166">
        <v>2323.81</v>
      </c>
      <c r="L166" s="166">
        <v>2322.8292999999999</v>
      </c>
      <c r="M166">
        <v>0.98</v>
      </c>
      <c r="N166">
        <v>0.1</v>
      </c>
      <c r="O166" s="8">
        <v>1</v>
      </c>
      <c r="P166">
        <v>2322.81</v>
      </c>
      <c r="Q166" s="166">
        <v>1.9300000000000001E-2</v>
      </c>
      <c r="R166" s="174" t="s">
        <v>1142</v>
      </c>
      <c r="S166">
        <v>100</v>
      </c>
      <c r="T166">
        <v>300</v>
      </c>
      <c r="U166" t="s">
        <v>78</v>
      </c>
      <c r="V166" t="s">
        <v>1082</v>
      </c>
      <c r="W166">
        <v>0</v>
      </c>
      <c r="X166" t="s">
        <v>43</v>
      </c>
      <c r="Y166" t="s">
        <v>294</v>
      </c>
      <c r="Z166">
        <v>400</v>
      </c>
      <c r="AC166" s="4" t="s">
        <v>805</v>
      </c>
      <c r="AD166" s="8">
        <v>1910000</v>
      </c>
      <c r="AE166" s="4" t="s">
        <v>808</v>
      </c>
      <c r="AF166" s="8">
        <v>1910008</v>
      </c>
      <c r="AG166" s="4" t="s">
        <v>810</v>
      </c>
      <c r="AH166" s="8">
        <v>1910008</v>
      </c>
    </row>
    <row r="167" spans="1:34" x14ac:dyDescent="0.25">
      <c r="A167" s="176" t="s">
        <v>1352</v>
      </c>
      <c r="B167" t="s">
        <v>87</v>
      </c>
      <c r="C167" t="s">
        <v>278</v>
      </c>
      <c r="D167" t="s">
        <v>403</v>
      </c>
      <c r="E167" t="s">
        <v>291</v>
      </c>
      <c r="F167" t="s">
        <v>30</v>
      </c>
      <c r="G167" t="s">
        <v>30</v>
      </c>
      <c r="H167" t="s">
        <v>37</v>
      </c>
      <c r="I167" t="s">
        <v>66</v>
      </c>
      <c r="J167" t="s">
        <v>312</v>
      </c>
      <c r="K167">
        <v>2176.5500000000002</v>
      </c>
      <c r="L167" s="166">
        <v>2175.5693000000001</v>
      </c>
      <c r="M167">
        <v>0.98</v>
      </c>
      <c r="N167">
        <v>0.1</v>
      </c>
      <c r="O167" s="8">
        <v>1</v>
      </c>
      <c r="P167">
        <v>2175.5500000000002</v>
      </c>
      <c r="Q167" s="166">
        <v>1.9300000000000001E-2</v>
      </c>
      <c r="R167" s="174" t="s">
        <v>1142</v>
      </c>
      <c r="S167">
        <v>100</v>
      </c>
      <c r="T167">
        <v>200</v>
      </c>
      <c r="U167" t="s">
        <v>78</v>
      </c>
      <c r="V167" t="s">
        <v>1082</v>
      </c>
      <c r="W167">
        <v>0</v>
      </c>
      <c r="X167" t="s">
        <v>43</v>
      </c>
      <c r="Y167" t="s">
        <v>294</v>
      </c>
      <c r="Z167">
        <v>300</v>
      </c>
      <c r="AC167" s="4" t="s">
        <v>805</v>
      </c>
      <c r="AD167" s="8">
        <v>1910000</v>
      </c>
      <c r="AE167" s="4" t="s">
        <v>808</v>
      </c>
      <c r="AF167" s="8">
        <v>1910008</v>
      </c>
      <c r="AG167" s="4" t="s">
        <v>810</v>
      </c>
      <c r="AH167" s="8">
        <v>1910008</v>
      </c>
    </row>
    <row r="168" spans="1:34" x14ac:dyDescent="0.25">
      <c r="A168" s="176" t="s">
        <v>1353</v>
      </c>
      <c r="B168" t="s">
        <v>87</v>
      </c>
      <c r="C168" t="s">
        <v>278</v>
      </c>
      <c r="D168" t="s">
        <v>404</v>
      </c>
      <c r="E168" t="s">
        <v>291</v>
      </c>
      <c r="F168" t="s">
        <v>30</v>
      </c>
      <c r="G168" t="s">
        <v>30</v>
      </c>
      <c r="H168" t="s">
        <v>37</v>
      </c>
      <c r="I168" t="s">
        <v>66</v>
      </c>
      <c r="J168" t="s">
        <v>312</v>
      </c>
      <c r="K168">
        <v>2171.1799999999998</v>
      </c>
      <c r="L168" s="166">
        <v>2170.1992999999998</v>
      </c>
      <c r="M168">
        <v>0.98</v>
      </c>
      <c r="N168">
        <v>0.1</v>
      </c>
      <c r="O168" s="8">
        <v>1</v>
      </c>
      <c r="P168">
        <v>2170.1799999999998</v>
      </c>
      <c r="Q168" s="166">
        <v>1.9300000000000001E-2</v>
      </c>
      <c r="R168" s="174" t="s">
        <v>1142</v>
      </c>
      <c r="S168">
        <v>100</v>
      </c>
      <c r="T168">
        <v>200</v>
      </c>
      <c r="U168" t="s">
        <v>78</v>
      </c>
      <c r="V168" t="s">
        <v>1082</v>
      </c>
      <c r="W168">
        <v>0</v>
      </c>
      <c r="X168" t="s">
        <v>43</v>
      </c>
      <c r="Y168" t="s">
        <v>294</v>
      </c>
      <c r="Z168">
        <v>300</v>
      </c>
      <c r="AC168" s="4" t="s">
        <v>805</v>
      </c>
      <c r="AD168" s="8">
        <v>1910000</v>
      </c>
      <c r="AE168" s="4" t="s">
        <v>808</v>
      </c>
      <c r="AF168" s="8">
        <v>1910008</v>
      </c>
      <c r="AG168" s="4" t="s">
        <v>810</v>
      </c>
      <c r="AH168" s="8">
        <v>1910008</v>
      </c>
    </row>
    <row r="169" spans="1:34" x14ac:dyDescent="0.25">
      <c r="A169" s="176" t="s">
        <v>1354</v>
      </c>
      <c r="B169" t="s">
        <v>87</v>
      </c>
      <c r="C169" t="s">
        <v>278</v>
      </c>
      <c r="D169" t="s">
        <v>405</v>
      </c>
      <c r="E169" t="s">
        <v>291</v>
      </c>
      <c r="F169" t="s">
        <v>30</v>
      </c>
      <c r="G169" t="s">
        <v>30</v>
      </c>
      <c r="H169" t="s">
        <v>37</v>
      </c>
      <c r="I169" t="s">
        <v>66</v>
      </c>
      <c r="J169" t="s">
        <v>312</v>
      </c>
      <c r="K169">
        <v>2171.1799999999998</v>
      </c>
      <c r="L169" s="166">
        <v>2170.1992999999998</v>
      </c>
      <c r="M169">
        <v>0.98</v>
      </c>
      <c r="N169">
        <v>0.1</v>
      </c>
      <c r="O169" s="8">
        <v>1</v>
      </c>
      <c r="P169">
        <v>2170.1799999999998</v>
      </c>
      <c r="Q169" s="166">
        <v>1.9300000000000001E-2</v>
      </c>
      <c r="R169" s="174" t="s">
        <v>1142</v>
      </c>
      <c r="S169">
        <v>100</v>
      </c>
      <c r="T169">
        <v>200</v>
      </c>
      <c r="U169" t="s">
        <v>78</v>
      </c>
      <c r="V169" t="s">
        <v>1082</v>
      </c>
      <c r="W169">
        <v>0</v>
      </c>
      <c r="X169" t="s">
        <v>43</v>
      </c>
      <c r="Y169" t="s">
        <v>294</v>
      </c>
      <c r="Z169">
        <v>300</v>
      </c>
      <c r="AC169" s="4" t="s">
        <v>805</v>
      </c>
      <c r="AD169" s="8">
        <v>1910000</v>
      </c>
      <c r="AE169" s="4" t="s">
        <v>808</v>
      </c>
      <c r="AF169" s="8">
        <v>1910008</v>
      </c>
      <c r="AG169" s="4" t="s">
        <v>810</v>
      </c>
      <c r="AH169" s="8">
        <v>1910008</v>
      </c>
    </row>
    <row r="170" spans="1:34" x14ac:dyDescent="0.25">
      <c r="A170" s="176" t="s">
        <v>1355</v>
      </c>
      <c r="B170" t="s">
        <v>87</v>
      </c>
      <c r="C170" t="s">
        <v>278</v>
      </c>
      <c r="D170" t="s">
        <v>406</v>
      </c>
      <c r="E170" t="s">
        <v>291</v>
      </c>
      <c r="F170" t="s">
        <v>30</v>
      </c>
      <c r="G170" t="s">
        <v>30</v>
      </c>
      <c r="H170" t="s">
        <v>37</v>
      </c>
      <c r="I170" t="s">
        <v>66</v>
      </c>
      <c r="J170" t="s">
        <v>312</v>
      </c>
      <c r="K170">
        <v>2172.25</v>
      </c>
      <c r="L170" s="166">
        <v>2171.2692999999999</v>
      </c>
      <c r="M170">
        <v>0.98</v>
      </c>
      <c r="N170">
        <v>0.1</v>
      </c>
      <c r="O170" s="8">
        <v>1</v>
      </c>
      <c r="P170">
        <v>2171.25</v>
      </c>
      <c r="Q170" s="166">
        <v>1.9300000000000001E-2</v>
      </c>
      <c r="R170" s="174" t="s">
        <v>1142</v>
      </c>
      <c r="S170">
        <v>100</v>
      </c>
      <c r="T170">
        <v>200</v>
      </c>
      <c r="U170" t="s">
        <v>78</v>
      </c>
      <c r="V170" t="s">
        <v>1082</v>
      </c>
      <c r="W170">
        <v>0</v>
      </c>
      <c r="X170" t="s">
        <v>43</v>
      </c>
      <c r="Y170" t="s">
        <v>294</v>
      </c>
      <c r="Z170">
        <v>300</v>
      </c>
      <c r="AC170" s="4" t="s">
        <v>805</v>
      </c>
      <c r="AD170" s="8">
        <v>1910000</v>
      </c>
      <c r="AE170" s="4" t="s">
        <v>808</v>
      </c>
      <c r="AF170" s="8">
        <v>1910008</v>
      </c>
      <c r="AG170" s="4" t="s">
        <v>810</v>
      </c>
      <c r="AH170" s="8">
        <v>1910008</v>
      </c>
    </row>
    <row r="171" spans="1:34" x14ac:dyDescent="0.25">
      <c r="A171" s="176" t="s">
        <v>1356</v>
      </c>
      <c r="B171" t="s">
        <v>87</v>
      </c>
      <c r="C171" t="s">
        <v>278</v>
      </c>
      <c r="D171" t="s">
        <v>407</v>
      </c>
      <c r="E171" t="s">
        <v>291</v>
      </c>
      <c r="F171" t="s">
        <v>30</v>
      </c>
      <c r="G171" t="s">
        <v>30</v>
      </c>
      <c r="H171" t="s">
        <v>37</v>
      </c>
      <c r="I171" t="s">
        <v>66</v>
      </c>
      <c r="J171" t="s">
        <v>312</v>
      </c>
      <c r="K171">
        <v>2172.25</v>
      </c>
      <c r="L171" s="166">
        <v>2171.2692999999999</v>
      </c>
      <c r="M171">
        <v>0.98</v>
      </c>
      <c r="N171">
        <v>0.1</v>
      </c>
      <c r="O171" s="8">
        <v>1</v>
      </c>
      <c r="P171">
        <v>2171.25</v>
      </c>
      <c r="Q171" s="166">
        <v>1.9300000000000001E-2</v>
      </c>
      <c r="R171" s="174" t="s">
        <v>1142</v>
      </c>
      <c r="S171">
        <v>100</v>
      </c>
      <c r="T171">
        <v>300</v>
      </c>
      <c r="U171" t="s">
        <v>78</v>
      </c>
      <c r="V171" t="s">
        <v>1082</v>
      </c>
      <c r="W171">
        <v>0</v>
      </c>
      <c r="X171" t="s">
        <v>43</v>
      </c>
      <c r="Y171" t="s">
        <v>294</v>
      </c>
      <c r="Z171">
        <v>400</v>
      </c>
      <c r="AC171" s="4" t="s">
        <v>805</v>
      </c>
      <c r="AD171" s="8">
        <v>1910000</v>
      </c>
      <c r="AE171" s="4" t="s">
        <v>808</v>
      </c>
      <c r="AF171" s="8">
        <v>1910008</v>
      </c>
      <c r="AG171" s="4" t="s">
        <v>810</v>
      </c>
      <c r="AH171" s="8">
        <v>1910008</v>
      </c>
    </row>
    <row r="172" spans="1:34" x14ac:dyDescent="0.25">
      <c r="A172" s="176" t="s">
        <v>1357</v>
      </c>
      <c r="B172" t="s">
        <v>87</v>
      </c>
      <c r="C172" t="s">
        <v>278</v>
      </c>
      <c r="D172" t="s">
        <v>408</v>
      </c>
      <c r="E172" t="s">
        <v>291</v>
      </c>
      <c r="F172" t="s">
        <v>30</v>
      </c>
      <c r="G172" t="s">
        <v>30</v>
      </c>
      <c r="H172" t="s">
        <v>37</v>
      </c>
      <c r="I172" t="s">
        <v>66</v>
      </c>
      <c r="J172" t="s">
        <v>312</v>
      </c>
      <c r="K172">
        <v>2172.25</v>
      </c>
      <c r="L172" s="166">
        <v>2171.2692999999999</v>
      </c>
      <c r="M172">
        <v>0.98</v>
      </c>
      <c r="N172">
        <v>0.1</v>
      </c>
      <c r="O172" s="8">
        <v>1</v>
      </c>
      <c r="P172">
        <v>2171.25</v>
      </c>
      <c r="Q172" s="166">
        <v>1.9300000000000001E-2</v>
      </c>
      <c r="R172" s="174" t="s">
        <v>1142</v>
      </c>
      <c r="S172">
        <v>100</v>
      </c>
      <c r="T172">
        <v>1400</v>
      </c>
      <c r="U172" t="s">
        <v>78</v>
      </c>
      <c r="V172" t="s">
        <v>1082</v>
      </c>
      <c r="W172">
        <v>0</v>
      </c>
      <c r="X172" t="s">
        <v>43</v>
      </c>
      <c r="Y172" t="s">
        <v>294</v>
      </c>
      <c r="Z172">
        <v>1800</v>
      </c>
      <c r="AC172" s="4" t="s">
        <v>805</v>
      </c>
      <c r="AD172" s="8">
        <v>1910000</v>
      </c>
      <c r="AE172" s="4" t="s">
        <v>808</v>
      </c>
      <c r="AF172" s="8">
        <v>1910008</v>
      </c>
      <c r="AG172" s="4" t="s">
        <v>810</v>
      </c>
      <c r="AH172" s="8">
        <v>1910008</v>
      </c>
    </row>
    <row r="173" spans="1:34" x14ac:dyDescent="0.25">
      <c r="A173" s="176" t="s">
        <v>1358</v>
      </c>
      <c r="B173" t="s">
        <v>87</v>
      </c>
      <c r="C173" t="s">
        <v>278</v>
      </c>
      <c r="D173" t="s">
        <v>409</v>
      </c>
      <c r="E173" t="s">
        <v>291</v>
      </c>
      <c r="F173" t="s">
        <v>30</v>
      </c>
      <c r="G173" t="s">
        <v>30</v>
      </c>
      <c r="H173" t="s">
        <v>37</v>
      </c>
      <c r="I173" t="s">
        <v>66</v>
      </c>
      <c r="J173" t="s">
        <v>312</v>
      </c>
      <c r="K173">
        <v>4276.79</v>
      </c>
      <c r="L173" s="166">
        <v>4275.8092999999999</v>
      </c>
      <c r="M173">
        <v>0.98</v>
      </c>
      <c r="N173">
        <v>0.1</v>
      </c>
      <c r="O173" s="8">
        <v>1</v>
      </c>
      <c r="P173">
        <v>4275.79</v>
      </c>
      <c r="Q173" s="166">
        <v>1.9300000000000001E-2</v>
      </c>
      <c r="R173" s="174" t="s">
        <v>1142</v>
      </c>
      <c r="S173">
        <v>100</v>
      </c>
      <c r="T173">
        <v>1400</v>
      </c>
      <c r="U173" t="s">
        <v>78</v>
      </c>
      <c r="V173" t="s">
        <v>1082</v>
      </c>
      <c r="W173">
        <v>0</v>
      </c>
      <c r="X173" t="s">
        <v>43</v>
      </c>
      <c r="Y173" t="s">
        <v>294</v>
      </c>
      <c r="Z173">
        <v>1800</v>
      </c>
      <c r="AC173" s="4" t="s">
        <v>805</v>
      </c>
      <c r="AD173" s="8">
        <v>1910000</v>
      </c>
      <c r="AE173" s="4" t="s">
        <v>808</v>
      </c>
      <c r="AF173" s="8">
        <v>1910008</v>
      </c>
      <c r="AG173" s="4" t="s">
        <v>810</v>
      </c>
      <c r="AH173" s="8">
        <v>1910008</v>
      </c>
    </row>
    <row r="174" spans="1:34" x14ac:dyDescent="0.25">
      <c r="A174" s="176" t="s">
        <v>1359</v>
      </c>
      <c r="B174" t="s">
        <v>87</v>
      </c>
      <c r="C174" t="s">
        <v>278</v>
      </c>
      <c r="D174" t="s">
        <v>410</v>
      </c>
      <c r="E174" t="s">
        <v>291</v>
      </c>
      <c r="F174" t="s">
        <v>30</v>
      </c>
      <c r="G174" t="s">
        <v>30</v>
      </c>
      <c r="H174" t="s">
        <v>37</v>
      </c>
      <c r="I174" t="s">
        <v>66</v>
      </c>
      <c r="J174" t="s">
        <v>312</v>
      </c>
      <c r="K174">
        <v>4276.79</v>
      </c>
      <c r="L174" s="166">
        <v>4275.8092999999999</v>
      </c>
      <c r="M174">
        <v>0.98</v>
      </c>
      <c r="N174">
        <v>0.1</v>
      </c>
      <c r="O174" s="8">
        <v>1</v>
      </c>
      <c r="P174">
        <v>4275.79</v>
      </c>
      <c r="Q174" s="166">
        <v>1.9300000000000001E-2</v>
      </c>
      <c r="R174" s="174" t="s">
        <v>1142</v>
      </c>
      <c r="S174">
        <v>100</v>
      </c>
      <c r="T174">
        <v>1400</v>
      </c>
      <c r="U174" t="s">
        <v>78</v>
      </c>
      <c r="V174" t="s">
        <v>1082</v>
      </c>
      <c r="W174">
        <v>0</v>
      </c>
      <c r="X174" t="s">
        <v>43</v>
      </c>
      <c r="Y174" t="s">
        <v>294</v>
      </c>
      <c r="Z174">
        <v>1800</v>
      </c>
      <c r="AC174" s="4" t="s">
        <v>805</v>
      </c>
      <c r="AD174" s="8">
        <v>1910000</v>
      </c>
      <c r="AE174" s="4" t="s">
        <v>808</v>
      </c>
      <c r="AF174" s="8">
        <v>1910008</v>
      </c>
      <c r="AG174" s="4" t="s">
        <v>810</v>
      </c>
      <c r="AH174" s="8">
        <v>1910008</v>
      </c>
    </row>
    <row r="175" spans="1:34" x14ac:dyDescent="0.25">
      <c r="A175" s="176" t="s">
        <v>1360</v>
      </c>
      <c r="B175" t="s">
        <v>87</v>
      </c>
      <c r="C175" t="s">
        <v>278</v>
      </c>
      <c r="D175" t="s">
        <v>411</v>
      </c>
      <c r="E175" t="s">
        <v>291</v>
      </c>
      <c r="F175" t="s">
        <v>30</v>
      </c>
      <c r="G175" t="s">
        <v>30</v>
      </c>
      <c r="H175" t="s">
        <v>37</v>
      </c>
      <c r="I175" t="s">
        <v>66</v>
      </c>
      <c r="J175" t="s">
        <v>312</v>
      </c>
      <c r="K175">
        <v>4276.79</v>
      </c>
      <c r="L175" s="166">
        <v>4275.8092999999999</v>
      </c>
      <c r="M175">
        <v>0.98</v>
      </c>
      <c r="N175">
        <v>0.1</v>
      </c>
      <c r="O175" s="8">
        <v>1</v>
      </c>
      <c r="P175">
        <v>4275.79</v>
      </c>
      <c r="Q175" s="166">
        <v>1.9300000000000001E-2</v>
      </c>
      <c r="R175" s="174" t="s">
        <v>1142</v>
      </c>
      <c r="S175">
        <v>100</v>
      </c>
      <c r="T175">
        <v>1500</v>
      </c>
      <c r="U175" t="s">
        <v>78</v>
      </c>
      <c r="V175" t="s">
        <v>1082</v>
      </c>
      <c r="W175">
        <v>0</v>
      </c>
      <c r="X175" t="s">
        <v>43</v>
      </c>
      <c r="Y175" t="s">
        <v>294</v>
      </c>
      <c r="Z175">
        <v>1900</v>
      </c>
      <c r="AC175" s="4" t="s">
        <v>805</v>
      </c>
      <c r="AD175" s="8">
        <v>1910000</v>
      </c>
      <c r="AE175" s="4" t="s">
        <v>808</v>
      </c>
      <c r="AF175" s="8">
        <v>1910008</v>
      </c>
      <c r="AG175" s="4" t="s">
        <v>810</v>
      </c>
      <c r="AH175" s="8">
        <v>1910008</v>
      </c>
    </row>
    <row r="176" spans="1:34" x14ac:dyDescent="0.25">
      <c r="A176" s="176" t="s">
        <v>1361</v>
      </c>
      <c r="B176" t="s">
        <v>87</v>
      </c>
      <c r="C176" t="s">
        <v>278</v>
      </c>
      <c r="D176" t="s">
        <v>412</v>
      </c>
      <c r="E176" t="s">
        <v>291</v>
      </c>
      <c r="F176" t="s">
        <v>30</v>
      </c>
      <c r="G176" t="s">
        <v>30</v>
      </c>
      <c r="H176" t="s">
        <v>37</v>
      </c>
      <c r="I176" t="s">
        <v>66</v>
      </c>
      <c r="J176" t="s">
        <v>312</v>
      </c>
      <c r="K176">
        <v>10748.41</v>
      </c>
      <c r="L176" s="166">
        <v>10747.4293</v>
      </c>
      <c r="M176">
        <v>0.98</v>
      </c>
      <c r="N176">
        <v>0.1</v>
      </c>
      <c r="O176" s="8">
        <v>1</v>
      </c>
      <c r="P176">
        <v>10747.41</v>
      </c>
      <c r="Q176" s="166">
        <v>1.9300000000000001E-2</v>
      </c>
      <c r="R176" s="174" t="s">
        <v>1142</v>
      </c>
      <c r="S176">
        <v>100</v>
      </c>
      <c r="T176">
        <v>1500</v>
      </c>
      <c r="U176" t="s">
        <v>78</v>
      </c>
      <c r="V176" t="s">
        <v>1082</v>
      </c>
      <c r="W176">
        <v>0</v>
      </c>
      <c r="X176" t="s">
        <v>43</v>
      </c>
      <c r="Y176" t="s">
        <v>294</v>
      </c>
      <c r="Z176">
        <v>1900</v>
      </c>
      <c r="AC176" s="4" t="s">
        <v>805</v>
      </c>
      <c r="AD176" s="8">
        <v>1910000</v>
      </c>
      <c r="AE176" s="4" t="s">
        <v>808</v>
      </c>
      <c r="AF176" s="8">
        <v>1910008</v>
      </c>
      <c r="AG176" s="4" t="s">
        <v>810</v>
      </c>
      <c r="AH176" s="8">
        <v>1910008</v>
      </c>
    </row>
    <row r="177" spans="1:34" x14ac:dyDescent="0.25">
      <c r="A177" s="176" t="s">
        <v>1362</v>
      </c>
      <c r="B177" t="s">
        <v>87</v>
      </c>
      <c r="C177" t="s">
        <v>278</v>
      </c>
      <c r="D177" t="s">
        <v>413</v>
      </c>
      <c r="E177" t="s">
        <v>291</v>
      </c>
      <c r="F177" t="s">
        <v>30</v>
      </c>
      <c r="G177" t="s">
        <v>30</v>
      </c>
      <c r="H177" t="s">
        <v>37</v>
      </c>
      <c r="I177" t="s">
        <v>66</v>
      </c>
      <c r="J177" t="s">
        <v>312</v>
      </c>
      <c r="K177">
        <v>10748.41</v>
      </c>
      <c r="L177" s="166">
        <v>10747.4293</v>
      </c>
      <c r="M177">
        <v>0.98</v>
      </c>
      <c r="N177">
        <v>0.1</v>
      </c>
      <c r="O177" s="8">
        <v>1</v>
      </c>
      <c r="P177">
        <v>10747.41</v>
      </c>
      <c r="Q177" s="166">
        <v>1.9300000000000001E-2</v>
      </c>
      <c r="R177" s="174" t="s">
        <v>1142</v>
      </c>
      <c r="S177">
        <v>100</v>
      </c>
      <c r="T177">
        <v>3100</v>
      </c>
      <c r="U177" t="s">
        <v>78</v>
      </c>
      <c r="V177" t="s">
        <v>1082</v>
      </c>
      <c r="W177">
        <v>0</v>
      </c>
      <c r="X177" t="s">
        <v>43</v>
      </c>
      <c r="Y177" t="s">
        <v>294</v>
      </c>
      <c r="Z177">
        <v>3900</v>
      </c>
      <c r="AC177" s="4" t="s">
        <v>805</v>
      </c>
      <c r="AD177" s="8">
        <v>1910000</v>
      </c>
      <c r="AE177" s="4" t="s">
        <v>808</v>
      </c>
      <c r="AF177" s="8">
        <v>1910008</v>
      </c>
      <c r="AG177" s="4" t="s">
        <v>810</v>
      </c>
      <c r="AH177" s="8">
        <v>1910008</v>
      </c>
    </row>
    <row r="178" spans="1:34" x14ac:dyDescent="0.25">
      <c r="A178" s="176" t="s">
        <v>1363</v>
      </c>
      <c r="B178" t="s">
        <v>87</v>
      </c>
      <c r="C178" t="s">
        <v>278</v>
      </c>
      <c r="D178" t="s">
        <v>414</v>
      </c>
      <c r="E178" t="s">
        <v>291</v>
      </c>
      <c r="F178" t="s">
        <v>30</v>
      </c>
      <c r="G178" t="s">
        <v>30</v>
      </c>
      <c r="H178" t="s">
        <v>37</v>
      </c>
      <c r="I178" t="s">
        <v>66</v>
      </c>
      <c r="J178" t="s">
        <v>312</v>
      </c>
      <c r="K178">
        <v>16122.61</v>
      </c>
      <c r="L178" s="166">
        <v>16121.629300000001</v>
      </c>
      <c r="M178">
        <v>0.98</v>
      </c>
      <c r="N178">
        <v>0.1</v>
      </c>
      <c r="O178" s="8">
        <v>1</v>
      </c>
      <c r="P178">
        <v>16121.61</v>
      </c>
      <c r="Q178" s="166">
        <v>1.9300000000000001E-2</v>
      </c>
      <c r="R178" s="174" t="s">
        <v>1142</v>
      </c>
      <c r="S178">
        <v>100</v>
      </c>
      <c r="T178">
        <v>2100</v>
      </c>
      <c r="U178" t="s">
        <v>78</v>
      </c>
      <c r="V178" t="s">
        <v>1082</v>
      </c>
      <c r="W178">
        <v>0</v>
      </c>
      <c r="X178" t="s">
        <v>43</v>
      </c>
      <c r="Y178" t="s">
        <v>294</v>
      </c>
      <c r="Z178">
        <v>2700</v>
      </c>
      <c r="AC178" s="4" t="s">
        <v>805</v>
      </c>
      <c r="AD178" s="8">
        <v>1910000</v>
      </c>
      <c r="AE178" s="4" t="s">
        <v>808</v>
      </c>
      <c r="AF178" s="8">
        <v>1910008</v>
      </c>
      <c r="AG178" s="4" t="s">
        <v>810</v>
      </c>
      <c r="AH178" s="8">
        <v>1910008</v>
      </c>
    </row>
    <row r="179" spans="1:34" x14ac:dyDescent="0.25">
      <c r="A179" s="176" t="s">
        <v>1364</v>
      </c>
      <c r="B179" t="s">
        <v>87</v>
      </c>
      <c r="C179" t="s">
        <v>278</v>
      </c>
      <c r="D179" t="s">
        <v>415</v>
      </c>
      <c r="E179" t="s">
        <v>291</v>
      </c>
      <c r="F179" t="s">
        <v>30</v>
      </c>
      <c r="G179" t="s">
        <v>30</v>
      </c>
      <c r="H179" t="s">
        <v>37</v>
      </c>
      <c r="I179" t="s">
        <v>66</v>
      </c>
      <c r="J179" t="s">
        <v>312</v>
      </c>
      <c r="K179">
        <v>13435.51</v>
      </c>
      <c r="L179" s="166">
        <v>13434.5293</v>
      </c>
      <c r="M179">
        <v>0.98</v>
      </c>
      <c r="N179">
        <v>0.1</v>
      </c>
      <c r="O179" s="8">
        <v>1</v>
      </c>
      <c r="P179">
        <v>13434.51</v>
      </c>
      <c r="Q179" s="166">
        <v>1.9300000000000001E-2</v>
      </c>
      <c r="R179" s="174" t="s">
        <v>1142</v>
      </c>
      <c r="S179">
        <v>100</v>
      </c>
      <c r="T179">
        <v>900</v>
      </c>
      <c r="U179" t="s">
        <v>78</v>
      </c>
      <c r="V179" t="s">
        <v>1082</v>
      </c>
      <c r="W179">
        <v>0</v>
      </c>
      <c r="X179" t="s">
        <v>43</v>
      </c>
      <c r="Y179" t="s">
        <v>294</v>
      </c>
      <c r="Z179">
        <v>1100</v>
      </c>
      <c r="AC179" s="4" t="s">
        <v>805</v>
      </c>
      <c r="AD179" s="8">
        <v>1910000</v>
      </c>
      <c r="AE179" s="4" t="s">
        <v>808</v>
      </c>
      <c r="AF179" s="8">
        <v>1910008</v>
      </c>
      <c r="AG179" s="4" t="s">
        <v>810</v>
      </c>
      <c r="AH179" s="8">
        <v>1910008</v>
      </c>
    </row>
    <row r="180" spans="1:34" x14ac:dyDescent="0.25">
      <c r="A180" s="176" t="s">
        <v>1365</v>
      </c>
      <c r="B180" t="s">
        <v>87</v>
      </c>
      <c r="C180" t="s">
        <v>278</v>
      </c>
      <c r="D180" t="s">
        <v>416</v>
      </c>
      <c r="E180" t="s">
        <v>291</v>
      </c>
      <c r="F180" t="s">
        <v>30</v>
      </c>
      <c r="G180" t="s">
        <v>30</v>
      </c>
      <c r="H180" t="s">
        <v>37</v>
      </c>
      <c r="I180" t="s">
        <v>260</v>
      </c>
      <c r="J180" t="s">
        <v>312</v>
      </c>
      <c r="K180">
        <v>1828.3</v>
      </c>
      <c r="L180" s="166">
        <v>1827.3192999999999</v>
      </c>
      <c r="M180">
        <v>0.98</v>
      </c>
      <c r="N180">
        <v>0.1</v>
      </c>
      <c r="O180" s="8">
        <v>1</v>
      </c>
      <c r="P180">
        <v>1827.3</v>
      </c>
      <c r="Q180" s="166">
        <v>1.9300000000000001E-2</v>
      </c>
      <c r="R180" s="174" t="s">
        <v>1142</v>
      </c>
      <c r="S180">
        <v>100</v>
      </c>
      <c r="T180">
        <v>900</v>
      </c>
      <c r="U180" t="s">
        <v>78</v>
      </c>
      <c r="V180" t="s">
        <v>1082</v>
      </c>
      <c r="W180">
        <v>0</v>
      </c>
      <c r="X180" t="s">
        <v>43</v>
      </c>
      <c r="Y180" t="s">
        <v>294</v>
      </c>
      <c r="Z180">
        <v>1100</v>
      </c>
      <c r="AC180" s="4" t="s">
        <v>805</v>
      </c>
      <c r="AD180" s="8">
        <v>1910000</v>
      </c>
      <c r="AE180" s="4" t="s">
        <v>808</v>
      </c>
      <c r="AF180" s="8">
        <v>1910008</v>
      </c>
      <c r="AG180" s="4" t="s">
        <v>810</v>
      </c>
      <c r="AH180" s="8">
        <v>1910008</v>
      </c>
    </row>
    <row r="181" spans="1:34" x14ac:dyDescent="0.25">
      <c r="A181" s="176" t="s">
        <v>1366</v>
      </c>
      <c r="B181" t="s">
        <v>87</v>
      </c>
      <c r="C181" t="s">
        <v>278</v>
      </c>
      <c r="D181" t="s">
        <v>417</v>
      </c>
      <c r="E181" t="s">
        <v>291</v>
      </c>
      <c r="F181" t="s">
        <v>30</v>
      </c>
      <c r="G181" t="s">
        <v>30</v>
      </c>
      <c r="H181" t="s">
        <v>37</v>
      </c>
      <c r="I181" t="s">
        <v>260</v>
      </c>
      <c r="J181" t="s">
        <v>312</v>
      </c>
      <c r="K181">
        <v>1934.71</v>
      </c>
      <c r="L181" s="166">
        <v>1933.7293</v>
      </c>
      <c r="M181">
        <v>0.98</v>
      </c>
      <c r="N181">
        <v>0.1</v>
      </c>
      <c r="O181" s="8">
        <v>1</v>
      </c>
      <c r="P181">
        <v>1933.71</v>
      </c>
      <c r="Q181" s="166">
        <v>1.9300000000000001E-2</v>
      </c>
      <c r="R181" s="174" t="s">
        <v>1142</v>
      </c>
      <c r="S181">
        <v>100</v>
      </c>
      <c r="T181">
        <v>1100</v>
      </c>
      <c r="U181" t="s">
        <v>78</v>
      </c>
      <c r="V181" t="s">
        <v>1082</v>
      </c>
      <c r="W181">
        <v>0</v>
      </c>
      <c r="X181" t="s">
        <v>43</v>
      </c>
      <c r="Y181" t="s">
        <v>294</v>
      </c>
      <c r="Z181">
        <v>1400</v>
      </c>
      <c r="AC181" s="4" t="s">
        <v>805</v>
      </c>
      <c r="AD181" s="8">
        <v>1910000</v>
      </c>
      <c r="AE181" s="4" t="s">
        <v>808</v>
      </c>
      <c r="AF181" s="8">
        <v>1910008</v>
      </c>
      <c r="AG181" s="4" t="s">
        <v>810</v>
      </c>
      <c r="AH181" s="8">
        <v>1910008</v>
      </c>
    </row>
    <row r="182" spans="1:34" x14ac:dyDescent="0.25">
      <c r="A182" s="176" t="s">
        <v>1367</v>
      </c>
      <c r="B182" t="s">
        <v>87</v>
      </c>
      <c r="C182" t="s">
        <v>278</v>
      </c>
      <c r="D182" t="s">
        <v>418</v>
      </c>
      <c r="E182" t="s">
        <v>291</v>
      </c>
      <c r="F182" t="s">
        <v>30</v>
      </c>
      <c r="G182" t="s">
        <v>30</v>
      </c>
      <c r="H182" t="s">
        <v>37</v>
      </c>
      <c r="I182" t="s">
        <v>260</v>
      </c>
      <c r="J182" t="s">
        <v>312</v>
      </c>
      <c r="K182">
        <v>825.48</v>
      </c>
      <c r="L182" s="166">
        <v>824.49930000000006</v>
      </c>
      <c r="M182">
        <v>0.98</v>
      </c>
      <c r="N182">
        <v>0.1</v>
      </c>
      <c r="O182" s="8">
        <v>1</v>
      </c>
      <c r="P182">
        <v>824.48</v>
      </c>
      <c r="Q182" s="166">
        <v>1.9300000000000001E-2</v>
      </c>
      <c r="R182" s="174" t="s">
        <v>1142</v>
      </c>
      <c r="S182">
        <v>100</v>
      </c>
      <c r="T182">
        <v>900</v>
      </c>
      <c r="U182" t="s">
        <v>78</v>
      </c>
      <c r="V182" t="s">
        <v>1082</v>
      </c>
      <c r="W182">
        <v>0</v>
      </c>
      <c r="X182" t="s">
        <v>43</v>
      </c>
      <c r="Y182" t="s">
        <v>294</v>
      </c>
      <c r="Z182">
        <v>1100</v>
      </c>
      <c r="AC182" s="4" t="s">
        <v>805</v>
      </c>
      <c r="AD182" s="8">
        <v>1910000</v>
      </c>
      <c r="AE182" s="4" t="s">
        <v>808</v>
      </c>
      <c r="AF182" s="8">
        <v>1910008</v>
      </c>
      <c r="AG182" s="4" t="s">
        <v>810</v>
      </c>
      <c r="AH182" s="8">
        <v>1910008</v>
      </c>
    </row>
    <row r="183" spans="1:34" x14ac:dyDescent="0.25">
      <c r="A183" s="176" t="s">
        <v>1368</v>
      </c>
      <c r="B183" t="s">
        <v>87</v>
      </c>
      <c r="C183" t="s">
        <v>278</v>
      </c>
      <c r="D183" t="s">
        <v>419</v>
      </c>
      <c r="E183" t="s">
        <v>291</v>
      </c>
      <c r="F183" t="s">
        <v>30</v>
      </c>
      <c r="G183" t="s">
        <v>30</v>
      </c>
      <c r="H183" t="s">
        <v>37</v>
      </c>
      <c r="I183" t="s">
        <v>260</v>
      </c>
      <c r="J183" t="s">
        <v>312</v>
      </c>
      <c r="K183">
        <v>2144.5100000000002</v>
      </c>
      <c r="L183" s="166">
        <v>2143.5293000000001</v>
      </c>
      <c r="M183">
        <v>0.98</v>
      </c>
      <c r="N183">
        <v>0.1</v>
      </c>
      <c r="O183" s="8">
        <v>1</v>
      </c>
      <c r="P183">
        <v>2143.5100000000002</v>
      </c>
      <c r="Q183" s="166">
        <v>1.9300000000000001E-2</v>
      </c>
      <c r="R183" s="174" t="s">
        <v>1142</v>
      </c>
      <c r="S183">
        <v>100</v>
      </c>
      <c r="T183">
        <v>900</v>
      </c>
      <c r="U183" t="s">
        <v>78</v>
      </c>
      <c r="V183" t="s">
        <v>1082</v>
      </c>
      <c r="W183">
        <v>0</v>
      </c>
      <c r="X183" t="s">
        <v>43</v>
      </c>
      <c r="Y183" t="s">
        <v>294</v>
      </c>
      <c r="Z183">
        <v>1100</v>
      </c>
      <c r="AC183" s="4" t="s">
        <v>805</v>
      </c>
      <c r="AD183" s="8">
        <v>1910000</v>
      </c>
      <c r="AE183" s="4" t="s">
        <v>808</v>
      </c>
      <c r="AF183" s="8">
        <v>1910008</v>
      </c>
      <c r="AG183" s="4" t="s">
        <v>810</v>
      </c>
      <c r="AH183" s="8">
        <v>1910008</v>
      </c>
    </row>
    <row r="184" spans="1:34" x14ac:dyDescent="0.25">
      <c r="A184" s="176" t="s">
        <v>1369</v>
      </c>
      <c r="B184" t="s">
        <v>87</v>
      </c>
      <c r="C184" t="s">
        <v>278</v>
      </c>
      <c r="D184" t="s">
        <v>420</v>
      </c>
      <c r="E184" t="s">
        <v>291</v>
      </c>
      <c r="F184" t="s">
        <v>30</v>
      </c>
      <c r="G184" t="s">
        <v>30</v>
      </c>
      <c r="H184" t="s">
        <v>37</v>
      </c>
      <c r="I184" t="s">
        <v>260</v>
      </c>
      <c r="J184" t="s">
        <v>312</v>
      </c>
      <c r="K184">
        <v>1860.55</v>
      </c>
      <c r="L184" s="166">
        <v>1859.5692999999999</v>
      </c>
      <c r="M184">
        <v>0.98</v>
      </c>
      <c r="N184">
        <v>0.1</v>
      </c>
      <c r="O184" s="8">
        <v>1</v>
      </c>
      <c r="P184">
        <v>1859.55</v>
      </c>
      <c r="Q184" s="166">
        <v>1.9300000000000001E-2</v>
      </c>
      <c r="R184" s="174" t="s">
        <v>1142</v>
      </c>
      <c r="S184">
        <v>100</v>
      </c>
      <c r="T184">
        <v>900</v>
      </c>
      <c r="U184" t="s">
        <v>78</v>
      </c>
      <c r="V184" t="s">
        <v>1082</v>
      </c>
      <c r="W184">
        <v>0</v>
      </c>
      <c r="X184" t="s">
        <v>43</v>
      </c>
      <c r="Y184" t="s">
        <v>294</v>
      </c>
      <c r="Z184">
        <v>1100</v>
      </c>
      <c r="AC184" s="4" t="s">
        <v>805</v>
      </c>
      <c r="AD184" s="8">
        <v>1910000</v>
      </c>
      <c r="AE184" s="4" t="s">
        <v>808</v>
      </c>
      <c r="AF184" s="8">
        <v>1910008</v>
      </c>
      <c r="AG184" s="4" t="s">
        <v>810</v>
      </c>
      <c r="AH184" s="8">
        <v>1910008</v>
      </c>
    </row>
    <row r="185" spans="1:34" x14ac:dyDescent="0.25">
      <c r="A185" s="176" t="s">
        <v>1370</v>
      </c>
      <c r="B185" t="s">
        <v>87</v>
      </c>
      <c r="C185" t="s">
        <v>278</v>
      </c>
      <c r="D185" t="s">
        <v>421</v>
      </c>
      <c r="E185" t="s">
        <v>291</v>
      </c>
      <c r="F185" t="s">
        <v>30</v>
      </c>
      <c r="G185" t="s">
        <v>30</v>
      </c>
      <c r="H185" t="s">
        <v>37</v>
      </c>
      <c r="I185" t="s">
        <v>260</v>
      </c>
      <c r="J185" t="s">
        <v>312</v>
      </c>
      <c r="K185">
        <v>1892.79</v>
      </c>
      <c r="L185" s="166">
        <v>1891.8092999999999</v>
      </c>
      <c r="M185">
        <v>0.98</v>
      </c>
      <c r="N185">
        <v>0.1</v>
      </c>
      <c r="O185" s="8">
        <v>1</v>
      </c>
      <c r="P185">
        <v>1891.79</v>
      </c>
      <c r="Q185" s="166">
        <v>1.9300000000000001E-2</v>
      </c>
      <c r="R185" s="174" t="s">
        <v>1142</v>
      </c>
      <c r="S185">
        <v>100</v>
      </c>
      <c r="T185">
        <v>900</v>
      </c>
      <c r="U185" t="s">
        <v>78</v>
      </c>
      <c r="V185" t="s">
        <v>1082</v>
      </c>
      <c r="W185">
        <v>0</v>
      </c>
      <c r="X185" t="s">
        <v>43</v>
      </c>
      <c r="Y185" t="s">
        <v>294</v>
      </c>
      <c r="Z185">
        <v>1100</v>
      </c>
      <c r="AC185" s="4" t="s">
        <v>805</v>
      </c>
      <c r="AD185" s="8">
        <v>1910000</v>
      </c>
      <c r="AE185" s="4" t="s">
        <v>808</v>
      </c>
      <c r="AF185" s="8">
        <v>1910008</v>
      </c>
      <c r="AG185" s="4" t="s">
        <v>810</v>
      </c>
      <c r="AH185" s="8">
        <v>1910008</v>
      </c>
    </row>
    <row r="186" spans="1:34" x14ac:dyDescent="0.25">
      <c r="A186" s="176" t="s">
        <v>1371</v>
      </c>
      <c r="B186" t="s">
        <v>87</v>
      </c>
      <c r="C186" t="s">
        <v>278</v>
      </c>
      <c r="D186" t="s">
        <v>422</v>
      </c>
      <c r="E186" t="s">
        <v>291</v>
      </c>
      <c r="F186" t="s">
        <v>30</v>
      </c>
      <c r="G186" t="s">
        <v>30</v>
      </c>
      <c r="H186" t="s">
        <v>37</v>
      </c>
      <c r="I186" t="s">
        <v>260</v>
      </c>
      <c r="J186" t="s">
        <v>312</v>
      </c>
      <c r="K186">
        <v>1892.79</v>
      </c>
      <c r="L186" s="166">
        <v>1891.8092999999999</v>
      </c>
      <c r="M186">
        <v>0.98</v>
      </c>
      <c r="N186">
        <v>0.1</v>
      </c>
      <c r="O186" s="8">
        <v>1</v>
      </c>
      <c r="P186">
        <v>1891.79</v>
      </c>
      <c r="Q186" s="166">
        <v>1.9300000000000001E-2</v>
      </c>
      <c r="R186" s="174" t="s">
        <v>1142</v>
      </c>
      <c r="S186">
        <v>100</v>
      </c>
      <c r="T186">
        <v>900</v>
      </c>
      <c r="U186" t="s">
        <v>78</v>
      </c>
      <c r="V186" t="s">
        <v>1082</v>
      </c>
      <c r="W186">
        <v>0</v>
      </c>
      <c r="X186" t="s">
        <v>43</v>
      </c>
      <c r="Y186" t="s">
        <v>294</v>
      </c>
      <c r="Z186">
        <v>1100</v>
      </c>
      <c r="AC186" s="4" t="s">
        <v>805</v>
      </c>
      <c r="AD186" s="8">
        <v>1910000</v>
      </c>
      <c r="AE186" s="4" t="s">
        <v>808</v>
      </c>
      <c r="AF186" s="8">
        <v>1910008</v>
      </c>
      <c r="AG186" s="4" t="s">
        <v>810</v>
      </c>
      <c r="AH186" s="8">
        <v>1910008</v>
      </c>
    </row>
    <row r="187" spans="1:34" x14ac:dyDescent="0.25">
      <c r="A187" s="176" t="s">
        <v>1372</v>
      </c>
      <c r="B187" t="s">
        <v>87</v>
      </c>
      <c r="C187" t="s">
        <v>278</v>
      </c>
      <c r="D187" t="s">
        <v>423</v>
      </c>
      <c r="E187" t="s">
        <v>291</v>
      </c>
      <c r="F187" t="s">
        <v>30</v>
      </c>
      <c r="G187" t="s">
        <v>30</v>
      </c>
      <c r="H187" t="s">
        <v>37</v>
      </c>
      <c r="I187" t="s">
        <v>260</v>
      </c>
      <c r="J187" t="s">
        <v>312</v>
      </c>
      <c r="K187">
        <v>1860.55</v>
      </c>
      <c r="L187" s="166">
        <v>1859.5692999999999</v>
      </c>
      <c r="M187">
        <v>0.98</v>
      </c>
      <c r="N187">
        <v>0.1</v>
      </c>
      <c r="O187" s="8">
        <v>1</v>
      </c>
      <c r="P187">
        <v>1859.55</v>
      </c>
      <c r="Q187" s="166">
        <v>1.9300000000000001E-2</v>
      </c>
      <c r="R187" s="174" t="s">
        <v>1142</v>
      </c>
      <c r="S187">
        <v>100</v>
      </c>
      <c r="T187">
        <v>900</v>
      </c>
      <c r="U187" t="s">
        <v>78</v>
      </c>
      <c r="V187" t="s">
        <v>1082</v>
      </c>
      <c r="W187">
        <v>0</v>
      </c>
      <c r="X187" t="s">
        <v>43</v>
      </c>
      <c r="Y187" t="s">
        <v>294</v>
      </c>
      <c r="Z187">
        <v>1100</v>
      </c>
      <c r="AC187" s="4" t="s">
        <v>805</v>
      </c>
      <c r="AD187" s="8">
        <v>1910000</v>
      </c>
      <c r="AE187" s="4" t="s">
        <v>808</v>
      </c>
      <c r="AF187" s="8">
        <v>1910008</v>
      </c>
      <c r="AG187" s="4" t="s">
        <v>810</v>
      </c>
      <c r="AH187" s="8">
        <v>1910008</v>
      </c>
    </row>
    <row r="188" spans="1:34" x14ac:dyDescent="0.25">
      <c r="A188" s="176" t="s">
        <v>1373</v>
      </c>
      <c r="B188" t="s">
        <v>87</v>
      </c>
      <c r="C188" t="s">
        <v>278</v>
      </c>
      <c r="D188" t="s">
        <v>424</v>
      </c>
      <c r="E188" t="s">
        <v>291</v>
      </c>
      <c r="F188" t="s">
        <v>30</v>
      </c>
      <c r="G188" t="s">
        <v>30</v>
      </c>
      <c r="H188" t="s">
        <v>37</v>
      </c>
      <c r="I188" t="s">
        <v>260</v>
      </c>
      <c r="J188" t="s">
        <v>312</v>
      </c>
      <c r="K188">
        <v>2050.8000000000002</v>
      </c>
      <c r="L188" s="166">
        <v>2049.8193000000001</v>
      </c>
      <c r="M188">
        <v>0.98</v>
      </c>
      <c r="N188">
        <v>0.1</v>
      </c>
      <c r="O188" s="8">
        <v>1</v>
      </c>
      <c r="P188">
        <v>2049.8000000000002</v>
      </c>
      <c r="Q188" s="166">
        <v>1.9300000000000001E-2</v>
      </c>
      <c r="R188" s="174" t="s">
        <v>1142</v>
      </c>
      <c r="S188">
        <v>100</v>
      </c>
      <c r="T188">
        <v>900</v>
      </c>
      <c r="U188" t="s">
        <v>78</v>
      </c>
      <c r="V188" t="s">
        <v>1082</v>
      </c>
      <c r="W188">
        <v>0</v>
      </c>
      <c r="X188" t="s">
        <v>43</v>
      </c>
      <c r="Y188" t="s">
        <v>294</v>
      </c>
      <c r="Z188">
        <v>1100</v>
      </c>
      <c r="AC188" s="4" t="s">
        <v>805</v>
      </c>
      <c r="AD188" s="8">
        <v>1910000</v>
      </c>
      <c r="AE188" s="4" t="s">
        <v>808</v>
      </c>
      <c r="AF188" s="8">
        <v>1910008</v>
      </c>
      <c r="AG188" s="4" t="s">
        <v>810</v>
      </c>
      <c r="AH188" s="8">
        <v>1910008</v>
      </c>
    </row>
    <row r="189" spans="1:34" x14ac:dyDescent="0.25">
      <c r="A189" s="176" t="s">
        <v>1374</v>
      </c>
      <c r="B189" t="s">
        <v>87</v>
      </c>
      <c r="C189" t="s">
        <v>278</v>
      </c>
      <c r="D189" t="s">
        <v>425</v>
      </c>
      <c r="E189" t="s">
        <v>291</v>
      </c>
      <c r="F189" t="s">
        <v>30</v>
      </c>
      <c r="G189" t="s">
        <v>30</v>
      </c>
      <c r="H189" t="s">
        <v>37</v>
      </c>
      <c r="I189" t="s">
        <v>260</v>
      </c>
      <c r="J189" t="s">
        <v>312</v>
      </c>
      <c r="K189">
        <v>2131.41</v>
      </c>
      <c r="L189" s="166">
        <v>2130.4292999999998</v>
      </c>
      <c r="M189">
        <v>0.98</v>
      </c>
      <c r="N189">
        <v>0.1</v>
      </c>
      <c r="O189" s="8">
        <v>1</v>
      </c>
      <c r="P189">
        <v>2130.41</v>
      </c>
      <c r="Q189" s="166">
        <v>1.9300000000000001E-2</v>
      </c>
      <c r="R189" s="174" t="s">
        <v>1142</v>
      </c>
      <c r="S189">
        <v>100</v>
      </c>
      <c r="T189">
        <v>1100</v>
      </c>
      <c r="U189" t="s">
        <v>78</v>
      </c>
      <c r="V189" t="s">
        <v>1082</v>
      </c>
      <c r="W189">
        <v>0</v>
      </c>
      <c r="X189" t="s">
        <v>43</v>
      </c>
      <c r="Y189" t="s">
        <v>294</v>
      </c>
      <c r="Z189">
        <v>1400</v>
      </c>
      <c r="AC189" s="4" t="s">
        <v>805</v>
      </c>
      <c r="AD189" s="8">
        <v>1910000</v>
      </c>
      <c r="AE189" s="4" t="s">
        <v>808</v>
      </c>
      <c r="AF189" s="8">
        <v>1910008</v>
      </c>
      <c r="AG189" s="4" t="s">
        <v>810</v>
      </c>
      <c r="AH189" s="8">
        <v>1910008</v>
      </c>
    </row>
    <row r="190" spans="1:34" x14ac:dyDescent="0.25">
      <c r="A190" s="176" t="s">
        <v>1375</v>
      </c>
      <c r="B190" t="s">
        <v>87</v>
      </c>
      <c r="C190" t="s">
        <v>278</v>
      </c>
      <c r="D190" t="s">
        <v>426</v>
      </c>
      <c r="E190" t="s">
        <v>291</v>
      </c>
      <c r="F190" t="s">
        <v>30</v>
      </c>
      <c r="G190" t="s">
        <v>30</v>
      </c>
      <c r="H190" t="s">
        <v>37</v>
      </c>
      <c r="I190" t="s">
        <v>260</v>
      </c>
      <c r="J190" t="s">
        <v>312</v>
      </c>
      <c r="K190">
        <v>1934.71</v>
      </c>
      <c r="L190" s="166">
        <v>1933.7293</v>
      </c>
      <c r="M190">
        <v>0.98</v>
      </c>
      <c r="N190">
        <v>0.1</v>
      </c>
      <c r="O190" s="8">
        <v>1</v>
      </c>
      <c r="P190">
        <v>1933.71</v>
      </c>
      <c r="Q190" s="166">
        <v>1.9300000000000001E-2</v>
      </c>
      <c r="R190" s="174" t="s">
        <v>1142</v>
      </c>
      <c r="S190">
        <v>100</v>
      </c>
      <c r="T190">
        <v>900</v>
      </c>
      <c r="U190" t="s">
        <v>78</v>
      </c>
      <c r="V190" t="s">
        <v>1082</v>
      </c>
      <c r="W190">
        <v>0</v>
      </c>
      <c r="X190" t="s">
        <v>43</v>
      </c>
      <c r="Y190" t="s">
        <v>294</v>
      </c>
      <c r="Z190">
        <v>1100</v>
      </c>
      <c r="AC190" s="4" t="s">
        <v>805</v>
      </c>
      <c r="AD190" s="8">
        <v>1910000</v>
      </c>
      <c r="AE190" s="4" t="s">
        <v>808</v>
      </c>
      <c r="AF190" s="8">
        <v>1910008</v>
      </c>
      <c r="AG190" s="4" t="s">
        <v>810</v>
      </c>
      <c r="AH190" s="8">
        <v>1910008</v>
      </c>
    </row>
    <row r="191" spans="1:34" x14ac:dyDescent="0.25">
      <c r="A191" s="176" t="s">
        <v>1376</v>
      </c>
      <c r="B191" t="s">
        <v>87</v>
      </c>
      <c r="C191" t="s">
        <v>278</v>
      </c>
      <c r="D191" t="s">
        <v>427</v>
      </c>
      <c r="E191" t="s">
        <v>291</v>
      </c>
      <c r="F191" t="s">
        <v>30</v>
      </c>
      <c r="G191" t="s">
        <v>30</v>
      </c>
      <c r="H191" t="s">
        <v>37</v>
      </c>
      <c r="I191" t="s">
        <v>260</v>
      </c>
      <c r="J191" t="s">
        <v>312</v>
      </c>
      <c r="K191">
        <v>831.93</v>
      </c>
      <c r="L191" s="166">
        <v>830.94929999999999</v>
      </c>
      <c r="M191">
        <v>0.98</v>
      </c>
      <c r="N191">
        <v>0.1</v>
      </c>
      <c r="O191" s="8">
        <v>1</v>
      </c>
      <c r="P191">
        <v>830.93</v>
      </c>
      <c r="Q191" s="166">
        <v>1.9300000000000001E-2</v>
      </c>
      <c r="R191" s="174" t="s">
        <v>1142</v>
      </c>
      <c r="S191">
        <v>100</v>
      </c>
      <c r="T191">
        <v>900</v>
      </c>
      <c r="U191" t="s">
        <v>78</v>
      </c>
      <c r="V191" t="s">
        <v>1082</v>
      </c>
      <c r="W191">
        <v>0</v>
      </c>
      <c r="X191" t="s">
        <v>43</v>
      </c>
      <c r="Y191" t="s">
        <v>294</v>
      </c>
      <c r="Z191">
        <v>1100</v>
      </c>
      <c r="AC191" s="4" t="s">
        <v>805</v>
      </c>
      <c r="AD191" s="8">
        <v>1910000</v>
      </c>
      <c r="AE191" s="4" t="s">
        <v>808</v>
      </c>
      <c r="AF191" s="8">
        <v>1910008</v>
      </c>
      <c r="AG191" s="4" t="s">
        <v>810</v>
      </c>
      <c r="AH191" s="8">
        <v>1910008</v>
      </c>
    </row>
    <row r="192" spans="1:34" x14ac:dyDescent="0.25">
      <c r="A192" s="176" t="s">
        <v>1377</v>
      </c>
      <c r="B192" t="s">
        <v>87</v>
      </c>
      <c r="C192" t="s">
        <v>278</v>
      </c>
      <c r="D192" t="s">
        <v>428</v>
      </c>
      <c r="E192" t="s">
        <v>291</v>
      </c>
      <c r="F192" t="s">
        <v>30</v>
      </c>
      <c r="G192" t="s">
        <v>30</v>
      </c>
      <c r="H192" t="s">
        <v>37</v>
      </c>
      <c r="I192" t="s">
        <v>260</v>
      </c>
      <c r="J192" t="s">
        <v>312</v>
      </c>
      <c r="K192">
        <v>580.41</v>
      </c>
      <c r="L192" s="166">
        <v>579.42930000000001</v>
      </c>
      <c r="M192">
        <v>0.98</v>
      </c>
      <c r="N192">
        <v>0.1</v>
      </c>
      <c r="O192" s="8">
        <v>1</v>
      </c>
      <c r="P192">
        <v>579.41</v>
      </c>
      <c r="Q192" s="166">
        <v>1.9300000000000001E-2</v>
      </c>
      <c r="R192" s="174" t="s">
        <v>1142</v>
      </c>
      <c r="S192">
        <v>100</v>
      </c>
      <c r="T192">
        <v>200</v>
      </c>
      <c r="U192" t="s">
        <v>78</v>
      </c>
      <c r="V192" t="s">
        <v>1082</v>
      </c>
      <c r="W192">
        <v>0</v>
      </c>
      <c r="X192" t="s">
        <v>43</v>
      </c>
      <c r="Y192" t="s">
        <v>294</v>
      </c>
      <c r="Z192">
        <v>300</v>
      </c>
      <c r="AC192" s="4" t="s">
        <v>805</v>
      </c>
      <c r="AD192" s="8">
        <v>1910000</v>
      </c>
      <c r="AE192" s="4" t="s">
        <v>808</v>
      </c>
      <c r="AF192" s="8">
        <v>1910008</v>
      </c>
      <c r="AG192" s="4" t="s">
        <v>810</v>
      </c>
      <c r="AH192" s="8">
        <v>1910008</v>
      </c>
    </row>
    <row r="193" spans="1:34" x14ac:dyDescent="0.25">
      <c r="A193" s="176" t="s">
        <v>1378</v>
      </c>
      <c r="B193" t="s">
        <v>87</v>
      </c>
      <c r="C193" t="s">
        <v>278</v>
      </c>
      <c r="D193" t="s">
        <v>429</v>
      </c>
      <c r="E193" t="s">
        <v>291</v>
      </c>
      <c r="F193" t="s">
        <v>30</v>
      </c>
      <c r="G193" t="s">
        <v>30</v>
      </c>
      <c r="H193" t="s">
        <v>37</v>
      </c>
      <c r="I193" t="s">
        <v>260</v>
      </c>
      <c r="J193" t="s">
        <v>312</v>
      </c>
      <c r="K193">
        <v>580.41</v>
      </c>
      <c r="L193" s="166">
        <v>579.42930000000001</v>
      </c>
      <c r="M193">
        <v>0.98</v>
      </c>
      <c r="N193">
        <v>0.1</v>
      </c>
      <c r="O193" s="8">
        <v>1</v>
      </c>
      <c r="P193">
        <v>579.41</v>
      </c>
      <c r="Q193" s="166">
        <v>1.9300000000000001E-2</v>
      </c>
      <c r="R193" s="174" t="s">
        <v>1142</v>
      </c>
      <c r="S193">
        <v>100</v>
      </c>
      <c r="T193">
        <v>200</v>
      </c>
      <c r="U193" t="s">
        <v>78</v>
      </c>
      <c r="V193" t="s">
        <v>1082</v>
      </c>
      <c r="W193">
        <v>0</v>
      </c>
      <c r="X193" t="s">
        <v>43</v>
      </c>
      <c r="Y193" t="s">
        <v>294</v>
      </c>
      <c r="Z193">
        <v>300</v>
      </c>
      <c r="AC193" s="4" t="s">
        <v>805</v>
      </c>
      <c r="AD193" s="8">
        <v>1910000</v>
      </c>
      <c r="AE193" s="4" t="s">
        <v>808</v>
      </c>
      <c r="AF193" s="8">
        <v>1910008</v>
      </c>
      <c r="AG193" s="4" t="s">
        <v>810</v>
      </c>
      <c r="AH193" s="8">
        <v>1910008</v>
      </c>
    </row>
    <row r="194" spans="1:34" x14ac:dyDescent="0.25">
      <c r="A194" s="176" t="s">
        <v>1379</v>
      </c>
      <c r="B194" t="s">
        <v>87</v>
      </c>
      <c r="C194" t="s">
        <v>278</v>
      </c>
      <c r="D194" t="s">
        <v>430</v>
      </c>
      <c r="E194" t="s">
        <v>291</v>
      </c>
      <c r="F194" t="s">
        <v>30</v>
      </c>
      <c r="G194" t="s">
        <v>30</v>
      </c>
      <c r="H194" t="s">
        <v>37</v>
      </c>
      <c r="I194" t="s">
        <v>260</v>
      </c>
      <c r="J194" t="s">
        <v>312</v>
      </c>
      <c r="K194">
        <v>1451.04</v>
      </c>
      <c r="L194" s="166">
        <v>1450.0592999999999</v>
      </c>
      <c r="M194">
        <v>0.98</v>
      </c>
      <c r="N194">
        <v>0.1</v>
      </c>
      <c r="O194" s="8">
        <v>1</v>
      </c>
      <c r="P194">
        <v>1450.04</v>
      </c>
      <c r="Q194" s="166">
        <v>1.9300000000000001E-2</v>
      </c>
      <c r="R194" s="174" t="s">
        <v>1142</v>
      </c>
      <c r="S194">
        <v>100</v>
      </c>
      <c r="T194">
        <v>800</v>
      </c>
      <c r="U194" t="s">
        <v>78</v>
      </c>
      <c r="V194" t="s">
        <v>1082</v>
      </c>
      <c r="W194">
        <v>0</v>
      </c>
      <c r="X194" t="s">
        <v>43</v>
      </c>
      <c r="Y194" t="s">
        <v>294</v>
      </c>
      <c r="Z194">
        <v>1000</v>
      </c>
      <c r="AC194" s="4" t="s">
        <v>805</v>
      </c>
      <c r="AD194" s="8">
        <v>1910000</v>
      </c>
      <c r="AE194" s="4" t="s">
        <v>808</v>
      </c>
      <c r="AF194" s="8">
        <v>1910008</v>
      </c>
      <c r="AG194" s="4" t="s">
        <v>810</v>
      </c>
      <c r="AH194" s="8">
        <v>1910008</v>
      </c>
    </row>
    <row r="195" spans="1:34" x14ac:dyDescent="0.25">
      <c r="A195" s="176" t="s">
        <v>1380</v>
      </c>
      <c r="B195" t="s">
        <v>87</v>
      </c>
      <c r="C195" t="s">
        <v>278</v>
      </c>
      <c r="D195" t="s">
        <v>431</v>
      </c>
      <c r="E195" t="s">
        <v>291</v>
      </c>
      <c r="F195" t="s">
        <v>30</v>
      </c>
      <c r="G195" t="s">
        <v>30</v>
      </c>
      <c r="H195" t="s">
        <v>37</v>
      </c>
      <c r="I195" t="s">
        <v>260</v>
      </c>
      <c r="J195" t="s">
        <v>312</v>
      </c>
      <c r="K195">
        <v>870.62</v>
      </c>
      <c r="L195" s="166">
        <v>869.63930000000005</v>
      </c>
      <c r="M195">
        <v>0.98</v>
      </c>
      <c r="N195">
        <v>0.1</v>
      </c>
      <c r="O195" s="8">
        <v>1</v>
      </c>
      <c r="P195">
        <v>869.62</v>
      </c>
      <c r="Q195" s="166">
        <v>1.9300000000000001E-2</v>
      </c>
      <c r="R195" s="174" t="s">
        <v>1142</v>
      </c>
      <c r="S195">
        <v>100</v>
      </c>
      <c r="T195">
        <v>400</v>
      </c>
      <c r="U195" t="s">
        <v>78</v>
      </c>
      <c r="V195" t="s">
        <v>1082</v>
      </c>
      <c r="W195">
        <v>0</v>
      </c>
      <c r="X195" t="s">
        <v>43</v>
      </c>
      <c r="Y195" t="s">
        <v>294</v>
      </c>
      <c r="Z195">
        <v>500</v>
      </c>
      <c r="AC195" s="4" t="s">
        <v>805</v>
      </c>
      <c r="AD195" s="8">
        <v>1910000</v>
      </c>
      <c r="AE195" s="4" t="s">
        <v>808</v>
      </c>
      <c r="AF195" s="8">
        <v>1910008</v>
      </c>
      <c r="AG195" s="4" t="s">
        <v>810</v>
      </c>
      <c r="AH195" s="8">
        <v>1910008</v>
      </c>
    </row>
    <row r="196" spans="1:34" x14ac:dyDescent="0.25">
      <c r="A196" s="176" t="s">
        <v>1381</v>
      </c>
      <c r="B196" t="s">
        <v>87</v>
      </c>
      <c r="C196" t="s">
        <v>278</v>
      </c>
      <c r="D196" t="s">
        <v>432</v>
      </c>
      <c r="E196" t="s">
        <v>291</v>
      </c>
      <c r="F196" t="s">
        <v>30</v>
      </c>
      <c r="G196" t="s">
        <v>30</v>
      </c>
      <c r="H196" t="s">
        <v>37</v>
      </c>
      <c r="I196" t="s">
        <v>260</v>
      </c>
      <c r="J196" t="s">
        <v>312</v>
      </c>
      <c r="K196">
        <v>615.88</v>
      </c>
      <c r="L196" s="166">
        <v>614.89930000000004</v>
      </c>
      <c r="M196">
        <v>0.98</v>
      </c>
      <c r="N196">
        <v>0.1</v>
      </c>
      <c r="O196" s="8">
        <v>1</v>
      </c>
      <c r="P196">
        <v>614.88</v>
      </c>
      <c r="Q196" s="166">
        <v>1.9300000000000001E-2</v>
      </c>
      <c r="R196" s="174" t="s">
        <v>1142</v>
      </c>
      <c r="S196">
        <v>100</v>
      </c>
      <c r="T196">
        <v>200</v>
      </c>
      <c r="U196" t="s">
        <v>78</v>
      </c>
      <c r="V196" t="s">
        <v>1082</v>
      </c>
      <c r="W196">
        <v>0</v>
      </c>
      <c r="X196" t="s">
        <v>43</v>
      </c>
      <c r="Y196" t="s">
        <v>294</v>
      </c>
      <c r="Z196">
        <v>300</v>
      </c>
      <c r="AC196" s="4" t="s">
        <v>805</v>
      </c>
      <c r="AD196" s="8">
        <v>1910000</v>
      </c>
      <c r="AE196" s="4" t="s">
        <v>808</v>
      </c>
      <c r="AF196" s="8">
        <v>1910008</v>
      </c>
      <c r="AG196" s="4" t="s">
        <v>810</v>
      </c>
      <c r="AH196" s="8">
        <v>1910008</v>
      </c>
    </row>
    <row r="197" spans="1:34" x14ac:dyDescent="0.25">
      <c r="A197" s="176" t="s">
        <v>1382</v>
      </c>
      <c r="B197" t="s">
        <v>87</v>
      </c>
      <c r="C197" t="s">
        <v>278</v>
      </c>
      <c r="D197" t="s">
        <v>433</v>
      </c>
      <c r="E197" t="s">
        <v>291</v>
      </c>
      <c r="F197" t="s">
        <v>30</v>
      </c>
      <c r="G197" t="s">
        <v>30</v>
      </c>
      <c r="H197" t="s">
        <v>37</v>
      </c>
      <c r="I197" t="s">
        <v>260</v>
      </c>
      <c r="J197" t="s">
        <v>312</v>
      </c>
      <c r="K197">
        <v>615.88</v>
      </c>
      <c r="L197" s="166">
        <v>614.89930000000004</v>
      </c>
      <c r="M197">
        <v>0.98</v>
      </c>
      <c r="N197">
        <v>0.1</v>
      </c>
      <c r="O197" s="8">
        <v>1</v>
      </c>
      <c r="P197">
        <v>614.88</v>
      </c>
      <c r="Q197" s="166">
        <v>1.9300000000000001E-2</v>
      </c>
      <c r="R197" s="174" t="s">
        <v>1142</v>
      </c>
      <c r="S197">
        <v>100</v>
      </c>
      <c r="T197">
        <v>200</v>
      </c>
      <c r="U197" t="s">
        <v>78</v>
      </c>
      <c r="V197" t="s">
        <v>1082</v>
      </c>
      <c r="W197">
        <v>0</v>
      </c>
      <c r="X197" t="s">
        <v>43</v>
      </c>
      <c r="Y197" t="s">
        <v>294</v>
      </c>
      <c r="Z197">
        <v>300</v>
      </c>
      <c r="AC197" s="4" t="s">
        <v>805</v>
      </c>
      <c r="AD197" s="8">
        <v>1910000</v>
      </c>
      <c r="AE197" s="4" t="s">
        <v>808</v>
      </c>
      <c r="AF197" s="8">
        <v>1910008</v>
      </c>
      <c r="AG197" s="4" t="s">
        <v>810</v>
      </c>
      <c r="AH197" s="8">
        <v>1910008</v>
      </c>
    </row>
    <row r="198" spans="1:34" x14ac:dyDescent="0.25">
      <c r="A198" s="176" t="s">
        <v>1383</v>
      </c>
      <c r="B198" t="s">
        <v>87</v>
      </c>
      <c r="C198" t="s">
        <v>278</v>
      </c>
      <c r="D198" t="s">
        <v>434</v>
      </c>
      <c r="E198" t="s">
        <v>291</v>
      </c>
      <c r="F198" t="s">
        <v>30</v>
      </c>
      <c r="G198" t="s">
        <v>30</v>
      </c>
      <c r="H198" t="s">
        <v>37</v>
      </c>
      <c r="I198" t="s">
        <v>260</v>
      </c>
      <c r="J198" t="s">
        <v>312</v>
      </c>
      <c r="K198">
        <v>740.57</v>
      </c>
      <c r="L198" s="166">
        <v>739.58930000000009</v>
      </c>
      <c r="M198">
        <v>0.98</v>
      </c>
      <c r="N198">
        <v>0.1</v>
      </c>
      <c r="O198" s="8">
        <v>1</v>
      </c>
      <c r="P198">
        <v>739.57</v>
      </c>
      <c r="Q198" s="166">
        <v>1.9300000000000001E-2</v>
      </c>
      <c r="R198" s="174" t="s">
        <v>1142</v>
      </c>
      <c r="S198">
        <v>100</v>
      </c>
      <c r="T198">
        <v>600</v>
      </c>
      <c r="U198" t="s">
        <v>78</v>
      </c>
      <c r="V198" t="s">
        <v>1082</v>
      </c>
      <c r="W198">
        <v>0</v>
      </c>
      <c r="X198" t="s">
        <v>43</v>
      </c>
      <c r="Y198" t="s">
        <v>294</v>
      </c>
      <c r="Z198">
        <v>800</v>
      </c>
      <c r="AC198" s="4" t="s">
        <v>805</v>
      </c>
      <c r="AD198" s="8">
        <v>1910000</v>
      </c>
      <c r="AE198" s="4" t="s">
        <v>808</v>
      </c>
      <c r="AF198" s="8">
        <v>1910008</v>
      </c>
      <c r="AG198" s="4" t="s">
        <v>810</v>
      </c>
      <c r="AH198" s="8">
        <v>1910008</v>
      </c>
    </row>
    <row r="199" spans="1:34" x14ac:dyDescent="0.25">
      <c r="A199" s="176" t="s">
        <v>1384</v>
      </c>
      <c r="B199" t="s">
        <v>87</v>
      </c>
      <c r="C199" t="s">
        <v>278</v>
      </c>
      <c r="D199" t="s">
        <v>435</v>
      </c>
      <c r="E199" t="s">
        <v>291</v>
      </c>
      <c r="F199" t="s">
        <v>30</v>
      </c>
      <c r="G199" t="s">
        <v>30</v>
      </c>
      <c r="H199" t="s">
        <v>37</v>
      </c>
      <c r="I199" t="s">
        <v>260</v>
      </c>
      <c r="J199" t="s">
        <v>312</v>
      </c>
      <c r="K199">
        <v>524.52</v>
      </c>
      <c r="L199" s="166">
        <v>523.53930000000003</v>
      </c>
      <c r="M199">
        <v>0.98</v>
      </c>
      <c r="N199">
        <v>0.1</v>
      </c>
      <c r="O199" s="8">
        <v>1</v>
      </c>
      <c r="P199">
        <v>523.52</v>
      </c>
      <c r="Q199" s="166">
        <v>1.9300000000000001E-2</v>
      </c>
      <c r="R199" s="174" t="s">
        <v>1142</v>
      </c>
      <c r="S199">
        <v>100</v>
      </c>
      <c r="T199">
        <v>400</v>
      </c>
      <c r="U199" t="s">
        <v>78</v>
      </c>
      <c r="V199" t="s">
        <v>1082</v>
      </c>
      <c r="W199">
        <v>0</v>
      </c>
      <c r="X199" t="s">
        <v>43</v>
      </c>
      <c r="Y199" t="s">
        <v>294</v>
      </c>
      <c r="Z199">
        <v>500</v>
      </c>
      <c r="AC199" s="4" t="s">
        <v>805</v>
      </c>
      <c r="AD199" s="8">
        <v>1910000</v>
      </c>
      <c r="AE199" s="4" t="s">
        <v>808</v>
      </c>
      <c r="AF199" s="8">
        <v>1910008</v>
      </c>
      <c r="AG199" s="4" t="s">
        <v>810</v>
      </c>
      <c r="AH199" s="8">
        <v>1910008</v>
      </c>
    </row>
    <row r="200" spans="1:34" x14ac:dyDescent="0.25">
      <c r="A200" s="176" t="s">
        <v>1385</v>
      </c>
      <c r="B200" t="s">
        <v>87</v>
      </c>
      <c r="C200" t="s">
        <v>278</v>
      </c>
      <c r="D200" t="s">
        <v>436</v>
      </c>
      <c r="E200" t="s">
        <v>291</v>
      </c>
      <c r="F200" t="s">
        <v>30</v>
      </c>
      <c r="G200" t="s">
        <v>30</v>
      </c>
      <c r="H200" t="s">
        <v>37</v>
      </c>
      <c r="I200" t="s">
        <v>260</v>
      </c>
      <c r="J200" t="s">
        <v>312</v>
      </c>
      <c r="K200">
        <v>524.52</v>
      </c>
      <c r="L200" s="166">
        <v>523.53930000000003</v>
      </c>
      <c r="M200">
        <v>0.98</v>
      </c>
      <c r="N200">
        <v>0.1</v>
      </c>
      <c r="O200" s="8">
        <v>1</v>
      </c>
      <c r="P200">
        <v>523.52</v>
      </c>
      <c r="Q200" s="166">
        <v>1.9300000000000001E-2</v>
      </c>
      <c r="R200" s="174" t="s">
        <v>1142</v>
      </c>
      <c r="S200">
        <v>100</v>
      </c>
      <c r="T200">
        <v>400</v>
      </c>
      <c r="U200" t="s">
        <v>78</v>
      </c>
      <c r="V200" t="s">
        <v>1082</v>
      </c>
      <c r="W200">
        <v>0</v>
      </c>
      <c r="X200" t="s">
        <v>43</v>
      </c>
      <c r="Y200" t="s">
        <v>294</v>
      </c>
      <c r="Z200">
        <v>500</v>
      </c>
      <c r="AC200" s="4" t="s">
        <v>805</v>
      </c>
      <c r="AD200" s="8">
        <v>1910000</v>
      </c>
      <c r="AE200" s="4" t="s">
        <v>808</v>
      </c>
      <c r="AF200" s="8">
        <v>1910008</v>
      </c>
      <c r="AG200" s="4" t="s">
        <v>810</v>
      </c>
      <c r="AH200" s="8">
        <v>1910008</v>
      </c>
    </row>
    <row r="201" spans="1:34" x14ac:dyDescent="0.25">
      <c r="A201" s="176" t="s">
        <v>1386</v>
      </c>
      <c r="B201" t="s">
        <v>87</v>
      </c>
      <c r="C201" t="s">
        <v>278</v>
      </c>
      <c r="D201" t="s">
        <v>437</v>
      </c>
      <c r="E201" t="s">
        <v>291</v>
      </c>
      <c r="F201" t="s">
        <v>30</v>
      </c>
      <c r="G201" t="s">
        <v>30</v>
      </c>
      <c r="H201" t="s">
        <v>37</v>
      </c>
      <c r="I201" t="s">
        <v>260</v>
      </c>
      <c r="J201" t="s">
        <v>312</v>
      </c>
      <c r="K201">
        <v>167.68</v>
      </c>
      <c r="L201" s="166">
        <v>166.69929999999999</v>
      </c>
      <c r="M201">
        <v>0.98</v>
      </c>
      <c r="N201">
        <v>0.1</v>
      </c>
      <c r="O201" s="8">
        <v>1</v>
      </c>
      <c r="P201">
        <v>166.68</v>
      </c>
      <c r="Q201" s="166">
        <v>1.9300000000000001E-2</v>
      </c>
      <c r="R201" s="174" t="s">
        <v>1142</v>
      </c>
      <c r="S201">
        <v>100</v>
      </c>
      <c r="T201">
        <v>80</v>
      </c>
      <c r="U201" t="s">
        <v>78</v>
      </c>
      <c r="V201" t="s">
        <v>1082</v>
      </c>
      <c r="W201">
        <v>0</v>
      </c>
      <c r="X201" t="s">
        <v>43</v>
      </c>
      <c r="Y201" t="s">
        <v>294</v>
      </c>
      <c r="Z201">
        <v>100</v>
      </c>
      <c r="AC201" s="4" t="s">
        <v>805</v>
      </c>
      <c r="AD201" s="8">
        <v>1910000</v>
      </c>
      <c r="AE201" s="4" t="s">
        <v>808</v>
      </c>
      <c r="AF201" s="8">
        <v>1910008</v>
      </c>
      <c r="AG201" s="4" t="s">
        <v>810</v>
      </c>
      <c r="AH201" s="8">
        <v>1910008</v>
      </c>
    </row>
    <row r="202" spans="1:34" x14ac:dyDescent="0.25">
      <c r="A202" s="176" t="s">
        <v>1387</v>
      </c>
      <c r="B202" t="s">
        <v>87</v>
      </c>
      <c r="C202" t="s">
        <v>278</v>
      </c>
      <c r="D202" t="s">
        <v>438</v>
      </c>
      <c r="E202" t="s">
        <v>291</v>
      </c>
      <c r="F202" t="s">
        <v>30</v>
      </c>
      <c r="G202" t="s">
        <v>30</v>
      </c>
      <c r="H202" t="s">
        <v>37</v>
      </c>
      <c r="I202" t="s">
        <v>260</v>
      </c>
      <c r="J202" t="s">
        <v>312</v>
      </c>
      <c r="K202">
        <v>119.31</v>
      </c>
      <c r="L202" s="166">
        <v>118.3293</v>
      </c>
      <c r="M202">
        <v>0.98</v>
      </c>
      <c r="N202">
        <v>0.1</v>
      </c>
      <c r="O202" s="8">
        <v>1</v>
      </c>
      <c r="P202">
        <v>118.31</v>
      </c>
      <c r="Q202" s="166">
        <v>1.9300000000000001E-2</v>
      </c>
      <c r="R202" s="174" t="s">
        <v>1142</v>
      </c>
      <c r="S202">
        <v>100</v>
      </c>
      <c r="T202">
        <v>80</v>
      </c>
      <c r="U202" t="s">
        <v>78</v>
      </c>
      <c r="V202" t="s">
        <v>1082</v>
      </c>
      <c r="W202">
        <v>0</v>
      </c>
      <c r="X202" t="s">
        <v>43</v>
      </c>
      <c r="Y202" t="s">
        <v>294</v>
      </c>
      <c r="Z202">
        <v>100</v>
      </c>
      <c r="AC202" s="4" t="s">
        <v>805</v>
      </c>
      <c r="AD202" s="8">
        <v>1910000</v>
      </c>
      <c r="AE202" s="4" t="s">
        <v>808</v>
      </c>
      <c r="AF202" s="8">
        <v>1910008</v>
      </c>
      <c r="AG202" s="4" t="s">
        <v>810</v>
      </c>
      <c r="AH202" s="8">
        <v>1910008</v>
      </c>
    </row>
    <row r="203" spans="1:34" x14ac:dyDescent="0.25">
      <c r="A203" s="176" t="s">
        <v>1388</v>
      </c>
      <c r="B203" t="s">
        <v>87</v>
      </c>
      <c r="C203" t="s">
        <v>278</v>
      </c>
      <c r="D203" t="s">
        <v>439</v>
      </c>
      <c r="E203" t="s">
        <v>291</v>
      </c>
      <c r="F203" t="s">
        <v>30</v>
      </c>
      <c r="G203" t="s">
        <v>30</v>
      </c>
      <c r="H203" t="s">
        <v>37</v>
      </c>
      <c r="I203" t="s">
        <v>260</v>
      </c>
      <c r="J203" t="s">
        <v>312</v>
      </c>
      <c r="K203">
        <v>119.31</v>
      </c>
      <c r="L203" s="166">
        <v>118.3293</v>
      </c>
      <c r="M203">
        <v>0.98</v>
      </c>
      <c r="N203">
        <v>0.1</v>
      </c>
      <c r="O203" s="8">
        <v>1</v>
      </c>
      <c r="P203">
        <v>118.31</v>
      </c>
      <c r="Q203" s="166">
        <v>1.9300000000000001E-2</v>
      </c>
      <c r="R203" s="174" t="s">
        <v>1142</v>
      </c>
      <c r="S203">
        <v>100</v>
      </c>
      <c r="T203">
        <v>80</v>
      </c>
      <c r="U203" t="s">
        <v>78</v>
      </c>
      <c r="V203" t="s">
        <v>1082</v>
      </c>
      <c r="W203">
        <v>0</v>
      </c>
      <c r="X203" t="s">
        <v>43</v>
      </c>
      <c r="Y203" t="s">
        <v>294</v>
      </c>
      <c r="Z203">
        <v>100</v>
      </c>
      <c r="AC203" s="4" t="s">
        <v>805</v>
      </c>
      <c r="AD203" s="8">
        <v>1910000</v>
      </c>
      <c r="AE203" s="4" t="s">
        <v>808</v>
      </c>
      <c r="AF203" s="8">
        <v>1910008</v>
      </c>
      <c r="AG203" s="4" t="s">
        <v>810</v>
      </c>
      <c r="AH203" s="8">
        <v>1910008</v>
      </c>
    </row>
    <row r="204" spans="1:34" x14ac:dyDescent="0.25">
      <c r="A204" s="176" t="s">
        <v>1389</v>
      </c>
      <c r="B204" t="s">
        <v>87</v>
      </c>
      <c r="C204" t="s">
        <v>278</v>
      </c>
      <c r="D204" t="s">
        <v>440</v>
      </c>
      <c r="E204" t="s">
        <v>291</v>
      </c>
      <c r="F204" t="s">
        <v>30</v>
      </c>
      <c r="G204" t="s">
        <v>30</v>
      </c>
      <c r="H204" t="s">
        <v>37</v>
      </c>
      <c r="I204" t="s">
        <v>260</v>
      </c>
      <c r="J204" t="s">
        <v>312</v>
      </c>
      <c r="K204">
        <v>111.78</v>
      </c>
      <c r="L204" s="166">
        <v>110.7993</v>
      </c>
      <c r="M204">
        <v>0.98</v>
      </c>
      <c r="N204">
        <v>0.1</v>
      </c>
      <c r="O204" s="8">
        <v>1</v>
      </c>
      <c r="P204">
        <v>110.78</v>
      </c>
      <c r="Q204" s="166">
        <v>1.9300000000000001E-2</v>
      </c>
      <c r="R204" s="174" t="s">
        <v>1142</v>
      </c>
      <c r="S204">
        <v>100</v>
      </c>
      <c r="T204">
        <v>80</v>
      </c>
      <c r="U204" t="s">
        <v>78</v>
      </c>
      <c r="V204" t="s">
        <v>1082</v>
      </c>
      <c r="W204">
        <v>0</v>
      </c>
      <c r="X204" t="s">
        <v>43</v>
      </c>
      <c r="Y204" t="s">
        <v>294</v>
      </c>
      <c r="Z204">
        <v>100</v>
      </c>
      <c r="AC204" s="4" t="s">
        <v>805</v>
      </c>
      <c r="AD204" s="8">
        <v>1910000</v>
      </c>
      <c r="AE204" s="4" t="s">
        <v>808</v>
      </c>
      <c r="AF204" s="8">
        <v>1910008</v>
      </c>
      <c r="AG204" s="4" t="s">
        <v>810</v>
      </c>
      <c r="AH204" s="8">
        <v>1910008</v>
      </c>
    </row>
    <row r="205" spans="1:34" x14ac:dyDescent="0.25">
      <c r="A205" s="176" t="s">
        <v>1390</v>
      </c>
      <c r="B205" t="s">
        <v>87</v>
      </c>
      <c r="C205" t="s">
        <v>278</v>
      </c>
      <c r="D205" t="s">
        <v>441</v>
      </c>
      <c r="E205" t="s">
        <v>291</v>
      </c>
      <c r="F205" t="s">
        <v>30</v>
      </c>
      <c r="G205" t="s">
        <v>30</v>
      </c>
      <c r="H205" t="s">
        <v>37</v>
      </c>
      <c r="I205" t="s">
        <v>260</v>
      </c>
      <c r="J205" t="s">
        <v>312</v>
      </c>
      <c r="K205">
        <v>111.78</v>
      </c>
      <c r="L205" s="166">
        <v>110.7993</v>
      </c>
      <c r="M205">
        <v>0.98</v>
      </c>
      <c r="N205">
        <v>0.1</v>
      </c>
      <c r="O205" s="8">
        <v>1</v>
      </c>
      <c r="P205">
        <v>110.78</v>
      </c>
      <c r="Q205" s="166">
        <v>1.9300000000000001E-2</v>
      </c>
      <c r="R205" s="174" t="s">
        <v>1142</v>
      </c>
      <c r="S205">
        <v>100</v>
      </c>
      <c r="T205">
        <v>80</v>
      </c>
      <c r="U205" t="s">
        <v>78</v>
      </c>
      <c r="V205" t="s">
        <v>1082</v>
      </c>
      <c r="W205">
        <v>0</v>
      </c>
      <c r="X205" t="s">
        <v>43</v>
      </c>
      <c r="Y205" t="s">
        <v>294</v>
      </c>
      <c r="Z205">
        <v>100</v>
      </c>
      <c r="AC205" s="4" t="s">
        <v>805</v>
      </c>
      <c r="AD205" s="8">
        <v>1910000</v>
      </c>
      <c r="AE205" s="4" t="s">
        <v>808</v>
      </c>
      <c r="AF205" s="8">
        <v>1910008</v>
      </c>
      <c r="AG205" s="4" t="s">
        <v>810</v>
      </c>
      <c r="AH205" s="8">
        <v>1910008</v>
      </c>
    </row>
    <row r="206" spans="1:34" x14ac:dyDescent="0.25">
      <c r="A206" s="176" t="s">
        <v>1391</v>
      </c>
      <c r="B206" t="s">
        <v>87</v>
      </c>
      <c r="C206" t="s">
        <v>278</v>
      </c>
      <c r="D206" t="s">
        <v>442</v>
      </c>
      <c r="E206" t="s">
        <v>291</v>
      </c>
      <c r="F206" t="s">
        <v>30</v>
      </c>
      <c r="G206" t="s">
        <v>30</v>
      </c>
      <c r="H206" t="s">
        <v>37</v>
      </c>
      <c r="I206" t="s">
        <v>260</v>
      </c>
      <c r="J206" t="s">
        <v>312</v>
      </c>
      <c r="K206">
        <v>280.52999999999997</v>
      </c>
      <c r="L206" s="166">
        <v>279.54929999999996</v>
      </c>
      <c r="M206">
        <v>0.98</v>
      </c>
      <c r="N206">
        <v>0.1</v>
      </c>
      <c r="O206" s="8">
        <v>1</v>
      </c>
      <c r="P206">
        <v>279.52999999999997</v>
      </c>
      <c r="Q206" s="166">
        <v>1.9300000000000001E-2</v>
      </c>
      <c r="R206" s="174" t="s">
        <v>1142</v>
      </c>
      <c r="S206">
        <v>100</v>
      </c>
      <c r="T206">
        <v>80</v>
      </c>
      <c r="U206" t="s">
        <v>78</v>
      </c>
      <c r="V206" t="s">
        <v>1082</v>
      </c>
      <c r="W206">
        <v>0</v>
      </c>
      <c r="X206" t="s">
        <v>43</v>
      </c>
      <c r="Y206" t="s">
        <v>294</v>
      </c>
      <c r="Z206">
        <v>100</v>
      </c>
      <c r="AC206" s="4" t="s">
        <v>805</v>
      </c>
      <c r="AD206" s="8">
        <v>1910000</v>
      </c>
      <c r="AE206" s="4" t="s">
        <v>808</v>
      </c>
      <c r="AF206" s="8">
        <v>1910008</v>
      </c>
      <c r="AG206" s="4" t="s">
        <v>810</v>
      </c>
      <c r="AH206" s="8">
        <v>1910008</v>
      </c>
    </row>
    <row r="207" spans="1:34" x14ac:dyDescent="0.25">
      <c r="A207" s="176" t="s">
        <v>1392</v>
      </c>
      <c r="B207" t="s">
        <v>87</v>
      </c>
      <c r="C207" t="s">
        <v>278</v>
      </c>
      <c r="D207" t="s">
        <v>443</v>
      </c>
      <c r="E207" t="s">
        <v>291</v>
      </c>
      <c r="F207" t="s">
        <v>30</v>
      </c>
      <c r="G207" t="s">
        <v>30</v>
      </c>
      <c r="H207" t="s">
        <v>37</v>
      </c>
      <c r="I207" t="s">
        <v>260</v>
      </c>
      <c r="J207" t="s">
        <v>312</v>
      </c>
      <c r="K207">
        <v>136.5</v>
      </c>
      <c r="L207" s="166">
        <v>135.51929999999999</v>
      </c>
      <c r="M207">
        <v>0.98</v>
      </c>
      <c r="N207">
        <v>0.1</v>
      </c>
      <c r="O207" s="8">
        <v>1</v>
      </c>
      <c r="P207">
        <v>135.5</v>
      </c>
      <c r="Q207" s="166">
        <v>1.9300000000000001E-2</v>
      </c>
      <c r="R207" s="174" t="s">
        <v>1142</v>
      </c>
      <c r="S207">
        <v>100</v>
      </c>
      <c r="T207">
        <v>80</v>
      </c>
      <c r="U207" t="s">
        <v>78</v>
      </c>
      <c r="V207" t="s">
        <v>1082</v>
      </c>
      <c r="W207">
        <v>0</v>
      </c>
      <c r="X207" t="s">
        <v>43</v>
      </c>
      <c r="Y207" t="s">
        <v>294</v>
      </c>
      <c r="Z207">
        <v>100</v>
      </c>
      <c r="AC207" s="4" t="s">
        <v>805</v>
      </c>
      <c r="AD207" s="8">
        <v>1910000</v>
      </c>
      <c r="AE207" s="4" t="s">
        <v>808</v>
      </c>
      <c r="AF207" s="8">
        <v>1910008</v>
      </c>
      <c r="AG207" s="4" t="s">
        <v>810</v>
      </c>
      <c r="AH207" s="8">
        <v>1910008</v>
      </c>
    </row>
    <row r="208" spans="1:34" x14ac:dyDescent="0.25">
      <c r="A208" s="176" t="s">
        <v>1393</v>
      </c>
      <c r="B208" t="s">
        <v>87</v>
      </c>
      <c r="C208" t="s">
        <v>278</v>
      </c>
      <c r="D208" t="s">
        <v>444</v>
      </c>
      <c r="E208" t="s">
        <v>291</v>
      </c>
      <c r="F208" t="s">
        <v>30</v>
      </c>
      <c r="G208" t="s">
        <v>30</v>
      </c>
      <c r="H208" t="s">
        <v>37</v>
      </c>
      <c r="I208" t="s">
        <v>260</v>
      </c>
      <c r="J208" t="s">
        <v>312</v>
      </c>
      <c r="K208">
        <v>96.74</v>
      </c>
      <c r="L208" s="166">
        <v>95.759299999999996</v>
      </c>
      <c r="M208">
        <v>0.98</v>
      </c>
      <c r="N208">
        <v>0.1</v>
      </c>
      <c r="O208" s="8">
        <v>1</v>
      </c>
      <c r="P208">
        <v>95.74</v>
      </c>
      <c r="Q208" s="166">
        <v>1.9300000000000001E-2</v>
      </c>
      <c r="R208" s="174" t="s">
        <v>1142</v>
      </c>
      <c r="S208">
        <v>100</v>
      </c>
      <c r="T208">
        <v>80</v>
      </c>
      <c r="U208" t="s">
        <v>78</v>
      </c>
      <c r="V208" t="s">
        <v>1082</v>
      </c>
      <c r="W208">
        <v>0</v>
      </c>
      <c r="X208" t="s">
        <v>43</v>
      </c>
      <c r="Y208" t="s">
        <v>294</v>
      </c>
      <c r="Z208">
        <v>100</v>
      </c>
      <c r="AC208" s="4" t="s">
        <v>805</v>
      </c>
      <c r="AD208" s="8">
        <v>1910000</v>
      </c>
      <c r="AE208" s="4" t="s">
        <v>808</v>
      </c>
      <c r="AF208" s="8">
        <v>1910008</v>
      </c>
      <c r="AG208" s="4" t="s">
        <v>810</v>
      </c>
      <c r="AH208" s="8">
        <v>1910008</v>
      </c>
    </row>
    <row r="209" spans="1:34" x14ac:dyDescent="0.25">
      <c r="A209" s="176" t="s">
        <v>1394</v>
      </c>
      <c r="B209" t="s">
        <v>87</v>
      </c>
      <c r="C209" t="s">
        <v>278</v>
      </c>
      <c r="D209" t="s">
        <v>445</v>
      </c>
      <c r="E209" t="s">
        <v>291</v>
      </c>
      <c r="F209" t="s">
        <v>30</v>
      </c>
      <c r="G209" t="s">
        <v>30</v>
      </c>
      <c r="H209" t="s">
        <v>37</v>
      </c>
      <c r="I209" t="s">
        <v>260</v>
      </c>
      <c r="J209" t="s">
        <v>312</v>
      </c>
      <c r="K209">
        <v>96.74</v>
      </c>
      <c r="L209" s="166">
        <v>95.759299999999996</v>
      </c>
      <c r="M209">
        <v>0.98</v>
      </c>
      <c r="N209">
        <v>0.1</v>
      </c>
      <c r="O209" s="8">
        <v>1</v>
      </c>
      <c r="P209">
        <v>95.74</v>
      </c>
      <c r="Q209" s="166">
        <v>1.9300000000000001E-2</v>
      </c>
      <c r="R209" s="174" t="s">
        <v>1142</v>
      </c>
      <c r="S209">
        <v>100</v>
      </c>
      <c r="T209">
        <v>80</v>
      </c>
      <c r="U209" t="s">
        <v>78</v>
      </c>
      <c r="V209" t="s">
        <v>1082</v>
      </c>
      <c r="W209">
        <v>0</v>
      </c>
      <c r="X209" t="s">
        <v>43</v>
      </c>
      <c r="Y209" t="s">
        <v>294</v>
      </c>
      <c r="Z209">
        <v>100</v>
      </c>
      <c r="AC209" s="4" t="s">
        <v>805</v>
      </c>
      <c r="AD209" s="8">
        <v>1910000</v>
      </c>
      <c r="AE209" s="4" t="s">
        <v>808</v>
      </c>
      <c r="AF209" s="8">
        <v>1910008</v>
      </c>
      <c r="AG209" s="4" t="s">
        <v>810</v>
      </c>
      <c r="AH209" s="8">
        <v>1910008</v>
      </c>
    </row>
    <row r="210" spans="1:34" x14ac:dyDescent="0.25">
      <c r="A210" s="176" t="s">
        <v>1395</v>
      </c>
      <c r="B210" t="s">
        <v>87</v>
      </c>
      <c r="C210" t="s">
        <v>278</v>
      </c>
      <c r="D210" t="s">
        <v>446</v>
      </c>
      <c r="E210" t="s">
        <v>291</v>
      </c>
      <c r="F210" t="s">
        <v>30</v>
      </c>
      <c r="G210" t="s">
        <v>30</v>
      </c>
      <c r="H210" t="s">
        <v>37</v>
      </c>
      <c r="I210" t="s">
        <v>260</v>
      </c>
      <c r="J210" t="s">
        <v>312</v>
      </c>
      <c r="K210">
        <v>91.36</v>
      </c>
      <c r="L210" s="166">
        <v>90.379300000000001</v>
      </c>
      <c r="M210">
        <v>0.98</v>
      </c>
      <c r="N210">
        <v>0.1</v>
      </c>
      <c r="O210" s="8">
        <v>1</v>
      </c>
      <c r="P210">
        <v>90.36</v>
      </c>
      <c r="Q210" s="166">
        <v>1.9300000000000001E-2</v>
      </c>
      <c r="R210" s="174" t="s">
        <v>1142</v>
      </c>
      <c r="S210">
        <v>100</v>
      </c>
      <c r="T210">
        <v>80</v>
      </c>
      <c r="U210" t="s">
        <v>78</v>
      </c>
      <c r="V210" t="s">
        <v>1082</v>
      </c>
      <c r="W210">
        <v>0</v>
      </c>
      <c r="X210" t="s">
        <v>43</v>
      </c>
      <c r="Y210" t="s">
        <v>294</v>
      </c>
      <c r="Z210">
        <v>100</v>
      </c>
      <c r="AC210" s="4" t="s">
        <v>805</v>
      </c>
      <c r="AD210" s="8">
        <v>1910000</v>
      </c>
      <c r="AE210" s="4" t="s">
        <v>808</v>
      </c>
      <c r="AF210" s="8">
        <v>1910008</v>
      </c>
      <c r="AG210" s="4" t="s">
        <v>810</v>
      </c>
      <c r="AH210" s="8">
        <v>1910008</v>
      </c>
    </row>
    <row r="211" spans="1:34" x14ac:dyDescent="0.25">
      <c r="A211" s="176" t="s">
        <v>1396</v>
      </c>
      <c r="B211" t="s">
        <v>87</v>
      </c>
      <c r="C211" t="s">
        <v>278</v>
      </c>
      <c r="D211" t="s">
        <v>447</v>
      </c>
      <c r="E211" t="s">
        <v>291</v>
      </c>
      <c r="F211" t="s">
        <v>30</v>
      </c>
      <c r="G211" t="s">
        <v>30</v>
      </c>
      <c r="H211" t="s">
        <v>37</v>
      </c>
      <c r="I211" t="s">
        <v>260</v>
      </c>
      <c r="J211" t="s">
        <v>312</v>
      </c>
      <c r="K211">
        <v>91.36</v>
      </c>
      <c r="L211" s="166">
        <v>90.379300000000001</v>
      </c>
      <c r="M211">
        <v>0.98</v>
      </c>
      <c r="N211">
        <v>0.1</v>
      </c>
      <c r="O211" s="8">
        <v>1</v>
      </c>
      <c r="P211">
        <v>90.36</v>
      </c>
      <c r="Q211" s="166">
        <v>1.9300000000000001E-2</v>
      </c>
      <c r="R211" s="174" t="s">
        <v>1142</v>
      </c>
      <c r="S211">
        <v>100</v>
      </c>
      <c r="T211">
        <v>80</v>
      </c>
      <c r="U211" t="s">
        <v>78</v>
      </c>
      <c r="V211" t="s">
        <v>1082</v>
      </c>
      <c r="W211">
        <v>0</v>
      </c>
      <c r="X211" t="s">
        <v>43</v>
      </c>
      <c r="Y211" t="s">
        <v>294</v>
      </c>
      <c r="Z211">
        <v>100</v>
      </c>
      <c r="AC211" s="4" t="s">
        <v>805</v>
      </c>
      <c r="AD211" s="8">
        <v>1910000</v>
      </c>
      <c r="AE211" s="4" t="s">
        <v>808</v>
      </c>
      <c r="AF211" s="8">
        <v>1910008</v>
      </c>
      <c r="AG211" s="4" t="s">
        <v>810</v>
      </c>
      <c r="AH211" s="8">
        <v>1910008</v>
      </c>
    </row>
    <row r="212" spans="1:34" x14ac:dyDescent="0.25">
      <c r="A212" s="176" t="s">
        <v>1397</v>
      </c>
      <c r="B212" t="s">
        <v>87</v>
      </c>
      <c r="C212" t="s">
        <v>278</v>
      </c>
      <c r="D212" t="s">
        <v>448</v>
      </c>
      <c r="E212" t="s">
        <v>291</v>
      </c>
      <c r="F212" t="s">
        <v>30</v>
      </c>
      <c r="G212" t="s">
        <v>30</v>
      </c>
      <c r="H212" t="s">
        <v>37</v>
      </c>
      <c r="I212" t="s">
        <v>260</v>
      </c>
      <c r="J212" t="s">
        <v>312</v>
      </c>
      <c r="K212">
        <v>227.87</v>
      </c>
      <c r="L212" s="166">
        <v>226.88929999999999</v>
      </c>
      <c r="M212">
        <v>0.98</v>
      </c>
      <c r="N212">
        <v>0.1</v>
      </c>
      <c r="O212" s="8">
        <v>1</v>
      </c>
      <c r="P212">
        <v>226.87</v>
      </c>
      <c r="Q212" s="166">
        <v>1.9300000000000001E-2</v>
      </c>
      <c r="R212" s="174" t="s">
        <v>1142</v>
      </c>
      <c r="S212">
        <v>100</v>
      </c>
      <c r="T212">
        <v>80</v>
      </c>
      <c r="U212" t="s">
        <v>78</v>
      </c>
      <c r="V212" t="s">
        <v>1082</v>
      </c>
      <c r="W212">
        <v>0</v>
      </c>
      <c r="X212" t="s">
        <v>43</v>
      </c>
      <c r="Y212" t="s">
        <v>294</v>
      </c>
      <c r="Z212">
        <v>100</v>
      </c>
      <c r="AC212" s="4" t="s">
        <v>805</v>
      </c>
      <c r="AD212" s="8">
        <v>1910000</v>
      </c>
      <c r="AE212" s="4" t="s">
        <v>808</v>
      </c>
      <c r="AF212" s="8">
        <v>1910008</v>
      </c>
      <c r="AG212" s="4" t="s">
        <v>810</v>
      </c>
      <c r="AH212" s="8">
        <v>1910008</v>
      </c>
    </row>
    <row r="213" spans="1:34" x14ac:dyDescent="0.25">
      <c r="A213" s="176" t="s">
        <v>1398</v>
      </c>
      <c r="B213" t="s">
        <v>87</v>
      </c>
      <c r="C213" t="s">
        <v>278</v>
      </c>
      <c r="D213" t="s">
        <v>449</v>
      </c>
      <c r="E213" t="s">
        <v>291</v>
      </c>
      <c r="F213" t="s">
        <v>30</v>
      </c>
      <c r="G213" t="s">
        <v>30</v>
      </c>
      <c r="H213" t="s">
        <v>37</v>
      </c>
      <c r="I213" t="s">
        <v>260</v>
      </c>
      <c r="J213" t="s">
        <v>312</v>
      </c>
      <c r="K213">
        <v>327.83</v>
      </c>
      <c r="L213" s="166">
        <v>326.84929999999997</v>
      </c>
      <c r="M213">
        <v>0.98</v>
      </c>
      <c r="N213">
        <v>0.1</v>
      </c>
      <c r="O213" s="8">
        <v>1</v>
      </c>
      <c r="P213">
        <v>326.83</v>
      </c>
      <c r="Q213" s="166">
        <v>1.9300000000000001E-2</v>
      </c>
      <c r="R213" s="174" t="s">
        <v>1142</v>
      </c>
      <c r="S213">
        <v>100</v>
      </c>
      <c r="T213">
        <v>160</v>
      </c>
      <c r="U213" t="s">
        <v>78</v>
      </c>
      <c r="V213" t="s">
        <v>1082</v>
      </c>
      <c r="W213">
        <v>0</v>
      </c>
      <c r="X213" t="s">
        <v>43</v>
      </c>
      <c r="Y213" t="s">
        <v>294</v>
      </c>
      <c r="Z213">
        <v>200</v>
      </c>
      <c r="AC213" s="4" t="s">
        <v>805</v>
      </c>
      <c r="AD213" s="8">
        <v>1910000</v>
      </c>
      <c r="AE213" s="4" t="s">
        <v>808</v>
      </c>
      <c r="AF213" s="8">
        <v>1910008</v>
      </c>
      <c r="AG213" s="4" t="s">
        <v>810</v>
      </c>
      <c r="AH213" s="8">
        <v>1910008</v>
      </c>
    </row>
    <row r="214" spans="1:34" x14ac:dyDescent="0.25">
      <c r="A214" s="176" t="s">
        <v>1399</v>
      </c>
      <c r="B214" t="s">
        <v>87</v>
      </c>
      <c r="C214" t="s">
        <v>278</v>
      </c>
      <c r="D214" t="s">
        <v>450</v>
      </c>
      <c r="E214" t="s">
        <v>291</v>
      </c>
      <c r="F214" t="s">
        <v>30</v>
      </c>
      <c r="G214" t="s">
        <v>30</v>
      </c>
      <c r="H214" t="s">
        <v>37</v>
      </c>
      <c r="I214" t="s">
        <v>260</v>
      </c>
      <c r="J214" t="s">
        <v>312</v>
      </c>
      <c r="K214">
        <v>321.38</v>
      </c>
      <c r="L214" s="166">
        <v>320.39929999999998</v>
      </c>
      <c r="M214">
        <v>0.98</v>
      </c>
      <c r="N214">
        <v>0.1</v>
      </c>
      <c r="O214" s="8">
        <v>1</v>
      </c>
      <c r="P214">
        <v>320.38</v>
      </c>
      <c r="Q214" s="166">
        <v>1.9300000000000001E-2</v>
      </c>
      <c r="R214" s="174" t="s">
        <v>1142</v>
      </c>
      <c r="S214">
        <v>100</v>
      </c>
      <c r="T214">
        <v>160</v>
      </c>
      <c r="U214" t="s">
        <v>78</v>
      </c>
      <c r="V214" t="s">
        <v>1082</v>
      </c>
      <c r="W214">
        <v>0</v>
      </c>
      <c r="X214" t="s">
        <v>43</v>
      </c>
      <c r="Y214" t="s">
        <v>294</v>
      </c>
      <c r="Z214">
        <v>200</v>
      </c>
      <c r="AC214" s="4" t="s">
        <v>805</v>
      </c>
      <c r="AD214" s="8">
        <v>1910000</v>
      </c>
      <c r="AE214" s="4" t="s">
        <v>808</v>
      </c>
      <c r="AF214" s="8">
        <v>1910008</v>
      </c>
      <c r="AG214" s="4" t="s">
        <v>810</v>
      </c>
      <c r="AH214" s="8">
        <v>1910008</v>
      </c>
    </row>
    <row r="215" spans="1:34" x14ac:dyDescent="0.25">
      <c r="A215" s="176" t="s">
        <v>1400</v>
      </c>
      <c r="B215" t="s">
        <v>87</v>
      </c>
      <c r="C215" t="s">
        <v>278</v>
      </c>
      <c r="D215" t="s">
        <v>451</v>
      </c>
      <c r="E215" t="s">
        <v>291</v>
      </c>
      <c r="F215" t="s">
        <v>30</v>
      </c>
      <c r="G215" t="s">
        <v>30</v>
      </c>
      <c r="H215" t="s">
        <v>37</v>
      </c>
      <c r="I215" t="s">
        <v>260</v>
      </c>
      <c r="J215" t="s">
        <v>312</v>
      </c>
      <c r="K215">
        <v>354.7</v>
      </c>
      <c r="L215" s="166">
        <v>353.71929999999998</v>
      </c>
      <c r="M215">
        <v>0.98</v>
      </c>
      <c r="N215">
        <v>0.1</v>
      </c>
      <c r="O215" s="8">
        <v>1</v>
      </c>
      <c r="P215">
        <v>353.7</v>
      </c>
      <c r="Q215" s="166">
        <v>1.9300000000000001E-2</v>
      </c>
      <c r="R215" s="174" t="s">
        <v>1142</v>
      </c>
      <c r="S215">
        <v>100</v>
      </c>
      <c r="T215">
        <v>160</v>
      </c>
      <c r="U215" t="s">
        <v>78</v>
      </c>
      <c r="V215" t="s">
        <v>1082</v>
      </c>
      <c r="W215">
        <v>0</v>
      </c>
      <c r="X215" t="s">
        <v>43</v>
      </c>
      <c r="Y215" t="s">
        <v>294</v>
      </c>
      <c r="Z215">
        <v>200</v>
      </c>
      <c r="AC215" s="4" t="s">
        <v>805</v>
      </c>
      <c r="AD215" s="8">
        <v>1910000</v>
      </c>
      <c r="AE215" s="4" t="s">
        <v>808</v>
      </c>
      <c r="AF215" s="8">
        <v>1910008</v>
      </c>
      <c r="AG215" s="4" t="s">
        <v>810</v>
      </c>
      <c r="AH215" s="8">
        <v>1910008</v>
      </c>
    </row>
    <row r="216" spans="1:34" x14ac:dyDescent="0.25">
      <c r="A216" s="176" t="s">
        <v>1401</v>
      </c>
      <c r="B216" t="s">
        <v>87</v>
      </c>
      <c r="C216" t="s">
        <v>278</v>
      </c>
      <c r="D216" t="s">
        <v>452</v>
      </c>
      <c r="E216" t="s">
        <v>291</v>
      </c>
      <c r="F216" t="s">
        <v>30</v>
      </c>
      <c r="G216" t="s">
        <v>30</v>
      </c>
      <c r="H216" t="s">
        <v>37</v>
      </c>
      <c r="I216" t="s">
        <v>260</v>
      </c>
      <c r="J216" t="s">
        <v>312</v>
      </c>
      <c r="K216">
        <v>368.67</v>
      </c>
      <c r="L216" s="166">
        <v>367.6893</v>
      </c>
      <c r="M216">
        <v>0.98</v>
      </c>
      <c r="N216">
        <v>0.1</v>
      </c>
      <c r="O216" s="8">
        <v>1</v>
      </c>
      <c r="P216">
        <v>367.67</v>
      </c>
      <c r="Q216" s="166">
        <v>1.9300000000000001E-2</v>
      </c>
      <c r="R216" s="174" t="s">
        <v>1142</v>
      </c>
      <c r="S216">
        <v>100</v>
      </c>
      <c r="T216">
        <v>160</v>
      </c>
      <c r="U216" t="s">
        <v>78</v>
      </c>
      <c r="V216" t="s">
        <v>1082</v>
      </c>
      <c r="W216">
        <v>0</v>
      </c>
      <c r="X216" t="s">
        <v>43</v>
      </c>
      <c r="Y216" t="s">
        <v>294</v>
      </c>
      <c r="Z216">
        <v>200</v>
      </c>
      <c r="AC216" s="4" t="s">
        <v>805</v>
      </c>
      <c r="AD216" s="8">
        <v>1910000</v>
      </c>
      <c r="AE216" s="4" t="s">
        <v>808</v>
      </c>
      <c r="AF216" s="8">
        <v>1910008</v>
      </c>
      <c r="AG216" s="4" t="s">
        <v>810</v>
      </c>
      <c r="AH216" s="8">
        <v>1910008</v>
      </c>
    </row>
    <row r="217" spans="1:34" x14ac:dyDescent="0.25">
      <c r="A217" s="176" t="s">
        <v>1402</v>
      </c>
      <c r="B217" t="s">
        <v>87</v>
      </c>
      <c r="C217" t="s">
        <v>278</v>
      </c>
      <c r="D217" t="s">
        <v>453</v>
      </c>
      <c r="E217" t="s">
        <v>291</v>
      </c>
      <c r="F217" t="s">
        <v>30</v>
      </c>
      <c r="G217" t="s">
        <v>30</v>
      </c>
      <c r="H217" t="s">
        <v>37</v>
      </c>
      <c r="I217" t="s">
        <v>260</v>
      </c>
      <c r="J217" t="s">
        <v>312</v>
      </c>
      <c r="K217">
        <v>334.28</v>
      </c>
      <c r="L217" s="166">
        <v>333.29929999999996</v>
      </c>
      <c r="M217">
        <v>0.98</v>
      </c>
      <c r="N217">
        <v>0.1</v>
      </c>
      <c r="O217" s="8">
        <v>1</v>
      </c>
      <c r="P217">
        <v>333.28</v>
      </c>
      <c r="Q217" s="166">
        <v>1.9300000000000001E-2</v>
      </c>
      <c r="R217" s="174" t="s">
        <v>1142</v>
      </c>
      <c r="S217">
        <v>100</v>
      </c>
      <c r="T217">
        <v>160</v>
      </c>
      <c r="U217" t="s">
        <v>78</v>
      </c>
      <c r="V217" t="s">
        <v>1082</v>
      </c>
      <c r="W217">
        <v>0</v>
      </c>
      <c r="X217" t="s">
        <v>43</v>
      </c>
      <c r="Y217" t="s">
        <v>294</v>
      </c>
      <c r="Z217">
        <v>200</v>
      </c>
      <c r="AC217" s="4" t="s">
        <v>805</v>
      </c>
      <c r="AD217" s="8">
        <v>1910000</v>
      </c>
      <c r="AE217" s="4" t="s">
        <v>808</v>
      </c>
      <c r="AF217" s="8">
        <v>1910008</v>
      </c>
      <c r="AG217" s="4" t="s">
        <v>810</v>
      </c>
      <c r="AH217" s="8">
        <v>1910008</v>
      </c>
    </row>
    <row r="218" spans="1:34" x14ac:dyDescent="0.25">
      <c r="A218" s="176" t="s">
        <v>1403</v>
      </c>
      <c r="B218" t="s">
        <v>87</v>
      </c>
      <c r="C218" t="s">
        <v>278</v>
      </c>
      <c r="D218" t="s">
        <v>454</v>
      </c>
      <c r="E218" t="s">
        <v>291</v>
      </c>
      <c r="F218" t="s">
        <v>30</v>
      </c>
      <c r="G218" t="s">
        <v>30</v>
      </c>
      <c r="H218" t="s">
        <v>37</v>
      </c>
      <c r="I218" t="s">
        <v>260</v>
      </c>
      <c r="J218" t="s">
        <v>312</v>
      </c>
      <c r="K218">
        <v>316</v>
      </c>
      <c r="L218" s="166">
        <v>315.01929999999999</v>
      </c>
      <c r="M218">
        <v>0.98</v>
      </c>
      <c r="N218">
        <v>0.1</v>
      </c>
      <c r="O218" s="8">
        <v>1</v>
      </c>
      <c r="P218">
        <v>315</v>
      </c>
      <c r="Q218" s="166">
        <v>1.9300000000000001E-2</v>
      </c>
      <c r="R218" s="174" t="s">
        <v>1142</v>
      </c>
      <c r="S218">
        <v>100</v>
      </c>
      <c r="T218">
        <v>160</v>
      </c>
      <c r="U218" t="s">
        <v>78</v>
      </c>
      <c r="V218" t="s">
        <v>1082</v>
      </c>
      <c r="W218">
        <v>0</v>
      </c>
      <c r="X218" t="s">
        <v>43</v>
      </c>
      <c r="Y218" t="s">
        <v>294</v>
      </c>
      <c r="Z218">
        <v>200</v>
      </c>
      <c r="AC218" s="4" t="s">
        <v>805</v>
      </c>
      <c r="AD218" s="8">
        <v>1910000</v>
      </c>
      <c r="AE218" s="4" t="s">
        <v>808</v>
      </c>
      <c r="AF218" s="8">
        <v>1910008</v>
      </c>
      <c r="AG218" s="4" t="s">
        <v>810</v>
      </c>
      <c r="AH218" s="8">
        <v>1910008</v>
      </c>
    </row>
    <row r="219" spans="1:34" x14ac:dyDescent="0.25">
      <c r="A219" s="176" t="s">
        <v>1404</v>
      </c>
      <c r="B219" t="s">
        <v>87</v>
      </c>
      <c r="C219" t="s">
        <v>278</v>
      </c>
      <c r="D219" t="s">
        <v>455</v>
      </c>
      <c r="E219" t="s">
        <v>291</v>
      </c>
      <c r="F219" t="s">
        <v>30</v>
      </c>
      <c r="G219" t="s">
        <v>30</v>
      </c>
      <c r="H219" t="s">
        <v>37</v>
      </c>
      <c r="I219" t="s">
        <v>260</v>
      </c>
      <c r="J219" t="s">
        <v>312</v>
      </c>
      <c r="K219">
        <v>266.56</v>
      </c>
      <c r="L219" s="166">
        <v>265.57929999999999</v>
      </c>
      <c r="M219">
        <v>0.98</v>
      </c>
      <c r="N219">
        <v>0.1</v>
      </c>
      <c r="O219" s="8">
        <v>1</v>
      </c>
      <c r="P219">
        <v>265.56</v>
      </c>
      <c r="Q219" s="166">
        <v>1.9300000000000001E-2</v>
      </c>
      <c r="R219" s="174" t="s">
        <v>1142</v>
      </c>
      <c r="S219">
        <v>100</v>
      </c>
      <c r="T219">
        <v>80</v>
      </c>
      <c r="U219" t="s">
        <v>78</v>
      </c>
      <c r="V219" t="s">
        <v>1082</v>
      </c>
      <c r="W219">
        <v>0</v>
      </c>
      <c r="X219" t="s">
        <v>43</v>
      </c>
      <c r="Y219" t="s">
        <v>294</v>
      </c>
      <c r="Z219">
        <v>100</v>
      </c>
      <c r="AC219" s="4" t="s">
        <v>805</v>
      </c>
      <c r="AD219" s="8">
        <v>1910000</v>
      </c>
      <c r="AE219" s="4" t="s">
        <v>808</v>
      </c>
      <c r="AF219" s="8">
        <v>1910008</v>
      </c>
      <c r="AG219" s="4" t="s">
        <v>810</v>
      </c>
      <c r="AH219" s="8">
        <v>1910008</v>
      </c>
    </row>
    <row r="220" spans="1:34" x14ac:dyDescent="0.25">
      <c r="A220" s="176" t="s">
        <v>1405</v>
      </c>
      <c r="B220" t="s">
        <v>87</v>
      </c>
      <c r="C220" t="s">
        <v>278</v>
      </c>
      <c r="D220" t="s">
        <v>456</v>
      </c>
      <c r="E220" t="s">
        <v>291</v>
      </c>
      <c r="F220" t="s">
        <v>30</v>
      </c>
      <c r="G220" t="s">
        <v>30</v>
      </c>
      <c r="H220" t="s">
        <v>37</v>
      </c>
      <c r="I220" t="s">
        <v>260</v>
      </c>
      <c r="J220" t="s">
        <v>312</v>
      </c>
      <c r="K220">
        <v>338.57</v>
      </c>
      <c r="L220" s="166">
        <v>337.58929999999998</v>
      </c>
      <c r="M220">
        <v>0.98</v>
      </c>
      <c r="N220">
        <v>0.1</v>
      </c>
      <c r="O220" s="8">
        <v>1</v>
      </c>
      <c r="P220">
        <v>337.57</v>
      </c>
      <c r="Q220" s="166">
        <v>1.9300000000000001E-2</v>
      </c>
      <c r="R220" s="174" t="s">
        <v>1142</v>
      </c>
      <c r="S220">
        <v>100</v>
      </c>
      <c r="T220">
        <v>80</v>
      </c>
      <c r="U220" t="s">
        <v>78</v>
      </c>
      <c r="V220" t="s">
        <v>1082</v>
      </c>
      <c r="W220">
        <v>0</v>
      </c>
      <c r="X220" t="s">
        <v>43</v>
      </c>
      <c r="Y220" t="s">
        <v>294</v>
      </c>
      <c r="Z220">
        <v>100</v>
      </c>
      <c r="AC220" s="4" t="s">
        <v>805</v>
      </c>
      <c r="AD220" s="8">
        <v>1910000</v>
      </c>
      <c r="AE220" s="4" t="s">
        <v>808</v>
      </c>
      <c r="AF220" s="8">
        <v>1910008</v>
      </c>
      <c r="AG220" s="4" t="s">
        <v>810</v>
      </c>
      <c r="AH220" s="8">
        <v>1910008</v>
      </c>
    </row>
    <row r="221" spans="1:34" x14ac:dyDescent="0.25">
      <c r="A221" s="176" t="s">
        <v>1406</v>
      </c>
      <c r="B221" t="s">
        <v>87</v>
      </c>
      <c r="C221" t="s">
        <v>278</v>
      </c>
      <c r="D221" t="s">
        <v>457</v>
      </c>
      <c r="E221" t="s">
        <v>291</v>
      </c>
      <c r="F221" t="s">
        <v>30</v>
      </c>
      <c r="G221" t="s">
        <v>30</v>
      </c>
      <c r="H221" t="s">
        <v>37</v>
      </c>
      <c r="I221" t="s">
        <v>260</v>
      </c>
      <c r="J221" t="s">
        <v>312</v>
      </c>
      <c r="K221">
        <v>176.27</v>
      </c>
      <c r="L221" s="166">
        <v>175.2893</v>
      </c>
      <c r="M221">
        <v>0.98</v>
      </c>
      <c r="N221">
        <v>0.1</v>
      </c>
      <c r="O221" s="8">
        <v>1</v>
      </c>
      <c r="P221">
        <v>175.27</v>
      </c>
      <c r="Q221" s="166">
        <v>1.9300000000000001E-2</v>
      </c>
      <c r="R221" s="174" t="s">
        <v>1142</v>
      </c>
      <c r="S221">
        <v>100</v>
      </c>
      <c r="T221">
        <v>80</v>
      </c>
      <c r="U221" t="s">
        <v>78</v>
      </c>
      <c r="V221" t="s">
        <v>1082</v>
      </c>
      <c r="W221">
        <v>0</v>
      </c>
      <c r="X221" t="s">
        <v>43</v>
      </c>
      <c r="Y221" t="s">
        <v>294</v>
      </c>
      <c r="Z221">
        <v>100</v>
      </c>
      <c r="AC221" s="4" t="s">
        <v>805</v>
      </c>
      <c r="AD221" s="8">
        <v>1910000</v>
      </c>
      <c r="AE221" s="4" t="s">
        <v>808</v>
      </c>
      <c r="AF221" s="8">
        <v>1910008</v>
      </c>
      <c r="AG221" s="4" t="s">
        <v>810</v>
      </c>
      <c r="AH221" s="8">
        <v>1910008</v>
      </c>
    </row>
    <row r="222" spans="1:34" x14ac:dyDescent="0.25">
      <c r="A222" s="176" t="s">
        <v>1407</v>
      </c>
      <c r="B222" t="s">
        <v>87</v>
      </c>
      <c r="C222" t="s">
        <v>278</v>
      </c>
      <c r="D222" t="s">
        <v>458</v>
      </c>
      <c r="E222" t="s">
        <v>291</v>
      </c>
      <c r="F222" t="s">
        <v>30</v>
      </c>
      <c r="G222" t="s">
        <v>30</v>
      </c>
      <c r="H222" t="s">
        <v>37</v>
      </c>
      <c r="I222" t="s">
        <v>260</v>
      </c>
      <c r="J222" t="s">
        <v>312</v>
      </c>
      <c r="K222">
        <v>124.68</v>
      </c>
      <c r="L222" s="166">
        <v>123.69930000000001</v>
      </c>
      <c r="M222">
        <v>0.98</v>
      </c>
      <c r="N222">
        <v>0.1</v>
      </c>
      <c r="O222" s="8">
        <v>1</v>
      </c>
      <c r="P222">
        <v>123.68</v>
      </c>
      <c r="Q222" s="166">
        <v>1.9300000000000001E-2</v>
      </c>
      <c r="R222" s="174" t="s">
        <v>1142</v>
      </c>
      <c r="S222">
        <v>100</v>
      </c>
      <c r="T222">
        <v>80</v>
      </c>
      <c r="U222" t="s">
        <v>78</v>
      </c>
      <c r="V222" t="s">
        <v>1082</v>
      </c>
      <c r="W222">
        <v>0</v>
      </c>
      <c r="X222" t="s">
        <v>43</v>
      </c>
      <c r="Y222" t="s">
        <v>294</v>
      </c>
      <c r="Z222">
        <v>100</v>
      </c>
      <c r="AC222" s="4" t="s">
        <v>805</v>
      </c>
      <c r="AD222" s="8">
        <v>1910000</v>
      </c>
      <c r="AE222" s="4" t="s">
        <v>808</v>
      </c>
      <c r="AF222" s="8">
        <v>1910008</v>
      </c>
      <c r="AG222" s="4" t="s">
        <v>810</v>
      </c>
      <c r="AH222" s="8">
        <v>1910008</v>
      </c>
    </row>
    <row r="223" spans="1:34" x14ac:dyDescent="0.25">
      <c r="A223" s="176" t="s">
        <v>1408</v>
      </c>
      <c r="B223" t="s">
        <v>87</v>
      </c>
      <c r="C223" t="s">
        <v>278</v>
      </c>
      <c r="D223" t="s">
        <v>459</v>
      </c>
      <c r="E223" t="s">
        <v>291</v>
      </c>
      <c r="F223" t="s">
        <v>30</v>
      </c>
      <c r="G223" t="s">
        <v>30</v>
      </c>
      <c r="H223" t="s">
        <v>37</v>
      </c>
      <c r="I223" t="s">
        <v>260</v>
      </c>
      <c r="J223" t="s">
        <v>312</v>
      </c>
      <c r="K223">
        <v>124.68</v>
      </c>
      <c r="L223" s="166">
        <v>123.69930000000001</v>
      </c>
      <c r="M223">
        <v>0.98</v>
      </c>
      <c r="N223">
        <v>0.1</v>
      </c>
      <c r="O223" s="8">
        <v>1</v>
      </c>
      <c r="P223">
        <v>123.68</v>
      </c>
      <c r="Q223" s="166">
        <v>1.9300000000000001E-2</v>
      </c>
      <c r="R223" s="174" t="s">
        <v>1142</v>
      </c>
      <c r="S223">
        <v>100</v>
      </c>
      <c r="T223">
        <v>80</v>
      </c>
      <c r="U223" t="s">
        <v>78</v>
      </c>
      <c r="V223" t="s">
        <v>1082</v>
      </c>
      <c r="W223">
        <v>0</v>
      </c>
      <c r="X223" t="s">
        <v>43</v>
      </c>
      <c r="Y223" t="s">
        <v>294</v>
      </c>
      <c r="Z223">
        <v>100</v>
      </c>
      <c r="AC223" s="4" t="s">
        <v>805</v>
      </c>
      <c r="AD223" s="8">
        <v>1910000</v>
      </c>
      <c r="AE223" s="4" t="s">
        <v>808</v>
      </c>
      <c r="AF223" s="8">
        <v>1910008</v>
      </c>
      <c r="AG223" s="4" t="s">
        <v>810</v>
      </c>
      <c r="AH223" s="8">
        <v>1910008</v>
      </c>
    </row>
    <row r="224" spans="1:34" x14ac:dyDescent="0.25">
      <c r="A224" s="176" t="s">
        <v>1409</v>
      </c>
      <c r="B224" t="s">
        <v>87</v>
      </c>
      <c r="C224" t="s">
        <v>278</v>
      </c>
      <c r="D224" t="s">
        <v>460</v>
      </c>
      <c r="E224" t="s">
        <v>291</v>
      </c>
      <c r="F224" t="s">
        <v>30</v>
      </c>
      <c r="G224" t="s">
        <v>30</v>
      </c>
      <c r="H224" t="s">
        <v>37</v>
      </c>
      <c r="I224" t="s">
        <v>260</v>
      </c>
      <c r="J224" t="s">
        <v>312</v>
      </c>
      <c r="K224">
        <v>117.16</v>
      </c>
      <c r="L224" s="166">
        <v>116.1793</v>
      </c>
      <c r="M224">
        <v>0.98</v>
      </c>
      <c r="N224">
        <v>0.1</v>
      </c>
      <c r="O224" s="8">
        <v>1</v>
      </c>
      <c r="P224">
        <v>116.16</v>
      </c>
      <c r="Q224" s="166">
        <v>1.9300000000000001E-2</v>
      </c>
      <c r="R224" s="174" t="s">
        <v>1142</v>
      </c>
      <c r="S224">
        <v>100</v>
      </c>
      <c r="T224">
        <v>80</v>
      </c>
      <c r="U224" t="s">
        <v>78</v>
      </c>
      <c r="V224" t="s">
        <v>1082</v>
      </c>
      <c r="W224">
        <v>0</v>
      </c>
      <c r="X224" t="s">
        <v>43</v>
      </c>
      <c r="Y224" t="s">
        <v>294</v>
      </c>
      <c r="Z224">
        <v>100</v>
      </c>
      <c r="AC224" s="4" t="s">
        <v>805</v>
      </c>
      <c r="AD224" s="8">
        <v>1910000</v>
      </c>
      <c r="AE224" s="4" t="s">
        <v>808</v>
      </c>
      <c r="AF224" s="8">
        <v>1910008</v>
      </c>
      <c r="AG224" s="4" t="s">
        <v>810</v>
      </c>
      <c r="AH224" s="8">
        <v>1910008</v>
      </c>
    </row>
    <row r="225" spans="1:34" x14ac:dyDescent="0.25">
      <c r="A225" s="176" t="s">
        <v>1410</v>
      </c>
      <c r="B225" t="s">
        <v>87</v>
      </c>
      <c r="C225" t="s">
        <v>278</v>
      </c>
      <c r="D225" t="s">
        <v>461</v>
      </c>
      <c r="E225" t="s">
        <v>291</v>
      </c>
      <c r="F225" t="s">
        <v>30</v>
      </c>
      <c r="G225" t="s">
        <v>30</v>
      </c>
      <c r="H225" t="s">
        <v>37</v>
      </c>
      <c r="I225" t="s">
        <v>260</v>
      </c>
      <c r="J225" t="s">
        <v>312</v>
      </c>
      <c r="K225">
        <v>117.16</v>
      </c>
      <c r="L225" s="166">
        <v>116.1793</v>
      </c>
      <c r="M225">
        <v>0.98</v>
      </c>
      <c r="N225">
        <v>0.1</v>
      </c>
      <c r="O225" s="8">
        <v>1</v>
      </c>
      <c r="P225">
        <v>116.16</v>
      </c>
      <c r="Q225" s="166">
        <v>1.9300000000000001E-2</v>
      </c>
      <c r="R225" s="174" t="s">
        <v>1142</v>
      </c>
      <c r="S225">
        <v>100</v>
      </c>
      <c r="T225">
        <v>80</v>
      </c>
      <c r="U225" t="s">
        <v>78</v>
      </c>
      <c r="V225" t="s">
        <v>1082</v>
      </c>
      <c r="W225">
        <v>0</v>
      </c>
      <c r="X225" t="s">
        <v>43</v>
      </c>
      <c r="Y225" t="s">
        <v>294</v>
      </c>
      <c r="Z225">
        <v>100</v>
      </c>
      <c r="AC225" s="4" t="s">
        <v>805</v>
      </c>
      <c r="AD225" s="8">
        <v>1910000</v>
      </c>
      <c r="AE225" s="4" t="s">
        <v>808</v>
      </c>
      <c r="AF225" s="8">
        <v>1910008</v>
      </c>
      <c r="AG225" s="4" t="s">
        <v>810</v>
      </c>
      <c r="AH225" s="8">
        <v>1910008</v>
      </c>
    </row>
    <row r="226" spans="1:34" x14ac:dyDescent="0.25">
      <c r="A226" s="176" t="s">
        <v>1411</v>
      </c>
      <c r="B226" t="s">
        <v>87</v>
      </c>
      <c r="C226" t="s">
        <v>278</v>
      </c>
      <c r="D226" t="s">
        <v>462</v>
      </c>
      <c r="E226" t="s">
        <v>291</v>
      </c>
      <c r="F226" t="s">
        <v>30</v>
      </c>
      <c r="G226" t="s">
        <v>30</v>
      </c>
      <c r="H226" t="s">
        <v>37</v>
      </c>
      <c r="I226" t="s">
        <v>260</v>
      </c>
      <c r="J226" t="s">
        <v>312</v>
      </c>
      <c r="K226">
        <v>293.43</v>
      </c>
      <c r="L226" s="166">
        <v>292.44929999999999</v>
      </c>
      <c r="M226">
        <v>0.98</v>
      </c>
      <c r="N226">
        <v>0.1</v>
      </c>
      <c r="O226" s="8">
        <v>1</v>
      </c>
      <c r="P226">
        <v>292.43</v>
      </c>
      <c r="Q226" s="166">
        <v>1.9300000000000001E-2</v>
      </c>
      <c r="R226" s="174" t="s">
        <v>1142</v>
      </c>
      <c r="S226">
        <v>100</v>
      </c>
      <c r="T226">
        <v>80</v>
      </c>
      <c r="U226" t="s">
        <v>78</v>
      </c>
      <c r="V226" t="s">
        <v>1082</v>
      </c>
      <c r="W226">
        <v>0</v>
      </c>
      <c r="X226" t="s">
        <v>43</v>
      </c>
      <c r="Y226" t="s">
        <v>294</v>
      </c>
      <c r="Z226">
        <v>100</v>
      </c>
      <c r="AC226" s="4" t="s">
        <v>805</v>
      </c>
      <c r="AD226" s="8">
        <v>1910000</v>
      </c>
      <c r="AE226" s="4" t="s">
        <v>808</v>
      </c>
      <c r="AF226" s="8">
        <v>1910008</v>
      </c>
      <c r="AG226" s="4" t="s">
        <v>810</v>
      </c>
      <c r="AH226" s="8">
        <v>1910008</v>
      </c>
    </row>
    <row r="227" spans="1:34" x14ac:dyDescent="0.25">
      <c r="A227" s="176" t="s">
        <v>1412</v>
      </c>
      <c r="B227" t="s">
        <v>87</v>
      </c>
      <c r="C227" t="s">
        <v>278</v>
      </c>
      <c r="D227" t="s">
        <v>463</v>
      </c>
      <c r="E227" t="s">
        <v>291</v>
      </c>
      <c r="F227" t="s">
        <v>30</v>
      </c>
      <c r="G227" t="s">
        <v>30</v>
      </c>
      <c r="H227" t="s">
        <v>37</v>
      </c>
      <c r="I227" t="s">
        <v>260</v>
      </c>
      <c r="J227" t="s">
        <v>312</v>
      </c>
      <c r="K227">
        <v>346.1</v>
      </c>
      <c r="L227" s="166">
        <v>345.11930000000001</v>
      </c>
      <c r="M227">
        <v>0.98</v>
      </c>
      <c r="N227">
        <v>0.1</v>
      </c>
      <c r="O227" s="8">
        <v>1</v>
      </c>
      <c r="P227">
        <v>345.1</v>
      </c>
      <c r="Q227" s="166">
        <v>1.9300000000000001E-2</v>
      </c>
      <c r="R227" s="174" t="s">
        <v>1142</v>
      </c>
      <c r="S227">
        <v>100</v>
      </c>
      <c r="T227">
        <v>200</v>
      </c>
      <c r="U227" t="s">
        <v>78</v>
      </c>
      <c r="V227" t="s">
        <v>1082</v>
      </c>
      <c r="W227">
        <v>0</v>
      </c>
      <c r="X227" t="s">
        <v>43</v>
      </c>
      <c r="Y227" t="s">
        <v>294</v>
      </c>
      <c r="Z227">
        <v>300</v>
      </c>
      <c r="AC227" s="4" t="s">
        <v>805</v>
      </c>
      <c r="AD227" s="8">
        <v>1910000</v>
      </c>
      <c r="AE227" s="4" t="s">
        <v>808</v>
      </c>
      <c r="AF227" s="8">
        <v>1910008</v>
      </c>
      <c r="AG227" s="4" t="s">
        <v>810</v>
      </c>
      <c r="AH227" s="8">
        <v>1910008</v>
      </c>
    </row>
    <row r="228" spans="1:34" x14ac:dyDescent="0.25">
      <c r="A228" s="176" t="s">
        <v>1413</v>
      </c>
      <c r="B228" t="s">
        <v>87</v>
      </c>
      <c r="C228" t="s">
        <v>278</v>
      </c>
      <c r="D228" t="s">
        <v>464</v>
      </c>
      <c r="E228" t="s">
        <v>291</v>
      </c>
      <c r="F228" t="s">
        <v>30</v>
      </c>
      <c r="G228" t="s">
        <v>30</v>
      </c>
      <c r="H228" t="s">
        <v>37</v>
      </c>
      <c r="I228" t="s">
        <v>260</v>
      </c>
      <c r="J228" t="s">
        <v>312</v>
      </c>
      <c r="K228">
        <v>243.99</v>
      </c>
      <c r="L228" s="166">
        <v>243.0093</v>
      </c>
      <c r="M228">
        <v>0.98</v>
      </c>
      <c r="N228">
        <v>0.1</v>
      </c>
      <c r="O228" s="8">
        <v>1</v>
      </c>
      <c r="P228">
        <v>242.99</v>
      </c>
      <c r="Q228" s="166">
        <v>1.9300000000000001E-2</v>
      </c>
      <c r="R228" s="174" t="s">
        <v>1142</v>
      </c>
      <c r="S228">
        <v>100</v>
      </c>
      <c r="T228">
        <v>200</v>
      </c>
      <c r="U228" t="s">
        <v>78</v>
      </c>
      <c r="V228" t="s">
        <v>1082</v>
      </c>
      <c r="W228">
        <v>0</v>
      </c>
      <c r="X228" t="s">
        <v>43</v>
      </c>
      <c r="Y228" t="s">
        <v>294</v>
      </c>
      <c r="Z228">
        <v>300</v>
      </c>
      <c r="AC228" s="4" t="s">
        <v>805</v>
      </c>
      <c r="AD228" s="8">
        <v>1910000</v>
      </c>
      <c r="AE228" s="4" t="s">
        <v>808</v>
      </c>
      <c r="AF228" s="8">
        <v>1910008</v>
      </c>
      <c r="AG228" s="4" t="s">
        <v>810</v>
      </c>
      <c r="AH228" s="8">
        <v>1910008</v>
      </c>
    </row>
    <row r="229" spans="1:34" x14ac:dyDescent="0.25">
      <c r="A229" s="176" t="s">
        <v>1414</v>
      </c>
      <c r="B229" t="s">
        <v>87</v>
      </c>
      <c r="C229" t="s">
        <v>278</v>
      </c>
      <c r="D229" t="s">
        <v>465</v>
      </c>
      <c r="E229" t="s">
        <v>291</v>
      </c>
      <c r="F229" t="s">
        <v>30</v>
      </c>
      <c r="G229" t="s">
        <v>30</v>
      </c>
      <c r="H229" t="s">
        <v>37</v>
      </c>
      <c r="I229" t="s">
        <v>260</v>
      </c>
      <c r="J229" t="s">
        <v>312</v>
      </c>
      <c r="K229">
        <v>243.99</v>
      </c>
      <c r="L229" s="166">
        <v>243.0093</v>
      </c>
      <c r="M229">
        <v>0.98</v>
      </c>
      <c r="N229">
        <v>0.1</v>
      </c>
      <c r="O229" s="8">
        <v>1</v>
      </c>
      <c r="P229">
        <v>242.99</v>
      </c>
      <c r="Q229" s="166">
        <v>1.9300000000000001E-2</v>
      </c>
      <c r="R229" s="174" t="s">
        <v>1142</v>
      </c>
      <c r="S229">
        <v>100</v>
      </c>
      <c r="T229">
        <v>36000</v>
      </c>
      <c r="U229" t="s">
        <v>78</v>
      </c>
      <c r="V229" t="s">
        <v>1082</v>
      </c>
      <c r="W229">
        <v>0</v>
      </c>
      <c r="X229" t="s">
        <v>43</v>
      </c>
      <c r="Y229" t="s">
        <v>294</v>
      </c>
      <c r="Z229">
        <v>45300</v>
      </c>
      <c r="AC229" s="4" t="s">
        <v>805</v>
      </c>
      <c r="AD229" s="8">
        <v>1910000</v>
      </c>
      <c r="AE229" s="4" t="s">
        <v>808</v>
      </c>
      <c r="AF229" s="8">
        <v>1910008</v>
      </c>
      <c r="AG229" s="4" t="s">
        <v>810</v>
      </c>
      <c r="AH229" s="8">
        <v>1910008</v>
      </c>
    </row>
    <row r="230" spans="1:34" x14ac:dyDescent="0.25">
      <c r="A230" s="176" t="s">
        <v>1415</v>
      </c>
      <c r="B230" t="s">
        <v>87</v>
      </c>
      <c r="C230" t="s">
        <v>278</v>
      </c>
      <c r="D230" t="s">
        <v>466</v>
      </c>
      <c r="E230" t="s">
        <v>291</v>
      </c>
      <c r="F230" t="s">
        <v>30</v>
      </c>
      <c r="G230" t="s">
        <v>30</v>
      </c>
      <c r="H230" t="s">
        <v>37</v>
      </c>
      <c r="I230" t="s">
        <v>86</v>
      </c>
      <c r="J230" t="s">
        <v>292</v>
      </c>
      <c r="K230">
        <v>59761.15</v>
      </c>
      <c r="L230" s="166">
        <v>57961.251676</v>
      </c>
      <c r="M230">
        <v>1799.9</v>
      </c>
      <c r="N230">
        <v>183.53</v>
      </c>
      <c r="O230" s="8">
        <v>1835.32</v>
      </c>
      <c r="P230">
        <v>57925.83</v>
      </c>
      <c r="Q230" s="166">
        <v>35.421675999999998</v>
      </c>
      <c r="R230" s="174" t="s">
        <v>1142</v>
      </c>
      <c r="S230">
        <v>100</v>
      </c>
      <c r="T230">
        <v>22000</v>
      </c>
      <c r="U230" t="s">
        <v>78</v>
      </c>
      <c r="V230" t="s">
        <v>1082</v>
      </c>
      <c r="W230">
        <v>0</v>
      </c>
      <c r="X230" t="s">
        <v>43</v>
      </c>
      <c r="Y230" t="s">
        <v>294</v>
      </c>
      <c r="Z230">
        <v>27700</v>
      </c>
      <c r="AC230" s="4" t="s">
        <v>805</v>
      </c>
      <c r="AD230" s="8">
        <v>1910000</v>
      </c>
      <c r="AE230" s="4" t="s">
        <v>808</v>
      </c>
      <c r="AF230" s="8">
        <v>1910008</v>
      </c>
      <c r="AG230" s="4" t="s">
        <v>810</v>
      </c>
      <c r="AH230" s="8">
        <v>1910008</v>
      </c>
    </row>
    <row r="231" spans="1:34" x14ac:dyDescent="0.25">
      <c r="A231" s="176" t="s">
        <v>1416</v>
      </c>
      <c r="B231" t="s">
        <v>87</v>
      </c>
      <c r="C231" t="s">
        <v>278</v>
      </c>
      <c r="D231" t="s">
        <v>467</v>
      </c>
      <c r="E231" t="s">
        <v>291</v>
      </c>
      <c r="F231" t="s">
        <v>30</v>
      </c>
      <c r="G231" t="s">
        <v>30</v>
      </c>
      <c r="H231" t="s">
        <v>37</v>
      </c>
      <c r="I231" t="s">
        <v>86</v>
      </c>
      <c r="J231" t="s">
        <v>292</v>
      </c>
      <c r="K231">
        <v>21831.09</v>
      </c>
      <c r="L231" s="166">
        <v>21387.735143999998</v>
      </c>
      <c r="M231">
        <v>443.35</v>
      </c>
      <c r="N231">
        <v>45.21</v>
      </c>
      <c r="O231" s="8">
        <v>452.08</v>
      </c>
      <c r="P231">
        <v>21379.01</v>
      </c>
      <c r="Q231" s="166">
        <v>8.725144000000034</v>
      </c>
      <c r="R231" s="174" t="s">
        <v>1142</v>
      </c>
      <c r="S231">
        <v>100</v>
      </c>
      <c r="T231">
        <v>23200</v>
      </c>
      <c r="U231" t="s">
        <v>78</v>
      </c>
      <c r="V231" t="s">
        <v>1082</v>
      </c>
      <c r="W231">
        <v>0</v>
      </c>
      <c r="X231" t="s">
        <v>43</v>
      </c>
      <c r="Y231" t="s">
        <v>294</v>
      </c>
      <c r="Z231">
        <v>29200</v>
      </c>
      <c r="AC231" s="4" t="s">
        <v>805</v>
      </c>
      <c r="AD231" s="8">
        <v>1910000</v>
      </c>
      <c r="AE231" s="4" t="s">
        <v>808</v>
      </c>
      <c r="AF231" s="8">
        <v>1910008</v>
      </c>
      <c r="AG231" s="4" t="s">
        <v>810</v>
      </c>
      <c r="AH231" s="8">
        <v>1910008</v>
      </c>
    </row>
    <row r="232" spans="1:34" x14ac:dyDescent="0.25">
      <c r="A232" s="176" t="s">
        <v>1417</v>
      </c>
      <c r="B232" t="s">
        <v>87</v>
      </c>
      <c r="C232" t="s">
        <v>278</v>
      </c>
      <c r="D232" t="s">
        <v>468</v>
      </c>
      <c r="E232" t="s">
        <v>291</v>
      </c>
      <c r="F232" t="s">
        <v>30</v>
      </c>
      <c r="G232" t="s">
        <v>30</v>
      </c>
      <c r="H232" t="s">
        <v>37</v>
      </c>
      <c r="I232" t="s">
        <v>86</v>
      </c>
      <c r="J232" t="s">
        <v>292</v>
      </c>
      <c r="K232">
        <v>23200.44</v>
      </c>
      <c r="L232" s="166">
        <v>22558.405131</v>
      </c>
      <c r="M232">
        <v>642.03</v>
      </c>
      <c r="N232">
        <v>65.47</v>
      </c>
      <c r="O232" s="8">
        <v>654.66999999999996</v>
      </c>
      <c r="P232">
        <v>22545.77</v>
      </c>
      <c r="Q232" s="166">
        <v>12.635130999999967</v>
      </c>
      <c r="R232" s="174" t="s">
        <v>1142</v>
      </c>
      <c r="S232">
        <v>100</v>
      </c>
      <c r="T232">
        <v>39300</v>
      </c>
      <c r="U232" t="s">
        <v>78</v>
      </c>
      <c r="V232" t="s">
        <v>1082</v>
      </c>
      <c r="W232">
        <v>0</v>
      </c>
      <c r="X232" t="s">
        <v>43</v>
      </c>
      <c r="Y232" t="s">
        <v>294</v>
      </c>
      <c r="Z232">
        <v>49500</v>
      </c>
      <c r="AC232" s="4" t="s">
        <v>805</v>
      </c>
      <c r="AD232" s="8">
        <v>1910000</v>
      </c>
      <c r="AE232" s="4" t="s">
        <v>808</v>
      </c>
      <c r="AF232" s="8">
        <v>1910008</v>
      </c>
      <c r="AG232" s="4" t="s">
        <v>810</v>
      </c>
      <c r="AH232" s="8">
        <v>1910008</v>
      </c>
    </row>
    <row r="233" spans="1:34" x14ac:dyDescent="0.25">
      <c r="A233" s="176" t="s">
        <v>1418</v>
      </c>
      <c r="B233" t="s">
        <v>87</v>
      </c>
      <c r="C233" t="s">
        <v>278</v>
      </c>
      <c r="D233" t="s">
        <v>469</v>
      </c>
      <c r="E233" t="s">
        <v>291</v>
      </c>
      <c r="F233" t="s">
        <v>30</v>
      </c>
      <c r="G233" t="s">
        <v>30</v>
      </c>
      <c r="H233" t="s">
        <v>37</v>
      </c>
      <c r="I233" t="s">
        <v>91</v>
      </c>
      <c r="J233" t="s">
        <v>292</v>
      </c>
      <c r="K233">
        <v>52341.53</v>
      </c>
      <c r="L233" s="166">
        <v>28040.647015999999</v>
      </c>
      <c r="M233">
        <v>24300.880000000001</v>
      </c>
      <c r="N233">
        <v>2477.91</v>
      </c>
      <c r="O233" s="8">
        <v>24779.119999999999</v>
      </c>
      <c r="P233">
        <v>27562.41</v>
      </c>
      <c r="Q233" s="166">
        <v>478.23701599999998</v>
      </c>
      <c r="R233" s="174" t="s">
        <v>1142</v>
      </c>
      <c r="S233">
        <v>100</v>
      </c>
      <c r="T233">
        <v>34100</v>
      </c>
      <c r="U233" t="s">
        <v>78</v>
      </c>
      <c r="V233" t="s">
        <v>1082</v>
      </c>
      <c r="W233">
        <v>0</v>
      </c>
      <c r="X233" t="s">
        <v>43</v>
      </c>
      <c r="Y233" t="s">
        <v>294</v>
      </c>
      <c r="Z233">
        <v>43000</v>
      </c>
      <c r="AC233" s="4" t="s">
        <v>805</v>
      </c>
      <c r="AD233" s="8">
        <v>1910000</v>
      </c>
      <c r="AE233" s="4" t="s">
        <v>808</v>
      </c>
      <c r="AF233" s="8">
        <v>1910008</v>
      </c>
      <c r="AG233" s="4" t="s">
        <v>810</v>
      </c>
      <c r="AH233" s="8">
        <v>1910008</v>
      </c>
    </row>
    <row r="234" spans="1:34" x14ac:dyDescent="0.25">
      <c r="A234" s="176" t="s">
        <v>1419</v>
      </c>
      <c r="B234" t="s">
        <v>87</v>
      </c>
      <c r="C234" t="s">
        <v>278</v>
      </c>
      <c r="D234" t="s">
        <v>470</v>
      </c>
      <c r="E234" t="s">
        <v>291</v>
      </c>
      <c r="F234" t="s">
        <v>30</v>
      </c>
      <c r="G234" t="s">
        <v>30</v>
      </c>
      <c r="H234" t="s">
        <v>37</v>
      </c>
      <c r="I234" t="s">
        <v>91</v>
      </c>
      <c r="J234" t="s">
        <v>292</v>
      </c>
      <c r="K234">
        <v>43778.27</v>
      </c>
      <c r="L234" s="166">
        <v>25170.791830999999</v>
      </c>
      <c r="M234">
        <v>18607.48</v>
      </c>
      <c r="N234">
        <v>1897.37</v>
      </c>
      <c r="O234" s="8">
        <v>18973.669999999998</v>
      </c>
      <c r="P234">
        <v>24804.6</v>
      </c>
      <c r="Q234" s="166">
        <v>366.19183099999998</v>
      </c>
      <c r="R234" s="174" t="s">
        <v>1142</v>
      </c>
      <c r="S234">
        <v>100</v>
      </c>
      <c r="T234">
        <v>39300</v>
      </c>
      <c r="U234" t="s">
        <v>78</v>
      </c>
      <c r="V234" t="s">
        <v>1082</v>
      </c>
      <c r="W234">
        <v>0</v>
      </c>
      <c r="X234" t="s">
        <v>43</v>
      </c>
      <c r="Y234" t="s">
        <v>294</v>
      </c>
      <c r="Z234">
        <v>49500</v>
      </c>
      <c r="AC234" s="4" t="s">
        <v>805</v>
      </c>
      <c r="AD234" s="8">
        <v>1910000</v>
      </c>
      <c r="AE234" s="4" t="s">
        <v>808</v>
      </c>
      <c r="AF234" s="8">
        <v>1910008</v>
      </c>
      <c r="AG234" s="4" t="s">
        <v>810</v>
      </c>
      <c r="AH234" s="8">
        <v>1910008</v>
      </c>
    </row>
    <row r="235" spans="1:34" x14ac:dyDescent="0.25">
      <c r="A235" s="176" t="s">
        <v>1420</v>
      </c>
      <c r="B235" t="s">
        <v>87</v>
      </c>
      <c r="C235" t="s">
        <v>278</v>
      </c>
      <c r="D235" t="s">
        <v>471</v>
      </c>
      <c r="E235" t="s">
        <v>291</v>
      </c>
      <c r="F235" t="s">
        <v>30</v>
      </c>
      <c r="G235" t="s">
        <v>30</v>
      </c>
      <c r="H235" t="s">
        <v>37</v>
      </c>
      <c r="I235" t="s">
        <v>91</v>
      </c>
      <c r="J235" t="s">
        <v>292</v>
      </c>
      <c r="K235">
        <v>52341.53</v>
      </c>
      <c r="L235" s="166">
        <v>27504.076624999998</v>
      </c>
      <c r="M235">
        <v>24837.45</v>
      </c>
      <c r="N235">
        <v>2532.62</v>
      </c>
      <c r="O235" s="8">
        <v>25326.25</v>
      </c>
      <c r="P235">
        <v>27015.279999999999</v>
      </c>
      <c r="Q235" s="166">
        <v>488.79662500000001</v>
      </c>
      <c r="R235" s="174" t="s">
        <v>1142</v>
      </c>
      <c r="S235">
        <v>100</v>
      </c>
      <c r="T235">
        <v>34100</v>
      </c>
      <c r="U235" t="s">
        <v>78</v>
      </c>
      <c r="V235" t="s">
        <v>1082</v>
      </c>
      <c r="W235">
        <v>0</v>
      </c>
      <c r="X235" t="s">
        <v>43</v>
      </c>
      <c r="Y235" t="s">
        <v>294</v>
      </c>
      <c r="Z235">
        <v>43000</v>
      </c>
      <c r="AC235" s="4" t="s">
        <v>805</v>
      </c>
      <c r="AD235" s="8">
        <v>1910000</v>
      </c>
      <c r="AE235" s="4" t="s">
        <v>808</v>
      </c>
      <c r="AF235" s="8">
        <v>1910008</v>
      </c>
      <c r="AG235" s="4" t="s">
        <v>810</v>
      </c>
      <c r="AH235" s="8">
        <v>1910008</v>
      </c>
    </row>
    <row r="236" spans="1:34" x14ac:dyDescent="0.25">
      <c r="A236" s="176" t="s">
        <v>1421</v>
      </c>
      <c r="B236" t="s">
        <v>87</v>
      </c>
      <c r="C236" t="s">
        <v>278</v>
      </c>
      <c r="D236" t="s">
        <v>472</v>
      </c>
      <c r="E236" t="s">
        <v>291</v>
      </c>
      <c r="F236" t="s">
        <v>30</v>
      </c>
      <c r="G236" t="s">
        <v>30</v>
      </c>
      <c r="H236" t="s">
        <v>37</v>
      </c>
      <c r="I236" t="s">
        <v>91</v>
      </c>
      <c r="J236" t="s">
        <v>292</v>
      </c>
      <c r="K236">
        <v>43778.27</v>
      </c>
      <c r="L236" s="166">
        <v>28968.238756999999</v>
      </c>
      <c r="M236">
        <v>14810.03</v>
      </c>
      <c r="N236">
        <v>1510.15</v>
      </c>
      <c r="O236" s="8">
        <v>15101.49</v>
      </c>
      <c r="P236">
        <v>28676.78</v>
      </c>
      <c r="Q236" s="166">
        <v>291.45875699999999</v>
      </c>
      <c r="R236" s="174" t="s">
        <v>1142</v>
      </c>
      <c r="S236">
        <v>100</v>
      </c>
      <c r="T236">
        <v>38300</v>
      </c>
      <c r="U236" t="s">
        <v>78</v>
      </c>
      <c r="V236" t="s">
        <v>1082</v>
      </c>
      <c r="W236">
        <v>0</v>
      </c>
      <c r="X236" t="s">
        <v>43</v>
      </c>
      <c r="Y236" t="s">
        <v>294</v>
      </c>
      <c r="Z236">
        <v>48300</v>
      </c>
      <c r="AC236" s="4" t="s">
        <v>805</v>
      </c>
      <c r="AD236" s="8">
        <v>1910000</v>
      </c>
      <c r="AE236" s="4" t="s">
        <v>808</v>
      </c>
      <c r="AF236" s="8">
        <v>1910008</v>
      </c>
      <c r="AG236" s="4" t="s">
        <v>810</v>
      </c>
      <c r="AH236" s="8">
        <v>1910008</v>
      </c>
    </row>
    <row r="237" spans="1:34" x14ac:dyDescent="0.25">
      <c r="A237" s="176" t="s">
        <v>1422</v>
      </c>
      <c r="B237" t="s">
        <v>87</v>
      </c>
      <c r="C237" t="s">
        <v>278</v>
      </c>
      <c r="D237" t="s">
        <v>473</v>
      </c>
      <c r="E237" t="s">
        <v>291</v>
      </c>
      <c r="F237" t="s">
        <v>30</v>
      </c>
      <c r="G237" t="s">
        <v>30</v>
      </c>
      <c r="H237" t="s">
        <v>37</v>
      </c>
      <c r="I237" t="s">
        <v>91</v>
      </c>
      <c r="J237" t="s">
        <v>292</v>
      </c>
      <c r="K237">
        <v>51823.45</v>
      </c>
      <c r="L237" s="166">
        <v>28014.741117999998</v>
      </c>
      <c r="M237">
        <v>23808.71</v>
      </c>
      <c r="N237">
        <v>2427.73</v>
      </c>
      <c r="O237" s="8">
        <v>24277.26</v>
      </c>
      <c r="P237">
        <v>27546.19</v>
      </c>
      <c r="Q237" s="166">
        <v>468.55111799999997</v>
      </c>
      <c r="R237" s="174" t="s">
        <v>1142</v>
      </c>
      <c r="S237">
        <v>100</v>
      </c>
      <c r="T237">
        <v>34000</v>
      </c>
      <c r="U237" t="s">
        <v>78</v>
      </c>
      <c r="V237" t="s">
        <v>1082</v>
      </c>
      <c r="W237">
        <v>0</v>
      </c>
      <c r="X237" t="s">
        <v>43</v>
      </c>
      <c r="Y237" t="s">
        <v>294</v>
      </c>
      <c r="Z237">
        <v>42800</v>
      </c>
      <c r="AC237" s="4" t="s">
        <v>805</v>
      </c>
      <c r="AD237" s="8">
        <v>1910000</v>
      </c>
      <c r="AE237" s="4" t="s">
        <v>808</v>
      </c>
      <c r="AF237" s="8">
        <v>1910008</v>
      </c>
      <c r="AG237" s="4" t="s">
        <v>810</v>
      </c>
      <c r="AH237" s="8">
        <v>1910008</v>
      </c>
    </row>
    <row r="238" spans="1:34" x14ac:dyDescent="0.25">
      <c r="A238" s="176" t="s">
        <v>1423</v>
      </c>
      <c r="B238" t="s">
        <v>87</v>
      </c>
      <c r="C238" t="s">
        <v>278</v>
      </c>
      <c r="D238" t="s">
        <v>474</v>
      </c>
      <c r="E238" t="s">
        <v>291</v>
      </c>
      <c r="F238" t="s">
        <v>30</v>
      </c>
      <c r="G238" t="s">
        <v>30</v>
      </c>
      <c r="H238" t="s">
        <v>37</v>
      </c>
      <c r="I238" t="s">
        <v>91</v>
      </c>
      <c r="J238" t="s">
        <v>292</v>
      </c>
      <c r="K238">
        <v>43778.27</v>
      </c>
      <c r="L238" s="166">
        <v>24945.162181999996</v>
      </c>
      <c r="M238">
        <v>18833.11</v>
      </c>
      <c r="N238">
        <v>1920.37</v>
      </c>
      <c r="O238" s="8">
        <v>19203.740000000002</v>
      </c>
      <c r="P238">
        <v>24574.529999999995</v>
      </c>
      <c r="Q238" s="166">
        <v>370.63218200000006</v>
      </c>
      <c r="R238" s="174" t="s">
        <v>1142</v>
      </c>
      <c r="S238">
        <v>100</v>
      </c>
      <c r="T238">
        <v>4000</v>
      </c>
      <c r="U238" t="s">
        <v>78</v>
      </c>
      <c r="V238" t="s">
        <v>1082</v>
      </c>
      <c r="W238">
        <v>0</v>
      </c>
      <c r="X238" t="s">
        <v>43</v>
      </c>
      <c r="Y238" t="s">
        <v>294</v>
      </c>
      <c r="Z238">
        <v>5000</v>
      </c>
      <c r="AC238" s="4" t="s">
        <v>805</v>
      </c>
      <c r="AD238" s="8">
        <v>1910000</v>
      </c>
      <c r="AE238" s="4" t="s">
        <v>808</v>
      </c>
      <c r="AF238" s="8">
        <v>1910008</v>
      </c>
      <c r="AG238" s="4" t="s">
        <v>810</v>
      </c>
      <c r="AH238" s="8">
        <v>1910008</v>
      </c>
    </row>
    <row r="239" spans="1:34" x14ac:dyDescent="0.25">
      <c r="A239" s="176" t="s">
        <v>1424</v>
      </c>
      <c r="B239" t="s">
        <v>87</v>
      </c>
      <c r="C239" t="s">
        <v>278</v>
      </c>
      <c r="D239" t="s">
        <v>475</v>
      </c>
      <c r="E239" t="s">
        <v>291</v>
      </c>
      <c r="F239" t="s">
        <v>30</v>
      </c>
      <c r="G239" t="s">
        <v>30</v>
      </c>
      <c r="H239" t="s">
        <v>37</v>
      </c>
      <c r="I239" t="s">
        <v>86</v>
      </c>
      <c r="J239" t="s">
        <v>292</v>
      </c>
      <c r="K239">
        <v>11085.91</v>
      </c>
      <c r="L239" s="166">
        <v>10846.756497999999</v>
      </c>
      <c r="M239">
        <v>239.15</v>
      </c>
      <c r="N239">
        <v>24.39</v>
      </c>
      <c r="O239" s="8">
        <v>243.86</v>
      </c>
      <c r="P239">
        <v>10842.05</v>
      </c>
      <c r="Q239" s="166">
        <v>4.7064980000000114</v>
      </c>
      <c r="R239" s="174" t="s">
        <v>1142</v>
      </c>
      <c r="S239">
        <v>100</v>
      </c>
      <c r="T239">
        <v>4200</v>
      </c>
      <c r="U239" t="s">
        <v>78</v>
      </c>
      <c r="V239" t="s">
        <v>1082</v>
      </c>
      <c r="W239">
        <v>0</v>
      </c>
      <c r="X239" t="s">
        <v>43</v>
      </c>
      <c r="Y239" t="s">
        <v>294</v>
      </c>
      <c r="Z239">
        <v>5300</v>
      </c>
      <c r="AC239" s="4" t="s">
        <v>805</v>
      </c>
      <c r="AD239" s="8">
        <v>1910000</v>
      </c>
      <c r="AE239" s="4" t="s">
        <v>808</v>
      </c>
      <c r="AF239" s="8">
        <v>1910008</v>
      </c>
      <c r="AG239" s="4" t="s">
        <v>810</v>
      </c>
      <c r="AH239" s="8">
        <v>1910008</v>
      </c>
    </row>
    <row r="240" spans="1:34" x14ac:dyDescent="0.25">
      <c r="A240" s="176" t="s">
        <v>1425</v>
      </c>
      <c r="B240" t="s">
        <v>87</v>
      </c>
      <c r="C240" t="s">
        <v>278</v>
      </c>
      <c r="D240" t="s">
        <v>476</v>
      </c>
      <c r="E240" t="s">
        <v>291</v>
      </c>
      <c r="F240" t="s">
        <v>30</v>
      </c>
      <c r="G240" t="s">
        <v>30</v>
      </c>
      <c r="H240" t="s">
        <v>37</v>
      </c>
      <c r="I240" t="s">
        <v>86</v>
      </c>
      <c r="J240" t="s">
        <v>292</v>
      </c>
      <c r="K240">
        <v>11780.26</v>
      </c>
      <c r="L240" s="166">
        <v>10058.405782</v>
      </c>
      <c r="M240">
        <v>1721.85</v>
      </c>
      <c r="N240">
        <v>175.57</v>
      </c>
      <c r="O240" s="8">
        <v>1755.74</v>
      </c>
      <c r="P240">
        <v>10024.52</v>
      </c>
      <c r="Q240" s="166">
        <v>33.885781999999999</v>
      </c>
      <c r="R240" s="174" t="s">
        <v>1142</v>
      </c>
      <c r="S240">
        <v>100</v>
      </c>
      <c r="T240">
        <v>17300</v>
      </c>
      <c r="U240" t="s">
        <v>78</v>
      </c>
      <c r="V240" t="s">
        <v>1082</v>
      </c>
      <c r="W240">
        <v>0</v>
      </c>
      <c r="X240" t="s">
        <v>43</v>
      </c>
      <c r="Y240" t="s">
        <v>294</v>
      </c>
      <c r="Z240">
        <v>21800</v>
      </c>
      <c r="AC240" s="4" t="s">
        <v>805</v>
      </c>
      <c r="AD240" s="8">
        <v>1910000</v>
      </c>
      <c r="AE240" s="4" t="s">
        <v>808</v>
      </c>
      <c r="AF240" s="8">
        <v>1910008</v>
      </c>
      <c r="AG240" s="4" t="s">
        <v>810</v>
      </c>
      <c r="AH240" s="8">
        <v>1910008</v>
      </c>
    </row>
    <row r="241" spans="1:34" x14ac:dyDescent="0.25">
      <c r="A241" s="176" t="s">
        <v>1426</v>
      </c>
      <c r="B241" t="s">
        <v>25</v>
      </c>
      <c r="C241" t="s">
        <v>278</v>
      </c>
      <c r="D241" t="s">
        <v>477</v>
      </c>
      <c r="E241" t="s">
        <v>478</v>
      </c>
      <c r="F241" t="s">
        <v>30</v>
      </c>
      <c r="G241" t="s">
        <v>30</v>
      </c>
      <c r="H241" t="s">
        <v>31</v>
      </c>
      <c r="I241" t="s">
        <v>71</v>
      </c>
      <c r="J241" t="s">
        <v>479</v>
      </c>
      <c r="K241">
        <v>64390</v>
      </c>
      <c r="L241" s="166">
        <v>64217.1967372</v>
      </c>
      <c r="M241">
        <v>172.8</v>
      </c>
      <c r="N241">
        <v>0</v>
      </c>
      <c r="O241">
        <v>0</v>
      </c>
      <c r="P241">
        <v>0</v>
      </c>
      <c r="Q241" s="166">
        <v>64217.1967372</v>
      </c>
      <c r="R241" t="s">
        <v>30</v>
      </c>
      <c r="S241">
        <v>100</v>
      </c>
      <c r="T241">
        <v>123600</v>
      </c>
      <c r="U241" t="s">
        <v>113</v>
      </c>
      <c r="V241" t="s">
        <v>1805</v>
      </c>
      <c r="W241">
        <v>0</v>
      </c>
      <c r="X241" t="s">
        <v>30</v>
      </c>
      <c r="Y241" t="s">
        <v>30</v>
      </c>
      <c r="Z241">
        <v>152000</v>
      </c>
      <c r="AC241" s="4" t="s">
        <v>803</v>
      </c>
      <c r="AD241" s="8">
        <v>19910000</v>
      </c>
      <c r="AE241" s="4" t="s">
        <v>806</v>
      </c>
      <c r="AF241" s="8">
        <v>19910001</v>
      </c>
      <c r="AG241" s="4" t="s">
        <v>809</v>
      </c>
      <c r="AH241" s="8">
        <v>19910001</v>
      </c>
    </row>
    <row r="242" spans="1:34" x14ac:dyDescent="0.25">
      <c r="A242" s="176" t="s">
        <v>1427</v>
      </c>
      <c r="B242" t="s">
        <v>25</v>
      </c>
      <c r="C242" t="s">
        <v>278</v>
      </c>
      <c r="D242" t="s">
        <v>480</v>
      </c>
      <c r="E242" t="s">
        <v>481</v>
      </c>
      <c r="F242" t="s">
        <v>30</v>
      </c>
      <c r="G242" t="s">
        <v>30</v>
      </c>
      <c r="H242" t="s">
        <v>37</v>
      </c>
      <c r="I242" t="s">
        <v>53</v>
      </c>
      <c r="J242" t="s">
        <v>479</v>
      </c>
      <c r="K242">
        <v>77909.8</v>
      </c>
      <c r="L242" s="166">
        <v>1503.6591400000002</v>
      </c>
      <c r="M242">
        <v>76406.14</v>
      </c>
      <c r="N242">
        <v>9109.5499999999993</v>
      </c>
      <c r="O242" s="8">
        <v>91095.54</v>
      </c>
      <c r="P242">
        <v>0</v>
      </c>
      <c r="Q242" s="166">
        <v>1503.6591400000002</v>
      </c>
      <c r="R242" s="174" t="s">
        <v>1142</v>
      </c>
      <c r="S242">
        <v>100</v>
      </c>
      <c r="T242">
        <v>98245</v>
      </c>
      <c r="U242" t="s">
        <v>34</v>
      </c>
      <c r="V242" t="s">
        <v>482</v>
      </c>
      <c r="W242">
        <v>0</v>
      </c>
      <c r="X242" t="s">
        <v>30</v>
      </c>
      <c r="Y242" t="s">
        <v>30</v>
      </c>
      <c r="Z242">
        <v>128000</v>
      </c>
      <c r="AC242" s="4" t="s">
        <v>805</v>
      </c>
      <c r="AD242" s="8">
        <v>1910000</v>
      </c>
      <c r="AE242" s="4" t="s">
        <v>808</v>
      </c>
      <c r="AF242" s="8">
        <v>1910008</v>
      </c>
      <c r="AG242" s="4" t="s">
        <v>810</v>
      </c>
      <c r="AH242" s="8">
        <v>1910008</v>
      </c>
    </row>
    <row r="243" spans="1:34" x14ac:dyDescent="0.25">
      <c r="A243" s="176" t="s">
        <v>1428</v>
      </c>
      <c r="B243" t="s">
        <v>25</v>
      </c>
      <c r="C243" t="s">
        <v>278</v>
      </c>
      <c r="D243" t="s">
        <v>483</v>
      </c>
      <c r="E243" t="s">
        <v>484</v>
      </c>
      <c r="F243" t="s">
        <v>30</v>
      </c>
      <c r="G243" t="s">
        <v>30</v>
      </c>
      <c r="H243" t="s">
        <v>31</v>
      </c>
      <c r="I243" t="s">
        <v>71</v>
      </c>
      <c r="J243" t="s">
        <v>485</v>
      </c>
      <c r="K243">
        <v>180612.34</v>
      </c>
      <c r="L243" s="166">
        <v>145877.75048799999</v>
      </c>
      <c r="M243">
        <v>34734.589999999997</v>
      </c>
      <c r="N243">
        <v>0</v>
      </c>
      <c r="O243">
        <v>0</v>
      </c>
      <c r="P243">
        <v>0</v>
      </c>
      <c r="Q243" s="166">
        <v>145877.75048799999</v>
      </c>
      <c r="R243" t="s">
        <v>30</v>
      </c>
      <c r="S243">
        <v>100</v>
      </c>
      <c r="T243">
        <v>191675</v>
      </c>
      <c r="U243" t="s">
        <v>34</v>
      </c>
      <c r="V243" t="s">
        <v>1816</v>
      </c>
      <c r="W243">
        <v>0</v>
      </c>
      <c r="X243" t="s">
        <v>30</v>
      </c>
      <c r="Y243" t="s">
        <v>30</v>
      </c>
      <c r="Z243">
        <v>251400</v>
      </c>
      <c r="AC243" s="4" t="s">
        <v>803</v>
      </c>
      <c r="AD243" s="8">
        <v>19910000</v>
      </c>
      <c r="AE243" s="4" t="s">
        <v>806</v>
      </c>
      <c r="AF243" s="8">
        <v>19910001</v>
      </c>
      <c r="AG243" s="4" t="s">
        <v>809</v>
      </c>
      <c r="AH243" s="8">
        <v>19910001</v>
      </c>
    </row>
    <row r="244" spans="1:34" x14ac:dyDescent="0.25">
      <c r="A244" s="176" t="s">
        <v>1429</v>
      </c>
      <c r="B244" t="s">
        <v>25</v>
      </c>
      <c r="C244" t="s">
        <v>278</v>
      </c>
      <c r="D244" t="s">
        <v>486</v>
      </c>
      <c r="E244" t="s">
        <v>487</v>
      </c>
      <c r="F244" t="s">
        <v>30</v>
      </c>
      <c r="G244" t="s">
        <v>30</v>
      </c>
      <c r="H244" t="s">
        <v>37</v>
      </c>
      <c r="I244" t="s">
        <v>71</v>
      </c>
      <c r="J244" t="s">
        <v>488</v>
      </c>
      <c r="K244">
        <v>67568.399999999994</v>
      </c>
      <c r="L244" s="166">
        <v>32264.514137999991</v>
      </c>
      <c r="M244">
        <v>35303.89</v>
      </c>
      <c r="N244">
        <v>3599.87</v>
      </c>
      <c r="O244" s="8">
        <v>35998.660000000003</v>
      </c>
      <c r="P244">
        <v>31569.739999999991</v>
      </c>
      <c r="Q244" s="166">
        <v>694.77413800000011</v>
      </c>
      <c r="R244" s="174" t="s">
        <v>1142</v>
      </c>
      <c r="S244">
        <v>100</v>
      </c>
      <c r="T244">
        <v>63700</v>
      </c>
      <c r="U244" t="s">
        <v>113</v>
      </c>
      <c r="V244" t="s">
        <v>269</v>
      </c>
      <c r="W244">
        <v>0</v>
      </c>
      <c r="X244" t="s">
        <v>30</v>
      </c>
      <c r="Y244" t="s">
        <v>30</v>
      </c>
      <c r="Z244">
        <v>81000</v>
      </c>
      <c r="AC244" s="4" t="s">
        <v>805</v>
      </c>
      <c r="AD244" s="8">
        <v>1910000</v>
      </c>
      <c r="AE244" s="4" t="s">
        <v>808</v>
      </c>
      <c r="AF244" s="8">
        <v>1910008</v>
      </c>
      <c r="AG244" s="4" t="s">
        <v>810</v>
      </c>
      <c r="AH244" s="8">
        <v>1910008</v>
      </c>
    </row>
    <row r="245" spans="1:34" x14ac:dyDescent="0.25">
      <c r="A245" s="176" t="s">
        <v>1430</v>
      </c>
      <c r="B245" t="s">
        <v>25</v>
      </c>
      <c r="C245" t="s">
        <v>278</v>
      </c>
      <c r="D245" t="s">
        <v>489</v>
      </c>
      <c r="E245" t="s">
        <v>490</v>
      </c>
      <c r="F245" t="s">
        <v>30</v>
      </c>
      <c r="G245" t="s">
        <v>30</v>
      </c>
      <c r="H245" t="s">
        <v>37</v>
      </c>
      <c r="I245" t="s">
        <v>53</v>
      </c>
      <c r="J245" t="s">
        <v>491</v>
      </c>
      <c r="K245">
        <v>117028.65</v>
      </c>
      <c r="L245" s="166">
        <v>21362.600681999989</v>
      </c>
      <c r="M245">
        <v>95666.05</v>
      </c>
      <c r="N245">
        <v>9754.8700000000008</v>
      </c>
      <c r="O245" s="8">
        <v>97548.74</v>
      </c>
      <c r="P245">
        <v>19479.909999999989</v>
      </c>
      <c r="Q245" s="166">
        <v>1882.6906820000002</v>
      </c>
      <c r="R245" s="174" t="s">
        <v>1142</v>
      </c>
      <c r="S245">
        <v>100</v>
      </c>
      <c r="T245">
        <v>81290</v>
      </c>
      <c r="U245" t="s">
        <v>120</v>
      </c>
      <c r="V245" t="s">
        <v>492</v>
      </c>
      <c r="W245">
        <v>0</v>
      </c>
      <c r="X245" t="s">
        <v>30</v>
      </c>
      <c r="Y245" t="s">
        <v>30</v>
      </c>
      <c r="Z245">
        <v>102500</v>
      </c>
      <c r="AC245" s="4" t="s">
        <v>805</v>
      </c>
      <c r="AD245" s="8">
        <v>1910000</v>
      </c>
      <c r="AE245" s="4" t="s">
        <v>808</v>
      </c>
      <c r="AF245" s="8">
        <v>1910008</v>
      </c>
      <c r="AG245" s="4" t="s">
        <v>810</v>
      </c>
      <c r="AH245" s="8">
        <v>1910008</v>
      </c>
    </row>
    <row r="246" spans="1:34" x14ac:dyDescent="0.25">
      <c r="A246" s="176" t="s">
        <v>1431</v>
      </c>
      <c r="B246" t="s">
        <v>25</v>
      </c>
      <c r="C246" t="s">
        <v>278</v>
      </c>
      <c r="D246" t="s">
        <v>493</v>
      </c>
      <c r="E246" t="s">
        <v>494</v>
      </c>
      <c r="F246" t="s">
        <v>30</v>
      </c>
      <c r="G246" t="s">
        <v>30</v>
      </c>
      <c r="H246" t="s">
        <v>31</v>
      </c>
      <c r="I246" t="s">
        <v>60</v>
      </c>
      <c r="J246" t="s">
        <v>495</v>
      </c>
      <c r="K246">
        <v>38503.94</v>
      </c>
      <c r="L246" s="166">
        <v>38503.932189945612</v>
      </c>
      <c r="M246">
        <v>0.01</v>
      </c>
      <c r="N246">
        <v>0</v>
      </c>
      <c r="O246">
        <v>0</v>
      </c>
      <c r="P246">
        <v>0</v>
      </c>
      <c r="Q246" s="166">
        <v>38503.932189945612</v>
      </c>
      <c r="R246" t="s">
        <v>30</v>
      </c>
      <c r="S246">
        <v>100</v>
      </c>
      <c r="T246">
        <v>94200</v>
      </c>
      <c r="U246" t="s">
        <v>226</v>
      </c>
      <c r="V246" t="s">
        <v>1581</v>
      </c>
      <c r="W246">
        <v>0</v>
      </c>
      <c r="X246" t="s">
        <v>30</v>
      </c>
      <c r="Y246" t="s">
        <v>30</v>
      </c>
      <c r="Z246">
        <v>115000</v>
      </c>
      <c r="AC246" s="4" t="s">
        <v>803</v>
      </c>
      <c r="AD246" s="8">
        <v>19910000</v>
      </c>
      <c r="AE246" s="4" t="s">
        <v>806</v>
      </c>
      <c r="AF246" s="8">
        <v>19910001</v>
      </c>
      <c r="AG246" s="4" t="s">
        <v>809</v>
      </c>
      <c r="AH246" s="8">
        <v>19910001</v>
      </c>
    </row>
    <row r="247" spans="1:34" x14ac:dyDescent="0.25">
      <c r="A247" s="176" t="s">
        <v>1432</v>
      </c>
      <c r="B247" t="s">
        <v>25</v>
      </c>
      <c r="C247" t="s">
        <v>278</v>
      </c>
      <c r="D247" t="s">
        <v>497</v>
      </c>
      <c r="E247" t="s">
        <v>498</v>
      </c>
      <c r="F247" t="s">
        <v>30</v>
      </c>
      <c r="G247" t="s">
        <v>30</v>
      </c>
      <c r="H247" t="s">
        <v>37</v>
      </c>
      <c r="I247" t="s">
        <v>156</v>
      </c>
      <c r="J247" t="s">
        <v>499</v>
      </c>
      <c r="K247">
        <v>79161.070000000007</v>
      </c>
      <c r="L247" s="166">
        <v>58958.64899422312</v>
      </c>
      <c r="M247">
        <v>20202.419999999998</v>
      </c>
      <c r="N247">
        <v>1500</v>
      </c>
      <c r="O247">
        <v>0</v>
      </c>
      <c r="P247">
        <v>3061.070000000007</v>
      </c>
      <c r="Q247" s="166">
        <v>55897.578994223113</v>
      </c>
      <c r="R247" t="s">
        <v>30</v>
      </c>
      <c r="S247">
        <v>100</v>
      </c>
      <c r="T247">
        <v>76100</v>
      </c>
      <c r="U247" t="s">
        <v>113</v>
      </c>
      <c r="V247" t="s">
        <v>1582</v>
      </c>
      <c r="W247">
        <v>0</v>
      </c>
      <c r="X247" t="s">
        <v>30</v>
      </c>
      <c r="Y247" t="s">
        <v>30</v>
      </c>
      <c r="Z247">
        <v>95000</v>
      </c>
      <c r="AC247" s="4" t="s">
        <v>805</v>
      </c>
      <c r="AD247" s="8">
        <v>1910000</v>
      </c>
      <c r="AE247" s="4" t="s">
        <v>808</v>
      </c>
      <c r="AF247" s="8">
        <v>1910008</v>
      </c>
      <c r="AG247" s="4" t="s">
        <v>810</v>
      </c>
      <c r="AH247" s="8">
        <v>1910008</v>
      </c>
    </row>
    <row r="248" spans="1:34" x14ac:dyDescent="0.25">
      <c r="A248" s="176" t="s">
        <v>1433</v>
      </c>
      <c r="B248" t="s">
        <v>87</v>
      </c>
      <c r="C248" t="s">
        <v>278</v>
      </c>
      <c r="D248" t="s">
        <v>502</v>
      </c>
      <c r="E248" t="s">
        <v>503</v>
      </c>
      <c r="F248" t="s">
        <v>30</v>
      </c>
      <c r="G248" t="s">
        <v>30</v>
      </c>
      <c r="H248" t="s">
        <v>37</v>
      </c>
      <c r="I248" t="s">
        <v>71</v>
      </c>
      <c r="J248" t="s">
        <v>504</v>
      </c>
      <c r="K248">
        <v>2079668.23</v>
      </c>
      <c r="L248" s="166">
        <v>1855620.852187</v>
      </c>
      <c r="M248">
        <v>224047.38</v>
      </c>
      <c r="N248">
        <v>22845.66</v>
      </c>
      <c r="O248" s="8">
        <v>228456.59</v>
      </c>
      <c r="P248">
        <v>1851211.64</v>
      </c>
      <c r="Q248" s="166">
        <v>4409.2121870000019</v>
      </c>
      <c r="R248" s="174" t="s">
        <v>1142</v>
      </c>
      <c r="S248">
        <v>100</v>
      </c>
      <c r="T248">
        <v>387315</v>
      </c>
      <c r="U248" t="s">
        <v>226</v>
      </c>
      <c r="V248" t="s">
        <v>1083</v>
      </c>
      <c r="W248">
        <v>0</v>
      </c>
      <c r="X248" t="s">
        <v>30</v>
      </c>
      <c r="Y248" t="s">
        <v>30</v>
      </c>
      <c r="Z248">
        <v>532830</v>
      </c>
      <c r="AC248" s="4" t="s">
        <v>805</v>
      </c>
      <c r="AD248" s="8">
        <v>1910000</v>
      </c>
      <c r="AE248" s="4" t="s">
        <v>808</v>
      </c>
      <c r="AF248" s="8">
        <v>1910008</v>
      </c>
      <c r="AG248" s="4" t="s">
        <v>810</v>
      </c>
      <c r="AH248" s="8">
        <v>1910008</v>
      </c>
    </row>
    <row r="249" spans="1:34" x14ac:dyDescent="0.25">
      <c r="A249" s="176" t="s">
        <v>1434</v>
      </c>
      <c r="B249" t="s">
        <v>25</v>
      </c>
      <c r="C249" t="s">
        <v>278</v>
      </c>
      <c r="D249" t="s">
        <v>1084</v>
      </c>
      <c r="E249" t="s">
        <v>505</v>
      </c>
      <c r="F249" t="s">
        <v>30</v>
      </c>
      <c r="G249" t="s">
        <v>30</v>
      </c>
      <c r="H249" t="s">
        <v>37</v>
      </c>
      <c r="I249" t="s">
        <v>71</v>
      </c>
      <c r="J249" t="s">
        <v>506</v>
      </c>
      <c r="K249">
        <v>161378.88</v>
      </c>
      <c r="L249" s="166">
        <v>153441.182463</v>
      </c>
      <c r="M249">
        <v>7937.7</v>
      </c>
      <c r="N249">
        <v>809.39</v>
      </c>
      <c r="O249" s="8">
        <v>8093.91</v>
      </c>
      <c r="P249">
        <v>153284.97</v>
      </c>
      <c r="Q249" s="166">
        <v>156.21246300000007</v>
      </c>
      <c r="R249" s="174" t="s">
        <v>1142</v>
      </c>
      <c r="S249">
        <v>100</v>
      </c>
      <c r="T249">
        <v>60400</v>
      </c>
      <c r="U249" t="s">
        <v>122</v>
      </c>
      <c r="V249" t="s">
        <v>507</v>
      </c>
      <c r="W249">
        <v>0</v>
      </c>
      <c r="X249" t="s">
        <v>30</v>
      </c>
      <c r="Y249" t="s">
        <v>30</v>
      </c>
      <c r="Z249">
        <v>70000</v>
      </c>
      <c r="AC249" s="4" t="s">
        <v>805</v>
      </c>
      <c r="AD249" s="8">
        <v>1910000</v>
      </c>
      <c r="AE249" s="4" t="s">
        <v>808</v>
      </c>
      <c r="AF249" s="8">
        <v>1910008</v>
      </c>
      <c r="AG249" s="4" t="s">
        <v>810</v>
      </c>
      <c r="AH249" s="8">
        <v>1910008</v>
      </c>
    </row>
    <row r="250" spans="1:34" x14ac:dyDescent="0.25">
      <c r="A250" s="176" t="s">
        <v>1435</v>
      </c>
      <c r="B250" t="s">
        <v>25</v>
      </c>
      <c r="C250" t="s">
        <v>278</v>
      </c>
      <c r="D250" t="s">
        <v>508</v>
      </c>
      <c r="E250" t="s">
        <v>509</v>
      </c>
      <c r="F250" t="s">
        <v>30</v>
      </c>
      <c r="G250" t="s">
        <v>30</v>
      </c>
      <c r="H250" t="s">
        <v>31</v>
      </c>
      <c r="I250" t="s">
        <v>91</v>
      </c>
      <c r="J250" t="s">
        <v>510</v>
      </c>
      <c r="K250">
        <v>123821.27</v>
      </c>
      <c r="L250" s="166">
        <v>123821.2581889087</v>
      </c>
      <c r="M250">
        <v>0.01</v>
      </c>
      <c r="N250">
        <v>0</v>
      </c>
      <c r="O250">
        <v>0</v>
      </c>
      <c r="P250">
        <v>0</v>
      </c>
      <c r="Q250" s="166">
        <v>123821.2581889087</v>
      </c>
      <c r="R250" t="s">
        <v>30</v>
      </c>
      <c r="S250">
        <v>100</v>
      </c>
      <c r="T250">
        <v>244635</v>
      </c>
      <c r="U250" t="s">
        <v>107</v>
      </c>
      <c r="V250" t="s">
        <v>1580</v>
      </c>
      <c r="W250">
        <v>0</v>
      </c>
      <c r="X250" t="s">
        <v>30</v>
      </c>
      <c r="Y250" t="s">
        <v>30</v>
      </c>
      <c r="Z250">
        <v>288100</v>
      </c>
      <c r="AC250" s="4" t="s">
        <v>803</v>
      </c>
      <c r="AD250" s="8">
        <v>19910000</v>
      </c>
      <c r="AE250" s="4" t="s">
        <v>806</v>
      </c>
      <c r="AF250" s="8">
        <v>19910001</v>
      </c>
      <c r="AG250" s="4" t="s">
        <v>809</v>
      </c>
      <c r="AH250" s="8">
        <v>19910001</v>
      </c>
    </row>
    <row r="251" spans="1:34" x14ac:dyDescent="0.25">
      <c r="A251" s="176" t="s">
        <v>1436</v>
      </c>
      <c r="B251" t="s">
        <v>87</v>
      </c>
      <c r="C251" t="s">
        <v>278</v>
      </c>
      <c r="D251" t="s">
        <v>514</v>
      </c>
      <c r="E251" t="s">
        <v>511</v>
      </c>
      <c r="F251" t="s">
        <v>30</v>
      </c>
      <c r="G251" t="s">
        <v>30</v>
      </c>
      <c r="H251" t="s">
        <v>37</v>
      </c>
      <c r="I251" t="s">
        <v>71</v>
      </c>
      <c r="J251" t="s">
        <v>512</v>
      </c>
      <c r="K251">
        <v>1575835.52</v>
      </c>
      <c r="L251" s="166">
        <v>947190.66787100001</v>
      </c>
      <c r="M251">
        <v>628644.85</v>
      </c>
      <c r="N251">
        <v>64101.65</v>
      </c>
      <c r="O251" s="8">
        <v>641016.47</v>
      </c>
      <c r="P251">
        <v>934819.05</v>
      </c>
      <c r="Q251" s="166">
        <v>12371.617871</v>
      </c>
      <c r="R251" s="174" t="s">
        <v>1142</v>
      </c>
      <c r="S251">
        <v>100</v>
      </c>
      <c r="T251">
        <v>669000</v>
      </c>
      <c r="U251" t="s">
        <v>123</v>
      </c>
      <c r="V251" t="s">
        <v>513</v>
      </c>
      <c r="W251">
        <v>0</v>
      </c>
      <c r="X251" t="s">
        <v>30</v>
      </c>
      <c r="Y251" t="s">
        <v>30</v>
      </c>
      <c r="Z251">
        <v>934100</v>
      </c>
      <c r="AC251" s="4" t="s">
        <v>805</v>
      </c>
      <c r="AD251" s="8">
        <v>1910000</v>
      </c>
      <c r="AE251" s="4" t="s">
        <v>808</v>
      </c>
      <c r="AF251" s="8">
        <v>1910008</v>
      </c>
      <c r="AG251" s="4" t="s">
        <v>810</v>
      </c>
      <c r="AH251" s="8">
        <v>1910008</v>
      </c>
    </row>
    <row r="252" spans="1:34" x14ac:dyDescent="0.25">
      <c r="A252" s="176" t="s">
        <v>1437</v>
      </c>
      <c r="B252" t="s">
        <v>25</v>
      </c>
      <c r="C252" t="s">
        <v>278</v>
      </c>
      <c r="D252" t="s">
        <v>515</v>
      </c>
      <c r="E252" t="s">
        <v>516</v>
      </c>
      <c r="F252" t="s">
        <v>30</v>
      </c>
      <c r="G252" t="s">
        <v>30</v>
      </c>
      <c r="H252" t="s">
        <v>31</v>
      </c>
      <c r="I252" t="s">
        <v>53</v>
      </c>
      <c r="J252" t="s">
        <v>517</v>
      </c>
      <c r="K252">
        <v>89561.46</v>
      </c>
      <c r="L252" s="166">
        <v>89561.46</v>
      </c>
      <c r="M252">
        <v>0</v>
      </c>
      <c r="N252">
        <v>0</v>
      </c>
      <c r="O252">
        <v>0</v>
      </c>
      <c r="P252">
        <v>51961.460000000006</v>
      </c>
      <c r="Q252" s="166">
        <v>37482.315999999999</v>
      </c>
      <c r="R252" t="s">
        <v>30</v>
      </c>
      <c r="S252">
        <v>100</v>
      </c>
      <c r="T252">
        <v>37600</v>
      </c>
      <c r="U252" t="s">
        <v>34</v>
      </c>
      <c r="V252" t="s">
        <v>1817</v>
      </c>
      <c r="W252">
        <v>0</v>
      </c>
      <c r="X252" t="s">
        <v>30</v>
      </c>
      <c r="Y252" t="s">
        <v>30</v>
      </c>
      <c r="Z252">
        <v>57700</v>
      </c>
      <c r="AC252" s="4" t="s">
        <v>803</v>
      </c>
      <c r="AD252" s="8">
        <v>19910000</v>
      </c>
      <c r="AE252" s="4" t="s">
        <v>806</v>
      </c>
      <c r="AF252" s="8">
        <v>19910001</v>
      </c>
      <c r="AG252" s="4" t="s">
        <v>809</v>
      </c>
      <c r="AH252" s="8">
        <v>19910001</v>
      </c>
    </row>
    <row r="253" spans="1:34" x14ac:dyDescent="0.25">
      <c r="A253" s="176" t="s">
        <v>1438</v>
      </c>
      <c r="B253" t="s">
        <v>25</v>
      </c>
      <c r="C253" t="s">
        <v>518</v>
      </c>
      <c r="D253" t="s">
        <v>521</v>
      </c>
      <c r="E253" t="s">
        <v>519</v>
      </c>
      <c r="F253" t="s">
        <v>30</v>
      </c>
      <c r="G253" t="s">
        <v>30</v>
      </c>
      <c r="H253" t="s">
        <v>59</v>
      </c>
      <c r="I253" t="s">
        <v>86</v>
      </c>
      <c r="J253" t="s">
        <v>520</v>
      </c>
      <c r="K253">
        <v>17182.59</v>
      </c>
      <c r="L253" s="166">
        <v>14173.3012623</v>
      </c>
      <c r="M253">
        <v>3009.29</v>
      </c>
      <c r="N253">
        <v>0</v>
      </c>
      <c r="O253">
        <v>0</v>
      </c>
      <c r="P253">
        <v>12532.59</v>
      </c>
      <c r="Q253" s="166">
        <v>1640.7112623000003</v>
      </c>
      <c r="R253" t="s">
        <v>30</v>
      </c>
      <c r="S253">
        <v>2.73</v>
      </c>
      <c r="T253">
        <v>4650</v>
      </c>
      <c r="U253" t="s">
        <v>122</v>
      </c>
      <c r="V253" t="s">
        <v>1818</v>
      </c>
      <c r="W253">
        <v>0</v>
      </c>
      <c r="X253" t="s">
        <v>30</v>
      </c>
      <c r="Y253" t="s">
        <v>30</v>
      </c>
      <c r="Z253">
        <v>5470</v>
      </c>
      <c r="AC253" s="4" t="s">
        <v>805</v>
      </c>
      <c r="AD253" s="8">
        <v>1910000</v>
      </c>
      <c r="AE253" s="4" t="s">
        <v>808</v>
      </c>
      <c r="AF253" s="8">
        <v>1910008</v>
      </c>
      <c r="AG253" s="4" t="s">
        <v>810</v>
      </c>
      <c r="AH253" s="8">
        <v>1910008</v>
      </c>
    </row>
    <row r="254" spans="1:34" x14ac:dyDescent="0.25">
      <c r="A254" s="176" t="s">
        <v>1439</v>
      </c>
      <c r="B254" t="s">
        <v>25</v>
      </c>
      <c r="C254" t="s">
        <v>518</v>
      </c>
      <c r="D254" t="s">
        <v>522</v>
      </c>
      <c r="E254" t="s">
        <v>519</v>
      </c>
      <c r="F254" t="s">
        <v>30</v>
      </c>
      <c r="G254" t="s">
        <v>30</v>
      </c>
      <c r="H254" t="s">
        <v>37</v>
      </c>
      <c r="I254" t="s">
        <v>86</v>
      </c>
      <c r="J254" t="s">
        <v>520</v>
      </c>
      <c r="K254">
        <v>31606.74</v>
      </c>
      <c r="L254" s="166">
        <v>27411.723178200002</v>
      </c>
      <c r="M254">
        <v>4195.0200000000004</v>
      </c>
      <c r="N254">
        <v>0</v>
      </c>
      <c r="O254">
        <v>0</v>
      </c>
      <c r="P254">
        <v>24991.74</v>
      </c>
      <c r="Q254" s="166">
        <v>2419.9831782000006</v>
      </c>
      <c r="R254" t="s">
        <v>30</v>
      </c>
      <c r="S254">
        <v>2.73</v>
      </c>
      <c r="T254">
        <v>6615</v>
      </c>
      <c r="U254" t="s">
        <v>78</v>
      </c>
      <c r="V254" t="s">
        <v>1583</v>
      </c>
      <c r="W254">
        <v>0</v>
      </c>
      <c r="X254" t="s">
        <v>30</v>
      </c>
      <c r="Y254" t="s">
        <v>30</v>
      </c>
      <c r="Z254">
        <v>7350</v>
      </c>
      <c r="AC254" s="4" t="s">
        <v>805</v>
      </c>
      <c r="AD254" s="8">
        <v>1910000</v>
      </c>
      <c r="AE254" s="4" t="s">
        <v>808</v>
      </c>
      <c r="AF254" s="8">
        <v>1910008</v>
      </c>
      <c r="AG254" s="4" t="s">
        <v>810</v>
      </c>
      <c r="AH254" s="8">
        <v>1910008</v>
      </c>
    </row>
    <row r="255" spans="1:34" x14ac:dyDescent="0.25">
      <c r="A255" s="176" t="s">
        <v>1440</v>
      </c>
      <c r="B255" t="s">
        <v>25</v>
      </c>
      <c r="C255" t="s">
        <v>278</v>
      </c>
      <c r="D255" t="s">
        <v>523</v>
      </c>
      <c r="E255" t="s">
        <v>524</v>
      </c>
      <c r="F255" t="s">
        <v>30</v>
      </c>
      <c r="G255" t="s">
        <v>30</v>
      </c>
      <c r="H255" t="s">
        <v>37</v>
      </c>
      <c r="I255" t="s">
        <v>53</v>
      </c>
      <c r="J255" t="s">
        <v>525</v>
      </c>
      <c r="K255">
        <v>187286.39999999999</v>
      </c>
      <c r="L255" s="166">
        <v>3614.62752</v>
      </c>
      <c r="M255">
        <v>183671.77</v>
      </c>
      <c r="N255">
        <v>19056.86</v>
      </c>
      <c r="O255" s="8">
        <v>190568.58</v>
      </c>
      <c r="P255">
        <v>0</v>
      </c>
      <c r="Q255" s="166">
        <v>3614.62752</v>
      </c>
      <c r="R255" s="174" t="s">
        <v>1142</v>
      </c>
      <c r="S255">
        <v>100</v>
      </c>
      <c r="T255">
        <v>154275</v>
      </c>
      <c r="U255" t="s">
        <v>122</v>
      </c>
      <c r="V255" t="s">
        <v>1085</v>
      </c>
      <c r="W255">
        <v>0</v>
      </c>
      <c r="X255" t="s">
        <v>30</v>
      </c>
      <c r="Y255" t="s">
        <v>30</v>
      </c>
      <c r="Z255">
        <v>178950</v>
      </c>
      <c r="AC255" s="4" t="s">
        <v>805</v>
      </c>
      <c r="AD255" s="8">
        <v>1910000</v>
      </c>
      <c r="AE255" s="4" t="s">
        <v>808</v>
      </c>
      <c r="AF255" s="8">
        <v>1910008</v>
      </c>
      <c r="AG255" s="4" t="s">
        <v>810</v>
      </c>
      <c r="AH255" s="8">
        <v>1910008</v>
      </c>
    </row>
    <row r="256" spans="1:34" x14ac:dyDescent="0.25">
      <c r="A256" s="176" t="s">
        <v>1441</v>
      </c>
      <c r="B256" t="s">
        <v>25</v>
      </c>
      <c r="C256" t="s">
        <v>278</v>
      </c>
      <c r="D256" t="s">
        <v>526</v>
      </c>
      <c r="E256" t="s">
        <v>527</v>
      </c>
      <c r="F256" t="s">
        <v>30</v>
      </c>
      <c r="G256" t="s">
        <v>30</v>
      </c>
      <c r="H256" t="s">
        <v>37</v>
      </c>
      <c r="I256" t="s">
        <v>105</v>
      </c>
      <c r="J256" t="s">
        <v>528</v>
      </c>
      <c r="K256">
        <v>63196.58</v>
      </c>
      <c r="L256" s="166">
        <v>47181.180194</v>
      </c>
      <c r="M256">
        <v>16015.4</v>
      </c>
      <c r="N256">
        <v>1633.06</v>
      </c>
      <c r="O256" s="8">
        <v>16330.58</v>
      </c>
      <c r="P256">
        <v>46866</v>
      </c>
      <c r="Q256" s="166">
        <v>315.18019400000003</v>
      </c>
      <c r="R256" s="174" t="s">
        <v>1142</v>
      </c>
      <c r="S256">
        <v>100</v>
      </c>
      <c r="T256">
        <v>55200</v>
      </c>
      <c r="U256" t="s">
        <v>122</v>
      </c>
      <c r="V256" t="s">
        <v>1087</v>
      </c>
      <c r="W256">
        <v>0</v>
      </c>
      <c r="X256" t="s">
        <v>30</v>
      </c>
      <c r="Y256" t="s">
        <v>30</v>
      </c>
      <c r="Z256">
        <v>65300</v>
      </c>
      <c r="AC256" s="4" t="s">
        <v>805</v>
      </c>
      <c r="AD256" s="8">
        <v>1910000</v>
      </c>
      <c r="AE256" s="4" t="s">
        <v>808</v>
      </c>
      <c r="AF256" s="8">
        <v>1910008</v>
      </c>
      <c r="AG256" s="4" t="s">
        <v>810</v>
      </c>
      <c r="AH256" s="8">
        <v>1910008</v>
      </c>
    </row>
    <row r="257" spans="1:34" x14ac:dyDescent="0.25">
      <c r="A257" s="176" t="s">
        <v>1442</v>
      </c>
      <c r="B257" t="s">
        <v>25</v>
      </c>
      <c r="C257" t="s">
        <v>278</v>
      </c>
      <c r="D257" t="s">
        <v>529</v>
      </c>
      <c r="E257" t="s">
        <v>530</v>
      </c>
      <c r="F257" t="s">
        <v>30</v>
      </c>
      <c r="G257" t="s">
        <v>30</v>
      </c>
      <c r="H257" t="s">
        <v>31</v>
      </c>
      <c r="I257" t="s">
        <v>86</v>
      </c>
      <c r="J257" t="s">
        <v>531</v>
      </c>
      <c r="K257">
        <v>84441.23</v>
      </c>
      <c r="L257" s="166">
        <v>57593.669765206818</v>
      </c>
      <c r="M257">
        <v>26847.56</v>
      </c>
      <c r="N257">
        <v>0</v>
      </c>
      <c r="O257">
        <v>0</v>
      </c>
      <c r="P257">
        <v>53441.229999999996</v>
      </c>
      <c r="Q257" s="166">
        <v>3171.7397652068203</v>
      </c>
      <c r="R257" t="s">
        <v>30</v>
      </c>
      <c r="S257">
        <v>100</v>
      </c>
      <c r="T257">
        <v>31000</v>
      </c>
      <c r="U257" t="s">
        <v>226</v>
      </c>
      <c r="V257" t="s">
        <v>1819</v>
      </c>
      <c r="W257">
        <v>0</v>
      </c>
      <c r="X257" t="s">
        <v>30</v>
      </c>
      <c r="Y257" t="s">
        <v>30</v>
      </c>
      <c r="Z257">
        <v>41000</v>
      </c>
      <c r="AC257" s="4" t="s">
        <v>803</v>
      </c>
      <c r="AD257" s="8">
        <v>19910000</v>
      </c>
      <c r="AE257" s="4" t="s">
        <v>806</v>
      </c>
      <c r="AF257" s="8">
        <v>19910001</v>
      </c>
      <c r="AG257" s="4" t="s">
        <v>809</v>
      </c>
      <c r="AH257" s="8">
        <v>19910001</v>
      </c>
    </row>
    <row r="258" spans="1:34" x14ac:dyDescent="0.25">
      <c r="A258" s="176" t="s">
        <v>1443</v>
      </c>
      <c r="B258" t="s">
        <v>25</v>
      </c>
      <c r="C258" t="s">
        <v>278</v>
      </c>
      <c r="D258" t="s">
        <v>532</v>
      </c>
      <c r="E258" t="s">
        <v>530</v>
      </c>
      <c r="F258" t="s">
        <v>30</v>
      </c>
      <c r="G258" t="s">
        <v>30</v>
      </c>
      <c r="H258" t="s">
        <v>31</v>
      </c>
      <c r="I258" t="s">
        <v>86</v>
      </c>
      <c r="J258" t="s">
        <v>531</v>
      </c>
      <c r="K258">
        <v>44680.3</v>
      </c>
      <c r="L258" s="166">
        <v>27919.837680928904</v>
      </c>
      <c r="M258">
        <v>16760.46</v>
      </c>
      <c r="N258">
        <v>0</v>
      </c>
      <c r="O258">
        <v>0</v>
      </c>
      <c r="P258">
        <v>16680.300000000003</v>
      </c>
      <c r="Q258" s="166">
        <v>10258.837680928904</v>
      </c>
      <c r="R258" t="s">
        <v>30</v>
      </c>
      <c r="S258">
        <v>100</v>
      </c>
      <c r="T258">
        <v>28000</v>
      </c>
      <c r="U258" t="s">
        <v>226</v>
      </c>
      <c r="V258" t="s">
        <v>1819</v>
      </c>
      <c r="W258">
        <v>0</v>
      </c>
      <c r="X258" t="s">
        <v>30</v>
      </c>
      <c r="Y258" t="s">
        <v>30</v>
      </c>
      <c r="Z258">
        <v>37000</v>
      </c>
      <c r="AC258" s="4" t="s">
        <v>803</v>
      </c>
      <c r="AD258" s="8">
        <v>19910000</v>
      </c>
      <c r="AE258" s="4" t="s">
        <v>806</v>
      </c>
      <c r="AF258" s="8">
        <v>19910001</v>
      </c>
      <c r="AG258" s="4" t="s">
        <v>809</v>
      </c>
      <c r="AH258" s="8">
        <v>19910001</v>
      </c>
    </row>
    <row r="259" spans="1:34" x14ac:dyDescent="0.25">
      <c r="A259" s="176" t="s">
        <v>1444</v>
      </c>
      <c r="B259" t="s">
        <v>25</v>
      </c>
      <c r="C259" t="s">
        <v>278</v>
      </c>
      <c r="D259" t="s">
        <v>533</v>
      </c>
      <c r="E259" t="s">
        <v>534</v>
      </c>
      <c r="F259" t="s">
        <v>30</v>
      </c>
      <c r="G259" t="s">
        <v>30</v>
      </c>
      <c r="H259" t="s">
        <v>37</v>
      </c>
      <c r="I259" t="s">
        <v>91</v>
      </c>
      <c r="J259" t="s">
        <v>535</v>
      </c>
      <c r="K259">
        <v>60172.18</v>
      </c>
      <c r="L259" s="166">
        <v>1161.3230740000001</v>
      </c>
      <c r="M259">
        <v>59010.86</v>
      </c>
      <c r="N259">
        <v>12364.87</v>
      </c>
      <c r="O259" s="8">
        <v>123648.73</v>
      </c>
      <c r="P259">
        <v>0</v>
      </c>
      <c r="Q259" s="166">
        <v>1161.3230740000001</v>
      </c>
      <c r="R259" s="174" t="s">
        <v>1142</v>
      </c>
      <c r="S259">
        <v>100</v>
      </c>
      <c r="T259">
        <v>110500</v>
      </c>
      <c r="U259" t="s">
        <v>55</v>
      </c>
      <c r="V259" t="s">
        <v>536</v>
      </c>
      <c r="W259">
        <v>0</v>
      </c>
      <c r="X259" t="s">
        <v>30</v>
      </c>
      <c r="Y259" t="s">
        <v>30</v>
      </c>
      <c r="Z259">
        <v>130000</v>
      </c>
      <c r="AC259" s="4" t="s">
        <v>805</v>
      </c>
      <c r="AD259" s="8">
        <v>1910000</v>
      </c>
      <c r="AE259" s="4" t="s">
        <v>808</v>
      </c>
      <c r="AF259" s="8">
        <v>1910008</v>
      </c>
      <c r="AG259" s="4" t="s">
        <v>810</v>
      </c>
      <c r="AH259" s="8">
        <v>1910008</v>
      </c>
    </row>
    <row r="260" spans="1:34" x14ac:dyDescent="0.25">
      <c r="A260" s="176" t="s">
        <v>1445</v>
      </c>
      <c r="B260" t="s">
        <v>25</v>
      </c>
      <c r="C260" t="s">
        <v>278</v>
      </c>
      <c r="D260" t="s">
        <v>537</v>
      </c>
      <c r="E260" t="s">
        <v>538</v>
      </c>
      <c r="F260" t="s">
        <v>30</v>
      </c>
      <c r="G260" t="s">
        <v>30</v>
      </c>
      <c r="H260" t="s">
        <v>31</v>
      </c>
      <c r="I260" t="s">
        <v>32</v>
      </c>
      <c r="J260" t="s">
        <v>539</v>
      </c>
      <c r="K260">
        <v>166611.76</v>
      </c>
      <c r="L260" s="166">
        <v>166611.76</v>
      </c>
      <c r="M260">
        <v>0</v>
      </c>
      <c r="N260">
        <v>0</v>
      </c>
      <c r="O260">
        <v>0</v>
      </c>
      <c r="P260">
        <v>87411.760000000009</v>
      </c>
      <c r="Q260" s="166">
        <v>79200</v>
      </c>
      <c r="R260" t="s">
        <v>30</v>
      </c>
      <c r="S260">
        <v>100</v>
      </c>
      <c r="T260">
        <v>79200</v>
      </c>
      <c r="U260" t="s">
        <v>226</v>
      </c>
      <c r="V260" t="s">
        <v>1819</v>
      </c>
      <c r="W260">
        <v>0</v>
      </c>
      <c r="X260" t="s">
        <v>30</v>
      </c>
      <c r="Y260" t="s">
        <v>30</v>
      </c>
      <c r="Z260">
        <v>104000</v>
      </c>
      <c r="AC260" s="4" t="s">
        <v>803</v>
      </c>
      <c r="AD260" s="8">
        <v>19910000</v>
      </c>
      <c r="AE260" s="4" t="s">
        <v>806</v>
      </c>
      <c r="AF260" s="8">
        <v>19910001</v>
      </c>
      <c r="AG260" s="4" t="s">
        <v>809</v>
      </c>
      <c r="AH260" s="8">
        <v>19910001</v>
      </c>
    </row>
    <row r="261" spans="1:34" x14ac:dyDescent="0.25">
      <c r="A261" s="176" t="s">
        <v>1446</v>
      </c>
      <c r="B261" t="s">
        <v>25</v>
      </c>
      <c r="C261" t="s">
        <v>278</v>
      </c>
      <c r="D261" t="s">
        <v>540</v>
      </c>
      <c r="E261" t="s">
        <v>541</v>
      </c>
      <c r="F261" t="s">
        <v>30</v>
      </c>
      <c r="G261" t="s">
        <v>30</v>
      </c>
      <c r="H261" t="s">
        <v>37</v>
      </c>
      <c r="I261" t="s">
        <v>71</v>
      </c>
      <c r="J261" t="s">
        <v>542</v>
      </c>
      <c r="K261">
        <v>262576.89</v>
      </c>
      <c r="L261" s="166">
        <v>224463.45555000001</v>
      </c>
      <c r="M261">
        <v>38113.43</v>
      </c>
      <c r="N261">
        <v>3886.35</v>
      </c>
      <c r="O261" s="8">
        <v>38863.5</v>
      </c>
      <c r="P261">
        <v>223713.39</v>
      </c>
      <c r="Q261" s="166">
        <v>750.06555000000003</v>
      </c>
      <c r="R261" s="174" t="s">
        <v>1142</v>
      </c>
      <c r="S261">
        <v>100</v>
      </c>
      <c r="T261">
        <v>212500</v>
      </c>
      <c r="U261" t="s">
        <v>62</v>
      </c>
      <c r="V261" t="s">
        <v>543</v>
      </c>
      <c r="W261">
        <v>0</v>
      </c>
      <c r="X261" t="s">
        <v>30</v>
      </c>
      <c r="Y261" t="s">
        <v>30</v>
      </c>
      <c r="Z261">
        <v>250000</v>
      </c>
      <c r="AC261" s="4" t="s">
        <v>805</v>
      </c>
      <c r="AD261" s="8">
        <v>1910000</v>
      </c>
      <c r="AE261" s="4" t="s">
        <v>808</v>
      </c>
      <c r="AF261" s="8">
        <v>1910008</v>
      </c>
      <c r="AG261" s="4" t="s">
        <v>810</v>
      </c>
      <c r="AH261" s="8">
        <v>1910008</v>
      </c>
    </row>
    <row r="262" spans="1:34" x14ac:dyDescent="0.25">
      <c r="A262" s="176" t="s">
        <v>1447</v>
      </c>
      <c r="B262" t="s">
        <v>25</v>
      </c>
      <c r="C262" t="s">
        <v>278</v>
      </c>
      <c r="D262" t="s">
        <v>544</v>
      </c>
      <c r="E262" t="s">
        <v>545</v>
      </c>
      <c r="F262" t="s">
        <v>30</v>
      </c>
      <c r="G262" t="s">
        <v>30</v>
      </c>
      <c r="H262" t="s">
        <v>37</v>
      </c>
      <c r="I262" t="s">
        <v>91</v>
      </c>
      <c r="J262" t="s">
        <v>546</v>
      </c>
      <c r="K262">
        <v>107015.93</v>
      </c>
      <c r="L262" s="166">
        <v>2065.4074489999998</v>
      </c>
      <c r="M262">
        <v>104950.52</v>
      </c>
      <c r="N262">
        <v>20292.64</v>
      </c>
      <c r="O262" s="8">
        <v>202926.45</v>
      </c>
      <c r="P262">
        <v>0</v>
      </c>
      <c r="Q262" s="166">
        <v>2065.4074489999998</v>
      </c>
      <c r="R262" s="174" t="s">
        <v>1142</v>
      </c>
      <c r="S262">
        <v>100</v>
      </c>
      <c r="T262">
        <v>205800</v>
      </c>
      <c r="U262" t="s">
        <v>120</v>
      </c>
      <c r="V262" t="s">
        <v>496</v>
      </c>
      <c r="W262">
        <v>0</v>
      </c>
      <c r="X262" t="s">
        <v>30</v>
      </c>
      <c r="Y262" t="s">
        <v>30</v>
      </c>
      <c r="Z262">
        <v>241500</v>
      </c>
      <c r="AC262" s="4" t="s">
        <v>805</v>
      </c>
      <c r="AD262" s="8">
        <v>1910000</v>
      </c>
      <c r="AE262" s="4" t="s">
        <v>808</v>
      </c>
      <c r="AF262" s="8">
        <v>1910008</v>
      </c>
      <c r="AG262" s="4" t="s">
        <v>810</v>
      </c>
      <c r="AH262" s="8">
        <v>1910008</v>
      </c>
    </row>
    <row r="263" spans="1:34" x14ac:dyDescent="0.25">
      <c r="A263" s="176" t="s">
        <v>1448</v>
      </c>
      <c r="B263" t="s">
        <v>25</v>
      </c>
      <c r="C263" t="s">
        <v>278</v>
      </c>
      <c r="D263" t="s">
        <v>547</v>
      </c>
      <c r="E263" t="s">
        <v>548</v>
      </c>
      <c r="F263" t="s">
        <v>30</v>
      </c>
      <c r="G263" t="s">
        <v>30</v>
      </c>
      <c r="H263" t="s">
        <v>37</v>
      </c>
      <c r="I263" t="s">
        <v>53</v>
      </c>
      <c r="J263" t="s">
        <v>549</v>
      </c>
      <c r="K263">
        <v>310838.84000000003</v>
      </c>
      <c r="L263" s="166">
        <v>5999.189612000001</v>
      </c>
      <c r="M263">
        <v>304839.65000000002</v>
      </c>
      <c r="N263">
        <v>49865.7</v>
      </c>
      <c r="O263" s="8">
        <v>498657.05</v>
      </c>
      <c r="P263">
        <v>0</v>
      </c>
      <c r="Q263" s="166">
        <v>5999.189612000001</v>
      </c>
      <c r="R263" s="174" t="s">
        <v>1142</v>
      </c>
      <c r="S263">
        <v>100</v>
      </c>
      <c r="T263">
        <v>431900</v>
      </c>
      <c r="U263" t="s">
        <v>226</v>
      </c>
      <c r="V263" t="s">
        <v>154</v>
      </c>
      <c r="W263">
        <v>0</v>
      </c>
      <c r="X263" t="s">
        <v>30</v>
      </c>
      <c r="Y263" t="s">
        <v>30</v>
      </c>
      <c r="Z263">
        <v>535000</v>
      </c>
      <c r="AC263" s="4" t="s">
        <v>805</v>
      </c>
      <c r="AD263" s="8">
        <v>1910000</v>
      </c>
      <c r="AE263" s="4" t="s">
        <v>808</v>
      </c>
      <c r="AF263" s="8">
        <v>1910008</v>
      </c>
      <c r="AG263" s="4" t="s">
        <v>810</v>
      </c>
      <c r="AH263" s="8">
        <v>1910008</v>
      </c>
    </row>
    <row r="264" spans="1:34" x14ac:dyDescent="0.25">
      <c r="A264" s="176" t="s">
        <v>1449</v>
      </c>
      <c r="B264" t="s">
        <v>25</v>
      </c>
      <c r="C264" t="s">
        <v>278</v>
      </c>
      <c r="D264" t="s">
        <v>550</v>
      </c>
      <c r="E264" t="s">
        <v>551</v>
      </c>
      <c r="F264" t="s">
        <v>30</v>
      </c>
      <c r="G264" t="s">
        <v>30</v>
      </c>
      <c r="H264" t="s">
        <v>31</v>
      </c>
      <c r="I264" t="s">
        <v>53</v>
      </c>
      <c r="J264" t="s">
        <v>552</v>
      </c>
      <c r="K264">
        <v>149171.75</v>
      </c>
      <c r="L264" s="166">
        <v>46381.670321000005</v>
      </c>
      <c r="M264">
        <v>102790.08</v>
      </c>
      <c r="N264">
        <v>0</v>
      </c>
      <c r="O264">
        <v>0</v>
      </c>
      <c r="P264">
        <v>0</v>
      </c>
      <c r="Q264" s="166">
        <v>46381.670321000005</v>
      </c>
      <c r="R264" t="s">
        <v>30</v>
      </c>
      <c r="S264">
        <v>100</v>
      </c>
      <c r="T264">
        <v>173100</v>
      </c>
      <c r="U264" t="s">
        <v>122</v>
      </c>
      <c r="V264" t="s">
        <v>1584</v>
      </c>
      <c r="W264">
        <v>0</v>
      </c>
      <c r="X264" t="s">
        <v>30</v>
      </c>
      <c r="Y264" t="s">
        <v>30</v>
      </c>
      <c r="Z264">
        <v>202900</v>
      </c>
      <c r="AC264" s="4" t="s">
        <v>803</v>
      </c>
      <c r="AD264" s="8">
        <v>19910000</v>
      </c>
      <c r="AE264" s="4" t="s">
        <v>806</v>
      </c>
      <c r="AF264" s="8">
        <v>19910001</v>
      </c>
      <c r="AG264" s="4" t="s">
        <v>809</v>
      </c>
      <c r="AH264" s="8">
        <v>19910001</v>
      </c>
    </row>
    <row r="265" spans="1:34" x14ac:dyDescent="0.25">
      <c r="A265" s="176" t="s">
        <v>1450</v>
      </c>
      <c r="B265" t="s">
        <v>25</v>
      </c>
      <c r="C265" t="s">
        <v>278</v>
      </c>
      <c r="D265" t="s">
        <v>553</v>
      </c>
      <c r="E265" t="s">
        <v>554</v>
      </c>
      <c r="F265" t="s">
        <v>30</v>
      </c>
      <c r="G265" t="s">
        <v>30</v>
      </c>
      <c r="H265" t="s">
        <v>37</v>
      </c>
      <c r="I265" t="s">
        <v>105</v>
      </c>
      <c r="J265" t="s">
        <v>555</v>
      </c>
      <c r="K265">
        <v>38092.01</v>
      </c>
      <c r="L265" s="166">
        <v>28784.764913000003</v>
      </c>
      <c r="M265">
        <v>9307.25</v>
      </c>
      <c r="N265">
        <v>949.04</v>
      </c>
      <c r="O265" s="8">
        <v>9490.41</v>
      </c>
      <c r="P265">
        <v>28601.600000000002</v>
      </c>
      <c r="Q265" s="166">
        <v>183.16491300000001</v>
      </c>
      <c r="R265" s="174" t="s">
        <v>1142</v>
      </c>
      <c r="S265">
        <v>100</v>
      </c>
      <c r="T265">
        <v>43000</v>
      </c>
      <c r="U265" t="s">
        <v>78</v>
      </c>
      <c r="V265" t="s">
        <v>556</v>
      </c>
      <c r="W265">
        <v>0</v>
      </c>
      <c r="X265" t="s">
        <v>30</v>
      </c>
      <c r="Y265" t="s">
        <v>30</v>
      </c>
      <c r="Z265">
        <v>50000</v>
      </c>
      <c r="AC265" s="4" t="s">
        <v>805</v>
      </c>
      <c r="AD265" s="8">
        <v>1910000</v>
      </c>
      <c r="AE265" s="4" t="s">
        <v>808</v>
      </c>
      <c r="AF265" s="8">
        <v>1910008</v>
      </c>
      <c r="AG265" s="4" t="s">
        <v>810</v>
      </c>
      <c r="AH265" s="8">
        <v>1910008</v>
      </c>
    </row>
    <row r="266" spans="1:34" x14ac:dyDescent="0.25">
      <c r="A266" s="176" t="s">
        <v>1451</v>
      </c>
      <c r="B266" t="s">
        <v>25</v>
      </c>
      <c r="C266" t="s">
        <v>278</v>
      </c>
      <c r="D266" t="s">
        <v>559</v>
      </c>
      <c r="E266" t="s">
        <v>560</v>
      </c>
      <c r="F266" t="s">
        <v>30</v>
      </c>
      <c r="G266" t="s">
        <v>30</v>
      </c>
      <c r="H266" t="s">
        <v>37</v>
      </c>
      <c r="I266" t="s">
        <v>71</v>
      </c>
      <c r="J266" t="s">
        <v>561</v>
      </c>
      <c r="K266">
        <v>635122.44999999995</v>
      </c>
      <c r="L266" s="166">
        <v>418177.52714799996</v>
      </c>
      <c r="M266">
        <v>216944.92</v>
      </c>
      <c r="N266">
        <v>22121.439999999999</v>
      </c>
      <c r="O266" s="8">
        <v>221214.36</v>
      </c>
      <c r="P266">
        <v>413908.08999999997</v>
      </c>
      <c r="Q266" s="166">
        <v>4269.437148</v>
      </c>
      <c r="R266" s="174" t="s">
        <v>1142</v>
      </c>
      <c r="S266">
        <v>100</v>
      </c>
      <c r="T266">
        <v>381650</v>
      </c>
      <c r="U266" t="s">
        <v>55</v>
      </c>
      <c r="V266" t="s">
        <v>562</v>
      </c>
      <c r="W266">
        <v>0</v>
      </c>
      <c r="X266" t="s">
        <v>30</v>
      </c>
      <c r="Y266" t="s">
        <v>30</v>
      </c>
      <c r="Z266">
        <v>449000</v>
      </c>
      <c r="AC266" s="4" t="s">
        <v>805</v>
      </c>
      <c r="AD266" s="8">
        <v>1910000</v>
      </c>
      <c r="AE266" s="4" t="s">
        <v>808</v>
      </c>
      <c r="AF266" s="8">
        <v>1910008</v>
      </c>
      <c r="AG266" s="4" t="s">
        <v>810</v>
      </c>
      <c r="AH266" s="8">
        <v>1910008</v>
      </c>
    </row>
    <row r="267" spans="1:34" x14ac:dyDescent="0.25">
      <c r="A267" s="176" t="s">
        <v>1452</v>
      </c>
      <c r="B267" t="s">
        <v>25</v>
      </c>
      <c r="C267" t="s">
        <v>278</v>
      </c>
      <c r="D267" t="s">
        <v>563</v>
      </c>
      <c r="E267" t="s">
        <v>564</v>
      </c>
      <c r="F267" t="s">
        <v>30</v>
      </c>
      <c r="G267" t="s">
        <v>30</v>
      </c>
      <c r="H267" t="s">
        <v>31</v>
      </c>
      <c r="I267" t="s">
        <v>557</v>
      </c>
      <c r="J267" t="s">
        <v>565</v>
      </c>
      <c r="K267">
        <v>454200.9</v>
      </c>
      <c r="L267" s="166">
        <v>410929.96425000002</v>
      </c>
      <c r="M267">
        <v>43270.94</v>
      </c>
      <c r="N267">
        <v>0</v>
      </c>
      <c r="O267">
        <v>0</v>
      </c>
      <c r="P267">
        <v>242700.90000000002</v>
      </c>
      <c r="Q267" s="166">
        <v>168229.06425</v>
      </c>
      <c r="R267" t="s">
        <v>30</v>
      </c>
      <c r="S267">
        <v>100</v>
      </c>
      <c r="T267">
        <v>211500</v>
      </c>
      <c r="U267" t="s">
        <v>122</v>
      </c>
      <c r="V267" t="s">
        <v>1585</v>
      </c>
      <c r="W267">
        <v>0</v>
      </c>
      <c r="X267" t="s">
        <v>30</v>
      </c>
      <c r="Y267" t="s">
        <v>30</v>
      </c>
      <c r="Z267">
        <v>245300</v>
      </c>
      <c r="AC267" s="4" t="s">
        <v>803</v>
      </c>
      <c r="AD267" s="8">
        <v>19910000</v>
      </c>
      <c r="AE267" s="4" t="s">
        <v>806</v>
      </c>
      <c r="AF267" s="8">
        <v>19910001</v>
      </c>
      <c r="AG267" s="4" t="s">
        <v>809</v>
      </c>
      <c r="AH267" s="8">
        <v>19910001</v>
      </c>
    </row>
    <row r="268" spans="1:34" x14ac:dyDescent="0.25">
      <c r="A268" s="176" t="s">
        <v>1453</v>
      </c>
      <c r="B268" t="s">
        <v>25</v>
      </c>
      <c r="C268" t="s">
        <v>278</v>
      </c>
      <c r="D268" t="s">
        <v>566</v>
      </c>
      <c r="E268" t="s">
        <v>30</v>
      </c>
      <c r="F268" t="s">
        <v>30</v>
      </c>
      <c r="G268" t="s">
        <v>30</v>
      </c>
      <c r="H268" t="s">
        <v>31</v>
      </c>
      <c r="I268" t="s">
        <v>53</v>
      </c>
      <c r="J268" t="s">
        <v>567</v>
      </c>
      <c r="K268">
        <v>107786.11</v>
      </c>
      <c r="L268" s="166">
        <v>37341.554433509809</v>
      </c>
      <c r="M268">
        <v>70444.56</v>
      </c>
      <c r="N268">
        <v>0</v>
      </c>
      <c r="O268">
        <v>0</v>
      </c>
      <c r="P268">
        <v>0</v>
      </c>
      <c r="Q268" s="166">
        <v>37341.554433509809</v>
      </c>
      <c r="R268" t="s">
        <v>30</v>
      </c>
      <c r="S268">
        <v>100</v>
      </c>
      <c r="T268">
        <v>122400</v>
      </c>
      <c r="U268" t="s">
        <v>120</v>
      </c>
      <c r="V268" t="s">
        <v>1820</v>
      </c>
      <c r="W268">
        <v>0</v>
      </c>
      <c r="X268" t="s">
        <v>30</v>
      </c>
      <c r="Y268" t="s">
        <v>30</v>
      </c>
      <c r="Z268">
        <v>150000</v>
      </c>
      <c r="AC268" s="4" t="s">
        <v>803</v>
      </c>
      <c r="AD268" s="8">
        <v>19910000</v>
      </c>
      <c r="AE268" s="4" t="s">
        <v>806</v>
      </c>
      <c r="AF268" s="8">
        <v>19910001</v>
      </c>
      <c r="AG268" s="4" t="s">
        <v>809</v>
      </c>
      <c r="AH268" s="8">
        <v>19910001</v>
      </c>
    </row>
    <row r="269" spans="1:34" x14ac:dyDescent="0.25">
      <c r="A269" s="176" t="s">
        <v>1454</v>
      </c>
      <c r="B269" t="s">
        <v>25</v>
      </c>
      <c r="C269" t="s">
        <v>278</v>
      </c>
      <c r="D269" t="s">
        <v>568</v>
      </c>
      <c r="E269" t="s">
        <v>569</v>
      </c>
      <c r="F269" t="s">
        <v>30</v>
      </c>
      <c r="G269" t="s">
        <v>30</v>
      </c>
      <c r="H269" t="s">
        <v>37</v>
      </c>
      <c r="I269" t="s">
        <v>53</v>
      </c>
      <c r="J269" t="s">
        <v>570</v>
      </c>
      <c r="K269">
        <v>55379.199999999997</v>
      </c>
      <c r="L269" s="166">
        <v>1068.8185599999999</v>
      </c>
      <c r="M269">
        <v>54310.38</v>
      </c>
      <c r="N269">
        <v>7386.12</v>
      </c>
      <c r="O269" s="8">
        <v>73861.22</v>
      </c>
      <c r="P269">
        <v>0</v>
      </c>
      <c r="Q269" s="166">
        <v>1068.8185599999999</v>
      </c>
      <c r="R269" s="174" t="s">
        <v>1142</v>
      </c>
      <c r="S269">
        <v>100</v>
      </c>
      <c r="T269">
        <v>77885</v>
      </c>
      <c r="U269" t="s">
        <v>120</v>
      </c>
      <c r="V269" t="s">
        <v>571</v>
      </c>
      <c r="W269">
        <v>0</v>
      </c>
      <c r="X269" t="s">
        <v>30</v>
      </c>
      <c r="Y269" t="s">
        <v>30</v>
      </c>
      <c r="Z269">
        <v>95500</v>
      </c>
      <c r="AC269" s="4" t="s">
        <v>805</v>
      </c>
      <c r="AD269" s="8">
        <v>1910000</v>
      </c>
      <c r="AE269" s="4" t="s">
        <v>808</v>
      </c>
      <c r="AF269" s="8">
        <v>1910008</v>
      </c>
      <c r="AG269" s="4" t="s">
        <v>810</v>
      </c>
      <c r="AH269" s="8">
        <v>1910008</v>
      </c>
    </row>
    <row r="270" spans="1:34" x14ac:dyDescent="0.25">
      <c r="A270" s="176" t="s">
        <v>1455</v>
      </c>
      <c r="B270" t="s">
        <v>25</v>
      </c>
      <c r="C270" t="s">
        <v>278</v>
      </c>
      <c r="D270" t="s">
        <v>573</v>
      </c>
      <c r="E270" t="s">
        <v>572</v>
      </c>
      <c r="F270" t="s">
        <v>30</v>
      </c>
      <c r="G270" t="s">
        <v>30</v>
      </c>
      <c r="H270" t="s">
        <v>31</v>
      </c>
      <c r="I270" t="s">
        <v>574</v>
      </c>
      <c r="J270" t="s">
        <v>190</v>
      </c>
      <c r="K270">
        <v>386525.1</v>
      </c>
      <c r="L270" s="166">
        <v>279236.51999999996</v>
      </c>
      <c r="M270">
        <v>107288.58</v>
      </c>
      <c r="N270">
        <v>0</v>
      </c>
      <c r="O270">
        <v>0</v>
      </c>
      <c r="P270">
        <v>277125.09999999998</v>
      </c>
      <c r="Q270" s="166">
        <v>2111.42</v>
      </c>
      <c r="R270" t="s">
        <v>30</v>
      </c>
      <c r="S270">
        <v>100</v>
      </c>
      <c r="T270">
        <v>109400</v>
      </c>
      <c r="U270" t="s">
        <v>120</v>
      </c>
      <c r="V270" t="s">
        <v>1586</v>
      </c>
      <c r="W270">
        <v>0</v>
      </c>
      <c r="X270" t="s">
        <v>30</v>
      </c>
      <c r="Y270" t="s">
        <v>30</v>
      </c>
      <c r="Z270">
        <v>150300</v>
      </c>
      <c r="AC270" s="4" t="s">
        <v>803</v>
      </c>
      <c r="AD270" s="8">
        <v>19910000</v>
      </c>
      <c r="AE270" s="4" t="s">
        <v>806</v>
      </c>
      <c r="AF270" s="8">
        <v>19910001</v>
      </c>
      <c r="AG270" s="4" t="s">
        <v>809</v>
      </c>
      <c r="AH270" s="8">
        <v>19910001</v>
      </c>
    </row>
    <row r="271" spans="1:34" x14ac:dyDescent="0.25">
      <c r="A271" s="176" t="s">
        <v>1456</v>
      </c>
      <c r="B271" t="s">
        <v>25</v>
      </c>
      <c r="C271" t="s">
        <v>278</v>
      </c>
      <c r="D271" t="s">
        <v>576</v>
      </c>
      <c r="E271" t="s">
        <v>577</v>
      </c>
      <c r="F271" t="s">
        <v>30</v>
      </c>
      <c r="G271" t="s">
        <v>30</v>
      </c>
      <c r="H271" t="s">
        <v>37</v>
      </c>
      <c r="I271" t="s">
        <v>71</v>
      </c>
      <c r="J271" t="s">
        <v>578</v>
      </c>
      <c r="K271">
        <v>389003.7</v>
      </c>
      <c r="L271" s="166">
        <v>208865.90939100002</v>
      </c>
      <c r="M271">
        <v>180137.79</v>
      </c>
      <c r="N271">
        <v>18368.29</v>
      </c>
      <c r="O271" s="8">
        <v>183682.87</v>
      </c>
      <c r="P271">
        <v>205320.83000000002</v>
      </c>
      <c r="Q271" s="166">
        <v>3545.0793910000002</v>
      </c>
      <c r="R271" s="174" t="s">
        <v>1142</v>
      </c>
      <c r="S271">
        <v>100</v>
      </c>
      <c r="T271">
        <v>253620</v>
      </c>
      <c r="U271" t="s">
        <v>34</v>
      </c>
      <c r="V271" t="s">
        <v>579</v>
      </c>
      <c r="W271">
        <v>0</v>
      </c>
      <c r="X271" t="s">
        <v>30</v>
      </c>
      <c r="Y271" t="s">
        <v>30</v>
      </c>
      <c r="Z271">
        <v>316237</v>
      </c>
      <c r="AC271" s="4" t="s">
        <v>805</v>
      </c>
      <c r="AD271" s="8">
        <v>1910000</v>
      </c>
      <c r="AE271" s="4" t="s">
        <v>808</v>
      </c>
      <c r="AF271" s="8">
        <v>1910008</v>
      </c>
      <c r="AG271" s="4" t="s">
        <v>810</v>
      </c>
      <c r="AH271" s="8">
        <v>1910008</v>
      </c>
    </row>
    <row r="272" spans="1:34" x14ac:dyDescent="0.25">
      <c r="A272" s="176" t="s">
        <v>1457</v>
      </c>
      <c r="B272" t="s">
        <v>25</v>
      </c>
      <c r="C272" t="s">
        <v>278</v>
      </c>
      <c r="D272" t="s">
        <v>580</v>
      </c>
      <c r="E272" t="s">
        <v>577</v>
      </c>
      <c r="F272" t="s">
        <v>30</v>
      </c>
      <c r="G272" t="s">
        <v>30</v>
      </c>
      <c r="H272" t="s">
        <v>37</v>
      </c>
      <c r="I272" t="s">
        <v>105</v>
      </c>
      <c r="J272" t="s">
        <v>578</v>
      </c>
      <c r="K272">
        <v>215568.77</v>
      </c>
      <c r="L272" s="166">
        <v>125304.86740399999</v>
      </c>
      <c r="M272">
        <v>90263.9</v>
      </c>
      <c r="N272">
        <v>9204.0300000000007</v>
      </c>
      <c r="O272" s="8">
        <v>92040.28</v>
      </c>
      <c r="P272">
        <v>123528.48999999999</v>
      </c>
      <c r="Q272" s="166">
        <v>1776.3774040000001</v>
      </c>
      <c r="R272" s="174" t="s">
        <v>1142</v>
      </c>
      <c r="S272">
        <v>100</v>
      </c>
      <c r="T272">
        <v>186000</v>
      </c>
      <c r="U272" t="s">
        <v>78</v>
      </c>
      <c r="V272" t="s">
        <v>79</v>
      </c>
      <c r="W272">
        <v>0</v>
      </c>
      <c r="X272" t="s">
        <v>30</v>
      </c>
      <c r="Y272" t="s">
        <v>30</v>
      </c>
      <c r="Z272">
        <v>234900</v>
      </c>
      <c r="AC272" s="4" t="s">
        <v>805</v>
      </c>
      <c r="AD272" s="8">
        <v>1910000</v>
      </c>
      <c r="AE272" s="4" t="s">
        <v>808</v>
      </c>
      <c r="AF272" s="8">
        <v>1910008</v>
      </c>
      <c r="AG272" s="4" t="s">
        <v>810</v>
      </c>
      <c r="AH272" s="8">
        <v>1910008</v>
      </c>
    </row>
    <row r="273" spans="1:34" x14ac:dyDescent="0.25">
      <c r="A273" s="176" t="s">
        <v>1458</v>
      </c>
      <c r="B273" t="s">
        <v>25</v>
      </c>
      <c r="C273" t="s">
        <v>278</v>
      </c>
      <c r="D273" t="s">
        <v>581</v>
      </c>
      <c r="E273" t="s">
        <v>582</v>
      </c>
      <c r="F273" t="s">
        <v>30</v>
      </c>
      <c r="G273" t="s">
        <v>30</v>
      </c>
      <c r="H273" t="s">
        <v>31</v>
      </c>
      <c r="I273" t="s">
        <v>71</v>
      </c>
      <c r="J273" t="s">
        <v>583</v>
      </c>
      <c r="K273">
        <v>559555.30000000005</v>
      </c>
      <c r="L273" s="166">
        <v>356648.47000000003</v>
      </c>
      <c r="M273">
        <v>202906.83</v>
      </c>
      <c r="N273">
        <v>0</v>
      </c>
      <c r="O273">
        <v>0</v>
      </c>
      <c r="P273">
        <v>315455.30000000005</v>
      </c>
      <c r="Q273" s="166">
        <v>41193.17</v>
      </c>
      <c r="R273" t="s">
        <v>30</v>
      </c>
      <c r="S273">
        <v>100</v>
      </c>
      <c r="T273">
        <v>244100</v>
      </c>
      <c r="U273" t="s">
        <v>122</v>
      </c>
      <c r="V273" t="s">
        <v>1585</v>
      </c>
      <c r="W273">
        <v>0</v>
      </c>
      <c r="X273" t="s">
        <v>30</v>
      </c>
      <c r="Y273" t="s">
        <v>30</v>
      </c>
      <c r="Z273">
        <v>286100</v>
      </c>
      <c r="AC273" s="4" t="s">
        <v>803</v>
      </c>
      <c r="AD273" s="8">
        <v>19910000</v>
      </c>
      <c r="AE273" s="4" t="s">
        <v>806</v>
      </c>
      <c r="AF273" s="8">
        <v>19910001</v>
      </c>
      <c r="AG273" s="4" t="s">
        <v>809</v>
      </c>
      <c r="AH273" s="8">
        <v>19910001</v>
      </c>
    </row>
    <row r="274" spans="1:34" x14ac:dyDescent="0.25">
      <c r="A274" s="176" t="s">
        <v>1459</v>
      </c>
      <c r="B274" t="s">
        <v>25</v>
      </c>
      <c r="C274" t="s">
        <v>278</v>
      </c>
      <c r="D274" t="s">
        <v>584</v>
      </c>
      <c r="E274" t="s">
        <v>585</v>
      </c>
      <c r="F274" t="s">
        <v>30</v>
      </c>
      <c r="G274" t="s">
        <v>30</v>
      </c>
      <c r="H274" t="s">
        <v>37</v>
      </c>
      <c r="I274" t="s">
        <v>53</v>
      </c>
      <c r="J274" t="s">
        <v>586</v>
      </c>
      <c r="K274">
        <v>41174.76</v>
      </c>
      <c r="L274" s="166">
        <v>794.67286800000011</v>
      </c>
      <c r="M274">
        <v>40380.089999999997</v>
      </c>
      <c r="N274">
        <v>6961.53</v>
      </c>
      <c r="O274" s="8">
        <v>69615.289999999994</v>
      </c>
      <c r="P274">
        <v>0</v>
      </c>
      <c r="Q274" s="166">
        <v>794.67286800000011</v>
      </c>
      <c r="R274" s="174" t="s">
        <v>1142</v>
      </c>
      <c r="S274">
        <v>100</v>
      </c>
      <c r="T274">
        <v>60700</v>
      </c>
      <c r="U274" t="s">
        <v>122</v>
      </c>
      <c r="V274" t="s">
        <v>1086</v>
      </c>
      <c r="W274">
        <v>0</v>
      </c>
      <c r="X274" t="s">
        <v>30</v>
      </c>
      <c r="Y274" t="s">
        <v>30</v>
      </c>
      <c r="Z274">
        <v>70400</v>
      </c>
      <c r="AC274" s="4" t="s">
        <v>805</v>
      </c>
      <c r="AD274" s="8">
        <v>1910000</v>
      </c>
      <c r="AE274" s="4" t="s">
        <v>808</v>
      </c>
      <c r="AF274" s="8">
        <v>1910008</v>
      </c>
      <c r="AG274" s="4" t="s">
        <v>810</v>
      </c>
      <c r="AH274" s="8">
        <v>1910008</v>
      </c>
    </row>
    <row r="275" spans="1:34" x14ac:dyDescent="0.25">
      <c r="A275" s="176" t="s">
        <v>1460</v>
      </c>
      <c r="B275" t="s">
        <v>25</v>
      </c>
      <c r="C275" t="s">
        <v>278</v>
      </c>
      <c r="D275" t="s">
        <v>587</v>
      </c>
      <c r="E275" t="s">
        <v>588</v>
      </c>
      <c r="F275" t="s">
        <v>30</v>
      </c>
      <c r="G275" t="s">
        <v>30</v>
      </c>
      <c r="H275" t="s">
        <v>37</v>
      </c>
      <c r="I275" t="s">
        <v>105</v>
      </c>
      <c r="J275" t="s">
        <v>262</v>
      </c>
      <c r="K275">
        <v>376277.61</v>
      </c>
      <c r="L275" s="166">
        <v>344337.73108499998</v>
      </c>
      <c r="M275">
        <v>31939.88</v>
      </c>
      <c r="N275">
        <v>3256.84</v>
      </c>
      <c r="O275" s="8">
        <v>32568.45</v>
      </c>
      <c r="P275">
        <v>343709.16</v>
      </c>
      <c r="Q275" s="166">
        <v>628.57108500000027</v>
      </c>
      <c r="R275" s="174" t="s">
        <v>1142</v>
      </c>
      <c r="S275">
        <v>100</v>
      </c>
      <c r="T275">
        <v>107000</v>
      </c>
      <c r="U275" t="s">
        <v>62</v>
      </c>
      <c r="V275" t="s">
        <v>589</v>
      </c>
      <c r="W275">
        <v>0</v>
      </c>
      <c r="X275" t="s">
        <v>30</v>
      </c>
      <c r="Y275" t="s">
        <v>30</v>
      </c>
      <c r="Z275">
        <v>142500</v>
      </c>
      <c r="AC275" s="4" t="s">
        <v>805</v>
      </c>
      <c r="AD275" s="8">
        <v>1910000</v>
      </c>
      <c r="AE275" s="4" t="s">
        <v>808</v>
      </c>
      <c r="AF275" s="8">
        <v>1910008</v>
      </c>
      <c r="AG275" s="4" t="s">
        <v>810</v>
      </c>
      <c r="AH275" s="8">
        <v>1910008</v>
      </c>
    </row>
    <row r="276" spans="1:34" x14ac:dyDescent="0.25">
      <c r="A276" s="176" t="s">
        <v>1461</v>
      </c>
      <c r="B276" t="s">
        <v>25</v>
      </c>
      <c r="C276" t="s">
        <v>278</v>
      </c>
      <c r="D276" t="s">
        <v>590</v>
      </c>
      <c r="E276" t="s">
        <v>591</v>
      </c>
      <c r="F276" t="s">
        <v>30</v>
      </c>
      <c r="G276" t="s">
        <v>30</v>
      </c>
      <c r="H276" t="s">
        <v>37</v>
      </c>
      <c r="I276" t="s">
        <v>53</v>
      </c>
      <c r="J276" t="s">
        <v>592</v>
      </c>
      <c r="K276">
        <v>101317.95</v>
      </c>
      <c r="L276" s="166">
        <v>61842.372284999998</v>
      </c>
      <c r="M276">
        <v>39475.58</v>
      </c>
      <c r="N276">
        <v>4025.24</v>
      </c>
      <c r="O276" s="8">
        <v>40252.449999999997</v>
      </c>
      <c r="P276">
        <v>61065.5</v>
      </c>
      <c r="Q276" s="166">
        <v>776.87228500000003</v>
      </c>
      <c r="R276" s="174" t="s">
        <v>1142</v>
      </c>
      <c r="S276">
        <v>100</v>
      </c>
      <c r="T276">
        <v>39000</v>
      </c>
      <c r="U276" t="s">
        <v>78</v>
      </c>
      <c r="V276" t="s">
        <v>593</v>
      </c>
      <c r="W276">
        <v>0</v>
      </c>
      <c r="X276" t="s">
        <v>30</v>
      </c>
      <c r="Y276" t="s">
        <v>30</v>
      </c>
      <c r="Z276">
        <v>45500</v>
      </c>
      <c r="AC276" s="4" t="s">
        <v>805</v>
      </c>
      <c r="AD276" s="8">
        <v>1910000</v>
      </c>
      <c r="AE276" s="4" t="s">
        <v>808</v>
      </c>
      <c r="AF276" s="8">
        <v>1910008</v>
      </c>
      <c r="AG276" s="4" t="s">
        <v>810</v>
      </c>
      <c r="AH276" s="8">
        <v>1910008</v>
      </c>
    </row>
    <row r="277" spans="1:34" x14ac:dyDescent="0.25">
      <c r="A277" s="176" t="s">
        <v>1462</v>
      </c>
      <c r="B277" t="s">
        <v>25</v>
      </c>
      <c r="C277" t="s">
        <v>278</v>
      </c>
      <c r="D277" t="s">
        <v>596</v>
      </c>
      <c r="E277" t="s">
        <v>594</v>
      </c>
      <c r="F277" t="s">
        <v>30</v>
      </c>
      <c r="G277" t="s">
        <v>30</v>
      </c>
      <c r="H277" t="s">
        <v>31</v>
      </c>
      <c r="I277" t="s">
        <v>48</v>
      </c>
      <c r="J277" t="s">
        <v>595</v>
      </c>
      <c r="K277">
        <v>381890.11</v>
      </c>
      <c r="L277" s="166">
        <v>87812.396622999993</v>
      </c>
      <c r="M277">
        <v>294077.71000000002</v>
      </c>
      <c r="N277">
        <v>0</v>
      </c>
      <c r="O277">
        <v>0</v>
      </c>
      <c r="P277">
        <v>0</v>
      </c>
      <c r="Q277" s="166">
        <v>87812.396622999993</v>
      </c>
      <c r="R277" t="s">
        <v>30</v>
      </c>
      <c r="S277">
        <v>100</v>
      </c>
      <c r="T277">
        <v>524000</v>
      </c>
      <c r="U277" t="s">
        <v>226</v>
      </c>
      <c r="V277" t="s">
        <v>1821</v>
      </c>
      <c r="W277">
        <v>0</v>
      </c>
      <c r="X277" t="s">
        <v>30</v>
      </c>
      <c r="Y277" t="s">
        <v>30</v>
      </c>
      <c r="Z277">
        <v>701000</v>
      </c>
      <c r="AC277" s="4" t="s">
        <v>803</v>
      </c>
      <c r="AD277" s="8">
        <v>19910000</v>
      </c>
      <c r="AE277" s="4" t="s">
        <v>806</v>
      </c>
      <c r="AF277" s="8">
        <v>19910001</v>
      </c>
      <c r="AG277" s="4" t="s">
        <v>809</v>
      </c>
      <c r="AH277" s="8">
        <v>19910001</v>
      </c>
    </row>
    <row r="278" spans="1:34" x14ac:dyDescent="0.25">
      <c r="A278" s="176" t="s">
        <v>1463</v>
      </c>
      <c r="B278" t="s">
        <v>25</v>
      </c>
      <c r="C278" t="s">
        <v>278</v>
      </c>
      <c r="D278" t="s">
        <v>597</v>
      </c>
      <c r="E278" t="s">
        <v>594</v>
      </c>
      <c r="F278" t="s">
        <v>30</v>
      </c>
      <c r="G278" t="s">
        <v>30</v>
      </c>
      <c r="H278" t="s">
        <v>31</v>
      </c>
      <c r="I278" t="s">
        <v>48</v>
      </c>
      <c r="J278" t="s">
        <v>595</v>
      </c>
      <c r="K278">
        <v>381743.16</v>
      </c>
      <c r="L278" s="166">
        <v>87809.560488000003</v>
      </c>
      <c r="M278">
        <v>293933.59999999998</v>
      </c>
      <c r="N278">
        <v>0</v>
      </c>
      <c r="O278">
        <v>0</v>
      </c>
      <c r="P278">
        <v>0</v>
      </c>
      <c r="Q278" s="166">
        <v>87809.560488000003</v>
      </c>
      <c r="R278" t="s">
        <v>30</v>
      </c>
      <c r="S278">
        <v>100</v>
      </c>
      <c r="T278">
        <v>524000</v>
      </c>
      <c r="U278" t="s">
        <v>226</v>
      </c>
      <c r="V278" t="s">
        <v>1821</v>
      </c>
      <c r="W278">
        <v>0</v>
      </c>
      <c r="X278" t="s">
        <v>30</v>
      </c>
      <c r="Y278" t="s">
        <v>30</v>
      </c>
      <c r="Z278">
        <v>701000</v>
      </c>
      <c r="AC278" s="4" t="s">
        <v>803</v>
      </c>
      <c r="AD278" s="8">
        <v>19910000</v>
      </c>
      <c r="AE278" s="4" t="s">
        <v>806</v>
      </c>
      <c r="AF278" s="8">
        <v>19910001</v>
      </c>
      <c r="AG278" s="4" t="s">
        <v>809</v>
      </c>
      <c r="AH278" s="8">
        <v>19910001</v>
      </c>
    </row>
    <row r="279" spans="1:34" x14ac:dyDescent="0.25">
      <c r="A279" s="176" t="s">
        <v>1464</v>
      </c>
      <c r="B279" t="s">
        <v>25</v>
      </c>
      <c r="C279" t="s">
        <v>278</v>
      </c>
      <c r="D279" t="s">
        <v>599</v>
      </c>
      <c r="E279" t="s">
        <v>598</v>
      </c>
      <c r="F279" t="s">
        <v>30</v>
      </c>
      <c r="G279" t="s">
        <v>30</v>
      </c>
      <c r="H279" t="s">
        <v>59</v>
      </c>
      <c r="I279" t="s">
        <v>48</v>
      </c>
      <c r="J279" t="s">
        <v>575</v>
      </c>
      <c r="K279">
        <v>8089.41</v>
      </c>
      <c r="L279" s="166">
        <v>3548.7689999999998</v>
      </c>
      <c r="M279">
        <v>4540.6400000000003</v>
      </c>
      <c r="N279">
        <v>0</v>
      </c>
      <c r="O279">
        <v>0</v>
      </c>
      <c r="P279">
        <v>3459.41</v>
      </c>
      <c r="Q279" s="166">
        <v>89.359000000000009</v>
      </c>
      <c r="R279" t="s">
        <v>30</v>
      </c>
      <c r="S279">
        <v>100</v>
      </c>
      <c r="T279">
        <v>4630</v>
      </c>
      <c r="U279" t="s">
        <v>34</v>
      </c>
      <c r="V279" t="s">
        <v>1587</v>
      </c>
      <c r="W279">
        <v>0</v>
      </c>
      <c r="X279" t="s">
        <v>30</v>
      </c>
      <c r="Y279" t="s">
        <v>30</v>
      </c>
      <c r="Z279">
        <v>6715</v>
      </c>
      <c r="AC279" s="4" t="s">
        <v>805</v>
      </c>
      <c r="AD279" s="8">
        <v>1910000</v>
      </c>
      <c r="AE279" s="4" t="s">
        <v>808</v>
      </c>
      <c r="AF279" s="8">
        <v>1910008</v>
      </c>
      <c r="AG279" s="4" t="s">
        <v>810</v>
      </c>
      <c r="AH279" s="8">
        <v>1910008</v>
      </c>
    </row>
    <row r="280" spans="1:34" x14ac:dyDescent="0.25">
      <c r="A280" s="176" t="s">
        <v>1465</v>
      </c>
      <c r="B280" t="s">
        <v>25</v>
      </c>
      <c r="C280" t="s">
        <v>278</v>
      </c>
      <c r="D280" t="s">
        <v>600</v>
      </c>
      <c r="E280" t="s">
        <v>598</v>
      </c>
      <c r="F280" t="s">
        <v>30</v>
      </c>
      <c r="G280" t="s">
        <v>30</v>
      </c>
      <c r="H280" t="s">
        <v>59</v>
      </c>
      <c r="I280" t="s">
        <v>48</v>
      </c>
      <c r="J280" t="s">
        <v>575</v>
      </c>
      <c r="K280">
        <v>7559.41</v>
      </c>
      <c r="L280" s="166">
        <v>3107.0319999999997</v>
      </c>
      <c r="M280">
        <v>4452.38</v>
      </c>
      <c r="N280">
        <v>0</v>
      </c>
      <c r="O280">
        <v>0</v>
      </c>
      <c r="P280">
        <v>3019.41</v>
      </c>
      <c r="Q280" s="166">
        <v>87.622</v>
      </c>
      <c r="R280" t="s">
        <v>30</v>
      </c>
      <c r="S280">
        <v>100</v>
      </c>
      <c r="T280">
        <v>4540</v>
      </c>
      <c r="U280" t="s">
        <v>34</v>
      </c>
      <c r="V280" t="s">
        <v>1587</v>
      </c>
      <c r="W280">
        <v>0</v>
      </c>
      <c r="X280" t="s">
        <v>30</v>
      </c>
      <c r="Y280" t="s">
        <v>30</v>
      </c>
      <c r="Z280">
        <v>6585</v>
      </c>
      <c r="AC280" s="4" t="s">
        <v>805</v>
      </c>
      <c r="AD280" s="8">
        <v>1910000</v>
      </c>
      <c r="AE280" s="4" t="s">
        <v>808</v>
      </c>
      <c r="AF280" s="8">
        <v>1910008</v>
      </c>
      <c r="AG280" s="4" t="s">
        <v>810</v>
      </c>
      <c r="AH280" s="8">
        <v>1910008</v>
      </c>
    </row>
    <row r="281" spans="1:34" x14ac:dyDescent="0.25">
      <c r="A281" s="176" t="s">
        <v>1466</v>
      </c>
      <c r="B281" t="s">
        <v>25</v>
      </c>
      <c r="C281" t="s">
        <v>278</v>
      </c>
      <c r="D281" t="s">
        <v>601</v>
      </c>
      <c r="E281" t="s">
        <v>598</v>
      </c>
      <c r="F281" t="s">
        <v>30</v>
      </c>
      <c r="G281" t="s">
        <v>30</v>
      </c>
      <c r="H281" t="s">
        <v>59</v>
      </c>
      <c r="I281" t="s">
        <v>48</v>
      </c>
      <c r="J281" t="s">
        <v>575</v>
      </c>
      <c r="K281">
        <v>7564.67</v>
      </c>
      <c r="L281" s="166">
        <v>3112.2919999999999</v>
      </c>
      <c r="M281">
        <v>4452.38</v>
      </c>
      <c r="N281">
        <v>0</v>
      </c>
      <c r="O281">
        <v>0</v>
      </c>
      <c r="P281">
        <v>3024.67</v>
      </c>
      <c r="Q281" s="166">
        <v>87.622</v>
      </c>
      <c r="R281" t="s">
        <v>30</v>
      </c>
      <c r="S281">
        <v>100</v>
      </c>
      <c r="T281">
        <v>4540</v>
      </c>
      <c r="U281" t="s">
        <v>34</v>
      </c>
      <c r="V281" t="s">
        <v>1587</v>
      </c>
      <c r="W281">
        <v>0</v>
      </c>
      <c r="X281" t="s">
        <v>30</v>
      </c>
      <c r="Y281" t="s">
        <v>30</v>
      </c>
      <c r="Z281">
        <v>6585</v>
      </c>
      <c r="AC281" s="4" t="s">
        <v>805</v>
      </c>
      <c r="AD281" s="8">
        <v>1910000</v>
      </c>
      <c r="AE281" s="4" t="s">
        <v>808</v>
      </c>
      <c r="AF281" s="8">
        <v>1910008</v>
      </c>
      <c r="AG281" s="4" t="s">
        <v>810</v>
      </c>
      <c r="AH281" s="8">
        <v>1910008</v>
      </c>
    </row>
    <row r="282" spans="1:34" x14ac:dyDescent="0.25">
      <c r="A282" s="176" t="s">
        <v>1467</v>
      </c>
      <c r="B282" t="s">
        <v>25</v>
      </c>
      <c r="C282" t="s">
        <v>278</v>
      </c>
      <c r="D282" t="s">
        <v>602</v>
      </c>
      <c r="E282" t="s">
        <v>598</v>
      </c>
      <c r="F282" t="s">
        <v>30</v>
      </c>
      <c r="G282" t="s">
        <v>30</v>
      </c>
      <c r="H282" t="s">
        <v>59</v>
      </c>
      <c r="I282" t="s">
        <v>48</v>
      </c>
      <c r="J282" t="s">
        <v>575</v>
      </c>
      <c r="K282">
        <v>11143.62</v>
      </c>
      <c r="L282" s="166">
        <v>5082.8940000000011</v>
      </c>
      <c r="M282">
        <v>6060.73</v>
      </c>
      <c r="N282">
        <v>0</v>
      </c>
      <c r="O282">
        <v>0</v>
      </c>
      <c r="P282">
        <v>4963.6200000000008</v>
      </c>
      <c r="Q282" s="166">
        <v>119.274</v>
      </c>
      <c r="R282" t="s">
        <v>30</v>
      </c>
      <c r="S282">
        <v>100</v>
      </c>
      <c r="T282">
        <v>6180</v>
      </c>
      <c r="U282" t="s">
        <v>34</v>
      </c>
      <c r="V282" t="s">
        <v>1587</v>
      </c>
      <c r="W282">
        <v>0</v>
      </c>
      <c r="X282" t="s">
        <v>30</v>
      </c>
      <c r="Y282" t="s">
        <v>30</v>
      </c>
      <c r="Z282">
        <v>8965</v>
      </c>
      <c r="AC282" s="4" t="s">
        <v>805</v>
      </c>
      <c r="AD282" s="8">
        <v>1910000</v>
      </c>
      <c r="AE282" s="4" t="s">
        <v>808</v>
      </c>
      <c r="AF282" s="8">
        <v>1910008</v>
      </c>
      <c r="AG282" s="4" t="s">
        <v>810</v>
      </c>
      <c r="AH282" s="8">
        <v>1910008</v>
      </c>
    </row>
    <row r="283" spans="1:34" x14ac:dyDescent="0.25">
      <c r="A283" s="176" t="s">
        <v>1468</v>
      </c>
      <c r="B283" t="s">
        <v>25</v>
      </c>
      <c r="C283" t="s">
        <v>278</v>
      </c>
      <c r="D283" t="s">
        <v>603</v>
      </c>
      <c r="E283" t="s">
        <v>598</v>
      </c>
      <c r="F283" t="s">
        <v>30</v>
      </c>
      <c r="G283" t="s">
        <v>30</v>
      </c>
      <c r="H283" t="s">
        <v>59</v>
      </c>
      <c r="I283" t="s">
        <v>48</v>
      </c>
      <c r="J283" t="s">
        <v>575</v>
      </c>
      <c r="K283">
        <v>7564.67</v>
      </c>
      <c r="L283" s="166">
        <v>3112.2919999999999</v>
      </c>
      <c r="M283">
        <v>4452.38</v>
      </c>
      <c r="N283">
        <v>0</v>
      </c>
      <c r="O283">
        <v>0</v>
      </c>
      <c r="P283">
        <v>3024.67</v>
      </c>
      <c r="Q283" s="166">
        <v>87.622</v>
      </c>
      <c r="R283" t="s">
        <v>30</v>
      </c>
      <c r="S283">
        <v>100</v>
      </c>
      <c r="T283">
        <v>4540</v>
      </c>
      <c r="U283" t="s">
        <v>34</v>
      </c>
      <c r="V283" t="s">
        <v>1587</v>
      </c>
      <c r="W283">
        <v>0</v>
      </c>
      <c r="X283" t="s">
        <v>30</v>
      </c>
      <c r="Y283" t="s">
        <v>30</v>
      </c>
      <c r="Z283">
        <v>6585</v>
      </c>
      <c r="AC283" s="4" t="s">
        <v>805</v>
      </c>
      <c r="AD283" s="8">
        <v>1910000</v>
      </c>
      <c r="AE283" s="4" t="s">
        <v>808</v>
      </c>
      <c r="AF283" s="8">
        <v>1910008</v>
      </c>
      <c r="AG283" s="4" t="s">
        <v>810</v>
      </c>
      <c r="AH283" s="8">
        <v>1910008</v>
      </c>
    </row>
    <row r="284" spans="1:34" x14ac:dyDescent="0.25">
      <c r="A284" s="176" t="s">
        <v>1469</v>
      </c>
      <c r="B284" t="s">
        <v>25</v>
      </c>
      <c r="C284" t="s">
        <v>278</v>
      </c>
      <c r="D284" t="s">
        <v>604</v>
      </c>
      <c r="E284" t="s">
        <v>598</v>
      </c>
      <c r="F284" t="s">
        <v>30</v>
      </c>
      <c r="G284" t="s">
        <v>30</v>
      </c>
      <c r="H284" t="s">
        <v>59</v>
      </c>
      <c r="I284" t="s">
        <v>48</v>
      </c>
      <c r="J284" t="s">
        <v>575</v>
      </c>
      <c r="K284">
        <v>7564.67</v>
      </c>
      <c r="L284" s="166">
        <v>3112.2919999999999</v>
      </c>
      <c r="M284">
        <v>4452.38</v>
      </c>
      <c r="N284">
        <v>0</v>
      </c>
      <c r="O284">
        <v>0</v>
      </c>
      <c r="P284">
        <v>3024.67</v>
      </c>
      <c r="Q284" s="166">
        <v>87.622</v>
      </c>
      <c r="R284" t="s">
        <v>30</v>
      </c>
      <c r="S284">
        <v>100</v>
      </c>
      <c r="T284">
        <v>4540</v>
      </c>
      <c r="U284" t="s">
        <v>34</v>
      </c>
      <c r="V284" t="s">
        <v>1587</v>
      </c>
      <c r="W284">
        <v>0</v>
      </c>
      <c r="X284" t="s">
        <v>30</v>
      </c>
      <c r="Y284" t="s">
        <v>30</v>
      </c>
      <c r="Z284">
        <v>6585</v>
      </c>
      <c r="AC284" s="4" t="s">
        <v>805</v>
      </c>
      <c r="AD284" s="8">
        <v>1910000</v>
      </c>
      <c r="AE284" s="4" t="s">
        <v>808</v>
      </c>
      <c r="AF284" s="8">
        <v>1910008</v>
      </c>
      <c r="AG284" s="4" t="s">
        <v>810</v>
      </c>
      <c r="AH284" s="8">
        <v>1910008</v>
      </c>
    </row>
    <row r="285" spans="1:34" x14ac:dyDescent="0.25">
      <c r="A285" s="176" t="s">
        <v>1470</v>
      </c>
      <c r="B285" t="s">
        <v>25</v>
      </c>
      <c r="C285" t="s">
        <v>278</v>
      </c>
      <c r="D285" t="s">
        <v>605</v>
      </c>
      <c r="E285" t="s">
        <v>598</v>
      </c>
      <c r="F285" t="s">
        <v>30</v>
      </c>
      <c r="G285" t="s">
        <v>30</v>
      </c>
      <c r="H285" t="s">
        <v>59</v>
      </c>
      <c r="I285" t="s">
        <v>48</v>
      </c>
      <c r="J285" t="s">
        <v>575</v>
      </c>
      <c r="K285">
        <v>7564.67</v>
      </c>
      <c r="L285" s="166">
        <v>3112.2919999999999</v>
      </c>
      <c r="M285">
        <v>4452.38</v>
      </c>
      <c r="N285">
        <v>0</v>
      </c>
      <c r="O285">
        <v>0</v>
      </c>
      <c r="P285">
        <v>3024.67</v>
      </c>
      <c r="Q285" s="166">
        <v>87.622</v>
      </c>
      <c r="R285" t="s">
        <v>30</v>
      </c>
      <c r="S285">
        <v>100</v>
      </c>
      <c r="T285">
        <v>4540</v>
      </c>
      <c r="U285" t="s">
        <v>34</v>
      </c>
      <c r="V285" t="s">
        <v>1587</v>
      </c>
      <c r="W285">
        <v>0</v>
      </c>
      <c r="X285" t="s">
        <v>30</v>
      </c>
      <c r="Y285" t="s">
        <v>30</v>
      </c>
      <c r="Z285">
        <v>6585</v>
      </c>
      <c r="AC285" s="4" t="s">
        <v>805</v>
      </c>
      <c r="AD285" s="8">
        <v>1910000</v>
      </c>
      <c r="AE285" s="4" t="s">
        <v>808</v>
      </c>
      <c r="AF285" s="8">
        <v>1910008</v>
      </c>
      <c r="AG285" s="4" t="s">
        <v>810</v>
      </c>
      <c r="AH285" s="8">
        <v>1910008</v>
      </c>
    </row>
    <row r="286" spans="1:34" x14ac:dyDescent="0.25">
      <c r="A286" s="176" t="s">
        <v>1471</v>
      </c>
      <c r="B286" t="s">
        <v>25</v>
      </c>
      <c r="C286" t="s">
        <v>278</v>
      </c>
      <c r="D286" t="s">
        <v>606</v>
      </c>
      <c r="E286" t="s">
        <v>598</v>
      </c>
      <c r="F286" t="s">
        <v>30</v>
      </c>
      <c r="G286" t="s">
        <v>30</v>
      </c>
      <c r="H286" t="s">
        <v>59</v>
      </c>
      <c r="I286" t="s">
        <v>48</v>
      </c>
      <c r="J286" t="s">
        <v>575</v>
      </c>
      <c r="K286">
        <v>7564.67</v>
      </c>
      <c r="L286" s="166">
        <v>3112.2919999999999</v>
      </c>
      <c r="M286">
        <v>4452.38</v>
      </c>
      <c r="N286">
        <v>0</v>
      </c>
      <c r="O286">
        <v>0</v>
      </c>
      <c r="P286">
        <v>3024.67</v>
      </c>
      <c r="Q286" s="166">
        <v>87.622</v>
      </c>
      <c r="R286" t="s">
        <v>30</v>
      </c>
      <c r="S286">
        <v>100</v>
      </c>
      <c r="T286">
        <v>4540</v>
      </c>
      <c r="U286" t="s">
        <v>34</v>
      </c>
      <c r="V286" t="s">
        <v>1587</v>
      </c>
      <c r="W286">
        <v>0</v>
      </c>
      <c r="X286" t="s">
        <v>30</v>
      </c>
      <c r="Y286" t="s">
        <v>30</v>
      </c>
      <c r="Z286">
        <v>6585</v>
      </c>
      <c r="AC286" s="4" t="s">
        <v>805</v>
      </c>
      <c r="AD286" s="8">
        <v>1910000</v>
      </c>
      <c r="AE286" s="4" t="s">
        <v>808</v>
      </c>
      <c r="AF286" s="8">
        <v>1910008</v>
      </c>
      <c r="AG286" s="4" t="s">
        <v>810</v>
      </c>
      <c r="AH286" s="8">
        <v>1910008</v>
      </c>
    </row>
    <row r="287" spans="1:34" x14ac:dyDescent="0.25">
      <c r="A287" s="176" t="s">
        <v>1472</v>
      </c>
      <c r="B287" t="s">
        <v>25</v>
      </c>
      <c r="C287" t="s">
        <v>278</v>
      </c>
      <c r="D287" t="s">
        <v>607</v>
      </c>
      <c r="E287" t="s">
        <v>598</v>
      </c>
      <c r="F287" t="s">
        <v>30</v>
      </c>
      <c r="G287" t="s">
        <v>30</v>
      </c>
      <c r="H287" t="s">
        <v>59</v>
      </c>
      <c r="I287" t="s">
        <v>48</v>
      </c>
      <c r="J287" t="s">
        <v>575</v>
      </c>
      <c r="K287">
        <v>7564.67</v>
      </c>
      <c r="L287" s="166">
        <v>3112.2919999999999</v>
      </c>
      <c r="M287">
        <v>4452.38</v>
      </c>
      <c r="N287">
        <v>0</v>
      </c>
      <c r="O287">
        <v>0</v>
      </c>
      <c r="P287">
        <v>3024.67</v>
      </c>
      <c r="Q287" s="166">
        <v>87.622</v>
      </c>
      <c r="R287" t="s">
        <v>30</v>
      </c>
      <c r="S287">
        <v>100</v>
      </c>
      <c r="T287">
        <v>4540</v>
      </c>
      <c r="U287" t="s">
        <v>34</v>
      </c>
      <c r="V287" t="s">
        <v>1587</v>
      </c>
      <c r="W287">
        <v>0</v>
      </c>
      <c r="X287" t="s">
        <v>30</v>
      </c>
      <c r="Y287" t="s">
        <v>30</v>
      </c>
      <c r="Z287">
        <v>6585</v>
      </c>
      <c r="AC287" s="4" t="s">
        <v>805</v>
      </c>
      <c r="AD287" s="8">
        <v>1910000</v>
      </c>
      <c r="AE287" s="4" t="s">
        <v>808</v>
      </c>
      <c r="AF287" s="8">
        <v>1910008</v>
      </c>
      <c r="AG287" s="4" t="s">
        <v>810</v>
      </c>
      <c r="AH287" s="8">
        <v>1910008</v>
      </c>
    </row>
    <row r="288" spans="1:34" x14ac:dyDescent="0.25">
      <c r="A288" s="176" t="s">
        <v>1473</v>
      </c>
      <c r="B288" t="s">
        <v>25</v>
      </c>
      <c r="C288" t="s">
        <v>278</v>
      </c>
      <c r="D288" t="s">
        <v>608</v>
      </c>
      <c r="E288" t="s">
        <v>598</v>
      </c>
      <c r="F288" t="s">
        <v>30</v>
      </c>
      <c r="G288" t="s">
        <v>30</v>
      </c>
      <c r="H288" t="s">
        <v>59</v>
      </c>
      <c r="I288" t="s">
        <v>48</v>
      </c>
      <c r="J288" t="s">
        <v>575</v>
      </c>
      <c r="K288">
        <v>7564.67</v>
      </c>
      <c r="L288" s="166">
        <v>3112.2919999999999</v>
      </c>
      <c r="M288">
        <v>4452.38</v>
      </c>
      <c r="N288">
        <v>0</v>
      </c>
      <c r="O288">
        <v>0</v>
      </c>
      <c r="P288">
        <v>3024.67</v>
      </c>
      <c r="Q288" s="166">
        <v>87.622</v>
      </c>
      <c r="R288" t="s">
        <v>30</v>
      </c>
      <c r="S288">
        <v>100</v>
      </c>
      <c r="T288">
        <v>4540</v>
      </c>
      <c r="U288" t="s">
        <v>34</v>
      </c>
      <c r="V288" t="s">
        <v>1587</v>
      </c>
      <c r="W288">
        <v>0</v>
      </c>
      <c r="X288" t="s">
        <v>30</v>
      </c>
      <c r="Y288" t="s">
        <v>30</v>
      </c>
      <c r="Z288">
        <v>6585</v>
      </c>
      <c r="AC288" s="4" t="s">
        <v>805</v>
      </c>
      <c r="AD288" s="8">
        <v>1910000</v>
      </c>
      <c r="AE288" s="4" t="s">
        <v>808</v>
      </c>
      <c r="AF288" s="8">
        <v>1910008</v>
      </c>
      <c r="AG288" s="4" t="s">
        <v>810</v>
      </c>
      <c r="AH288" s="8">
        <v>1910008</v>
      </c>
    </row>
    <row r="289" spans="1:34" x14ac:dyDescent="0.25">
      <c r="A289" s="176" t="s">
        <v>1474</v>
      </c>
      <c r="B289" t="s">
        <v>25</v>
      </c>
      <c r="C289" t="s">
        <v>278</v>
      </c>
      <c r="D289" t="s">
        <v>609</v>
      </c>
      <c r="E289" t="s">
        <v>598</v>
      </c>
      <c r="F289" t="s">
        <v>30</v>
      </c>
      <c r="G289" t="s">
        <v>30</v>
      </c>
      <c r="H289" t="s">
        <v>59</v>
      </c>
      <c r="I289" t="s">
        <v>48</v>
      </c>
      <c r="J289" t="s">
        <v>575</v>
      </c>
      <c r="K289">
        <v>7564.67</v>
      </c>
      <c r="L289" s="166">
        <v>3112.2919999999999</v>
      </c>
      <c r="M289">
        <v>4452.38</v>
      </c>
      <c r="N289">
        <v>0</v>
      </c>
      <c r="O289">
        <v>0</v>
      </c>
      <c r="P289">
        <v>3024.67</v>
      </c>
      <c r="Q289" s="166">
        <v>87.622</v>
      </c>
      <c r="R289" t="s">
        <v>30</v>
      </c>
      <c r="S289">
        <v>100</v>
      </c>
      <c r="T289">
        <v>4540</v>
      </c>
      <c r="U289" t="s">
        <v>34</v>
      </c>
      <c r="V289" t="s">
        <v>1587</v>
      </c>
      <c r="W289">
        <v>0</v>
      </c>
      <c r="X289" t="s">
        <v>30</v>
      </c>
      <c r="Y289" t="s">
        <v>30</v>
      </c>
      <c r="Z289">
        <v>6585</v>
      </c>
      <c r="AC289" s="4" t="s">
        <v>805</v>
      </c>
      <c r="AD289" s="8">
        <v>1910000</v>
      </c>
      <c r="AE289" s="4" t="s">
        <v>808</v>
      </c>
      <c r="AF289" s="8">
        <v>1910008</v>
      </c>
      <c r="AG289" s="4" t="s">
        <v>810</v>
      </c>
      <c r="AH289" s="8">
        <v>1910008</v>
      </c>
    </row>
    <row r="290" spans="1:34" x14ac:dyDescent="0.25">
      <c r="A290" s="176" t="s">
        <v>1475</v>
      </c>
      <c r="B290" t="s">
        <v>25</v>
      </c>
      <c r="C290" t="s">
        <v>278</v>
      </c>
      <c r="D290" t="s">
        <v>610</v>
      </c>
      <c r="E290" t="s">
        <v>598</v>
      </c>
      <c r="F290" t="s">
        <v>30</v>
      </c>
      <c r="G290" t="s">
        <v>30</v>
      </c>
      <c r="H290" t="s">
        <v>59</v>
      </c>
      <c r="I290" t="s">
        <v>48</v>
      </c>
      <c r="J290" t="s">
        <v>575</v>
      </c>
      <c r="K290">
        <v>7564.67</v>
      </c>
      <c r="L290" s="166">
        <v>3112.2919999999999</v>
      </c>
      <c r="M290">
        <v>4452.38</v>
      </c>
      <c r="N290">
        <v>0</v>
      </c>
      <c r="O290">
        <v>0</v>
      </c>
      <c r="P290">
        <v>3024.67</v>
      </c>
      <c r="Q290" s="166">
        <v>87.622</v>
      </c>
      <c r="R290" t="s">
        <v>30</v>
      </c>
      <c r="S290">
        <v>100</v>
      </c>
      <c r="T290">
        <v>4540</v>
      </c>
      <c r="U290" t="s">
        <v>34</v>
      </c>
      <c r="V290" t="s">
        <v>1587</v>
      </c>
      <c r="W290">
        <v>0</v>
      </c>
      <c r="X290" t="s">
        <v>30</v>
      </c>
      <c r="Y290" t="s">
        <v>30</v>
      </c>
      <c r="Z290">
        <v>6585</v>
      </c>
      <c r="AC290" s="4" t="s">
        <v>805</v>
      </c>
      <c r="AD290" s="8">
        <v>1910000</v>
      </c>
      <c r="AE290" s="4" t="s">
        <v>808</v>
      </c>
      <c r="AF290" s="8">
        <v>1910008</v>
      </c>
      <c r="AG290" s="4" t="s">
        <v>810</v>
      </c>
      <c r="AH290" s="8">
        <v>1910008</v>
      </c>
    </row>
    <row r="291" spans="1:34" x14ac:dyDescent="0.25">
      <c r="A291" s="176" t="s">
        <v>1476</v>
      </c>
      <c r="B291" t="s">
        <v>25</v>
      </c>
      <c r="C291" t="s">
        <v>278</v>
      </c>
      <c r="D291" t="s">
        <v>611</v>
      </c>
      <c r="E291" t="s">
        <v>598</v>
      </c>
      <c r="F291" t="s">
        <v>30</v>
      </c>
      <c r="G291" t="s">
        <v>30</v>
      </c>
      <c r="H291" t="s">
        <v>59</v>
      </c>
      <c r="I291" t="s">
        <v>48</v>
      </c>
      <c r="J291" t="s">
        <v>575</v>
      </c>
      <c r="K291">
        <v>7564.67</v>
      </c>
      <c r="L291" s="166">
        <v>3112.2919999999999</v>
      </c>
      <c r="M291">
        <v>4452.38</v>
      </c>
      <c r="N291">
        <v>0</v>
      </c>
      <c r="O291">
        <v>0</v>
      </c>
      <c r="P291">
        <v>3024.67</v>
      </c>
      <c r="Q291" s="166">
        <v>87.622</v>
      </c>
      <c r="R291" t="s">
        <v>30</v>
      </c>
      <c r="S291">
        <v>100</v>
      </c>
      <c r="T291">
        <v>4540</v>
      </c>
      <c r="U291" t="s">
        <v>34</v>
      </c>
      <c r="V291" t="s">
        <v>1587</v>
      </c>
      <c r="W291">
        <v>0</v>
      </c>
      <c r="X291" t="s">
        <v>30</v>
      </c>
      <c r="Y291" t="s">
        <v>30</v>
      </c>
      <c r="Z291">
        <v>6585</v>
      </c>
      <c r="AC291" s="4" t="s">
        <v>805</v>
      </c>
      <c r="AD291" s="8">
        <v>1910000</v>
      </c>
      <c r="AE291" s="4" t="s">
        <v>808</v>
      </c>
      <c r="AF291" s="8">
        <v>1910008</v>
      </c>
      <c r="AG291" s="4" t="s">
        <v>810</v>
      </c>
      <c r="AH291" s="8">
        <v>1910008</v>
      </c>
    </row>
    <row r="292" spans="1:34" x14ac:dyDescent="0.25">
      <c r="A292" s="176" t="s">
        <v>1477</v>
      </c>
      <c r="B292" t="s">
        <v>25</v>
      </c>
      <c r="C292" t="s">
        <v>278</v>
      </c>
      <c r="D292" t="s">
        <v>612</v>
      </c>
      <c r="E292" t="s">
        <v>598</v>
      </c>
      <c r="F292" t="s">
        <v>30</v>
      </c>
      <c r="G292" t="s">
        <v>30</v>
      </c>
      <c r="H292" t="s">
        <v>59</v>
      </c>
      <c r="I292" t="s">
        <v>48</v>
      </c>
      <c r="J292" t="s">
        <v>575</v>
      </c>
      <c r="K292">
        <v>7564.67</v>
      </c>
      <c r="L292" s="166">
        <v>3112.2919999999999</v>
      </c>
      <c r="M292">
        <v>4452.38</v>
      </c>
      <c r="N292">
        <v>0</v>
      </c>
      <c r="O292">
        <v>0</v>
      </c>
      <c r="P292">
        <v>3024.67</v>
      </c>
      <c r="Q292" s="166">
        <v>87.622</v>
      </c>
      <c r="R292" t="s">
        <v>30</v>
      </c>
      <c r="S292">
        <v>100</v>
      </c>
      <c r="T292">
        <v>4540</v>
      </c>
      <c r="U292" t="s">
        <v>34</v>
      </c>
      <c r="V292" t="s">
        <v>1587</v>
      </c>
      <c r="W292">
        <v>0</v>
      </c>
      <c r="X292" t="s">
        <v>30</v>
      </c>
      <c r="Y292" t="s">
        <v>30</v>
      </c>
      <c r="Z292">
        <v>6585</v>
      </c>
      <c r="AC292" s="4" t="s">
        <v>805</v>
      </c>
      <c r="AD292" s="8">
        <v>1910000</v>
      </c>
      <c r="AE292" s="4" t="s">
        <v>808</v>
      </c>
      <c r="AF292" s="8">
        <v>1910008</v>
      </c>
      <c r="AG292" s="4" t="s">
        <v>810</v>
      </c>
      <c r="AH292" s="8">
        <v>1910008</v>
      </c>
    </row>
    <row r="293" spans="1:34" x14ac:dyDescent="0.25">
      <c r="A293" s="176" t="s">
        <v>1478</v>
      </c>
      <c r="B293" t="s">
        <v>25</v>
      </c>
      <c r="C293" t="s">
        <v>278</v>
      </c>
      <c r="D293" t="s">
        <v>613</v>
      </c>
      <c r="E293" t="s">
        <v>598</v>
      </c>
      <c r="F293" t="s">
        <v>30</v>
      </c>
      <c r="G293" t="s">
        <v>30</v>
      </c>
      <c r="H293" t="s">
        <v>59</v>
      </c>
      <c r="I293" t="s">
        <v>48</v>
      </c>
      <c r="J293" t="s">
        <v>575</v>
      </c>
      <c r="K293">
        <v>7564.67</v>
      </c>
      <c r="L293" s="166">
        <v>3112.2919999999999</v>
      </c>
      <c r="M293">
        <v>4452.38</v>
      </c>
      <c r="N293">
        <v>0</v>
      </c>
      <c r="O293">
        <v>0</v>
      </c>
      <c r="P293">
        <v>3024.67</v>
      </c>
      <c r="Q293" s="166">
        <v>87.622</v>
      </c>
      <c r="R293" t="s">
        <v>30</v>
      </c>
      <c r="S293">
        <v>100</v>
      </c>
      <c r="T293">
        <v>4540</v>
      </c>
      <c r="U293" t="s">
        <v>34</v>
      </c>
      <c r="V293" t="s">
        <v>1587</v>
      </c>
      <c r="W293">
        <v>0</v>
      </c>
      <c r="X293" t="s">
        <v>30</v>
      </c>
      <c r="Y293" t="s">
        <v>30</v>
      </c>
      <c r="Z293">
        <v>6585</v>
      </c>
      <c r="AC293" s="4" t="s">
        <v>805</v>
      </c>
      <c r="AD293" s="8">
        <v>1910000</v>
      </c>
      <c r="AE293" s="4" t="s">
        <v>808</v>
      </c>
      <c r="AF293" s="8">
        <v>1910008</v>
      </c>
      <c r="AG293" s="4" t="s">
        <v>810</v>
      </c>
      <c r="AH293" s="8">
        <v>1910008</v>
      </c>
    </row>
    <row r="294" spans="1:34" x14ac:dyDescent="0.25">
      <c r="A294" s="176" t="s">
        <v>1479</v>
      </c>
      <c r="B294" t="s">
        <v>25</v>
      </c>
      <c r="C294" t="s">
        <v>278</v>
      </c>
      <c r="D294" t="s">
        <v>614</v>
      </c>
      <c r="E294" t="s">
        <v>598</v>
      </c>
      <c r="F294" t="s">
        <v>30</v>
      </c>
      <c r="G294" t="s">
        <v>30</v>
      </c>
      <c r="H294" t="s">
        <v>59</v>
      </c>
      <c r="I294" t="s">
        <v>48</v>
      </c>
      <c r="J294" t="s">
        <v>575</v>
      </c>
      <c r="K294">
        <v>7564.67</v>
      </c>
      <c r="L294" s="166">
        <v>3112.2919999999999</v>
      </c>
      <c r="M294">
        <v>4452.38</v>
      </c>
      <c r="N294">
        <v>0</v>
      </c>
      <c r="O294">
        <v>0</v>
      </c>
      <c r="P294">
        <v>3024.67</v>
      </c>
      <c r="Q294" s="166">
        <v>87.622</v>
      </c>
      <c r="R294" t="s">
        <v>30</v>
      </c>
      <c r="S294">
        <v>100</v>
      </c>
      <c r="T294">
        <v>4540</v>
      </c>
      <c r="U294" t="s">
        <v>34</v>
      </c>
      <c r="V294" t="s">
        <v>1587</v>
      </c>
      <c r="W294">
        <v>0</v>
      </c>
      <c r="X294" t="s">
        <v>30</v>
      </c>
      <c r="Y294" t="s">
        <v>30</v>
      </c>
      <c r="Z294">
        <v>6585</v>
      </c>
      <c r="AC294" s="4" t="s">
        <v>805</v>
      </c>
      <c r="AD294" s="8">
        <v>1910000</v>
      </c>
      <c r="AE294" s="4" t="s">
        <v>808</v>
      </c>
      <c r="AF294" s="8">
        <v>1910008</v>
      </c>
      <c r="AG294" s="4" t="s">
        <v>810</v>
      </c>
      <c r="AH294" s="8">
        <v>1910008</v>
      </c>
    </row>
    <row r="295" spans="1:34" x14ac:dyDescent="0.25">
      <c r="A295" s="176" t="s">
        <v>1480</v>
      </c>
      <c r="B295" t="s">
        <v>25</v>
      </c>
      <c r="C295" t="s">
        <v>278</v>
      </c>
      <c r="D295" t="s">
        <v>615</v>
      </c>
      <c r="E295" t="s">
        <v>598</v>
      </c>
      <c r="F295" t="s">
        <v>30</v>
      </c>
      <c r="G295" t="s">
        <v>30</v>
      </c>
      <c r="H295" t="s">
        <v>59</v>
      </c>
      <c r="I295" t="s">
        <v>48</v>
      </c>
      <c r="J295" t="s">
        <v>575</v>
      </c>
      <c r="K295">
        <v>7564.67</v>
      </c>
      <c r="L295" s="166">
        <v>3112.2919999999999</v>
      </c>
      <c r="M295">
        <v>4452.38</v>
      </c>
      <c r="N295">
        <v>0</v>
      </c>
      <c r="O295">
        <v>0</v>
      </c>
      <c r="P295">
        <v>3024.67</v>
      </c>
      <c r="Q295" s="166">
        <v>87.622</v>
      </c>
      <c r="R295" t="s">
        <v>30</v>
      </c>
      <c r="S295">
        <v>100</v>
      </c>
      <c r="T295">
        <v>4540</v>
      </c>
      <c r="U295" t="s">
        <v>34</v>
      </c>
      <c r="V295" t="s">
        <v>1587</v>
      </c>
      <c r="W295">
        <v>0</v>
      </c>
      <c r="X295" t="s">
        <v>30</v>
      </c>
      <c r="Y295" t="s">
        <v>30</v>
      </c>
      <c r="Z295">
        <v>6585</v>
      </c>
      <c r="AC295" s="4" t="s">
        <v>805</v>
      </c>
      <c r="AD295" s="8">
        <v>1910000</v>
      </c>
      <c r="AE295" s="4" t="s">
        <v>808</v>
      </c>
      <c r="AF295" s="8">
        <v>1910008</v>
      </c>
      <c r="AG295" s="4" t="s">
        <v>810</v>
      </c>
      <c r="AH295" s="8">
        <v>1910008</v>
      </c>
    </row>
    <row r="296" spans="1:34" x14ac:dyDescent="0.25">
      <c r="A296" s="176" t="s">
        <v>1481</v>
      </c>
      <c r="B296" t="s">
        <v>25</v>
      </c>
      <c r="C296" t="s">
        <v>278</v>
      </c>
      <c r="D296" t="s">
        <v>616</v>
      </c>
      <c r="E296" t="s">
        <v>598</v>
      </c>
      <c r="F296" t="s">
        <v>30</v>
      </c>
      <c r="G296" t="s">
        <v>30</v>
      </c>
      <c r="H296" t="s">
        <v>59</v>
      </c>
      <c r="I296" t="s">
        <v>48</v>
      </c>
      <c r="J296" t="s">
        <v>575</v>
      </c>
      <c r="K296">
        <v>9112.74</v>
      </c>
      <c r="L296" s="166">
        <v>3846.3809999999999</v>
      </c>
      <c r="M296">
        <v>5266.36</v>
      </c>
      <c r="N296">
        <v>0</v>
      </c>
      <c r="O296">
        <v>0</v>
      </c>
      <c r="P296">
        <v>3742.74</v>
      </c>
      <c r="Q296" s="166">
        <v>103.64100000000001</v>
      </c>
      <c r="R296" t="s">
        <v>30</v>
      </c>
      <c r="S296">
        <v>100</v>
      </c>
      <c r="T296">
        <v>5370</v>
      </c>
      <c r="U296" t="s">
        <v>34</v>
      </c>
      <c r="V296" t="s">
        <v>1587</v>
      </c>
      <c r="W296">
        <v>0</v>
      </c>
      <c r="X296" t="s">
        <v>30</v>
      </c>
      <c r="Y296" t="s">
        <v>30</v>
      </c>
      <c r="Z296">
        <v>7790</v>
      </c>
      <c r="AC296" s="4" t="s">
        <v>805</v>
      </c>
      <c r="AD296" s="8">
        <v>1910000</v>
      </c>
      <c r="AE296" s="4" t="s">
        <v>808</v>
      </c>
      <c r="AF296" s="8">
        <v>1910008</v>
      </c>
      <c r="AG296" s="4" t="s">
        <v>810</v>
      </c>
      <c r="AH296" s="8">
        <v>1910008</v>
      </c>
    </row>
    <row r="297" spans="1:34" x14ac:dyDescent="0.25">
      <c r="A297" s="176" t="s">
        <v>1482</v>
      </c>
      <c r="B297" t="s">
        <v>25</v>
      </c>
      <c r="C297" t="s">
        <v>278</v>
      </c>
      <c r="D297" t="s">
        <v>617</v>
      </c>
      <c r="E297" t="s">
        <v>598</v>
      </c>
      <c r="F297" t="s">
        <v>30</v>
      </c>
      <c r="G297" t="s">
        <v>30</v>
      </c>
      <c r="H297" t="s">
        <v>59</v>
      </c>
      <c r="I297" t="s">
        <v>48</v>
      </c>
      <c r="J297" t="s">
        <v>575</v>
      </c>
      <c r="K297">
        <v>9112.74</v>
      </c>
      <c r="L297" s="166">
        <v>3846.3809999999999</v>
      </c>
      <c r="M297">
        <v>5266.36</v>
      </c>
      <c r="N297">
        <v>0</v>
      </c>
      <c r="O297">
        <v>0</v>
      </c>
      <c r="P297">
        <v>3742.74</v>
      </c>
      <c r="Q297" s="166">
        <v>103.64100000000001</v>
      </c>
      <c r="R297" t="s">
        <v>30</v>
      </c>
      <c r="S297">
        <v>100</v>
      </c>
      <c r="T297">
        <v>5370</v>
      </c>
      <c r="U297" t="s">
        <v>34</v>
      </c>
      <c r="V297" t="s">
        <v>1587</v>
      </c>
      <c r="W297">
        <v>0</v>
      </c>
      <c r="X297" t="s">
        <v>30</v>
      </c>
      <c r="Y297" t="s">
        <v>30</v>
      </c>
      <c r="Z297">
        <v>7790</v>
      </c>
      <c r="AC297" s="4" t="s">
        <v>805</v>
      </c>
      <c r="AD297" s="8">
        <v>1910000</v>
      </c>
      <c r="AE297" s="4" t="s">
        <v>808</v>
      </c>
      <c r="AF297" s="8">
        <v>1910008</v>
      </c>
      <c r="AG297" s="4" t="s">
        <v>810</v>
      </c>
      <c r="AH297" s="8">
        <v>1910008</v>
      </c>
    </row>
    <row r="298" spans="1:34" x14ac:dyDescent="0.25">
      <c r="A298" s="176" t="s">
        <v>1483</v>
      </c>
      <c r="B298" t="s">
        <v>25</v>
      </c>
      <c r="C298" t="s">
        <v>278</v>
      </c>
      <c r="D298" t="s">
        <v>618</v>
      </c>
      <c r="E298" t="s">
        <v>598</v>
      </c>
      <c r="F298" t="s">
        <v>30</v>
      </c>
      <c r="G298" t="s">
        <v>30</v>
      </c>
      <c r="H298" t="s">
        <v>59</v>
      </c>
      <c r="I298" t="s">
        <v>48</v>
      </c>
      <c r="J298" t="s">
        <v>575</v>
      </c>
      <c r="K298">
        <v>9112.74</v>
      </c>
      <c r="L298" s="166">
        <v>3846.3809999999999</v>
      </c>
      <c r="M298">
        <v>5266.36</v>
      </c>
      <c r="N298">
        <v>0</v>
      </c>
      <c r="O298">
        <v>0</v>
      </c>
      <c r="P298">
        <v>3742.74</v>
      </c>
      <c r="Q298" s="166">
        <v>103.64100000000001</v>
      </c>
      <c r="R298" t="s">
        <v>30</v>
      </c>
      <c r="S298">
        <v>100</v>
      </c>
      <c r="T298">
        <v>5370</v>
      </c>
      <c r="U298" t="s">
        <v>34</v>
      </c>
      <c r="V298" t="s">
        <v>1587</v>
      </c>
      <c r="W298">
        <v>0</v>
      </c>
      <c r="X298" t="s">
        <v>30</v>
      </c>
      <c r="Y298" t="s">
        <v>30</v>
      </c>
      <c r="Z298">
        <v>7790</v>
      </c>
      <c r="AC298" s="4" t="s">
        <v>805</v>
      </c>
      <c r="AD298" s="8">
        <v>1910000</v>
      </c>
      <c r="AE298" s="4" t="s">
        <v>808</v>
      </c>
      <c r="AF298" s="8">
        <v>1910008</v>
      </c>
      <c r="AG298" s="4" t="s">
        <v>810</v>
      </c>
      <c r="AH298" s="8">
        <v>1910008</v>
      </c>
    </row>
    <row r="299" spans="1:34" x14ac:dyDescent="0.25">
      <c r="A299" s="176" t="s">
        <v>1484</v>
      </c>
      <c r="B299" t="s">
        <v>25</v>
      </c>
      <c r="C299" t="s">
        <v>278</v>
      </c>
      <c r="D299" t="s">
        <v>619</v>
      </c>
      <c r="E299" t="s">
        <v>598</v>
      </c>
      <c r="F299" t="s">
        <v>30</v>
      </c>
      <c r="G299" t="s">
        <v>30</v>
      </c>
      <c r="H299" t="s">
        <v>37</v>
      </c>
      <c r="I299" t="s">
        <v>48</v>
      </c>
      <c r="J299" t="s">
        <v>575</v>
      </c>
      <c r="K299">
        <v>9117.99</v>
      </c>
      <c r="L299" s="166">
        <v>3851.6309999999999</v>
      </c>
      <c r="M299">
        <v>5266.36</v>
      </c>
      <c r="N299">
        <v>750</v>
      </c>
      <c r="O299">
        <v>0</v>
      </c>
      <c r="P299">
        <v>3747.99</v>
      </c>
      <c r="Q299" s="166">
        <v>103.64100000000001</v>
      </c>
      <c r="R299" t="s">
        <v>30</v>
      </c>
      <c r="S299">
        <v>100</v>
      </c>
      <c r="T299">
        <v>5370</v>
      </c>
      <c r="U299" t="s">
        <v>34</v>
      </c>
      <c r="V299" t="s">
        <v>1587</v>
      </c>
      <c r="W299">
        <v>0</v>
      </c>
      <c r="X299" t="s">
        <v>30</v>
      </c>
      <c r="Y299" t="s">
        <v>30</v>
      </c>
      <c r="Z299">
        <v>7790</v>
      </c>
      <c r="AC299" s="4" t="s">
        <v>805</v>
      </c>
      <c r="AD299" s="8">
        <v>1910000</v>
      </c>
      <c r="AE299" s="4" t="s">
        <v>808</v>
      </c>
      <c r="AF299" s="8">
        <v>1910008</v>
      </c>
      <c r="AG299" s="4" t="s">
        <v>810</v>
      </c>
      <c r="AH299" s="8">
        <v>1910008</v>
      </c>
    </row>
    <row r="300" spans="1:34" x14ac:dyDescent="0.25">
      <c r="A300" s="176" t="s">
        <v>1485</v>
      </c>
      <c r="B300" t="s">
        <v>25</v>
      </c>
      <c r="C300" t="s">
        <v>278</v>
      </c>
      <c r="D300" t="s">
        <v>620</v>
      </c>
      <c r="E300" t="s">
        <v>598</v>
      </c>
      <c r="F300" t="s">
        <v>30</v>
      </c>
      <c r="G300" t="s">
        <v>30</v>
      </c>
      <c r="H300" t="s">
        <v>37</v>
      </c>
      <c r="I300" t="s">
        <v>48</v>
      </c>
      <c r="J300" t="s">
        <v>575</v>
      </c>
      <c r="K300">
        <v>9117.99</v>
      </c>
      <c r="L300" s="166">
        <v>3851.6309999999999</v>
      </c>
      <c r="M300">
        <v>5266.36</v>
      </c>
      <c r="N300">
        <v>750</v>
      </c>
      <c r="O300">
        <v>0</v>
      </c>
      <c r="P300">
        <v>3747.99</v>
      </c>
      <c r="Q300" s="166">
        <v>103.64100000000001</v>
      </c>
      <c r="R300" t="s">
        <v>30</v>
      </c>
      <c r="S300">
        <v>100</v>
      </c>
      <c r="T300">
        <v>5370</v>
      </c>
      <c r="U300" t="s">
        <v>34</v>
      </c>
      <c r="V300" t="s">
        <v>1587</v>
      </c>
      <c r="W300">
        <v>0</v>
      </c>
      <c r="X300" t="s">
        <v>30</v>
      </c>
      <c r="Y300" t="s">
        <v>30</v>
      </c>
      <c r="Z300">
        <v>7790</v>
      </c>
      <c r="AC300" s="4" t="s">
        <v>805</v>
      </c>
      <c r="AD300" s="8">
        <v>1910000</v>
      </c>
      <c r="AE300" s="4" t="s">
        <v>808</v>
      </c>
      <c r="AF300" s="8">
        <v>1910008</v>
      </c>
      <c r="AG300" s="4" t="s">
        <v>810</v>
      </c>
      <c r="AH300" s="8">
        <v>1910008</v>
      </c>
    </row>
    <row r="301" spans="1:34" x14ac:dyDescent="0.25">
      <c r="A301" s="176" t="s">
        <v>1486</v>
      </c>
      <c r="B301" t="s">
        <v>25</v>
      </c>
      <c r="C301" t="s">
        <v>278</v>
      </c>
      <c r="D301" t="s">
        <v>621</v>
      </c>
      <c r="E301" t="s">
        <v>598</v>
      </c>
      <c r="F301" t="s">
        <v>30</v>
      </c>
      <c r="G301" t="s">
        <v>30</v>
      </c>
      <c r="H301" t="s">
        <v>59</v>
      </c>
      <c r="I301" t="s">
        <v>48</v>
      </c>
      <c r="J301" t="s">
        <v>575</v>
      </c>
      <c r="K301">
        <v>9112.74</v>
      </c>
      <c r="L301" s="166">
        <v>3846.3809999999999</v>
      </c>
      <c r="M301">
        <v>5266.36</v>
      </c>
      <c r="N301">
        <v>0</v>
      </c>
      <c r="O301">
        <v>0</v>
      </c>
      <c r="P301">
        <v>3742.74</v>
      </c>
      <c r="Q301" s="166">
        <v>103.64100000000001</v>
      </c>
      <c r="R301" t="s">
        <v>30</v>
      </c>
      <c r="S301">
        <v>100</v>
      </c>
      <c r="T301">
        <v>5370</v>
      </c>
      <c r="U301" t="s">
        <v>34</v>
      </c>
      <c r="V301" t="s">
        <v>1587</v>
      </c>
      <c r="W301">
        <v>0</v>
      </c>
      <c r="X301" t="s">
        <v>30</v>
      </c>
      <c r="Y301" t="s">
        <v>30</v>
      </c>
      <c r="Z301">
        <v>7790</v>
      </c>
      <c r="AC301" s="4" t="s">
        <v>805</v>
      </c>
      <c r="AD301" s="8">
        <v>1910000</v>
      </c>
      <c r="AE301" s="4" t="s">
        <v>808</v>
      </c>
      <c r="AF301" s="8">
        <v>1910008</v>
      </c>
      <c r="AG301" s="4" t="s">
        <v>810</v>
      </c>
      <c r="AH301" s="8">
        <v>1910008</v>
      </c>
    </row>
    <row r="302" spans="1:34" x14ac:dyDescent="0.25">
      <c r="A302" s="176" t="s">
        <v>1487</v>
      </c>
      <c r="B302" t="s">
        <v>25</v>
      </c>
      <c r="C302" t="s">
        <v>278</v>
      </c>
      <c r="D302" t="s">
        <v>622</v>
      </c>
      <c r="E302" t="s">
        <v>598</v>
      </c>
      <c r="F302" t="s">
        <v>30</v>
      </c>
      <c r="G302" t="s">
        <v>30</v>
      </c>
      <c r="H302" t="s">
        <v>59</v>
      </c>
      <c r="I302" t="s">
        <v>48</v>
      </c>
      <c r="J302" t="s">
        <v>575</v>
      </c>
      <c r="K302">
        <v>9112.74</v>
      </c>
      <c r="L302" s="166">
        <v>3846.3809999999999</v>
      </c>
      <c r="M302">
        <v>5266.36</v>
      </c>
      <c r="N302">
        <v>0</v>
      </c>
      <c r="O302">
        <v>0</v>
      </c>
      <c r="P302">
        <v>3742.74</v>
      </c>
      <c r="Q302" s="166">
        <v>103.64100000000001</v>
      </c>
      <c r="R302" t="s">
        <v>30</v>
      </c>
      <c r="S302">
        <v>100</v>
      </c>
      <c r="T302">
        <v>5370</v>
      </c>
      <c r="U302" t="s">
        <v>34</v>
      </c>
      <c r="V302" t="s">
        <v>1587</v>
      </c>
      <c r="W302">
        <v>0</v>
      </c>
      <c r="X302" t="s">
        <v>30</v>
      </c>
      <c r="Y302" t="s">
        <v>30</v>
      </c>
      <c r="Z302">
        <v>7790</v>
      </c>
      <c r="AC302" s="4" t="s">
        <v>805</v>
      </c>
      <c r="AD302" s="8">
        <v>1910000</v>
      </c>
      <c r="AE302" s="4" t="s">
        <v>808</v>
      </c>
      <c r="AF302" s="8">
        <v>1910008</v>
      </c>
      <c r="AG302" s="4" t="s">
        <v>810</v>
      </c>
      <c r="AH302" s="8">
        <v>1910008</v>
      </c>
    </row>
    <row r="303" spans="1:34" x14ac:dyDescent="0.25">
      <c r="A303" s="176" t="s">
        <v>1488</v>
      </c>
      <c r="B303" t="s">
        <v>25</v>
      </c>
      <c r="C303" t="s">
        <v>278</v>
      </c>
      <c r="D303" t="s">
        <v>623</v>
      </c>
      <c r="E303" t="s">
        <v>598</v>
      </c>
      <c r="F303" t="s">
        <v>30</v>
      </c>
      <c r="G303" t="s">
        <v>30</v>
      </c>
      <c r="H303" t="s">
        <v>59</v>
      </c>
      <c r="I303" t="s">
        <v>48</v>
      </c>
      <c r="J303" t="s">
        <v>575</v>
      </c>
      <c r="K303">
        <v>9112.74</v>
      </c>
      <c r="L303" s="166">
        <v>3846.3809999999999</v>
      </c>
      <c r="M303">
        <v>5266.36</v>
      </c>
      <c r="N303">
        <v>0</v>
      </c>
      <c r="O303">
        <v>0</v>
      </c>
      <c r="P303">
        <v>3742.74</v>
      </c>
      <c r="Q303" s="166">
        <v>103.64100000000001</v>
      </c>
      <c r="R303" t="s">
        <v>30</v>
      </c>
      <c r="S303">
        <v>100</v>
      </c>
      <c r="T303">
        <v>5370</v>
      </c>
      <c r="U303" t="s">
        <v>34</v>
      </c>
      <c r="V303" t="s">
        <v>1587</v>
      </c>
      <c r="W303">
        <v>0</v>
      </c>
      <c r="X303" t="s">
        <v>30</v>
      </c>
      <c r="Y303" t="s">
        <v>30</v>
      </c>
      <c r="Z303">
        <v>7790</v>
      </c>
      <c r="AC303" s="4" t="s">
        <v>805</v>
      </c>
      <c r="AD303" s="8">
        <v>1910000</v>
      </c>
      <c r="AE303" s="4" t="s">
        <v>808</v>
      </c>
      <c r="AF303" s="8">
        <v>1910008</v>
      </c>
      <c r="AG303" s="4" t="s">
        <v>810</v>
      </c>
      <c r="AH303" s="8">
        <v>1910008</v>
      </c>
    </row>
    <row r="304" spans="1:34" x14ac:dyDescent="0.25">
      <c r="A304" s="176" t="s">
        <v>1489</v>
      </c>
      <c r="B304" t="s">
        <v>25</v>
      </c>
      <c r="C304" t="s">
        <v>278</v>
      </c>
      <c r="D304" t="s">
        <v>624</v>
      </c>
      <c r="E304" t="s">
        <v>598</v>
      </c>
      <c r="F304" t="s">
        <v>30</v>
      </c>
      <c r="G304" t="s">
        <v>30</v>
      </c>
      <c r="H304" t="s">
        <v>37</v>
      </c>
      <c r="I304" t="s">
        <v>48</v>
      </c>
      <c r="J304" t="s">
        <v>575</v>
      </c>
      <c r="K304">
        <v>9117.99</v>
      </c>
      <c r="L304" s="166">
        <v>3851.6309999999999</v>
      </c>
      <c r="M304">
        <v>5266.36</v>
      </c>
      <c r="N304">
        <v>1500</v>
      </c>
      <c r="O304">
        <v>0</v>
      </c>
      <c r="P304">
        <v>3747.99</v>
      </c>
      <c r="Q304" s="166">
        <v>103.64100000000001</v>
      </c>
      <c r="R304" t="s">
        <v>30</v>
      </c>
      <c r="S304">
        <v>100</v>
      </c>
      <c r="T304">
        <v>5370</v>
      </c>
      <c r="U304" t="s">
        <v>34</v>
      </c>
      <c r="V304" t="s">
        <v>1587</v>
      </c>
      <c r="W304">
        <v>0</v>
      </c>
      <c r="X304" t="s">
        <v>30</v>
      </c>
      <c r="Y304" t="s">
        <v>30</v>
      </c>
      <c r="Z304">
        <v>7790</v>
      </c>
      <c r="AC304" s="4" t="s">
        <v>805</v>
      </c>
      <c r="AD304" s="8">
        <v>1910000</v>
      </c>
      <c r="AE304" s="4" t="s">
        <v>808</v>
      </c>
      <c r="AF304" s="8">
        <v>1910008</v>
      </c>
      <c r="AG304" s="4" t="s">
        <v>810</v>
      </c>
      <c r="AH304" s="8">
        <v>1910008</v>
      </c>
    </row>
    <row r="305" spans="1:34" x14ac:dyDescent="0.25">
      <c r="A305" s="176" t="s">
        <v>1490</v>
      </c>
      <c r="B305" t="s">
        <v>25</v>
      </c>
      <c r="C305" t="s">
        <v>278</v>
      </c>
      <c r="D305" t="s">
        <v>625</v>
      </c>
      <c r="E305" t="s">
        <v>598</v>
      </c>
      <c r="F305" t="s">
        <v>30</v>
      </c>
      <c r="G305" t="s">
        <v>30</v>
      </c>
      <c r="H305" t="s">
        <v>37</v>
      </c>
      <c r="I305" t="s">
        <v>48</v>
      </c>
      <c r="J305" t="s">
        <v>575</v>
      </c>
      <c r="K305">
        <v>9117.99</v>
      </c>
      <c r="L305" s="166">
        <v>3851.6309999999999</v>
      </c>
      <c r="M305">
        <v>5266.36</v>
      </c>
      <c r="N305">
        <v>1500</v>
      </c>
      <c r="O305">
        <v>0</v>
      </c>
      <c r="P305">
        <v>3747.99</v>
      </c>
      <c r="Q305" s="166">
        <v>103.64100000000001</v>
      </c>
      <c r="R305" t="s">
        <v>30</v>
      </c>
      <c r="S305">
        <v>100</v>
      </c>
      <c r="T305">
        <v>5370</v>
      </c>
      <c r="U305" t="s">
        <v>34</v>
      </c>
      <c r="V305" t="s">
        <v>1587</v>
      </c>
      <c r="W305">
        <v>0</v>
      </c>
      <c r="X305" t="s">
        <v>30</v>
      </c>
      <c r="Y305" t="s">
        <v>30</v>
      </c>
      <c r="Z305">
        <v>7790</v>
      </c>
      <c r="AC305" s="4" t="s">
        <v>805</v>
      </c>
      <c r="AD305" s="8">
        <v>1910000</v>
      </c>
      <c r="AE305" s="4" t="s">
        <v>808</v>
      </c>
      <c r="AF305" s="8">
        <v>1910008</v>
      </c>
      <c r="AG305" s="4" t="s">
        <v>810</v>
      </c>
      <c r="AH305" s="8">
        <v>1910008</v>
      </c>
    </row>
    <row r="306" spans="1:34" x14ac:dyDescent="0.25">
      <c r="A306" s="176" t="s">
        <v>1491</v>
      </c>
      <c r="B306" t="s">
        <v>25</v>
      </c>
      <c r="C306" t="s">
        <v>278</v>
      </c>
      <c r="D306" t="s">
        <v>626</v>
      </c>
      <c r="E306" t="s">
        <v>598</v>
      </c>
      <c r="F306" t="s">
        <v>30</v>
      </c>
      <c r="G306" t="s">
        <v>30</v>
      </c>
      <c r="H306" t="s">
        <v>59</v>
      </c>
      <c r="I306" t="s">
        <v>48</v>
      </c>
      <c r="J306" t="s">
        <v>575</v>
      </c>
      <c r="K306">
        <v>9117.99</v>
      </c>
      <c r="L306" s="166">
        <v>3851.6309999999999</v>
      </c>
      <c r="M306">
        <v>5266.36</v>
      </c>
      <c r="N306">
        <v>0</v>
      </c>
      <c r="O306">
        <v>0</v>
      </c>
      <c r="P306">
        <v>3747.99</v>
      </c>
      <c r="Q306" s="166">
        <v>103.64100000000001</v>
      </c>
      <c r="R306" t="s">
        <v>30</v>
      </c>
      <c r="S306">
        <v>100</v>
      </c>
      <c r="T306">
        <v>5370</v>
      </c>
      <c r="U306" t="s">
        <v>34</v>
      </c>
      <c r="V306" t="s">
        <v>1587</v>
      </c>
      <c r="W306">
        <v>0</v>
      </c>
      <c r="X306" t="s">
        <v>30</v>
      </c>
      <c r="Y306" t="s">
        <v>30</v>
      </c>
      <c r="Z306">
        <v>7790</v>
      </c>
      <c r="AC306" s="4" t="s">
        <v>805</v>
      </c>
      <c r="AD306" s="8">
        <v>1910000</v>
      </c>
      <c r="AE306" s="4" t="s">
        <v>808</v>
      </c>
      <c r="AF306" s="8">
        <v>1910008</v>
      </c>
      <c r="AG306" s="4" t="s">
        <v>810</v>
      </c>
      <c r="AH306" s="8">
        <v>1910008</v>
      </c>
    </row>
    <row r="307" spans="1:34" x14ac:dyDescent="0.25">
      <c r="A307" s="176" t="s">
        <v>1492</v>
      </c>
      <c r="B307" t="s">
        <v>25</v>
      </c>
      <c r="C307" t="s">
        <v>278</v>
      </c>
      <c r="D307" t="s">
        <v>627</v>
      </c>
      <c r="E307" t="s">
        <v>598</v>
      </c>
      <c r="F307" t="s">
        <v>30</v>
      </c>
      <c r="G307" t="s">
        <v>30</v>
      </c>
      <c r="H307" t="s">
        <v>59</v>
      </c>
      <c r="I307" t="s">
        <v>48</v>
      </c>
      <c r="J307" t="s">
        <v>575</v>
      </c>
      <c r="K307">
        <v>9117.99</v>
      </c>
      <c r="L307" s="166">
        <v>3851.6309999999999</v>
      </c>
      <c r="M307">
        <v>5266.36</v>
      </c>
      <c r="N307">
        <v>0</v>
      </c>
      <c r="O307">
        <v>0</v>
      </c>
      <c r="P307">
        <v>3747.99</v>
      </c>
      <c r="Q307" s="166">
        <v>103.64100000000001</v>
      </c>
      <c r="R307" t="s">
        <v>30</v>
      </c>
      <c r="S307">
        <v>100</v>
      </c>
      <c r="T307">
        <v>5370</v>
      </c>
      <c r="U307" t="s">
        <v>34</v>
      </c>
      <c r="V307" t="s">
        <v>1587</v>
      </c>
      <c r="W307">
        <v>0</v>
      </c>
      <c r="X307" t="s">
        <v>30</v>
      </c>
      <c r="Y307" t="s">
        <v>30</v>
      </c>
      <c r="Z307">
        <v>7790</v>
      </c>
      <c r="AC307" s="4" t="s">
        <v>805</v>
      </c>
      <c r="AD307" s="8">
        <v>1910000</v>
      </c>
      <c r="AE307" s="4" t="s">
        <v>808</v>
      </c>
      <c r="AF307" s="8">
        <v>1910008</v>
      </c>
      <c r="AG307" s="4" t="s">
        <v>810</v>
      </c>
      <c r="AH307" s="8">
        <v>1910008</v>
      </c>
    </row>
    <row r="308" spans="1:34" x14ac:dyDescent="0.25">
      <c r="A308" s="176" t="s">
        <v>1493</v>
      </c>
      <c r="B308" t="s">
        <v>25</v>
      </c>
      <c r="C308" t="s">
        <v>278</v>
      </c>
      <c r="D308" t="s">
        <v>628</v>
      </c>
      <c r="E308" t="s">
        <v>598</v>
      </c>
      <c r="F308" t="s">
        <v>30</v>
      </c>
      <c r="G308" t="s">
        <v>30</v>
      </c>
      <c r="H308" t="s">
        <v>59</v>
      </c>
      <c r="I308" t="s">
        <v>48</v>
      </c>
      <c r="J308" t="s">
        <v>575</v>
      </c>
      <c r="K308">
        <v>9117.99</v>
      </c>
      <c r="L308" s="166">
        <v>3851.6309999999999</v>
      </c>
      <c r="M308">
        <v>5266.36</v>
      </c>
      <c r="N308">
        <v>0</v>
      </c>
      <c r="O308">
        <v>0</v>
      </c>
      <c r="P308">
        <v>3747.99</v>
      </c>
      <c r="Q308" s="166">
        <v>103.64100000000001</v>
      </c>
      <c r="R308" t="s">
        <v>30</v>
      </c>
      <c r="S308">
        <v>100</v>
      </c>
      <c r="T308">
        <v>5370</v>
      </c>
      <c r="U308" t="s">
        <v>34</v>
      </c>
      <c r="V308" t="s">
        <v>1587</v>
      </c>
      <c r="W308">
        <v>0</v>
      </c>
      <c r="X308" t="s">
        <v>30</v>
      </c>
      <c r="Y308" t="s">
        <v>30</v>
      </c>
      <c r="Z308">
        <v>7790</v>
      </c>
      <c r="AC308" s="4" t="s">
        <v>805</v>
      </c>
      <c r="AD308" s="8">
        <v>1910000</v>
      </c>
      <c r="AE308" s="4" t="s">
        <v>808</v>
      </c>
      <c r="AF308" s="8">
        <v>1910008</v>
      </c>
      <c r="AG308" s="4" t="s">
        <v>810</v>
      </c>
      <c r="AH308" s="8">
        <v>1910008</v>
      </c>
    </row>
    <row r="309" spans="1:34" x14ac:dyDescent="0.25">
      <c r="A309" s="176" t="s">
        <v>1494</v>
      </c>
      <c r="B309" t="s">
        <v>25</v>
      </c>
      <c r="C309" t="s">
        <v>278</v>
      </c>
      <c r="D309" t="s">
        <v>629</v>
      </c>
      <c r="E309" t="s">
        <v>598</v>
      </c>
      <c r="F309" t="s">
        <v>30</v>
      </c>
      <c r="G309" t="s">
        <v>30</v>
      </c>
      <c r="H309" t="s">
        <v>59</v>
      </c>
      <c r="I309" t="s">
        <v>48</v>
      </c>
      <c r="J309" t="s">
        <v>575</v>
      </c>
      <c r="K309">
        <v>9117.99</v>
      </c>
      <c r="L309" s="166">
        <v>3851.6309999999999</v>
      </c>
      <c r="M309">
        <v>5266.36</v>
      </c>
      <c r="N309">
        <v>0</v>
      </c>
      <c r="O309">
        <v>0</v>
      </c>
      <c r="P309">
        <v>3747.99</v>
      </c>
      <c r="Q309" s="166">
        <v>103.64100000000001</v>
      </c>
      <c r="R309" t="s">
        <v>30</v>
      </c>
      <c r="S309">
        <v>100</v>
      </c>
      <c r="T309">
        <v>5370</v>
      </c>
      <c r="U309" t="s">
        <v>34</v>
      </c>
      <c r="V309" t="s">
        <v>1587</v>
      </c>
      <c r="W309">
        <v>0</v>
      </c>
      <c r="X309" t="s">
        <v>30</v>
      </c>
      <c r="Y309" t="s">
        <v>30</v>
      </c>
      <c r="Z309">
        <v>7790</v>
      </c>
      <c r="AC309" s="4" t="s">
        <v>805</v>
      </c>
      <c r="AD309" s="8">
        <v>1910000</v>
      </c>
      <c r="AE309" s="4" t="s">
        <v>808</v>
      </c>
      <c r="AF309" s="8">
        <v>1910008</v>
      </c>
      <c r="AG309" s="4" t="s">
        <v>810</v>
      </c>
      <c r="AH309" s="8">
        <v>1910008</v>
      </c>
    </row>
    <row r="310" spans="1:34" x14ac:dyDescent="0.25">
      <c r="A310" s="176" t="s">
        <v>1495</v>
      </c>
      <c r="B310" t="s">
        <v>25</v>
      </c>
      <c r="C310" t="s">
        <v>278</v>
      </c>
      <c r="D310" t="s">
        <v>630</v>
      </c>
      <c r="E310" t="s">
        <v>598</v>
      </c>
      <c r="F310" t="s">
        <v>30</v>
      </c>
      <c r="G310" t="s">
        <v>30</v>
      </c>
      <c r="H310" t="s">
        <v>59</v>
      </c>
      <c r="I310" t="s">
        <v>48</v>
      </c>
      <c r="J310" t="s">
        <v>575</v>
      </c>
      <c r="K310">
        <v>9117.99</v>
      </c>
      <c r="L310" s="166">
        <v>3851.6309999999999</v>
      </c>
      <c r="M310">
        <v>5266.36</v>
      </c>
      <c r="N310">
        <v>0</v>
      </c>
      <c r="O310">
        <v>0</v>
      </c>
      <c r="P310">
        <v>3747.99</v>
      </c>
      <c r="Q310" s="166">
        <v>103.64100000000001</v>
      </c>
      <c r="R310" t="s">
        <v>30</v>
      </c>
      <c r="S310">
        <v>100</v>
      </c>
      <c r="T310">
        <v>5370</v>
      </c>
      <c r="U310" t="s">
        <v>34</v>
      </c>
      <c r="V310" t="s">
        <v>1587</v>
      </c>
      <c r="W310">
        <v>0</v>
      </c>
      <c r="X310" t="s">
        <v>30</v>
      </c>
      <c r="Y310" t="s">
        <v>30</v>
      </c>
      <c r="Z310">
        <v>7790</v>
      </c>
      <c r="AC310" s="4" t="s">
        <v>805</v>
      </c>
      <c r="AD310" s="8">
        <v>1910000</v>
      </c>
      <c r="AE310" s="4" t="s">
        <v>808</v>
      </c>
      <c r="AF310" s="8">
        <v>1910008</v>
      </c>
      <c r="AG310" s="4" t="s">
        <v>810</v>
      </c>
      <c r="AH310" s="8">
        <v>1910008</v>
      </c>
    </row>
    <row r="311" spans="1:34" x14ac:dyDescent="0.25">
      <c r="A311" s="176" t="s">
        <v>1496</v>
      </c>
      <c r="B311" t="s">
        <v>25</v>
      </c>
      <c r="C311" t="s">
        <v>278</v>
      </c>
      <c r="D311" t="s">
        <v>631</v>
      </c>
      <c r="E311" t="s">
        <v>598</v>
      </c>
      <c r="F311" t="s">
        <v>30</v>
      </c>
      <c r="G311" t="s">
        <v>30</v>
      </c>
      <c r="H311" t="s">
        <v>59</v>
      </c>
      <c r="I311" t="s">
        <v>48</v>
      </c>
      <c r="J311" t="s">
        <v>575</v>
      </c>
      <c r="K311">
        <v>9117.99</v>
      </c>
      <c r="L311" s="166">
        <v>3851.6309999999999</v>
      </c>
      <c r="M311">
        <v>5266.36</v>
      </c>
      <c r="N311">
        <v>0</v>
      </c>
      <c r="O311">
        <v>0</v>
      </c>
      <c r="P311">
        <v>3747.99</v>
      </c>
      <c r="Q311" s="166">
        <v>103.64100000000001</v>
      </c>
      <c r="R311" t="s">
        <v>30</v>
      </c>
      <c r="S311">
        <v>100</v>
      </c>
      <c r="T311">
        <v>5370</v>
      </c>
      <c r="U311" t="s">
        <v>34</v>
      </c>
      <c r="V311" t="s">
        <v>1587</v>
      </c>
      <c r="W311">
        <v>0</v>
      </c>
      <c r="X311" t="s">
        <v>30</v>
      </c>
      <c r="Y311" t="s">
        <v>30</v>
      </c>
      <c r="Z311">
        <v>7790</v>
      </c>
      <c r="AC311" s="4" t="s">
        <v>805</v>
      </c>
      <c r="AD311" s="8">
        <v>1910000</v>
      </c>
      <c r="AE311" s="4" t="s">
        <v>808</v>
      </c>
      <c r="AF311" s="8">
        <v>1910008</v>
      </c>
      <c r="AG311" s="4" t="s">
        <v>810</v>
      </c>
      <c r="AH311" s="8">
        <v>1910008</v>
      </c>
    </row>
    <row r="312" spans="1:34" x14ac:dyDescent="0.25">
      <c r="A312" s="176" t="s">
        <v>1497</v>
      </c>
      <c r="B312" t="s">
        <v>25</v>
      </c>
      <c r="C312" t="s">
        <v>278</v>
      </c>
      <c r="D312" t="s">
        <v>632</v>
      </c>
      <c r="E312" t="s">
        <v>598</v>
      </c>
      <c r="F312" t="s">
        <v>30</v>
      </c>
      <c r="G312" t="s">
        <v>30</v>
      </c>
      <c r="H312" t="s">
        <v>59</v>
      </c>
      <c r="I312" t="s">
        <v>48</v>
      </c>
      <c r="J312" t="s">
        <v>575</v>
      </c>
      <c r="K312">
        <v>9118</v>
      </c>
      <c r="L312" s="166">
        <v>3851.6410000000001</v>
      </c>
      <c r="M312">
        <v>5266.36</v>
      </c>
      <c r="N312">
        <v>0</v>
      </c>
      <c r="O312">
        <v>0</v>
      </c>
      <c r="P312">
        <v>3748</v>
      </c>
      <c r="Q312" s="166">
        <v>103.64100000000001</v>
      </c>
      <c r="R312" t="s">
        <v>30</v>
      </c>
      <c r="S312">
        <v>100</v>
      </c>
      <c r="T312">
        <v>5370</v>
      </c>
      <c r="U312" t="s">
        <v>34</v>
      </c>
      <c r="V312" t="s">
        <v>1587</v>
      </c>
      <c r="W312">
        <v>0</v>
      </c>
      <c r="X312" t="s">
        <v>30</v>
      </c>
      <c r="Y312" t="s">
        <v>30</v>
      </c>
      <c r="Z312">
        <v>7790</v>
      </c>
      <c r="AC312" s="4" t="s">
        <v>805</v>
      </c>
      <c r="AD312" s="8">
        <v>1910000</v>
      </c>
      <c r="AE312" s="4" t="s">
        <v>808</v>
      </c>
      <c r="AF312" s="8">
        <v>1910008</v>
      </c>
      <c r="AG312" s="4" t="s">
        <v>810</v>
      </c>
      <c r="AH312" s="8">
        <v>1910008</v>
      </c>
    </row>
    <row r="313" spans="1:34" x14ac:dyDescent="0.25">
      <c r="A313" s="176" t="s">
        <v>1498</v>
      </c>
      <c r="B313" t="s">
        <v>25</v>
      </c>
      <c r="C313" t="s">
        <v>278</v>
      </c>
      <c r="D313" t="s">
        <v>633</v>
      </c>
      <c r="E313" t="s">
        <v>598</v>
      </c>
      <c r="F313" t="s">
        <v>30</v>
      </c>
      <c r="G313" t="s">
        <v>30</v>
      </c>
      <c r="H313" t="s">
        <v>59</v>
      </c>
      <c r="I313" t="s">
        <v>48</v>
      </c>
      <c r="J313" t="s">
        <v>575</v>
      </c>
      <c r="K313">
        <v>9118</v>
      </c>
      <c r="L313" s="166">
        <v>3851.6410000000001</v>
      </c>
      <c r="M313">
        <v>5266.36</v>
      </c>
      <c r="N313">
        <v>0</v>
      </c>
      <c r="O313">
        <v>0</v>
      </c>
      <c r="P313">
        <v>3748</v>
      </c>
      <c r="Q313" s="166">
        <v>103.64100000000001</v>
      </c>
      <c r="R313" t="s">
        <v>30</v>
      </c>
      <c r="S313">
        <v>100</v>
      </c>
      <c r="T313">
        <v>5370</v>
      </c>
      <c r="U313" t="s">
        <v>34</v>
      </c>
      <c r="V313" t="s">
        <v>1587</v>
      </c>
      <c r="W313">
        <v>0</v>
      </c>
      <c r="X313" t="s">
        <v>30</v>
      </c>
      <c r="Y313" t="s">
        <v>30</v>
      </c>
      <c r="Z313">
        <v>7790</v>
      </c>
      <c r="AC313" s="4" t="s">
        <v>805</v>
      </c>
      <c r="AD313" s="8">
        <v>1910000</v>
      </c>
      <c r="AE313" s="4" t="s">
        <v>808</v>
      </c>
      <c r="AF313" s="8">
        <v>1910008</v>
      </c>
      <c r="AG313" s="4" t="s">
        <v>810</v>
      </c>
      <c r="AH313" s="8">
        <v>1910008</v>
      </c>
    </row>
    <row r="314" spans="1:34" x14ac:dyDescent="0.25">
      <c r="A314" s="176" t="s">
        <v>1499</v>
      </c>
      <c r="B314" t="s">
        <v>25</v>
      </c>
      <c r="C314" t="s">
        <v>278</v>
      </c>
      <c r="D314" t="s">
        <v>634</v>
      </c>
      <c r="E314" t="s">
        <v>598</v>
      </c>
      <c r="F314" t="s">
        <v>30</v>
      </c>
      <c r="G314" t="s">
        <v>30</v>
      </c>
      <c r="H314" t="s">
        <v>59</v>
      </c>
      <c r="I314" t="s">
        <v>574</v>
      </c>
      <c r="J314" t="s">
        <v>575</v>
      </c>
      <c r="K314">
        <v>14495.74</v>
      </c>
      <c r="L314" s="166">
        <v>5110.4409999999998</v>
      </c>
      <c r="M314">
        <v>9385.2999999999993</v>
      </c>
      <c r="N314">
        <v>0</v>
      </c>
      <c r="O314">
        <v>0</v>
      </c>
      <c r="P314">
        <v>4925.74</v>
      </c>
      <c r="Q314" s="166">
        <v>184.70100000000002</v>
      </c>
      <c r="R314" t="s">
        <v>30</v>
      </c>
      <c r="S314">
        <v>100</v>
      </c>
      <c r="T314">
        <v>9570</v>
      </c>
      <c r="U314" t="s">
        <v>34</v>
      </c>
      <c r="V314" t="s">
        <v>1587</v>
      </c>
      <c r="W314">
        <v>0</v>
      </c>
      <c r="X314" t="s">
        <v>30</v>
      </c>
      <c r="Y314" t="s">
        <v>30</v>
      </c>
      <c r="Z314">
        <v>13880</v>
      </c>
      <c r="AC314" s="4" t="s">
        <v>805</v>
      </c>
      <c r="AD314" s="8">
        <v>1910000</v>
      </c>
      <c r="AE314" s="4" t="s">
        <v>808</v>
      </c>
      <c r="AF314" s="8">
        <v>1910008</v>
      </c>
      <c r="AG314" s="4" t="s">
        <v>810</v>
      </c>
      <c r="AH314" s="8">
        <v>1910008</v>
      </c>
    </row>
    <row r="315" spans="1:34" x14ac:dyDescent="0.25">
      <c r="A315" s="176" t="s">
        <v>1500</v>
      </c>
      <c r="B315" t="s">
        <v>25</v>
      </c>
      <c r="C315" t="s">
        <v>278</v>
      </c>
      <c r="D315" t="s">
        <v>635</v>
      </c>
      <c r="E315" t="s">
        <v>636</v>
      </c>
      <c r="F315" t="s">
        <v>30</v>
      </c>
      <c r="G315" t="s">
        <v>30</v>
      </c>
      <c r="H315" t="s">
        <v>37</v>
      </c>
      <c r="I315" t="s">
        <v>105</v>
      </c>
      <c r="J315" t="s">
        <v>637</v>
      </c>
      <c r="K315">
        <v>299086.37</v>
      </c>
      <c r="L315" s="166">
        <v>285912.13569099997</v>
      </c>
      <c r="M315">
        <v>13174.23</v>
      </c>
      <c r="N315">
        <v>1227.3900000000001</v>
      </c>
      <c r="O315" s="8">
        <v>12273.87</v>
      </c>
      <c r="P315">
        <v>286812.5</v>
      </c>
      <c r="Q315" s="166">
        <v>236.88569099999992</v>
      </c>
      <c r="R315" s="174" t="s">
        <v>1142</v>
      </c>
      <c r="S315">
        <v>100</v>
      </c>
      <c r="T315">
        <v>223000</v>
      </c>
      <c r="U315" t="s">
        <v>78</v>
      </c>
      <c r="V315" t="s">
        <v>1088</v>
      </c>
      <c r="W315">
        <v>0</v>
      </c>
      <c r="X315" t="s">
        <v>30</v>
      </c>
      <c r="Y315" t="s">
        <v>30</v>
      </c>
      <c r="Z315">
        <v>260000</v>
      </c>
      <c r="AC315" s="4" t="s">
        <v>805</v>
      </c>
      <c r="AD315" s="8">
        <v>1910000</v>
      </c>
      <c r="AE315" s="4" t="s">
        <v>808</v>
      </c>
      <c r="AF315" s="8">
        <v>1910008</v>
      </c>
      <c r="AG315" s="4" t="s">
        <v>810</v>
      </c>
      <c r="AH315" s="8">
        <v>1910008</v>
      </c>
    </row>
    <row r="316" spans="1:34" x14ac:dyDescent="0.25">
      <c r="A316" s="176" t="s">
        <v>1501</v>
      </c>
      <c r="B316" t="s">
        <v>25</v>
      </c>
      <c r="C316" t="s">
        <v>278</v>
      </c>
      <c r="D316" t="s">
        <v>638</v>
      </c>
      <c r="E316" t="s">
        <v>636</v>
      </c>
      <c r="F316" t="s">
        <v>30</v>
      </c>
      <c r="G316" t="s">
        <v>30</v>
      </c>
      <c r="H316" t="s">
        <v>37</v>
      </c>
      <c r="I316" t="s">
        <v>105</v>
      </c>
      <c r="J316" t="s">
        <v>637</v>
      </c>
      <c r="K316">
        <v>319556.03000000003</v>
      </c>
      <c r="L316" s="166">
        <v>294656.78195799998</v>
      </c>
      <c r="M316">
        <v>24899.25</v>
      </c>
      <c r="N316">
        <v>2485.61</v>
      </c>
      <c r="O316" s="8">
        <v>24856.06</v>
      </c>
      <c r="P316">
        <v>294699.97000000003</v>
      </c>
      <c r="Q316" s="166">
        <v>479.72195799999997</v>
      </c>
      <c r="R316" s="174" t="s">
        <v>1142</v>
      </c>
      <c r="S316">
        <v>100</v>
      </c>
      <c r="T316">
        <v>240000</v>
      </c>
      <c r="U316" t="s">
        <v>78</v>
      </c>
      <c r="V316" t="s">
        <v>1088</v>
      </c>
      <c r="W316">
        <v>0</v>
      </c>
      <c r="X316" t="s">
        <v>30</v>
      </c>
      <c r="Y316" t="s">
        <v>30</v>
      </c>
      <c r="Z316">
        <v>280000</v>
      </c>
      <c r="AC316" s="4" t="s">
        <v>805</v>
      </c>
      <c r="AD316" s="8">
        <v>1910000</v>
      </c>
      <c r="AE316" s="4" t="s">
        <v>808</v>
      </c>
      <c r="AF316" s="8">
        <v>1910008</v>
      </c>
      <c r="AG316" s="4" t="s">
        <v>810</v>
      </c>
      <c r="AH316" s="8">
        <v>1910008</v>
      </c>
    </row>
    <row r="317" spans="1:34" x14ac:dyDescent="0.25">
      <c r="A317" s="176" t="s">
        <v>1502</v>
      </c>
      <c r="B317" t="s">
        <v>25</v>
      </c>
      <c r="C317" t="s">
        <v>278</v>
      </c>
      <c r="D317" t="s">
        <v>640</v>
      </c>
      <c r="E317" t="s">
        <v>641</v>
      </c>
      <c r="F317" t="s">
        <v>30</v>
      </c>
      <c r="G317" t="s">
        <v>30</v>
      </c>
      <c r="H317" t="s">
        <v>59</v>
      </c>
      <c r="I317" t="s">
        <v>642</v>
      </c>
      <c r="J317" t="s">
        <v>643</v>
      </c>
      <c r="K317">
        <v>620743.29</v>
      </c>
      <c r="L317" s="166">
        <v>159814.29000000004</v>
      </c>
      <c r="M317">
        <v>460929</v>
      </c>
      <c r="N317">
        <v>0</v>
      </c>
      <c r="O317">
        <v>0</v>
      </c>
      <c r="P317">
        <v>150743.29000000004</v>
      </c>
      <c r="Q317" s="166">
        <v>9071</v>
      </c>
      <c r="R317" t="s">
        <v>30</v>
      </c>
      <c r="S317">
        <v>100</v>
      </c>
      <c r="T317">
        <v>470000</v>
      </c>
      <c r="U317" t="s">
        <v>120</v>
      </c>
      <c r="V317" t="s">
        <v>1588</v>
      </c>
      <c r="W317">
        <v>0</v>
      </c>
      <c r="X317" t="s">
        <v>30</v>
      </c>
      <c r="Y317" t="s">
        <v>30</v>
      </c>
      <c r="Z317">
        <v>637500</v>
      </c>
      <c r="AC317" s="4" t="s">
        <v>805</v>
      </c>
      <c r="AD317" s="8">
        <v>1910000</v>
      </c>
      <c r="AE317" s="4" t="s">
        <v>808</v>
      </c>
      <c r="AF317" s="8">
        <v>1910008</v>
      </c>
      <c r="AG317" s="4" t="s">
        <v>810</v>
      </c>
      <c r="AH317" s="8">
        <v>1910008</v>
      </c>
    </row>
    <row r="318" spans="1:34" x14ac:dyDescent="0.25">
      <c r="A318" s="176" t="s">
        <v>1503</v>
      </c>
      <c r="B318" t="s">
        <v>25</v>
      </c>
      <c r="C318" t="s">
        <v>278</v>
      </c>
      <c r="D318" t="s">
        <v>647</v>
      </c>
      <c r="E318" t="s">
        <v>648</v>
      </c>
      <c r="F318" t="s">
        <v>30</v>
      </c>
      <c r="G318" t="s">
        <v>30</v>
      </c>
      <c r="H318" t="s">
        <v>37</v>
      </c>
      <c r="I318" t="s">
        <v>53</v>
      </c>
      <c r="J318" t="s">
        <v>646</v>
      </c>
      <c r="K318">
        <v>94371.53</v>
      </c>
      <c r="L318" s="166">
        <v>1821.370529</v>
      </c>
      <c r="M318">
        <v>92550.16</v>
      </c>
      <c r="N318">
        <v>10000</v>
      </c>
      <c r="O318" s="8">
        <v>100000</v>
      </c>
      <c r="P318">
        <v>0</v>
      </c>
      <c r="Q318" s="166">
        <v>1821.370529</v>
      </c>
      <c r="R318" s="174" t="s">
        <v>1142</v>
      </c>
      <c r="S318">
        <v>100</v>
      </c>
      <c r="T318">
        <v>73300</v>
      </c>
      <c r="U318" t="s">
        <v>113</v>
      </c>
      <c r="V318" t="s">
        <v>1089</v>
      </c>
      <c r="W318">
        <v>0</v>
      </c>
      <c r="X318" t="s">
        <v>30</v>
      </c>
      <c r="Y318" t="s">
        <v>30</v>
      </c>
      <c r="Z318">
        <v>92000</v>
      </c>
      <c r="AC318" s="4" t="s">
        <v>805</v>
      </c>
      <c r="AD318" s="8">
        <v>1910000</v>
      </c>
      <c r="AE318" s="4" t="s">
        <v>808</v>
      </c>
      <c r="AF318" s="8">
        <v>1910008</v>
      </c>
      <c r="AG318" s="4" t="s">
        <v>810</v>
      </c>
      <c r="AH318" s="8">
        <v>1910008</v>
      </c>
    </row>
    <row r="319" spans="1:34" x14ac:dyDescent="0.25">
      <c r="A319" s="176" t="s">
        <v>1504</v>
      </c>
      <c r="B319" t="s">
        <v>87</v>
      </c>
      <c r="C319" t="s">
        <v>278</v>
      </c>
      <c r="D319" t="s">
        <v>649</v>
      </c>
      <c r="E319" t="s">
        <v>650</v>
      </c>
      <c r="F319" t="s">
        <v>30</v>
      </c>
      <c r="G319" t="s">
        <v>30</v>
      </c>
      <c r="H319" t="s">
        <v>37</v>
      </c>
      <c r="I319" t="s">
        <v>642</v>
      </c>
      <c r="J319" t="s">
        <v>651</v>
      </c>
      <c r="K319">
        <v>77909.8</v>
      </c>
      <c r="L319" s="166">
        <v>36011.265637000004</v>
      </c>
      <c r="M319">
        <v>41898.53</v>
      </c>
      <c r="N319">
        <v>4272.3100000000004</v>
      </c>
      <c r="O319" s="8">
        <v>42723.09</v>
      </c>
      <c r="P319">
        <v>35186.710000000006</v>
      </c>
      <c r="Q319" s="166">
        <v>824.55563699999993</v>
      </c>
      <c r="R319" s="174" t="s">
        <v>1142</v>
      </c>
      <c r="S319">
        <v>100</v>
      </c>
      <c r="T319">
        <v>36000</v>
      </c>
      <c r="U319" t="s">
        <v>120</v>
      </c>
      <c r="V319" t="s">
        <v>652</v>
      </c>
      <c r="W319">
        <v>0</v>
      </c>
      <c r="X319" t="s">
        <v>30</v>
      </c>
      <c r="Y319" t="s">
        <v>30</v>
      </c>
      <c r="Z319">
        <v>48100</v>
      </c>
      <c r="AC319" s="4" t="s">
        <v>805</v>
      </c>
      <c r="AD319" s="8">
        <v>1910000</v>
      </c>
      <c r="AE319" s="4" t="s">
        <v>808</v>
      </c>
      <c r="AF319" s="8">
        <v>1910008</v>
      </c>
      <c r="AG319" s="4" t="s">
        <v>810</v>
      </c>
      <c r="AH319" s="8">
        <v>1910008</v>
      </c>
    </row>
    <row r="320" spans="1:34" x14ac:dyDescent="0.25">
      <c r="A320" s="176" t="s">
        <v>1505</v>
      </c>
      <c r="B320" t="s">
        <v>25</v>
      </c>
      <c r="C320" t="s">
        <v>228</v>
      </c>
      <c r="D320" t="s">
        <v>653</v>
      </c>
      <c r="E320" t="s">
        <v>654</v>
      </c>
      <c r="F320" t="s">
        <v>655</v>
      </c>
      <c r="G320" t="s">
        <v>656</v>
      </c>
      <c r="H320" t="s">
        <v>59</v>
      </c>
      <c r="I320" t="s">
        <v>32</v>
      </c>
      <c r="J320" t="s">
        <v>657</v>
      </c>
      <c r="K320">
        <v>52415.06</v>
      </c>
      <c r="L320" s="166">
        <v>52415.06</v>
      </c>
      <c r="M320">
        <v>0</v>
      </c>
      <c r="N320">
        <v>0</v>
      </c>
      <c r="O320">
        <v>0</v>
      </c>
      <c r="P320">
        <v>52415.06</v>
      </c>
      <c r="Q320" s="166">
        <v>0</v>
      </c>
      <c r="R320" t="s">
        <v>30</v>
      </c>
      <c r="S320">
        <v>100</v>
      </c>
      <c r="T320">
        <v>51620</v>
      </c>
      <c r="U320" t="s">
        <v>658</v>
      </c>
      <c r="V320" t="s">
        <v>659</v>
      </c>
      <c r="W320">
        <v>100</v>
      </c>
      <c r="X320" t="s">
        <v>30</v>
      </c>
      <c r="Y320" t="s">
        <v>30</v>
      </c>
      <c r="Z320">
        <v>58000</v>
      </c>
      <c r="AC320" s="4" t="s">
        <v>805</v>
      </c>
      <c r="AD320" s="8">
        <v>1910000</v>
      </c>
      <c r="AE320" s="4" t="s">
        <v>808</v>
      </c>
      <c r="AF320" s="8">
        <v>1910008</v>
      </c>
      <c r="AG320" s="4" t="s">
        <v>810</v>
      </c>
      <c r="AH320" s="8">
        <v>1910008</v>
      </c>
    </row>
    <row r="321" spans="1:34" x14ac:dyDescent="0.25">
      <c r="A321" s="176" t="s">
        <v>1506</v>
      </c>
      <c r="B321" t="s">
        <v>25</v>
      </c>
      <c r="C321" t="s">
        <v>26</v>
      </c>
      <c r="D321" t="s">
        <v>660</v>
      </c>
      <c r="E321" t="s">
        <v>661</v>
      </c>
      <c r="F321" t="s">
        <v>662</v>
      </c>
      <c r="G321" t="s">
        <v>663</v>
      </c>
      <c r="H321" t="s">
        <v>31</v>
      </c>
      <c r="I321" t="s">
        <v>53</v>
      </c>
      <c r="J321" t="s">
        <v>644</v>
      </c>
      <c r="K321">
        <v>56821.35</v>
      </c>
      <c r="L321" s="166">
        <v>1820.460459468253</v>
      </c>
      <c r="M321">
        <v>55000.89</v>
      </c>
      <c r="N321">
        <v>0</v>
      </c>
      <c r="O321">
        <v>0</v>
      </c>
      <c r="P321">
        <v>0</v>
      </c>
      <c r="Q321" s="166">
        <v>1820.460459468253</v>
      </c>
      <c r="R321" t="s">
        <v>30</v>
      </c>
      <c r="S321">
        <v>100</v>
      </c>
      <c r="T321">
        <v>77700</v>
      </c>
      <c r="U321" t="s">
        <v>113</v>
      </c>
      <c r="V321" t="s">
        <v>1822</v>
      </c>
      <c r="W321">
        <v>0</v>
      </c>
      <c r="X321" t="s">
        <v>30</v>
      </c>
      <c r="Y321" t="s">
        <v>30</v>
      </c>
      <c r="Z321">
        <v>97000</v>
      </c>
      <c r="AC321" s="4" t="s">
        <v>803</v>
      </c>
      <c r="AD321" s="8">
        <v>19910000</v>
      </c>
      <c r="AE321" s="4" t="s">
        <v>806</v>
      </c>
      <c r="AF321" s="8">
        <v>19910001</v>
      </c>
      <c r="AG321" s="4" t="s">
        <v>809</v>
      </c>
      <c r="AH321" s="8">
        <v>19910001</v>
      </c>
    </row>
    <row r="322" spans="1:34" x14ac:dyDescent="0.25">
      <c r="A322" s="176" t="s">
        <v>1507</v>
      </c>
      <c r="B322" t="s">
        <v>87</v>
      </c>
      <c r="C322" t="s">
        <v>268</v>
      </c>
      <c r="D322" t="s">
        <v>665</v>
      </c>
      <c r="E322" t="s">
        <v>666</v>
      </c>
      <c r="F322" t="s">
        <v>667</v>
      </c>
      <c r="G322" t="s">
        <v>30</v>
      </c>
      <c r="H322" t="s">
        <v>37</v>
      </c>
      <c r="I322" t="s">
        <v>48</v>
      </c>
      <c r="J322" t="s">
        <v>261</v>
      </c>
      <c r="K322">
        <v>564943.51</v>
      </c>
      <c r="L322" s="166">
        <v>354470.13966731791</v>
      </c>
      <c r="M322">
        <v>210473.37</v>
      </c>
      <c r="N322">
        <v>4000</v>
      </c>
      <c r="O322">
        <v>0</v>
      </c>
      <c r="P322">
        <v>250843.51</v>
      </c>
      <c r="Q322" s="166">
        <v>103626.62966731792</v>
      </c>
      <c r="R322" t="s">
        <v>30</v>
      </c>
      <c r="S322">
        <v>100</v>
      </c>
      <c r="T322">
        <v>314100</v>
      </c>
      <c r="U322" t="s">
        <v>107</v>
      </c>
      <c r="V322" t="s">
        <v>1576</v>
      </c>
      <c r="W322">
        <v>0</v>
      </c>
      <c r="X322" t="s">
        <v>30</v>
      </c>
      <c r="Y322" t="s">
        <v>30</v>
      </c>
      <c r="Z322">
        <v>420700</v>
      </c>
      <c r="AC322" s="4" t="s">
        <v>805</v>
      </c>
      <c r="AD322" s="8">
        <v>1910000</v>
      </c>
      <c r="AE322" s="4" t="s">
        <v>808</v>
      </c>
      <c r="AF322" s="8">
        <v>1910008</v>
      </c>
      <c r="AG322" s="4" t="s">
        <v>810</v>
      </c>
      <c r="AH322" s="8">
        <v>1910008</v>
      </c>
    </row>
    <row r="323" spans="1:34" x14ac:dyDescent="0.25">
      <c r="A323" s="176" t="s">
        <v>1508</v>
      </c>
      <c r="B323" t="s">
        <v>87</v>
      </c>
      <c r="C323" t="s">
        <v>268</v>
      </c>
      <c r="D323" t="s">
        <v>668</v>
      </c>
      <c r="E323" t="s">
        <v>666</v>
      </c>
      <c r="F323" t="s">
        <v>667</v>
      </c>
      <c r="G323" t="s">
        <v>30</v>
      </c>
      <c r="H323" t="s">
        <v>37</v>
      </c>
      <c r="I323" t="s">
        <v>48</v>
      </c>
      <c r="J323" t="s">
        <v>261</v>
      </c>
      <c r="K323">
        <v>93094</v>
      </c>
      <c r="L323" s="166">
        <v>60796.525649284165</v>
      </c>
      <c r="M323">
        <v>32297.47</v>
      </c>
      <c r="N323">
        <v>750</v>
      </c>
      <c r="O323">
        <v>0</v>
      </c>
      <c r="P323">
        <v>43694</v>
      </c>
      <c r="Q323" s="166">
        <v>17102.525649284165</v>
      </c>
      <c r="R323" t="s">
        <v>30</v>
      </c>
      <c r="S323">
        <v>100</v>
      </c>
      <c r="T323">
        <v>49400</v>
      </c>
      <c r="U323" t="s">
        <v>107</v>
      </c>
      <c r="V323" t="s">
        <v>1576</v>
      </c>
      <c r="W323">
        <v>0</v>
      </c>
      <c r="X323" t="s">
        <v>30</v>
      </c>
      <c r="Y323" t="s">
        <v>30</v>
      </c>
      <c r="Z323">
        <v>66200</v>
      </c>
      <c r="AC323" s="4" t="s">
        <v>805</v>
      </c>
      <c r="AD323" s="8">
        <v>1910000</v>
      </c>
      <c r="AE323" s="4" t="s">
        <v>808</v>
      </c>
      <c r="AF323" s="8">
        <v>1910008</v>
      </c>
      <c r="AG323" s="4" t="s">
        <v>810</v>
      </c>
      <c r="AH323" s="8">
        <v>1910008</v>
      </c>
    </row>
    <row r="324" spans="1:34" x14ac:dyDescent="0.25">
      <c r="A324" s="176" t="s">
        <v>1509</v>
      </c>
      <c r="B324" t="s">
        <v>87</v>
      </c>
      <c r="C324" t="s">
        <v>268</v>
      </c>
      <c r="D324" t="s">
        <v>669</v>
      </c>
      <c r="E324" t="s">
        <v>666</v>
      </c>
      <c r="F324" t="s">
        <v>667</v>
      </c>
      <c r="G324" t="s">
        <v>30</v>
      </c>
      <c r="H324" t="s">
        <v>37</v>
      </c>
      <c r="I324" t="s">
        <v>48</v>
      </c>
      <c r="J324" t="s">
        <v>261</v>
      </c>
      <c r="K324">
        <v>92666.64</v>
      </c>
      <c r="L324" s="166">
        <v>60295.058251587245</v>
      </c>
      <c r="M324">
        <v>32371.58</v>
      </c>
      <c r="N324">
        <v>750</v>
      </c>
      <c r="O324">
        <v>0</v>
      </c>
      <c r="P324">
        <v>43266.64</v>
      </c>
      <c r="Q324" s="166">
        <v>17028.418251587249</v>
      </c>
      <c r="R324" t="s">
        <v>30</v>
      </c>
      <c r="S324">
        <v>100</v>
      </c>
      <c r="T324">
        <v>49400</v>
      </c>
      <c r="U324" t="s">
        <v>107</v>
      </c>
      <c r="V324" t="s">
        <v>1576</v>
      </c>
      <c r="W324">
        <v>0</v>
      </c>
      <c r="X324" t="s">
        <v>30</v>
      </c>
      <c r="Y324" t="s">
        <v>30</v>
      </c>
      <c r="Z324">
        <v>66200</v>
      </c>
      <c r="AC324" s="4" t="s">
        <v>805</v>
      </c>
      <c r="AD324" s="8">
        <v>1910000</v>
      </c>
      <c r="AE324" s="4" t="s">
        <v>808</v>
      </c>
      <c r="AF324" s="8">
        <v>1910008</v>
      </c>
      <c r="AG324" s="4" t="s">
        <v>810</v>
      </c>
      <c r="AH324" s="8">
        <v>1910008</v>
      </c>
    </row>
    <row r="325" spans="1:34" x14ac:dyDescent="0.25">
      <c r="A325" s="176" t="s">
        <v>1510</v>
      </c>
      <c r="B325" t="s">
        <v>87</v>
      </c>
      <c r="C325" t="s">
        <v>268</v>
      </c>
      <c r="D325" t="s">
        <v>670</v>
      </c>
      <c r="E325" t="s">
        <v>666</v>
      </c>
      <c r="F325" t="s">
        <v>667</v>
      </c>
      <c r="G325" t="s">
        <v>30</v>
      </c>
      <c r="H325" t="s">
        <v>37</v>
      </c>
      <c r="I325" t="s">
        <v>48</v>
      </c>
      <c r="J325" t="s">
        <v>261</v>
      </c>
      <c r="K325">
        <v>237182.22</v>
      </c>
      <c r="L325" s="166">
        <v>120348.07849890781</v>
      </c>
      <c r="M325">
        <v>116834.14</v>
      </c>
      <c r="N325">
        <v>2062.5</v>
      </c>
      <c r="O325">
        <v>0</v>
      </c>
      <c r="P325">
        <v>76082.22</v>
      </c>
      <c r="Q325" s="166">
        <v>44265.858498907808</v>
      </c>
      <c r="R325" t="s">
        <v>30</v>
      </c>
      <c r="S325">
        <v>100</v>
      </c>
      <c r="T325">
        <v>161100</v>
      </c>
      <c r="U325" t="s">
        <v>107</v>
      </c>
      <c r="V325" t="s">
        <v>1576</v>
      </c>
      <c r="W325">
        <v>0</v>
      </c>
      <c r="X325" t="s">
        <v>30</v>
      </c>
      <c r="Y325" t="s">
        <v>30</v>
      </c>
      <c r="Z325">
        <v>215800</v>
      </c>
      <c r="AC325" s="4" t="s">
        <v>805</v>
      </c>
      <c r="AD325" s="8">
        <v>1910000</v>
      </c>
      <c r="AE325" s="4" t="s">
        <v>808</v>
      </c>
      <c r="AF325" s="8">
        <v>1910008</v>
      </c>
      <c r="AG325" s="4" t="s">
        <v>810</v>
      </c>
      <c r="AH325" s="8">
        <v>1910008</v>
      </c>
    </row>
    <row r="326" spans="1:34" x14ac:dyDescent="0.25">
      <c r="A326" s="176" t="s">
        <v>1511</v>
      </c>
      <c r="B326" t="s">
        <v>87</v>
      </c>
      <c r="C326" t="s">
        <v>268</v>
      </c>
      <c r="D326" t="s">
        <v>671</v>
      </c>
      <c r="E326" t="s">
        <v>666</v>
      </c>
      <c r="F326" t="s">
        <v>667</v>
      </c>
      <c r="G326" t="s">
        <v>30</v>
      </c>
      <c r="H326" t="s">
        <v>37</v>
      </c>
      <c r="I326" t="s">
        <v>48</v>
      </c>
      <c r="J326" t="s">
        <v>261</v>
      </c>
      <c r="K326">
        <v>171686.94</v>
      </c>
      <c r="L326" s="166">
        <v>107261.42174709513</v>
      </c>
      <c r="M326">
        <v>64425.52</v>
      </c>
      <c r="N326">
        <v>1250</v>
      </c>
      <c r="O326">
        <v>0</v>
      </c>
      <c r="P326">
        <v>76386.94</v>
      </c>
      <c r="Q326" s="166">
        <v>30874.481747095117</v>
      </c>
      <c r="R326" t="s">
        <v>30</v>
      </c>
      <c r="S326">
        <v>100</v>
      </c>
      <c r="T326">
        <v>95300</v>
      </c>
      <c r="U326" t="s">
        <v>107</v>
      </c>
      <c r="V326" t="s">
        <v>1576</v>
      </c>
      <c r="W326">
        <v>0</v>
      </c>
      <c r="X326" t="s">
        <v>30</v>
      </c>
      <c r="Y326" t="s">
        <v>30</v>
      </c>
      <c r="Z326">
        <v>127700</v>
      </c>
      <c r="AC326" s="4" t="s">
        <v>805</v>
      </c>
      <c r="AD326" s="8">
        <v>1910000</v>
      </c>
      <c r="AE326" s="4" t="s">
        <v>808</v>
      </c>
      <c r="AF326" s="8">
        <v>1910008</v>
      </c>
      <c r="AG326" s="4" t="s">
        <v>810</v>
      </c>
      <c r="AH326" s="8">
        <v>1910008</v>
      </c>
    </row>
    <row r="327" spans="1:34" x14ac:dyDescent="0.25">
      <c r="A327" s="176" t="s">
        <v>1512</v>
      </c>
      <c r="B327" t="s">
        <v>87</v>
      </c>
      <c r="C327" t="s">
        <v>268</v>
      </c>
      <c r="D327" t="s">
        <v>672</v>
      </c>
      <c r="E327" t="s">
        <v>666</v>
      </c>
      <c r="F327" t="s">
        <v>667</v>
      </c>
      <c r="G327" t="s">
        <v>30</v>
      </c>
      <c r="H327" t="s">
        <v>37</v>
      </c>
      <c r="I327" t="s">
        <v>48</v>
      </c>
      <c r="J327" t="s">
        <v>261</v>
      </c>
      <c r="K327">
        <v>393874.74</v>
      </c>
      <c r="L327" s="166">
        <v>208225.18912752374</v>
      </c>
      <c r="M327">
        <v>185649.55</v>
      </c>
      <c r="N327">
        <v>3250</v>
      </c>
      <c r="O327">
        <v>0</v>
      </c>
      <c r="P327">
        <v>134874.74</v>
      </c>
      <c r="Q327" s="166">
        <v>73350.449127523752</v>
      </c>
      <c r="R327" t="s">
        <v>30</v>
      </c>
      <c r="S327">
        <v>100</v>
      </c>
      <c r="T327">
        <v>259000</v>
      </c>
      <c r="U327" t="s">
        <v>107</v>
      </c>
      <c r="V327" t="s">
        <v>1576</v>
      </c>
      <c r="W327">
        <v>0</v>
      </c>
      <c r="X327" t="s">
        <v>30</v>
      </c>
      <c r="Y327" t="s">
        <v>30</v>
      </c>
      <c r="Z327">
        <v>346900</v>
      </c>
      <c r="AC327" s="4" t="s">
        <v>805</v>
      </c>
      <c r="AD327" s="8">
        <v>1910000</v>
      </c>
      <c r="AE327" s="4" t="s">
        <v>808</v>
      </c>
      <c r="AF327" s="8">
        <v>1910008</v>
      </c>
      <c r="AG327" s="4" t="s">
        <v>810</v>
      </c>
      <c r="AH327" s="8">
        <v>1910008</v>
      </c>
    </row>
    <row r="328" spans="1:34" x14ac:dyDescent="0.25">
      <c r="A328" s="176" t="s">
        <v>1513</v>
      </c>
      <c r="B328" t="s">
        <v>87</v>
      </c>
      <c r="C328" t="s">
        <v>268</v>
      </c>
      <c r="D328" t="s">
        <v>673</v>
      </c>
      <c r="E328" t="s">
        <v>666</v>
      </c>
      <c r="F328" t="s">
        <v>667</v>
      </c>
      <c r="G328" t="s">
        <v>30</v>
      </c>
      <c r="H328" t="s">
        <v>37</v>
      </c>
      <c r="I328" t="s">
        <v>48</v>
      </c>
      <c r="J328" t="s">
        <v>261</v>
      </c>
      <c r="K328">
        <v>428214.09</v>
      </c>
      <c r="L328" s="166">
        <v>227635.38505123756</v>
      </c>
      <c r="M328">
        <v>200578.7</v>
      </c>
      <c r="N328">
        <v>3562.5</v>
      </c>
      <c r="O328">
        <v>0</v>
      </c>
      <c r="P328">
        <v>147914.09000000003</v>
      </c>
      <c r="Q328" s="166">
        <v>79721.295051237554</v>
      </c>
      <c r="R328" t="s">
        <v>30</v>
      </c>
      <c r="S328">
        <v>100</v>
      </c>
      <c r="T328">
        <v>280300</v>
      </c>
      <c r="U328" t="s">
        <v>107</v>
      </c>
      <c r="V328" t="s">
        <v>1576</v>
      </c>
      <c r="W328">
        <v>0</v>
      </c>
      <c r="X328" t="s">
        <v>30</v>
      </c>
      <c r="Y328" t="s">
        <v>30</v>
      </c>
      <c r="Z328">
        <v>375500</v>
      </c>
      <c r="AC328" s="4" t="s">
        <v>805</v>
      </c>
      <c r="AD328" s="8">
        <v>1910000</v>
      </c>
      <c r="AE328" s="4" t="s">
        <v>808</v>
      </c>
      <c r="AF328" s="8">
        <v>1910008</v>
      </c>
      <c r="AG328" s="4" t="s">
        <v>810</v>
      </c>
      <c r="AH328" s="8">
        <v>1910008</v>
      </c>
    </row>
    <row r="329" spans="1:34" x14ac:dyDescent="0.25">
      <c r="A329" s="176" t="s">
        <v>1514</v>
      </c>
      <c r="B329" t="s">
        <v>87</v>
      </c>
      <c r="C329" t="s">
        <v>268</v>
      </c>
      <c r="D329" t="s">
        <v>674</v>
      </c>
      <c r="E329" t="s">
        <v>666</v>
      </c>
      <c r="F329" t="s">
        <v>667</v>
      </c>
      <c r="G329" t="s">
        <v>30</v>
      </c>
      <c r="H329" t="s">
        <v>37</v>
      </c>
      <c r="I329" t="s">
        <v>48</v>
      </c>
      <c r="J329" t="s">
        <v>261</v>
      </c>
      <c r="K329">
        <v>572503.82999999996</v>
      </c>
      <c r="L329" s="166">
        <v>270688.81226131145</v>
      </c>
      <c r="M329">
        <v>301815.02</v>
      </c>
      <c r="N329">
        <v>5250</v>
      </c>
      <c r="O329">
        <v>0</v>
      </c>
      <c r="P329">
        <v>157403.82999999996</v>
      </c>
      <c r="Q329" s="166">
        <v>113284.9822613115</v>
      </c>
      <c r="R329" t="s">
        <v>30</v>
      </c>
      <c r="S329">
        <v>100</v>
      </c>
      <c r="T329">
        <v>415100</v>
      </c>
      <c r="U329" t="s">
        <v>107</v>
      </c>
      <c r="V329" t="s">
        <v>1576</v>
      </c>
      <c r="W329">
        <v>0</v>
      </c>
      <c r="X329" t="s">
        <v>30</v>
      </c>
      <c r="Y329" t="s">
        <v>30</v>
      </c>
      <c r="Z329">
        <v>556000</v>
      </c>
      <c r="AC329" s="4" t="s">
        <v>805</v>
      </c>
      <c r="AD329" s="8">
        <v>1910000</v>
      </c>
      <c r="AE329" s="4" t="s">
        <v>808</v>
      </c>
      <c r="AF329" s="8">
        <v>1910008</v>
      </c>
      <c r="AG329" s="4" t="s">
        <v>810</v>
      </c>
      <c r="AH329" s="8">
        <v>1910008</v>
      </c>
    </row>
    <row r="330" spans="1:34" x14ac:dyDescent="0.25">
      <c r="A330" s="176" t="s">
        <v>1515</v>
      </c>
      <c r="B330" t="s">
        <v>87</v>
      </c>
      <c r="C330" t="s">
        <v>268</v>
      </c>
      <c r="D330" t="s">
        <v>675</v>
      </c>
      <c r="E330" t="s">
        <v>666</v>
      </c>
      <c r="F330" t="s">
        <v>667</v>
      </c>
      <c r="G330" t="s">
        <v>30</v>
      </c>
      <c r="H330" t="s">
        <v>37</v>
      </c>
      <c r="I330" t="s">
        <v>48</v>
      </c>
      <c r="J330" t="s">
        <v>261</v>
      </c>
      <c r="K330">
        <v>410029.89</v>
      </c>
      <c r="L330" s="166">
        <v>233459.95185409707</v>
      </c>
      <c r="M330">
        <v>176569.94</v>
      </c>
      <c r="N330">
        <v>3187.5</v>
      </c>
      <c r="O330">
        <v>0</v>
      </c>
      <c r="P330">
        <v>157129.89000000001</v>
      </c>
      <c r="Q330" s="166">
        <v>76330.061854097061</v>
      </c>
      <c r="R330" t="s">
        <v>30</v>
      </c>
      <c r="S330">
        <v>100</v>
      </c>
      <c r="T330">
        <v>252900</v>
      </c>
      <c r="U330" t="s">
        <v>107</v>
      </c>
      <c r="V330" t="s">
        <v>1576</v>
      </c>
      <c r="W330">
        <v>0</v>
      </c>
      <c r="X330" t="s">
        <v>30</v>
      </c>
      <c r="Y330" t="s">
        <v>30</v>
      </c>
      <c r="Z330">
        <v>338800</v>
      </c>
      <c r="AC330" s="4" t="s">
        <v>805</v>
      </c>
      <c r="AD330" s="8">
        <v>1910000</v>
      </c>
      <c r="AE330" s="4" t="s">
        <v>808</v>
      </c>
      <c r="AF330" s="8">
        <v>1910008</v>
      </c>
      <c r="AG330" s="4" t="s">
        <v>810</v>
      </c>
      <c r="AH330" s="8">
        <v>1910008</v>
      </c>
    </row>
    <row r="331" spans="1:34" x14ac:dyDescent="0.25">
      <c r="A331" s="176" t="s">
        <v>1516</v>
      </c>
      <c r="B331" t="s">
        <v>87</v>
      </c>
      <c r="C331" t="s">
        <v>268</v>
      </c>
      <c r="D331" t="s">
        <v>676</v>
      </c>
      <c r="E331" t="s">
        <v>666</v>
      </c>
      <c r="F331" t="s">
        <v>667</v>
      </c>
      <c r="G331" t="s">
        <v>30</v>
      </c>
      <c r="H331" t="s">
        <v>37</v>
      </c>
      <c r="I331" t="s">
        <v>48</v>
      </c>
      <c r="J331" t="s">
        <v>261</v>
      </c>
      <c r="K331">
        <v>99248.05</v>
      </c>
      <c r="L331" s="166">
        <v>66305.506299667119</v>
      </c>
      <c r="M331">
        <v>32942.54</v>
      </c>
      <c r="N331">
        <v>812.5</v>
      </c>
      <c r="O331">
        <v>0</v>
      </c>
      <c r="P331">
        <v>47048.05</v>
      </c>
      <c r="Q331" s="166">
        <v>19257.456299667116</v>
      </c>
      <c r="R331" t="s">
        <v>30</v>
      </c>
      <c r="S331">
        <v>100</v>
      </c>
      <c r="T331">
        <v>52200</v>
      </c>
      <c r="U331" t="s">
        <v>107</v>
      </c>
      <c r="V331" t="s">
        <v>1576</v>
      </c>
      <c r="W331">
        <v>0</v>
      </c>
      <c r="X331" t="s">
        <v>30</v>
      </c>
      <c r="Y331" t="s">
        <v>30</v>
      </c>
      <c r="Z331">
        <v>69900</v>
      </c>
      <c r="AC331" s="4" t="s">
        <v>805</v>
      </c>
      <c r="AD331" s="8">
        <v>1910000</v>
      </c>
      <c r="AE331" s="4" t="s">
        <v>808</v>
      </c>
      <c r="AF331" s="8">
        <v>1910008</v>
      </c>
      <c r="AG331" s="4" t="s">
        <v>810</v>
      </c>
      <c r="AH331" s="8">
        <v>1910008</v>
      </c>
    </row>
    <row r="332" spans="1:34" x14ac:dyDescent="0.25">
      <c r="A332" s="176" t="s">
        <v>1517</v>
      </c>
      <c r="B332" t="s">
        <v>87</v>
      </c>
      <c r="C332" t="s">
        <v>268</v>
      </c>
      <c r="D332" t="s">
        <v>677</v>
      </c>
      <c r="E332" t="s">
        <v>666</v>
      </c>
      <c r="F332" t="s">
        <v>667</v>
      </c>
      <c r="G332" t="s">
        <v>30</v>
      </c>
      <c r="H332" t="s">
        <v>37</v>
      </c>
      <c r="I332" t="s">
        <v>48</v>
      </c>
      <c r="J332" t="s">
        <v>261</v>
      </c>
      <c r="K332">
        <v>96280.9</v>
      </c>
      <c r="L332" s="166">
        <v>62792.756595939005</v>
      </c>
      <c r="M332">
        <v>33488.14</v>
      </c>
      <c r="N332">
        <v>812.5</v>
      </c>
      <c r="O332">
        <v>0</v>
      </c>
      <c r="P332">
        <v>44080.899999999994</v>
      </c>
      <c r="Q332" s="166">
        <v>18711.856595939007</v>
      </c>
      <c r="R332" t="s">
        <v>30</v>
      </c>
      <c r="S332">
        <v>100</v>
      </c>
      <c r="T332">
        <v>52200</v>
      </c>
      <c r="U332" t="s">
        <v>107</v>
      </c>
      <c r="V332" t="s">
        <v>1576</v>
      </c>
      <c r="W332">
        <v>0</v>
      </c>
      <c r="X332" t="s">
        <v>30</v>
      </c>
      <c r="Y332" t="s">
        <v>30</v>
      </c>
      <c r="Z332">
        <v>69900</v>
      </c>
      <c r="AC332" s="4" t="s">
        <v>805</v>
      </c>
      <c r="AD332" s="8">
        <v>1910000</v>
      </c>
      <c r="AE332" s="4" t="s">
        <v>808</v>
      </c>
      <c r="AF332" s="8">
        <v>1910008</v>
      </c>
      <c r="AG332" s="4" t="s">
        <v>810</v>
      </c>
      <c r="AH332" s="8">
        <v>1910008</v>
      </c>
    </row>
    <row r="333" spans="1:34" x14ac:dyDescent="0.25">
      <c r="A333" s="176" t="s">
        <v>1518</v>
      </c>
      <c r="B333" t="s">
        <v>87</v>
      </c>
      <c r="C333" t="s">
        <v>268</v>
      </c>
      <c r="D333" t="s">
        <v>678</v>
      </c>
      <c r="E333" t="s">
        <v>666</v>
      </c>
      <c r="F333" t="s">
        <v>667</v>
      </c>
      <c r="G333" t="s">
        <v>30</v>
      </c>
      <c r="H333" t="s">
        <v>37</v>
      </c>
      <c r="I333" t="s">
        <v>48</v>
      </c>
      <c r="J333" t="s">
        <v>261</v>
      </c>
      <c r="K333">
        <v>96922.8</v>
      </c>
      <c r="L333" s="166">
        <v>63552.685998873567</v>
      </c>
      <c r="M333">
        <v>33370.11</v>
      </c>
      <c r="N333">
        <v>812.5</v>
      </c>
      <c r="O333">
        <v>0</v>
      </c>
      <c r="P333">
        <v>44722.8</v>
      </c>
      <c r="Q333" s="166">
        <v>18829.885998873564</v>
      </c>
      <c r="R333" t="s">
        <v>30</v>
      </c>
      <c r="S333">
        <v>100</v>
      </c>
      <c r="T333">
        <v>52200</v>
      </c>
      <c r="U333" t="s">
        <v>107</v>
      </c>
      <c r="V333" t="s">
        <v>1576</v>
      </c>
      <c r="W333">
        <v>0</v>
      </c>
      <c r="X333" t="s">
        <v>30</v>
      </c>
      <c r="Y333" t="s">
        <v>30</v>
      </c>
      <c r="Z333">
        <v>69900</v>
      </c>
      <c r="AC333" s="4" t="s">
        <v>805</v>
      </c>
      <c r="AD333" s="8">
        <v>1910000</v>
      </c>
      <c r="AE333" s="4" t="s">
        <v>808</v>
      </c>
      <c r="AF333" s="8">
        <v>1910008</v>
      </c>
      <c r="AG333" s="4" t="s">
        <v>810</v>
      </c>
      <c r="AH333" s="8">
        <v>1910008</v>
      </c>
    </row>
    <row r="334" spans="1:34" x14ac:dyDescent="0.25">
      <c r="A334" s="176" t="s">
        <v>1519</v>
      </c>
      <c r="B334" t="s">
        <v>87</v>
      </c>
      <c r="C334" t="s">
        <v>268</v>
      </c>
      <c r="D334" t="s">
        <v>679</v>
      </c>
      <c r="E334" t="s">
        <v>666</v>
      </c>
      <c r="F334" t="s">
        <v>667</v>
      </c>
      <c r="G334" t="s">
        <v>30</v>
      </c>
      <c r="H334" t="s">
        <v>37</v>
      </c>
      <c r="I334" t="s">
        <v>48</v>
      </c>
      <c r="J334" t="s">
        <v>261</v>
      </c>
      <c r="K334">
        <v>211423.79</v>
      </c>
      <c r="L334" s="166">
        <v>148424.97924848486</v>
      </c>
      <c r="M334">
        <v>62998.81</v>
      </c>
      <c r="N334">
        <v>1250</v>
      </c>
      <c r="O334">
        <v>0</v>
      </c>
      <c r="P334">
        <v>111823.79000000001</v>
      </c>
      <c r="Q334" s="166">
        <v>36601.189248484836</v>
      </c>
      <c r="R334" t="s">
        <v>30</v>
      </c>
      <c r="S334">
        <v>100</v>
      </c>
      <c r="T334">
        <v>99600</v>
      </c>
      <c r="U334" t="s">
        <v>107</v>
      </c>
      <c r="V334" t="s">
        <v>1576</v>
      </c>
      <c r="W334">
        <v>0</v>
      </c>
      <c r="X334" t="s">
        <v>30</v>
      </c>
      <c r="Y334" t="s">
        <v>30</v>
      </c>
      <c r="Z334">
        <v>133400</v>
      </c>
      <c r="AC334" s="4" t="s">
        <v>805</v>
      </c>
      <c r="AD334" s="8">
        <v>1910000</v>
      </c>
      <c r="AE334" s="4" t="s">
        <v>808</v>
      </c>
      <c r="AF334" s="8">
        <v>1910008</v>
      </c>
      <c r="AG334" s="4" t="s">
        <v>810</v>
      </c>
      <c r="AH334" s="8">
        <v>1910008</v>
      </c>
    </row>
    <row r="335" spans="1:34" x14ac:dyDescent="0.25">
      <c r="A335" s="176" t="s">
        <v>1520</v>
      </c>
      <c r="B335" t="s">
        <v>87</v>
      </c>
      <c r="C335" t="s">
        <v>268</v>
      </c>
      <c r="D335" t="s">
        <v>680</v>
      </c>
      <c r="E335" t="s">
        <v>666</v>
      </c>
      <c r="F335" t="s">
        <v>667</v>
      </c>
      <c r="G335" t="s">
        <v>30</v>
      </c>
      <c r="H335" t="s">
        <v>37</v>
      </c>
      <c r="I335" t="s">
        <v>48</v>
      </c>
      <c r="J335" t="s">
        <v>261</v>
      </c>
      <c r="K335">
        <v>111417.18</v>
      </c>
      <c r="L335" s="166">
        <v>80712.32973886421</v>
      </c>
      <c r="M335">
        <v>30704.85</v>
      </c>
      <c r="N335">
        <v>875</v>
      </c>
      <c r="O335">
        <v>0</v>
      </c>
      <c r="P335">
        <v>59217.179999999993</v>
      </c>
      <c r="Q335" s="166">
        <v>21495.149738864227</v>
      </c>
      <c r="R335" t="s">
        <v>30</v>
      </c>
      <c r="S335">
        <v>100</v>
      </c>
      <c r="T335">
        <v>52200</v>
      </c>
      <c r="U335" t="s">
        <v>107</v>
      </c>
      <c r="V335" t="s">
        <v>1576</v>
      </c>
      <c r="W335">
        <v>0</v>
      </c>
      <c r="X335" t="s">
        <v>30</v>
      </c>
      <c r="Y335" t="s">
        <v>30</v>
      </c>
      <c r="Z335">
        <v>69900</v>
      </c>
      <c r="AC335" s="4" t="s">
        <v>805</v>
      </c>
      <c r="AD335" s="8">
        <v>1910000</v>
      </c>
      <c r="AE335" s="4" t="s">
        <v>808</v>
      </c>
      <c r="AF335" s="8">
        <v>1910008</v>
      </c>
      <c r="AG335" s="4" t="s">
        <v>810</v>
      </c>
      <c r="AH335" s="8">
        <v>1910008</v>
      </c>
    </row>
    <row r="336" spans="1:34" x14ac:dyDescent="0.25">
      <c r="A336" s="176" t="s">
        <v>1521</v>
      </c>
      <c r="B336" t="s">
        <v>87</v>
      </c>
      <c r="C336" t="s">
        <v>268</v>
      </c>
      <c r="D336" t="s">
        <v>681</v>
      </c>
      <c r="E336" t="s">
        <v>666</v>
      </c>
      <c r="F336" t="s">
        <v>667</v>
      </c>
      <c r="G336" t="s">
        <v>30</v>
      </c>
      <c r="H336" t="s">
        <v>37</v>
      </c>
      <c r="I336" t="s">
        <v>48</v>
      </c>
      <c r="J336" t="s">
        <v>261</v>
      </c>
      <c r="K336">
        <v>273442.05</v>
      </c>
      <c r="L336" s="166">
        <v>156696.9100998654</v>
      </c>
      <c r="M336">
        <v>116745.14</v>
      </c>
      <c r="N336">
        <v>2125</v>
      </c>
      <c r="O336">
        <v>0</v>
      </c>
      <c r="P336">
        <v>108342.04999999999</v>
      </c>
      <c r="Q336" s="166">
        <v>48354.860099865386</v>
      </c>
      <c r="R336" t="s">
        <v>30</v>
      </c>
      <c r="S336">
        <v>100</v>
      </c>
      <c r="T336">
        <v>165100</v>
      </c>
      <c r="U336" t="s">
        <v>107</v>
      </c>
      <c r="V336" t="s">
        <v>1576</v>
      </c>
      <c r="W336">
        <v>0</v>
      </c>
      <c r="X336" t="s">
        <v>30</v>
      </c>
      <c r="Y336" t="s">
        <v>30</v>
      </c>
      <c r="Z336">
        <v>221200</v>
      </c>
      <c r="AC336" s="4" t="s">
        <v>805</v>
      </c>
      <c r="AD336" s="8">
        <v>1910000</v>
      </c>
      <c r="AE336" s="4" t="s">
        <v>808</v>
      </c>
      <c r="AF336" s="8">
        <v>1910008</v>
      </c>
      <c r="AG336" s="4" t="s">
        <v>810</v>
      </c>
      <c r="AH336" s="8">
        <v>1910008</v>
      </c>
    </row>
    <row r="337" spans="1:34" x14ac:dyDescent="0.25">
      <c r="A337" s="176" t="s">
        <v>1522</v>
      </c>
      <c r="B337" t="s">
        <v>87</v>
      </c>
      <c r="C337" t="s">
        <v>268</v>
      </c>
      <c r="D337" t="s">
        <v>682</v>
      </c>
      <c r="E337" t="s">
        <v>666</v>
      </c>
      <c r="F337" t="s">
        <v>667</v>
      </c>
      <c r="G337" t="s">
        <v>30</v>
      </c>
      <c r="H337" t="s">
        <v>37</v>
      </c>
      <c r="I337" t="s">
        <v>48</v>
      </c>
      <c r="J337" t="s">
        <v>261</v>
      </c>
      <c r="K337">
        <v>632967.29</v>
      </c>
      <c r="L337" s="166">
        <v>361812.99482802371</v>
      </c>
      <c r="M337">
        <v>271154.3</v>
      </c>
      <c r="N337">
        <v>6625</v>
      </c>
      <c r="O337">
        <v>0</v>
      </c>
      <c r="P337">
        <v>244467.29000000004</v>
      </c>
      <c r="Q337" s="166">
        <v>117345.70482802365</v>
      </c>
      <c r="R337" t="s">
        <v>30</v>
      </c>
      <c r="S337">
        <v>100</v>
      </c>
      <c r="T337">
        <v>388500</v>
      </c>
      <c r="U337" t="s">
        <v>107</v>
      </c>
      <c r="V337" t="s">
        <v>1576</v>
      </c>
      <c r="W337">
        <v>0</v>
      </c>
      <c r="X337" t="s">
        <v>30</v>
      </c>
      <c r="Y337" t="s">
        <v>30</v>
      </c>
      <c r="Z337">
        <v>520400</v>
      </c>
      <c r="AC337" s="4" t="s">
        <v>805</v>
      </c>
      <c r="AD337" s="8">
        <v>1910000</v>
      </c>
      <c r="AE337" s="4" t="s">
        <v>808</v>
      </c>
      <c r="AF337" s="8">
        <v>1910008</v>
      </c>
      <c r="AG337" s="4" t="s">
        <v>810</v>
      </c>
      <c r="AH337" s="8">
        <v>1910008</v>
      </c>
    </row>
    <row r="338" spans="1:34" x14ac:dyDescent="0.25">
      <c r="A338" s="176" t="s">
        <v>1523</v>
      </c>
      <c r="B338" t="s">
        <v>87</v>
      </c>
      <c r="C338" t="s">
        <v>268</v>
      </c>
      <c r="D338" t="s">
        <v>683</v>
      </c>
      <c r="E338" t="s">
        <v>666</v>
      </c>
      <c r="F338" t="s">
        <v>667</v>
      </c>
      <c r="G338" t="s">
        <v>30</v>
      </c>
      <c r="H338" t="s">
        <v>37</v>
      </c>
      <c r="I338" t="s">
        <v>48</v>
      </c>
      <c r="J338" t="s">
        <v>261</v>
      </c>
      <c r="K338">
        <v>99497.34</v>
      </c>
      <c r="L338" s="166">
        <v>66600.641333950043</v>
      </c>
      <c r="M338">
        <v>32896.699999999997</v>
      </c>
      <c r="N338">
        <v>812.5</v>
      </c>
      <c r="O338">
        <v>0</v>
      </c>
      <c r="P338">
        <v>47297.34</v>
      </c>
      <c r="Q338" s="166">
        <v>19303.30133395005</v>
      </c>
      <c r="R338" t="s">
        <v>30</v>
      </c>
      <c r="S338">
        <v>100</v>
      </c>
      <c r="T338">
        <v>52200</v>
      </c>
      <c r="U338" t="s">
        <v>107</v>
      </c>
      <c r="V338" t="s">
        <v>1576</v>
      </c>
      <c r="W338">
        <v>0</v>
      </c>
      <c r="X338" t="s">
        <v>30</v>
      </c>
      <c r="Y338" t="s">
        <v>30</v>
      </c>
      <c r="Z338">
        <v>69900</v>
      </c>
      <c r="AC338" s="4" t="s">
        <v>805</v>
      </c>
      <c r="AD338" s="8">
        <v>1910000</v>
      </c>
      <c r="AE338" s="4" t="s">
        <v>808</v>
      </c>
      <c r="AF338" s="8">
        <v>1910008</v>
      </c>
      <c r="AG338" s="4" t="s">
        <v>810</v>
      </c>
      <c r="AH338" s="8">
        <v>1910008</v>
      </c>
    </row>
    <row r="339" spans="1:34" x14ac:dyDescent="0.25">
      <c r="A339" s="176" t="s">
        <v>1524</v>
      </c>
      <c r="B339" t="s">
        <v>87</v>
      </c>
      <c r="C339" t="s">
        <v>268</v>
      </c>
      <c r="D339" t="s">
        <v>684</v>
      </c>
      <c r="E339" t="s">
        <v>666</v>
      </c>
      <c r="F339" t="s">
        <v>667</v>
      </c>
      <c r="G339" t="s">
        <v>30</v>
      </c>
      <c r="H339" t="s">
        <v>37</v>
      </c>
      <c r="I339" t="s">
        <v>48</v>
      </c>
      <c r="J339" t="s">
        <v>261</v>
      </c>
      <c r="K339">
        <v>161631.99</v>
      </c>
      <c r="L339" s="166">
        <v>100040.56157962303</v>
      </c>
      <c r="M339">
        <v>61591.43</v>
      </c>
      <c r="N339">
        <v>1187.5</v>
      </c>
      <c r="O339">
        <v>0</v>
      </c>
      <c r="P339">
        <v>70231.989999999991</v>
      </c>
      <c r="Q339" s="166">
        <v>29808.571579623036</v>
      </c>
      <c r="R339" t="s">
        <v>30</v>
      </c>
      <c r="S339">
        <v>100</v>
      </c>
      <c r="T339">
        <v>91400</v>
      </c>
      <c r="U339" t="s">
        <v>107</v>
      </c>
      <c r="V339" t="s">
        <v>1576</v>
      </c>
      <c r="W339">
        <v>0</v>
      </c>
      <c r="X339" t="s">
        <v>30</v>
      </c>
      <c r="Y339" t="s">
        <v>30</v>
      </c>
      <c r="Z339">
        <v>122400</v>
      </c>
      <c r="AC339" s="4" t="s">
        <v>805</v>
      </c>
      <c r="AD339" s="8">
        <v>1910000</v>
      </c>
      <c r="AE339" s="4" t="s">
        <v>808</v>
      </c>
      <c r="AF339" s="8">
        <v>1910008</v>
      </c>
      <c r="AG339" s="4" t="s">
        <v>810</v>
      </c>
      <c r="AH339" s="8">
        <v>1910008</v>
      </c>
    </row>
    <row r="340" spans="1:34" x14ac:dyDescent="0.25">
      <c r="A340" s="176" t="s">
        <v>1525</v>
      </c>
      <c r="B340" t="s">
        <v>87</v>
      </c>
      <c r="C340" t="s">
        <v>268</v>
      </c>
      <c r="D340" t="s">
        <v>685</v>
      </c>
      <c r="E340" t="s">
        <v>666</v>
      </c>
      <c r="F340" t="s">
        <v>667</v>
      </c>
      <c r="G340" t="s">
        <v>30</v>
      </c>
      <c r="H340" t="s">
        <v>37</v>
      </c>
      <c r="I340" t="s">
        <v>48</v>
      </c>
      <c r="J340" t="s">
        <v>261</v>
      </c>
      <c r="K340">
        <v>396830.59</v>
      </c>
      <c r="L340" s="166">
        <v>231013.51545624289</v>
      </c>
      <c r="M340">
        <v>165817.07</v>
      </c>
      <c r="N340">
        <v>4062.5</v>
      </c>
      <c r="O340">
        <v>0</v>
      </c>
      <c r="P340">
        <v>157530.59000000003</v>
      </c>
      <c r="Q340" s="166">
        <v>73482.925456242869</v>
      </c>
      <c r="R340" t="s">
        <v>30</v>
      </c>
      <c r="S340">
        <v>100</v>
      </c>
      <c r="T340">
        <v>239300</v>
      </c>
      <c r="U340" t="s">
        <v>107</v>
      </c>
      <c r="V340" t="s">
        <v>1576</v>
      </c>
      <c r="W340">
        <v>0</v>
      </c>
      <c r="X340" t="s">
        <v>30</v>
      </c>
      <c r="Y340" t="s">
        <v>30</v>
      </c>
      <c r="Z340">
        <v>320600</v>
      </c>
      <c r="AC340" s="4" t="s">
        <v>805</v>
      </c>
      <c r="AD340" s="8">
        <v>1910000</v>
      </c>
      <c r="AE340" s="4" t="s">
        <v>808</v>
      </c>
      <c r="AF340" s="8">
        <v>1910008</v>
      </c>
      <c r="AG340" s="4" t="s">
        <v>810</v>
      </c>
      <c r="AH340" s="8">
        <v>1910008</v>
      </c>
    </row>
    <row r="341" spans="1:34" x14ac:dyDescent="0.25">
      <c r="A341" s="176" t="s">
        <v>1526</v>
      </c>
      <c r="B341" t="s">
        <v>87</v>
      </c>
      <c r="C341" t="s">
        <v>268</v>
      </c>
      <c r="D341" t="s">
        <v>686</v>
      </c>
      <c r="E341" t="s">
        <v>666</v>
      </c>
      <c r="F341" t="s">
        <v>667</v>
      </c>
      <c r="G341" t="s">
        <v>30</v>
      </c>
      <c r="H341" t="s">
        <v>37</v>
      </c>
      <c r="I341" t="s">
        <v>48</v>
      </c>
      <c r="J341" t="s">
        <v>261</v>
      </c>
      <c r="K341">
        <v>312134.84999999998</v>
      </c>
      <c r="L341" s="166">
        <v>181928.27590592153</v>
      </c>
      <c r="M341">
        <v>130206.57</v>
      </c>
      <c r="N341">
        <v>3187.5</v>
      </c>
      <c r="O341">
        <v>0</v>
      </c>
      <c r="P341">
        <v>124134.84999999998</v>
      </c>
      <c r="Q341" s="166">
        <v>57793.42590592154</v>
      </c>
      <c r="R341" t="s">
        <v>30</v>
      </c>
      <c r="S341">
        <v>100</v>
      </c>
      <c r="T341">
        <v>188000</v>
      </c>
      <c r="U341" t="s">
        <v>107</v>
      </c>
      <c r="V341" t="s">
        <v>1576</v>
      </c>
      <c r="W341">
        <v>0</v>
      </c>
      <c r="X341" t="s">
        <v>30</v>
      </c>
      <c r="Y341" t="s">
        <v>30</v>
      </c>
      <c r="Z341">
        <v>251900</v>
      </c>
      <c r="AC341" s="4" t="s">
        <v>805</v>
      </c>
      <c r="AD341" s="8">
        <v>1910000</v>
      </c>
      <c r="AE341" s="4" t="s">
        <v>808</v>
      </c>
      <c r="AF341" s="8">
        <v>1910008</v>
      </c>
      <c r="AG341" s="4" t="s">
        <v>810</v>
      </c>
      <c r="AH341" s="8">
        <v>1910008</v>
      </c>
    </row>
    <row r="342" spans="1:34" x14ac:dyDescent="0.25">
      <c r="A342" s="176" t="s">
        <v>1527</v>
      </c>
      <c r="B342" t="s">
        <v>87</v>
      </c>
      <c r="C342" t="s">
        <v>268</v>
      </c>
      <c r="D342" t="s">
        <v>687</v>
      </c>
      <c r="E342" t="s">
        <v>666</v>
      </c>
      <c r="F342" t="s">
        <v>667</v>
      </c>
      <c r="G342" t="s">
        <v>30</v>
      </c>
      <c r="H342" t="s">
        <v>37</v>
      </c>
      <c r="I342" t="s">
        <v>48</v>
      </c>
      <c r="J342" t="s">
        <v>261</v>
      </c>
      <c r="K342">
        <v>1825950.18</v>
      </c>
      <c r="L342" s="166">
        <v>1253281.9702572227</v>
      </c>
      <c r="M342">
        <v>572668.21</v>
      </c>
      <c r="N342">
        <v>15125</v>
      </c>
      <c r="O342">
        <v>0</v>
      </c>
      <c r="P342">
        <v>932250.17999999993</v>
      </c>
      <c r="Q342" s="166">
        <v>321031.79025722283</v>
      </c>
      <c r="R342" t="s">
        <v>30</v>
      </c>
      <c r="S342">
        <v>100</v>
      </c>
      <c r="T342">
        <v>893700</v>
      </c>
      <c r="U342" t="s">
        <v>107</v>
      </c>
      <c r="V342" t="s">
        <v>1576</v>
      </c>
      <c r="W342">
        <v>0</v>
      </c>
      <c r="X342" t="s">
        <v>30</v>
      </c>
      <c r="Y342" t="s">
        <v>30</v>
      </c>
      <c r="Z342">
        <v>1197200</v>
      </c>
      <c r="AC342" s="4" t="s">
        <v>805</v>
      </c>
      <c r="AD342" s="8">
        <v>1910000</v>
      </c>
      <c r="AE342" s="4" t="s">
        <v>808</v>
      </c>
      <c r="AF342" s="8">
        <v>1910008</v>
      </c>
      <c r="AG342" s="4" t="s">
        <v>810</v>
      </c>
      <c r="AH342" s="8">
        <v>1910008</v>
      </c>
    </row>
    <row r="343" spans="1:34" x14ac:dyDescent="0.25">
      <c r="A343" s="176" t="s">
        <v>1528</v>
      </c>
      <c r="B343" t="s">
        <v>87</v>
      </c>
      <c r="C343" t="s">
        <v>268</v>
      </c>
      <c r="D343" t="s">
        <v>688</v>
      </c>
      <c r="E343" t="s">
        <v>666</v>
      </c>
      <c r="F343" t="s">
        <v>667</v>
      </c>
      <c r="G343" t="s">
        <v>30</v>
      </c>
      <c r="H343" t="s">
        <v>37</v>
      </c>
      <c r="I343" t="s">
        <v>48</v>
      </c>
      <c r="J343" t="s">
        <v>261</v>
      </c>
      <c r="K343">
        <v>615569.17000000004</v>
      </c>
      <c r="L343" s="166">
        <v>375541.72734307562</v>
      </c>
      <c r="M343">
        <v>240027.44</v>
      </c>
      <c r="N343">
        <v>5875</v>
      </c>
      <c r="O343">
        <v>0</v>
      </c>
      <c r="P343">
        <v>268869.17000000004</v>
      </c>
      <c r="Q343" s="166">
        <v>106672.55734307559</v>
      </c>
      <c r="R343" t="s">
        <v>30</v>
      </c>
      <c r="S343">
        <v>100</v>
      </c>
      <c r="T343">
        <v>346700</v>
      </c>
      <c r="U343" t="s">
        <v>107</v>
      </c>
      <c r="V343" t="s">
        <v>1576</v>
      </c>
      <c r="W343">
        <v>0</v>
      </c>
      <c r="X343" t="s">
        <v>30</v>
      </c>
      <c r="Y343" t="s">
        <v>30</v>
      </c>
      <c r="Z343">
        <v>464400</v>
      </c>
      <c r="AC343" s="4" t="s">
        <v>805</v>
      </c>
      <c r="AD343" s="8">
        <v>1910000</v>
      </c>
      <c r="AE343" s="4" t="s">
        <v>808</v>
      </c>
      <c r="AF343" s="8">
        <v>1910008</v>
      </c>
      <c r="AG343" s="4" t="s">
        <v>810</v>
      </c>
      <c r="AH343" s="8">
        <v>1910008</v>
      </c>
    </row>
    <row r="344" spans="1:34" x14ac:dyDescent="0.25">
      <c r="A344" s="176" t="s">
        <v>1529</v>
      </c>
      <c r="B344" t="s">
        <v>87</v>
      </c>
      <c r="C344" t="s">
        <v>268</v>
      </c>
      <c r="D344" t="s">
        <v>689</v>
      </c>
      <c r="E344" t="s">
        <v>666</v>
      </c>
      <c r="F344" t="s">
        <v>667</v>
      </c>
      <c r="G344" t="s">
        <v>30</v>
      </c>
      <c r="H344" t="s">
        <v>37</v>
      </c>
      <c r="I344" t="s">
        <v>48</v>
      </c>
      <c r="J344" t="s">
        <v>261</v>
      </c>
      <c r="K344">
        <v>97846.99</v>
      </c>
      <c r="L344" s="166">
        <v>64646.822135745591</v>
      </c>
      <c r="M344">
        <v>33200.17</v>
      </c>
      <c r="N344">
        <v>750</v>
      </c>
      <c r="O344">
        <v>0</v>
      </c>
      <c r="P344">
        <v>45646.990000000005</v>
      </c>
      <c r="Q344" s="166">
        <v>18999.832135745582</v>
      </c>
      <c r="R344" t="s">
        <v>30</v>
      </c>
      <c r="S344">
        <v>100</v>
      </c>
      <c r="T344">
        <v>52200</v>
      </c>
      <c r="U344" t="s">
        <v>107</v>
      </c>
      <c r="V344" t="s">
        <v>1576</v>
      </c>
      <c r="W344">
        <v>0</v>
      </c>
      <c r="X344" t="s">
        <v>30</v>
      </c>
      <c r="Y344" t="s">
        <v>30</v>
      </c>
      <c r="Z344">
        <v>69900</v>
      </c>
      <c r="AC344" s="4" t="s">
        <v>805</v>
      </c>
      <c r="AD344" s="8">
        <v>1910000</v>
      </c>
      <c r="AE344" s="4" t="s">
        <v>808</v>
      </c>
      <c r="AF344" s="8">
        <v>1910008</v>
      </c>
      <c r="AG344" s="4" t="s">
        <v>810</v>
      </c>
      <c r="AH344" s="8">
        <v>1910008</v>
      </c>
    </row>
    <row r="345" spans="1:34" x14ac:dyDescent="0.25">
      <c r="A345" s="176" t="s">
        <v>1530</v>
      </c>
      <c r="B345" t="s">
        <v>87</v>
      </c>
      <c r="C345" t="s">
        <v>268</v>
      </c>
      <c r="D345" t="s">
        <v>690</v>
      </c>
      <c r="E345" t="s">
        <v>666</v>
      </c>
      <c r="F345" t="s">
        <v>667</v>
      </c>
      <c r="G345" t="s">
        <v>30</v>
      </c>
      <c r="H345" t="s">
        <v>37</v>
      </c>
      <c r="I345" t="s">
        <v>48</v>
      </c>
      <c r="J345" t="s">
        <v>261</v>
      </c>
      <c r="K345">
        <v>331271.03999999998</v>
      </c>
      <c r="L345" s="166">
        <v>169174.87956277025</v>
      </c>
      <c r="M345">
        <v>162096.16</v>
      </c>
      <c r="N345">
        <v>2875</v>
      </c>
      <c r="O345">
        <v>0</v>
      </c>
      <c r="P345">
        <v>103871.03999999998</v>
      </c>
      <c r="Q345" s="166">
        <v>65303.839562770278</v>
      </c>
      <c r="R345" t="s">
        <v>30</v>
      </c>
      <c r="S345">
        <v>100</v>
      </c>
      <c r="T345">
        <v>227400</v>
      </c>
      <c r="U345" t="s">
        <v>107</v>
      </c>
      <c r="V345" t="s">
        <v>1576</v>
      </c>
      <c r="W345">
        <v>0</v>
      </c>
      <c r="X345" t="s">
        <v>30</v>
      </c>
      <c r="Y345" t="s">
        <v>30</v>
      </c>
      <c r="Z345">
        <v>304600</v>
      </c>
      <c r="AC345" s="4" t="s">
        <v>805</v>
      </c>
      <c r="AD345" s="8">
        <v>1910000</v>
      </c>
      <c r="AE345" s="4" t="s">
        <v>808</v>
      </c>
      <c r="AF345" s="8">
        <v>1910008</v>
      </c>
      <c r="AG345" s="4" t="s">
        <v>810</v>
      </c>
      <c r="AH345" s="8">
        <v>1910008</v>
      </c>
    </row>
    <row r="346" spans="1:34" x14ac:dyDescent="0.25">
      <c r="A346" s="176" t="s">
        <v>1531</v>
      </c>
      <c r="B346" t="s">
        <v>87</v>
      </c>
      <c r="C346" t="s">
        <v>268</v>
      </c>
      <c r="D346" t="s">
        <v>691</v>
      </c>
      <c r="E346" t="s">
        <v>666</v>
      </c>
      <c r="F346" t="s">
        <v>667</v>
      </c>
      <c r="G346" t="s">
        <v>30</v>
      </c>
      <c r="H346" t="s">
        <v>37</v>
      </c>
      <c r="I346" t="s">
        <v>48</v>
      </c>
      <c r="J346" t="s">
        <v>261</v>
      </c>
      <c r="K346">
        <v>92399.98</v>
      </c>
      <c r="L346" s="166">
        <v>59982.057982717066</v>
      </c>
      <c r="M346">
        <v>32417.919999999998</v>
      </c>
      <c r="N346">
        <v>750</v>
      </c>
      <c r="O346">
        <v>0</v>
      </c>
      <c r="P346">
        <v>42999.979999999996</v>
      </c>
      <c r="Q346" s="166">
        <v>16982.07798271707</v>
      </c>
      <c r="R346" t="s">
        <v>30</v>
      </c>
      <c r="S346">
        <v>100</v>
      </c>
      <c r="T346">
        <v>49400</v>
      </c>
      <c r="U346" t="s">
        <v>107</v>
      </c>
      <c r="V346" t="s">
        <v>1576</v>
      </c>
      <c r="W346">
        <v>0</v>
      </c>
      <c r="X346" t="s">
        <v>30</v>
      </c>
      <c r="Y346" t="s">
        <v>30</v>
      </c>
      <c r="Z346">
        <v>66200</v>
      </c>
      <c r="AC346" s="4" t="s">
        <v>805</v>
      </c>
      <c r="AD346" s="8">
        <v>1910000</v>
      </c>
      <c r="AE346" s="4" t="s">
        <v>808</v>
      </c>
      <c r="AF346" s="8">
        <v>1910008</v>
      </c>
      <c r="AG346" s="4" t="s">
        <v>810</v>
      </c>
      <c r="AH346" s="8">
        <v>1910008</v>
      </c>
    </row>
    <row r="347" spans="1:34" x14ac:dyDescent="0.25">
      <c r="A347" s="176" t="s">
        <v>1532</v>
      </c>
      <c r="B347" t="s">
        <v>87</v>
      </c>
      <c r="C347" t="s">
        <v>268</v>
      </c>
      <c r="D347" t="s">
        <v>692</v>
      </c>
      <c r="E347" t="s">
        <v>666</v>
      </c>
      <c r="F347" t="s">
        <v>667</v>
      </c>
      <c r="G347" t="s">
        <v>30</v>
      </c>
      <c r="H347" t="s">
        <v>37</v>
      </c>
      <c r="I347" t="s">
        <v>48</v>
      </c>
      <c r="J347" t="s">
        <v>261</v>
      </c>
      <c r="K347">
        <v>90114.69</v>
      </c>
      <c r="L347" s="166">
        <v>58238.645401657908</v>
      </c>
      <c r="M347">
        <v>31876.04</v>
      </c>
      <c r="N347">
        <v>750</v>
      </c>
      <c r="O347">
        <v>0</v>
      </c>
      <c r="P347">
        <v>40714.69</v>
      </c>
      <c r="Q347" s="166">
        <v>17523.95540165791</v>
      </c>
      <c r="R347" t="s">
        <v>30</v>
      </c>
      <c r="S347">
        <v>100</v>
      </c>
      <c r="T347">
        <v>49400</v>
      </c>
      <c r="U347" t="s">
        <v>107</v>
      </c>
      <c r="V347" t="s">
        <v>1576</v>
      </c>
      <c r="W347">
        <v>0</v>
      </c>
      <c r="X347" t="s">
        <v>30</v>
      </c>
      <c r="Y347" t="s">
        <v>30</v>
      </c>
      <c r="Z347">
        <v>66200</v>
      </c>
      <c r="AC347" s="4" t="s">
        <v>805</v>
      </c>
      <c r="AD347" s="8">
        <v>1910000</v>
      </c>
      <c r="AE347" s="4" t="s">
        <v>808</v>
      </c>
      <c r="AF347" s="8">
        <v>1910008</v>
      </c>
      <c r="AG347" s="4" t="s">
        <v>810</v>
      </c>
      <c r="AH347" s="8">
        <v>1910008</v>
      </c>
    </row>
    <row r="348" spans="1:34" x14ac:dyDescent="0.25">
      <c r="A348" s="176" t="s">
        <v>1533</v>
      </c>
      <c r="B348" t="s">
        <v>87</v>
      </c>
      <c r="C348" t="s">
        <v>268</v>
      </c>
      <c r="D348" t="s">
        <v>693</v>
      </c>
      <c r="E348" t="s">
        <v>666</v>
      </c>
      <c r="F348" t="s">
        <v>667</v>
      </c>
      <c r="G348" t="s">
        <v>30</v>
      </c>
      <c r="H348" t="s">
        <v>37</v>
      </c>
      <c r="I348" t="s">
        <v>48</v>
      </c>
      <c r="J348" t="s">
        <v>261</v>
      </c>
      <c r="K348">
        <v>90375.27</v>
      </c>
      <c r="L348" s="166">
        <v>58547.139901079012</v>
      </c>
      <c r="M348">
        <v>31828.13</v>
      </c>
      <c r="N348">
        <v>750</v>
      </c>
      <c r="O348">
        <v>0</v>
      </c>
      <c r="P348">
        <v>40975.270000000004</v>
      </c>
      <c r="Q348" s="166">
        <v>17571.869901079015</v>
      </c>
      <c r="R348" t="s">
        <v>30</v>
      </c>
      <c r="S348">
        <v>100</v>
      </c>
      <c r="T348">
        <v>49400</v>
      </c>
      <c r="U348" t="s">
        <v>107</v>
      </c>
      <c r="V348" t="s">
        <v>1576</v>
      </c>
      <c r="W348">
        <v>0</v>
      </c>
      <c r="X348" t="s">
        <v>30</v>
      </c>
      <c r="Y348" t="s">
        <v>30</v>
      </c>
      <c r="Z348">
        <v>66200</v>
      </c>
      <c r="AC348" s="4" t="s">
        <v>805</v>
      </c>
      <c r="AD348" s="8">
        <v>1910000</v>
      </c>
      <c r="AE348" s="4" t="s">
        <v>808</v>
      </c>
      <c r="AF348" s="8">
        <v>1910008</v>
      </c>
      <c r="AG348" s="4" t="s">
        <v>810</v>
      </c>
      <c r="AH348" s="8">
        <v>1910008</v>
      </c>
    </row>
    <row r="349" spans="1:34" x14ac:dyDescent="0.25">
      <c r="A349" s="176" t="s">
        <v>1534</v>
      </c>
      <c r="B349" t="s">
        <v>87</v>
      </c>
      <c r="C349" t="s">
        <v>268</v>
      </c>
      <c r="D349" t="s">
        <v>694</v>
      </c>
      <c r="E349" t="s">
        <v>666</v>
      </c>
      <c r="F349" t="s">
        <v>667</v>
      </c>
      <c r="G349" t="s">
        <v>30</v>
      </c>
      <c r="H349" t="s">
        <v>37</v>
      </c>
      <c r="I349" t="s">
        <v>48</v>
      </c>
      <c r="J349" t="s">
        <v>261</v>
      </c>
      <c r="K349">
        <v>92396.51</v>
      </c>
      <c r="L349" s="166">
        <v>60057.419952547934</v>
      </c>
      <c r="M349">
        <v>32339.09</v>
      </c>
      <c r="N349">
        <v>750</v>
      </c>
      <c r="O349">
        <v>0</v>
      </c>
      <c r="P349">
        <v>42096.509999999995</v>
      </c>
      <c r="Q349" s="166">
        <v>17960.90995254794</v>
      </c>
      <c r="R349" t="s">
        <v>30</v>
      </c>
      <c r="S349">
        <v>100</v>
      </c>
      <c r="T349">
        <v>50300</v>
      </c>
      <c r="U349" t="s">
        <v>107</v>
      </c>
      <c r="V349" t="s">
        <v>1576</v>
      </c>
      <c r="W349">
        <v>0</v>
      </c>
      <c r="X349" t="s">
        <v>30</v>
      </c>
      <c r="Y349" t="s">
        <v>30</v>
      </c>
      <c r="Z349">
        <v>67400</v>
      </c>
      <c r="AC349" s="4" t="s">
        <v>805</v>
      </c>
      <c r="AD349" s="8">
        <v>1910000</v>
      </c>
      <c r="AE349" s="4" t="s">
        <v>808</v>
      </c>
      <c r="AF349" s="8">
        <v>1910008</v>
      </c>
      <c r="AG349" s="4" t="s">
        <v>810</v>
      </c>
      <c r="AH349" s="8">
        <v>1910008</v>
      </c>
    </row>
    <row r="350" spans="1:34" x14ac:dyDescent="0.25">
      <c r="A350" s="176" t="s">
        <v>1535</v>
      </c>
      <c r="B350" t="s">
        <v>87</v>
      </c>
      <c r="C350" t="s">
        <v>268</v>
      </c>
      <c r="D350" t="s">
        <v>695</v>
      </c>
      <c r="E350" t="s">
        <v>666</v>
      </c>
      <c r="F350" t="s">
        <v>667</v>
      </c>
      <c r="G350" t="s">
        <v>30</v>
      </c>
      <c r="H350" t="s">
        <v>37</v>
      </c>
      <c r="I350" t="s">
        <v>48</v>
      </c>
      <c r="J350" t="s">
        <v>261</v>
      </c>
      <c r="K350">
        <v>93614.29</v>
      </c>
      <c r="L350" s="166">
        <v>60518.433183366389</v>
      </c>
      <c r="M350">
        <v>33095.86</v>
      </c>
      <c r="N350">
        <v>750</v>
      </c>
      <c r="O350">
        <v>0</v>
      </c>
      <c r="P350">
        <v>42314.289999999994</v>
      </c>
      <c r="Q350" s="166">
        <v>18204.143183366396</v>
      </c>
      <c r="R350" t="s">
        <v>30</v>
      </c>
      <c r="S350">
        <v>100</v>
      </c>
      <c r="T350">
        <v>51300</v>
      </c>
      <c r="U350" t="s">
        <v>107</v>
      </c>
      <c r="V350" t="s">
        <v>1576</v>
      </c>
      <c r="W350">
        <v>0</v>
      </c>
      <c r="X350" t="s">
        <v>30</v>
      </c>
      <c r="Y350" t="s">
        <v>30</v>
      </c>
      <c r="Z350">
        <v>68700</v>
      </c>
      <c r="AC350" s="4" t="s">
        <v>805</v>
      </c>
      <c r="AD350" s="8">
        <v>1910000</v>
      </c>
      <c r="AE350" s="4" t="s">
        <v>808</v>
      </c>
      <c r="AF350" s="8">
        <v>1910008</v>
      </c>
      <c r="AG350" s="4" t="s">
        <v>810</v>
      </c>
      <c r="AH350" s="8">
        <v>1910008</v>
      </c>
    </row>
    <row r="351" spans="1:34" x14ac:dyDescent="0.25">
      <c r="A351" s="176" t="s">
        <v>1536</v>
      </c>
      <c r="B351" t="s">
        <v>25</v>
      </c>
      <c r="C351" t="s">
        <v>228</v>
      </c>
      <c r="D351" t="s">
        <v>696</v>
      </c>
      <c r="E351" t="s">
        <v>697</v>
      </c>
      <c r="F351" t="s">
        <v>698</v>
      </c>
      <c r="G351" t="s">
        <v>699</v>
      </c>
      <c r="H351" t="s">
        <v>59</v>
      </c>
      <c r="I351" t="s">
        <v>86</v>
      </c>
      <c r="J351" t="s">
        <v>700</v>
      </c>
      <c r="K351">
        <v>49333.65</v>
      </c>
      <c r="L351" s="166">
        <v>17154.769591500004</v>
      </c>
      <c r="M351">
        <v>32178.880000000001</v>
      </c>
      <c r="N351">
        <v>0</v>
      </c>
      <c r="O351">
        <v>0</v>
      </c>
      <c r="P351">
        <v>11633.650000000001</v>
      </c>
      <c r="Q351" s="166">
        <v>5521.1195915000008</v>
      </c>
      <c r="R351" t="s">
        <v>30</v>
      </c>
      <c r="S351">
        <v>100</v>
      </c>
      <c r="T351">
        <v>37700</v>
      </c>
      <c r="U351" t="s">
        <v>122</v>
      </c>
      <c r="V351" t="s">
        <v>1589</v>
      </c>
      <c r="W351">
        <v>0</v>
      </c>
      <c r="X351" t="s">
        <v>30</v>
      </c>
      <c r="Y351" t="s">
        <v>30</v>
      </c>
      <c r="Z351">
        <v>43700</v>
      </c>
      <c r="AC351" s="4" t="s">
        <v>805</v>
      </c>
      <c r="AD351" s="8">
        <v>1910000</v>
      </c>
      <c r="AE351" s="4" t="s">
        <v>808</v>
      </c>
      <c r="AF351" s="8">
        <v>1910008</v>
      </c>
      <c r="AG351" s="4" t="s">
        <v>810</v>
      </c>
      <c r="AH351" s="8">
        <v>1910008</v>
      </c>
    </row>
    <row r="352" spans="1:34" x14ac:dyDescent="0.25">
      <c r="A352" s="176" t="s">
        <v>1537</v>
      </c>
      <c r="B352" t="s">
        <v>25</v>
      </c>
      <c r="C352" t="s">
        <v>228</v>
      </c>
      <c r="D352" t="s">
        <v>701</v>
      </c>
      <c r="E352" t="s">
        <v>697</v>
      </c>
      <c r="F352" t="s">
        <v>698</v>
      </c>
      <c r="G352" t="s">
        <v>702</v>
      </c>
      <c r="H352" t="s">
        <v>59</v>
      </c>
      <c r="I352" t="s">
        <v>86</v>
      </c>
      <c r="J352" t="s">
        <v>700</v>
      </c>
      <c r="K352">
        <v>49333.66</v>
      </c>
      <c r="L352" s="166">
        <v>19312.320572200006</v>
      </c>
      <c r="M352">
        <v>30021.34</v>
      </c>
      <c r="N352">
        <v>0</v>
      </c>
      <c r="O352">
        <v>0</v>
      </c>
      <c r="P352">
        <v>13833.660000000003</v>
      </c>
      <c r="Q352" s="166">
        <v>5478.6605722000004</v>
      </c>
      <c r="R352" t="s">
        <v>30</v>
      </c>
      <c r="S352">
        <v>100</v>
      </c>
      <c r="T352">
        <v>35500</v>
      </c>
      <c r="U352" t="s">
        <v>122</v>
      </c>
      <c r="V352" t="s">
        <v>1589</v>
      </c>
      <c r="W352">
        <v>0</v>
      </c>
      <c r="X352" t="s">
        <v>30</v>
      </c>
      <c r="Y352" t="s">
        <v>30</v>
      </c>
      <c r="Z352">
        <v>41200</v>
      </c>
      <c r="AC352" s="4" t="s">
        <v>805</v>
      </c>
      <c r="AD352" s="8">
        <v>1910000</v>
      </c>
      <c r="AE352" s="4" t="s">
        <v>808</v>
      </c>
      <c r="AF352" s="8">
        <v>1910008</v>
      </c>
      <c r="AG352" s="4" t="s">
        <v>810</v>
      </c>
      <c r="AH352" s="8">
        <v>1910008</v>
      </c>
    </row>
    <row r="353" spans="1:34" x14ac:dyDescent="0.25">
      <c r="A353" s="176" t="s">
        <v>1538</v>
      </c>
      <c r="B353" t="s">
        <v>25</v>
      </c>
      <c r="C353" t="s">
        <v>228</v>
      </c>
      <c r="D353" t="s">
        <v>703</v>
      </c>
      <c r="E353" t="s">
        <v>704</v>
      </c>
      <c r="F353" t="s">
        <v>705</v>
      </c>
      <c r="G353" t="s">
        <v>706</v>
      </c>
      <c r="H353" t="s">
        <v>59</v>
      </c>
      <c r="I353" t="s">
        <v>53</v>
      </c>
      <c r="J353" t="s">
        <v>639</v>
      </c>
      <c r="K353">
        <v>138083.78</v>
      </c>
      <c r="L353" s="166">
        <v>4423.9720031979741</v>
      </c>
      <c r="M353">
        <v>133659.81</v>
      </c>
      <c r="N353">
        <v>0</v>
      </c>
      <c r="O353">
        <v>0</v>
      </c>
      <c r="P353">
        <v>0</v>
      </c>
      <c r="Q353" s="166">
        <v>4423.9720031979741</v>
      </c>
      <c r="R353" t="s">
        <v>30</v>
      </c>
      <c r="S353">
        <v>100</v>
      </c>
      <c r="T353">
        <v>140400</v>
      </c>
      <c r="U353" t="s">
        <v>122</v>
      </c>
      <c r="V353" t="s">
        <v>1823</v>
      </c>
      <c r="W353">
        <v>0</v>
      </c>
      <c r="X353" t="s">
        <v>30</v>
      </c>
      <c r="Y353" t="s">
        <v>30</v>
      </c>
      <c r="Z353">
        <v>164600</v>
      </c>
      <c r="AC353" s="4" t="s">
        <v>805</v>
      </c>
      <c r="AD353" s="8">
        <v>1910000</v>
      </c>
      <c r="AE353" s="4" t="s">
        <v>808</v>
      </c>
      <c r="AF353" s="8">
        <v>1910008</v>
      </c>
      <c r="AG353" s="4" t="s">
        <v>810</v>
      </c>
      <c r="AH353" s="8">
        <v>1910008</v>
      </c>
    </row>
    <row r="354" spans="1:34" x14ac:dyDescent="0.25">
      <c r="A354" s="176" t="s">
        <v>1539</v>
      </c>
      <c r="B354" t="s">
        <v>25</v>
      </c>
      <c r="C354" t="s">
        <v>26</v>
      </c>
      <c r="D354" t="s">
        <v>707</v>
      </c>
      <c r="E354" t="s">
        <v>708</v>
      </c>
      <c r="F354" t="s">
        <v>709</v>
      </c>
      <c r="G354" t="s">
        <v>710</v>
      </c>
      <c r="H354" t="s">
        <v>59</v>
      </c>
      <c r="I354" t="s">
        <v>86</v>
      </c>
      <c r="J354" t="s">
        <v>711</v>
      </c>
      <c r="K354">
        <v>63503.49</v>
      </c>
      <c r="L354" s="166">
        <v>2034.5449832367167</v>
      </c>
      <c r="M354">
        <v>61468.95</v>
      </c>
      <c r="N354">
        <v>0</v>
      </c>
      <c r="O354">
        <v>0</v>
      </c>
      <c r="P354">
        <v>0</v>
      </c>
      <c r="Q354" s="166">
        <v>2034.5449832367167</v>
      </c>
      <c r="R354" t="s">
        <v>30</v>
      </c>
      <c r="S354">
        <v>100</v>
      </c>
      <c r="T354">
        <v>102200</v>
      </c>
      <c r="U354" t="s">
        <v>113</v>
      </c>
      <c r="V354" t="s">
        <v>1578</v>
      </c>
      <c r="W354">
        <v>0</v>
      </c>
      <c r="X354" t="s">
        <v>30</v>
      </c>
      <c r="Y354" t="s">
        <v>30</v>
      </c>
      <c r="Z354">
        <v>130000</v>
      </c>
      <c r="AC354" s="4" t="s">
        <v>805</v>
      </c>
      <c r="AD354" s="8">
        <v>1910000</v>
      </c>
      <c r="AE354" s="4" t="s">
        <v>808</v>
      </c>
      <c r="AF354" s="8">
        <v>1910008</v>
      </c>
      <c r="AG354" s="4" t="s">
        <v>810</v>
      </c>
      <c r="AH354" s="8">
        <v>1910008</v>
      </c>
    </row>
    <row r="355" spans="1:34" x14ac:dyDescent="0.25">
      <c r="A355" s="176" t="s">
        <v>1540</v>
      </c>
      <c r="B355" t="s">
        <v>25</v>
      </c>
      <c r="C355" t="s">
        <v>26</v>
      </c>
      <c r="D355" t="s">
        <v>712</v>
      </c>
      <c r="E355" t="s">
        <v>713</v>
      </c>
      <c r="F355" t="s">
        <v>714</v>
      </c>
      <c r="G355" t="s">
        <v>715</v>
      </c>
      <c r="H355" t="s">
        <v>37</v>
      </c>
      <c r="I355" t="s">
        <v>86</v>
      </c>
      <c r="J355" t="s">
        <v>716</v>
      </c>
      <c r="K355">
        <v>39218.46</v>
      </c>
      <c r="L355" s="166">
        <v>1256.4934784414186</v>
      </c>
      <c r="M355">
        <v>37961.97</v>
      </c>
      <c r="N355">
        <v>1500</v>
      </c>
      <c r="O355">
        <v>70000</v>
      </c>
      <c r="P355">
        <v>0</v>
      </c>
      <c r="Q355" s="166">
        <v>756.91627800000003</v>
      </c>
      <c r="R355" t="s">
        <v>1810</v>
      </c>
      <c r="S355">
        <v>100</v>
      </c>
      <c r="T355">
        <v>68850</v>
      </c>
      <c r="U355" t="s">
        <v>55</v>
      </c>
      <c r="V355" t="s">
        <v>1590</v>
      </c>
      <c r="W355">
        <v>0</v>
      </c>
      <c r="X355" t="s">
        <v>30</v>
      </c>
      <c r="Y355" t="s">
        <v>30</v>
      </c>
      <c r="Z355">
        <v>81000</v>
      </c>
      <c r="AC355" s="4" t="s">
        <v>805</v>
      </c>
      <c r="AD355" s="8">
        <v>1910000</v>
      </c>
      <c r="AE355" s="4" t="s">
        <v>808</v>
      </c>
      <c r="AF355" s="8">
        <v>1910008</v>
      </c>
      <c r="AG355" s="4" t="s">
        <v>810</v>
      </c>
      <c r="AH355" s="8">
        <v>1910008</v>
      </c>
    </row>
    <row r="356" spans="1:34" x14ac:dyDescent="0.25">
      <c r="A356" s="176" t="s">
        <v>1541</v>
      </c>
      <c r="B356" t="s">
        <v>25</v>
      </c>
      <c r="C356" t="s">
        <v>26</v>
      </c>
      <c r="D356" t="s">
        <v>717</v>
      </c>
      <c r="E356" t="s">
        <v>718</v>
      </c>
      <c r="F356" t="s">
        <v>719</v>
      </c>
      <c r="G356" t="s">
        <v>720</v>
      </c>
      <c r="H356" t="s">
        <v>31</v>
      </c>
      <c r="I356" t="s">
        <v>32</v>
      </c>
      <c r="J356" t="s">
        <v>721</v>
      </c>
      <c r="K356">
        <v>63813.84</v>
      </c>
      <c r="L356" s="166">
        <v>58714.2</v>
      </c>
      <c r="M356">
        <v>5099.6400000000003</v>
      </c>
      <c r="N356">
        <v>0</v>
      </c>
      <c r="O356">
        <v>0</v>
      </c>
      <c r="P356">
        <v>58613.84</v>
      </c>
      <c r="Q356" s="166">
        <v>100.36</v>
      </c>
      <c r="R356" t="s">
        <v>30</v>
      </c>
      <c r="S356">
        <v>100</v>
      </c>
      <c r="T356">
        <v>5200</v>
      </c>
      <c r="U356" t="s">
        <v>120</v>
      </c>
      <c r="V356" t="s">
        <v>1820</v>
      </c>
      <c r="W356">
        <v>0</v>
      </c>
      <c r="X356" t="s">
        <v>30</v>
      </c>
      <c r="Y356" t="s">
        <v>30</v>
      </c>
      <c r="Z356">
        <v>6600</v>
      </c>
      <c r="AC356" s="4" t="s">
        <v>803</v>
      </c>
      <c r="AD356" s="8">
        <v>19910000</v>
      </c>
      <c r="AE356" s="4" t="s">
        <v>806</v>
      </c>
      <c r="AF356" s="8">
        <v>19910001</v>
      </c>
      <c r="AG356" s="4" t="s">
        <v>809</v>
      </c>
      <c r="AH356" s="8">
        <v>19910001</v>
      </c>
    </row>
    <row r="357" spans="1:34" x14ac:dyDescent="0.25">
      <c r="A357" s="176" t="s">
        <v>1542</v>
      </c>
      <c r="B357" t="s">
        <v>25</v>
      </c>
      <c r="C357" t="s">
        <v>268</v>
      </c>
      <c r="D357" t="s">
        <v>722</v>
      </c>
      <c r="E357" t="s">
        <v>723</v>
      </c>
      <c r="F357" t="s">
        <v>724</v>
      </c>
      <c r="G357" t="s">
        <v>725</v>
      </c>
      <c r="H357" t="s">
        <v>37</v>
      </c>
      <c r="I357" t="s">
        <v>71</v>
      </c>
      <c r="J357" t="s">
        <v>726</v>
      </c>
      <c r="K357">
        <v>128160.5</v>
      </c>
      <c r="L357" s="166">
        <v>36648.274181000001</v>
      </c>
      <c r="M357">
        <v>91512.23</v>
      </c>
      <c r="N357">
        <v>9331.32</v>
      </c>
      <c r="O357" s="8">
        <v>93313.17</v>
      </c>
      <c r="P357">
        <v>34847.33</v>
      </c>
      <c r="Q357" s="166">
        <v>1800.9441810000001</v>
      </c>
      <c r="R357" s="174" t="s">
        <v>1142</v>
      </c>
      <c r="S357">
        <v>100</v>
      </c>
      <c r="T357">
        <v>151000</v>
      </c>
      <c r="U357" t="s">
        <v>123</v>
      </c>
      <c r="V357" t="s">
        <v>727</v>
      </c>
      <c r="W357">
        <v>0</v>
      </c>
      <c r="X357" t="s">
        <v>30</v>
      </c>
      <c r="Y357" t="s">
        <v>30</v>
      </c>
      <c r="Z357">
        <v>178900</v>
      </c>
      <c r="AC357" s="4" t="s">
        <v>805</v>
      </c>
      <c r="AD357" s="8">
        <v>1910000</v>
      </c>
      <c r="AE357" s="4" t="s">
        <v>808</v>
      </c>
      <c r="AF357" s="8">
        <v>1910008</v>
      </c>
      <c r="AG357" s="4" t="s">
        <v>810</v>
      </c>
      <c r="AH357" s="8">
        <v>1910008</v>
      </c>
    </row>
    <row r="358" spans="1:34" x14ac:dyDescent="0.25">
      <c r="A358" s="176" t="s">
        <v>1543</v>
      </c>
      <c r="B358" t="s">
        <v>25</v>
      </c>
      <c r="C358" t="s">
        <v>26</v>
      </c>
      <c r="D358" t="s">
        <v>728</v>
      </c>
      <c r="E358" t="s">
        <v>729</v>
      </c>
      <c r="F358" t="s">
        <v>730</v>
      </c>
      <c r="G358" t="s">
        <v>731</v>
      </c>
      <c r="H358" t="s">
        <v>37</v>
      </c>
      <c r="I358" t="s">
        <v>53</v>
      </c>
      <c r="J358" t="s">
        <v>732</v>
      </c>
      <c r="K358">
        <v>61479.72</v>
      </c>
      <c r="L358" s="166">
        <v>1186.5585960000001</v>
      </c>
      <c r="M358">
        <v>60293.16</v>
      </c>
      <c r="N358">
        <v>14435.99</v>
      </c>
      <c r="O358" s="8">
        <v>144359.89000000001</v>
      </c>
      <c r="P358">
        <v>0</v>
      </c>
      <c r="Q358" s="166">
        <v>1186.5585960000001</v>
      </c>
      <c r="R358" s="174" t="s">
        <v>1142</v>
      </c>
      <c r="S358">
        <v>100</v>
      </c>
      <c r="T358">
        <v>139700</v>
      </c>
      <c r="U358" t="s">
        <v>123</v>
      </c>
      <c r="V358" t="s">
        <v>234</v>
      </c>
      <c r="W358">
        <v>0</v>
      </c>
      <c r="X358" t="s">
        <v>30</v>
      </c>
      <c r="Y358" t="s">
        <v>30</v>
      </c>
      <c r="Z358">
        <v>164000</v>
      </c>
      <c r="AC358" s="4" t="s">
        <v>805</v>
      </c>
      <c r="AD358" s="8">
        <v>1910000</v>
      </c>
      <c r="AE358" s="4" t="s">
        <v>808</v>
      </c>
      <c r="AF358" s="8">
        <v>1910008</v>
      </c>
      <c r="AG358" s="4" t="s">
        <v>810</v>
      </c>
      <c r="AH358" s="8">
        <v>1910008</v>
      </c>
    </row>
    <row r="359" spans="1:34" x14ac:dyDescent="0.25">
      <c r="A359" s="176" t="s">
        <v>1544</v>
      </c>
      <c r="B359" t="s">
        <v>25</v>
      </c>
      <c r="C359" t="s">
        <v>26</v>
      </c>
      <c r="D359" t="s">
        <v>733</v>
      </c>
      <c r="E359" t="s">
        <v>734</v>
      </c>
      <c r="F359" t="s">
        <v>735</v>
      </c>
      <c r="G359" t="s">
        <v>736</v>
      </c>
      <c r="H359" t="s">
        <v>59</v>
      </c>
      <c r="I359" t="s">
        <v>91</v>
      </c>
      <c r="J359" t="s">
        <v>737</v>
      </c>
      <c r="K359">
        <v>65515.5</v>
      </c>
      <c r="L359" s="166">
        <v>2099.0063986915538</v>
      </c>
      <c r="M359">
        <v>63416.49</v>
      </c>
      <c r="N359">
        <v>0</v>
      </c>
      <c r="O359">
        <v>0</v>
      </c>
      <c r="P359">
        <v>0</v>
      </c>
      <c r="Q359" s="166">
        <v>2099.0063986915538</v>
      </c>
      <c r="R359" t="s">
        <v>30</v>
      </c>
      <c r="S359">
        <v>100</v>
      </c>
      <c r="T359">
        <v>68900</v>
      </c>
      <c r="U359" t="s">
        <v>103</v>
      </c>
      <c r="V359" t="s">
        <v>1824</v>
      </c>
      <c r="W359">
        <v>0</v>
      </c>
      <c r="X359" t="s">
        <v>30</v>
      </c>
      <c r="Y359" t="s">
        <v>30</v>
      </c>
      <c r="Z359">
        <v>85500</v>
      </c>
      <c r="AC359" s="4" t="s">
        <v>805</v>
      </c>
      <c r="AD359" s="8">
        <v>1910000</v>
      </c>
      <c r="AE359" s="4" t="s">
        <v>808</v>
      </c>
      <c r="AF359" s="8">
        <v>1910008</v>
      </c>
      <c r="AG359" s="4" t="s">
        <v>810</v>
      </c>
      <c r="AH359" s="8">
        <v>1910008</v>
      </c>
    </row>
    <row r="360" spans="1:34" x14ac:dyDescent="0.25">
      <c r="A360" s="176" t="s">
        <v>1545</v>
      </c>
      <c r="B360" t="s">
        <v>25</v>
      </c>
      <c r="C360" t="s">
        <v>26</v>
      </c>
      <c r="D360" t="s">
        <v>738</v>
      </c>
      <c r="E360" t="s">
        <v>739</v>
      </c>
      <c r="F360" t="s">
        <v>740</v>
      </c>
      <c r="G360" t="s">
        <v>741</v>
      </c>
      <c r="H360" t="s">
        <v>59</v>
      </c>
      <c r="I360" t="s">
        <v>86</v>
      </c>
      <c r="J360" t="s">
        <v>742</v>
      </c>
      <c r="K360">
        <v>44262.22</v>
      </c>
      <c r="L360" s="166">
        <v>1418.0870633711606</v>
      </c>
      <c r="M360">
        <v>42844.13</v>
      </c>
      <c r="N360">
        <v>0</v>
      </c>
      <c r="O360">
        <v>0</v>
      </c>
      <c r="P360">
        <v>0</v>
      </c>
      <c r="Q360" s="166">
        <v>1418.0870633711606</v>
      </c>
      <c r="R360" t="s">
        <v>30</v>
      </c>
      <c r="S360">
        <v>100</v>
      </c>
      <c r="T360">
        <v>67090</v>
      </c>
      <c r="U360" t="s">
        <v>106</v>
      </c>
      <c r="V360" t="s">
        <v>1606</v>
      </c>
      <c r="W360">
        <v>0</v>
      </c>
      <c r="X360" t="s">
        <v>30</v>
      </c>
      <c r="Y360" t="s">
        <v>30</v>
      </c>
      <c r="Z360">
        <v>90600</v>
      </c>
      <c r="AC360" s="4" t="s">
        <v>805</v>
      </c>
      <c r="AD360" s="8">
        <v>1910000</v>
      </c>
      <c r="AE360" s="4" t="s">
        <v>808</v>
      </c>
      <c r="AF360" s="8">
        <v>1910008</v>
      </c>
      <c r="AG360" s="4" t="s">
        <v>810</v>
      </c>
      <c r="AH360" s="8">
        <v>1910008</v>
      </c>
    </row>
    <row r="361" spans="1:34" x14ac:dyDescent="0.25">
      <c r="A361" s="176" t="s">
        <v>1546</v>
      </c>
      <c r="B361" t="s">
        <v>25</v>
      </c>
      <c r="C361" t="s">
        <v>228</v>
      </c>
      <c r="D361" t="s">
        <v>1157</v>
      </c>
      <c r="E361" t="s">
        <v>1158</v>
      </c>
      <c r="F361" t="s">
        <v>1024</v>
      </c>
      <c r="G361" t="s">
        <v>1159</v>
      </c>
      <c r="H361" t="s">
        <v>59</v>
      </c>
      <c r="I361" t="s">
        <v>53</v>
      </c>
      <c r="J361" t="s">
        <v>1160</v>
      </c>
      <c r="K361">
        <v>187115.92</v>
      </c>
      <c r="L361" s="166">
        <v>5994.8792785990645</v>
      </c>
      <c r="M361">
        <v>181121.04</v>
      </c>
      <c r="N361">
        <v>0</v>
      </c>
      <c r="O361">
        <v>0</v>
      </c>
      <c r="P361">
        <v>0</v>
      </c>
      <c r="Q361" s="166">
        <v>5994.8792785990645</v>
      </c>
      <c r="R361" t="s">
        <v>30</v>
      </c>
      <c r="S361">
        <v>100</v>
      </c>
      <c r="T361">
        <v>256000</v>
      </c>
      <c r="U361" t="s">
        <v>120</v>
      </c>
      <c r="V361" t="s">
        <v>1825</v>
      </c>
      <c r="W361">
        <v>0</v>
      </c>
      <c r="X361" t="s">
        <v>30</v>
      </c>
      <c r="Y361" t="s">
        <v>30</v>
      </c>
      <c r="Z361">
        <v>324500</v>
      </c>
      <c r="AC361" s="4" t="s">
        <v>805</v>
      </c>
      <c r="AD361" s="8">
        <v>1910000</v>
      </c>
      <c r="AE361" s="4" t="s">
        <v>808</v>
      </c>
      <c r="AF361" s="8">
        <v>1910008</v>
      </c>
      <c r="AG361" s="4" t="s">
        <v>810</v>
      </c>
      <c r="AH361" s="8">
        <v>1910008</v>
      </c>
    </row>
    <row r="362" spans="1:34" x14ac:dyDescent="0.25">
      <c r="A362" s="176" t="s">
        <v>1547</v>
      </c>
      <c r="B362" t="s">
        <v>25</v>
      </c>
      <c r="C362" t="s">
        <v>278</v>
      </c>
      <c r="D362" t="s">
        <v>745</v>
      </c>
      <c r="E362" t="s">
        <v>746</v>
      </c>
      <c r="F362" t="s">
        <v>30</v>
      </c>
      <c r="G362" t="s">
        <v>30</v>
      </c>
      <c r="H362" t="s">
        <v>59</v>
      </c>
      <c r="I362" t="s">
        <v>86</v>
      </c>
      <c r="J362" t="s">
        <v>747</v>
      </c>
      <c r="K362">
        <v>141372.85999999999</v>
      </c>
      <c r="L362" s="166">
        <v>132546.10709230581</v>
      </c>
      <c r="M362">
        <v>8826.75</v>
      </c>
      <c r="N362">
        <v>0</v>
      </c>
      <c r="O362">
        <v>0</v>
      </c>
      <c r="P362">
        <v>41772.859999999986</v>
      </c>
      <c r="Q362" s="166">
        <v>90773.247092305814</v>
      </c>
      <c r="R362" t="s">
        <v>30</v>
      </c>
      <c r="S362">
        <v>100</v>
      </c>
      <c r="T362">
        <v>99600</v>
      </c>
      <c r="U362" t="s">
        <v>78</v>
      </c>
      <c r="V362" t="s">
        <v>1823</v>
      </c>
      <c r="W362">
        <v>0</v>
      </c>
      <c r="X362" t="s">
        <v>30</v>
      </c>
      <c r="Y362" t="s">
        <v>30</v>
      </c>
      <c r="Z362">
        <v>117300</v>
      </c>
      <c r="AC362" s="4" t="s">
        <v>805</v>
      </c>
      <c r="AD362" s="8">
        <v>1910000</v>
      </c>
      <c r="AE362" s="4" t="s">
        <v>808</v>
      </c>
      <c r="AF362" s="8">
        <v>1910008</v>
      </c>
      <c r="AG362" s="4" t="s">
        <v>810</v>
      </c>
      <c r="AH362" s="8">
        <v>1910008</v>
      </c>
    </row>
    <row r="363" spans="1:34" x14ac:dyDescent="0.25">
      <c r="A363" s="176" t="s">
        <v>1548</v>
      </c>
      <c r="B363" t="s">
        <v>25</v>
      </c>
      <c r="C363" t="s">
        <v>278</v>
      </c>
      <c r="D363" t="s">
        <v>748</v>
      </c>
      <c r="E363" t="s">
        <v>746</v>
      </c>
      <c r="F363" t="s">
        <v>30</v>
      </c>
      <c r="G363" t="s">
        <v>30</v>
      </c>
      <c r="H363" t="s">
        <v>59</v>
      </c>
      <c r="I363" t="s">
        <v>86</v>
      </c>
      <c r="J363" t="s">
        <v>747</v>
      </c>
      <c r="K363">
        <v>141372.85999999999</v>
      </c>
      <c r="L363" s="166">
        <v>132251.89709230579</v>
      </c>
      <c r="M363">
        <v>9120.9599999999991</v>
      </c>
      <c r="N363">
        <v>0</v>
      </c>
      <c r="O363">
        <v>0</v>
      </c>
      <c r="P363">
        <v>41472.859999999986</v>
      </c>
      <c r="Q363" s="166">
        <v>90779.037092305822</v>
      </c>
      <c r="R363" t="s">
        <v>30</v>
      </c>
      <c r="S363">
        <v>100</v>
      </c>
      <c r="T363">
        <v>99900</v>
      </c>
      <c r="U363" t="s">
        <v>78</v>
      </c>
      <c r="V363" t="s">
        <v>1823</v>
      </c>
      <c r="W363">
        <v>0</v>
      </c>
      <c r="X363" t="s">
        <v>30</v>
      </c>
      <c r="Y363" t="s">
        <v>30</v>
      </c>
      <c r="Z363">
        <v>117600</v>
      </c>
      <c r="AC363" s="4" t="s">
        <v>805</v>
      </c>
      <c r="AD363" s="8">
        <v>1910000</v>
      </c>
      <c r="AE363" s="4" t="s">
        <v>808</v>
      </c>
      <c r="AF363" s="8">
        <v>1910008</v>
      </c>
      <c r="AG363" s="4" t="s">
        <v>810</v>
      </c>
      <c r="AH363" s="8">
        <v>1910008</v>
      </c>
    </row>
    <row r="364" spans="1:34" x14ac:dyDescent="0.25">
      <c r="A364" s="176" t="s">
        <v>1549</v>
      </c>
      <c r="B364" t="s">
        <v>25</v>
      </c>
      <c r="C364" t="s">
        <v>228</v>
      </c>
      <c r="D364" t="s">
        <v>749</v>
      </c>
      <c r="E364" t="s">
        <v>750</v>
      </c>
      <c r="F364" t="s">
        <v>751</v>
      </c>
      <c r="G364" t="s">
        <v>752</v>
      </c>
      <c r="H364" t="s">
        <v>59</v>
      </c>
      <c r="I364" t="s">
        <v>86</v>
      </c>
      <c r="J364" t="s">
        <v>753</v>
      </c>
      <c r="K364">
        <v>102071.41</v>
      </c>
      <c r="L364" s="166">
        <v>31166.800000000003</v>
      </c>
      <c r="M364">
        <v>70904.61</v>
      </c>
      <c r="N364">
        <v>0</v>
      </c>
      <c r="O364">
        <v>0</v>
      </c>
      <c r="P364">
        <v>29771.410000000003</v>
      </c>
      <c r="Q364" s="166">
        <v>1395.39</v>
      </c>
      <c r="R364" t="s">
        <v>30</v>
      </c>
      <c r="S364">
        <v>100</v>
      </c>
      <c r="T364">
        <v>72300</v>
      </c>
      <c r="U364" t="s">
        <v>113</v>
      </c>
      <c r="V364" t="s">
        <v>1826</v>
      </c>
      <c r="W364">
        <v>0</v>
      </c>
      <c r="X364" t="s">
        <v>30</v>
      </c>
      <c r="Y364" t="s">
        <v>30</v>
      </c>
      <c r="Z364">
        <v>92000</v>
      </c>
      <c r="AC364" s="4" t="s">
        <v>805</v>
      </c>
      <c r="AD364" s="8">
        <v>1910000</v>
      </c>
      <c r="AE364" s="4" t="s">
        <v>808</v>
      </c>
      <c r="AF364" s="8">
        <v>1910008</v>
      </c>
      <c r="AG364" s="4" t="s">
        <v>810</v>
      </c>
      <c r="AH364" s="8">
        <v>1910008</v>
      </c>
    </row>
    <row r="365" spans="1:34" x14ac:dyDescent="0.25">
      <c r="A365" s="176" t="s">
        <v>1550</v>
      </c>
      <c r="B365" t="s">
        <v>25</v>
      </c>
      <c r="C365" t="s">
        <v>228</v>
      </c>
      <c r="D365" t="s">
        <v>754</v>
      </c>
      <c r="E365" t="s">
        <v>755</v>
      </c>
      <c r="F365" t="s">
        <v>756</v>
      </c>
      <c r="G365" t="s">
        <v>757</v>
      </c>
      <c r="H365" t="s">
        <v>37</v>
      </c>
      <c r="I365" t="s">
        <v>53</v>
      </c>
      <c r="J365" t="s">
        <v>758</v>
      </c>
      <c r="K365">
        <v>446400</v>
      </c>
      <c r="L365" s="166">
        <v>8615.52</v>
      </c>
      <c r="M365">
        <v>437784.48</v>
      </c>
      <c r="N365">
        <v>49800</v>
      </c>
      <c r="O365" s="8">
        <v>498000</v>
      </c>
      <c r="P365">
        <v>0</v>
      </c>
      <c r="Q365" s="166">
        <v>8615.52</v>
      </c>
      <c r="R365" s="174" t="s">
        <v>1142</v>
      </c>
      <c r="S365">
        <v>100</v>
      </c>
      <c r="T365">
        <v>446400</v>
      </c>
      <c r="U365" t="s">
        <v>759</v>
      </c>
      <c r="V365" t="s">
        <v>760</v>
      </c>
      <c r="W365">
        <v>0</v>
      </c>
      <c r="X365" t="s">
        <v>30</v>
      </c>
      <c r="Y365" t="s">
        <v>30</v>
      </c>
      <c r="Z365">
        <v>498000</v>
      </c>
      <c r="AC365" s="4" t="s">
        <v>805</v>
      </c>
      <c r="AD365" s="8">
        <v>1910000</v>
      </c>
      <c r="AE365" s="4" t="s">
        <v>808</v>
      </c>
      <c r="AF365" s="8">
        <v>1910008</v>
      </c>
      <c r="AG365" s="4" t="s">
        <v>810</v>
      </c>
      <c r="AH365" s="8">
        <v>1910008</v>
      </c>
    </row>
    <row r="366" spans="1:34" x14ac:dyDescent="0.25">
      <c r="A366" s="176" t="s">
        <v>1551</v>
      </c>
      <c r="B366" t="s">
        <v>25</v>
      </c>
      <c r="C366" t="s">
        <v>228</v>
      </c>
      <c r="D366" t="s">
        <v>762</v>
      </c>
      <c r="E366" t="s">
        <v>763</v>
      </c>
      <c r="F366" t="s">
        <v>764</v>
      </c>
      <c r="G366" t="s">
        <v>765</v>
      </c>
      <c r="H366" t="s">
        <v>37</v>
      </c>
      <c r="I366" t="s">
        <v>53</v>
      </c>
      <c r="J366" t="s">
        <v>766</v>
      </c>
      <c r="K366">
        <v>46790.03</v>
      </c>
      <c r="L366" s="166">
        <v>9788.8858759999985</v>
      </c>
      <c r="M366">
        <v>37001.14</v>
      </c>
      <c r="N366">
        <v>3772.93</v>
      </c>
      <c r="O366" s="8">
        <v>37729.32</v>
      </c>
      <c r="P366">
        <v>9060.7099999999991</v>
      </c>
      <c r="Q366" s="166">
        <v>728.17587600000002</v>
      </c>
      <c r="R366" s="174" t="s">
        <v>1142</v>
      </c>
      <c r="S366">
        <v>100</v>
      </c>
      <c r="T366">
        <v>51850</v>
      </c>
      <c r="U366" t="s">
        <v>55</v>
      </c>
      <c r="V366" t="s">
        <v>645</v>
      </c>
      <c r="W366">
        <v>0</v>
      </c>
      <c r="X366" t="s">
        <v>30</v>
      </c>
      <c r="Y366" t="s">
        <v>30</v>
      </c>
      <c r="Z366">
        <v>61000</v>
      </c>
      <c r="AC366" s="4" t="s">
        <v>805</v>
      </c>
      <c r="AD366" s="8">
        <v>1910000</v>
      </c>
      <c r="AE366" s="4" t="s">
        <v>808</v>
      </c>
      <c r="AF366" s="8">
        <v>1910008</v>
      </c>
      <c r="AG366" s="4" t="s">
        <v>810</v>
      </c>
      <c r="AH366" s="8">
        <v>1910008</v>
      </c>
    </row>
    <row r="367" spans="1:34" x14ac:dyDescent="0.25">
      <c r="A367" s="176" t="s">
        <v>1552</v>
      </c>
      <c r="B367" t="s">
        <v>25</v>
      </c>
      <c r="C367" t="s">
        <v>664</v>
      </c>
      <c r="D367" t="s">
        <v>767</v>
      </c>
      <c r="E367" t="s">
        <v>768</v>
      </c>
      <c r="F367" t="s">
        <v>769</v>
      </c>
      <c r="G367" t="s">
        <v>30</v>
      </c>
      <c r="H367" t="s">
        <v>37</v>
      </c>
      <c r="I367" t="s">
        <v>66</v>
      </c>
      <c r="J367" t="s">
        <v>770</v>
      </c>
      <c r="K367">
        <v>40789.5</v>
      </c>
      <c r="L367" s="166">
        <v>18545.115494999998</v>
      </c>
      <c r="M367">
        <v>22244.38</v>
      </c>
      <c r="N367">
        <v>2268.2199999999998</v>
      </c>
      <c r="O367" s="8">
        <v>22682.15</v>
      </c>
      <c r="P367">
        <v>18107.349999999999</v>
      </c>
      <c r="Q367" s="166">
        <v>437.76549500000004</v>
      </c>
      <c r="R367" s="174" t="s">
        <v>1142</v>
      </c>
      <c r="S367">
        <v>100</v>
      </c>
      <c r="T367">
        <v>25400</v>
      </c>
      <c r="U367" t="s">
        <v>120</v>
      </c>
      <c r="V367" t="s">
        <v>771</v>
      </c>
      <c r="W367">
        <v>0</v>
      </c>
      <c r="X367" t="s">
        <v>30</v>
      </c>
      <c r="Y367" t="s">
        <v>30</v>
      </c>
      <c r="Z367">
        <v>34100</v>
      </c>
      <c r="AC367" s="4" t="s">
        <v>805</v>
      </c>
      <c r="AD367" s="8">
        <v>1910000</v>
      </c>
      <c r="AE367" s="4" t="s">
        <v>808</v>
      </c>
      <c r="AF367" s="8">
        <v>1910008</v>
      </c>
      <c r="AG367" s="4" t="s">
        <v>810</v>
      </c>
      <c r="AH367" s="8">
        <v>1910008</v>
      </c>
    </row>
    <row r="368" spans="1:34" x14ac:dyDescent="0.25">
      <c r="A368" s="176" t="s">
        <v>1645</v>
      </c>
      <c r="B368" t="s">
        <v>25</v>
      </c>
      <c r="C368" t="s">
        <v>26</v>
      </c>
      <c r="D368" t="s">
        <v>1592</v>
      </c>
      <c r="E368" t="s">
        <v>1593</v>
      </c>
      <c r="F368" t="s">
        <v>984</v>
      </c>
      <c r="G368" t="s">
        <v>1594</v>
      </c>
      <c r="H368" t="s">
        <v>37</v>
      </c>
      <c r="I368" t="s">
        <v>91</v>
      </c>
      <c r="J368" t="s">
        <v>639</v>
      </c>
      <c r="K368">
        <v>51437.760000000002</v>
      </c>
      <c r="L368" s="166">
        <v>992.74876800000015</v>
      </c>
      <c r="M368">
        <v>50445.01</v>
      </c>
      <c r="N368">
        <v>8028.3</v>
      </c>
      <c r="O368">
        <v>160566</v>
      </c>
      <c r="P368">
        <v>0</v>
      </c>
      <c r="Q368" s="166">
        <v>992.74876800000015</v>
      </c>
      <c r="R368" t="s">
        <v>1807</v>
      </c>
      <c r="S368">
        <v>100</v>
      </c>
      <c r="T368">
        <v>124100</v>
      </c>
      <c r="U368" t="s">
        <v>55</v>
      </c>
      <c r="V368" t="s">
        <v>1643</v>
      </c>
      <c r="W368">
        <v>0</v>
      </c>
      <c r="X368" t="s">
        <v>30</v>
      </c>
      <c r="Y368" t="s">
        <v>30</v>
      </c>
      <c r="Z368">
        <v>146000</v>
      </c>
      <c r="AC368" s="4" t="s">
        <v>805</v>
      </c>
      <c r="AD368" s="8">
        <v>1910000</v>
      </c>
      <c r="AE368" s="4" t="s">
        <v>808</v>
      </c>
      <c r="AF368" s="8">
        <v>1910008</v>
      </c>
      <c r="AG368" s="4" t="s">
        <v>810</v>
      </c>
      <c r="AH368" s="8">
        <v>1910008</v>
      </c>
    </row>
    <row r="369" spans="1:34" x14ac:dyDescent="0.25">
      <c r="A369" s="176" t="s">
        <v>1553</v>
      </c>
      <c r="B369" t="s">
        <v>25</v>
      </c>
      <c r="C369" t="s">
        <v>26</v>
      </c>
      <c r="D369" t="s">
        <v>773</v>
      </c>
      <c r="E369" t="s">
        <v>774</v>
      </c>
      <c r="F369" t="s">
        <v>775</v>
      </c>
      <c r="G369" t="s">
        <v>776</v>
      </c>
      <c r="H369" t="s">
        <v>31</v>
      </c>
      <c r="I369" t="s">
        <v>86</v>
      </c>
      <c r="J369" t="s">
        <v>777</v>
      </c>
      <c r="K369">
        <v>51666.87</v>
      </c>
      <c r="L369" s="166">
        <v>20676.750000000004</v>
      </c>
      <c r="M369">
        <v>30990.12</v>
      </c>
      <c r="N369">
        <v>0</v>
      </c>
      <c r="O369">
        <v>0</v>
      </c>
      <c r="P369">
        <v>20066.870000000003</v>
      </c>
      <c r="Q369" s="166">
        <v>609.88</v>
      </c>
      <c r="R369" t="s">
        <v>30</v>
      </c>
      <c r="S369">
        <v>100</v>
      </c>
      <c r="T369">
        <v>31600</v>
      </c>
      <c r="U369" t="s">
        <v>120</v>
      </c>
      <c r="V369" t="s">
        <v>1811</v>
      </c>
      <c r="W369">
        <v>0</v>
      </c>
      <c r="X369" t="s">
        <v>30</v>
      </c>
      <c r="Y369" t="s">
        <v>30</v>
      </c>
      <c r="Z369">
        <v>40000</v>
      </c>
      <c r="AC369" s="4" t="s">
        <v>803</v>
      </c>
      <c r="AD369" s="8">
        <v>19910000</v>
      </c>
      <c r="AE369" s="4" t="s">
        <v>806</v>
      </c>
      <c r="AF369" s="8">
        <v>19910001</v>
      </c>
      <c r="AG369" s="4" t="s">
        <v>809</v>
      </c>
      <c r="AH369" s="8">
        <v>19910001</v>
      </c>
    </row>
    <row r="370" spans="1:34" x14ac:dyDescent="0.25">
      <c r="A370" s="176" t="s">
        <v>1554</v>
      </c>
      <c r="B370" t="s">
        <v>25</v>
      </c>
      <c r="C370" t="s">
        <v>26</v>
      </c>
      <c r="D370" t="s">
        <v>1090</v>
      </c>
      <c r="E370" t="s">
        <v>1091</v>
      </c>
      <c r="F370" t="s">
        <v>1092</v>
      </c>
      <c r="G370" t="s">
        <v>1093</v>
      </c>
      <c r="H370" t="s">
        <v>59</v>
      </c>
      <c r="I370" t="s">
        <v>53</v>
      </c>
      <c r="J370" t="s">
        <v>1094</v>
      </c>
      <c r="K370">
        <v>85807.57</v>
      </c>
      <c r="L370" s="166">
        <v>2749.1301827227671</v>
      </c>
      <c r="M370">
        <v>83058.44</v>
      </c>
      <c r="N370">
        <v>0</v>
      </c>
      <c r="O370">
        <v>0</v>
      </c>
      <c r="P370">
        <v>0</v>
      </c>
      <c r="Q370" s="166">
        <v>2749.1301827227671</v>
      </c>
      <c r="R370" t="s">
        <v>30</v>
      </c>
      <c r="S370">
        <v>100</v>
      </c>
      <c r="T370">
        <v>149400</v>
      </c>
      <c r="U370" t="s">
        <v>122</v>
      </c>
      <c r="V370" t="s">
        <v>1827</v>
      </c>
      <c r="W370">
        <v>0</v>
      </c>
      <c r="X370" t="s">
        <v>30</v>
      </c>
      <c r="Y370" t="s">
        <v>30</v>
      </c>
      <c r="Z370">
        <v>174400</v>
      </c>
      <c r="AC370" s="4" t="s">
        <v>805</v>
      </c>
      <c r="AD370" s="8">
        <v>1910000</v>
      </c>
      <c r="AE370" s="4" t="s">
        <v>808</v>
      </c>
      <c r="AF370" s="8">
        <v>1910008</v>
      </c>
      <c r="AG370" s="4" t="s">
        <v>810</v>
      </c>
      <c r="AH370" s="8">
        <v>1910008</v>
      </c>
    </row>
    <row r="371" spans="1:34" x14ac:dyDescent="0.25">
      <c r="A371" s="176" t="s">
        <v>1555</v>
      </c>
      <c r="B371" t="s">
        <v>25</v>
      </c>
      <c r="C371" t="s">
        <v>228</v>
      </c>
      <c r="D371" t="s">
        <v>778</v>
      </c>
      <c r="E371" t="s">
        <v>779</v>
      </c>
      <c r="F371" t="s">
        <v>780</v>
      </c>
      <c r="G371" t="s">
        <v>781</v>
      </c>
      <c r="H371" t="s">
        <v>37</v>
      </c>
      <c r="I371" t="s">
        <v>53</v>
      </c>
      <c r="J371" t="s">
        <v>772</v>
      </c>
      <c r="K371">
        <v>131200</v>
      </c>
      <c r="L371" s="166">
        <v>66948.939342999991</v>
      </c>
      <c r="M371">
        <v>64251.06</v>
      </c>
      <c r="N371">
        <v>6551.55</v>
      </c>
      <c r="O371" s="8">
        <v>65515.51</v>
      </c>
      <c r="P371">
        <v>65684.489999999991</v>
      </c>
      <c r="Q371" s="166">
        <v>1264.4493430000002</v>
      </c>
      <c r="R371" s="174" t="s">
        <v>1142</v>
      </c>
      <c r="S371">
        <v>100</v>
      </c>
      <c r="T371">
        <v>92000</v>
      </c>
      <c r="U371" t="s">
        <v>275</v>
      </c>
      <c r="V371" t="s">
        <v>782</v>
      </c>
      <c r="W371">
        <v>0</v>
      </c>
      <c r="X371" t="s">
        <v>30</v>
      </c>
      <c r="Y371" t="s">
        <v>30</v>
      </c>
      <c r="Z371">
        <v>109000</v>
      </c>
      <c r="AC371" s="4" t="s">
        <v>805</v>
      </c>
      <c r="AD371" s="8">
        <v>1910000</v>
      </c>
      <c r="AE371" s="4" t="s">
        <v>808</v>
      </c>
      <c r="AF371" s="8">
        <v>1910008</v>
      </c>
      <c r="AG371" s="4" t="s">
        <v>810</v>
      </c>
      <c r="AH371" s="8">
        <v>1910008</v>
      </c>
    </row>
    <row r="372" spans="1:34" x14ac:dyDescent="0.25">
      <c r="A372" s="176" t="s">
        <v>1556</v>
      </c>
      <c r="B372" t="s">
        <v>25</v>
      </c>
      <c r="C372" t="s">
        <v>228</v>
      </c>
      <c r="D372" t="s">
        <v>783</v>
      </c>
      <c r="E372" t="s">
        <v>784</v>
      </c>
      <c r="F372" t="s">
        <v>785</v>
      </c>
      <c r="G372" t="s">
        <v>786</v>
      </c>
      <c r="H372" t="s">
        <v>59</v>
      </c>
      <c r="I372" t="s">
        <v>71</v>
      </c>
      <c r="J372" t="s">
        <v>558</v>
      </c>
      <c r="K372">
        <v>312516.42</v>
      </c>
      <c r="L372" s="166">
        <v>10012.500328566173</v>
      </c>
      <c r="M372">
        <v>302503.92</v>
      </c>
      <c r="N372">
        <v>0</v>
      </c>
      <c r="O372">
        <v>0</v>
      </c>
      <c r="P372">
        <v>0</v>
      </c>
      <c r="Q372" s="166">
        <v>10012.500328566173</v>
      </c>
      <c r="R372" t="s">
        <v>30</v>
      </c>
      <c r="S372">
        <v>100</v>
      </c>
      <c r="T372">
        <v>1036150</v>
      </c>
      <c r="U372" t="s">
        <v>55</v>
      </c>
      <c r="V372" t="s">
        <v>1828</v>
      </c>
      <c r="W372">
        <v>0</v>
      </c>
      <c r="X372" t="s">
        <v>30</v>
      </c>
      <c r="Y372" t="s">
        <v>30</v>
      </c>
      <c r="Z372">
        <v>1219000</v>
      </c>
      <c r="AC372" s="4" t="s">
        <v>805</v>
      </c>
      <c r="AD372" s="8">
        <v>1910000</v>
      </c>
      <c r="AE372" s="4" t="s">
        <v>808</v>
      </c>
      <c r="AF372" s="8">
        <v>1910008</v>
      </c>
      <c r="AG372" s="4" t="s">
        <v>810</v>
      </c>
      <c r="AH372" s="8">
        <v>1910008</v>
      </c>
    </row>
    <row r="373" spans="1:34" x14ac:dyDescent="0.25">
      <c r="A373" s="176" t="s">
        <v>1557</v>
      </c>
      <c r="B373" t="s">
        <v>25</v>
      </c>
      <c r="C373" t="s">
        <v>228</v>
      </c>
      <c r="D373" t="s">
        <v>787</v>
      </c>
      <c r="E373" t="s">
        <v>788</v>
      </c>
      <c r="F373" t="s">
        <v>789</v>
      </c>
      <c r="G373" t="s">
        <v>790</v>
      </c>
      <c r="H373" t="s">
        <v>31</v>
      </c>
      <c r="I373" t="s">
        <v>53</v>
      </c>
      <c r="J373" t="s">
        <v>791</v>
      </c>
      <c r="K373">
        <v>76226.98</v>
      </c>
      <c r="L373" s="166">
        <v>2442.1841972194843</v>
      </c>
      <c r="M373">
        <v>73784.800000000003</v>
      </c>
      <c r="N373">
        <v>0</v>
      </c>
      <c r="O373">
        <v>0</v>
      </c>
      <c r="P373">
        <v>0</v>
      </c>
      <c r="Q373" s="166">
        <v>2442.1841972194843</v>
      </c>
      <c r="R373" t="s">
        <v>30</v>
      </c>
      <c r="S373">
        <v>100</v>
      </c>
      <c r="T373">
        <v>92650</v>
      </c>
      <c r="U373" t="s">
        <v>55</v>
      </c>
      <c r="V373" t="s">
        <v>1823</v>
      </c>
      <c r="W373">
        <v>0</v>
      </c>
      <c r="X373" t="s">
        <v>30</v>
      </c>
      <c r="Y373" t="s">
        <v>30</v>
      </c>
      <c r="Z373">
        <v>109000</v>
      </c>
      <c r="AC373" s="4" t="s">
        <v>803</v>
      </c>
      <c r="AD373" s="8">
        <v>19910000</v>
      </c>
      <c r="AE373" s="4" t="s">
        <v>806</v>
      </c>
      <c r="AF373" s="8">
        <v>19910001</v>
      </c>
      <c r="AG373" s="4" t="s">
        <v>809</v>
      </c>
      <c r="AH373" s="8">
        <v>19910001</v>
      </c>
    </row>
    <row r="374" spans="1:34" x14ac:dyDescent="0.25">
      <c r="A374" s="176" t="s">
        <v>1646</v>
      </c>
      <c r="B374" t="s">
        <v>25</v>
      </c>
      <c r="C374" t="s">
        <v>26</v>
      </c>
      <c r="D374" t="s">
        <v>1595</v>
      </c>
      <c r="E374" t="s">
        <v>1596</v>
      </c>
      <c r="F374" t="s">
        <v>1014</v>
      </c>
      <c r="G374" t="s">
        <v>1597</v>
      </c>
      <c r="H374" t="s">
        <v>37</v>
      </c>
      <c r="I374" t="s">
        <v>91</v>
      </c>
      <c r="J374" t="s">
        <v>1598</v>
      </c>
      <c r="K374">
        <v>13035.71</v>
      </c>
      <c r="L374" s="166">
        <v>251.589203</v>
      </c>
      <c r="M374">
        <v>12784.12</v>
      </c>
      <c r="N374">
        <v>1500</v>
      </c>
      <c r="O374">
        <v>42000</v>
      </c>
      <c r="P374">
        <v>0</v>
      </c>
      <c r="Q374" s="166">
        <v>251.589203</v>
      </c>
      <c r="R374" t="s">
        <v>1807</v>
      </c>
      <c r="S374">
        <v>50</v>
      </c>
      <c r="T374">
        <v>42185</v>
      </c>
      <c r="U374" t="s">
        <v>107</v>
      </c>
      <c r="V374" t="s">
        <v>1829</v>
      </c>
      <c r="W374">
        <v>0</v>
      </c>
      <c r="X374" t="s">
        <v>30</v>
      </c>
      <c r="Y374" t="s">
        <v>30</v>
      </c>
      <c r="Z374">
        <v>49500</v>
      </c>
      <c r="AC374" s="4" t="s">
        <v>805</v>
      </c>
      <c r="AD374" s="8">
        <v>1910000</v>
      </c>
      <c r="AE374" s="4" t="s">
        <v>808</v>
      </c>
      <c r="AF374" s="8">
        <v>1910008</v>
      </c>
      <c r="AG374" s="4" t="s">
        <v>810</v>
      </c>
      <c r="AH374" s="8">
        <v>1910008</v>
      </c>
    </row>
    <row r="375" spans="1:34" x14ac:dyDescent="0.25">
      <c r="A375" s="176" t="s">
        <v>1558</v>
      </c>
      <c r="B375" t="s">
        <v>25</v>
      </c>
      <c r="C375" t="s">
        <v>26</v>
      </c>
      <c r="D375" t="s">
        <v>792</v>
      </c>
      <c r="E375" t="s">
        <v>793</v>
      </c>
      <c r="F375" t="s">
        <v>794</v>
      </c>
      <c r="G375" t="s">
        <v>795</v>
      </c>
      <c r="H375" t="s">
        <v>37</v>
      </c>
      <c r="I375" t="s">
        <v>86</v>
      </c>
      <c r="J375" t="s">
        <v>796</v>
      </c>
      <c r="K375">
        <v>46953.15</v>
      </c>
      <c r="L375" s="166">
        <v>906.19579500000009</v>
      </c>
      <c r="M375">
        <v>46046.95</v>
      </c>
      <c r="N375">
        <v>3500</v>
      </c>
      <c r="O375">
        <v>65000</v>
      </c>
      <c r="P375">
        <v>0</v>
      </c>
      <c r="Q375" s="166">
        <v>906.19579500000009</v>
      </c>
      <c r="R375" t="s">
        <v>1830</v>
      </c>
      <c r="S375">
        <v>100</v>
      </c>
      <c r="T375">
        <v>56950</v>
      </c>
      <c r="U375" t="s">
        <v>62</v>
      </c>
      <c r="V375" t="s">
        <v>1829</v>
      </c>
      <c r="W375">
        <v>0</v>
      </c>
      <c r="X375" t="s">
        <v>30</v>
      </c>
      <c r="Y375" t="s">
        <v>30</v>
      </c>
      <c r="Z375">
        <v>67000</v>
      </c>
      <c r="AC375" s="4" t="s">
        <v>805</v>
      </c>
      <c r="AD375" s="8">
        <v>1910000</v>
      </c>
      <c r="AE375" s="4" t="s">
        <v>808</v>
      </c>
      <c r="AF375" s="8">
        <v>1910008</v>
      </c>
      <c r="AG375" s="4" t="s">
        <v>810</v>
      </c>
      <c r="AH375" s="8">
        <v>1910008</v>
      </c>
    </row>
    <row r="376" spans="1:34" x14ac:dyDescent="0.25">
      <c r="A376" s="176" t="s">
        <v>1559</v>
      </c>
      <c r="B376" t="s">
        <v>25</v>
      </c>
      <c r="C376" t="s">
        <v>26</v>
      </c>
      <c r="D376" t="s">
        <v>1095</v>
      </c>
      <c r="E376" t="s">
        <v>1096</v>
      </c>
      <c r="F376" t="s">
        <v>1097</v>
      </c>
      <c r="G376" t="s">
        <v>1098</v>
      </c>
      <c r="H376" t="s">
        <v>59</v>
      </c>
      <c r="I376" t="s">
        <v>32</v>
      </c>
      <c r="J376" t="s">
        <v>782</v>
      </c>
      <c r="K376">
        <v>10464.879999999999</v>
      </c>
      <c r="L376" s="166">
        <v>335.27714940035975</v>
      </c>
      <c r="M376">
        <v>10129.6</v>
      </c>
      <c r="N376">
        <v>0</v>
      </c>
      <c r="O376">
        <v>0</v>
      </c>
      <c r="P376">
        <v>0</v>
      </c>
      <c r="Q376" s="166">
        <v>335.27714940035975</v>
      </c>
      <c r="R376" t="s">
        <v>30</v>
      </c>
      <c r="S376">
        <v>100</v>
      </c>
      <c r="T376">
        <v>26100</v>
      </c>
      <c r="U376" t="s">
        <v>191</v>
      </c>
      <c r="V376" t="s">
        <v>761</v>
      </c>
      <c r="W376">
        <v>0</v>
      </c>
      <c r="X376" t="s">
        <v>30</v>
      </c>
      <c r="Y376" t="s">
        <v>30</v>
      </c>
      <c r="Z376">
        <v>30900</v>
      </c>
      <c r="AC376" s="4" t="s">
        <v>805</v>
      </c>
      <c r="AD376" s="8">
        <v>1910000</v>
      </c>
      <c r="AE376" s="4" t="s">
        <v>808</v>
      </c>
      <c r="AF376" s="8">
        <v>1910008</v>
      </c>
      <c r="AG376" s="4" t="s">
        <v>810</v>
      </c>
      <c r="AH376" s="8">
        <v>1910008</v>
      </c>
    </row>
    <row r="377" spans="1:34" x14ac:dyDescent="0.25">
      <c r="A377" s="176" t="s">
        <v>1560</v>
      </c>
      <c r="B377" t="s">
        <v>25</v>
      </c>
      <c r="C377" t="s">
        <v>26</v>
      </c>
      <c r="D377" t="s">
        <v>797</v>
      </c>
      <c r="E377" t="s">
        <v>798</v>
      </c>
      <c r="F377" t="s">
        <v>799</v>
      </c>
      <c r="G377" t="s">
        <v>800</v>
      </c>
      <c r="H377" t="s">
        <v>31</v>
      </c>
      <c r="I377" t="s">
        <v>91</v>
      </c>
      <c r="J377" t="s">
        <v>293</v>
      </c>
      <c r="K377">
        <v>10616.28</v>
      </c>
      <c r="L377" s="166">
        <v>340.12775068954937</v>
      </c>
      <c r="M377">
        <v>10276.15</v>
      </c>
      <c r="N377">
        <v>0</v>
      </c>
      <c r="O377">
        <v>0</v>
      </c>
      <c r="P377">
        <v>0</v>
      </c>
      <c r="Q377" s="166">
        <v>340.12775068954937</v>
      </c>
      <c r="R377" t="s">
        <v>30</v>
      </c>
      <c r="S377">
        <v>50</v>
      </c>
      <c r="T377">
        <v>40275</v>
      </c>
      <c r="U377" t="s">
        <v>107</v>
      </c>
      <c r="V377" t="s">
        <v>1831</v>
      </c>
      <c r="W377">
        <v>0</v>
      </c>
      <c r="X377" t="s">
        <v>30</v>
      </c>
      <c r="Y377" t="s">
        <v>30</v>
      </c>
      <c r="Z377">
        <v>47250</v>
      </c>
      <c r="AC377" s="4" t="s">
        <v>803</v>
      </c>
      <c r="AD377" s="8">
        <v>19910000</v>
      </c>
      <c r="AE377" s="4" t="s">
        <v>806</v>
      </c>
      <c r="AF377" s="8">
        <v>19910001</v>
      </c>
      <c r="AG377" s="4" t="s">
        <v>809</v>
      </c>
      <c r="AH377" s="8">
        <v>19910001</v>
      </c>
    </row>
    <row r="378" spans="1:34" x14ac:dyDescent="0.25">
      <c r="A378" s="176" t="s">
        <v>1561</v>
      </c>
      <c r="B378" t="s">
        <v>25</v>
      </c>
      <c r="C378" t="s">
        <v>664</v>
      </c>
      <c r="D378" t="s">
        <v>1099</v>
      </c>
      <c r="E378" t="s">
        <v>1100</v>
      </c>
      <c r="F378" t="s">
        <v>1101</v>
      </c>
      <c r="G378" t="s">
        <v>1102</v>
      </c>
      <c r="H378" t="s">
        <v>59</v>
      </c>
      <c r="I378" t="s">
        <v>53</v>
      </c>
      <c r="J378" t="s">
        <v>1103</v>
      </c>
      <c r="K378">
        <v>188172.93</v>
      </c>
      <c r="L378" s="166">
        <v>6028.7441007172019</v>
      </c>
      <c r="M378">
        <v>182144.19</v>
      </c>
      <c r="N378">
        <v>0</v>
      </c>
      <c r="O378">
        <v>0</v>
      </c>
      <c r="P378">
        <v>0</v>
      </c>
      <c r="Q378" s="166">
        <v>6028.7441007172019</v>
      </c>
      <c r="R378" t="s">
        <v>30</v>
      </c>
      <c r="S378">
        <v>100</v>
      </c>
      <c r="T378">
        <v>223550</v>
      </c>
      <c r="U378" t="s">
        <v>55</v>
      </c>
      <c r="V378" t="s">
        <v>1832</v>
      </c>
      <c r="W378">
        <v>0</v>
      </c>
      <c r="X378" t="s">
        <v>30</v>
      </c>
      <c r="Y378" t="s">
        <v>30</v>
      </c>
      <c r="Z378">
        <v>263000</v>
      </c>
      <c r="AC378" s="4" t="s">
        <v>805</v>
      </c>
      <c r="AD378" s="8">
        <v>1910000</v>
      </c>
      <c r="AE378" s="4" t="s">
        <v>808</v>
      </c>
      <c r="AF378" s="8">
        <v>1910008</v>
      </c>
      <c r="AG378" s="4" t="s">
        <v>810</v>
      </c>
      <c r="AH378" s="8">
        <v>1910008</v>
      </c>
    </row>
    <row r="379" spans="1:34" x14ac:dyDescent="0.25">
      <c r="A379" s="176" t="s">
        <v>1562</v>
      </c>
      <c r="B379" t="s">
        <v>25</v>
      </c>
      <c r="C379" t="s">
        <v>228</v>
      </c>
      <c r="D379" t="s">
        <v>1104</v>
      </c>
      <c r="E379" t="s">
        <v>1105</v>
      </c>
      <c r="F379" t="s">
        <v>1106</v>
      </c>
      <c r="G379" t="s">
        <v>1107</v>
      </c>
      <c r="H379" t="s">
        <v>31</v>
      </c>
      <c r="I379" t="s">
        <v>53</v>
      </c>
      <c r="J379" t="s">
        <v>744</v>
      </c>
      <c r="K379">
        <v>55370.83</v>
      </c>
      <c r="L379" s="166">
        <v>3589.8700000000017</v>
      </c>
      <c r="M379">
        <v>51780.959999999999</v>
      </c>
      <c r="N379">
        <v>0</v>
      </c>
      <c r="O379">
        <v>0</v>
      </c>
      <c r="P379">
        <v>2570.8300000000017</v>
      </c>
      <c r="Q379" s="166">
        <v>1019.0400000000001</v>
      </c>
      <c r="R379" t="s">
        <v>30</v>
      </c>
      <c r="S379">
        <v>100</v>
      </c>
      <c r="T379">
        <v>52800</v>
      </c>
      <c r="U379" t="s">
        <v>113</v>
      </c>
      <c r="V379" t="s">
        <v>1599</v>
      </c>
      <c r="W379">
        <v>0</v>
      </c>
      <c r="X379" t="s">
        <v>30</v>
      </c>
      <c r="Y379" t="s">
        <v>30</v>
      </c>
      <c r="Z379">
        <v>64000</v>
      </c>
      <c r="AC379" s="4" t="s">
        <v>803</v>
      </c>
      <c r="AD379" s="8">
        <v>19910000</v>
      </c>
      <c r="AE379" s="4" t="s">
        <v>806</v>
      </c>
      <c r="AF379" s="8">
        <v>19910001</v>
      </c>
      <c r="AG379" s="4" t="s">
        <v>809</v>
      </c>
      <c r="AH379" s="8">
        <v>19910001</v>
      </c>
    </row>
    <row r="380" spans="1:34" x14ac:dyDescent="0.25">
      <c r="A380" s="176" t="s">
        <v>1563</v>
      </c>
      <c r="B380" t="s">
        <v>25</v>
      </c>
      <c r="C380" t="s">
        <v>26</v>
      </c>
      <c r="D380" t="s">
        <v>1108</v>
      </c>
      <c r="E380" t="s">
        <v>1109</v>
      </c>
      <c r="F380" t="s">
        <v>1110</v>
      </c>
      <c r="G380" t="s">
        <v>1111</v>
      </c>
      <c r="H380" t="s">
        <v>59</v>
      </c>
      <c r="I380" t="s">
        <v>53</v>
      </c>
      <c r="J380" t="s">
        <v>146</v>
      </c>
      <c r="K380">
        <v>66007.87</v>
      </c>
      <c r="L380" s="166">
        <v>2114.7811051430617</v>
      </c>
      <c r="M380">
        <v>63893.09</v>
      </c>
      <c r="N380">
        <v>0</v>
      </c>
      <c r="O380">
        <v>0</v>
      </c>
      <c r="P380">
        <v>132.86999999999534</v>
      </c>
      <c r="Q380" s="166">
        <v>1981.9111051430664</v>
      </c>
      <c r="R380" t="s">
        <v>30</v>
      </c>
      <c r="S380">
        <v>50</v>
      </c>
      <c r="T380">
        <v>65875</v>
      </c>
      <c r="U380" t="s">
        <v>55</v>
      </c>
      <c r="V380" t="s">
        <v>1805</v>
      </c>
      <c r="W380">
        <v>0</v>
      </c>
      <c r="X380" t="s">
        <v>30</v>
      </c>
      <c r="Y380" t="s">
        <v>30</v>
      </c>
      <c r="Z380">
        <v>77500</v>
      </c>
      <c r="AC380" s="4" t="s">
        <v>805</v>
      </c>
      <c r="AD380" s="8">
        <v>1910000</v>
      </c>
      <c r="AE380" s="4" t="s">
        <v>808</v>
      </c>
      <c r="AF380" s="8">
        <v>1910008</v>
      </c>
      <c r="AG380" s="4" t="s">
        <v>810</v>
      </c>
      <c r="AH380" s="8">
        <v>1910008</v>
      </c>
    </row>
    <row r="381" spans="1:34" x14ac:dyDescent="0.25">
      <c r="A381" s="176" t="s">
        <v>1564</v>
      </c>
      <c r="B381" t="s">
        <v>25</v>
      </c>
      <c r="C381" t="s">
        <v>26</v>
      </c>
      <c r="D381" t="s">
        <v>1108</v>
      </c>
      <c r="E381" t="s">
        <v>1109</v>
      </c>
      <c r="F381" t="s">
        <v>1110</v>
      </c>
      <c r="G381" t="s">
        <v>1111</v>
      </c>
      <c r="H381" t="s">
        <v>59</v>
      </c>
      <c r="I381" t="s">
        <v>53</v>
      </c>
      <c r="J381" t="s">
        <v>269</v>
      </c>
      <c r="K381">
        <v>66007.87</v>
      </c>
      <c r="L381" s="166">
        <v>2114.7811051430617</v>
      </c>
      <c r="M381">
        <v>63893.09</v>
      </c>
      <c r="N381">
        <v>0</v>
      </c>
      <c r="O381">
        <v>0</v>
      </c>
      <c r="P381">
        <v>132.86999999999534</v>
      </c>
      <c r="Q381" s="166">
        <v>1981.9111051430664</v>
      </c>
      <c r="R381" t="s">
        <v>30</v>
      </c>
      <c r="S381">
        <v>50</v>
      </c>
      <c r="T381">
        <v>65875</v>
      </c>
      <c r="U381" t="s">
        <v>55</v>
      </c>
      <c r="V381" t="s">
        <v>1805</v>
      </c>
      <c r="W381">
        <v>0</v>
      </c>
      <c r="X381" t="s">
        <v>30</v>
      </c>
      <c r="Y381" t="s">
        <v>30</v>
      </c>
      <c r="Z381">
        <v>77500</v>
      </c>
      <c r="AC381" s="4" t="s">
        <v>805</v>
      </c>
      <c r="AD381" s="8">
        <v>1910000</v>
      </c>
      <c r="AE381" s="4" t="s">
        <v>808</v>
      </c>
      <c r="AF381" s="8">
        <v>1910008</v>
      </c>
      <c r="AG381" s="4" t="s">
        <v>810</v>
      </c>
      <c r="AH381" s="8">
        <v>1910008</v>
      </c>
    </row>
    <row r="382" spans="1:34" x14ac:dyDescent="0.25">
      <c r="A382" s="176" t="s">
        <v>1565</v>
      </c>
      <c r="B382" t="s">
        <v>25</v>
      </c>
      <c r="C382" t="s">
        <v>26</v>
      </c>
      <c r="D382" t="s">
        <v>1161</v>
      </c>
      <c r="E382" t="s">
        <v>1162</v>
      </c>
      <c r="F382" t="s">
        <v>1125</v>
      </c>
      <c r="G382" t="s">
        <v>1163</v>
      </c>
      <c r="H382" t="s">
        <v>59</v>
      </c>
      <c r="I382" t="s">
        <v>53</v>
      </c>
      <c r="J382" t="s">
        <v>743</v>
      </c>
      <c r="K382">
        <v>23163.43</v>
      </c>
      <c r="L382" s="166">
        <v>742.11732774143377</v>
      </c>
      <c r="M382">
        <v>22421.31</v>
      </c>
      <c r="N382">
        <v>0</v>
      </c>
      <c r="O382">
        <v>0</v>
      </c>
      <c r="P382">
        <v>0</v>
      </c>
      <c r="Q382" s="166">
        <v>742.11732774143377</v>
      </c>
      <c r="R382" t="s">
        <v>30</v>
      </c>
      <c r="S382">
        <v>100</v>
      </c>
      <c r="T382">
        <v>31200</v>
      </c>
      <c r="U382" t="s">
        <v>120</v>
      </c>
      <c r="V382" t="s">
        <v>1833</v>
      </c>
      <c r="W382">
        <v>0</v>
      </c>
      <c r="X382" t="s">
        <v>30</v>
      </c>
      <c r="Y382" t="s">
        <v>30</v>
      </c>
      <c r="Z382">
        <v>38000</v>
      </c>
      <c r="AC382" s="4" t="s">
        <v>805</v>
      </c>
      <c r="AD382" s="8">
        <v>1910000</v>
      </c>
      <c r="AE382" s="4" t="s">
        <v>808</v>
      </c>
      <c r="AF382" s="8">
        <v>1910008</v>
      </c>
      <c r="AG382" s="4" t="s">
        <v>810</v>
      </c>
      <c r="AH382" s="8">
        <v>1910008</v>
      </c>
    </row>
    <row r="383" spans="1:34" x14ac:dyDescent="0.25">
      <c r="A383" s="176" t="s">
        <v>1566</v>
      </c>
      <c r="B383" t="s">
        <v>25</v>
      </c>
      <c r="C383" t="s">
        <v>26</v>
      </c>
      <c r="D383" t="s">
        <v>1112</v>
      </c>
      <c r="E383" t="s">
        <v>1113</v>
      </c>
      <c r="F383" t="s">
        <v>1029</v>
      </c>
      <c r="G383" t="s">
        <v>1114</v>
      </c>
      <c r="H383" t="s">
        <v>59</v>
      </c>
      <c r="I383" t="s">
        <v>53</v>
      </c>
      <c r="J383" t="s">
        <v>1115</v>
      </c>
      <c r="K383">
        <v>77072.94</v>
      </c>
      <c r="L383" s="166">
        <v>2469.2873324018015</v>
      </c>
      <c r="M383">
        <v>74603.649999999994</v>
      </c>
      <c r="N383">
        <v>0</v>
      </c>
      <c r="O383">
        <v>0</v>
      </c>
      <c r="P383">
        <v>0</v>
      </c>
      <c r="Q383" s="166">
        <v>2469.2873324018015</v>
      </c>
      <c r="R383" t="s">
        <v>30</v>
      </c>
      <c r="S383">
        <v>100</v>
      </c>
      <c r="T383">
        <v>172550</v>
      </c>
      <c r="U383" t="s">
        <v>55</v>
      </c>
      <c r="V383" t="s">
        <v>1590</v>
      </c>
      <c r="W383">
        <v>0</v>
      </c>
      <c r="X383" t="s">
        <v>30</v>
      </c>
      <c r="Y383" t="s">
        <v>30</v>
      </c>
      <c r="Z383">
        <v>203000</v>
      </c>
      <c r="AC383" s="4" t="s">
        <v>805</v>
      </c>
      <c r="AD383" s="8">
        <v>1910000</v>
      </c>
      <c r="AE383" s="4" t="s">
        <v>808</v>
      </c>
      <c r="AF383" s="8">
        <v>1910008</v>
      </c>
      <c r="AG383" s="4" t="s">
        <v>810</v>
      </c>
      <c r="AH383" s="8">
        <v>1910008</v>
      </c>
    </row>
    <row r="384" spans="1:34" x14ac:dyDescent="0.25">
      <c r="A384" s="176" t="s">
        <v>1567</v>
      </c>
      <c r="B384" t="s">
        <v>25</v>
      </c>
      <c r="C384" t="s">
        <v>26</v>
      </c>
      <c r="D384" t="s">
        <v>1116</v>
      </c>
      <c r="E384" t="s">
        <v>1070</v>
      </c>
      <c r="F384" t="s">
        <v>1117</v>
      </c>
      <c r="G384" t="s">
        <v>1118</v>
      </c>
      <c r="H384" t="s">
        <v>59</v>
      </c>
      <c r="I384" t="s">
        <v>71</v>
      </c>
      <c r="J384" t="s">
        <v>1119</v>
      </c>
      <c r="K384">
        <v>543487.18000000005</v>
      </c>
      <c r="L384" s="166">
        <v>17412.414900700271</v>
      </c>
      <c r="M384">
        <v>526074.77</v>
      </c>
      <c r="N384">
        <v>0</v>
      </c>
      <c r="O384">
        <v>0</v>
      </c>
      <c r="P384">
        <v>0</v>
      </c>
      <c r="Q384" s="166">
        <v>17412.414900700271</v>
      </c>
      <c r="R384" t="s">
        <v>30</v>
      </c>
      <c r="S384">
        <v>100</v>
      </c>
      <c r="T384">
        <v>711140</v>
      </c>
      <c r="U384" t="s">
        <v>107</v>
      </c>
      <c r="V384" t="s">
        <v>1600</v>
      </c>
      <c r="W384">
        <v>0</v>
      </c>
      <c r="X384" t="s">
        <v>30</v>
      </c>
      <c r="Y384" t="s">
        <v>30</v>
      </c>
      <c r="Z384">
        <v>871400</v>
      </c>
      <c r="AC384" s="4" t="s">
        <v>805</v>
      </c>
      <c r="AD384" s="8">
        <v>1910000</v>
      </c>
      <c r="AE384" s="4" t="s">
        <v>808</v>
      </c>
      <c r="AF384" s="8">
        <v>1910008</v>
      </c>
      <c r="AG384" s="4" t="s">
        <v>810</v>
      </c>
      <c r="AH384" s="8">
        <v>1910008</v>
      </c>
    </row>
    <row r="385" spans="1:34" x14ac:dyDescent="0.25">
      <c r="A385" s="176" t="s">
        <v>1568</v>
      </c>
      <c r="B385" t="s">
        <v>25</v>
      </c>
      <c r="C385" t="s">
        <v>228</v>
      </c>
      <c r="D385" t="s">
        <v>1134</v>
      </c>
      <c r="E385" t="s">
        <v>1135</v>
      </c>
      <c r="F385" t="s">
        <v>1136</v>
      </c>
      <c r="G385" t="s">
        <v>1137</v>
      </c>
      <c r="H385" t="s">
        <v>59</v>
      </c>
      <c r="I385" t="s">
        <v>48</v>
      </c>
      <c r="J385" t="s">
        <v>1138</v>
      </c>
      <c r="K385">
        <v>38336.32</v>
      </c>
      <c r="L385" s="166">
        <v>1228.2311969272462</v>
      </c>
      <c r="M385">
        <v>37108.089999999997</v>
      </c>
      <c r="N385">
        <v>0</v>
      </c>
      <c r="O385">
        <v>0</v>
      </c>
      <c r="P385">
        <v>0</v>
      </c>
      <c r="Q385" s="166">
        <v>1228.2311969272462</v>
      </c>
      <c r="R385" t="s">
        <v>30</v>
      </c>
      <c r="S385">
        <v>100</v>
      </c>
      <c r="T385">
        <v>320225</v>
      </c>
      <c r="U385" t="s">
        <v>34</v>
      </c>
      <c r="V385" t="s">
        <v>1834</v>
      </c>
      <c r="W385">
        <v>0</v>
      </c>
      <c r="X385" t="s">
        <v>30</v>
      </c>
      <c r="Y385" t="s">
        <v>30</v>
      </c>
      <c r="Z385">
        <v>397900</v>
      </c>
      <c r="AC385" s="4" t="s">
        <v>805</v>
      </c>
      <c r="AD385" s="8">
        <v>1910000</v>
      </c>
      <c r="AE385" s="4" t="s">
        <v>808</v>
      </c>
      <c r="AF385" s="8">
        <v>1910008</v>
      </c>
      <c r="AG385" s="4" t="s">
        <v>810</v>
      </c>
      <c r="AH385" s="8">
        <v>1910008</v>
      </c>
    </row>
    <row r="386" spans="1:34" x14ac:dyDescent="0.25">
      <c r="A386" s="176" t="s">
        <v>1569</v>
      </c>
      <c r="B386" t="s">
        <v>25</v>
      </c>
      <c r="C386" t="s">
        <v>228</v>
      </c>
      <c r="D386" t="s">
        <v>1139</v>
      </c>
      <c r="E386" t="s">
        <v>1140</v>
      </c>
      <c r="F386" t="s">
        <v>1136</v>
      </c>
      <c r="G386" t="s">
        <v>1141</v>
      </c>
      <c r="H386" t="s">
        <v>59</v>
      </c>
      <c r="I386" t="s">
        <v>48</v>
      </c>
      <c r="J386" t="s">
        <v>1138</v>
      </c>
      <c r="K386">
        <v>10878.7</v>
      </c>
      <c r="L386" s="166">
        <v>348.53524600202718</v>
      </c>
      <c r="M386">
        <v>10530.16</v>
      </c>
      <c r="N386">
        <v>0</v>
      </c>
      <c r="O386">
        <v>0</v>
      </c>
      <c r="P386">
        <v>0</v>
      </c>
      <c r="Q386" s="166">
        <v>348.53524600202718</v>
      </c>
      <c r="R386" t="s">
        <v>30</v>
      </c>
      <c r="S386">
        <v>100</v>
      </c>
      <c r="T386">
        <v>122410</v>
      </c>
      <c r="U386" t="s">
        <v>34</v>
      </c>
      <c r="V386" t="s">
        <v>1834</v>
      </c>
      <c r="W386">
        <v>0</v>
      </c>
      <c r="X386" t="s">
        <v>30</v>
      </c>
      <c r="Y386" t="s">
        <v>30</v>
      </c>
      <c r="Z386">
        <v>152100</v>
      </c>
      <c r="AC386" s="4" t="s">
        <v>805</v>
      </c>
      <c r="AD386" s="8">
        <v>1910000</v>
      </c>
      <c r="AE386" s="4" t="s">
        <v>808</v>
      </c>
      <c r="AF386" s="8">
        <v>1910008</v>
      </c>
      <c r="AG386" s="4" t="s">
        <v>810</v>
      </c>
      <c r="AH386" s="8">
        <v>1910008</v>
      </c>
    </row>
    <row r="387" spans="1:34" x14ac:dyDescent="0.25">
      <c r="A387" s="176" t="s">
        <v>1570</v>
      </c>
      <c r="B387" t="s">
        <v>25</v>
      </c>
      <c r="C387" t="s">
        <v>26</v>
      </c>
      <c r="D387" t="s">
        <v>1165</v>
      </c>
      <c r="E387" t="s">
        <v>1166</v>
      </c>
      <c r="F387" t="s">
        <v>1124</v>
      </c>
      <c r="G387" t="s">
        <v>1167</v>
      </c>
      <c r="H387" t="s">
        <v>37</v>
      </c>
      <c r="I387" t="s">
        <v>53</v>
      </c>
      <c r="J387" t="s">
        <v>1168</v>
      </c>
      <c r="K387">
        <v>146075.26</v>
      </c>
      <c r="L387" s="166">
        <v>2819.2525180000002</v>
      </c>
      <c r="M387">
        <v>143256.01</v>
      </c>
      <c r="N387">
        <v>10500</v>
      </c>
      <c r="O387">
        <v>210000</v>
      </c>
      <c r="P387">
        <v>0</v>
      </c>
      <c r="Q387" s="166">
        <v>2819.2525180000002</v>
      </c>
      <c r="R387" t="s">
        <v>1823</v>
      </c>
      <c r="S387">
        <v>100</v>
      </c>
      <c r="T387">
        <v>180400</v>
      </c>
      <c r="U387" t="s">
        <v>113</v>
      </c>
      <c r="V387" t="s">
        <v>1835</v>
      </c>
      <c r="W387">
        <v>0</v>
      </c>
      <c r="X387" t="s">
        <v>30</v>
      </c>
      <c r="Y387" t="s">
        <v>30</v>
      </c>
      <c r="Z387">
        <v>221000</v>
      </c>
      <c r="AC387" s="4" t="s">
        <v>805</v>
      </c>
      <c r="AD387" s="8">
        <v>1910000</v>
      </c>
      <c r="AE387" s="4" t="s">
        <v>808</v>
      </c>
      <c r="AF387" s="8">
        <v>1910008</v>
      </c>
      <c r="AG387" s="4" t="s">
        <v>810</v>
      </c>
      <c r="AH387" s="8">
        <v>1910008</v>
      </c>
    </row>
    <row r="388" spans="1:34" x14ac:dyDescent="0.25">
      <c r="A388" s="176" t="s">
        <v>1571</v>
      </c>
      <c r="B388" t="s">
        <v>25</v>
      </c>
      <c r="C388" t="s">
        <v>228</v>
      </c>
      <c r="D388" t="s">
        <v>1169</v>
      </c>
      <c r="E388" t="s">
        <v>1170</v>
      </c>
      <c r="F388" t="s">
        <v>1123</v>
      </c>
      <c r="G388" t="s">
        <v>1171</v>
      </c>
      <c r="H388" t="s">
        <v>59</v>
      </c>
      <c r="I388" t="s">
        <v>53</v>
      </c>
      <c r="J388" t="s">
        <v>1172</v>
      </c>
      <c r="K388">
        <v>72118.84</v>
      </c>
      <c r="L388" s="166">
        <v>2310.5663030307696</v>
      </c>
      <c r="M388">
        <v>69808.27</v>
      </c>
      <c r="N388">
        <v>0</v>
      </c>
      <c r="O388">
        <v>0</v>
      </c>
      <c r="P388">
        <v>0</v>
      </c>
      <c r="Q388" s="166">
        <v>2310.5663030307696</v>
      </c>
      <c r="R388" t="s">
        <v>30</v>
      </c>
      <c r="S388">
        <v>100</v>
      </c>
      <c r="T388">
        <v>154200</v>
      </c>
      <c r="U388" t="s">
        <v>113</v>
      </c>
      <c r="V388" t="s">
        <v>1601</v>
      </c>
      <c r="W388">
        <v>0</v>
      </c>
      <c r="X388" t="s">
        <v>30</v>
      </c>
      <c r="Y388" t="s">
        <v>30</v>
      </c>
      <c r="Z388">
        <v>172000</v>
      </c>
      <c r="AC388" s="4" t="s">
        <v>805</v>
      </c>
      <c r="AD388" s="8">
        <v>1910000</v>
      </c>
      <c r="AE388" s="4" t="s">
        <v>808</v>
      </c>
      <c r="AF388" s="8">
        <v>1910008</v>
      </c>
      <c r="AG388" s="4" t="s">
        <v>810</v>
      </c>
      <c r="AH388" s="8">
        <v>1910008</v>
      </c>
    </row>
    <row r="389" spans="1:34" x14ac:dyDescent="0.25">
      <c r="A389" s="176" t="s">
        <v>1572</v>
      </c>
      <c r="B389" t="s">
        <v>25</v>
      </c>
      <c r="C389" t="s">
        <v>26</v>
      </c>
      <c r="D389" t="s">
        <v>1173</v>
      </c>
      <c r="E389" t="s">
        <v>1174</v>
      </c>
      <c r="F389" t="s">
        <v>1175</v>
      </c>
      <c r="G389" t="s">
        <v>1176</v>
      </c>
      <c r="H389" t="s">
        <v>59</v>
      </c>
      <c r="I389" t="s">
        <v>53</v>
      </c>
      <c r="J389" t="s">
        <v>1177</v>
      </c>
      <c r="K389">
        <v>86173.11</v>
      </c>
      <c r="L389" s="166">
        <v>2760.841469349255</v>
      </c>
      <c r="M389">
        <v>83412.27</v>
      </c>
      <c r="N389">
        <v>0</v>
      </c>
      <c r="O389">
        <v>0</v>
      </c>
      <c r="P389">
        <v>0</v>
      </c>
      <c r="Q389" s="166">
        <v>2760.841469349255</v>
      </c>
      <c r="R389" t="s">
        <v>30</v>
      </c>
      <c r="S389">
        <v>100</v>
      </c>
      <c r="T389">
        <v>104500</v>
      </c>
      <c r="U389" t="s">
        <v>113</v>
      </c>
      <c r="V389" t="s">
        <v>1809</v>
      </c>
      <c r="W389">
        <v>0</v>
      </c>
      <c r="X389" t="s">
        <v>30</v>
      </c>
      <c r="Y389" t="s">
        <v>30</v>
      </c>
      <c r="Z389">
        <v>128000</v>
      </c>
      <c r="AC389" s="4" t="s">
        <v>805</v>
      </c>
      <c r="AD389" s="8">
        <v>1910000</v>
      </c>
      <c r="AE389" s="4" t="s">
        <v>808</v>
      </c>
      <c r="AF389" s="8">
        <v>1910008</v>
      </c>
      <c r="AG389" s="4" t="s">
        <v>810</v>
      </c>
      <c r="AH389" s="8">
        <v>1910008</v>
      </c>
    </row>
    <row r="390" spans="1:34" x14ac:dyDescent="0.25">
      <c r="A390" s="176" t="s">
        <v>1647</v>
      </c>
      <c r="B390" t="s">
        <v>25</v>
      </c>
      <c r="C390" t="s">
        <v>228</v>
      </c>
      <c r="D390" t="s">
        <v>1602</v>
      </c>
      <c r="E390" t="s">
        <v>1603</v>
      </c>
      <c r="F390" t="s">
        <v>1604</v>
      </c>
      <c r="G390" t="s">
        <v>1605</v>
      </c>
      <c r="H390" t="s">
        <v>31</v>
      </c>
      <c r="I390" t="s">
        <v>86</v>
      </c>
      <c r="J390" t="s">
        <v>1164</v>
      </c>
      <c r="K390">
        <v>16558.189999999999</v>
      </c>
      <c r="L390" s="166">
        <v>1396.5679999999988</v>
      </c>
      <c r="M390">
        <v>15161.62</v>
      </c>
      <c r="N390">
        <v>0</v>
      </c>
      <c r="O390">
        <v>0</v>
      </c>
      <c r="P390">
        <v>1098.1899999999987</v>
      </c>
      <c r="Q390" s="166">
        <v>298.37800000000004</v>
      </c>
      <c r="R390" t="s">
        <v>30</v>
      </c>
      <c r="S390">
        <v>100</v>
      </c>
      <c r="T390">
        <v>15460</v>
      </c>
      <c r="U390" t="s">
        <v>107</v>
      </c>
      <c r="V390" t="s">
        <v>1798</v>
      </c>
      <c r="W390">
        <v>0</v>
      </c>
      <c r="X390" t="s">
        <v>30</v>
      </c>
      <c r="Y390" t="s">
        <v>30</v>
      </c>
      <c r="Z390">
        <v>20800</v>
      </c>
      <c r="AC390" s="4" t="s">
        <v>803</v>
      </c>
      <c r="AD390" s="8">
        <v>19910000</v>
      </c>
      <c r="AE390" s="4" t="s">
        <v>806</v>
      </c>
      <c r="AF390" s="8">
        <v>19910001</v>
      </c>
      <c r="AG390" s="4" t="s">
        <v>809</v>
      </c>
      <c r="AH390" s="8">
        <v>19910001</v>
      </c>
    </row>
    <row r="391" spans="1:34" x14ac:dyDescent="0.25">
      <c r="A391" s="176" t="s">
        <v>1648</v>
      </c>
      <c r="B391" t="s">
        <v>25</v>
      </c>
      <c r="C391" t="s">
        <v>26</v>
      </c>
      <c r="D391" t="s">
        <v>1608</v>
      </c>
      <c r="E391" t="s">
        <v>1609</v>
      </c>
      <c r="F391" t="s">
        <v>1010</v>
      </c>
      <c r="G391" t="s">
        <v>1610</v>
      </c>
      <c r="H391" t="s">
        <v>31</v>
      </c>
      <c r="I391" t="s">
        <v>242</v>
      </c>
      <c r="J391" t="s">
        <v>1611</v>
      </c>
      <c r="K391">
        <v>9028.2999999999993</v>
      </c>
      <c r="L391" s="166">
        <v>289.25154305938224</v>
      </c>
      <c r="M391">
        <v>8739.0499999999993</v>
      </c>
      <c r="N391">
        <v>0</v>
      </c>
      <c r="O391">
        <v>0</v>
      </c>
      <c r="P391">
        <v>0</v>
      </c>
      <c r="Q391" s="166">
        <v>289.25154305938224</v>
      </c>
      <c r="R391" t="s">
        <v>30</v>
      </c>
      <c r="S391">
        <v>50</v>
      </c>
      <c r="T391">
        <v>19115</v>
      </c>
      <c r="U391" t="s">
        <v>107</v>
      </c>
      <c r="V391" t="s">
        <v>1836</v>
      </c>
      <c r="W391">
        <v>0</v>
      </c>
      <c r="X391" t="s">
        <v>30</v>
      </c>
      <c r="Y391" t="s">
        <v>30</v>
      </c>
      <c r="Z391">
        <v>24250</v>
      </c>
      <c r="AC391" s="4" t="s">
        <v>803</v>
      </c>
      <c r="AD391" s="8">
        <v>19910000</v>
      </c>
      <c r="AE391" s="4" t="s">
        <v>806</v>
      </c>
      <c r="AF391" s="8">
        <v>19910001</v>
      </c>
      <c r="AG391" s="4" t="s">
        <v>809</v>
      </c>
      <c r="AH391" s="8">
        <v>19910001</v>
      </c>
    </row>
    <row r="392" spans="1:34" x14ac:dyDescent="0.25">
      <c r="A392" s="176" t="s">
        <v>1649</v>
      </c>
      <c r="B392" t="s">
        <v>25</v>
      </c>
      <c r="C392" t="s">
        <v>228</v>
      </c>
      <c r="D392" t="s">
        <v>1612</v>
      </c>
      <c r="E392" t="s">
        <v>1613</v>
      </c>
      <c r="F392" t="s">
        <v>990</v>
      </c>
      <c r="G392" t="s">
        <v>1614</v>
      </c>
      <c r="H392" t="s">
        <v>31</v>
      </c>
      <c r="I392" t="s">
        <v>53</v>
      </c>
      <c r="J392" t="s">
        <v>1615</v>
      </c>
      <c r="K392">
        <v>44504.22</v>
      </c>
      <c r="L392" s="166">
        <v>1425.840336237633</v>
      </c>
      <c r="M392">
        <v>43078.38</v>
      </c>
      <c r="N392">
        <v>0</v>
      </c>
      <c r="O392">
        <v>0</v>
      </c>
      <c r="P392">
        <v>0</v>
      </c>
      <c r="Q392" s="166">
        <v>1425.840336237633</v>
      </c>
      <c r="R392" t="s">
        <v>30</v>
      </c>
      <c r="S392">
        <v>100</v>
      </c>
      <c r="T392">
        <v>52645</v>
      </c>
      <c r="U392" t="s">
        <v>658</v>
      </c>
      <c r="V392" t="s">
        <v>1837</v>
      </c>
      <c r="W392">
        <v>0</v>
      </c>
      <c r="X392" t="s">
        <v>30</v>
      </c>
      <c r="Y392" t="s">
        <v>30</v>
      </c>
      <c r="Z392">
        <v>64000</v>
      </c>
      <c r="AC392" s="4" t="s">
        <v>803</v>
      </c>
      <c r="AD392" s="8">
        <v>19910000</v>
      </c>
      <c r="AE392" s="4" t="s">
        <v>806</v>
      </c>
      <c r="AF392" s="8">
        <v>19910001</v>
      </c>
      <c r="AG392" s="4" t="s">
        <v>809</v>
      </c>
      <c r="AH392" s="8">
        <v>19910001</v>
      </c>
    </row>
    <row r="393" spans="1:34" x14ac:dyDescent="0.25">
      <c r="A393" s="176" t="s">
        <v>1650</v>
      </c>
      <c r="B393" t="s">
        <v>87</v>
      </c>
      <c r="C393" t="s">
        <v>278</v>
      </c>
      <c r="D393" t="s">
        <v>1616</v>
      </c>
      <c r="E393" t="s">
        <v>500</v>
      </c>
      <c r="F393" t="s">
        <v>30</v>
      </c>
      <c r="G393" t="s">
        <v>30</v>
      </c>
      <c r="H393" t="s">
        <v>37</v>
      </c>
      <c r="I393" t="s">
        <v>53</v>
      </c>
      <c r="J393" t="s">
        <v>501</v>
      </c>
      <c r="K393">
        <v>2552899.92</v>
      </c>
      <c r="L393" s="166">
        <v>2137000.172394</v>
      </c>
      <c r="M393">
        <v>415899.75</v>
      </c>
      <c r="N393">
        <v>42408.45</v>
      </c>
      <c r="O393" s="8">
        <v>424084.58</v>
      </c>
      <c r="P393">
        <v>2128815.34</v>
      </c>
      <c r="Q393" s="166">
        <v>8184.8323940000018</v>
      </c>
      <c r="R393" s="174" t="s">
        <v>1142</v>
      </c>
      <c r="S393">
        <v>100</v>
      </c>
      <c r="T393">
        <v>556105</v>
      </c>
      <c r="U393" t="s">
        <v>107</v>
      </c>
      <c r="V393" t="s">
        <v>155</v>
      </c>
      <c r="W393">
        <v>0</v>
      </c>
      <c r="X393" t="s">
        <v>30</v>
      </c>
      <c r="Y393" t="s">
        <v>30</v>
      </c>
      <c r="Z393">
        <v>758000</v>
      </c>
      <c r="AC393" s="4" t="s">
        <v>805</v>
      </c>
      <c r="AD393" s="8">
        <v>1910000</v>
      </c>
      <c r="AE393" s="4" t="s">
        <v>808</v>
      </c>
      <c r="AF393" s="8">
        <v>1910008</v>
      </c>
      <c r="AG393" s="4" t="s">
        <v>810</v>
      </c>
      <c r="AH393" s="8">
        <v>1910008</v>
      </c>
    </row>
    <row r="394" spans="1:34" x14ac:dyDescent="0.25">
      <c r="A394" s="176" t="s">
        <v>1651</v>
      </c>
      <c r="B394" t="s">
        <v>25</v>
      </c>
      <c r="C394" t="s">
        <v>228</v>
      </c>
      <c r="D394" t="s">
        <v>1617</v>
      </c>
      <c r="E394" t="s">
        <v>1618</v>
      </c>
      <c r="F394" t="s">
        <v>983</v>
      </c>
      <c r="G394" t="s">
        <v>1619</v>
      </c>
      <c r="H394" t="s">
        <v>31</v>
      </c>
      <c r="I394" t="s">
        <v>91</v>
      </c>
      <c r="J394" t="s">
        <v>1620</v>
      </c>
      <c r="K394">
        <v>35200</v>
      </c>
      <c r="L394" s="166">
        <v>1127.7487805777671</v>
      </c>
      <c r="M394">
        <v>34072.25</v>
      </c>
      <c r="N394">
        <v>0</v>
      </c>
      <c r="O394">
        <v>0</v>
      </c>
      <c r="P394">
        <v>0</v>
      </c>
      <c r="Q394" s="166">
        <v>1127.7487805777671</v>
      </c>
      <c r="R394" t="s">
        <v>30</v>
      </c>
      <c r="S394">
        <v>50</v>
      </c>
      <c r="T394">
        <v>71400</v>
      </c>
      <c r="U394" t="s">
        <v>120</v>
      </c>
      <c r="V394" t="s">
        <v>1621</v>
      </c>
      <c r="W394">
        <v>0</v>
      </c>
      <c r="X394" t="s">
        <v>30</v>
      </c>
      <c r="Y394" t="s">
        <v>30</v>
      </c>
      <c r="Z394">
        <v>87500</v>
      </c>
      <c r="AC394" s="4" t="s">
        <v>803</v>
      </c>
      <c r="AD394" s="8">
        <v>19910000</v>
      </c>
      <c r="AE394" s="4" t="s">
        <v>806</v>
      </c>
      <c r="AF394" s="8">
        <v>19910001</v>
      </c>
      <c r="AG394" s="4" t="s">
        <v>809</v>
      </c>
      <c r="AH394" s="8">
        <v>19910001</v>
      </c>
    </row>
    <row r="395" spans="1:34" x14ac:dyDescent="0.25">
      <c r="A395" s="176" t="s">
        <v>1677</v>
      </c>
      <c r="B395" t="s">
        <v>25</v>
      </c>
      <c r="C395" t="s">
        <v>26</v>
      </c>
      <c r="D395" t="s">
        <v>1678</v>
      </c>
      <c r="E395" t="s">
        <v>1154</v>
      </c>
      <c r="F395" t="s">
        <v>991</v>
      </c>
      <c r="G395" t="s">
        <v>1155</v>
      </c>
      <c r="H395" t="s">
        <v>59</v>
      </c>
      <c r="I395" t="s">
        <v>38</v>
      </c>
      <c r="J395" t="s">
        <v>1679</v>
      </c>
      <c r="K395">
        <v>17454.009999999998</v>
      </c>
      <c r="L395" s="166">
        <v>559.1971162980725</v>
      </c>
      <c r="M395">
        <v>16894.810000000001</v>
      </c>
      <c r="N395">
        <v>0</v>
      </c>
      <c r="O395">
        <v>0</v>
      </c>
      <c r="P395">
        <v>854.0099999999984</v>
      </c>
      <c r="Q395" s="166">
        <v>320.38</v>
      </c>
      <c r="R395" t="s">
        <v>30</v>
      </c>
      <c r="S395">
        <v>100</v>
      </c>
      <c r="T395">
        <v>16600</v>
      </c>
      <c r="U395" t="s">
        <v>113</v>
      </c>
      <c r="V395" t="s">
        <v>1838</v>
      </c>
      <c r="W395">
        <v>0</v>
      </c>
      <c r="X395" t="s">
        <v>30</v>
      </c>
      <c r="Y395" t="s">
        <v>30</v>
      </c>
      <c r="Z395">
        <v>22000</v>
      </c>
      <c r="AC395" s="4" t="s">
        <v>805</v>
      </c>
      <c r="AD395" s="8">
        <v>1910000</v>
      </c>
      <c r="AE395" s="4" t="s">
        <v>808</v>
      </c>
      <c r="AF395" s="8">
        <v>1910008</v>
      </c>
      <c r="AG395" s="4" t="s">
        <v>810</v>
      </c>
      <c r="AH395" s="8">
        <v>1910008</v>
      </c>
    </row>
    <row r="396" spans="1:34" x14ac:dyDescent="0.25">
      <c r="A396" s="176" t="s">
        <v>1652</v>
      </c>
      <c r="B396" t="s">
        <v>25</v>
      </c>
      <c r="C396" t="s">
        <v>228</v>
      </c>
      <c r="D396" t="s">
        <v>1680</v>
      </c>
      <c r="E396" t="s">
        <v>1622</v>
      </c>
      <c r="F396" t="s">
        <v>1012</v>
      </c>
      <c r="G396" t="s">
        <v>1623</v>
      </c>
      <c r="H396" t="s">
        <v>37</v>
      </c>
      <c r="I396" t="s">
        <v>53</v>
      </c>
      <c r="J396" t="s">
        <v>1624</v>
      </c>
      <c r="K396">
        <v>17729.98</v>
      </c>
      <c r="L396" s="166">
        <v>342.18861400000003</v>
      </c>
      <c r="M396">
        <v>17387.79</v>
      </c>
      <c r="N396">
        <v>4500</v>
      </c>
      <c r="O396">
        <v>45000</v>
      </c>
      <c r="P396">
        <v>0</v>
      </c>
      <c r="Q396" s="166">
        <v>342.18861400000003</v>
      </c>
      <c r="R396" t="s">
        <v>1839</v>
      </c>
      <c r="S396">
        <v>100</v>
      </c>
      <c r="T396">
        <v>30700</v>
      </c>
      <c r="U396" t="s">
        <v>113</v>
      </c>
      <c r="V396" t="s">
        <v>1832</v>
      </c>
      <c r="W396">
        <v>0</v>
      </c>
      <c r="X396" t="s">
        <v>30</v>
      </c>
      <c r="Y396" t="s">
        <v>30</v>
      </c>
      <c r="Z396">
        <v>37000</v>
      </c>
      <c r="AC396" s="4" t="s">
        <v>805</v>
      </c>
      <c r="AD396" s="8">
        <v>1910000</v>
      </c>
      <c r="AE396" s="4" t="s">
        <v>808</v>
      </c>
      <c r="AF396" s="8">
        <v>1910008</v>
      </c>
      <c r="AG396" s="4" t="s">
        <v>810</v>
      </c>
      <c r="AH396" s="8">
        <v>1910008</v>
      </c>
    </row>
    <row r="397" spans="1:34" x14ac:dyDescent="0.25">
      <c r="A397" s="176" t="s">
        <v>1653</v>
      </c>
      <c r="B397" t="s">
        <v>25</v>
      </c>
      <c r="C397" t="s">
        <v>228</v>
      </c>
      <c r="D397" t="s">
        <v>1625</v>
      </c>
      <c r="E397" t="s">
        <v>1626</v>
      </c>
      <c r="F397" t="s">
        <v>1000</v>
      </c>
      <c r="G397" t="s">
        <v>1627</v>
      </c>
      <c r="H397" t="s">
        <v>37</v>
      </c>
      <c r="I397" t="s">
        <v>91</v>
      </c>
      <c r="J397" t="s">
        <v>1628</v>
      </c>
      <c r="K397">
        <v>46577.18</v>
      </c>
      <c r="L397" s="166">
        <v>898.93957400000011</v>
      </c>
      <c r="M397">
        <v>45678.239999999998</v>
      </c>
      <c r="N397">
        <v>2500</v>
      </c>
      <c r="O397">
        <v>155000</v>
      </c>
      <c r="P397">
        <v>0</v>
      </c>
      <c r="Q397" s="166">
        <v>898.93957400000011</v>
      </c>
      <c r="R397" t="s">
        <v>1840</v>
      </c>
      <c r="S397">
        <v>100</v>
      </c>
      <c r="T397">
        <v>125900</v>
      </c>
      <c r="U397" t="s">
        <v>113</v>
      </c>
      <c r="V397" t="s">
        <v>1836</v>
      </c>
      <c r="W397">
        <v>0</v>
      </c>
      <c r="X397" t="s">
        <v>30</v>
      </c>
      <c r="Y397" t="s">
        <v>30</v>
      </c>
      <c r="Z397">
        <v>150000</v>
      </c>
      <c r="AC397" s="4" t="s">
        <v>805</v>
      </c>
      <c r="AD397" s="8">
        <v>1910000</v>
      </c>
      <c r="AE397" s="4" t="s">
        <v>808</v>
      </c>
      <c r="AF397" s="8">
        <v>1910008</v>
      </c>
      <c r="AG397" s="4" t="s">
        <v>810</v>
      </c>
      <c r="AH397" s="8">
        <v>1910008</v>
      </c>
    </row>
    <row r="398" spans="1:34" x14ac:dyDescent="0.25">
      <c r="A398" s="176" t="s">
        <v>1654</v>
      </c>
      <c r="B398" t="s">
        <v>25</v>
      </c>
      <c r="C398" t="s">
        <v>228</v>
      </c>
      <c r="D398" t="s">
        <v>1629</v>
      </c>
      <c r="E398" t="s">
        <v>1630</v>
      </c>
      <c r="F398" t="s">
        <v>1631</v>
      </c>
      <c r="G398" t="s">
        <v>1632</v>
      </c>
      <c r="H398" t="s">
        <v>59</v>
      </c>
      <c r="I398" t="s">
        <v>53</v>
      </c>
      <c r="J398" t="s">
        <v>1633</v>
      </c>
      <c r="K398">
        <v>175891.62</v>
      </c>
      <c r="L398" s="166">
        <v>5577.3383021695518</v>
      </c>
      <c r="M398">
        <v>170314.28</v>
      </c>
      <c r="N398">
        <v>0</v>
      </c>
      <c r="O398">
        <v>0</v>
      </c>
      <c r="P398">
        <v>0</v>
      </c>
      <c r="Q398" s="166">
        <v>5635.271590024091</v>
      </c>
      <c r="R398" t="s">
        <v>30</v>
      </c>
      <c r="S398">
        <v>100</v>
      </c>
      <c r="T398">
        <v>209100</v>
      </c>
      <c r="U398" t="s">
        <v>62</v>
      </c>
      <c r="V398" t="s">
        <v>1832</v>
      </c>
      <c r="W398">
        <v>0</v>
      </c>
      <c r="X398" t="s">
        <v>30</v>
      </c>
      <c r="Y398" t="s">
        <v>30</v>
      </c>
      <c r="Z398">
        <v>246000</v>
      </c>
      <c r="AC398" s="4" t="s">
        <v>805</v>
      </c>
      <c r="AD398" s="8">
        <v>1910000</v>
      </c>
      <c r="AE398" s="4" t="s">
        <v>808</v>
      </c>
      <c r="AF398" s="8">
        <v>1910008</v>
      </c>
      <c r="AG398" s="4" t="s">
        <v>810</v>
      </c>
      <c r="AH398" s="8">
        <v>1910008</v>
      </c>
    </row>
    <row r="399" spans="1:34" x14ac:dyDescent="0.25">
      <c r="A399" s="176" t="s">
        <v>1655</v>
      </c>
      <c r="B399" t="s">
        <v>25</v>
      </c>
      <c r="C399" t="s">
        <v>228</v>
      </c>
      <c r="D399" t="s">
        <v>1681</v>
      </c>
      <c r="E399" t="s">
        <v>1634</v>
      </c>
      <c r="F399" t="s">
        <v>976</v>
      </c>
      <c r="G399" t="s">
        <v>1635</v>
      </c>
      <c r="H399" t="s">
        <v>31</v>
      </c>
      <c r="I399" t="s">
        <v>53</v>
      </c>
      <c r="J399" t="s">
        <v>1636</v>
      </c>
      <c r="K399">
        <v>62914.92</v>
      </c>
      <c r="L399" s="166">
        <v>2015.6881906291981</v>
      </c>
      <c r="M399">
        <v>60899.23</v>
      </c>
      <c r="N399">
        <v>0</v>
      </c>
      <c r="O399">
        <v>0</v>
      </c>
      <c r="P399">
        <v>0</v>
      </c>
      <c r="Q399" s="166">
        <v>2015.6881906291981</v>
      </c>
      <c r="R399" t="s">
        <v>30</v>
      </c>
      <c r="S399">
        <v>25</v>
      </c>
      <c r="T399">
        <v>132775</v>
      </c>
      <c r="U399" t="s">
        <v>113</v>
      </c>
      <c r="V399" t="s">
        <v>1841</v>
      </c>
      <c r="W399">
        <v>0</v>
      </c>
      <c r="X399" t="s">
        <v>30</v>
      </c>
      <c r="Y399" t="s">
        <v>30</v>
      </c>
      <c r="Z399">
        <v>161000</v>
      </c>
      <c r="AC399" s="4" t="s">
        <v>803</v>
      </c>
      <c r="AD399" s="8">
        <v>19910000</v>
      </c>
      <c r="AE399" s="4" t="s">
        <v>806</v>
      </c>
      <c r="AF399" s="8">
        <v>19910001</v>
      </c>
      <c r="AG399" s="4" t="s">
        <v>809</v>
      </c>
      <c r="AH399" s="8">
        <v>19910001</v>
      </c>
    </row>
    <row r="400" spans="1:34" x14ac:dyDescent="0.25">
      <c r="A400" s="176" t="s">
        <v>1656</v>
      </c>
      <c r="B400" t="s">
        <v>25</v>
      </c>
      <c r="C400" t="s">
        <v>228</v>
      </c>
      <c r="D400" t="s">
        <v>1681</v>
      </c>
      <c r="E400" t="s">
        <v>1637</v>
      </c>
      <c r="F400" t="s">
        <v>977</v>
      </c>
      <c r="G400" t="s">
        <v>1635</v>
      </c>
      <c r="H400" t="s">
        <v>31</v>
      </c>
      <c r="I400" t="s">
        <v>53</v>
      </c>
      <c r="J400" t="s">
        <v>1636</v>
      </c>
      <c r="K400">
        <v>62914.92</v>
      </c>
      <c r="L400" s="166">
        <v>2015.6881906291981</v>
      </c>
      <c r="M400">
        <v>60899.23</v>
      </c>
      <c r="N400">
        <v>0</v>
      </c>
      <c r="O400">
        <v>0</v>
      </c>
      <c r="P400">
        <v>0</v>
      </c>
      <c r="Q400" s="166">
        <v>2015.6881906291981</v>
      </c>
      <c r="R400" t="s">
        <v>30</v>
      </c>
      <c r="S400">
        <v>25</v>
      </c>
      <c r="T400">
        <v>132775</v>
      </c>
      <c r="U400" t="s">
        <v>113</v>
      </c>
      <c r="V400" t="s">
        <v>1841</v>
      </c>
      <c r="W400">
        <v>0</v>
      </c>
      <c r="X400" t="s">
        <v>30</v>
      </c>
      <c r="Y400" t="s">
        <v>30</v>
      </c>
      <c r="Z400">
        <v>161000</v>
      </c>
      <c r="AC400" s="4" t="s">
        <v>803</v>
      </c>
      <c r="AD400" s="8">
        <v>19910000</v>
      </c>
      <c r="AE400" s="4" t="s">
        <v>806</v>
      </c>
      <c r="AF400" s="8">
        <v>19910001</v>
      </c>
      <c r="AG400" s="4" t="s">
        <v>809</v>
      </c>
      <c r="AH400" s="8">
        <v>19910001</v>
      </c>
    </row>
    <row r="401" spans="1:34" x14ac:dyDescent="0.25">
      <c r="A401" s="176" t="s">
        <v>1657</v>
      </c>
      <c r="B401" t="s">
        <v>25</v>
      </c>
      <c r="C401" t="s">
        <v>228</v>
      </c>
      <c r="D401" t="s">
        <v>1682</v>
      </c>
      <c r="E401" t="s">
        <v>1638</v>
      </c>
      <c r="F401" t="s">
        <v>1639</v>
      </c>
      <c r="G401" t="s">
        <v>1640</v>
      </c>
      <c r="H401" t="s">
        <v>37</v>
      </c>
      <c r="I401" t="s">
        <v>53</v>
      </c>
      <c r="J401" t="s">
        <v>1641</v>
      </c>
      <c r="K401">
        <v>16350.42</v>
      </c>
      <c r="L401" s="166">
        <v>523.83994934472548</v>
      </c>
      <c r="M401">
        <v>15826.58</v>
      </c>
      <c r="N401">
        <v>1500</v>
      </c>
      <c r="O401">
        <v>0</v>
      </c>
      <c r="P401">
        <v>0</v>
      </c>
      <c r="Q401" s="166">
        <v>523.83994934472548</v>
      </c>
      <c r="R401" t="s">
        <v>30</v>
      </c>
      <c r="S401">
        <v>100</v>
      </c>
      <c r="T401">
        <v>40400</v>
      </c>
      <c r="U401" t="s">
        <v>113</v>
      </c>
      <c r="V401" t="s">
        <v>1842</v>
      </c>
      <c r="W401">
        <v>0</v>
      </c>
      <c r="X401" t="s">
        <v>30</v>
      </c>
      <c r="Y401" t="s">
        <v>30</v>
      </c>
      <c r="Z401">
        <v>50000</v>
      </c>
      <c r="AC401" s="4" t="s">
        <v>805</v>
      </c>
      <c r="AD401" s="8">
        <v>1910000</v>
      </c>
      <c r="AE401" s="4" t="s">
        <v>808</v>
      </c>
      <c r="AF401" s="8">
        <v>1910008</v>
      </c>
      <c r="AG401" s="4" t="s">
        <v>810</v>
      </c>
      <c r="AH401" s="8">
        <v>1910008</v>
      </c>
    </row>
    <row r="402" spans="1:34" x14ac:dyDescent="0.25">
      <c r="A402" s="176" t="s">
        <v>1683</v>
      </c>
      <c r="B402" t="s">
        <v>25</v>
      </c>
      <c r="C402" t="s">
        <v>26</v>
      </c>
      <c r="D402" t="s">
        <v>1684</v>
      </c>
      <c r="E402" t="s">
        <v>1685</v>
      </c>
      <c r="F402" t="s">
        <v>944</v>
      </c>
      <c r="G402" t="s">
        <v>1686</v>
      </c>
      <c r="H402" t="s">
        <v>37</v>
      </c>
      <c r="I402" t="s">
        <v>91</v>
      </c>
      <c r="J402" t="s">
        <v>528</v>
      </c>
      <c r="K402">
        <v>31120.560000000001</v>
      </c>
      <c r="L402" s="166">
        <v>997.05038610503516</v>
      </c>
      <c r="M402">
        <v>30123.51</v>
      </c>
      <c r="N402">
        <v>1622.81</v>
      </c>
      <c r="O402">
        <v>0</v>
      </c>
      <c r="P402">
        <v>0</v>
      </c>
      <c r="Q402" s="166">
        <v>997.05038610503516</v>
      </c>
      <c r="R402" t="s">
        <v>30</v>
      </c>
      <c r="S402">
        <v>100</v>
      </c>
      <c r="T402">
        <v>73600</v>
      </c>
      <c r="U402" t="s">
        <v>113</v>
      </c>
      <c r="V402" t="s">
        <v>1843</v>
      </c>
      <c r="W402">
        <v>0</v>
      </c>
      <c r="X402" t="s">
        <v>30</v>
      </c>
      <c r="Y402" t="s">
        <v>30</v>
      </c>
      <c r="Z402">
        <v>85000</v>
      </c>
      <c r="AC402" s="4" t="s">
        <v>805</v>
      </c>
      <c r="AD402" s="8">
        <v>1910000</v>
      </c>
      <c r="AE402" s="4" t="s">
        <v>808</v>
      </c>
      <c r="AF402" s="8">
        <v>1910008</v>
      </c>
      <c r="AG402" s="4" t="s">
        <v>810</v>
      </c>
      <c r="AH402" s="8">
        <v>1910008</v>
      </c>
    </row>
    <row r="403" spans="1:34" x14ac:dyDescent="0.25">
      <c r="A403" s="176" t="s">
        <v>1658</v>
      </c>
      <c r="B403" t="s">
        <v>25</v>
      </c>
      <c r="C403" t="s">
        <v>26</v>
      </c>
      <c r="D403" t="s">
        <v>1642</v>
      </c>
      <c r="E403" t="s">
        <v>30</v>
      </c>
      <c r="F403" t="s">
        <v>30</v>
      </c>
      <c r="G403" t="s">
        <v>30</v>
      </c>
      <c r="H403" t="s">
        <v>37</v>
      </c>
      <c r="I403" t="s">
        <v>53</v>
      </c>
      <c r="J403" t="s">
        <v>1643</v>
      </c>
      <c r="K403">
        <v>167305.60000000001</v>
      </c>
      <c r="L403" s="166">
        <v>5360.1899540861268</v>
      </c>
      <c r="M403">
        <v>161945.41</v>
      </c>
      <c r="N403">
        <v>5000</v>
      </c>
      <c r="O403">
        <v>0</v>
      </c>
      <c r="P403">
        <v>0</v>
      </c>
      <c r="Q403" s="166">
        <v>5360.1899540861268</v>
      </c>
      <c r="R403" t="s">
        <v>30</v>
      </c>
      <c r="S403">
        <v>100</v>
      </c>
      <c r="T403">
        <v>252100</v>
      </c>
      <c r="U403" t="s">
        <v>122</v>
      </c>
      <c r="V403" t="s">
        <v>1644</v>
      </c>
      <c r="W403">
        <v>0</v>
      </c>
      <c r="X403" t="s">
        <v>30</v>
      </c>
      <c r="Y403" t="s">
        <v>30</v>
      </c>
      <c r="Z403">
        <v>287200</v>
      </c>
      <c r="AC403" s="4" t="s">
        <v>805</v>
      </c>
      <c r="AD403" s="8">
        <v>1910000</v>
      </c>
      <c r="AE403" s="4" t="s">
        <v>808</v>
      </c>
      <c r="AF403" s="8">
        <v>1910008</v>
      </c>
      <c r="AG403" s="4" t="s">
        <v>810</v>
      </c>
      <c r="AH403" s="8">
        <v>1910008</v>
      </c>
    </row>
    <row r="404" spans="1:34" x14ac:dyDescent="0.25">
      <c r="A404" s="176" t="s">
        <v>1687</v>
      </c>
      <c r="B404" t="s">
        <v>25</v>
      </c>
      <c r="C404" t="s">
        <v>26</v>
      </c>
      <c r="D404" t="s">
        <v>1688</v>
      </c>
      <c r="E404" t="s">
        <v>1689</v>
      </c>
      <c r="F404" t="s">
        <v>1690</v>
      </c>
      <c r="G404" t="s">
        <v>1691</v>
      </c>
      <c r="H404" t="s">
        <v>37</v>
      </c>
      <c r="I404" t="s">
        <v>86</v>
      </c>
      <c r="J404" t="s">
        <v>1692</v>
      </c>
      <c r="K404">
        <v>49131.23</v>
      </c>
      <c r="L404" s="166">
        <v>3234.470000000003</v>
      </c>
      <c r="M404">
        <v>45896.76</v>
      </c>
      <c r="N404">
        <v>1500</v>
      </c>
      <c r="O404">
        <v>0</v>
      </c>
      <c r="P404">
        <v>2331.2300000000032</v>
      </c>
      <c r="Q404" s="166">
        <v>903.24</v>
      </c>
      <c r="R404" t="s">
        <v>30</v>
      </c>
      <c r="S404">
        <v>100</v>
      </c>
      <c r="T404">
        <v>46800</v>
      </c>
      <c r="U404" t="s">
        <v>113</v>
      </c>
      <c r="V404" t="s">
        <v>1844</v>
      </c>
      <c r="W404">
        <v>0</v>
      </c>
      <c r="X404" t="s">
        <v>30</v>
      </c>
      <c r="Y404" t="s">
        <v>30</v>
      </c>
      <c r="Z404">
        <v>58000</v>
      </c>
      <c r="AC404" s="4" t="s">
        <v>805</v>
      </c>
      <c r="AD404" s="8">
        <v>1910000</v>
      </c>
      <c r="AE404" s="4" t="s">
        <v>808</v>
      </c>
      <c r="AF404" s="8">
        <v>1910008</v>
      </c>
      <c r="AG404" s="4" t="s">
        <v>810</v>
      </c>
      <c r="AH404" s="8">
        <v>1910008</v>
      </c>
    </row>
    <row r="405" spans="1:34" x14ac:dyDescent="0.25">
      <c r="A405" s="176" t="s">
        <v>1693</v>
      </c>
      <c r="B405" t="s">
        <v>25</v>
      </c>
      <c r="C405" t="s">
        <v>26</v>
      </c>
      <c r="D405" t="s">
        <v>1694</v>
      </c>
      <c r="E405" t="s">
        <v>1689</v>
      </c>
      <c r="F405" t="s">
        <v>1690</v>
      </c>
      <c r="G405" t="s">
        <v>1691</v>
      </c>
      <c r="H405" t="s">
        <v>37</v>
      </c>
      <c r="I405" t="s">
        <v>86</v>
      </c>
      <c r="J405" t="s">
        <v>1692</v>
      </c>
      <c r="K405">
        <v>64031.23</v>
      </c>
      <c r="L405" s="166">
        <v>3816.2500000000032</v>
      </c>
      <c r="M405">
        <v>60214.98</v>
      </c>
      <c r="N405">
        <v>1500</v>
      </c>
      <c r="O405">
        <v>0</v>
      </c>
      <c r="P405">
        <v>2631.2300000000032</v>
      </c>
      <c r="Q405" s="166">
        <v>1185.02</v>
      </c>
      <c r="R405" t="s">
        <v>30</v>
      </c>
      <c r="S405">
        <v>100</v>
      </c>
      <c r="T405">
        <v>61400</v>
      </c>
      <c r="U405" t="s">
        <v>113</v>
      </c>
      <c r="V405" t="s">
        <v>1844</v>
      </c>
      <c r="W405">
        <v>0</v>
      </c>
      <c r="X405" t="s">
        <v>30</v>
      </c>
      <c r="Y405" t="s">
        <v>30</v>
      </c>
      <c r="Z405">
        <v>76000</v>
      </c>
      <c r="AC405" s="4" t="s">
        <v>805</v>
      </c>
      <c r="AD405" s="8">
        <v>1910000</v>
      </c>
      <c r="AE405" s="4" t="s">
        <v>808</v>
      </c>
      <c r="AF405" s="8">
        <v>1910008</v>
      </c>
      <c r="AG405" s="4" t="s">
        <v>810</v>
      </c>
      <c r="AH405" s="8">
        <v>1910008</v>
      </c>
    </row>
    <row r="406" spans="1:34" x14ac:dyDescent="0.25">
      <c r="A406" s="176" t="s">
        <v>1695</v>
      </c>
      <c r="B406" t="s">
        <v>25</v>
      </c>
      <c r="C406" t="s">
        <v>26</v>
      </c>
      <c r="D406" t="s">
        <v>1696</v>
      </c>
      <c r="E406" t="s">
        <v>1689</v>
      </c>
      <c r="F406" t="s">
        <v>1690</v>
      </c>
      <c r="G406" t="s">
        <v>1691</v>
      </c>
      <c r="H406" t="s">
        <v>37</v>
      </c>
      <c r="I406" t="s">
        <v>86</v>
      </c>
      <c r="J406" t="s">
        <v>1692</v>
      </c>
      <c r="K406">
        <v>78031.23</v>
      </c>
      <c r="L406" s="166">
        <v>2499.989331803502</v>
      </c>
      <c r="M406">
        <v>75531.240000000005</v>
      </c>
      <c r="N406">
        <v>1500</v>
      </c>
      <c r="O406">
        <v>0</v>
      </c>
      <c r="P406">
        <v>0</v>
      </c>
      <c r="Q406" s="166">
        <v>2499.989331803502</v>
      </c>
      <c r="R406" t="s">
        <v>30</v>
      </c>
      <c r="S406">
        <v>100</v>
      </c>
      <c r="T406">
        <v>78300</v>
      </c>
      <c r="U406" t="s">
        <v>113</v>
      </c>
      <c r="V406" t="s">
        <v>1844</v>
      </c>
      <c r="W406">
        <v>0</v>
      </c>
      <c r="X406" t="s">
        <v>30</v>
      </c>
      <c r="Y406" t="s">
        <v>30</v>
      </c>
      <c r="Z406">
        <v>97000</v>
      </c>
      <c r="AC406" s="4" t="s">
        <v>805</v>
      </c>
      <c r="AD406" s="8">
        <v>1910000</v>
      </c>
      <c r="AE406" s="4" t="s">
        <v>808</v>
      </c>
      <c r="AF406" s="8">
        <v>1910008</v>
      </c>
      <c r="AG406" s="4" t="s">
        <v>810</v>
      </c>
      <c r="AH406" s="8">
        <v>1910008</v>
      </c>
    </row>
    <row r="407" spans="1:34" x14ac:dyDescent="0.25">
      <c r="A407" s="176" t="s">
        <v>1697</v>
      </c>
      <c r="B407" t="s">
        <v>25</v>
      </c>
      <c r="C407" t="s">
        <v>26</v>
      </c>
      <c r="D407" t="s">
        <v>1698</v>
      </c>
      <c r="E407" t="s">
        <v>1699</v>
      </c>
      <c r="F407" t="s">
        <v>1700</v>
      </c>
      <c r="G407" t="s">
        <v>30</v>
      </c>
      <c r="H407" t="s">
        <v>31</v>
      </c>
      <c r="I407" t="s">
        <v>91</v>
      </c>
      <c r="J407" t="s">
        <v>1701</v>
      </c>
      <c r="K407">
        <v>31058</v>
      </c>
      <c r="L407" s="166">
        <v>995.04606895409916</v>
      </c>
      <c r="M407">
        <v>30062.95</v>
      </c>
      <c r="N407">
        <v>0</v>
      </c>
      <c r="O407">
        <v>0</v>
      </c>
      <c r="P407">
        <v>0</v>
      </c>
      <c r="Q407" s="166">
        <v>995.04606895409916</v>
      </c>
      <c r="R407" t="s">
        <v>30</v>
      </c>
      <c r="S407">
        <v>50</v>
      </c>
      <c r="T407">
        <v>36970</v>
      </c>
      <c r="U407" t="s">
        <v>107</v>
      </c>
      <c r="V407" t="s">
        <v>1845</v>
      </c>
      <c r="W407">
        <v>0</v>
      </c>
      <c r="X407" t="s">
        <v>30</v>
      </c>
      <c r="Y407" t="s">
        <v>30</v>
      </c>
      <c r="Z407">
        <v>45250</v>
      </c>
      <c r="AC407" s="4" t="s">
        <v>803</v>
      </c>
      <c r="AD407" s="8">
        <v>19910000</v>
      </c>
      <c r="AE407" s="4" t="s">
        <v>806</v>
      </c>
      <c r="AF407" s="8">
        <v>19910001</v>
      </c>
      <c r="AG407" s="4" t="s">
        <v>809</v>
      </c>
      <c r="AH407" s="8">
        <v>19910001</v>
      </c>
    </row>
    <row r="408" spans="1:34" x14ac:dyDescent="0.25">
      <c r="A408" s="176" t="s">
        <v>1702</v>
      </c>
      <c r="B408" t="s">
        <v>25</v>
      </c>
      <c r="C408" t="s">
        <v>26</v>
      </c>
      <c r="D408" t="s">
        <v>1703</v>
      </c>
      <c r="E408" t="s">
        <v>1704</v>
      </c>
      <c r="F408" t="s">
        <v>1011</v>
      </c>
      <c r="G408" t="s">
        <v>1705</v>
      </c>
      <c r="H408" t="s">
        <v>59</v>
      </c>
      <c r="I408" t="s">
        <v>32</v>
      </c>
      <c r="J408" t="s">
        <v>1706</v>
      </c>
      <c r="K408">
        <v>450</v>
      </c>
      <c r="L408" s="166">
        <v>14.417242933522591</v>
      </c>
      <c r="M408">
        <v>435.58</v>
      </c>
      <c r="N408">
        <v>0</v>
      </c>
      <c r="O408">
        <v>0</v>
      </c>
      <c r="P408">
        <v>0</v>
      </c>
      <c r="Q408" s="166">
        <v>14.417242933522591</v>
      </c>
      <c r="R408" t="s">
        <v>30</v>
      </c>
      <c r="S408">
        <v>100</v>
      </c>
      <c r="T408">
        <v>885</v>
      </c>
      <c r="U408" t="s">
        <v>107</v>
      </c>
      <c r="V408" t="s">
        <v>1846</v>
      </c>
      <c r="W408">
        <v>0</v>
      </c>
      <c r="X408" t="s">
        <v>30</v>
      </c>
      <c r="Y408" t="s">
        <v>30</v>
      </c>
      <c r="Z408">
        <v>1100</v>
      </c>
      <c r="AC408" s="4" t="s">
        <v>805</v>
      </c>
      <c r="AD408" s="8">
        <v>1910000</v>
      </c>
      <c r="AE408" s="4" t="s">
        <v>808</v>
      </c>
      <c r="AF408" s="8">
        <v>1910008</v>
      </c>
      <c r="AG408" s="4" t="s">
        <v>810</v>
      </c>
      <c r="AH408" s="8">
        <v>1910008</v>
      </c>
    </row>
    <row r="409" spans="1:34" x14ac:dyDescent="0.25">
      <c r="A409" s="176" t="s">
        <v>1707</v>
      </c>
      <c r="B409" t="s">
        <v>25</v>
      </c>
      <c r="C409" t="s">
        <v>26</v>
      </c>
      <c r="D409" t="s">
        <v>1708</v>
      </c>
      <c r="E409" t="s">
        <v>1709</v>
      </c>
      <c r="F409" t="s">
        <v>1710</v>
      </c>
      <c r="G409" t="s">
        <v>1711</v>
      </c>
      <c r="H409" t="s">
        <v>31</v>
      </c>
      <c r="I409" t="s">
        <v>53</v>
      </c>
      <c r="J409" t="s">
        <v>1712</v>
      </c>
      <c r="K409">
        <v>80580</v>
      </c>
      <c r="L409" s="166">
        <v>24327.047999999999</v>
      </c>
      <c r="M409">
        <v>56252.95</v>
      </c>
      <c r="N409">
        <v>0</v>
      </c>
      <c r="O409">
        <v>0</v>
      </c>
      <c r="P409">
        <v>23220</v>
      </c>
      <c r="Q409" s="166">
        <v>1107.048</v>
      </c>
      <c r="R409" t="s">
        <v>30</v>
      </c>
      <c r="S409">
        <v>50</v>
      </c>
      <c r="T409">
        <v>57360</v>
      </c>
      <c r="U409" t="s">
        <v>107</v>
      </c>
      <c r="V409" t="s">
        <v>1847</v>
      </c>
      <c r="W409">
        <v>0</v>
      </c>
      <c r="X409" t="s">
        <v>30</v>
      </c>
      <c r="Y409" t="s">
        <v>30</v>
      </c>
      <c r="Z409">
        <v>138600</v>
      </c>
      <c r="AC409" s="4" t="s">
        <v>803</v>
      </c>
      <c r="AD409" s="8">
        <v>19910000</v>
      </c>
      <c r="AE409" s="4" t="s">
        <v>806</v>
      </c>
      <c r="AF409" s="8">
        <v>19910001</v>
      </c>
      <c r="AG409" s="4" t="s">
        <v>809</v>
      </c>
      <c r="AH409" s="8">
        <v>19910001</v>
      </c>
    </row>
    <row r="410" spans="1:34" x14ac:dyDescent="0.25">
      <c r="A410" s="176" t="s">
        <v>1713</v>
      </c>
      <c r="B410" t="s">
        <v>25</v>
      </c>
      <c r="C410" t="s">
        <v>26</v>
      </c>
      <c r="D410" t="s">
        <v>1714</v>
      </c>
      <c r="E410" t="s">
        <v>1715</v>
      </c>
      <c r="F410" t="s">
        <v>1013</v>
      </c>
      <c r="G410" t="s">
        <v>1716</v>
      </c>
      <c r="H410" t="s">
        <v>31</v>
      </c>
      <c r="I410" t="s">
        <v>91</v>
      </c>
      <c r="J410" t="s">
        <v>1717</v>
      </c>
      <c r="K410">
        <v>21250</v>
      </c>
      <c r="L410" s="166">
        <v>0</v>
      </c>
      <c r="M410">
        <v>21250</v>
      </c>
      <c r="N410">
        <v>0</v>
      </c>
      <c r="O410">
        <v>0</v>
      </c>
      <c r="P410">
        <v>0</v>
      </c>
      <c r="Q410" s="166">
        <v>680.81424963856682</v>
      </c>
      <c r="R410" t="s">
        <v>30</v>
      </c>
      <c r="S410">
        <v>50</v>
      </c>
      <c r="T410">
        <v>36125</v>
      </c>
      <c r="U410" t="s">
        <v>55</v>
      </c>
      <c r="V410" t="s">
        <v>1848</v>
      </c>
      <c r="W410">
        <v>0</v>
      </c>
      <c r="X410" t="s">
        <v>30</v>
      </c>
      <c r="Y410" t="s">
        <v>30</v>
      </c>
      <c r="Z410">
        <v>42500</v>
      </c>
      <c r="AC410" s="4" t="s">
        <v>803</v>
      </c>
      <c r="AD410" s="8">
        <v>19910000</v>
      </c>
      <c r="AE410" s="4" t="s">
        <v>806</v>
      </c>
      <c r="AF410" s="8">
        <v>19910001</v>
      </c>
      <c r="AG410" s="4" t="s">
        <v>809</v>
      </c>
      <c r="AH410" s="8">
        <v>19910001</v>
      </c>
    </row>
    <row r="411" spans="1:34" x14ac:dyDescent="0.25">
      <c r="A411" s="176" t="s">
        <v>1718</v>
      </c>
      <c r="B411" t="s">
        <v>25</v>
      </c>
      <c r="C411" t="s">
        <v>26</v>
      </c>
      <c r="D411" t="s">
        <v>1719</v>
      </c>
      <c r="E411" t="s">
        <v>1720</v>
      </c>
      <c r="F411" t="s">
        <v>1721</v>
      </c>
      <c r="G411" t="s">
        <v>1722</v>
      </c>
      <c r="H411" t="s">
        <v>37</v>
      </c>
      <c r="I411" t="s">
        <v>91</v>
      </c>
      <c r="J411" t="s">
        <v>1723</v>
      </c>
      <c r="K411">
        <v>58947.34</v>
      </c>
      <c r="L411" s="166">
        <v>1888.5736023665634</v>
      </c>
      <c r="M411">
        <v>57058.77</v>
      </c>
      <c r="N411">
        <v>3377.19</v>
      </c>
      <c r="O411">
        <v>0</v>
      </c>
      <c r="P411">
        <v>0</v>
      </c>
      <c r="Q411" s="166">
        <v>1888.5736023665634</v>
      </c>
      <c r="R411" t="s">
        <v>30</v>
      </c>
      <c r="S411">
        <v>100</v>
      </c>
      <c r="T411">
        <v>152800</v>
      </c>
      <c r="U411" t="s">
        <v>113</v>
      </c>
      <c r="V411" t="s">
        <v>1849</v>
      </c>
      <c r="W411">
        <v>0</v>
      </c>
      <c r="X411" t="s">
        <v>30</v>
      </c>
      <c r="Y411" t="s">
        <v>30</v>
      </c>
      <c r="Z411">
        <v>180000</v>
      </c>
      <c r="AC411" s="4" t="s">
        <v>805</v>
      </c>
      <c r="AD411" s="8">
        <v>1910000</v>
      </c>
      <c r="AE411" s="4" t="s">
        <v>808</v>
      </c>
      <c r="AF411" s="8">
        <v>1910008</v>
      </c>
      <c r="AG411" s="4" t="s">
        <v>810</v>
      </c>
      <c r="AH411" s="8">
        <v>1910008</v>
      </c>
    </row>
    <row r="412" spans="1:34" x14ac:dyDescent="0.25">
      <c r="A412" s="176" t="s">
        <v>1724</v>
      </c>
      <c r="B412" t="s">
        <v>25</v>
      </c>
      <c r="C412" t="s">
        <v>26</v>
      </c>
      <c r="D412" t="s">
        <v>1725</v>
      </c>
      <c r="E412" t="s">
        <v>1726</v>
      </c>
      <c r="F412" t="s">
        <v>1015</v>
      </c>
      <c r="G412" t="s">
        <v>1727</v>
      </c>
      <c r="H412" t="s">
        <v>31</v>
      </c>
      <c r="I412" t="s">
        <v>91</v>
      </c>
      <c r="J412" t="s">
        <v>1728</v>
      </c>
      <c r="K412">
        <v>75246.87</v>
      </c>
      <c r="L412" s="166">
        <v>2410.7831217270955</v>
      </c>
      <c r="M412">
        <v>72836.09</v>
      </c>
      <c r="N412">
        <v>0</v>
      </c>
      <c r="O412">
        <v>0</v>
      </c>
      <c r="P412">
        <v>0</v>
      </c>
      <c r="Q412" s="166">
        <v>2410.7831217270955</v>
      </c>
      <c r="R412" t="s">
        <v>30</v>
      </c>
      <c r="S412">
        <v>50</v>
      </c>
      <c r="T412">
        <v>114000</v>
      </c>
      <c r="U412" t="s">
        <v>78</v>
      </c>
      <c r="V412" t="s">
        <v>1850</v>
      </c>
      <c r="W412">
        <v>0</v>
      </c>
      <c r="X412" t="s">
        <v>30</v>
      </c>
      <c r="Y412" t="s">
        <v>30</v>
      </c>
      <c r="Z412">
        <v>128350</v>
      </c>
      <c r="AC412" s="4" t="s">
        <v>803</v>
      </c>
      <c r="AD412" s="8">
        <v>19910000</v>
      </c>
      <c r="AE412" s="4" t="s">
        <v>806</v>
      </c>
      <c r="AF412" s="8">
        <v>19910001</v>
      </c>
      <c r="AG412" s="4" t="s">
        <v>809</v>
      </c>
      <c r="AH412" s="8">
        <v>19910001</v>
      </c>
    </row>
    <row r="413" spans="1:34" x14ac:dyDescent="0.25">
      <c r="A413" s="176" t="s">
        <v>1729</v>
      </c>
      <c r="B413" t="s">
        <v>25</v>
      </c>
      <c r="C413" t="s">
        <v>26</v>
      </c>
      <c r="D413" t="s">
        <v>1730</v>
      </c>
      <c r="E413" t="s">
        <v>1731</v>
      </c>
      <c r="F413" t="s">
        <v>1732</v>
      </c>
      <c r="G413" t="s">
        <v>1733</v>
      </c>
      <c r="H413" t="s">
        <v>59</v>
      </c>
      <c r="I413" t="s">
        <v>53</v>
      </c>
      <c r="J413" t="s">
        <v>1734</v>
      </c>
      <c r="K413">
        <v>81905.600000000006</v>
      </c>
      <c r="L413" s="166">
        <v>2614.3267186120966</v>
      </c>
      <c r="M413">
        <v>79291.27</v>
      </c>
      <c r="N413">
        <v>0</v>
      </c>
      <c r="O413">
        <v>0</v>
      </c>
      <c r="P413">
        <v>0</v>
      </c>
      <c r="Q413" s="166">
        <v>2624.1176284798403</v>
      </c>
      <c r="R413" t="s">
        <v>30</v>
      </c>
      <c r="S413">
        <v>100</v>
      </c>
      <c r="T413">
        <v>126650</v>
      </c>
      <c r="U413" t="s">
        <v>157</v>
      </c>
      <c r="V413" t="s">
        <v>1824</v>
      </c>
      <c r="W413">
        <v>0</v>
      </c>
      <c r="X413" t="s">
        <v>30</v>
      </c>
      <c r="Y413" t="s">
        <v>30</v>
      </c>
      <c r="Z413">
        <v>149000</v>
      </c>
      <c r="AC413" s="4" t="s">
        <v>805</v>
      </c>
      <c r="AD413" s="8">
        <v>1910000</v>
      </c>
      <c r="AE413" s="4" t="s">
        <v>808</v>
      </c>
      <c r="AF413" s="8">
        <v>1910008</v>
      </c>
      <c r="AG413" s="4" t="s">
        <v>810</v>
      </c>
      <c r="AH413" s="8">
        <v>1910008</v>
      </c>
    </row>
    <row r="414" spans="1:34" x14ac:dyDescent="0.25">
      <c r="A414" s="176" t="s">
        <v>1735</v>
      </c>
      <c r="B414" t="s">
        <v>25</v>
      </c>
      <c r="C414" t="s">
        <v>228</v>
      </c>
      <c r="D414" t="s">
        <v>1736</v>
      </c>
      <c r="E414" t="s">
        <v>1737</v>
      </c>
      <c r="F414" t="s">
        <v>1005</v>
      </c>
      <c r="G414" t="s">
        <v>1738</v>
      </c>
      <c r="H414" t="s">
        <v>31</v>
      </c>
      <c r="I414" t="s">
        <v>91</v>
      </c>
      <c r="J414" t="s">
        <v>1156</v>
      </c>
      <c r="K414">
        <v>48875</v>
      </c>
      <c r="L414" s="166">
        <v>1565.8727741687035</v>
      </c>
      <c r="M414">
        <v>47309.13</v>
      </c>
      <c r="N414">
        <v>0</v>
      </c>
      <c r="O414">
        <v>0</v>
      </c>
      <c r="P414">
        <v>0</v>
      </c>
      <c r="Q414" s="166">
        <v>1565.8727741687035</v>
      </c>
      <c r="R414" t="s">
        <v>30</v>
      </c>
      <c r="S414">
        <v>50</v>
      </c>
      <c r="T414">
        <v>93075</v>
      </c>
      <c r="U414" t="s">
        <v>55</v>
      </c>
      <c r="V414" t="s">
        <v>1851</v>
      </c>
      <c r="W414">
        <v>0</v>
      </c>
      <c r="X414" t="s">
        <v>30</v>
      </c>
      <c r="Y414" t="s">
        <v>30</v>
      </c>
      <c r="Z414">
        <v>109500</v>
      </c>
      <c r="AC414" s="4" t="s">
        <v>803</v>
      </c>
      <c r="AD414" s="8">
        <v>19910000</v>
      </c>
      <c r="AE414" s="4" t="s">
        <v>806</v>
      </c>
      <c r="AF414" s="8">
        <v>19910001</v>
      </c>
      <c r="AG414" s="4" t="s">
        <v>809</v>
      </c>
      <c r="AH414" s="8">
        <v>19910001</v>
      </c>
    </row>
    <row r="415" spans="1:34" x14ac:dyDescent="0.25">
      <c r="A415" s="176" t="s">
        <v>1739</v>
      </c>
      <c r="B415" t="s">
        <v>25</v>
      </c>
      <c r="C415" t="s">
        <v>228</v>
      </c>
      <c r="D415" t="s">
        <v>1740</v>
      </c>
      <c r="E415" t="s">
        <v>1741</v>
      </c>
      <c r="F415" t="s">
        <v>982</v>
      </c>
      <c r="G415" t="s">
        <v>1742</v>
      </c>
      <c r="H415" t="s">
        <v>59</v>
      </c>
      <c r="I415" t="s">
        <v>53</v>
      </c>
      <c r="J415" t="s">
        <v>248</v>
      </c>
      <c r="K415">
        <v>44000</v>
      </c>
      <c r="L415" s="166">
        <v>1409.6859757222089</v>
      </c>
      <c r="M415">
        <v>42590.31</v>
      </c>
      <c r="N415">
        <v>0</v>
      </c>
      <c r="O415">
        <v>0</v>
      </c>
      <c r="P415">
        <v>0</v>
      </c>
      <c r="Q415" s="166">
        <v>1409.6859757222089</v>
      </c>
      <c r="R415" t="s">
        <v>30</v>
      </c>
      <c r="S415">
        <v>100</v>
      </c>
      <c r="T415">
        <v>44000</v>
      </c>
      <c r="U415" t="s">
        <v>55</v>
      </c>
      <c r="V415" t="s">
        <v>1852</v>
      </c>
      <c r="W415">
        <v>0</v>
      </c>
      <c r="X415" t="s">
        <v>30</v>
      </c>
      <c r="Y415" t="s">
        <v>30</v>
      </c>
      <c r="Z415">
        <v>55000</v>
      </c>
      <c r="AC415" s="4" t="s">
        <v>805</v>
      </c>
      <c r="AD415" s="8">
        <v>1910000</v>
      </c>
      <c r="AE415" s="4" t="s">
        <v>808</v>
      </c>
      <c r="AF415" s="8">
        <v>1910008</v>
      </c>
      <c r="AG415" s="4" t="s">
        <v>810</v>
      </c>
      <c r="AH415" s="8">
        <v>1910008</v>
      </c>
    </row>
    <row r="416" spans="1:34" x14ac:dyDescent="0.25">
      <c r="A416" s="176" t="s">
        <v>1743</v>
      </c>
      <c r="B416" t="s">
        <v>25</v>
      </c>
      <c r="C416" t="s">
        <v>26</v>
      </c>
      <c r="D416" t="s">
        <v>1744</v>
      </c>
      <c r="E416" t="s">
        <v>1745</v>
      </c>
      <c r="F416" t="s">
        <v>1746</v>
      </c>
      <c r="G416" t="s">
        <v>1747</v>
      </c>
      <c r="H416" t="s">
        <v>31</v>
      </c>
      <c r="I416" t="s">
        <v>53</v>
      </c>
      <c r="J416" t="s">
        <v>1748</v>
      </c>
      <c r="K416">
        <v>48220.25</v>
      </c>
      <c r="L416" s="166">
        <v>0</v>
      </c>
      <c r="M416">
        <v>48220.25</v>
      </c>
      <c r="N416">
        <v>0</v>
      </c>
      <c r="O416">
        <v>0</v>
      </c>
      <c r="P416">
        <v>0</v>
      </c>
      <c r="Q416" s="166">
        <v>1544.8956857004282</v>
      </c>
      <c r="R416" t="s">
        <v>30</v>
      </c>
      <c r="S416">
        <v>50</v>
      </c>
      <c r="T416">
        <v>63750</v>
      </c>
      <c r="U416" t="s">
        <v>62</v>
      </c>
      <c r="V416" t="s">
        <v>1178</v>
      </c>
      <c r="W416">
        <v>0</v>
      </c>
      <c r="X416" t="s">
        <v>30</v>
      </c>
      <c r="Y416" t="s">
        <v>30</v>
      </c>
      <c r="Z416">
        <v>75000</v>
      </c>
      <c r="AC416" s="4" t="s">
        <v>803</v>
      </c>
      <c r="AD416" s="8">
        <v>19910000</v>
      </c>
      <c r="AE416" s="4" t="s">
        <v>806</v>
      </c>
      <c r="AF416" s="8">
        <v>19910001</v>
      </c>
      <c r="AG416" s="4" t="s">
        <v>809</v>
      </c>
      <c r="AH416" s="8">
        <v>19910001</v>
      </c>
    </row>
    <row r="417" spans="1:34" x14ac:dyDescent="0.25">
      <c r="A417" s="176" t="s">
        <v>1749</v>
      </c>
      <c r="B417" t="s">
        <v>25</v>
      </c>
      <c r="C417" t="s">
        <v>26</v>
      </c>
      <c r="D417" t="s">
        <v>1750</v>
      </c>
      <c r="E417" t="s">
        <v>1751</v>
      </c>
      <c r="F417" t="s">
        <v>989</v>
      </c>
      <c r="G417" t="s">
        <v>1752</v>
      </c>
      <c r="H417" t="s">
        <v>31</v>
      </c>
      <c r="I417" t="s">
        <v>53</v>
      </c>
      <c r="J417" t="s">
        <v>1753</v>
      </c>
      <c r="K417">
        <v>25113.279999999999</v>
      </c>
      <c r="L417" s="166">
        <v>804.5872413723871</v>
      </c>
      <c r="M417">
        <v>24308.69</v>
      </c>
      <c r="N417">
        <v>0</v>
      </c>
      <c r="O417">
        <v>0</v>
      </c>
      <c r="P417">
        <v>0</v>
      </c>
      <c r="Q417" s="166">
        <v>804.5872413723871</v>
      </c>
      <c r="R417" t="s">
        <v>30</v>
      </c>
      <c r="S417">
        <v>100</v>
      </c>
      <c r="T417">
        <v>25115</v>
      </c>
      <c r="U417" t="s">
        <v>107</v>
      </c>
      <c r="V417" t="s">
        <v>1853</v>
      </c>
      <c r="W417">
        <v>0</v>
      </c>
      <c r="X417" t="s">
        <v>30</v>
      </c>
      <c r="Y417" t="s">
        <v>30</v>
      </c>
      <c r="Z417">
        <v>33600</v>
      </c>
      <c r="AC417" s="4" t="s">
        <v>803</v>
      </c>
      <c r="AD417" s="8">
        <v>19910000</v>
      </c>
      <c r="AE417" s="4" t="s">
        <v>806</v>
      </c>
      <c r="AF417" s="8">
        <v>19910001</v>
      </c>
      <c r="AG417" s="4" t="s">
        <v>809</v>
      </c>
      <c r="AH417" s="8">
        <v>19910001</v>
      </c>
    </row>
    <row r="418" spans="1:34" x14ac:dyDescent="0.25">
      <c r="A418" s="176" t="s">
        <v>1754</v>
      </c>
      <c r="B418" t="s">
        <v>25</v>
      </c>
      <c r="C418" t="s">
        <v>26</v>
      </c>
      <c r="D418" t="s">
        <v>1755</v>
      </c>
      <c r="E418" t="s">
        <v>1756</v>
      </c>
      <c r="F418" t="s">
        <v>1757</v>
      </c>
      <c r="G418" t="s">
        <v>1758</v>
      </c>
      <c r="H418" t="s">
        <v>31</v>
      </c>
      <c r="I418" t="s">
        <v>53</v>
      </c>
      <c r="J418" t="s">
        <v>1759</v>
      </c>
      <c r="K418">
        <v>64295.5</v>
      </c>
      <c r="L418" s="166">
        <v>2059.9196511828927</v>
      </c>
      <c r="M418">
        <v>62235.58</v>
      </c>
      <c r="N418">
        <v>0</v>
      </c>
      <c r="O418">
        <v>0</v>
      </c>
      <c r="P418">
        <v>0</v>
      </c>
      <c r="Q418" s="166">
        <v>2059.9196511828927</v>
      </c>
      <c r="R418" t="s">
        <v>30</v>
      </c>
      <c r="S418">
        <v>100</v>
      </c>
      <c r="T418">
        <v>73100</v>
      </c>
      <c r="U418" t="s">
        <v>55</v>
      </c>
      <c r="V418" t="s">
        <v>1854</v>
      </c>
      <c r="W418">
        <v>0</v>
      </c>
      <c r="X418" t="s">
        <v>30</v>
      </c>
      <c r="Y418" t="s">
        <v>30</v>
      </c>
      <c r="Z418">
        <v>86000</v>
      </c>
      <c r="AC418" s="4" t="s">
        <v>803</v>
      </c>
      <c r="AD418" s="8">
        <v>19910000</v>
      </c>
      <c r="AE418" s="4" t="s">
        <v>806</v>
      </c>
      <c r="AF418" s="8">
        <v>19910001</v>
      </c>
      <c r="AG418" s="4" t="s">
        <v>809</v>
      </c>
      <c r="AH418" s="8">
        <v>19910001</v>
      </c>
    </row>
    <row r="419" spans="1:34" x14ac:dyDescent="0.25">
      <c r="A419" s="176" t="s">
        <v>1760</v>
      </c>
      <c r="B419" t="s">
        <v>25</v>
      </c>
      <c r="C419" t="s">
        <v>26</v>
      </c>
      <c r="D419" t="s">
        <v>1761</v>
      </c>
      <c r="E419" t="s">
        <v>1762</v>
      </c>
      <c r="F419" t="s">
        <v>1763</v>
      </c>
      <c r="G419" t="s">
        <v>1764</v>
      </c>
      <c r="H419" t="s">
        <v>59</v>
      </c>
      <c r="I419" t="s">
        <v>53</v>
      </c>
      <c r="J419" t="s">
        <v>1765</v>
      </c>
      <c r="K419">
        <v>127401.55</v>
      </c>
      <c r="L419" s="166">
        <v>4081.7313254607225</v>
      </c>
      <c r="M419">
        <v>123319.82</v>
      </c>
      <c r="N419">
        <v>0</v>
      </c>
      <c r="O419">
        <v>0</v>
      </c>
      <c r="P419">
        <v>0</v>
      </c>
      <c r="Q419" s="166">
        <v>4081.7313254607225</v>
      </c>
      <c r="R419" t="s">
        <v>30</v>
      </c>
      <c r="S419">
        <v>100</v>
      </c>
      <c r="T419">
        <v>175700</v>
      </c>
      <c r="U419" t="s">
        <v>113</v>
      </c>
      <c r="V419" t="s">
        <v>1817</v>
      </c>
      <c r="W419">
        <v>0</v>
      </c>
      <c r="X419" t="s">
        <v>30</v>
      </c>
      <c r="Y419" t="s">
        <v>30</v>
      </c>
      <c r="Z419">
        <v>210000</v>
      </c>
      <c r="AC419" s="4" t="s">
        <v>805</v>
      </c>
      <c r="AD419" s="8">
        <v>1910000</v>
      </c>
      <c r="AE419" s="4" t="s">
        <v>808</v>
      </c>
      <c r="AF419" s="8">
        <v>1910008</v>
      </c>
      <c r="AG419" s="4" t="s">
        <v>810</v>
      </c>
      <c r="AH419" s="8">
        <v>1910008</v>
      </c>
    </row>
    <row r="420" spans="1:34" x14ac:dyDescent="0.25">
      <c r="A420" s="176" t="s">
        <v>1766</v>
      </c>
      <c r="B420" t="s">
        <v>25</v>
      </c>
      <c r="C420" t="s">
        <v>228</v>
      </c>
      <c r="D420" t="s">
        <v>1767</v>
      </c>
      <c r="E420" t="s">
        <v>1768</v>
      </c>
      <c r="F420" t="s">
        <v>975</v>
      </c>
      <c r="G420" t="s">
        <v>1769</v>
      </c>
      <c r="H420" t="s">
        <v>31</v>
      </c>
      <c r="I420" t="s">
        <v>53</v>
      </c>
      <c r="J420" t="s">
        <v>1770</v>
      </c>
      <c r="K420">
        <v>428600</v>
      </c>
      <c r="L420" s="166">
        <v>34819.529000000002</v>
      </c>
      <c r="M420">
        <v>393780.47</v>
      </c>
      <c r="N420">
        <v>0</v>
      </c>
      <c r="O420">
        <v>0</v>
      </c>
      <c r="P420">
        <v>27070</v>
      </c>
      <c r="Q420" s="166">
        <v>7749.5290000000005</v>
      </c>
      <c r="R420" t="s">
        <v>30</v>
      </c>
      <c r="S420">
        <v>100</v>
      </c>
      <c r="T420">
        <v>401530</v>
      </c>
      <c r="U420" t="s">
        <v>107</v>
      </c>
      <c r="V420" t="s">
        <v>1855</v>
      </c>
      <c r="W420">
        <v>0</v>
      </c>
      <c r="X420" t="s">
        <v>30</v>
      </c>
      <c r="Y420" t="s">
        <v>30</v>
      </c>
      <c r="Z420">
        <v>471600</v>
      </c>
      <c r="AC420" s="4" t="s">
        <v>803</v>
      </c>
      <c r="AD420" s="8">
        <v>19910000</v>
      </c>
      <c r="AE420" s="4" t="s">
        <v>806</v>
      </c>
      <c r="AF420" s="8">
        <v>19910001</v>
      </c>
      <c r="AG420" s="4" t="s">
        <v>809</v>
      </c>
      <c r="AH420" s="8">
        <v>19910001</v>
      </c>
    </row>
    <row r="421" spans="1:34" x14ac:dyDescent="0.25">
      <c r="A421" s="176" t="s">
        <v>1771</v>
      </c>
      <c r="B421" t="s">
        <v>25</v>
      </c>
      <c r="C421" t="s">
        <v>26</v>
      </c>
      <c r="D421" t="s">
        <v>1772</v>
      </c>
      <c r="E421" t="s">
        <v>1773</v>
      </c>
      <c r="F421" t="s">
        <v>1774</v>
      </c>
      <c r="G421" t="s">
        <v>30</v>
      </c>
      <c r="H421" t="s">
        <v>31</v>
      </c>
      <c r="I421" t="s">
        <v>86</v>
      </c>
      <c r="J421" t="s">
        <v>1775</v>
      </c>
      <c r="K421">
        <v>11500</v>
      </c>
      <c r="L421" s="166">
        <v>0</v>
      </c>
      <c r="M421">
        <v>11500</v>
      </c>
      <c r="N421">
        <v>0</v>
      </c>
      <c r="O421">
        <v>0</v>
      </c>
      <c r="P421">
        <v>0</v>
      </c>
      <c r="Q421" s="166">
        <v>368.44065274557732</v>
      </c>
      <c r="R421" t="s">
        <v>30</v>
      </c>
      <c r="S421">
        <v>100</v>
      </c>
      <c r="T421">
        <v>14900</v>
      </c>
      <c r="U421" t="s">
        <v>113</v>
      </c>
      <c r="V421" t="s">
        <v>1841</v>
      </c>
      <c r="W421">
        <v>0</v>
      </c>
      <c r="X421" t="s">
        <v>30</v>
      </c>
      <c r="Y421" t="s">
        <v>30</v>
      </c>
      <c r="Z421">
        <v>18000</v>
      </c>
      <c r="AC421" s="4" t="s">
        <v>803</v>
      </c>
      <c r="AD421" s="8">
        <v>19910000</v>
      </c>
      <c r="AE421" s="4" t="s">
        <v>806</v>
      </c>
      <c r="AF421" s="8">
        <v>19910001</v>
      </c>
      <c r="AG421" s="4" t="s">
        <v>809</v>
      </c>
      <c r="AH421" s="8">
        <v>19910001</v>
      </c>
    </row>
    <row r="422" spans="1:34" x14ac:dyDescent="0.25">
      <c r="A422" s="176" t="s">
        <v>1776</v>
      </c>
      <c r="B422" t="s">
        <v>25</v>
      </c>
      <c r="C422" t="s">
        <v>26</v>
      </c>
      <c r="D422" t="s">
        <v>1777</v>
      </c>
      <c r="E422" t="s">
        <v>1778</v>
      </c>
      <c r="F422" t="s">
        <v>1779</v>
      </c>
      <c r="G422" t="s">
        <v>1780</v>
      </c>
      <c r="H422" t="s">
        <v>31</v>
      </c>
      <c r="I422" t="s">
        <v>53</v>
      </c>
      <c r="J422" t="s">
        <v>1781</v>
      </c>
      <c r="K422">
        <v>263864.67</v>
      </c>
      <c r="L422" s="166">
        <v>0</v>
      </c>
      <c r="M422">
        <v>263864.67</v>
      </c>
      <c r="N422">
        <v>0</v>
      </c>
      <c r="O422">
        <v>0</v>
      </c>
      <c r="P422">
        <v>0</v>
      </c>
      <c r="Q422" s="166">
        <v>8453.7801088083779</v>
      </c>
      <c r="R422" t="s">
        <v>30</v>
      </c>
      <c r="S422">
        <v>100</v>
      </c>
      <c r="T422">
        <v>399500</v>
      </c>
      <c r="U422" t="s">
        <v>62</v>
      </c>
      <c r="V422" t="s">
        <v>1856</v>
      </c>
      <c r="W422">
        <v>0</v>
      </c>
      <c r="X422" t="s">
        <v>30</v>
      </c>
      <c r="Y422" t="s">
        <v>30</v>
      </c>
      <c r="Z422">
        <v>470000</v>
      </c>
      <c r="AC422" s="4" t="s">
        <v>803</v>
      </c>
      <c r="AD422" s="8">
        <v>19910000</v>
      </c>
      <c r="AE422" s="4" t="s">
        <v>806</v>
      </c>
      <c r="AF422" s="8">
        <v>19910001</v>
      </c>
      <c r="AG422" s="4" t="s">
        <v>809</v>
      </c>
      <c r="AH422" s="8">
        <v>19910001</v>
      </c>
    </row>
    <row r="423" spans="1:34" x14ac:dyDescent="0.25">
      <c r="A423" s="176" t="s">
        <v>1782</v>
      </c>
      <c r="B423" t="s">
        <v>25</v>
      </c>
      <c r="C423" t="s">
        <v>228</v>
      </c>
      <c r="D423" t="s">
        <v>1783</v>
      </c>
      <c r="E423" t="s">
        <v>1784</v>
      </c>
      <c r="F423" t="s">
        <v>1785</v>
      </c>
      <c r="G423" t="s">
        <v>1786</v>
      </c>
      <c r="H423" t="s">
        <v>31</v>
      </c>
      <c r="I423" t="s">
        <v>91</v>
      </c>
      <c r="J423" t="s">
        <v>716</v>
      </c>
      <c r="K423">
        <v>52579.62</v>
      </c>
      <c r="L423" s="166">
        <v>1684.5625664273405</v>
      </c>
      <c r="M423">
        <v>50895.06</v>
      </c>
      <c r="N423">
        <v>0</v>
      </c>
      <c r="O423">
        <v>0</v>
      </c>
      <c r="P423">
        <v>0</v>
      </c>
      <c r="Q423" s="166">
        <v>1684.5625664273405</v>
      </c>
      <c r="R423" t="s">
        <v>30</v>
      </c>
      <c r="S423">
        <v>50</v>
      </c>
      <c r="T423">
        <v>70630</v>
      </c>
      <c r="U423" t="s">
        <v>107</v>
      </c>
      <c r="V423" t="s">
        <v>1857</v>
      </c>
      <c r="W423">
        <v>0</v>
      </c>
      <c r="X423" t="s">
        <v>30</v>
      </c>
      <c r="Y423" t="s">
        <v>30</v>
      </c>
      <c r="Z423">
        <v>83400</v>
      </c>
      <c r="AC423" s="4" t="s">
        <v>803</v>
      </c>
      <c r="AD423" s="8">
        <v>19910000</v>
      </c>
      <c r="AE423" s="4" t="s">
        <v>806</v>
      </c>
      <c r="AF423" s="8">
        <v>19910001</v>
      </c>
      <c r="AG423" s="4" t="s">
        <v>809</v>
      </c>
      <c r="AH423" s="8">
        <v>19910001</v>
      </c>
    </row>
    <row r="424" spans="1:34" x14ac:dyDescent="0.25">
      <c r="A424" s="176" t="s">
        <v>1787</v>
      </c>
      <c r="B424" t="s">
        <v>25</v>
      </c>
      <c r="C424" t="s">
        <v>26</v>
      </c>
      <c r="D424" t="s">
        <v>1788</v>
      </c>
      <c r="E424" t="s">
        <v>1789</v>
      </c>
      <c r="F424" t="s">
        <v>1790</v>
      </c>
      <c r="G424" t="s">
        <v>1791</v>
      </c>
      <c r="H424" t="s">
        <v>31</v>
      </c>
      <c r="I424" t="s">
        <v>53</v>
      </c>
      <c r="J424" t="s">
        <v>1792</v>
      </c>
      <c r="K424">
        <v>58806.05</v>
      </c>
      <c r="L424" s="166">
        <v>1884.0469084686138</v>
      </c>
      <c r="M424">
        <v>56922</v>
      </c>
      <c r="N424">
        <v>0</v>
      </c>
      <c r="O424">
        <v>0</v>
      </c>
      <c r="P424">
        <v>0</v>
      </c>
      <c r="Q424" s="166">
        <v>1884.0469084686138</v>
      </c>
      <c r="R424" t="s">
        <v>30</v>
      </c>
      <c r="S424">
        <v>100</v>
      </c>
      <c r="T424">
        <v>62770</v>
      </c>
      <c r="U424" t="s">
        <v>107</v>
      </c>
      <c r="V424" t="s">
        <v>1858</v>
      </c>
      <c r="W424">
        <v>0</v>
      </c>
      <c r="X424" t="s">
        <v>30</v>
      </c>
      <c r="Y424" t="s">
        <v>30</v>
      </c>
      <c r="Z424">
        <v>78290</v>
      </c>
      <c r="AC424" s="4" t="s">
        <v>803</v>
      </c>
      <c r="AD424" s="8">
        <v>19910000</v>
      </c>
      <c r="AE424" s="4" t="s">
        <v>806</v>
      </c>
      <c r="AF424" s="8">
        <v>19910001</v>
      </c>
      <c r="AG424" s="4" t="s">
        <v>809</v>
      </c>
      <c r="AH424" s="8">
        <v>19910001</v>
      </c>
    </row>
    <row r="425" spans="1:34" x14ac:dyDescent="0.25">
      <c r="A425" s="176" t="s">
        <v>1793</v>
      </c>
      <c r="B425" t="s">
        <v>25</v>
      </c>
      <c r="C425" t="s">
        <v>228</v>
      </c>
      <c r="D425" t="s">
        <v>1794</v>
      </c>
      <c r="E425" t="s">
        <v>1795</v>
      </c>
      <c r="F425" t="s">
        <v>1796</v>
      </c>
      <c r="G425" t="s">
        <v>1797</v>
      </c>
      <c r="H425" t="s">
        <v>59</v>
      </c>
      <c r="I425" t="s">
        <v>86</v>
      </c>
      <c r="J425" t="s">
        <v>1798</v>
      </c>
      <c r="K425">
        <v>95421.7</v>
      </c>
      <c r="L425" s="166">
        <v>3056.4555019067893</v>
      </c>
      <c r="M425">
        <v>92365.24</v>
      </c>
      <c r="N425">
        <v>0</v>
      </c>
      <c r="O425">
        <v>0</v>
      </c>
      <c r="P425">
        <v>21.69999999999709</v>
      </c>
      <c r="Q425" s="166">
        <v>3035.4507333993643</v>
      </c>
      <c r="R425" t="s">
        <v>30</v>
      </c>
      <c r="S425">
        <v>100</v>
      </c>
      <c r="T425">
        <v>95400</v>
      </c>
      <c r="U425" t="s">
        <v>226</v>
      </c>
      <c r="V425" t="s">
        <v>1607</v>
      </c>
      <c r="W425">
        <v>0</v>
      </c>
      <c r="X425" t="s">
        <v>30</v>
      </c>
      <c r="Y425" t="s">
        <v>30</v>
      </c>
      <c r="Z425">
        <v>112000</v>
      </c>
      <c r="AC425" s="4" t="s">
        <v>805</v>
      </c>
      <c r="AD425" s="8">
        <v>1910000</v>
      </c>
      <c r="AE425" s="4" t="s">
        <v>808</v>
      </c>
      <c r="AF425" s="8">
        <v>1910008</v>
      </c>
      <c r="AG425" s="4" t="s">
        <v>810</v>
      </c>
      <c r="AH425" s="8">
        <v>1910008</v>
      </c>
    </row>
    <row r="426" spans="1:34" x14ac:dyDescent="0.25">
      <c r="A426" s="176" t="s">
        <v>1799</v>
      </c>
      <c r="B426" t="s">
        <v>87</v>
      </c>
      <c r="C426" t="s">
        <v>185</v>
      </c>
      <c r="D426" t="s">
        <v>1800</v>
      </c>
      <c r="E426" t="s">
        <v>1801</v>
      </c>
      <c r="F426" t="s">
        <v>30</v>
      </c>
      <c r="G426" t="s">
        <v>1802</v>
      </c>
      <c r="H426" t="s">
        <v>59</v>
      </c>
      <c r="I426" t="s">
        <v>71</v>
      </c>
      <c r="J426" t="s">
        <v>1803</v>
      </c>
      <c r="K426">
        <v>2802889.59</v>
      </c>
      <c r="L426" s="166">
        <v>89799.866966381174</v>
      </c>
      <c r="M426">
        <v>2713089.72</v>
      </c>
      <c r="N426">
        <v>0</v>
      </c>
      <c r="O426">
        <v>0</v>
      </c>
      <c r="P426">
        <v>454.58999999985099</v>
      </c>
      <c r="Q426" s="166">
        <v>89345.276966381323</v>
      </c>
      <c r="R426" t="s">
        <v>30</v>
      </c>
      <c r="S426">
        <v>100</v>
      </c>
      <c r="T426">
        <v>2802435</v>
      </c>
      <c r="U426" t="s">
        <v>107</v>
      </c>
      <c r="V426" t="s">
        <v>1859</v>
      </c>
      <c r="W426">
        <v>0</v>
      </c>
      <c r="X426" t="s">
        <v>30</v>
      </c>
      <c r="Y426" t="s">
        <v>30</v>
      </c>
      <c r="Z426">
        <v>3906800</v>
      </c>
      <c r="AC426" s="4" t="s">
        <v>805</v>
      </c>
      <c r="AD426" s="8">
        <v>1910000</v>
      </c>
      <c r="AE426" s="4" t="s">
        <v>808</v>
      </c>
      <c r="AF426" s="8">
        <v>1910008</v>
      </c>
      <c r="AG426" s="4" t="s">
        <v>810</v>
      </c>
      <c r="AH426" s="8">
        <v>1910008</v>
      </c>
    </row>
    <row r="427" spans="1:34" x14ac:dyDescent="0.25">
      <c r="A427" s="167" t="s">
        <v>801</v>
      </c>
      <c r="H427" s="1" t="s">
        <v>37</v>
      </c>
      <c r="K427">
        <v>4184.25</v>
      </c>
      <c r="L427">
        <v>2504184.25</v>
      </c>
      <c r="P427">
        <v>2504184.25</v>
      </c>
      <c r="AC427" s="4" t="s">
        <v>805</v>
      </c>
      <c r="AD427" s="8">
        <v>1910000</v>
      </c>
      <c r="AE427" s="4" t="s">
        <v>808</v>
      </c>
      <c r="AF427" s="8">
        <v>1910008</v>
      </c>
      <c r="AG427" s="4" t="s">
        <v>810</v>
      </c>
      <c r="AH427" s="8">
        <v>1910008</v>
      </c>
    </row>
    <row r="429" spans="1:34" x14ac:dyDescent="0.25">
      <c r="A429">
        <v>15543</v>
      </c>
      <c r="B429" t="s">
        <v>25</v>
      </c>
      <c r="C429" t="s">
        <v>817</v>
      </c>
      <c r="D429" t="s">
        <v>818</v>
      </c>
      <c r="E429" t="s">
        <v>30</v>
      </c>
      <c r="F429" t="s">
        <v>30</v>
      </c>
      <c r="G429" t="s">
        <v>30</v>
      </c>
      <c r="H429" t="s">
        <v>30</v>
      </c>
      <c r="I429" t="s">
        <v>60</v>
      </c>
      <c r="J429" t="s">
        <v>30</v>
      </c>
      <c r="K429">
        <v>154637</v>
      </c>
      <c r="L429" s="177">
        <v>32337</v>
      </c>
      <c r="M429">
        <v>122300</v>
      </c>
      <c r="N429">
        <v>0</v>
      </c>
      <c r="O429">
        <v>0</v>
      </c>
      <c r="P429">
        <v>32337</v>
      </c>
      <c r="Q429" s="177">
        <v>0</v>
      </c>
      <c r="R429" t="s">
        <v>30</v>
      </c>
      <c r="S429">
        <v>100</v>
      </c>
      <c r="T429">
        <v>122300</v>
      </c>
      <c r="U429" t="s">
        <v>78</v>
      </c>
      <c r="V429" t="s">
        <v>1865</v>
      </c>
      <c r="W429">
        <v>0</v>
      </c>
      <c r="X429" t="s">
        <v>30</v>
      </c>
      <c r="Y429" t="s">
        <v>30</v>
      </c>
      <c r="Z429">
        <v>138700</v>
      </c>
      <c r="AC429" s="5" t="s">
        <v>862</v>
      </c>
      <c r="AD429" s="8">
        <v>19911000</v>
      </c>
      <c r="AE429" s="5" t="s">
        <v>863</v>
      </c>
      <c r="AF429" s="8">
        <v>19911001</v>
      </c>
      <c r="AG429" s="4" t="s">
        <v>864</v>
      </c>
      <c r="AH429" s="8">
        <v>19911001</v>
      </c>
    </row>
    <row r="430" spans="1:34" x14ac:dyDescent="0.25">
      <c r="A430">
        <v>15546</v>
      </c>
      <c r="B430" t="s">
        <v>25</v>
      </c>
      <c r="C430" t="s">
        <v>817</v>
      </c>
      <c r="D430" t="s">
        <v>819</v>
      </c>
      <c r="E430" t="s">
        <v>30</v>
      </c>
      <c r="F430" t="s">
        <v>30</v>
      </c>
      <c r="G430" t="s">
        <v>30</v>
      </c>
      <c r="H430" t="s">
        <v>30</v>
      </c>
      <c r="I430" t="s">
        <v>60</v>
      </c>
      <c r="J430" t="s">
        <v>30</v>
      </c>
      <c r="K430">
        <v>186463.27</v>
      </c>
      <c r="L430" s="177">
        <v>74263.26999999999</v>
      </c>
      <c r="M430">
        <v>112200</v>
      </c>
      <c r="N430">
        <v>0</v>
      </c>
      <c r="O430">
        <v>0</v>
      </c>
      <c r="P430">
        <v>74263.26999999999</v>
      </c>
      <c r="Q430" s="177">
        <v>0</v>
      </c>
      <c r="R430" t="s">
        <v>30</v>
      </c>
      <c r="S430">
        <v>100</v>
      </c>
      <c r="T430">
        <v>112200</v>
      </c>
      <c r="U430" t="s">
        <v>78</v>
      </c>
      <c r="V430" t="s">
        <v>1865</v>
      </c>
      <c r="W430">
        <v>0</v>
      </c>
      <c r="X430" t="s">
        <v>30</v>
      </c>
      <c r="Y430" t="s">
        <v>30</v>
      </c>
      <c r="Z430">
        <v>127300</v>
      </c>
      <c r="AC430" s="5" t="s">
        <v>862</v>
      </c>
      <c r="AD430" s="8">
        <v>19911000</v>
      </c>
      <c r="AE430" s="5" t="s">
        <v>863</v>
      </c>
      <c r="AF430" s="8">
        <v>19911001</v>
      </c>
      <c r="AG430" s="4" t="s">
        <v>864</v>
      </c>
      <c r="AH430" s="8">
        <v>19911001</v>
      </c>
    </row>
    <row r="431" spans="1:34" x14ac:dyDescent="0.25">
      <c r="A431">
        <v>15563</v>
      </c>
      <c r="B431" t="s">
        <v>25</v>
      </c>
      <c r="C431" t="s">
        <v>817</v>
      </c>
      <c r="D431" t="s">
        <v>820</v>
      </c>
      <c r="E431" t="s">
        <v>30</v>
      </c>
      <c r="F431" t="s">
        <v>30</v>
      </c>
      <c r="G431" t="s">
        <v>30</v>
      </c>
      <c r="H431" t="s">
        <v>30</v>
      </c>
      <c r="I431" t="s">
        <v>86</v>
      </c>
      <c r="J431" t="s">
        <v>30</v>
      </c>
      <c r="K431">
        <v>100811.37</v>
      </c>
      <c r="L431" s="177">
        <v>56625.869999999995</v>
      </c>
      <c r="M431">
        <v>44185.5</v>
      </c>
      <c r="N431">
        <v>0</v>
      </c>
      <c r="O431">
        <v>0</v>
      </c>
      <c r="P431">
        <v>51716.369999999995</v>
      </c>
      <c r="Q431" s="177">
        <v>4909.5</v>
      </c>
      <c r="R431" t="s">
        <v>30</v>
      </c>
      <c r="S431">
        <v>100</v>
      </c>
      <c r="T431">
        <v>49095</v>
      </c>
      <c r="U431" t="s">
        <v>107</v>
      </c>
      <c r="V431" t="s">
        <v>1582</v>
      </c>
      <c r="W431">
        <v>0</v>
      </c>
      <c r="X431" t="s">
        <v>30</v>
      </c>
      <c r="Y431" t="s">
        <v>30</v>
      </c>
      <c r="Z431">
        <v>62700</v>
      </c>
      <c r="AC431" s="5" t="s">
        <v>862</v>
      </c>
      <c r="AD431" s="8">
        <v>19911000</v>
      </c>
      <c r="AE431" s="5" t="s">
        <v>863</v>
      </c>
      <c r="AF431" s="8">
        <v>19911001</v>
      </c>
      <c r="AG431" s="4" t="s">
        <v>864</v>
      </c>
      <c r="AH431" s="8">
        <v>19911001</v>
      </c>
    </row>
    <row r="432" spans="1:34" x14ac:dyDescent="0.25">
      <c r="A432">
        <v>15568</v>
      </c>
      <c r="B432" t="s">
        <v>25</v>
      </c>
      <c r="C432" t="s">
        <v>817</v>
      </c>
      <c r="D432" t="s">
        <v>821</v>
      </c>
      <c r="E432" t="s">
        <v>30</v>
      </c>
      <c r="F432" t="s">
        <v>30</v>
      </c>
      <c r="G432" t="s">
        <v>30</v>
      </c>
      <c r="H432" t="s">
        <v>59</v>
      </c>
      <c r="I432" t="s">
        <v>86</v>
      </c>
      <c r="J432" t="s">
        <v>30</v>
      </c>
      <c r="K432">
        <v>333653.8</v>
      </c>
      <c r="L432" s="177">
        <v>169746.11949999997</v>
      </c>
      <c r="M432">
        <v>163907.68</v>
      </c>
      <c r="N432">
        <v>0</v>
      </c>
      <c r="O432">
        <v>0</v>
      </c>
      <c r="P432">
        <v>112253.79999999999</v>
      </c>
      <c r="Q432" s="177">
        <v>31932.319499999998</v>
      </c>
      <c r="R432" t="s">
        <v>30</v>
      </c>
      <c r="S432">
        <v>100</v>
      </c>
      <c r="T432">
        <v>221400</v>
      </c>
      <c r="U432" t="s">
        <v>113</v>
      </c>
      <c r="V432" t="s">
        <v>1826</v>
      </c>
      <c r="W432">
        <v>0</v>
      </c>
      <c r="X432" t="s">
        <v>30</v>
      </c>
      <c r="Y432" t="s">
        <v>30</v>
      </c>
      <c r="Z432">
        <v>274000</v>
      </c>
      <c r="AC432" s="5" t="s">
        <v>862</v>
      </c>
      <c r="AD432" s="8">
        <v>19911000</v>
      </c>
      <c r="AE432" s="5" t="s">
        <v>863</v>
      </c>
      <c r="AF432" s="8">
        <v>19911001</v>
      </c>
      <c r="AG432" s="4" t="s">
        <v>864</v>
      </c>
      <c r="AH432" s="8">
        <v>19911001</v>
      </c>
    </row>
    <row r="433" spans="1:34" x14ac:dyDescent="0.25">
      <c r="A433">
        <v>16534</v>
      </c>
      <c r="B433" t="s">
        <v>25</v>
      </c>
      <c r="C433" t="s">
        <v>817</v>
      </c>
      <c r="D433" t="s">
        <v>822</v>
      </c>
      <c r="E433" t="s">
        <v>30</v>
      </c>
      <c r="F433" t="s">
        <v>30</v>
      </c>
      <c r="G433" t="s">
        <v>30</v>
      </c>
      <c r="H433" t="s">
        <v>59</v>
      </c>
      <c r="I433" t="s">
        <v>86</v>
      </c>
      <c r="J433" t="s">
        <v>97</v>
      </c>
      <c r="K433">
        <v>614802.72</v>
      </c>
      <c r="L433" s="177">
        <v>427416.29849999998</v>
      </c>
      <c r="M433">
        <v>187386.42</v>
      </c>
      <c r="N433">
        <v>0</v>
      </c>
      <c r="O433">
        <v>0</v>
      </c>
      <c r="P433">
        <v>370102.72</v>
      </c>
      <c r="Q433" s="177">
        <v>57313.578499999996</v>
      </c>
      <c r="R433" t="s">
        <v>30</v>
      </c>
      <c r="S433">
        <v>100</v>
      </c>
      <c r="T433">
        <v>244700</v>
      </c>
      <c r="U433" t="s">
        <v>122</v>
      </c>
      <c r="V433" t="s">
        <v>1584</v>
      </c>
      <c r="W433">
        <v>0</v>
      </c>
      <c r="X433" t="s">
        <v>30</v>
      </c>
      <c r="Y433" t="s">
        <v>30</v>
      </c>
      <c r="Z433">
        <v>293900</v>
      </c>
      <c r="AC433" s="5" t="s">
        <v>862</v>
      </c>
      <c r="AD433" s="8">
        <v>19911000</v>
      </c>
      <c r="AE433" s="5" t="s">
        <v>863</v>
      </c>
      <c r="AF433" s="8">
        <v>19911001</v>
      </c>
      <c r="AG433" s="4" t="s">
        <v>864</v>
      </c>
      <c r="AH433" s="8">
        <v>19911001</v>
      </c>
    </row>
    <row r="434" spans="1:34" x14ac:dyDescent="0.25">
      <c r="A434">
        <v>25031</v>
      </c>
      <c r="B434" t="s">
        <v>25</v>
      </c>
      <c r="C434" t="s">
        <v>823</v>
      </c>
      <c r="D434" t="s">
        <v>824</v>
      </c>
      <c r="E434" t="s">
        <v>30</v>
      </c>
      <c r="F434" t="s">
        <v>30</v>
      </c>
      <c r="G434" t="s">
        <v>30</v>
      </c>
      <c r="H434" t="s">
        <v>59</v>
      </c>
      <c r="I434" t="s">
        <v>86</v>
      </c>
      <c r="J434" t="s">
        <v>97</v>
      </c>
      <c r="K434">
        <v>213666.35</v>
      </c>
      <c r="L434" s="177">
        <v>161671.86499999999</v>
      </c>
      <c r="M434">
        <v>51994.48</v>
      </c>
      <c r="N434">
        <v>0</v>
      </c>
      <c r="O434">
        <v>0</v>
      </c>
      <c r="P434">
        <v>96166.35</v>
      </c>
      <c r="Q434" s="177">
        <v>65505.514999999992</v>
      </c>
      <c r="R434" t="s">
        <v>30</v>
      </c>
      <c r="S434">
        <v>100</v>
      </c>
      <c r="T434">
        <v>117500</v>
      </c>
      <c r="U434" t="s">
        <v>122</v>
      </c>
      <c r="V434" t="s">
        <v>1591</v>
      </c>
      <c r="W434">
        <v>0</v>
      </c>
      <c r="X434" t="s">
        <v>30</v>
      </c>
      <c r="Y434" t="s">
        <v>30</v>
      </c>
      <c r="Z434">
        <v>140600</v>
      </c>
      <c r="AC434" s="5" t="s">
        <v>862</v>
      </c>
      <c r="AD434" s="8">
        <v>19911000</v>
      </c>
      <c r="AE434" s="5" t="s">
        <v>863</v>
      </c>
      <c r="AF434" s="8">
        <v>19911001</v>
      </c>
      <c r="AG434" s="4" t="s">
        <v>864</v>
      </c>
      <c r="AH434" s="8">
        <v>19911001</v>
      </c>
    </row>
    <row r="435" spans="1:34" x14ac:dyDescent="0.25">
      <c r="A435">
        <v>25708</v>
      </c>
      <c r="B435" t="s">
        <v>25</v>
      </c>
      <c r="C435" t="s">
        <v>817</v>
      </c>
      <c r="D435" t="s">
        <v>825</v>
      </c>
      <c r="E435" t="s">
        <v>30</v>
      </c>
      <c r="F435" t="s">
        <v>30</v>
      </c>
      <c r="G435" t="s">
        <v>30</v>
      </c>
      <c r="H435" t="s">
        <v>37</v>
      </c>
      <c r="I435" t="s">
        <v>86</v>
      </c>
      <c r="J435" t="s">
        <v>97</v>
      </c>
      <c r="K435">
        <v>489543.64</v>
      </c>
      <c r="L435" s="177">
        <v>114543.64000000001</v>
      </c>
      <c r="M435">
        <v>375000</v>
      </c>
      <c r="N435">
        <v>37500</v>
      </c>
      <c r="O435">
        <v>375000</v>
      </c>
      <c r="P435">
        <v>114543.64000000001</v>
      </c>
      <c r="Q435" s="177">
        <v>0</v>
      </c>
      <c r="R435" t="s">
        <v>1851</v>
      </c>
      <c r="S435">
        <v>100</v>
      </c>
      <c r="T435">
        <v>374000</v>
      </c>
      <c r="U435" t="s">
        <v>107</v>
      </c>
      <c r="V435" t="s">
        <v>1580</v>
      </c>
      <c r="W435">
        <v>0</v>
      </c>
      <c r="X435" t="s">
        <v>30</v>
      </c>
      <c r="Y435" t="s">
        <v>30</v>
      </c>
      <c r="Z435">
        <v>474200</v>
      </c>
      <c r="AC435" s="5" t="s">
        <v>862</v>
      </c>
      <c r="AD435" s="8">
        <v>19911000</v>
      </c>
      <c r="AE435" s="5" t="s">
        <v>863</v>
      </c>
      <c r="AF435" s="8">
        <v>19911001</v>
      </c>
      <c r="AG435" s="4" t="s">
        <v>864</v>
      </c>
      <c r="AH435" s="8">
        <v>19911001</v>
      </c>
    </row>
    <row r="436" spans="1:34" x14ac:dyDescent="0.25">
      <c r="A436">
        <v>25710</v>
      </c>
      <c r="B436" t="s">
        <v>25</v>
      </c>
      <c r="C436" t="s">
        <v>817</v>
      </c>
      <c r="D436" t="s">
        <v>826</v>
      </c>
      <c r="E436" t="s">
        <v>30</v>
      </c>
      <c r="F436" t="s">
        <v>30</v>
      </c>
      <c r="G436" t="s">
        <v>30</v>
      </c>
      <c r="H436" t="s">
        <v>31</v>
      </c>
      <c r="I436" t="s">
        <v>86</v>
      </c>
      <c r="J436" t="s">
        <v>30</v>
      </c>
      <c r="K436">
        <v>213431.04000000001</v>
      </c>
      <c r="L436" s="177">
        <v>170543.48499999999</v>
      </c>
      <c r="M436">
        <v>42887.55</v>
      </c>
      <c r="N436">
        <v>0</v>
      </c>
      <c r="O436">
        <v>0</v>
      </c>
      <c r="P436">
        <v>149731.04</v>
      </c>
      <c r="Q436" s="177">
        <v>20812.444999999992</v>
      </c>
      <c r="R436" t="s">
        <v>30</v>
      </c>
      <c r="S436">
        <v>100</v>
      </c>
      <c r="T436">
        <v>63700</v>
      </c>
      <c r="U436" t="s">
        <v>122</v>
      </c>
      <c r="V436" t="s">
        <v>1849</v>
      </c>
      <c r="W436">
        <v>0</v>
      </c>
      <c r="X436" t="s">
        <v>30</v>
      </c>
      <c r="Y436" t="s">
        <v>30</v>
      </c>
      <c r="Z436">
        <v>71800</v>
      </c>
      <c r="AC436" s="5" t="s">
        <v>862</v>
      </c>
      <c r="AD436" s="8">
        <v>19911000</v>
      </c>
      <c r="AE436" s="5" t="s">
        <v>863</v>
      </c>
      <c r="AF436" s="8">
        <v>19911001</v>
      </c>
      <c r="AG436" s="4" t="s">
        <v>864</v>
      </c>
      <c r="AH436" s="8">
        <v>19911001</v>
      </c>
    </row>
    <row r="437" spans="1:34" x14ac:dyDescent="0.25">
      <c r="A437">
        <v>26117</v>
      </c>
      <c r="B437" t="s">
        <v>25</v>
      </c>
      <c r="C437" t="s">
        <v>827</v>
      </c>
      <c r="D437" t="s">
        <v>828</v>
      </c>
      <c r="E437" t="s">
        <v>30</v>
      </c>
      <c r="F437" t="s">
        <v>30</v>
      </c>
      <c r="G437" t="s">
        <v>30</v>
      </c>
      <c r="H437" t="s">
        <v>59</v>
      </c>
      <c r="I437" t="s">
        <v>86</v>
      </c>
      <c r="J437" t="s">
        <v>30</v>
      </c>
      <c r="K437">
        <v>332240.15999999997</v>
      </c>
      <c r="L437" s="177">
        <v>285940.15999999997</v>
      </c>
      <c r="M437">
        <v>46300</v>
      </c>
      <c r="N437">
        <v>0</v>
      </c>
      <c r="O437">
        <v>0</v>
      </c>
      <c r="P437">
        <v>261740.15999999997</v>
      </c>
      <c r="Q437" s="177">
        <v>19400</v>
      </c>
      <c r="R437" t="s">
        <v>30</v>
      </c>
      <c r="S437">
        <v>100</v>
      </c>
      <c r="T437">
        <v>70500</v>
      </c>
      <c r="U437" t="s">
        <v>120</v>
      </c>
      <c r="V437" t="s">
        <v>1808</v>
      </c>
      <c r="W437">
        <v>0</v>
      </c>
      <c r="X437" t="s">
        <v>30</v>
      </c>
      <c r="Y437" t="s">
        <v>30</v>
      </c>
      <c r="Z437">
        <v>92500</v>
      </c>
      <c r="AC437" s="5" t="s">
        <v>862</v>
      </c>
      <c r="AD437" s="8">
        <v>19911000</v>
      </c>
      <c r="AE437" s="5" t="s">
        <v>863</v>
      </c>
      <c r="AF437" s="8">
        <v>19911001</v>
      </c>
      <c r="AG437" s="4" t="s">
        <v>864</v>
      </c>
      <c r="AH437" s="8">
        <v>19911001</v>
      </c>
    </row>
    <row r="438" spans="1:34" x14ac:dyDescent="0.25">
      <c r="A438">
        <v>26474</v>
      </c>
      <c r="B438" t="s">
        <v>25</v>
      </c>
      <c r="C438" t="s">
        <v>817</v>
      </c>
      <c r="D438" t="s">
        <v>829</v>
      </c>
      <c r="E438" t="s">
        <v>30</v>
      </c>
      <c r="F438" t="s">
        <v>30</v>
      </c>
      <c r="G438" t="s">
        <v>30</v>
      </c>
      <c r="H438" t="s">
        <v>31</v>
      </c>
      <c r="I438" t="s">
        <v>86</v>
      </c>
      <c r="J438" t="s">
        <v>30</v>
      </c>
      <c r="K438">
        <v>567453.81999999995</v>
      </c>
      <c r="L438" s="177">
        <v>347388.81999999995</v>
      </c>
      <c r="M438">
        <v>220065</v>
      </c>
      <c r="N438">
        <v>0</v>
      </c>
      <c r="O438">
        <v>0</v>
      </c>
      <c r="P438">
        <v>306198.81999999995</v>
      </c>
      <c r="Q438" s="177">
        <v>41190</v>
      </c>
      <c r="R438" t="s">
        <v>30</v>
      </c>
      <c r="S438">
        <v>100</v>
      </c>
      <c r="T438">
        <v>261255</v>
      </c>
      <c r="U438" t="s">
        <v>107</v>
      </c>
      <c r="V438" t="s">
        <v>1866</v>
      </c>
      <c r="W438">
        <v>0</v>
      </c>
      <c r="X438" t="s">
        <v>30</v>
      </c>
      <c r="Y438" t="s">
        <v>30</v>
      </c>
      <c r="Z438">
        <v>315000</v>
      </c>
      <c r="AC438" s="5" t="s">
        <v>862</v>
      </c>
      <c r="AD438" s="8">
        <v>19911000</v>
      </c>
      <c r="AE438" s="5" t="s">
        <v>863</v>
      </c>
      <c r="AF438" s="8">
        <v>19911001</v>
      </c>
      <c r="AG438" s="4" t="s">
        <v>864</v>
      </c>
      <c r="AH438" s="8">
        <v>19911001</v>
      </c>
    </row>
    <row r="439" spans="1:34" x14ac:dyDescent="0.25">
      <c r="A439">
        <v>26494</v>
      </c>
      <c r="B439" t="s">
        <v>25</v>
      </c>
      <c r="C439" t="s">
        <v>817</v>
      </c>
      <c r="D439" t="s">
        <v>830</v>
      </c>
      <c r="E439" t="s">
        <v>30</v>
      </c>
      <c r="F439" t="s">
        <v>30</v>
      </c>
      <c r="G439" t="s">
        <v>30</v>
      </c>
      <c r="H439" t="s">
        <v>59</v>
      </c>
      <c r="I439" t="s">
        <v>86</v>
      </c>
      <c r="J439" t="s">
        <v>30</v>
      </c>
      <c r="K439">
        <v>69723.34</v>
      </c>
      <c r="L439" s="177">
        <v>17430.834999999999</v>
      </c>
      <c r="M439">
        <v>52292.5</v>
      </c>
      <c r="N439">
        <v>0</v>
      </c>
      <c r="O439">
        <v>0</v>
      </c>
      <c r="P439">
        <v>0</v>
      </c>
      <c r="Q439" s="177">
        <v>17430.834999999999</v>
      </c>
      <c r="R439" t="s">
        <v>30</v>
      </c>
      <c r="S439">
        <v>100</v>
      </c>
      <c r="T439">
        <v>117800</v>
      </c>
      <c r="U439" t="s">
        <v>107</v>
      </c>
      <c r="V439" t="s">
        <v>1581</v>
      </c>
      <c r="W439">
        <v>0</v>
      </c>
      <c r="X439" t="s">
        <v>30</v>
      </c>
      <c r="Y439" t="s">
        <v>30</v>
      </c>
      <c r="Z439">
        <v>150700</v>
      </c>
      <c r="AC439" s="5" t="s">
        <v>862</v>
      </c>
      <c r="AD439" s="8">
        <v>19911000</v>
      </c>
      <c r="AE439" s="5" t="s">
        <v>863</v>
      </c>
      <c r="AF439" s="8">
        <v>19911001</v>
      </c>
      <c r="AG439" s="4" t="s">
        <v>864</v>
      </c>
      <c r="AH439" s="8">
        <v>19911001</v>
      </c>
    </row>
    <row r="440" spans="1:34" x14ac:dyDescent="0.25">
      <c r="A440">
        <v>26554</v>
      </c>
      <c r="B440" t="s">
        <v>25</v>
      </c>
      <c r="C440" t="s">
        <v>827</v>
      </c>
      <c r="D440" t="s">
        <v>831</v>
      </c>
      <c r="E440" t="s">
        <v>30</v>
      </c>
      <c r="F440" t="s">
        <v>30</v>
      </c>
      <c r="G440" t="s">
        <v>30</v>
      </c>
      <c r="H440" t="s">
        <v>59</v>
      </c>
      <c r="I440" t="s">
        <v>86</v>
      </c>
      <c r="J440" t="s">
        <v>97</v>
      </c>
      <c r="K440">
        <v>421551.13</v>
      </c>
      <c r="L440" s="177">
        <v>193851.13</v>
      </c>
      <c r="M440">
        <v>227700</v>
      </c>
      <c r="N440">
        <v>0</v>
      </c>
      <c r="O440">
        <v>0</v>
      </c>
      <c r="P440">
        <v>168551.13</v>
      </c>
      <c r="Q440" s="177">
        <v>25300</v>
      </c>
      <c r="R440" t="s">
        <v>30</v>
      </c>
      <c r="S440">
        <v>100</v>
      </c>
      <c r="T440">
        <v>253000</v>
      </c>
      <c r="U440" t="s">
        <v>120</v>
      </c>
      <c r="V440" t="s">
        <v>1661</v>
      </c>
      <c r="W440">
        <v>0</v>
      </c>
      <c r="X440" t="s">
        <v>30</v>
      </c>
      <c r="Y440" t="s">
        <v>30</v>
      </c>
      <c r="Z440">
        <v>310000</v>
      </c>
      <c r="AC440" s="5" t="s">
        <v>862</v>
      </c>
      <c r="AD440" s="8">
        <v>19911000</v>
      </c>
      <c r="AE440" s="5" t="s">
        <v>863</v>
      </c>
      <c r="AF440" s="8">
        <v>19911001</v>
      </c>
      <c r="AG440" s="4" t="s">
        <v>864</v>
      </c>
      <c r="AH440" s="8">
        <v>19911001</v>
      </c>
    </row>
    <row r="441" spans="1:34" x14ac:dyDescent="0.25">
      <c r="A441">
        <v>26594</v>
      </c>
      <c r="B441" t="s">
        <v>25</v>
      </c>
      <c r="C441" t="s">
        <v>827</v>
      </c>
      <c r="D441" t="s">
        <v>832</v>
      </c>
      <c r="E441" t="s">
        <v>30</v>
      </c>
      <c r="F441" t="s">
        <v>30</v>
      </c>
      <c r="G441" t="s">
        <v>30</v>
      </c>
      <c r="H441" t="s">
        <v>37</v>
      </c>
      <c r="I441" t="s">
        <v>86</v>
      </c>
      <c r="J441" t="s">
        <v>97</v>
      </c>
      <c r="K441">
        <v>188613.62</v>
      </c>
      <c r="L441" s="177">
        <v>132821.30900000001</v>
      </c>
      <c r="M441">
        <v>55792.31</v>
      </c>
      <c r="N441">
        <v>1372.5</v>
      </c>
      <c r="O441">
        <v>91500</v>
      </c>
      <c r="P441">
        <v>97113.62</v>
      </c>
      <c r="Q441" s="177">
        <v>0</v>
      </c>
      <c r="R441" t="s">
        <v>1810</v>
      </c>
      <c r="S441">
        <v>100</v>
      </c>
      <c r="T441">
        <v>76000</v>
      </c>
      <c r="U441" t="s">
        <v>226</v>
      </c>
      <c r="V441" t="s">
        <v>1662</v>
      </c>
      <c r="W441">
        <v>0</v>
      </c>
      <c r="X441" t="s">
        <v>30</v>
      </c>
      <c r="Y441" t="s">
        <v>30</v>
      </c>
      <c r="Z441">
        <v>97000</v>
      </c>
      <c r="AC441" s="5" t="s">
        <v>862</v>
      </c>
      <c r="AD441" s="8">
        <v>19911000</v>
      </c>
      <c r="AE441" s="5" t="s">
        <v>863</v>
      </c>
      <c r="AF441" s="8">
        <v>19911001</v>
      </c>
      <c r="AG441" s="4" t="s">
        <v>864</v>
      </c>
      <c r="AH441" s="8">
        <v>19911001</v>
      </c>
    </row>
    <row r="442" spans="1:34" x14ac:dyDescent="0.25">
      <c r="A442">
        <v>26595</v>
      </c>
      <c r="B442" t="s">
        <v>25</v>
      </c>
      <c r="C442" t="s">
        <v>827</v>
      </c>
      <c r="D442" t="s">
        <v>833</v>
      </c>
      <c r="E442" t="s">
        <v>30</v>
      </c>
      <c r="F442" t="s">
        <v>30</v>
      </c>
      <c r="G442" t="s">
        <v>30</v>
      </c>
      <c r="H442" t="s">
        <v>37</v>
      </c>
      <c r="I442" t="s">
        <v>38</v>
      </c>
      <c r="J442" t="s">
        <v>97</v>
      </c>
      <c r="K442">
        <v>128332.28</v>
      </c>
      <c r="L442" s="177">
        <v>123053.8805</v>
      </c>
      <c r="M442">
        <v>5278.4</v>
      </c>
      <c r="N442">
        <v>127.5</v>
      </c>
      <c r="O442">
        <v>8500</v>
      </c>
      <c r="P442">
        <v>119832.28</v>
      </c>
      <c r="Q442" s="177">
        <v>0</v>
      </c>
      <c r="R442" t="s">
        <v>1810</v>
      </c>
      <c r="S442">
        <v>100</v>
      </c>
      <c r="T442">
        <v>7000</v>
      </c>
      <c r="U442" t="s">
        <v>226</v>
      </c>
      <c r="V442" t="s">
        <v>1662</v>
      </c>
      <c r="W442">
        <v>0</v>
      </c>
      <c r="X442" t="s">
        <v>30</v>
      </c>
      <c r="Y442" t="s">
        <v>30</v>
      </c>
      <c r="Z442">
        <v>9000</v>
      </c>
      <c r="AC442" s="5" t="s">
        <v>862</v>
      </c>
      <c r="AD442" s="8">
        <v>19911000</v>
      </c>
      <c r="AE442" s="5" t="s">
        <v>863</v>
      </c>
      <c r="AF442" s="8">
        <v>19911001</v>
      </c>
      <c r="AG442" s="4" t="s">
        <v>864</v>
      </c>
      <c r="AH442" s="8">
        <v>19911001</v>
      </c>
    </row>
    <row r="443" spans="1:34" x14ac:dyDescent="0.25">
      <c r="A443">
        <v>26626</v>
      </c>
      <c r="B443" t="s">
        <v>25</v>
      </c>
      <c r="C443" t="s">
        <v>817</v>
      </c>
      <c r="D443" t="s">
        <v>834</v>
      </c>
      <c r="E443" t="s">
        <v>30</v>
      </c>
      <c r="F443" t="s">
        <v>30</v>
      </c>
      <c r="G443" t="s">
        <v>30</v>
      </c>
      <c r="H443" t="s">
        <v>59</v>
      </c>
      <c r="I443" t="s">
        <v>86</v>
      </c>
      <c r="J443" t="s">
        <v>97</v>
      </c>
      <c r="K443">
        <v>143872.57999999999</v>
      </c>
      <c r="L443" s="177">
        <v>98692.479999999981</v>
      </c>
      <c r="M443">
        <v>45180.1</v>
      </c>
      <c r="N443">
        <v>0</v>
      </c>
      <c r="O443">
        <v>0</v>
      </c>
      <c r="P443">
        <v>88417.579999999987</v>
      </c>
      <c r="Q443" s="177">
        <v>5570.9</v>
      </c>
      <c r="R443" t="s">
        <v>30</v>
      </c>
      <c r="S443">
        <v>100</v>
      </c>
      <c r="T443">
        <v>55455</v>
      </c>
      <c r="U443" t="s">
        <v>34</v>
      </c>
      <c r="V443" t="s">
        <v>1814</v>
      </c>
      <c r="W443">
        <v>0</v>
      </c>
      <c r="X443" t="s">
        <v>30</v>
      </c>
      <c r="Y443" t="s">
        <v>30</v>
      </c>
      <c r="Z443">
        <v>70340</v>
      </c>
      <c r="AC443" s="5" t="s">
        <v>862</v>
      </c>
      <c r="AD443" s="8">
        <v>19911000</v>
      </c>
      <c r="AE443" s="5" t="s">
        <v>863</v>
      </c>
      <c r="AF443" s="8">
        <v>19911001</v>
      </c>
      <c r="AG443" s="4" t="s">
        <v>864</v>
      </c>
      <c r="AH443" s="8">
        <v>19911001</v>
      </c>
    </row>
    <row r="444" spans="1:34" x14ac:dyDescent="0.25">
      <c r="A444">
        <v>26627</v>
      </c>
      <c r="B444" t="s">
        <v>25</v>
      </c>
      <c r="C444" t="s">
        <v>817</v>
      </c>
      <c r="D444" t="s">
        <v>835</v>
      </c>
      <c r="E444" t="s">
        <v>30</v>
      </c>
      <c r="F444" t="s">
        <v>30</v>
      </c>
      <c r="G444" t="s">
        <v>30</v>
      </c>
      <c r="H444" t="s">
        <v>59</v>
      </c>
      <c r="I444" t="s">
        <v>86</v>
      </c>
      <c r="J444" t="s">
        <v>97</v>
      </c>
      <c r="K444">
        <v>140361.04</v>
      </c>
      <c r="L444" s="177">
        <v>96230.387000000002</v>
      </c>
      <c r="M444">
        <v>44130.65</v>
      </c>
      <c r="N444">
        <v>0</v>
      </c>
      <c r="O444">
        <v>0</v>
      </c>
      <c r="P444">
        <v>83711.040000000008</v>
      </c>
      <c r="Q444" s="177">
        <v>5441.3470000000007</v>
      </c>
      <c r="R444" t="s">
        <v>30</v>
      </c>
      <c r="S444">
        <v>100</v>
      </c>
      <c r="T444">
        <v>56650</v>
      </c>
      <c r="U444" t="s">
        <v>34</v>
      </c>
      <c r="V444" t="s">
        <v>1814</v>
      </c>
      <c r="W444">
        <v>0</v>
      </c>
      <c r="X444" t="s">
        <v>30</v>
      </c>
      <c r="Y444" t="s">
        <v>30</v>
      </c>
      <c r="Z444">
        <v>71860</v>
      </c>
      <c r="AC444" s="5" t="s">
        <v>862</v>
      </c>
      <c r="AD444" s="8">
        <v>19911000</v>
      </c>
      <c r="AE444" s="5" t="s">
        <v>863</v>
      </c>
      <c r="AF444" s="8">
        <v>19911001</v>
      </c>
      <c r="AG444" s="4" t="s">
        <v>864</v>
      </c>
      <c r="AH444" s="8">
        <v>19911001</v>
      </c>
    </row>
    <row r="445" spans="1:34" x14ac:dyDescent="0.25">
      <c r="A445">
        <v>26645</v>
      </c>
      <c r="B445" t="s">
        <v>25</v>
      </c>
      <c r="C445" t="s">
        <v>827</v>
      </c>
      <c r="D445" t="s">
        <v>836</v>
      </c>
      <c r="E445" t="s">
        <v>30</v>
      </c>
      <c r="F445" t="s">
        <v>30</v>
      </c>
      <c r="G445" t="s">
        <v>30</v>
      </c>
      <c r="H445" t="s">
        <v>59</v>
      </c>
      <c r="I445" t="s">
        <v>86</v>
      </c>
      <c r="J445" t="s">
        <v>97</v>
      </c>
      <c r="K445">
        <v>211191.52</v>
      </c>
      <c r="L445" s="177">
        <v>128831.541</v>
      </c>
      <c r="M445">
        <v>82359.98</v>
      </c>
      <c r="N445">
        <v>0</v>
      </c>
      <c r="O445">
        <v>0</v>
      </c>
      <c r="P445">
        <v>104691.51999999999</v>
      </c>
      <c r="Q445" s="177">
        <v>24140.021000000001</v>
      </c>
      <c r="R445" t="s">
        <v>30</v>
      </c>
      <c r="S445">
        <v>100</v>
      </c>
      <c r="T445">
        <v>106500</v>
      </c>
      <c r="U445" t="s">
        <v>120</v>
      </c>
      <c r="V445" t="s">
        <v>1575</v>
      </c>
      <c r="W445">
        <v>0</v>
      </c>
      <c r="X445" t="s">
        <v>30</v>
      </c>
      <c r="Y445" t="s">
        <v>30</v>
      </c>
      <c r="Z445">
        <v>135000</v>
      </c>
      <c r="AC445" s="5" t="s">
        <v>862</v>
      </c>
      <c r="AD445" s="8">
        <v>19911000</v>
      </c>
      <c r="AE445" s="5" t="s">
        <v>863</v>
      </c>
      <c r="AF445" s="8">
        <v>19911001</v>
      </c>
      <c r="AG445" s="4" t="s">
        <v>864</v>
      </c>
      <c r="AH445" s="8">
        <v>19911001</v>
      </c>
    </row>
    <row r="446" spans="1:34" x14ac:dyDescent="0.25">
      <c r="A446">
        <v>26646</v>
      </c>
      <c r="B446" t="s">
        <v>25</v>
      </c>
      <c r="C446" t="s">
        <v>827</v>
      </c>
      <c r="D446" t="s">
        <v>837</v>
      </c>
      <c r="E446" t="s">
        <v>30</v>
      </c>
      <c r="F446" t="s">
        <v>30</v>
      </c>
      <c r="G446" t="s">
        <v>30</v>
      </c>
      <c r="H446" t="s">
        <v>59</v>
      </c>
      <c r="I446" t="s">
        <v>86</v>
      </c>
      <c r="J446" t="s">
        <v>97</v>
      </c>
      <c r="K446">
        <v>143823.82999999999</v>
      </c>
      <c r="L446" s="177">
        <v>106627.90299999999</v>
      </c>
      <c r="M446">
        <v>37195.93</v>
      </c>
      <c r="N446">
        <v>0</v>
      </c>
      <c r="O446">
        <v>0</v>
      </c>
      <c r="P446">
        <v>96523.829999999987</v>
      </c>
      <c r="Q446" s="177">
        <v>10104.073</v>
      </c>
      <c r="R446" t="s">
        <v>30</v>
      </c>
      <c r="S446">
        <v>100</v>
      </c>
      <c r="T446">
        <v>47300</v>
      </c>
      <c r="U446" t="s">
        <v>120</v>
      </c>
      <c r="V446" t="s">
        <v>1575</v>
      </c>
      <c r="W446">
        <v>0</v>
      </c>
      <c r="X446" t="s">
        <v>30</v>
      </c>
      <c r="Y446" t="s">
        <v>30</v>
      </c>
      <c r="Z446">
        <v>60000</v>
      </c>
      <c r="AC446" s="5" t="s">
        <v>862</v>
      </c>
      <c r="AD446" s="8">
        <v>19911000</v>
      </c>
      <c r="AE446" s="5" t="s">
        <v>863</v>
      </c>
      <c r="AF446" s="8">
        <v>19911001</v>
      </c>
      <c r="AG446" s="4" t="s">
        <v>864</v>
      </c>
      <c r="AH446" s="8">
        <v>19911001</v>
      </c>
    </row>
    <row r="447" spans="1:34" x14ac:dyDescent="0.25">
      <c r="A447">
        <v>26649</v>
      </c>
      <c r="B447" t="s">
        <v>25</v>
      </c>
      <c r="C447" t="s">
        <v>827</v>
      </c>
      <c r="D447" t="s">
        <v>1862</v>
      </c>
      <c r="E447" t="s">
        <v>30</v>
      </c>
      <c r="F447" t="s">
        <v>30</v>
      </c>
      <c r="G447" t="s">
        <v>30</v>
      </c>
      <c r="H447" t="s">
        <v>59</v>
      </c>
      <c r="I447" t="s">
        <v>86</v>
      </c>
      <c r="J447" t="s">
        <v>97</v>
      </c>
      <c r="K447">
        <v>183251.74</v>
      </c>
      <c r="L447" s="177">
        <v>88121.739999999991</v>
      </c>
      <c r="M447">
        <v>95130</v>
      </c>
      <c r="N447">
        <v>0</v>
      </c>
      <c r="O447">
        <v>0</v>
      </c>
      <c r="P447">
        <v>77551.739999999991</v>
      </c>
      <c r="Q447" s="177">
        <v>10570</v>
      </c>
      <c r="R447" t="s">
        <v>30</v>
      </c>
      <c r="S447">
        <v>100</v>
      </c>
      <c r="T447">
        <v>105700</v>
      </c>
      <c r="U447" t="s">
        <v>113</v>
      </c>
      <c r="V447" t="s">
        <v>1585</v>
      </c>
      <c r="W447">
        <v>0</v>
      </c>
      <c r="X447" t="s">
        <v>30</v>
      </c>
      <c r="Y447" t="s">
        <v>30</v>
      </c>
      <c r="Z447">
        <v>131100</v>
      </c>
      <c r="AC447" s="5" t="s">
        <v>862</v>
      </c>
      <c r="AD447" s="8">
        <v>19911000</v>
      </c>
      <c r="AE447" s="5" t="s">
        <v>863</v>
      </c>
      <c r="AF447" s="8">
        <v>19911001</v>
      </c>
      <c r="AG447" s="4" t="s">
        <v>864</v>
      </c>
      <c r="AH447" s="8">
        <v>19911001</v>
      </c>
    </row>
    <row r="448" spans="1:34" x14ac:dyDescent="0.25">
      <c r="A448">
        <v>26650</v>
      </c>
      <c r="B448" t="s">
        <v>25</v>
      </c>
      <c r="C448" t="s">
        <v>827</v>
      </c>
      <c r="D448" t="s">
        <v>1863</v>
      </c>
      <c r="E448" t="s">
        <v>30</v>
      </c>
      <c r="F448" t="s">
        <v>30</v>
      </c>
      <c r="G448" t="s">
        <v>30</v>
      </c>
      <c r="H448" t="s">
        <v>59</v>
      </c>
      <c r="I448" t="s">
        <v>86</v>
      </c>
      <c r="J448" t="s">
        <v>97</v>
      </c>
      <c r="K448">
        <v>271306.46000000002</v>
      </c>
      <c r="L448" s="177">
        <v>144126.95000000001</v>
      </c>
      <c r="M448">
        <v>127179.51</v>
      </c>
      <c r="N448">
        <v>0</v>
      </c>
      <c r="O448">
        <v>0</v>
      </c>
      <c r="P448">
        <v>97006.460000000021</v>
      </c>
      <c r="Q448" s="177">
        <v>47120.490000000005</v>
      </c>
      <c r="R448" t="s">
        <v>30</v>
      </c>
      <c r="S448">
        <v>100</v>
      </c>
      <c r="T448">
        <v>174300</v>
      </c>
      <c r="U448" t="s">
        <v>113</v>
      </c>
      <c r="V448" t="s">
        <v>1585</v>
      </c>
      <c r="W448">
        <v>0</v>
      </c>
      <c r="X448" t="s">
        <v>30</v>
      </c>
      <c r="Y448" t="s">
        <v>30</v>
      </c>
      <c r="Z448">
        <v>216200</v>
      </c>
      <c r="AC448" s="5" t="s">
        <v>862</v>
      </c>
      <c r="AD448" s="8">
        <v>19911000</v>
      </c>
      <c r="AE448" s="5" t="s">
        <v>863</v>
      </c>
      <c r="AF448" s="8">
        <v>19911001</v>
      </c>
      <c r="AG448" s="4" t="s">
        <v>864</v>
      </c>
      <c r="AH448" s="8">
        <v>19911001</v>
      </c>
    </row>
    <row r="449" spans="1:34" x14ac:dyDescent="0.25">
      <c r="A449">
        <v>26725</v>
      </c>
      <c r="B449" t="s">
        <v>25</v>
      </c>
      <c r="C449" t="s">
        <v>827</v>
      </c>
      <c r="D449" t="s">
        <v>838</v>
      </c>
      <c r="E449" t="s">
        <v>30</v>
      </c>
      <c r="F449" t="s">
        <v>30</v>
      </c>
      <c r="G449" t="s">
        <v>30</v>
      </c>
      <c r="H449" t="s">
        <v>59</v>
      </c>
      <c r="I449" t="s">
        <v>86</v>
      </c>
      <c r="J449" t="s">
        <v>30</v>
      </c>
      <c r="K449">
        <v>301921.71999999997</v>
      </c>
      <c r="L449" s="177">
        <v>192552.12699999998</v>
      </c>
      <c r="M449">
        <v>109369.59</v>
      </c>
      <c r="N449">
        <v>0</v>
      </c>
      <c r="O449">
        <v>0</v>
      </c>
      <c r="P449">
        <v>180399.94999999995</v>
      </c>
      <c r="Q449" s="177">
        <v>12152.177000000025</v>
      </c>
      <c r="R449" t="s">
        <v>30</v>
      </c>
      <c r="S449">
        <v>100</v>
      </c>
      <c r="T449">
        <v>121521.77</v>
      </c>
      <c r="U449" t="s">
        <v>107</v>
      </c>
      <c r="V449" t="s">
        <v>1581</v>
      </c>
      <c r="W449">
        <v>0</v>
      </c>
      <c r="X449" t="s">
        <v>30</v>
      </c>
      <c r="Y449" t="s">
        <v>30</v>
      </c>
      <c r="Z449">
        <v>151000</v>
      </c>
      <c r="AC449" s="5" t="s">
        <v>862</v>
      </c>
      <c r="AD449" s="8">
        <v>19911000</v>
      </c>
      <c r="AE449" s="5" t="s">
        <v>863</v>
      </c>
      <c r="AF449" s="8">
        <v>19911001</v>
      </c>
      <c r="AG449" s="4" t="s">
        <v>864</v>
      </c>
      <c r="AH449" s="8">
        <v>19911001</v>
      </c>
    </row>
    <row r="450" spans="1:34" x14ac:dyDescent="0.25">
      <c r="A450">
        <v>26766</v>
      </c>
      <c r="B450" t="s">
        <v>25</v>
      </c>
      <c r="C450" t="s">
        <v>817</v>
      </c>
      <c r="D450" t="s">
        <v>839</v>
      </c>
      <c r="E450" t="s">
        <v>30</v>
      </c>
      <c r="F450" t="s">
        <v>30</v>
      </c>
      <c r="G450" t="s">
        <v>30</v>
      </c>
      <c r="H450" t="s">
        <v>59</v>
      </c>
      <c r="I450" t="s">
        <v>86</v>
      </c>
      <c r="J450" t="s">
        <v>97</v>
      </c>
      <c r="K450">
        <v>114304.54</v>
      </c>
      <c r="L450" s="177">
        <v>68916.84</v>
      </c>
      <c r="M450">
        <v>45387.7</v>
      </c>
      <c r="N450">
        <v>0</v>
      </c>
      <c r="O450">
        <v>0</v>
      </c>
      <c r="P450">
        <v>32304.539999999994</v>
      </c>
      <c r="Q450" s="177">
        <v>36612.300000000003</v>
      </c>
      <c r="R450" t="s">
        <v>30</v>
      </c>
      <c r="S450">
        <v>100</v>
      </c>
      <c r="T450">
        <v>82000</v>
      </c>
      <c r="U450" t="s">
        <v>34</v>
      </c>
      <c r="V450" t="s">
        <v>1578</v>
      </c>
      <c r="W450">
        <v>0</v>
      </c>
      <c r="X450" t="s">
        <v>30</v>
      </c>
      <c r="Y450" t="s">
        <v>30</v>
      </c>
      <c r="Z450">
        <v>108300</v>
      </c>
      <c r="AC450" s="5" t="s">
        <v>862</v>
      </c>
      <c r="AD450" s="8">
        <v>19911000</v>
      </c>
      <c r="AE450" s="5" t="s">
        <v>863</v>
      </c>
      <c r="AF450" s="8">
        <v>19911001</v>
      </c>
      <c r="AG450" s="4" t="s">
        <v>864</v>
      </c>
      <c r="AH450" s="8">
        <v>19911001</v>
      </c>
    </row>
    <row r="451" spans="1:34" x14ac:dyDescent="0.25">
      <c r="A451">
        <v>26767</v>
      </c>
      <c r="B451" t="s">
        <v>25</v>
      </c>
      <c r="C451" t="s">
        <v>817</v>
      </c>
      <c r="D451" t="s">
        <v>840</v>
      </c>
      <c r="E451" t="s">
        <v>30</v>
      </c>
      <c r="F451" t="s">
        <v>30</v>
      </c>
      <c r="G451" t="s">
        <v>30</v>
      </c>
      <c r="H451" t="s">
        <v>59</v>
      </c>
      <c r="I451" t="s">
        <v>86</v>
      </c>
      <c r="J451" t="s">
        <v>97</v>
      </c>
      <c r="K451">
        <v>87891.05</v>
      </c>
      <c r="L451" s="177">
        <v>30111.050000000003</v>
      </c>
      <c r="M451">
        <v>57780</v>
      </c>
      <c r="N451">
        <v>0</v>
      </c>
      <c r="O451">
        <v>0</v>
      </c>
      <c r="P451">
        <v>23691.050000000003</v>
      </c>
      <c r="Q451" s="177">
        <v>6420</v>
      </c>
      <c r="R451" t="s">
        <v>30</v>
      </c>
      <c r="S451">
        <v>100</v>
      </c>
      <c r="T451">
        <v>64200</v>
      </c>
      <c r="U451" t="s">
        <v>34</v>
      </c>
      <c r="V451" t="s">
        <v>1578</v>
      </c>
      <c r="W451">
        <v>0</v>
      </c>
      <c r="X451" t="s">
        <v>30</v>
      </c>
      <c r="Y451" t="s">
        <v>30</v>
      </c>
      <c r="Z451">
        <v>84800</v>
      </c>
      <c r="AC451" s="5" t="s">
        <v>862</v>
      </c>
      <c r="AD451" s="8">
        <v>19911000</v>
      </c>
      <c r="AE451" s="5" t="s">
        <v>863</v>
      </c>
      <c r="AF451" s="8">
        <v>19911001</v>
      </c>
      <c r="AG451" s="4" t="s">
        <v>864</v>
      </c>
      <c r="AH451" s="8">
        <v>19911001</v>
      </c>
    </row>
    <row r="452" spans="1:34" x14ac:dyDescent="0.25">
      <c r="A452">
        <v>26774</v>
      </c>
      <c r="B452" t="s">
        <v>25</v>
      </c>
      <c r="C452" t="s">
        <v>817</v>
      </c>
      <c r="D452" t="s">
        <v>841</v>
      </c>
      <c r="E452" t="s">
        <v>30</v>
      </c>
      <c r="F452" t="s">
        <v>30</v>
      </c>
      <c r="G452" t="s">
        <v>30</v>
      </c>
      <c r="H452" t="s">
        <v>59</v>
      </c>
      <c r="I452" t="s">
        <v>86</v>
      </c>
      <c r="J452" t="s">
        <v>97</v>
      </c>
      <c r="K452">
        <v>157616.07</v>
      </c>
      <c r="L452" s="177">
        <v>51541.070000000007</v>
      </c>
      <c r="M452">
        <v>106075</v>
      </c>
      <c r="N452">
        <v>0</v>
      </c>
      <c r="O452">
        <v>0</v>
      </c>
      <c r="P452">
        <v>27416.070000000007</v>
      </c>
      <c r="Q452" s="177">
        <v>24125</v>
      </c>
      <c r="R452" t="s">
        <v>30</v>
      </c>
      <c r="S452">
        <v>100</v>
      </c>
      <c r="T452">
        <v>130200</v>
      </c>
      <c r="U452" t="s">
        <v>34</v>
      </c>
      <c r="V452" t="s">
        <v>1867</v>
      </c>
      <c r="W452">
        <v>0</v>
      </c>
      <c r="X452" t="s">
        <v>30</v>
      </c>
      <c r="Y452" t="s">
        <v>30</v>
      </c>
      <c r="Z452">
        <v>172000</v>
      </c>
      <c r="AC452" s="5" t="s">
        <v>862</v>
      </c>
      <c r="AD452" s="8">
        <v>19911000</v>
      </c>
      <c r="AE452" s="5" t="s">
        <v>863</v>
      </c>
      <c r="AF452" s="8">
        <v>19911001</v>
      </c>
      <c r="AG452" s="4" t="s">
        <v>864</v>
      </c>
      <c r="AH452" s="8">
        <v>19911001</v>
      </c>
    </row>
    <row r="453" spans="1:34" x14ac:dyDescent="0.25">
      <c r="A453">
        <v>26835</v>
      </c>
      <c r="B453" t="s">
        <v>25</v>
      </c>
      <c r="C453" t="s">
        <v>817</v>
      </c>
      <c r="D453" t="s">
        <v>842</v>
      </c>
      <c r="E453" t="s">
        <v>30</v>
      </c>
      <c r="F453" t="s">
        <v>30</v>
      </c>
      <c r="G453" t="s">
        <v>30</v>
      </c>
      <c r="H453" t="s">
        <v>59</v>
      </c>
      <c r="I453" t="s">
        <v>86</v>
      </c>
      <c r="J453" t="s">
        <v>1179</v>
      </c>
      <c r="K453">
        <v>216594.24</v>
      </c>
      <c r="L453" s="177">
        <v>148590.24</v>
      </c>
      <c r="M453">
        <v>68004</v>
      </c>
      <c r="N453">
        <v>0</v>
      </c>
      <c r="O453">
        <v>0</v>
      </c>
      <c r="P453">
        <v>143244.24</v>
      </c>
      <c r="Q453" s="177">
        <v>0</v>
      </c>
      <c r="R453" t="s">
        <v>30</v>
      </c>
      <c r="S453">
        <v>100</v>
      </c>
      <c r="T453">
        <v>73350</v>
      </c>
      <c r="U453" t="s">
        <v>34</v>
      </c>
      <c r="V453" t="s">
        <v>1814</v>
      </c>
      <c r="W453">
        <v>0</v>
      </c>
      <c r="X453" t="s">
        <v>30</v>
      </c>
      <c r="Y453" t="s">
        <v>30</v>
      </c>
      <c r="Z453">
        <v>96200</v>
      </c>
      <c r="AC453" s="5" t="s">
        <v>862</v>
      </c>
      <c r="AD453" s="8">
        <v>19911000</v>
      </c>
      <c r="AE453" s="5" t="s">
        <v>863</v>
      </c>
      <c r="AF453" s="8">
        <v>19911001</v>
      </c>
      <c r="AG453" s="4" t="s">
        <v>864</v>
      </c>
      <c r="AH453" s="8">
        <v>19911001</v>
      </c>
    </row>
    <row r="454" spans="1:34" x14ac:dyDescent="0.25">
      <c r="A454">
        <v>26836</v>
      </c>
      <c r="B454" t="s">
        <v>25</v>
      </c>
      <c r="C454" t="s">
        <v>817</v>
      </c>
      <c r="D454" t="s">
        <v>843</v>
      </c>
      <c r="E454" t="s">
        <v>30</v>
      </c>
      <c r="F454" t="s">
        <v>30</v>
      </c>
      <c r="G454" t="s">
        <v>30</v>
      </c>
      <c r="H454" t="s">
        <v>59</v>
      </c>
      <c r="I454" t="s">
        <v>86</v>
      </c>
      <c r="J454" t="s">
        <v>97</v>
      </c>
      <c r="K454">
        <v>546652.67000000004</v>
      </c>
      <c r="L454" s="177">
        <v>0</v>
      </c>
      <c r="M454">
        <v>546652.67000000004</v>
      </c>
      <c r="N454">
        <v>0</v>
      </c>
      <c r="O454">
        <v>0</v>
      </c>
      <c r="P454">
        <v>0</v>
      </c>
      <c r="Q454" s="177">
        <v>0</v>
      </c>
      <c r="R454" t="s">
        <v>30</v>
      </c>
      <c r="S454">
        <v>100</v>
      </c>
      <c r="T454">
        <v>615740</v>
      </c>
      <c r="U454" t="s">
        <v>34</v>
      </c>
      <c r="V454" t="s">
        <v>1868</v>
      </c>
      <c r="W454">
        <v>0</v>
      </c>
      <c r="X454" t="s">
        <v>30</v>
      </c>
      <c r="Y454" t="s">
        <v>30</v>
      </c>
      <c r="Z454">
        <v>753700</v>
      </c>
      <c r="AC454" s="5" t="s">
        <v>862</v>
      </c>
      <c r="AD454" s="8">
        <v>19911000</v>
      </c>
      <c r="AE454" s="5" t="s">
        <v>863</v>
      </c>
      <c r="AF454" s="8">
        <v>19911001</v>
      </c>
      <c r="AG454" s="4" t="s">
        <v>864</v>
      </c>
      <c r="AH454" s="8">
        <v>19911001</v>
      </c>
    </row>
    <row r="455" spans="1:34" x14ac:dyDescent="0.25">
      <c r="A455">
        <v>26863</v>
      </c>
      <c r="B455" t="s">
        <v>25</v>
      </c>
      <c r="C455" t="s">
        <v>817</v>
      </c>
      <c r="D455" t="s">
        <v>844</v>
      </c>
      <c r="E455" t="s">
        <v>30</v>
      </c>
      <c r="F455" t="s">
        <v>30</v>
      </c>
      <c r="G455" t="s">
        <v>30</v>
      </c>
      <c r="H455" t="s">
        <v>59</v>
      </c>
      <c r="I455" t="s">
        <v>86</v>
      </c>
      <c r="J455" t="s">
        <v>97</v>
      </c>
      <c r="K455">
        <v>13571.56</v>
      </c>
      <c r="L455" s="177">
        <v>4905</v>
      </c>
      <c r="M455">
        <v>8666.56</v>
      </c>
      <c r="N455">
        <v>0</v>
      </c>
      <c r="O455">
        <v>0</v>
      </c>
      <c r="P455">
        <v>0</v>
      </c>
      <c r="Q455" s="177">
        <v>4905</v>
      </c>
      <c r="R455" t="s">
        <v>30</v>
      </c>
      <c r="S455">
        <v>100</v>
      </c>
      <c r="T455">
        <v>13800</v>
      </c>
      <c r="U455" t="s">
        <v>120</v>
      </c>
      <c r="V455" t="s">
        <v>1869</v>
      </c>
      <c r="W455">
        <v>0</v>
      </c>
      <c r="X455" t="s">
        <v>30</v>
      </c>
      <c r="Y455" t="s">
        <v>30</v>
      </c>
      <c r="Z455">
        <v>18100</v>
      </c>
      <c r="AC455" s="5" t="s">
        <v>862</v>
      </c>
      <c r="AD455" s="8">
        <v>19911000</v>
      </c>
      <c r="AE455" s="5" t="s">
        <v>863</v>
      </c>
      <c r="AF455" s="8">
        <v>19911001</v>
      </c>
      <c r="AG455" s="4" t="s">
        <v>864</v>
      </c>
      <c r="AH455" s="8">
        <v>19911001</v>
      </c>
    </row>
    <row r="456" spans="1:34" x14ac:dyDescent="0.25">
      <c r="A456">
        <v>26864</v>
      </c>
      <c r="B456" t="s">
        <v>25</v>
      </c>
      <c r="C456" t="s">
        <v>817</v>
      </c>
      <c r="D456" t="s">
        <v>845</v>
      </c>
      <c r="E456" t="s">
        <v>30</v>
      </c>
      <c r="F456" t="s">
        <v>30</v>
      </c>
      <c r="G456" t="s">
        <v>30</v>
      </c>
      <c r="H456" t="s">
        <v>59</v>
      </c>
      <c r="I456" t="s">
        <v>86</v>
      </c>
      <c r="J456" t="s">
        <v>97</v>
      </c>
      <c r="K456">
        <v>18819.22</v>
      </c>
      <c r="L456" s="177">
        <v>9214.2200000000012</v>
      </c>
      <c r="M456">
        <v>9605</v>
      </c>
      <c r="N456">
        <v>0</v>
      </c>
      <c r="O456">
        <v>0</v>
      </c>
      <c r="P456">
        <v>2419.2200000000012</v>
      </c>
      <c r="Q456" s="177">
        <v>6795</v>
      </c>
      <c r="R456" t="s">
        <v>30</v>
      </c>
      <c r="S456">
        <v>100</v>
      </c>
      <c r="T456">
        <v>16400</v>
      </c>
      <c r="U456" t="s">
        <v>120</v>
      </c>
      <c r="V456" t="s">
        <v>1869</v>
      </c>
      <c r="W456">
        <v>0</v>
      </c>
      <c r="X456" t="s">
        <v>30</v>
      </c>
      <c r="Y456" t="s">
        <v>30</v>
      </c>
      <c r="Z456">
        <v>21500</v>
      </c>
      <c r="AC456" s="5" t="s">
        <v>862</v>
      </c>
      <c r="AD456" s="8">
        <v>19911000</v>
      </c>
      <c r="AE456" s="5" t="s">
        <v>863</v>
      </c>
      <c r="AF456" s="8">
        <v>19911001</v>
      </c>
      <c r="AG456" s="4" t="s">
        <v>864</v>
      </c>
      <c r="AH456" s="8">
        <v>19911001</v>
      </c>
    </row>
    <row r="457" spans="1:34" x14ac:dyDescent="0.25">
      <c r="A457">
        <v>26865</v>
      </c>
      <c r="B457" t="s">
        <v>25</v>
      </c>
      <c r="C457" t="s">
        <v>817</v>
      </c>
      <c r="D457" t="s">
        <v>846</v>
      </c>
      <c r="E457" t="s">
        <v>30</v>
      </c>
      <c r="F457" t="s">
        <v>30</v>
      </c>
      <c r="G457" t="s">
        <v>30</v>
      </c>
      <c r="H457" t="s">
        <v>59</v>
      </c>
      <c r="I457" t="s">
        <v>86</v>
      </c>
      <c r="J457" t="s">
        <v>97</v>
      </c>
      <c r="K457">
        <v>14891.47</v>
      </c>
      <c r="L457" s="177">
        <v>7311.4699999999993</v>
      </c>
      <c r="M457">
        <v>7580</v>
      </c>
      <c r="N457">
        <v>0</v>
      </c>
      <c r="O457">
        <v>0</v>
      </c>
      <c r="P457">
        <v>591.46999999999935</v>
      </c>
      <c r="Q457" s="177">
        <v>6720</v>
      </c>
      <c r="R457" t="s">
        <v>30</v>
      </c>
      <c r="S457">
        <v>100</v>
      </c>
      <c r="T457">
        <v>14300</v>
      </c>
      <c r="U457" t="s">
        <v>120</v>
      </c>
      <c r="V457" t="s">
        <v>1869</v>
      </c>
      <c r="W457">
        <v>0</v>
      </c>
      <c r="X457" t="s">
        <v>30</v>
      </c>
      <c r="Y457" t="s">
        <v>30</v>
      </c>
      <c r="Z457">
        <v>18700</v>
      </c>
      <c r="AC457" s="5" t="s">
        <v>862</v>
      </c>
      <c r="AD457" s="8">
        <v>19911000</v>
      </c>
      <c r="AE457" s="5" t="s">
        <v>863</v>
      </c>
      <c r="AF457" s="8">
        <v>19911001</v>
      </c>
      <c r="AG457" s="4" t="s">
        <v>864</v>
      </c>
      <c r="AH457" s="8">
        <v>19911001</v>
      </c>
    </row>
    <row r="458" spans="1:34" x14ac:dyDescent="0.25">
      <c r="A458">
        <v>26866</v>
      </c>
      <c r="B458" t="s">
        <v>25</v>
      </c>
      <c r="C458" t="s">
        <v>817</v>
      </c>
      <c r="D458" t="s">
        <v>847</v>
      </c>
      <c r="E458" t="s">
        <v>30</v>
      </c>
      <c r="F458" t="s">
        <v>30</v>
      </c>
      <c r="G458" t="s">
        <v>30</v>
      </c>
      <c r="H458" t="s">
        <v>59</v>
      </c>
      <c r="I458" t="s">
        <v>86</v>
      </c>
      <c r="J458" t="s">
        <v>97</v>
      </c>
      <c r="K458">
        <v>18819.22</v>
      </c>
      <c r="L458" s="177">
        <v>8574.2200000000012</v>
      </c>
      <c r="M458">
        <v>10245</v>
      </c>
      <c r="N458">
        <v>0</v>
      </c>
      <c r="O458">
        <v>0</v>
      </c>
      <c r="P458">
        <v>1419.2200000000012</v>
      </c>
      <c r="Q458" s="177">
        <v>7155</v>
      </c>
      <c r="R458" t="s">
        <v>30</v>
      </c>
      <c r="S458">
        <v>100</v>
      </c>
      <c r="T458">
        <v>17400</v>
      </c>
      <c r="U458" t="s">
        <v>120</v>
      </c>
      <c r="V458" t="s">
        <v>1869</v>
      </c>
      <c r="W458">
        <v>0</v>
      </c>
      <c r="X458" t="s">
        <v>30</v>
      </c>
      <c r="Y458" t="s">
        <v>30</v>
      </c>
      <c r="Z458">
        <v>22800</v>
      </c>
      <c r="AC458" s="5" t="s">
        <v>862</v>
      </c>
      <c r="AD458" s="8">
        <v>19911000</v>
      </c>
      <c r="AE458" s="5" t="s">
        <v>863</v>
      </c>
      <c r="AF458" s="8">
        <v>19911001</v>
      </c>
      <c r="AG458" s="4" t="s">
        <v>864</v>
      </c>
      <c r="AH458" s="8">
        <v>19911001</v>
      </c>
    </row>
    <row r="459" spans="1:34" x14ac:dyDescent="0.25">
      <c r="A459">
        <v>26867</v>
      </c>
      <c r="B459" t="s">
        <v>25</v>
      </c>
      <c r="C459" t="s">
        <v>817</v>
      </c>
      <c r="D459" t="s">
        <v>848</v>
      </c>
      <c r="E459" t="s">
        <v>30</v>
      </c>
      <c r="F459" t="s">
        <v>30</v>
      </c>
      <c r="G459" t="s">
        <v>30</v>
      </c>
      <c r="H459" t="s">
        <v>59</v>
      </c>
      <c r="I459" t="s">
        <v>86</v>
      </c>
      <c r="J459" t="s">
        <v>97</v>
      </c>
      <c r="K459">
        <v>14031.21</v>
      </c>
      <c r="L459" s="177">
        <v>4981.2099999999991</v>
      </c>
      <c r="M459">
        <v>9050</v>
      </c>
      <c r="N459">
        <v>0</v>
      </c>
      <c r="O459">
        <v>0</v>
      </c>
      <c r="P459">
        <v>31.209999999999127</v>
      </c>
      <c r="Q459" s="177">
        <v>4950</v>
      </c>
      <c r="R459" t="s">
        <v>30</v>
      </c>
      <c r="S459">
        <v>100</v>
      </c>
      <c r="T459">
        <v>14000</v>
      </c>
      <c r="U459" t="s">
        <v>120</v>
      </c>
      <c r="V459" t="s">
        <v>1869</v>
      </c>
      <c r="W459">
        <v>0</v>
      </c>
      <c r="X459" t="s">
        <v>30</v>
      </c>
      <c r="Y459" t="s">
        <v>30</v>
      </c>
      <c r="Z459">
        <v>18400</v>
      </c>
      <c r="AC459" s="5" t="s">
        <v>862</v>
      </c>
      <c r="AD459" s="8">
        <v>19911000</v>
      </c>
      <c r="AE459" s="5" t="s">
        <v>863</v>
      </c>
      <c r="AF459" s="8">
        <v>19911001</v>
      </c>
      <c r="AG459" s="4" t="s">
        <v>864</v>
      </c>
      <c r="AH459" s="8">
        <v>19911001</v>
      </c>
    </row>
    <row r="460" spans="1:34" x14ac:dyDescent="0.25">
      <c r="A460">
        <v>26868</v>
      </c>
      <c r="B460" t="s">
        <v>25</v>
      </c>
      <c r="C460" t="s">
        <v>817</v>
      </c>
      <c r="D460" t="s">
        <v>849</v>
      </c>
      <c r="E460" t="s">
        <v>30</v>
      </c>
      <c r="F460" t="s">
        <v>30</v>
      </c>
      <c r="G460" t="s">
        <v>30</v>
      </c>
      <c r="H460" t="s">
        <v>59</v>
      </c>
      <c r="I460" t="s">
        <v>86</v>
      </c>
      <c r="J460" t="s">
        <v>97</v>
      </c>
      <c r="K460">
        <v>17478.580000000002</v>
      </c>
      <c r="L460" s="177">
        <v>7778.5800000000017</v>
      </c>
      <c r="M460">
        <v>9700</v>
      </c>
      <c r="N460">
        <v>0</v>
      </c>
      <c r="O460">
        <v>0</v>
      </c>
      <c r="P460">
        <v>1478.5800000000017</v>
      </c>
      <c r="Q460" s="177">
        <v>6300</v>
      </c>
      <c r="R460" t="s">
        <v>30</v>
      </c>
      <c r="S460">
        <v>100</v>
      </c>
      <c r="T460">
        <v>16000</v>
      </c>
      <c r="U460" t="s">
        <v>120</v>
      </c>
      <c r="V460" t="s">
        <v>1869</v>
      </c>
      <c r="W460">
        <v>0</v>
      </c>
      <c r="X460" t="s">
        <v>30</v>
      </c>
      <c r="Y460" t="s">
        <v>30</v>
      </c>
      <c r="Z460">
        <v>21000</v>
      </c>
      <c r="AC460" s="5" t="s">
        <v>862</v>
      </c>
      <c r="AD460" s="8">
        <v>19911000</v>
      </c>
      <c r="AE460" s="5" t="s">
        <v>863</v>
      </c>
      <c r="AF460" s="8">
        <v>19911001</v>
      </c>
      <c r="AG460" s="4" t="s">
        <v>864</v>
      </c>
      <c r="AH460" s="8">
        <v>19911001</v>
      </c>
    </row>
    <row r="461" spans="1:34" x14ac:dyDescent="0.25">
      <c r="A461">
        <v>26906</v>
      </c>
      <c r="B461" t="s">
        <v>25</v>
      </c>
      <c r="C461" t="s">
        <v>817</v>
      </c>
      <c r="D461" t="s">
        <v>850</v>
      </c>
      <c r="E461" t="s">
        <v>30</v>
      </c>
      <c r="F461" t="s">
        <v>30</v>
      </c>
      <c r="G461" t="s">
        <v>30</v>
      </c>
      <c r="H461" t="s">
        <v>59</v>
      </c>
      <c r="I461" t="s">
        <v>86</v>
      </c>
      <c r="J461" t="s">
        <v>30</v>
      </c>
      <c r="K461">
        <v>225621.39</v>
      </c>
      <c r="L461" s="177">
        <v>153821.39000000001</v>
      </c>
      <c r="M461">
        <v>71800</v>
      </c>
      <c r="N461">
        <v>0</v>
      </c>
      <c r="O461">
        <v>0</v>
      </c>
      <c r="P461">
        <v>153821.39000000001</v>
      </c>
      <c r="Q461" s="177">
        <v>0</v>
      </c>
      <c r="R461" t="s">
        <v>30</v>
      </c>
      <c r="S461">
        <v>100</v>
      </c>
      <c r="T461">
        <v>71800</v>
      </c>
      <c r="U461" t="s">
        <v>55</v>
      </c>
      <c r="V461" t="s">
        <v>1850</v>
      </c>
      <c r="W461">
        <v>0</v>
      </c>
      <c r="X461" t="s">
        <v>30</v>
      </c>
      <c r="Y461" t="s">
        <v>30</v>
      </c>
      <c r="Z461">
        <v>84500</v>
      </c>
      <c r="AC461" s="5" t="s">
        <v>862</v>
      </c>
      <c r="AD461" s="8">
        <v>19911000</v>
      </c>
      <c r="AE461" s="5" t="s">
        <v>863</v>
      </c>
      <c r="AF461" s="8">
        <v>19911001</v>
      </c>
      <c r="AG461" s="4" t="s">
        <v>864</v>
      </c>
      <c r="AH461" s="8">
        <v>19911001</v>
      </c>
    </row>
    <row r="462" spans="1:34" x14ac:dyDescent="0.25">
      <c r="A462">
        <v>26907</v>
      </c>
      <c r="B462" t="s">
        <v>25</v>
      </c>
      <c r="C462" t="s">
        <v>817</v>
      </c>
      <c r="D462" t="s">
        <v>851</v>
      </c>
      <c r="E462" t="s">
        <v>30</v>
      </c>
      <c r="F462" t="s">
        <v>30</v>
      </c>
      <c r="G462" t="s">
        <v>30</v>
      </c>
      <c r="H462" t="s">
        <v>59</v>
      </c>
      <c r="I462" t="s">
        <v>260</v>
      </c>
      <c r="J462" t="s">
        <v>30</v>
      </c>
      <c r="K462">
        <v>63579.41</v>
      </c>
      <c r="L462" s="177">
        <v>40129.410000000003</v>
      </c>
      <c r="M462">
        <v>23450</v>
      </c>
      <c r="N462">
        <v>0</v>
      </c>
      <c r="O462">
        <v>0</v>
      </c>
      <c r="P462">
        <v>21479.410000000003</v>
      </c>
      <c r="Q462" s="177">
        <v>18650</v>
      </c>
      <c r="R462" t="s">
        <v>30</v>
      </c>
      <c r="S462">
        <v>100</v>
      </c>
      <c r="T462">
        <v>42100</v>
      </c>
      <c r="U462" t="s">
        <v>55</v>
      </c>
      <c r="V462" t="s">
        <v>1850</v>
      </c>
      <c r="W462">
        <v>0</v>
      </c>
      <c r="X462" t="s">
        <v>30</v>
      </c>
      <c r="Y462" t="s">
        <v>30</v>
      </c>
      <c r="Z462">
        <v>49500</v>
      </c>
      <c r="AC462" s="5" t="s">
        <v>862</v>
      </c>
      <c r="AD462" s="8">
        <v>19911000</v>
      </c>
      <c r="AE462" s="5" t="s">
        <v>863</v>
      </c>
      <c r="AF462" s="8">
        <v>19911001</v>
      </c>
      <c r="AG462" s="4" t="s">
        <v>864</v>
      </c>
      <c r="AH462" s="8">
        <v>19911001</v>
      </c>
    </row>
    <row r="463" spans="1:34" x14ac:dyDescent="0.25">
      <c r="A463">
        <v>26923</v>
      </c>
      <c r="B463" t="s">
        <v>25</v>
      </c>
      <c r="C463" t="s">
        <v>817</v>
      </c>
      <c r="D463" t="s">
        <v>852</v>
      </c>
      <c r="E463" t="s">
        <v>30</v>
      </c>
      <c r="F463" t="s">
        <v>30</v>
      </c>
      <c r="G463" t="s">
        <v>30</v>
      </c>
      <c r="H463" t="s">
        <v>30</v>
      </c>
      <c r="I463" t="s">
        <v>86</v>
      </c>
      <c r="J463" t="s">
        <v>97</v>
      </c>
      <c r="K463">
        <v>244551.81</v>
      </c>
      <c r="L463" s="177">
        <v>36682.771479207389</v>
      </c>
      <c r="M463">
        <v>207869.04</v>
      </c>
      <c r="N463">
        <v>0</v>
      </c>
      <c r="O463">
        <v>0</v>
      </c>
      <c r="P463">
        <v>0</v>
      </c>
      <c r="Q463" s="177">
        <v>36682.771479207389</v>
      </c>
      <c r="R463" t="s">
        <v>30</v>
      </c>
      <c r="S463">
        <v>100</v>
      </c>
      <c r="T463">
        <v>791900</v>
      </c>
      <c r="U463" t="s">
        <v>34</v>
      </c>
      <c r="V463" t="s">
        <v>1870</v>
      </c>
      <c r="W463">
        <v>0</v>
      </c>
      <c r="X463" t="s">
        <v>30</v>
      </c>
      <c r="Y463" t="s">
        <v>30</v>
      </c>
      <c r="Z463">
        <v>933000</v>
      </c>
      <c r="AC463" s="5" t="s">
        <v>862</v>
      </c>
      <c r="AD463" s="8">
        <v>19911000</v>
      </c>
      <c r="AE463" s="5" t="s">
        <v>863</v>
      </c>
      <c r="AF463" s="8">
        <v>19911001</v>
      </c>
      <c r="AG463" s="4" t="s">
        <v>864</v>
      </c>
      <c r="AH463" s="8">
        <v>19911001</v>
      </c>
    </row>
    <row r="464" spans="1:34" x14ac:dyDescent="0.25">
      <c r="A464">
        <v>26924</v>
      </c>
      <c r="B464" t="s">
        <v>25</v>
      </c>
      <c r="C464" t="s">
        <v>817</v>
      </c>
      <c r="D464" t="s">
        <v>853</v>
      </c>
      <c r="E464" t="s">
        <v>30</v>
      </c>
      <c r="F464" t="s">
        <v>30</v>
      </c>
      <c r="G464" t="s">
        <v>30</v>
      </c>
      <c r="H464" t="s">
        <v>30</v>
      </c>
      <c r="I464" t="s">
        <v>60</v>
      </c>
      <c r="J464" t="s">
        <v>97</v>
      </c>
      <c r="K464">
        <v>38050.019999999997</v>
      </c>
      <c r="L464" s="177">
        <v>3805.0020767727033</v>
      </c>
      <c r="M464">
        <v>34245.019999999997</v>
      </c>
      <c r="N464">
        <v>0</v>
      </c>
      <c r="O464">
        <v>0</v>
      </c>
      <c r="P464">
        <v>0</v>
      </c>
      <c r="Q464" s="177">
        <v>3805.0020767727033</v>
      </c>
      <c r="R464" t="s">
        <v>30</v>
      </c>
      <c r="S464">
        <v>100</v>
      </c>
      <c r="T464">
        <v>196000</v>
      </c>
      <c r="U464" t="s">
        <v>34</v>
      </c>
      <c r="V464" t="s">
        <v>1870</v>
      </c>
      <c r="W464">
        <v>0</v>
      </c>
      <c r="X464" t="s">
        <v>30</v>
      </c>
      <c r="Y464" t="s">
        <v>30</v>
      </c>
      <c r="Z464">
        <v>230900</v>
      </c>
      <c r="AC464" s="5" t="s">
        <v>862</v>
      </c>
      <c r="AD464" s="8">
        <v>19911000</v>
      </c>
      <c r="AE464" s="5" t="s">
        <v>863</v>
      </c>
      <c r="AF464" s="8">
        <v>19911001</v>
      </c>
      <c r="AG464" s="4" t="s">
        <v>864</v>
      </c>
      <c r="AH464" s="8">
        <v>19911001</v>
      </c>
    </row>
    <row r="465" spans="1:34" x14ac:dyDescent="0.25">
      <c r="A465">
        <v>26925</v>
      </c>
      <c r="B465" t="s">
        <v>25</v>
      </c>
      <c r="C465" t="s">
        <v>817</v>
      </c>
      <c r="D465" t="s">
        <v>854</v>
      </c>
      <c r="E465" t="s">
        <v>30</v>
      </c>
      <c r="F465" t="s">
        <v>30</v>
      </c>
      <c r="G465" t="s">
        <v>30</v>
      </c>
      <c r="H465" t="s">
        <v>30</v>
      </c>
      <c r="I465" t="s">
        <v>60</v>
      </c>
      <c r="J465" t="s">
        <v>97</v>
      </c>
      <c r="K465">
        <v>29508.18</v>
      </c>
      <c r="L465" s="177">
        <v>2950.8179370890352</v>
      </c>
      <c r="M465">
        <v>26557.360000000001</v>
      </c>
      <c r="N465">
        <v>0</v>
      </c>
      <c r="O465">
        <v>0</v>
      </c>
      <c r="P465">
        <v>0</v>
      </c>
      <c r="Q465" s="177">
        <v>2950.8179370890352</v>
      </c>
      <c r="R465" t="s">
        <v>30</v>
      </c>
      <c r="S465">
        <v>100</v>
      </c>
      <c r="T465">
        <v>137100</v>
      </c>
      <c r="U465" t="s">
        <v>34</v>
      </c>
      <c r="V465" t="s">
        <v>1870</v>
      </c>
      <c r="W465">
        <v>0</v>
      </c>
      <c r="X465" t="s">
        <v>30</v>
      </c>
      <c r="Y465" t="s">
        <v>30</v>
      </c>
      <c r="Z465">
        <v>161500</v>
      </c>
      <c r="AC465" s="5" t="s">
        <v>862</v>
      </c>
      <c r="AD465" s="8">
        <v>19911000</v>
      </c>
      <c r="AE465" s="5" t="s">
        <v>863</v>
      </c>
      <c r="AF465" s="8">
        <v>19911001</v>
      </c>
      <c r="AG465" s="4" t="s">
        <v>864</v>
      </c>
      <c r="AH465" s="8">
        <v>19911001</v>
      </c>
    </row>
    <row r="466" spans="1:34" x14ac:dyDescent="0.25">
      <c r="A466">
        <v>26927</v>
      </c>
      <c r="B466" t="s">
        <v>25</v>
      </c>
      <c r="C466" t="s">
        <v>827</v>
      </c>
      <c r="D466" t="s">
        <v>855</v>
      </c>
      <c r="E466" t="s">
        <v>30</v>
      </c>
      <c r="F466" t="s">
        <v>30</v>
      </c>
      <c r="G466" t="s">
        <v>30</v>
      </c>
      <c r="H466" t="s">
        <v>59</v>
      </c>
      <c r="I466" t="s">
        <v>86</v>
      </c>
      <c r="J466" t="s">
        <v>97</v>
      </c>
      <c r="K466">
        <v>403864.96</v>
      </c>
      <c r="L466" s="177">
        <v>209864.96000000002</v>
      </c>
      <c r="M466">
        <v>194000</v>
      </c>
      <c r="N466">
        <v>0</v>
      </c>
      <c r="O466">
        <v>0</v>
      </c>
      <c r="P466">
        <v>101144.96000000002</v>
      </c>
      <c r="Q466" s="177">
        <v>118299.99999999999</v>
      </c>
      <c r="R466" t="s">
        <v>30</v>
      </c>
      <c r="S466">
        <v>100</v>
      </c>
      <c r="T466">
        <v>302720</v>
      </c>
      <c r="U466" t="s">
        <v>107</v>
      </c>
      <c r="V466" t="s">
        <v>1871</v>
      </c>
      <c r="W466">
        <v>0</v>
      </c>
      <c r="X466" t="s">
        <v>30</v>
      </c>
      <c r="Y466" t="s">
        <v>30</v>
      </c>
      <c r="Z466">
        <v>375800</v>
      </c>
      <c r="AC466" s="5" t="s">
        <v>862</v>
      </c>
      <c r="AD466" s="8">
        <v>19911000</v>
      </c>
      <c r="AE466" s="5" t="s">
        <v>863</v>
      </c>
      <c r="AF466" s="8">
        <v>19911001</v>
      </c>
      <c r="AG466" s="4" t="s">
        <v>864</v>
      </c>
      <c r="AH466" s="8">
        <v>19911001</v>
      </c>
    </row>
    <row r="467" spans="1:34" x14ac:dyDescent="0.25">
      <c r="A467">
        <v>26928</v>
      </c>
      <c r="B467" t="s">
        <v>25</v>
      </c>
      <c r="C467" t="s">
        <v>817</v>
      </c>
      <c r="D467" t="s">
        <v>1120</v>
      </c>
      <c r="E467" t="s">
        <v>30</v>
      </c>
      <c r="F467" t="s">
        <v>30</v>
      </c>
      <c r="G467" t="s">
        <v>30</v>
      </c>
      <c r="H467" t="s">
        <v>59</v>
      </c>
      <c r="I467" t="s">
        <v>86</v>
      </c>
      <c r="J467" t="s">
        <v>30</v>
      </c>
      <c r="K467">
        <v>262081.07</v>
      </c>
      <c r="L467" s="177">
        <v>104191.07</v>
      </c>
      <c r="M467">
        <v>157890</v>
      </c>
      <c r="N467">
        <v>0</v>
      </c>
      <c r="O467">
        <v>0</v>
      </c>
      <c r="P467">
        <v>78481.070000000007</v>
      </c>
      <c r="Q467" s="177">
        <v>25710</v>
      </c>
      <c r="R467" t="s">
        <v>30</v>
      </c>
      <c r="S467">
        <v>100</v>
      </c>
      <c r="T467">
        <v>183600</v>
      </c>
      <c r="U467" t="s">
        <v>120</v>
      </c>
      <c r="V467" t="s">
        <v>1820</v>
      </c>
      <c r="W467">
        <v>0</v>
      </c>
      <c r="X467" t="s">
        <v>30</v>
      </c>
      <c r="Y467" t="s">
        <v>30</v>
      </c>
      <c r="Z467">
        <v>225000</v>
      </c>
      <c r="AC467" s="5" t="s">
        <v>862</v>
      </c>
      <c r="AD467" s="8">
        <v>19911000</v>
      </c>
      <c r="AE467" s="5" t="s">
        <v>863</v>
      </c>
      <c r="AF467" s="8">
        <v>19911001</v>
      </c>
      <c r="AG467" s="4" t="s">
        <v>864</v>
      </c>
      <c r="AH467" s="8">
        <v>19911001</v>
      </c>
    </row>
    <row r="468" spans="1:34" x14ac:dyDescent="0.25">
      <c r="A468">
        <v>26929</v>
      </c>
      <c r="B468" t="s">
        <v>25</v>
      </c>
      <c r="C468" t="s">
        <v>817</v>
      </c>
      <c r="D468" t="s">
        <v>856</v>
      </c>
      <c r="E468" t="s">
        <v>30</v>
      </c>
      <c r="F468" t="s">
        <v>30</v>
      </c>
      <c r="G468" t="s">
        <v>30</v>
      </c>
      <c r="H468" t="s">
        <v>59</v>
      </c>
      <c r="I468" t="s">
        <v>86</v>
      </c>
      <c r="J468" t="s">
        <v>30</v>
      </c>
      <c r="K468">
        <v>43368.98</v>
      </c>
      <c r="L468" s="177">
        <v>26021.387999999999</v>
      </c>
      <c r="M468">
        <v>17347.59</v>
      </c>
      <c r="N468">
        <v>0</v>
      </c>
      <c r="O468">
        <v>0</v>
      </c>
      <c r="P468">
        <v>0</v>
      </c>
      <c r="Q468" s="177">
        <v>26021.387999999999</v>
      </c>
      <c r="R468" t="s">
        <v>30</v>
      </c>
      <c r="S468">
        <v>100</v>
      </c>
      <c r="T468">
        <v>104500</v>
      </c>
      <c r="U468" t="s">
        <v>226</v>
      </c>
      <c r="V468" t="s">
        <v>1872</v>
      </c>
      <c r="W468">
        <v>0</v>
      </c>
      <c r="X468" t="s">
        <v>30</v>
      </c>
      <c r="Y468" t="s">
        <v>30</v>
      </c>
      <c r="Z468">
        <v>125000</v>
      </c>
      <c r="AC468" s="5" t="s">
        <v>862</v>
      </c>
      <c r="AD468" s="8">
        <v>19911000</v>
      </c>
      <c r="AE468" s="5" t="s">
        <v>863</v>
      </c>
      <c r="AF468" s="8">
        <v>19911001</v>
      </c>
      <c r="AG468" s="4" t="s">
        <v>864</v>
      </c>
      <c r="AH468" s="8">
        <v>19911001</v>
      </c>
    </row>
    <row r="469" spans="1:34" x14ac:dyDescent="0.25">
      <c r="A469">
        <v>26930</v>
      </c>
      <c r="B469" t="s">
        <v>25</v>
      </c>
      <c r="C469" t="s">
        <v>817</v>
      </c>
      <c r="D469" t="s">
        <v>1121</v>
      </c>
      <c r="E469" t="s">
        <v>30</v>
      </c>
      <c r="F469" t="s">
        <v>30</v>
      </c>
      <c r="G469" t="s">
        <v>30</v>
      </c>
      <c r="H469" t="s">
        <v>30</v>
      </c>
      <c r="I469" t="s">
        <v>86</v>
      </c>
      <c r="J469" t="s">
        <v>30</v>
      </c>
      <c r="K469">
        <v>515635.64</v>
      </c>
      <c r="L469" s="177">
        <v>420010.64</v>
      </c>
      <c r="M469">
        <v>95625</v>
      </c>
      <c r="N469">
        <v>0</v>
      </c>
      <c r="O469">
        <v>0</v>
      </c>
      <c r="P469">
        <v>409385.64</v>
      </c>
      <c r="Q469" s="177">
        <v>10625</v>
      </c>
      <c r="R469" t="s">
        <v>30</v>
      </c>
      <c r="S469">
        <v>100</v>
      </c>
      <c r="T469">
        <v>106250</v>
      </c>
      <c r="U469" t="s">
        <v>55</v>
      </c>
      <c r="V469" t="s">
        <v>1590</v>
      </c>
      <c r="W469">
        <v>0</v>
      </c>
      <c r="X469" t="s">
        <v>30</v>
      </c>
      <c r="Y469" t="s">
        <v>30</v>
      </c>
      <c r="Z469">
        <v>125000</v>
      </c>
      <c r="AC469" s="5" t="s">
        <v>862</v>
      </c>
      <c r="AD469" s="8">
        <v>19911000</v>
      </c>
      <c r="AE469" s="5" t="s">
        <v>863</v>
      </c>
      <c r="AF469" s="8">
        <v>19911001</v>
      </c>
      <c r="AG469" s="4" t="s">
        <v>864</v>
      </c>
      <c r="AH469" s="8">
        <v>19911001</v>
      </c>
    </row>
    <row r="470" spans="1:34" x14ac:dyDescent="0.25">
      <c r="A470">
        <v>26931</v>
      </c>
      <c r="B470" t="s">
        <v>25</v>
      </c>
      <c r="C470" t="s">
        <v>817</v>
      </c>
      <c r="D470" t="s">
        <v>1122</v>
      </c>
      <c r="E470" t="s">
        <v>30</v>
      </c>
      <c r="F470" t="s">
        <v>30</v>
      </c>
      <c r="G470" t="s">
        <v>30</v>
      </c>
      <c r="H470" t="s">
        <v>30</v>
      </c>
      <c r="I470" t="s">
        <v>86</v>
      </c>
      <c r="J470" t="s">
        <v>30</v>
      </c>
      <c r="K470">
        <v>458342.8</v>
      </c>
      <c r="L470" s="177">
        <v>354182.8</v>
      </c>
      <c r="M470">
        <v>104160</v>
      </c>
      <c r="N470">
        <v>0</v>
      </c>
      <c r="O470">
        <v>0</v>
      </c>
      <c r="P470">
        <v>327442.8</v>
      </c>
      <c r="Q470" s="177">
        <v>26740</v>
      </c>
      <c r="R470" t="s">
        <v>30</v>
      </c>
      <c r="S470">
        <v>100</v>
      </c>
      <c r="T470">
        <v>130900</v>
      </c>
      <c r="U470" t="s">
        <v>55</v>
      </c>
      <c r="V470" t="s">
        <v>1590</v>
      </c>
      <c r="W470">
        <v>0</v>
      </c>
      <c r="X470" t="s">
        <v>30</v>
      </c>
      <c r="Y470" t="s">
        <v>30</v>
      </c>
      <c r="Z470">
        <v>154000</v>
      </c>
      <c r="AC470" s="5" t="s">
        <v>862</v>
      </c>
      <c r="AD470" s="8">
        <v>19911000</v>
      </c>
      <c r="AE470" s="5" t="s">
        <v>863</v>
      </c>
      <c r="AF470" s="8">
        <v>19911001</v>
      </c>
      <c r="AG470" s="4" t="s">
        <v>864</v>
      </c>
      <c r="AH470" s="8">
        <v>19911001</v>
      </c>
    </row>
    <row r="471" spans="1:34" x14ac:dyDescent="0.25">
      <c r="A471">
        <v>26932</v>
      </c>
      <c r="B471" t="s">
        <v>25</v>
      </c>
      <c r="C471" t="s">
        <v>817</v>
      </c>
      <c r="D471" t="s">
        <v>857</v>
      </c>
      <c r="E471" t="s">
        <v>30</v>
      </c>
      <c r="F471" t="s">
        <v>30</v>
      </c>
      <c r="G471" t="s">
        <v>30</v>
      </c>
      <c r="H471" t="s">
        <v>31</v>
      </c>
      <c r="I471" t="s">
        <v>86</v>
      </c>
      <c r="J471" t="s">
        <v>30</v>
      </c>
      <c r="K471">
        <v>589453.79</v>
      </c>
      <c r="L471" s="177">
        <v>424119.29000000004</v>
      </c>
      <c r="M471">
        <v>165334.5</v>
      </c>
      <c r="N471">
        <v>0</v>
      </c>
      <c r="O471">
        <v>0</v>
      </c>
      <c r="P471">
        <v>247648.79000000004</v>
      </c>
      <c r="Q471" s="177">
        <v>176470.5</v>
      </c>
      <c r="R471" t="s">
        <v>30</v>
      </c>
      <c r="S471">
        <v>100</v>
      </c>
      <c r="T471">
        <v>341805</v>
      </c>
      <c r="U471" t="s">
        <v>107</v>
      </c>
      <c r="V471" t="s">
        <v>1663</v>
      </c>
      <c r="W471">
        <v>0</v>
      </c>
      <c r="X471" t="s">
        <v>30</v>
      </c>
      <c r="Y471" t="s">
        <v>30</v>
      </c>
      <c r="Z471">
        <v>415900</v>
      </c>
      <c r="AC471" s="5" t="s">
        <v>862</v>
      </c>
      <c r="AD471" s="8">
        <v>19911000</v>
      </c>
      <c r="AE471" s="5" t="s">
        <v>863</v>
      </c>
      <c r="AF471" s="8">
        <v>19911001</v>
      </c>
      <c r="AG471" s="4" t="s">
        <v>864</v>
      </c>
      <c r="AH471" s="8">
        <v>19911001</v>
      </c>
    </row>
    <row r="472" spans="1:34" x14ac:dyDescent="0.25">
      <c r="A472">
        <v>26933</v>
      </c>
      <c r="B472" t="s">
        <v>25</v>
      </c>
      <c r="C472" t="s">
        <v>817</v>
      </c>
      <c r="D472" t="s">
        <v>858</v>
      </c>
      <c r="E472" t="s">
        <v>30</v>
      </c>
      <c r="F472" t="s">
        <v>30</v>
      </c>
      <c r="G472" t="s">
        <v>30</v>
      </c>
      <c r="H472" t="s">
        <v>59</v>
      </c>
      <c r="I472" t="s">
        <v>86</v>
      </c>
      <c r="J472" t="s">
        <v>97</v>
      </c>
      <c r="K472">
        <v>521265.37</v>
      </c>
      <c r="L472" s="177">
        <v>468794.44299999997</v>
      </c>
      <c r="M472">
        <v>52470.93</v>
      </c>
      <c r="N472">
        <v>0</v>
      </c>
      <c r="O472">
        <v>0</v>
      </c>
      <c r="P472">
        <v>464265.37</v>
      </c>
      <c r="Q472" s="177">
        <v>4529.0730000000012</v>
      </c>
      <c r="R472" t="s">
        <v>30</v>
      </c>
      <c r="S472">
        <v>100</v>
      </c>
      <c r="T472">
        <v>57000</v>
      </c>
      <c r="U472" t="s">
        <v>78</v>
      </c>
      <c r="V472" t="s">
        <v>1873</v>
      </c>
      <c r="W472">
        <v>0</v>
      </c>
      <c r="X472" t="s">
        <v>30</v>
      </c>
      <c r="Y472" t="s">
        <v>30</v>
      </c>
      <c r="Z472">
        <v>64400</v>
      </c>
      <c r="AC472" s="5" t="s">
        <v>862</v>
      </c>
      <c r="AD472" s="8">
        <v>19911000</v>
      </c>
      <c r="AE472" s="5" t="s">
        <v>863</v>
      </c>
      <c r="AF472" s="8">
        <v>19911001</v>
      </c>
      <c r="AG472" s="4" t="s">
        <v>864</v>
      </c>
      <c r="AH472" s="8">
        <v>19911001</v>
      </c>
    </row>
    <row r="473" spans="1:34" x14ac:dyDescent="0.25">
      <c r="A473">
        <v>26934</v>
      </c>
      <c r="B473" t="s">
        <v>25</v>
      </c>
      <c r="C473" t="s">
        <v>817</v>
      </c>
      <c r="D473" t="s">
        <v>859</v>
      </c>
      <c r="E473" t="s">
        <v>30</v>
      </c>
      <c r="F473" t="s">
        <v>30</v>
      </c>
      <c r="G473" t="s">
        <v>30</v>
      </c>
      <c r="H473" t="s">
        <v>30</v>
      </c>
      <c r="I473" t="s">
        <v>86</v>
      </c>
      <c r="J473" t="s">
        <v>97</v>
      </c>
      <c r="K473">
        <v>70380.240000000005</v>
      </c>
      <c r="L473" s="177">
        <v>24191.468000000001</v>
      </c>
      <c r="M473">
        <v>46188.77</v>
      </c>
      <c r="N473">
        <v>0</v>
      </c>
      <c r="O473">
        <v>0</v>
      </c>
      <c r="P473">
        <v>0</v>
      </c>
      <c r="Q473" s="177">
        <v>24191.468000000001</v>
      </c>
      <c r="R473" t="s">
        <v>30</v>
      </c>
      <c r="S473">
        <v>100</v>
      </c>
      <c r="T473">
        <v>76000</v>
      </c>
      <c r="U473" t="s">
        <v>34</v>
      </c>
      <c r="V473" t="s">
        <v>1811</v>
      </c>
      <c r="W473">
        <v>0</v>
      </c>
      <c r="X473" t="s">
        <v>30</v>
      </c>
      <c r="Y473" t="s">
        <v>30</v>
      </c>
      <c r="Z473">
        <v>100900</v>
      </c>
      <c r="AC473" s="5" t="s">
        <v>862</v>
      </c>
      <c r="AD473" s="8">
        <v>19911000</v>
      </c>
      <c r="AE473" s="5" t="s">
        <v>863</v>
      </c>
      <c r="AF473" s="8">
        <v>19911001</v>
      </c>
      <c r="AG473" s="4" t="s">
        <v>864</v>
      </c>
      <c r="AH473" s="8">
        <v>19911001</v>
      </c>
    </row>
    <row r="474" spans="1:34" x14ac:dyDescent="0.25">
      <c r="A474">
        <v>27063</v>
      </c>
      <c r="B474" t="s">
        <v>25</v>
      </c>
      <c r="C474" t="s">
        <v>817</v>
      </c>
      <c r="D474" t="s">
        <v>1659</v>
      </c>
      <c r="E474" t="s">
        <v>30</v>
      </c>
      <c r="F474" t="s">
        <v>30</v>
      </c>
      <c r="G474" t="s">
        <v>30</v>
      </c>
      <c r="H474" t="s">
        <v>37</v>
      </c>
      <c r="I474" t="s">
        <v>86</v>
      </c>
      <c r="J474" t="s">
        <v>1860</v>
      </c>
      <c r="K474">
        <v>73200.81</v>
      </c>
      <c r="L474" s="177">
        <v>12765.809999999998</v>
      </c>
      <c r="M474">
        <v>60435</v>
      </c>
      <c r="N474">
        <v>19046.599999999999</v>
      </c>
      <c r="O474">
        <v>95233</v>
      </c>
      <c r="P474">
        <v>0</v>
      </c>
      <c r="Q474" s="177">
        <v>0</v>
      </c>
      <c r="R474" t="s">
        <v>1874</v>
      </c>
      <c r="S474">
        <v>100</v>
      </c>
      <c r="T474">
        <v>67150</v>
      </c>
      <c r="U474" t="s">
        <v>55</v>
      </c>
      <c r="V474" t="s">
        <v>1664</v>
      </c>
      <c r="W474">
        <v>0</v>
      </c>
      <c r="X474" t="s">
        <v>30</v>
      </c>
      <c r="Y474" t="s">
        <v>30</v>
      </c>
      <c r="Z474">
        <v>79000</v>
      </c>
      <c r="AC474" s="5" t="s">
        <v>862</v>
      </c>
      <c r="AD474" s="8">
        <v>19911000</v>
      </c>
      <c r="AE474" s="5" t="s">
        <v>863</v>
      </c>
      <c r="AF474" s="8">
        <v>19911001</v>
      </c>
      <c r="AG474" s="4" t="s">
        <v>864</v>
      </c>
      <c r="AH474" s="8">
        <v>19911001</v>
      </c>
    </row>
    <row r="475" spans="1:34" x14ac:dyDescent="0.25">
      <c r="A475">
        <v>27064</v>
      </c>
      <c r="B475" t="s">
        <v>25</v>
      </c>
      <c r="C475" t="s">
        <v>817</v>
      </c>
      <c r="D475" t="s">
        <v>1660</v>
      </c>
      <c r="E475" t="s">
        <v>30</v>
      </c>
      <c r="F475" t="s">
        <v>30</v>
      </c>
      <c r="G475" t="s">
        <v>30</v>
      </c>
      <c r="H475" t="s">
        <v>37</v>
      </c>
      <c r="I475" t="s">
        <v>86</v>
      </c>
      <c r="J475" t="s">
        <v>1860</v>
      </c>
      <c r="K475">
        <v>92318.64</v>
      </c>
      <c r="L475" s="177">
        <v>15053.64</v>
      </c>
      <c r="M475">
        <v>77265</v>
      </c>
      <c r="N475">
        <v>26453.4</v>
      </c>
      <c r="O475">
        <v>132267</v>
      </c>
      <c r="P475">
        <v>0</v>
      </c>
      <c r="Q475" s="177">
        <v>0</v>
      </c>
      <c r="R475" t="s">
        <v>1874</v>
      </c>
      <c r="S475">
        <v>100</v>
      </c>
      <c r="T475">
        <v>85850</v>
      </c>
      <c r="U475" t="s">
        <v>55</v>
      </c>
      <c r="V475" t="s">
        <v>1664</v>
      </c>
      <c r="W475">
        <v>0</v>
      </c>
      <c r="X475" t="s">
        <v>30</v>
      </c>
      <c r="Y475" t="s">
        <v>30</v>
      </c>
      <c r="Z475">
        <v>101000</v>
      </c>
      <c r="AC475" s="5" t="s">
        <v>862</v>
      </c>
      <c r="AD475" s="8">
        <v>19911000</v>
      </c>
      <c r="AE475" s="5" t="s">
        <v>863</v>
      </c>
      <c r="AF475" s="8">
        <v>19911001</v>
      </c>
      <c r="AG475" s="4" t="s">
        <v>864</v>
      </c>
      <c r="AH475" s="8">
        <v>19911001</v>
      </c>
    </row>
    <row r="476" spans="1:34" x14ac:dyDescent="0.25">
      <c r="A476">
        <v>27112</v>
      </c>
      <c r="B476" t="s">
        <v>25</v>
      </c>
      <c r="C476" t="s">
        <v>817</v>
      </c>
      <c r="D476" t="s">
        <v>1864</v>
      </c>
      <c r="E476" t="s">
        <v>30</v>
      </c>
      <c r="F476" t="s">
        <v>30</v>
      </c>
      <c r="G476" t="s">
        <v>30</v>
      </c>
      <c r="H476" t="s">
        <v>59</v>
      </c>
      <c r="I476" t="s">
        <v>60</v>
      </c>
      <c r="J476" t="s">
        <v>1861</v>
      </c>
      <c r="K476">
        <v>511423.06</v>
      </c>
      <c r="L476" s="177">
        <v>0</v>
      </c>
      <c r="M476">
        <v>511423.06</v>
      </c>
      <c r="N476">
        <v>0</v>
      </c>
      <c r="O476">
        <v>0</v>
      </c>
      <c r="P476">
        <v>0</v>
      </c>
      <c r="Q476" s="177">
        <v>0</v>
      </c>
      <c r="R476" t="s">
        <v>30</v>
      </c>
      <c r="S476">
        <v>100</v>
      </c>
      <c r="T476">
        <v>1880300</v>
      </c>
      <c r="U476" t="s">
        <v>120</v>
      </c>
      <c r="V476" t="s">
        <v>1875</v>
      </c>
      <c r="W476">
        <v>0</v>
      </c>
      <c r="X476" t="s">
        <v>30</v>
      </c>
      <c r="Y476" t="s">
        <v>30</v>
      </c>
      <c r="Z476">
        <v>2293500</v>
      </c>
      <c r="AC476" s="5" t="s">
        <v>862</v>
      </c>
      <c r="AD476" s="8">
        <v>19911000</v>
      </c>
      <c r="AE476" s="5" t="s">
        <v>863</v>
      </c>
      <c r="AF476" s="8">
        <v>19911001</v>
      </c>
      <c r="AG476" s="4" t="s">
        <v>864</v>
      </c>
      <c r="AH476" s="8">
        <v>19911001</v>
      </c>
    </row>
    <row r="477" spans="1:34" x14ac:dyDescent="0.25">
      <c r="D477" t="s">
        <v>1665</v>
      </c>
      <c r="K477">
        <v>114796.29</v>
      </c>
      <c r="L477" s="177">
        <v>0</v>
      </c>
      <c r="M477">
        <v>114796.29</v>
      </c>
      <c r="N477">
        <v>0</v>
      </c>
      <c r="O477">
        <v>0</v>
      </c>
      <c r="P477">
        <v>0</v>
      </c>
      <c r="Q477" s="177">
        <v>0</v>
      </c>
      <c r="S477">
        <v>0</v>
      </c>
      <c r="T477">
        <v>0</v>
      </c>
      <c r="W477">
        <v>0</v>
      </c>
      <c r="Z477">
        <v>0</v>
      </c>
      <c r="AC477" s="5" t="s">
        <v>862</v>
      </c>
      <c r="AD477" s="8">
        <v>19911000</v>
      </c>
      <c r="AE477" s="5" t="s">
        <v>863</v>
      </c>
      <c r="AF477" s="8">
        <v>19911001</v>
      </c>
      <c r="AG477" s="4" t="s">
        <v>864</v>
      </c>
      <c r="AH477" s="8">
        <v>19911001</v>
      </c>
    </row>
  </sheetData>
  <autoFilter ref="A1:AH427"/>
  <pageMargins left="1.8" right="1.8" top="1.9" bottom="1.9" header="0.5" footer="0.5"/>
  <pageSetup paperSize="9" fitToWidth="0" fitToHeight="0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79"/>
  <sheetViews>
    <sheetView showGridLines="0" topLeftCell="S16" zoomScale="90" workbookViewId="0">
      <selection activeCell="AC45" sqref="AC45"/>
    </sheetView>
  </sheetViews>
  <sheetFormatPr defaultColWidth="8" defaultRowHeight="12" customHeight="1" x14ac:dyDescent="0.25"/>
  <cols>
    <col min="1" max="2" width="7.453125" style="85" customWidth="1"/>
    <col min="3" max="3" width="11.54296875" style="86" customWidth="1"/>
    <col min="4" max="4" width="16" style="86" customWidth="1"/>
    <col min="5" max="5" width="37.81640625" style="87" customWidth="1"/>
    <col min="6" max="6" width="10" style="51" bestFit="1" customWidth="1"/>
    <col min="7" max="7" width="13.81640625" style="51" customWidth="1"/>
    <col min="8" max="8" width="8.1796875" style="88" customWidth="1"/>
    <col min="9" max="9" width="15.26953125" style="88" customWidth="1"/>
    <col min="10" max="10" width="12.7265625" style="88" bestFit="1" customWidth="1"/>
    <col min="11" max="11" width="14.7265625" style="51" bestFit="1" customWidth="1"/>
    <col min="12" max="12" width="8.1796875" style="24" bestFit="1" customWidth="1"/>
    <col min="13" max="13" width="12" style="24" customWidth="1"/>
    <col min="14" max="14" width="9.26953125" style="24" customWidth="1"/>
    <col min="15" max="15" width="11.453125" style="89" bestFit="1" customWidth="1"/>
    <col min="16" max="16" width="10.26953125" style="87" customWidth="1"/>
    <col min="17" max="17" width="51.453125" style="87" bestFit="1" customWidth="1"/>
    <col min="18" max="18" width="21" style="87" bestFit="1" customWidth="1"/>
    <col min="19" max="19" width="11.54296875" style="24" customWidth="1"/>
    <col min="20" max="20" width="15" style="24" customWidth="1"/>
    <col min="21" max="21" width="12.453125" style="51" customWidth="1"/>
    <col min="22" max="22" width="6.453125" style="93" bestFit="1" customWidth="1"/>
    <col min="23" max="23" width="14.453125" style="51" bestFit="1" customWidth="1"/>
    <col min="24" max="24" width="13.54296875" style="51" bestFit="1" customWidth="1"/>
    <col min="25" max="25" width="13.1796875" style="24" bestFit="1" customWidth="1"/>
    <col min="26" max="26" width="13.453125" style="51" bestFit="1" customWidth="1"/>
    <col min="27" max="27" width="11" style="51" bestFit="1" customWidth="1"/>
    <col min="28" max="28" width="7.26953125" style="51" bestFit="1" customWidth="1"/>
    <col min="29" max="29" width="11.1796875" style="51" bestFit="1" customWidth="1"/>
    <col min="30" max="30" width="8" style="51"/>
    <col min="31" max="31" width="9.7265625" style="51" bestFit="1" customWidth="1"/>
    <col min="32" max="32" width="8" style="51"/>
    <col min="33" max="33" width="9.7265625" style="51" bestFit="1" customWidth="1"/>
    <col min="34" max="16384" width="8" style="51"/>
  </cols>
  <sheetData>
    <row r="1" spans="1:33" s="11" customFormat="1" ht="21" customHeight="1" x14ac:dyDescent="0.3">
      <c r="C1" s="12"/>
      <c r="D1" s="12"/>
      <c r="E1" s="13"/>
      <c r="F1" s="14"/>
      <c r="G1" s="14"/>
      <c r="H1" s="14"/>
      <c r="I1" s="15"/>
      <c r="J1" s="15"/>
      <c r="K1" s="14"/>
      <c r="L1" s="14"/>
      <c r="M1" s="14"/>
      <c r="N1" s="14"/>
      <c r="P1" s="14"/>
      <c r="Q1" s="14"/>
      <c r="R1" s="16">
        <v>45473</v>
      </c>
      <c r="S1" s="10"/>
      <c r="T1" s="10"/>
      <c r="V1" s="17"/>
      <c r="W1" s="18"/>
      <c r="X1" s="18"/>
      <c r="Y1" s="19"/>
      <c r="Z1" s="18"/>
    </row>
    <row r="2" spans="1:33" s="28" customFormat="1" ht="21.75" customHeight="1" x14ac:dyDescent="0.25">
      <c r="A2" s="20" t="s">
        <v>876</v>
      </c>
      <c r="B2" s="20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22"/>
      <c r="Q2" s="22"/>
      <c r="R2" s="22"/>
      <c r="S2" s="24"/>
      <c r="T2" s="24"/>
      <c r="U2" s="25"/>
      <c r="V2" s="26"/>
      <c r="W2" s="27">
        <v>1.2989005434944634E-2</v>
      </c>
      <c r="X2" s="27">
        <v>1.9300000000000001E-2</v>
      </c>
      <c r="Y2" s="24"/>
    </row>
    <row r="3" spans="1:33" s="10" customFormat="1" ht="18" customHeight="1" x14ac:dyDescent="0.25">
      <c r="A3" s="29" t="s">
        <v>877</v>
      </c>
      <c r="B3" s="29" t="s">
        <v>878</v>
      </c>
      <c r="C3" s="30" t="s">
        <v>879</v>
      </c>
      <c r="D3" s="181" t="s">
        <v>880</v>
      </c>
      <c r="E3" s="29" t="s">
        <v>881</v>
      </c>
      <c r="F3" s="31" t="s">
        <v>882</v>
      </c>
      <c r="G3" s="31" t="s">
        <v>883</v>
      </c>
      <c r="H3" s="31"/>
      <c r="I3" s="175" t="s">
        <v>884</v>
      </c>
      <c r="J3" s="175"/>
      <c r="K3" s="29" t="s">
        <v>885</v>
      </c>
      <c r="L3" s="29"/>
      <c r="M3" s="183" t="s">
        <v>886</v>
      </c>
      <c r="N3" s="183" t="s">
        <v>887</v>
      </c>
      <c r="O3" s="32" t="s">
        <v>888</v>
      </c>
      <c r="P3" s="32" t="s">
        <v>889</v>
      </c>
      <c r="Q3" s="32" t="s">
        <v>890</v>
      </c>
      <c r="R3" s="32" t="s">
        <v>891</v>
      </c>
      <c r="S3" s="33" t="s">
        <v>892</v>
      </c>
      <c r="T3" s="33" t="s">
        <v>893</v>
      </c>
      <c r="U3" s="34" t="s">
        <v>894</v>
      </c>
      <c r="V3" s="35" t="s">
        <v>895</v>
      </c>
      <c r="W3" s="36" t="s">
        <v>896</v>
      </c>
      <c r="X3" s="36" t="s">
        <v>897</v>
      </c>
      <c r="Y3" s="37" t="s">
        <v>898</v>
      </c>
      <c r="Z3" s="36" t="s">
        <v>899</v>
      </c>
    </row>
    <row r="4" spans="1:33" s="10" customFormat="1" ht="15.75" customHeight="1" x14ac:dyDescent="0.25">
      <c r="A4" s="29"/>
      <c r="B4" s="29"/>
      <c r="C4" s="30"/>
      <c r="D4" s="182"/>
      <c r="E4" s="38"/>
      <c r="F4" s="31" t="s">
        <v>900</v>
      </c>
      <c r="G4" s="29"/>
      <c r="H4" s="32" t="s">
        <v>901</v>
      </c>
      <c r="I4" s="175" t="s">
        <v>902</v>
      </c>
      <c r="J4" s="175" t="s">
        <v>900</v>
      </c>
      <c r="K4" s="29" t="s">
        <v>902</v>
      </c>
      <c r="L4" s="29" t="s">
        <v>895</v>
      </c>
      <c r="M4" s="184"/>
      <c r="N4" s="184"/>
      <c r="O4" s="32"/>
      <c r="P4" s="32"/>
      <c r="Q4" s="32"/>
      <c r="R4" s="32"/>
      <c r="S4" s="33" t="s">
        <v>893</v>
      </c>
      <c r="T4" s="33" t="s">
        <v>903</v>
      </c>
      <c r="U4" s="34" t="s">
        <v>904</v>
      </c>
      <c r="V4" s="35"/>
      <c r="W4" s="39"/>
      <c r="X4" s="36" t="s">
        <v>905</v>
      </c>
      <c r="Y4" s="37" t="s">
        <v>906</v>
      </c>
      <c r="Z4" s="36" t="s">
        <v>906</v>
      </c>
    </row>
    <row r="5" spans="1:33" ht="12" customHeight="1" x14ac:dyDescent="0.3">
      <c r="A5" s="40"/>
      <c r="B5" s="40"/>
      <c r="C5" s="41"/>
      <c r="D5" s="41"/>
      <c r="E5" s="42"/>
      <c r="F5" s="43"/>
      <c r="G5" s="44">
        <f>SUM(G6:G42)</f>
        <v>2425062.8400000003</v>
      </c>
      <c r="H5" s="44"/>
      <c r="I5" s="44">
        <f>SUM(I6:I42)</f>
        <v>3089833.0700000003</v>
      </c>
      <c r="J5" s="44"/>
      <c r="K5" s="44">
        <f>SUM(K6:K42)</f>
        <v>120268.95999999999</v>
      </c>
      <c r="L5" s="45"/>
      <c r="M5" s="46"/>
      <c r="N5" s="47"/>
      <c r="O5" s="48"/>
      <c r="P5" s="48"/>
      <c r="Q5" s="48"/>
      <c r="R5" s="48"/>
      <c r="S5" s="49">
        <v>45473</v>
      </c>
      <c r="T5" s="50">
        <f>SUM(T6:T42)</f>
        <v>2095358.9550000005</v>
      </c>
      <c r="U5" s="44">
        <f>SUM(U6:U42)</f>
        <v>619211.23999999987</v>
      </c>
      <c r="V5" s="50"/>
      <c r="W5" s="44">
        <f>SUM(W6:W42)</f>
        <v>10051.415602699077</v>
      </c>
      <c r="X5" s="44">
        <f>SUM(X6:X42)</f>
        <v>32337.752630867912</v>
      </c>
      <c r="Y5" s="50"/>
      <c r="Z5" s="44">
        <f>SUM(Z6:Z42)</f>
        <v>781869.36823356687</v>
      </c>
      <c r="AB5" s="3" t="s">
        <v>811</v>
      </c>
      <c r="AC5" s="7" t="s">
        <v>812</v>
      </c>
      <c r="AD5" s="3" t="s">
        <v>813</v>
      </c>
      <c r="AE5" s="7" t="s">
        <v>814</v>
      </c>
      <c r="AF5" s="3" t="s">
        <v>815</v>
      </c>
      <c r="AG5" s="7" t="s">
        <v>816</v>
      </c>
    </row>
    <row r="6" spans="1:33" ht="10.5" x14ac:dyDescent="0.25">
      <c r="A6" s="52" t="s">
        <v>907</v>
      </c>
      <c r="B6" s="52"/>
      <c r="C6" s="52"/>
      <c r="D6" s="52"/>
      <c r="E6" s="53" t="s">
        <v>908</v>
      </c>
      <c r="F6" s="54">
        <v>42278</v>
      </c>
      <c r="G6" s="55">
        <v>103300</v>
      </c>
      <c r="H6" s="56">
        <v>9948</v>
      </c>
      <c r="I6" s="57">
        <v>0</v>
      </c>
      <c r="J6" s="58"/>
      <c r="K6" s="59">
        <v>103300</v>
      </c>
      <c r="L6" s="60"/>
      <c r="M6" s="60"/>
      <c r="N6" s="60"/>
      <c r="O6" s="56"/>
      <c r="P6" s="53"/>
      <c r="Q6" s="53"/>
      <c r="R6" s="53"/>
      <c r="S6" s="61"/>
      <c r="T6" s="62"/>
      <c r="U6" s="62"/>
      <c r="V6" s="63"/>
      <c r="W6" s="64"/>
      <c r="X6" s="64"/>
      <c r="Y6" s="65">
        <v>1</v>
      </c>
      <c r="Z6" s="66">
        <v>103300</v>
      </c>
      <c r="AA6" s="67"/>
      <c r="AB6" s="94">
        <v>27900</v>
      </c>
      <c r="AC6" s="95">
        <v>199100200</v>
      </c>
      <c r="AD6" s="94">
        <v>29910</v>
      </c>
      <c r="AE6" s="95">
        <v>199100201</v>
      </c>
      <c r="AF6" s="94" t="s">
        <v>1030</v>
      </c>
      <c r="AG6" s="95">
        <v>199100201</v>
      </c>
    </row>
    <row r="7" spans="1:33" ht="12" customHeight="1" x14ac:dyDescent="0.25">
      <c r="A7" s="52" t="s">
        <v>909</v>
      </c>
      <c r="B7" s="52">
        <v>5177</v>
      </c>
      <c r="C7" s="68" t="s">
        <v>910</v>
      </c>
      <c r="D7" s="52"/>
      <c r="E7" s="53" t="s">
        <v>911</v>
      </c>
      <c r="F7" s="54">
        <v>41614</v>
      </c>
      <c r="G7" s="55">
        <v>80000</v>
      </c>
      <c r="H7" s="56">
        <v>6185</v>
      </c>
      <c r="I7" s="57">
        <v>158330</v>
      </c>
      <c r="J7" s="54">
        <v>44880</v>
      </c>
      <c r="K7" s="55">
        <v>0</v>
      </c>
      <c r="L7" s="60"/>
      <c r="M7" s="54">
        <v>37664</v>
      </c>
      <c r="N7" s="54">
        <v>0</v>
      </c>
      <c r="O7" s="69">
        <v>14981</v>
      </c>
      <c r="P7" s="70"/>
      <c r="Q7" s="71" t="s">
        <v>912</v>
      </c>
      <c r="R7" s="72"/>
      <c r="S7" s="73">
        <v>1.6246575342465754</v>
      </c>
      <c r="T7" s="74">
        <v>126664</v>
      </c>
      <c r="U7" s="74">
        <v>0</v>
      </c>
      <c r="V7" s="75">
        <v>0</v>
      </c>
      <c r="W7" s="76">
        <v>1039.1204347955706</v>
      </c>
      <c r="X7" s="76">
        <v>1523.9449756084457</v>
      </c>
      <c r="Y7" s="77">
        <v>3.2038317630050203E-2</v>
      </c>
      <c r="Z7" s="76">
        <v>2563.0654104040163</v>
      </c>
      <c r="AA7" s="67"/>
      <c r="AB7" s="94">
        <v>27901</v>
      </c>
      <c r="AC7" s="95">
        <v>199100210</v>
      </c>
      <c r="AD7" s="94">
        <v>29920</v>
      </c>
      <c r="AE7" s="95">
        <v>199100211</v>
      </c>
      <c r="AF7" s="94">
        <v>29921</v>
      </c>
      <c r="AG7" s="95">
        <v>199100211</v>
      </c>
    </row>
    <row r="8" spans="1:33" ht="10.5" x14ac:dyDescent="0.25">
      <c r="A8" s="52" t="s">
        <v>909</v>
      </c>
      <c r="B8" s="52">
        <v>5275</v>
      </c>
      <c r="C8" s="68" t="s">
        <v>913</v>
      </c>
      <c r="D8" s="52"/>
      <c r="E8" s="53" t="s">
        <v>914</v>
      </c>
      <c r="F8" s="54">
        <v>41607</v>
      </c>
      <c r="G8" s="55">
        <v>68429.929999999993</v>
      </c>
      <c r="H8" s="56">
        <v>6185</v>
      </c>
      <c r="I8" s="57">
        <v>111400</v>
      </c>
      <c r="J8" s="54">
        <v>45191</v>
      </c>
      <c r="K8" s="55">
        <v>0</v>
      </c>
      <c r="L8" s="60"/>
      <c r="M8" s="54">
        <v>41599</v>
      </c>
      <c r="N8" s="54">
        <v>41599</v>
      </c>
      <c r="O8" s="69">
        <v>15732</v>
      </c>
      <c r="P8" s="70"/>
      <c r="Q8" s="71" t="s">
        <v>915</v>
      </c>
      <c r="R8" s="72"/>
      <c r="S8" s="73">
        <v>0.77260273972602744</v>
      </c>
      <c r="T8" s="74">
        <v>100260</v>
      </c>
      <c r="U8" s="74">
        <v>0</v>
      </c>
      <c r="V8" s="75">
        <v>0</v>
      </c>
      <c r="W8" s="76">
        <v>888.83673268288078</v>
      </c>
      <c r="X8" s="76">
        <v>1303.5431000592205</v>
      </c>
      <c r="Y8" s="77">
        <v>3.203831763005021E-2</v>
      </c>
      <c r="Z8" s="76">
        <v>2192.3798327421014</v>
      </c>
      <c r="AA8" s="67"/>
      <c r="AB8" s="94">
        <v>27901</v>
      </c>
      <c r="AC8" s="95">
        <v>199100210</v>
      </c>
      <c r="AD8" s="94">
        <v>29920</v>
      </c>
      <c r="AE8" s="95">
        <v>199100211</v>
      </c>
      <c r="AF8" s="94">
        <v>29921</v>
      </c>
      <c r="AG8" s="95">
        <v>199100211</v>
      </c>
    </row>
    <row r="9" spans="1:33" ht="10.5" x14ac:dyDescent="0.25">
      <c r="A9" s="52" t="s">
        <v>909</v>
      </c>
      <c r="B9" s="52">
        <v>3175</v>
      </c>
      <c r="C9" s="68" t="s">
        <v>916</v>
      </c>
      <c r="D9" s="52" t="s">
        <v>917</v>
      </c>
      <c r="E9" s="53" t="s">
        <v>918</v>
      </c>
      <c r="F9" s="54">
        <v>41845</v>
      </c>
      <c r="G9" s="55">
        <v>138191.62</v>
      </c>
      <c r="H9" s="56">
        <v>6185</v>
      </c>
      <c r="I9" s="57">
        <v>136201.23000000001</v>
      </c>
      <c r="J9" s="54">
        <v>42565</v>
      </c>
      <c r="K9" s="55">
        <v>1990.3899999999849</v>
      </c>
      <c r="L9" s="60"/>
      <c r="M9" s="54">
        <v>41844</v>
      </c>
      <c r="N9" s="54">
        <v>41844</v>
      </c>
      <c r="O9" s="69"/>
      <c r="P9" s="70"/>
      <c r="Q9" s="71" t="s">
        <v>919</v>
      </c>
      <c r="R9" s="72"/>
      <c r="S9" s="73">
        <v>7.9671232876712326</v>
      </c>
      <c r="T9" s="74">
        <v>68100.615000000005</v>
      </c>
      <c r="U9" s="74">
        <v>68100.615000000005</v>
      </c>
      <c r="V9" s="75">
        <v>0.50720155824209889</v>
      </c>
      <c r="W9" s="76">
        <v>0</v>
      </c>
      <c r="X9" s="76">
        <v>1314.3418695000003</v>
      </c>
      <c r="Y9" s="77">
        <v>0.51671256816802635</v>
      </c>
      <c r="Z9" s="76">
        <v>71405.34686949999</v>
      </c>
      <c r="AA9" s="67"/>
      <c r="AB9" s="94">
        <v>27901</v>
      </c>
      <c r="AC9" s="95">
        <v>199100210</v>
      </c>
      <c r="AD9" s="94">
        <v>29920</v>
      </c>
      <c r="AE9" s="95">
        <v>199100211</v>
      </c>
      <c r="AF9" s="94">
        <v>29921</v>
      </c>
      <c r="AG9" s="95">
        <v>199100211</v>
      </c>
    </row>
    <row r="10" spans="1:33" ht="10.5" x14ac:dyDescent="0.25">
      <c r="A10" s="52" t="s">
        <v>909</v>
      </c>
      <c r="B10" s="52">
        <v>387</v>
      </c>
      <c r="C10" s="68" t="s">
        <v>920</v>
      </c>
      <c r="D10" s="52" t="s">
        <v>921</v>
      </c>
      <c r="E10" s="53" t="s">
        <v>922</v>
      </c>
      <c r="F10" s="54">
        <v>41845</v>
      </c>
      <c r="G10" s="55">
        <v>89297.81</v>
      </c>
      <c r="H10" s="56">
        <v>6185</v>
      </c>
      <c r="I10" s="57">
        <v>130631.85</v>
      </c>
      <c r="J10" s="54">
        <v>42559</v>
      </c>
      <c r="K10" s="55">
        <v>0</v>
      </c>
      <c r="L10" s="60"/>
      <c r="M10" s="54">
        <v>41373</v>
      </c>
      <c r="N10" s="54">
        <v>41843</v>
      </c>
      <c r="O10" s="69"/>
      <c r="P10" s="70"/>
      <c r="Q10" s="71" t="s">
        <v>923</v>
      </c>
      <c r="R10" s="72"/>
      <c r="S10" s="73">
        <v>7.9835616438356167</v>
      </c>
      <c r="T10" s="74">
        <v>65315.925000000003</v>
      </c>
      <c r="U10" s="74">
        <v>23981.884999999995</v>
      </c>
      <c r="V10" s="75">
        <v>0.26856072954084759</v>
      </c>
      <c r="W10" s="76">
        <v>0</v>
      </c>
      <c r="X10" s="76">
        <v>1260.5973525000002</v>
      </c>
      <c r="Y10" s="77">
        <v>0.28267750746070924</v>
      </c>
      <c r="Z10" s="76">
        <v>25242.482352499996</v>
      </c>
      <c r="AA10" s="67"/>
      <c r="AB10" s="94">
        <v>27901</v>
      </c>
      <c r="AC10" s="95">
        <v>199100210</v>
      </c>
      <c r="AD10" s="94">
        <v>29920</v>
      </c>
      <c r="AE10" s="95">
        <v>199100211</v>
      </c>
      <c r="AF10" s="94">
        <v>29921</v>
      </c>
      <c r="AG10" s="95">
        <v>199100211</v>
      </c>
    </row>
    <row r="11" spans="1:33" ht="10.5" x14ac:dyDescent="0.25">
      <c r="A11" s="52" t="s">
        <v>909</v>
      </c>
      <c r="B11" s="52">
        <v>5038</v>
      </c>
      <c r="C11" s="68" t="s">
        <v>924</v>
      </c>
      <c r="D11" s="52" t="s">
        <v>925</v>
      </c>
      <c r="E11" s="53" t="s">
        <v>926</v>
      </c>
      <c r="F11" s="54">
        <v>41536</v>
      </c>
      <c r="G11" s="55">
        <v>54508</v>
      </c>
      <c r="H11" s="56">
        <v>6185</v>
      </c>
      <c r="I11" s="57">
        <v>126700</v>
      </c>
      <c r="J11" s="54">
        <v>44525</v>
      </c>
      <c r="K11" s="55">
        <v>0</v>
      </c>
      <c r="L11" s="60"/>
      <c r="M11" s="54">
        <v>41521</v>
      </c>
      <c r="N11" s="54">
        <v>41521</v>
      </c>
      <c r="O11" s="69"/>
      <c r="P11" s="70" t="s">
        <v>927</v>
      </c>
      <c r="Q11" s="71" t="s">
        <v>928</v>
      </c>
      <c r="R11" s="72"/>
      <c r="S11" s="73">
        <v>2.5972602739726027</v>
      </c>
      <c r="T11" s="74">
        <v>63350</v>
      </c>
      <c r="U11" s="74">
        <v>0</v>
      </c>
      <c r="V11" s="75">
        <v>0</v>
      </c>
      <c r="W11" s="76">
        <v>708.00470824796207</v>
      </c>
      <c r="X11" s="76">
        <v>1038.3399091308142</v>
      </c>
      <c r="Y11" s="77">
        <v>3.2038317630050203E-2</v>
      </c>
      <c r="Z11" s="76">
        <v>1746.3446173787763</v>
      </c>
      <c r="AA11" s="67"/>
      <c r="AB11" s="94">
        <v>27901</v>
      </c>
      <c r="AC11" s="95">
        <v>199100210</v>
      </c>
      <c r="AD11" s="94">
        <v>29920</v>
      </c>
      <c r="AE11" s="95">
        <v>199100211</v>
      </c>
      <c r="AF11" s="94">
        <v>29921</v>
      </c>
      <c r="AG11" s="95">
        <v>199100211</v>
      </c>
    </row>
    <row r="12" spans="1:33" ht="10.5" x14ac:dyDescent="0.25">
      <c r="A12" s="52" t="s">
        <v>909</v>
      </c>
      <c r="B12" s="52">
        <v>668</v>
      </c>
      <c r="C12" s="68" t="s">
        <v>929</v>
      </c>
      <c r="D12" s="52" t="s">
        <v>930</v>
      </c>
      <c r="E12" s="53" t="s">
        <v>931</v>
      </c>
      <c r="F12" s="54">
        <v>41943</v>
      </c>
      <c r="G12" s="55">
        <v>26120.79</v>
      </c>
      <c r="H12" s="52">
        <v>6185</v>
      </c>
      <c r="I12" s="57">
        <v>55000</v>
      </c>
      <c r="J12" s="54">
        <v>45309</v>
      </c>
      <c r="K12" s="55">
        <v>0</v>
      </c>
      <c r="L12" s="60"/>
      <c r="M12" s="54">
        <v>41859</v>
      </c>
      <c r="N12" s="54">
        <v>41890</v>
      </c>
      <c r="O12" s="69"/>
      <c r="P12" s="70"/>
      <c r="Q12" s="71" t="s">
        <v>932</v>
      </c>
      <c r="R12" s="72"/>
      <c r="S12" s="73">
        <v>0.44931506849315067</v>
      </c>
      <c r="T12" s="74">
        <v>55000</v>
      </c>
      <c r="U12" s="74">
        <v>0</v>
      </c>
      <c r="V12" s="75">
        <v>0</v>
      </c>
      <c r="W12" s="76">
        <v>339.28308327504743</v>
      </c>
      <c r="X12" s="76">
        <v>497.58308349279162</v>
      </c>
      <c r="Y12" s="77">
        <v>3.2038317630050203E-2</v>
      </c>
      <c r="Z12" s="76">
        <v>836.8661667678391</v>
      </c>
      <c r="AA12" s="67"/>
      <c r="AB12" s="94">
        <v>27901</v>
      </c>
      <c r="AC12" s="95">
        <v>199100210</v>
      </c>
      <c r="AD12" s="94">
        <v>29920</v>
      </c>
      <c r="AE12" s="95">
        <v>199100211</v>
      </c>
      <c r="AF12" s="94">
        <v>29921</v>
      </c>
      <c r="AG12" s="95">
        <v>199100211</v>
      </c>
    </row>
    <row r="13" spans="1:33" ht="10.5" x14ac:dyDescent="0.25">
      <c r="A13" s="52" t="s">
        <v>909</v>
      </c>
      <c r="B13" s="52">
        <v>5251</v>
      </c>
      <c r="C13" s="68" t="s">
        <v>933</v>
      </c>
      <c r="D13" s="52" t="s">
        <v>934</v>
      </c>
      <c r="E13" s="53" t="s">
        <v>935</v>
      </c>
      <c r="F13" s="54">
        <v>42062</v>
      </c>
      <c r="G13" s="55">
        <v>29640.62</v>
      </c>
      <c r="H13" s="56">
        <v>6185</v>
      </c>
      <c r="I13" s="57">
        <v>55000</v>
      </c>
      <c r="J13" s="54">
        <v>45215</v>
      </c>
      <c r="K13" s="55">
        <v>0</v>
      </c>
      <c r="L13" s="60"/>
      <c r="M13" s="54">
        <v>42061</v>
      </c>
      <c r="N13" s="54">
        <v>42061</v>
      </c>
      <c r="O13" s="69"/>
      <c r="P13" s="70"/>
      <c r="Q13" s="71" t="s">
        <v>936</v>
      </c>
      <c r="R13" s="72"/>
      <c r="S13" s="73">
        <v>0.70684931506849313</v>
      </c>
      <c r="T13" s="74">
        <v>49500</v>
      </c>
      <c r="U13" s="74">
        <v>0</v>
      </c>
      <c r="V13" s="75">
        <v>0</v>
      </c>
      <c r="W13" s="76">
        <v>385.0021742751286</v>
      </c>
      <c r="X13" s="76">
        <v>564.63342403649006</v>
      </c>
      <c r="Y13" s="77">
        <v>3.2038317630050203E-2</v>
      </c>
      <c r="Z13" s="76">
        <v>949.63559831161865</v>
      </c>
      <c r="AA13" s="67"/>
      <c r="AB13" s="94">
        <v>27901</v>
      </c>
      <c r="AC13" s="95">
        <v>199100210</v>
      </c>
      <c r="AD13" s="94">
        <v>29920</v>
      </c>
      <c r="AE13" s="95">
        <v>199100211</v>
      </c>
      <c r="AF13" s="94">
        <v>29921</v>
      </c>
      <c r="AG13" s="95">
        <v>199100211</v>
      </c>
    </row>
    <row r="14" spans="1:33" ht="10.5" x14ac:dyDescent="0.25">
      <c r="A14" s="52" t="s">
        <v>909</v>
      </c>
      <c r="B14" s="52">
        <v>5052</v>
      </c>
      <c r="C14" s="68" t="s">
        <v>937</v>
      </c>
      <c r="D14" s="52"/>
      <c r="E14" s="53" t="s">
        <v>938</v>
      </c>
      <c r="F14" s="54">
        <v>41835</v>
      </c>
      <c r="G14" s="55">
        <v>101096.36</v>
      </c>
      <c r="H14" s="56">
        <v>6185</v>
      </c>
      <c r="I14" s="57">
        <v>101096.36</v>
      </c>
      <c r="J14" s="54">
        <v>41794</v>
      </c>
      <c r="K14" s="55">
        <v>0</v>
      </c>
      <c r="L14" s="60"/>
      <c r="M14" s="54">
        <v>41830</v>
      </c>
      <c r="N14" s="54">
        <v>41830</v>
      </c>
      <c r="O14" s="69"/>
      <c r="P14" s="70" t="s">
        <v>939</v>
      </c>
      <c r="Q14" s="71" t="s">
        <v>940</v>
      </c>
      <c r="R14" s="72"/>
      <c r="S14" s="73">
        <v>10.079452054794521</v>
      </c>
      <c r="T14" s="74">
        <v>50548.18</v>
      </c>
      <c r="U14" s="74">
        <v>50548.18</v>
      </c>
      <c r="V14" s="75">
        <v>0.5</v>
      </c>
      <c r="W14" s="76">
        <v>0</v>
      </c>
      <c r="X14" s="76">
        <v>975.57987400000002</v>
      </c>
      <c r="Y14" s="77">
        <v>0.50965000000000005</v>
      </c>
      <c r="Z14" s="76">
        <v>51523.759874000003</v>
      </c>
      <c r="AA14" s="67"/>
      <c r="AB14" s="94">
        <v>27901</v>
      </c>
      <c r="AC14" s="95">
        <v>199100210</v>
      </c>
      <c r="AD14" s="94">
        <v>29920</v>
      </c>
      <c r="AE14" s="95">
        <v>199100211</v>
      </c>
      <c r="AF14" s="94">
        <v>29921</v>
      </c>
      <c r="AG14" s="95">
        <v>199100211</v>
      </c>
    </row>
    <row r="15" spans="1:33" ht="10.5" x14ac:dyDescent="0.25">
      <c r="A15" s="52" t="s">
        <v>909</v>
      </c>
      <c r="B15" s="52">
        <v>5156</v>
      </c>
      <c r="C15" s="68" t="s">
        <v>941</v>
      </c>
      <c r="D15" s="52"/>
      <c r="E15" s="53" t="s">
        <v>942</v>
      </c>
      <c r="F15" s="54">
        <v>41670</v>
      </c>
      <c r="G15" s="55">
        <v>46361.68</v>
      </c>
      <c r="H15" s="56">
        <v>6185</v>
      </c>
      <c r="I15" s="57">
        <v>41938.18</v>
      </c>
      <c r="J15" s="54">
        <v>42237</v>
      </c>
      <c r="K15" s="55">
        <v>4423.5</v>
      </c>
      <c r="L15" s="60"/>
      <c r="M15" s="54">
        <v>41615</v>
      </c>
      <c r="N15" s="54">
        <v>41659</v>
      </c>
      <c r="O15" s="69"/>
      <c r="P15" s="70"/>
      <c r="Q15" s="71" t="s">
        <v>943</v>
      </c>
      <c r="R15" s="72"/>
      <c r="S15" s="73">
        <v>8.8657534246575338</v>
      </c>
      <c r="T15" s="74">
        <v>20969.09</v>
      </c>
      <c r="U15" s="74">
        <v>20969.09</v>
      </c>
      <c r="V15" s="75">
        <v>0.54770642478874798</v>
      </c>
      <c r="W15" s="76">
        <v>0</v>
      </c>
      <c r="X15" s="76">
        <v>404.70343700000001</v>
      </c>
      <c r="Y15" s="77">
        <v>0.55643569079032507</v>
      </c>
      <c r="Z15" s="76">
        <v>25797.293437</v>
      </c>
      <c r="AA15" s="67"/>
      <c r="AB15" s="94">
        <v>27901</v>
      </c>
      <c r="AC15" s="95">
        <v>199100210</v>
      </c>
      <c r="AD15" s="94">
        <v>29920</v>
      </c>
      <c r="AE15" s="95">
        <v>199100211</v>
      </c>
      <c r="AF15" s="94">
        <v>29921</v>
      </c>
      <c r="AG15" s="95">
        <v>199100211</v>
      </c>
    </row>
    <row r="16" spans="1:33" ht="10.5" x14ac:dyDescent="0.25">
      <c r="A16" s="52" t="s">
        <v>909</v>
      </c>
      <c r="B16" s="52">
        <v>3480</v>
      </c>
      <c r="C16" s="68" t="s">
        <v>945</v>
      </c>
      <c r="D16" s="52" t="s">
        <v>946</v>
      </c>
      <c r="E16" s="53" t="s">
        <v>947</v>
      </c>
      <c r="F16" s="54">
        <v>41089</v>
      </c>
      <c r="G16" s="55">
        <v>70937</v>
      </c>
      <c r="H16" s="56">
        <v>6185</v>
      </c>
      <c r="I16" s="57">
        <v>63752.13</v>
      </c>
      <c r="J16" s="54">
        <v>42219</v>
      </c>
      <c r="K16" s="55">
        <v>7184.8700000000026</v>
      </c>
      <c r="L16" s="60"/>
      <c r="M16" s="54">
        <v>41059</v>
      </c>
      <c r="N16" s="54">
        <v>41059</v>
      </c>
      <c r="O16" s="69"/>
      <c r="P16" s="70"/>
      <c r="Q16" s="71" t="s">
        <v>948</v>
      </c>
      <c r="R16" s="72"/>
      <c r="S16" s="73">
        <v>8.9150684931506845</v>
      </c>
      <c r="T16" s="74">
        <v>31876.064999999999</v>
      </c>
      <c r="U16" s="74">
        <v>31876.064999999995</v>
      </c>
      <c r="V16" s="75">
        <v>0.55064261245894242</v>
      </c>
      <c r="W16" s="76">
        <v>0</v>
      </c>
      <c r="X16" s="76">
        <v>615.20805450000012</v>
      </c>
      <c r="Y16" s="77">
        <v>0.55931521003848483</v>
      </c>
      <c r="Z16" s="76">
        <v>39676.143054499997</v>
      </c>
      <c r="AA16" s="67"/>
      <c r="AB16" s="94">
        <v>27901</v>
      </c>
      <c r="AC16" s="95">
        <v>199100210</v>
      </c>
      <c r="AD16" s="94">
        <v>29920</v>
      </c>
      <c r="AE16" s="95">
        <v>199100211</v>
      </c>
      <c r="AF16" s="94">
        <v>29921</v>
      </c>
      <c r="AG16" s="95">
        <v>199100211</v>
      </c>
    </row>
    <row r="17" spans="1:33" ht="10.5" x14ac:dyDescent="0.25">
      <c r="A17" s="52" t="s">
        <v>909</v>
      </c>
      <c r="B17" s="52">
        <v>353</v>
      </c>
      <c r="C17" s="68" t="s">
        <v>949</v>
      </c>
      <c r="D17" s="52"/>
      <c r="E17" s="53" t="s">
        <v>950</v>
      </c>
      <c r="F17" s="54">
        <v>41512</v>
      </c>
      <c r="G17" s="55">
        <v>87884</v>
      </c>
      <c r="H17" s="56">
        <v>6185</v>
      </c>
      <c r="I17" s="57">
        <v>84688.68</v>
      </c>
      <c r="J17" s="54">
        <v>42193</v>
      </c>
      <c r="K17" s="55">
        <v>3195.320000000007</v>
      </c>
      <c r="L17" s="60"/>
      <c r="M17" s="54">
        <v>41506</v>
      </c>
      <c r="N17" s="54">
        <v>0</v>
      </c>
      <c r="O17" s="69"/>
      <c r="P17" s="70"/>
      <c r="Q17" s="71" t="s">
        <v>951</v>
      </c>
      <c r="R17" s="72"/>
      <c r="S17" s="73">
        <v>8.9863013698630141</v>
      </c>
      <c r="T17" s="74">
        <v>42344.34</v>
      </c>
      <c r="U17" s="74">
        <v>42344.34</v>
      </c>
      <c r="V17" s="75">
        <v>0.51817919075144514</v>
      </c>
      <c r="W17" s="76">
        <v>0</v>
      </c>
      <c r="X17" s="76">
        <v>817.24576200000001</v>
      </c>
      <c r="Y17" s="77">
        <v>0.52747833236994224</v>
      </c>
      <c r="Z17" s="76">
        <v>46356.905762000002</v>
      </c>
      <c r="AA17" s="67"/>
      <c r="AB17" s="94">
        <v>27901</v>
      </c>
      <c r="AC17" s="95">
        <v>199100210</v>
      </c>
      <c r="AD17" s="94">
        <v>29920</v>
      </c>
      <c r="AE17" s="95">
        <v>199100211</v>
      </c>
      <c r="AF17" s="94">
        <v>29921</v>
      </c>
      <c r="AG17" s="95">
        <v>199100211</v>
      </c>
    </row>
    <row r="18" spans="1:33" ht="10.5" x14ac:dyDescent="0.25">
      <c r="A18" s="52" t="s">
        <v>909</v>
      </c>
      <c r="B18" s="52">
        <v>5152</v>
      </c>
      <c r="C18" s="68" t="s">
        <v>952</v>
      </c>
      <c r="D18" s="52" t="s">
        <v>953</v>
      </c>
      <c r="E18" s="53" t="s">
        <v>954</v>
      </c>
      <c r="F18" s="54">
        <v>42184</v>
      </c>
      <c r="G18" s="55">
        <v>29022.67</v>
      </c>
      <c r="H18" s="56">
        <v>6185</v>
      </c>
      <c r="I18" s="57">
        <v>28854.98</v>
      </c>
      <c r="J18" s="54">
        <v>42663</v>
      </c>
      <c r="K18" s="55">
        <v>167.68999999999869</v>
      </c>
      <c r="L18" s="60"/>
      <c r="M18" s="54">
        <v>42179</v>
      </c>
      <c r="N18" s="54">
        <v>0</v>
      </c>
      <c r="O18" s="69"/>
      <c r="P18" s="70"/>
      <c r="Q18" s="71" t="s">
        <v>955</v>
      </c>
      <c r="R18" s="72"/>
      <c r="S18" s="73">
        <v>7.6986301369863011</v>
      </c>
      <c r="T18" s="74">
        <v>14427.49</v>
      </c>
      <c r="U18" s="74">
        <v>14427.49</v>
      </c>
      <c r="V18" s="75">
        <v>0.50288894853574806</v>
      </c>
      <c r="W18" s="76">
        <v>0</v>
      </c>
      <c r="X18" s="76">
        <v>278.450557</v>
      </c>
      <c r="Y18" s="77">
        <v>0.51248319182900814</v>
      </c>
      <c r="Z18" s="76">
        <v>14873.630556999999</v>
      </c>
      <c r="AA18" s="67"/>
      <c r="AB18" s="94">
        <v>27901</v>
      </c>
      <c r="AC18" s="95">
        <v>199100210</v>
      </c>
      <c r="AD18" s="94">
        <v>29920</v>
      </c>
      <c r="AE18" s="95">
        <v>199100211</v>
      </c>
      <c r="AF18" s="94">
        <v>29921</v>
      </c>
      <c r="AG18" s="95">
        <v>199100211</v>
      </c>
    </row>
    <row r="19" spans="1:33" ht="10.5" x14ac:dyDescent="0.25">
      <c r="A19" s="52" t="s">
        <v>909</v>
      </c>
      <c r="B19" s="52">
        <v>5320</v>
      </c>
      <c r="C19" s="68" t="s">
        <v>956</v>
      </c>
      <c r="D19" s="52" t="s">
        <v>957</v>
      </c>
      <c r="E19" s="53" t="s">
        <v>958</v>
      </c>
      <c r="F19" s="54">
        <v>42185</v>
      </c>
      <c r="G19" s="55">
        <v>77638.94</v>
      </c>
      <c r="H19" s="56">
        <v>6185</v>
      </c>
      <c r="I19" s="57">
        <v>144153.48000000001</v>
      </c>
      <c r="J19" s="54">
        <v>42150</v>
      </c>
      <c r="K19" s="55">
        <v>0</v>
      </c>
      <c r="L19" s="60"/>
      <c r="M19" s="54">
        <v>42184</v>
      </c>
      <c r="N19" s="54">
        <v>0</v>
      </c>
      <c r="O19" s="69"/>
      <c r="P19" s="70"/>
      <c r="Q19" s="71" t="s">
        <v>959</v>
      </c>
      <c r="R19" s="72"/>
      <c r="S19" s="73">
        <v>9.1041095890410961</v>
      </c>
      <c r="T19" s="74">
        <v>72076.740000000005</v>
      </c>
      <c r="U19" s="74">
        <v>5562.1999999999971</v>
      </c>
      <c r="V19" s="75">
        <v>7.1641884858294008E-2</v>
      </c>
      <c r="W19" s="76">
        <v>0</v>
      </c>
      <c r="X19" s="76">
        <v>1391.0810820000002</v>
      </c>
      <c r="Y19" s="77">
        <v>8.9559196480528944E-2</v>
      </c>
      <c r="Z19" s="76">
        <v>6953.2810819999977</v>
      </c>
      <c r="AA19" s="67"/>
      <c r="AB19" s="94">
        <v>27901</v>
      </c>
      <c r="AC19" s="95">
        <v>199100210</v>
      </c>
      <c r="AD19" s="94">
        <v>29920</v>
      </c>
      <c r="AE19" s="95">
        <v>199100211</v>
      </c>
      <c r="AF19" s="94">
        <v>29921</v>
      </c>
      <c r="AG19" s="95">
        <v>199100211</v>
      </c>
    </row>
    <row r="20" spans="1:33" ht="10.5" x14ac:dyDescent="0.25">
      <c r="A20" s="52" t="s">
        <v>909</v>
      </c>
      <c r="B20" s="52">
        <v>3510</v>
      </c>
      <c r="C20" s="68" t="s">
        <v>960</v>
      </c>
      <c r="D20" s="52" t="s">
        <v>961</v>
      </c>
      <c r="E20" s="53" t="s">
        <v>962</v>
      </c>
      <c r="F20" s="54">
        <v>42240</v>
      </c>
      <c r="G20" s="55">
        <v>45239.56</v>
      </c>
      <c r="H20" s="56">
        <v>6185</v>
      </c>
      <c r="I20" s="57">
        <v>45239.56</v>
      </c>
      <c r="J20" s="54">
        <v>42065</v>
      </c>
      <c r="K20" s="55">
        <v>0</v>
      </c>
      <c r="L20" s="60"/>
      <c r="M20" s="54">
        <v>42234</v>
      </c>
      <c r="N20" s="54">
        <v>42212</v>
      </c>
      <c r="O20" s="69"/>
      <c r="P20" s="70"/>
      <c r="Q20" s="71" t="s">
        <v>963</v>
      </c>
      <c r="R20" s="72"/>
      <c r="S20" s="73">
        <v>9.3369863013698637</v>
      </c>
      <c r="T20" s="74">
        <v>22619.78</v>
      </c>
      <c r="U20" s="74">
        <v>22619.78</v>
      </c>
      <c r="V20" s="75">
        <v>0.5</v>
      </c>
      <c r="W20" s="76">
        <v>0</v>
      </c>
      <c r="X20" s="76">
        <v>436.56175400000001</v>
      </c>
      <c r="Y20" s="77">
        <v>0.50964999999999994</v>
      </c>
      <c r="Z20" s="76">
        <v>23056.341753999997</v>
      </c>
      <c r="AA20" s="67"/>
      <c r="AB20" s="94">
        <v>27901</v>
      </c>
      <c r="AC20" s="95">
        <v>199100210</v>
      </c>
      <c r="AD20" s="94">
        <v>29920</v>
      </c>
      <c r="AE20" s="95">
        <v>199100211</v>
      </c>
      <c r="AF20" s="94">
        <v>29921</v>
      </c>
      <c r="AG20" s="95">
        <v>199100211</v>
      </c>
    </row>
    <row r="21" spans="1:33" ht="10.5" x14ac:dyDescent="0.25">
      <c r="A21" s="52" t="s">
        <v>909</v>
      </c>
      <c r="B21" s="52">
        <v>352</v>
      </c>
      <c r="C21" s="68" t="s">
        <v>964</v>
      </c>
      <c r="D21" s="52" t="s">
        <v>965</v>
      </c>
      <c r="E21" s="53" t="s">
        <v>966</v>
      </c>
      <c r="F21" s="54">
        <v>42397</v>
      </c>
      <c r="G21" s="55">
        <v>150412.07999999999</v>
      </c>
      <c r="H21" s="56">
        <v>6185</v>
      </c>
      <c r="I21" s="57">
        <v>150412.07999999999</v>
      </c>
      <c r="J21" s="54">
        <v>42314</v>
      </c>
      <c r="K21" s="55">
        <v>0</v>
      </c>
      <c r="L21" s="60"/>
      <c r="M21" s="54">
        <v>42341</v>
      </c>
      <c r="N21" s="54">
        <v>42377</v>
      </c>
      <c r="O21" s="69"/>
      <c r="P21" s="70"/>
      <c r="Q21" s="71"/>
      <c r="R21" s="72"/>
      <c r="S21" s="73">
        <v>8.6547945205479451</v>
      </c>
      <c r="T21" s="74">
        <v>75206.039999999994</v>
      </c>
      <c r="U21" s="74">
        <v>75206.039999999994</v>
      </c>
      <c r="V21" s="75">
        <v>0.5</v>
      </c>
      <c r="W21" s="76">
        <v>0</v>
      </c>
      <c r="X21" s="76">
        <v>1451.476572</v>
      </c>
      <c r="Y21" s="77">
        <v>0.50965000000000005</v>
      </c>
      <c r="Z21" s="76">
        <v>76657.516571999993</v>
      </c>
      <c r="AA21" s="67"/>
      <c r="AB21" s="94">
        <v>27901</v>
      </c>
      <c r="AC21" s="95">
        <v>199100210</v>
      </c>
      <c r="AD21" s="94">
        <v>29920</v>
      </c>
      <c r="AE21" s="95">
        <v>199100211</v>
      </c>
      <c r="AF21" s="94">
        <v>29921</v>
      </c>
      <c r="AG21" s="95">
        <v>199100211</v>
      </c>
    </row>
    <row r="22" spans="1:33" ht="10.5" x14ac:dyDescent="0.25">
      <c r="A22" s="52" t="s">
        <v>909</v>
      </c>
      <c r="B22" s="52">
        <v>376</v>
      </c>
      <c r="C22" s="68" t="s">
        <v>967</v>
      </c>
      <c r="D22" s="52" t="s">
        <v>968</v>
      </c>
      <c r="E22" s="53" t="s">
        <v>969</v>
      </c>
      <c r="F22" s="54">
        <v>42452</v>
      </c>
      <c r="G22" s="55">
        <v>62376.07</v>
      </c>
      <c r="H22" s="56">
        <v>6185</v>
      </c>
      <c r="I22" s="57">
        <v>121769.67</v>
      </c>
      <c r="J22" s="54">
        <v>44990</v>
      </c>
      <c r="K22" s="55">
        <v>0</v>
      </c>
      <c r="L22" s="60"/>
      <c r="M22" s="54">
        <v>42450</v>
      </c>
      <c r="N22" s="54">
        <v>42450</v>
      </c>
      <c r="O22" s="78"/>
      <c r="P22" s="70"/>
      <c r="Q22" s="71" t="s">
        <v>970</v>
      </c>
      <c r="R22" s="72"/>
      <c r="S22" s="73">
        <v>1.3232876712328767</v>
      </c>
      <c r="T22" s="74">
        <v>97415.736000000004</v>
      </c>
      <c r="U22" s="74">
        <v>0</v>
      </c>
      <c r="V22" s="75">
        <v>0</v>
      </c>
      <c r="W22" s="76">
        <v>810.20311224048692</v>
      </c>
      <c r="X22" s="76">
        <v>1188.2212309337588</v>
      </c>
      <c r="Y22" s="77">
        <v>3.2038317630050203E-2</v>
      </c>
      <c r="Z22" s="76">
        <v>1998.4243431742457</v>
      </c>
      <c r="AA22" s="67"/>
      <c r="AB22" s="94">
        <v>27901</v>
      </c>
      <c r="AC22" s="95">
        <v>199100210</v>
      </c>
      <c r="AD22" s="94">
        <v>29920</v>
      </c>
      <c r="AE22" s="95">
        <v>199100211</v>
      </c>
      <c r="AF22" s="94">
        <v>29921</v>
      </c>
      <c r="AG22" s="95">
        <v>199100211</v>
      </c>
    </row>
    <row r="23" spans="1:33" ht="10.5" x14ac:dyDescent="0.25">
      <c r="A23" s="52" t="s">
        <v>909</v>
      </c>
      <c r="B23" s="52">
        <v>3255</v>
      </c>
      <c r="C23" s="68" t="s">
        <v>971</v>
      </c>
      <c r="D23" s="52" t="s">
        <v>972</v>
      </c>
      <c r="E23" s="53" t="s">
        <v>973</v>
      </c>
      <c r="F23" s="54">
        <v>42613</v>
      </c>
      <c r="G23" s="55">
        <v>39497.14</v>
      </c>
      <c r="H23" s="56">
        <v>6185</v>
      </c>
      <c r="I23" s="57">
        <v>39497.144999999997</v>
      </c>
      <c r="J23" s="54">
        <v>42524</v>
      </c>
      <c r="K23" s="55">
        <v>0</v>
      </c>
      <c r="L23" s="60"/>
      <c r="M23" s="54">
        <v>42535</v>
      </c>
      <c r="N23" s="54">
        <v>42608</v>
      </c>
      <c r="O23" s="79"/>
      <c r="P23" s="70"/>
      <c r="Q23" s="71" t="s">
        <v>974</v>
      </c>
      <c r="R23" s="72"/>
      <c r="S23" s="73">
        <v>8.0794520547945208</v>
      </c>
      <c r="T23" s="74">
        <v>19748.572499999998</v>
      </c>
      <c r="U23" s="74">
        <v>19748.567500000001</v>
      </c>
      <c r="V23" s="75">
        <v>0.49999993670427784</v>
      </c>
      <c r="W23" s="76">
        <v>0</v>
      </c>
      <c r="X23" s="76">
        <v>381.14744924999997</v>
      </c>
      <c r="Y23" s="77">
        <v>0.50964993792588531</v>
      </c>
      <c r="Z23" s="76">
        <v>20129.714949249999</v>
      </c>
      <c r="AA23" s="67"/>
      <c r="AB23" s="94">
        <v>27901</v>
      </c>
      <c r="AC23" s="95">
        <v>199100210</v>
      </c>
      <c r="AD23" s="94">
        <v>29920</v>
      </c>
      <c r="AE23" s="95">
        <v>199100211</v>
      </c>
      <c r="AF23" s="94">
        <v>29921</v>
      </c>
      <c r="AG23" s="95">
        <v>199100211</v>
      </c>
    </row>
    <row r="24" spans="1:33" ht="10.5" x14ac:dyDescent="0.25">
      <c r="A24" s="52" t="s">
        <v>909</v>
      </c>
      <c r="B24" s="52">
        <v>8005</v>
      </c>
      <c r="C24" s="68" t="s">
        <v>978</v>
      </c>
      <c r="D24" s="52" t="s">
        <v>979</v>
      </c>
      <c r="E24" s="53" t="s">
        <v>980</v>
      </c>
      <c r="F24" s="54">
        <v>42754</v>
      </c>
      <c r="G24" s="55">
        <v>57711.58</v>
      </c>
      <c r="H24" s="56">
        <v>6185</v>
      </c>
      <c r="I24" s="57">
        <v>62200</v>
      </c>
      <c r="J24" s="54">
        <v>42438</v>
      </c>
      <c r="K24" s="55">
        <v>0</v>
      </c>
      <c r="L24" s="60"/>
      <c r="M24" s="54">
        <v>42678</v>
      </c>
      <c r="N24" s="54">
        <v>42706</v>
      </c>
      <c r="O24" s="79"/>
      <c r="P24" s="53"/>
      <c r="Q24" s="71" t="s">
        <v>981</v>
      </c>
      <c r="R24" s="72"/>
      <c r="S24" s="73">
        <v>8.3150684931506849</v>
      </c>
      <c r="T24" s="74">
        <v>31100</v>
      </c>
      <c r="U24" s="74">
        <v>26611.58</v>
      </c>
      <c r="V24" s="75">
        <v>0.46111335021498284</v>
      </c>
      <c r="W24" s="76">
        <v>0</v>
      </c>
      <c r="X24" s="76">
        <v>600.23</v>
      </c>
      <c r="Y24" s="77">
        <v>0.47151386255583366</v>
      </c>
      <c r="Z24" s="76">
        <v>27211.81</v>
      </c>
      <c r="AA24" s="67"/>
      <c r="AB24" s="94">
        <v>27901</v>
      </c>
      <c r="AC24" s="95">
        <v>199100210</v>
      </c>
      <c r="AD24" s="94">
        <v>29920</v>
      </c>
      <c r="AE24" s="95">
        <v>199100211</v>
      </c>
      <c r="AF24" s="94">
        <v>29921</v>
      </c>
      <c r="AG24" s="95">
        <v>199100211</v>
      </c>
    </row>
    <row r="25" spans="1:33" ht="10.5" x14ac:dyDescent="0.25">
      <c r="A25" s="52" t="s">
        <v>909</v>
      </c>
      <c r="B25" s="52">
        <v>334</v>
      </c>
      <c r="C25" s="68" t="s">
        <v>985</v>
      </c>
      <c r="D25" s="52" t="s">
        <v>986</v>
      </c>
      <c r="E25" s="53" t="s">
        <v>987</v>
      </c>
      <c r="F25" s="54">
        <v>42874</v>
      </c>
      <c r="G25" s="55">
        <v>51057.279999999999</v>
      </c>
      <c r="H25" s="56">
        <v>6185</v>
      </c>
      <c r="I25" s="57">
        <v>51057.279999999999</v>
      </c>
      <c r="J25" s="54">
        <v>42780</v>
      </c>
      <c r="K25" s="55">
        <v>0</v>
      </c>
      <c r="L25" s="60"/>
      <c r="M25" s="54">
        <v>42788</v>
      </c>
      <c r="N25" s="54">
        <v>42796</v>
      </c>
      <c r="O25" s="79"/>
      <c r="P25" s="53"/>
      <c r="Q25" s="71" t="s">
        <v>988</v>
      </c>
      <c r="R25" s="72"/>
      <c r="S25" s="73">
        <v>7.3780821917808215</v>
      </c>
      <c r="T25" s="74">
        <v>25528.639999999999</v>
      </c>
      <c r="U25" s="74">
        <v>25528.639999999999</v>
      </c>
      <c r="V25" s="75">
        <v>0.5</v>
      </c>
      <c r="W25" s="76">
        <v>0</v>
      </c>
      <c r="X25" s="76">
        <v>492.70275200000003</v>
      </c>
      <c r="Y25" s="77">
        <v>0.50965000000000005</v>
      </c>
      <c r="Z25" s="76">
        <v>26021.342752</v>
      </c>
      <c r="AA25" s="67"/>
      <c r="AB25" s="94">
        <v>27901</v>
      </c>
      <c r="AC25" s="95">
        <v>199100210</v>
      </c>
      <c r="AD25" s="94">
        <v>29920</v>
      </c>
      <c r="AE25" s="95">
        <v>199100211</v>
      </c>
      <c r="AF25" s="94">
        <v>29921</v>
      </c>
      <c r="AG25" s="95">
        <v>199100211</v>
      </c>
    </row>
    <row r="26" spans="1:33" ht="10.5" x14ac:dyDescent="0.25">
      <c r="A26" s="52" t="s">
        <v>909</v>
      </c>
      <c r="B26" s="52">
        <v>391</v>
      </c>
      <c r="C26" s="68" t="s">
        <v>992</v>
      </c>
      <c r="D26" s="52" t="s">
        <v>993</v>
      </c>
      <c r="E26" s="53" t="s">
        <v>994</v>
      </c>
      <c r="F26" s="54">
        <v>42957</v>
      </c>
      <c r="G26" s="55">
        <v>53685.7</v>
      </c>
      <c r="H26" s="56">
        <v>6185</v>
      </c>
      <c r="I26" s="57">
        <v>53685.7</v>
      </c>
      <c r="J26" s="54">
        <v>42774</v>
      </c>
      <c r="K26" s="55">
        <v>0</v>
      </c>
      <c r="L26" s="60"/>
      <c r="M26" s="54">
        <v>42783</v>
      </c>
      <c r="N26" s="54">
        <v>42837</v>
      </c>
      <c r="O26" s="79"/>
      <c r="P26" s="53"/>
      <c r="Q26" s="71" t="s">
        <v>995</v>
      </c>
      <c r="R26" s="72"/>
      <c r="S26" s="73">
        <v>7.3945205479452056</v>
      </c>
      <c r="T26" s="74">
        <v>26842.85</v>
      </c>
      <c r="U26" s="74">
        <v>26842.85</v>
      </c>
      <c r="V26" s="75">
        <v>0.5</v>
      </c>
      <c r="W26" s="76">
        <v>0</v>
      </c>
      <c r="X26" s="76">
        <v>518.06700499999999</v>
      </c>
      <c r="Y26" s="77">
        <v>0.50965000000000005</v>
      </c>
      <c r="Z26" s="76">
        <v>27360.917004999999</v>
      </c>
      <c r="AA26" s="67"/>
      <c r="AB26" s="94">
        <v>27901</v>
      </c>
      <c r="AC26" s="95">
        <v>199100210</v>
      </c>
      <c r="AD26" s="94">
        <v>29920</v>
      </c>
      <c r="AE26" s="95">
        <v>199100211</v>
      </c>
      <c r="AF26" s="94">
        <v>29921</v>
      </c>
      <c r="AG26" s="95">
        <v>199100211</v>
      </c>
    </row>
    <row r="27" spans="1:33" ht="10.5" x14ac:dyDescent="0.25">
      <c r="A27" s="52" t="s">
        <v>909</v>
      </c>
      <c r="B27" s="52">
        <v>8710</v>
      </c>
      <c r="C27" s="68" t="s">
        <v>996</v>
      </c>
      <c r="D27" s="52" t="s">
        <v>997</v>
      </c>
      <c r="E27" s="53" t="s">
        <v>998</v>
      </c>
      <c r="F27" s="54">
        <v>43026</v>
      </c>
      <c r="G27" s="55">
        <v>36200</v>
      </c>
      <c r="H27" s="56">
        <v>6185</v>
      </c>
      <c r="I27" s="57">
        <v>39437.79</v>
      </c>
      <c r="J27" s="54">
        <v>43025</v>
      </c>
      <c r="K27" s="55">
        <v>0</v>
      </c>
      <c r="L27" s="60"/>
      <c r="M27" s="54">
        <v>42566</v>
      </c>
      <c r="N27" s="54">
        <v>42803</v>
      </c>
      <c r="O27" s="79"/>
      <c r="P27" s="53"/>
      <c r="Q27" s="71" t="s">
        <v>999</v>
      </c>
      <c r="R27" s="72"/>
      <c r="S27" s="73">
        <v>6.7068493150684931</v>
      </c>
      <c r="T27" s="74">
        <v>19718.895</v>
      </c>
      <c r="U27" s="74">
        <v>16481.105</v>
      </c>
      <c r="V27" s="75">
        <v>0.45527914364640881</v>
      </c>
      <c r="W27" s="76">
        <v>0</v>
      </c>
      <c r="X27" s="76">
        <v>380.57467350000002</v>
      </c>
      <c r="Y27" s="77">
        <v>0.46579225617403314</v>
      </c>
      <c r="Z27" s="76">
        <v>16861.679673499999</v>
      </c>
      <c r="AA27" s="67"/>
      <c r="AB27" s="94">
        <v>27901</v>
      </c>
      <c r="AC27" s="95">
        <v>199100210</v>
      </c>
      <c r="AD27" s="94">
        <v>29920</v>
      </c>
      <c r="AE27" s="95">
        <v>199100211</v>
      </c>
      <c r="AF27" s="94">
        <v>29921</v>
      </c>
      <c r="AG27" s="95">
        <v>199100211</v>
      </c>
    </row>
    <row r="28" spans="1:33" ht="10.5" x14ac:dyDescent="0.25">
      <c r="A28" s="52" t="s">
        <v>909</v>
      </c>
      <c r="B28" s="52">
        <v>8716</v>
      </c>
      <c r="C28" s="68" t="s">
        <v>1001</v>
      </c>
      <c r="D28" s="52" t="s">
        <v>1002</v>
      </c>
      <c r="E28" s="53" t="s">
        <v>1003</v>
      </c>
      <c r="F28" s="54">
        <v>43187</v>
      </c>
      <c r="G28" s="55">
        <v>42763.68</v>
      </c>
      <c r="H28" s="56">
        <v>6185</v>
      </c>
      <c r="I28" s="57">
        <v>45000</v>
      </c>
      <c r="J28" s="54">
        <v>44679</v>
      </c>
      <c r="K28" s="55">
        <v>0</v>
      </c>
      <c r="L28" s="60"/>
      <c r="M28" s="54">
        <v>43136</v>
      </c>
      <c r="N28" s="54">
        <v>43136</v>
      </c>
      <c r="O28" s="79"/>
      <c r="P28" s="53"/>
      <c r="Q28" s="71" t="s">
        <v>1004</v>
      </c>
      <c r="R28" s="72"/>
      <c r="S28" s="73">
        <v>2.1753424657534248</v>
      </c>
      <c r="T28" s="74">
        <v>22500</v>
      </c>
      <c r="U28" s="74">
        <v>20263.68</v>
      </c>
      <c r="V28" s="75">
        <v>0.47385257770145134</v>
      </c>
      <c r="W28" s="76">
        <v>0</v>
      </c>
      <c r="X28" s="76">
        <v>434.25</v>
      </c>
      <c r="Y28" s="77">
        <v>0.48400722295181331</v>
      </c>
      <c r="Z28" s="76">
        <v>20697.93</v>
      </c>
      <c r="AA28" s="67"/>
      <c r="AB28" s="94">
        <v>27901</v>
      </c>
      <c r="AC28" s="95">
        <v>199100210</v>
      </c>
      <c r="AD28" s="94">
        <v>29920</v>
      </c>
      <c r="AE28" s="95">
        <v>199100211</v>
      </c>
      <c r="AF28" s="94">
        <v>29921</v>
      </c>
      <c r="AG28" s="95">
        <v>199100211</v>
      </c>
    </row>
    <row r="29" spans="1:33" ht="10.5" x14ac:dyDescent="0.25">
      <c r="A29" s="52" t="s">
        <v>909</v>
      </c>
      <c r="B29" s="52">
        <v>346</v>
      </c>
      <c r="C29" s="68" t="s">
        <v>1006</v>
      </c>
      <c r="D29" s="52" t="s">
        <v>1007</v>
      </c>
      <c r="E29" s="53" t="s">
        <v>1008</v>
      </c>
      <c r="F29" s="54">
        <v>43280</v>
      </c>
      <c r="G29" s="55">
        <v>96900</v>
      </c>
      <c r="H29" s="56">
        <v>6185</v>
      </c>
      <c r="I29" s="57">
        <v>96900</v>
      </c>
      <c r="J29" s="54">
        <v>43192</v>
      </c>
      <c r="K29" s="55">
        <v>0</v>
      </c>
      <c r="L29" s="60"/>
      <c r="M29" s="54">
        <v>43216</v>
      </c>
      <c r="N29" s="54">
        <v>43249</v>
      </c>
      <c r="O29" s="79"/>
      <c r="P29" s="53"/>
      <c r="Q29" s="71" t="s">
        <v>1009</v>
      </c>
      <c r="R29" s="72"/>
      <c r="S29" s="73">
        <v>6.2493150684931509</v>
      </c>
      <c r="T29" s="74">
        <v>48450</v>
      </c>
      <c r="U29" s="74">
        <v>48450</v>
      </c>
      <c r="V29" s="75">
        <v>0.5</v>
      </c>
      <c r="W29" s="76">
        <v>0</v>
      </c>
      <c r="X29" s="76">
        <v>935.08500000000004</v>
      </c>
      <c r="Y29" s="77">
        <v>0.50964999999999994</v>
      </c>
      <c r="Z29" s="76">
        <v>49385.084999999999</v>
      </c>
      <c r="AA29" s="67"/>
      <c r="AB29" s="94">
        <v>27901</v>
      </c>
      <c r="AC29" s="95">
        <v>199100210</v>
      </c>
      <c r="AD29" s="94">
        <v>29920</v>
      </c>
      <c r="AE29" s="95">
        <v>199100211</v>
      </c>
      <c r="AF29" s="94">
        <v>29921</v>
      </c>
      <c r="AG29" s="95">
        <v>199100211</v>
      </c>
    </row>
    <row r="30" spans="1:33" ht="10.5" x14ac:dyDescent="0.25">
      <c r="A30" s="52" t="s">
        <v>909</v>
      </c>
      <c r="B30" s="52">
        <v>5463</v>
      </c>
      <c r="C30" s="68" t="s">
        <v>1016</v>
      </c>
      <c r="D30" s="52" t="s">
        <v>1017</v>
      </c>
      <c r="E30" s="53" t="s">
        <v>1018</v>
      </c>
      <c r="F30" s="54">
        <v>43494</v>
      </c>
      <c r="G30" s="55">
        <v>35733.86</v>
      </c>
      <c r="H30" s="56">
        <v>6185</v>
      </c>
      <c r="I30" s="57">
        <v>35733.864999999998</v>
      </c>
      <c r="J30" s="54">
        <v>43256</v>
      </c>
      <c r="K30" s="55">
        <v>0</v>
      </c>
      <c r="L30" s="60"/>
      <c r="M30" s="54">
        <v>43383</v>
      </c>
      <c r="N30" s="54">
        <v>43462</v>
      </c>
      <c r="O30" s="79"/>
      <c r="P30" s="53"/>
      <c r="Q30" s="71" t="s">
        <v>1019</v>
      </c>
      <c r="R30" s="72"/>
      <c r="S30" s="80">
        <v>6.0739726027397261</v>
      </c>
      <c r="T30" s="81">
        <v>17866.932499999999</v>
      </c>
      <c r="U30" s="81">
        <v>17866.927500000002</v>
      </c>
      <c r="V30" s="82">
        <v>0.49999993003834464</v>
      </c>
      <c r="W30" s="83">
        <v>0</v>
      </c>
      <c r="X30" s="83">
        <v>344.83179725000002</v>
      </c>
      <c r="Y30" s="84">
        <v>0.50964993138860459</v>
      </c>
      <c r="Z30" s="83">
        <v>18211.759297250002</v>
      </c>
      <c r="AA30" s="67"/>
      <c r="AB30" s="94">
        <v>27901</v>
      </c>
      <c r="AC30" s="95">
        <v>199100210</v>
      </c>
      <c r="AD30" s="94">
        <v>29920</v>
      </c>
      <c r="AE30" s="95">
        <v>199100211</v>
      </c>
      <c r="AF30" s="94">
        <v>29921</v>
      </c>
      <c r="AG30" s="95">
        <v>199100211</v>
      </c>
    </row>
    <row r="31" spans="1:33" ht="10.5" x14ac:dyDescent="0.25">
      <c r="A31" s="52" t="s">
        <v>909</v>
      </c>
      <c r="B31" s="52">
        <v>5221</v>
      </c>
      <c r="C31" s="68" t="s">
        <v>1020</v>
      </c>
      <c r="D31" s="52" t="s">
        <v>1021</v>
      </c>
      <c r="E31" s="53" t="s">
        <v>1022</v>
      </c>
      <c r="F31" s="54">
        <v>43829</v>
      </c>
      <c r="G31" s="55">
        <v>53550</v>
      </c>
      <c r="H31" s="56">
        <v>6185</v>
      </c>
      <c r="I31" s="57">
        <v>72400</v>
      </c>
      <c r="J31" s="54">
        <v>44972</v>
      </c>
      <c r="K31" s="55">
        <v>0</v>
      </c>
      <c r="L31" s="60"/>
      <c r="M31" s="54">
        <v>43769</v>
      </c>
      <c r="N31" s="54">
        <v>43808</v>
      </c>
      <c r="O31" s="79"/>
      <c r="P31" s="53"/>
      <c r="Q31" s="71" t="s">
        <v>1023</v>
      </c>
      <c r="R31" s="72"/>
      <c r="S31" s="73">
        <v>1.3726027397260274</v>
      </c>
      <c r="T31" s="74">
        <v>57920</v>
      </c>
      <c r="U31" s="74">
        <v>0</v>
      </c>
      <c r="V31" s="75">
        <v>0</v>
      </c>
      <c r="W31" s="83">
        <v>695.56124104128514</v>
      </c>
      <c r="X31" s="83">
        <v>1020.0906680479033</v>
      </c>
      <c r="Y31" s="84">
        <v>3.2038317630050203E-2</v>
      </c>
      <c r="Z31" s="83">
        <v>1715.6519090891884</v>
      </c>
      <c r="AA31" s="67"/>
      <c r="AB31" s="94">
        <v>27901</v>
      </c>
      <c r="AC31" s="95">
        <v>199100210</v>
      </c>
      <c r="AD31" s="94">
        <v>29920</v>
      </c>
      <c r="AE31" s="95">
        <v>199100211</v>
      </c>
      <c r="AF31" s="94">
        <v>29921</v>
      </c>
      <c r="AG31" s="95">
        <v>199100211</v>
      </c>
    </row>
    <row r="32" spans="1:33" ht="10.5" x14ac:dyDescent="0.25">
      <c r="A32" s="52" t="s">
        <v>909</v>
      </c>
      <c r="B32" s="52">
        <v>3330</v>
      </c>
      <c r="C32" s="68" t="s">
        <v>1025</v>
      </c>
      <c r="D32" s="52" t="s">
        <v>1026</v>
      </c>
      <c r="E32" s="53" t="s">
        <v>1027</v>
      </c>
      <c r="F32" s="54">
        <v>44085</v>
      </c>
      <c r="G32" s="55">
        <v>79884.41</v>
      </c>
      <c r="H32" s="56">
        <v>6185</v>
      </c>
      <c r="I32" s="57">
        <v>79884.41</v>
      </c>
      <c r="J32" s="54">
        <v>43973</v>
      </c>
      <c r="K32" s="55">
        <v>0</v>
      </c>
      <c r="L32" s="60"/>
      <c r="M32" s="54">
        <v>44062</v>
      </c>
      <c r="N32" s="54">
        <v>44062</v>
      </c>
      <c r="O32" s="79"/>
      <c r="P32" s="53"/>
      <c r="Q32" s="71" t="s">
        <v>1028</v>
      </c>
      <c r="R32" s="72"/>
      <c r="S32" s="73">
        <v>4.1095890410958908</v>
      </c>
      <c r="T32" s="74">
        <v>39942.205000000002</v>
      </c>
      <c r="U32" s="74">
        <v>39942.205000000002</v>
      </c>
      <c r="V32" s="75">
        <v>0.5</v>
      </c>
      <c r="W32" s="83">
        <v>0</v>
      </c>
      <c r="X32" s="83">
        <v>770.88455650000003</v>
      </c>
      <c r="Y32" s="84">
        <v>0.50965000000000005</v>
      </c>
      <c r="Z32" s="83">
        <v>40713.089556500003</v>
      </c>
      <c r="AA32" s="67"/>
      <c r="AB32" s="94">
        <v>27901</v>
      </c>
      <c r="AC32" s="95">
        <v>199100210</v>
      </c>
      <c r="AD32" s="94">
        <v>29920</v>
      </c>
      <c r="AE32" s="95">
        <v>199100211</v>
      </c>
      <c r="AF32" s="94">
        <v>29921</v>
      </c>
      <c r="AG32" s="95">
        <v>199100211</v>
      </c>
    </row>
    <row r="33" spans="1:33" ht="10.5" x14ac:dyDescent="0.25">
      <c r="A33" s="52" t="s">
        <v>909</v>
      </c>
      <c r="B33" s="52">
        <v>342</v>
      </c>
      <c r="C33" s="68" t="s">
        <v>1126</v>
      </c>
      <c r="D33" s="52" t="s">
        <v>1127</v>
      </c>
      <c r="E33" s="53" t="s">
        <v>1128</v>
      </c>
      <c r="F33" s="54">
        <v>44767</v>
      </c>
      <c r="G33" s="55">
        <v>46907.19</v>
      </c>
      <c r="H33" s="56">
        <v>6185</v>
      </c>
      <c r="I33" s="57">
        <v>46900</v>
      </c>
      <c r="J33" s="54">
        <v>45216</v>
      </c>
      <c r="K33" s="55">
        <v>7.1900000000023283</v>
      </c>
      <c r="L33" s="60"/>
      <c r="M33" s="54">
        <v>44599</v>
      </c>
      <c r="N33" s="54">
        <v>44599</v>
      </c>
      <c r="O33" s="79"/>
      <c r="P33" s="53"/>
      <c r="Q33" s="71" t="s">
        <v>1129</v>
      </c>
      <c r="R33" s="72"/>
      <c r="S33" s="73">
        <v>0.70410958904109588</v>
      </c>
      <c r="T33" s="74">
        <v>42210</v>
      </c>
      <c r="U33" s="74">
        <v>4690</v>
      </c>
      <c r="V33" s="75">
        <v>0.10013795326473408</v>
      </c>
      <c r="W33" s="83">
        <v>0</v>
      </c>
      <c r="X33" s="83">
        <v>814.65300000000002</v>
      </c>
      <c r="Y33" s="84">
        <v>0.11750529076672472</v>
      </c>
      <c r="Z33" s="83">
        <v>5511.8430000000026</v>
      </c>
      <c r="AA33" s="67"/>
      <c r="AB33" s="94">
        <v>27901</v>
      </c>
      <c r="AC33" s="95">
        <v>199100210</v>
      </c>
      <c r="AD33" s="94">
        <v>29920</v>
      </c>
      <c r="AE33" s="95">
        <v>199100211</v>
      </c>
      <c r="AF33" s="94">
        <v>29921</v>
      </c>
      <c r="AG33" s="95">
        <v>199100211</v>
      </c>
    </row>
    <row r="34" spans="1:33" ht="10.5" x14ac:dyDescent="0.25">
      <c r="A34" s="52" t="s">
        <v>909</v>
      </c>
      <c r="B34" s="52">
        <v>298</v>
      </c>
      <c r="C34" s="68">
        <v>8004061653</v>
      </c>
      <c r="D34" s="52"/>
      <c r="E34" s="53" t="s">
        <v>1130</v>
      </c>
      <c r="F34" s="54">
        <v>44858</v>
      </c>
      <c r="G34" s="55">
        <v>25923.75</v>
      </c>
      <c r="H34" s="56">
        <v>6185</v>
      </c>
      <c r="I34" s="57">
        <v>72979.39</v>
      </c>
      <c r="J34" s="54">
        <v>44655</v>
      </c>
      <c r="K34" s="55">
        <v>0</v>
      </c>
      <c r="L34" s="60"/>
      <c r="M34" s="54">
        <v>42894</v>
      </c>
      <c r="N34" s="54">
        <v>42907</v>
      </c>
      <c r="O34" s="79"/>
      <c r="P34" s="53"/>
      <c r="Q34" s="71" t="s">
        <v>1131</v>
      </c>
      <c r="R34" s="72"/>
      <c r="S34" s="73">
        <v>2.2410958904109588</v>
      </c>
      <c r="T34" s="74">
        <v>36489.695</v>
      </c>
      <c r="U34" s="74">
        <v>0</v>
      </c>
      <c r="V34" s="75">
        <v>0</v>
      </c>
      <c r="W34" s="83">
        <v>336.72372964414598</v>
      </c>
      <c r="X34" s="83">
        <v>493.829607017868</v>
      </c>
      <c r="Y34" s="84">
        <v>3.2038317630050203E-2</v>
      </c>
      <c r="Z34" s="83">
        <v>830.55333666201398</v>
      </c>
      <c r="AA34" s="67"/>
      <c r="AB34" s="94">
        <v>27901</v>
      </c>
      <c r="AC34" s="95">
        <v>199100210</v>
      </c>
      <c r="AD34" s="94">
        <v>29920</v>
      </c>
      <c r="AE34" s="95">
        <v>199100211</v>
      </c>
      <c r="AF34" s="94">
        <v>29921</v>
      </c>
      <c r="AG34" s="95">
        <v>199100211</v>
      </c>
    </row>
    <row r="35" spans="1:33" ht="10.5" x14ac:dyDescent="0.25">
      <c r="A35" s="52" t="s">
        <v>185</v>
      </c>
      <c r="B35" s="52">
        <v>234</v>
      </c>
      <c r="C35" s="68">
        <v>2100789953</v>
      </c>
      <c r="D35" s="52" t="s">
        <v>1180</v>
      </c>
      <c r="E35" s="53" t="s">
        <v>1181</v>
      </c>
      <c r="F35" s="54">
        <v>45030</v>
      </c>
      <c r="G35" s="55">
        <v>88552.35</v>
      </c>
      <c r="H35" s="56">
        <v>6185</v>
      </c>
      <c r="I35" s="55">
        <v>189831.97</v>
      </c>
      <c r="J35" s="54">
        <v>44923</v>
      </c>
      <c r="K35" s="55">
        <v>0</v>
      </c>
      <c r="L35" s="60"/>
      <c r="M35" s="54">
        <v>44973</v>
      </c>
      <c r="N35" s="54">
        <v>44973</v>
      </c>
      <c r="O35" s="79"/>
      <c r="P35" s="53"/>
      <c r="Q35" s="71" t="s">
        <v>1182</v>
      </c>
      <c r="R35" s="72"/>
      <c r="S35" s="73">
        <v>1.5068493150684932</v>
      </c>
      <c r="T35" s="74">
        <v>151865.576</v>
      </c>
      <c r="U35" s="74">
        <v>0</v>
      </c>
      <c r="V35" s="75">
        <v>0</v>
      </c>
      <c r="W35" s="83">
        <v>1150.2069554271195</v>
      </c>
      <c r="X35" s="83">
        <v>1686.861360760257</v>
      </c>
      <c r="Y35" s="84">
        <v>3.203831763005021E-2</v>
      </c>
      <c r="Z35" s="83">
        <v>2837.0683161873767</v>
      </c>
      <c r="AA35" s="67"/>
      <c r="AB35" s="94">
        <v>27901</v>
      </c>
      <c r="AC35" s="95">
        <v>199100210</v>
      </c>
      <c r="AD35" s="94">
        <v>29920</v>
      </c>
      <c r="AE35" s="95">
        <v>199100211</v>
      </c>
      <c r="AF35" s="94">
        <v>29921</v>
      </c>
      <c r="AG35" s="95">
        <v>199100211</v>
      </c>
    </row>
    <row r="36" spans="1:33" ht="10.5" x14ac:dyDescent="0.25">
      <c r="A36" s="52" t="s">
        <v>909</v>
      </c>
      <c r="B36" s="52">
        <v>3726</v>
      </c>
      <c r="C36" s="68">
        <v>9002212320</v>
      </c>
      <c r="D36" s="52" t="s">
        <v>1183</v>
      </c>
      <c r="E36" s="53" t="s">
        <v>1184</v>
      </c>
      <c r="F36" s="54">
        <v>45078</v>
      </c>
      <c r="G36" s="55">
        <v>29543.32</v>
      </c>
      <c r="H36" s="56">
        <v>6185</v>
      </c>
      <c r="I36" s="55">
        <v>75650</v>
      </c>
      <c r="J36" s="54">
        <v>45070</v>
      </c>
      <c r="K36" s="55">
        <v>0</v>
      </c>
      <c r="L36" s="60"/>
      <c r="M36" s="54">
        <v>43285</v>
      </c>
      <c r="N36" s="54">
        <v>43285</v>
      </c>
      <c r="O36" s="79"/>
      <c r="P36" s="53" t="s">
        <v>1185</v>
      </c>
      <c r="Q36" s="71" t="s">
        <v>1186</v>
      </c>
      <c r="R36" s="72"/>
      <c r="S36" s="73">
        <v>1.1041095890410959</v>
      </c>
      <c r="T36" s="74">
        <v>60520</v>
      </c>
      <c r="U36" s="74">
        <v>0</v>
      </c>
      <c r="V36" s="75">
        <v>0</v>
      </c>
      <c r="W36" s="83">
        <v>383.7383440463085</v>
      </c>
      <c r="X36" s="83">
        <v>562.77992595990622</v>
      </c>
      <c r="Y36" s="84">
        <v>3.2038317630050203E-2</v>
      </c>
      <c r="Z36" s="83">
        <v>946.51827000621472</v>
      </c>
      <c r="AA36" s="67"/>
      <c r="AB36" s="94">
        <v>27901</v>
      </c>
      <c r="AC36" s="95">
        <v>199100210</v>
      </c>
      <c r="AD36" s="94">
        <v>29920</v>
      </c>
      <c r="AE36" s="95">
        <v>199100211</v>
      </c>
      <c r="AF36" s="94">
        <v>29921</v>
      </c>
      <c r="AG36" s="95">
        <v>199100211</v>
      </c>
    </row>
    <row r="37" spans="1:33" ht="10.5" x14ac:dyDescent="0.25">
      <c r="A37" s="52" t="s">
        <v>909</v>
      </c>
      <c r="B37" s="52">
        <v>3585</v>
      </c>
      <c r="C37" s="68">
        <v>9001811986</v>
      </c>
      <c r="D37" s="52" t="s">
        <v>1666</v>
      </c>
      <c r="E37" s="53" t="s">
        <v>1667</v>
      </c>
      <c r="F37" s="54">
        <v>45282</v>
      </c>
      <c r="G37" s="55">
        <v>75495.63</v>
      </c>
      <c r="H37" s="56">
        <v>6185</v>
      </c>
      <c r="I37" s="55">
        <v>127500</v>
      </c>
      <c r="J37" s="54">
        <v>45197</v>
      </c>
      <c r="K37" s="55">
        <v>0</v>
      </c>
      <c r="L37" s="60"/>
      <c r="M37" s="54">
        <v>45203</v>
      </c>
      <c r="N37" s="54">
        <v>45229</v>
      </c>
      <c r="O37" s="79"/>
      <c r="P37" s="53"/>
      <c r="Q37" s="71" t="s">
        <v>1668</v>
      </c>
      <c r="R37" s="72"/>
      <c r="S37" s="73">
        <v>0.75616438356164384</v>
      </c>
      <c r="T37" s="74">
        <v>114750</v>
      </c>
      <c r="U37" s="74">
        <v>0</v>
      </c>
      <c r="V37" s="75">
        <v>0</v>
      </c>
      <c r="W37" s="83">
        <v>980.61314838456917</v>
      </c>
      <c r="X37" s="83">
        <v>1438.139825236178</v>
      </c>
      <c r="Y37" s="84">
        <v>3.2038317630050203E-2</v>
      </c>
      <c r="Z37" s="83">
        <v>2418.7529736207471</v>
      </c>
      <c r="AA37" s="67"/>
      <c r="AB37" s="94">
        <v>27901</v>
      </c>
      <c r="AC37" s="95">
        <v>199100210</v>
      </c>
      <c r="AD37" s="94">
        <v>29920</v>
      </c>
      <c r="AE37" s="95">
        <v>199100211</v>
      </c>
      <c r="AF37" s="94">
        <v>29921</v>
      </c>
      <c r="AG37" s="95">
        <v>199100211</v>
      </c>
    </row>
    <row r="38" spans="1:33" ht="10.5" x14ac:dyDescent="0.25">
      <c r="A38" s="52" t="s">
        <v>909</v>
      </c>
      <c r="B38" s="52">
        <v>338</v>
      </c>
      <c r="C38" s="68">
        <v>7400403925</v>
      </c>
      <c r="D38" s="52" t="s">
        <v>1669</v>
      </c>
      <c r="E38" s="53" t="s">
        <v>1670</v>
      </c>
      <c r="F38" s="54">
        <v>45286</v>
      </c>
      <c r="G38" s="55">
        <v>23699.82</v>
      </c>
      <c r="H38" s="56">
        <v>6185</v>
      </c>
      <c r="I38" s="55">
        <v>46257.32</v>
      </c>
      <c r="J38" s="54">
        <v>45257</v>
      </c>
      <c r="K38" s="55">
        <v>0</v>
      </c>
      <c r="L38" s="60"/>
      <c r="M38" s="54">
        <v>45000</v>
      </c>
      <c r="N38" s="54">
        <v>45133</v>
      </c>
      <c r="O38" s="79"/>
      <c r="P38" s="53"/>
      <c r="Q38" s="71" t="s">
        <v>1671</v>
      </c>
      <c r="R38" s="72"/>
      <c r="S38" s="73">
        <v>0.59178082191780823</v>
      </c>
      <c r="T38" s="74">
        <v>41631.588000000003</v>
      </c>
      <c r="U38" s="74">
        <v>0</v>
      </c>
      <c r="V38" s="75">
        <v>0</v>
      </c>
      <c r="W38" s="83">
        <v>307.83709078720955</v>
      </c>
      <c r="X38" s="83">
        <v>451.4652701478069</v>
      </c>
      <c r="Y38" s="84">
        <v>3.2038317630050203E-2</v>
      </c>
      <c r="Z38" s="83">
        <v>759.3023609350164</v>
      </c>
      <c r="AA38" s="67"/>
      <c r="AB38" s="94">
        <v>27901</v>
      </c>
      <c r="AC38" s="95">
        <v>199100210</v>
      </c>
      <c r="AD38" s="94">
        <v>29920</v>
      </c>
      <c r="AE38" s="95">
        <v>199100211</v>
      </c>
      <c r="AF38" s="94">
        <v>29921</v>
      </c>
      <c r="AG38" s="95">
        <v>199100211</v>
      </c>
    </row>
    <row r="39" spans="1:33" ht="10.5" x14ac:dyDescent="0.25">
      <c r="A39" s="52" t="s">
        <v>185</v>
      </c>
      <c r="B39" s="52">
        <v>5248</v>
      </c>
      <c r="C39" s="68" t="s">
        <v>1876</v>
      </c>
      <c r="D39" s="52" t="s">
        <v>1877</v>
      </c>
      <c r="E39" s="53" t="s">
        <v>1878</v>
      </c>
      <c r="F39" s="54">
        <v>45363</v>
      </c>
      <c r="G39" s="55">
        <v>130000</v>
      </c>
      <c r="H39" s="56">
        <v>6185</v>
      </c>
      <c r="I39" s="55">
        <v>130000</v>
      </c>
      <c r="J39" s="54">
        <v>45219</v>
      </c>
      <c r="K39" s="55">
        <v>0</v>
      </c>
      <c r="L39" s="60"/>
      <c r="M39" s="54">
        <v>45300</v>
      </c>
      <c r="N39" s="54">
        <v>45300</v>
      </c>
      <c r="O39" s="79"/>
      <c r="P39" s="53"/>
      <c r="Q39" s="71" t="s">
        <v>1879</v>
      </c>
      <c r="R39" s="72"/>
      <c r="S39" s="73">
        <v>0.69589041095890414</v>
      </c>
      <c r="T39" s="74">
        <v>117000</v>
      </c>
      <c r="U39" s="74">
        <v>13000</v>
      </c>
      <c r="V39" s="75">
        <v>0.1</v>
      </c>
      <c r="W39" s="83">
        <v>0</v>
      </c>
      <c r="X39" s="83">
        <v>2258.1000000000004</v>
      </c>
      <c r="Y39" s="84">
        <v>0.11737</v>
      </c>
      <c r="Z39" s="83">
        <v>15258.1</v>
      </c>
      <c r="AA39" s="67"/>
      <c r="AB39" s="94">
        <v>27901</v>
      </c>
      <c r="AC39" s="95">
        <v>199100210</v>
      </c>
      <c r="AD39" s="94">
        <v>29920</v>
      </c>
      <c r="AE39" s="95">
        <v>199100211</v>
      </c>
      <c r="AF39" s="94">
        <v>29921</v>
      </c>
      <c r="AG39" s="95">
        <v>199100211</v>
      </c>
    </row>
    <row r="40" spans="1:33" ht="10.5" x14ac:dyDescent="0.25">
      <c r="A40" s="52" t="s">
        <v>185</v>
      </c>
      <c r="B40" s="52">
        <v>5248</v>
      </c>
      <c r="C40" s="68" t="s">
        <v>1880</v>
      </c>
      <c r="D40" s="52" t="s">
        <v>1877</v>
      </c>
      <c r="E40" s="53" t="s">
        <v>1878</v>
      </c>
      <c r="F40" s="54">
        <v>45363</v>
      </c>
      <c r="G40" s="55">
        <v>41500</v>
      </c>
      <c r="H40" s="56">
        <v>6185</v>
      </c>
      <c r="I40" s="55">
        <v>41500</v>
      </c>
      <c r="J40" s="54">
        <v>45219</v>
      </c>
      <c r="K40" s="55">
        <v>0</v>
      </c>
      <c r="L40" s="60"/>
      <c r="M40" s="54">
        <v>45300</v>
      </c>
      <c r="N40" s="54">
        <v>45300</v>
      </c>
      <c r="O40" s="79"/>
      <c r="P40" s="53"/>
      <c r="Q40" s="71" t="s">
        <v>1881</v>
      </c>
      <c r="R40" s="72"/>
      <c r="S40" s="73">
        <v>0.69589041095890414</v>
      </c>
      <c r="T40" s="74">
        <v>37350</v>
      </c>
      <c r="U40" s="74">
        <v>4150</v>
      </c>
      <c r="V40" s="75">
        <v>0.1</v>
      </c>
      <c r="W40" s="83">
        <v>0</v>
      </c>
      <c r="X40" s="83">
        <v>720.85500000000002</v>
      </c>
      <c r="Y40" s="84">
        <v>0.11736999999999999</v>
      </c>
      <c r="Z40" s="83">
        <v>4870.8549999999996</v>
      </c>
      <c r="AA40" s="67"/>
      <c r="AB40" s="94">
        <v>27901</v>
      </c>
      <c r="AC40" s="95">
        <v>199100210</v>
      </c>
      <c r="AD40" s="94">
        <v>29920</v>
      </c>
      <c r="AE40" s="95">
        <v>199100211</v>
      </c>
      <c r="AF40" s="94">
        <v>29921</v>
      </c>
      <c r="AG40" s="95">
        <v>199100211</v>
      </c>
    </row>
    <row r="41" spans="1:33" ht="10.5" x14ac:dyDescent="0.25">
      <c r="A41" s="52" t="s">
        <v>909</v>
      </c>
      <c r="B41" s="52">
        <v>5331</v>
      </c>
      <c r="C41" s="68">
        <v>9001781504</v>
      </c>
      <c r="D41" s="52" t="s">
        <v>1882</v>
      </c>
      <c r="E41" s="53" t="s">
        <v>1883</v>
      </c>
      <c r="F41" s="54">
        <v>45429</v>
      </c>
      <c r="G41" s="55">
        <v>34000</v>
      </c>
      <c r="H41" s="56">
        <v>6185</v>
      </c>
      <c r="I41" s="55">
        <v>106250</v>
      </c>
      <c r="J41" s="54">
        <v>45425</v>
      </c>
      <c r="K41" s="55">
        <v>0</v>
      </c>
      <c r="L41" s="60"/>
      <c r="M41" s="54">
        <v>43845</v>
      </c>
      <c r="N41" s="54">
        <v>43845</v>
      </c>
      <c r="O41" s="79"/>
      <c r="P41" s="53"/>
      <c r="Q41" s="71" t="s">
        <v>1883</v>
      </c>
      <c r="R41" s="72"/>
      <c r="S41" s="73">
        <v>0.13150684931506848</v>
      </c>
      <c r="T41" s="74">
        <v>106250</v>
      </c>
      <c r="U41" s="74">
        <v>0</v>
      </c>
      <c r="V41" s="75">
        <v>0</v>
      </c>
      <c r="W41" s="83">
        <v>441.62618478811754</v>
      </c>
      <c r="X41" s="83">
        <v>647.67661463358934</v>
      </c>
      <c r="Y41" s="84">
        <v>3.2038317630050203E-2</v>
      </c>
      <c r="Z41" s="83">
        <v>1089.3027994217068</v>
      </c>
      <c r="AA41" s="67"/>
      <c r="AB41" s="94">
        <v>27901</v>
      </c>
      <c r="AC41" s="95">
        <v>199100210</v>
      </c>
      <c r="AD41" s="94">
        <v>29920</v>
      </c>
      <c r="AE41" s="95">
        <v>199100211</v>
      </c>
      <c r="AF41" s="94">
        <v>29921</v>
      </c>
      <c r="AG41" s="95">
        <v>199100211</v>
      </c>
    </row>
    <row r="42" spans="1:33" ht="10.5" x14ac:dyDescent="0.25">
      <c r="A42" s="52" t="s">
        <v>185</v>
      </c>
      <c r="B42" s="52">
        <v>5361</v>
      </c>
      <c r="C42" s="68">
        <v>2101230365</v>
      </c>
      <c r="D42" s="52" t="s">
        <v>1884</v>
      </c>
      <c r="E42" s="53" t="s">
        <v>1885</v>
      </c>
      <c r="F42" s="54">
        <v>45433</v>
      </c>
      <c r="G42" s="55">
        <v>122000</v>
      </c>
      <c r="H42" s="56">
        <v>6185</v>
      </c>
      <c r="I42" s="55">
        <v>122000</v>
      </c>
      <c r="J42" s="54">
        <v>45299</v>
      </c>
      <c r="K42" s="55">
        <v>0</v>
      </c>
      <c r="L42" s="60"/>
      <c r="M42" s="54">
        <v>45377</v>
      </c>
      <c r="N42" s="54">
        <v>45377</v>
      </c>
      <c r="O42" s="79"/>
      <c r="P42" s="53"/>
      <c r="Q42" s="71" t="s">
        <v>1885</v>
      </c>
      <c r="R42" s="72"/>
      <c r="S42" s="73">
        <v>0.47671232876712327</v>
      </c>
      <c r="T42" s="74">
        <v>122000</v>
      </c>
      <c r="U42" s="74">
        <v>0</v>
      </c>
      <c r="V42" s="75">
        <v>0</v>
      </c>
      <c r="W42" s="76">
        <v>1584.6586630632453</v>
      </c>
      <c r="X42" s="76">
        <v>2324.0160878028792</v>
      </c>
      <c r="Y42" s="77">
        <v>3.2038317630050203E-2</v>
      </c>
      <c r="Z42" s="76">
        <v>3908.6747508661247</v>
      </c>
      <c r="AA42" s="67"/>
      <c r="AB42" s="94">
        <v>27901</v>
      </c>
      <c r="AC42" s="95">
        <v>199100210</v>
      </c>
      <c r="AD42" s="94">
        <v>29920</v>
      </c>
      <c r="AE42" s="95">
        <v>199100211</v>
      </c>
      <c r="AF42" s="94">
        <v>29921</v>
      </c>
      <c r="AG42" s="95">
        <v>199100211</v>
      </c>
    </row>
    <row r="43" spans="1:33" ht="10.5" x14ac:dyDescent="0.25">
      <c r="V43" s="90"/>
    </row>
    <row r="44" spans="1:33" ht="10.5" x14ac:dyDescent="0.25">
      <c r="V44" s="90"/>
    </row>
    <row r="45" spans="1:33" ht="10.5" x14ac:dyDescent="0.25">
      <c r="V45" s="90"/>
    </row>
    <row r="46" spans="1:33" ht="10.5" x14ac:dyDescent="0.25">
      <c r="V46" s="90"/>
    </row>
    <row r="47" spans="1:33" ht="10.5" x14ac:dyDescent="0.25">
      <c r="V47" s="90"/>
    </row>
    <row r="48" spans="1:33" ht="10.5" x14ac:dyDescent="0.25">
      <c r="V48" s="90"/>
    </row>
    <row r="49" spans="7:22" ht="10.5" x14ac:dyDescent="0.25">
      <c r="V49" s="90"/>
    </row>
    <row r="50" spans="7:22" ht="10.5" x14ac:dyDescent="0.25">
      <c r="V50" s="90"/>
    </row>
    <row r="51" spans="7:22" ht="10.5" x14ac:dyDescent="0.25">
      <c r="G51" s="67"/>
      <c r="V51" s="90"/>
    </row>
    <row r="52" spans="7:22" ht="10.5" x14ac:dyDescent="0.25">
      <c r="G52" s="67"/>
      <c r="V52" s="90"/>
    </row>
    <row r="53" spans="7:22" ht="10.5" x14ac:dyDescent="0.25">
      <c r="G53" s="91"/>
      <c r="V53" s="90"/>
    </row>
    <row r="54" spans="7:22" ht="10.5" x14ac:dyDescent="0.25">
      <c r="G54" s="91"/>
      <c r="V54" s="90"/>
    </row>
    <row r="55" spans="7:22" ht="10.5" x14ac:dyDescent="0.25">
      <c r="G55" s="92"/>
      <c r="V55" s="90"/>
    </row>
    <row r="56" spans="7:22" ht="10.5" x14ac:dyDescent="0.25">
      <c r="V56" s="90"/>
    </row>
    <row r="57" spans="7:22" ht="10.5" x14ac:dyDescent="0.25">
      <c r="K57" s="87"/>
      <c r="V57" s="90"/>
    </row>
    <row r="58" spans="7:22" ht="10.5" x14ac:dyDescent="0.25">
      <c r="V58" s="90"/>
    </row>
    <row r="59" spans="7:22" ht="10.5" x14ac:dyDescent="0.25">
      <c r="V59" s="90"/>
    </row>
    <row r="60" spans="7:22" ht="10.5" x14ac:dyDescent="0.25">
      <c r="V60" s="90"/>
    </row>
    <row r="61" spans="7:22" ht="10.5" x14ac:dyDescent="0.25">
      <c r="V61" s="90"/>
    </row>
    <row r="62" spans="7:22" ht="10.5" x14ac:dyDescent="0.25">
      <c r="V62" s="90"/>
    </row>
    <row r="63" spans="7:22" ht="10.5" x14ac:dyDescent="0.25">
      <c r="V63" s="90"/>
    </row>
    <row r="64" spans="7:22" ht="10.5" x14ac:dyDescent="0.25">
      <c r="V64" s="90"/>
    </row>
    <row r="65" spans="22:22" ht="10.5" x14ac:dyDescent="0.25">
      <c r="V65" s="90"/>
    </row>
    <row r="66" spans="22:22" ht="10.5" x14ac:dyDescent="0.25">
      <c r="V66" s="90"/>
    </row>
    <row r="67" spans="22:22" ht="10.5" x14ac:dyDescent="0.25">
      <c r="V67" s="90"/>
    </row>
    <row r="68" spans="22:22" ht="10.5" x14ac:dyDescent="0.25">
      <c r="V68" s="90"/>
    </row>
    <row r="69" spans="22:22" ht="10.5" x14ac:dyDescent="0.25">
      <c r="V69" s="90"/>
    </row>
    <row r="70" spans="22:22" ht="10.5" x14ac:dyDescent="0.25">
      <c r="V70" s="90"/>
    </row>
    <row r="71" spans="22:22" ht="10.5" x14ac:dyDescent="0.25">
      <c r="V71" s="90"/>
    </row>
    <row r="72" spans="22:22" ht="10.5" x14ac:dyDescent="0.25">
      <c r="V72" s="90"/>
    </row>
    <row r="73" spans="22:22" ht="10.5" x14ac:dyDescent="0.25">
      <c r="V73" s="90"/>
    </row>
    <row r="74" spans="22:22" ht="10.5" x14ac:dyDescent="0.25">
      <c r="V74" s="90"/>
    </row>
    <row r="75" spans="22:22" ht="10.5" x14ac:dyDescent="0.25">
      <c r="V75" s="90"/>
    </row>
    <row r="76" spans="22:22" ht="10.5" x14ac:dyDescent="0.25">
      <c r="V76" s="90"/>
    </row>
    <row r="77" spans="22:22" ht="10.5" x14ac:dyDescent="0.25">
      <c r="V77" s="90"/>
    </row>
    <row r="78" spans="22:22" ht="10.5" x14ac:dyDescent="0.25">
      <c r="V78" s="90"/>
    </row>
    <row r="79" spans="22:22" ht="10.5" x14ac:dyDescent="0.25">
      <c r="V79" s="90"/>
    </row>
    <row r="80" spans="22:22" ht="10.5" x14ac:dyDescent="0.25">
      <c r="V80" s="90"/>
    </row>
    <row r="81" spans="22:22" ht="10.5" x14ac:dyDescent="0.25">
      <c r="V81" s="90"/>
    </row>
    <row r="82" spans="22:22" ht="10.5" x14ac:dyDescent="0.25">
      <c r="V82" s="90"/>
    </row>
    <row r="83" spans="22:22" ht="10.5" x14ac:dyDescent="0.25">
      <c r="V83" s="90"/>
    </row>
    <row r="84" spans="22:22" ht="10.5" x14ac:dyDescent="0.25">
      <c r="V84" s="90"/>
    </row>
    <row r="85" spans="22:22" ht="10.5" x14ac:dyDescent="0.25">
      <c r="V85" s="90"/>
    </row>
    <row r="86" spans="22:22" ht="10.5" x14ac:dyDescent="0.25">
      <c r="V86" s="90"/>
    </row>
    <row r="87" spans="22:22" ht="10.5" x14ac:dyDescent="0.25">
      <c r="V87" s="90"/>
    </row>
    <row r="88" spans="22:22" ht="10.5" x14ac:dyDescent="0.25">
      <c r="V88" s="90"/>
    </row>
    <row r="89" spans="22:22" ht="10.5" x14ac:dyDescent="0.25">
      <c r="V89" s="90"/>
    </row>
    <row r="90" spans="22:22" ht="10.5" x14ac:dyDescent="0.25">
      <c r="V90" s="90"/>
    </row>
    <row r="91" spans="22:22" ht="10.5" x14ac:dyDescent="0.25">
      <c r="V91" s="90"/>
    </row>
    <row r="92" spans="22:22" ht="10.5" x14ac:dyDescent="0.25">
      <c r="V92" s="90"/>
    </row>
    <row r="93" spans="22:22" ht="10.5" x14ac:dyDescent="0.25">
      <c r="V93" s="90"/>
    </row>
    <row r="94" spans="22:22" ht="10.5" x14ac:dyDescent="0.25">
      <c r="V94" s="90"/>
    </row>
    <row r="95" spans="22:22" ht="10.5" x14ac:dyDescent="0.25">
      <c r="V95" s="90"/>
    </row>
    <row r="96" spans="22:22" ht="10.5" x14ac:dyDescent="0.25">
      <c r="V96" s="90"/>
    </row>
    <row r="97" spans="22:22" ht="10.5" x14ac:dyDescent="0.25">
      <c r="V97" s="90"/>
    </row>
    <row r="98" spans="22:22" ht="10.5" x14ac:dyDescent="0.25">
      <c r="V98" s="90"/>
    </row>
    <row r="99" spans="22:22" ht="10.5" x14ac:dyDescent="0.25">
      <c r="V99" s="90"/>
    </row>
    <row r="100" spans="22:22" ht="10.5" x14ac:dyDescent="0.25">
      <c r="V100" s="90"/>
    </row>
    <row r="101" spans="22:22" ht="10.5" x14ac:dyDescent="0.25">
      <c r="V101" s="90"/>
    </row>
    <row r="102" spans="22:22" ht="10.5" x14ac:dyDescent="0.25">
      <c r="V102" s="90"/>
    </row>
    <row r="103" spans="22:22" ht="10.5" x14ac:dyDescent="0.25">
      <c r="V103" s="90"/>
    </row>
    <row r="104" spans="22:22" ht="10.5" x14ac:dyDescent="0.25">
      <c r="V104" s="90"/>
    </row>
    <row r="105" spans="22:22" ht="10.5" x14ac:dyDescent="0.25">
      <c r="V105" s="90"/>
    </row>
    <row r="106" spans="22:22" ht="10.5" x14ac:dyDescent="0.25">
      <c r="V106" s="90"/>
    </row>
    <row r="107" spans="22:22" ht="10.5" x14ac:dyDescent="0.25">
      <c r="V107" s="90"/>
    </row>
    <row r="108" spans="22:22" ht="10.5" x14ac:dyDescent="0.25">
      <c r="V108" s="90"/>
    </row>
    <row r="109" spans="22:22" ht="10.5" x14ac:dyDescent="0.25">
      <c r="V109" s="90"/>
    </row>
    <row r="110" spans="22:22" ht="10.5" x14ac:dyDescent="0.25">
      <c r="V110" s="90"/>
    </row>
    <row r="111" spans="22:22" ht="10.5" x14ac:dyDescent="0.25">
      <c r="V111" s="90"/>
    </row>
    <row r="112" spans="22:22" ht="10.5" x14ac:dyDescent="0.25">
      <c r="V112" s="90"/>
    </row>
    <row r="113" spans="22:22" ht="10.5" x14ac:dyDescent="0.25">
      <c r="V113" s="90"/>
    </row>
    <row r="114" spans="22:22" ht="10.5" x14ac:dyDescent="0.25">
      <c r="V114" s="90"/>
    </row>
    <row r="115" spans="22:22" ht="10.5" x14ac:dyDescent="0.25">
      <c r="V115" s="90"/>
    </row>
    <row r="116" spans="22:22" ht="10.5" x14ac:dyDescent="0.25">
      <c r="V116" s="90"/>
    </row>
    <row r="117" spans="22:22" ht="10.5" x14ac:dyDescent="0.25">
      <c r="V117" s="90"/>
    </row>
    <row r="118" spans="22:22" ht="10.5" x14ac:dyDescent="0.25">
      <c r="V118" s="90"/>
    </row>
    <row r="119" spans="22:22" ht="10.5" x14ac:dyDescent="0.25">
      <c r="V119" s="90"/>
    </row>
    <row r="120" spans="22:22" ht="10.5" x14ac:dyDescent="0.25">
      <c r="V120" s="90"/>
    </row>
    <row r="121" spans="22:22" ht="10.5" x14ac:dyDescent="0.25">
      <c r="V121" s="90"/>
    </row>
    <row r="122" spans="22:22" ht="10.5" x14ac:dyDescent="0.25">
      <c r="V122" s="90"/>
    </row>
    <row r="123" spans="22:22" ht="10.5" x14ac:dyDescent="0.25">
      <c r="V123" s="90"/>
    </row>
    <row r="124" spans="22:22" ht="10.5" x14ac:dyDescent="0.25">
      <c r="V124" s="90"/>
    </row>
    <row r="125" spans="22:22" ht="10.5" x14ac:dyDescent="0.25">
      <c r="V125" s="90"/>
    </row>
    <row r="126" spans="22:22" ht="10.5" x14ac:dyDescent="0.25">
      <c r="V126" s="90"/>
    </row>
    <row r="127" spans="22:22" ht="10.5" x14ac:dyDescent="0.25">
      <c r="V127" s="90"/>
    </row>
    <row r="128" spans="22:22" ht="10.5" x14ac:dyDescent="0.25">
      <c r="V128" s="90"/>
    </row>
    <row r="129" spans="22:22" ht="10.5" x14ac:dyDescent="0.25">
      <c r="V129" s="90"/>
    </row>
    <row r="130" spans="22:22" ht="10.5" x14ac:dyDescent="0.25">
      <c r="V130" s="90"/>
    </row>
    <row r="131" spans="22:22" ht="10.5" x14ac:dyDescent="0.25">
      <c r="V131" s="90"/>
    </row>
    <row r="132" spans="22:22" ht="10.5" x14ac:dyDescent="0.25">
      <c r="V132" s="90"/>
    </row>
    <row r="133" spans="22:22" ht="10.5" x14ac:dyDescent="0.25">
      <c r="V133" s="90"/>
    </row>
    <row r="134" spans="22:22" ht="10.5" x14ac:dyDescent="0.25">
      <c r="V134" s="90"/>
    </row>
    <row r="135" spans="22:22" ht="10.5" x14ac:dyDescent="0.25">
      <c r="V135" s="90"/>
    </row>
    <row r="136" spans="22:22" ht="10.5" x14ac:dyDescent="0.25">
      <c r="V136" s="90"/>
    </row>
    <row r="137" spans="22:22" ht="10.5" x14ac:dyDescent="0.25">
      <c r="V137" s="90"/>
    </row>
    <row r="138" spans="22:22" ht="10.5" x14ac:dyDescent="0.25">
      <c r="V138" s="90"/>
    </row>
    <row r="139" spans="22:22" ht="10.5" x14ac:dyDescent="0.25">
      <c r="V139" s="90"/>
    </row>
    <row r="140" spans="22:22" ht="10.5" x14ac:dyDescent="0.25">
      <c r="V140" s="90"/>
    </row>
    <row r="141" spans="22:22" ht="10.5" x14ac:dyDescent="0.25">
      <c r="V141" s="90"/>
    </row>
    <row r="142" spans="22:22" ht="10.5" x14ac:dyDescent="0.25">
      <c r="V142" s="90"/>
    </row>
    <row r="143" spans="22:22" ht="10.5" x14ac:dyDescent="0.25">
      <c r="V143" s="90"/>
    </row>
    <row r="144" spans="22:22" ht="10.5" x14ac:dyDescent="0.25">
      <c r="V144" s="90"/>
    </row>
    <row r="145" spans="22:22" ht="10.5" x14ac:dyDescent="0.25">
      <c r="V145" s="90"/>
    </row>
    <row r="146" spans="22:22" ht="10.5" x14ac:dyDescent="0.25">
      <c r="V146" s="90"/>
    </row>
    <row r="147" spans="22:22" ht="10.5" x14ac:dyDescent="0.25">
      <c r="V147" s="90"/>
    </row>
    <row r="148" spans="22:22" ht="10.5" x14ac:dyDescent="0.25">
      <c r="V148" s="90"/>
    </row>
    <row r="149" spans="22:22" ht="10.5" x14ac:dyDescent="0.25">
      <c r="V149" s="90"/>
    </row>
    <row r="150" spans="22:22" ht="10.5" x14ac:dyDescent="0.25">
      <c r="V150" s="90"/>
    </row>
    <row r="151" spans="22:22" ht="10.5" x14ac:dyDescent="0.25">
      <c r="V151" s="90"/>
    </row>
    <row r="152" spans="22:22" ht="10.5" x14ac:dyDescent="0.25">
      <c r="V152" s="90"/>
    </row>
    <row r="153" spans="22:22" ht="10.5" x14ac:dyDescent="0.25">
      <c r="V153" s="90"/>
    </row>
    <row r="154" spans="22:22" ht="10.5" x14ac:dyDescent="0.25">
      <c r="V154" s="90"/>
    </row>
    <row r="155" spans="22:22" ht="10.5" x14ac:dyDescent="0.25">
      <c r="V155" s="90"/>
    </row>
    <row r="156" spans="22:22" ht="10.5" x14ac:dyDescent="0.25">
      <c r="V156" s="90"/>
    </row>
    <row r="157" spans="22:22" ht="10.5" x14ac:dyDescent="0.25">
      <c r="V157" s="90"/>
    </row>
    <row r="158" spans="22:22" ht="10.5" x14ac:dyDescent="0.25">
      <c r="V158" s="90"/>
    </row>
    <row r="159" spans="22:22" ht="10.5" x14ac:dyDescent="0.25">
      <c r="V159" s="90"/>
    </row>
    <row r="160" spans="22:22" ht="10.5" x14ac:dyDescent="0.25">
      <c r="V160" s="90"/>
    </row>
    <row r="161" spans="22:22" ht="10.5" x14ac:dyDescent="0.25">
      <c r="V161" s="90"/>
    </row>
    <row r="162" spans="22:22" ht="10.5" x14ac:dyDescent="0.25">
      <c r="V162" s="90"/>
    </row>
    <row r="163" spans="22:22" ht="10.5" x14ac:dyDescent="0.25">
      <c r="V163" s="90"/>
    </row>
    <row r="164" spans="22:22" ht="10.5" x14ac:dyDescent="0.25">
      <c r="V164" s="90"/>
    </row>
    <row r="165" spans="22:22" ht="10.5" x14ac:dyDescent="0.25">
      <c r="V165" s="90"/>
    </row>
    <row r="166" spans="22:22" ht="10.5" x14ac:dyDescent="0.25">
      <c r="V166" s="90"/>
    </row>
    <row r="167" spans="22:22" ht="10.5" x14ac:dyDescent="0.25">
      <c r="V167" s="90"/>
    </row>
    <row r="168" spans="22:22" ht="10.5" x14ac:dyDescent="0.25">
      <c r="V168" s="90"/>
    </row>
    <row r="169" spans="22:22" ht="10.5" x14ac:dyDescent="0.25">
      <c r="V169" s="90"/>
    </row>
    <row r="170" spans="22:22" ht="10.5" x14ac:dyDescent="0.25">
      <c r="V170" s="90"/>
    </row>
    <row r="171" spans="22:22" ht="10.5" x14ac:dyDescent="0.25">
      <c r="V171" s="90"/>
    </row>
    <row r="172" spans="22:22" ht="10.5" x14ac:dyDescent="0.25">
      <c r="V172" s="90"/>
    </row>
    <row r="173" spans="22:22" ht="10.5" x14ac:dyDescent="0.25">
      <c r="V173" s="90"/>
    </row>
    <row r="174" spans="22:22" ht="10.5" x14ac:dyDescent="0.25">
      <c r="V174" s="90"/>
    </row>
    <row r="175" spans="22:22" ht="10.5" x14ac:dyDescent="0.25">
      <c r="V175" s="90"/>
    </row>
    <row r="176" spans="22:22" ht="10.5" x14ac:dyDescent="0.25">
      <c r="V176" s="90"/>
    </row>
    <row r="177" spans="22:22" ht="10.5" x14ac:dyDescent="0.25">
      <c r="V177" s="90"/>
    </row>
    <row r="178" spans="22:22" ht="10.5" x14ac:dyDescent="0.25">
      <c r="V178" s="90"/>
    </row>
    <row r="179" spans="22:22" ht="10.5" x14ac:dyDescent="0.25">
      <c r="V179" s="90"/>
    </row>
    <row r="180" spans="22:22" ht="10.5" x14ac:dyDescent="0.25">
      <c r="V180" s="90"/>
    </row>
    <row r="181" spans="22:22" ht="10.5" x14ac:dyDescent="0.25">
      <c r="V181" s="90"/>
    </row>
    <row r="182" spans="22:22" ht="10.5" x14ac:dyDescent="0.25">
      <c r="V182" s="90"/>
    </row>
    <row r="183" spans="22:22" ht="10.5" x14ac:dyDescent="0.25">
      <c r="V183" s="90"/>
    </row>
    <row r="184" spans="22:22" ht="10.5" x14ac:dyDescent="0.25">
      <c r="V184" s="90"/>
    </row>
    <row r="185" spans="22:22" ht="10.5" x14ac:dyDescent="0.25">
      <c r="V185" s="90"/>
    </row>
    <row r="186" spans="22:22" ht="10.5" x14ac:dyDescent="0.25">
      <c r="V186" s="90"/>
    </row>
    <row r="187" spans="22:22" ht="10.5" x14ac:dyDescent="0.25">
      <c r="V187" s="90"/>
    </row>
    <row r="188" spans="22:22" ht="10.5" x14ac:dyDescent="0.25">
      <c r="V188" s="90"/>
    </row>
    <row r="189" spans="22:22" ht="10.5" x14ac:dyDescent="0.25">
      <c r="V189" s="90"/>
    </row>
    <row r="190" spans="22:22" ht="10.5" x14ac:dyDescent="0.25">
      <c r="V190" s="90"/>
    </row>
    <row r="191" spans="22:22" ht="10.5" x14ac:dyDescent="0.25">
      <c r="V191" s="90"/>
    </row>
    <row r="192" spans="22:22" ht="10.5" x14ac:dyDescent="0.25">
      <c r="V192" s="90"/>
    </row>
    <row r="193" spans="22:22" ht="10.5" x14ac:dyDescent="0.25">
      <c r="V193" s="90"/>
    </row>
    <row r="194" spans="22:22" ht="10.5" x14ac:dyDescent="0.25">
      <c r="V194" s="90"/>
    </row>
    <row r="195" spans="22:22" ht="10.5" x14ac:dyDescent="0.25">
      <c r="V195" s="90"/>
    </row>
    <row r="196" spans="22:22" ht="10.5" x14ac:dyDescent="0.25">
      <c r="V196" s="90"/>
    </row>
    <row r="197" spans="22:22" ht="10.5" x14ac:dyDescent="0.25">
      <c r="V197" s="90"/>
    </row>
    <row r="198" spans="22:22" ht="10.5" x14ac:dyDescent="0.25">
      <c r="V198" s="90"/>
    </row>
    <row r="199" spans="22:22" ht="10.5" x14ac:dyDescent="0.25">
      <c r="V199" s="90"/>
    </row>
    <row r="200" spans="22:22" ht="10.5" x14ac:dyDescent="0.25">
      <c r="V200" s="90"/>
    </row>
    <row r="201" spans="22:22" ht="10.5" x14ac:dyDescent="0.25">
      <c r="V201" s="90"/>
    </row>
    <row r="202" spans="22:22" ht="10.5" x14ac:dyDescent="0.25">
      <c r="V202" s="90"/>
    </row>
    <row r="203" spans="22:22" ht="10.5" x14ac:dyDescent="0.25">
      <c r="V203" s="90"/>
    </row>
    <row r="204" spans="22:22" ht="10.5" x14ac:dyDescent="0.25">
      <c r="V204" s="90"/>
    </row>
    <row r="205" spans="22:22" ht="10.5" x14ac:dyDescent="0.25">
      <c r="V205" s="90"/>
    </row>
    <row r="206" spans="22:22" ht="10.5" x14ac:dyDescent="0.25">
      <c r="V206" s="90"/>
    </row>
    <row r="207" spans="22:22" ht="10.5" x14ac:dyDescent="0.25">
      <c r="V207" s="90"/>
    </row>
    <row r="208" spans="22:22" ht="10.5" x14ac:dyDescent="0.25">
      <c r="V208" s="90"/>
    </row>
    <row r="209" spans="22:22" ht="10.5" x14ac:dyDescent="0.25">
      <c r="V209" s="90"/>
    </row>
    <row r="210" spans="22:22" ht="10.5" x14ac:dyDescent="0.25">
      <c r="V210" s="90"/>
    </row>
    <row r="211" spans="22:22" ht="10.5" x14ac:dyDescent="0.25">
      <c r="V211" s="90"/>
    </row>
    <row r="212" spans="22:22" ht="10.5" x14ac:dyDescent="0.25">
      <c r="V212" s="90"/>
    </row>
    <row r="213" spans="22:22" ht="10.5" x14ac:dyDescent="0.25">
      <c r="V213" s="90"/>
    </row>
    <row r="214" spans="22:22" ht="10.5" x14ac:dyDescent="0.25">
      <c r="V214" s="90"/>
    </row>
    <row r="215" spans="22:22" ht="10.5" x14ac:dyDescent="0.25">
      <c r="V215" s="90"/>
    </row>
    <row r="216" spans="22:22" ht="10.5" x14ac:dyDescent="0.25">
      <c r="V216" s="90"/>
    </row>
    <row r="217" spans="22:22" ht="10.5" x14ac:dyDescent="0.25">
      <c r="V217" s="90"/>
    </row>
    <row r="218" spans="22:22" ht="10.5" x14ac:dyDescent="0.25">
      <c r="V218" s="90"/>
    </row>
    <row r="219" spans="22:22" ht="10.5" x14ac:dyDescent="0.25">
      <c r="V219" s="90"/>
    </row>
    <row r="220" spans="22:22" ht="10.5" x14ac:dyDescent="0.25">
      <c r="V220" s="90"/>
    </row>
    <row r="221" spans="22:22" ht="10.5" x14ac:dyDescent="0.25">
      <c r="V221" s="90"/>
    </row>
    <row r="222" spans="22:22" ht="10.5" x14ac:dyDescent="0.25">
      <c r="V222" s="90"/>
    </row>
    <row r="223" spans="22:22" ht="10.5" x14ac:dyDescent="0.25">
      <c r="V223" s="90"/>
    </row>
    <row r="224" spans="22:22" ht="10.5" x14ac:dyDescent="0.25">
      <c r="V224" s="90"/>
    </row>
    <row r="225" spans="22:22" ht="10.5" x14ac:dyDescent="0.25">
      <c r="V225" s="90"/>
    </row>
    <row r="226" spans="22:22" ht="10.5" x14ac:dyDescent="0.25">
      <c r="V226" s="90"/>
    </row>
    <row r="227" spans="22:22" ht="10.5" x14ac:dyDescent="0.25">
      <c r="V227" s="90"/>
    </row>
    <row r="228" spans="22:22" ht="10.5" x14ac:dyDescent="0.25">
      <c r="V228" s="90"/>
    </row>
    <row r="229" spans="22:22" ht="10.5" x14ac:dyDescent="0.25">
      <c r="V229" s="90"/>
    </row>
    <row r="230" spans="22:22" ht="10.5" x14ac:dyDescent="0.25">
      <c r="V230" s="90"/>
    </row>
    <row r="231" spans="22:22" ht="10.5" x14ac:dyDescent="0.25">
      <c r="V231" s="90"/>
    </row>
    <row r="232" spans="22:22" ht="10.5" x14ac:dyDescent="0.25">
      <c r="V232" s="90"/>
    </row>
    <row r="233" spans="22:22" ht="10.5" x14ac:dyDescent="0.25">
      <c r="V233" s="90"/>
    </row>
    <row r="234" spans="22:22" ht="10.5" x14ac:dyDescent="0.25">
      <c r="V234" s="90"/>
    </row>
    <row r="235" spans="22:22" ht="10.5" x14ac:dyDescent="0.25">
      <c r="V235" s="90"/>
    </row>
    <row r="236" spans="22:22" ht="10.5" x14ac:dyDescent="0.25">
      <c r="V236" s="90"/>
    </row>
    <row r="237" spans="22:22" ht="10.5" x14ac:dyDescent="0.25">
      <c r="V237" s="90"/>
    </row>
    <row r="238" spans="22:22" ht="10.5" x14ac:dyDescent="0.25">
      <c r="V238" s="90"/>
    </row>
    <row r="239" spans="22:22" ht="10.5" x14ac:dyDescent="0.25">
      <c r="V239" s="90"/>
    </row>
    <row r="240" spans="22:22" ht="10.5" x14ac:dyDescent="0.25">
      <c r="V240" s="90"/>
    </row>
    <row r="241" spans="22:22" ht="10.5" x14ac:dyDescent="0.25">
      <c r="V241" s="90"/>
    </row>
    <row r="242" spans="22:22" ht="10.5" x14ac:dyDescent="0.25">
      <c r="V242" s="90"/>
    </row>
    <row r="243" spans="22:22" ht="10.5" x14ac:dyDescent="0.25">
      <c r="V243" s="90"/>
    </row>
    <row r="244" spans="22:22" ht="10.5" x14ac:dyDescent="0.25">
      <c r="V244" s="90"/>
    </row>
    <row r="245" spans="22:22" ht="10.5" x14ac:dyDescent="0.25">
      <c r="V245" s="90"/>
    </row>
    <row r="246" spans="22:22" ht="10.5" x14ac:dyDescent="0.25">
      <c r="V246" s="90"/>
    </row>
    <row r="247" spans="22:22" ht="10.5" x14ac:dyDescent="0.25">
      <c r="V247" s="90"/>
    </row>
    <row r="248" spans="22:22" ht="10.5" x14ac:dyDescent="0.25">
      <c r="V248" s="90"/>
    </row>
    <row r="249" spans="22:22" ht="10.5" x14ac:dyDescent="0.25">
      <c r="V249" s="90"/>
    </row>
    <row r="250" spans="22:22" ht="10.5" x14ac:dyDescent="0.25">
      <c r="V250" s="90"/>
    </row>
    <row r="251" spans="22:22" ht="10.5" x14ac:dyDescent="0.25">
      <c r="V251" s="90"/>
    </row>
    <row r="252" spans="22:22" ht="10.5" x14ac:dyDescent="0.25">
      <c r="V252" s="90"/>
    </row>
    <row r="253" spans="22:22" ht="10.5" x14ac:dyDescent="0.25">
      <c r="V253" s="90"/>
    </row>
    <row r="254" spans="22:22" ht="10.5" x14ac:dyDescent="0.25">
      <c r="V254" s="90"/>
    </row>
    <row r="255" spans="22:22" ht="10.5" x14ac:dyDescent="0.25">
      <c r="V255" s="90"/>
    </row>
    <row r="256" spans="22:22" ht="10.5" x14ac:dyDescent="0.25">
      <c r="V256" s="90"/>
    </row>
    <row r="257" spans="22:22" ht="10.5" x14ac:dyDescent="0.25">
      <c r="V257" s="90"/>
    </row>
    <row r="258" spans="22:22" ht="10.5" x14ac:dyDescent="0.25">
      <c r="V258" s="90"/>
    </row>
    <row r="259" spans="22:22" ht="10.5" x14ac:dyDescent="0.25">
      <c r="V259" s="90"/>
    </row>
    <row r="260" spans="22:22" ht="10.5" x14ac:dyDescent="0.25">
      <c r="V260" s="90"/>
    </row>
    <row r="261" spans="22:22" ht="10.5" x14ac:dyDescent="0.25">
      <c r="V261" s="90"/>
    </row>
    <row r="262" spans="22:22" ht="10.5" x14ac:dyDescent="0.25">
      <c r="V262" s="90"/>
    </row>
    <row r="263" spans="22:22" ht="10.5" x14ac:dyDescent="0.25">
      <c r="V263" s="90"/>
    </row>
    <row r="264" spans="22:22" ht="10.5" x14ac:dyDescent="0.25">
      <c r="V264" s="90"/>
    </row>
    <row r="265" spans="22:22" ht="10.5" x14ac:dyDescent="0.25">
      <c r="V265" s="90"/>
    </row>
    <row r="266" spans="22:22" ht="10.5" x14ac:dyDescent="0.25">
      <c r="V266" s="90"/>
    </row>
    <row r="267" spans="22:22" ht="10.5" x14ac:dyDescent="0.25">
      <c r="V267" s="90"/>
    </row>
    <row r="268" spans="22:22" ht="10.5" x14ac:dyDescent="0.25">
      <c r="V268" s="90"/>
    </row>
    <row r="269" spans="22:22" ht="10.5" x14ac:dyDescent="0.25">
      <c r="V269" s="90"/>
    </row>
    <row r="270" spans="22:22" ht="10.5" x14ac:dyDescent="0.25">
      <c r="V270" s="90"/>
    </row>
    <row r="271" spans="22:22" ht="10.5" x14ac:dyDescent="0.25">
      <c r="V271" s="90"/>
    </row>
    <row r="272" spans="22:22" ht="10.5" x14ac:dyDescent="0.25">
      <c r="V272" s="90"/>
    </row>
    <row r="273" spans="22:22" ht="10.5" x14ac:dyDescent="0.25">
      <c r="V273" s="90"/>
    </row>
    <row r="274" spans="22:22" ht="10.5" x14ac:dyDescent="0.25">
      <c r="V274" s="90"/>
    </row>
    <row r="275" spans="22:22" ht="10.5" x14ac:dyDescent="0.25">
      <c r="V275" s="90"/>
    </row>
    <row r="276" spans="22:22" ht="10.5" x14ac:dyDescent="0.25">
      <c r="V276" s="90"/>
    </row>
    <row r="277" spans="22:22" ht="10.5" x14ac:dyDescent="0.25">
      <c r="V277" s="90"/>
    </row>
    <row r="278" spans="22:22" ht="10.5" x14ac:dyDescent="0.25">
      <c r="V278" s="90"/>
    </row>
    <row r="279" spans="22:22" ht="10.5" x14ac:dyDescent="0.25">
      <c r="V279" s="90"/>
    </row>
    <row r="280" spans="22:22" ht="10.5" x14ac:dyDescent="0.25">
      <c r="V280" s="90"/>
    </row>
    <row r="281" spans="22:22" ht="10.5" x14ac:dyDescent="0.25">
      <c r="V281" s="90"/>
    </row>
    <row r="282" spans="22:22" ht="10.5" x14ac:dyDescent="0.25">
      <c r="V282" s="90"/>
    </row>
    <row r="283" spans="22:22" ht="10.5" x14ac:dyDescent="0.25">
      <c r="V283" s="90"/>
    </row>
    <row r="284" spans="22:22" ht="10.5" x14ac:dyDescent="0.25">
      <c r="V284" s="90"/>
    </row>
    <row r="285" spans="22:22" ht="10.5" x14ac:dyDescent="0.25">
      <c r="V285" s="90"/>
    </row>
    <row r="286" spans="22:22" ht="10.5" x14ac:dyDescent="0.25">
      <c r="V286" s="90"/>
    </row>
    <row r="287" spans="22:22" ht="10.5" x14ac:dyDescent="0.25">
      <c r="V287" s="90"/>
    </row>
    <row r="288" spans="22:22" ht="10.5" x14ac:dyDescent="0.25">
      <c r="V288" s="90"/>
    </row>
    <row r="289" spans="22:22" ht="10.5" x14ac:dyDescent="0.25">
      <c r="V289" s="90"/>
    </row>
    <row r="290" spans="22:22" ht="10.5" x14ac:dyDescent="0.25">
      <c r="V290" s="90"/>
    </row>
    <row r="291" spans="22:22" ht="10.5" x14ac:dyDescent="0.25">
      <c r="V291" s="90"/>
    </row>
    <row r="292" spans="22:22" ht="10.5" x14ac:dyDescent="0.25">
      <c r="V292" s="90"/>
    </row>
    <row r="293" spans="22:22" ht="10.5" x14ac:dyDescent="0.25">
      <c r="V293" s="90"/>
    </row>
    <row r="294" spans="22:22" ht="10.5" x14ac:dyDescent="0.25">
      <c r="V294" s="90"/>
    </row>
    <row r="295" spans="22:22" ht="10.5" x14ac:dyDescent="0.25">
      <c r="V295" s="90"/>
    </row>
    <row r="296" spans="22:22" ht="10.5" x14ac:dyDescent="0.25">
      <c r="V296" s="90"/>
    </row>
    <row r="297" spans="22:22" ht="10.5" x14ac:dyDescent="0.25">
      <c r="V297" s="90"/>
    </row>
    <row r="298" spans="22:22" ht="10.5" x14ac:dyDescent="0.25">
      <c r="V298" s="90"/>
    </row>
    <row r="299" spans="22:22" ht="10.5" x14ac:dyDescent="0.25">
      <c r="V299" s="90"/>
    </row>
    <row r="300" spans="22:22" ht="10.5" x14ac:dyDescent="0.25">
      <c r="V300" s="90"/>
    </row>
    <row r="301" spans="22:22" ht="10.5" x14ac:dyDescent="0.25">
      <c r="V301" s="90"/>
    </row>
    <row r="302" spans="22:22" ht="10.5" x14ac:dyDescent="0.25">
      <c r="V302" s="90"/>
    </row>
    <row r="303" spans="22:22" ht="10.5" x14ac:dyDescent="0.25">
      <c r="V303" s="90"/>
    </row>
    <row r="304" spans="22:22" ht="10.5" x14ac:dyDescent="0.25">
      <c r="V304" s="90"/>
    </row>
    <row r="305" spans="22:22" ht="10.5" x14ac:dyDescent="0.25">
      <c r="V305" s="90"/>
    </row>
    <row r="306" spans="22:22" ht="10.5" x14ac:dyDescent="0.25">
      <c r="V306" s="90"/>
    </row>
    <row r="307" spans="22:22" ht="10.5" x14ac:dyDescent="0.25">
      <c r="V307" s="90"/>
    </row>
    <row r="308" spans="22:22" ht="10.5" x14ac:dyDescent="0.25">
      <c r="V308" s="90"/>
    </row>
    <row r="309" spans="22:22" ht="10.5" x14ac:dyDescent="0.25">
      <c r="V309" s="90"/>
    </row>
    <row r="310" spans="22:22" ht="10.5" x14ac:dyDescent="0.25">
      <c r="V310" s="90"/>
    </row>
    <row r="311" spans="22:22" ht="10.5" x14ac:dyDescent="0.25">
      <c r="V311" s="90"/>
    </row>
    <row r="312" spans="22:22" ht="10.5" x14ac:dyDescent="0.25">
      <c r="V312" s="90"/>
    </row>
    <row r="313" spans="22:22" ht="10.5" x14ac:dyDescent="0.25">
      <c r="V313" s="90"/>
    </row>
    <row r="314" spans="22:22" ht="10.5" x14ac:dyDescent="0.25">
      <c r="V314" s="90"/>
    </row>
    <row r="315" spans="22:22" ht="10.5" x14ac:dyDescent="0.25">
      <c r="V315" s="90"/>
    </row>
    <row r="316" spans="22:22" ht="10.5" x14ac:dyDescent="0.25">
      <c r="V316" s="90"/>
    </row>
    <row r="317" spans="22:22" ht="10.5" x14ac:dyDescent="0.25">
      <c r="V317" s="90"/>
    </row>
    <row r="318" spans="22:22" ht="10.5" x14ac:dyDescent="0.25">
      <c r="V318" s="90"/>
    </row>
    <row r="319" spans="22:22" ht="10.5" x14ac:dyDescent="0.25">
      <c r="V319" s="90"/>
    </row>
    <row r="320" spans="22:22" ht="10.5" x14ac:dyDescent="0.25">
      <c r="V320" s="90"/>
    </row>
    <row r="321" spans="22:22" ht="10.5" x14ac:dyDescent="0.25">
      <c r="V321" s="90"/>
    </row>
    <row r="322" spans="22:22" ht="10.5" x14ac:dyDescent="0.25">
      <c r="V322" s="90"/>
    </row>
    <row r="323" spans="22:22" ht="10.5" x14ac:dyDescent="0.25">
      <c r="V323" s="90"/>
    </row>
    <row r="324" spans="22:22" ht="10.5" x14ac:dyDescent="0.25">
      <c r="V324" s="90"/>
    </row>
    <row r="325" spans="22:22" ht="10.5" x14ac:dyDescent="0.25">
      <c r="V325" s="90"/>
    </row>
    <row r="326" spans="22:22" ht="10.5" x14ac:dyDescent="0.25">
      <c r="V326" s="90"/>
    </row>
    <row r="327" spans="22:22" ht="10.5" x14ac:dyDescent="0.25">
      <c r="V327" s="90"/>
    </row>
    <row r="328" spans="22:22" ht="10.5" x14ac:dyDescent="0.25">
      <c r="V328" s="90"/>
    </row>
    <row r="329" spans="22:22" ht="10.5" x14ac:dyDescent="0.25">
      <c r="V329" s="90"/>
    </row>
    <row r="330" spans="22:22" ht="10.5" x14ac:dyDescent="0.25">
      <c r="V330" s="90"/>
    </row>
    <row r="331" spans="22:22" ht="10.5" x14ac:dyDescent="0.25">
      <c r="V331" s="90"/>
    </row>
    <row r="332" spans="22:22" ht="10.5" x14ac:dyDescent="0.25">
      <c r="V332" s="90"/>
    </row>
    <row r="333" spans="22:22" ht="10.5" x14ac:dyDescent="0.25">
      <c r="V333" s="90"/>
    </row>
    <row r="334" spans="22:22" ht="10.5" x14ac:dyDescent="0.25">
      <c r="V334" s="90"/>
    </row>
    <row r="335" spans="22:22" ht="10.5" x14ac:dyDescent="0.25">
      <c r="V335" s="90"/>
    </row>
    <row r="336" spans="22:22" ht="10.5" x14ac:dyDescent="0.25">
      <c r="V336" s="90"/>
    </row>
    <row r="337" spans="22:22" ht="10.5" x14ac:dyDescent="0.25">
      <c r="V337" s="90"/>
    </row>
    <row r="338" spans="22:22" ht="10.5" x14ac:dyDescent="0.25">
      <c r="V338" s="90"/>
    </row>
    <row r="339" spans="22:22" ht="10.5" x14ac:dyDescent="0.25">
      <c r="V339" s="90"/>
    </row>
    <row r="340" spans="22:22" ht="10.5" x14ac:dyDescent="0.25">
      <c r="V340" s="90"/>
    </row>
    <row r="341" spans="22:22" ht="10.5" x14ac:dyDescent="0.25">
      <c r="V341" s="90"/>
    </row>
    <row r="342" spans="22:22" ht="10.5" x14ac:dyDescent="0.25">
      <c r="V342" s="90"/>
    </row>
    <row r="343" spans="22:22" ht="10.5" x14ac:dyDescent="0.25">
      <c r="V343" s="90"/>
    </row>
    <row r="344" spans="22:22" ht="10.5" x14ac:dyDescent="0.25">
      <c r="V344" s="90"/>
    </row>
    <row r="345" spans="22:22" ht="10.5" x14ac:dyDescent="0.25">
      <c r="V345" s="90"/>
    </row>
    <row r="346" spans="22:22" ht="10.5" x14ac:dyDescent="0.25">
      <c r="V346" s="90"/>
    </row>
    <row r="347" spans="22:22" ht="10.5" x14ac:dyDescent="0.25">
      <c r="V347" s="90"/>
    </row>
    <row r="348" spans="22:22" ht="10.5" x14ac:dyDescent="0.25">
      <c r="V348" s="90"/>
    </row>
    <row r="349" spans="22:22" ht="10.5" x14ac:dyDescent="0.25">
      <c r="V349" s="90"/>
    </row>
    <row r="350" spans="22:22" ht="10.5" x14ac:dyDescent="0.25">
      <c r="V350" s="90"/>
    </row>
    <row r="351" spans="22:22" ht="10.5" x14ac:dyDescent="0.25">
      <c r="V351" s="90"/>
    </row>
    <row r="352" spans="22:22" ht="10.5" x14ac:dyDescent="0.25">
      <c r="V352" s="90"/>
    </row>
    <row r="353" spans="22:22" ht="10.5" x14ac:dyDescent="0.25">
      <c r="V353" s="90"/>
    </row>
    <row r="354" spans="22:22" ht="10.5" x14ac:dyDescent="0.25">
      <c r="V354" s="90"/>
    </row>
    <row r="355" spans="22:22" ht="10.5" x14ac:dyDescent="0.25">
      <c r="V355" s="90"/>
    </row>
    <row r="356" spans="22:22" ht="10.5" x14ac:dyDescent="0.25">
      <c r="V356" s="90"/>
    </row>
    <row r="357" spans="22:22" ht="10.5" x14ac:dyDescent="0.25">
      <c r="V357" s="90"/>
    </row>
    <row r="358" spans="22:22" ht="10.5" x14ac:dyDescent="0.25">
      <c r="V358" s="90"/>
    </row>
    <row r="359" spans="22:22" ht="10.5" x14ac:dyDescent="0.25">
      <c r="V359" s="90"/>
    </row>
    <row r="360" spans="22:22" ht="10.5" x14ac:dyDescent="0.25">
      <c r="V360" s="90"/>
    </row>
    <row r="361" spans="22:22" ht="10.5" x14ac:dyDescent="0.25">
      <c r="V361" s="90"/>
    </row>
    <row r="362" spans="22:22" ht="10.5" x14ac:dyDescent="0.25">
      <c r="V362" s="90"/>
    </row>
    <row r="363" spans="22:22" ht="10.5" x14ac:dyDescent="0.25">
      <c r="V363" s="90"/>
    </row>
    <row r="364" spans="22:22" ht="10.5" x14ac:dyDescent="0.25">
      <c r="V364" s="90"/>
    </row>
    <row r="365" spans="22:22" ht="10.5" x14ac:dyDescent="0.25">
      <c r="V365" s="90"/>
    </row>
    <row r="366" spans="22:22" ht="10.5" x14ac:dyDescent="0.25">
      <c r="V366" s="90"/>
    </row>
    <row r="367" spans="22:22" ht="10.5" x14ac:dyDescent="0.25">
      <c r="V367" s="90"/>
    </row>
    <row r="368" spans="22:22" ht="10.5" x14ac:dyDescent="0.25">
      <c r="V368" s="90"/>
    </row>
    <row r="369" spans="22:22" ht="10.5" x14ac:dyDescent="0.25">
      <c r="V369" s="90"/>
    </row>
    <row r="370" spans="22:22" ht="10.5" x14ac:dyDescent="0.25">
      <c r="V370" s="90"/>
    </row>
    <row r="371" spans="22:22" ht="10.5" x14ac:dyDescent="0.25">
      <c r="V371" s="90"/>
    </row>
    <row r="372" spans="22:22" ht="10.5" x14ac:dyDescent="0.25">
      <c r="V372" s="90"/>
    </row>
    <row r="373" spans="22:22" ht="10.5" x14ac:dyDescent="0.25">
      <c r="V373" s="90"/>
    </row>
    <row r="374" spans="22:22" ht="10.5" x14ac:dyDescent="0.25">
      <c r="V374" s="90"/>
    </row>
    <row r="375" spans="22:22" ht="10.5" x14ac:dyDescent="0.25">
      <c r="V375" s="90"/>
    </row>
    <row r="376" spans="22:22" ht="10.5" x14ac:dyDescent="0.25">
      <c r="V376" s="90"/>
    </row>
    <row r="377" spans="22:22" ht="10.5" x14ac:dyDescent="0.25">
      <c r="V377" s="90"/>
    </row>
    <row r="378" spans="22:22" ht="10.5" x14ac:dyDescent="0.25">
      <c r="V378" s="90"/>
    </row>
    <row r="379" spans="22:22" ht="10.5" x14ac:dyDescent="0.25">
      <c r="V379" s="90"/>
    </row>
    <row r="380" spans="22:22" ht="10.5" x14ac:dyDescent="0.25">
      <c r="V380" s="90"/>
    </row>
    <row r="381" spans="22:22" ht="10.5" x14ac:dyDescent="0.25">
      <c r="V381" s="90"/>
    </row>
    <row r="382" spans="22:22" ht="10.5" x14ac:dyDescent="0.25">
      <c r="V382" s="90"/>
    </row>
    <row r="383" spans="22:22" ht="10.5" x14ac:dyDescent="0.25">
      <c r="V383" s="90"/>
    </row>
    <row r="384" spans="22:22" ht="10.5" x14ac:dyDescent="0.25">
      <c r="V384" s="90"/>
    </row>
    <row r="385" spans="22:22" ht="10.5" x14ac:dyDescent="0.25">
      <c r="V385" s="90"/>
    </row>
    <row r="386" spans="22:22" ht="10.5" x14ac:dyDescent="0.25">
      <c r="V386" s="90"/>
    </row>
    <row r="387" spans="22:22" ht="10.5" x14ac:dyDescent="0.25">
      <c r="V387" s="90"/>
    </row>
    <row r="388" spans="22:22" ht="10.5" x14ac:dyDescent="0.25">
      <c r="V388" s="90"/>
    </row>
    <row r="389" spans="22:22" ht="10.5" x14ac:dyDescent="0.25">
      <c r="V389" s="90"/>
    </row>
    <row r="390" spans="22:22" ht="10.5" x14ac:dyDescent="0.25">
      <c r="V390" s="90"/>
    </row>
    <row r="391" spans="22:22" ht="10.5" x14ac:dyDescent="0.25">
      <c r="V391" s="90"/>
    </row>
    <row r="392" spans="22:22" ht="10.5" x14ac:dyDescent="0.25">
      <c r="V392" s="90"/>
    </row>
    <row r="393" spans="22:22" ht="10.5" x14ac:dyDescent="0.25">
      <c r="V393" s="90"/>
    </row>
    <row r="394" spans="22:22" ht="10.5" x14ac:dyDescent="0.25">
      <c r="V394" s="90"/>
    </row>
    <row r="395" spans="22:22" ht="10.5" x14ac:dyDescent="0.25">
      <c r="V395" s="90"/>
    </row>
    <row r="396" spans="22:22" ht="10.5" x14ac:dyDescent="0.25">
      <c r="V396" s="90"/>
    </row>
    <row r="397" spans="22:22" ht="10.5" x14ac:dyDescent="0.25">
      <c r="V397" s="90"/>
    </row>
    <row r="398" spans="22:22" ht="10.5" x14ac:dyDescent="0.25">
      <c r="V398" s="90"/>
    </row>
    <row r="399" spans="22:22" ht="10.5" x14ac:dyDescent="0.25">
      <c r="V399" s="90"/>
    </row>
    <row r="400" spans="22:22" ht="10.5" x14ac:dyDescent="0.25">
      <c r="V400" s="90"/>
    </row>
    <row r="401" spans="22:22" ht="10.5" x14ac:dyDescent="0.25">
      <c r="V401" s="90"/>
    </row>
    <row r="402" spans="22:22" ht="10.5" x14ac:dyDescent="0.25">
      <c r="V402" s="90"/>
    </row>
    <row r="403" spans="22:22" ht="10.5" x14ac:dyDescent="0.25">
      <c r="V403" s="90"/>
    </row>
    <row r="404" spans="22:22" ht="10.5" x14ac:dyDescent="0.25">
      <c r="V404" s="90"/>
    </row>
    <row r="405" spans="22:22" ht="10.5" x14ac:dyDescent="0.25">
      <c r="V405" s="90"/>
    </row>
    <row r="406" spans="22:22" ht="10.5" x14ac:dyDescent="0.25">
      <c r="V406" s="90"/>
    </row>
    <row r="407" spans="22:22" ht="10.5" x14ac:dyDescent="0.25">
      <c r="V407" s="90"/>
    </row>
    <row r="408" spans="22:22" ht="10.5" x14ac:dyDescent="0.25">
      <c r="V408" s="90"/>
    </row>
    <row r="409" spans="22:22" ht="10.5" x14ac:dyDescent="0.25">
      <c r="V409" s="90"/>
    </row>
    <row r="410" spans="22:22" ht="10.5" x14ac:dyDescent="0.25">
      <c r="V410" s="90"/>
    </row>
    <row r="411" spans="22:22" ht="10.5" x14ac:dyDescent="0.25">
      <c r="V411" s="90"/>
    </row>
    <row r="412" spans="22:22" ht="10.5" x14ac:dyDescent="0.25">
      <c r="V412" s="90"/>
    </row>
    <row r="413" spans="22:22" ht="10.5" x14ac:dyDescent="0.25">
      <c r="V413" s="90"/>
    </row>
    <row r="414" spans="22:22" ht="10.5" x14ac:dyDescent="0.25">
      <c r="V414" s="90"/>
    </row>
    <row r="415" spans="22:22" ht="10.5" x14ac:dyDescent="0.25">
      <c r="V415" s="90"/>
    </row>
    <row r="416" spans="22:22" ht="10.5" x14ac:dyDescent="0.25">
      <c r="V416" s="90"/>
    </row>
    <row r="417" spans="22:22" ht="10.5" x14ac:dyDescent="0.25">
      <c r="V417" s="90"/>
    </row>
    <row r="418" spans="22:22" ht="10.5" x14ac:dyDescent="0.25">
      <c r="V418" s="90"/>
    </row>
    <row r="419" spans="22:22" ht="10.5" x14ac:dyDescent="0.25">
      <c r="V419" s="90"/>
    </row>
    <row r="420" spans="22:22" ht="10.5" x14ac:dyDescent="0.25">
      <c r="V420" s="90"/>
    </row>
    <row r="421" spans="22:22" ht="10.5" x14ac:dyDescent="0.25">
      <c r="V421" s="90"/>
    </row>
    <row r="422" spans="22:22" ht="10.5" x14ac:dyDescent="0.25">
      <c r="V422" s="90"/>
    </row>
    <row r="423" spans="22:22" ht="10.5" x14ac:dyDescent="0.25">
      <c r="V423" s="90"/>
    </row>
    <row r="424" spans="22:22" ht="10.5" x14ac:dyDescent="0.25">
      <c r="V424" s="90"/>
    </row>
    <row r="425" spans="22:22" ht="10.5" x14ac:dyDescent="0.25">
      <c r="V425" s="90"/>
    </row>
    <row r="426" spans="22:22" ht="10.5" x14ac:dyDescent="0.25">
      <c r="V426" s="90"/>
    </row>
    <row r="427" spans="22:22" ht="10.5" x14ac:dyDescent="0.25">
      <c r="V427" s="90"/>
    </row>
    <row r="428" spans="22:22" ht="10.5" x14ac:dyDescent="0.25">
      <c r="V428" s="90"/>
    </row>
    <row r="429" spans="22:22" ht="10.5" x14ac:dyDescent="0.25">
      <c r="V429" s="90"/>
    </row>
    <row r="430" spans="22:22" ht="10.5" x14ac:dyDescent="0.25">
      <c r="V430" s="90"/>
    </row>
    <row r="431" spans="22:22" ht="10.5" x14ac:dyDescent="0.25">
      <c r="V431" s="90"/>
    </row>
    <row r="432" spans="22:22" ht="10.5" x14ac:dyDescent="0.25">
      <c r="V432" s="90"/>
    </row>
    <row r="433" spans="22:22" ht="10.5" x14ac:dyDescent="0.25">
      <c r="V433" s="90"/>
    </row>
    <row r="434" spans="22:22" ht="10.5" x14ac:dyDescent="0.25">
      <c r="V434" s="90"/>
    </row>
    <row r="435" spans="22:22" ht="10.5" x14ac:dyDescent="0.25">
      <c r="V435" s="90"/>
    </row>
    <row r="436" spans="22:22" ht="10.5" x14ac:dyDescent="0.25">
      <c r="V436" s="90"/>
    </row>
    <row r="437" spans="22:22" ht="10.5" x14ac:dyDescent="0.25">
      <c r="V437" s="90"/>
    </row>
    <row r="438" spans="22:22" ht="10.5" x14ac:dyDescent="0.25">
      <c r="V438" s="90"/>
    </row>
    <row r="439" spans="22:22" ht="10.5" x14ac:dyDescent="0.25">
      <c r="V439" s="90"/>
    </row>
    <row r="440" spans="22:22" ht="10.5" x14ac:dyDescent="0.25">
      <c r="V440" s="90"/>
    </row>
    <row r="441" spans="22:22" ht="10.5" x14ac:dyDescent="0.25">
      <c r="V441" s="90"/>
    </row>
    <row r="442" spans="22:22" ht="10.5" x14ac:dyDescent="0.25">
      <c r="V442" s="90"/>
    </row>
    <row r="443" spans="22:22" ht="10.5" x14ac:dyDescent="0.25">
      <c r="V443" s="90"/>
    </row>
    <row r="444" spans="22:22" ht="10.5" x14ac:dyDescent="0.25">
      <c r="V444" s="90"/>
    </row>
    <row r="445" spans="22:22" ht="10.5" x14ac:dyDescent="0.25">
      <c r="V445" s="90"/>
    </row>
    <row r="446" spans="22:22" ht="10.5" x14ac:dyDescent="0.25">
      <c r="V446" s="90"/>
    </row>
    <row r="447" spans="22:22" ht="10.5" x14ac:dyDescent="0.25">
      <c r="V447" s="90"/>
    </row>
    <row r="448" spans="22:22" ht="10.5" x14ac:dyDescent="0.25">
      <c r="V448" s="90"/>
    </row>
    <row r="449" spans="22:22" ht="10.5" x14ac:dyDescent="0.25">
      <c r="V449" s="90"/>
    </row>
    <row r="450" spans="22:22" ht="10.5" x14ac:dyDescent="0.25">
      <c r="V450" s="90"/>
    </row>
    <row r="451" spans="22:22" ht="10.5" x14ac:dyDescent="0.25">
      <c r="V451" s="90"/>
    </row>
    <row r="452" spans="22:22" ht="10.5" x14ac:dyDescent="0.25">
      <c r="V452" s="90"/>
    </row>
    <row r="453" spans="22:22" ht="10.5" x14ac:dyDescent="0.25">
      <c r="V453" s="90"/>
    </row>
    <row r="454" spans="22:22" ht="10.5" x14ac:dyDescent="0.25">
      <c r="V454" s="90"/>
    </row>
    <row r="455" spans="22:22" ht="10.5" x14ac:dyDescent="0.25">
      <c r="V455" s="90"/>
    </row>
    <row r="456" spans="22:22" ht="10.5" x14ac:dyDescent="0.25">
      <c r="V456" s="90"/>
    </row>
    <row r="457" spans="22:22" ht="10.5" x14ac:dyDescent="0.25">
      <c r="V457" s="90"/>
    </row>
    <row r="458" spans="22:22" ht="10.5" x14ac:dyDescent="0.25">
      <c r="V458" s="90"/>
    </row>
    <row r="459" spans="22:22" ht="10.5" x14ac:dyDescent="0.25">
      <c r="V459" s="90"/>
    </row>
    <row r="460" spans="22:22" ht="10.5" x14ac:dyDescent="0.25">
      <c r="V460" s="90"/>
    </row>
    <row r="461" spans="22:22" ht="10.5" x14ac:dyDescent="0.25">
      <c r="V461" s="90"/>
    </row>
    <row r="462" spans="22:22" ht="10.5" x14ac:dyDescent="0.25">
      <c r="V462" s="90"/>
    </row>
    <row r="463" spans="22:22" ht="10.5" x14ac:dyDescent="0.25">
      <c r="V463" s="90"/>
    </row>
    <row r="464" spans="22:22" ht="10.5" x14ac:dyDescent="0.25">
      <c r="V464" s="90"/>
    </row>
    <row r="465" spans="22:22" ht="10.5" x14ac:dyDescent="0.25">
      <c r="V465" s="90"/>
    </row>
    <row r="466" spans="22:22" ht="10.5" x14ac:dyDescent="0.25">
      <c r="V466" s="90"/>
    </row>
    <row r="467" spans="22:22" ht="10.5" x14ac:dyDescent="0.25">
      <c r="V467" s="90"/>
    </row>
    <row r="468" spans="22:22" ht="10.5" x14ac:dyDescent="0.25">
      <c r="V468" s="90"/>
    </row>
    <row r="469" spans="22:22" ht="10.5" x14ac:dyDescent="0.25">
      <c r="V469" s="90"/>
    </row>
    <row r="470" spans="22:22" ht="10.5" x14ac:dyDescent="0.25">
      <c r="V470" s="90"/>
    </row>
    <row r="471" spans="22:22" ht="10.5" x14ac:dyDescent="0.25">
      <c r="V471" s="90"/>
    </row>
    <row r="472" spans="22:22" ht="10.5" x14ac:dyDescent="0.25">
      <c r="V472" s="90"/>
    </row>
    <row r="473" spans="22:22" ht="10.5" x14ac:dyDescent="0.25">
      <c r="V473" s="90"/>
    </row>
    <row r="474" spans="22:22" ht="10.5" x14ac:dyDescent="0.25">
      <c r="V474" s="90"/>
    </row>
    <row r="475" spans="22:22" ht="10.5" x14ac:dyDescent="0.25">
      <c r="V475" s="90"/>
    </row>
    <row r="476" spans="22:22" ht="10.5" x14ac:dyDescent="0.25">
      <c r="V476" s="90"/>
    </row>
    <row r="477" spans="22:22" ht="10.5" x14ac:dyDescent="0.25">
      <c r="V477" s="90"/>
    </row>
    <row r="478" spans="22:22" ht="10.5" x14ac:dyDescent="0.25">
      <c r="V478" s="90"/>
    </row>
    <row r="479" spans="22:22" ht="10.5" x14ac:dyDescent="0.25">
      <c r="V479" s="90"/>
    </row>
    <row r="480" spans="22:22" ht="10.5" x14ac:dyDescent="0.25">
      <c r="V480" s="90"/>
    </row>
    <row r="481" spans="22:22" ht="10.5" x14ac:dyDescent="0.25">
      <c r="V481" s="90"/>
    </row>
    <row r="482" spans="22:22" ht="10.5" x14ac:dyDescent="0.25">
      <c r="V482" s="90"/>
    </row>
    <row r="483" spans="22:22" ht="10.5" x14ac:dyDescent="0.25">
      <c r="V483" s="90"/>
    </row>
    <row r="484" spans="22:22" ht="10.5" x14ac:dyDescent="0.25">
      <c r="V484" s="90"/>
    </row>
    <row r="485" spans="22:22" ht="10.5" x14ac:dyDescent="0.25">
      <c r="V485" s="90"/>
    </row>
    <row r="486" spans="22:22" ht="10.5" x14ac:dyDescent="0.25">
      <c r="V486" s="90"/>
    </row>
    <row r="487" spans="22:22" ht="10.5" x14ac:dyDescent="0.25">
      <c r="V487" s="90"/>
    </row>
    <row r="488" spans="22:22" ht="10.5" x14ac:dyDescent="0.25">
      <c r="V488" s="90"/>
    </row>
    <row r="489" spans="22:22" ht="10.5" x14ac:dyDescent="0.25">
      <c r="V489" s="90"/>
    </row>
    <row r="490" spans="22:22" ht="10.5" x14ac:dyDescent="0.25">
      <c r="V490" s="90"/>
    </row>
    <row r="491" spans="22:22" ht="10.5" x14ac:dyDescent="0.25">
      <c r="V491" s="90"/>
    </row>
    <row r="492" spans="22:22" ht="10.5" x14ac:dyDescent="0.25">
      <c r="V492" s="90"/>
    </row>
    <row r="493" spans="22:22" ht="10.5" x14ac:dyDescent="0.25">
      <c r="V493" s="90"/>
    </row>
    <row r="494" spans="22:22" ht="10.5" x14ac:dyDescent="0.25">
      <c r="V494" s="90"/>
    </row>
    <row r="495" spans="22:22" ht="10.5" x14ac:dyDescent="0.25">
      <c r="V495" s="90"/>
    </row>
    <row r="496" spans="22:22" ht="10.5" x14ac:dyDescent="0.25">
      <c r="V496" s="90"/>
    </row>
    <row r="497" spans="22:22" ht="10.5" x14ac:dyDescent="0.25">
      <c r="V497" s="90"/>
    </row>
    <row r="498" spans="22:22" ht="10.5" x14ac:dyDescent="0.25">
      <c r="V498" s="90"/>
    </row>
    <row r="499" spans="22:22" ht="10.5" x14ac:dyDescent="0.25">
      <c r="V499" s="90"/>
    </row>
    <row r="500" spans="22:22" ht="10.5" x14ac:dyDescent="0.25">
      <c r="V500" s="90"/>
    </row>
    <row r="501" spans="22:22" ht="10.5" x14ac:dyDescent="0.25">
      <c r="V501" s="90"/>
    </row>
    <row r="502" spans="22:22" ht="10.5" x14ac:dyDescent="0.25">
      <c r="V502" s="90"/>
    </row>
    <row r="503" spans="22:22" ht="10.5" x14ac:dyDescent="0.25">
      <c r="V503" s="90"/>
    </row>
    <row r="504" spans="22:22" ht="10.5" x14ac:dyDescent="0.25">
      <c r="V504" s="90"/>
    </row>
    <row r="505" spans="22:22" ht="10.5" x14ac:dyDescent="0.25">
      <c r="V505" s="90"/>
    </row>
    <row r="506" spans="22:22" ht="10.5" x14ac:dyDescent="0.25">
      <c r="V506" s="90"/>
    </row>
    <row r="507" spans="22:22" ht="10.5" x14ac:dyDescent="0.25">
      <c r="V507" s="90"/>
    </row>
    <row r="508" spans="22:22" ht="10.5" x14ac:dyDescent="0.25">
      <c r="V508" s="90"/>
    </row>
    <row r="509" spans="22:22" ht="10.5" x14ac:dyDescent="0.25">
      <c r="V509" s="90"/>
    </row>
    <row r="510" spans="22:22" ht="10.5" x14ac:dyDescent="0.25">
      <c r="V510" s="90"/>
    </row>
    <row r="511" spans="22:22" ht="10.5" x14ac:dyDescent="0.25">
      <c r="V511" s="90"/>
    </row>
    <row r="512" spans="22:22" ht="10.5" x14ac:dyDescent="0.25">
      <c r="V512" s="90"/>
    </row>
    <row r="513" spans="22:22" ht="10.5" x14ac:dyDescent="0.25">
      <c r="V513" s="90"/>
    </row>
    <row r="514" spans="22:22" ht="10.5" x14ac:dyDescent="0.25">
      <c r="V514" s="90"/>
    </row>
    <row r="515" spans="22:22" ht="10.5" x14ac:dyDescent="0.25">
      <c r="V515" s="90"/>
    </row>
    <row r="516" spans="22:22" ht="10.5" x14ac:dyDescent="0.25">
      <c r="V516" s="90"/>
    </row>
    <row r="517" spans="22:22" ht="10.5" x14ac:dyDescent="0.25">
      <c r="V517" s="90"/>
    </row>
    <row r="518" spans="22:22" ht="10.5" x14ac:dyDescent="0.25">
      <c r="V518" s="90"/>
    </row>
    <row r="519" spans="22:22" ht="10.5" x14ac:dyDescent="0.25">
      <c r="V519" s="90"/>
    </row>
    <row r="520" spans="22:22" ht="10.5" x14ac:dyDescent="0.25">
      <c r="V520" s="90"/>
    </row>
    <row r="521" spans="22:22" ht="10.5" x14ac:dyDescent="0.25">
      <c r="V521" s="90"/>
    </row>
    <row r="522" spans="22:22" ht="10.5" x14ac:dyDescent="0.25">
      <c r="V522" s="90"/>
    </row>
    <row r="523" spans="22:22" ht="10.5" x14ac:dyDescent="0.25">
      <c r="V523" s="90"/>
    </row>
    <row r="524" spans="22:22" ht="10.5" x14ac:dyDescent="0.25">
      <c r="V524" s="90"/>
    </row>
    <row r="525" spans="22:22" ht="10.5" x14ac:dyDescent="0.25">
      <c r="V525" s="90"/>
    </row>
    <row r="526" spans="22:22" ht="10.5" x14ac:dyDescent="0.25">
      <c r="V526" s="90"/>
    </row>
    <row r="527" spans="22:22" ht="10.5" x14ac:dyDescent="0.25">
      <c r="V527" s="90"/>
    </row>
    <row r="528" spans="22:22" ht="10.5" x14ac:dyDescent="0.25">
      <c r="V528" s="90"/>
    </row>
    <row r="529" spans="22:22" ht="10.5" x14ac:dyDescent="0.25">
      <c r="V529" s="90"/>
    </row>
    <row r="530" spans="22:22" ht="10.5" x14ac:dyDescent="0.25">
      <c r="V530" s="90"/>
    </row>
    <row r="531" spans="22:22" ht="10.5" x14ac:dyDescent="0.25">
      <c r="V531" s="90"/>
    </row>
    <row r="532" spans="22:22" ht="10.5" x14ac:dyDescent="0.25">
      <c r="V532" s="90"/>
    </row>
    <row r="533" spans="22:22" ht="10.5" x14ac:dyDescent="0.25">
      <c r="V533" s="90"/>
    </row>
    <row r="534" spans="22:22" ht="10.5" x14ac:dyDescent="0.25">
      <c r="V534" s="90"/>
    </row>
    <row r="535" spans="22:22" ht="10.5" x14ac:dyDescent="0.25">
      <c r="V535" s="90"/>
    </row>
    <row r="536" spans="22:22" ht="10.5" x14ac:dyDescent="0.25">
      <c r="V536" s="90"/>
    </row>
    <row r="537" spans="22:22" ht="10.5" x14ac:dyDescent="0.25">
      <c r="V537" s="90"/>
    </row>
    <row r="538" spans="22:22" ht="10.5" x14ac:dyDescent="0.25">
      <c r="V538" s="90"/>
    </row>
    <row r="539" spans="22:22" ht="10.5" x14ac:dyDescent="0.25">
      <c r="V539" s="90"/>
    </row>
    <row r="540" spans="22:22" ht="10.5" x14ac:dyDescent="0.25">
      <c r="V540" s="90"/>
    </row>
    <row r="541" spans="22:22" ht="10.5" x14ac:dyDescent="0.25">
      <c r="V541" s="90"/>
    </row>
    <row r="542" spans="22:22" ht="10.5" x14ac:dyDescent="0.25">
      <c r="V542" s="90"/>
    </row>
    <row r="543" spans="22:22" ht="10.5" x14ac:dyDescent="0.25">
      <c r="V543" s="90"/>
    </row>
    <row r="544" spans="22:22" ht="10.5" x14ac:dyDescent="0.25">
      <c r="V544" s="90"/>
    </row>
    <row r="545" spans="22:22" ht="10.5" x14ac:dyDescent="0.25">
      <c r="V545" s="90"/>
    </row>
    <row r="546" spans="22:22" ht="10.5" x14ac:dyDescent="0.25">
      <c r="V546" s="90"/>
    </row>
    <row r="547" spans="22:22" ht="10.5" x14ac:dyDescent="0.25">
      <c r="V547" s="90"/>
    </row>
    <row r="548" spans="22:22" ht="10.5" x14ac:dyDescent="0.25">
      <c r="V548" s="90"/>
    </row>
    <row r="549" spans="22:22" ht="10.5" x14ac:dyDescent="0.25">
      <c r="V549" s="90"/>
    </row>
    <row r="550" spans="22:22" ht="10.5" x14ac:dyDescent="0.25">
      <c r="V550" s="90"/>
    </row>
    <row r="551" spans="22:22" ht="10.5" x14ac:dyDescent="0.25">
      <c r="V551" s="90"/>
    </row>
    <row r="552" spans="22:22" ht="10.5" x14ac:dyDescent="0.25">
      <c r="V552" s="90"/>
    </row>
    <row r="553" spans="22:22" ht="10.5" x14ac:dyDescent="0.25">
      <c r="V553" s="90"/>
    </row>
    <row r="554" spans="22:22" ht="10.5" x14ac:dyDescent="0.25">
      <c r="V554" s="90"/>
    </row>
    <row r="555" spans="22:22" ht="10.5" x14ac:dyDescent="0.25">
      <c r="V555" s="90"/>
    </row>
    <row r="556" spans="22:22" ht="10.5" x14ac:dyDescent="0.25">
      <c r="V556" s="90"/>
    </row>
    <row r="557" spans="22:22" ht="10.5" x14ac:dyDescent="0.25">
      <c r="V557" s="90"/>
    </row>
    <row r="558" spans="22:22" ht="10.5" x14ac:dyDescent="0.25">
      <c r="V558" s="90"/>
    </row>
    <row r="559" spans="22:22" ht="10.5" x14ac:dyDescent="0.25">
      <c r="V559" s="90"/>
    </row>
    <row r="560" spans="22:22" ht="10.5" x14ac:dyDescent="0.25">
      <c r="V560" s="90"/>
    </row>
    <row r="561" spans="22:22" ht="10.5" x14ac:dyDescent="0.25">
      <c r="V561" s="90"/>
    </row>
    <row r="562" spans="22:22" ht="10.5" x14ac:dyDescent="0.25">
      <c r="V562" s="90"/>
    </row>
    <row r="563" spans="22:22" ht="10.5" x14ac:dyDescent="0.25">
      <c r="V563" s="90"/>
    </row>
    <row r="564" spans="22:22" ht="10.5" x14ac:dyDescent="0.25">
      <c r="V564" s="90"/>
    </row>
    <row r="565" spans="22:22" ht="10.5" x14ac:dyDescent="0.25">
      <c r="V565" s="90"/>
    </row>
    <row r="566" spans="22:22" ht="10.5" x14ac:dyDescent="0.25">
      <c r="V566" s="90"/>
    </row>
    <row r="567" spans="22:22" ht="10.5" x14ac:dyDescent="0.25">
      <c r="V567" s="90"/>
    </row>
    <row r="568" spans="22:22" ht="10.5" x14ac:dyDescent="0.25">
      <c r="V568" s="90"/>
    </row>
    <row r="569" spans="22:22" ht="10.5" x14ac:dyDescent="0.25">
      <c r="V569" s="90"/>
    </row>
    <row r="570" spans="22:22" ht="10.5" x14ac:dyDescent="0.25">
      <c r="V570" s="90"/>
    </row>
    <row r="571" spans="22:22" ht="10.5" x14ac:dyDescent="0.25">
      <c r="V571" s="90"/>
    </row>
    <row r="572" spans="22:22" ht="10.5" x14ac:dyDescent="0.25">
      <c r="V572" s="90"/>
    </row>
    <row r="573" spans="22:22" ht="10.5" x14ac:dyDescent="0.25">
      <c r="V573" s="90"/>
    </row>
    <row r="574" spans="22:22" ht="10.5" x14ac:dyDescent="0.25">
      <c r="V574" s="90"/>
    </row>
    <row r="575" spans="22:22" ht="10.5" x14ac:dyDescent="0.25">
      <c r="V575" s="90"/>
    </row>
    <row r="576" spans="22:22" ht="10.5" x14ac:dyDescent="0.25">
      <c r="V576" s="90"/>
    </row>
    <row r="577" spans="22:22" ht="10.5" x14ac:dyDescent="0.25">
      <c r="V577" s="90"/>
    </row>
    <row r="578" spans="22:22" ht="10.5" x14ac:dyDescent="0.25">
      <c r="V578" s="90"/>
    </row>
    <row r="579" spans="22:22" ht="10.5" x14ac:dyDescent="0.25">
      <c r="V579" s="90"/>
    </row>
    <row r="580" spans="22:22" ht="10.5" x14ac:dyDescent="0.25">
      <c r="V580" s="90"/>
    </row>
    <row r="581" spans="22:22" ht="10.5" x14ac:dyDescent="0.25">
      <c r="V581" s="90"/>
    </row>
    <row r="582" spans="22:22" ht="10.5" x14ac:dyDescent="0.25">
      <c r="V582" s="90"/>
    </row>
    <row r="583" spans="22:22" ht="10.5" x14ac:dyDescent="0.25">
      <c r="V583" s="90"/>
    </row>
    <row r="584" spans="22:22" ht="10.5" x14ac:dyDescent="0.25">
      <c r="V584" s="90"/>
    </row>
    <row r="585" spans="22:22" ht="10.5" x14ac:dyDescent="0.25">
      <c r="V585" s="90"/>
    </row>
    <row r="586" spans="22:22" ht="10.5" x14ac:dyDescent="0.25">
      <c r="V586" s="90"/>
    </row>
    <row r="587" spans="22:22" ht="10.5" x14ac:dyDescent="0.25">
      <c r="V587" s="90"/>
    </row>
    <row r="588" spans="22:22" ht="10.5" x14ac:dyDescent="0.25">
      <c r="V588" s="90"/>
    </row>
    <row r="589" spans="22:22" ht="10.5" x14ac:dyDescent="0.25">
      <c r="V589" s="90"/>
    </row>
    <row r="590" spans="22:22" ht="10.5" x14ac:dyDescent="0.25">
      <c r="V590" s="90"/>
    </row>
    <row r="591" spans="22:22" ht="10.5" x14ac:dyDescent="0.25">
      <c r="V591" s="90"/>
    </row>
    <row r="592" spans="22:22" ht="10.5" x14ac:dyDescent="0.25">
      <c r="V592" s="90"/>
    </row>
    <row r="593" spans="22:22" ht="10.5" x14ac:dyDescent="0.25">
      <c r="V593" s="90"/>
    </row>
    <row r="594" spans="22:22" ht="10.5" x14ac:dyDescent="0.25">
      <c r="V594" s="90"/>
    </row>
    <row r="595" spans="22:22" ht="10.5" x14ac:dyDescent="0.25">
      <c r="V595" s="90"/>
    </row>
    <row r="596" spans="22:22" ht="10.5" x14ac:dyDescent="0.25">
      <c r="V596" s="90"/>
    </row>
    <row r="597" spans="22:22" ht="10.5" x14ac:dyDescent="0.25">
      <c r="V597" s="90"/>
    </row>
    <row r="598" spans="22:22" ht="10.5" x14ac:dyDescent="0.25">
      <c r="V598" s="90"/>
    </row>
    <row r="599" spans="22:22" ht="10.5" x14ac:dyDescent="0.25">
      <c r="V599" s="90"/>
    </row>
    <row r="600" spans="22:22" ht="10.5" x14ac:dyDescent="0.25">
      <c r="V600" s="90"/>
    </row>
    <row r="601" spans="22:22" ht="10.5" x14ac:dyDescent="0.25">
      <c r="V601" s="90"/>
    </row>
    <row r="602" spans="22:22" ht="10.5" x14ac:dyDescent="0.25">
      <c r="V602" s="90"/>
    </row>
    <row r="603" spans="22:22" ht="10.5" x14ac:dyDescent="0.25">
      <c r="V603" s="90"/>
    </row>
    <row r="604" spans="22:22" ht="10.5" x14ac:dyDescent="0.25">
      <c r="V604" s="90"/>
    </row>
    <row r="605" spans="22:22" ht="10.5" x14ac:dyDescent="0.25">
      <c r="V605" s="90"/>
    </row>
    <row r="606" spans="22:22" ht="10.5" x14ac:dyDescent="0.25">
      <c r="V606" s="90"/>
    </row>
    <row r="607" spans="22:22" ht="10.5" x14ac:dyDescent="0.25">
      <c r="V607" s="90"/>
    </row>
    <row r="608" spans="22:22" ht="10.5" x14ac:dyDescent="0.25">
      <c r="V608" s="90"/>
    </row>
    <row r="609" spans="22:22" ht="10.5" x14ac:dyDescent="0.25">
      <c r="V609" s="90"/>
    </row>
    <row r="610" spans="22:22" ht="10.5" x14ac:dyDescent="0.25">
      <c r="V610" s="90"/>
    </row>
    <row r="611" spans="22:22" ht="10.5" x14ac:dyDescent="0.25">
      <c r="V611" s="90"/>
    </row>
    <row r="612" spans="22:22" ht="10.5" x14ac:dyDescent="0.25">
      <c r="V612" s="90"/>
    </row>
    <row r="613" spans="22:22" ht="10.5" x14ac:dyDescent="0.25">
      <c r="V613" s="90"/>
    </row>
    <row r="614" spans="22:22" ht="10.5" x14ac:dyDescent="0.25">
      <c r="V614" s="90"/>
    </row>
    <row r="615" spans="22:22" ht="10.5" x14ac:dyDescent="0.25">
      <c r="V615" s="90"/>
    </row>
    <row r="616" spans="22:22" ht="10.5" x14ac:dyDescent="0.25">
      <c r="V616" s="90"/>
    </row>
    <row r="617" spans="22:22" ht="10.5" x14ac:dyDescent="0.25">
      <c r="V617" s="90"/>
    </row>
    <row r="618" spans="22:22" ht="10.5" x14ac:dyDescent="0.25">
      <c r="V618" s="90"/>
    </row>
    <row r="619" spans="22:22" ht="10.5" x14ac:dyDescent="0.25">
      <c r="V619" s="90"/>
    </row>
    <row r="620" spans="22:22" ht="10.5" x14ac:dyDescent="0.25">
      <c r="V620" s="90"/>
    </row>
    <row r="621" spans="22:22" ht="10.5" x14ac:dyDescent="0.25">
      <c r="V621" s="90"/>
    </row>
    <row r="622" spans="22:22" ht="10.5" x14ac:dyDescent="0.25">
      <c r="V622" s="90"/>
    </row>
    <row r="623" spans="22:22" ht="10.5" x14ac:dyDescent="0.25">
      <c r="V623" s="90"/>
    </row>
    <row r="624" spans="22:22" ht="10.5" x14ac:dyDescent="0.25">
      <c r="V624" s="90"/>
    </row>
    <row r="625" spans="22:22" ht="10.5" x14ac:dyDescent="0.25">
      <c r="V625" s="90"/>
    </row>
    <row r="626" spans="22:22" ht="10.5" x14ac:dyDescent="0.25">
      <c r="V626" s="90"/>
    </row>
    <row r="627" spans="22:22" ht="10.5" x14ac:dyDescent="0.25">
      <c r="V627" s="90"/>
    </row>
    <row r="628" spans="22:22" ht="10.5" x14ac:dyDescent="0.25">
      <c r="V628" s="90"/>
    </row>
    <row r="629" spans="22:22" ht="10.5" x14ac:dyDescent="0.25">
      <c r="V629" s="90"/>
    </row>
    <row r="630" spans="22:22" ht="10.5" x14ac:dyDescent="0.25">
      <c r="V630" s="90"/>
    </row>
    <row r="631" spans="22:22" ht="10.5" x14ac:dyDescent="0.25">
      <c r="V631" s="90"/>
    </row>
    <row r="632" spans="22:22" ht="10.5" x14ac:dyDescent="0.25">
      <c r="V632" s="90"/>
    </row>
    <row r="633" spans="22:22" ht="10.5" x14ac:dyDescent="0.25">
      <c r="V633" s="90"/>
    </row>
    <row r="634" spans="22:22" ht="10.5" x14ac:dyDescent="0.25">
      <c r="V634" s="90"/>
    </row>
    <row r="635" spans="22:22" ht="10.5" x14ac:dyDescent="0.25">
      <c r="V635" s="90"/>
    </row>
    <row r="636" spans="22:22" ht="10.5" x14ac:dyDescent="0.25">
      <c r="V636" s="90"/>
    </row>
    <row r="637" spans="22:22" ht="10.5" x14ac:dyDescent="0.25">
      <c r="V637" s="90"/>
    </row>
    <row r="638" spans="22:22" ht="10.5" x14ac:dyDescent="0.25">
      <c r="V638" s="90"/>
    </row>
    <row r="639" spans="22:22" ht="10.5" x14ac:dyDescent="0.25">
      <c r="V639" s="90"/>
    </row>
    <row r="640" spans="22:22" ht="10.5" x14ac:dyDescent="0.25">
      <c r="V640" s="90"/>
    </row>
    <row r="641" spans="22:22" ht="10.5" x14ac:dyDescent="0.25">
      <c r="V641" s="90"/>
    </row>
    <row r="642" spans="22:22" ht="10.5" x14ac:dyDescent="0.25">
      <c r="V642" s="90"/>
    </row>
    <row r="643" spans="22:22" ht="10.5" x14ac:dyDescent="0.25">
      <c r="V643" s="90"/>
    </row>
    <row r="644" spans="22:22" ht="10.5" x14ac:dyDescent="0.25">
      <c r="V644" s="90"/>
    </row>
    <row r="645" spans="22:22" ht="10.5" x14ac:dyDescent="0.25">
      <c r="V645" s="90"/>
    </row>
    <row r="646" spans="22:22" ht="10.5" x14ac:dyDescent="0.25">
      <c r="V646" s="90"/>
    </row>
    <row r="647" spans="22:22" ht="10.5" x14ac:dyDescent="0.25">
      <c r="V647" s="90"/>
    </row>
    <row r="648" spans="22:22" ht="10.5" x14ac:dyDescent="0.25">
      <c r="V648" s="90"/>
    </row>
    <row r="649" spans="22:22" ht="10.5" x14ac:dyDescent="0.25">
      <c r="V649" s="90"/>
    </row>
    <row r="650" spans="22:22" ht="10.5" x14ac:dyDescent="0.25">
      <c r="V650" s="90"/>
    </row>
    <row r="651" spans="22:22" ht="10.5" x14ac:dyDescent="0.25">
      <c r="V651" s="90"/>
    </row>
    <row r="652" spans="22:22" ht="10.5" x14ac:dyDescent="0.25">
      <c r="V652" s="90"/>
    </row>
    <row r="653" spans="22:22" ht="10.5" x14ac:dyDescent="0.25">
      <c r="V653" s="90"/>
    </row>
    <row r="654" spans="22:22" ht="10.5" x14ac:dyDescent="0.25">
      <c r="V654" s="90"/>
    </row>
    <row r="655" spans="22:22" ht="10.5" x14ac:dyDescent="0.25">
      <c r="V655" s="90"/>
    </row>
    <row r="656" spans="22:22" ht="10.5" x14ac:dyDescent="0.25">
      <c r="V656" s="90"/>
    </row>
    <row r="657" spans="22:22" ht="10.5" x14ac:dyDescent="0.25">
      <c r="V657" s="90"/>
    </row>
    <row r="658" spans="22:22" ht="10.5" x14ac:dyDescent="0.25">
      <c r="V658" s="90"/>
    </row>
    <row r="659" spans="22:22" ht="10.5" x14ac:dyDescent="0.25">
      <c r="V659" s="90"/>
    </row>
    <row r="660" spans="22:22" ht="10.5" x14ac:dyDescent="0.25">
      <c r="V660" s="90"/>
    </row>
    <row r="661" spans="22:22" ht="10.5" x14ac:dyDescent="0.25">
      <c r="V661" s="90"/>
    </row>
    <row r="662" spans="22:22" ht="10.5" x14ac:dyDescent="0.25">
      <c r="V662" s="90"/>
    </row>
    <row r="663" spans="22:22" ht="10.5" x14ac:dyDescent="0.25">
      <c r="V663" s="90"/>
    </row>
    <row r="664" spans="22:22" ht="10.5" x14ac:dyDescent="0.25">
      <c r="V664" s="90"/>
    </row>
    <row r="665" spans="22:22" ht="10.5" x14ac:dyDescent="0.25">
      <c r="V665" s="90"/>
    </row>
    <row r="666" spans="22:22" ht="10.5" x14ac:dyDescent="0.25">
      <c r="V666" s="90"/>
    </row>
    <row r="667" spans="22:22" ht="10.5" x14ac:dyDescent="0.25">
      <c r="V667" s="90"/>
    </row>
    <row r="668" spans="22:22" ht="10.5" x14ac:dyDescent="0.25">
      <c r="V668" s="90"/>
    </row>
    <row r="669" spans="22:22" ht="10.5" x14ac:dyDescent="0.25">
      <c r="V669" s="90"/>
    </row>
    <row r="670" spans="22:22" ht="10.5" x14ac:dyDescent="0.25">
      <c r="V670" s="90"/>
    </row>
    <row r="671" spans="22:22" ht="10.5" x14ac:dyDescent="0.25">
      <c r="V671" s="90"/>
    </row>
    <row r="672" spans="22:22" ht="10.5" x14ac:dyDescent="0.25">
      <c r="V672" s="90"/>
    </row>
    <row r="673" spans="22:22" ht="10.5" x14ac:dyDescent="0.25">
      <c r="V673" s="90"/>
    </row>
    <row r="674" spans="22:22" ht="10.5" x14ac:dyDescent="0.25">
      <c r="V674" s="90"/>
    </row>
    <row r="675" spans="22:22" ht="10.5" x14ac:dyDescent="0.25">
      <c r="V675" s="90"/>
    </row>
    <row r="676" spans="22:22" ht="10.5" x14ac:dyDescent="0.25">
      <c r="V676" s="90"/>
    </row>
    <row r="677" spans="22:22" ht="10.5" x14ac:dyDescent="0.25">
      <c r="V677" s="90"/>
    </row>
    <row r="678" spans="22:22" ht="10.5" x14ac:dyDescent="0.25">
      <c r="V678" s="90"/>
    </row>
    <row r="679" spans="22:22" ht="10.5" x14ac:dyDescent="0.25">
      <c r="V679" s="90"/>
    </row>
    <row r="680" spans="22:22" ht="10.5" x14ac:dyDescent="0.25">
      <c r="V680" s="90"/>
    </row>
    <row r="681" spans="22:22" ht="10.5" x14ac:dyDescent="0.25">
      <c r="V681" s="90"/>
    </row>
    <row r="682" spans="22:22" ht="10.5" x14ac:dyDescent="0.25">
      <c r="V682" s="90"/>
    </row>
    <row r="683" spans="22:22" ht="10.5" x14ac:dyDescent="0.25">
      <c r="V683" s="90"/>
    </row>
    <row r="684" spans="22:22" ht="10.5" x14ac:dyDescent="0.25">
      <c r="V684" s="90"/>
    </row>
    <row r="685" spans="22:22" ht="10.5" x14ac:dyDescent="0.25">
      <c r="V685" s="90"/>
    </row>
    <row r="686" spans="22:22" ht="10.5" x14ac:dyDescent="0.25">
      <c r="V686" s="90"/>
    </row>
    <row r="687" spans="22:22" ht="10.5" x14ac:dyDescent="0.25">
      <c r="V687" s="90"/>
    </row>
    <row r="688" spans="22:22" ht="10.5" x14ac:dyDescent="0.25">
      <c r="V688" s="90"/>
    </row>
    <row r="689" spans="22:22" ht="10.5" x14ac:dyDescent="0.25">
      <c r="V689" s="90"/>
    </row>
    <row r="690" spans="22:22" ht="10.5" x14ac:dyDescent="0.25">
      <c r="V690" s="90"/>
    </row>
    <row r="691" spans="22:22" ht="10.5" x14ac:dyDescent="0.25">
      <c r="V691" s="90"/>
    </row>
    <row r="692" spans="22:22" ht="10.5" x14ac:dyDescent="0.25">
      <c r="V692" s="90"/>
    </row>
    <row r="693" spans="22:22" ht="10.5" x14ac:dyDescent="0.25">
      <c r="V693" s="90"/>
    </row>
    <row r="694" spans="22:22" ht="10.5" x14ac:dyDescent="0.25">
      <c r="V694" s="90"/>
    </row>
    <row r="695" spans="22:22" ht="10.5" x14ac:dyDescent="0.25">
      <c r="V695" s="90"/>
    </row>
    <row r="696" spans="22:22" ht="10.5" x14ac:dyDescent="0.25">
      <c r="V696" s="90"/>
    </row>
    <row r="697" spans="22:22" ht="10.5" x14ac:dyDescent="0.25">
      <c r="V697" s="90"/>
    </row>
    <row r="698" spans="22:22" ht="10.5" x14ac:dyDescent="0.25">
      <c r="V698" s="90"/>
    </row>
    <row r="699" spans="22:22" ht="10.5" x14ac:dyDescent="0.25">
      <c r="V699" s="90"/>
    </row>
    <row r="700" spans="22:22" ht="10.5" x14ac:dyDescent="0.25">
      <c r="V700" s="90"/>
    </row>
    <row r="701" spans="22:22" ht="10.5" x14ac:dyDescent="0.25">
      <c r="V701" s="90"/>
    </row>
    <row r="702" spans="22:22" ht="10.5" x14ac:dyDescent="0.25">
      <c r="V702" s="90"/>
    </row>
    <row r="703" spans="22:22" ht="10.5" x14ac:dyDescent="0.25">
      <c r="V703" s="90"/>
    </row>
    <row r="704" spans="22:22" ht="10.5" x14ac:dyDescent="0.25">
      <c r="V704" s="90"/>
    </row>
    <row r="705" spans="22:22" ht="10.5" x14ac:dyDescent="0.25">
      <c r="V705" s="90"/>
    </row>
    <row r="706" spans="22:22" ht="10.5" x14ac:dyDescent="0.25">
      <c r="V706" s="90"/>
    </row>
    <row r="707" spans="22:22" ht="10.5" x14ac:dyDescent="0.25">
      <c r="V707" s="90"/>
    </row>
    <row r="708" spans="22:22" ht="10.5" x14ac:dyDescent="0.25">
      <c r="V708" s="90"/>
    </row>
    <row r="709" spans="22:22" ht="10.5" x14ac:dyDescent="0.25">
      <c r="V709" s="90"/>
    </row>
    <row r="710" spans="22:22" ht="10.5" x14ac:dyDescent="0.25">
      <c r="V710" s="90"/>
    </row>
    <row r="711" spans="22:22" ht="10.5" x14ac:dyDescent="0.25">
      <c r="V711" s="90"/>
    </row>
    <row r="712" spans="22:22" ht="10.5" x14ac:dyDescent="0.25">
      <c r="V712" s="90"/>
    </row>
    <row r="713" spans="22:22" ht="10.5" x14ac:dyDescent="0.25">
      <c r="V713" s="90"/>
    </row>
    <row r="714" spans="22:22" ht="10.5" x14ac:dyDescent="0.25">
      <c r="V714" s="90"/>
    </row>
    <row r="715" spans="22:22" ht="10.5" x14ac:dyDescent="0.25">
      <c r="V715" s="90"/>
    </row>
    <row r="716" spans="22:22" ht="10.5" x14ac:dyDescent="0.25">
      <c r="V716" s="90"/>
    </row>
    <row r="717" spans="22:22" ht="10.5" x14ac:dyDescent="0.25">
      <c r="V717" s="90"/>
    </row>
    <row r="718" spans="22:22" ht="10.5" x14ac:dyDescent="0.25">
      <c r="V718" s="90"/>
    </row>
    <row r="719" spans="22:22" ht="10.5" x14ac:dyDescent="0.25">
      <c r="V719" s="90"/>
    </row>
    <row r="720" spans="22:22" ht="10.5" x14ac:dyDescent="0.25">
      <c r="V720" s="90"/>
    </row>
    <row r="721" spans="22:22" ht="10.5" x14ac:dyDescent="0.25">
      <c r="V721" s="90"/>
    </row>
    <row r="722" spans="22:22" ht="10.5" x14ac:dyDescent="0.25">
      <c r="V722" s="90"/>
    </row>
    <row r="723" spans="22:22" ht="10.5" x14ac:dyDescent="0.25">
      <c r="V723" s="90"/>
    </row>
    <row r="724" spans="22:22" ht="10.5" x14ac:dyDescent="0.25">
      <c r="V724" s="90"/>
    </row>
    <row r="725" spans="22:22" ht="10.5" x14ac:dyDescent="0.25">
      <c r="V725" s="90"/>
    </row>
    <row r="726" spans="22:22" ht="10.5" x14ac:dyDescent="0.25">
      <c r="V726" s="90"/>
    </row>
    <row r="727" spans="22:22" ht="10.5" x14ac:dyDescent="0.25">
      <c r="V727" s="90"/>
    </row>
    <row r="728" spans="22:22" ht="10.5" x14ac:dyDescent="0.25">
      <c r="V728" s="90"/>
    </row>
    <row r="729" spans="22:22" ht="10.5" x14ac:dyDescent="0.25">
      <c r="V729" s="90"/>
    </row>
    <row r="730" spans="22:22" ht="10.5" x14ac:dyDescent="0.25">
      <c r="V730" s="90"/>
    </row>
    <row r="731" spans="22:22" ht="10.5" x14ac:dyDescent="0.25">
      <c r="V731" s="90"/>
    </row>
    <row r="732" spans="22:22" ht="10.5" x14ac:dyDescent="0.25">
      <c r="V732" s="90"/>
    </row>
    <row r="733" spans="22:22" ht="10.5" x14ac:dyDescent="0.25">
      <c r="V733" s="90"/>
    </row>
    <row r="734" spans="22:22" ht="10.5" x14ac:dyDescent="0.25">
      <c r="V734" s="90"/>
    </row>
    <row r="735" spans="22:22" ht="10.5" x14ac:dyDescent="0.25">
      <c r="V735" s="90"/>
    </row>
    <row r="736" spans="22:22" ht="10.5" x14ac:dyDescent="0.25">
      <c r="V736" s="90"/>
    </row>
    <row r="737" spans="22:22" ht="10.5" x14ac:dyDescent="0.25">
      <c r="V737" s="90"/>
    </row>
    <row r="738" spans="22:22" ht="10.5" x14ac:dyDescent="0.25">
      <c r="V738" s="90"/>
    </row>
    <row r="739" spans="22:22" ht="10.5" x14ac:dyDescent="0.25">
      <c r="V739" s="90"/>
    </row>
    <row r="740" spans="22:22" ht="10.5" x14ac:dyDescent="0.25">
      <c r="V740" s="90"/>
    </row>
    <row r="741" spans="22:22" ht="10.5" x14ac:dyDescent="0.25">
      <c r="V741" s="90"/>
    </row>
    <row r="742" spans="22:22" ht="10.5" x14ac:dyDescent="0.25">
      <c r="V742" s="90"/>
    </row>
    <row r="743" spans="22:22" ht="10.5" x14ac:dyDescent="0.25">
      <c r="V743" s="90"/>
    </row>
    <row r="744" spans="22:22" ht="10.5" x14ac:dyDescent="0.25">
      <c r="V744" s="90"/>
    </row>
    <row r="745" spans="22:22" ht="10.5" x14ac:dyDescent="0.25">
      <c r="V745" s="90"/>
    </row>
    <row r="746" spans="22:22" ht="10.5" x14ac:dyDescent="0.25">
      <c r="V746" s="90"/>
    </row>
    <row r="747" spans="22:22" ht="10.5" x14ac:dyDescent="0.25">
      <c r="V747" s="90"/>
    </row>
    <row r="748" spans="22:22" ht="10.5" x14ac:dyDescent="0.25">
      <c r="V748" s="90"/>
    </row>
    <row r="749" spans="22:22" ht="10.5" x14ac:dyDescent="0.25">
      <c r="V749" s="90"/>
    </row>
    <row r="750" spans="22:22" ht="10.5" x14ac:dyDescent="0.25">
      <c r="V750" s="90"/>
    </row>
    <row r="751" spans="22:22" ht="10.5" x14ac:dyDescent="0.25">
      <c r="V751" s="90"/>
    </row>
    <row r="752" spans="22:22" ht="10.5" x14ac:dyDescent="0.25">
      <c r="V752" s="90"/>
    </row>
    <row r="753" spans="22:22" ht="10.5" x14ac:dyDescent="0.25">
      <c r="V753" s="90"/>
    </row>
    <row r="754" spans="22:22" ht="10.5" x14ac:dyDescent="0.25">
      <c r="V754" s="90"/>
    </row>
    <row r="755" spans="22:22" ht="10.5" x14ac:dyDescent="0.25">
      <c r="V755" s="90"/>
    </row>
    <row r="756" spans="22:22" ht="10.5" x14ac:dyDescent="0.25">
      <c r="V756" s="90"/>
    </row>
    <row r="757" spans="22:22" ht="10.5" x14ac:dyDescent="0.25">
      <c r="V757" s="90"/>
    </row>
    <row r="758" spans="22:22" ht="10.5" x14ac:dyDescent="0.25">
      <c r="V758" s="90"/>
    </row>
    <row r="759" spans="22:22" ht="10.5" x14ac:dyDescent="0.25">
      <c r="V759" s="90"/>
    </row>
    <row r="760" spans="22:22" ht="10.5" x14ac:dyDescent="0.25">
      <c r="V760" s="90"/>
    </row>
    <row r="761" spans="22:22" ht="10.5" x14ac:dyDescent="0.25">
      <c r="V761" s="90"/>
    </row>
    <row r="762" spans="22:22" ht="10.5" x14ac:dyDescent="0.25">
      <c r="V762" s="90"/>
    </row>
    <row r="763" spans="22:22" ht="10.5" x14ac:dyDescent="0.25">
      <c r="V763" s="90"/>
    </row>
    <row r="764" spans="22:22" ht="10.5" x14ac:dyDescent="0.25">
      <c r="V764" s="90"/>
    </row>
    <row r="765" spans="22:22" ht="10.5" x14ac:dyDescent="0.25">
      <c r="V765" s="90"/>
    </row>
    <row r="766" spans="22:22" ht="10.5" x14ac:dyDescent="0.25">
      <c r="V766" s="90"/>
    </row>
    <row r="767" spans="22:22" ht="10.5" x14ac:dyDescent="0.25">
      <c r="V767" s="90"/>
    </row>
    <row r="768" spans="22:22" ht="10.5" x14ac:dyDescent="0.25">
      <c r="V768" s="90"/>
    </row>
    <row r="769" spans="22:22" ht="10.5" x14ac:dyDescent="0.25">
      <c r="V769" s="90"/>
    </row>
    <row r="770" spans="22:22" ht="10.5" x14ac:dyDescent="0.25">
      <c r="V770" s="90"/>
    </row>
    <row r="771" spans="22:22" ht="10.5" x14ac:dyDescent="0.25">
      <c r="V771" s="90"/>
    </row>
    <row r="772" spans="22:22" ht="10.5" x14ac:dyDescent="0.25">
      <c r="V772" s="90"/>
    </row>
    <row r="773" spans="22:22" ht="10.5" x14ac:dyDescent="0.25">
      <c r="V773" s="90"/>
    </row>
    <row r="774" spans="22:22" ht="10.5" x14ac:dyDescent="0.25">
      <c r="V774" s="90"/>
    </row>
    <row r="775" spans="22:22" ht="10.5" x14ac:dyDescent="0.25">
      <c r="V775" s="90"/>
    </row>
    <row r="776" spans="22:22" ht="10.5" x14ac:dyDescent="0.25">
      <c r="V776" s="90"/>
    </row>
    <row r="777" spans="22:22" ht="10.5" x14ac:dyDescent="0.25">
      <c r="V777" s="90"/>
    </row>
    <row r="778" spans="22:22" ht="10.5" x14ac:dyDescent="0.25">
      <c r="V778" s="90"/>
    </row>
    <row r="779" spans="22:22" ht="10.5" x14ac:dyDescent="0.25">
      <c r="V779" s="90"/>
    </row>
  </sheetData>
  <autoFilter ref="A5:Z5"/>
  <mergeCells count="3">
    <mergeCell ref="D3:D4"/>
    <mergeCell ref="M3:M4"/>
    <mergeCell ref="N3:N4"/>
  </mergeCells>
  <printOptions horizontalCentered="1"/>
  <pageMargins left="0.15748031496062992" right="0.19685039370078741" top="0.31496062992125984" bottom="0.51181102362204722" header="0" footer="0"/>
  <pageSetup paperSize="9" scale="87" orientation="landscape" horizontalDpi="4294967295" verticalDpi="4294967295" r:id="rId1"/>
  <headerFooter alignWithMargins="0">
    <oddHeader>&amp;L&amp;"Calibri"&amp;10&amp;K000000Confidential&amp;1#</oddHeader>
    <oddFooter>&amp;L&amp;Z&amp;A
Efect. em: &amp;D &amp;RPág. &amp;"Arial,Negrito"&amp;9&amp;P/&amp;N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showGridLines="0" topLeftCell="U1" zoomScaleNormal="100" zoomScaleSheetLayoutView="82" workbookViewId="0">
      <pane ySplit="4" topLeftCell="A8" activePane="bottomLeft" state="frozen"/>
      <selection activeCell="N20" sqref="N20"/>
      <selection pane="bottomLeft" activeCell="AC8" sqref="AC8"/>
    </sheetView>
  </sheetViews>
  <sheetFormatPr defaultColWidth="8" defaultRowHeight="12.5" x14ac:dyDescent="0.25"/>
  <cols>
    <col min="1" max="1" width="13.26953125" style="96" customWidth="1"/>
    <col min="2" max="2" width="6.7265625" style="96" customWidth="1"/>
    <col min="3" max="3" width="13.1796875" style="96" customWidth="1"/>
    <col min="4" max="4" width="5.26953125" style="98" customWidth="1"/>
    <col min="5" max="5" width="7.81640625" style="96" customWidth="1"/>
    <col min="6" max="6" width="30.1796875" style="96" customWidth="1"/>
    <col min="7" max="7" width="10.453125" style="96" customWidth="1"/>
    <col min="8" max="8" width="22.453125" style="96" customWidth="1"/>
    <col min="9" max="9" width="12.81640625" style="97" customWidth="1"/>
    <col min="10" max="10" width="15.26953125" style="97" customWidth="1"/>
    <col min="11" max="11" width="10.54296875" style="97" customWidth="1"/>
    <col min="12" max="12" width="13.1796875" style="97" bestFit="1" customWidth="1"/>
    <col min="13" max="13" width="11.7265625" style="96" customWidth="1"/>
    <col min="14" max="14" width="16" style="96" customWidth="1"/>
    <col min="15" max="15" width="13.26953125" style="96" customWidth="1"/>
    <col min="16" max="16" width="13.453125" style="96" customWidth="1"/>
    <col min="17" max="17" width="13" style="96" customWidth="1"/>
    <col min="18" max="18" width="7" style="96" bestFit="1" customWidth="1"/>
    <col min="19" max="19" width="12.7265625" style="96" customWidth="1"/>
    <col min="20" max="20" width="13.26953125" style="96" customWidth="1"/>
    <col min="21" max="22" width="14.54296875" style="96" customWidth="1"/>
    <col min="23" max="23" width="9.81640625" style="96" customWidth="1"/>
    <col min="24" max="24" width="12.81640625" style="96" customWidth="1"/>
    <col min="25" max="25" width="12.1796875" style="96" customWidth="1"/>
    <col min="26" max="26" width="14.54296875" style="96" customWidth="1"/>
    <col min="27" max="28" width="8" style="96"/>
    <col min="29" max="29" width="8.7265625" style="96" bestFit="1" customWidth="1"/>
    <col min="30" max="30" width="8" style="96"/>
    <col min="31" max="31" width="8.7265625" style="96" bestFit="1" customWidth="1"/>
    <col min="32" max="32" width="8" style="96"/>
    <col min="33" max="33" width="8.7265625" style="96" bestFit="1" customWidth="1"/>
    <col min="34" max="16384" width="8" style="96"/>
  </cols>
  <sheetData>
    <row r="1" spans="1:33" x14ac:dyDescent="0.25">
      <c r="P1" s="99"/>
      <c r="Q1" s="100"/>
      <c r="R1" s="101"/>
      <c r="S1" s="99"/>
      <c r="V1" s="97"/>
    </row>
    <row r="2" spans="1:33" ht="12.75" customHeight="1" thickBot="1" x14ac:dyDescent="0.3">
      <c r="A2" s="185" t="s">
        <v>1886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02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33" ht="36" customHeight="1" thickBot="1" x14ac:dyDescent="0.35">
      <c r="A3" s="98"/>
      <c r="B3" s="98"/>
      <c r="C3" s="98"/>
      <c r="E3" s="98"/>
      <c r="F3" s="98"/>
      <c r="G3" s="98"/>
      <c r="H3" s="98"/>
      <c r="I3" s="103"/>
      <c r="J3" s="103"/>
      <c r="K3" s="103"/>
      <c r="L3" s="104"/>
      <c r="M3" s="105">
        <v>45473</v>
      </c>
      <c r="N3" s="106" t="s">
        <v>1038</v>
      </c>
      <c r="O3" s="107"/>
      <c r="P3" s="103"/>
      <c r="Q3" s="103"/>
      <c r="R3" s="103"/>
      <c r="S3" s="103"/>
      <c r="T3" s="103"/>
      <c r="U3" s="107"/>
      <c r="V3" s="107"/>
      <c r="W3" s="107"/>
      <c r="X3" s="108">
        <v>1.2999999999999999E-2</v>
      </c>
      <c r="Y3" s="109">
        <v>1.7399999999999999E-2</v>
      </c>
      <c r="Z3" s="103"/>
    </row>
    <row r="4" spans="1:33" ht="57.75" customHeight="1" x14ac:dyDescent="0.3">
      <c r="A4" s="110" t="s">
        <v>1039</v>
      </c>
      <c r="B4" s="110" t="s">
        <v>1040</v>
      </c>
      <c r="C4" s="110" t="s">
        <v>1041</v>
      </c>
      <c r="D4" s="110" t="s">
        <v>1042</v>
      </c>
      <c r="E4" s="110" t="s">
        <v>1043</v>
      </c>
      <c r="F4" s="110" t="s">
        <v>881</v>
      </c>
      <c r="G4" s="110" t="s">
        <v>1044</v>
      </c>
      <c r="H4" s="110" t="s">
        <v>1045</v>
      </c>
      <c r="I4" s="110" t="s">
        <v>1046</v>
      </c>
      <c r="J4" s="110" t="s">
        <v>884</v>
      </c>
      <c r="K4" s="110" t="s">
        <v>900</v>
      </c>
      <c r="L4" s="111" t="s">
        <v>1047</v>
      </c>
      <c r="M4" s="112" t="s">
        <v>1048</v>
      </c>
      <c r="N4" s="113" t="s">
        <v>1049</v>
      </c>
      <c r="O4" s="114" t="s">
        <v>1050</v>
      </c>
      <c r="P4" s="114" t="s">
        <v>1051</v>
      </c>
      <c r="Q4" s="115" t="s">
        <v>1052</v>
      </c>
      <c r="R4" s="115" t="s">
        <v>895</v>
      </c>
      <c r="S4" s="115" t="s">
        <v>1053</v>
      </c>
      <c r="T4" s="116" t="s">
        <v>1054</v>
      </c>
      <c r="U4" s="116" t="s">
        <v>1055</v>
      </c>
      <c r="V4" s="116" t="s">
        <v>1056</v>
      </c>
      <c r="W4" s="114" t="s">
        <v>1057</v>
      </c>
      <c r="X4" s="116" t="s">
        <v>1058</v>
      </c>
      <c r="Y4" s="116" t="s">
        <v>897</v>
      </c>
      <c r="Z4" s="116" t="s">
        <v>1059</v>
      </c>
      <c r="AB4" s="141" t="s">
        <v>811</v>
      </c>
      <c r="AC4" s="142" t="s">
        <v>812</v>
      </c>
      <c r="AD4" s="141" t="s">
        <v>813</v>
      </c>
      <c r="AE4" s="142" t="s">
        <v>814</v>
      </c>
      <c r="AF4" s="141" t="s">
        <v>815</v>
      </c>
      <c r="AG4" s="142" t="s">
        <v>816</v>
      </c>
    </row>
    <row r="5" spans="1:33" s="126" customFormat="1" ht="12.75" customHeight="1" x14ac:dyDescent="0.25">
      <c r="A5" s="107">
        <v>6902510</v>
      </c>
      <c r="B5" s="107">
        <v>3049</v>
      </c>
      <c r="C5" s="117">
        <v>69025101</v>
      </c>
      <c r="D5" s="117" t="s">
        <v>25</v>
      </c>
      <c r="E5" s="107">
        <v>452899</v>
      </c>
      <c r="F5" s="107" t="s">
        <v>1060</v>
      </c>
      <c r="G5" s="127">
        <v>43040</v>
      </c>
      <c r="H5" s="107" t="s">
        <v>1061</v>
      </c>
      <c r="I5" s="99">
        <v>30846.26</v>
      </c>
      <c r="J5" s="99">
        <v>25500</v>
      </c>
      <c r="K5" s="118">
        <v>42822</v>
      </c>
      <c r="L5" s="119">
        <v>5346.2599999999984</v>
      </c>
      <c r="M5" s="120">
        <v>2433</v>
      </c>
      <c r="N5" s="97">
        <v>5346.2599999999984</v>
      </c>
      <c r="O5" s="121">
        <v>7.2630136986301368</v>
      </c>
      <c r="P5" s="99">
        <v>25500</v>
      </c>
      <c r="Q5" s="99">
        <v>12750</v>
      </c>
      <c r="R5" s="99">
        <v>0.5</v>
      </c>
      <c r="S5" s="99">
        <v>12750</v>
      </c>
      <c r="T5" s="122">
        <v>5346.2599999999984</v>
      </c>
      <c r="U5" s="123">
        <v>25500</v>
      </c>
      <c r="V5" s="124">
        <v>0</v>
      </c>
      <c r="W5" s="125">
        <v>0.58665977658231494</v>
      </c>
      <c r="X5" s="122">
        <v>0</v>
      </c>
      <c r="Y5" s="122">
        <v>246.07500000000002</v>
      </c>
      <c r="Z5" s="99">
        <v>18342.334999999999</v>
      </c>
      <c r="AB5" s="94">
        <v>27490</v>
      </c>
      <c r="AC5" s="95">
        <v>199100240</v>
      </c>
      <c r="AD5" s="94">
        <v>29990</v>
      </c>
      <c r="AE5" s="95">
        <v>199100241</v>
      </c>
      <c r="AF5" s="94">
        <v>29992</v>
      </c>
      <c r="AG5" s="95">
        <v>199100241</v>
      </c>
    </row>
    <row r="6" spans="1:33" s="126" customFormat="1" ht="12.75" customHeight="1" x14ac:dyDescent="0.25">
      <c r="A6" s="107">
        <v>6902510</v>
      </c>
      <c r="B6" s="107">
        <v>3050</v>
      </c>
      <c r="C6" s="117">
        <v>69025102</v>
      </c>
      <c r="D6" s="117" t="s">
        <v>25</v>
      </c>
      <c r="E6" s="107">
        <v>452899</v>
      </c>
      <c r="F6" s="107" t="s">
        <v>1060</v>
      </c>
      <c r="G6" s="127">
        <v>43040</v>
      </c>
      <c r="H6" s="107" t="s">
        <v>1062</v>
      </c>
      <c r="I6" s="99">
        <v>2145.2399999999998</v>
      </c>
      <c r="J6" s="99">
        <v>388.42</v>
      </c>
      <c r="K6" s="118">
        <v>45443</v>
      </c>
      <c r="L6" s="119">
        <v>1756.8199999999997</v>
      </c>
      <c r="M6" s="120">
        <v>2433</v>
      </c>
      <c r="N6" s="97">
        <v>1756.8199999999997</v>
      </c>
      <c r="O6" s="121">
        <v>8.2191780821917804E-2</v>
      </c>
      <c r="P6" s="99">
        <v>388.42</v>
      </c>
      <c r="Q6" s="99">
        <v>388.42</v>
      </c>
      <c r="R6" s="99">
        <v>1</v>
      </c>
      <c r="S6" s="99">
        <v>0</v>
      </c>
      <c r="T6" s="122">
        <v>1756.8199999999997</v>
      </c>
      <c r="U6" s="123">
        <v>388.42000000000007</v>
      </c>
      <c r="V6" s="124">
        <v>0</v>
      </c>
      <c r="W6" s="125">
        <v>0.81893867352836969</v>
      </c>
      <c r="X6" s="122">
        <v>0</v>
      </c>
      <c r="Y6" s="122">
        <v>7.4965060000000019</v>
      </c>
      <c r="Z6" s="99">
        <v>1764.3165059999997</v>
      </c>
      <c r="AB6" s="94">
        <v>27490</v>
      </c>
      <c r="AC6" s="95">
        <v>199100240</v>
      </c>
      <c r="AD6" s="94">
        <v>29990</v>
      </c>
      <c r="AE6" s="95">
        <v>199100241</v>
      </c>
      <c r="AF6" s="94">
        <v>29992</v>
      </c>
      <c r="AG6" s="95">
        <v>199100241</v>
      </c>
    </row>
    <row r="7" spans="1:33" s="126" customFormat="1" ht="12.75" customHeight="1" x14ac:dyDescent="0.25">
      <c r="A7" s="117">
        <v>6961494</v>
      </c>
      <c r="B7" s="107">
        <v>3191</v>
      </c>
      <c r="C7" s="117">
        <v>6961494</v>
      </c>
      <c r="D7" s="117" t="s">
        <v>25</v>
      </c>
      <c r="E7" s="107">
        <v>469056</v>
      </c>
      <c r="F7" s="107" t="s">
        <v>1063</v>
      </c>
      <c r="G7" s="127">
        <v>43405</v>
      </c>
      <c r="H7" s="107" t="s">
        <v>1064</v>
      </c>
      <c r="I7" s="99">
        <v>274353.82</v>
      </c>
      <c r="J7" s="99">
        <v>434700</v>
      </c>
      <c r="K7" s="118">
        <v>45443</v>
      </c>
      <c r="L7" s="119">
        <v>0</v>
      </c>
      <c r="M7" s="120">
        <v>2068</v>
      </c>
      <c r="N7" s="97">
        <v>0</v>
      </c>
      <c r="O7" s="121">
        <v>8.2191780821917804E-2</v>
      </c>
      <c r="P7" s="99">
        <v>434700</v>
      </c>
      <c r="Q7" s="99">
        <v>434700</v>
      </c>
      <c r="R7" s="99">
        <v>1</v>
      </c>
      <c r="S7" s="99">
        <v>0</v>
      </c>
      <c r="T7" s="122">
        <v>0</v>
      </c>
      <c r="U7" s="123">
        <v>274353.82</v>
      </c>
      <c r="V7" s="124">
        <v>0</v>
      </c>
      <c r="W7" s="125">
        <v>0</v>
      </c>
      <c r="X7" s="122">
        <v>0</v>
      </c>
      <c r="Y7" s="122">
        <v>5295.0287260000005</v>
      </c>
      <c r="Z7" s="99">
        <v>5295.0287260000005</v>
      </c>
      <c r="AB7" s="94">
        <v>27490</v>
      </c>
      <c r="AC7" s="95">
        <v>199100240</v>
      </c>
      <c r="AD7" s="94">
        <v>29990</v>
      </c>
      <c r="AE7" s="95">
        <v>199100241</v>
      </c>
      <c r="AF7" s="94">
        <v>29992</v>
      </c>
      <c r="AG7" s="95">
        <v>199100241</v>
      </c>
    </row>
    <row r="8" spans="1:33" s="126" customFormat="1" ht="12.75" customHeight="1" x14ac:dyDescent="0.25">
      <c r="A8" s="117">
        <v>1010675</v>
      </c>
      <c r="B8" s="107">
        <v>3192</v>
      </c>
      <c r="C8" s="117">
        <v>1010675</v>
      </c>
      <c r="D8" s="117" t="s">
        <v>25</v>
      </c>
      <c r="E8" s="107">
        <v>654088</v>
      </c>
      <c r="F8" s="107" t="s">
        <v>1065</v>
      </c>
      <c r="G8" s="127">
        <v>44256</v>
      </c>
      <c r="H8" s="107" t="s">
        <v>1066</v>
      </c>
      <c r="I8" s="99">
        <v>39594</v>
      </c>
      <c r="J8" s="99">
        <v>219000</v>
      </c>
      <c r="K8" s="118">
        <v>45230</v>
      </c>
      <c r="L8" s="119">
        <v>0</v>
      </c>
      <c r="M8" s="120">
        <v>1217</v>
      </c>
      <c r="N8" s="97">
        <v>0</v>
      </c>
      <c r="O8" s="121">
        <v>0.66575342465753429</v>
      </c>
      <c r="P8" s="99">
        <v>219000</v>
      </c>
      <c r="Q8" s="99">
        <v>197100</v>
      </c>
      <c r="R8" s="99">
        <v>0.9</v>
      </c>
      <c r="S8" s="99">
        <v>0</v>
      </c>
      <c r="T8" s="122">
        <v>0</v>
      </c>
      <c r="U8" s="123">
        <v>39594</v>
      </c>
      <c r="V8" s="124">
        <v>0</v>
      </c>
      <c r="W8" s="125">
        <v>0</v>
      </c>
      <c r="X8" s="122">
        <v>0</v>
      </c>
      <c r="Y8" s="122">
        <v>764.16420000000005</v>
      </c>
      <c r="Z8" s="99">
        <v>764.16420000000005</v>
      </c>
      <c r="AB8" s="94">
        <v>27490</v>
      </c>
      <c r="AC8" s="95">
        <v>199100240</v>
      </c>
      <c r="AD8" s="94">
        <v>29990</v>
      </c>
      <c r="AE8" s="95">
        <v>199100241</v>
      </c>
      <c r="AF8" s="94">
        <v>29992</v>
      </c>
      <c r="AG8" s="95">
        <v>199100241</v>
      </c>
    </row>
    <row r="9" spans="1:33" s="126" customFormat="1" ht="12.75" customHeight="1" x14ac:dyDescent="0.25">
      <c r="A9" s="117">
        <v>1010593</v>
      </c>
      <c r="B9" s="107">
        <v>3377</v>
      </c>
      <c r="C9" s="117">
        <v>1010593</v>
      </c>
      <c r="D9" s="117" t="s">
        <v>25</v>
      </c>
      <c r="E9" s="107">
        <v>639907</v>
      </c>
      <c r="F9" s="107" t="s">
        <v>1067</v>
      </c>
      <c r="G9" s="127">
        <v>44287</v>
      </c>
      <c r="H9" s="107" t="s">
        <v>1068</v>
      </c>
      <c r="I9" s="99">
        <v>10080.68</v>
      </c>
      <c r="J9" s="99">
        <v>124472</v>
      </c>
      <c r="K9" s="118">
        <v>45230</v>
      </c>
      <c r="L9" s="119">
        <v>0</v>
      </c>
      <c r="M9" s="120">
        <v>1186</v>
      </c>
      <c r="N9" s="97">
        <v>0</v>
      </c>
      <c r="O9" s="121">
        <v>0.66575342465753429</v>
      </c>
      <c r="P9" s="99">
        <v>124472</v>
      </c>
      <c r="Q9" s="99">
        <v>112024.8</v>
      </c>
      <c r="R9" s="99">
        <v>0.9</v>
      </c>
      <c r="S9" s="99">
        <v>0</v>
      </c>
      <c r="T9" s="122">
        <v>0</v>
      </c>
      <c r="U9" s="123">
        <v>10080.68</v>
      </c>
      <c r="V9" s="124">
        <v>0</v>
      </c>
      <c r="W9" s="125">
        <v>0</v>
      </c>
      <c r="X9" s="122">
        <v>0</v>
      </c>
      <c r="Y9" s="122">
        <v>194.55712400000002</v>
      </c>
      <c r="Z9" s="99">
        <v>194.55712400000002</v>
      </c>
      <c r="AB9" s="94">
        <v>27490</v>
      </c>
      <c r="AC9" s="95">
        <v>199100240</v>
      </c>
      <c r="AD9" s="94">
        <v>29990</v>
      </c>
      <c r="AE9" s="95">
        <v>199100241</v>
      </c>
      <c r="AF9" s="94">
        <v>29992</v>
      </c>
      <c r="AG9" s="95">
        <v>199100241</v>
      </c>
    </row>
    <row r="10" spans="1:33" s="126" customFormat="1" ht="12.75" customHeight="1" x14ac:dyDescent="0.25">
      <c r="A10" s="117">
        <v>1010593</v>
      </c>
      <c r="B10" s="107">
        <v>3378</v>
      </c>
      <c r="C10" s="117">
        <v>200011390</v>
      </c>
      <c r="D10" s="117" t="s">
        <v>25</v>
      </c>
      <c r="E10" s="107">
        <v>639907</v>
      </c>
      <c r="F10" s="107" t="s">
        <v>1067</v>
      </c>
      <c r="G10" s="127">
        <v>44287</v>
      </c>
      <c r="H10" s="107" t="s">
        <v>1069</v>
      </c>
      <c r="I10" s="99">
        <v>15623.49</v>
      </c>
      <c r="J10" s="99">
        <v>10000</v>
      </c>
      <c r="K10" s="118">
        <v>45230</v>
      </c>
      <c r="L10" s="119">
        <v>5623.49</v>
      </c>
      <c r="M10" s="120">
        <v>1186</v>
      </c>
      <c r="N10" s="97">
        <v>5623.49</v>
      </c>
      <c r="O10" s="121">
        <v>0.66575342465753429</v>
      </c>
      <c r="P10" s="99">
        <v>10000</v>
      </c>
      <c r="Q10" s="99">
        <v>9000</v>
      </c>
      <c r="R10" s="99">
        <v>0.9</v>
      </c>
      <c r="S10" s="99">
        <v>1000</v>
      </c>
      <c r="T10" s="122">
        <v>5623.49</v>
      </c>
      <c r="U10" s="123">
        <v>10000</v>
      </c>
      <c r="V10" s="124">
        <v>0</v>
      </c>
      <c r="W10" s="125">
        <v>0.42394432998004927</v>
      </c>
      <c r="X10" s="122">
        <v>0</v>
      </c>
      <c r="Y10" s="122">
        <v>173.70000000000002</v>
      </c>
      <c r="Z10" s="99">
        <v>6797.19</v>
      </c>
      <c r="AB10" s="94">
        <v>27490</v>
      </c>
      <c r="AC10" s="95">
        <v>199100240</v>
      </c>
      <c r="AD10" s="94">
        <v>29990</v>
      </c>
      <c r="AE10" s="95">
        <v>199100241</v>
      </c>
      <c r="AF10" s="94">
        <v>29992</v>
      </c>
      <c r="AG10" s="95">
        <v>199100241</v>
      </c>
    </row>
    <row r="11" spans="1:33" s="126" customFormat="1" ht="12.75" customHeight="1" x14ac:dyDescent="0.25">
      <c r="A11" s="143">
        <v>1015824</v>
      </c>
      <c r="B11" s="143">
        <v>3478</v>
      </c>
      <c r="C11" s="143">
        <v>1015824</v>
      </c>
      <c r="D11" s="128" t="s">
        <v>25</v>
      </c>
      <c r="E11" s="143">
        <v>653494</v>
      </c>
      <c r="F11" s="143" t="s">
        <v>1672</v>
      </c>
      <c r="G11" s="144">
        <v>45108</v>
      </c>
      <c r="H11" s="143" t="s">
        <v>1673</v>
      </c>
      <c r="I11" s="99">
        <v>69504.28</v>
      </c>
      <c r="J11" s="99">
        <v>148176</v>
      </c>
      <c r="K11" s="118">
        <v>45443</v>
      </c>
      <c r="L11" s="119">
        <v>0</v>
      </c>
      <c r="M11" s="120">
        <v>365</v>
      </c>
      <c r="N11" s="97">
        <v>0</v>
      </c>
      <c r="O11" s="121">
        <v>8.2191780821917804E-2</v>
      </c>
      <c r="P11" s="99">
        <v>148176</v>
      </c>
      <c r="Q11" s="99">
        <v>148176</v>
      </c>
      <c r="R11" s="99">
        <v>1</v>
      </c>
      <c r="S11" s="99">
        <v>0</v>
      </c>
      <c r="T11" s="122">
        <v>0</v>
      </c>
      <c r="U11" s="123">
        <v>69504.28</v>
      </c>
      <c r="V11" s="124">
        <v>0</v>
      </c>
      <c r="W11" s="125">
        <v>0</v>
      </c>
      <c r="X11" s="122">
        <v>0</v>
      </c>
      <c r="Y11" s="122">
        <v>1341.4326040000001</v>
      </c>
      <c r="Z11" s="99">
        <v>1341.4326040000001</v>
      </c>
      <c r="AB11" s="94">
        <v>27490</v>
      </c>
      <c r="AC11" s="95">
        <v>199100240</v>
      </c>
      <c r="AD11" s="94">
        <v>29990</v>
      </c>
      <c r="AE11" s="95">
        <v>199100241</v>
      </c>
      <c r="AF11" s="94">
        <v>29992</v>
      </c>
      <c r="AG11" s="95">
        <v>199100241</v>
      </c>
    </row>
    <row r="12" spans="1:33" s="126" customFormat="1" ht="12.75" customHeight="1" x14ac:dyDescent="0.25">
      <c r="A12" s="129">
        <v>1015824</v>
      </c>
      <c r="B12" s="129">
        <v>3479</v>
      </c>
      <c r="C12" s="128">
        <v>10158242</v>
      </c>
      <c r="D12" s="128" t="s">
        <v>25</v>
      </c>
      <c r="E12" s="129">
        <v>653494</v>
      </c>
      <c r="F12" s="129" t="s">
        <v>1672</v>
      </c>
      <c r="G12" s="130">
        <v>45108</v>
      </c>
      <c r="H12" s="129" t="s">
        <v>1674</v>
      </c>
      <c r="I12" s="99">
        <v>13053.84</v>
      </c>
      <c r="J12" s="99">
        <v>0</v>
      </c>
      <c r="K12" s="118">
        <v>0</v>
      </c>
      <c r="L12" s="119">
        <v>13053.84</v>
      </c>
      <c r="M12" s="120">
        <v>365</v>
      </c>
      <c r="N12" s="97">
        <v>13053.84</v>
      </c>
      <c r="O12" s="121">
        <v>124.58356164383562</v>
      </c>
      <c r="P12" s="99">
        <v>0</v>
      </c>
      <c r="Q12" s="99">
        <v>0</v>
      </c>
      <c r="R12" s="99">
        <v>0</v>
      </c>
      <c r="S12" s="99">
        <v>0</v>
      </c>
      <c r="T12" s="122">
        <v>13053.84</v>
      </c>
      <c r="U12" s="123">
        <v>0</v>
      </c>
      <c r="V12" s="124">
        <v>0</v>
      </c>
      <c r="W12" s="125">
        <v>1</v>
      </c>
      <c r="X12" s="122">
        <v>0</v>
      </c>
      <c r="Y12" s="122">
        <v>0</v>
      </c>
      <c r="Z12" s="99">
        <v>13053.84</v>
      </c>
      <c r="AB12" s="94">
        <v>27490</v>
      </c>
      <c r="AC12" s="95">
        <v>199100240</v>
      </c>
      <c r="AD12" s="94">
        <v>29990</v>
      </c>
      <c r="AE12" s="95">
        <v>199100241</v>
      </c>
      <c r="AF12" s="94">
        <v>29992</v>
      </c>
      <c r="AG12" s="95">
        <v>199100241</v>
      </c>
    </row>
    <row r="13" spans="1:33" s="126" customFormat="1" ht="12.75" customHeight="1" x14ac:dyDescent="0.25">
      <c r="A13" s="129">
        <v>6961717</v>
      </c>
      <c r="B13" s="129">
        <v>3426</v>
      </c>
      <c r="C13" s="128">
        <v>69617171</v>
      </c>
      <c r="D13" s="128" t="s">
        <v>25</v>
      </c>
      <c r="E13" s="129">
        <v>459211</v>
      </c>
      <c r="F13" s="129" t="s">
        <v>1887</v>
      </c>
      <c r="G13" s="130">
        <v>45444</v>
      </c>
      <c r="H13" s="129" t="s">
        <v>1888</v>
      </c>
      <c r="I13" s="99">
        <v>164774.94</v>
      </c>
      <c r="J13" s="99">
        <v>236700</v>
      </c>
      <c r="K13" s="118">
        <v>45443</v>
      </c>
      <c r="L13" s="119">
        <v>0</v>
      </c>
      <c r="M13" s="120">
        <v>29</v>
      </c>
      <c r="N13" s="97">
        <v>0</v>
      </c>
      <c r="O13" s="121">
        <v>8.2191780821917804E-2</v>
      </c>
      <c r="P13" s="99">
        <v>236700</v>
      </c>
      <c r="Q13" s="99">
        <v>236700</v>
      </c>
      <c r="R13" s="99">
        <v>1</v>
      </c>
      <c r="S13" s="99">
        <v>0</v>
      </c>
      <c r="T13" s="122">
        <v>0</v>
      </c>
      <c r="U13" s="123">
        <v>164774.94</v>
      </c>
      <c r="V13" s="124">
        <v>0</v>
      </c>
      <c r="W13" s="125">
        <v>0</v>
      </c>
      <c r="X13" s="122">
        <v>0</v>
      </c>
      <c r="Y13" s="122">
        <v>3180.1563420000002</v>
      </c>
      <c r="Z13" s="99">
        <v>3180.1563420000002</v>
      </c>
      <c r="AB13" s="94">
        <v>27490</v>
      </c>
      <c r="AC13" s="95">
        <v>199100240</v>
      </c>
      <c r="AD13" s="94">
        <v>29990</v>
      </c>
      <c r="AE13" s="95">
        <v>199100241</v>
      </c>
      <c r="AF13" s="94">
        <v>29992</v>
      </c>
      <c r="AG13" s="95">
        <v>199100241</v>
      </c>
    </row>
    <row r="14" spans="1:33" s="126" customFormat="1" ht="12.75" customHeight="1" x14ac:dyDescent="0.25">
      <c r="A14" s="129">
        <v>1000597</v>
      </c>
      <c r="B14" s="129">
        <v>3480</v>
      </c>
      <c r="C14" s="128">
        <v>1000597</v>
      </c>
      <c r="D14" s="128" t="s">
        <v>25</v>
      </c>
      <c r="E14" s="129">
        <v>506306</v>
      </c>
      <c r="F14" s="129" t="s">
        <v>1889</v>
      </c>
      <c r="G14" s="130">
        <v>45444</v>
      </c>
      <c r="H14" s="129" t="s">
        <v>1890</v>
      </c>
      <c r="I14" s="99">
        <v>75219.31</v>
      </c>
      <c r="J14" s="99">
        <v>267500</v>
      </c>
      <c r="K14" s="118">
        <v>45169</v>
      </c>
      <c r="L14" s="119">
        <v>0</v>
      </c>
      <c r="M14" s="120">
        <v>29</v>
      </c>
      <c r="N14" s="97">
        <v>0</v>
      </c>
      <c r="O14" s="121">
        <v>0.83287671232876714</v>
      </c>
      <c r="P14" s="99">
        <v>267500</v>
      </c>
      <c r="Q14" s="99">
        <v>240750</v>
      </c>
      <c r="R14" s="99">
        <v>0.9</v>
      </c>
      <c r="S14" s="99">
        <v>0</v>
      </c>
      <c r="T14" s="122">
        <v>0</v>
      </c>
      <c r="U14" s="123">
        <v>75219.31</v>
      </c>
      <c r="V14" s="124">
        <v>0</v>
      </c>
      <c r="W14" s="125">
        <v>0</v>
      </c>
      <c r="X14" s="122">
        <v>0</v>
      </c>
      <c r="Y14" s="122">
        <v>1451.732683</v>
      </c>
      <c r="Z14" s="99">
        <v>1451.732683</v>
      </c>
      <c r="AB14" s="94">
        <v>27490</v>
      </c>
      <c r="AC14" s="95">
        <v>199100240</v>
      </c>
      <c r="AD14" s="94">
        <v>29990</v>
      </c>
      <c r="AE14" s="95">
        <v>199100241</v>
      </c>
      <c r="AF14" s="94">
        <v>29992</v>
      </c>
      <c r="AG14" s="95">
        <v>199100241</v>
      </c>
    </row>
    <row r="15" spans="1:33" s="126" customFormat="1" ht="4.5" customHeight="1" x14ac:dyDescent="0.25">
      <c r="A15" s="129"/>
      <c r="B15" s="128"/>
      <c r="C15" s="128"/>
      <c r="D15" s="129"/>
      <c r="E15" s="129"/>
      <c r="F15" s="130"/>
      <c r="G15" s="129"/>
      <c r="H15" s="99"/>
      <c r="I15" s="99"/>
      <c r="J15" s="118"/>
      <c r="K15" s="119"/>
      <c r="L15" s="120"/>
      <c r="M15" s="97"/>
      <c r="N15" s="121"/>
      <c r="AB15" s="96"/>
      <c r="AC15" s="96"/>
      <c r="AD15" s="96"/>
      <c r="AE15" s="96"/>
      <c r="AF15" s="96"/>
      <c r="AG15" s="96"/>
    </row>
    <row r="16" spans="1:33" s="126" customFormat="1" ht="13" x14ac:dyDescent="0.3">
      <c r="A16" s="131" t="s">
        <v>1071</v>
      </c>
      <c r="B16" s="107"/>
      <c r="C16" s="107"/>
      <c r="D16" s="107"/>
      <c r="E16" s="107"/>
      <c r="F16" s="107"/>
      <c r="G16" s="118"/>
      <c r="H16" s="107"/>
      <c r="I16" s="123"/>
      <c r="J16" s="99"/>
      <c r="K16" s="127"/>
      <c r="L16" s="119"/>
      <c r="M16" s="120"/>
      <c r="N16" s="97"/>
      <c r="O16" s="121"/>
      <c r="P16" s="99"/>
      <c r="Q16" s="99"/>
      <c r="R16" s="99"/>
      <c r="S16" s="99"/>
      <c r="T16" s="122"/>
      <c r="U16" s="123"/>
      <c r="V16" s="124"/>
      <c r="W16" s="125"/>
      <c r="X16" s="122"/>
      <c r="Y16" s="122"/>
      <c r="Z16" s="99"/>
      <c r="AB16" s="96"/>
      <c r="AC16" s="96"/>
      <c r="AD16" s="96"/>
      <c r="AE16" s="96"/>
      <c r="AF16" s="96"/>
      <c r="AG16" s="96"/>
    </row>
    <row r="17" spans="1:33" s="126" customFormat="1" ht="13" thickBot="1" x14ac:dyDescent="0.3">
      <c r="A17" s="107"/>
      <c r="B17" s="107"/>
      <c r="C17" s="107"/>
      <c r="D17" s="96"/>
      <c r="E17" s="98"/>
      <c r="F17" s="107"/>
      <c r="G17" s="127"/>
      <c r="H17" s="107"/>
      <c r="I17" s="123"/>
      <c r="J17" s="99"/>
      <c r="K17" s="123"/>
      <c r="L17" s="119"/>
      <c r="M17" s="120"/>
      <c r="N17" s="97"/>
      <c r="O17" s="123"/>
      <c r="P17" s="99"/>
      <c r="Q17" s="99"/>
      <c r="R17" s="99"/>
      <c r="S17" s="99"/>
      <c r="T17" s="99"/>
      <c r="U17" s="123"/>
      <c r="V17" s="123"/>
      <c r="W17" s="125"/>
      <c r="X17" s="123"/>
      <c r="Y17" s="123"/>
      <c r="Z17" s="99"/>
      <c r="AB17" s="96"/>
      <c r="AC17" s="96"/>
      <c r="AD17" s="96"/>
      <c r="AE17" s="96"/>
      <c r="AF17" s="96"/>
      <c r="AG17" s="96"/>
    </row>
    <row r="18" spans="1:33" s="140" customFormat="1" ht="14.5" thickBot="1" x14ac:dyDescent="0.35">
      <c r="A18" s="132">
        <v>10</v>
      </c>
      <c r="B18" s="132"/>
      <c r="C18" s="132"/>
      <c r="D18" s="133"/>
      <c r="E18" s="132"/>
      <c r="F18" s="134"/>
      <c r="G18" s="135"/>
      <c r="H18" s="134" t="s">
        <v>1072</v>
      </c>
      <c r="I18" s="136">
        <f>SUM(I5:I17)</f>
        <v>695195.8600000001</v>
      </c>
      <c r="J18" s="137">
        <f>SUM(J5:J17)</f>
        <v>1466436.42</v>
      </c>
      <c r="K18" s="137"/>
      <c r="L18" s="137">
        <f>SUM(L5:L17)</f>
        <v>25780.409999999996</v>
      </c>
      <c r="M18" s="137"/>
      <c r="N18" s="137">
        <f>SUM(N5:N17)</f>
        <v>25780.409999999996</v>
      </c>
      <c r="O18" s="123"/>
      <c r="P18" s="137">
        <f>SUM(P5:P17)</f>
        <v>1466436.42</v>
      </c>
      <c r="Q18" s="137">
        <f>SUM(Q5:Q17)</f>
        <v>1391589.22</v>
      </c>
      <c r="R18" s="138"/>
      <c r="S18" s="136">
        <f>SUM(S5:S17)</f>
        <v>13750</v>
      </c>
      <c r="T18" s="136">
        <f>SUM(T5:T17)</f>
        <v>25780.409999999996</v>
      </c>
      <c r="U18" s="138">
        <f>SUM(U5:U17)</f>
        <v>669415.44999999995</v>
      </c>
      <c r="V18" s="136">
        <f>SUM(V5:V17)</f>
        <v>0</v>
      </c>
      <c r="W18" s="125"/>
      <c r="X18" s="136">
        <f t="shared" ref="X18:Z18" si="0">SUM(X5:X17)</f>
        <v>0</v>
      </c>
      <c r="Y18" s="136">
        <f t="shared" si="0"/>
        <v>12654.343185000002</v>
      </c>
      <c r="Z18" s="139">
        <f t="shared" si="0"/>
        <v>52184.753185000001</v>
      </c>
      <c r="AB18" s="96"/>
      <c r="AC18" s="96"/>
      <c r="AD18" s="96"/>
      <c r="AE18" s="96"/>
      <c r="AF18" s="96"/>
      <c r="AG18" s="96"/>
    </row>
  </sheetData>
  <autoFilter ref="A4:I14"/>
  <mergeCells count="1">
    <mergeCell ref="A2:L2"/>
  </mergeCells>
  <conditionalFormatting sqref="W3 W6:W10 W17:W18 W12:W14">
    <cfRule type="cellIs" dxfId="3" priority="4" stopIfTrue="1" operator="greaterThan">
      <formula>1</formula>
    </cfRule>
  </conditionalFormatting>
  <conditionalFormatting sqref="W5">
    <cfRule type="cellIs" dxfId="2" priority="3" stopIfTrue="1" operator="greaterThan">
      <formula>1</formula>
    </cfRule>
  </conditionalFormatting>
  <conditionalFormatting sqref="W11">
    <cfRule type="cellIs" dxfId="1" priority="2" stopIfTrue="1" operator="greaterThan">
      <formula>1</formula>
    </cfRule>
  </conditionalFormatting>
  <conditionalFormatting sqref="W16">
    <cfRule type="cellIs" dxfId="0" priority="1" stopIfTrue="1" operator="greaterThan">
      <formula>1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1200" verticalDpi="1200" r:id="rId1"/>
  <headerFooter alignWithMargins="0">
    <oddHeader>&amp;A&amp;L&amp;"Calibri"&amp;10&amp;K000000Confidential&amp;1#</oddHeader>
    <oddFooter>&amp;L
&amp;Z&amp;F&amp;R
&amp;P  / 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B70394-DAE3-412C-98DF-292D05F444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EE79E-81F2-448F-AE4D-CF168272ED6A}">
  <ds:schemaRefs>
    <ds:schemaRef ds:uri="http://purl.org/dc/elements/1.1/"/>
    <ds:schemaRef ds:uri="http://schemas.microsoft.com/office/2006/metadata/properties"/>
    <ds:schemaRef ds:uri="3d907f75-34fc-4e48-9cd9-399459680653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6c2096-11c6-458c-9fb9-9770637abce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D3C6975-5861-4AAF-9F1E-E15918F22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Controlo Jun24</vt:lpstr>
      <vt:lpstr>Stock Adjudicados+Próprios</vt:lpstr>
      <vt:lpstr>Stock Dações+Arrematações</vt:lpstr>
      <vt:lpstr>Stock Imoveis IFIC</vt:lpstr>
      <vt:lpstr>'Stock Imoveis IFIC'!Print_Area</vt:lpstr>
      <vt:lpstr>'Stock Dações+Arrematações'!Print_Titles</vt:lpstr>
      <vt:lpstr>'Stock Imoveis IFIC'!Print_Titles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2022-07-26T17:05:41Z</dcterms:created>
  <dcterms:modified xsi:type="dcterms:W3CDTF">2024-07-04T18:51:07Z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0x010100845A6BCA4ACA584C9A1C03FD3956D51C</vt:lpwstr>
  </property>
  <property fmtid="{D5CDD505-2E9C-101B-9397-08002B2CF9AE}" pid="5" name="MSIP_Label_3c41c091-3cbc-4dba-8b59-ce62f19500db_Enabled">
    <vt:lpwstr>true</vt:lpwstr>
  </property>
  <property fmtid="{D5CDD505-2E9C-101B-9397-08002B2CF9AE}" pid="6" name="MSIP_Label_3c41c091-3cbc-4dba-8b59-ce62f19500db_SetDate">
    <vt:lpwstr>2024-07-04T18:51:07Z</vt:lpwstr>
  </property>
  <property fmtid="{D5CDD505-2E9C-101B-9397-08002B2CF9AE}" pid="7" name="MSIP_Label_3c41c091-3cbc-4dba-8b59-ce62f19500db_Method">
    <vt:lpwstr>Privileged</vt:lpwstr>
  </property>
  <property fmtid="{D5CDD505-2E9C-101B-9397-08002B2CF9AE}" pid="8" name="MSIP_Label_3c41c091-3cbc-4dba-8b59-ce62f19500db_Name">
    <vt:lpwstr>Confidential_0_1</vt:lpwstr>
  </property>
  <property fmtid="{D5CDD505-2E9C-101B-9397-08002B2CF9AE}" pid="9" name="MSIP_Label_3c41c091-3cbc-4dba-8b59-ce62f19500db_SiteId">
    <vt:lpwstr>35595a02-4d6d-44ac-99e1-f9ab4cd872db</vt:lpwstr>
  </property>
  <property fmtid="{D5CDD505-2E9C-101B-9397-08002B2CF9AE}" pid="10" name="MSIP_Label_3c41c091-3cbc-4dba-8b59-ce62f19500db_ActionId">
    <vt:lpwstr>70c9ccf8-c08d-4353-8ab1-acd66dac44a6</vt:lpwstr>
  </property>
  <property fmtid="{D5CDD505-2E9C-101B-9397-08002B2CF9AE}" pid="11" name="MSIP_Label_3c41c091-3cbc-4dba-8b59-ce62f19500db_ContentBits">
    <vt:lpwstr>1</vt:lpwstr>
  </property>
</Properties>
</file>