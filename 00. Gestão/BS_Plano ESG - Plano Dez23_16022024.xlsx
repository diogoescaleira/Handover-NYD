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Desktop\"/>
    </mc:Choice>
  </mc:AlternateContent>
  <bookViews>
    <workbookView xWindow="-120" yWindow="-120" windowWidth="29040" windowHeight="15840" tabRatio="789" activeTab="1"/>
  </bookViews>
  <sheets>
    <sheet name="Macroplano" sheetId="13" r:id="rId1"/>
    <sheet name="Macroplano_v2" sheetId="22" r:id="rId2"/>
    <sheet name="Notas HR" sheetId="14" r:id="rId3"/>
    <sheet name="Estimativa - Sat. 79" sheetId="4" r:id="rId4"/>
    <sheet name="Estimativa - Sat. 84" sheetId="5" r:id="rId5"/>
    <sheet name="Estimativa - Sat. 83" sheetId="16" r:id="rId6"/>
    <sheet name="Resumo_old" sheetId="17" state="hidden" r:id="rId7"/>
    <sheet name="Resumo (2)" sheetId="18" state="hidden" r:id="rId8"/>
    <sheet name="Resumo" sheetId="19" r:id="rId9"/>
    <sheet name="Resumo_Calendário" sheetId="21" r:id="rId10"/>
    <sheet name="Resumo (4)" sheetId="20" state="hidden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2" l="1"/>
  <c r="F44" i="22"/>
  <c r="F56" i="22" l="1"/>
  <c r="F36" i="22"/>
  <c r="F16" i="22"/>
  <c r="F76" i="22"/>
  <c r="F84" i="22"/>
  <c r="M1048555" i="22"/>
  <c r="O1048555" i="22" s="1"/>
  <c r="M1048553" i="22"/>
  <c r="O1048553" i="22" s="1"/>
  <c r="H95" i="22"/>
  <c r="H94" i="22"/>
  <c r="H93" i="22"/>
  <c r="H92" i="22"/>
  <c r="H91" i="22"/>
  <c r="H90" i="22"/>
  <c r="H89" i="22"/>
  <c r="H88" i="22"/>
  <c r="H87" i="22"/>
  <c r="H86" i="22"/>
  <c r="H85" i="22"/>
  <c r="H83" i="22"/>
  <c r="H82" i="22"/>
  <c r="H81" i="22"/>
  <c r="H80" i="22"/>
  <c r="H79" i="22"/>
  <c r="H78" i="22"/>
  <c r="F77" i="22"/>
  <c r="H75" i="22"/>
  <c r="H74" i="22"/>
  <c r="H73" i="22"/>
  <c r="H72" i="22"/>
  <c r="H71" i="22"/>
  <c r="H70" i="22"/>
  <c r="H69" i="22"/>
  <c r="H68" i="22"/>
  <c r="H67" i="22"/>
  <c r="H66" i="22"/>
  <c r="H65" i="22"/>
  <c r="F64" i="22"/>
  <c r="H63" i="22"/>
  <c r="H62" i="22"/>
  <c r="H61" i="22"/>
  <c r="H60" i="22"/>
  <c r="H59" i="22"/>
  <c r="H58" i="22"/>
  <c r="F57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38" i="22"/>
  <c r="F37" i="22"/>
  <c r="H35" i="22"/>
  <c r="H34" i="22"/>
  <c r="H33" i="22"/>
  <c r="H32" i="22"/>
  <c r="H31" i="22"/>
  <c r="H30" i="22"/>
  <c r="H29" i="22"/>
  <c r="H28" i="22"/>
  <c r="H27" i="22"/>
  <c r="H26" i="22"/>
  <c r="H25" i="22"/>
  <c r="H23" i="22"/>
  <c r="H22" i="22"/>
  <c r="H21" i="22"/>
  <c r="H20" i="22"/>
  <c r="H19" i="22"/>
  <c r="H18" i="22"/>
  <c r="F17" i="22"/>
  <c r="F15" i="22"/>
  <c r="CT11" i="22"/>
  <c r="CU11" i="22" s="1"/>
  <c r="CV11" i="22" s="1"/>
  <c r="CW11" i="22" s="1"/>
  <c r="CX11" i="22" s="1"/>
  <c r="CY11" i="22" s="1"/>
  <c r="CZ11" i="22" s="1"/>
  <c r="DA11" i="22" s="1"/>
  <c r="DB11" i="22" s="1"/>
  <c r="DC11" i="22" s="1"/>
  <c r="DD11" i="22" s="1"/>
  <c r="DE11" i="22" s="1"/>
  <c r="DF11" i="22" s="1"/>
  <c r="DG11" i="22" s="1"/>
  <c r="DH11" i="22" s="1"/>
  <c r="DI11" i="22" s="1"/>
  <c r="DJ11" i="22" s="1"/>
  <c r="DK11" i="22" s="1"/>
  <c r="DM11" i="22" s="1"/>
  <c r="DN11" i="22" s="1"/>
  <c r="DO11" i="22" s="1"/>
  <c r="DP11" i="22" s="1"/>
  <c r="DQ11" i="22" s="1"/>
  <c r="DR11" i="22" s="1"/>
  <c r="DS11" i="22" s="1"/>
  <c r="DT11" i="22" s="1"/>
  <c r="DU11" i="22" s="1"/>
  <c r="DV11" i="22" s="1"/>
  <c r="DW11" i="22" s="1"/>
  <c r="DX11" i="22" s="1"/>
  <c r="DY11" i="22" s="1"/>
  <c r="DZ11" i="22" s="1"/>
  <c r="EA11" i="22" s="1"/>
  <c r="EB11" i="22" s="1"/>
  <c r="EC11" i="22" s="1"/>
  <c r="ED11" i="22" s="1"/>
  <c r="EE11" i="22" s="1"/>
  <c r="EF11" i="22" s="1"/>
  <c r="EH11" i="22" s="1"/>
  <c r="EI11" i="22" s="1"/>
  <c r="EJ11" i="22" s="1"/>
  <c r="EK11" i="22" s="1"/>
  <c r="EL11" i="22" s="1"/>
  <c r="EM11" i="22" s="1"/>
  <c r="EN11" i="22" s="1"/>
  <c r="EO11" i="22" s="1"/>
  <c r="EP11" i="22" s="1"/>
  <c r="EQ11" i="22" s="1"/>
  <c r="ER11" i="22" s="1"/>
  <c r="ES11" i="22" s="1"/>
  <c r="ET11" i="22" s="1"/>
  <c r="EU11" i="22" s="1"/>
  <c r="EV11" i="22" s="1"/>
  <c r="EW11" i="22" s="1"/>
  <c r="EX11" i="22" s="1"/>
  <c r="EY11" i="22" s="1"/>
  <c r="EZ11" i="22" s="1"/>
  <c r="FA11" i="22" s="1"/>
  <c r="FB11" i="22" s="1"/>
  <c r="FC11" i="22" s="1"/>
  <c r="FD11" i="22" s="1"/>
  <c r="CQ11" i="22"/>
  <c r="CR11" i="22" s="1"/>
  <c r="CS11" i="22" s="1"/>
  <c r="AQ11" i="22"/>
  <c r="AR11" i="22" s="1"/>
  <c r="AS11" i="22" s="1"/>
  <c r="AT11" i="22" s="1"/>
  <c r="AU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AH11" i="22"/>
  <c r="AI11" i="22" s="1"/>
  <c r="AJ11" i="22" s="1"/>
  <c r="AK11" i="22" s="1"/>
  <c r="AC11" i="22"/>
  <c r="AD11" i="22" s="1"/>
  <c r="AE11" i="22" s="1"/>
  <c r="AF11" i="22" s="1"/>
  <c r="W11" i="22"/>
  <c r="X11" i="22" s="1"/>
  <c r="Y11" i="22" s="1"/>
  <c r="AA11" i="22" s="1"/>
  <c r="R11" i="22"/>
  <c r="S11" i="22" s="1"/>
  <c r="T11" i="22" s="1"/>
  <c r="U11" i="22" s="1"/>
  <c r="M11" i="22"/>
  <c r="N11" i="22" s="1"/>
  <c r="O11" i="22" s="1"/>
  <c r="P11" i="22" s="1"/>
  <c r="K11" i="22"/>
  <c r="J11" i="22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F24" i="13"/>
  <c r="F84" i="13"/>
  <c r="F64" i="13"/>
  <c r="F44" i="13"/>
  <c r="F37" i="13"/>
  <c r="F76" i="13"/>
  <c r="F77" i="13"/>
  <c r="F57" i="13"/>
  <c r="B57" i="22"/>
  <c r="B13" i="22"/>
  <c r="B15" i="22"/>
  <c r="B37" i="22"/>
  <c r="B17" i="22"/>
  <c r="B18" i="22"/>
  <c r="B85" i="22"/>
  <c r="B58" i="22"/>
  <c r="B25" i="13"/>
  <c r="B38" i="22"/>
  <c r="B45" i="22"/>
  <c r="B25" i="22"/>
  <c r="B77" i="22"/>
  <c r="B78" i="22"/>
  <c r="B65" i="22"/>
  <c r="F56" i="13" l="1"/>
  <c r="F36" i="13"/>
  <c r="F17" i="13"/>
  <c r="F16" i="13" s="1"/>
  <c r="F15" i="13"/>
  <c r="B44" i="22"/>
  <c r="B46" i="22"/>
  <c r="B79" i="22"/>
  <c r="B39" i="22"/>
  <c r="B86" i="22"/>
  <c r="B24" i="22"/>
  <c r="B84" i="22"/>
  <c r="B64" i="22"/>
  <c r="B59" i="22"/>
  <c r="B26" i="22"/>
  <c r="B19" i="22"/>
  <c r="B66" i="22"/>
  <c r="X10" i="21" l="1"/>
  <c r="X11" i="21"/>
  <c r="Y11" i="21"/>
  <c r="Z11" i="21"/>
  <c r="Z12" i="21" s="1"/>
  <c r="AA10" i="21"/>
  <c r="AF11" i="21"/>
  <c r="AG10" i="21"/>
  <c r="AG12" i="21" s="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T12" i="21"/>
  <c r="S12" i="21"/>
  <c r="R12" i="21"/>
  <c r="L12" i="21"/>
  <c r="K12" i="21"/>
  <c r="J12" i="21"/>
  <c r="J11" i="21"/>
  <c r="K11" i="21"/>
  <c r="L11" i="21"/>
  <c r="M11" i="21"/>
  <c r="P11" i="21"/>
  <c r="Q11" i="21"/>
  <c r="R11" i="21"/>
  <c r="S11" i="21"/>
  <c r="T11" i="21"/>
  <c r="I11" i="21"/>
  <c r="J10" i="21"/>
  <c r="K10" i="21"/>
  <c r="L10" i="21"/>
  <c r="M10" i="21"/>
  <c r="M12" i="21" s="1"/>
  <c r="P10" i="21"/>
  <c r="P12" i="21" s="1"/>
  <c r="Q10" i="21"/>
  <c r="Q12" i="21" s="1"/>
  <c r="R10" i="21"/>
  <c r="S10" i="21"/>
  <c r="T10" i="2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B24" i="19"/>
  <c r="B25" i="19"/>
  <c r="C25" i="19" s="1"/>
  <c r="B26" i="19"/>
  <c r="C26" i="19" s="1"/>
  <c r="B27" i="19"/>
  <c r="C27" i="19" s="1"/>
  <c r="B28" i="19"/>
  <c r="C28" i="19"/>
  <c r="B30" i="19"/>
  <c r="C30" i="19" s="1"/>
  <c r="B16" i="19"/>
  <c r="B34" i="19" s="1"/>
  <c r="B17" i="19"/>
  <c r="C17" i="19"/>
  <c r="B18" i="19"/>
  <c r="C18" i="19"/>
  <c r="B19" i="19"/>
  <c r="C19" i="19" s="1"/>
  <c r="B20" i="19"/>
  <c r="C20" i="19"/>
  <c r="B22" i="19"/>
  <c r="C22" i="19"/>
  <c r="B8" i="19"/>
  <c r="B9" i="19"/>
  <c r="B35" i="19" s="1"/>
  <c r="C9" i="19"/>
  <c r="B10" i="19"/>
  <c r="B39" i="19" s="1"/>
  <c r="B40" i="19" s="1"/>
  <c r="B41" i="19" s="1"/>
  <c r="C10" i="19"/>
  <c r="B11" i="19"/>
  <c r="C11" i="19" s="1"/>
  <c r="B12" i="19"/>
  <c r="C12" i="19"/>
  <c r="B14" i="19"/>
  <c r="C14" i="19"/>
  <c r="C6" i="19"/>
  <c r="J43" i="18"/>
  <c r="B40" i="18"/>
  <c r="C30" i="18"/>
  <c r="C25" i="18"/>
  <c r="C26" i="18"/>
  <c r="C27" i="18"/>
  <c r="C28" i="18"/>
  <c r="C22" i="18"/>
  <c r="C17" i="18"/>
  <c r="C18" i="18"/>
  <c r="C19" i="18"/>
  <c r="C20" i="18"/>
  <c r="C14" i="18"/>
  <c r="C9" i="18"/>
  <c r="C10" i="18"/>
  <c r="C11" i="18"/>
  <c r="C12" i="18"/>
  <c r="B30" i="18"/>
  <c r="B28" i="18"/>
  <c r="B27" i="18"/>
  <c r="B26" i="18"/>
  <c r="B25" i="18"/>
  <c r="B24" i="18"/>
  <c r="B22" i="18"/>
  <c r="B20" i="18"/>
  <c r="B19" i="18"/>
  <c r="B18" i="18"/>
  <c r="B17" i="18"/>
  <c r="B16" i="18"/>
  <c r="B34" i="18" s="1"/>
  <c r="B14" i="18"/>
  <c r="B12" i="18"/>
  <c r="B11" i="18"/>
  <c r="B10" i="18"/>
  <c r="B39" i="18" s="1"/>
  <c r="B9" i="18"/>
  <c r="B8" i="18"/>
  <c r="C6" i="18"/>
  <c r="J43" i="17"/>
  <c r="B42" i="17"/>
  <c r="C30" i="17"/>
  <c r="C28" i="17"/>
  <c r="C27" i="17"/>
  <c r="C26" i="17"/>
  <c r="C25" i="17"/>
  <c r="C22" i="17"/>
  <c r="C20" i="17"/>
  <c r="C19" i="17"/>
  <c r="C18" i="17"/>
  <c r="C17" i="17"/>
  <c r="C14" i="17"/>
  <c r="C12" i="17"/>
  <c r="C11" i="17"/>
  <c r="C10" i="17"/>
  <c r="C9" i="17"/>
  <c r="C6" i="17"/>
  <c r="B22" i="17"/>
  <c r="B20" i="17"/>
  <c r="B19" i="17"/>
  <c r="B18" i="17"/>
  <c r="B17" i="17"/>
  <c r="B30" i="17"/>
  <c r="B28" i="17"/>
  <c r="B27" i="17"/>
  <c r="B26" i="17"/>
  <c r="B25" i="17"/>
  <c r="B16" i="17"/>
  <c r="B14" i="17"/>
  <c r="B9" i="17"/>
  <c r="B8" i="17"/>
  <c r="B12" i="17"/>
  <c r="B11" i="17"/>
  <c r="B10" i="17"/>
  <c r="B24" i="17"/>
  <c r="B27" i="4"/>
  <c r="C27" i="4" s="1"/>
  <c r="D27" i="4" s="1"/>
  <c r="B19" i="4"/>
  <c r="H31" i="16"/>
  <c r="I31" i="16"/>
  <c r="J31" i="16" s="1"/>
  <c r="J35" i="5"/>
  <c r="I35" i="5"/>
  <c r="H35" i="4"/>
  <c r="H34" i="4"/>
  <c r="M28" i="16"/>
  <c r="B87" i="22"/>
  <c r="B40" i="22"/>
  <c r="B27" i="22"/>
  <c r="B47" i="22"/>
  <c r="B67" i="22"/>
  <c r="B60" i="22"/>
  <c r="B80" i="22"/>
  <c r="B20" i="22"/>
  <c r="Y12" i="21" l="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B42" i="19"/>
  <c r="B43" i="19" s="1"/>
  <c r="C43" i="19" s="1"/>
  <c r="B41" i="18"/>
  <c r="B35" i="18"/>
  <c r="B35" i="17"/>
  <c r="B39" i="17"/>
  <c r="B40" i="17" s="1"/>
  <c r="B41" i="17" s="1"/>
  <c r="B34" i="17"/>
  <c r="M28" i="4"/>
  <c r="B16" i="16"/>
  <c r="M28" i="5"/>
  <c r="J17" i="16"/>
  <c r="H17" i="16"/>
  <c r="K20" i="16"/>
  <c r="K21" i="16"/>
  <c r="L21" i="16"/>
  <c r="L19" i="16"/>
  <c r="I19" i="16"/>
  <c r="H19" i="16"/>
  <c r="J5" i="16"/>
  <c r="K10" i="16" s="1"/>
  <c r="Q4" i="16"/>
  <c r="K18" i="4"/>
  <c r="B68" i="22"/>
  <c r="B28" i="22"/>
  <c r="B88" i="22"/>
  <c r="B48" i="22"/>
  <c r="B21" i="22"/>
  <c r="B61" i="22"/>
  <c r="B41" i="22"/>
  <c r="B81" i="22"/>
  <c r="B42" i="18" l="1"/>
  <c r="B43" i="18" s="1"/>
  <c r="B43" i="17"/>
  <c r="C43" i="17" s="1"/>
  <c r="I9" i="16"/>
  <c r="J9" i="16"/>
  <c r="K9" i="16"/>
  <c r="J8" i="16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B89" i="22"/>
  <c r="B49" i="22"/>
  <c r="B22" i="22"/>
  <c r="B82" i="22"/>
  <c r="B29" i="22"/>
  <c r="B62" i="22"/>
  <c r="B42" i="22"/>
  <c r="B69" i="22"/>
  <c r="C43" i="18" l="1"/>
  <c r="K18" i="16"/>
  <c r="K19" i="16"/>
  <c r="H28" i="16"/>
  <c r="L17" i="16"/>
  <c r="L20" i="16"/>
  <c r="J19" i="16"/>
  <c r="K28" i="16"/>
  <c r="K17" i="16"/>
  <c r="I28" i="16"/>
  <c r="B30" i="22"/>
  <c r="B23" i="22"/>
  <c r="B90" i="22"/>
  <c r="B83" i="22"/>
  <c r="B63" i="22"/>
  <c r="B43" i="22"/>
  <c r="B70" i="22"/>
  <c r="B50" i="22"/>
  <c r="B17" i="16" l="1"/>
  <c r="J28" i="16"/>
  <c r="L28" i="16"/>
  <c r="B51" i="22"/>
  <c r="B31" i="22"/>
  <c r="B91" i="22"/>
  <c r="B71" i="22"/>
  <c r="G30" i="16" l="1"/>
  <c r="J26" i="5"/>
  <c r="J23" i="4"/>
  <c r="J21" i="4"/>
  <c r="B16" i="4"/>
  <c r="B17" i="4" s="1"/>
  <c r="H18" i="4"/>
  <c r="H28" i="4"/>
  <c r="L21" i="5"/>
  <c r="B16" i="5" s="1"/>
  <c r="H21" i="5"/>
  <c r="J5" i="4"/>
  <c r="Q4" i="5"/>
  <c r="L28" i="4"/>
  <c r="K28" i="4"/>
  <c r="H30" i="4" s="1"/>
  <c r="I28" i="4"/>
  <c r="H53" i="13"/>
  <c r="H18" i="13"/>
  <c r="B72" i="22"/>
  <c r="B32" i="22"/>
  <c r="B52" i="22"/>
  <c r="B92" i="22"/>
  <c r="J28" i="4" l="1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93" i="22"/>
  <c r="B13" i="13"/>
  <c r="B77" i="13"/>
  <c r="B15" i="13"/>
  <c r="B33" i="22"/>
  <c r="B17" i="13"/>
  <c r="B57" i="13"/>
  <c r="B53" i="22"/>
  <c r="B37" i="13"/>
  <c r="B73" i="22"/>
  <c r="J5" i="5" l="1"/>
  <c r="B78" i="13"/>
  <c r="B54" i="22"/>
  <c r="B84" i="13"/>
  <c r="B44" i="13"/>
  <c r="B18" i="13"/>
  <c r="B64" i="13"/>
  <c r="B24" i="13"/>
  <c r="B26" i="13"/>
  <c r="B94" i="22"/>
  <c r="B34" i="22"/>
  <c r="B58" i="13"/>
  <c r="B38" i="13"/>
  <c r="B74" i="22"/>
  <c r="H8" i="4" l="1"/>
  <c r="J8" i="4"/>
  <c r="H9" i="4"/>
  <c r="I9" i="4"/>
  <c r="I10" i="4"/>
  <c r="H10" i="4"/>
  <c r="I8" i="4"/>
  <c r="M9" i="5"/>
  <c r="I10" i="5"/>
  <c r="I17" i="5" s="1"/>
  <c r="L8" i="5"/>
  <c r="H10" i="5"/>
  <c r="H19" i="4"/>
  <c r="J9" i="4"/>
  <c r="K10" i="4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J19" i="5" s="1"/>
  <c r="L9" i="5"/>
  <c r="K8" i="5"/>
  <c r="B95" i="22"/>
  <c r="B65" i="13"/>
  <c r="B27" i="13"/>
  <c r="B45" i="13"/>
  <c r="B85" i="13"/>
  <c r="B59" i="13"/>
  <c r="B19" i="13"/>
  <c r="B39" i="13"/>
  <c r="B75" i="22"/>
  <c r="B35" i="22"/>
  <c r="B55" i="22"/>
  <c r="B79" i="13"/>
  <c r="L25" i="5" l="1"/>
  <c r="L24" i="5"/>
  <c r="K24" i="5"/>
  <c r="K25" i="5"/>
  <c r="J22" i="4"/>
  <c r="I16" i="5"/>
  <c r="I18" i="5"/>
  <c r="I22" i="5"/>
  <c r="J20" i="5"/>
  <c r="J17" i="5"/>
  <c r="H20" i="5"/>
  <c r="H17" i="5"/>
  <c r="H28" i="5" s="1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J17" i="4"/>
  <c r="B46" i="13"/>
  <c r="B28" i="13"/>
  <c r="B40" i="13"/>
  <c r="B80" i="13"/>
  <c r="B66" i="13"/>
  <c r="B20" i="13"/>
  <c r="B60" i="13"/>
  <c r="B86" i="13"/>
  <c r="L28" i="5" l="1"/>
  <c r="I28" i="5"/>
  <c r="B17" i="5"/>
  <c r="J28" i="5"/>
  <c r="K28" i="5"/>
  <c r="B61" i="13"/>
  <c r="B29" i="13"/>
  <c r="B87" i="13"/>
  <c r="B41" i="13"/>
  <c r="B67" i="13"/>
  <c r="B47" i="13"/>
  <c r="B21" i="13"/>
  <c r="B81" i="13"/>
  <c r="G30" i="5" l="1"/>
  <c r="B22" i="13"/>
  <c r="B30" i="13"/>
  <c r="B82" i="13"/>
  <c r="B48" i="13"/>
  <c r="B68" i="13"/>
  <c r="B88" i="13"/>
  <c r="B42" i="13"/>
  <c r="B62" i="13"/>
  <c r="B63" i="13" l="1"/>
  <c r="B69" i="13"/>
  <c r="B89" i="13"/>
  <c r="B83" i="13"/>
  <c r="B49" i="13"/>
  <c r="B31" i="13"/>
  <c r="B43" i="13"/>
  <c r="B23" i="13"/>
  <c r="B32" i="13" l="1"/>
  <c r="B50" i="13"/>
  <c r="B90" i="13"/>
  <c r="B70" i="13"/>
  <c r="B71" i="13" l="1"/>
  <c r="B51" i="13"/>
  <c r="B91" i="13"/>
  <c r="B33" i="13"/>
  <c r="B34" i="13"/>
  <c r="B92" i="13"/>
  <c r="B52" i="13"/>
  <c r="B72" i="13"/>
  <c r="B73" i="13"/>
  <c r="B35" i="13"/>
  <c r="B53" i="13"/>
  <c r="B93" i="13"/>
  <c r="B94" i="13"/>
  <c r="B54" i="13"/>
  <c r="B74" i="13"/>
  <c r="B75" i="13"/>
  <c r="B55" i="13"/>
  <c r="B95" i="13"/>
</calcChain>
</file>

<file path=xl/comments1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2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3.xml><?xml version="1.0" encoding="utf-8"?>
<comments xmlns="http://schemas.openxmlformats.org/spreadsheetml/2006/main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1h</t>
        </r>
      </text>
    </comment>
    <comment ref="H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2h</t>
        </r>
      </text>
    </comment>
    <comment ref="H1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4h</t>
        </r>
      </text>
    </comment>
    <comment ref="M15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  </r>
      </text>
    </comment>
  </commentList>
</comments>
</file>

<file path=xl/comments4.xml><?xml version="1.0" encoding="utf-8"?>
<comments xmlns="http://schemas.openxmlformats.org/spreadsheetml/2006/main">
  <authors>
    <author>tc={4721BAFB-BD50-4788-91F8-5B6BC4D73EF8}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comments5.xml><?xml version="1.0" encoding="utf-8"?>
<comments xmlns="http://schemas.openxmlformats.org/spreadsheetml/2006/main">
  <authors>
    <author>tc={89500042-7C58-464F-B0E2-78344DE261E3}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sharedStrings.xml><?xml version="1.0" encoding="utf-8"?>
<sst xmlns="http://schemas.openxmlformats.org/spreadsheetml/2006/main" count="753" uniqueCount="191">
  <si>
    <t>BS - ESG Pilar 3</t>
  </si>
  <si>
    <t xml:space="preserve">Plano de Atividades 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</si>
  <si>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</si>
  <si>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</si>
  <si>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</si>
  <si>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</si>
  <si>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</si>
  <si>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</si>
  <si>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</si>
  <si>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</si>
  <si>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</si>
  <si>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</si>
  <si>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FTEs (#)</t>
  </si>
  <si>
    <t>x</t>
  </si>
  <si>
    <t>Importação e prepração de ficheiros</t>
  </si>
  <si>
    <t>xxx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</si>
  <si>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</si>
  <si>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</si>
  <si>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</si>
  <si>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</si>
  <si>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</si>
  <si>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</si>
  <si>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</si>
  <si>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</si>
  <si>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</si>
  <si>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</si>
  <si>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</si>
  <si>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</si>
  <si>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</si>
  <si>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</si>
  <si>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</si>
  <si>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</si>
  <si>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</si>
  <si>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</si>
  <si>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</si>
  <si>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</si>
  <si>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</si>
  <si>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</si>
  <si>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</si>
  <si>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</si>
  <si>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</si>
  <si>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</si>
  <si>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</si>
  <si>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</si>
  <si>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</si>
  <si>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</si>
  <si>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</si>
  <si>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</si>
  <si>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</si>
  <si>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Gestão</t>
  </si>
  <si>
    <t>Gestão e acompanhamento de equipa</t>
  </si>
  <si>
    <t>Novembro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</si>
  <si>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</si>
  <si>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</si>
  <si>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</si>
  <si>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</si>
  <si>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</si>
  <si>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</si>
  <si>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</si>
  <si>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</si>
  <si>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</si>
  <si>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</si>
  <si>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</si>
  <si>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</si>
  <si>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</si>
  <si>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</si>
  <si>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</si>
  <si>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</si>
  <si>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</si>
  <si>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</si>
  <si>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</si>
  <si>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</si>
  <si>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</si>
  <si>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</si>
  <si>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</si>
  <si>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</si>
  <si>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</si>
  <si>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</si>
  <si>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</si>
  <si>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</si>
  <si>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</si>
  <si>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</si>
  <si>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</si>
  <si>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</si>
  <si>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</si>
  <si>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</si>
  <si>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</si>
  <si>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</si>
  <si>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</si>
  <si>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</si>
  <si>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</si>
  <si>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</si>
  <si>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</si>
  <si>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</si>
  <si>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</si>
  <si>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</si>
  <si>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</si>
  <si>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</si>
  <si>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</si>
  <si>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</si>
  <si>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</si>
  <si>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</si>
  <si>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</si>
  <si>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</si>
  <si>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</si>
  <si>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</si>
  <si>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</si>
  <si>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</si>
  <si>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</si>
  <si>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</si>
  <si>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</si>
  <si>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</si>
  <si>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</si>
  <si>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</si>
  <si>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</si>
  <si>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</si>
  <si>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</si>
  <si>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</si>
  <si>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</si>
  <si>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</si>
  <si>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</si>
  <si>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</si>
  <si>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</si>
  <si>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</si>
  <si>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</si>
  <si>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</si>
  <si>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</si>
  <si>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</si>
  <si>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</si>
  <si>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</si>
  <si>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</si>
  <si>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</si>
  <si>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</si>
  <si>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</si>
  <si>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</si>
  <si>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</si>
  <si>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</si>
  <si>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</si>
  <si>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</si>
  <si>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</si>
  <si>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</si>
  <si>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</si>
  <si>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</si>
  <si>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</si>
  <si>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</si>
  <si>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</si>
  <si>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</si>
  <si>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</si>
  <si>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</si>
  <si>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</si>
  <si>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</si>
  <si>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</si>
  <si>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</si>
  <si>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</si>
  <si>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</si>
  <si>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</si>
  <si>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</si>
  <si>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</si>
  <si>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</si>
  <si>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</si>
  <si>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</si>
  <si>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</si>
  <si>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</si>
  <si>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</si>
  <si>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</si>
  <si>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</si>
  <si>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</si>
  <si>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</si>
  <si>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</si>
  <si>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</si>
  <si>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</si>
  <si>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Análise e especificação funcional</t>
  </si>
  <si>
    <t>Análise e especificação técnica</t>
  </si>
  <si>
    <t>Implementação técnica</t>
  </si>
  <si>
    <t>Suporte Corporação &amp; Fine Tuning</t>
  </si>
  <si>
    <t>T</t>
  </si>
  <si>
    <t>Alocação ao Pilar 3</t>
  </si>
  <si>
    <t>Rita Caguerelho</t>
  </si>
  <si>
    <t>Diogo Escaleira</t>
  </si>
  <si>
    <t>D</t>
  </si>
  <si>
    <t>Legenda:</t>
  </si>
  <si>
    <t>M - Manhã</t>
  </si>
  <si>
    <t>T - Tarde</t>
  </si>
  <si>
    <t>D - Dia completo</t>
  </si>
  <si>
    <t>AP</t>
  </si>
  <si>
    <t>M</t>
  </si>
  <si>
    <t>AP - Apoio pontual aos testes ou para resposta a questões da corporação</t>
  </si>
  <si>
    <t>Horas DE</t>
  </si>
  <si>
    <t>Horas RC</t>
  </si>
  <si>
    <t>Total</t>
  </si>
  <si>
    <t>Status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</si>
</sst>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Muli Light"/>
    </font>
    <font>
      <sz val="9"/>
      <color theme="3" tint="0.39997558519241921"/>
      <name val="Muli Light"/>
    </font>
    <font>
      <b/>
      <sz val="9"/>
      <color theme="3" tint="0.39997558519241921"/>
      <name val="Muli Light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left"/>
    </xf>
    <xf numFmtId="0" fontId="40" fillId="0" borderId="0" xfId="0" applyFont="1"/>
    <xf numFmtId="0" fontId="30" fillId="0" borderId="0" xfId="0" applyFont="1"/>
    <xf numFmtId="0" fontId="41" fillId="0" borderId="0" xfId="0" applyFont="1"/>
    <xf numFmtId="0" fontId="42" fillId="10" borderId="0" xfId="0" applyFont="1" applyFill="1" applyAlignment="1">
      <alignment horizontal="center"/>
    </xf>
    <xf numFmtId="1" fontId="30" fillId="0" borderId="0" xfId="0" applyNumberFormat="1" applyFont="1"/>
    <xf numFmtId="1" fontId="41" fillId="0" borderId="0" xfId="0" applyNumberFormat="1" applyFont="1"/>
    <xf numFmtId="0" fontId="28" fillId="10" borderId="0" xfId="0" applyNumberFormat="1" applyFont="1" applyFill="1" applyAlignment="1">
      <alignment horizontal="center"/>
    </xf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  <xf numFmtId="0" fontId="43" fillId="0" borderId="25" xfId="0" applyFont="1" applyBorder="1"/>
    <xf numFmtId="0" fontId="43" fillId="0" borderId="45" xfId="0" applyFont="1" applyBorder="1"/>
    <xf numFmtId="0" fontId="43" fillId="0" borderId="44" xfId="0" applyFont="1" applyBorder="1"/>
    <xf numFmtId="0" fontId="43" fillId="0" borderId="28" xfId="0" applyFont="1" applyBorder="1"/>
    <xf numFmtId="0" fontId="43" fillId="0" borderId="47" xfId="0" applyFont="1" applyBorder="1"/>
    <xf numFmtId="0" fontId="43" fillId="0" borderId="46" xfId="0" applyFont="1" applyBorder="1"/>
    <xf numFmtId="0" fontId="43" fillId="0" borderId="32" xfId="0" applyFont="1" applyBorder="1"/>
    <xf numFmtId="0" fontId="44" fillId="0" borderId="25" xfId="0" applyFont="1" applyBorder="1"/>
    <xf numFmtId="0" fontId="44" fillId="0" borderId="45" xfId="0" applyFont="1" applyBorder="1"/>
    <xf numFmtId="0" fontId="44" fillId="0" borderId="44" xfId="0" applyFont="1" applyBorder="1"/>
    <xf numFmtId="0" fontId="44" fillId="0" borderId="32" xfId="0" applyFont="1" applyBorder="1"/>
    <xf numFmtId="0" fontId="44" fillId="7" borderId="25" xfId="0" applyFont="1" applyFill="1" applyBorder="1"/>
    <xf numFmtId="0" fontId="44" fillId="0" borderId="0" xfId="0" applyFont="1"/>
    <xf numFmtId="0" fontId="44" fillId="0" borderId="28" xfId="0" applyFont="1" applyBorder="1"/>
    <xf numFmtId="0" fontId="44" fillId="0" borderId="47" xfId="0" applyFont="1" applyBorder="1"/>
    <xf numFmtId="0" fontId="44" fillId="0" borderId="46" xfId="0" applyFont="1" applyBorder="1"/>
    <xf numFmtId="0" fontId="44" fillId="7" borderId="28" xfId="0" applyFont="1" applyFill="1" applyBorder="1"/>
    <xf numFmtId="0" fontId="45" fillId="3" borderId="0" xfId="0" applyFont="1" applyFill="1"/>
    <xf numFmtId="0" fontId="45" fillId="3" borderId="41" xfId="0" applyFont="1" applyFill="1" applyBorder="1"/>
    <xf numFmtId="0" fontId="45" fillId="3" borderId="40" xfId="0" applyFont="1" applyFill="1" applyBorder="1"/>
    <xf numFmtId="0" fontId="44" fillId="0" borderId="50" xfId="0" applyFont="1" applyBorder="1"/>
    <xf numFmtId="0" fontId="44" fillId="0" borderId="48" xfId="0" applyFont="1" applyBorder="1"/>
    <xf numFmtId="0" fontId="44" fillId="0" borderId="49" xfId="0" applyFont="1" applyBorder="1"/>
  </cellXfs>
  <cellStyles count="7">
    <cellStyle name="Comma" xfId="1" builtinId="3"/>
    <cellStyle name="Normal" xfId="0" builtinId="0"/>
    <cellStyle name="Normal 2" xfId="4"/>
    <cellStyle name="Normal 2 18" xfId="3"/>
    <cellStyle name="Normal 2 2" xfId="5"/>
    <cellStyle name="Normal 36 3 2" xfId="2"/>
    <cellStyle name="Percent" xfId="6" builtinId="5"/>
  </cellStyles>
  <dxfs count="142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opLeftCell="AM37" zoomScale="60" zoomScaleNormal="60" workbookViewId="0">
      <selection activeCell="BN45" sqref="BN45:BO5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DU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(9/(9+14)*F17)+(14/(9+14)*F24)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>
        <v>1</v>
      </c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>
        <v>1</v>
      </c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>
        <v>1</v>
      </c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>
        <v>1</v>
      </c>
      <c r="BL29" s="225"/>
      <c r="BM29" s="223">
        <v>1</v>
      </c>
      <c r="BN29" s="223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>
        <v>1</v>
      </c>
      <c r="BN30" s="223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>
        <v>1</v>
      </c>
      <c r="BM31" s="223">
        <v>1</v>
      </c>
      <c r="BN31" s="223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>
        <v>0.75</v>
      </c>
      <c r="BM32" s="223">
        <v>0.75</v>
      </c>
      <c r="BN32" s="223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>
        <v>1</v>
      </c>
      <c r="BM33" s="223"/>
      <c r="BN33" s="223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>
        <v>0.25</v>
      </c>
      <c r="BK34" s="224">
        <v>0.75</v>
      </c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>
        <v>1</v>
      </c>
      <c r="BM35" s="226"/>
      <c r="BN35" s="226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(SUM(D38:D43)/SUM(D38:D43,D45:D55)*F44)+(SUM(D45:D55)/SUM(D38:D43,D45:D55)*F37)</f>
        <v>0.80656770130454336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9/19</f>
        <v>0.47368421052631576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>
        <v>1</v>
      </c>
      <c r="BO45" s="223">
        <v>1</v>
      </c>
      <c r="BP45" s="224">
        <v>1</v>
      </c>
      <c r="BQ45" s="225">
        <v>1</v>
      </c>
      <c r="BR45" s="223"/>
      <c r="BS45" s="229"/>
      <c r="BT45" s="223"/>
      <c r="BU45" s="223"/>
      <c r="BV45" s="224"/>
      <c r="BW45" s="225"/>
      <c r="BX45" s="223"/>
      <c r="BY45" s="223"/>
      <c r="BZ45" s="223"/>
      <c r="CA45" s="224"/>
      <c r="CB45" s="225"/>
      <c r="CC45" s="223"/>
      <c r="CD45" s="223"/>
      <c r="CE45" s="223"/>
      <c r="CF45" s="224"/>
      <c r="CG45" s="225"/>
      <c r="CH45" s="223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>
        <v>1</v>
      </c>
      <c r="BP46" s="224">
        <v>1</v>
      </c>
      <c r="BQ46" s="225"/>
      <c r="BR46" s="223"/>
      <c r="BS46" s="229"/>
      <c r="BT46" s="223"/>
      <c r="BU46" s="223"/>
      <c r="BV46" s="224"/>
      <c r="BW46" s="225"/>
      <c r="BX46" s="223"/>
      <c r="BY46" s="223"/>
      <c r="BZ46" s="223"/>
      <c r="CA46" s="224"/>
      <c r="CB46" s="225"/>
      <c r="CC46" s="223"/>
      <c r="CD46" s="223"/>
      <c r="CE46" s="223"/>
      <c r="CF46" s="224"/>
      <c r="CG46" s="225"/>
      <c r="CH46" s="223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>
        <v>1</v>
      </c>
      <c r="BT47" s="223"/>
      <c r="BU47" s="223"/>
      <c r="BV47" s="224"/>
      <c r="BW47" s="225"/>
      <c r="BX47" s="223"/>
      <c r="BY47" s="223"/>
      <c r="BZ47" s="223"/>
      <c r="CA47" s="224"/>
      <c r="CB47" s="225"/>
      <c r="CC47" s="223"/>
      <c r="CD47" s="223"/>
      <c r="CE47" s="223"/>
      <c r="CF47" s="224"/>
      <c r="CG47" s="225"/>
      <c r="CH47" s="223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>
        <v>1</v>
      </c>
      <c r="BO48" s="223"/>
      <c r="BP48" s="224"/>
      <c r="BQ48" s="225"/>
      <c r="BR48" s="223">
        <v>1</v>
      </c>
      <c r="BS48" s="229"/>
      <c r="BT48" s="223"/>
      <c r="BU48" s="223"/>
      <c r="BV48" s="224"/>
      <c r="BW48" s="225"/>
      <c r="BX48" s="223"/>
      <c r="BY48" s="223"/>
      <c r="BZ48" s="223"/>
      <c r="CA48" s="224"/>
      <c r="CB48" s="225"/>
      <c r="CC48" s="223"/>
      <c r="CD48" s="223"/>
      <c r="CE48" s="223"/>
      <c r="CF48" s="224"/>
      <c r="CG48" s="225"/>
      <c r="CH48" s="223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>
        <v>1</v>
      </c>
      <c r="BS49" s="229"/>
      <c r="BT49" s="223">
        <v>1</v>
      </c>
      <c r="BU49" s="223">
        <v>1</v>
      </c>
      <c r="BV49" s="224">
        <v>1</v>
      </c>
      <c r="BW49" s="225">
        <v>1</v>
      </c>
      <c r="BX49" s="223">
        <v>1</v>
      </c>
      <c r="BY49" s="223">
        <v>1</v>
      </c>
      <c r="BZ49" s="223">
        <v>1</v>
      </c>
      <c r="CA49" s="224">
        <v>1</v>
      </c>
      <c r="CB49" s="225">
        <v>1</v>
      </c>
      <c r="CC49" s="223">
        <v>1</v>
      </c>
      <c r="CD49" s="223">
        <v>1</v>
      </c>
      <c r="CE49" s="223">
        <v>1</v>
      </c>
      <c r="CF49" s="224">
        <v>1</v>
      </c>
      <c r="CG49" s="225">
        <v>1</v>
      </c>
      <c r="CH49" s="223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>
        <v>1</v>
      </c>
      <c r="BR50" s="223"/>
      <c r="BS50" s="229"/>
      <c r="BT50" s="223">
        <v>1</v>
      </c>
      <c r="BU50" s="223">
        <v>1</v>
      </c>
      <c r="BV50" s="224">
        <v>1</v>
      </c>
      <c r="BW50" s="225">
        <v>1</v>
      </c>
      <c r="BX50" s="223">
        <v>1</v>
      </c>
      <c r="BY50" s="223">
        <v>1</v>
      </c>
      <c r="BZ50" s="223">
        <v>1</v>
      </c>
      <c r="CA50" s="224">
        <v>1</v>
      </c>
      <c r="CB50" s="225">
        <v>1</v>
      </c>
      <c r="CC50" s="223">
        <v>1</v>
      </c>
      <c r="CD50" s="223">
        <v>1</v>
      </c>
      <c r="CE50" s="223">
        <v>1</v>
      </c>
      <c r="CF50" s="224">
        <v>1</v>
      </c>
      <c r="CG50" s="225">
        <v>1</v>
      </c>
      <c r="CH50" s="223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>
        <v>1</v>
      </c>
      <c r="BU51" s="223">
        <v>1</v>
      </c>
      <c r="BV51" s="224">
        <v>1</v>
      </c>
      <c r="BW51" s="225">
        <v>1</v>
      </c>
      <c r="BX51" s="223">
        <v>1</v>
      </c>
      <c r="BY51" s="223">
        <v>1</v>
      </c>
      <c r="BZ51" s="223">
        <v>1</v>
      </c>
      <c r="CA51" s="224">
        <v>1</v>
      </c>
      <c r="CB51" s="225">
        <v>1</v>
      </c>
      <c r="CC51" s="223">
        <v>1</v>
      </c>
      <c r="CD51" s="223">
        <v>1</v>
      </c>
      <c r="CE51" s="223">
        <v>1</v>
      </c>
      <c r="CF51" s="224">
        <v>1</v>
      </c>
      <c r="CG51" s="225">
        <v>1</v>
      </c>
      <c r="CH51" s="223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>
        <v>0.25</v>
      </c>
      <c r="BO52" s="223">
        <v>0.75</v>
      </c>
      <c r="BP52" s="224">
        <v>0.75</v>
      </c>
      <c r="BQ52" s="225">
        <v>0.75</v>
      </c>
      <c r="BR52" s="223">
        <v>0.75</v>
      </c>
      <c r="BS52" s="229">
        <v>0.75</v>
      </c>
      <c r="BT52" s="223">
        <v>0.75</v>
      </c>
      <c r="BU52" s="223">
        <v>0.75</v>
      </c>
      <c r="BV52" s="224">
        <v>0.75</v>
      </c>
      <c r="BW52" s="225">
        <v>0.75</v>
      </c>
      <c r="BX52" s="223">
        <v>0.75</v>
      </c>
      <c r="BY52" s="223">
        <v>0.75</v>
      </c>
      <c r="BZ52" s="223">
        <v>0.75</v>
      </c>
      <c r="CA52" s="224">
        <v>0.75</v>
      </c>
      <c r="CB52" s="225">
        <v>0.75</v>
      </c>
      <c r="CC52" s="223">
        <v>0.75</v>
      </c>
      <c r="CD52" s="223">
        <v>0.75</v>
      </c>
      <c r="CE52" s="223">
        <v>0.75</v>
      </c>
      <c r="CF52" s="224">
        <v>0.75</v>
      </c>
      <c r="CG52" s="225">
        <v>0.75</v>
      </c>
      <c r="CH52" s="223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>
        <v>1</v>
      </c>
      <c r="BR53" s="223">
        <v>1</v>
      </c>
      <c r="BS53" s="229"/>
      <c r="BT53" s="223"/>
      <c r="BU53" s="223"/>
      <c r="BV53" s="224"/>
      <c r="BW53" s="225"/>
      <c r="BX53" s="223"/>
      <c r="BY53" s="223"/>
      <c r="BZ53" s="223"/>
      <c r="CA53" s="224"/>
      <c r="CB53" s="225"/>
      <c r="CC53" s="223"/>
      <c r="CD53" s="223"/>
      <c r="CE53" s="223"/>
      <c r="CF53" s="224"/>
      <c r="CG53" s="225"/>
      <c r="CH53" s="223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>
        <v>1</v>
      </c>
      <c r="BP54" s="224">
        <v>1</v>
      </c>
      <c r="BQ54" s="225"/>
      <c r="BR54" s="223"/>
      <c r="BS54" s="229"/>
      <c r="BT54" s="223"/>
      <c r="BU54" s="223"/>
      <c r="BV54" s="224"/>
      <c r="BW54" s="225"/>
      <c r="BX54" s="223"/>
      <c r="BY54" s="223"/>
      <c r="BZ54" s="223"/>
      <c r="CA54" s="224"/>
      <c r="CB54" s="225"/>
      <c r="CC54" s="223"/>
      <c r="CD54" s="223"/>
      <c r="CE54" s="223"/>
      <c r="CF54" s="224"/>
      <c r="CG54" s="225"/>
      <c r="CH54" s="223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26"/>
      <c r="CA55" s="227"/>
      <c r="CB55" s="228"/>
      <c r="CC55" s="226"/>
      <c r="CD55" s="226"/>
      <c r="CE55" s="226"/>
      <c r="CF55" s="227"/>
      <c r="CG55" s="228"/>
      <c r="CH55" s="226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1">
        <f>(SUM(D58:D63)/SUM(D58:D63,D65:D75)*F64)+(SUM(D65:D75)/SUM(D58:D63,D65:D75)*F57)</f>
        <v>0.27710843373493976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>
        <v>1</v>
      </c>
      <c r="CI64" s="31">
        <v>1</v>
      </c>
      <c r="CJ64" s="31">
        <v>1</v>
      </c>
      <c r="CK64" s="113">
        <v>1</v>
      </c>
      <c r="CL64" s="112">
        <v>1</v>
      </c>
      <c r="CM64" s="31">
        <v>1</v>
      </c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(SUM(D78:D83)/SUM(D78:D83,D85:D95)*F84)+(SUM(D85:D95)/SUM(D78:D83,D85:D95)*F77)</f>
        <v>0.89380530973451322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>
        <v>1</v>
      </c>
      <c r="CJ84" s="31">
        <v>1</v>
      </c>
      <c r="CK84" s="113">
        <v>1</v>
      </c>
      <c r="CL84" s="112">
        <v>1</v>
      </c>
      <c r="CM84" s="31">
        <v>1</v>
      </c>
      <c r="CN84" s="31">
        <v>1</v>
      </c>
      <c r="CO84" s="97"/>
      <c r="CP84" s="102">
        <v>1</v>
      </c>
      <c r="CQ84" s="113">
        <v>1</v>
      </c>
      <c r="CR84" s="112">
        <v>1</v>
      </c>
      <c r="CS84" s="31">
        <v>1</v>
      </c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141" priority="66" operator="equal">
      <formula>-3</formula>
    </cfRule>
  </conditionalFormatting>
  <conditionalFormatting sqref="AL10:CA11 I10:K11">
    <cfRule type="cellIs" dxfId="140" priority="65" operator="equal">
      <formula>-4</formula>
    </cfRule>
  </conditionalFormatting>
  <conditionalFormatting sqref="CB10:CV10">
    <cfRule type="cellIs" dxfId="139" priority="64" operator="equal">
      <formula>-3</formula>
    </cfRule>
  </conditionalFormatting>
  <conditionalFormatting sqref="CB10:CV10">
    <cfRule type="cellIs" dxfId="138" priority="63" operator="equal">
      <formula>-4</formula>
    </cfRule>
  </conditionalFormatting>
  <conditionalFormatting sqref="CW10:DK10 DM10:DQ10">
    <cfRule type="cellIs" dxfId="137" priority="62" operator="equal">
      <formula>-3</formula>
    </cfRule>
  </conditionalFormatting>
  <conditionalFormatting sqref="CW10:DK10 DM10:DQ10">
    <cfRule type="cellIs" dxfId="136" priority="61" operator="equal">
      <formula>-4</formula>
    </cfRule>
  </conditionalFormatting>
  <conditionalFormatting sqref="DR10:EL10">
    <cfRule type="cellIs" dxfId="135" priority="60" operator="equal">
      <formula>-3</formula>
    </cfRule>
  </conditionalFormatting>
  <conditionalFormatting sqref="DR10:EL10">
    <cfRule type="cellIs" dxfId="134" priority="59" operator="equal">
      <formula>-4</formula>
    </cfRule>
  </conditionalFormatting>
  <conditionalFormatting sqref="EM10:FE10">
    <cfRule type="cellIs" dxfId="133" priority="58" operator="equal">
      <formula>-3</formula>
    </cfRule>
  </conditionalFormatting>
  <conditionalFormatting sqref="EM10:FE10">
    <cfRule type="cellIs" dxfId="132" priority="57" operator="equal">
      <formula>-4</formula>
    </cfRule>
  </conditionalFormatting>
  <conditionalFormatting sqref="CB11:CF11">
    <cfRule type="cellIs" dxfId="131" priority="56" operator="equal">
      <formula>-3</formula>
    </cfRule>
  </conditionalFormatting>
  <conditionalFormatting sqref="CB11:CF11">
    <cfRule type="cellIs" dxfId="130" priority="55" operator="equal">
      <formula>-4</formula>
    </cfRule>
  </conditionalFormatting>
  <conditionalFormatting sqref="CG11:CK11">
    <cfRule type="cellIs" dxfId="129" priority="54" operator="equal">
      <formula>-3</formula>
    </cfRule>
  </conditionalFormatting>
  <conditionalFormatting sqref="CG11:CK11">
    <cfRule type="cellIs" dxfId="128" priority="53" operator="equal">
      <formula>-4</formula>
    </cfRule>
  </conditionalFormatting>
  <conditionalFormatting sqref="CL11:CQ11">
    <cfRule type="cellIs" dxfId="127" priority="52" operator="equal">
      <formula>-3</formula>
    </cfRule>
  </conditionalFormatting>
  <conditionalFormatting sqref="CL11:CQ11">
    <cfRule type="cellIs" dxfId="126" priority="51" operator="equal">
      <formula>-4</formula>
    </cfRule>
  </conditionalFormatting>
  <conditionalFormatting sqref="CR11:CV11">
    <cfRule type="cellIs" dxfId="125" priority="50" operator="equal">
      <formula>-3</formula>
    </cfRule>
  </conditionalFormatting>
  <conditionalFormatting sqref="CR11:CV11">
    <cfRule type="cellIs" dxfId="124" priority="49" operator="equal">
      <formula>-4</formula>
    </cfRule>
  </conditionalFormatting>
  <conditionalFormatting sqref="CW11:DA11">
    <cfRule type="cellIs" dxfId="123" priority="48" operator="equal">
      <formula>-3</formula>
    </cfRule>
  </conditionalFormatting>
  <conditionalFormatting sqref="CW11:DA11">
    <cfRule type="cellIs" dxfId="122" priority="47" operator="equal">
      <formula>-4</formula>
    </cfRule>
  </conditionalFormatting>
  <conditionalFormatting sqref="DB11:DF11">
    <cfRule type="cellIs" dxfId="121" priority="46" operator="equal">
      <formula>-3</formula>
    </cfRule>
  </conditionalFormatting>
  <conditionalFormatting sqref="DB11:DF11">
    <cfRule type="cellIs" dxfId="120" priority="45" operator="equal">
      <formula>-4</formula>
    </cfRule>
  </conditionalFormatting>
  <conditionalFormatting sqref="DG11:DK11">
    <cfRule type="cellIs" dxfId="119" priority="44" operator="equal">
      <formula>-3</formula>
    </cfRule>
  </conditionalFormatting>
  <conditionalFormatting sqref="DG11:DK11">
    <cfRule type="cellIs" dxfId="118" priority="43" operator="equal">
      <formula>-4</formula>
    </cfRule>
  </conditionalFormatting>
  <conditionalFormatting sqref="DM11:DQ11">
    <cfRule type="cellIs" dxfId="117" priority="42" operator="equal">
      <formula>-3</formula>
    </cfRule>
  </conditionalFormatting>
  <conditionalFormatting sqref="DM11:DQ11">
    <cfRule type="cellIs" dxfId="116" priority="41" operator="equal">
      <formula>-4</formula>
    </cfRule>
  </conditionalFormatting>
  <conditionalFormatting sqref="DR11:DV11">
    <cfRule type="cellIs" dxfId="115" priority="40" operator="equal">
      <formula>-3</formula>
    </cfRule>
  </conditionalFormatting>
  <conditionalFormatting sqref="DR11:DV11">
    <cfRule type="cellIs" dxfId="114" priority="39" operator="equal">
      <formula>-4</formula>
    </cfRule>
  </conditionalFormatting>
  <conditionalFormatting sqref="DW11:EA11">
    <cfRule type="cellIs" dxfId="113" priority="38" operator="equal">
      <formula>-3</formula>
    </cfRule>
  </conditionalFormatting>
  <conditionalFormatting sqref="DW11:EA11">
    <cfRule type="cellIs" dxfId="112" priority="37" operator="equal">
      <formula>-4</formula>
    </cfRule>
  </conditionalFormatting>
  <conditionalFormatting sqref="EB11:EG11">
    <cfRule type="cellIs" dxfId="111" priority="36" operator="equal">
      <formula>-3</formula>
    </cfRule>
  </conditionalFormatting>
  <conditionalFormatting sqref="EB11:EG11">
    <cfRule type="cellIs" dxfId="110" priority="35" operator="equal">
      <formula>-4</formula>
    </cfRule>
  </conditionalFormatting>
  <conditionalFormatting sqref="EH11:EL11">
    <cfRule type="cellIs" dxfId="109" priority="34" operator="equal">
      <formula>-3</formula>
    </cfRule>
  </conditionalFormatting>
  <conditionalFormatting sqref="EH11:EL11">
    <cfRule type="cellIs" dxfId="108" priority="33" operator="equal">
      <formula>-4</formula>
    </cfRule>
  </conditionalFormatting>
  <conditionalFormatting sqref="EM11:EQ11">
    <cfRule type="cellIs" dxfId="107" priority="32" operator="equal">
      <formula>-3</formula>
    </cfRule>
  </conditionalFormatting>
  <conditionalFormatting sqref="EM11:EQ11">
    <cfRule type="cellIs" dxfId="106" priority="31" operator="equal">
      <formula>-4</formula>
    </cfRule>
  </conditionalFormatting>
  <conditionalFormatting sqref="ER11:EV11">
    <cfRule type="cellIs" dxfId="105" priority="30" operator="equal">
      <formula>-3</formula>
    </cfRule>
  </conditionalFormatting>
  <conditionalFormatting sqref="ER11:EV11">
    <cfRule type="cellIs" dxfId="104" priority="29" operator="equal">
      <formula>-4</formula>
    </cfRule>
  </conditionalFormatting>
  <conditionalFormatting sqref="EW11:FA11">
    <cfRule type="cellIs" dxfId="103" priority="28" operator="equal">
      <formula>-3</formula>
    </cfRule>
  </conditionalFormatting>
  <conditionalFormatting sqref="EW11:FA11">
    <cfRule type="cellIs" dxfId="102" priority="27" operator="equal">
      <formula>-4</formula>
    </cfRule>
  </conditionalFormatting>
  <conditionalFormatting sqref="FB11:FE11">
    <cfRule type="cellIs" dxfId="101" priority="26" operator="equal">
      <formula>-3</formula>
    </cfRule>
  </conditionalFormatting>
  <conditionalFormatting sqref="FB11:FE11">
    <cfRule type="cellIs" dxfId="100" priority="25" operator="equal">
      <formula>-4</formula>
    </cfRule>
  </conditionalFormatting>
  <conditionalFormatting sqref="CO10:CO11">
    <cfRule type="cellIs" dxfId="99" priority="24" operator="equal">
      <formula>-3</formula>
    </cfRule>
  </conditionalFormatting>
  <conditionalFormatting sqref="CO10:CO11">
    <cfRule type="cellIs" dxfId="98" priority="23" operator="equal">
      <formula>-4</formula>
    </cfRule>
  </conditionalFormatting>
  <conditionalFormatting sqref="EG10:EG11">
    <cfRule type="cellIs" dxfId="97" priority="22" operator="equal">
      <formula>-3</formula>
    </cfRule>
  </conditionalFormatting>
  <conditionalFormatting sqref="EG10:EG11">
    <cfRule type="cellIs" dxfId="96" priority="21" operator="equal">
      <formula>-4</formula>
    </cfRule>
  </conditionalFormatting>
  <conditionalFormatting sqref="FE10:FE11">
    <cfRule type="cellIs" dxfId="95" priority="20" operator="equal">
      <formula>-3</formula>
    </cfRule>
  </conditionalFormatting>
  <conditionalFormatting sqref="FE10:FE11">
    <cfRule type="cellIs" dxfId="94" priority="19" operator="equal">
      <formula>-4</formula>
    </cfRule>
  </conditionalFormatting>
  <conditionalFormatting sqref="DL10">
    <cfRule type="cellIs" dxfId="93" priority="18" operator="equal">
      <formula>-3</formula>
    </cfRule>
  </conditionalFormatting>
  <conditionalFormatting sqref="DL10">
    <cfRule type="cellIs" dxfId="92" priority="17" operator="equal">
      <formula>-4</formula>
    </cfRule>
  </conditionalFormatting>
  <conditionalFormatting sqref="DL11">
    <cfRule type="cellIs" dxfId="91" priority="16" operator="equal">
      <formula>-3</formula>
    </cfRule>
  </conditionalFormatting>
  <conditionalFormatting sqref="DL11">
    <cfRule type="cellIs" dxfId="90" priority="15" operator="equal">
      <formula>-4</formula>
    </cfRule>
  </conditionalFormatting>
  <conditionalFormatting sqref="DL10:DL11">
    <cfRule type="cellIs" dxfId="89" priority="14" operator="equal">
      <formula>-3</formula>
    </cfRule>
  </conditionalFormatting>
  <conditionalFormatting sqref="DL10:DL11">
    <cfRule type="cellIs" dxfId="88" priority="13" operator="equal">
      <formula>-4</formula>
    </cfRule>
  </conditionalFormatting>
  <conditionalFormatting sqref="AG10:AK11">
    <cfRule type="cellIs" dxfId="87" priority="12" operator="equal">
      <formula>-3</formula>
    </cfRule>
  </conditionalFormatting>
  <conditionalFormatting sqref="AG10:AK11">
    <cfRule type="cellIs" dxfId="86" priority="11" operator="equal">
      <formula>-4</formula>
    </cfRule>
  </conditionalFormatting>
  <conditionalFormatting sqref="AB10:AF11">
    <cfRule type="cellIs" dxfId="85" priority="10" operator="equal">
      <formula>-3</formula>
    </cfRule>
  </conditionalFormatting>
  <conditionalFormatting sqref="AB10:AF11">
    <cfRule type="cellIs" dxfId="84" priority="9" operator="equal">
      <formula>-4</formula>
    </cfRule>
  </conditionalFormatting>
  <conditionalFormatting sqref="V10:Y11 AA10:AA11">
    <cfRule type="cellIs" dxfId="83" priority="8" operator="equal">
      <formula>-3</formula>
    </cfRule>
  </conditionalFormatting>
  <conditionalFormatting sqref="V10:Y11 AA10:AA11">
    <cfRule type="cellIs" dxfId="82" priority="7" operator="equal">
      <formula>-4</formula>
    </cfRule>
  </conditionalFormatting>
  <conditionalFormatting sqref="Q10:U11">
    <cfRule type="cellIs" dxfId="81" priority="6" operator="equal">
      <formula>-3</formula>
    </cfRule>
  </conditionalFormatting>
  <conditionalFormatting sqref="Q10:U11">
    <cfRule type="cellIs" dxfId="80" priority="5" operator="equal">
      <formula>-4</formula>
    </cfRule>
  </conditionalFormatting>
  <conditionalFormatting sqref="L10:P11">
    <cfRule type="cellIs" dxfId="79" priority="4" operator="equal">
      <formula>-3</formula>
    </cfRule>
  </conditionalFormatting>
  <conditionalFormatting sqref="L10:P11">
    <cfRule type="cellIs" dxfId="78" priority="3" operator="equal">
      <formula>-4</formula>
    </cfRule>
  </conditionalFormatting>
  <conditionalFormatting sqref="Z10:Z11">
    <cfRule type="cellIs" dxfId="77" priority="2" operator="equal">
      <formula>-3</formula>
    </cfRule>
  </conditionalFormatting>
  <conditionalFormatting sqref="Z10:Z11">
    <cfRule type="cellIs" dxfId="76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abSelected="1" zoomScale="70" zoomScaleNormal="70" workbookViewId="0">
      <selection activeCell="F24" sqref="F2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0</v>
      </c>
      <c r="BL6" s="155" t="b">
        <f t="shared" si="1"/>
        <v>0</v>
      </c>
      <c r="BM6" s="155" t="b">
        <f t="shared" si="1"/>
        <v>0</v>
      </c>
      <c r="BN6" s="155" t="b">
        <f t="shared" si="1"/>
        <v>0</v>
      </c>
      <c r="BO6" s="155" t="b">
        <f t="shared" si="1"/>
        <v>0</v>
      </c>
      <c r="BP6" s="155" t="b">
        <f t="shared" si="1"/>
        <v>0</v>
      </c>
      <c r="BQ6" s="155" t="b">
        <f t="shared" si="1"/>
        <v>0</v>
      </c>
      <c r="BR6" s="155" t="b">
        <f t="shared" si="1"/>
        <v>0</v>
      </c>
      <c r="BS6" s="155" t="b">
        <f t="shared" si="1"/>
        <v>0</v>
      </c>
      <c r="BT6" s="155" t="b">
        <f t="shared" si="1"/>
        <v>0</v>
      </c>
      <c r="BU6" s="155" t="b">
        <f t="shared" ref="BU6:CN6" si="2">SUM(BU13:BU96)=4</f>
        <v>0</v>
      </c>
      <c r="BV6" s="155" t="b">
        <f t="shared" si="2"/>
        <v>0</v>
      </c>
      <c r="BW6" s="155" t="b">
        <f t="shared" si="2"/>
        <v>0</v>
      </c>
      <c r="BX6" s="155" t="b">
        <f t="shared" si="2"/>
        <v>0</v>
      </c>
      <c r="BY6" s="155" t="b">
        <f t="shared" si="2"/>
        <v>0</v>
      </c>
      <c r="BZ6" s="155" t="b">
        <f t="shared" si="2"/>
        <v>0</v>
      </c>
      <c r="CA6" s="155" t="b">
        <f t="shared" si="2"/>
        <v>0</v>
      </c>
      <c r="CB6" s="155" t="b">
        <f t="shared" si="2"/>
        <v>0</v>
      </c>
      <c r="CC6" s="155" t="b">
        <f t="shared" si="2"/>
        <v>0</v>
      </c>
      <c r="CD6" s="155" t="b">
        <f t="shared" si="2"/>
        <v>0</v>
      </c>
      <c r="CE6" s="155" t="b">
        <f t="shared" si="2"/>
        <v>0</v>
      </c>
      <c r="CF6" s="155" t="b">
        <f t="shared" si="2"/>
        <v>0</v>
      </c>
      <c r="CG6" s="155" t="b">
        <f t="shared" si="2"/>
        <v>0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FA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si="3"/>
        <v>0</v>
      </c>
      <c r="DW6" s="155" t="b">
        <f t="shared" si="3"/>
        <v>0</v>
      </c>
      <c r="DX6" s="155" t="b">
        <f t="shared" si="3"/>
        <v>0</v>
      </c>
      <c r="DY6" s="155" t="b">
        <f t="shared" si="3"/>
        <v>0</v>
      </c>
      <c r="DZ6" s="155" t="b">
        <f t="shared" si="3"/>
        <v>0</v>
      </c>
      <c r="EA6" s="155" t="b">
        <f t="shared" si="3"/>
        <v>0</v>
      </c>
      <c r="EB6" s="155" t="b">
        <f t="shared" si="3"/>
        <v>0</v>
      </c>
      <c r="EC6" s="155" t="b">
        <f t="shared" si="3"/>
        <v>0</v>
      </c>
      <c r="ED6" s="155" t="b">
        <f t="shared" si="3"/>
        <v>0</v>
      </c>
      <c r="EE6" s="155" t="b">
        <f t="shared" si="3"/>
        <v>0</v>
      </c>
      <c r="EF6" s="155" t="b">
        <f t="shared" si="3"/>
        <v>0</v>
      </c>
      <c r="EG6" s="155" t="b">
        <f t="shared" si="3"/>
        <v>0</v>
      </c>
      <c r="EH6" s="155" t="b">
        <f t="shared" si="3"/>
        <v>0</v>
      </c>
      <c r="EI6" s="155" t="b">
        <f t="shared" si="3"/>
        <v>0</v>
      </c>
      <c r="EJ6" s="155" t="b">
        <f t="shared" si="3"/>
        <v>0</v>
      </c>
      <c r="EK6" s="155" t="b">
        <f t="shared" si="3"/>
        <v>0</v>
      </c>
      <c r="EL6" s="155" t="b">
        <f t="shared" si="3"/>
        <v>0</v>
      </c>
      <c r="EM6" s="155" t="b">
        <f t="shared" si="3"/>
        <v>0</v>
      </c>
      <c r="EN6" s="155" t="b">
        <f t="shared" si="3"/>
        <v>0</v>
      </c>
      <c r="EO6" s="155" t="b">
        <f t="shared" si="3"/>
        <v>0</v>
      </c>
      <c r="EP6" s="155" t="b">
        <f t="shared" si="3"/>
        <v>0</v>
      </c>
      <c r="EQ6" s="155" t="b">
        <f t="shared" si="3"/>
        <v>0</v>
      </c>
      <c r="ER6" s="155" t="b">
        <f t="shared" si="3"/>
        <v>0</v>
      </c>
      <c r="ES6" s="155" t="b">
        <f t="shared" si="3"/>
        <v>0</v>
      </c>
      <c r="ET6" s="155" t="b">
        <f t="shared" si="3"/>
        <v>0</v>
      </c>
      <c r="EU6" s="155" t="b">
        <f t="shared" si="3"/>
        <v>0</v>
      </c>
      <c r="EV6" s="155" t="b">
        <f t="shared" si="3"/>
        <v>0</v>
      </c>
      <c r="EW6" s="155" t="b">
        <f t="shared" si="3"/>
        <v>0</v>
      </c>
      <c r="EX6" s="155" t="b">
        <f t="shared" si="3"/>
        <v>0</v>
      </c>
      <c r="EY6" s="155" t="b">
        <f t="shared" si="3"/>
        <v>0</v>
      </c>
      <c r="EZ6" s="155" t="b">
        <f t="shared" si="3"/>
        <v>0</v>
      </c>
      <c r="FA6" s="155" t="b">
        <f t="shared" si="3"/>
        <v>0</v>
      </c>
      <c r="FB6" s="155" t="b">
        <f t="shared" ref="FB6:FD6" si="4">SUM(FB13:FB96)=4</f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(SUM(D18:D23)/SUM(D18:D23,D25:D35)*F17)+(SUM(D25:D35)/SUM(D18:D23,D25:D35)*F24)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>
        <v>1</v>
      </c>
      <c r="BW24" s="112">
        <v>1</v>
      </c>
      <c r="BX24" s="31">
        <v>1</v>
      </c>
      <c r="BY24" s="31">
        <v>1</v>
      </c>
      <c r="BZ24" s="31">
        <v>1</v>
      </c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/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231">
        <v>1</v>
      </c>
      <c r="BW25" s="232"/>
      <c r="BX25" s="230"/>
      <c r="BY25" s="230"/>
      <c r="BZ25" s="230"/>
      <c r="CA25" s="231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/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231"/>
      <c r="BW26" s="232">
        <v>1</v>
      </c>
      <c r="BX26" s="230"/>
      <c r="BY26" s="230"/>
      <c r="BZ26" s="230"/>
      <c r="CA26" s="231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231"/>
      <c r="BW27" s="232"/>
      <c r="BX27" s="230"/>
      <c r="BY27" s="230"/>
      <c r="BZ27" s="230"/>
      <c r="CA27" s="231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/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231"/>
      <c r="BW28" s="232">
        <v>1</v>
      </c>
      <c r="BX28" s="230"/>
      <c r="BY28" s="230"/>
      <c r="BZ28" s="230"/>
      <c r="CA28" s="231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/>
      <c r="BL29" s="225"/>
      <c r="BM29" s="223"/>
      <c r="BN29" s="223"/>
      <c r="BO29" s="75"/>
      <c r="BP29" s="115"/>
      <c r="BQ29" s="114"/>
      <c r="BR29" s="75"/>
      <c r="BS29" s="98"/>
      <c r="BT29" s="75"/>
      <c r="BU29" s="75"/>
      <c r="BV29" s="231"/>
      <c r="BW29" s="232">
        <v>1</v>
      </c>
      <c r="BX29" s="230"/>
      <c r="BY29" s="230">
        <v>1</v>
      </c>
      <c r="BZ29" s="230"/>
      <c r="CA29" s="231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/>
      <c r="BN30" s="223"/>
      <c r="BO30" s="75"/>
      <c r="BP30" s="115"/>
      <c r="BQ30" s="114"/>
      <c r="BR30" s="75"/>
      <c r="BS30" s="98"/>
      <c r="BT30" s="75"/>
      <c r="BU30" s="75"/>
      <c r="BV30" s="231"/>
      <c r="BW30" s="232"/>
      <c r="BX30" s="230"/>
      <c r="BY30" s="230">
        <v>1</v>
      </c>
      <c r="BZ30" s="230">
        <v>1</v>
      </c>
      <c r="CA30" s="231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/>
      <c r="BM31" s="223"/>
      <c r="BN31" s="223"/>
      <c r="BO31" s="75"/>
      <c r="BP31" s="115"/>
      <c r="BQ31" s="114"/>
      <c r="BR31" s="75"/>
      <c r="BS31" s="98"/>
      <c r="BT31" s="75"/>
      <c r="BU31" s="75"/>
      <c r="BV31" s="231"/>
      <c r="BW31" s="232"/>
      <c r="BX31" s="230">
        <v>1</v>
      </c>
      <c r="BY31" s="230">
        <v>1</v>
      </c>
      <c r="BZ31" s="230"/>
      <c r="CA31" s="231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/>
      <c r="BM32" s="223"/>
      <c r="BN32" s="223"/>
      <c r="BO32" s="75"/>
      <c r="BP32" s="115"/>
      <c r="BQ32" s="114"/>
      <c r="BR32" s="75"/>
      <c r="BS32" s="98"/>
      <c r="BT32" s="75"/>
      <c r="BU32" s="75"/>
      <c r="BV32" s="231"/>
      <c r="BW32" s="232"/>
      <c r="BX32" s="230">
        <v>0.75</v>
      </c>
      <c r="BY32" s="230">
        <v>0.75</v>
      </c>
      <c r="BZ32" s="230">
        <v>0.5</v>
      </c>
      <c r="CA32" s="231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/>
      <c r="BM33" s="223"/>
      <c r="BN33" s="223"/>
      <c r="BO33" s="75"/>
      <c r="BP33" s="115"/>
      <c r="BQ33" s="114"/>
      <c r="BR33" s="75"/>
      <c r="BS33" s="98"/>
      <c r="BT33" s="75"/>
      <c r="BU33" s="75"/>
      <c r="BV33" s="231"/>
      <c r="BW33" s="232"/>
      <c r="BX33" s="230">
        <v>1</v>
      </c>
      <c r="BY33" s="230"/>
      <c r="BZ33" s="230"/>
      <c r="CA33" s="231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/>
      <c r="BK34" s="224"/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231">
        <v>0.25</v>
      </c>
      <c r="BW34" s="232">
        <v>0.75</v>
      </c>
      <c r="BX34" s="230"/>
      <c r="BY34" s="230"/>
      <c r="BZ34" s="230"/>
      <c r="CA34" s="231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/>
      <c r="BM35" s="226"/>
      <c r="BN35" s="226"/>
      <c r="BO35" s="78"/>
      <c r="BP35" s="117"/>
      <c r="BQ35" s="116"/>
      <c r="BR35" s="78"/>
      <c r="BS35" s="98"/>
      <c r="BT35" s="78"/>
      <c r="BU35" s="78"/>
      <c r="BV35" s="237"/>
      <c r="BW35" s="238"/>
      <c r="BX35" s="236">
        <v>1</v>
      </c>
      <c r="BY35" s="236"/>
      <c r="BZ35" s="236"/>
      <c r="CA35" s="23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(SUM(D38:D43)/SUM(D38:D43,D45:D55)*F37)+(SUM(D45:D55)/SUM(D38:D43,D45:D55)*F44)</f>
        <v>0.54822954822954828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6/21</f>
        <v>0.2857142857142857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>
        <v>1</v>
      </c>
      <c r="CA44" s="113">
        <v>1</v>
      </c>
      <c r="CB44" s="112">
        <v>1</v>
      </c>
      <c r="CC44" s="31">
        <v>1</v>
      </c>
      <c r="CD44" s="31">
        <v>1</v>
      </c>
      <c r="CE44" s="31">
        <v>1</v>
      </c>
      <c r="CF44" s="113">
        <v>1</v>
      </c>
      <c r="CG44" s="112">
        <v>1</v>
      </c>
      <c r="CH44" s="31">
        <v>1</v>
      </c>
      <c r="CI44" s="31">
        <v>1</v>
      </c>
      <c r="CJ44" s="31">
        <v>1</v>
      </c>
      <c r="CK44" s="113">
        <v>1</v>
      </c>
      <c r="CL44" s="112">
        <v>1</v>
      </c>
      <c r="CM44" s="31">
        <v>1</v>
      </c>
      <c r="CN44" s="31">
        <v>1</v>
      </c>
      <c r="CO44" s="97"/>
      <c r="CP44" s="102">
        <v>1</v>
      </c>
      <c r="CQ44" s="113">
        <v>1</v>
      </c>
      <c r="CR44" s="112">
        <v>1</v>
      </c>
      <c r="CS44" s="31">
        <v>1</v>
      </c>
      <c r="CT44" s="31">
        <v>1</v>
      </c>
      <c r="CU44" s="31">
        <v>1</v>
      </c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/>
      <c r="BO45" s="223"/>
      <c r="BP45" s="224"/>
      <c r="BQ45" s="225"/>
      <c r="BR45" s="223"/>
      <c r="BS45" s="229"/>
      <c r="BT45" s="223"/>
      <c r="BU45" s="223"/>
      <c r="BV45" s="224"/>
      <c r="BW45" s="225"/>
      <c r="BX45" s="223"/>
      <c r="BY45" s="223"/>
      <c r="BZ45" s="230">
        <v>1</v>
      </c>
      <c r="CA45" s="231">
        <v>1</v>
      </c>
      <c r="CB45" s="232">
        <v>1</v>
      </c>
      <c r="CC45" s="230">
        <v>1</v>
      </c>
      <c r="CD45" s="230"/>
      <c r="CE45" s="230"/>
      <c r="CF45" s="231"/>
      <c r="CG45" s="232"/>
      <c r="CH45" s="230"/>
      <c r="CI45" s="230"/>
      <c r="CJ45" s="230"/>
      <c r="CK45" s="231"/>
      <c r="CL45" s="232"/>
      <c r="CM45" s="230"/>
      <c r="CN45" s="230"/>
      <c r="CO45" s="233"/>
      <c r="CP45" s="234"/>
      <c r="CQ45" s="231"/>
      <c r="CR45" s="232"/>
      <c r="CS45" s="230"/>
      <c r="CT45" s="230"/>
      <c r="CU45" s="230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/>
      <c r="BP46" s="224"/>
      <c r="BQ46" s="225"/>
      <c r="BR46" s="223"/>
      <c r="BS46" s="229"/>
      <c r="BT46" s="223"/>
      <c r="BU46" s="223"/>
      <c r="BV46" s="224"/>
      <c r="BW46" s="225"/>
      <c r="BX46" s="223"/>
      <c r="BY46" s="223"/>
      <c r="BZ46" s="230"/>
      <c r="CA46" s="231">
        <v>1</v>
      </c>
      <c r="CB46" s="232">
        <v>1</v>
      </c>
      <c r="CC46" s="230"/>
      <c r="CD46" s="230"/>
      <c r="CE46" s="230"/>
      <c r="CF46" s="231"/>
      <c r="CG46" s="232"/>
      <c r="CH46" s="230"/>
      <c r="CI46" s="230"/>
      <c r="CJ46" s="230"/>
      <c r="CK46" s="231"/>
      <c r="CL46" s="232"/>
      <c r="CM46" s="230"/>
      <c r="CN46" s="230"/>
      <c r="CO46" s="233"/>
      <c r="CP46" s="234"/>
      <c r="CQ46" s="231"/>
      <c r="CR46" s="232"/>
      <c r="CS46" s="230"/>
      <c r="CT46" s="230"/>
      <c r="CU46" s="230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/>
      <c r="BT47" s="223"/>
      <c r="BU47" s="223"/>
      <c r="BV47" s="224"/>
      <c r="BW47" s="225"/>
      <c r="BX47" s="223"/>
      <c r="BY47" s="223"/>
      <c r="BZ47" s="230"/>
      <c r="CA47" s="231"/>
      <c r="CB47" s="232"/>
      <c r="CC47" s="230"/>
      <c r="CD47" s="230"/>
      <c r="CE47" s="230">
        <v>1</v>
      </c>
      <c r="CF47" s="231"/>
      <c r="CG47" s="232"/>
      <c r="CH47" s="230"/>
      <c r="CI47" s="235"/>
      <c r="CJ47" s="230"/>
      <c r="CK47" s="231"/>
      <c r="CL47" s="232"/>
      <c r="CM47" s="230"/>
      <c r="CN47" s="230"/>
      <c r="CO47" s="233"/>
      <c r="CP47" s="234"/>
      <c r="CQ47" s="231"/>
      <c r="CR47" s="232"/>
      <c r="CS47" s="230"/>
      <c r="CT47" s="230"/>
      <c r="CU47" s="230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/>
      <c r="BO48" s="223"/>
      <c r="BP48" s="224"/>
      <c r="BQ48" s="225"/>
      <c r="BR48" s="223"/>
      <c r="BS48" s="229"/>
      <c r="BT48" s="223"/>
      <c r="BU48" s="223"/>
      <c r="BV48" s="224"/>
      <c r="BW48" s="225"/>
      <c r="BX48" s="223"/>
      <c r="BY48" s="223"/>
      <c r="BZ48" s="230">
        <v>1</v>
      </c>
      <c r="CA48" s="231"/>
      <c r="CB48" s="232"/>
      <c r="CC48" s="230"/>
      <c r="CD48" s="230">
        <v>1</v>
      </c>
      <c r="CE48" s="230"/>
      <c r="CF48" s="231"/>
      <c r="CG48" s="232"/>
      <c r="CH48" s="230"/>
      <c r="CI48" s="230"/>
      <c r="CJ48" s="230"/>
      <c r="CK48" s="231"/>
      <c r="CL48" s="232"/>
      <c r="CM48" s="230"/>
      <c r="CN48" s="230"/>
      <c r="CO48" s="233"/>
      <c r="CP48" s="234"/>
      <c r="CQ48" s="231"/>
      <c r="CR48" s="232"/>
      <c r="CS48" s="230"/>
      <c r="CT48" s="230"/>
      <c r="CU48" s="230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/>
      <c r="BS49" s="229"/>
      <c r="BT49" s="223"/>
      <c r="BU49" s="223"/>
      <c r="BV49" s="224"/>
      <c r="BW49" s="225"/>
      <c r="BX49" s="223"/>
      <c r="BY49" s="223"/>
      <c r="BZ49" s="230"/>
      <c r="CA49" s="231"/>
      <c r="CB49" s="232"/>
      <c r="CC49" s="230"/>
      <c r="CD49" s="230">
        <v>1</v>
      </c>
      <c r="CE49" s="230"/>
      <c r="CF49" s="231">
        <v>1</v>
      </c>
      <c r="CG49" s="232">
        <v>1</v>
      </c>
      <c r="CH49" s="230">
        <v>1</v>
      </c>
      <c r="CI49" s="230">
        <v>1</v>
      </c>
      <c r="CJ49" s="230">
        <v>1</v>
      </c>
      <c r="CK49" s="231">
        <v>1</v>
      </c>
      <c r="CL49" s="232">
        <v>1</v>
      </c>
      <c r="CM49" s="230">
        <v>1</v>
      </c>
      <c r="CN49" s="230">
        <v>1</v>
      </c>
      <c r="CO49" s="233"/>
      <c r="CP49" s="234">
        <v>1</v>
      </c>
      <c r="CQ49" s="231">
        <v>1</v>
      </c>
      <c r="CR49" s="232">
        <v>1</v>
      </c>
      <c r="CS49" s="230">
        <v>1</v>
      </c>
      <c r="CT49" s="230">
        <v>1</v>
      </c>
      <c r="CU49" s="230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/>
      <c r="BR50" s="223"/>
      <c r="BS50" s="229"/>
      <c r="BT50" s="223"/>
      <c r="BU50" s="223"/>
      <c r="BV50" s="224"/>
      <c r="BW50" s="225"/>
      <c r="BX50" s="223"/>
      <c r="BY50" s="223"/>
      <c r="BZ50" s="230"/>
      <c r="CA50" s="231"/>
      <c r="CB50" s="232"/>
      <c r="CC50" s="230">
        <v>1</v>
      </c>
      <c r="CD50" s="230"/>
      <c r="CE50" s="230"/>
      <c r="CF50" s="231">
        <v>1</v>
      </c>
      <c r="CG50" s="232">
        <v>1</v>
      </c>
      <c r="CH50" s="230">
        <v>1</v>
      </c>
      <c r="CI50" s="230">
        <v>1</v>
      </c>
      <c r="CJ50" s="230">
        <v>1</v>
      </c>
      <c r="CK50" s="231">
        <v>1</v>
      </c>
      <c r="CL50" s="232">
        <v>1</v>
      </c>
      <c r="CM50" s="230">
        <v>1</v>
      </c>
      <c r="CN50" s="230">
        <v>1</v>
      </c>
      <c r="CO50" s="233"/>
      <c r="CP50" s="234">
        <v>1</v>
      </c>
      <c r="CQ50" s="231">
        <v>1</v>
      </c>
      <c r="CR50" s="232">
        <v>1</v>
      </c>
      <c r="CS50" s="230">
        <v>1</v>
      </c>
      <c r="CT50" s="230">
        <v>1</v>
      </c>
      <c r="CU50" s="230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/>
      <c r="BU51" s="223"/>
      <c r="BV51" s="224"/>
      <c r="BW51" s="225"/>
      <c r="BX51" s="223"/>
      <c r="BY51" s="223"/>
      <c r="BZ51" s="230"/>
      <c r="CA51" s="231"/>
      <c r="CB51" s="232"/>
      <c r="CC51" s="230"/>
      <c r="CD51" s="230"/>
      <c r="CE51" s="230"/>
      <c r="CF51" s="231">
        <v>1</v>
      </c>
      <c r="CG51" s="232">
        <v>1</v>
      </c>
      <c r="CH51" s="230">
        <v>1</v>
      </c>
      <c r="CI51" s="230">
        <v>1</v>
      </c>
      <c r="CJ51" s="230">
        <v>1</v>
      </c>
      <c r="CK51" s="231">
        <v>1</v>
      </c>
      <c r="CL51" s="232">
        <v>1</v>
      </c>
      <c r="CM51" s="230">
        <v>1</v>
      </c>
      <c r="CN51" s="230">
        <v>1</v>
      </c>
      <c r="CO51" s="233"/>
      <c r="CP51" s="234">
        <v>1</v>
      </c>
      <c r="CQ51" s="231">
        <v>1</v>
      </c>
      <c r="CR51" s="232">
        <v>1</v>
      </c>
      <c r="CS51" s="230">
        <v>1</v>
      </c>
      <c r="CT51" s="230">
        <v>1</v>
      </c>
      <c r="CU51" s="230">
        <v>1</v>
      </c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/>
      <c r="BO52" s="223"/>
      <c r="BP52" s="224"/>
      <c r="BQ52" s="225"/>
      <c r="BR52" s="223"/>
      <c r="BS52" s="229"/>
      <c r="BT52" s="223"/>
      <c r="BU52" s="223"/>
      <c r="BV52" s="224"/>
      <c r="BW52" s="225"/>
      <c r="BX52" s="223"/>
      <c r="BY52" s="223"/>
      <c r="BZ52" s="230">
        <v>0.25</v>
      </c>
      <c r="CA52" s="231">
        <v>0.75</v>
      </c>
      <c r="CB52" s="232">
        <v>0.75</v>
      </c>
      <c r="CC52" s="230">
        <v>0.75</v>
      </c>
      <c r="CD52" s="230">
        <v>0.75</v>
      </c>
      <c r="CE52" s="230">
        <v>0.75</v>
      </c>
      <c r="CF52" s="231">
        <v>0.75</v>
      </c>
      <c r="CG52" s="232">
        <v>0.75</v>
      </c>
      <c r="CH52" s="230">
        <v>0.75</v>
      </c>
      <c r="CI52" s="230">
        <v>0.75</v>
      </c>
      <c r="CJ52" s="230">
        <v>0.75</v>
      </c>
      <c r="CK52" s="231">
        <v>0.75</v>
      </c>
      <c r="CL52" s="232">
        <v>0.75</v>
      </c>
      <c r="CM52" s="230">
        <v>0.75</v>
      </c>
      <c r="CN52" s="230">
        <v>0.75</v>
      </c>
      <c r="CO52" s="233"/>
      <c r="CP52" s="234">
        <v>0.75</v>
      </c>
      <c r="CQ52" s="231">
        <v>0.75</v>
      </c>
      <c r="CR52" s="232">
        <v>0.75</v>
      </c>
      <c r="CS52" s="230">
        <v>0.75</v>
      </c>
      <c r="CT52" s="230">
        <v>0.75</v>
      </c>
      <c r="CU52" s="230">
        <v>0.5</v>
      </c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/>
      <c r="BR53" s="223"/>
      <c r="BS53" s="229"/>
      <c r="BT53" s="223"/>
      <c r="BU53" s="223"/>
      <c r="BV53" s="224"/>
      <c r="BW53" s="225"/>
      <c r="BX53" s="223"/>
      <c r="BY53" s="223"/>
      <c r="BZ53" s="230"/>
      <c r="CA53" s="231"/>
      <c r="CB53" s="232"/>
      <c r="CC53" s="230">
        <v>1</v>
      </c>
      <c r="CD53" s="230">
        <v>1</v>
      </c>
      <c r="CE53" s="230"/>
      <c r="CF53" s="231"/>
      <c r="CG53" s="232"/>
      <c r="CH53" s="230"/>
      <c r="CI53" s="230"/>
      <c r="CJ53" s="230"/>
      <c r="CK53" s="231"/>
      <c r="CL53" s="232"/>
      <c r="CM53" s="230"/>
      <c r="CN53" s="230"/>
      <c r="CO53" s="233"/>
      <c r="CP53" s="234"/>
      <c r="CQ53" s="231"/>
      <c r="CR53" s="232"/>
      <c r="CS53" s="230"/>
      <c r="CT53" s="230"/>
      <c r="CU53" s="230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/>
      <c r="BP54" s="224"/>
      <c r="BQ54" s="225"/>
      <c r="BR54" s="223"/>
      <c r="BS54" s="229"/>
      <c r="BT54" s="223"/>
      <c r="BU54" s="223"/>
      <c r="BV54" s="224"/>
      <c r="BW54" s="225"/>
      <c r="BX54" s="223"/>
      <c r="BY54" s="223"/>
      <c r="BZ54" s="230"/>
      <c r="CA54" s="231">
        <v>1</v>
      </c>
      <c r="CB54" s="232">
        <v>1</v>
      </c>
      <c r="CC54" s="230"/>
      <c r="CD54" s="230"/>
      <c r="CE54" s="230"/>
      <c r="CF54" s="231"/>
      <c r="CG54" s="232"/>
      <c r="CH54" s="230"/>
      <c r="CI54" s="230"/>
      <c r="CJ54" s="230"/>
      <c r="CK54" s="231"/>
      <c r="CL54" s="232"/>
      <c r="CM54" s="230"/>
      <c r="CN54" s="230"/>
      <c r="CO54" s="233"/>
      <c r="CP54" s="234"/>
      <c r="CQ54" s="231"/>
      <c r="CR54" s="232"/>
      <c r="CS54" s="230"/>
      <c r="CT54" s="230"/>
      <c r="CU54" s="230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36"/>
      <c r="CA55" s="237"/>
      <c r="CB55" s="238"/>
      <c r="CC55" s="236"/>
      <c r="CD55" s="236"/>
      <c r="CE55" s="236"/>
      <c r="CF55" s="237"/>
      <c r="CG55" s="238"/>
      <c r="CH55" s="236"/>
      <c r="CI55" s="236"/>
      <c r="CJ55" s="236"/>
      <c r="CK55" s="237"/>
      <c r="CL55" s="238"/>
      <c r="CM55" s="236"/>
      <c r="CN55" s="236"/>
      <c r="CO55" s="233"/>
      <c r="CP55" s="239"/>
      <c r="CQ55" s="237"/>
      <c r="CR55" s="238"/>
      <c r="CS55" s="236"/>
      <c r="CT55" s="236"/>
      <c r="CU55" s="236">
        <v>1</v>
      </c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2">
        <f>(SUM(D58:D63)/SUM(D58:D63,D65:D75)*F57)+(SUM(D65:D75)/SUM(D58:D63,D65:D75)*F64)</f>
        <v>0.72289156626506024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240">
        <v>1</v>
      </c>
      <c r="CV64" s="241">
        <v>1</v>
      </c>
      <c r="CW64" s="242">
        <v>1</v>
      </c>
      <c r="CX64" s="240">
        <v>1</v>
      </c>
      <c r="CY64" s="240">
        <v>1</v>
      </c>
      <c r="CZ64" s="240">
        <v>1</v>
      </c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/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230"/>
      <c r="CV65" s="231">
        <v>0.75</v>
      </c>
      <c r="CW65" s="232"/>
      <c r="CX65" s="230"/>
      <c r="CY65" s="230"/>
      <c r="CZ65" s="230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/>
      <c r="CJ66" s="75"/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230"/>
      <c r="CV66" s="231">
        <v>0.5</v>
      </c>
      <c r="CW66" s="232">
        <v>0.25</v>
      </c>
      <c r="CX66" s="230"/>
      <c r="CY66" s="230"/>
      <c r="CZ66" s="230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/>
      <c r="CI67" s="75"/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230">
        <v>0.25</v>
      </c>
      <c r="CV67" s="231">
        <v>0.25</v>
      </c>
      <c r="CW67" s="232"/>
      <c r="CX67" s="230"/>
      <c r="CY67" s="230"/>
      <c r="CZ67" s="230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/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230">
        <v>1</v>
      </c>
      <c r="CV68" s="231"/>
      <c r="CW68" s="232"/>
      <c r="CX68" s="230"/>
      <c r="CY68" s="230"/>
      <c r="CZ68" s="230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/>
      <c r="CK69" s="115"/>
      <c r="CL69" s="114"/>
      <c r="CM69" s="75"/>
      <c r="CN69" s="75"/>
      <c r="CO69" s="98"/>
      <c r="CP69" s="103"/>
      <c r="CQ69" s="115"/>
      <c r="CR69" s="114"/>
      <c r="CS69" s="75"/>
      <c r="CT69" s="75"/>
      <c r="CU69" s="230"/>
      <c r="CV69" s="231"/>
      <c r="CW69" s="232">
        <v>1</v>
      </c>
      <c r="CX69" s="230">
        <v>0.5</v>
      </c>
      <c r="CY69" s="230"/>
      <c r="CZ69" s="230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/>
      <c r="CK70" s="115"/>
      <c r="CL70" s="114"/>
      <c r="CM70" s="75"/>
      <c r="CN70" s="75"/>
      <c r="CO70" s="98"/>
      <c r="CP70" s="103"/>
      <c r="CQ70" s="115"/>
      <c r="CR70" s="114"/>
      <c r="CS70" s="75"/>
      <c r="CT70" s="75"/>
      <c r="CU70" s="230"/>
      <c r="CV70" s="231"/>
      <c r="CW70" s="232">
        <v>1</v>
      </c>
      <c r="CX70" s="230">
        <v>0.5</v>
      </c>
      <c r="CY70" s="230"/>
      <c r="CZ70" s="230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/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230"/>
      <c r="CV71" s="231"/>
      <c r="CW71" s="232"/>
      <c r="CX71" s="230">
        <v>1</v>
      </c>
      <c r="CY71" s="230"/>
      <c r="CZ71" s="230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/>
      <c r="CM72" s="75"/>
      <c r="CN72" s="75"/>
      <c r="CO72" s="98">
        <v>0.5</v>
      </c>
      <c r="CP72" s="103"/>
      <c r="CQ72" s="115"/>
      <c r="CR72" s="114"/>
      <c r="CS72" s="75"/>
      <c r="CT72" s="75"/>
      <c r="CU72" s="230"/>
      <c r="CV72" s="231"/>
      <c r="CW72" s="232"/>
      <c r="CX72" s="230"/>
      <c r="CY72" s="230">
        <v>1</v>
      </c>
      <c r="CZ72" s="230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/>
      <c r="CN73" s="75"/>
      <c r="CO73" s="98"/>
      <c r="CP73" s="103"/>
      <c r="CQ73" s="115"/>
      <c r="CR73" s="114"/>
      <c r="CS73" s="75"/>
      <c r="CT73" s="75"/>
      <c r="CU73" s="230"/>
      <c r="CV73" s="231"/>
      <c r="CW73" s="232"/>
      <c r="CX73" s="230"/>
      <c r="CY73" s="230"/>
      <c r="CZ73" s="230">
        <v>1</v>
      </c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/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230"/>
      <c r="CV74" s="231">
        <v>0.75</v>
      </c>
      <c r="CW74" s="232"/>
      <c r="CX74" s="230"/>
      <c r="CY74" s="230"/>
      <c r="CZ74" s="230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/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236"/>
      <c r="CV75" s="237">
        <v>0.75</v>
      </c>
      <c r="CW75" s="238"/>
      <c r="CX75" s="236"/>
      <c r="CY75" s="236"/>
      <c r="CZ75" s="236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(SUM(D78:D83)/SUM(D78:D83,D85:D95)*F77)+(SUM(D85:D95)/SUM(D78:D83,D85:D95)*F84)</f>
        <v>0.10619469026548672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241">
        <v>1</v>
      </c>
      <c r="CW84" s="242">
        <v>1</v>
      </c>
      <c r="CX84" s="240">
        <v>1</v>
      </c>
      <c r="CY84" s="240">
        <v>1</v>
      </c>
      <c r="CZ84" s="240">
        <v>1</v>
      </c>
      <c r="DA84" s="241">
        <v>1</v>
      </c>
      <c r="DB84" s="242"/>
      <c r="DC84" s="240">
        <v>1</v>
      </c>
      <c r="DD84" s="240">
        <v>1</v>
      </c>
      <c r="DE84" s="240">
        <v>1</v>
      </c>
      <c r="DF84" s="241">
        <v>1</v>
      </c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/>
      <c r="CN85" s="75"/>
      <c r="CO85" s="98"/>
      <c r="CP85" s="103"/>
      <c r="CQ85" s="115"/>
      <c r="CR85" s="114"/>
      <c r="CS85" s="75"/>
      <c r="CT85" s="75"/>
      <c r="CU85" s="75"/>
      <c r="CV85" s="231"/>
      <c r="CW85" s="232"/>
      <c r="CX85" s="230"/>
      <c r="CY85" s="230"/>
      <c r="CZ85" s="230">
        <v>1</v>
      </c>
      <c r="DA85" s="231">
        <v>1</v>
      </c>
      <c r="DB85" s="232"/>
      <c r="DC85" s="230">
        <v>1</v>
      </c>
      <c r="DD85" s="230"/>
      <c r="DE85" s="230"/>
      <c r="DF85" s="231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/>
      <c r="CJ86" s="75"/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231">
        <v>0.75</v>
      </c>
      <c r="CW86" s="232">
        <v>0.25</v>
      </c>
      <c r="CX86" s="230"/>
      <c r="CY86" s="230"/>
      <c r="CZ86" s="230"/>
      <c r="DA86" s="231"/>
      <c r="DB86" s="232"/>
      <c r="DC86" s="230"/>
      <c r="DD86" s="230"/>
      <c r="DE86" s="230"/>
      <c r="DF86" s="231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/>
      <c r="CR87" s="114"/>
      <c r="CS87" s="75"/>
      <c r="CT87" s="75"/>
      <c r="CU87" s="75"/>
      <c r="CV87" s="231"/>
      <c r="CW87" s="232"/>
      <c r="CX87" s="230"/>
      <c r="CY87" s="230"/>
      <c r="CZ87" s="230"/>
      <c r="DA87" s="231"/>
      <c r="DB87" s="232"/>
      <c r="DC87" s="230"/>
      <c r="DD87" s="230">
        <v>0.25</v>
      </c>
      <c r="DE87" s="230"/>
      <c r="DF87" s="231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/>
      <c r="CL88" s="114"/>
      <c r="CM88" s="75"/>
      <c r="CN88" s="75"/>
      <c r="CO88" s="98"/>
      <c r="CP88" s="103"/>
      <c r="CQ88" s="115"/>
      <c r="CR88" s="114"/>
      <c r="CS88" s="75"/>
      <c r="CT88" s="75"/>
      <c r="CU88" s="75"/>
      <c r="CV88" s="231"/>
      <c r="CW88" s="232"/>
      <c r="CX88" s="230">
        <v>1</v>
      </c>
      <c r="CY88" s="230">
        <v>1</v>
      </c>
      <c r="CZ88" s="230"/>
      <c r="DA88" s="231"/>
      <c r="DB88" s="232"/>
      <c r="DC88" s="230"/>
      <c r="DD88" s="230"/>
      <c r="DE88" s="230"/>
      <c r="DF88" s="231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/>
      <c r="CK89" s="115"/>
      <c r="CL89" s="114"/>
      <c r="CM89" s="75"/>
      <c r="CN89" s="75"/>
      <c r="CO89" s="98"/>
      <c r="CP89" s="103"/>
      <c r="CQ89" s="115"/>
      <c r="CR89" s="114"/>
      <c r="CS89" s="75"/>
      <c r="CT89" s="75"/>
      <c r="CU89" s="75"/>
      <c r="CV89" s="231"/>
      <c r="CW89" s="232">
        <v>0.5</v>
      </c>
      <c r="CX89" s="230">
        <v>0.5</v>
      </c>
      <c r="CY89" s="230">
        <v>1</v>
      </c>
      <c r="CZ89" s="230"/>
      <c r="DA89" s="231"/>
      <c r="DB89" s="232"/>
      <c r="DC89" s="230"/>
      <c r="DD89" s="230"/>
      <c r="DE89" s="230"/>
      <c r="DF89" s="231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/>
      <c r="CN90" s="75"/>
      <c r="CO90" s="98"/>
      <c r="CP90" s="103"/>
      <c r="CQ90" s="115"/>
      <c r="CR90" s="114"/>
      <c r="CS90" s="75"/>
      <c r="CT90" s="75"/>
      <c r="CU90" s="75"/>
      <c r="CV90" s="231"/>
      <c r="CW90" s="232"/>
      <c r="CX90" s="230"/>
      <c r="CY90" s="230"/>
      <c r="CZ90" s="230">
        <v>1</v>
      </c>
      <c r="DA90" s="231">
        <v>1</v>
      </c>
      <c r="DB90" s="232"/>
      <c r="DC90" s="230">
        <v>1</v>
      </c>
      <c r="DD90" s="230">
        <v>1</v>
      </c>
      <c r="DE90" s="230"/>
      <c r="DF90" s="231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/>
      <c r="CO91" s="98"/>
      <c r="CP91" s="103"/>
      <c r="CQ91" s="115"/>
      <c r="CR91" s="114"/>
      <c r="CS91" s="75"/>
      <c r="CT91" s="75"/>
      <c r="CU91" s="75"/>
      <c r="CV91" s="231"/>
      <c r="CW91" s="232"/>
      <c r="CX91" s="230"/>
      <c r="CY91" s="230"/>
      <c r="CZ91" s="230"/>
      <c r="DA91" s="231">
        <v>0.25</v>
      </c>
      <c r="DB91" s="232"/>
      <c r="DC91" s="230">
        <v>0.75</v>
      </c>
      <c r="DD91" s="230">
        <v>0.75</v>
      </c>
      <c r="DE91" s="230">
        <v>0.75</v>
      </c>
      <c r="DF91" s="231">
        <v>0.5</v>
      </c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/>
      <c r="CO92" s="98"/>
      <c r="CP92" s="103"/>
      <c r="CQ92" s="115"/>
      <c r="CR92" s="114"/>
      <c r="CS92" s="75"/>
      <c r="CT92" s="75"/>
      <c r="CU92" s="75"/>
      <c r="CV92" s="231"/>
      <c r="CW92" s="232"/>
      <c r="CX92" s="230"/>
      <c r="CY92" s="230"/>
      <c r="CZ92" s="230"/>
      <c r="DA92" s="231">
        <v>1</v>
      </c>
      <c r="DB92" s="232"/>
      <c r="DC92" s="230">
        <v>1</v>
      </c>
      <c r="DD92" s="230">
        <v>0.25</v>
      </c>
      <c r="DE92" s="230">
        <v>1</v>
      </c>
      <c r="DF92" s="231">
        <v>0.75</v>
      </c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/>
      <c r="CR93" s="114"/>
      <c r="CS93" s="75"/>
      <c r="CT93" s="75"/>
      <c r="CU93" s="75"/>
      <c r="CV93" s="231"/>
      <c r="CW93" s="232"/>
      <c r="CX93" s="230"/>
      <c r="CY93" s="230"/>
      <c r="CZ93" s="230"/>
      <c r="DA93" s="231"/>
      <c r="DB93" s="232"/>
      <c r="DC93" s="230"/>
      <c r="DD93" s="230">
        <v>1</v>
      </c>
      <c r="DE93" s="230">
        <v>1</v>
      </c>
      <c r="DF93" s="231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/>
      <c r="CK94" s="115"/>
      <c r="CL94" s="114"/>
      <c r="CM94" s="75"/>
      <c r="CN94" s="75"/>
      <c r="CO94" s="98"/>
      <c r="CP94" s="103"/>
      <c r="CQ94" s="115"/>
      <c r="CR94" s="114"/>
      <c r="CS94" s="75"/>
      <c r="CT94" s="75"/>
      <c r="CU94" s="75"/>
      <c r="CV94" s="231"/>
      <c r="CW94" s="232">
        <v>0.75</v>
      </c>
      <c r="CX94" s="230">
        <v>0.25</v>
      </c>
      <c r="CY94" s="230">
        <v>0.75</v>
      </c>
      <c r="CZ94" s="230">
        <v>0.75</v>
      </c>
      <c r="DA94" s="231">
        <v>0.5</v>
      </c>
      <c r="DB94" s="232"/>
      <c r="DC94" s="230"/>
      <c r="DD94" s="230"/>
      <c r="DE94" s="230"/>
      <c r="DF94" s="231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/>
      <c r="CR95" s="118"/>
      <c r="CS95" s="119"/>
      <c r="CT95" s="119"/>
      <c r="CU95" s="119"/>
      <c r="CV95" s="243"/>
      <c r="CW95" s="244"/>
      <c r="CX95" s="245"/>
      <c r="CY95" s="245"/>
      <c r="CZ95" s="245"/>
      <c r="DA95" s="243"/>
      <c r="DB95" s="244"/>
      <c r="DC95" s="245"/>
      <c r="DD95" s="245">
        <v>0.5</v>
      </c>
      <c r="DE95" s="245">
        <v>0.5</v>
      </c>
      <c r="DF95" s="243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75" priority="66" operator="equal">
      <formula>-3</formula>
    </cfRule>
  </conditionalFormatting>
  <conditionalFormatting sqref="AL10:CA11 I10:K11">
    <cfRule type="cellIs" dxfId="74" priority="65" operator="equal">
      <formula>-4</formula>
    </cfRule>
  </conditionalFormatting>
  <conditionalFormatting sqref="CB10:CV10">
    <cfRule type="cellIs" dxfId="73" priority="64" operator="equal">
      <formula>-3</formula>
    </cfRule>
  </conditionalFormatting>
  <conditionalFormatting sqref="CB10:CV10">
    <cfRule type="cellIs" dxfId="72" priority="63" operator="equal">
      <formula>-4</formula>
    </cfRule>
  </conditionalFormatting>
  <conditionalFormatting sqref="CW10:DK10 DM10:DQ10">
    <cfRule type="cellIs" dxfId="71" priority="62" operator="equal">
      <formula>-3</formula>
    </cfRule>
  </conditionalFormatting>
  <conditionalFormatting sqref="CW10:DK10 DM10:DQ10">
    <cfRule type="cellIs" dxfId="70" priority="61" operator="equal">
      <formula>-4</formula>
    </cfRule>
  </conditionalFormatting>
  <conditionalFormatting sqref="DR10:EL10">
    <cfRule type="cellIs" dxfId="69" priority="60" operator="equal">
      <formula>-3</formula>
    </cfRule>
  </conditionalFormatting>
  <conditionalFormatting sqref="DR10:EL10">
    <cfRule type="cellIs" dxfId="68" priority="59" operator="equal">
      <formula>-4</formula>
    </cfRule>
  </conditionalFormatting>
  <conditionalFormatting sqref="EM10:FE10">
    <cfRule type="cellIs" dxfId="67" priority="58" operator="equal">
      <formula>-3</formula>
    </cfRule>
  </conditionalFormatting>
  <conditionalFormatting sqref="EM10:FE10">
    <cfRule type="cellIs" dxfId="66" priority="57" operator="equal">
      <formula>-4</formula>
    </cfRule>
  </conditionalFormatting>
  <conditionalFormatting sqref="CB11:CF11">
    <cfRule type="cellIs" dxfId="65" priority="56" operator="equal">
      <formula>-3</formula>
    </cfRule>
  </conditionalFormatting>
  <conditionalFormatting sqref="CB11:CF11">
    <cfRule type="cellIs" dxfId="64" priority="55" operator="equal">
      <formula>-4</formula>
    </cfRule>
  </conditionalFormatting>
  <conditionalFormatting sqref="CG11:CK11">
    <cfRule type="cellIs" dxfId="63" priority="54" operator="equal">
      <formula>-3</formula>
    </cfRule>
  </conditionalFormatting>
  <conditionalFormatting sqref="CG11:CK11">
    <cfRule type="cellIs" dxfId="62" priority="53" operator="equal">
      <formula>-4</formula>
    </cfRule>
  </conditionalFormatting>
  <conditionalFormatting sqref="CL11:CQ11">
    <cfRule type="cellIs" dxfId="61" priority="52" operator="equal">
      <formula>-3</formula>
    </cfRule>
  </conditionalFormatting>
  <conditionalFormatting sqref="CL11:CQ11">
    <cfRule type="cellIs" dxfId="60" priority="51" operator="equal">
      <formula>-4</formula>
    </cfRule>
  </conditionalFormatting>
  <conditionalFormatting sqref="CR11:CV11">
    <cfRule type="cellIs" dxfId="59" priority="50" operator="equal">
      <formula>-3</formula>
    </cfRule>
  </conditionalFormatting>
  <conditionalFormatting sqref="CR11:CV11">
    <cfRule type="cellIs" dxfId="58" priority="49" operator="equal">
      <formula>-4</formula>
    </cfRule>
  </conditionalFormatting>
  <conditionalFormatting sqref="CW11:DA11">
    <cfRule type="cellIs" dxfId="57" priority="48" operator="equal">
      <formula>-3</formula>
    </cfRule>
  </conditionalFormatting>
  <conditionalFormatting sqref="CW11:DA11">
    <cfRule type="cellIs" dxfId="56" priority="47" operator="equal">
      <formula>-4</formula>
    </cfRule>
  </conditionalFormatting>
  <conditionalFormatting sqref="DB11:DF11">
    <cfRule type="cellIs" dxfId="55" priority="46" operator="equal">
      <formula>-3</formula>
    </cfRule>
  </conditionalFormatting>
  <conditionalFormatting sqref="DB11:DF11">
    <cfRule type="cellIs" dxfId="54" priority="45" operator="equal">
      <formula>-4</formula>
    </cfRule>
  </conditionalFormatting>
  <conditionalFormatting sqref="DG11:DK11">
    <cfRule type="cellIs" dxfId="53" priority="44" operator="equal">
      <formula>-3</formula>
    </cfRule>
  </conditionalFormatting>
  <conditionalFormatting sqref="DG11:DK11">
    <cfRule type="cellIs" dxfId="52" priority="43" operator="equal">
      <formula>-4</formula>
    </cfRule>
  </conditionalFormatting>
  <conditionalFormatting sqref="DM11:DQ11">
    <cfRule type="cellIs" dxfId="51" priority="42" operator="equal">
      <formula>-3</formula>
    </cfRule>
  </conditionalFormatting>
  <conditionalFormatting sqref="DM11:DQ11">
    <cfRule type="cellIs" dxfId="50" priority="41" operator="equal">
      <formula>-4</formula>
    </cfRule>
  </conditionalFormatting>
  <conditionalFormatting sqref="DR11:DV11">
    <cfRule type="cellIs" dxfId="49" priority="40" operator="equal">
      <formula>-3</formula>
    </cfRule>
  </conditionalFormatting>
  <conditionalFormatting sqref="DR11:DV11">
    <cfRule type="cellIs" dxfId="48" priority="39" operator="equal">
      <formula>-4</formula>
    </cfRule>
  </conditionalFormatting>
  <conditionalFormatting sqref="DW11:EA11">
    <cfRule type="cellIs" dxfId="47" priority="38" operator="equal">
      <formula>-3</formula>
    </cfRule>
  </conditionalFormatting>
  <conditionalFormatting sqref="DW11:EA11">
    <cfRule type="cellIs" dxfId="46" priority="37" operator="equal">
      <formula>-4</formula>
    </cfRule>
  </conditionalFormatting>
  <conditionalFormatting sqref="EB11:EG11">
    <cfRule type="cellIs" dxfId="45" priority="36" operator="equal">
      <formula>-3</formula>
    </cfRule>
  </conditionalFormatting>
  <conditionalFormatting sqref="EB11:EG11">
    <cfRule type="cellIs" dxfId="44" priority="35" operator="equal">
      <formula>-4</formula>
    </cfRule>
  </conditionalFormatting>
  <conditionalFormatting sqref="EH11:EL11">
    <cfRule type="cellIs" dxfId="43" priority="34" operator="equal">
      <formula>-3</formula>
    </cfRule>
  </conditionalFormatting>
  <conditionalFormatting sqref="EH11:EL11">
    <cfRule type="cellIs" dxfId="42" priority="33" operator="equal">
      <formula>-4</formula>
    </cfRule>
  </conditionalFormatting>
  <conditionalFormatting sqref="EM11:EQ11">
    <cfRule type="cellIs" dxfId="41" priority="32" operator="equal">
      <formula>-3</formula>
    </cfRule>
  </conditionalFormatting>
  <conditionalFormatting sqref="EM11:EQ11">
    <cfRule type="cellIs" dxfId="40" priority="31" operator="equal">
      <formula>-4</formula>
    </cfRule>
  </conditionalFormatting>
  <conditionalFormatting sqref="ER11:EV11">
    <cfRule type="cellIs" dxfId="39" priority="30" operator="equal">
      <formula>-3</formula>
    </cfRule>
  </conditionalFormatting>
  <conditionalFormatting sqref="ER11:EV11">
    <cfRule type="cellIs" dxfId="38" priority="29" operator="equal">
      <formula>-4</formula>
    </cfRule>
  </conditionalFormatting>
  <conditionalFormatting sqref="EW11:FA11">
    <cfRule type="cellIs" dxfId="37" priority="28" operator="equal">
      <formula>-3</formula>
    </cfRule>
  </conditionalFormatting>
  <conditionalFormatting sqref="EW11:FA11">
    <cfRule type="cellIs" dxfId="36" priority="27" operator="equal">
      <formula>-4</formula>
    </cfRule>
  </conditionalFormatting>
  <conditionalFormatting sqref="FB11:FE11">
    <cfRule type="cellIs" dxfId="35" priority="26" operator="equal">
      <formula>-3</formula>
    </cfRule>
  </conditionalFormatting>
  <conditionalFormatting sqref="FB11:FE11">
    <cfRule type="cellIs" dxfId="34" priority="25" operator="equal">
      <formula>-4</formula>
    </cfRule>
  </conditionalFormatting>
  <conditionalFormatting sqref="CO10:CO11">
    <cfRule type="cellIs" dxfId="33" priority="24" operator="equal">
      <formula>-3</formula>
    </cfRule>
  </conditionalFormatting>
  <conditionalFormatting sqref="CO10:CO11">
    <cfRule type="cellIs" dxfId="32" priority="23" operator="equal">
      <formula>-4</formula>
    </cfRule>
  </conditionalFormatting>
  <conditionalFormatting sqref="EG10:EG11">
    <cfRule type="cellIs" dxfId="31" priority="22" operator="equal">
      <formula>-3</formula>
    </cfRule>
  </conditionalFormatting>
  <conditionalFormatting sqref="EG10:EG11">
    <cfRule type="cellIs" dxfId="30" priority="21" operator="equal">
      <formula>-4</formula>
    </cfRule>
  </conditionalFormatting>
  <conditionalFormatting sqref="FE10:FE11">
    <cfRule type="cellIs" dxfId="29" priority="20" operator="equal">
      <formula>-3</formula>
    </cfRule>
  </conditionalFormatting>
  <conditionalFormatting sqref="FE10:FE11">
    <cfRule type="cellIs" dxfId="28" priority="19" operator="equal">
      <formula>-4</formula>
    </cfRule>
  </conditionalFormatting>
  <conditionalFormatting sqref="DL10">
    <cfRule type="cellIs" dxfId="27" priority="18" operator="equal">
      <formula>-3</formula>
    </cfRule>
  </conditionalFormatting>
  <conditionalFormatting sqref="DL10">
    <cfRule type="cellIs" dxfId="26" priority="17" operator="equal">
      <formula>-4</formula>
    </cfRule>
  </conditionalFormatting>
  <conditionalFormatting sqref="DL11">
    <cfRule type="cellIs" dxfId="25" priority="16" operator="equal">
      <formula>-3</formula>
    </cfRule>
  </conditionalFormatting>
  <conditionalFormatting sqref="DL11">
    <cfRule type="cellIs" dxfId="24" priority="15" operator="equal">
      <formula>-4</formula>
    </cfRule>
  </conditionalFormatting>
  <conditionalFormatting sqref="DL10:DL11">
    <cfRule type="cellIs" dxfId="23" priority="14" operator="equal">
      <formula>-3</formula>
    </cfRule>
  </conditionalFormatting>
  <conditionalFormatting sqref="DL10:DL11">
    <cfRule type="cellIs" dxfId="22" priority="13" operator="equal">
      <formula>-4</formula>
    </cfRule>
  </conditionalFormatting>
  <conditionalFormatting sqref="AG10:AK11">
    <cfRule type="cellIs" dxfId="21" priority="12" operator="equal">
      <formula>-3</formula>
    </cfRule>
  </conditionalFormatting>
  <conditionalFormatting sqref="AG10:AK11">
    <cfRule type="cellIs" dxfId="20" priority="11" operator="equal">
      <formula>-4</formula>
    </cfRule>
  </conditionalFormatting>
  <conditionalFormatting sqref="AB10:AF11">
    <cfRule type="cellIs" dxfId="19" priority="10" operator="equal">
      <formula>-3</formula>
    </cfRule>
  </conditionalFormatting>
  <conditionalFormatting sqref="AB10:AF11">
    <cfRule type="cellIs" dxfId="18" priority="9" operator="equal">
      <formula>-4</formula>
    </cfRule>
  </conditionalFormatting>
  <conditionalFormatting sqref="V10:Y11 AA10:AA11">
    <cfRule type="cellIs" dxfId="17" priority="8" operator="equal">
      <formula>-3</formula>
    </cfRule>
  </conditionalFormatting>
  <conditionalFormatting sqref="V10:Y11 AA10:AA11">
    <cfRule type="cellIs" dxfId="16" priority="7" operator="equal">
      <formula>-4</formula>
    </cfRule>
  </conditionalFormatting>
  <conditionalFormatting sqref="Q10:U11">
    <cfRule type="cellIs" dxfId="15" priority="6" operator="equal">
      <formula>-3</formula>
    </cfRule>
  </conditionalFormatting>
  <conditionalFormatting sqref="Q10:U11">
    <cfRule type="cellIs" dxfId="14" priority="5" operator="equal">
      <formula>-4</formula>
    </cfRule>
  </conditionalFormatting>
  <conditionalFormatting sqref="L10:P11">
    <cfRule type="cellIs" dxfId="13" priority="4" operator="equal">
      <formula>-3</formula>
    </cfRule>
  </conditionalFormatting>
  <conditionalFormatting sqref="L10:P11">
    <cfRule type="cellIs" dxfId="12" priority="3" operator="equal">
      <formula>-4</formula>
    </cfRule>
  </conditionalFormatting>
  <conditionalFormatting sqref="Z10:Z11">
    <cfRule type="cellIs" dxfId="11" priority="2" operator="equal">
      <formula>-3</formula>
    </cfRule>
  </conditionalFormatting>
  <conditionalFormatting sqref="Z10:Z11">
    <cfRule type="cellIs" dxfId="10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5"/>
  <cols>
    <col min="1" max="1" width="12.7109375" bestFit="1" customWidth="1"/>
  </cols>
  <sheetData>
    <row r="1" spans="1:1">
      <c r="A1" s="157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s="160" t="s">
        <v>60</v>
      </c>
    </row>
    <row r="11" spans="1:1">
      <c r="A11" s="159" t="s">
        <v>61</v>
      </c>
    </row>
    <row r="12" spans="1:1">
      <c r="A12" s="161" t="s">
        <v>62</v>
      </c>
    </row>
    <row r="13" spans="1:1">
      <c r="A13" t="s">
        <v>63</v>
      </c>
    </row>
    <row r="24" spans="1:1">
      <c r="A24" t="s">
        <v>64</v>
      </c>
    </row>
    <row r="25" spans="1:1">
      <c r="A25" t="s">
        <v>65</v>
      </c>
    </row>
    <row r="26" spans="1:1">
      <c r="A26" s="158" t="s">
        <v>66</v>
      </c>
    </row>
    <row r="27" spans="1:1">
      <c r="A27" s="158" t="s">
        <v>67</v>
      </c>
    </row>
    <row r="28" spans="1:1">
      <c r="A28" s="158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10.42578125" style="2" bestFit="1" customWidth="1"/>
    <col min="5" max="5" width="2.7109375" style="2" customWidth="1"/>
    <col min="6" max="6" width="16.85546875" style="2" bestFit="1" customWidth="1"/>
    <col min="7" max="7" width="17.7109375" style="2" bestFit="1" customWidth="1"/>
    <col min="8" max="8" width="10.42578125" style="2" bestFit="1" customWidth="1"/>
    <col min="9" max="9" width="13" style="2" bestFit="1" customWidth="1"/>
    <col min="10" max="10" width="16.42578125" style="2" bestFit="1" customWidth="1"/>
    <col min="11" max="11" width="9.57031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4" ht="15">
      <c r="B2" s="1" t="s">
        <v>40</v>
      </c>
    </row>
    <row r="3" spans="2:14" ht="2.1" customHeight="1">
      <c r="B3" s="1"/>
    </row>
    <row r="4" spans="2:14">
      <c r="B4" s="2" t="s">
        <v>69</v>
      </c>
      <c r="C4" s="2">
        <v>9</v>
      </c>
      <c r="H4" s="34" t="s">
        <v>70</v>
      </c>
      <c r="I4" s="34" t="s">
        <v>71</v>
      </c>
      <c r="J4" s="34" t="s">
        <v>72</v>
      </c>
    </row>
    <row r="5" spans="2:14">
      <c r="H5" s="35">
        <v>24</v>
      </c>
      <c r="I5" s="35">
        <v>24</v>
      </c>
      <c r="J5" s="35">
        <f>H5/I5</f>
        <v>1</v>
      </c>
    </row>
    <row r="7" spans="2:14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4">
      <c r="B8" s="8" t="s">
        <v>81</v>
      </c>
      <c r="E8" s="9"/>
      <c r="G8" s="7" t="s">
        <v>82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>
      <c r="B9" s="8" t="s">
        <v>83</v>
      </c>
      <c r="E9" s="9"/>
      <c r="G9" s="7" t="s">
        <v>84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>
      <c r="B10" s="8" t="s">
        <v>77</v>
      </c>
      <c r="E10" s="9"/>
      <c r="G10" s="7" t="s">
        <v>85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>
      <c r="B11" s="8" t="s">
        <v>78</v>
      </c>
      <c r="E11" s="9"/>
    </row>
    <row r="12" spans="2:14">
      <c r="B12" s="8" t="s">
        <v>79</v>
      </c>
      <c r="E12" s="9"/>
    </row>
    <row r="13" spans="2:14">
      <c r="B13" s="10" t="s">
        <v>86</v>
      </c>
      <c r="C13" s="11"/>
      <c r="D13" s="11"/>
      <c r="E13" s="12"/>
    </row>
    <row r="15" spans="2:14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4">
      <c r="B16" s="40">
        <f>SUM(H16:M24)+M28</f>
        <v>70</v>
      </c>
      <c r="C16" s="33" t="s">
        <v>91</v>
      </c>
      <c r="G16" s="3" t="s">
        <v>92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>
      <c r="B17" s="40">
        <f>B16/8</f>
        <v>8.75</v>
      </c>
      <c r="C17" s="33" t="s">
        <v>93</v>
      </c>
      <c r="G17" s="3" t="s">
        <v>94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95</v>
      </c>
    </row>
    <row r="18" spans="2:14">
      <c r="G18" s="3" t="s">
        <v>96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97</v>
      </c>
    </row>
    <row r="19" spans="2:14">
      <c r="B19" s="170">
        <f>B17+'Estimativa - Sat. 84'!B17+'Estimativa - Sat. 83'!B17</f>
        <v>26.458333333333336</v>
      </c>
      <c r="G19" s="3" t="s">
        <v>98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99</v>
      </c>
    </row>
    <row r="20" spans="2:14" ht="16.5" customHeight="1">
      <c r="G20" s="3" t="s">
        <v>100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>
      <c r="G21" s="3" t="s">
        <v>101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102</v>
      </c>
    </row>
    <row r="22" spans="2:14" ht="16.5" customHeight="1">
      <c r="G22" s="3" t="s">
        <v>103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102</v>
      </c>
    </row>
    <row r="23" spans="2:14" ht="16.5" customHeight="1">
      <c r="G23" s="3" t="s">
        <v>104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105</v>
      </c>
    </row>
    <row r="24" spans="2:14" ht="16.5" customHeight="1">
      <c r="G24" s="3" t="s">
        <v>106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107</v>
      </c>
    </row>
    <row r="25" spans="2:14" ht="9.9499999999999993" customHeight="1"/>
    <row r="26" spans="2:14">
      <c r="G26" s="3" t="s">
        <v>108</v>
      </c>
    </row>
    <row r="27" spans="2:14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109</v>
      </c>
    </row>
    <row r="28" spans="2:14" ht="15">
      <c r="G28" s="2" t="s">
        <v>110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111</v>
      </c>
    </row>
    <row r="29" spans="2:14">
      <c r="H29" s="39"/>
      <c r="I29" s="39"/>
      <c r="J29" s="39"/>
      <c r="K29" s="39"/>
      <c r="L29" s="39"/>
    </row>
    <row r="30" spans="2:14">
      <c r="H30" s="38">
        <f>SUM(H28:M28)/8</f>
        <v>8.75</v>
      </c>
    </row>
    <row r="34" spans="8:8">
      <c r="H34" s="38">
        <f>H28+I28+J28+K28</f>
        <v>29</v>
      </c>
    </row>
    <row r="35" spans="8:8">
      <c r="H35" s="38">
        <f>H34/8</f>
        <v>3.625</v>
      </c>
    </row>
  </sheetData>
  <conditionalFormatting sqref="D17:E17 G17 I16:I17">
    <cfRule type="cellIs" dxfId="9" priority="6" operator="equal">
      <formula>-3</formula>
    </cfRule>
  </conditionalFormatting>
  <conditionalFormatting sqref="D17:E17 G17 I16:I17">
    <cfRule type="cellIs" dxfId="8" priority="5" operator="equal">
      <formula>-4</formula>
    </cfRule>
  </conditionalFormatting>
  <conditionalFormatting sqref="I20:I22 I24">
    <cfRule type="cellIs" dxfId="7" priority="4" operator="equal">
      <formula>-3</formula>
    </cfRule>
  </conditionalFormatting>
  <conditionalFormatting sqref="I20:I22 I24">
    <cfRule type="cellIs" dxfId="6" priority="3" operator="equal">
      <formula>-4</formula>
    </cfRule>
  </conditionalFormatting>
  <conditionalFormatting sqref="I23">
    <cfRule type="cellIs" dxfId="5" priority="2" operator="equal">
      <formula>-3</formula>
    </cfRule>
  </conditionalFormatting>
  <conditionalFormatting sqref="I23">
    <cfRule type="cellIs" dxfId="4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11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104.83333333333334</v>
      </c>
      <c r="C16" s="33" t="s">
        <v>91</v>
      </c>
      <c r="G16" s="3" t="s">
        <v>112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113</v>
      </c>
    </row>
    <row r="17" spans="2:14" ht="16.5" customHeight="1">
      <c r="B17" s="40">
        <f>B16/8</f>
        <v>13.104166666666668</v>
      </c>
      <c r="C17" s="33" t="s">
        <v>114</v>
      </c>
      <c r="G17" s="3" t="s">
        <v>115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116</v>
      </c>
    </row>
    <row r="18" spans="2:14" ht="16.5" customHeight="1">
      <c r="G18" s="3" t="s">
        <v>117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118</v>
      </c>
    </row>
    <row r="19" spans="2:14" ht="16.5" customHeight="1">
      <c r="G19" s="3" t="s">
        <v>119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120</v>
      </c>
    </row>
    <row r="20" spans="2:14" ht="16.5" customHeight="1">
      <c r="G20" s="3" t="s">
        <v>121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122</v>
      </c>
    </row>
    <row r="21" spans="2:14" ht="16.5" customHeight="1">
      <c r="G21" s="3" t="s">
        <v>123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124</v>
      </c>
    </row>
    <row r="22" spans="2:14" ht="16.5" customHeight="1">
      <c r="G22" s="3" t="s">
        <v>125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122</v>
      </c>
    </row>
    <row r="23" spans="2:14" ht="16.5" customHeight="1">
      <c r="G23" s="3" t="s">
        <v>126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>
      <c r="G24" s="3" t="s">
        <v>127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>
      <c r="G25" s="3" t="s">
        <v>128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>
      <c r="G26" s="3" t="s">
        <v>129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130</v>
      </c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9.9499999999999993" customHeight="1">
      <c r="G31" s="3"/>
    </row>
    <row r="32" spans="2:14">
      <c r="G32" s="3" t="s">
        <v>132</v>
      </c>
    </row>
    <row r="33" spans="3:10">
      <c r="G33" s="3" t="s">
        <v>109</v>
      </c>
    </row>
    <row r="35" spans="3:10">
      <c r="C35" s="2" t="s">
        <v>133</v>
      </c>
      <c r="I35" s="169">
        <f>SUM(H28:K28)</f>
        <v>57.833333333333336</v>
      </c>
      <c r="J35" s="165">
        <f>I35/8</f>
        <v>7.229166666666667</v>
      </c>
    </row>
    <row r="36" spans="3:10">
      <c r="C36" s="2" t="s">
        <v>134</v>
      </c>
    </row>
    <row r="37" spans="3:10">
      <c r="C37" s="2" t="s">
        <v>135</v>
      </c>
    </row>
    <row r="38" spans="3:10">
      <c r="C38" s="4" t="s">
        <v>136</v>
      </c>
    </row>
    <row r="39" spans="3:10">
      <c r="C39" s="4" t="s">
        <v>137</v>
      </c>
    </row>
    <row r="40" spans="3:10">
      <c r="C40" s="4" t="s">
        <v>138</v>
      </c>
    </row>
    <row r="41" spans="3:10">
      <c r="C41" s="4" t="s">
        <v>139</v>
      </c>
    </row>
    <row r="42" spans="3:10">
      <c r="C42" s="4" t="s">
        <v>140</v>
      </c>
    </row>
    <row r="43" spans="3:10">
      <c r="C43" s="4" t="s">
        <v>141</v>
      </c>
    </row>
    <row r="44" spans="3:10">
      <c r="C44" s="4" t="s">
        <v>142</v>
      </c>
    </row>
  </sheetData>
  <conditionalFormatting sqref="D17:E17">
    <cfRule type="cellIs" dxfId="3" priority="2" operator="equal">
      <formula>-3</formula>
    </cfRule>
  </conditionalFormatting>
  <conditionalFormatting sqref="D17:E17">
    <cfRule type="cellIs" dxfId="2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5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36.833333333333329</v>
      </c>
      <c r="C16" s="33" t="s">
        <v>91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>
      <c r="B17" s="40">
        <f>B16/8</f>
        <v>4.6041666666666661</v>
      </c>
      <c r="C17" s="33" t="s">
        <v>114</v>
      </c>
      <c r="G17" s="3" t="s">
        <v>115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143</v>
      </c>
    </row>
    <row r="18" spans="2:14" ht="16.5" customHeight="1">
      <c r="G18" s="3" t="s">
        <v>144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>
      <c r="G19" s="3" t="s">
        <v>145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146</v>
      </c>
    </row>
    <row r="20" spans="2:14" ht="16.5" customHeight="1">
      <c r="G20" s="3" t="s">
        <v>147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>
      <c r="G21" s="3" t="s">
        <v>148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>
      <c r="G22" s="3"/>
      <c r="H22" s="36"/>
      <c r="I22" s="36"/>
      <c r="J22" s="36"/>
      <c r="K22" s="36"/>
      <c r="L22" s="36"/>
      <c r="M22" s="36"/>
      <c r="N22" s="29"/>
    </row>
    <row r="23" spans="2:14" ht="16.5" customHeight="1">
      <c r="G23" s="3"/>
      <c r="H23" s="36"/>
      <c r="I23" s="36"/>
      <c r="J23" s="36"/>
      <c r="K23" s="36"/>
      <c r="L23" s="36"/>
      <c r="M23" s="36"/>
      <c r="N23" s="29"/>
    </row>
    <row r="24" spans="2:14" ht="16.5" customHeight="1">
      <c r="G24" s="3"/>
      <c r="H24" s="36"/>
      <c r="I24" s="36"/>
      <c r="J24" s="36"/>
      <c r="K24" s="36"/>
      <c r="L24" s="36"/>
      <c r="M24" s="36"/>
    </row>
    <row r="25" spans="2:14" ht="16.5" customHeight="1">
      <c r="G25" s="3"/>
      <c r="H25" s="36"/>
      <c r="I25" s="36"/>
      <c r="J25" s="36"/>
      <c r="K25" s="36"/>
      <c r="L25" s="36"/>
      <c r="M25" s="36"/>
    </row>
    <row r="26" spans="2:14" ht="16.5" customHeight="1">
      <c r="G26" s="3"/>
      <c r="H26" s="36"/>
      <c r="I26" s="36"/>
      <c r="J26" s="36"/>
      <c r="K26" s="36"/>
      <c r="L26" s="36"/>
      <c r="M26" s="36"/>
      <c r="N26" s="29"/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>
      <c r="G32" s="3" t="s">
        <v>132</v>
      </c>
    </row>
    <row r="33" spans="3:7">
      <c r="G33" s="3" t="s">
        <v>109</v>
      </c>
    </row>
    <row r="38" spans="3:7">
      <c r="C38" s="4"/>
    </row>
    <row r="39" spans="3:7">
      <c r="C39" s="4"/>
    </row>
    <row r="40" spans="3:7">
      <c r="C40" s="4"/>
    </row>
    <row r="41" spans="3:7">
      <c r="C41" s="4"/>
    </row>
    <row r="42" spans="3:7">
      <c r="C42" s="4"/>
    </row>
    <row r="43" spans="3:7">
      <c r="C43" s="4"/>
    </row>
    <row r="44" spans="3:7">
      <c r="C44" s="4"/>
    </row>
  </sheetData>
  <conditionalFormatting sqref="D17:E17">
    <cfRule type="cellIs" dxfId="1" priority="2" operator="equal">
      <formula>-3</formula>
    </cfRule>
  </conditionalFormatting>
  <conditionalFormatting sqref="D17:E17">
    <cfRule type="cellIs" dxfId="0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 t="shared" ref="C10:C12" si="1"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 t="shared" si="1"/>
        <v>0</v>
      </c>
      <c r="D11" s="179" t="s">
        <v>156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 t="shared" si="1"/>
        <v>0</v>
      </c>
      <c r="D12" s="179" t="s">
        <v>158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160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 t="shared" ref="C17:C20" si="2"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 t="shared" si="2"/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 t="shared" si="2"/>
        <v>0</v>
      </c>
      <c r="D19" s="179" t="s">
        <v>161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 t="shared" si="2"/>
        <v>0</v>
      </c>
      <c r="D20" s="179" t="s">
        <v>162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163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 t="shared" si="3"/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 t="shared" si="3"/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 t="shared" si="3"/>
        <v>0</v>
      </c>
      <c r="D28" s="179" t="s">
        <v>164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218">
        <v>0.5</v>
      </c>
      <c r="AB11" s="171"/>
      <c r="AC11" s="171"/>
      <c r="AH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W12" s="218">
        <v>4.5</v>
      </c>
      <c r="X12" s="194">
        <v>5</v>
      </c>
      <c r="Y12" s="194">
        <v>4</v>
      </c>
      <c r="AB12" s="171"/>
      <c r="AC12" s="171"/>
      <c r="AH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218">
        <v>2</v>
      </c>
      <c r="AB26" s="171"/>
      <c r="AC26" s="171"/>
      <c r="AH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218">
        <v>2</v>
      </c>
      <c r="AB27" s="171"/>
      <c r="AC27" s="171"/>
      <c r="AH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>
      <c r="A34" s="157" t="s">
        <v>165</v>
      </c>
      <c r="B34" s="177">
        <f>B16+B24+B8</f>
        <v>151.66666666666669</v>
      </c>
      <c r="C34" s="174"/>
      <c r="D34" s="174"/>
    </row>
    <row r="35" spans="1:34">
      <c r="A35" s="157" t="s">
        <v>166</v>
      </c>
      <c r="B35" s="177">
        <f>SUM(B9:B12)+SUM(B17:B20)+SUM(B25:B28)</f>
        <v>98.666666666666671</v>
      </c>
    </row>
    <row r="36" spans="1:34">
      <c r="B36" s="175"/>
    </row>
    <row r="37" spans="1:34">
      <c r="B37" s="175"/>
    </row>
    <row r="38" spans="1:34">
      <c r="B38" s="175"/>
    </row>
    <row r="39" spans="1:34">
      <c r="B39" s="175">
        <f>SUM(B10:B12)+SUM(B18:B20)+SUM(B26:B28)</f>
        <v>85.5</v>
      </c>
    </row>
    <row r="40" spans="1:34">
      <c r="B40" s="178">
        <f>B39/3</f>
        <v>28.5</v>
      </c>
    </row>
    <row r="41" spans="1:34">
      <c r="B41" s="178">
        <f>B40/2</f>
        <v>14.25</v>
      </c>
    </row>
    <row r="42" spans="1:34">
      <c r="B42">
        <f>B41-8</f>
        <v>6.25</v>
      </c>
    </row>
    <row r="43" spans="1:34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5"/>
  <cols>
    <col min="1" max="1" width="19.7109375" customWidth="1"/>
    <col min="2" max="2" width="11.42578125" hidden="1" customWidth="1"/>
    <col min="3" max="3" width="9.42578125" hidden="1" customWidth="1"/>
    <col min="4" max="4" width="4.140625" customWidth="1"/>
    <col min="5" max="9" width="4.85546875" bestFit="1" customWidth="1"/>
    <col min="10" max="10" width="6" bestFit="1" customWidth="1"/>
    <col min="11" max="12" width="4.85546875" bestFit="1" customWidth="1"/>
    <col min="13" max="31" width="5.7109375" bestFit="1" customWidth="1"/>
    <col min="32" max="48" width="5.7109375" customWidth="1"/>
  </cols>
  <sheetData>
    <row r="3" spans="1:50">
      <c r="A3" s="157" t="s">
        <v>176</v>
      </c>
      <c r="C3" s="174" t="s">
        <v>150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>
      <c r="A5" s="214" t="s">
        <v>178</v>
      </c>
      <c r="C5" s="174"/>
      <c r="D5" s="174"/>
      <c r="G5" s="171"/>
      <c r="H5" s="171"/>
      <c r="L5" s="185" t="s">
        <v>175</v>
      </c>
      <c r="M5" s="185" t="s">
        <v>175</v>
      </c>
      <c r="N5" s="171"/>
      <c r="O5" s="171"/>
      <c r="P5" s="185" t="s">
        <v>185</v>
      </c>
      <c r="Q5" s="185" t="s">
        <v>185</v>
      </c>
      <c r="U5" s="171"/>
      <c r="V5" s="171"/>
      <c r="W5" s="185" t="s">
        <v>184</v>
      </c>
      <c r="X5" s="185" t="s">
        <v>184</v>
      </c>
      <c r="AA5" s="185" t="s">
        <v>184</v>
      </c>
      <c r="AB5" s="171"/>
      <c r="AC5" s="171"/>
      <c r="AG5" s="185" t="s">
        <v>184</v>
      </c>
      <c r="AH5" s="171"/>
      <c r="AI5" s="171"/>
      <c r="AJ5" s="171"/>
      <c r="AL5" s="185" t="s">
        <v>184</v>
      </c>
      <c r="AN5" s="185" t="s">
        <v>184</v>
      </c>
      <c r="AP5" s="171"/>
      <c r="AQ5" s="171"/>
      <c r="AT5" s="185" t="s">
        <v>184</v>
      </c>
    </row>
    <row r="6" spans="1:50" ht="6" customHeight="1">
      <c r="A6" s="214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>
      <c r="A7" s="214" t="s">
        <v>177</v>
      </c>
      <c r="C7" s="180"/>
      <c r="D7" s="179"/>
      <c r="G7" s="171"/>
      <c r="H7" s="171"/>
      <c r="I7" s="185" t="s">
        <v>175</v>
      </c>
      <c r="J7" s="185" t="s">
        <v>175</v>
      </c>
      <c r="L7" s="185" t="s">
        <v>185</v>
      </c>
      <c r="N7" s="171"/>
      <c r="O7" s="171"/>
      <c r="P7" s="185" t="s">
        <v>185</v>
      </c>
      <c r="Q7" s="215" t="s">
        <v>179</v>
      </c>
      <c r="S7" s="179"/>
      <c r="T7" s="185" t="s">
        <v>175</v>
      </c>
      <c r="U7" s="171"/>
      <c r="V7" s="171"/>
      <c r="W7" s="185" t="s">
        <v>175</v>
      </c>
      <c r="X7" s="185" t="s">
        <v>184</v>
      </c>
      <c r="Y7" s="185" t="s">
        <v>184</v>
      </c>
      <c r="Z7" s="185" t="s">
        <v>184</v>
      </c>
      <c r="AB7" s="171"/>
      <c r="AC7" s="171"/>
      <c r="AF7" s="185" t="s">
        <v>184</v>
      </c>
      <c r="AH7" s="171"/>
      <c r="AI7" s="171"/>
      <c r="AJ7" s="171"/>
      <c r="AK7" s="185" t="s">
        <v>184</v>
      </c>
      <c r="AM7" s="185" t="s">
        <v>184</v>
      </c>
      <c r="AP7" s="171"/>
      <c r="AQ7" s="171"/>
      <c r="AS7" s="185" t="s">
        <v>184</v>
      </c>
    </row>
    <row r="8" spans="1:50" ht="7.5" customHeight="1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>
      <c r="A9" s="173"/>
      <c r="C9" s="180"/>
    </row>
    <row r="10" spans="1:50" s="213" customFormat="1">
      <c r="A10" s="214" t="s">
        <v>187</v>
      </c>
      <c r="B10"/>
      <c r="I10" s="216">
        <f>SUM(Resumo!I18:I19)</f>
        <v>0</v>
      </c>
      <c r="J10" s="216">
        <f>SUM(Resumo!J18:J19)</f>
        <v>0</v>
      </c>
      <c r="K10" s="216">
        <f>SUM(Resumo!K18:K19)</f>
        <v>0</v>
      </c>
      <c r="L10" s="216">
        <f>SUM(Resumo!L18:L19)</f>
        <v>4</v>
      </c>
      <c r="M10" s="216">
        <f>SUM(Resumo!M18:M19)</f>
        <v>4</v>
      </c>
      <c r="N10" s="216"/>
      <c r="O10" s="216"/>
      <c r="P10" s="216">
        <f>SUM(Resumo!P18:P19)</f>
        <v>4</v>
      </c>
      <c r="Q10" s="216">
        <f>SUM(Resumo!Q18:Q19)</f>
        <v>2</v>
      </c>
      <c r="R10" s="216">
        <f>SUM(Resumo!R18:R19)</f>
        <v>0</v>
      </c>
      <c r="S10" s="216">
        <f>SUM(Resumo!S18:S19)</f>
        <v>0</v>
      </c>
      <c r="T10" s="216">
        <f>SUM(Resumo!T18:T19)</f>
        <v>0</v>
      </c>
      <c r="U10" s="216"/>
      <c r="V10" s="216"/>
      <c r="W10" s="216">
        <f>SUM(Resumo!W18:W19)</f>
        <v>0</v>
      </c>
      <c r="X10" s="216">
        <f>SUM(Resumo!X18:X19)+1</f>
        <v>1</v>
      </c>
      <c r="Y10" s="216">
        <f>SUM(Resumo!Y18:Y19)</f>
        <v>0</v>
      </c>
      <c r="Z10" s="216">
        <f>SUM(Resumo!Z18:Z19)</f>
        <v>0</v>
      </c>
      <c r="AA10" s="216">
        <f>SUM(Resumo!AA18:AA19)+1</f>
        <v>1</v>
      </c>
      <c r="AB10" s="216"/>
      <c r="AC10" s="216"/>
      <c r="AD10" s="216">
        <f>SUM(Resumo!AD18:AD19)</f>
        <v>0</v>
      </c>
      <c r="AE10" s="216">
        <f>SUM(Resumo!AE18:AE19)</f>
        <v>0</v>
      </c>
      <c r="AF10" s="216">
        <f>SUM(Resumo!AF18:AF19)</f>
        <v>0</v>
      </c>
      <c r="AG10" s="216">
        <f>SUM(Resumo!AG18:AG19)+1</f>
        <v>1</v>
      </c>
      <c r="AH10" s="216"/>
      <c r="AI10" s="216"/>
      <c r="AJ10" s="216"/>
      <c r="AK10" s="216">
        <f>SUM(Resumo!AK18:AK19)</f>
        <v>0</v>
      </c>
      <c r="AL10" s="216">
        <f>SUM(Resumo!AL18:AL19)+1</f>
        <v>1</v>
      </c>
      <c r="AM10" s="216">
        <f>SUM(Resumo!AM18:AM19)</f>
        <v>0</v>
      </c>
      <c r="AN10" s="216">
        <f>SUM(Resumo!AN18:AN19)+1</f>
        <v>1</v>
      </c>
      <c r="AO10" s="216">
        <f>SUM(Resumo!AO18:AO19)</f>
        <v>0</v>
      </c>
      <c r="AP10" s="216"/>
      <c r="AQ10" s="216"/>
      <c r="AR10" s="216">
        <f>SUM(Resumo!AR18:AR19)</f>
        <v>0</v>
      </c>
      <c r="AS10" s="216">
        <f>SUM(Resumo!AS18:AS19)</f>
        <v>0</v>
      </c>
      <c r="AT10" s="216">
        <f>SUM(Resumo!AT18:AT19)+1</f>
        <v>1</v>
      </c>
      <c r="AU10" s="216">
        <f>SUM(Resumo!AU18:AU19)</f>
        <v>0</v>
      </c>
      <c r="AV10" s="216">
        <f>SUM(Resumo!AV18:AV19)</f>
        <v>0</v>
      </c>
      <c r="AX10" s="213">
        <f>SUM(E10:AV10)</f>
        <v>20</v>
      </c>
    </row>
    <row r="11" spans="1:50" s="213" customFormat="1">
      <c r="A11" s="214" t="s">
        <v>188</v>
      </c>
      <c r="B11"/>
      <c r="I11" s="213">
        <f>SUM(Resumo!I10:I11,Resumo!I26:I27)</f>
        <v>6</v>
      </c>
      <c r="J11" s="213">
        <f>SUM(Resumo!J10:J11,Resumo!J26:J27)</f>
        <v>6</v>
      </c>
      <c r="K11" s="213">
        <f>SUM(Resumo!K10:K11,Resumo!K26:K27)</f>
        <v>0</v>
      </c>
      <c r="L11" s="213">
        <f>SUM(Resumo!L10:L11,Resumo!L26:L27)</f>
        <v>6</v>
      </c>
      <c r="M11" s="213">
        <f>SUM(Resumo!M10:M11,Resumo!M26:M27)</f>
        <v>0</v>
      </c>
      <c r="P11" s="213">
        <f>SUM(Resumo!P10:P11,Resumo!P26:P27)</f>
        <v>6</v>
      </c>
      <c r="Q11" s="213">
        <f>SUM(Resumo!Q10:Q11,Resumo!Q26:Q27)</f>
        <v>8</v>
      </c>
      <c r="R11" s="213">
        <f>SUM(Resumo!R10:R11,Resumo!R26:R27)</f>
        <v>0</v>
      </c>
      <c r="S11" s="213">
        <f>SUM(Resumo!S10:S11,Resumo!S26:S27)</f>
        <v>0</v>
      </c>
      <c r="T11" s="213">
        <f>SUM(Resumo!T10:T11,Resumo!T26:T27)</f>
        <v>5</v>
      </c>
      <c r="W11" s="213">
        <f>SUM(Resumo!W10:W11,Resumo!W26:W27)</f>
        <v>4.5</v>
      </c>
      <c r="X11" s="216">
        <f>SUM(Resumo!X10:X11,Resumo!X26:X27)+1</f>
        <v>1</v>
      </c>
      <c r="Y11" s="216">
        <f>SUM(Resumo!Y10:Y11,Resumo!Y26:Y27)+1</f>
        <v>1</v>
      </c>
      <c r="Z11" s="213">
        <f>SUM(Resumo!Z10:Z11,Resumo!Z26:Z27)+1</f>
        <v>1</v>
      </c>
      <c r="AA11" s="213">
        <f>SUM(Resumo!AA10:AA11,Resumo!AA26:AA27)</f>
        <v>0</v>
      </c>
      <c r="AD11" s="213">
        <f>SUM(Resumo!AD10:AD11,Resumo!AD26:AD27)</f>
        <v>0</v>
      </c>
      <c r="AE11" s="213">
        <f>SUM(Resumo!AE10:AE11,Resumo!AE26:AE27)</f>
        <v>0</v>
      </c>
      <c r="AF11" s="213">
        <f>SUM(Resumo!AF10:AF11,Resumo!AF26:AF27)+1</f>
        <v>1</v>
      </c>
      <c r="AG11" s="213">
        <f>SUM(Resumo!AG10:AG11,Resumo!AG26:AG27)</f>
        <v>0</v>
      </c>
      <c r="AK11" s="213">
        <f>SUM(Resumo!AK10:AK11,Resumo!AK26:AK27)+1</f>
        <v>1</v>
      </c>
      <c r="AL11" s="213">
        <f>SUM(Resumo!AL10:AL11,Resumo!AL26:AL27)</f>
        <v>0</v>
      </c>
      <c r="AM11" s="213">
        <f>SUM(Resumo!AM10:AM11,Resumo!AM26:AM27)+1</f>
        <v>1</v>
      </c>
      <c r="AN11" s="213">
        <f>SUM(Resumo!AN10:AN11,Resumo!AN26:AN27)</f>
        <v>0</v>
      </c>
      <c r="AO11" s="213">
        <f>SUM(Resumo!AO10:AO11,Resumo!AO26:AO27)</f>
        <v>0</v>
      </c>
      <c r="AR11" s="213">
        <f>SUM(Resumo!AR10:AR11,Resumo!AR26:AR27)</f>
        <v>0</v>
      </c>
      <c r="AS11" s="213">
        <f>SUM(Resumo!AS10:AS11,Resumo!AS26:AS27)+1</f>
        <v>1</v>
      </c>
      <c r="AT11" s="213">
        <f>SUM(Resumo!AT10:AT11,Resumo!AT26:AT27)</f>
        <v>0</v>
      </c>
      <c r="AU11" s="213">
        <f>SUM(Resumo!AU10:AU11,Resumo!AU26:AU27)</f>
        <v>0</v>
      </c>
      <c r="AV11" s="213">
        <f>SUM(Resumo!AV10:AV11,Resumo!AV26:AV27)</f>
        <v>0</v>
      </c>
      <c r="AX11" s="213">
        <f>SUM(E11:AV11)</f>
        <v>48.5</v>
      </c>
    </row>
    <row r="12" spans="1:50" s="213" customFormat="1">
      <c r="A12" s="214" t="s">
        <v>189</v>
      </c>
      <c r="B12"/>
      <c r="I12" s="217">
        <f>I10+I11</f>
        <v>6</v>
      </c>
      <c r="J12" s="217">
        <f t="shared" ref="J12:AV12" si="0">J10+J11</f>
        <v>6</v>
      </c>
      <c r="K12" s="217">
        <f t="shared" si="0"/>
        <v>0</v>
      </c>
      <c r="L12" s="217">
        <f t="shared" si="0"/>
        <v>10</v>
      </c>
      <c r="M12" s="217">
        <f t="shared" si="0"/>
        <v>4</v>
      </c>
      <c r="N12" s="217"/>
      <c r="O12" s="217"/>
      <c r="P12" s="217">
        <f t="shared" si="0"/>
        <v>10</v>
      </c>
      <c r="Q12" s="217">
        <f t="shared" si="0"/>
        <v>10</v>
      </c>
      <c r="R12" s="217">
        <f t="shared" si="0"/>
        <v>0</v>
      </c>
      <c r="S12" s="217">
        <f t="shared" si="0"/>
        <v>0</v>
      </c>
      <c r="T12" s="217">
        <f t="shared" si="0"/>
        <v>5</v>
      </c>
      <c r="U12" s="217"/>
      <c r="V12" s="217"/>
      <c r="W12" s="217">
        <f t="shared" si="0"/>
        <v>4.5</v>
      </c>
      <c r="X12" s="217">
        <f t="shared" si="0"/>
        <v>2</v>
      </c>
      <c r="Y12" s="217">
        <f t="shared" si="0"/>
        <v>1</v>
      </c>
      <c r="Z12" s="217">
        <f t="shared" si="0"/>
        <v>1</v>
      </c>
      <c r="AA12" s="217">
        <f t="shared" si="0"/>
        <v>1</v>
      </c>
      <c r="AB12" s="217"/>
      <c r="AC12" s="217"/>
      <c r="AD12" s="217">
        <f t="shared" si="0"/>
        <v>0</v>
      </c>
      <c r="AE12" s="217">
        <f t="shared" si="0"/>
        <v>0</v>
      </c>
      <c r="AF12" s="217">
        <f t="shared" si="0"/>
        <v>1</v>
      </c>
      <c r="AG12" s="217">
        <f t="shared" si="0"/>
        <v>1</v>
      </c>
      <c r="AH12" s="217"/>
      <c r="AI12" s="217"/>
      <c r="AJ12" s="217"/>
      <c r="AK12" s="217">
        <f t="shared" si="0"/>
        <v>1</v>
      </c>
      <c r="AL12" s="217">
        <f t="shared" si="0"/>
        <v>1</v>
      </c>
      <c r="AM12" s="217">
        <f t="shared" si="0"/>
        <v>1</v>
      </c>
      <c r="AN12" s="217">
        <f t="shared" si="0"/>
        <v>1</v>
      </c>
      <c r="AO12" s="217">
        <f t="shared" si="0"/>
        <v>0</v>
      </c>
      <c r="AP12" s="217"/>
      <c r="AQ12" s="217"/>
      <c r="AR12" s="217">
        <f t="shared" si="0"/>
        <v>0</v>
      </c>
      <c r="AS12" s="217">
        <f t="shared" si="0"/>
        <v>1</v>
      </c>
      <c r="AT12" s="217">
        <f t="shared" si="0"/>
        <v>1</v>
      </c>
      <c r="AU12" s="217">
        <f t="shared" si="0"/>
        <v>0</v>
      </c>
      <c r="AV12" s="217">
        <f t="shared" si="0"/>
        <v>0</v>
      </c>
    </row>
    <row r="14" spans="1:50">
      <c r="A14" s="212" t="s">
        <v>180</v>
      </c>
    </row>
    <row r="15" spans="1:50">
      <c r="A15" s="173" t="s">
        <v>181</v>
      </c>
    </row>
    <row r="16" spans="1:50">
      <c r="A16" s="173" t="s">
        <v>182</v>
      </c>
    </row>
    <row r="17" spans="1:1">
      <c r="A17" s="173" t="s">
        <v>183</v>
      </c>
    </row>
    <row r="18" spans="1:1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5"/>
  <cols>
    <col min="1" max="1" width="30.140625" bestFit="1" customWidth="1"/>
    <col min="2" max="9" width="5.140625" bestFit="1" customWidth="1"/>
    <col min="10" max="30" width="6" bestFit="1" customWidth="1"/>
    <col min="31" max="31" width="2.85546875" customWidth="1"/>
  </cols>
  <sheetData>
    <row r="2" spans="1:30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>
      <c r="A3" s="197" t="s">
        <v>151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>
      <c r="A5" s="197" t="s">
        <v>43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>
      <c r="A6" s="201" t="s">
        <v>171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>
      <c r="A7" s="205" t="s">
        <v>172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>
      <c r="A8" s="205" t="s">
        <v>173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>
      <c r="A9" s="205" t="s">
        <v>157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>
      <c r="A10" s="205" t="s">
        <v>174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>
      <c r="A12" s="197" t="s">
        <v>40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>
      <c r="A13" s="211" t="s">
        <v>171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>
      <c r="A14" s="205" t="s">
        <v>172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>
      <c r="A15" s="205" t="s">
        <v>173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>
      <c r="A16" s="205" t="s">
        <v>157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>
      <c r="A17" s="205" t="s">
        <v>174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>
      <c r="A19" s="197" t="s">
        <v>42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>
      <c r="A20" s="211" t="s">
        <v>171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>
      <c r="A21" s="205" t="s">
        <v>172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>
      <c r="A22" s="205" t="s">
        <v>173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>
      <c r="A23" s="205" t="s">
        <v>157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>
      <c r="A24" s="205" t="s">
        <v>174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C391ED-106E-4E6E-830C-A6AB577D67AE}"/>
</file>

<file path=customXml/itemProps3.xml><?xml version="1.0" encoding="utf-8"?>
<ds:datastoreItem xmlns:ds="http://schemas.openxmlformats.org/officeDocument/2006/customXml" ds:itemID="{62621394-D6D7-493A-99C5-4B31215EDD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Macroplano</vt:lpstr>
      <vt:lpstr>Macroplano_v2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Ana Rita Geraldo de Caguerelho</cp:lastModifiedBy>
  <cp:revision/>
  <dcterms:created xsi:type="dcterms:W3CDTF">2023-10-16T09:30:09Z</dcterms:created>
  <dcterms:modified xsi:type="dcterms:W3CDTF">2024-02-15T10:44:12Z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2024-02-05T12:09:18Z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e8d1741e-a54c-4ffb-b740-380afff5539f</vt:lpwstr>
  </property>
  <property fmtid="{D5CDD505-2E9C-101B-9397-08002B2CF9AE}" pid="9" name="MSIP_Label_0c2abd79-57a9-4473-8700-c843f76a1e37_ContentBits">
    <vt:lpwstr>0</vt:lpwstr>
  </property>
</Properties>
</file>