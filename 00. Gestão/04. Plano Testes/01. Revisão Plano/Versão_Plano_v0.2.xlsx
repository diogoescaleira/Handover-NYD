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https://santandernet.sharepoint.com/sites/TestesGDPilar3ESG/Shared Documents/General/00. Gestão/04. Plano Testes/01. Revisão Plano/"/>
    </mc:Choice>
  </mc:AlternateContent>
  <bookViews>
    <workbookView xWindow="0" yWindow="0" windowWidth="28770" windowHeight="12510"/>
  </bookViews>
  <sheets>
    <sheet name="1. Campos" sheetId="1" r:id="rId1"/>
    <sheet name="2. Entregas 31Jan" sheetId="6" r:id="rId2"/>
    <sheet name="Input &gt;&gt;" sheetId="3" r:id="rId3"/>
    <sheet name="Ficheiros" sheetId="2" r:id="rId4"/>
    <sheet name="Especificação Novos Req. LT (2" sheetId="4" r:id="rId5"/>
  </sheets>
  <externalReferences>
    <externalReference r:id="rId6"/>
  </externalReferences>
  <definedNames>
    <definedName name="_AMO_UniqueIdentifier" hidden="1">"'98fdfd1e-8a18-42d0-9169-4592737fd980'"</definedName>
    <definedName name="_xlnm._FilterDatabase" localSheetId="0" hidden="1">'1. Campos'!$A$8:$AX$557</definedName>
    <definedName name="_xlnm._FilterDatabase" localSheetId="3" hidden="1">Ficheiros!$A$3:$U$91</definedName>
    <definedName name="asefadf">#REF!</definedName>
    <definedName name="bn">#REF!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T382" i="2" l="1"/>
  <c r="T381" i="2"/>
  <c r="T380" i="2"/>
  <c r="T379" i="2"/>
  <c r="T378" i="2"/>
  <c r="T377" i="2"/>
  <c r="T376" i="2"/>
  <c r="T375" i="2"/>
  <c r="T374" i="2"/>
  <c r="T373" i="2"/>
  <c r="T372" i="2"/>
  <c r="T371" i="2"/>
  <c r="T370" i="2"/>
  <c r="T369" i="2"/>
  <c r="T368" i="2"/>
  <c r="T367" i="2"/>
  <c r="T366" i="2"/>
  <c r="T365" i="2"/>
  <c r="T364" i="2"/>
  <c r="T363" i="2"/>
  <c r="T362" i="2"/>
  <c r="T361" i="2"/>
  <c r="T360" i="2"/>
  <c r="T359" i="2"/>
  <c r="T358" i="2"/>
  <c r="T357" i="2"/>
  <c r="T356" i="2"/>
  <c r="T355" i="2"/>
  <c r="T354" i="2"/>
  <c r="T353" i="2"/>
  <c r="T352" i="2"/>
  <c r="T351" i="2"/>
  <c r="T350" i="2"/>
  <c r="T349" i="2"/>
  <c r="T348" i="2"/>
  <c r="T347" i="2"/>
  <c r="T346" i="2"/>
  <c r="T345" i="2"/>
  <c r="T344" i="2"/>
  <c r="T343" i="2"/>
  <c r="T342" i="2"/>
  <c r="T341" i="2"/>
  <c r="T340" i="2"/>
  <c r="T339" i="2"/>
  <c r="T338" i="2"/>
  <c r="T337" i="2"/>
  <c r="T336" i="2"/>
  <c r="T335" i="2"/>
  <c r="T334" i="2"/>
  <c r="T333" i="2"/>
  <c r="T332" i="2"/>
  <c r="T331" i="2"/>
  <c r="T330" i="2"/>
  <c r="T329" i="2"/>
  <c r="T328" i="2"/>
  <c r="T327" i="2"/>
  <c r="T326" i="2"/>
  <c r="T325" i="2"/>
  <c r="T324" i="2"/>
  <c r="T323" i="2"/>
  <c r="T322" i="2"/>
  <c r="T321" i="2"/>
  <c r="T320" i="2"/>
  <c r="T319" i="2"/>
  <c r="T318" i="2"/>
  <c r="T317" i="2"/>
  <c r="T316" i="2"/>
  <c r="T315" i="2"/>
  <c r="T314" i="2"/>
  <c r="T313" i="2"/>
  <c r="T312" i="2"/>
  <c r="T311" i="2"/>
  <c r="T310" i="2"/>
  <c r="T309" i="2"/>
  <c r="T308" i="2"/>
  <c r="T307" i="2"/>
  <c r="T306" i="2"/>
  <c r="T305" i="2"/>
  <c r="T304" i="2"/>
  <c r="T303" i="2"/>
  <c r="T302" i="2"/>
  <c r="T301" i="2"/>
  <c r="T300" i="2"/>
  <c r="T299" i="2"/>
  <c r="T298" i="2"/>
  <c r="T297" i="2"/>
  <c r="T296" i="2"/>
  <c r="T295" i="2"/>
  <c r="T294" i="2"/>
  <c r="T293" i="2"/>
  <c r="T292" i="2"/>
  <c r="T291" i="2"/>
  <c r="T290" i="2"/>
  <c r="T289" i="2"/>
  <c r="T288" i="2"/>
  <c r="T287" i="2"/>
  <c r="T286" i="2"/>
  <c r="T285" i="2"/>
  <c r="T284" i="2"/>
  <c r="T283" i="2"/>
  <c r="T282" i="2"/>
  <c r="T281" i="2"/>
  <c r="T280" i="2"/>
  <c r="T279" i="2"/>
  <c r="T278" i="2"/>
  <c r="T277" i="2"/>
  <c r="T276" i="2"/>
  <c r="T275" i="2"/>
  <c r="T274" i="2"/>
  <c r="T273" i="2"/>
  <c r="T272" i="2"/>
  <c r="T271" i="2"/>
  <c r="T270" i="2"/>
  <c r="T269" i="2"/>
  <c r="T268" i="2"/>
  <c r="T267" i="2"/>
  <c r="T266" i="2"/>
  <c r="T265" i="2"/>
  <c r="T264" i="2"/>
  <c r="T263" i="2"/>
  <c r="T262" i="2"/>
  <c r="T261" i="2"/>
  <c r="T260" i="2"/>
  <c r="T259" i="2"/>
  <c r="T258" i="2"/>
  <c r="T257" i="2"/>
  <c r="T256" i="2"/>
  <c r="T255" i="2"/>
  <c r="T254" i="2"/>
  <c r="T253" i="2"/>
  <c r="T252" i="2"/>
  <c r="T251" i="2"/>
  <c r="T250" i="2"/>
  <c r="T249" i="2"/>
  <c r="T248" i="2"/>
  <c r="T247" i="2"/>
  <c r="T246" i="2"/>
  <c r="T245" i="2"/>
  <c r="T244" i="2"/>
  <c r="T243" i="2"/>
  <c r="T242" i="2"/>
  <c r="T241" i="2"/>
  <c r="T240" i="2"/>
  <c r="T239" i="2"/>
  <c r="T238" i="2"/>
  <c r="T237" i="2"/>
  <c r="T236" i="2"/>
  <c r="T235" i="2"/>
  <c r="T234" i="2"/>
  <c r="T233" i="2"/>
  <c r="T232" i="2"/>
  <c r="T231" i="2"/>
  <c r="T230" i="2"/>
  <c r="T229" i="2"/>
  <c r="T228" i="2"/>
  <c r="T227" i="2"/>
  <c r="T226" i="2"/>
  <c r="T225" i="2"/>
  <c r="T224" i="2"/>
  <c r="T223" i="2"/>
  <c r="T222" i="2"/>
  <c r="T221" i="2"/>
  <c r="T220" i="2"/>
  <c r="T219" i="2"/>
  <c r="T218" i="2"/>
  <c r="T217" i="2"/>
  <c r="T216" i="2"/>
  <c r="T215" i="2"/>
  <c r="T214" i="2"/>
  <c r="T213" i="2"/>
  <c r="T212" i="2"/>
  <c r="T211" i="2"/>
  <c r="T210" i="2"/>
  <c r="T209" i="2"/>
  <c r="T208" i="2"/>
  <c r="T207" i="2"/>
  <c r="T206" i="2"/>
  <c r="T205" i="2"/>
  <c r="T204" i="2"/>
  <c r="T203" i="2"/>
  <c r="T202" i="2"/>
  <c r="T201" i="2"/>
  <c r="T200" i="2"/>
  <c r="T199" i="2"/>
  <c r="T198" i="2"/>
  <c r="T197" i="2"/>
  <c r="T196" i="2"/>
  <c r="T195" i="2"/>
  <c r="T194" i="2"/>
  <c r="T193" i="2"/>
  <c r="T192" i="2"/>
  <c r="T191" i="2"/>
  <c r="T190" i="2"/>
  <c r="T189" i="2"/>
  <c r="T188" i="2"/>
  <c r="T187" i="2"/>
  <c r="T186" i="2"/>
  <c r="T185" i="2"/>
  <c r="T184" i="2"/>
  <c r="T183" i="2"/>
  <c r="T182" i="2"/>
  <c r="T181" i="2"/>
  <c r="T180" i="2"/>
  <c r="T179" i="2"/>
  <c r="T178" i="2"/>
  <c r="T177" i="2"/>
  <c r="T176" i="2"/>
  <c r="T175" i="2"/>
  <c r="T174" i="2"/>
  <c r="T173" i="2"/>
  <c r="T172" i="2"/>
  <c r="T171" i="2"/>
  <c r="T170" i="2"/>
  <c r="T169" i="2"/>
  <c r="T168" i="2"/>
  <c r="T167" i="2"/>
  <c r="T166" i="2"/>
  <c r="T165" i="2"/>
  <c r="T164" i="2"/>
  <c r="T163" i="2"/>
  <c r="T162" i="2"/>
  <c r="T161" i="2"/>
  <c r="T160" i="2"/>
  <c r="T159" i="2"/>
  <c r="T158" i="2"/>
  <c r="T157" i="2"/>
  <c r="T156" i="2"/>
  <c r="T155" i="2"/>
  <c r="T154" i="2"/>
  <c r="T153" i="2"/>
  <c r="T152" i="2"/>
  <c r="T151" i="2"/>
  <c r="T150" i="2"/>
  <c r="T149" i="2"/>
  <c r="T148" i="2"/>
  <c r="T147" i="2"/>
  <c r="T146" i="2"/>
  <c r="T145" i="2"/>
  <c r="T144" i="2"/>
  <c r="T143" i="2"/>
  <c r="T142" i="2"/>
  <c r="T141" i="2"/>
  <c r="T140" i="2"/>
  <c r="T139" i="2"/>
  <c r="T138" i="2"/>
  <c r="T137" i="2"/>
  <c r="T136" i="2"/>
  <c r="T135" i="2"/>
  <c r="T134" i="2"/>
  <c r="T133" i="2"/>
  <c r="T132" i="2"/>
  <c r="T131" i="2"/>
  <c r="T130" i="2"/>
  <c r="T129" i="2"/>
  <c r="T128" i="2"/>
  <c r="T127" i="2"/>
  <c r="T126" i="2"/>
  <c r="T125" i="2"/>
  <c r="T124" i="2"/>
  <c r="T123" i="2"/>
  <c r="T122" i="2"/>
  <c r="T121" i="2"/>
  <c r="T120" i="2"/>
  <c r="T119" i="2"/>
  <c r="T118" i="2"/>
  <c r="T117" i="2"/>
  <c r="T116" i="2"/>
  <c r="T115" i="2"/>
  <c r="T114" i="2"/>
  <c r="T113" i="2"/>
  <c r="T112" i="2"/>
  <c r="T111" i="2"/>
  <c r="T110" i="2"/>
  <c r="T109" i="2"/>
  <c r="T108" i="2"/>
  <c r="T107" i="2"/>
  <c r="T106" i="2"/>
  <c r="T105" i="2"/>
  <c r="T104" i="2"/>
  <c r="T103" i="2"/>
  <c r="T102" i="2"/>
  <c r="T101" i="2"/>
  <c r="T100" i="2"/>
  <c r="T99" i="2"/>
  <c r="T98" i="2"/>
  <c r="T97" i="2"/>
  <c r="T96" i="2"/>
  <c r="T95" i="2"/>
  <c r="T94" i="2"/>
  <c r="T93" i="2"/>
  <c r="T92" i="2"/>
  <c r="T91" i="2"/>
  <c r="T90" i="2"/>
  <c r="T89" i="2"/>
  <c r="T88" i="2"/>
  <c r="T87" i="2"/>
  <c r="T86" i="2"/>
  <c r="T85" i="2"/>
  <c r="T84" i="2"/>
  <c r="T83" i="2"/>
  <c r="T82" i="2"/>
  <c r="T81" i="2"/>
  <c r="T80" i="2"/>
  <c r="T79" i="2"/>
  <c r="T78" i="2"/>
  <c r="T77" i="2"/>
  <c r="T76" i="2"/>
  <c r="T75" i="2"/>
  <c r="T74" i="2"/>
  <c r="T73" i="2"/>
  <c r="T72" i="2"/>
  <c r="T71" i="2"/>
  <c r="T70" i="2"/>
  <c r="T69" i="2"/>
  <c r="T68" i="2"/>
  <c r="T67" i="2"/>
  <c r="T66" i="2"/>
  <c r="T65" i="2"/>
  <c r="T64" i="2"/>
  <c r="T63" i="2"/>
  <c r="T62" i="2"/>
  <c r="T61" i="2"/>
  <c r="T60" i="2"/>
  <c r="T59" i="2"/>
  <c r="T58" i="2"/>
  <c r="T57" i="2"/>
  <c r="T56" i="2"/>
  <c r="T55" i="2"/>
  <c r="T54" i="2"/>
  <c r="T53" i="2"/>
  <c r="T52" i="2"/>
  <c r="T51" i="2"/>
  <c r="T50" i="2"/>
  <c r="T49" i="2"/>
  <c r="T48" i="2"/>
  <c r="T47" i="2"/>
  <c r="T46" i="2"/>
  <c r="T45" i="2"/>
  <c r="T44" i="2"/>
  <c r="T43" i="2"/>
  <c r="T42" i="2"/>
  <c r="T41" i="2"/>
  <c r="T40" i="2"/>
  <c r="T39" i="2"/>
  <c r="T38" i="2"/>
  <c r="T37" i="2"/>
  <c r="T36" i="2"/>
  <c r="T35" i="2"/>
  <c r="T34" i="2"/>
  <c r="T33" i="2"/>
  <c r="T32" i="2"/>
  <c r="T31" i="2"/>
  <c r="T30" i="2"/>
  <c r="T29" i="2"/>
  <c r="T28" i="2"/>
  <c r="T27" i="2"/>
  <c r="T26" i="2"/>
  <c r="T25" i="2"/>
  <c r="T24" i="2"/>
  <c r="T23" i="2"/>
  <c r="T22" i="2"/>
  <c r="T21" i="2"/>
  <c r="T20" i="2"/>
  <c r="T19" i="2"/>
  <c r="T18" i="2"/>
  <c r="T17" i="2"/>
  <c r="T16" i="2"/>
  <c r="T15" i="2"/>
  <c r="T14" i="2"/>
  <c r="T13" i="2"/>
  <c r="T12" i="2"/>
  <c r="T11" i="2"/>
  <c r="T10" i="2"/>
  <c r="T9" i="2"/>
  <c r="T8" i="2"/>
  <c r="T7" i="2"/>
  <c r="T6" i="2"/>
  <c r="T5" i="2"/>
  <c r="T4" i="2"/>
  <c r="N138" i="2" l="1"/>
  <c r="O138" i="2" s="1"/>
  <c r="N137" i="2"/>
  <c r="O137" i="2" s="1"/>
  <c r="N136" i="2"/>
  <c r="O136" i="2" s="1"/>
  <c r="N135" i="2"/>
  <c r="O135" i="2" s="1"/>
  <c r="O134" i="2"/>
  <c r="O133" i="2"/>
  <c r="O132" i="2"/>
  <c r="O131" i="2"/>
  <c r="O130" i="2"/>
  <c r="O129" i="2"/>
  <c r="O128" i="2"/>
  <c r="O127" i="2"/>
  <c r="O126" i="2"/>
  <c r="O125" i="2"/>
  <c r="N124" i="2"/>
  <c r="O124" i="2" s="1"/>
  <c r="N123" i="2"/>
  <c r="O123" i="2" s="1"/>
  <c r="N122" i="2"/>
  <c r="O122" i="2" s="1"/>
  <c r="N121" i="2"/>
  <c r="O121" i="2" s="1"/>
  <c r="N120" i="2"/>
  <c r="O120" i="2" s="1"/>
  <c r="N119" i="2"/>
  <c r="O119" i="2" s="1"/>
  <c r="N118" i="2"/>
  <c r="O118" i="2" s="1"/>
  <c r="N117" i="2"/>
  <c r="O117" i="2" s="1"/>
  <c r="N116" i="2"/>
  <c r="O116" i="2" s="1"/>
  <c r="N115" i="2"/>
  <c r="O115" i="2" s="1"/>
  <c r="N114" i="2"/>
  <c r="O114" i="2" s="1"/>
  <c r="N113" i="2"/>
  <c r="O113" i="2" s="1"/>
  <c r="N112" i="2"/>
  <c r="O112" i="2" s="1"/>
  <c r="N111" i="2"/>
  <c r="O111" i="2" s="1"/>
  <c r="N110" i="2"/>
  <c r="O110" i="2" s="1"/>
  <c r="N109" i="2"/>
  <c r="O109" i="2" s="1"/>
  <c r="N108" i="2"/>
  <c r="O108" i="2" s="1"/>
  <c r="N107" i="2"/>
  <c r="O107" i="2" s="1"/>
  <c r="N106" i="2"/>
  <c r="O106" i="2" s="1"/>
  <c r="N105" i="2"/>
  <c r="O105" i="2" s="1"/>
  <c r="N104" i="2"/>
  <c r="O104" i="2" s="1"/>
  <c r="N103" i="2"/>
  <c r="O103" i="2" s="1"/>
  <c r="N102" i="2"/>
  <c r="O102" i="2" s="1"/>
  <c r="N101" i="2"/>
  <c r="O101" i="2" s="1"/>
  <c r="N100" i="2"/>
  <c r="O100" i="2" s="1"/>
  <c r="N99" i="2"/>
  <c r="O99" i="2" s="1"/>
  <c r="N98" i="2"/>
  <c r="O98" i="2" s="1"/>
  <c r="N97" i="2"/>
  <c r="O97" i="2" s="1"/>
  <c r="N96" i="2"/>
  <c r="O96" i="2" s="1"/>
  <c r="N95" i="2"/>
  <c r="O95" i="2" s="1"/>
  <c r="N94" i="2"/>
  <c r="O94" i="2" s="1"/>
  <c r="N93" i="2"/>
  <c r="O93" i="2" s="1"/>
  <c r="N92" i="2"/>
  <c r="O92" i="2" s="1"/>
  <c r="N91" i="2"/>
  <c r="O91" i="2" s="1"/>
  <c r="N90" i="2"/>
  <c r="O90" i="2" s="1"/>
  <c r="N89" i="2"/>
  <c r="O89" i="2" s="1"/>
  <c r="N88" i="2"/>
  <c r="O88" i="2" s="1"/>
  <c r="N87" i="2"/>
  <c r="O87" i="2" s="1"/>
  <c r="N86" i="2"/>
  <c r="O86" i="2" s="1"/>
  <c r="N85" i="2"/>
  <c r="O85" i="2" s="1"/>
  <c r="N84" i="2"/>
  <c r="O84" i="2" s="1"/>
  <c r="N83" i="2"/>
  <c r="O83" i="2" s="1"/>
  <c r="N82" i="2"/>
  <c r="O82" i="2" s="1"/>
  <c r="N81" i="2"/>
  <c r="O81" i="2" s="1"/>
  <c r="N80" i="2"/>
  <c r="O80" i="2" s="1"/>
  <c r="N79" i="2"/>
  <c r="O79" i="2" s="1"/>
  <c r="N78" i="2"/>
  <c r="O78" i="2" s="1"/>
  <c r="N77" i="2"/>
  <c r="O77" i="2" s="1"/>
  <c r="N76" i="2"/>
  <c r="O76" i="2" s="1"/>
  <c r="N75" i="2"/>
  <c r="O75" i="2" s="1"/>
  <c r="N74" i="2"/>
  <c r="O74" i="2" s="1"/>
  <c r="N73" i="2"/>
  <c r="O73" i="2" s="1"/>
  <c r="N72" i="2"/>
  <c r="O72" i="2" s="1"/>
  <c r="N71" i="2"/>
  <c r="O71" i="2" s="1"/>
  <c r="N70" i="2"/>
  <c r="O70" i="2" s="1"/>
  <c r="N69" i="2"/>
  <c r="O69" i="2" s="1"/>
  <c r="N68" i="2"/>
  <c r="O68" i="2" s="1"/>
  <c r="N67" i="2"/>
  <c r="O67" i="2" s="1"/>
  <c r="N66" i="2"/>
  <c r="O66" i="2" s="1"/>
  <c r="N65" i="2"/>
  <c r="O65" i="2" s="1"/>
  <c r="N64" i="2"/>
  <c r="O64" i="2" s="1"/>
  <c r="N63" i="2"/>
  <c r="O63" i="2" s="1"/>
  <c r="N62" i="2"/>
  <c r="O62" i="2" s="1"/>
  <c r="N61" i="2"/>
  <c r="O61" i="2" s="1"/>
  <c r="N60" i="2"/>
  <c r="O60" i="2" s="1"/>
  <c r="N59" i="2"/>
  <c r="O59" i="2" s="1"/>
  <c r="N58" i="2"/>
  <c r="O58" i="2" s="1"/>
  <c r="N57" i="2"/>
  <c r="O57" i="2" s="1"/>
  <c r="N56" i="2"/>
  <c r="O56" i="2" s="1"/>
  <c r="N55" i="2"/>
  <c r="O55" i="2" s="1"/>
  <c r="N54" i="2"/>
  <c r="O54" i="2" s="1"/>
  <c r="N53" i="2"/>
  <c r="O53" i="2" s="1"/>
  <c r="N52" i="2"/>
  <c r="O52" i="2" s="1"/>
  <c r="N51" i="2"/>
  <c r="O51" i="2" s="1"/>
  <c r="N50" i="2"/>
  <c r="O50" i="2" s="1"/>
  <c r="N49" i="2"/>
  <c r="O49" i="2" s="1"/>
  <c r="N48" i="2"/>
  <c r="O48" i="2" s="1"/>
  <c r="N47" i="2"/>
  <c r="O47" i="2" s="1"/>
  <c r="N46" i="2"/>
  <c r="O46" i="2" s="1"/>
  <c r="N45" i="2"/>
  <c r="O45" i="2" s="1"/>
  <c r="N44" i="2"/>
  <c r="O44" i="2" s="1"/>
  <c r="N43" i="2"/>
  <c r="O43" i="2" s="1"/>
  <c r="N42" i="2"/>
  <c r="O42" i="2" s="1"/>
  <c r="N41" i="2"/>
  <c r="O41" i="2" s="1"/>
  <c r="N40" i="2"/>
  <c r="O40" i="2" s="1"/>
  <c r="N39" i="2"/>
  <c r="O39" i="2" s="1"/>
  <c r="N38" i="2"/>
  <c r="O38" i="2" s="1"/>
  <c r="N37" i="2"/>
  <c r="O37" i="2" s="1"/>
  <c r="N36" i="2"/>
  <c r="O36" i="2" s="1"/>
  <c r="N35" i="2"/>
  <c r="O35" i="2" s="1"/>
  <c r="N34" i="2"/>
  <c r="O34" i="2" s="1"/>
  <c r="N33" i="2"/>
  <c r="O33" i="2" s="1"/>
  <c r="N32" i="2"/>
  <c r="O32" i="2" s="1"/>
  <c r="N31" i="2"/>
  <c r="O31" i="2" s="1"/>
  <c r="N30" i="2"/>
  <c r="O30" i="2" s="1"/>
  <c r="N29" i="2"/>
  <c r="O29" i="2" s="1"/>
  <c r="N28" i="2"/>
  <c r="O28" i="2" s="1"/>
  <c r="N27" i="2"/>
  <c r="O27" i="2" s="1"/>
  <c r="N26" i="2"/>
  <c r="O26" i="2" s="1"/>
  <c r="N25" i="2"/>
  <c r="O25" i="2" s="1"/>
  <c r="N24" i="2"/>
  <c r="O24" i="2" s="1"/>
  <c r="N23" i="2"/>
  <c r="O23" i="2" s="1"/>
  <c r="N22" i="2"/>
  <c r="O22" i="2" s="1"/>
  <c r="N21" i="2"/>
  <c r="O21" i="2" s="1"/>
  <c r="N20" i="2"/>
  <c r="O20" i="2" s="1"/>
  <c r="N19" i="2"/>
  <c r="O19" i="2" s="1"/>
  <c r="N18" i="2"/>
  <c r="O18" i="2" s="1"/>
  <c r="N17" i="2"/>
  <c r="O17" i="2" s="1"/>
  <c r="N16" i="2"/>
  <c r="O16" i="2" s="1"/>
  <c r="N15" i="2"/>
  <c r="O15" i="2" s="1"/>
  <c r="N14" i="2"/>
  <c r="O14" i="2" s="1"/>
  <c r="N13" i="2"/>
  <c r="O13" i="2" s="1"/>
  <c r="N12" i="2"/>
  <c r="O12" i="2" s="1"/>
  <c r="N11" i="2"/>
  <c r="O11" i="2" s="1"/>
  <c r="N10" i="2"/>
  <c r="O10" i="2" s="1"/>
  <c r="N9" i="2"/>
  <c r="O9" i="2" s="1"/>
  <c r="N8" i="2"/>
  <c r="O8" i="2" s="1"/>
  <c r="N7" i="2"/>
  <c r="O7" i="2" s="1"/>
  <c r="N6" i="2"/>
  <c r="O6" i="2" s="1"/>
  <c r="N5" i="2"/>
  <c r="O5" i="2" s="1"/>
  <c r="N4" i="2"/>
  <c r="O4" i="2" s="1"/>
  <c r="A86" i="4" l="1"/>
  <c r="A85" i="4"/>
  <c r="A84" i="4"/>
  <c r="A83" i="4"/>
  <c r="A82" i="4"/>
  <c r="A81" i="4"/>
  <c r="A76" i="4"/>
  <c r="A75" i="4"/>
  <c r="A74" i="4"/>
  <c r="A73" i="4"/>
  <c r="A72" i="4"/>
  <c r="A71" i="4"/>
  <c r="A70" i="4"/>
  <c r="A69" i="4"/>
  <c r="A68" i="4"/>
  <c r="A67" i="4"/>
  <c r="A66" i="4"/>
  <c r="A65" i="4"/>
  <c r="A64" i="4"/>
  <c r="A60" i="4"/>
  <c r="A59" i="4"/>
  <c r="A58" i="4"/>
  <c r="A57" i="4"/>
  <c r="A56" i="4"/>
  <c r="A55" i="4"/>
  <c r="A54" i="4"/>
  <c r="A53" i="4"/>
  <c r="A52" i="4"/>
  <c r="A51" i="4"/>
  <c r="A50" i="4"/>
  <c r="A49" i="4"/>
  <c r="A48" i="4"/>
  <c r="A47" i="4"/>
  <c r="A43" i="4"/>
  <c r="A42" i="4"/>
  <c r="A41" i="4"/>
  <c r="A40" i="4"/>
  <c r="A39" i="4"/>
  <c r="A38" i="4"/>
  <c r="A37" i="4"/>
  <c r="A36" i="4"/>
  <c r="A35" i="4"/>
  <c r="A34" i="4"/>
  <c r="A33" i="4"/>
  <c r="A32" i="4"/>
  <c r="A31" i="4"/>
  <c r="A30" i="4"/>
  <c r="A29" i="4"/>
  <c r="A25" i="4"/>
  <c r="A24" i="4"/>
  <c r="A23" i="4"/>
  <c r="A22" i="4"/>
  <c r="A21" i="4"/>
  <c r="A20" i="4"/>
  <c r="A19" i="4"/>
  <c r="A18" i="4"/>
  <c r="A17" i="4"/>
  <c r="A16" i="4"/>
  <c r="A15" i="4"/>
  <c r="A14" i="4"/>
  <c r="A13" i="4"/>
  <c r="A12" i="4"/>
  <c r="A11" i="4"/>
  <c r="A10" i="4"/>
  <c r="A9" i="4"/>
  <c r="A8" i="4"/>
  <c r="A7" i="4"/>
  <c r="A6" i="4"/>
  <c r="F60" i="4"/>
  <c r="F59" i="4"/>
  <c r="F58" i="4"/>
  <c r="F57" i="4"/>
  <c r="F56" i="4"/>
  <c r="F55" i="4"/>
  <c r="F54" i="4"/>
  <c r="F53" i="4"/>
  <c r="F52" i="4"/>
  <c r="F51" i="4"/>
  <c r="F48" i="4"/>
  <c r="F47" i="4"/>
  <c r="I349" i="2" l="1"/>
  <c r="I348" i="2"/>
  <c r="I347" i="2"/>
  <c r="I346" i="2"/>
  <c r="I345" i="2"/>
  <c r="I344" i="2"/>
  <c r="I343" i="2"/>
  <c r="I342" i="2"/>
  <c r="I341" i="2"/>
  <c r="I340" i="2"/>
  <c r="I339" i="2"/>
  <c r="I338" i="2"/>
  <c r="I337" i="2"/>
  <c r="I336" i="2"/>
  <c r="I335" i="2"/>
  <c r="I334" i="2"/>
  <c r="I333" i="2"/>
  <c r="I332" i="2"/>
  <c r="I331" i="2"/>
  <c r="I330" i="2"/>
  <c r="I329" i="2"/>
  <c r="I328" i="2"/>
  <c r="I327" i="2"/>
  <c r="I326" i="2"/>
  <c r="I325" i="2"/>
  <c r="I324" i="2"/>
  <c r="I323" i="2"/>
  <c r="I322" i="2"/>
  <c r="I321" i="2"/>
  <c r="I320" i="2"/>
  <c r="I319" i="2"/>
  <c r="I318" i="2"/>
  <c r="I317" i="2"/>
  <c r="I316" i="2"/>
  <c r="I315" i="2"/>
  <c r="I314" i="2"/>
  <c r="I313" i="2"/>
  <c r="I312" i="2"/>
  <c r="I311" i="2"/>
  <c r="I310" i="2"/>
  <c r="I309" i="2"/>
  <c r="I308" i="2"/>
  <c r="I307" i="2"/>
  <c r="I306" i="2"/>
  <c r="I305" i="2"/>
  <c r="I304" i="2"/>
  <c r="I303" i="2"/>
  <c r="I302" i="2"/>
  <c r="I301" i="2"/>
  <c r="I300" i="2"/>
  <c r="I299" i="2"/>
  <c r="I298" i="2"/>
  <c r="I297" i="2"/>
  <c r="I296" i="2"/>
  <c r="I295" i="2"/>
  <c r="I294" i="2"/>
  <c r="I293" i="2"/>
  <c r="I292" i="2"/>
  <c r="I291" i="2"/>
  <c r="I290" i="2"/>
  <c r="I289" i="2"/>
  <c r="I288" i="2"/>
  <c r="I287" i="2"/>
  <c r="I286" i="2"/>
  <c r="I285" i="2"/>
  <c r="I284" i="2"/>
  <c r="I283" i="2"/>
  <c r="I282" i="2"/>
  <c r="I281" i="2"/>
  <c r="I280" i="2"/>
  <c r="I279" i="2"/>
  <c r="I278" i="2"/>
  <c r="I277" i="2"/>
  <c r="I276" i="2"/>
  <c r="I275" i="2"/>
  <c r="I274" i="2"/>
  <c r="I273" i="2"/>
  <c r="I272" i="2"/>
  <c r="I271" i="2"/>
  <c r="I270" i="2"/>
  <c r="I269" i="2"/>
  <c r="I268" i="2"/>
  <c r="I267" i="2"/>
  <c r="I266" i="2"/>
  <c r="I265" i="2"/>
  <c r="I264" i="2"/>
  <c r="I263" i="2"/>
  <c r="I262" i="2"/>
  <c r="I261" i="2"/>
  <c r="I260" i="2"/>
  <c r="I259" i="2"/>
  <c r="I258" i="2"/>
  <c r="I257" i="2"/>
  <c r="I256" i="2"/>
  <c r="I255" i="2"/>
  <c r="I254" i="2"/>
  <c r="I253" i="2"/>
  <c r="I252" i="2"/>
  <c r="I251" i="2"/>
  <c r="I250" i="2"/>
  <c r="I249" i="2"/>
  <c r="I248" i="2"/>
  <c r="I247" i="2"/>
  <c r="I246" i="2"/>
  <c r="I245" i="2"/>
  <c r="I244" i="2"/>
  <c r="I243" i="2"/>
  <c r="I242" i="2"/>
  <c r="I241" i="2"/>
  <c r="I240" i="2"/>
  <c r="I239" i="2"/>
  <c r="I238" i="2"/>
  <c r="I237" i="2"/>
  <c r="I236" i="2"/>
  <c r="I235" i="2"/>
  <c r="I234" i="2"/>
  <c r="I233" i="2"/>
  <c r="I232" i="2"/>
  <c r="I231" i="2"/>
  <c r="I230" i="2"/>
  <c r="I229" i="2"/>
  <c r="I228" i="2"/>
  <c r="I227" i="2"/>
  <c r="I226" i="2"/>
  <c r="I225" i="2"/>
  <c r="I224" i="2"/>
  <c r="I223" i="2"/>
  <c r="I222" i="2"/>
  <c r="I221" i="2"/>
  <c r="I220" i="2"/>
  <c r="I219" i="2"/>
  <c r="I218" i="2"/>
  <c r="I217" i="2"/>
  <c r="I216" i="2"/>
  <c r="I215" i="2"/>
  <c r="I214" i="2"/>
  <c r="I213" i="2"/>
  <c r="I212" i="2"/>
  <c r="I211" i="2"/>
  <c r="I210" i="2"/>
  <c r="I209" i="2"/>
  <c r="I208" i="2"/>
  <c r="I207" i="2"/>
  <c r="I206" i="2"/>
  <c r="I205" i="2"/>
  <c r="I204" i="2"/>
  <c r="I203" i="2"/>
  <c r="I202" i="2"/>
  <c r="I201" i="2"/>
  <c r="I200" i="2"/>
  <c r="I199" i="2"/>
  <c r="I198" i="2"/>
  <c r="I197" i="2"/>
  <c r="I196" i="2"/>
  <c r="I195" i="2"/>
  <c r="I194" i="2"/>
  <c r="I193" i="2"/>
  <c r="I192" i="2"/>
  <c r="I191" i="2"/>
  <c r="I190" i="2"/>
  <c r="I189" i="2"/>
  <c r="I188" i="2"/>
  <c r="I187" i="2"/>
  <c r="I186" i="2"/>
  <c r="I185" i="2"/>
  <c r="I184" i="2"/>
  <c r="I183" i="2"/>
  <c r="I182" i="2"/>
  <c r="I181" i="2"/>
  <c r="I180" i="2"/>
  <c r="I179" i="2"/>
  <c r="I178" i="2"/>
  <c r="I177" i="2"/>
  <c r="I176" i="2"/>
  <c r="I175" i="2"/>
  <c r="I174" i="2"/>
  <c r="I173" i="2"/>
  <c r="I172" i="2"/>
  <c r="I171" i="2"/>
  <c r="I170" i="2"/>
  <c r="I169" i="2"/>
  <c r="I168" i="2"/>
  <c r="I167" i="2"/>
  <c r="I166" i="2"/>
  <c r="I165" i="2"/>
  <c r="I164" i="2"/>
  <c r="I163" i="2"/>
  <c r="I162" i="2"/>
  <c r="I161" i="2"/>
  <c r="I160" i="2"/>
  <c r="I159" i="2"/>
  <c r="I158" i="2"/>
  <c r="I157" i="2"/>
  <c r="I156" i="2"/>
  <c r="I155" i="2"/>
  <c r="I154" i="2"/>
  <c r="I153" i="2"/>
  <c r="I152" i="2"/>
  <c r="I151" i="2"/>
  <c r="I150" i="2"/>
  <c r="I149" i="2"/>
  <c r="I148" i="2"/>
  <c r="I147" i="2"/>
  <c r="I146" i="2"/>
  <c r="I145" i="2"/>
  <c r="I144" i="2"/>
  <c r="I143" i="2"/>
  <c r="I142" i="2"/>
  <c r="I141" i="2"/>
  <c r="I140" i="2"/>
  <c r="I139" i="2"/>
  <c r="I138" i="2"/>
  <c r="I137" i="2"/>
  <c r="I136" i="2"/>
  <c r="I135" i="2"/>
  <c r="I134" i="2"/>
  <c r="I133" i="2"/>
  <c r="I132" i="2"/>
  <c r="I131" i="2"/>
  <c r="I130" i="2"/>
  <c r="I129" i="2"/>
  <c r="I128" i="2"/>
  <c r="I127" i="2"/>
  <c r="I126" i="2"/>
  <c r="I125" i="2"/>
  <c r="I124" i="2"/>
  <c r="I123" i="2"/>
  <c r="I122" i="2"/>
  <c r="I121" i="2"/>
  <c r="I120" i="2"/>
  <c r="I119" i="2"/>
  <c r="I118" i="2"/>
  <c r="I117" i="2"/>
  <c r="I116" i="2"/>
  <c r="I115" i="2"/>
  <c r="I114" i="2"/>
  <c r="I113" i="2"/>
  <c r="I112" i="2"/>
  <c r="I111" i="2"/>
  <c r="I110" i="2"/>
  <c r="I109" i="2"/>
  <c r="I108" i="2"/>
  <c r="I107" i="2"/>
  <c r="I106" i="2"/>
  <c r="I105" i="2"/>
  <c r="I104" i="2"/>
  <c r="I103" i="2"/>
  <c r="I102" i="2"/>
  <c r="I101" i="2"/>
  <c r="I100" i="2"/>
  <c r="I99" i="2"/>
  <c r="I98" i="2"/>
  <c r="I97" i="2"/>
  <c r="I96" i="2"/>
  <c r="I95" i="2"/>
  <c r="I94" i="2"/>
  <c r="I93" i="2"/>
  <c r="I92" i="2"/>
  <c r="I91" i="2"/>
  <c r="I90" i="2"/>
  <c r="I89" i="2"/>
  <c r="I88" i="2"/>
  <c r="I87" i="2"/>
  <c r="I86" i="2"/>
  <c r="I85" i="2"/>
  <c r="I84" i="2"/>
  <c r="I83" i="2"/>
  <c r="I82" i="2"/>
  <c r="I81" i="2"/>
  <c r="I80" i="2"/>
  <c r="I79" i="2"/>
  <c r="I78" i="2"/>
  <c r="I77" i="2"/>
  <c r="I76" i="2"/>
  <c r="I75" i="2"/>
  <c r="I74" i="2"/>
  <c r="I73" i="2"/>
  <c r="I72" i="2"/>
  <c r="I71" i="2"/>
  <c r="I70" i="2"/>
  <c r="I69" i="2"/>
  <c r="I68" i="2"/>
  <c r="I67" i="2"/>
  <c r="I66" i="2"/>
  <c r="I65" i="2"/>
  <c r="I64" i="2"/>
  <c r="I63" i="2"/>
  <c r="I62" i="2"/>
  <c r="I61" i="2"/>
  <c r="I60" i="2"/>
  <c r="I59" i="2"/>
  <c r="I58" i="2"/>
  <c r="I57" i="2"/>
  <c r="I56" i="2"/>
  <c r="I55" i="2"/>
  <c r="I54" i="2"/>
  <c r="I53" i="2"/>
  <c r="I52" i="2"/>
  <c r="I51" i="2"/>
  <c r="I50" i="2"/>
  <c r="I49" i="2"/>
  <c r="I48" i="2"/>
  <c r="I47" i="2"/>
  <c r="I46" i="2"/>
  <c r="I45" i="2"/>
  <c r="I44" i="2"/>
  <c r="I43" i="2"/>
  <c r="I42" i="2"/>
  <c r="I41" i="2"/>
  <c r="I40" i="2"/>
  <c r="I39" i="2"/>
  <c r="I38" i="2"/>
  <c r="I37" i="2"/>
  <c r="I36" i="2"/>
  <c r="I35" i="2"/>
  <c r="I34" i="2"/>
  <c r="I33" i="2"/>
  <c r="I32" i="2"/>
  <c r="I31" i="2"/>
  <c r="I30" i="2"/>
  <c r="I29" i="2"/>
  <c r="I28" i="2"/>
  <c r="I27" i="2"/>
  <c r="I26" i="2"/>
  <c r="I25" i="2"/>
  <c r="I24" i="2"/>
  <c r="I23" i="2"/>
  <c r="I22" i="2"/>
  <c r="I21" i="2"/>
  <c r="I20" i="2"/>
  <c r="I19" i="2"/>
  <c r="I18" i="2"/>
  <c r="I17" i="2"/>
  <c r="I16" i="2"/>
  <c r="I15" i="2"/>
  <c r="I14" i="2"/>
  <c r="I13" i="2"/>
  <c r="I12" i="2"/>
  <c r="I11" i="2"/>
  <c r="I10" i="2"/>
  <c r="I9" i="2"/>
  <c r="I8" i="2"/>
  <c r="I7" i="2"/>
  <c r="I6" i="2"/>
  <c r="I5" i="2"/>
  <c r="I4" i="2"/>
  <c r="D91" i="2" l="1"/>
  <c r="E91" i="2" s="1"/>
  <c r="D90" i="2"/>
  <c r="E90" i="2" s="1"/>
  <c r="D89" i="2"/>
  <c r="E89" i="2" s="1"/>
  <c r="D88" i="2"/>
  <c r="E88" i="2" s="1"/>
  <c r="D87" i="2"/>
  <c r="E87" i="2" s="1"/>
  <c r="D86" i="2"/>
  <c r="E86" i="2" s="1"/>
  <c r="D85" i="2"/>
  <c r="E85" i="2" s="1"/>
  <c r="D84" i="2"/>
  <c r="E84" i="2" s="1"/>
  <c r="D83" i="2"/>
  <c r="E83" i="2" s="1"/>
  <c r="D82" i="2"/>
  <c r="E82" i="2" s="1"/>
  <c r="D81" i="2"/>
  <c r="E81" i="2" s="1"/>
  <c r="D80" i="2"/>
  <c r="E80" i="2" s="1"/>
  <c r="D79" i="2"/>
  <c r="E79" i="2" s="1"/>
  <c r="D78" i="2"/>
  <c r="E78" i="2" s="1"/>
  <c r="D77" i="2"/>
  <c r="E77" i="2" s="1"/>
  <c r="D76" i="2"/>
  <c r="E76" i="2" s="1"/>
  <c r="D75" i="2"/>
  <c r="E75" i="2" s="1"/>
  <c r="D74" i="2"/>
  <c r="E74" i="2" s="1"/>
  <c r="D73" i="2"/>
  <c r="E73" i="2" s="1"/>
  <c r="D72" i="2"/>
  <c r="E72" i="2" s="1"/>
  <c r="D71" i="2"/>
  <c r="E71" i="2" s="1"/>
  <c r="D70" i="2"/>
  <c r="E70" i="2" s="1"/>
  <c r="D69" i="2"/>
  <c r="E69" i="2" s="1"/>
  <c r="D68" i="2"/>
  <c r="E68" i="2" s="1"/>
  <c r="D67" i="2"/>
  <c r="E67" i="2" s="1"/>
  <c r="D66" i="2"/>
  <c r="E66" i="2" s="1"/>
  <c r="D65" i="2"/>
  <c r="E65" i="2" s="1"/>
  <c r="D64" i="2"/>
  <c r="E64" i="2" s="1"/>
  <c r="D63" i="2"/>
  <c r="E63" i="2" s="1"/>
  <c r="D62" i="2"/>
  <c r="E62" i="2" s="1"/>
  <c r="D61" i="2"/>
  <c r="E61" i="2" s="1"/>
  <c r="D60" i="2"/>
  <c r="E60" i="2" s="1"/>
  <c r="D59" i="2"/>
  <c r="E59" i="2" s="1"/>
  <c r="D58" i="2"/>
  <c r="E58" i="2" s="1"/>
  <c r="D57" i="2"/>
  <c r="E57" i="2" s="1"/>
  <c r="D56" i="2"/>
  <c r="E56" i="2" s="1"/>
  <c r="D55" i="2"/>
  <c r="E55" i="2" s="1"/>
  <c r="D54" i="2"/>
  <c r="E54" i="2" s="1"/>
  <c r="D53" i="2"/>
  <c r="E53" i="2" s="1"/>
  <c r="D52" i="2"/>
  <c r="E52" i="2" s="1"/>
  <c r="D51" i="2"/>
  <c r="E51" i="2" s="1"/>
  <c r="D50" i="2"/>
  <c r="E50" i="2" s="1"/>
  <c r="D49" i="2"/>
  <c r="E49" i="2" s="1"/>
  <c r="D48" i="2"/>
  <c r="E48" i="2" s="1"/>
  <c r="D47" i="2"/>
  <c r="E47" i="2" s="1"/>
  <c r="D46" i="2"/>
  <c r="E46" i="2" s="1"/>
  <c r="D45" i="2"/>
  <c r="E45" i="2" s="1"/>
  <c r="D44" i="2"/>
  <c r="E44" i="2" s="1"/>
  <c r="D43" i="2"/>
  <c r="E43" i="2" s="1"/>
  <c r="D42" i="2"/>
  <c r="E42" i="2" s="1"/>
  <c r="D41" i="2"/>
  <c r="E41" i="2" s="1"/>
  <c r="D40" i="2"/>
  <c r="E40" i="2" s="1"/>
  <c r="D39" i="2"/>
  <c r="E39" i="2" s="1"/>
  <c r="D38" i="2"/>
  <c r="E38" i="2" s="1"/>
  <c r="D37" i="2"/>
  <c r="E37" i="2" s="1"/>
  <c r="D36" i="2"/>
  <c r="E36" i="2" s="1"/>
  <c r="D35" i="2"/>
  <c r="E35" i="2" s="1"/>
  <c r="D34" i="2"/>
  <c r="E34" i="2" s="1"/>
  <c r="D33" i="2"/>
  <c r="E33" i="2" s="1"/>
  <c r="D32" i="2"/>
  <c r="E32" i="2" s="1"/>
  <c r="D31" i="2"/>
  <c r="E31" i="2" s="1"/>
  <c r="D30" i="2"/>
  <c r="E30" i="2" s="1"/>
  <c r="D29" i="2"/>
  <c r="E29" i="2" s="1"/>
  <c r="D28" i="2"/>
  <c r="E28" i="2" s="1"/>
  <c r="D27" i="2"/>
  <c r="E27" i="2" s="1"/>
  <c r="D26" i="2"/>
  <c r="E26" i="2" s="1"/>
  <c r="D25" i="2"/>
  <c r="E25" i="2" s="1"/>
  <c r="D24" i="2"/>
  <c r="E24" i="2" s="1"/>
  <c r="D23" i="2"/>
  <c r="E23" i="2" s="1"/>
  <c r="D22" i="2"/>
  <c r="E22" i="2" s="1"/>
  <c r="D21" i="2"/>
  <c r="E21" i="2" s="1"/>
  <c r="D20" i="2"/>
  <c r="E20" i="2" s="1"/>
  <c r="D19" i="2"/>
  <c r="E19" i="2" s="1"/>
  <c r="D18" i="2"/>
  <c r="E18" i="2" s="1"/>
  <c r="D17" i="2"/>
  <c r="E17" i="2" s="1"/>
  <c r="D16" i="2"/>
  <c r="E16" i="2" s="1"/>
  <c r="D15" i="2"/>
  <c r="E15" i="2" s="1"/>
  <c r="D14" i="2"/>
  <c r="E14" i="2" s="1"/>
  <c r="D13" i="2"/>
  <c r="E13" i="2" s="1"/>
  <c r="D12" i="2"/>
  <c r="E12" i="2" s="1"/>
  <c r="D11" i="2"/>
  <c r="E11" i="2" s="1"/>
  <c r="D10" i="2"/>
  <c r="E10" i="2" s="1"/>
  <c r="D9" i="2"/>
  <c r="E9" i="2" s="1"/>
  <c r="D8" i="2"/>
  <c r="E8" i="2" s="1"/>
  <c r="D7" i="2"/>
  <c r="E7" i="2" s="1"/>
  <c r="D6" i="2"/>
  <c r="E6" i="2" s="1"/>
  <c r="D5" i="2"/>
  <c r="E5" i="2" s="1"/>
  <c r="D4" i="2"/>
  <c r="E4" i="2" s="1"/>
  <c r="AK545" i="1" l="1"/>
  <c r="AK544" i="1"/>
  <c r="AK543" i="1"/>
  <c r="AK542" i="1"/>
  <c r="AK541" i="1"/>
  <c r="AK540" i="1"/>
  <c r="AK539" i="1"/>
  <c r="AK538" i="1"/>
  <c r="AK537" i="1"/>
  <c r="AK536" i="1"/>
  <c r="AK535" i="1"/>
  <c r="AK534" i="1"/>
  <c r="AK533" i="1"/>
  <c r="AK532" i="1"/>
  <c r="AK531" i="1"/>
  <c r="AK530" i="1"/>
  <c r="AK529" i="1"/>
  <c r="AK528" i="1"/>
  <c r="AK527" i="1"/>
  <c r="AK526" i="1"/>
  <c r="AK525" i="1"/>
  <c r="AK524" i="1"/>
  <c r="AK523" i="1"/>
  <c r="AK522" i="1"/>
  <c r="AK521" i="1"/>
  <c r="AK520" i="1"/>
  <c r="AK519" i="1"/>
  <c r="AK518" i="1"/>
  <c r="AK517" i="1"/>
  <c r="AK516" i="1"/>
  <c r="AK515" i="1"/>
  <c r="AK514" i="1"/>
  <c r="AK513" i="1"/>
  <c r="AK512" i="1"/>
  <c r="AK511" i="1"/>
  <c r="AK510" i="1"/>
  <c r="AK509" i="1"/>
  <c r="AK508" i="1"/>
  <c r="AK507" i="1"/>
  <c r="AK506" i="1"/>
  <c r="AK505" i="1"/>
  <c r="AK504" i="1"/>
  <c r="AK503" i="1"/>
  <c r="AK502" i="1"/>
  <c r="AK501" i="1"/>
  <c r="AK500" i="1"/>
  <c r="AK499" i="1"/>
  <c r="AK498" i="1"/>
  <c r="AK497" i="1"/>
  <c r="AK496" i="1"/>
  <c r="AK495" i="1"/>
  <c r="AK494" i="1"/>
  <c r="AK493" i="1"/>
  <c r="AK492" i="1"/>
  <c r="AK491" i="1"/>
  <c r="AK490" i="1"/>
  <c r="AK489" i="1"/>
  <c r="AK488" i="1"/>
  <c r="AK487" i="1"/>
  <c r="AK486" i="1"/>
  <c r="AK485" i="1"/>
  <c r="AK484" i="1"/>
  <c r="AK483" i="1"/>
  <c r="AK482" i="1"/>
  <c r="AK481" i="1"/>
  <c r="AK480" i="1"/>
  <c r="AK479" i="1"/>
  <c r="AK478" i="1"/>
  <c r="AK477" i="1"/>
  <c r="AK476" i="1"/>
  <c r="AK475" i="1"/>
  <c r="AK474" i="1"/>
  <c r="AK473" i="1"/>
  <c r="AK472" i="1"/>
  <c r="AK471" i="1"/>
  <c r="AK470" i="1"/>
  <c r="AK469" i="1"/>
  <c r="AK468" i="1"/>
  <c r="AK467" i="1"/>
  <c r="AK466" i="1"/>
  <c r="AK465" i="1"/>
  <c r="AK464" i="1"/>
  <c r="AK463" i="1"/>
  <c r="AK462" i="1"/>
  <c r="AK461" i="1"/>
  <c r="AK460" i="1"/>
  <c r="AK459" i="1"/>
  <c r="AK458" i="1"/>
  <c r="AK457" i="1"/>
  <c r="AK456" i="1"/>
  <c r="AK455" i="1"/>
  <c r="AK454" i="1"/>
  <c r="AK453" i="1"/>
  <c r="AK452" i="1"/>
  <c r="AK451" i="1"/>
  <c r="AK450" i="1"/>
  <c r="AK449" i="1"/>
  <c r="AK448" i="1"/>
  <c r="AK447" i="1"/>
  <c r="AK446" i="1"/>
  <c r="AK445" i="1"/>
  <c r="AK444" i="1"/>
  <c r="AK443" i="1"/>
  <c r="AK442" i="1"/>
  <c r="AK441" i="1"/>
  <c r="AK440" i="1"/>
  <c r="AK439" i="1"/>
  <c r="AK438" i="1"/>
  <c r="AK437" i="1"/>
  <c r="AK436" i="1"/>
  <c r="AK435" i="1"/>
  <c r="AK434" i="1"/>
  <c r="AK433" i="1"/>
  <c r="AK432" i="1"/>
  <c r="AK431" i="1"/>
  <c r="AK430" i="1"/>
  <c r="AK429" i="1"/>
  <c r="AK428" i="1"/>
  <c r="AK427" i="1"/>
  <c r="AK426" i="1"/>
  <c r="AK425" i="1"/>
  <c r="AK424" i="1"/>
  <c r="AK423" i="1"/>
  <c r="AK422" i="1"/>
  <c r="AK421" i="1"/>
  <c r="AK420" i="1"/>
  <c r="AK419" i="1"/>
  <c r="AK418" i="1"/>
  <c r="AK417" i="1"/>
  <c r="AK416" i="1"/>
  <c r="AK415" i="1"/>
  <c r="AK414" i="1"/>
  <c r="AK413" i="1"/>
  <c r="AK412" i="1"/>
  <c r="AK411" i="1"/>
  <c r="AK410" i="1"/>
  <c r="AK409" i="1"/>
  <c r="AK408" i="1"/>
  <c r="AK407" i="1"/>
  <c r="AK406" i="1"/>
  <c r="AK405" i="1"/>
  <c r="AK404" i="1"/>
  <c r="AK403" i="1"/>
  <c r="AK402" i="1"/>
  <c r="AK401" i="1"/>
  <c r="AK400" i="1"/>
  <c r="AK399" i="1"/>
  <c r="AK398" i="1"/>
  <c r="AK397" i="1"/>
  <c r="AK396" i="1"/>
  <c r="AK395" i="1"/>
  <c r="AK394" i="1"/>
  <c r="AK393" i="1"/>
  <c r="AK392" i="1"/>
  <c r="AK391" i="1"/>
  <c r="AK390" i="1"/>
  <c r="AK389" i="1"/>
  <c r="AK388" i="1"/>
  <c r="AK387" i="1"/>
  <c r="AK386" i="1"/>
  <c r="AK385" i="1"/>
  <c r="AK384" i="1"/>
  <c r="AK383" i="1"/>
  <c r="AK382" i="1"/>
  <c r="AK381" i="1"/>
  <c r="AK380" i="1"/>
  <c r="AK379" i="1"/>
  <c r="AK378" i="1"/>
  <c r="AK377" i="1"/>
  <c r="AK376" i="1"/>
  <c r="AK375" i="1"/>
  <c r="AK374" i="1"/>
  <c r="AK373" i="1"/>
  <c r="AK372" i="1"/>
  <c r="AK371" i="1"/>
  <c r="AK370" i="1"/>
  <c r="AK369" i="1"/>
  <c r="AK368" i="1"/>
  <c r="AK367" i="1"/>
  <c r="AK366" i="1"/>
  <c r="AK365" i="1"/>
  <c r="AK364" i="1"/>
  <c r="AK363" i="1"/>
  <c r="AK362" i="1"/>
  <c r="AK361" i="1"/>
  <c r="AK360" i="1"/>
  <c r="AK359" i="1"/>
  <c r="AK358" i="1"/>
  <c r="AK357" i="1"/>
  <c r="AK356" i="1"/>
  <c r="AK355" i="1"/>
  <c r="AK354" i="1"/>
  <c r="AK353" i="1"/>
  <c r="AK352" i="1"/>
  <c r="AK351" i="1"/>
  <c r="AK350" i="1"/>
  <c r="AK349" i="1"/>
  <c r="AK348" i="1"/>
  <c r="AK347" i="1"/>
  <c r="AK346" i="1"/>
  <c r="AK345" i="1"/>
  <c r="AK344" i="1"/>
  <c r="AK343" i="1"/>
  <c r="AK342" i="1"/>
  <c r="AK341" i="1"/>
  <c r="AK340" i="1"/>
  <c r="AK339" i="1"/>
  <c r="AK338" i="1"/>
  <c r="AK337" i="1"/>
  <c r="AK336" i="1"/>
  <c r="AK335" i="1"/>
  <c r="AK334" i="1"/>
  <c r="AK333" i="1"/>
  <c r="AK332" i="1"/>
  <c r="AK331" i="1"/>
  <c r="AK330" i="1"/>
  <c r="AK329" i="1"/>
  <c r="AK328" i="1"/>
  <c r="AK327" i="1"/>
  <c r="AK326" i="1"/>
  <c r="AK325" i="1"/>
  <c r="AK324" i="1"/>
  <c r="AK323" i="1"/>
  <c r="AK322" i="1"/>
  <c r="AK321" i="1"/>
  <c r="AK320" i="1"/>
  <c r="AK319" i="1"/>
  <c r="AK318" i="1"/>
  <c r="AK317" i="1"/>
  <c r="AK316" i="1"/>
  <c r="AK315" i="1"/>
  <c r="AK314" i="1"/>
  <c r="AK313" i="1"/>
  <c r="AK312" i="1"/>
  <c r="AK311" i="1"/>
  <c r="AK310" i="1"/>
  <c r="AK309" i="1"/>
  <c r="AK308" i="1"/>
  <c r="AK307" i="1"/>
  <c r="AK306" i="1"/>
  <c r="AK305" i="1"/>
  <c r="AK304" i="1"/>
  <c r="AK303" i="1"/>
  <c r="AK302" i="1"/>
  <c r="AK301" i="1"/>
  <c r="AK300" i="1"/>
  <c r="AK299" i="1"/>
  <c r="AK298" i="1"/>
  <c r="AK297" i="1"/>
  <c r="AK296" i="1"/>
  <c r="AK295" i="1"/>
  <c r="AK294" i="1"/>
  <c r="AK293" i="1"/>
  <c r="AK292" i="1"/>
  <c r="AK291" i="1"/>
  <c r="AK290" i="1"/>
  <c r="AK289" i="1"/>
  <c r="AK288" i="1"/>
  <c r="AK287" i="1"/>
  <c r="AK286" i="1"/>
  <c r="AK285" i="1"/>
  <c r="AK284" i="1"/>
  <c r="AK283" i="1"/>
  <c r="AK282" i="1"/>
  <c r="AK281" i="1"/>
  <c r="AK280" i="1"/>
  <c r="AK279" i="1"/>
  <c r="AK278" i="1"/>
  <c r="AK277" i="1"/>
  <c r="AK276" i="1"/>
  <c r="AK275" i="1"/>
  <c r="AK274" i="1"/>
  <c r="AK273" i="1"/>
  <c r="AK272" i="1"/>
  <c r="AK271" i="1"/>
  <c r="AK270" i="1"/>
  <c r="AK269" i="1"/>
  <c r="AK268" i="1"/>
  <c r="AK267" i="1"/>
  <c r="AK266" i="1"/>
  <c r="AK265" i="1"/>
  <c r="AK264" i="1"/>
  <c r="AK263" i="1"/>
  <c r="AK262" i="1"/>
  <c r="AK261" i="1"/>
  <c r="AK260" i="1"/>
  <c r="AK259" i="1"/>
  <c r="AK258" i="1"/>
  <c r="AK257" i="1"/>
  <c r="AK256" i="1"/>
  <c r="AK255" i="1"/>
  <c r="AK254" i="1"/>
  <c r="AK253" i="1"/>
  <c r="AK252" i="1"/>
  <c r="AK251" i="1"/>
  <c r="AK250" i="1"/>
  <c r="AK249" i="1"/>
  <c r="AK248" i="1"/>
  <c r="AK247" i="1"/>
  <c r="AK246" i="1"/>
  <c r="AK245" i="1"/>
  <c r="AK244" i="1"/>
  <c r="AK243" i="1"/>
  <c r="AK242" i="1"/>
  <c r="AK241" i="1"/>
  <c r="AK240" i="1"/>
  <c r="AK239" i="1"/>
  <c r="AK238" i="1"/>
  <c r="AK237" i="1"/>
  <c r="AK236" i="1"/>
  <c r="AK235" i="1"/>
  <c r="AK234" i="1"/>
  <c r="AK233" i="1"/>
  <c r="AK232" i="1"/>
  <c r="AK231" i="1"/>
  <c r="AK230" i="1"/>
  <c r="AK229" i="1"/>
  <c r="AK228" i="1"/>
  <c r="AK227" i="1"/>
  <c r="AK226" i="1"/>
  <c r="AK225" i="1"/>
  <c r="AK224" i="1"/>
  <c r="AK223" i="1"/>
  <c r="AK222" i="1"/>
  <c r="AK221" i="1"/>
  <c r="AK220" i="1"/>
  <c r="AK219" i="1"/>
  <c r="AK218" i="1"/>
  <c r="AK217" i="1"/>
  <c r="AK216" i="1"/>
  <c r="AK215" i="1"/>
  <c r="AK214" i="1"/>
  <c r="AK213" i="1"/>
  <c r="AK212" i="1"/>
  <c r="AK211" i="1"/>
  <c r="AK210" i="1"/>
  <c r="AK209" i="1"/>
  <c r="AK208" i="1"/>
  <c r="AK207" i="1"/>
  <c r="AK206" i="1"/>
  <c r="AK205" i="1"/>
  <c r="AK204" i="1"/>
  <c r="AK203" i="1"/>
  <c r="AK202" i="1"/>
  <c r="AK201" i="1"/>
  <c r="AK200" i="1"/>
  <c r="AK199" i="1"/>
  <c r="AK198" i="1"/>
  <c r="AK197" i="1"/>
  <c r="AK196" i="1"/>
  <c r="AK195" i="1"/>
  <c r="AK194" i="1"/>
  <c r="AK193" i="1"/>
  <c r="AK192" i="1"/>
  <c r="AK191" i="1"/>
  <c r="AK190" i="1"/>
  <c r="AK189" i="1"/>
  <c r="AK188" i="1"/>
  <c r="AK187" i="1"/>
  <c r="AK186" i="1"/>
  <c r="AK185" i="1"/>
  <c r="AK184" i="1"/>
  <c r="AK183" i="1"/>
  <c r="AK182" i="1"/>
  <c r="AK181" i="1"/>
  <c r="AK180" i="1"/>
  <c r="AK179" i="1"/>
  <c r="AK178" i="1"/>
  <c r="AK177" i="1"/>
  <c r="AK176" i="1"/>
  <c r="AK175" i="1"/>
  <c r="AK174" i="1"/>
  <c r="AK173" i="1"/>
  <c r="AK172" i="1"/>
  <c r="AK171" i="1"/>
  <c r="AK170" i="1"/>
  <c r="AK169" i="1"/>
  <c r="AK168" i="1"/>
  <c r="AK167" i="1"/>
  <c r="AK166" i="1"/>
  <c r="AK165" i="1"/>
  <c r="AK164" i="1"/>
  <c r="AK163" i="1"/>
  <c r="AK162" i="1"/>
  <c r="AK161" i="1"/>
  <c r="AK160" i="1"/>
  <c r="AK159" i="1"/>
  <c r="AK158" i="1"/>
  <c r="AK157" i="1"/>
  <c r="AK156" i="1"/>
  <c r="AK155" i="1"/>
  <c r="AK154" i="1"/>
  <c r="AK153" i="1"/>
  <c r="AK152" i="1"/>
  <c r="AK151" i="1"/>
  <c r="AK150" i="1"/>
  <c r="AK149" i="1"/>
  <c r="AK148" i="1"/>
  <c r="AK147" i="1"/>
  <c r="AK146" i="1"/>
  <c r="AK145" i="1"/>
  <c r="AK144" i="1"/>
  <c r="AK143" i="1"/>
  <c r="AK142" i="1"/>
  <c r="AK141" i="1"/>
  <c r="AK140" i="1"/>
  <c r="AK139" i="1"/>
  <c r="AK138" i="1"/>
  <c r="AK137" i="1"/>
  <c r="AK136" i="1"/>
  <c r="AK135" i="1"/>
  <c r="AK134" i="1"/>
  <c r="AK133" i="1"/>
  <c r="AK132" i="1"/>
  <c r="AK131" i="1"/>
  <c r="AK130" i="1"/>
  <c r="AK129" i="1"/>
  <c r="AK128" i="1"/>
  <c r="AK127" i="1"/>
  <c r="AK126" i="1"/>
  <c r="AK125" i="1"/>
  <c r="AK124" i="1"/>
  <c r="AK123" i="1"/>
  <c r="AK122" i="1"/>
  <c r="AK121" i="1"/>
  <c r="AK120" i="1"/>
  <c r="AK119" i="1"/>
  <c r="AK118" i="1"/>
  <c r="AK117" i="1"/>
  <c r="AK116" i="1"/>
  <c r="AK115" i="1"/>
  <c r="AK114" i="1"/>
  <c r="AK113" i="1"/>
  <c r="AK112" i="1"/>
  <c r="AK111" i="1"/>
  <c r="AK110" i="1"/>
  <c r="AK109" i="1"/>
  <c r="AK108" i="1"/>
  <c r="AK107" i="1"/>
  <c r="AK106" i="1"/>
  <c r="AK105" i="1"/>
  <c r="AK104" i="1"/>
  <c r="AK103" i="1"/>
  <c r="AK102" i="1"/>
  <c r="AK101" i="1"/>
  <c r="AK100" i="1"/>
  <c r="AK99" i="1"/>
  <c r="AK98" i="1"/>
  <c r="AK97" i="1"/>
  <c r="AK96" i="1"/>
  <c r="AK95" i="1"/>
  <c r="AK94" i="1"/>
  <c r="AK93" i="1"/>
  <c r="AK92" i="1"/>
  <c r="AK91" i="1"/>
  <c r="AK90" i="1"/>
  <c r="AK89" i="1"/>
  <c r="AK88" i="1"/>
  <c r="AK87" i="1"/>
  <c r="AK86" i="1"/>
  <c r="AK85" i="1"/>
  <c r="AK84" i="1"/>
  <c r="AK83" i="1"/>
  <c r="AK82" i="1"/>
  <c r="AK81" i="1"/>
  <c r="AK80" i="1"/>
  <c r="AK79" i="1"/>
  <c r="AK78" i="1"/>
  <c r="AK77" i="1"/>
  <c r="AK76" i="1"/>
  <c r="AK75" i="1"/>
  <c r="AK74" i="1"/>
  <c r="AK73" i="1"/>
  <c r="AK72" i="1"/>
  <c r="AK71" i="1"/>
  <c r="AK70" i="1"/>
  <c r="AK69" i="1"/>
  <c r="AK68" i="1"/>
  <c r="AK67" i="1"/>
  <c r="AK66" i="1"/>
  <c r="AK65" i="1"/>
  <c r="AK64" i="1"/>
  <c r="AK63" i="1"/>
  <c r="AK62" i="1"/>
  <c r="AK61" i="1"/>
  <c r="AK60" i="1"/>
  <c r="AK59" i="1"/>
  <c r="AK58" i="1"/>
  <c r="AK57" i="1"/>
  <c r="AK56" i="1"/>
  <c r="AK55" i="1"/>
  <c r="AK54" i="1"/>
  <c r="AK53" i="1"/>
  <c r="AK52" i="1"/>
  <c r="AK51" i="1"/>
  <c r="AK50" i="1"/>
  <c r="AK49" i="1"/>
  <c r="AK48" i="1"/>
  <c r="AK47" i="1"/>
  <c r="AK46" i="1"/>
  <c r="AK45" i="1"/>
  <c r="AK44" i="1"/>
  <c r="AK43" i="1"/>
  <c r="AK42" i="1"/>
  <c r="AK41" i="1"/>
  <c r="AK40" i="1"/>
  <c r="AK39" i="1"/>
  <c r="AK38" i="1"/>
  <c r="AK37" i="1"/>
  <c r="AK36" i="1"/>
  <c r="AK35" i="1"/>
  <c r="AK34" i="1"/>
  <c r="AK33" i="1"/>
  <c r="AK32" i="1"/>
  <c r="AK31" i="1"/>
  <c r="AK30" i="1"/>
  <c r="AK29" i="1"/>
  <c r="AK28" i="1"/>
  <c r="AK27" i="1"/>
  <c r="AK26" i="1"/>
  <c r="AK25" i="1"/>
  <c r="AK24" i="1"/>
  <c r="AK23" i="1"/>
  <c r="AK22" i="1"/>
  <c r="AK21" i="1"/>
  <c r="AK20" i="1"/>
  <c r="AK19" i="1"/>
  <c r="AK18" i="1"/>
  <c r="AK17" i="1"/>
  <c r="AK16" i="1"/>
  <c r="AK15" i="1"/>
  <c r="AK14" i="1"/>
  <c r="AK13" i="1"/>
  <c r="AK12" i="1"/>
  <c r="AK11" i="1"/>
  <c r="AK10" i="1"/>
  <c r="AK9" i="1"/>
  <c r="A545" i="1"/>
  <c r="AS545" i="1" s="1"/>
  <c r="A544" i="1"/>
  <c r="AS544" i="1" s="1"/>
  <c r="A543" i="1"/>
  <c r="A542" i="1"/>
  <c r="A541" i="1"/>
  <c r="A540" i="1"/>
  <c r="A539" i="1"/>
  <c r="AS539" i="1" s="1"/>
  <c r="A538" i="1"/>
  <c r="A537" i="1"/>
  <c r="A536" i="1"/>
  <c r="A535" i="1"/>
  <c r="A534" i="1"/>
  <c r="A533" i="1"/>
  <c r="AS533" i="1" s="1"/>
  <c r="A532" i="1"/>
  <c r="AS532" i="1" s="1"/>
  <c r="A531" i="1"/>
  <c r="A530" i="1"/>
  <c r="A529" i="1"/>
  <c r="A528" i="1"/>
  <c r="A527" i="1"/>
  <c r="AS527" i="1" s="1"/>
  <c r="A526" i="1"/>
  <c r="AS526" i="1" s="1"/>
  <c r="A525" i="1"/>
  <c r="AS525" i="1" s="1"/>
  <c r="A524" i="1"/>
  <c r="AS524" i="1" s="1"/>
  <c r="A523" i="1"/>
  <c r="AS523" i="1" s="1"/>
  <c r="A522" i="1"/>
  <c r="A521" i="1"/>
  <c r="AS521" i="1" s="1"/>
  <c r="A520" i="1"/>
  <c r="AS520" i="1" s="1"/>
  <c r="A519" i="1"/>
  <c r="AS519" i="1" s="1"/>
  <c r="A518" i="1"/>
  <c r="AS518" i="1" s="1"/>
  <c r="A517" i="1"/>
  <c r="AS517" i="1" s="1"/>
  <c r="A516" i="1"/>
  <c r="AS516" i="1" s="1"/>
  <c r="A515" i="1"/>
  <c r="A514" i="1"/>
  <c r="A513" i="1"/>
  <c r="A512" i="1"/>
  <c r="A511" i="1"/>
  <c r="A510" i="1"/>
  <c r="A509" i="1"/>
  <c r="A508" i="1"/>
  <c r="A507" i="1"/>
  <c r="AS507" i="1" s="1"/>
  <c r="A506" i="1"/>
  <c r="A505" i="1"/>
  <c r="A504" i="1"/>
  <c r="AS504" i="1" s="1"/>
  <c r="A503" i="1"/>
  <c r="A502" i="1"/>
  <c r="AS502" i="1" s="1"/>
  <c r="A501" i="1"/>
  <c r="A500" i="1"/>
  <c r="A499" i="1"/>
  <c r="A498" i="1"/>
  <c r="A497" i="1"/>
  <c r="AS497" i="1" s="1"/>
  <c r="A496" i="1"/>
  <c r="AS496" i="1" s="1"/>
  <c r="A495" i="1"/>
  <c r="AS495" i="1" s="1"/>
  <c r="A494" i="1"/>
  <c r="AS494" i="1" s="1"/>
  <c r="A493" i="1"/>
  <c r="AS493" i="1" s="1"/>
  <c r="A492" i="1"/>
  <c r="AS492" i="1" s="1"/>
  <c r="A491" i="1"/>
  <c r="AS491" i="1" s="1"/>
  <c r="A490" i="1"/>
  <c r="AS490" i="1" s="1"/>
  <c r="A489" i="1"/>
  <c r="AS489" i="1" s="1"/>
  <c r="A488" i="1"/>
  <c r="AS488" i="1" s="1"/>
  <c r="A487" i="1"/>
  <c r="AS487" i="1" s="1"/>
  <c r="A486" i="1"/>
  <c r="AS486" i="1" s="1"/>
  <c r="A485" i="1"/>
  <c r="AS485" i="1" s="1"/>
  <c r="A484" i="1"/>
  <c r="AS484" i="1" s="1"/>
  <c r="A483" i="1"/>
  <c r="AS483" i="1" s="1"/>
  <c r="A482" i="1"/>
  <c r="AS482" i="1" s="1"/>
  <c r="A481" i="1"/>
  <c r="AS481" i="1" s="1"/>
  <c r="A480" i="1"/>
  <c r="AS480" i="1" s="1"/>
  <c r="A479" i="1"/>
  <c r="AS479" i="1" s="1"/>
  <c r="A478" i="1"/>
  <c r="AS478" i="1" s="1"/>
  <c r="A477" i="1"/>
  <c r="AS477" i="1" s="1"/>
  <c r="A476" i="1"/>
  <c r="AS476" i="1" s="1"/>
  <c r="A475" i="1"/>
  <c r="AS475" i="1" s="1"/>
  <c r="A474" i="1"/>
  <c r="AS474" i="1" s="1"/>
  <c r="A473" i="1"/>
  <c r="AS473" i="1" s="1"/>
  <c r="A472" i="1"/>
  <c r="AS472" i="1" s="1"/>
  <c r="A471" i="1"/>
  <c r="AS471" i="1" s="1"/>
  <c r="A470" i="1"/>
  <c r="AS470" i="1" s="1"/>
  <c r="A469" i="1"/>
  <c r="AS469" i="1" s="1"/>
  <c r="A468" i="1"/>
  <c r="AS468" i="1" s="1"/>
  <c r="A467" i="1"/>
  <c r="AS467" i="1" s="1"/>
  <c r="A466" i="1"/>
  <c r="AS466" i="1" s="1"/>
  <c r="A465" i="1"/>
  <c r="AS465" i="1" s="1"/>
  <c r="A464" i="1"/>
  <c r="AS464" i="1" s="1"/>
  <c r="A463" i="1"/>
  <c r="AS463" i="1" s="1"/>
  <c r="A462" i="1"/>
  <c r="AS462" i="1" s="1"/>
  <c r="A461" i="1"/>
  <c r="AS461" i="1" s="1"/>
  <c r="A460" i="1"/>
  <c r="AS460" i="1" s="1"/>
  <c r="A459" i="1"/>
  <c r="AS459" i="1" s="1"/>
  <c r="A458" i="1"/>
  <c r="A457" i="1"/>
  <c r="A456" i="1"/>
  <c r="AS456" i="1" s="1"/>
  <c r="A455" i="1"/>
  <c r="AS455" i="1" s="1"/>
  <c r="A454" i="1"/>
  <c r="AS454" i="1" s="1"/>
  <c r="A453" i="1"/>
  <c r="AS453" i="1" s="1"/>
  <c r="A452" i="1"/>
  <c r="A451" i="1"/>
  <c r="AS451" i="1" s="1"/>
  <c r="A450" i="1"/>
  <c r="A449" i="1"/>
  <c r="A448" i="1"/>
  <c r="A447" i="1"/>
  <c r="A446" i="1"/>
  <c r="AS446" i="1" s="1"/>
  <c r="A445" i="1"/>
  <c r="AS445" i="1" s="1"/>
  <c r="A444" i="1"/>
  <c r="AS444" i="1" s="1"/>
  <c r="A443" i="1"/>
  <c r="AS443" i="1" s="1"/>
  <c r="A442" i="1"/>
  <c r="AS442" i="1" s="1"/>
  <c r="A441" i="1"/>
  <c r="AS441" i="1" s="1"/>
  <c r="A440" i="1"/>
  <c r="AS440" i="1" s="1"/>
  <c r="A439" i="1"/>
  <c r="A438" i="1"/>
  <c r="A437" i="1"/>
  <c r="A436" i="1"/>
  <c r="A435" i="1"/>
  <c r="AS435" i="1" s="1"/>
  <c r="A434" i="1"/>
  <c r="A433" i="1"/>
  <c r="A432" i="1"/>
  <c r="A431" i="1"/>
  <c r="A430" i="1"/>
  <c r="A429" i="1"/>
  <c r="A428" i="1"/>
  <c r="A427" i="1"/>
  <c r="AS427" i="1" s="1"/>
  <c r="A426" i="1"/>
  <c r="AS426" i="1" s="1"/>
  <c r="A425" i="1"/>
  <c r="AS425" i="1" s="1"/>
  <c r="A424" i="1"/>
  <c r="AS424" i="1" s="1"/>
  <c r="A423" i="1"/>
  <c r="AS423" i="1" s="1"/>
  <c r="A422" i="1"/>
  <c r="AS422" i="1" s="1"/>
  <c r="A421" i="1"/>
  <c r="AS421" i="1" s="1"/>
  <c r="A420" i="1"/>
  <c r="AS420" i="1" s="1"/>
  <c r="A419" i="1"/>
  <c r="AS419" i="1" s="1"/>
  <c r="A418" i="1"/>
  <c r="AS418" i="1" s="1"/>
  <c r="A417" i="1"/>
  <c r="AS417" i="1" s="1"/>
  <c r="A416" i="1"/>
  <c r="A415" i="1"/>
  <c r="AS415" i="1" s="1"/>
  <c r="A414" i="1"/>
  <c r="AS414" i="1" s="1"/>
  <c r="A413" i="1"/>
  <c r="AS413" i="1" s="1"/>
  <c r="A412" i="1"/>
  <c r="AS412" i="1" s="1"/>
  <c r="A411" i="1"/>
  <c r="AS411" i="1" s="1"/>
  <c r="A410" i="1"/>
  <c r="AS410" i="1" s="1"/>
  <c r="A409" i="1"/>
  <c r="A408" i="1"/>
  <c r="A407" i="1"/>
  <c r="A406" i="1"/>
  <c r="A405" i="1"/>
  <c r="A404" i="1"/>
  <c r="A403" i="1"/>
  <c r="A402" i="1"/>
  <c r="A401" i="1"/>
  <c r="A400" i="1"/>
  <c r="A399" i="1"/>
  <c r="A398" i="1"/>
  <c r="A397" i="1"/>
  <c r="A396" i="1"/>
  <c r="A395" i="1"/>
  <c r="A394" i="1"/>
  <c r="A393" i="1"/>
  <c r="A392" i="1"/>
  <c r="A391" i="1"/>
  <c r="A390" i="1"/>
  <c r="A389" i="1"/>
  <c r="A388" i="1"/>
  <c r="A387" i="1"/>
  <c r="A386" i="1"/>
  <c r="A385" i="1"/>
  <c r="A384" i="1"/>
  <c r="A383" i="1"/>
  <c r="A382" i="1"/>
  <c r="A381" i="1"/>
  <c r="A380" i="1"/>
  <c r="A379" i="1"/>
  <c r="A378" i="1"/>
  <c r="A377" i="1"/>
  <c r="A376" i="1"/>
  <c r="A375" i="1"/>
  <c r="A374" i="1"/>
  <c r="AS374" i="1" s="1"/>
  <c r="A373" i="1"/>
  <c r="AS373" i="1" s="1"/>
  <c r="A372" i="1"/>
  <c r="AS372" i="1" s="1"/>
  <c r="A371" i="1"/>
  <c r="AS371" i="1" s="1"/>
  <c r="A370" i="1"/>
  <c r="AS370" i="1" s="1"/>
  <c r="A369" i="1"/>
  <c r="AS369" i="1" s="1"/>
  <c r="A368" i="1"/>
  <c r="AS368" i="1" s="1"/>
  <c r="A367" i="1"/>
  <c r="AS367" i="1" s="1"/>
  <c r="A366" i="1"/>
  <c r="AS366" i="1" s="1"/>
  <c r="A365" i="1"/>
  <c r="AS365" i="1" s="1"/>
  <c r="A364" i="1"/>
  <c r="AS364" i="1" s="1"/>
  <c r="A363" i="1"/>
  <c r="AS363" i="1" s="1"/>
  <c r="A362" i="1"/>
  <c r="AS362" i="1" s="1"/>
  <c r="A361" i="1"/>
  <c r="AS361" i="1" s="1"/>
  <c r="A360" i="1"/>
  <c r="AS360" i="1" s="1"/>
  <c r="A359" i="1"/>
  <c r="AS359" i="1" s="1"/>
  <c r="A358" i="1"/>
  <c r="AS358" i="1" s="1"/>
  <c r="A357" i="1"/>
  <c r="AS357" i="1" s="1"/>
  <c r="A356" i="1"/>
  <c r="AS356" i="1" s="1"/>
  <c r="A355" i="1"/>
  <c r="AS355" i="1" s="1"/>
  <c r="A354" i="1"/>
  <c r="AS354" i="1" s="1"/>
  <c r="A353" i="1"/>
  <c r="AS353" i="1" s="1"/>
  <c r="A352" i="1"/>
  <c r="AS352" i="1" s="1"/>
  <c r="A351" i="1"/>
  <c r="AS351" i="1" s="1"/>
  <c r="A350" i="1"/>
  <c r="AS350" i="1" s="1"/>
  <c r="A349" i="1"/>
  <c r="AS349" i="1" s="1"/>
  <c r="A348" i="1"/>
  <c r="AS348" i="1" s="1"/>
  <c r="A347" i="1"/>
  <c r="AS347" i="1" s="1"/>
  <c r="A346" i="1"/>
  <c r="AS346" i="1" s="1"/>
  <c r="A345" i="1"/>
  <c r="AS345" i="1" s="1"/>
  <c r="A344" i="1"/>
  <c r="AS344" i="1" s="1"/>
  <c r="A343" i="1"/>
  <c r="AS343" i="1" s="1"/>
  <c r="A342" i="1"/>
  <c r="AS342" i="1" s="1"/>
  <c r="A341" i="1"/>
  <c r="AS341" i="1" s="1"/>
  <c r="A340" i="1"/>
  <c r="AS340" i="1" s="1"/>
  <c r="A339" i="1"/>
  <c r="AS339" i="1" s="1"/>
  <c r="A338" i="1"/>
  <c r="AS338" i="1" s="1"/>
  <c r="A337" i="1"/>
  <c r="AS337" i="1" s="1"/>
  <c r="A336" i="1"/>
  <c r="AS336" i="1" s="1"/>
  <c r="A335" i="1"/>
  <c r="AS335" i="1" s="1"/>
  <c r="A334" i="1"/>
  <c r="AS334" i="1" s="1"/>
  <c r="A333" i="1"/>
  <c r="AS333" i="1" s="1"/>
  <c r="A332" i="1"/>
  <c r="AS332" i="1" s="1"/>
  <c r="A331" i="1"/>
  <c r="AS331" i="1" s="1"/>
  <c r="A330" i="1"/>
  <c r="AS330" i="1" s="1"/>
  <c r="A329" i="1"/>
  <c r="AS329" i="1" s="1"/>
  <c r="A328" i="1"/>
  <c r="AS328" i="1" s="1"/>
  <c r="A327" i="1"/>
  <c r="AS327" i="1" s="1"/>
  <c r="A326" i="1"/>
  <c r="AS326" i="1" s="1"/>
  <c r="A325" i="1"/>
  <c r="AS325" i="1" s="1"/>
  <c r="A324" i="1"/>
  <c r="AS324" i="1" s="1"/>
  <c r="A323" i="1"/>
  <c r="AS323" i="1" s="1"/>
  <c r="A322" i="1"/>
  <c r="AS322" i="1" s="1"/>
  <c r="A321" i="1"/>
  <c r="AS321" i="1" s="1"/>
  <c r="A320" i="1"/>
  <c r="AS320" i="1" s="1"/>
  <c r="A319" i="1"/>
  <c r="AS319" i="1" s="1"/>
  <c r="A318" i="1"/>
  <c r="AS318" i="1" s="1"/>
  <c r="A317" i="1"/>
  <c r="AS317" i="1" s="1"/>
  <c r="A316" i="1"/>
  <c r="AS316" i="1" s="1"/>
  <c r="A315" i="1"/>
  <c r="AS315" i="1" s="1"/>
  <c r="A314" i="1"/>
  <c r="AS314" i="1" s="1"/>
  <c r="A313" i="1"/>
  <c r="AS313" i="1" s="1"/>
  <c r="A312" i="1"/>
  <c r="AS312" i="1" s="1"/>
  <c r="A311" i="1"/>
  <c r="AS311" i="1" s="1"/>
  <c r="A310" i="1"/>
  <c r="AS310" i="1" s="1"/>
  <c r="A309" i="1"/>
  <c r="AS309" i="1" s="1"/>
  <c r="A308" i="1"/>
  <c r="AS308" i="1" s="1"/>
  <c r="A307" i="1"/>
  <c r="AS307" i="1" s="1"/>
  <c r="A306" i="1"/>
  <c r="AS306" i="1" s="1"/>
  <c r="A305" i="1"/>
  <c r="AS305" i="1" s="1"/>
  <c r="A304" i="1"/>
  <c r="AS304" i="1" s="1"/>
  <c r="A303" i="1"/>
  <c r="AS303" i="1" s="1"/>
  <c r="A302" i="1"/>
  <c r="AS302" i="1" s="1"/>
  <c r="A301" i="1"/>
  <c r="AS301" i="1" s="1"/>
  <c r="A300" i="1"/>
  <c r="AS300" i="1" s="1"/>
  <c r="A299" i="1"/>
  <c r="AS299" i="1" s="1"/>
  <c r="A298" i="1"/>
  <c r="AS298" i="1" s="1"/>
  <c r="A297" i="1"/>
  <c r="AS297" i="1" s="1"/>
  <c r="A296" i="1"/>
  <c r="AS296" i="1" s="1"/>
  <c r="A295" i="1"/>
  <c r="AS295" i="1" s="1"/>
  <c r="A294" i="1"/>
  <c r="AS294" i="1" s="1"/>
  <c r="A293" i="1"/>
  <c r="AS293" i="1" s="1"/>
  <c r="A292" i="1"/>
  <c r="AS292" i="1" s="1"/>
  <c r="A291" i="1"/>
  <c r="AS291" i="1" s="1"/>
  <c r="A290" i="1"/>
  <c r="AS290" i="1" s="1"/>
  <c r="A289" i="1"/>
  <c r="AS289" i="1" s="1"/>
  <c r="A288" i="1"/>
  <c r="AS288" i="1" s="1"/>
  <c r="A287" i="1"/>
  <c r="AS287" i="1" s="1"/>
  <c r="A286" i="1"/>
  <c r="AS286" i="1" s="1"/>
  <c r="A285" i="1"/>
  <c r="AS285" i="1" s="1"/>
  <c r="A284" i="1"/>
  <c r="AS284" i="1" s="1"/>
  <c r="A283" i="1"/>
  <c r="AS283" i="1" s="1"/>
  <c r="A282" i="1"/>
  <c r="AS282" i="1" s="1"/>
  <c r="A281" i="1"/>
  <c r="AS281" i="1" s="1"/>
  <c r="A280" i="1"/>
  <c r="AS280" i="1" s="1"/>
  <c r="A279" i="1"/>
  <c r="AS279" i="1" s="1"/>
  <c r="A278" i="1"/>
  <c r="AS278" i="1" s="1"/>
  <c r="A277" i="1"/>
  <c r="AS277" i="1" s="1"/>
  <c r="A276" i="1"/>
  <c r="AS276" i="1" s="1"/>
  <c r="A275" i="1"/>
  <c r="AS275" i="1" s="1"/>
  <c r="A274" i="1"/>
  <c r="AS274" i="1" s="1"/>
  <c r="A273" i="1"/>
  <c r="AS273" i="1" s="1"/>
  <c r="A272" i="1"/>
  <c r="AS272" i="1" s="1"/>
  <c r="A271" i="1"/>
  <c r="AS271" i="1" s="1"/>
  <c r="A270" i="1"/>
  <c r="AS270" i="1" s="1"/>
  <c r="A269" i="1"/>
  <c r="AS269" i="1" s="1"/>
  <c r="A268" i="1"/>
  <c r="AS268" i="1" s="1"/>
  <c r="A267" i="1"/>
  <c r="AS267" i="1" s="1"/>
  <c r="A266" i="1"/>
  <c r="AS266" i="1" s="1"/>
  <c r="A265" i="1"/>
  <c r="AS265" i="1" s="1"/>
  <c r="A264" i="1"/>
  <c r="AS264" i="1" s="1"/>
  <c r="A263" i="1"/>
  <c r="AS263" i="1" s="1"/>
  <c r="A262" i="1"/>
  <c r="AS262" i="1" s="1"/>
  <c r="A261" i="1"/>
  <c r="AS261" i="1" s="1"/>
  <c r="A260" i="1"/>
  <c r="AS260" i="1" s="1"/>
  <c r="A259" i="1"/>
  <c r="AS259" i="1" s="1"/>
  <c r="A258" i="1"/>
  <c r="AS258" i="1" s="1"/>
  <c r="A257" i="1"/>
  <c r="AS257" i="1" s="1"/>
  <c r="A256" i="1"/>
  <c r="AS256" i="1" s="1"/>
  <c r="A255" i="1"/>
  <c r="AS255" i="1" s="1"/>
  <c r="A254" i="1"/>
  <c r="AS254" i="1" s="1"/>
  <c r="A253" i="1"/>
  <c r="AS253" i="1" s="1"/>
  <c r="A252" i="1"/>
  <c r="AS252" i="1" s="1"/>
  <c r="A251" i="1"/>
  <c r="AS251" i="1" s="1"/>
  <c r="A250" i="1"/>
  <c r="AS250" i="1" s="1"/>
  <c r="A249" i="1"/>
  <c r="AS249" i="1" s="1"/>
  <c r="A248" i="1"/>
  <c r="AS248" i="1" s="1"/>
  <c r="A247" i="1"/>
  <c r="AS247" i="1" s="1"/>
  <c r="A246" i="1"/>
  <c r="AS246" i="1" s="1"/>
  <c r="A245" i="1"/>
  <c r="AS245" i="1" s="1"/>
  <c r="A244" i="1"/>
  <c r="AS244" i="1" s="1"/>
  <c r="A243" i="1"/>
  <c r="AS243" i="1" s="1"/>
  <c r="A242" i="1"/>
  <c r="AS242" i="1" s="1"/>
  <c r="A241" i="1"/>
  <c r="AS241" i="1" s="1"/>
  <c r="A240" i="1"/>
  <c r="AS240" i="1" s="1"/>
  <c r="A239" i="1"/>
  <c r="AS239" i="1" s="1"/>
  <c r="A238" i="1"/>
  <c r="AS238" i="1" s="1"/>
  <c r="A237" i="1"/>
  <c r="AS237" i="1" s="1"/>
  <c r="A236" i="1"/>
  <c r="AS236" i="1" s="1"/>
  <c r="A235" i="1"/>
  <c r="AS235" i="1" s="1"/>
  <c r="A234" i="1"/>
  <c r="AS234" i="1" s="1"/>
  <c r="A233" i="1"/>
  <c r="AS233" i="1" s="1"/>
  <c r="A232" i="1"/>
  <c r="AS232" i="1" s="1"/>
  <c r="A231" i="1"/>
  <c r="AS231" i="1" s="1"/>
  <c r="A230" i="1"/>
  <c r="AS230" i="1" s="1"/>
  <c r="A229" i="1"/>
  <c r="AS229" i="1" s="1"/>
  <c r="A228" i="1"/>
  <c r="AS228" i="1" s="1"/>
  <c r="A227" i="1"/>
  <c r="AS227" i="1" s="1"/>
  <c r="A226" i="1"/>
  <c r="AS226" i="1" s="1"/>
  <c r="A225" i="1"/>
  <c r="AS225" i="1" s="1"/>
  <c r="A224" i="1"/>
  <c r="AS224" i="1" s="1"/>
  <c r="A223" i="1"/>
  <c r="AS223" i="1" s="1"/>
  <c r="A222" i="1"/>
  <c r="AS222" i="1" s="1"/>
  <c r="A221" i="1"/>
  <c r="AS221" i="1" s="1"/>
  <c r="A220" i="1"/>
  <c r="AS220" i="1" s="1"/>
  <c r="A219" i="1"/>
  <c r="AS219" i="1" s="1"/>
  <c r="A218" i="1"/>
  <c r="AS218" i="1" s="1"/>
  <c r="A217" i="1"/>
  <c r="AS217" i="1" s="1"/>
  <c r="A216" i="1"/>
  <c r="AS216" i="1" s="1"/>
  <c r="A215" i="1"/>
  <c r="AS215" i="1" s="1"/>
  <c r="A214" i="1"/>
  <c r="AS214" i="1" s="1"/>
  <c r="A213" i="1"/>
  <c r="AS213" i="1" s="1"/>
  <c r="A212" i="1"/>
  <c r="AS212" i="1" s="1"/>
  <c r="A211" i="1"/>
  <c r="AS211" i="1" s="1"/>
  <c r="A210" i="1"/>
  <c r="AS210" i="1" s="1"/>
  <c r="A209" i="1"/>
  <c r="AS209" i="1" s="1"/>
  <c r="A208" i="1"/>
  <c r="AS208" i="1" s="1"/>
  <c r="A207" i="1"/>
  <c r="AS207" i="1" s="1"/>
  <c r="A206" i="1"/>
  <c r="AS206" i="1" s="1"/>
  <c r="A205" i="1"/>
  <c r="AS205" i="1" s="1"/>
  <c r="A204" i="1"/>
  <c r="AS204" i="1" s="1"/>
  <c r="A203" i="1"/>
  <c r="AS203" i="1" s="1"/>
  <c r="A202" i="1"/>
  <c r="AS202" i="1" s="1"/>
  <c r="A201" i="1"/>
  <c r="AS201" i="1" s="1"/>
  <c r="A200" i="1"/>
  <c r="AS200" i="1" s="1"/>
  <c r="A199" i="1"/>
  <c r="AS199" i="1" s="1"/>
  <c r="A198" i="1"/>
  <c r="AS198" i="1" s="1"/>
  <c r="A197" i="1"/>
  <c r="AS197" i="1" s="1"/>
  <c r="A196" i="1"/>
  <c r="AS196" i="1" s="1"/>
  <c r="A195" i="1"/>
  <c r="AS195" i="1" s="1"/>
  <c r="A194" i="1"/>
  <c r="AS194" i="1" s="1"/>
  <c r="A193" i="1"/>
  <c r="AS193" i="1" s="1"/>
  <c r="A192" i="1"/>
  <c r="AS192" i="1" s="1"/>
  <c r="A191" i="1"/>
  <c r="AS191" i="1" s="1"/>
  <c r="A190" i="1"/>
  <c r="AS190" i="1" s="1"/>
  <c r="A189" i="1"/>
  <c r="AS189" i="1" s="1"/>
  <c r="A188" i="1"/>
  <c r="AS188" i="1" s="1"/>
  <c r="A187" i="1"/>
  <c r="AS187" i="1" s="1"/>
  <c r="A186" i="1"/>
  <c r="AS186" i="1" s="1"/>
  <c r="A185" i="1"/>
  <c r="AS185" i="1" s="1"/>
  <c r="A184" i="1"/>
  <c r="AS184" i="1" s="1"/>
  <c r="A183" i="1"/>
  <c r="AS183" i="1" s="1"/>
  <c r="A182" i="1"/>
  <c r="AS182" i="1" s="1"/>
  <c r="A181" i="1"/>
  <c r="AS181" i="1" s="1"/>
  <c r="A180" i="1"/>
  <c r="AS180" i="1" s="1"/>
  <c r="A179" i="1"/>
  <c r="AS179" i="1" s="1"/>
  <c r="A178" i="1"/>
  <c r="AS178" i="1" s="1"/>
  <c r="A177" i="1"/>
  <c r="AS177" i="1" s="1"/>
  <c r="A176" i="1"/>
  <c r="AS176" i="1" s="1"/>
  <c r="A175" i="1"/>
  <c r="A174" i="1"/>
  <c r="A173" i="1"/>
  <c r="A172" i="1"/>
  <c r="A171" i="1"/>
  <c r="A170" i="1"/>
  <c r="A169" i="1"/>
  <c r="A168" i="1"/>
  <c r="A167" i="1"/>
  <c r="A166" i="1"/>
  <c r="A165" i="1"/>
  <c r="A164" i="1"/>
  <c r="A163" i="1"/>
  <c r="A162" i="1"/>
  <c r="A161" i="1"/>
  <c r="A160" i="1"/>
  <c r="A159" i="1"/>
  <c r="A158" i="1"/>
  <c r="A157" i="1"/>
  <c r="A156" i="1"/>
  <c r="A155" i="1"/>
  <c r="A154" i="1"/>
  <c r="A153" i="1"/>
  <c r="A152" i="1"/>
  <c r="A151" i="1"/>
  <c r="A150" i="1"/>
  <c r="A149" i="1"/>
  <c r="AS149" i="1" s="1"/>
  <c r="A148" i="1"/>
  <c r="A147" i="1"/>
  <c r="A146" i="1"/>
  <c r="AS146" i="1" s="1"/>
  <c r="A145" i="1"/>
  <c r="AS145" i="1" s="1"/>
  <c r="A144" i="1"/>
  <c r="AS144" i="1" s="1"/>
  <c r="A143" i="1"/>
  <c r="AS143" i="1" s="1"/>
  <c r="A142" i="1"/>
  <c r="AS142" i="1" s="1"/>
  <c r="A141" i="1"/>
  <c r="AS141" i="1" s="1"/>
  <c r="A140" i="1"/>
  <c r="AS140" i="1" s="1"/>
  <c r="A139" i="1"/>
  <c r="AS139" i="1" s="1"/>
  <c r="A138" i="1"/>
  <c r="AS138" i="1" s="1"/>
  <c r="A137" i="1"/>
  <c r="AS137" i="1" s="1"/>
  <c r="A136" i="1"/>
  <c r="AS136" i="1" s="1"/>
  <c r="A135" i="1"/>
  <c r="AS135" i="1" s="1"/>
  <c r="A134" i="1"/>
  <c r="AS134" i="1" s="1"/>
  <c r="A133" i="1"/>
  <c r="AS133" i="1" s="1"/>
  <c r="A132" i="1"/>
  <c r="A131" i="1"/>
  <c r="A130" i="1"/>
  <c r="A129" i="1"/>
  <c r="A128" i="1"/>
  <c r="A127" i="1"/>
  <c r="A126" i="1"/>
  <c r="A125" i="1"/>
  <c r="A124" i="1"/>
  <c r="A123" i="1"/>
  <c r="A122" i="1"/>
  <c r="A121" i="1"/>
  <c r="A120" i="1"/>
  <c r="A119" i="1"/>
  <c r="A118" i="1"/>
  <c r="AM118" i="1" s="1"/>
  <c r="A117" i="1"/>
  <c r="A116" i="1"/>
  <c r="A115" i="1"/>
  <c r="A114" i="1"/>
  <c r="A113" i="1"/>
  <c r="A112" i="1"/>
  <c r="A111" i="1"/>
  <c r="A110" i="1"/>
  <c r="A109" i="1"/>
  <c r="A108" i="1"/>
  <c r="A107" i="1"/>
  <c r="A106" i="1"/>
  <c r="A105" i="1"/>
  <c r="A104" i="1"/>
  <c r="A103" i="1"/>
  <c r="A102" i="1"/>
  <c r="A101" i="1"/>
  <c r="A100" i="1"/>
  <c r="A99" i="1"/>
  <c r="AS99" i="1" s="1"/>
  <c r="A98" i="1"/>
  <c r="AS98" i="1" s="1"/>
  <c r="A97" i="1"/>
  <c r="AS97" i="1" s="1"/>
  <c r="A96" i="1"/>
  <c r="AS96" i="1" s="1"/>
  <c r="A95" i="1"/>
  <c r="AS95" i="1" s="1"/>
  <c r="A94" i="1"/>
  <c r="AS94" i="1" s="1"/>
  <c r="A93" i="1"/>
  <c r="AS93" i="1" s="1"/>
  <c r="A92" i="1"/>
  <c r="AS92" i="1" s="1"/>
  <c r="A91" i="1"/>
  <c r="AS91" i="1" s="1"/>
  <c r="A90" i="1"/>
  <c r="AS90" i="1" s="1"/>
  <c r="A89" i="1"/>
  <c r="AS89" i="1" s="1"/>
  <c r="A88" i="1"/>
  <c r="AS88" i="1" s="1"/>
  <c r="A87" i="1"/>
  <c r="AS87" i="1" s="1"/>
  <c r="A86" i="1"/>
  <c r="AS86" i="1" s="1"/>
  <c r="A85" i="1"/>
  <c r="AS85" i="1" s="1"/>
  <c r="A84" i="1"/>
  <c r="AS84" i="1" s="1"/>
  <c r="A83" i="1"/>
  <c r="AS83" i="1" s="1"/>
  <c r="A82" i="1"/>
  <c r="AS82" i="1" s="1"/>
  <c r="A81" i="1"/>
  <c r="AS81" i="1" s="1"/>
  <c r="A80" i="1"/>
  <c r="AS80" i="1" s="1"/>
  <c r="A79" i="1"/>
  <c r="AS79" i="1" s="1"/>
  <c r="A78" i="1"/>
  <c r="AS78" i="1" s="1"/>
  <c r="A77" i="1"/>
  <c r="AS77" i="1" s="1"/>
  <c r="A76" i="1"/>
  <c r="AS76" i="1" s="1"/>
  <c r="A75" i="1"/>
  <c r="AS75" i="1" s="1"/>
  <c r="A74" i="1"/>
  <c r="AS74" i="1" s="1"/>
  <c r="A73" i="1"/>
  <c r="AS73" i="1" s="1"/>
  <c r="A72" i="1"/>
  <c r="AS72" i="1" s="1"/>
  <c r="A71" i="1"/>
  <c r="AS71" i="1" s="1"/>
  <c r="A70" i="1"/>
  <c r="AS70" i="1" s="1"/>
  <c r="A69" i="1"/>
  <c r="AS69" i="1" s="1"/>
  <c r="A68" i="1"/>
  <c r="AS68" i="1" s="1"/>
  <c r="A67" i="1"/>
  <c r="AS67" i="1" s="1"/>
  <c r="A66" i="1"/>
  <c r="AS66" i="1" s="1"/>
  <c r="A65" i="1"/>
  <c r="AS65" i="1" s="1"/>
  <c r="A64" i="1"/>
  <c r="AS64" i="1" s="1"/>
  <c r="A63" i="1"/>
  <c r="AS63" i="1" s="1"/>
  <c r="A62" i="1"/>
  <c r="AS62" i="1" s="1"/>
  <c r="A61" i="1"/>
  <c r="AS61" i="1" s="1"/>
  <c r="A60" i="1"/>
  <c r="AS60" i="1" s="1"/>
  <c r="A59" i="1"/>
  <c r="AS59" i="1" s="1"/>
  <c r="A58" i="1"/>
  <c r="AS58" i="1" s="1"/>
  <c r="A57" i="1"/>
  <c r="AS57" i="1" s="1"/>
  <c r="A56" i="1"/>
  <c r="AS56" i="1" s="1"/>
  <c r="A55" i="1"/>
  <c r="AS55" i="1" s="1"/>
  <c r="A54" i="1"/>
  <c r="AS54" i="1" s="1"/>
  <c r="A53" i="1"/>
  <c r="AS53" i="1" s="1"/>
  <c r="A52" i="1"/>
  <c r="AS52" i="1" s="1"/>
  <c r="A51" i="1"/>
  <c r="AS51" i="1" s="1"/>
  <c r="A50" i="1"/>
  <c r="AS50" i="1" s="1"/>
  <c r="A49" i="1"/>
  <c r="AS49" i="1" s="1"/>
  <c r="A48" i="1"/>
  <c r="AS48" i="1" s="1"/>
  <c r="A47" i="1"/>
  <c r="AS47" i="1" s="1"/>
  <c r="A46" i="1"/>
  <c r="AS46" i="1" s="1"/>
  <c r="A45" i="1"/>
  <c r="AS45" i="1" s="1"/>
  <c r="A44" i="1"/>
  <c r="AS44" i="1" s="1"/>
  <c r="A43" i="1"/>
  <c r="AS43" i="1" s="1"/>
  <c r="A42" i="1"/>
  <c r="AS42" i="1" s="1"/>
  <c r="A41" i="1"/>
  <c r="AS41" i="1" s="1"/>
  <c r="A40" i="1"/>
  <c r="AS40" i="1" s="1"/>
  <c r="A39" i="1"/>
  <c r="AS39" i="1" s="1"/>
  <c r="A38" i="1"/>
  <c r="AS38" i="1" s="1"/>
  <c r="A37" i="1"/>
  <c r="AS37" i="1" s="1"/>
  <c r="A36" i="1"/>
  <c r="AS36" i="1" s="1"/>
  <c r="A35" i="1"/>
  <c r="AS35" i="1" s="1"/>
  <c r="A34" i="1"/>
  <c r="AS34" i="1" s="1"/>
  <c r="A33" i="1"/>
  <c r="AS33" i="1" s="1"/>
  <c r="A32" i="1"/>
  <c r="AS32" i="1" s="1"/>
  <c r="A31" i="1"/>
  <c r="AS31" i="1" s="1"/>
  <c r="A30" i="1"/>
  <c r="AS30" i="1" s="1"/>
  <c r="A29" i="1"/>
  <c r="AS29" i="1" s="1"/>
  <c r="A28" i="1"/>
  <c r="AS28" i="1" s="1"/>
  <c r="A27" i="1"/>
  <c r="AS27" i="1" s="1"/>
  <c r="A26" i="1"/>
  <c r="AS26" i="1" s="1"/>
  <c r="A25" i="1"/>
  <c r="AS25" i="1" s="1"/>
  <c r="A24" i="1"/>
  <c r="AS24" i="1" s="1"/>
  <c r="A23" i="1"/>
  <c r="AS23" i="1" s="1"/>
  <c r="A22" i="1"/>
  <c r="AS22" i="1" s="1"/>
  <c r="A21" i="1"/>
  <c r="AS21" i="1" s="1"/>
  <c r="A20" i="1"/>
  <c r="AS20" i="1" s="1"/>
  <c r="A19" i="1"/>
  <c r="AS19" i="1" s="1"/>
  <c r="A18" i="1"/>
  <c r="AS18" i="1" s="1"/>
  <c r="A17" i="1"/>
  <c r="AS17" i="1" s="1"/>
  <c r="A16" i="1"/>
  <c r="AS16" i="1" s="1"/>
  <c r="A15" i="1"/>
  <c r="AS15" i="1" s="1"/>
  <c r="A14" i="1"/>
  <c r="AS14" i="1" s="1"/>
  <c r="A13" i="1"/>
  <c r="AS13" i="1" s="1"/>
  <c r="A12" i="1"/>
  <c r="AS12" i="1" s="1"/>
  <c r="A11" i="1"/>
  <c r="AS11" i="1" s="1"/>
  <c r="A10" i="1"/>
  <c r="AS10" i="1" s="1"/>
  <c r="A9" i="1"/>
  <c r="AS103" i="1" l="1"/>
  <c r="AS107" i="1"/>
  <c r="AS111" i="1"/>
  <c r="AS115" i="1"/>
  <c r="AS119" i="1"/>
  <c r="AS123" i="1"/>
  <c r="AS127" i="1"/>
  <c r="AS131" i="1"/>
  <c r="AS147" i="1"/>
  <c r="AS155" i="1"/>
  <c r="AS163" i="1"/>
  <c r="AS171" i="1"/>
  <c r="AS175" i="1"/>
  <c r="AS379" i="1"/>
  <c r="AS391" i="1"/>
  <c r="AS399" i="1"/>
  <c r="AS431" i="1"/>
  <c r="AS447" i="1"/>
  <c r="AS511" i="1"/>
  <c r="AS515" i="1"/>
  <c r="AS531" i="1"/>
  <c r="AS535" i="1"/>
  <c r="AS543" i="1"/>
  <c r="AS100" i="1"/>
  <c r="AS104" i="1"/>
  <c r="AS108" i="1"/>
  <c r="AS112" i="1"/>
  <c r="AS116" i="1"/>
  <c r="AS120" i="1"/>
  <c r="AS124" i="1"/>
  <c r="AS128" i="1"/>
  <c r="AS132" i="1"/>
  <c r="AS148" i="1"/>
  <c r="AS152" i="1"/>
  <c r="AS156" i="1"/>
  <c r="AS160" i="1"/>
  <c r="AS164" i="1"/>
  <c r="AS168" i="1"/>
  <c r="AS172" i="1"/>
  <c r="AS376" i="1"/>
  <c r="AS380" i="1"/>
  <c r="AS384" i="1"/>
  <c r="AS388" i="1"/>
  <c r="AS392" i="1"/>
  <c r="AS396" i="1"/>
  <c r="AS400" i="1"/>
  <c r="AS404" i="1"/>
  <c r="AS408" i="1"/>
  <c r="AS416" i="1"/>
  <c r="AS428" i="1"/>
  <c r="AS432" i="1"/>
  <c r="AS436" i="1"/>
  <c r="AS448" i="1"/>
  <c r="AS452" i="1"/>
  <c r="AS500" i="1"/>
  <c r="AS508" i="1"/>
  <c r="AS512" i="1"/>
  <c r="AS528" i="1"/>
  <c r="AS536" i="1"/>
  <c r="AS540" i="1"/>
  <c r="AS151" i="1"/>
  <c r="AS167" i="1"/>
  <c r="AS375" i="1"/>
  <c r="AS387" i="1"/>
  <c r="AS395" i="1"/>
  <c r="AS403" i="1"/>
  <c r="AS439" i="1"/>
  <c r="AS499" i="1"/>
  <c r="AS503" i="1"/>
  <c r="AS9" i="1"/>
  <c r="AS101" i="1"/>
  <c r="AS105" i="1"/>
  <c r="AS109" i="1"/>
  <c r="AS113" i="1"/>
  <c r="AS117" i="1"/>
  <c r="AS121" i="1"/>
  <c r="AS125" i="1"/>
  <c r="AS129" i="1"/>
  <c r="AS153" i="1"/>
  <c r="AS157" i="1"/>
  <c r="AS161" i="1"/>
  <c r="AS165" i="1"/>
  <c r="AS169" i="1"/>
  <c r="AS173" i="1"/>
  <c r="AS377" i="1"/>
  <c r="AS381" i="1"/>
  <c r="AS385" i="1"/>
  <c r="AS389" i="1"/>
  <c r="AS393" i="1"/>
  <c r="AS397" i="1"/>
  <c r="AS401" i="1"/>
  <c r="AS405" i="1"/>
  <c r="AS409" i="1"/>
  <c r="AS429" i="1"/>
  <c r="AS433" i="1"/>
  <c r="AS437" i="1"/>
  <c r="AS449" i="1"/>
  <c r="AS457" i="1"/>
  <c r="AS501" i="1"/>
  <c r="AS505" i="1"/>
  <c r="AS509" i="1"/>
  <c r="AS513" i="1"/>
  <c r="AS529" i="1"/>
  <c r="AS537" i="1"/>
  <c r="AS541" i="1"/>
  <c r="AS159" i="1"/>
  <c r="AS383" i="1"/>
  <c r="AS407" i="1"/>
  <c r="AS102" i="1"/>
  <c r="AS106" i="1"/>
  <c r="AS110" i="1"/>
  <c r="AS114" i="1"/>
  <c r="AS118" i="1"/>
  <c r="AS122" i="1"/>
  <c r="AS126" i="1"/>
  <c r="AS130" i="1"/>
  <c r="AS150" i="1"/>
  <c r="AS154" i="1"/>
  <c r="AS158" i="1"/>
  <c r="AS162" i="1"/>
  <c r="AS166" i="1"/>
  <c r="AS170" i="1"/>
  <c r="AS174" i="1"/>
  <c r="AS378" i="1"/>
  <c r="AS382" i="1"/>
  <c r="AS386" i="1"/>
  <c r="AS390" i="1"/>
  <c r="AS394" i="1"/>
  <c r="AS398" i="1"/>
  <c r="AS402" i="1"/>
  <c r="AS406" i="1"/>
  <c r="AS430" i="1"/>
  <c r="AS434" i="1"/>
  <c r="AS438" i="1"/>
  <c r="AS450" i="1"/>
  <c r="AS458" i="1"/>
  <c r="AS498" i="1"/>
  <c r="AS506" i="1"/>
  <c r="AS510" i="1"/>
  <c r="AS514" i="1"/>
  <c r="AS522" i="1"/>
  <c r="AS530" i="1"/>
  <c r="AS534" i="1"/>
  <c r="AS538" i="1"/>
  <c r="AS542" i="1"/>
  <c r="AQ11" i="1"/>
  <c r="AQ15" i="1"/>
  <c r="AQ19" i="1"/>
  <c r="AQ27" i="1"/>
  <c r="AQ35" i="1"/>
  <c r="AQ43" i="1"/>
  <c r="AQ51" i="1"/>
  <c r="AQ55" i="1"/>
  <c r="AQ63" i="1"/>
  <c r="AQ71" i="1"/>
  <c r="AQ83" i="1"/>
  <c r="AQ87" i="1"/>
  <c r="AQ91" i="1"/>
  <c r="AQ99" i="1"/>
  <c r="AQ143" i="1"/>
  <c r="AQ179" i="1"/>
  <c r="AQ183" i="1"/>
  <c r="AQ191" i="1"/>
  <c r="AQ199" i="1"/>
  <c r="AQ207" i="1"/>
  <c r="AQ215" i="1"/>
  <c r="AQ223" i="1"/>
  <c r="AQ231" i="1"/>
  <c r="AQ239" i="1"/>
  <c r="AQ247" i="1"/>
  <c r="AQ255" i="1"/>
  <c r="AQ263" i="1"/>
  <c r="AQ271" i="1"/>
  <c r="AQ279" i="1"/>
  <c r="AQ287" i="1"/>
  <c r="AQ295" i="1"/>
  <c r="AQ303" i="1"/>
  <c r="AQ311" i="1"/>
  <c r="AQ319" i="1"/>
  <c r="AQ327" i="1"/>
  <c r="AQ331" i="1"/>
  <c r="AQ339" i="1"/>
  <c r="AQ351" i="1"/>
  <c r="AQ359" i="1"/>
  <c r="AQ363" i="1"/>
  <c r="AQ415" i="1"/>
  <c r="AQ423" i="1"/>
  <c r="AQ455" i="1"/>
  <c r="AQ459" i="1"/>
  <c r="AQ467" i="1"/>
  <c r="AQ475" i="1"/>
  <c r="AQ483" i="1"/>
  <c r="AQ491" i="1"/>
  <c r="AQ495" i="1"/>
  <c r="AQ523" i="1"/>
  <c r="AQ23" i="1"/>
  <c r="AQ31" i="1"/>
  <c r="AQ39" i="1"/>
  <c r="AQ47" i="1"/>
  <c r="AQ59" i="1"/>
  <c r="AQ67" i="1"/>
  <c r="AQ75" i="1"/>
  <c r="AQ79" i="1"/>
  <c r="AQ95" i="1"/>
  <c r="AQ135" i="1"/>
  <c r="AQ139" i="1"/>
  <c r="AQ187" i="1"/>
  <c r="AQ195" i="1"/>
  <c r="AQ203" i="1"/>
  <c r="AQ211" i="1"/>
  <c r="AQ219" i="1"/>
  <c r="AQ227" i="1"/>
  <c r="AQ235" i="1"/>
  <c r="AQ243" i="1"/>
  <c r="AQ251" i="1"/>
  <c r="AQ259" i="1"/>
  <c r="AQ267" i="1"/>
  <c r="AQ275" i="1"/>
  <c r="AQ283" i="1"/>
  <c r="AQ291" i="1"/>
  <c r="AQ299" i="1"/>
  <c r="AQ307" i="1"/>
  <c r="AQ315" i="1"/>
  <c r="AQ323" i="1"/>
  <c r="AQ335" i="1"/>
  <c r="AQ343" i="1"/>
  <c r="AQ347" i="1"/>
  <c r="AQ355" i="1"/>
  <c r="AQ367" i="1"/>
  <c r="AQ371" i="1"/>
  <c r="AQ411" i="1"/>
  <c r="AQ419" i="1"/>
  <c r="AQ427" i="1"/>
  <c r="AQ443" i="1"/>
  <c r="AQ451" i="1"/>
  <c r="AQ463" i="1"/>
  <c r="AQ471" i="1"/>
  <c r="AQ479" i="1"/>
  <c r="AQ487" i="1"/>
  <c r="AQ539" i="1"/>
  <c r="AQ176" i="1"/>
  <c r="AQ180" i="1"/>
  <c r="AQ184" i="1"/>
  <c r="AQ188" i="1"/>
  <c r="AQ192" i="1"/>
  <c r="AQ196" i="1"/>
  <c r="AQ200" i="1"/>
  <c r="AQ204" i="1"/>
  <c r="AQ208" i="1"/>
  <c r="AQ212" i="1"/>
  <c r="AQ216" i="1"/>
  <c r="AQ220" i="1"/>
  <c r="AQ224" i="1"/>
  <c r="AQ228" i="1"/>
  <c r="AQ232" i="1"/>
  <c r="AQ236" i="1"/>
  <c r="AQ240" i="1"/>
  <c r="AQ244" i="1"/>
  <c r="AQ248" i="1"/>
  <c r="AQ252" i="1"/>
  <c r="AQ256" i="1"/>
  <c r="AQ260" i="1"/>
  <c r="AQ264" i="1"/>
  <c r="AQ268" i="1"/>
  <c r="AQ272" i="1"/>
  <c r="AQ276" i="1"/>
  <c r="AQ280" i="1"/>
  <c r="AQ284" i="1"/>
  <c r="AQ288" i="1"/>
  <c r="AQ292" i="1"/>
  <c r="AQ296" i="1"/>
  <c r="AQ300" i="1"/>
  <c r="AQ304" i="1"/>
  <c r="AQ308" i="1"/>
  <c r="AQ312" i="1"/>
  <c r="AQ316" i="1"/>
  <c r="AQ320" i="1"/>
  <c r="AQ324" i="1"/>
  <c r="AQ328" i="1"/>
  <c r="AQ332" i="1"/>
  <c r="AQ336" i="1"/>
  <c r="AQ340" i="1"/>
  <c r="AQ344" i="1"/>
  <c r="AQ348" i="1"/>
  <c r="AQ352" i="1"/>
  <c r="AQ356" i="1"/>
  <c r="AQ360" i="1"/>
  <c r="AQ364" i="1"/>
  <c r="AQ424" i="1"/>
  <c r="AQ440" i="1"/>
  <c r="AQ444" i="1"/>
  <c r="AQ460" i="1"/>
  <c r="AQ472" i="1"/>
  <c r="AQ484" i="1"/>
  <c r="AQ488" i="1"/>
  <c r="AQ496" i="1"/>
  <c r="AQ524" i="1"/>
  <c r="AQ532" i="1"/>
  <c r="AQ21" i="1"/>
  <c r="AQ29" i="1"/>
  <c r="AQ37" i="1"/>
  <c r="AQ45" i="1"/>
  <c r="AQ53" i="1"/>
  <c r="AQ65" i="1"/>
  <c r="AQ69" i="1"/>
  <c r="AQ77" i="1"/>
  <c r="AQ89" i="1"/>
  <c r="AQ97" i="1"/>
  <c r="AQ133" i="1"/>
  <c r="AQ137" i="1"/>
  <c r="AQ141" i="1"/>
  <c r="AQ145" i="1"/>
  <c r="AQ149" i="1"/>
  <c r="AQ177" i="1"/>
  <c r="AQ181" i="1"/>
  <c r="AQ185" i="1"/>
  <c r="AQ189" i="1"/>
  <c r="AQ193" i="1"/>
  <c r="AQ197" i="1"/>
  <c r="AQ201" i="1"/>
  <c r="AQ205" i="1"/>
  <c r="AQ209" i="1"/>
  <c r="AQ213" i="1"/>
  <c r="AQ217" i="1"/>
  <c r="AQ221" i="1"/>
  <c r="AQ225" i="1"/>
  <c r="AQ229" i="1"/>
  <c r="AQ233" i="1"/>
  <c r="AQ237" i="1"/>
  <c r="AQ241" i="1"/>
  <c r="AQ245" i="1"/>
  <c r="AQ249" i="1"/>
  <c r="AQ253" i="1"/>
  <c r="AQ257" i="1"/>
  <c r="AQ261" i="1"/>
  <c r="AQ265" i="1"/>
  <c r="AQ269" i="1"/>
  <c r="AQ273" i="1"/>
  <c r="AQ277" i="1"/>
  <c r="AQ281" i="1"/>
  <c r="AQ285" i="1"/>
  <c r="AQ289" i="1"/>
  <c r="AQ293" i="1"/>
  <c r="AQ297" i="1"/>
  <c r="AQ301" i="1"/>
  <c r="AQ305" i="1"/>
  <c r="AQ309" i="1"/>
  <c r="AQ313" i="1"/>
  <c r="AQ317" i="1"/>
  <c r="AQ321" i="1"/>
  <c r="AQ325" i="1"/>
  <c r="AQ329" i="1"/>
  <c r="AQ333" i="1"/>
  <c r="AQ337" i="1"/>
  <c r="AQ341" i="1"/>
  <c r="AQ345" i="1"/>
  <c r="AQ349" i="1"/>
  <c r="AQ353" i="1"/>
  <c r="AQ357" i="1"/>
  <c r="AQ361" i="1"/>
  <c r="AQ365" i="1"/>
  <c r="AQ369" i="1"/>
  <c r="AQ373" i="1"/>
  <c r="AQ413" i="1"/>
  <c r="AQ417" i="1"/>
  <c r="AQ421" i="1"/>
  <c r="AQ425" i="1"/>
  <c r="AQ441" i="1"/>
  <c r="AQ445" i="1"/>
  <c r="AQ453" i="1"/>
  <c r="AQ461" i="1"/>
  <c r="AQ465" i="1"/>
  <c r="AQ469" i="1"/>
  <c r="AQ473" i="1"/>
  <c r="AQ477" i="1"/>
  <c r="AQ481" i="1"/>
  <c r="AQ485" i="1"/>
  <c r="AQ489" i="1"/>
  <c r="AQ493" i="1"/>
  <c r="AQ497" i="1"/>
  <c r="AQ521" i="1"/>
  <c r="AQ533" i="1"/>
  <c r="AQ12" i="1"/>
  <c r="AQ16" i="1"/>
  <c r="AQ20" i="1"/>
  <c r="AQ24" i="1"/>
  <c r="AQ28" i="1"/>
  <c r="AQ32" i="1"/>
  <c r="AQ36" i="1"/>
  <c r="AQ40" i="1"/>
  <c r="AQ44" i="1"/>
  <c r="AQ48" i="1"/>
  <c r="AQ52" i="1"/>
  <c r="AQ56" i="1"/>
  <c r="AQ60" i="1"/>
  <c r="AQ64" i="1"/>
  <c r="AQ68" i="1"/>
  <c r="AQ72" i="1"/>
  <c r="AQ76" i="1"/>
  <c r="AQ80" i="1"/>
  <c r="AQ84" i="1"/>
  <c r="AQ88" i="1"/>
  <c r="AQ92" i="1"/>
  <c r="AQ96" i="1"/>
  <c r="AQ136" i="1"/>
  <c r="AQ140" i="1"/>
  <c r="AQ144" i="1"/>
  <c r="AQ368" i="1"/>
  <c r="AQ372" i="1"/>
  <c r="AQ412" i="1"/>
  <c r="AQ420" i="1"/>
  <c r="AQ456" i="1"/>
  <c r="AQ464" i="1"/>
  <c r="AQ468" i="1"/>
  <c r="AQ476" i="1"/>
  <c r="AQ480" i="1"/>
  <c r="AQ492" i="1"/>
  <c r="AQ13" i="1"/>
  <c r="AQ17" i="1"/>
  <c r="AQ25" i="1"/>
  <c r="AQ33" i="1"/>
  <c r="AQ41" i="1"/>
  <c r="AQ49" i="1"/>
  <c r="AQ57" i="1"/>
  <c r="AQ61" i="1"/>
  <c r="AQ73" i="1"/>
  <c r="AQ81" i="1"/>
  <c r="AQ85" i="1"/>
  <c r="AQ93" i="1"/>
  <c r="AQ10" i="1"/>
  <c r="AQ14" i="1"/>
  <c r="AQ18" i="1"/>
  <c r="AQ22" i="1"/>
  <c r="AQ26" i="1"/>
  <c r="AQ30" i="1"/>
  <c r="AQ34" i="1"/>
  <c r="AQ38" i="1"/>
  <c r="AQ42" i="1"/>
  <c r="AQ46" i="1"/>
  <c r="AQ50" i="1"/>
  <c r="AQ54" i="1"/>
  <c r="AQ58" i="1"/>
  <c r="AQ62" i="1"/>
  <c r="AQ66" i="1"/>
  <c r="AQ70" i="1"/>
  <c r="AQ74" i="1"/>
  <c r="AQ78" i="1"/>
  <c r="AQ82" i="1"/>
  <c r="AQ86" i="1"/>
  <c r="AQ90" i="1"/>
  <c r="AQ94" i="1"/>
  <c r="AQ98" i="1"/>
  <c r="AQ134" i="1"/>
  <c r="AQ138" i="1"/>
  <c r="AQ142" i="1"/>
  <c r="AQ146" i="1"/>
  <c r="AQ178" i="1"/>
  <c r="AQ182" i="1"/>
  <c r="AQ186" i="1"/>
  <c r="AQ190" i="1"/>
  <c r="AQ194" i="1"/>
  <c r="AQ198" i="1"/>
  <c r="AQ202" i="1"/>
  <c r="AQ206" i="1"/>
  <c r="AQ210" i="1"/>
  <c r="AQ214" i="1"/>
  <c r="AQ218" i="1"/>
  <c r="AQ222" i="1"/>
  <c r="AQ226" i="1"/>
  <c r="AQ230" i="1"/>
  <c r="AQ234" i="1"/>
  <c r="AQ238" i="1"/>
  <c r="AQ242" i="1"/>
  <c r="AQ246" i="1"/>
  <c r="AQ250" i="1"/>
  <c r="AQ254" i="1"/>
  <c r="AQ258" i="1"/>
  <c r="AQ262" i="1"/>
  <c r="AQ266" i="1"/>
  <c r="AQ270" i="1"/>
  <c r="AQ274" i="1"/>
  <c r="AQ278" i="1"/>
  <c r="AQ282" i="1"/>
  <c r="AQ286" i="1"/>
  <c r="AQ290" i="1"/>
  <c r="AQ294" i="1"/>
  <c r="AQ298" i="1"/>
  <c r="AQ302" i="1"/>
  <c r="AQ306" i="1"/>
  <c r="AQ310" i="1"/>
  <c r="AQ314" i="1"/>
  <c r="AQ318" i="1"/>
  <c r="AQ322" i="1"/>
  <c r="AQ326" i="1"/>
  <c r="AQ330" i="1"/>
  <c r="AQ334" i="1"/>
  <c r="AQ338" i="1"/>
  <c r="AQ342" i="1"/>
  <c r="AQ346" i="1"/>
  <c r="AQ350" i="1"/>
  <c r="AQ354" i="1"/>
  <c r="AQ358" i="1"/>
  <c r="AQ362" i="1"/>
  <c r="AQ366" i="1"/>
  <c r="AQ370" i="1"/>
  <c r="AQ374" i="1"/>
  <c r="AQ414" i="1"/>
  <c r="AQ418" i="1"/>
  <c r="AQ422" i="1"/>
  <c r="AQ426" i="1"/>
  <c r="AQ442" i="1"/>
  <c r="AQ446" i="1"/>
  <c r="AQ454" i="1"/>
  <c r="AQ462" i="1"/>
  <c r="AQ466" i="1"/>
  <c r="AQ470" i="1"/>
  <c r="AQ474" i="1"/>
  <c r="AQ478" i="1"/>
  <c r="AQ482" i="1"/>
  <c r="AQ486" i="1"/>
  <c r="AQ490" i="1"/>
  <c r="AQ494" i="1"/>
  <c r="AN127" i="1"/>
  <c r="AM127" i="1"/>
  <c r="AN125" i="1"/>
  <c r="AM125" i="1"/>
  <c r="AN129" i="1"/>
  <c r="AM129" i="1"/>
  <c r="AM123" i="1"/>
  <c r="AN123" i="1"/>
  <c r="AN124" i="1"/>
  <c r="AM124" i="1"/>
  <c r="AM128" i="1"/>
  <c r="AN128" i="1"/>
  <c r="AO382" i="1"/>
  <c r="AQ382" i="1"/>
  <c r="AO390" i="1"/>
  <c r="AQ390" i="1"/>
  <c r="AO398" i="1"/>
  <c r="AQ398" i="1"/>
  <c r="AO406" i="1"/>
  <c r="AQ406" i="1"/>
  <c r="AO434" i="1"/>
  <c r="AQ434" i="1"/>
  <c r="AO498" i="1"/>
  <c r="AQ498" i="1"/>
  <c r="AO506" i="1"/>
  <c r="AQ506" i="1"/>
  <c r="AO514" i="1"/>
  <c r="AQ514" i="1"/>
  <c r="AO522" i="1"/>
  <c r="AQ522" i="1"/>
  <c r="AO534" i="1"/>
  <c r="AQ534" i="1"/>
  <c r="AO103" i="1"/>
  <c r="AQ103" i="1"/>
  <c r="AO107" i="1"/>
  <c r="AQ107" i="1"/>
  <c r="AO111" i="1"/>
  <c r="AQ111" i="1"/>
  <c r="AO115" i="1"/>
  <c r="AQ115" i="1"/>
  <c r="AO119" i="1"/>
  <c r="AQ119" i="1"/>
  <c r="AO123" i="1"/>
  <c r="AQ123" i="1"/>
  <c r="AO127" i="1"/>
  <c r="AQ127" i="1"/>
  <c r="AO131" i="1"/>
  <c r="AQ131" i="1"/>
  <c r="AO147" i="1"/>
  <c r="AQ147" i="1"/>
  <c r="AO151" i="1"/>
  <c r="AQ151" i="1"/>
  <c r="AO155" i="1"/>
  <c r="AQ155" i="1"/>
  <c r="AO159" i="1"/>
  <c r="AQ159" i="1"/>
  <c r="AO163" i="1"/>
  <c r="AQ163" i="1"/>
  <c r="AO167" i="1"/>
  <c r="AQ167" i="1"/>
  <c r="AO171" i="1"/>
  <c r="AQ171" i="1"/>
  <c r="AO175" i="1"/>
  <c r="AQ175" i="1"/>
  <c r="AO375" i="1"/>
  <c r="AQ375" i="1"/>
  <c r="AO379" i="1"/>
  <c r="AQ379" i="1"/>
  <c r="AO383" i="1"/>
  <c r="AQ383" i="1"/>
  <c r="AO387" i="1"/>
  <c r="AQ387" i="1"/>
  <c r="AO391" i="1"/>
  <c r="AQ391" i="1"/>
  <c r="AO395" i="1"/>
  <c r="AQ395" i="1"/>
  <c r="AO399" i="1"/>
  <c r="AQ399" i="1"/>
  <c r="AO403" i="1"/>
  <c r="AQ403" i="1"/>
  <c r="AO407" i="1"/>
  <c r="AQ407" i="1"/>
  <c r="AO431" i="1"/>
  <c r="AQ431" i="1"/>
  <c r="AO435" i="1"/>
  <c r="AQ435" i="1"/>
  <c r="AO439" i="1"/>
  <c r="AQ439" i="1"/>
  <c r="AO447" i="1"/>
  <c r="AQ447" i="1"/>
  <c r="AO499" i="1"/>
  <c r="AQ499" i="1"/>
  <c r="AO503" i="1"/>
  <c r="AQ503" i="1"/>
  <c r="AO507" i="1"/>
  <c r="AQ507" i="1"/>
  <c r="AO511" i="1"/>
  <c r="AQ511" i="1"/>
  <c r="AO515" i="1"/>
  <c r="AQ515" i="1"/>
  <c r="AO519" i="1"/>
  <c r="AQ519" i="1"/>
  <c r="AO527" i="1"/>
  <c r="AQ527" i="1"/>
  <c r="AO531" i="1"/>
  <c r="AQ531" i="1"/>
  <c r="AO535" i="1"/>
  <c r="AQ535" i="1"/>
  <c r="AO543" i="1"/>
  <c r="AQ543" i="1"/>
  <c r="AO378" i="1"/>
  <c r="AQ378" i="1"/>
  <c r="AO386" i="1"/>
  <c r="AQ386" i="1"/>
  <c r="AO394" i="1"/>
  <c r="AQ394" i="1"/>
  <c r="AO402" i="1"/>
  <c r="AQ402" i="1"/>
  <c r="AO410" i="1"/>
  <c r="AQ410" i="1"/>
  <c r="AO430" i="1"/>
  <c r="AQ430" i="1"/>
  <c r="AO438" i="1"/>
  <c r="AQ438" i="1"/>
  <c r="AO450" i="1"/>
  <c r="AQ450" i="1"/>
  <c r="AO458" i="1"/>
  <c r="AQ458" i="1"/>
  <c r="AO502" i="1"/>
  <c r="AQ502" i="1"/>
  <c r="AO510" i="1"/>
  <c r="AQ510" i="1"/>
  <c r="AO518" i="1"/>
  <c r="AQ518" i="1"/>
  <c r="AO526" i="1"/>
  <c r="AQ526" i="1"/>
  <c r="AO530" i="1"/>
  <c r="AQ530" i="1"/>
  <c r="AO538" i="1"/>
  <c r="AQ538" i="1"/>
  <c r="AO542" i="1"/>
  <c r="AQ542" i="1"/>
  <c r="AO100" i="1"/>
  <c r="AQ100" i="1"/>
  <c r="AO104" i="1"/>
  <c r="AQ104" i="1"/>
  <c r="AO108" i="1"/>
  <c r="AQ108" i="1"/>
  <c r="AO112" i="1"/>
  <c r="AQ112" i="1"/>
  <c r="AO116" i="1"/>
  <c r="AQ116" i="1"/>
  <c r="AO120" i="1"/>
  <c r="AQ120" i="1"/>
  <c r="AO124" i="1"/>
  <c r="AQ124" i="1"/>
  <c r="AO128" i="1"/>
  <c r="AQ128" i="1"/>
  <c r="AO132" i="1"/>
  <c r="AQ132" i="1"/>
  <c r="AO148" i="1"/>
  <c r="AQ148" i="1"/>
  <c r="AO152" i="1"/>
  <c r="AQ152" i="1"/>
  <c r="AO156" i="1"/>
  <c r="AQ156" i="1"/>
  <c r="AO160" i="1"/>
  <c r="AQ160" i="1"/>
  <c r="AO164" i="1"/>
  <c r="AQ164" i="1"/>
  <c r="AO168" i="1"/>
  <c r="AQ168" i="1"/>
  <c r="AO172" i="1"/>
  <c r="AQ172" i="1"/>
  <c r="AO376" i="1"/>
  <c r="AQ376" i="1"/>
  <c r="AO380" i="1"/>
  <c r="AQ380" i="1"/>
  <c r="AO384" i="1"/>
  <c r="AQ384" i="1"/>
  <c r="AO388" i="1"/>
  <c r="AQ388" i="1"/>
  <c r="AO392" i="1"/>
  <c r="AQ392" i="1"/>
  <c r="AO396" i="1"/>
  <c r="AQ396" i="1"/>
  <c r="AO400" i="1"/>
  <c r="AQ400" i="1"/>
  <c r="AO404" i="1"/>
  <c r="AQ404" i="1"/>
  <c r="AO408" i="1"/>
  <c r="AQ408" i="1"/>
  <c r="AO416" i="1"/>
  <c r="AQ416" i="1"/>
  <c r="AO428" i="1"/>
  <c r="AQ428" i="1"/>
  <c r="AO432" i="1"/>
  <c r="AQ432" i="1"/>
  <c r="AO436" i="1"/>
  <c r="AQ436" i="1"/>
  <c r="AO448" i="1"/>
  <c r="AQ448" i="1"/>
  <c r="AN452" i="1"/>
  <c r="AQ452" i="1"/>
  <c r="AO500" i="1"/>
  <c r="AQ500" i="1"/>
  <c r="AO504" i="1"/>
  <c r="AQ504" i="1"/>
  <c r="AO508" i="1"/>
  <c r="AQ508" i="1"/>
  <c r="AO512" i="1"/>
  <c r="AQ512" i="1"/>
  <c r="AO516" i="1"/>
  <c r="AQ516" i="1"/>
  <c r="AO520" i="1"/>
  <c r="AQ520" i="1"/>
  <c r="AO528" i="1"/>
  <c r="AQ528" i="1"/>
  <c r="AO536" i="1"/>
  <c r="AQ536" i="1"/>
  <c r="AO540" i="1"/>
  <c r="AQ540" i="1"/>
  <c r="AO544" i="1"/>
  <c r="AQ544" i="1"/>
  <c r="AR9" i="1"/>
  <c r="AQ9" i="1"/>
  <c r="AO101" i="1"/>
  <c r="AQ101" i="1"/>
  <c r="AO105" i="1"/>
  <c r="AQ105" i="1"/>
  <c r="AO109" i="1"/>
  <c r="AQ109" i="1"/>
  <c r="AO113" i="1"/>
  <c r="AQ113" i="1"/>
  <c r="AO117" i="1"/>
  <c r="AQ117" i="1"/>
  <c r="AO121" i="1"/>
  <c r="AQ121" i="1"/>
  <c r="AO125" i="1"/>
  <c r="AQ125" i="1"/>
  <c r="AO129" i="1"/>
  <c r="AQ129" i="1"/>
  <c r="AO153" i="1"/>
  <c r="AQ153" i="1"/>
  <c r="AO157" i="1"/>
  <c r="AQ157" i="1"/>
  <c r="AO161" i="1"/>
  <c r="AQ161" i="1"/>
  <c r="AO165" i="1"/>
  <c r="AQ165" i="1"/>
  <c r="AO169" i="1"/>
  <c r="AQ169" i="1"/>
  <c r="AO173" i="1"/>
  <c r="AQ173" i="1"/>
  <c r="AO377" i="1"/>
  <c r="AQ377" i="1"/>
  <c r="AO381" i="1"/>
  <c r="AQ381" i="1"/>
  <c r="AO385" i="1"/>
  <c r="AQ385" i="1"/>
  <c r="AO389" i="1"/>
  <c r="AQ389" i="1"/>
  <c r="AO393" i="1"/>
  <c r="AQ393" i="1"/>
  <c r="AO397" i="1"/>
  <c r="AQ397" i="1"/>
  <c r="AO401" i="1"/>
  <c r="AQ401" i="1"/>
  <c r="AO405" i="1"/>
  <c r="AQ405" i="1"/>
  <c r="AO409" i="1"/>
  <c r="AQ409" i="1"/>
  <c r="AO429" i="1"/>
  <c r="AQ429" i="1"/>
  <c r="AO433" i="1"/>
  <c r="AQ433" i="1"/>
  <c r="AO437" i="1"/>
  <c r="AQ437" i="1"/>
  <c r="AO449" i="1"/>
  <c r="AQ449" i="1"/>
  <c r="AO457" i="1"/>
  <c r="AQ457" i="1"/>
  <c r="AO501" i="1"/>
  <c r="AQ501" i="1"/>
  <c r="AO505" i="1"/>
  <c r="AQ505" i="1"/>
  <c r="AO509" i="1"/>
  <c r="AQ509" i="1"/>
  <c r="AO513" i="1"/>
  <c r="AQ513" i="1"/>
  <c r="AO517" i="1"/>
  <c r="AQ517" i="1"/>
  <c r="AO525" i="1"/>
  <c r="AQ525" i="1"/>
  <c r="AO529" i="1"/>
  <c r="AQ529" i="1"/>
  <c r="AO537" i="1"/>
  <c r="AQ537" i="1"/>
  <c r="AO541" i="1"/>
  <c r="AQ541" i="1"/>
  <c r="AO545" i="1"/>
  <c r="AQ545" i="1"/>
  <c r="AO102" i="1"/>
  <c r="AQ102" i="1"/>
  <c r="AO106" i="1"/>
  <c r="AQ106" i="1"/>
  <c r="AO110" i="1"/>
  <c r="AQ110" i="1"/>
  <c r="AO114" i="1"/>
  <c r="AQ114" i="1"/>
  <c r="AO118" i="1"/>
  <c r="AQ118" i="1"/>
  <c r="AO122" i="1"/>
  <c r="AQ122" i="1"/>
  <c r="AO126" i="1"/>
  <c r="AQ126" i="1"/>
  <c r="AO130" i="1"/>
  <c r="AQ130" i="1"/>
  <c r="AO150" i="1"/>
  <c r="AQ150" i="1"/>
  <c r="AO154" i="1"/>
  <c r="AQ154" i="1"/>
  <c r="AO158" i="1"/>
  <c r="AQ158" i="1"/>
  <c r="AO162" i="1"/>
  <c r="AQ162" i="1"/>
  <c r="AO166" i="1"/>
  <c r="AQ166" i="1"/>
  <c r="AO170" i="1"/>
  <c r="AQ170" i="1"/>
  <c r="AO174" i="1"/>
  <c r="AQ174" i="1"/>
  <c r="AR23" i="1"/>
  <c r="AO23" i="1"/>
  <c r="AR35" i="1"/>
  <c r="AO35" i="1"/>
  <c r="AR47" i="1"/>
  <c r="AO47" i="1"/>
  <c r="AR55" i="1"/>
  <c r="AO55" i="1"/>
  <c r="AR63" i="1"/>
  <c r="AO63" i="1"/>
  <c r="AR71" i="1"/>
  <c r="AO71" i="1"/>
  <c r="AR83" i="1"/>
  <c r="AO83" i="1"/>
  <c r="AR91" i="1"/>
  <c r="AO91" i="1"/>
  <c r="AR135" i="1"/>
  <c r="AO135" i="1"/>
  <c r="AR187" i="1"/>
  <c r="AO187" i="1"/>
  <c r="AR195" i="1"/>
  <c r="AO195" i="1"/>
  <c r="AR207" i="1"/>
  <c r="AO207" i="1"/>
  <c r="AR219" i="1"/>
  <c r="AO219" i="1"/>
  <c r="AR231" i="1"/>
  <c r="AO231" i="1"/>
  <c r="AR239" i="1"/>
  <c r="AO239" i="1"/>
  <c r="AR259" i="1"/>
  <c r="AO259" i="1"/>
  <c r="AR267" i="1"/>
  <c r="AO267" i="1"/>
  <c r="AR279" i="1"/>
  <c r="AO279" i="1"/>
  <c r="AR291" i="1"/>
  <c r="AO291" i="1"/>
  <c r="AR299" i="1"/>
  <c r="AO299" i="1"/>
  <c r="AR311" i="1"/>
  <c r="AO311" i="1"/>
  <c r="AR319" i="1"/>
  <c r="AO319" i="1"/>
  <c r="AR331" i="1"/>
  <c r="AO331" i="1"/>
  <c r="AR339" i="1"/>
  <c r="AO339" i="1"/>
  <c r="AR351" i="1"/>
  <c r="AO351" i="1"/>
  <c r="AR355" i="1"/>
  <c r="AO355" i="1"/>
  <c r="AR359" i="1"/>
  <c r="AO359" i="1"/>
  <c r="AR363" i="1"/>
  <c r="AO363" i="1"/>
  <c r="AR367" i="1"/>
  <c r="AO367" i="1"/>
  <c r="AR371" i="1"/>
  <c r="AO371" i="1"/>
  <c r="AR15" i="1"/>
  <c r="AO15" i="1"/>
  <c r="AR19" i="1"/>
  <c r="AO19" i="1"/>
  <c r="AR31" i="1"/>
  <c r="AO31" i="1"/>
  <c r="AR39" i="1"/>
  <c r="AO39" i="1"/>
  <c r="AR51" i="1"/>
  <c r="AO51" i="1"/>
  <c r="AR67" i="1"/>
  <c r="AO67" i="1"/>
  <c r="AR79" i="1"/>
  <c r="AO79" i="1"/>
  <c r="AR87" i="1"/>
  <c r="AO87" i="1"/>
  <c r="AR95" i="1"/>
  <c r="AO95" i="1"/>
  <c r="AR99" i="1"/>
  <c r="AO99" i="1"/>
  <c r="AR139" i="1"/>
  <c r="AO139" i="1"/>
  <c r="AR143" i="1"/>
  <c r="AO143" i="1"/>
  <c r="AR179" i="1"/>
  <c r="AO179" i="1"/>
  <c r="AR191" i="1"/>
  <c r="AO191" i="1"/>
  <c r="AR203" i="1"/>
  <c r="AO203" i="1"/>
  <c r="AR215" i="1"/>
  <c r="AO215" i="1"/>
  <c r="AR223" i="1"/>
  <c r="AO223" i="1"/>
  <c r="AR235" i="1"/>
  <c r="AO235" i="1"/>
  <c r="AR247" i="1"/>
  <c r="AO247" i="1"/>
  <c r="AR251" i="1"/>
  <c r="AO251" i="1"/>
  <c r="AR263" i="1"/>
  <c r="AO263" i="1"/>
  <c r="AR275" i="1"/>
  <c r="AO275" i="1"/>
  <c r="AR283" i="1"/>
  <c r="AO283" i="1"/>
  <c r="AR295" i="1"/>
  <c r="AO295" i="1"/>
  <c r="AR303" i="1"/>
  <c r="AO303" i="1"/>
  <c r="AR315" i="1"/>
  <c r="AO315" i="1"/>
  <c r="AR327" i="1"/>
  <c r="AO327" i="1"/>
  <c r="AR335" i="1"/>
  <c r="AO335" i="1"/>
  <c r="AR347" i="1"/>
  <c r="AO347" i="1"/>
  <c r="AR411" i="1"/>
  <c r="AO411" i="1"/>
  <c r="AR415" i="1"/>
  <c r="AO415" i="1"/>
  <c r="AR419" i="1"/>
  <c r="AO419" i="1"/>
  <c r="AR423" i="1"/>
  <c r="AO423" i="1"/>
  <c r="AR427" i="1"/>
  <c r="AO427" i="1"/>
  <c r="AR455" i="1"/>
  <c r="AO455" i="1"/>
  <c r="AR463" i="1"/>
  <c r="AO463" i="1"/>
  <c r="AR471" i="1"/>
  <c r="AO471" i="1"/>
  <c r="AR523" i="1"/>
  <c r="AO523" i="1"/>
  <c r="AR12" i="1"/>
  <c r="AO12" i="1"/>
  <c r="AR24" i="1"/>
  <c r="AO24" i="1"/>
  <c r="AR32" i="1"/>
  <c r="AO32" i="1"/>
  <c r="AR36" i="1"/>
  <c r="AO36" i="1"/>
  <c r="AR44" i="1"/>
  <c r="AO44" i="1"/>
  <c r="AR52" i="1"/>
  <c r="AO52" i="1"/>
  <c r="AR60" i="1"/>
  <c r="AO60" i="1"/>
  <c r="AR68" i="1"/>
  <c r="AO68" i="1"/>
  <c r="AR76" i="1"/>
  <c r="AO76" i="1"/>
  <c r="AR180" i="1"/>
  <c r="AO180" i="1"/>
  <c r="AR184" i="1"/>
  <c r="AO184" i="1"/>
  <c r="AR192" i="1"/>
  <c r="AO192" i="1"/>
  <c r="AR200" i="1"/>
  <c r="AO200" i="1"/>
  <c r="AR208" i="1"/>
  <c r="AO208" i="1"/>
  <c r="AR216" i="1"/>
  <c r="AO216" i="1"/>
  <c r="AR220" i="1"/>
  <c r="AO220" i="1"/>
  <c r="AR228" i="1"/>
  <c r="AO228" i="1"/>
  <c r="AR236" i="1"/>
  <c r="AO236" i="1"/>
  <c r="AR244" i="1"/>
  <c r="AO244" i="1"/>
  <c r="AR252" i="1"/>
  <c r="AO252" i="1"/>
  <c r="AR260" i="1"/>
  <c r="AO260" i="1"/>
  <c r="AR264" i="1"/>
  <c r="AO264" i="1"/>
  <c r="AR272" i="1"/>
  <c r="AO272" i="1"/>
  <c r="AR276" i="1"/>
  <c r="AO276" i="1"/>
  <c r="AR280" i="1"/>
  <c r="AO280" i="1"/>
  <c r="AR284" i="1"/>
  <c r="AO284" i="1"/>
  <c r="AR292" i="1"/>
  <c r="AO292" i="1"/>
  <c r="AR296" i="1"/>
  <c r="AO296" i="1"/>
  <c r="AR300" i="1"/>
  <c r="AO300" i="1"/>
  <c r="AR304" i="1"/>
  <c r="AO304" i="1"/>
  <c r="AR308" i="1"/>
  <c r="AO308" i="1"/>
  <c r="AR312" i="1"/>
  <c r="AO312" i="1"/>
  <c r="AR316" i="1"/>
  <c r="AO316" i="1"/>
  <c r="AR320" i="1"/>
  <c r="AO320" i="1"/>
  <c r="AR324" i="1"/>
  <c r="AO324" i="1"/>
  <c r="AR328" i="1"/>
  <c r="AO328" i="1"/>
  <c r="AR332" i="1"/>
  <c r="AO332" i="1"/>
  <c r="AR336" i="1"/>
  <c r="AO336" i="1"/>
  <c r="AR340" i="1"/>
  <c r="AO340" i="1"/>
  <c r="AR344" i="1"/>
  <c r="AO344" i="1"/>
  <c r="AR348" i="1"/>
  <c r="AO348" i="1"/>
  <c r="AR352" i="1"/>
  <c r="AO352" i="1"/>
  <c r="AR356" i="1"/>
  <c r="AO356" i="1"/>
  <c r="AR360" i="1"/>
  <c r="AO360" i="1"/>
  <c r="AR364" i="1"/>
  <c r="AO364" i="1"/>
  <c r="AR368" i="1"/>
  <c r="AO368" i="1"/>
  <c r="AR372" i="1"/>
  <c r="AO372" i="1"/>
  <c r="AR412" i="1"/>
  <c r="AO412" i="1"/>
  <c r="AR420" i="1"/>
  <c r="AO420" i="1"/>
  <c r="AR424" i="1"/>
  <c r="AO424" i="1"/>
  <c r="AR440" i="1"/>
  <c r="AO440" i="1"/>
  <c r="AR444" i="1"/>
  <c r="AO444" i="1"/>
  <c r="AR456" i="1"/>
  <c r="AO456" i="1"/>
  <c r="AR464" i="1"/>
  <c r="AO464" i="1"/>
  <c r="AR472" i="1"/>
  <c r="AO472" i="1"/>
  <c r="AR480" i="1"/>
  <c r="AO480" i="1"/>
  <c r="AR492" i="1"/>
  <c r="AO492" i="1"/>
  <c r="AR532" i="1"/>
  <c r="AO532" i="1"/>
  <c r="AR137" i="1"/>
  <c r="AO137" i="1"/>
  <c r="AR141" i="1"/>
  <c r="AO141" i="1"/>
  <c r="AR177" i="1"/>
  <c r="AO177" i="1"/>
  <c r="AR181" i="1"/>
  <c r="AO181" i="1"/>
  <c r="AR189" i="1"/>
  <c r="AO189" i="1"/>
  <c r="AR197" i="1"/>
  <c r="AO197" i="1"/>
  <c r="AR205" i="1"/>
  <c r="AO205" i="1"/>
  <c r="AR213" i="1"/>
  <c r="AO213" i="1"/>
  <c r="AR217" i="1"/>
  <c r="AO217" i="1"/>
  <c r="AR225" i="1"/>
  <c r="AO225" i="1"/>
  <c r="AR233" i="1"/>
  <c r="AO233" i="1"/>
  <c r="AR241" i="1"/>
  <c r="AO241" i="1"/>
  <c r="AR249" i="1"/>
  <c r="AO249" i="1"/>
  <c r="AR261" i="1"/>
  <c r="AO261" i="1"/>
  <c r="AR265" i="1"/>
  <c r="AO265" i="1"/>
  <c r="AR273" i="1"/>
  <c r="AO273" i="1"/>
  <c r="AR285" i="1"/>
  <c r="AO285" i="1"/>
  <c r="AR293" i="1"/>
  <c r="AO293" i="1"/>
  <c r="AR297" i="1"/>
  <c r="AO297" i="1"/>
  <c r="AR305" i="1"/>
  <c r="AO305" i="1"/>
  <c r="AR313" i="1"/>
  <c r="AO313" i="1"/>
  <c r="AR321" i="1"/>
  <c r="AO321" i="1"/>
  <c r="AR329" i="1"/>
  <c r="AO329" i="1"/>
  <c r="AR337" i="1"/>
  <c r="AO337" i="1"/>
  <c r="AR345" i="1"/>
  <c r="AO345" i="1"/>
  <c r="AR357" i="1"/>
  <c r="AO357" i="1"/>
  <c r="AR365" i="1"/>
  <c r="AO365" i="1"/>
  <c r="AR413" i="1"/>
  <c r="AO413" i="1"/>
  <c r="AR421" i="1"/>
  <c r="AO421" i="1"/>
  <c r="AR441" i="1"/>
  <c r="AO441" i="1"/>
  <c r="AR445" i="1"/>
  <c r="AO445" i="1"/>
  <c r="AR461" i="1"/>
  <c r="AO461" i="1"/>
  <c r="AR469" i="1"/>
  <c r="AO469" i="1"/>
  <c r="AR477" i="1"/>
  <c r="AO477" i="1"/>
  <c r="AR485" i="1"/>
  <c r="AO485" i="1"/>
  <c r="AR521" i="1"/>
  <c r="AO521" i="1"/>
  <c r="AR533" i="1"/>
  <c r="AO533" i="1"/>
  <c r="AR11" i="1"/>
  <c r="AO11" i="1"/>
  <c r="AR27" i="1"/>
  <c r="AO27" i="1"/>
  <c r="AR43" i="1"/>
  <c r="AO43" i="1"/>
  <c r="AR59" i="1"/>
  <c r="AO59" i="1"/>
  <c r="AR75" i="1"/>
  <c r="AO75" i="1"/>
  <c r="AR183" i="1"/>
  <c r="AO183" i="1"/>
  <c r="AR199" i="1"/>
  <c r="AO199" i="1"/>
  <c r="AR211" i="1"/>
  <c r="AO211" i="1"/>
  <c r="AR227" i="1"/>
  <c r="AO227" i="1"/>
  <c r="AR243" i="1"/>
  <c r="AO243" i="1"/>
  <c r="AR255" i="1"/>
  <c r="AO255" i="1"/>
  <c r="AR271" i="1"/>
  <c r="AO271" i="1"/>
  <c r="AR287" i="1"/>
  <c r="AO287" i="1"/>
  <c r="AR307" i="1"/>
  <c r="AO307" i="1"/>
  <c r="AR323" i="1"/>
  <c r="AO323" i="1"/>
  <c r="AR343" i="1"/>
  <c r="AO343" i="1"/>
  <c r="AR443" i="1"/>
  <c r="AO443" i="1"/>
  <c r="AR451" i="1"/>
  <c r="AO451" i="1"/>
  <c r="AR459" i="1"/>
  <c r="AO459" i="1"/>
  <c r="AR467" i="1"/>
  <c r="AO467" i="1"/>
  <c r="AR475" i="1"/>
  <c r="AO475" i="1"/>
  <c r="AR479" i="1"/>
  <c r="AO479" i="1"/>
  <c r="AR483" i="1"/>
  <c r="AO483" i="1"/>
  <c r="AR487" i="1"/>
  <c r="AO487" i="1"/>
  <c r="AR491" i="1"/>
  <c r="AO491" i="1"/>
  <c r="AR495" i="1"/>
  <c r="AO495" i="1"/>
  <c r="AR539" i="1"/>
  <c r="AO539" i="1"/>
  <c r="AR16" i="1"/>
  <c r="AO16" i="1"/>
  <c r="AR20" i="1"/>
  <c r="AO20" i="1"/>
  <c r="AR28" i="1"/>
  <c r="AO28" i="1"/>
  <c r="AR40" i="1"/>
  <c r="AO40" i="1"/>
  <c r="AR48" i="1"/>
  <c r="AO48" i="1"/>
  <c r="AR56" i="1"/>
  <c r="AO56" i="1"/>
  <c r="AR64" i="1"/>
  <c r="AO64" i="1"/>
  <c r="AR72" i="1"/>
  <c r="AO72" i="1"/>
  <c r="AR80" i="1"/>
  <c r="AO80" i="1"/>
  <c r="AR84" i="1"/>
  <c r="AO84" i="1"/>
  <c r="AR88" i="1"/>
  <c r="AO88" i="1"/>
  <c r="AR92" i="1"/>
  <c r="AO92" i="1"/>
  <c r="AR96" i="1"/>
  <c r="AO96" i="1"/>
  <c r="AR136" i="1"/>
  <c r="AO136" i="1"/>
  <c r="AR140" i="1"/>
  <c r="AO140" i="1"/>
  <c r="AR144" i="1"/>
  <c r="AO144" i="1"/>
  <c r="AR176" i="1"/>
  <c r="AO176" i="1"/>
  <c r="AR188" i="1"/>
  <c r="AO188" i="1"/>
  <c r="AR196" i="1"/>
  <c r="AO196" i="1"/>
  <c r="AR204" i="1"/>
  <c r="AO204" i="1"/>
  <c r="AR212" i="1"/>
  <c r="AO212" i="1"/>
  <c r="AR224" i="1"/>
  <c r="AO224" i="1"/>
  <c r="AR232" i="1"/>
  <c r="AO232" i="1"/>
  <c r="AR240" i="1"/>
  <c r="AO240" i="1"/>
  <c r="AR248" i="1"/>
  <c r="AO248" i="1"/>
  <c r="AR256" i="1"/>
  <c r="AO256" i="1"/>
  <c r="AR268" i="1"/>
  <c r="AO268" i="1"/>
  <c r="AR288" i="1"/>
  <c r="AO288" i="1"/>
  <c r="AR452" i="1"/>
  <c r="AO452" i="1"/>
  <c r="AR460" i="1"/>
  <c r="AO460" i="1"/>
  <c r="AR468" i="1"/>
  <c r="AO468" i="1"/>
  <c r="AR476" i="1"/>
  <c r="AO476" i="1"/>
  <c r="AR484" i="1"/>
  <c r="AO484" i="1"/>
  <c r="AR488" i="1"/>
  <c r="AO488" i="1"/>
  <c r="AR496" i="1"/>
  <c r="AO496" i="1"/>
  <c r="AR524" i="1"/>
  <c r="AO524" i="1"/>
  <c r="AR13" i="1"/>
  <c r="AO13" i="1"/>
  <c r="AR17" i="1"/>
  <c r="AO17" i="1"/>
  <c r="AR21" i="1"/>
  <c r="AO21" i="1"/>
  <c r="AR25" i="1"/>
  <c r="AO25" i="1"/>
  <c r="AR29" i="1"/>
  <c r="AO29" i="1"/>
  <c r="AR33" i="1"/>
  <c r="AO33" i="1"/>
  <c r="AR37" i="1"/>
  <c r="AO37" i="1"/>
  <c r="AR41" i="1"/>
  <c r="AO41" i="1"/>
  <c r="AR45" i="1"/>
  <c r="AO45" i="1"/>
  <c r="AR49" i="1"/>
  <c r="AO49" i="1"/>
  <c r="AR53" i="1"/>
  <c r="AO53" i="1"/>
  <c r="AR57" i="1"/>
  <c r="AO57" i="1"/>
  <c r="AR61" i="1"/>
  <c r="AO61" i="1"/>
  <c r="AR65" i="1"/>
  <c r="AO65" i="1"/>
  <c r="AR69" i="1"/>
  <c r="AO69" i="1"/>
  <c r="AR73" i="1"/>
  <c r="AO73" i="1"/>
  <c r="AR77" i="1"/>
  <c r="AO77" i="1"/>
  <c r="AR81" i="1"/>
  <c r="AO81" i="1"/>
  <c r="AR85" i="1"/>
  <c r="AO85" i="1"/>
  <c r="AR89" i="1"/>
  <c r="AO89" i="1"/>
  <c r="AR93" i="1"/>
  <c r="AO93" i="1"/>
  <c r="AR97" i="1"/>
  <c r="AO97" i="1"/>
  <c r="AR133" i="1"/>
  <c r="AO133" i="1"/>
  <c r="AR145" i="1"/>
  <c r="AO145" i="1"/>
  <c r="AR149" i="1"/>
  <c r="AO149" i="1"/>
  <c r="AR185" i="1"/>
  <c r="AO185" i="1"/>
  <c r="AR193" i="1"/>
  <c r="AO193" i="1"/>
  <c r="AR201" i="1"/>
  <c r="AO201" i="1"/>
  <c r="AR209" i="1"/>
  <c r="AO209" i="1"/>
  <c r="AR221" i="1"/>
  <c r="AO221" i="1"/>
  <c r="AR229" i="1"/>
  <c r="AO229" i="1"/>
  <c r="AR237" i="1"/>
  <c r="AO237" i="1"/>
  <c r="AR245" i="1"/>
  <c r="AO245" i="1"/>
  <c r="AR253" i="1"/>
  <c r="AO253" i="1"/>
  <c r="AR257" i="1"/>
  <c r="AO257" i="1"/>
  <c r="AR269" i="1"/>
  <c r="AO269" i="1"/>
  <c r="AR277" i="1"/>
  <c r="AO277" i="1"/>
  <c r="AR281" i="1"/>
  <c r="AO281" i="1"/>
  <c r="AR289" i="1"/>
  <c r="AO289" i="1"/>
  <c r="AR301" i="1"/>
  <c r="AO301" i="1"/>
  <c r="AR309" i="1"/>
  <c r="AO309" i="1"/>
  <c r="AR317" i="1"/>
  <c r="AO317" i="1"/>
  <c r="AR325" i="1"/>
  <c r="AO325" i="1"/>
  <c r="AR333" i="1"/>
  <c r="AO333" i="1"/>
  <c r="AR341" i="1"/>
  <c r="AO341" i="1"/>
  <c r="AR349" i="1"/>
  <c r="AO349" i="1"/>
  <c r="AR353" i="1"/>
  <c r="AO353" i="1"/>
  <c r="AR361" i="1"/>
  <c r="AO361" i="1"/>
  <c r="AR369" i="1"/>
  <c r="AO369" i="1"/>
  <c r="AR373" i="1"/>
  <c r="AO373" i="1"/>
  <c r="AR417" i="1"/>
  <c r="AO417" i="1"/>
  <c r="AR425" i="1"/>
  <c r="AO425" i="1"/>
  <c r="AR453" i="1"/>
  <c r="AO453" i="1"/>
  <c r="AR465" i="1"/>
  <c r="AO465" i="1"/>
  <c r="AR473" i="1"/>
  <c r="AO473" i="1"/>
  <c r="AR481" i="1"/>
  <c r="AO481" i="1"/>
  <c r="AR489" i="1"/>
  <c r="AO489" i="1"/>
  <c r="AR493" i="1"/>
  <c r="AO493" i="1"/>
  <c r="AR497" i="1"/>
  <c r="AO497" i="1"/>
  <c r="AR10" i="1"/>
  <c r="AO10" i="1"/>
  <c r="AR14" i="1"/>
  <c r="AO14" i="1"/>
  <c r="AR18" i="1"/>
  <c r="AO18" i="1"/>
  <c r="AR22" i="1"/>
  <c r="AO22" i="1"/>
  <c r="AR26" i="1"/>
  <c r="AO26" i="1"/>
  <c r="AR30" i="1"/>
  <c r="AO30" i="1"/>
  <c r="AR34" i="1"/>
  <c r="AO34" i="1"/>
  <c r="AR38" i="1"/>
  <c r="AO38" i="1"/>
  <c r="AR42" i="1"/>
  <c r="AO42" i="1"/>
  <c r="AR46" i="1"/>
  <c r="AO46" i="1"/>
  <c r="AR50" i="1"/>
  <c r="AO50" i="1"/>
  <c r="AR54" i="1"/>
  <c r="AO54" i="1"/>
  <c r="AR58" i="1"/>
  <c r="AO58" i="1"/>
  <c r="AR62" i="1"/>
  <c r="AO62" i="1"/>
  <c r="AR66" i="1"/>
  <c r="AO66" i="1"/>
  <c r="AR70" i="1"/>
  <c r="AO70" i="1"/>
  <c r="AR74" i="1"/>
  <c r="AO74" i="1"/>
  <c r="AR78" i="1"/>
  <c r="AO78" i="1"/>
  <c r="AR82" i="1"/>
  <c r="AO82" i="1"/>
  <c r="AR86" i="1"/>
  <c r="AO86" i="1"/>
  <c r="AR90" i="1"/>
  <c r="AO90" i="1"/>
  <c r="AR94" i="1"/>
  <c r="AO94" i="1"/>
  <c r="AR98" i="1"/>
  <c r="AO98" i="1"/>
  <c r="AR134" i="1"/>
  <c r="AO134" i="1"/>
  <c r="AR138" i="1"/>
  <c r="AO138" i="1"/>
  <c r="AR142" i="1"/>
  <c r="AO142" i="1"/>
  <c r="AR146" i="1"/>
  <c r="AO146" i="1"/>
  <c r="AR178" i="1"/>
  <c r="AO178" i="1"/>
  <c r="AR182" i="1"/>
  <c r="AO182" i="1"/>
  <c r="AR186" i="1"/>
  <c r="AO186" i="1"/>
  <c r="AR190" i="1"/>
  <c r="AO190" i="1"/>
  <c r="AR194" i="1"/>
  <c r="AO194" i="1"/>
  <c r="AR198" i="1"/>
  <c r="AO198" i="1"/>
  <c r="AR202" i="1"/>
  <c r="AO202" i="1"/>
  <c r="AR206" i="1"/>
  <c r="AO206" i="1"/>
  <c r="AR210" i="1"/>
  <c r="AO210" i="1"/>
  <c r="AR214" i="1"/>
  <c r="AO214" i="1"/>
  <c r="AR218" i="1"/>
  <c r="AO218" i="1"/>
  <c r="AR222" i="1"/>
  <c r="AO222" i="1"/>
  <c r="AR226" i="1"/>
  <c r="AO226" i="1"/>
  <c r="AR230" i="1"/>
  <c r="AO230" i="1"/>
  <c r="AR234" i="1"/>
  <c r="AO234" i="1"/>
  <c r="AR238" i="1"/>
  <c r="AO238" i="1"/>
  <c r="AR242" i="1"/>
  <c r="AO242" i="1"/>
  <c r="AR246" i="1"/>
  <c r="AO246" i="1"/>
  <c r="AR250" i="1"/>
  <c r="AO250" i="1"/>
  <c r="AR254" i="1"/>
  <c r="AO254" i="1"/>
  <c r="AR258" i="1"/>
  <c r="AO258" i="1"/>
  <c r="AR262" i="1"/>
  <c r="AO262" i="1"/>
  <c r="AR266" i="1"/>
  <c r="AO266" i="1"/>
  <c r="AR270" i="1"/>
  <c r="AO270" i="1"/>
  <c r="AR274" i="1"/>
  <c r="AO274" i="1"/>
  <c r="AR278" i="1"/>
  <c r="AO278" i="1"/>
  <c r="AR282" i="1"/>
  <c r="AO282" i="1"/>
  <c r="AR286" i="1"/>
  <c r="AO286" i="1"/>
  <c r="AR290" i="1"/>
  <c r="AO290" i="1"/>
  <c r="AR294" i="1"/>
  <c r="AO294" i="1"/>
  <c r="AR298" i="1"/>
  <c r="AO298" i="1"/>
  <c r="AR302" i="1"/>
  <c r="AO302" i="1"/>
  <c r="AR306" i="1"/>
  <c r="AO306" i="1"/>
  <c r="AR310" i="1"/>
  <c r="AO310" i="1"/>
  <c r="AR314" i="1"/>
  <c r="AO314" i="1"/>
  <c r="AR318" i="1"/>
  <c r="AO318" i="1"/>
  <c r="AR322" i="1"/>
  <c r="AO322" i="1"/>
  <c r="AR326" i="1"/>
  <c r="AO326" i="1"/>
  <c r="AR330" i="1"/>
  <c r="AO330" i="1"/>
  <c r="AR334" i="1"/>
  <c r="AO334" i="1"/>
  <c r="AR338" i="1"/>
  <c r="AO338" i="1"/>
  <c r="AR342" i="1"/>
  <c r="AO342" i="1"/>
  <c r="AR346" i="1"/>
  <c r="AO346" i="1"/>
  <c r="AR350" i="1"/>
  <c r="AO350" i="1"/>
  <c r="AR354" i="1"/>
  <c r="AO354" i="1"/>
  <c r="AR358" i="1"/>
  <c r="AO358" i="1"/>
  <c r="AR362" i="1"/>
  <c r="AO362" i="1"/>
  <c r="AR366" i="1"/>
  <c r="AO366" i="1"/>
  <c r="AR370" i="1"/>
  <c r="AO370" i="1"/>
  <c r="AR374" i="1"/>
  <c r="AO374" i="1"/>
  <c r="AR414" i="1"/>
  <c r="AO414" i="1"/>
  <c r="AR418" i="1"/>
  <c r="AO418" i="1"/>
  <c r="AR422" i="1"/>
  <c r="AO422" i="1"/>
  <c r="AR426" i="1"/>
  <c r="AO426" i="1"/>
  <c r="AR442" i="1"/>
  <c r="AO442" i="1"/>
  <c r="AR446" i="1"/>
  <c r="AO446" i="1"/>
  <c r="AR454" i="1"/>
  <c r="AO454" i="1"/>
  <c r="AR462" i="1"/>
  <c r="AO462" i="1"/>
  <c r="AR466" i="1"/>
  <c r="AO466" i="1"/>
  <c r="AR470" i="1"/>
  <c r="AO470" i="1"/>
  <c r="AR474" i="1"/>
  <c r="AO474" i="1"/>
  <c r="AR478" i="1"/>
  <c r="AO478" i="1"/>
  <c r="AR482" i="1"/>
  <c r="AO482" i="1"/>
  <c r="AR486" i="1"/>
  <c r="AO486" i="1"/>
  <c r="AR490" i="1"/>
  <c r="AO490" i="1"/>
  <c r="AR494" i="1"/>
  <c r="AO494" i="1"/>
  <c r="AP11" i="1"/>
  <c r="AP15" i="1"/>
  <c r="AP19" i="1"/>
  <c r="AP23" i="1"/>
  <c r="AP27" i="1"/>
  <c r="AP31" i="1"/>
  <c r="AP35" i="1"/>
  <c r="AP39" i="1"/>
  <c r="AP43" i="1"/>
  <c r="AP47" i="1"/>
  <c r="AP51" i="1"/>
  <c r="AP55" i="1"/>
  <c r="AP59" i="1"/>
  <c r="AP63" i="1"/>
  <c r="AP67" i="1"/>
  <c r="AP71" i="1"/>
  <c r="AP75" i="1"/>
  <c r="AP79" i="1"/>
  <c r="AP83" i="1"/>
  <c r="AP87" i="1"/>
  <c r="AP91" i="1"/>
  <c r="AP95" i="1"/>
  <c r="AP99" i="1"/>
  <c r="AR103" i="1"/>
  <c r="AP103" i="1"/>
  <c r="AP107" i="1"/>
  <c r="AR107" i="1"/>
  <c r="AR111" i="1"/>
  <c r="AP111" i="1"/>
  <c r="AR115" i="1"/>
  <c r="AP115" i="1"/>
  <c r="AR119" i="1"/>
  <c r="AP119" i="1"/>
  <c r="AR123" i="1"/>
  <c r="AP123" i="1"/>
  <c r="AR127" i="1"/>
  <c r="AP127" i="1"/>
  <c r="AP131" i="1"/>
  <c r="AR131" i="1"/>
  <c r="AP135" i="1"/>
  <c r="AP139" i="1"/>
  <c r="AP143" i="1"/>
  <c r="AP147" i="1"/>
  <c r="AR147" i="1"/>
  <c r="AR151" i="1"/>
  <c r="AP151" i="1"/>
  <c r="AR155" i="1"/>
  <c r="AP155" i="1"/>
  <c r="AR159" i="1"/>
  <c r="AP159" i="1"/>
  <c r="AR163" i="1"/>
  <c r="AP163" i="1"/>
  <c r="AR167" i="1"/>
  <c r="AP167" i="1"/>
  <c r="AP171" i="1"/>
  <c r="AR171" i="1"/>
  <c r="AR175" i="1"/>
  <c r="AP175" i="1"/>
  <c r="AP179" i="1"/>
  <c r="AP183" i="1"/>
  <c r="AP187" i="1"/>
  <c r="AP191" i="1"/>
  <c r="AP195" i="1"/>
  <c r="AP199" i="1"/>
  <c r="AP203" i="1"/>
  <c r="AP207" i="1"/>
  <c r="AP211" i="1"/>
  <c r="AP215" i="1"/>
  <c r="AP219" i="1"/>
  <c r="AP223" i="1"/>
  <c r="AP227" i="1"/>
  <c r="AP231" i="1"/>
  <c r="AP235" i="1"/>
  <c r="AP239" i="1"/>
  <c r="AP243" i="1"/>
  <c r="AP247" i="1"/>
  <c r="AP251" i="1"/>
  <c r="AP255" i="1"/>
  <c r="AP259" i="1"/>
  <c r="AP263" i="1"/>
  <c r="AP267" i="1"/>
  <c r="AP271" i="1"/>
  <c r="AP275" i="1"/>
  <c r="AP279" i="1"/>
  <c r="AP283" i="1"/>
  <c r="AP287" i="1"/>
  <c r="AP291" i="1"/>
  <c r="AP295" i="1"/>
  <c r="AP299" i="1"/>
  <c r="AP303" i="1"/>
  <c r="AP307" i="1"/>
  <c r="AP311" i="1"/>
  <c r="AP315" i="1"/>
  <c r="AP319" i="1"/>
  <c r="AP323" i="1"/>
  <c r="AP327" i="1"/>
  <c r="AP331" i="1"/>
  <c r="AP335" i="1"/>
  <c r="AP339" i="1"/>
  <c r="AP343" i="1"/>
  <c r="AP347" i="1"/>
  <c r="AP351" i="1"/>
  <c r="AP355" i="1"/>
  <c r="AP359" i="1"/>
  <c r="AP363" i="1"/>
  <c r="AP367" i="1"/>
  <c r="AP371" i="1"/>
  <c r="AP375" i="1"/>
  <c r="AR375" i="1"/>
  <c r="AP379" i="1"/>
  <c r="AR379" i="1"/>
  <c r="AP383" i="1"/>
  <c r="AR383" i="1"/>
  <c r="AP387" i="1"/>
  <c r="AR387" i="1"/>
  <c r="AP391" i="1"/>
  <c r="AR391" i="1"/>
  <c r="AP395" i="1"/>
  <c r="AR395" i="1"/>
  <c r="AP399" i="1"/>
  <c r="AR399" i="1"/>
  <c r="AP403" i="1"/>
  <c r="AR403" i="1"/>
  <c r="AP407" i="1"/>
  <c r="AR407" i="1"/>
  <c r="AP411" i="1"/>
  <c r="AP415" i="1"/>
  <c r="AP419" i="1"/>
  <c r="AP423" i="1"/>
  <c r="AP427" i="1"/>
  <c r="AP431" i="1"/>
  <c r="AR431" i="1"/>
  <c r="AP435" i="1"/>
  <c r="AR435" i="1"/>
  <c r="AP439" i="1"/>
  <c r="AR439" i="1"/>
  <c r="AP443" i="1"/>
  <c r="AP447" i="1"/>
  <c r="AR447" i="1"/>
  <c r="AP451" i="1"/>
  <c r="AP455" i="1"/>
  <c r="AP459" i="1"/>
  <c r="AP463" i="1"/>
  <c r="AP467" i="1"/>
  <c r="AP471" i="1"/>
  <c r="AP475" i="1"/>
  <c r="AP479" i="1"/>
  <c r="AP483" i="1"/>
  <c r="AP487" i="1"/>
  <c r="AP491" i="1"/>
  <c r="AP495" i="1"/>
  <c r="AR499" i="1"/>
  <c r="AP499" i="1"/>
  <c r="AR503" i="1"/>
  <c r="AP503" i="1"/>
  <c r="AR507" i="1"/>
  <c r="AP507" i="1"/>
  <c r="AR511" i="1"/>
  <c r="AP511" i="1"/>
  <c r="AR515" i="1"/>
  <c r="AP515" i="1"/>
  <c r="AR519" i="1"/>
  <c r="AP519" i="1"/>
  <c r="AP523" i="1"/>
  <c r="AR527" i="1"/>
  <c r="AP527" i="1"/>
  <c r="AR531" i="1"/>
  <c r="AP531" i="1"/>
  <c r="AR535" i="1"/>
  <c r="AP535" i="1"/>
  <c r="AP539" i="1"/>
  <c r="AR543" i="1"/>
  <c r="AP543" i="1"/>
  <c r="AP12" i="1"/>
  <c r="AP16" i="1"/>
  <c r="AP20" i="1"/>
  <c r="AP24" i="1"/>
  <c r="AP28" i="1"/>
  <c r="AP36" i="1"/>
  <c r="AP44" i="1"/>
  <c r="AP52" i="1"/>
  <c r="AP56" i="1"/>
  <c r="AP68" i="1"/>
  <c r="AP76" i="1"/>
  <c r="AP84" i="1"/>
  <c r="AP88" i="1"/>
  <c r="AP96" i="1"/>
  <c r="AR104" i="1"/>
  <c r="AP104" i="1"/>
  <c r="AR112" i="1"/>
  <c r="AP112" i="1"/>
  <c r="AR124" i="1"/>
  <c r="AP124" i="1"/>
  <c r="AR132" i="1"/>
  <c r="AP132" i="1"/>
  <c r="AP140" i="1"/>
  <c r="AR148" i="1"/>
  <c r="AP148" i="1"/>
  <c r="AR160" i="1"/>
  <c r="AP160" i="1"/>
  <c r="AR168" i="1"/>
  <c r="AP168" i="1"/>
  <c r="AP176" i="1"/>
  <c r="AP180" i="1"/>
  <c r="AP188" i="1"/>
  <c r="AP196" i="1"/>
  <c r="AP204" i="1"/>
  <c r="AP212" i="1"/>
  <c r="AP220" i="1"/>
  <c r="AP224" i="1"/>
  <c r="AP232" i="1"/>
  <c r="AP244" i="1"/>
  <c r="AP252" i="1"/>
  <c r="AP256" i="1"/>
  <c r="AP264" i="1"/>
  <c r="AP272" i="1"/>
  <c r="AP280" i="1"/>
  <c r="AP288" i="1"/>
  <c r="AP296" i="1"/>
  <c r="AP308" i="1"/>
  <c r="AP316" i="1"/>
  <c r="AP324" i="1"/>
  <c r="AP332" i="1"/>
  <c r="AP340" i="1"/>
  <c r="AP352" i="1"/>
  <c r="AP360" i="1"/>
  <c r="AP364" i="1"/>
  <c r="AP372" i="1"/>
  <c r="AP380" i="1"/>
  <c r="AR380" i="1"/>
  <c r="AP388" i="1"/>
  <c r="AR388" i="1"/>
  <c r="AP400" i="1"/>
  <c r="AR400" i="1"/>
  <c r="AP408" i="1"/>
  <c r="AR408" i="1"/>
  <c r="AP416" i="1"/>
  <c r="AR416" i="1"/>
  <c r="AP424" i="1"/>
  <c r="AP428" i="1"/>
  <c r="AR428" i="1"/>
  <c r="AP436" i="1"/>
  <c r="AR436" i="1"/>
  <c r="AP444" i="1"/>
  <c r="AP452" i="1"/>
  <c r="AP464" i="1"/>
  <c r="AP472" i="1"/>
  <c r="AP480" i="1"/>
  <c r="AP488" i="1"/>
  <c r="AP492" i="1"/>
  <c r="AR504" i="1"/>
  <c r="AP504" i="1"/>
  <c r="AR512" i="1"/>
  <c r="AP512" i="1"/>
  <c r="AR520" i="1"/>
  <c r="AP520" i="1"/>
  <c r="AR528" i="1"/>
  <c r="AP528" i="1"/>
  <c r="AR536" i="1"/>
  <c r="AP536" i="1"/>
  <c r="AR540" i="1"/>
  <c r="AP540" i="1"/>
  <c r="AP13" i="1"/>
  <c r="AP21" i="1"/>
  <c r="AP29" i="1"/>
  <c r="AP37" i="1"/>
  <c r="AP45" i="1"/>
  <c r="AP53" i="1"/>
  <c r="AP61" i="1"/>
  <c r="AP73" i="1"/>
  <c r="AP81" i="1"/>
  <c r="AP89" i="1"/>
  <c r="AP97" i="1"/>
  <c r="AR101" i="1"/>
  <c r="AP101" i="1"/>
  <c r="AR109" i="1"/>
  <c r="AP109" i="1"/>
  <c r="AR117" i="1"/>
  <c r="AP117" i="1"/>
  <c r="AR125" i="1"/>
  <c r="AP125" i="1"/>
  <c r="AP133" i="1"/>
  <c r="AP141" i="1"/>
  <c r="AP149" i="1"/>
  <c r="AR157" i="1"/>
  <c r="AP157" i="1"/>
  <c r="AR161" i="1"/>
  <c r="AP161" i="1"/>
  <c r="AR169" i="1"/>
  <c r="AP169" i="1"/>
  <c r="AP177" i="1"/>
  <c r="AP185" i="1"/>
  <c r="AP193" i="1"/>
  <c r="AP201" i="1"/>
  <c r="AP209" i="1"/>
  <c r="AP217" i="1"/>
  <c r="AP221" i="1"/>
  <c r="AP229" i="1"/>
  <c r="AP241" i="1"/>
  <c r="AP249" i="1"/>
  <c r="AP261" i="1"/>
  <c r="AP269" i="1"/>
  <c r="AP277" i="1"/>
  <c r="AP285" i="1"/>
  <c r="AP301" i="1"/>
  <c r="AP309" i="1"/>
  <c r="AP313" i="1"/>
  <c r="AP321" i="1"/>
  <c r="AP329" i="1"/>
  <c r="AP337" i="1"/>
  <c r="AP345" i="1"/>
  <c r="AP353" i="1"/>
  <c r="AP361" i="1"/>
  <c r="AP369" i="1"/>
  <c r="AP377" i="1"/>
  <c r="AR377" i="1"/>
  <c r="AP385" i="1"/>
  <c r="AR385" i="1"/>
  <c r="AP393" i="1"/>
  <c r="AR393" i="1"/>
  <c r="AP401" i="1"/>
  <c r="AR401" i="1"/>
  <c r="AP413" i="1"/>
  <c r="AP421" i="1"/>
  <c r="AP429" i="1"/>
  <c r="AR429" i="1"/>
  <c r="AP433" i="1"/>
  <c r="AR433" i="1"/>
  <c r="AP441" i="1"/>
  <c r="AP453" i="1"/>
  <c r="AP461" i="1"/>
  <c r="AP469" i="1"/>
  <c r="AP477" i="1"/>
  <c r="AP485" i="1"/>
  <c r="AP493" i="1"/>
  <c r="AR501" i="1"/>
  <c r="AP501" i="1"/>
  <c r="AR513" i="1"/>
  <c r="AP513" i="1"/>
  <c r="AP521" i="1"/>
  <c r="AR525" i="1"/>
  <c r="AP525" i="1"/>
  <c r="AP533" i="1"/>
  <c r="AR537" i="1"/>
  <c r="AP537" i="1"/>
  <c r="AR541" i="1"/>
  <c r="AP541" i="1"/>
  <c r="AP32" i="1"/>
  <c r="AP40" i="1"/>
  <c r="AP48" i="1"/>
  <c r="AP60" i="1"/>
  <c r="AP64" i="1"/>
  <c r="AP72" i="1"/>
  <c r="AP80" i="1"/>
  <c r="AP92" i="1"/>
  <c r="AR100" i="1"/>
  <c r="AP100" i="1"/>
  <c r="AR108" i="1"/>
  <c r="AP108" i="1"/>
  <c r="AR116" i="1"/>
  <c r="AP116" i="1"/>
  <c r="AR120" i="1"/>
  <c r="AP120" i="1"/>
  <c r="AR128" i="1"/>
  <c r="AP128" i="1"/>
  <c r="AP136" i="1"/>
  <c r="AP144" i="1"/>
  <c r="AR152" i="1"/>
  <c r="AP152" i="1"/>
  <c r="AR156" i="1"/>
  <c r="AP156" i="1"/>
  <c r="AR164" i="1"/>
  <c r="AP164" i="1"/>
  <c r="AR172" i="1"/>
  <c r="AP172" i="1"/>
  <c r="AP184" i="1"/>
  <c r="AP192" i="1"/>
  <c r="AP200" i="1"/>
  <c r="AP208" i="1"/>
  <c r="AP216" i="1"/>
  <c r="AP228" i="1"/>
  <c r="AP236" i="1"/>
  <c r="AP240" i="1"/>
  <c r="AP248" i="1"/>
  <c r="AP260" i="1"/>
  <c r="AP268" i="1"/>
  <c r="AP276" i="1"/>
  <c r="AP284" i="1"/>
  <c r="AP292" i="1"/>
  <c r="AP300" i="1"/>
  <c r="AP304" i="1"/>
  <c r="AP312" i="1"/>
  <c r="AP320" i="1"/>
  <c r="AP328" i="1"/>
  <c r="AP336" i="1"/>
  <c r="AP344" i="1"/>
  <c r="AP348" i="1"/>
  <c r="AP356" i="1"/>
  <c r="AP368" i="1"/>
  <c r="AP376" i="1"/>
  <c r="AR376" i="1"/>
  <c r="AP384" i="1"/>
  <c r="AR384" i="1"/>
  <c r="AP392" i="1"/>
  <c r="AR392" i="1"/>
  <c r="AP396" i="1"/>
  <c r="AR396" i="1"/>
  <c r="AP404" i="1"/>
  <c r="AR404" i="1"/>
  <c r="AP412" i="1"/>
  <c r="AP420" i="1"/>
  <c r="AP432" i="1"/>
  <c r="AR432" i="1"/>
  <c r="AP440" i="1"/>
  <c r="AP448" i="1"/>
  <c r="AR448" i="1"/>
  <c r="AP456" i="1"/>
  <c r="AP460" i="1"/>
  <c r="AP468" i="1"/>
  <c r="AP476" i="1"/>
  <c r="AP484" i="1"/>
  <c r="AP496" i="1"/>
  <c r="AR500" i="1"/>
  <c r="AP500" i="1"/>
  <c r="AR508" i="1"/>
  <c r="AP508" i="1"/>
  <c r="AR516" i="1"/>
  <c r="AP516" i="1"/>
  <c r="AP524" i="1"/>
  <c r="AP532" i="1"/>
  <c r="AR544" i="1"/>
  <c r="AP544" i="1"/>
  <c r="AP9" i="1"/>
  <c r="AP17" i="1"/>
  <c r="AP25" i="1"/>
  <c r="AP33" i="1"/>
  <c r="AP41" i="1"/>
  <c r="AP49" i="1"/>
  <c r="AP57" i="1"/>
  <c r="AP65" i="1"/>
  <c r="AP69" i="1"/>
  <c r="AP77" i="1"/>
  <c r="AP85" i="1"/>
  <c r="AP93" i="1"/>
  <c r="AR105" i="1"/>
  <c r="AP105" i="1"/>
  <c r="AR113" i="1"/>
  <c r="AP113" i="1"/>
  <c r="AR121" i="1"/>
  <c r="AP121" i="1"/>
  <c r="AR129" i="1"/>
  <c r="AP129" i="1"/>
  <c r="AP137" i="1"/>
  <c r="AP145" i="1"/>
  <c r="AR153" i="1"/>
  <c r="AP153" i="1"/>
  <c r="AR165" i="1"/>
  <c r="AP165" i="1"/>
  <c r="AR173" i="1"/>
  <c r="AP173" i="1"/>
  <c r="AP181" i="1"/>
  <c r="AP189" i="1"/>
  <c r="AP197" i="1"/>
  <c r="AP205" i="1"/>
  <c r="AP213" i="1"/>
  <c r="AP225" i="1"/>
  <c r="AP233" i="1"/>
  <c r="AP237" i="1"/>
  <c r="AP245" i="1"/>
  <c r="AP253" i="1"/>
  <c r="AP257" i="1"/>
  <c r="AP265" i="1"/>
  <c r="AP273" i="1"/>
  <c r="AP281" i="1"/>
  <c r="AP289" i="1"/>
  <c r="AP293" i="1"/>
  <c r="AP297" i="1"/>
  <c r="AP305" i="1"/>
  <c r="AP317" i="1"/>
  <c r="AP325" i="1"/>
  <c r="AP333" i="1"/>
  <c r="AP341" i="1"/>
  <c r="AP349" i="1"/>
  <c r="AP357" i="1"/>
  <c r="AP365" i="1"/>
  <c r="AP373" i="1"/>
  <c r="AP381" i="1"/>
  <c r="AR381" i="1"/>
  <c r="AP389" i="1"/>
  <c r="AR389" i="1"/>
  <c r="AP397" i="1"/>
  <c r="AR397" i="1"/>
  <c r="AP405" i="1"/>
  <c r="AR405" i="1"/>
  <c r="AP409" i="1"/>
  <c r="AR409" i="1"/>
  <c r="AP417" i="1"/>
  <c r="AP425" i="1"/>
  <c r="AP437" i="1"/>
  <c r="AR437" i="1"/>
  <c r="AP445" i="1"/>
  <c r="AP449" i="1"/>
  <c r="AR449" i="1"/>
  <c r="AR457" i="1"/>
  <c r="AP457" i="1"/>
  <c r="AP465" i="1"/>
  <c r="AP473" i="1"/>
  <c r="AP481" i="1"/>
  <c r="AP489" i="1"/>
  <c r="AP497" i="1"/>
  <c r="AR505" i="1"/>
  <c r="AP505" i="1"/>
  <c r="AR509" i="1"/>
  <c r="AP509" i="1"/>
  <c r="AR517" i="1"/>
  <c r="AP517" i="1"/>
  <c r="AR529" i="1"/>
  <c r="AP529" i="1"/>
  <c r="AR545" i="1"/>
  <c r="AP545" i="1"/>
  <c r="AP10" i="1"/>
  <c r="AP14" i="1"/>
  <c r="AP18" i="1"/>
  <c r="AP22" i="1"/>
  <c r="AP26" i="1"/>
  <c r="AP30" i="1"/>
  <c r="AP34" i="1"/>
  <c r="AP38" i="1"/>
  <c r="AP42" i="1"/>
  <c r="AP46" i="1"/>
  <c r="AP50" i="1"/>
  <c r="AP54" i="1"/>
  <c r="AP58" i="1"/>
  <c r="AP62" i="1"/>
  <c r="AP66" i="1"/>
  <c r="AP70" i="1"/>
  <c r="AP74" i="1"/>
  <c r="AP78" i="1"/>
  <c r="AP82" i="1"/>
  <c r="AP86" i="1"/>
  <c r="AP90" i="1"/>
  <c r="AP94" i="1"/>
  <c r="AP98" i="1"/>
  <c r="AR102" i="1"/>
  <c r="AP102" i="1"/>
  <c r="AR106" i="1"/>
  <c r="AP106" i="1"/>
  <c r="AR110" i="1"/>
  <c r="AP110" i="1"/>
  <c r="AR114" i="1"/>
  <c r="AP114" i="1"/>
  <c r="AR118" i="1"/>
  <c r="AP118" i="1"/>
  <c r="AR122" i="1"/>
  <c r="AP122" i="1"/>
  <c r="AR126" i="1"/>
  <c r="AP126" i="1"/>
  <c r="AR130" i="1"/>
  <c r="AP130" i="1"/>
  <c r="AP134" i="1"/>
  <c r="AP138" i="1"/>
  <c r="AP142" i="1"/>
  <c r="AP146" i="1"/>
  <c r="AR150" i="1"/>
  <c r="AP150" i="1"/>
  <c r="AR154" i="1"/>
  <c r="AP154" i="1"/>
  <c r="AR158" i="1"/>
  <c r="AP158" i="1"/>
  <c r="AR162" i="1"/>
  <c r="AP162" i="1"/>
  <c r="AR166" i="1"/>
  <c r="AP166" i="1"/>
  <c r="AR170" i="1"/>
  <c r="AP170" i="1"/>
  <c r="AR174" i="1"/>
  <c r="AP174" i="1"/>
  <c r="AP178" i="1"/>
  <c r="AP182" i="1"/>
  <c r="AP186" i="1"/>
  <c r="AP190" i="1"/>
  <c r="AP194" i="1"/>
  <c r="AP198" i="1"/>
  <c r="AP202" i="1"/>
  <c r="AP206" i="1"/>
  <c r="AP210" i="1"/>
  <c r="AP214" i="1"/>
  <c r="AP218" i="1"/>
  <c r="AP222" i="1"/>
  <c r="AP226" i="1"/>
  <c r="AP230" i="1"/>
  <c r="AP234" i="1"/>
  <c r="AP238" i="1"/>
  <c r="AP242" i="1"/>
  <c r="AP246" i="1"/>
  <c r="AP250" i="1"/>
  <c r="AP254" i="1"/>
  <c r="AP258" i="1"/>
  <c r="AP262" i="1"/>
  <c r="AP266" i="1"/>
  <c r="AP270" i="1"/>
  <c r="AP274" i="1"/>
  <c r="AP278" i="1"/>
  <c r="AP282" i="1"/>
  <c r="AP286" i="1"/>
  <c r="AP290" i="1"/>
  <c r="AP294" i="1"/>
  <c r="AP298" i="1"/>
  <c r="AP302" i="1"/>
  <c r="AP306" i="1"/>
  <c r="AP310" i="1"/>
  <c r="AP314" i="1"/>
  <c r="AP318" i="1"/>
  <c r="AP322" i="1"/>
  <c r="AP326" i="1"/>
  <c r="AP330" i="1"/>
  <c r="AP334" i="1"/>
  <c r="AP338" i="1"/>
  <c r="AP342" i="1"/>
  <c r="AP346" i="1"/>
  <c r="AP350" i="1"/>
  <c r="AP354" i="1"/>
  <c r="AP358" i="1"/>
  <c r="AP362" i="1"/>
  <c r="AP366" i="1"/>
  <c r="AP370" i="1"/>
  <c r="AP374" i="1"/>
  <c r="AP378" i="1"/>
  <c r="AR378" i="1"/>
  <c r="AP382" i="1"/>
  <c r="AR382" i="1"/>
  <c r="AP386" i="1"/>
  <c r="AR386" i="1"/>
  <c r="AP390" i="1"/>
  <c r="AR390" i="1"/>
  <c r="AP394" i="1"/>
  <c r="AR394" i="1"/>
  <c r="AP398" i="1"/>
  <c r="AR398" i="1"/>
  <c r="AP402" i="1"/>
  <c r="AR402" i="1"/>
  <c r="AP406" i="1"/>
  <c r="AR406" i="1"/>
  <c r="AP410" i="1"/>
  <c r="AR410" i="1"/>
  <c r="AP414" i="1"/>
  <c r="AP418" i="1"/>
  <c r="AP422" i="1"/>
  <c r="AP426" i="1"/>
  <c r="AP430" i="1"/>
  <c r="AR430" i="1"/>
  <c r="AP434" i="1"/>
  <c r="AR434" i="1"/>
  <c r="AP438" i="1"/>
  <c r="AR438" i="1"/>
  <c r="AP442" i="1"/>
  <c r="AP446" i="1"/>
  <c r="AP450" i="1"/>
  <c r="AR450" i="1"/>
  <c r="AP454" i="1"/>
  <c r="AR458" i="1"/>
  <c r="AP458" i="1"/>
  <c r="AP462" i="1"/>
  <c r="AP466" i="1"/>
  <c r="AP470" i="1"/>
  <c r="AP474" i="1"/>
  <c r="AP478" i="1"/>
  <c r="AP482" i="1"/>
  <c r="AP486" i="1"/>
  <c r="AP490" i="1"/>
  <c r="AP494" i="1"/>
  <c r="AP498" i="1"/>
  <c r="AR498" i="1"/>
  <c r="AP502" i="1"/>
  <c r="AR502" i="1"/>
  <c r="AR506" i="1"/>
  <c r="AP506" i="1"/>
  <c r="AR510" i="1"/>
  <c r="AP510" i="1"/>
  <c r="AP514" i="1"/>
  <c r="AR514" i="1"/>
  <c r="AP518" i="1"/>
  <c r="AR518" i="1"/>
  <c r="AR522" i="1"/>
  <c r="AP522" i="1"/>
  <c r="AR526" i="1"/>
  <c r="AP526" i="1"/>
  <c r="AP530" i="1"/>
  <c r="AR530" i="1"/>
  <c r="AP534" i="1"/>
  <c r="AR534" i="1"/>
  <c r="AR538" i="1"/>
  <c r="AP538" i="1"/>
  <c r="AR542" i="1"/>
  <c r="AP542" i="1"/>
  <c r="AN11" i="1"/>
  <c r="AN19" i="1"/>
  <c r="AN31" i="1"/>
  <c r="AN39" i="1"/>
  <c r="AN47" i="1"/>
  <c r="AN59" i="1"/>
  <c r="AN67" i="1"/>
  <c r="AN75" i="1"/>
  <c r="AN83" i="1"/>
  <c r="AN95" i="1"/>
  <c r="AN103" i="1"/>
  <c r="AN111" i="1"/>
  <c r="AN119" i="1"/>
  <c r="AN143" i="1"/>
  <c r="AN151" i="1"/>
  <c r="AN163" i="1"/>
  <c r="AN175" i="1"/>
  <c r="AN183" i="1"/>
  <c r="AN191" i="1"/>
  <c r="AN199" i="1"/>
  <c r="AN211" i="1"/>
  <c r="AN219" i="1"/>
  <c r="AN231" i="1"/>
  <c r="AN239" i="1"/>
  <c r="AN251" i="1"/>
  <c r="AN259" i="1"/>
  <c r="AN267" i="1"/>
  <c r="AN279" i="1"/>
  <c r="AN291" i="1"/>
  <c r="AN299" i="1"/>
  <c r="AN311" i="1"/>
  <c r="AN319" i="1"/>
  <c r="AN327" i="1"/>
  <c r="AN339" i="1"/>
  <c r="AN347" i="1"/>
  <c r="AN359" i="1"/>
  <c r="AN367" i="1"/>
  <c r="AN377" i="1"/>
  <c r="AN385" i="1"/>
  <c r="AN393" i="1"/>
  <c r="AN404" i="1"/>
  <c r="AN411" i="1"/>
  <c r="AN419" i="1"/>
  <c r="AN431" i="1"/>
  <c r="AN439" i="1"/>
  <c r="AN459" i="1"/>
  <c r="AN471" i="1"/>
  <c r="AN479" i="1"/>
  <c r="AN491" i="1"/>
  <c r="AN499" i="1"/>
  <c r="AN507" i="1"/>
  <c r="AN523" i="1"/>
  <c r="AN531" i="1"/>
  <c r="AN539" i="1"/>
  <c r="AN543" i="1"/>
  <c r="AN20" i="1"/>
  <c r="AN28" i="1"/>
  <c r="AN40" i="1"/>
  <c r="AN48" i="1"/>
  <c r="AN56" i="1"/>
  <c r="AN68" i="1"/>
  <c r="AN80" i="1"/>
  <c r="AN92" i="1"/>
  <c r="AN100" i="1"/>
  <c r="AN108" i="1"/>
  <c r="AN120" i="1"/>
  <c r="AN132" i="1"/>
  <c r="AN140" i="1"/>
  <c r="AN152" i="1"/>
  <c r="AN160" i="1"/>
  <c r="AN172" i="1"/>
  <c r="AN184" i="1"/>
  <c r="AN192" i="1"/>
  <c r="AN204" i="1"/>
  <c r="AN212" i="1"/>
  <c r="AN220" i="1"/>
  <c r="AN228" i="1"/>
  <c r="AN236" i="1"/>
  <c r="AN240" i="1"/>
  <c r="AN248" i="1"/>
  <c r="AN260" i="1"/>
  <c r="AN268" i="1"/>
  <c r="AN276" i="1"/>
  <c r="AN288" i="1"/>
  <c r="AN296" i="1"/>
  <c r="AN304" i="1"/>
  <c r="AN312" i="1"/>
  <c r="AN324" i="1"/>
  <c r="AN332" i="1"/>
  <c r="AN344" i="1"/>
  <c r="AN352" i="1"/>
  <c r="AN360" i="1"/>
  <c r="AN372" i="1"/>
  <c r="AN378" i="1"/>
  <c r="AN386" i="1"/>
  <c r="AN390" i="1"/>
  <c r="AN394" i="1"/>
  <c r="AN398" i="1"/>
  <c r="AN402" i="1"/>
  <c r="AN412" i="1"/>
  <c r="AN416" i="1"/>
  <c r="AN420" i="1"/>
  <c r="AN424" i="1"/>
  <c r="AN428" i="1"/>
  <c r="AN432" i="1"/>
  <c r="AN436" i="1"/>
  <c r="AN440" i="1"/>
  <c r="AN444" i="1"/>
  <c r="AN448" i="1"/>
  <c r="AN456" i="1"/>
  <c r="AN460" i="1"/>
  <c r="AN464" i="1"/>
  <c r="AN468" i="1"/>
  <c r="AN472" i="1"/>
  <c r="AN476" i="1"/>
  <c r="AN480" i="1"/>
  <c r="AN484" i="1"/>
  <c r="AN488" i="1"/>
  <c r="AN492" i="1"/>
  <c r="AN496" i="1"/>
  <c r="AN504" i="1"/>
  <c r="AN516" i="1"/>
  <c r="AN520" i="1"/>
  <c r="AN524" i="1"/>
  <c r="AN528" i="1"/>
  <c r="AN532" i="1"/>
  <c r="AN536" i="1"/>
  <c r="AN540" i="1"/>
  <c r="AN544" i="1"/>
  <c r="AO9" i="1"/>
  <c r="AN9" i="1"/>
  <c r="AN13" i="1"/>
  <c r="AN17" i="1"/>
  <c r="AN21" i="1"/>
  <c r="AN25" i="1"/>
  <c r="AN29" i="1"/>
  <c r="AN33" i="1"/>
  <c r="AN37" i="1"/>
  <c r="AN41" i="1"/>
  <c r="AN45" i="1"/>
  <c r="AN49" i="1"/>
  <c r="AN53" i="1"/>
  <c r="AN57" i="1"/>
  <c r="AN61" i="1"/>
  <c r="AN65" i="1"/>
  <c r="AN69" i="1"/>
  <c r="AN73" i="1"/>
  <c r="AN77" i="1"/>
  <c r="AN81" i="1"/>
  <c r="AN85" i="1"/>
  <c r="AN89" i="1"/>
  <c r="AN93" i="1"/>
  <c r="AN97" i="1"/>
  <c r="AN105" i="1"/>
  <c r="AN109" i="1"/>
  <c r="AN113" i="1"/>
  <c r="AN117" i="1"/>
  <c r="AN121" i="1"/>
  <c r="AN133" i="1"/>
  <c r="AN137" i="1"/>
  <c r="AN141" i="1"/>
  <c r="AN145" i="1"/>
  <c r="AN149" i="1"/>
  <c r="AN153" i="1"/>
  <c r="AN157" i="1"/>
  <c r="AN161" i="1"/>
  <c r="AN165" i="1"/>
  <c r="AN169" i="1"/>
  <c r="AN173" i="1"/>
  <c r="AN177" i="1"/>
  <c r="AN181" i="1"/>
  <c r="AN185" i="1"/>
  <c r="AN189" i="1"/>
  <c r="AN193" i="1"/>
  <c r="AN197" i="1"/>
  <c r="AN201" i="1"/>
  <c r="AN205" i="1"/>
  <c r="AN209" i="1"/>
  <c r="AN213" i="1"/>
  <c r="AN217" i="1"/>
  <c r="AN221" i="1"/>
  <c r="AN225" i="1"/>
  <c r="AN229" i="1"/>
  <c r="AN233" i="1"/>
  <c r="AN237" i="1"/>
  <c r="AN241" i="1"/>
  <c r="AN245" i="1"/>
  <c r="AN249" i="1"/>
  <c r="AN253" i="1"/>
  <c r="AN257" i="1"/>
  <c r="AN261" i="1"/>
  <c r="AN265" i="1"/>
  <c r="AN269" i="1"/>
  <c r="AN273" i="1"/>
  <c r="AN277" i="1"/>
  <c r="AN281" i="1"/>
  <c r="AN285" i="1"/>
  <c r="AN289" i="1"/>
  <c r="AN293" i="1"/>
  <c r="AN297" i="1"/>
  <c r="AN301" i="1"/>
  <c r="AN305" i="1"/>
  <c r="AN309" i="1"/>
  <c r="AN313" i="1"/>
  <c r="AN317" i="1"/>
  <c r="AN321" i="1"/>
  <c r="AN325" i="1"/>
  <c r="AN329" i="1"/>
  <c r="AN333" i="1"/>
  <c r="AN337" i="1"/>
  <c r="AN341" i="1"/>
  <c r="AN345" i="1"/>
  <c r="AN349" i="1"/>
  <c r="AN353" i="1"/>
  <c r="AN357" i="1"/>
  <c r="AN361" i="1"/>
  <c r="AN365" i="1"/>
  <c r="AN369" i="1"/>
  <c r="AN373" i="1"/>
  <c r="AN375" i="1"/>
  <c r="AN379" i="1"/>
  <c r="AN383" i="1"/>
  <c r="AN387" i="1"/>
  <c r="AN391" i="1"/>
  <c r="AN395" i="1"/>
  <c r="AN399" i="1"/>
  <c r="AN403" i="1"/>
  <c r="AN413" i="1"/>
  <c r="AN417" i="1"/>
  <c r="AN421" i="1"/>
  <c r="AN425" i="1"/>
  <c r="AN429" i="1"/>
  <c r="AN433" i="1"/>
  <c r="AN437" i="1"/>
  <c r="AN441" i="1"/>
  <c r="AN445" i="1"/>
  <c r="AN449" i="1"/>
  <c r="AN457" i="1"/>
  <c r="AN461" i="1"/>
  <c r="AN465" i="1"/>
  <c r="AN469" i="1"/>
  <c r="AN473" i="1"/>
  <c r="AN477" i="1"/>
  <c r="AN481" i="1"/>
  <c r="AN485" i="1"/>
  <c r="AN489" i="1"/>
  <c r="AN493" i="1"/>
  <c r="AN497" i="1"/>
  <c r="AN505" i="1"/>
  <c r="AN517" i="1"/>
  <c r="AN521" i="1"/>
  <c r="AN525" i="1"/>
  <c r="AN529" i="1"/>
  <c r="AN533" i="1"/>
  <c r="AN537" i="1"/>
  <c r="AN541" i="1"/>
  <c r="AN545" i="1"/>
  <c r="AN15" i="1"/>
  <c r="AN23" i="1"/>
  <c r="AN27" i="1"/>
  <c r="AN35" i="1"/>
  <c r="AN43" i="1"/>
  <c r="AN51" i="1"/>
  <c r="AN55" i="1"/>
  <c r="AN63" i="1"/>
  <c r="AN71" i="1"/>
  <c r="AN79" i="1"/>
  <c r="AN87" i="1"/>
  <c r="AN91" i="1"/>
  <c r="AN99" i="1"/>
  <c r="AN107" i="1"/>
  <c r="AN115" i="1"/>
  <c r="AN135" i="1"/>
  <c r="AN139" i="1"/>
  <c r="AN147" i="1"/>
  <c r="AN155" i="1"/>
  <c r="AN159" i="1"/>
  <c r="AN167" i="1"/>
  <c r="AN171" i="1"/>
  <c r="AN179" i="1"/>
  <c r="AN187" i="1"/>
  <c r="AN195" i="1"/>
  <c r="AN203" i="1"/>
  <c r="AN207" i="1"/>
  <c r="AN215" i="1"/>
  <c r="AN223" i="1"/>
  <c r="AN227" i="1"/>
  <c r="AN235" i="1"/>
  <c r="AN243" i="1"/>
  <c r="AN247" i="1"/>
  <c r="AN255" i="1"/>
  <c r="AN263" i="1"/>
  <c r="AN271" i="1"/>
  <c r="AN275" i="1"/>
  <c r="AN283" i="1"/>
  <c r="AN287" i="1"/>
  <c r="AN295" i="1"/>
  <c r="AN303" i="1"/>
  <c r="AN307" i="1"/>
  <c r="AN315" i="1"/>
  <c r="AN323" i="1"/>
  <c r="AN331" i="1"/>
  <c r="AN335" i="1"/>
  <c r="AN343" i="1"/>
  <c r="AN351" i="1"/>
  <c r="AN355" i="1"/>
  <c r="AN363" i="1"/>
  <c r="AN371" i="1"/>
  <c r="AN381" i="1"/>
  <c r="AN389" i="1"/>
  <c r="AN397" i="1"/>
  <c r="AN401" i="1"/>
  <c r="AN415" i="1"/>
  <c r="AN423" i="1"/>
  <c r="AN427" i="1"/>
  <c r="AN435" i="1"/>
  <c r="AN443" i="1"/>
  <c r="AN447" i="1"/>
  <c r="AN463" i="1"/>
  <c r="AN467" i="1"/>
  <c r="AN475" i="1"/>
  <c r="AN483" i="1"/>
  <c r="AN487" i="1"/>
  <c r="AN495" i="1"/>
  <c r="AN503" i="1"/>
  <c r="AN519" i="1"/>
  <c r="AN527" i="1"/>
  <c r="AN535" i="1"/>
  <c r="AN12" i="1"/>
  <c r="AN16" i="1"/>
  <c r="AN24" i="1"/>
  <c r="AN32" i="1"/>
  <c r="AN36" i="1"/>
  <c r="AN44" i="1"/>
  <c r="AN52" i="1"/>
  <c r="AN60" i="1"/>
  <c r="AN64" i="1"/>
  <c r="AN72" i="1"/>
  <c r="AN76" i="1"/>
  <c r="AN84" i="1"/>
  <c r="AN88" i="1"/>
  <c r="AN96" i="1"/>
  <c r="AN104" i="1"/>
  <c r="AN112" i="1"/>
  <c r="AN116" i="1"/>
  <c r="AN136" i="1"/>
  <c r="AN144" i="1"/>
  <c r="AN148" i="1"/>
  <c r="AN156" i="1"/>
  <c r="AN164" i="1"/>
  <c r="AN168" i="1"/>
  <c r="AN176" i="1"/>
  <c r="AN180" i="1"/>
  <c r="AN188" i="1"/>
  <c r="AN196" i="1"/>
  <c r="AN200" i="1"/>
  <c r="AN208" i="1"/>
  <c r="AN216" i="1"/>
  <c r="AN224" i="1"/>
  <c r="AN232" i="1"/>
  <c r="AN244" i="1"/>
  <c r="AN252" i="1"/>
  <c r="AN256" i="1"/>
  <c r="AN264" i="1"/>
  <c r="AN272" i="1"/>
  <c r="AN280" i="1"/>
  <c r="AN284" i="1"/>
  <c r="AN292" i="1"/>
  <c r="AN300" i="1"/>
  <c r="AN308" i="1"/>
  <c r="AN316" i="1"/>
  <c r="AN320" i="1"/>
  <c r="AN328" i="1"/>
  <c r="AN336" i="1"/>
  <c r="AN340" i="1"/>
  <c r="AN348" i="1"/>
  <c r="AN356" i="1"/>
  <c r="AN364" i="1"/>
  <c r="AN368" i="1"/>
  <c r="AN382" i="1"/>
  <c r="AN10" i="1"/>
  <c r="AN14" i="1"/>
  <c r="AN18" i="1"/>
  <c r="AN22" i="1"/>
  <c r="AN26" i="1"/>
  <c r="AN30" i="1"/>
  <c r="AN34" i="1"/>
  <c r="AN38" i="1"/>
  <c r="AN42" i="1"/>
  <c r="AN46" i="1"/>
  <c r="AN50" i="1"/>
  <c r="AN54" i="1"/>
  <c r="AN58" i="1"/>
  <c r="AN62" i="1"/>
  <c r="AN66" i="1"/>
  <c r="AN70" i="1"/>
  <c r="AN74" i="1"/>
  <c r="AN78" i="1"/>
  <c r="AN82" i="1"/>
  <c r="AN86" i="1"/>
  <c r="AN90" i="1"/>
  <c r="AN94" i="1"/>
  <c r="AN98" i="1"/>
  <c r="AN102" i="1"/>
  <c r="AN106" i="1"/>
  <c r="AN110" i="1"/>
  <c r="AN114" i="1"/>
  <c r="AN118" i="1"/>
  <c r="AN122" i="1"/>
  <c r="AN126" i="1"/>
  <c r="AN134" i="1"/>
  <c r="AN138" i="1"/>
  <c r="AN142" i="1"/>
  <c r="AN146" i="1"/>
  <c r="AN150" i="1"/>
  <c r="AN154" i="1"/>
  <c r="AN158" i="1"/>
  <c r="AN162" i="1"/>
  <c r="AN166" i="1"/>
  <c r="AN170" i="1"/>
  <c r="AN174" i="1"/>
  <c r="AN178" i="1"/>
  <c r="AN182" i="1"/>
  <c r="AN186" i="1"/>
  <c r="AN190" i="1"/>
  <c r="AN194" i="1"/>
  <c r="AN198" i="1"/>
  <c r="AN202" i="1"/>
  <c r="AN206" i="1"/>
  <c r="AN210" i="1"/>
  <c r="AN214" i="1"/>
  <c r="AN218" i="1"/>
  <c r="AN222" i="1"/>
  <c r="AN226" i="1"/>
  <c r="AN230" i="1"/>
  <c r="AN234" i="1"/>
  <c r="AN238" i="1"/>
  <c r="AN242" i="1"/>
  <c r="AN246" i="1"/>
  <c r="AN250" i="1"/>
  <c r="AN254" i="1"/>
  <c r="AN258" i="1"/>
  <c r="AN262" i="1"/>
  <c r="AN266" i="1"/>
  <c r="AN270" i="1"/>
  <c r="AN274" i="1"/>
  <c r="AN278" i="1"/>
  <c r="AN282" i="1"/>
  <c r="AN286" i="1"/>
  <c r="AN290" i="1"/>
  <c r="AN294" i="1"/>
  <c r="AN298" i="1"/>
  <c r="AN302" i="1"/>
  <c r="AN306" i="1"/>
  <c r="AN310" i="1"/>
  <c r="AN314" i="1"/>
  <c r="AN318" i="1"/>
  <c r="AN322" i="1"/>
  <c r="AN326" i="1"/>
  <c r="AN330" i="1"/>
  <c r="AN334" i="1"/>
  <c r="AN338" i="1"/>
  <c r="AN342" i="1"/>
  <c r="AN346" i="1"/>
  <c r="AN350" i="1"/>
  <c r="AN354" i="1"/>
  <c r="AN358" i="1"/>
  <c r="AN362" i="1"/>
  <c r="AN366" i="1"/>
  <c r="AN370" i="1"/>
  <c r="AN374" i="1"/>
  <c r="AN376" i="1"/>
  <c r="AN380" i="1"/>
  <c r="AN384" i="1"/>
  <c r="AN388" i="1"/>
  <c r="AN392" i="1"/>
  <c r="AN396" i="1"/>
  <c r="AN400" i="1"/>
  <c r="AN406" i="1"/>
  <c r="AN410" i="1"/>
  <c r="AN414" i="1"/>
  <c r="AN418" i="1"/>
  <c r="AN422" i="1"/>
  <c r="AN426" i="1"/>
  <c r="AN430" i="1"/>
  <c r="AN434" i="1"/>
  <c r="AN438" i="1"/>
  <c r="AN442" i="1"/>
  <c r="AN446" i="1"/>
  <c r="AN450" i="1"/>
  <c r="AN458" i="1"/>
  <c r="AN462" i="1"/>
  <c r="AN466" i="1"/>
  <c r="AN470" i="1"/>
  <c r="AN474" i="1"/>
  <c r="AN478" i="1"/>
  <c r="AN482" i="1"/>
  <c r="AN486" i="1"/>
  <c r="AN490" i="1"/>
  <c r="AN494" i="1"/>
  <c r="AN498" i="1"/>
  <c r="AN502" i="1"/>
  <c r="AN506" i="1"/>
  <c r="AN518" i="1"/>
  <c r="AN522" i="1"/>
  <c r="AN526" i="1"/>
  <c r="AN530" i="1"/>
  <c r="AN534" i="1"/>
  <c r="AM16" i="1"/>
  <c r="AL16" i="1"/>
  <c r="AM24" i="1"/>
  <c r="AL24" i="1"/>
  <c r="AM32" i="1"/>
  <c r="AL32" i="1"/>
  <c r="AM40" i="1"/>
  <c r="AL40" i="1"/>
  <c r="AM48" i="1"/>
  <c r="AL48" i="1"/>
  <c r="AM52" i="1"/>
  <c r="AL52" i="1"/>
  <c r="AM60" i="1"/>
  <c r="AL60" i="1"/>
  <c r="AM64" i="1"/>
  <c r="AL64" i="1"/>
  <c r="AM68" i="1"/>
  <c r="AL68" i="1"/>
  <c r="AM72" i="1"/>
  <c r="AL72" i="1"/>
  <c r="AM80" i="1"/>
  <c r="AL80" i="1"/>
  <c r="AM88" i="1"/>
  <c r="AL88" i="1"/>
  <c r="AM96" i="1"/>
  <c r="AL96" i="1"/>
  <c r="AM104" i="1"/>
  <c r="AL104" i="1"/>
  <c r="AM108" i="1"/>
  <c r="AL108" i="1"/>
  <c r="AM116" i="1"/>
  <c r="AL116" i="1"/>
  <c r="AL124" i="1"/>
  <c r="AL128" i="1"/>
  <c r="AM132" i="1"/>
  <c r="AL132" i="1"/>
  <c r="AM136" i="1"/>
  <c r="AL136" i="1"/>
  <c r="AM144" i="1"/>
  <c r="AL144" i="1"/>
  <c r="AM148" i="1"/>
  <c r="AL148" i="1"/>
  <c r="AM152" i="1"/>
  <c r="AL152" i="1"/>
  <c r="AM156" i="1"/>
  <c r="AL156" i="1"/>
  <c r="AM160" i="1"/>
  <c r="AL160" i="1"/>
  <c r="AM164" i="1"/>
  <c r="AL164" i="1"/>
  <c r="AM168" i="1"/>
  <c r="AL168" i="1"/>
  <c r="AM172" i="1"/>
  <c r="AL172" i="1"/>
  <c r="AM176" i="1"/>
  <c r="AL176" i="1"/>
  <c r="AM180" i="1"/>
  <c r="AL180" i="1"/>
  <c r="AM184" i="1"/>
  <c r="AL184" i="1"/>
  <c r="AM188" i="1"/>
  <c r="AL188" i="1"/>
  <c r="AM192" i="1"/>
  <c r="AL192" i="1"/>
  <c r="AM196" i="1"/>
  <c r="AL196" i="1"/>
  <c r="AM200" i="1"/>
  <c r="AL200" i="1"/>
  <c r="AM204" i="1"/>
  <c r="AL204" i="1"/>
  <c r="AM208" i="1"/>
  <c r="AL208" i="1"/>
  <c r="AM212" i="1"/>
  <c r="AL212" i="1"/>
  <c r="AM216" i="1"/>
  <c r="AL216" i="1"/>
  <c r="AM220" i="1"/>
  <c r="AL220" i="1"/>
  <c r="AM224" i="1"/>
  <c r="AL224" i="1"/>
  <c r="AM228" i="1"/>
  <c r="AL228" i="1"/>
  <c r="AM232" i="1"/>
  <c r="AL232" i="1"/>
  <c r="AM236" i="1"/>
  <c r="AL236" i="1"/>
  <c r="AM240" i="1"/>
  <c r="AL240" i="1"/>
  <c r="AM244" i="1"/>
  <c r="AL244" i="1"/>
  <c r="AM248" i="1"/>
  <c r="AL248" i="1"/>
  <c r="AM252" i="1"/>
  <c r="AL252" i="1"/>
  <c r="AM256" i="1"/>
  <c r="AL256" i="1"/>
  <c r="AM260" i="1"/>
  <c r="AL260" i="1"/>
  <c r="AM264" i="1"/>
  <c r="AL264" i="1"/>
  <c r="AM268" i="1"/>
  <c r="AL268" i="1"/>
  <c r="AM272" i="1"/>
  <c r="AL272" i="1"/>
  <c r="AM276" i="1"/>
  <c r="AL276" i="1"/>
  <c r="AM280" i="1"/>
  <c r="AL280" i="1"/>
  <c r="AM284" i="1"/>
  <c r="AL284" i="1"/>
  <c r="AM292" i="1"/>
  <c r="AL292" i="1"/>
  <c r="AM300" i="1"/>
  <c r="AL300" i="1"/>
  <c r="AM308" i="1"/>
  <c r="AL308" i="1"/>
  <c r="AM316" i="1"/>
  <c r="AL316" i="1"/>
  <c r="AM324" i="1"/>
  <c r="AL324" i="1"/>
  <c r="AM332" i="1"/>
  <c r="AL332" i="1"/>
  <c r="AM340" i="1"/>
  <c r="AL340" i="1"/>
  <c r="AM348" i="1"/>
  <c r="AL348" i="1"/>
  <c r="AM356" i="1"/>
  <c r="AL356" i="1"/>
  <c r="AM368" i="1"/>
  <c r="AL368" i="1"/>
  <c r="AM386" i="1"/>
  <c r="AL386" i="1"/>
  <c r="AM394" i="1"/>
  <c r="AL394" i="1"/>
  <c r="AM402" i="1"/>
  <c r="AL402" i="1"/>
  <c r="AM412" i="1"/>
  <c r="AL412" i="1"/>
  <c r="AM424" i="1"/>
  <c r="AL424" i="1"/>
  <c r="AM436" i="1"/>
  <c r="AL436" i="1"/>
  <c r="AM444" i="1"/>
  <c r="AL444" i="1"/>
  <c r="AM456" i="1"/>
  <c r="AL456" i="1"/>
  <c r="AM464" i="1"/>
  <c r="AL464" i="1"/>
  <c r="AM472" i="1"/>
  <c r="AL472" i="1"/>
  <c r="AM480" i="1"/>
  <c r="AL480" i="1"/>
  <c r="AM488" i="1"/>
  <c r="AL488" i="1"/>
  <c r="AM492" i="1"/>
  <c r="AL492" i="1"/>
  <c r="AL500" i="1"/>
  <c r="AL508" i="1"/>
  <c r="AM516" i="1"/>
  <c r="AL516" i="1"/>
  <c r="AM528" i="1"/>
  <c r="AL528" i="1"/>
  <c r="AM536" i="1"/>
  <c r="AL536" i="1"/>
  <c r="AM544" i="1"/>
  <c r="AL544" i="1"/>
  <c r="AM13" i="1"/>
  <c r="AL13" i="1"/>
  <c r="AM17" i="1"/>
  <c r="AL17" i="1"/>
  <c r="AM29" i="1"/>
  <c r="AL29" i="1"/>
  <c r="AM37" i="1"/>
  <c r="AL37" i="1"/>
  <c r="AM45" i="1"/>
  <c r="AL45" i="1"/>
  <c r="AM57" i="1"/>
  <c r="AL57" i="1"/>
  <c r="AM65" i="1"/>
  <c r="AL65" i="1"/>
  <c r="AM73" i="1"/>
  <c r="AL73" i="1"/>
  <c r="AM85" i="1"/>
  <c r="AL85" i="1"/>
  <c r="AM93" i="1"/>
  <c r="AL93" i="1"/>
  <c r="AL101" i="1"/>
  <c r="AM109" i="1"/>
  <c r="AL109" i="1"/>
  <c r="AM121" i="1"/>
  <c r="AL121" i="1"/>
  <c r="AM133" i="1"/>
  <c r="AL133" i="1"/>
  <c r="AM145" i="1"/>
  <c r="AL145" i="1"/>
  <c r="AM153" i="1"/>
  <c r="AL153" i="1"/>
  <c r="AM165" i="1"/>
  <c r="AL165" i="1"/>
  <c r="AM173" i="1"/>
  <c r="AL173" i="1"/>
  <c r="AM177" i="1"/>
  <c r="AL177" i="1"/>
  <c r="AM185" i="1"/>
  <c r="AL185" i="1"/>
  <c r="AM193" i="1"/>
  <c r="AL193" i="1"/>
  <c r="AM205" i="1"/>
  <c r="AL205" i="1"/>
  <c r="AM221" i="1"/>
  <c r="AL221" i="1"/>
  <c r="AM229" i="1"/>
  <c r="AL229" i="1"/>
  <c r="AM237" i="1"/>
  <c r="AL237" i="1"/>
  <c r="AM245" i="1"/>
  <c r="AL245" i="1"/>
  <c r="AM253" i="1"/>
  <c r="AL253" i="1"/>
  <c r="AM257" i="1"/>
  <c r="AL257" i="1"/>
  <c r="AM269" i="1"/>
  <c r="AL269" i="1"/>
  <c r="AM277" i="1"/>
  <c r="AL277" i="1"/>
  <c r="AM285" i="1"/>
  <c r="AL285" i="1"/>
  <c r="AM293" i="1"/>
  <c r="AL293" i="1"/>
  <c r="AM301" i="1"/>
  <c r="AL301" i="1"/>
  <c r="AM309" i="1"/>
  <c r="AL309" i="1"/>
  <c r="AM317" i="1"/>
  <c r="AL317" i="1"/>
  <c r="AM325" i="1"/>
  <c r="AL325" i="1"/>
  <c r="AM337" i="1"/>
  <c r="AL337" i="1"/>
  <c r="AM345" i="1"/>
  <c r="AL345" i="1"/>
  <c r="AM353" i="1"/>
  <c r="AL353" i="1"/>
  <c r="AM361" i="1"/>
  <c r="AL361" i="1"/>
  <c r="AM369" i="1"/>
  <c r="AL369" i="1"/>
  <c r="AM379" i="1"/>
  <c r="AL379" i="1"/>
  <c r="AM387" i="1"/>
  <c r="AL387" i="1"/>
  <c r="AM403" i="1"/>
  <c r="AL403" i="1"/>
  <c r="AL409" i="1"/>
  <c r="AM417" i="1"/>
  <c r="AL417" i="1"/>
  <c r="AM425" i="1"/>
  <c r="AL425" i="1"/>
  <c r="AM437" i="1"/>
  <c r="AL437" i="1"/>
  <c r="AM445" i="1"/>
  <c r="AL445" i="1"/>
  <c r="AM453" i="1"/>
  <c r="AL453" i="1"/>
  <c r="AM461" i="1"/>
  <c r="AL461" i="1"/>
  <c r="AM473" i="1"/>
  <c r="AL473" i="1"/>
  <c r="AM481" i="1"/>
  <c r="AL481" i="1"/>
  <c r="AM489" i="1"/>
  <c r="AL489" i="1"/>
  <c r="AL501" i="1"/>
  <c r="AL509" i="1"/>
  <c r="AM517" i="1"/>
  <c r="AL517" i="1"/>
  <c r="AM525" i="1"/>
  <c r="AL525" i="1"/>
  <c r="AM533" i="1"/>
  <c r="AL533" i="1"/>
  <c r="AM545" i="1"/>
  <c r="AL545" i="1"/>
  <c r="AM10" i="1"/>
  <c r="AL10" i="1"/>
  <c r="AM14" i="1"/>
  <c r="AL14" i="1"/>
  <c r="AM18" i="1"/>
  <c r="AL18" i="1"/>
  <c r="AM22" i="1"/>
  <c r="AL22" i="1"/>
  <c r="AM26" i="1"/>
  <c r="AL26" i="1"/>
  <c r="AM30" i="1"/>
  <c r="AL30" i="1"/>
  <c r="AM34" i="1"/>
  <c r="AL34" i="1"/>
  <c r="AM38" i="1"/>
  <c r="AL38" i="1"/>
  <c r="AM42" i="1"/>
  <c r="AL42" i="1"/>
  <c r="AM46" i="1"/>
  <c r="AL46" i="1"/>
  <c r="AM50" i="1"/>
  <c r="AL50" i="1"/>
  <c r="AM54" i="1"/>
  <c r="AL54" i="1"/>
  <c r="AM58" i="1"/>
  <c r="AL58" i="1"/>
  <c r="AM62" i="1"/>
  <c r="AL62" i="1"/>
  <c r="AM66" i="1"/>
  <c r="AL66" i="1"/>
  <c r="AM70" i="1"/>
  <c r="AL70" i="1"/>
  <c r="AM74" i="1"/>
  <c r="AL74" i="1"/>
  <c r="AM78" i="1"/>
  <c r="AL78" i="1"/>
  <c r="AM82" i="1"/>
  <c r="AL82" i="1"/>
  <c r="AM86" i="1"/>
  <c r="AL86" i="1"/>
  <c r="AM90" i="1"/>
  <c r="AL90" i="1"/>
  <c r="AM94" i="1"/>
  <c r="AL94" i="1"/>
  <c r="AM98" i="1"/>
  <c r="AL98" i="1"/>
  <c r="AM102" i="1"/>
  <c r="AL102" i="1"/>
  <c r="AM106" i="1"/>
  <c r="AL106" i="1"/>
  <c r="AM110" i="1"/>
  <c r="AL110" i="1"/>
  <c r="AM114" i="1"/>
  <c r="AL114" i="1"/>
  <c r="AL118" i="1"/>
  <c r="AM122" i="1"/>
  <c r="AL122" i="1"/>
  <c r="AM126" i="1"/>
  <c r="AL126" i="1"/>
  <c r="AL130" i="1"/>
  <c r="AM134" i="1"/>
  <c r="AL134" i="1"/>
  <c r="AM138" i="1"/>
  <c r="AL138" i="1"/>
  <c r="AM142" i="1"/>
  <c r="AL142" i="1"/>
  <c r="AM146" i="1"/>
  <c r="AL146" i="1"/>
  <c r="AM150" i="1"/>
  <c r="AL150" i="1"/>
  <c r="AM154" i="1"/>
  <c r="AL154" i="1"/>
  <c r="AM158" i="1"/>
  <c r="AL158" i="1"/>
  <c r="AM162" i="1"/>
  <c r="AL162" i="1"/>
  <c r="AM166" i="1"/>
  <c r="AL166" i="1"/>
  <c r="AM170" i="1"/>
  <c r="AL170" i="1"/>
  <c r="AM174" i="1"/>
  <c r="AL174" i="1"/>
  <c r="AM178" i="1"/>
  <c r="AL178" i="1"/>
  <c r="AM182" i="1"/>
  <c r="AL182" i="1"/>
  <c r="AM186" i="1"/>
  <c r="AL186" i="1"/>
  <c r="AM190" i="1"/>
  <c r="AL190" i="1"/>
  <c r="AM194" i="1"/>
  <c r="AL194" i="1"/>
  <c r="AM198" i="1"/>
  <c r="AL198" i="1"/>
  <c r="AM202" i="1"/>
  <c r="AL202" i="1"/>
  <c r="AM206" i="1"/>
  <c r="AL206" i="1"/>
  <c r="AM210" i="1"/>
  <c r="AL210" i="1"/>
  <c r="AM214" i="1"/>
  <c r="AL214" i="1"/>
  <c r="AM218" i="1"/>
  <c r="AL218" i="1"/>
  <c r="AM222" i="1"/>
  <c r="AL222" i="1"/>
  <c r="AM226" i="1"/>
  <c r="AL226" i="1"/>
  <c r="AM230" i="1"/>
  <c r="AL230" i="1"/>
  <c r="AM234" i="1"/>
  <c r="AL234" i="1"/>
  <c r="AM238" i="1"/>
  <c r="AL238" i="1"/>
  <c r="AM242" i="1"/>
  <c r="AL242" i="1"/>
  <c r="AM246" i="1"/>
  <c r="AL246" i="1"/>
  <c r="AM250" i="1"/>
  <c r="AL250" i="1"/>
  <c r="AM254" i="1"/>
  <c r="AL254" i="1"/>
  <c r="AM258" i="1"/>
  <c r="AL258" i="1"/>
  <c r="AM262" i="1"/>
  <c r="AL262" i="1"/>
  <c r="AM266" i="1"/>
  <c r="AL266" i="1"/>
  <c r="AM270" i="1"/>
  <c r="AL270" i="1"/>
  <c r="AM274" i="1"/>
  <c r="AL274" i="1"/>
  <c r="AM278" i="1"/>
  <c r="AL278" i="1"/>
  <c r="AM282" i="1"/>
  <c r="AL282" i="1"/>
  <c r="AM286" i="1"/>
  <c r="AL286" i="1"/>
  <c r="AM290" i="1"/>
  <c r="AL290" i="1"/>
  <c r="AM294" i="1"/>
  <c r="AL294" i="1"/>
  <c r="AM298" i="1"/>
  <c r="AL298" i="1"/>
  <c r="AM302" i="1"/>
  <c r="AL302" i="1"/>
  <c r="AM306" i="1"/>
  <c r="AL306" i="1"/>
  <c r="AM310" i="1"/>
  <c r="AL310" i="1"/>
  <c r="AM314" i="1"/>
  <c r="AL314" i="1"/>
  <c r="AM318" i="1"/>
  <c r="AL318" i="1"/>
  <c r="AM322" i="1"/>
  <c r="AL322" i="1"/>
  <c r="AM326" i="1"/>
  <c r="AL326" i="1"/>
  <c r="AM330" i="1"/>
  <c r="AL330" i="1"/>
  <c r="AM334" i="1"/>
  <c r="AL334" i="1"/>
  <c r="AM338" i="1"/>
  <c r="AL338" i="1"/>
  <c r="AM342" i="1"/>
  <c r="AL342" i="1"/>
  <c r="AM346" i="1"/>
  <c r="AL346" i="1"/>
  <c r="AM350" i="1"/>
  <c r="AL350" i="1"/>
  <c r="AM354" i="1"/>
  <c r="AL354" i="1"/>
  <c r="AM358" i="1"/>
  <c r="AL358" i="1"/>
  <c r="AM362" i="1"/>
  <c r="AL362" i="1"/>
  <c r="AM366" i="1"/>
  <c r="AL366" i="1"/>
  <c r="AM370" i="1"/>
  <c r="AL370" i="1"/>
  <c r="AM374" i="1"/>
  <c r="AL374" i="1"/>
  <c r="AM376" i="1"/>
  <c r="AL376" i="1"/>
  <c r="AM380" i="1"/>
  <c r="AL380" i="1"/>
  <c r="AM384" i="1"/>
  <c r="AL384" i="1"/>
  <c r="AM388" i="1"/>
  <c r="AL388" i="1"/>
  <c r="AM392" i="1"/>
  <c r="AL392" i="1"/>
  <c r="AM396" i="1"/>
  <c r="AL396" i="1"/>
  <c r="AM400" i="1"/>
  <c r="AL400" i="1"/>
  <c r="AM406" i="1"/>
  <c r="AL406" i="1"/>
  <c r="AM410" i="1"/>
  <c r="AL410" i="1"/>
  <c r="AM414" i="1"/>
  <c r="AL414" i="1"/>
  <c r="AM418" i="1"/>
  <c r="AL418" i="1"/>
  <c r="AM422" i="1"/>
  <c r="AL422" i="1"/>
  <c r="AM426" i="1"/>
  <c r="AL426" i="1"/>
  <c r="AM430" i="1"/>
  <c r="AL430" i="1"/>
  <c r="AM434" i="1"/>
  <c r="AL434" i="1"/>
  <c r="AM438" i="1"/>
  <c r="AL438" i="1"/>
  <c r="AM442" i="1"/>
  <c r="AL442" i="1"/>
  <c r="AM446" i="1"/>
  <c r="AL446" i="1"/>
  <c r="AM450" i="1"/>
  <c r="AL450" i="1"/>
  <c r="AM454" i="1"/>
  <c r="AL454" i="1"/>
  <c r="AM458" i="1"/>
  <c r="AL458" i="1"/>
  <c r="AM462" i="1"/>
  <c r="AL462" i="1"/>
  <c r="AM466" i="1"/>
  <c r="AL466" i="1"/>
  <c r="AM470" i="1"/>
  <c r="AL470" i="1"/>
  <c r="AM474" i="1"/>
  <c r="AL474" i="1"/>
  <c r="AM478" i="1"/>
  <c r="AL478" i="1"/>
  <c r="AM482" i="1"/>
  <c r="AL482" i="1"/>
  <c r="AM486" i="1"/>
  <c r="AL486" i="1"/>
  <c r="AM490" i="1"/>
  <c r="AL490" i="1"/>
  <c r="AM494" i="1"/>
  <c r="AL494" i="1"/>
  <c r="AM498" i="1"/>
  <c r="AL498" i="1"/>
  <c r="AM502" i="1"/>
  <c r="AL502" i="1"/>
  <c r="AM506" i="1"/>
  <c r="AL506" i="1"/>
  <c r="AL510" i="1"/>
  <c r="AL514" i="1"/>
  <c r="AM518" i="1"/>
  <c r="AL518" i="1"/>
  <c r="AM522" i="1"/>
  <c r="AL522" i="1"/>
  <c r="AM526" i="1"/>
  <c r="AL526" i="1"/>
  <c r="AM530" i="1"/>
  <c r="AL530" i="1"/>
  <c r="AM534" i="1"/>
  <c r="AL534" i="1"/>
  <c r="AL538" i="1"/>
  <c r="AL542" i="1"/>
  <c r="AM12" i="1"/>
  <c r="AL12" i="1"/>
  <c r="AM20" i="1"/>
  <c r="AL20" i="1"/>
  <c r="AM28" i="1"/>
  <c r="AL28" i="1"/>
  <c r="AM36" i="1"/>
  <c r="AL36" i="1"/>
  <c r="AM44" i="1"/>
  <c r="AL44" i="1"/>
  <c r="AM56" i="1"/>
  <c r="AL56" i="1"/>
  <c r="AM76" i="1"/>
  <c r="AL76" i="1"/>
  <c r="AM84" i="1"/>
  <c r="AL84" i="1"/>
  <c r="AM92" i="1"/>
  <c r="AL92" i="1"/>
  <c r="AM100" i="1"/>
  <c r="AL100" i="1"/>
  <c r="AM112" i="1"/>
  <c r="AL112" i="1"/>
  <c r="AM120" i="1"/>
  <c r="AL120" i="1"/>
  <c r="AM140" i="1"/>
  <c r="AL140" i="1"/>
  <c r="AM288" i="1"/>
  <c r="AL288" i="1"/>
  <c r="AM296" i="1"/>
  <c r="AL296" i="1"/>
  <c r="AM304" i="1"/>
  <c r="AL304" i="1"/>
  <c r="AM312" i="1"/>
  <c r="AL312" i="1"/>
  <c r="AM320" i="1"/>
  <c r="AL320" i="1"/>
  <c r="AM328" i="1"/>
  <c r="AL328" i="1"/>
  <c r="AM336" i="1"/>
  <c r="AL336" i="1"/>
  <c r="AM344" i="1"/>
  <c r="AL344" i="1"/>
  <c r="AM352" i="1"/>
  <c r="AL352" i="1"/>
  <c r="AM360" i="1"/>
  <c r="AL360" i="1"/>
  <c r="AM364" i="1"/>
  <c r="AL364" i="1"/>
  <c r="AM372" i="1"/>
  <c r="AL372" i="1"/>
  <c r="AM378" i="1"/>
  <c r="AL378" i="1"/>
  <c r="AM382" i="1"/>
  <c r="AL382" i="1"/>
  <c r="AM390" i="1"/>
  <c r="AL390" i="1"/>
  <c r="AM398" i="1"/>
  <c r="AL398" i="1"/>
  <c r="AL405" i="1"/>
  <c r="AL408" i="1"/>
  <c r="AM416" i="1"/>
  <c r="AL416" i="1"/>
  <c r="AM420" i="1"/>
  <c r="AL420" i="1"/>
  <c r="AM428" i="1"/>
  <c r="AL428" i="1"/>
  <c r="AM432" i="1"/>
  <c r="AL432" i="1"/>
  <c r="AM440" i="1"/>
  <c r="AL440" i="1"/>
  <c r="AM448" i="1"/>
  <c r="AL448" i="1"/>
  <c r="AM452" i="1"/>
  <c r="AL452" i="1"/>
  <c r="AM460" i="1"/>
  <c r="AL460" i="1"/>
  <c r="AM468" i="1"/>
  <c r="AL468" i="1"/>
  <c r="AM476" i="1"/>
  <c r="AL476" i="1"/>
  <c r="AM484" i="1"/>
  <c r="AL484" i="1"/>
  <c r="AM496" i="1"/>
  <c r="AL496" i="1"/>
  <c r="AM504" i="1"/>
  <c r="AL504" i="1"/>
  <c r="AL512" i="1"/>
  <c r="AM520" i="1"/>
  <c r="AL520" i="1"/>
  <c r="AM524" i="1"/>
  <c r="AL524" i="1"/>
  <c r="AM532" i="1"/>
  <c r="AL532" i="1"/>
  <c r="AM540" i="1"/>
  <c r="AL540" i="1"/>
  <c r="AM9" i="1"/>
  <c r="AL9" i="1"/>
  <c r="AM21" i="1"/>
  <c r="AL21" i="1"/>
  <c r="AM25" i="1"/>
  <c r="AL25" i="1"/>
  <c r="AM33" i="1"/>
  <c r="AL33" i="1"/>
  <c r="AM41" i="1"/>
  <c r="AL41" i="1"/>
  <c r="AM49" i="1"/>
  <c r="AL49" i="1"/>
  <c r="AM53" i="1"/>
  <c r="AL53" i="1"/>
  <c r="AM61" i="1"/>
  <c r="AL61" i="1"/>
  <c r="AM69" i="1"/>
  <c r="AL69" i="1"/>
  <c r="AM77" i="1"/>
  <c r="AL77" i="1"/>
  <c r="AM81" i="1"/>
  <c r="AL81" i="1"/>
  <c r="AM89" i="1"/>
  <c r="AL89" i="1"/>
  <c r="AM97" i="1"/>
  <c r="AL97" i="1"/>
  <c r="AM105" i="1"/>
  <c r="AL105" i="1"/>
  <c r="AM113" i="1"/>
  <c r="AL113" i="1"/>
  <c r="AM117" i="1"/>
  <c r="AL117" i="1"/>
  <c r="AL125" i="1"/>
  <c r="AL129" i="1"/>
  <c r="AM137" i="1"/>
  <c r="AL137" i="1"/>
  <c r="AM141" i="1"/>
  <c r="AL141" i="1"/>
  <c r="AM149" i="1"/>
  <c r="AL149" i="1"/>
  <c r="AM157" i="1"/>
  <c r="AL157" i="1"/>
  <c r="AM161" i="1"/>
  <c r="AL161" i="1"/>
  <c r="AM169" i="1"/>
  <c r="AL169" i="1"/>
  <c r="AM181" i="1"/>
  <c r="AL181" i="1"/>
  <c r="AM189" i="1"/>
  <c r="AL189" i="1"/>
  <c r="AM197" i="1"/>
  <c r="AL197" i="1"/>
  <c r="AM201" i="1"/>
  <c r="AL201" i="1"/>
  <c r="AM209" i="1"/>
  <c r="AL209" i="1"/>
  <c r="AM213" i="1"/>
  <c r="AL213" i="1"/>
  <c r="AM217" i="1"/>
  <c r="AL217" i="1"/>
  <c r="AM225" i="1"/>
  <c r="AL225" i="1"/>
  <c r="AM233" i="1"/>
  <c r="AL233" i="1"/>
  <c r="AM241" i="1"/>
  <c r="AL241" i="1"/>
  <c r="AM249" i="1"/>
  <c r="AL249" i="1"/>
  <c r="AM261" i="1"/>
  <c r="AL261" i="1"/>
  <c r="AM265" i="1"/>
  <c r="AL265" i="1"/>
  <c r="AM273" i="1"/>
  <c r="AL273" i="1"/>
  <c r="AM281" i="1"/>
  <c r="AL281" i="1"/>
  <c r="AM289" i="1"/>
  <c r="AL289" i="1"/>
  <c r="AM297" i="1"/>
  <c r="AL297" i="1"/>
  <c r="AM305" i="1"/>
  <c r="AL305" i="1"/>
  <c r="AM313" i="1"/>
  <c r="AL313" i="1"/>
  <c r="AM321" i="1"/>
  <c r="AL321" i="1"/>
  <c r="AM329" i="1"/>
  <c r="AL329" i="1"/>
  <c r="AM333" i="1"/>
  <c r="AL333" i="1"/>
  <c r="AM341" i="1"/>
  <c r="AL341" i="1"/>
  <c r="AM349" i="1"/>
  <c r="AL349" i="1"/>
  <c r="AM357" i="1"/>
  <c r="AL357" i="1"/>
  <c r="AM365" i="1"/>
  <c r="AL365" i="1"/>
  <c r="AM373" i="1"/>
  <c r="AL373" i="1"/>
  <c r="AM375" i="1"/>
  <c r="AL375" i="1"/>
  <c r="AM383" i="1"/>
  <c r="AL383" i="1"/>
  <c r="AM391" i="1"/>
  <c r="AL391" i="1"/>
  <c r="AM395" i="1"/>
  <c r="AL395" i="1"/>
  <c r="AM399" i="1"/>
  <c r="AL399" i="1"/>
  <c r="AM413" i="1"/>
  <c r="AL413" i="1"/>
  <c r="AM421" i="1"/>
  <c r="AL421" i="1"/>
  <c r="AM429" i="1"/>
  <c r="AL429" i="1"/>
  <c r="AM433" i="1"/>
  <c r="AL433" i="1"/>
  <c r="AM441" i="1"/>
  <c r="AL441" i="1"/>
  <c r="AM449" i="1"/>
  <c r="AL449" i="1"/>
  <c r="AM457" i="1"/>
  <c r="AL457" i="1"/>
  <c r="AM465" i="1"/>
  <c r="AL465" i="1"/>
  <c r="AM469" i="1"/>
  <c r="AL469" i="1"/>
  <c r="AM477" i="1"/>
  <c r="AL477" i="1"/>
  <c r="AM485" i="1"/>
  <c r="AL485" i="1"/>
  <c r="AM493" i="1"/>
  <c r="AL493" i="1"/>
  <c r="AM497" i="1"/>
  <c r="AL497" i="1"/>
  <c r="AM505" i="1"/>
  <c r="AL505" i="1"/>
  <c r="AL513" i="1"/>
  <c r="AM521" i="1"/>
  <c r="AL521" i="1"/>
  <c r="AM529" i="1"/>
  <c r="AL529" i="1"/>
  <c r="AM537" i="1"/>
  <c r="AL537" i="1"/>
  <c r="AM541" i="1"/>
  <c r="AL541" i="1"/>
  <c r="AM11" i="1"/>
  <c r="AL11" i="1"/>
  <c r="AM15" i="1"/>
  <c r="AL15" i="1"/>
  <c r="AM19" i="1"/>
  <c r="AL19" i="1"/>
  <c r="AM23" i="1"/>
  <c r="AL23" i="1"/>
  <c r="AM27" i="1"/>
  <c r="AL27" i="1"/>
  <c r="AM31" i="1"/>
  <c r="AL31" i="1"/>
  <c r="AM35" i="1"/>
  <c r="AL35" i="1"/>
  <c r="AM39" i="1"/>
  <c r="AL39" i="1"/>
  <c r="AM43" i="1"/>
  <c r="AL43" i="1"/>
  <c r="AM47" i="1"/>
  <c r="AL47" i="1"/>
  <c r="AM51" i="1"/>
  <c r="AL51" i="1"/>
  <c r="AM55" i="1"/>
  <c r="AL55" i="1"/>
  <c r="AM59" i="1"/>
  <c r="AL59" i="1"/>
  <c r="AM63" i="1"/>
  <c r="AL63" i="1"/>
  <c r="AM67" i="1"/>
  <c r="AL67" i="1"/>
  <c r="AM71" i="1"/>
  <c r="AL71" i="1"/>
  <c r="AM75" i="1"/>
  <c r="AL75" i="1"/>
  <c r="AM79" i="1"/>
  <c r="AL79" i="1"/>
  <c r="AM83" i="1"/>
  <c r="AL83" i="1"/>
  <c r="AM87" i="1"/>
  <c r="AL87" i="1"/>
  <c r="AM91" i="1"/>
  <c r="AL91" i="1"/>
  <c r="AM95" i="1"/>
  <c r="AL95" i="1"/>
  <c r="AM99" i="1"/>
  <c r="AL99" i="1"/>
  <c r="AM103" i="1"/>
  <c r="AL103" i="1"/>
  <c r="AM107" i="1"/>
  <c r="AL107" i="1"/>
  <c r="AM111" i="1"/>
  <c r="AL111" i="1"/>
  <c r="AM115" i="1"/>
  <c r="AL115" i="1"/>
  <c r="AM119" i="1"/>
  <c r="AL119" i="1"/>
  <c r="AL123" i="1"/>
  <c r="AL127" i="1"/>
  <c r="AL131" i="1"/>
  <c r="AM135" i="1"/>
  <c r="AL135" i="1"/>
  <c r="AM139" i="1"/>
  <c r="AL139" i="1"/>
  <c r="AM143" i="1"/>
  <c r="AL143" i="1"/>
  <c r="AM147" i="1"/>
  <c r="AL147" i="1"/>
  <c r="AM151" i="1"/>
  <c r="AL151" i="1"/>
  <c r="AM155" i="1"/>
  <c r="AL155" i="1"/>
  <c r="AM159" i="1"/>
  <c r="AL159" i="1"/>
  <c r="AM163" i="1"/>
  <c r="AL163" i="1"/>
  <c r="AM167" i="1"/>
  <c r="AL167" i="1"/>
  <c r="AM171" i="1"/>
  <c r="AL171" i="1"/>
  <c r="AM175" i="1"/>
  <c r="AL175" i="1"/>
  <c r="AM179" i="1"/>
  <c r="AL179" i="1"/>
  <c r="AM183" i="1"/>
  <c r="AL183" i="1"/>
  <c r="AM187" i="1"/>
  <c r="AL187" i="1"/>
  <c r="AM191" i="1"/>
  <c r="AL191" i="1"/>
  <c r="AM195" i="1"/>
  <c r="AL195" i="1"/>
  <c r="AM199" i="1"/>
  <c r="AL199" i="1"/>
  <c r="AM203" i="1"/>
  <c r="AL203" i="1"/>
  <c r="AM207" i="1"/>
  <c r="AL207" i="1"/>
  <c r="AM211" i="1"/>
  <c r="AL211" i="1"/>
  <c r="AM215" i="1"/>
  <c r="AL215" i="1"/>
  <c r="AM219" i="1"/>
  <c r="AL219" i="1"/>
  <c r="AM223" i="1"/>
  <c r="AL223" i="1"/>
  <c r="AM227" i="1"/>
  <c r="AL227" i="1"/>
  <c r="AM231" i="1"/>
  <c r="AL231" i="1"/>
  <c r="AM235" i="1"/>
  <c r="AL235" i="1"/>
  <c r="AM239" i="1"/>
  <c r="AL239" i="1"/>
  <c r="AM243" i="1"/>
  <c r="AL243" i="1"/>
  <c r="AM247" i="1"/>
  <c r="AL247" i="1"/>
  <c r="AM251" i="1"/>
  <c r="AL251" i="1"/>
  <c r="AM255" i="1"/>
  <c r="AL255" i="1"/>
  <c r="AM259" i="1"/>
  <c r="AL259" i="1"/>
  <c r="AM263" i="1"/>
  <c r="AL263" i="1"/>
  <c r="AM267" i="1"/>
  <c r="AL267" i="1"/>
  <c r="AM271" i="1"/>
  <c r="AL271" i="1"/>
  <c r="AM275" i="1"/>
  <c r="AL275" i="1"/>
  <c r="AM279" i="1"/>
  <c r="AL279" i="1"/>
  <c r="AM283" i="1"/>
  <c r="AL283" i="1"/>
  <c r="AM287" i="1"/>
  <c r="AL287" i="1"/>
  <c r="AM291" i="1"/>
  <c r="AL291" i="1"/>
  <c r="AM295" i="1"/>
  <c r="AL295" i="1"/>
  <c r="AM299" i="1"/>
  <c r="AL299" i="1"/>
  <c r="AM303" i="1"/>
  <c r="AL303" i="1"/>
  <c r="AM307" i="1"/>
  <c r="AL307" i="1"/>
  <c r="AM311" i="1"/>
  <c r="AL311" i="1"/>
  <c r="AM315" i="1"/>
  <c r="AL315" i="1"/>
  <c r="AM319" i="1"/>
  <c r="AL319" i="1"/>
  <c r="AM323" i="1"/>
  <c r="AL323" i="1"/>
  <c r="AM327" i="1"/>
  <c r="AL327" i="1"/>
  <c r="AM331" i="1"/>
  <c r="AL331" i="1"/>
  <c r="AM335" i="1"/>
  <c r="AL335" i="1"/>
  <c r="AM339" i="1"/>
  <c r="AL339" i="1"/>
  <c r="AM343" i="1"/>
  <c r="AL343" i="1"/>
  <c r="AM347" i="1"/>
  <c r="AL347" i="1"/>
  <c r="AM351" i="1"/>
  <c r="AL351" i="1"/>
  <c r="AM355" i="1"/>
  <c r="AL355" i="1"/>
  <c r="AM359" i="1"/>
  <c r="AL359" i="1"/>
  <c r="AM363" i="1"/>
  <c r="AL363" i="1"/>
  <c r="AM367" i="1"/>
  <c r="AL367" i="1"/>
  <c r="AM371" i="1"/>
  <c r="AL371" i="1"/>
  <c r="AM377" i="1"/>
  <c r="AL377" i="1"/>
  <c r="AM381" i="1"/>
  <c r="AL381" i="1"/>
  <c r="AM385" i="1"/>
  <c r="AL385" i="1"/>
  <c r="AM389" i="1"/>
  <c r="AL389" i="1"/>
  <c r="AM393" i="1"/>
  <c r="AL393" i="1"/>
  <c r="AM397" i="1"/>
  <c r="AL397" i="1"/>
  <c r="AM401" i="1"/>
  <c r="AL401" i="1"/>
  <c r="AM404" i="1"/>
  <c r="AL404" i="1"/>
  <c r="AL407" i="1"/>
  <c r="AM411" i="1"/>
  <c r="AL411" i="1"/>
  <c r="AM415" i="1"/>
  <c r="AL415" i="1"/>
  <c r="AM419" i="1"/>
  <c r="AL419" i="1"/>
  <c r="AM423" i="1"/>
  <c r="AL423" i="1"/>
  <c r="AM427" i="1"/>
  <c r="AL427" i="1"/>
  <c r="AM431" i="1"/>
  <c r="AL431" i="1"/>
  <c r="AM435" i="1"/>
  <c r="AL435" i="1"/>
  <c r="AM439" i="1"/>
  <c r="AL439" i="1"/>
  <c r="AM443" i="1"/>
  <c r="AL443" i="1"/>
  <c r="AM447" i="1"/>
  <c r="AL447" i="1"/>
  <c r="AM451" i="1"/>
  <c r="AL451" i="1"/>
  <c r="AM455" i="1"/>
  <c r="AL455" i="1"/>
  <c r="AM459" i="1"/>
  <c r="AL459" i="1"/>
  <c r="AM463" i="1"/>
  <c r="AL463" i="1"/>
  <c r="AM467" i="1"/>
  <c r="AL467" i="1"/>
  <c r="AM471" i="1"/>
  <c r="AL471" i="1"/>
  <c r="AM475" i="1"/>
  <c r="AL475" i="1"/>
  <c r="AM479" i="1"/>
  <c r="AL479" i="1"/>
  <c r="AM483" i="1"/>
  <c r="AL483" i="1"/>
  <c r="AM487" i="1"/>
  <c r="AL487" i="1"/>
  <c r="AM491" i="1"/>
  <c r="AL491" i="1"/>
  <c r="AM495" i="1"/>
  <c r="AL495" i="1"/>
  <c r="AM499" i="1"/>
  <c r="AL499" i="1"/>
  <c r="AM503" i="1"/>
  <c r="AL503" i="1"/>
  <c r="AM507" i="1"/>
  <c r="AL507" i="1"/>
  <c r="AL511" i="1"/>
  <c r="AL515" i="1"/>
  <c r="AM519" i="1"/>
  <c r="AL519" i="1"/>
  <c r="AM523" i="1"/>
  <c r="AL523" i="1"/>
  <c r="AM527" i="1"/>
  <c r="AL527" i="1"/>
  <c r="AM531" i="1"/>
  <c r="AL531" i="1"/>
  <c r="AM535" i="1"/>
  <c r="AL535" i="1"/>
  <c r="AM539" i="1"/>
  <c r="AL539" i="1"/>
  <c r="AM543" i="1"/>
  <c r="AL543" i="1"/>
</calcChain>
</file>

<file path=xl/sharedStrings.xml><?xml version="1.0" encoding="utf-8"?>
<sst xmlns="http://schemas.openxmlformats.org/spreadsheetml/2006/main" count="20702" uniqueCount="2544">
  <si>
    <t>ID Data field / Field order</t>
  </si>
  <si>
    <t>Table</t>
  </si>
  <si>
    <t>Category</t>
  </si>
  <si>
    <t>Anacredit</t>
  </si>
  <si>
    <t>Data field</t>
  </si>
  <si>
    <t xml:space="preserve">Efectivo y otros depósitos a la vista / Cash balances and other deposits </t>
  </si>
  <si>
    <t>Bancos Centrales / Central Banks</t>
  </si>
  <si>
    <t>Administraciones públicas / General governments</t>
  </si>
  <si>
    <t>Entidades de crédito / Credit institutions</t>
  </si>
  <si>
    <t>Otras sociedades financieras / 
Other financial corporations</t>
  </si>
  <si>
    <t>Sociedades no financieras / 
Non financial corporations</t>
  </si>
  <si>
    <t>Hogares / Households</t>
  </si>
  <si>
    <t>DEBT SECURITIES
(this column only applies to report the instrument table)</t>
  </si>
  <si>
    <t>Non-contractual balances and 
Accounting adjustments (this column only applies to report the instrument table)</t>
  </si>
  <si>
    <t>Instrument cancelled (this column only applies to report the instrument and instrument activity tables)</t>
  </si>
  <si>
    <t>Data Types</t>
  </si>
  <si>
    <t>Guidance on data types</t>
  </si>
  <si>
    <t>Default value for missing data</t>
  </si>
  <si>
    <t>Default value for not applicable fields to be used WHEN the field is applicable for the corresponding segment (F to L columns )</t>
  </si>
  <si>
    <t>Default value for not applicable fields to be used WHEN:
(1) Non-contractual balances and accounting adjustments
(2) If the field is not applicable for the corresponding segment (F to L columns)</t>
  </si>
  <si>
    <t>Field name</t>
  </si>
  <si>
    <t>Field Definition / Additional Guidance</t>
  </si>
  <si>
    <t>BDR Status
(*) Not applicable = not identified as available in BDR</t>
  </si>
  <si>
    <t>BDR Definition</t>
  </si>
  <si>
    <t>BDR Comments</t>
  </si>
  <si>
    <t>Structural 
ECB Loan Tape</t>
  </si>
  <si>
    <t>Green 
Dashboard</t>
  </si>
  <si>
    <t>Pillar III ESG &amp; CSRD</t>
  </si>
  <si>
    <t>Green Finance</t>
  </si>
  <si>
    <t>ESG Risks</t>
  </si>
  <si>
    <t>Leveraged Finance</t>
  </si>
  <si>
    <t>D + 15
[Green Dashboard]</t>
  </si>
  <si>
    <t>D + 18 
[+ Pillar III ESG]</t>
  </si>
  <si>
    <t>&gt; D + 18
[+ ECB Loan Tape]</t>
  </si>
  <si>
    <t>EN.001</t>
  </si>
  <si>
    <t>ENTITY</t>
  </si>
  <si>
    <t>Cargabal entity</t>
  </si>
  <si>
    <t>N</t>
  </si>
  <si>
    <t>COD_SOC</t>
  </si>
  <si>
    <t>Y</t>
  </si>
  <si>
    <t>VARCHAR2(5)</t>
  </si>
  <si>
    <t>Free (latin) text without special characters (semicolon, quotes, …)</t>
  </si>
  <si>
    <t>Default value not allowed</t>
  </si>
  <si>
    <t>Entity code of the informing society.</t>
  </si>
  <si>
    <t>Cargabal code or internal identifier of the informing society.</t>
  </si>
  <si>
    <t>Not applicable</t>
  </si>
  <si>
    <t>N/A</t>
  </si>
  <si>
    <t>-</t>
  </si>
  <si>
    <t>EN.002</t>
  </si>
  <si>
    <t>General</t>
  </si>
  <si>
    <t>CNTRY</t>
  </si>
  <si>
    <t>Code list</t>
  </si>
  <si>
    <t>Use codes from the code list sheet</t>
  </si>
  <si>
    <t>MISS</t>
  </si>
  <si>
    <t>Country of counterparty residence</t>
  </si>
  <si>
    <t>Country of counterparty residence.</t>
  </si>
  <si>
    <t>Yes - Mapping</t>
  </si>
  <si>
    <t>BDR - Code List</t>
  </si>
  <si>
    <t>EN.003</t>
  </si>
  <si>
    <t>DT_BRTH</t>
  </si>
  <si>
    <t>DATE</t>
  </si>
  <si>
    <t>YYYY-MM-DD</t>
  </si>
  <si>
    <t>0000-00-00</t>
  </si>
  <si>
    <t>1111-11-11</t>
  </si>
  <si>
    <t>Birth date counterparty</t>
  </si>
  <si>
    <t>Date when the entity was born / registered.</t>
  </si>
  <si>
    <t>Yes - Equivalent</t>
  </si>
  <si>
    <t>JM_CLIENT_BII - G4093_FECNACIM</t>
  </si>
  <si>
    <t>EN.004</t>
  </si>
  <si>
    <t>DT_DFLT_STTS</t>
  </si>
  <si>
    <t>Date of default status</t>
  </si>
  <si>
    <t>The date on which the default status, as reported in the data attribute “Default status”, is considered to have arisen. If "Not in default" since inception then this attribute is to be reported equally to the inception date.
If default classification performed on instrument level then Entity is classified as defaulted when at least one instrument is classified as defaulted. If more than one Instrument is classified as defaulted then the earliest date has to be provided. The definition of default is aligned with Art 178 of Regulation (EU) No 575/2013.</t>
  </si>
  <si>
    <t>EN.005</t>
  </si>
  <si>
    <t>DT_FNNCL_STTMTS</t>
  </si>
  <si>
    <t>Date of financial statements</t>
  </si>
  <si>
    <t>Date of financial statements. Please report on solo entity level unless advised otherwise.</t>
  </si>
  <si>
    <t>EN.006</t>
  </si>
  <si>
    <t>DT_FNNCL_STTMTS_PRVS</t>
  </si>
  <si>
    <t>Date of previous fiscal year financial statements</t>
  </si>
  <si>
    <t>Date of previous fiscal year financial statements. Please report on solo entity level unless advised otherwise.</t>
  </si>
  <si>
    <t>EN.007</t>
  </si>
  <si>
    <t>DT_INTTN_LGL_PRCDNGS_LE</t>
  </si>
  <si>
    <t>Date of initiation of legal proceedings counterparty (LE)</t>
  </si>
  <si>
    <t xml:space="preserve">Date of initiation of legal proceedings counterparty (LE).
Only for Retail portfolios: The date when the hard collection process was initiated for given entity. If the hard collection process is defined on the level of instrument or protection and more instruments or protections with status  "Other legal measures" are linked to the same entity the oldest date is reported. 
</t>
  </si>
  <si>
    <t>Yes - Computed</t>
  </si>
  <si>
    <t>IF E0623_GEST_SIT in (8;9) THEN E0623_FECULTMO</t>
  </si>
  <si>
    <t>EN.008</t>
  </si>
  <si>
    <t>DT_PRFRMNG_STTS_LE</t>
  </si>
  <si>
    <t>Date of performing status</t>
  </si>
  <si>
    <t>The date at which the latest change of the performing status according to Part 17 of Annex V to Implementing Regulation (EU) No 680/2014 occurred. For entities performing from inception this date should be equal to inception date.</t>
  </si>
  <si>
    <t>EN.009</t>
  </si>
  <si>
    <t>DT_RFRNC</t>
  </si>
  <si>
    <t>Reference date.</t>
  </si>
  <si>
    <t>Reference date. The reference date can refer to end-of-month, end-of-quarter or end-of-year. The value is fixed for the entire loan tape and will be defined and communicated by the Head of Mission.</t>
  </si>
  <si>
    <t>EN.010</t>
  </si>
  <si>
    <t>ENTTY_ID</t>
  </si>
  <si>
    <t>VARCHAR2(255)</t>
  </si>
  <si>
    <t>Entity ID</t>
  </si>
  <si>
    <t>An identifier applied by the reporting agent to uniquely identify each counterparty. Each counterparty has a unique and exclusive counterparty identifier. This means that this value will not change over time and can never be used as the counterparty identifier for any other counterparty.</t>
  </si>
  <si>
    <t>EN.011</t>
  </si>
  <si>
    <t>GCC_PRNT_ID</t>
  </si>
  <si>
    <t>Identifier for the parent entity of a group of connected clients</t>
  </si>
  <si>
    <t>The unique identifier of the group of connected clients according to Art 4 para. 39 of Regulation (EU) No 575/2013. If an entity is part of more than one group of connected clients please report the identifier for the most relevant.</t>
  </si>
  <si>
    <t>JM_GRUP_ECONO - G5512_GRUP_ECO</t>
  </si>
  <si>
    <t>EN.012</t>
  </si>
  <si>
    <t>GCC_PRNT_NM</t>
  </si>
  <si>
    <t>Name of the parent entity of a group of connected clients</t>
  </si>
  <si>
    <t>The name of the group of connected clients according to Art 4 para. 39 of Regulation (EU) No 575/2013. If an entity is part of more than one group of connected clients please report the name for the most relevant.</t>
  </si>
  <si>
    <t>JM_GRUP_ECONO - G5512_DGRUPO</t>
  </si>
  <si>
    <t>Report Name of the entity reported in EN.011</t>
  </si>
  <si>
    <t>EN.013</t>
  </si>
  <si>
    <t>INTRNL_SGMNT</t>
  </si>
  <si>
    <t>Internal code for segment/portfolio</t>
  </si>
  <si>
    <t>Internal classification of the bank. Segmentation of the counterpart according to bank-internal definition / nomenclature, e.g. corporate, sme, leverage finance exposure, commercial real estate spv etc..</t>
  </si>
  <si>
    <t>JM_CLIENT_BII - G4093_CLISEGM</t>
  </si>
  <si>
    <t>EN.014</t>
  </si>
  <si>
    <t>INTRNL_UNT</t>
  </si>
  <si>
    <t>Internal code for business line/unit</t>
  </si>
  <si>
    <t>Internal classification of the bank of the obligor administrating business unit, e.g. if the obligor has been transferred to the intensified loan management department it should be flagged as such.</t>
  </si>
  <si>
    <t>EN.015</t>
  </si>
  <si>
    <t>LEI</t>
  </si>
  <si>
    <t>VARCHAR2(20)</t>
  </si>
  <si>
    <t>Legal entity identifier Counterparty</t>
  </si>
  <si>
    <t>Legal entity identifier counterparty.</t>
  </si>
  <si>
    <t>EN.016</t>
  </si>
  <si>
    <t>ENTTY_NM</t>
  </si>
  <si>
    <t>Name Counterparty</t>
  </si>
  <si>
    <t>Name counterparty.</t>
  </si>
  <si>
    <t>EN.017</t>
  </si>
  <si>
    <t>EXTRNL_RTNG_NM</t>
  </si>
  <si>
    <t>Name of external rating agency</t>
  </si>
  <si>
    <t>Name of external rating agency for the external rating at the reference date.</t>
  </si>
  <si>
    <t>JM_CAL_EXT_CL - R9415_COD_AGEN</t>
  </si>
  <si>
    <t>EN.018</t>
  </si>
  <si>
    <t>Classification</t>
  </si>
  <si>
    <t>ACCNTNG_FRMWRK_SL</t>
  </si>
  <si>
    <t>Code List</t>
  </si>
  <si>
    <t>Accounting standard counterparty</t>
  </si>
  <si>
    <t>Accounting standard counterparty.</t>
  </si>
  <si>
    <t>EN.019</t>
  </si>
  <si>
    <t>CR_FLG</t>
  </si>
  <si>
    <t>Y, N</t>
  </si>
  <si>
    <t>Boolean: Y/N</t>
  </si>
  <si>
    <t>Cure flag for entity which was classified as non-performing in the last 1.5 years and is classified as performing at the reference date</t>
  </si>
  <si>
    <t>The entity is to be classified on the reference date under one of the following categories: performing or non-performing, in accordance with Annex V to Implementing Regulation (EU) No 680/2014.</t>
  </si>
  <si>
    <t>IF H0883_IND_CURA = 1 THEN T; ELSE IF H0883_IND_CURA = 0 THEN F; THEN N/A</t>
  </si>
  <si>
    <t>EN.020</t>
  </si>
  <si>
    <t>DCSD</t>
  </si>
  <si>
    <t>Entity deceased</t>
  </si>
  <si>
    <t>Indicator as to whether the Entity has passed away. The data attribute is applicable to natural persons only.</t>
  </si>
  <si>
    <t>EN.021</t>
  </si>
  <si>
    <t>DFLT_STTS</t>
  </si>
  <si>
    <t>Default status of the entity</t>
  </si>
  <si>
    <t>Identification of the default status of the counterparty. Categories describing the motives for which the counterparty can be in default in accordance with Article 178 of Regulation (EU) No 575/2013.
For retail only: If default classification performed on instrument level then Entity is classified as defaulted when at least one instrument is classified as defaulted.
For corporate, SME, CRE and LF: if default classification performed on instrument level then entity level is "not applicable".</t>
  </si>
  <si>
    <t>EN.022</t>
  </si>
  <si>
    <t>DT_EXTRNL_RTNG</t>
  </si>
  <si>
    <t>Date of external rating</t>
  </si>
  <si>
    <t>Date of the most recent external rating, i.e. applicable at the reference date.</t>
  </si>
  <si>
    <t>JM_CAL_EXT_CL - R9415_FECCALIF</t>
  </si>
  <si>
    <t>EN.023</t>
  </si>
  <si>
    <t>DT_INTRNL_RTNG</t>
  </si>
  <si>
    <t>Date of internal rating</t>
  </si>
  <si>
    <t>Date of the most recent internal rating according to Regulation (EU) No 575/2013, i.e. applicable rating as at the reference date. If the rating is assigned on instrument level then provide the rating for the instrument with the highest EAD.</t>
  </si>
  <si>
    <t>JM_CAL_IN_CL - E9954_FECCALI</t>
  </si>
  <si>
    <t>EN.024</t>
  </si>
  <si>
    <t>ECNMC_ACTVTY</t>
  </si>
  <si>
    <t>Economic activity counterparty</t>
  </si>
  <si>
    <t>The level four NACE code in accordance with Regulation (EC) No 1893/2006 is generally reported. If the level four NACE code is not available it may be allowed to report a level three or level two NACE code.</t>
  </si>
  <si>
    <t>EN.025</t>
  </si>
  <si>
    <t>EMPLYMNT_STTS_INTRNL</t>
  </si>
  <si>
    <t>Employment status according to bank-internal classification</t>
  </si>
  <si>
    <t>Employment status according to bank-internal classification.</t>
  </si>
  <si>
    <t>EN.026</t>
  </si>
  <si>
    <t>EMPLYMNT_STTS</t>
  </si>
  <si>
    <t>Employment status (Code List)</t>
  </si>
  <si>
    <t>Employment status.</t>
  </si>
  <si>
    <t>EN.027</t>
  </si>
  <si>
    <t>ENTRPRS_SZ_LE</t>
  </si>
  <si>
    <t>Enterprise size Counterparty (LE)</t>
  </si>
  <si>
    <t>Enterprise size counterparty (LE).
Classification of enterprises by size, in accordance with the Annex to Commission Recommendation 2003/361/EC. However, if the local NCB decides not to request this attribute as part of the AnaC reporting data set then please report "Not applicable".</t>
  </si>
  <si>
    <t>IF ((G5508_NUM_EMPL IS &lt;250 AND &gt;=50) AND ((G5508_IMPFACTM &lt;=50MM) OR (G5508_TOT_ACTI&lt;=43MM))) THEN 2; ELSE IF ((G5508_NUM_EMPL IS &lt;50 AND &gt;=10) AND ((G5508_IMPFACTM &lt;=10MM) OR (G5508_TOT_ACTI&lt;=10MM))) THEN 3; ELSE IF ((G5508_NUM_EMPL IS &lt;10) AND ((G5508_IMPFACTM &lt;=2MM) OR (G5508_TOT_ACTI&lt;=2MM))) THEN 4; ELSE 1</t>
  </si>
  <si>
    <t>EN.028</t>
  </si>
  <si>
    <t>EXTRNL_RTNG</t>
  </si>
  <si>
    <t>External rating</t>
  </si>
  <si>
    <t>External rating at the reference date.</t>
  </si>
  <si>
    <t>R9415_CALIFMAE following the conditions:
1) In those cases in which more than one ECAI provides an external rating:
       - Where two credit assessments are available from nominated ECAIs and the two correspond to different risk weights for a rated item, the higher risk weight shall be assigned
       - Where more than two credit assessments are available from nominated ECAIs for a rated item, the two assessments generating the two lowest risk weights shall be referred to. If the two lowest risk weights are different, the higher risk weight shall be assigned. If the two lowest risk weights are the same, that risk weight shall be assigned
2) If the rating is not available, the unit should report “99999999999” in the Loan Tape. In case, for example, of exposures calculated under the IRB approach, where the external rating does not apply, the expected value is “11111111111”
3) If the client was not part of any applicable portfolio in the prior year, the value informed should be “11111111111”, as not applicable</t>
  </si>
  <si>
    <t>EN.029</t>
  </si>
  <si>
    <t>EXTRNL_RTNG_PRVS</t>
  </si>
  <si>
    <t>External rating T-1</t>
  </si>
  <si>
    <t>External rating one year prior to the reference date.</t>
  </si>
  <si>
    <t>R9415_CALIFMAE having R9415_CALIFMAE one year prior to the reference date and following the conditions:
1) In those cases in which more than one ECAI provides an external rating:
       - Where two credit assessments are available from nominated ECAIs and the two correspond to different risk weights for a rated item, the higher risk weight shall be assigned
       - Where more than two credit assessments are available from nominated ECAIs for a rated item, the two assessments generating the two lowest risk weights shall be referred to. If the two lowest risk weights are different, the higher risk weight shall be assigned. If the two lowest risk weights are the same, that risk weight shall be assigned
2) If the rating is not available, the unit should report “99999999999” in the Loan Tape. In case, for example, of exposures calculated under the IRB approach, where the external rating does not apply, the expected value is “11111111111”
3) If the client was not part of any applicable portfolio in the prior year, the value informed should be “11111111111”, as not applicable</t>
  </si>
  <si>
    <t>EN.030</t>
  </si>
  <si>
    <t>FLG_BNKRPTCY_IN_GRP</t>
  </si>
  <si>
    <t>Any legal entity within the group of connected clients of the debtor (incl. subsidiaries of the debtor) has filed bankruptcy application</t>
  </si>
  <si>
    <t>Report "Y' if any legal entity within the group of connected clients of the debtor (incl. subsidiaries of the debtor) has filed bankruptcy application according to local insolvency law.</t>
  </si>
  <si>
    <t>IF G4093_UTP_CLI = 00001 for any of the related clientes (necessary to identify the Group of the cliente (E1963_GRUP_ECO) and then all the connected clients (E1963_IDNUMCLI) for this Group) THEN Y; ELSE N</t>
  </si>
  <si>
    <t>EN.031</t>
  </si>
  <si>
    <t>FLG_HGH_CDS</t>
  </si>
  <si>
    <t>5Y CDS &gt; 1,000bps over the last 12 months</t>
  </si>
  <si>
    <t>Report "Y" if 5Y CDS &gt; 1,000bps over the last 12 months. The flag would be required to be reported "Y" if the 5y CDS spread of a debtor is at least once greater or equal 1000bps within the last 12 months.</t>
  </si>
  <si>
    <t>EN.032</t>
  </si>
  <si>
    <t>FLG_ISDA_CRDT_EVNT</t>
  </si>
  <si>
    <t>ISDA credit event declared</t>
  </si>
  <si>
    <t xml:space="preserve">The flag would be required to be reported "Y" if a credit event occurred under any ISDA master agreement associated with this debtor. </t>
  </si>
  <si>
    <t>EN.033</t>
  </si>
  <si>
    <t>FLG_NN_ACCRL</t>
  </si>
  <si>
    <t>Credit obligation on non-accrual status</t>
  </si>
  <si>
    <t>Report "Y" if any credit obligation associated to this debtor is set on non-accrual status.</t>
  </si>
  <si>
    <t>EN.034</t>
  </si>
  <si>
    <t>FLG_RQST_BNKRPTCY</t>
  </si>
  <si>
    <t xml:space="preserve">Request by the institution for the obligor's bankruptcy </t>
  </si>
  <si>
    <t>Flag "Y" if bankruptcy proceedings have been initiated by the bank according to local insolvency law, e.g. due to illiquidity, over-indebtedness.</t>
  </si>
  <si>
    <t>EN.035</t>
  </si>
  <si>
    <t>FLG_RQST_DSTRSSD_RSTRCTRNG</t>
  </si>
  <si>
    <t xml:space="preserve">Request for current concession of forbearance measures as defined in EBA/ITS/2013/03 resulting in distressed restructuring of the credit obligation </t>
  </si>
  <si>
    <t>Report "Y" if there is a request for current concession of forbearance measures as defined in EBA/ITS/2013/03 resulting in distressed restructuring of the credit obligation.</t>
  </si>
  <si>
    <t>EN.036</t>
  </si>
  <si>
    <t>FLG_RQST_EMRGNCY_FNDNG</t>
  </si>
  <si>
    <t>Request by the debtor for emergency funding from the bank</t>
  </si>
  <si>
    <t>Report "Y" if there is a request by the debtor for emergency funding from the bank.</t>
  </si>
  <si>
    <t>EN.037</t>
  </si>
  <si>
    <t>FLG_SLL_WTH_LSS</t>
  </si>
  <si>
    <t>Sell of a credit obligation with material credit related economic loss (&gt;= 5%)</t>
  </si>
  <si>
    <t>Report "Y" if there is a sell of a credit obligation with material credit related economic loss (&gt;= 5%) according to EBA/GL/2016/07 para 44.</t>
  </si>
  <si>
    <t>IF T2437_SITGESND = 23 THEN Y; ELSE N</t>
  </si>
  <si>
    <t>EN.038</t>
  </si>
  <si>
    <t>INCM_SC</t>
  </si>
  <si>
    <t>Income self-certified</t>
  </si>
  <si>
    <t>The data field applicable to natural persons only should be flagged "Y" if the counterpart has no other source of income certification than its own personal declaration, e.g. absence of payroll or tax declaration forms.</t>
  </si>
  <si>
    <t>IF H0780_INGCLIEN is informed and H0780_FLGACSLD = 1 THEN Y; ELSE N</t>
  </si>
  <si>
    <t>EN.039</t>
  </si>
  <si>
    <t>INTRNL_RTNG</t>
  </si>
  <si>
    <t>Internal rating at reference date</t>
  </si>
  <si>
    <t>Internal rating at the reference date according to Regulation (EU) No 575/2013.
Please also add in sheet "Code List" the list of values used, i.e. bank-internal masterscale.</t>
  </si>
  <si>
    <t>EN.040</t>
  </si>
  <si>
    <t>INTRNL_RTNG_PRVS</t>
  </si>
  <si>
    <t>Previous internal rating</t>
  </si>
  <si>
    <t>Internal rating according to Regulation (EU) No 575/2013 one year prior to the reference date.</t>
  </si>
  <si>
    <t>EN.041</t>
  </si>
  <si>
    <t>LGL_PRCDNG_STTS_LE</t>
  </si>
  <si>
    <t>Legal proceedings status Counterparty (LE)</t>
  </si>
  <si>
    <t xml:space="preserve">Legal proceedings status Counterparty (LE).
Only for Retail portfolios: Status "No legal action taken" or "Other legal measures" are possible. Status "Other legal measures" is reported when the hard collection process was initiated at the level of a given entity or at the level of any associated instrument or protection of this entity.
</t>
  </si>
  <si>
    <t>IF T1824_GEST_SIT in (8) THEN LGL_PRCDNG_STTS = 2; ELSE IF G4093_UTP_CLI = 00001 THEN 3;  ELSE 1</t>
  </si>
  <si>
    <t>EN.042</t>
  </si>
  <si>
    <t>OWND_BY_SPNSR</t>
  </si>
  <si>
    <t>&gt;50% owned by a sponsor as per ECB Guidance on leveraged transactions</t>
  </si>
  <si>
    <t>In accordance the ECB Guidance on Leveraged Transactions. As per point (37) of Article 4(1) of Regulation (EU) No 575/2013, a financial sponsor is deemed to be the owner if it controls or owns more than 50% of the borrower’s equity. The term “financial sponsor” refers to an investment firm that undertakes private equity investments in and/or leveraged buyouts of companies with the intention of exiting those investments on a mediumterm basis</t>
  </si>
  <si>
    <t>EN.043</t>
  </si>
  <si>
    <t>PRFRMNG_STTS_LE</t>
  </si>
  <si>
    <t>Performing status</t>
  </si>
  <si>
    <t>Performing status.
Identification of the performing status of the counterparty. Categories describing the motives for which the counterparty can be non-performing in accordance with Implementing Technical Standard (ITS) on Supervisory Reporting (Forbearance and non-performing exposures).
For retail only: If performing classification performed on instrument level then Entity is classified as non-performing when at least one instrument is classified as non-performing
For corporate, SME, CRE and LF: if default classification performed on instrument level then entity level is "not applicable".</t>
  </si>
  <si>
    <t>EN.044</t>
  </si>
  <si>
    <t>RTNG_MTHD</t>
  </si>
  <si>
    <t>Rating method</t>
  </si>
  <si>
    <t>Internal definition and name of the rating/scoring model.</t>
  </si>
  <si>
    <t>JM_CAL_IN_CL - E9954_TIPMODEL</t>
  </si>
  <si>
    <t>EN.045</t>
  </si>
  <si>
    <t>RTNG_SCL</t>
  </si>
  <si>
    <t>Corporation</t>
  </si>
  <si>
    <t>Rating scale</t>
  </si>
  <si>
    <t>Internal name and definition of the rating master scale. It should be mapped to the assigned rating, i.e. INTRNL_RTNG.</t>
  </si>
  <si>
    <t>EN.046</t>
  </si>
  <si>
    <t>WTCH_LST</t>
  </si>
  <si>
    <t>Debtor on watch-list (Y/N)</t>
  </si>
  <si>
    <t>Report "Y" when the debtor has been added to an internal watch list.</t>
  </si>
  <si>
    <t>IF R8182_EST_FEVE in (02;03;04;05;06;08) THEN Y; ELSE N</t>
  </si>
  <si>
    <t>EN.047</t>
  </si>
  <si>
    <t>SNGL_PRPS_VHCL</t>
  </si>
  <si>
    <t>Type of SPV debtor</t>
  </si>
  <si>
    <t>In the CRE development business the debtor can be either a 'SPV with recourse' or a 'SPV without recourse' or an 'Other type of entity'.</t>
  </si>
  <si>
    <t>EN.048</t>
  </si>
  <si>
    <t>Financial Information</t>
  </si>
  <si>
    <t>GRP_EBITDA</t>
  </si>
  <si>
    <t>FLOAT 2 decimal places</t>
  </si>
  <si>
    <t>Use decimal point, no thousands seperator</t>
  </si>
  <si>
    <t>Group's EBITDA at most recent reported figures</t>
  </si>
  <si>
    <t>EBITDA at latest reported figures. Please report level of the consolidated financial statement of the group accoding to the applicable accounting standard.</t>
  </si>
  <si>
    <t>EN.049</t>
  </si>
  <si>
    <t>GRP_EQTY</t>
  </si>
  <si>
    <t>Group's equity at most recent reported figures</t>
  </si>
  <si>
    <t>Equity at most recent reported figures. Please report level of the consolidated financial statement of the group accoding to the applicable accounting standard.</t>
  </si>
  <si>
    <t>EN.050</t>
  </si>
  <si>
    <t>GRP_NT_DBT</t>
  </si>
  <si>
    <t>Total net debt at most recent reported figures</t>
  </si>
  <si>
    <t>Total net debt at most recent reported figures. Please report level of the consolidated financial statement of the group accoding to the applicable accounting standard.</t>
  </si>
  <si>
    <t>EN.051</t>
  </si>
  <si>
    <t>ANNL_TRNVR_LE</t>
  </si>
  <si>
    <t>Annual turnover counterparty (LE)</t>
  </si>
  <si>
    <t>Annual sales volume net of all discounts and sales taxes in accordance with Recommendation 2003/361/EC. Equivalent to the concept of 'total annual sales' in Article 153(4) of Regulation (EU) No 575/2013. Please report on solo entity level unless advised otherwise.</t>
  </si>
  <si>
    <t>EN.052</t>
  </si>
  <si>
    <t>ANNL_TRNVR_PRVS</t>
  </si>
  <si>
    <t>Annual turnover counterparty (LE) at previous reporting</t>
  </si>
  <si>
    <t>EN.053</t>
  </si>
  <si>
    <t>CAPEX</t>
  </si>
  <si>
    <t>Capital expenditures at most recent reported figures</t>
  </si>
  <si>
    <t>Capital expenditures at most recent reported figures. Please report on solo entity level unless advised otherwise.</t>
  </si>
  <si>
    <t>EN.054</t>
  </si>
  <si>
    <t>CAPEX_PRVS</t>
  </si>
  <si>
    <t>Capital expenditures at previous reported figures</t>
  </si>
  <si>
    <t>Capital expenditures at previous reported figures. Please report on solo entity level unless advised otherwise.</t>
  </si>
  <si>
    <t>EN.055</t>
  </si>
  <si>
    <t>CLLCTN_MD</t>
  </si>
  <si>
    <t>Collection mode</t>
  </si>
  <si>
    <t>Collection mode. Hard collection would be similar to foreclosure proceedings while soft collection means to call the collateral without any legal proceedings.</t>
  </si>
  <si>
    <t>EN.056</t>
  </si>
  <si>
    <t>CSH</t>
  </si>
  <si>
    <t>Cash and cash equivalents at most recent reported figures</t>
  </si>
  <si>
    <t>Cash and cash equivalents at most recent reported figures. Please report on solo entity level unless advised otherwise.</t>
  </si>
  <si>
    <t>EN.057</t>
  </si>
  <si>
    <t>CSH_PRVS</t>
  </si>
  <si>
    <t>Cash and cash equivalents at previous reported figures</t>
  </si>
  <si>
    <t>Cash and cash equivalents at previous reported figures. Please report on solo entity level unless advised otherwise.</t>
  </si>
  <si>
    <t>EN.058</t>
  </si>
  <si>
    <t>EBITDA</t>
  </si>
  <si>
    <t>EBITDA at latest reported figures</t>
  </si>
  <si>
    <t>EBITDA at latest reported figures. Please report on solo entity level unless advised otherwise.</t>
  </si>
  <si>
    <t>EN.059</t>
  </si>
  <si>
    <t>EBITDA_PRVS</t>
  </si>
  <si>
    <t>EBITDA at previous reported figures</t>
  </si>
  <si>
    <t>EBITDA at previous reported figures. Please report on solo entity level unless advised otherwise.</t>
  </si>
  <si>
    <t>EN.060</t>
  </si>
  <si>
    <t>EQTY</t>
  </si>
  <si>
    <t>Equity at most recent reported figures</t>
  </si>
  <si>
    <t>Equity at most recent reported figures. Please report on solo entity level unless advised otherwise.</t>
  </si>
  <si>
    <t>EN.061</t>
  </si>
  <si>
    <t>EQTY_PRVS</t>
  </si>
  <si>
    <t>Equity at previous reported figures</t>
  </si>
  <si>
    <t>Equity at previous reported figures. Please report on solo entity level unless advised otherwise.</t>
  </si>
  <si>
    <t>EN.062</t>
  </si>
  <si>
    <t>GRP_TTL_DBT</t>
  </si>
  <si>
    <t>Group's total debt at most recent reported figures</t>
  </si>
  <si>
    <t>Total debt at most recent reported figures. Please report level of the consolidated financial statement of the group accoding to the applicable accounting standard.</t>
  </si>
  <si>
    <t>EN.063</t>
  </si>
  <si>
    <t>GDWILL</t>
  </si>
  <si>
    <t>Goodwill at most recent reported figures</t>
  </si>
  <si>
    <t>Goodwill at most recent reported figures. Please report on solo entity level unless advised otherwise.</t>
  </si>
  <si>
    <t>EN.064</t>
  </si>
  <si>
    <t>GDWILL_PRVS</t>
  </si>
  <si>
    <t>Goodwill at previous reported figures</t>
  </si>
  <si>
    <t>Goodwill at previous reported figures. Please report on solo entity level unless advised otherwise.</t>
  </si>
  <si>
    <t>EN.065</t>
  </si>
  <si>
    <t>LTI</t>
  </si>
  <si>
    <t>FLOAT 6 decimal places</t>
  </si>
  <si>
    <t>Loan to income (LTI)</t>
  </si>
  <si>
    <t>Please report the latest available information according to bank-internal definition. If there was no update since initial loan origination report the information available as at loan origination. Please also add an explanatory note on sheet "Notes" on how the calculation is done.</t>
  </si>
  <si>
    <t>EN.066</t>
  </si>
  <si>
    <t>LVRG</t>
  </si>
  <si>
    <t>Leverage (net debt / EBITDA) at most recent reported figures</t>
  </si>
  <si>
    <t>Leverage ratio calculated as net debt divided by EBITDA at most recent reported figures.</t>
  </si>
  <si>
    <t>EN.067</t>
  </si>
  <si>
    <t>LVRG_PRVS</t>
  </si>
  <si>
    <t>Leverage (net debt / EBITDA) at previous reported figures</t>
  </si>
  <si>
    <t>Leverage ratio calculated as net debt divided by EBITDA at previous reported figures.</t>
  </si>
  <si>
    <t>EN.068</t>
  </si>
  <si>
    <t>MNTHL_INCM</t>
  </si>
  <si>
    <t>Monthly income - other</t>
  </si>
  <si>
    <t>Net other income after tax and any other social insurance deductions according to tax declaration. Please report on solo entity level unless advised otherwise.</t>
  </si>
  <si>
    <t>EN.069</t>
  </si>
  <si>
    <t>MNTHL_INCM_SLR</t>
  </si>
  <si>
    <t>Monthly income - salary</t>
  </si>
  <si>
    <t>Net salary income after tax and any other social insurance deductions according to tax declaration. Please report on solo entity level unless advised otherwise.</t>
  </si>
  <si>
    <t>EN.070</t>
  </si>
  <si>
    <t>MNTHL_TRNVR</t>
  </si>
  <si>
    <t>Average monthly turnover to bank account(s)</t>
  </si>
  <si>
    <t>Total turnover for last 12 months / 12. Please report on solo entity level unless advised otherwise.</t>
  </si>
  <si>
    <t>H0780_INGCLIEN/12</t>
  </si>
  <si>
    <t>EN.071</t>
  </si>
  <si>
    <t>NT_INCM</t>
  </si>
  <si>
    <t>Net income at most recent reported figures</t>
  </si>
  <si>
    <t>Net income at most recent reported figures after tax and any other social insurance deductions according to tax declaration. Please report on solo entity level unless advised otherwise.</t>
  </si>
  <si>
    <t>EN.072</t>
  </si>
  <si>
    <t>NT_INCM_PRVS</t>
  </si>
  <si>
    <t>Net income at previous reported figures</t>
  </si>
  <si>
    <t>Net income at previous reported figures after tax and any other social insurance deductions according to tax declaration. Please report on solo entity level unless advised otherwise.</t>
  </si>
  <si>
    <t>EN.073</t>
  </si>
  <si>
    <t>TTL_DBT</t>
  </si>
  <si>
    <t>Total debt at latest most recent reported figures</t>
  </si>
  <si>
    <t>The term “Total Debt” refers to total committed debt (including drawn and undrawn debt) and any additional debt that loan agreements may permit. Committed undrawn liquidity facilities, according to the Basel Committee on Banking Supervision’s Basel III: The Liquidity Coverage Ratio and liquidity risk monitoring tools (BCBS 238), are excluded. Cash should not be netted against debt. Please report on solo entity level unless advised otherwise.</t>
  </si>
  <si>
    <t>EN.074</t>
  </si>
  <si>
    <t>TTL_DBT_PRVS</t>
  </si>
  <si>
    <t>Total debt at previous reported figures</t>
  </si>
  <si>
    <t>The term “Total Debt” refers to total committed debt (including drawn and undrawn debt) and any additional debt that loan agreements may permit. Committed undrawn liquidity facilities, according to the Basel Committee on Banking Supervision’s Basel III: The Liquidity Coverage Ratio and liquidity risk monitoring tools (BCBS 238), are excluded. Cash should not be netted against debt. Please report on solo entity level unless advised otherwise. Please report the previous total debt.</t>
  </si>
  <si>
    <t>EN.075</t>
  </si>
  <si>
    <t>TTL_INTRST_PD</t>
  </si>
  <si>
    <t>Debtor's total interest paid  (over period for one year)</t>
  </si>
  <si>
    <t>Debtor's total interest paid  (over period for one year). Please report on solo entity level unless advised otherwise.</t>
  </si>
  <si>
    <t>EN.076</t>
  </si>
  <si>
    <t>TTL_LVRG_RT</t>
  </si>
  <si>
    <t>Leverage ratio as per ECB Guidance on leveraged transactions; total debt vs EBITDA</t>
  </si>
  <si>
    <t>In accordance with "Guidance on leveraged transactions". The leverage multiple should be calculated at the consolidated borrower level, unless group support cannot be assumed in case the borrowing entity is experiencing financial difficulties. Any deviation from the calculation at consolidated level should be justified and documented on a case-by-case basis.
Leverage ratio is calculated as Total Debt / EBITDA.
"Total Debt” refers to total committed debt (including drawn and undrawn debt) and any additional debt that loan agreements may permit. Committed undrawn liquidity facilities are excluded. Cash should not be netted against debt. For the purpose of leverage multiple, when calculated at transaction origination, the pro forma financial statements of the resulting company after the transaction has taken place should be considered.
EBITDA refers to earnings before interest, tax, depreciation and amortisation. Any enhancements/adjustments to EBITDA should be duly justified and reviewed by a function independent of the front office function.</t>
  </si>
  <si>
    <t>EN.077</t>
  </si>
  <si>
    <t>TTL_LVRG_RT_PRVS</t>
  </si>
  <si>
    <t>Leverage ratio  at previous reported figures as per ECB Guidance on leveraged transactions; total debt vs EBITDA</t>
  </si>
  <si>
    <t>In accordance with "Guidance on leveraged transactions". The leverage multiple should be calculated at the consolidated borrower level, unless group support cannot be assumed in case the borrowing entity is experiencing financial difficulties. Any deviation from the calculation at consolidated level should be justified and documented on a case-by-case basis.
Leverage ratio is calculated as Total Debt / EBITDA.
"Total Debt” refers to total committed debt (including drawn and undrawn debt) and any additional debt that loan agreements may permit. Committed undrawn liquidity facilities are excluded. Cash should not be netted against debt. For the purpose of leverage multiple, when calculated at transaction origination, the pro forma financial statements of the resulting company after the transaction has taken place should be considered.
EBITDA refers to earnings before interest, tax, depreciation and amortisation. Any enhancements/adjustments to EBITDA should be duly justified and reviewed by a function independent of the front office function.
Please report the previous total leverage ratio</t>
  </si>
  <si>
    <t>EN.078</t>
  </si>
  <si>
    <t>Indicators</t>
  </si>
  <si>
    <t>DBT_RPYMNT_CPCTY_SNR_DBT</t>
  </si>
  <si>
    <t>Debt repayment capacity of senior secured debt as per ECB Guidance on leveraged transactions</t>
  </si>
  <si>
    <t>Under base sensitivity assessment case; In accordance with "Guidance on leveraged transactions". An adequate repayment capacity is defined as the ability of the leveraged borrower to fully amortise senior secured debt or repay at least 50% of Total Debt over a period of five to seven years.</t>
  </si>
  <si>
    <t>EN.079</t>
  </si>
  <si>
    <t>DBT_RPYMNT_CPCTY_TTL</t>
  </si>
  <si>
    <t>Debt repayment capacity of the total debt as per ECB Guidance on leveraged transactions</t>
  </si>
  <si>
    <t>EN.080</t>
  </si>
  <si>
    <t>DBT_SRVC_RT</t>
  </si>
  <si>
    <t>Debt service coverage ratio</t>
  </si>
  <si>
    <t>According to internal definition.
Please also add an explanatory note on sheet "Notes" on how the calculation is done.</t>
  </si>
  <si>
    <t>EN.081</t>
  </si>
  <si>
    <t>DBT_SRVC_RT_12M</t>
  </si>
  <si>
    <t>Debt service coverage ratio at the most recent reported figures prior to the reference date</t>
  </si>
  <si>
    <t>See notes on DBT_SRVC_RT.</t>
  </si>
  <si>
    <t>EN.082</t>
  </si>
  <si>
    <t>PD_CRR_RD</t>
  </si>
  <si>
    <t>Probability of default according to CRR at reference date</t>
  </si>
  <si>
    <t>The PD over one year, determined in accordance with Articles 160, 163, 179 and 180 of Regulation (EU) No 575/2013.
If the PD is calculated on obligor level then provide the obligor PD. If the PD is calculated on instruments level please provide an EAD weighted average.</t>
  </si>
  <si>
    <t>SUM for all of client's contracts (G7162_IN_PDINI * EAD) / Total Client EAD</t>
  </si>
  <si>
    <t>EAD refers to the LT data field IN.074</t>
  </si>
  <si>
    <t>EN.083</t>
  </si>
  <si>
    <t>PD_IFRS9_12M_RD</t>
  </si>
  <si>
    <t>12-month PD at reporting date according to IFRS 9</t>
  </si>
  <si>
    <t>12-month PD at reference date which is used by the bank for computation of stage 1 ECL or for SICR assessment if bank use 12 month proxy for staging. If the PD is calculated on instruments level please provide an EAD weighted average.</t>
  </si>
  <si>
    <t>SUM for all of client's contracts (T2417_P12IFRS9 * T2417_EADIFRS9) / Total Client T2417_EADIFRS9</t>
  </si>
  <si>
    <t>EN.084</t>
  </si>
  <si>
    <t>PD_IFRS9_12M_RD_T1</t>
  </si>
  <si>
    <t>12-month PD one year prior to the reporting date according to IFRS 9</t>
  </si>
  <si>
    <t>12-month PD one year prior to the reference date which is used by the bank for the computation of stage 1 ECL or for SICR assessment if the bank uses a 12 month proxy for staging. If the PD is calculated on instruments level please provide an EAD weighted average.</t>
  </si>
  <si>
    <t>To be computed using one year previous to the reference date information. (for example, if Reference date: 03/30/2022, information as of 03/30/2021 is used to compute this field)</t>
  </si>
  <si>
    <t>EN.085</t>
  </si>
  <si>
    <t>TAX_ID</t>
  </si>
  <si>
    <t>Fiscal ID</t>
  </si>
  <si>
    <t>Fiscal ID (CIF, NIF, Tax number, etc).</t>
  </si>
  <si>
    <t>JM_CLIENT_BII - G4093_CODIDPER</t>
  </si>
  <si>
    <t>EN.086</t>
  </si>
  <si>
    <t>ANNL_TRNVR_LE_BDR</t>
  </si>
  <si>
    <t>BDR Annual turnover counterparty (LE)</t>
  </si>
  <si>
    <t>BDR Annual sales volume net of all discounts and sales taxes in accordance with Recommendation 2003/361/EC. Equivalent to the concept of 'total annual sales' in Article 153(4) of Regulation (EU) No 575/2013. Please report on solo entity level unless advised otherwise.</t>
  </si>
  <si>
    <t>JM_CLIEN_JURI - G5508_IMPFACTM</t>
  </si>
  <si>
    <t>EN.087</t>
  </si>
  <si>
    <t>ANNL_TRNVR_PRVS_BDR</t>
  </si>
  <si>
    <t>BDR Annual turnover counterparty (LE) at previous reporting</t>
  </si>
  <si>
    <t>To be computed using the one at previous reporting</t>
  </si>
  <si>
    <t>EN.088</t>
  </si>
  <si>
    <t>OSI_ID</t>
  </si>
  <si>
    <t>On-site inspection identifier</t>
  </si>
  <si>
    <t>The identifier that is used to identify an on-site inspection as is referenced in the on-site inspection notification letter head. The value typically follows the convention: "OSI-YYYY-JSTCD-01234".</t>
  </si>
  <si>
    <t>EN.089</t>
  </si>
  <si>
    <t>PD_CRR_RD_T1</t>
  </si>
  <si>
    <t>Probability of default according to CRR one year prior to the reference date</t>
  </si>
  <si>
    <t>EAD refers to the LT data field IN.074
Report PD one year previous to the reference date. (for example, if Reference date: 03/30/2022, the PD as of 03/30/2021 is reported in this field)</t>
  </si>
  <si>
    <t>EN.090</t>
  </si>
  <si>
    <t>EC_GRP_ID</t>
  </si>
  <si>
    <t>Economic (financial) Group ID</t>
  </si>
  <si>
    <t>The unit should report the unique identifier of the economic group (ultimate parent entity) of the counterparty.</t>
  </si>
  <si>
    <t>EN.091</t>
  </si>
  <si>
    <t>EC_GRP_NM</t>
  </si>
  <si>
    <t>Economic (Financial) Group Name</t>
  </si>
  <si>
    <t>The unit should report the legal/official name of the ultimate parent entity of the counterparty’s economic group</t>
  </si>
  <si>
    <t>EN.092</t>
  </si>
  <si>
    <t>PST_CD</t>
  </si>
  <si>
    <t>Post code / ZIP</t>
  </si>
  <si>
    <t>Post code / ZIP.</t>
  </si>
  <si>
    <t>EN.093</t>
  </si>
  <si>
    <t>ESG_SBSCTR</t>
  </si>
  <si>
    <t>ESG Subsector</t>
  </si>
  <si>
    <t>ESG Subsector is a breakdown of NOPER Annex Segments (General governments and Other Financial Corporation)</t>
  </si>
  <si>
    <t>EN.094</t>
  </si>
  <si>
    <t>NACE_ESG</t>
  </si>
  <si>
    <t>Economic activity counterparty ESG</t>
  </si>
  <si>
    <t>The level four NACE code in accordance with Regulation (EC) No 1893/2006 is generally reported but following the Pilar 3 ESG EBA Guidelines criteria for the NACE allocation.</t>
  </si>
  <si>
    <t>EN.095</t>
  </si>
  <si>
    <t>TTL_LBLTY</t>
  </si>
  <si>
    <t>Total Liabilities at latest most recent reported figures</t>
  </si>
  <si>
    <t>Counterparty’s total liabilities according to its annual financial statements at most recent reported figures</t>
  </si>
  <si>
    <t>EN.096</t>
  </si>
  <si>
    <t>TXNMY_ELGBL_CAPEX_CCM</t>
  </si>
  <si>
    <t>Taxonomy-eligible CAPEX (CCM) Ratio</t>
  </si>
  <si>
    <t xml:space="preserve">Counterparty’s reported proportion of CAPEX eligible according to European Taxonomy and that might make a substantial contribution to an environmental objective of ‘Climate Change Mitigation’. </t>
  </si>
  <si>
    <t>EN.097</t>
  </si>
  <si>
    <t>TXNMY_ELGBL_TRNVR_CCM</t>
  </si>
  <si>
    <t>Taxonomy-eligible Turnover (CCM) Ratio</t>
  </si>
  <si>
    <t xml:space="preserve">Counterparty’s reported proportion of Turnover eligible according to European Taxonomy and that might make a substantial contribution to an environmental objective of ‘Climate Change Mitigation’. </t>
  </si>
  <si>
    <t>EN.098</t>
  </si>
  <si>
    <t>TXNMY_ELGBL_CAPEX_CCA</t>
  </si>
  <si>
    <t>Taxonomy-eligible CAPEX (CCA) Ratio</t>
  </si>
  <si>
    <t xml:space="preserve">Counterparty’s reported proportion of CAPEX eligible according to European Taxonomy and that might make a substantial contribution to an environmental objective of ‘Climate Change Adaptation’. </t>
  </si>
  <si>
    <t>EN.099</t>
  </si>
  <si>
    <t>TXNMY_ELGBL_TRNVR_CCA</t>
  </si>
  <si>
    <t>Taxonomy-eligible Turnover (CCA) Ratio</t>
  </si>
  <si>
    <t>Counterparty’s reported proportion of Turnover eligible according to European Taxonomy and that might make a substantial contribution to an environmental objective of ‘Climate Change Adaptation’</t>
  </si>
  <si>
    <t>EN.100</t>
  </si>
  <si>
    <t>ENBLNG_CAPEX_CCM</t>
  </si>
  <si>
    <t>Taxonomy-aligned CAPEX (CCM) - Enabling Ratio</t>
  </si>
  <si>
    <t>Counterparty’s proportion of CAPEX that is Taxonomy-aligned under CCM objective and that enables other activities to make a substantial contribution to one or more of these objectives.</t>
  </si>
  <si>
    <t>EN.101</t>
  </si>
  <si>
    <t>ENBLNG_CAPEX_CCA</t>
  </si>
  <si>
    <t>Taxonomy-aligned CAPEX (CCA) - Enabling Ratio</t>
  </si>
  <si>
    <t>Counterparty’s proportion of CAPEX that is Taxonomy-aligned under CCA objective and that enables other activities to make a substantial contribution to one or more of these objectives.</t>
  </si>
  <si>
    <t>EN.102</t>
  </si>
  <si>
    <t>TRNSTNL_CAPEX</t>
  </si>
  <si>
    <t>Taxonomy-aligned CAPEX (CCM) - Transitional Ratio</t>
  </si>
  <si>
    <t>Counterparty’s proportion of CAPEX that is Taxonomy-aligned under CCM objective and dedicated to transition activities.</t>
  </si>
  <si>
    <t>EN.103</t>
  </si>
  <si>
    <t>PURE_CAPEX_CCM</t>
  </si>
  <si>
    <t>Taxonomy-aligned CAPEX (CCM) - Pure Ratio</t>
  </si>
  <si>
    <t>Counterparty’s proportion of CAPEX that is Taxonomy-aligned under CCM objective and contributes substantially to the objective of climate change mitigation</t>
  </si>
  <si>
    <t>EN.104</t>
  </si>
  <si>
    <t>PURE_CAPEX_CCA</t>
  </si>
  <si>
    <t>Taxonomy-aligned CAPEX (CCA) - Pure Ratio</t>
  </si>
  <si>
    <t>Counterparty’s proportion of CAPEX that is Taxonomy-aligned under CCA objective and contributes substantially to the objective of climate change adaptation</t>
  </si>
  <si>
    <t>EN.105</t>
  </si>
  <si>
    <t>ENBLNG_TRNVR_CCM</t>
  </si>
  <si>
    <t>Taxonomy-aligned Turnover (CCM) - Enabling Ratio</t>
  </si>
  <si>
    <t>Counterparty’s proportion of Turnover that is Taxonomy-aligned under CCM objective and that enables other activities to make a substantial contribution to one or more of these objectives.</t>
  </si>
  <si>
    <t>EN.106</t>
  </si>
  <si>
    <t>ENBLNG_TRNVR_CCA</t>
  </si>
  <si>
    <t>Taxonomy-aligned Turnover (CCA) - Enabling Ratio</t>
  </si>
  <si>
    <t>Counterparty’s proportion of Turnover that is Taxonomy-aligned under CCA objective and that enables other activities to make a substantial contribution to one or more of these objectives.</t>
  </si>
  <si>
    <t>EN.107</t>
  </si>
  <si>
    <t>TRNSTNL_TRNVR</t>
  </si>
  <si>
    <t>Taxonomy-aligned Turnover (CCM) - Transitional Ratio</t>
  </si>
  <si>
    <t>Counterparty’s proportion of Turnover that is Taxonomy-aligned under CCM objective and dedicated to transition activities.</t>
  </si>
  <si>
    <t>EN.108</t>
  </si>
  <si>
    <t>PURE_TRNVR_CCM</t>
  </si>
  <si>
    <t>Taxonomy-aligned turnover (CCM) - Pure Ratio</t>
  </si>
  <si>
    <t>Counterparty’s proportion of turnover that is Taxonomy-aligned under CCM objective and contributes substantially to the objective of climate change mitigation</t>
  </si>
  <si>
    <t>EN.109</t>
  </si>
  <si>
    <t>PURE_TRNVR_CCA</t>
  </si>
  <si>
    <t>Taxonomy-aligned turnover (CCA) - Pure Ratio</t>
  </si>
  <si>
    <t>Counterparty’s proportion of turnover that is Taxonomy-aligned under CCA objective and contributes substantially to the objective of climate change adaptation</t>
  </si>
  <si>
    <t>EN.110</t>
  </si>
  <si>
    <t>FLG_CSRD_APPLCBLTY</t>
  </si>
  <si>
    <t>Flag of CSRD applicability at counterparty level</t>
  </si>
  <si>
    <t>The Corporate Sustainability Reporting Directive (CSRD) requires a progressive certain amount of companies to disclose information on the way they operate and manage social and environmental challenges. The purpose of the “flag of CSRD applicability at counterparty level” is to identify which counterparties qualify to be subject to disclose a Non-Financial Report.</t>
  </si>
  <si>
    <t>EN.111</t>
  </si>
  <si>
    <t>FLG_GRP_CSRD_APPLCBLTY</t>
  </si>
  <si>
    <t>Flag of CSRD applicability at Group Level</t>
  </si>
  <si>
    <t>The Corporate Sustainability Reporting Directive (CSRD) requires a progressive certain amount of companies to disclose information on the way they operate and manage social and environmental challenges. The purpose of the “flag of CSRD applicability at group level” is to identify which Groups qualify to be subject to disclose a Non-Financial Report.</t>
  </si>
  <si>
    <t>EN.112</t>
  </si>
  <si>
    <t>Issuer identification</t>
  </si>
  <si>
    <t>ISIN</t>
  </si>
  <si>
    <t>VARCHAR(12)</t>
  </si>
  <si>
    <t>International Securities Identification Number (ISIN) at entity level.</t>
  </si>
  <si>
    <t>EN.113</t>
  </si>
  <si>
    <t>GRP_ANNL_TRNVR_LE</t>
  </si>
  <si>
    <t>Group's annual turnover (LE)</t>
  </si>
  <si>
    <t>Annual sales volume net of all discounts and sales taxes in accordance with Recommendation 2003/361/EC. Equivalent to the concept of 'total annual sales' in Article 153(4) of Regulation (EU) No 575/2013. Please report at group level</t>
  </si>
  <si>
    <t>EN.114</t>
  </si>
  <si>
    <t>GRP_TTL_LBLTY</t>
  </si>
  <si>
    <t>Group's total liability at most recent reported figures</t>
  </si>
  <si>
    <t>Total liability at most recent reported figures. Please report level of the consolidated financial statement of the group accoding to the applicable accounting standard.</t>
  </si>
  <si>
    <t>EN.115</t>
  </si>
  <si>
    <t>CNTRPRTY_EMSSNS_SCP1</t>
  </si>
  <si>
    <t>Counterparty's emissions scope 1</t>
  </si>
  <si>
    <t>Scope 1 emissions corresponding to the Counterparty</t>
  </si>
  <si>
    <t>EN.116</t>
  </si>
  <si>
    <t>CNTRPRTY_EMSSNS_SCP2</t>
  </si>
  <si>
    <t>Counterparty's emissions scope 2</t>
  </si>
  <si>
    <t>Scope 2 emissions corresponding to the Counterparty</t>
  </si>
  <si>
    <t>EN.117</t>
  </si>
  <si>
    <t>CNTRPRTY_EMSSNS_SCP3</t>
  </si>
  <si>
    <t>Counterparty's emissions scope 3</t>
  </si>
  <si>
    <t>Scope 3 emissions corresponding to the Counterparty</t>
  </si>
  <si>
    <t>EN.118</t>
  </si>
  <si>
    <t>FLG_EXCLDD_EU_PRS_ALGND_BNCHMRK</t>
  </si>
  <si>
    <t>Flag Excluded from EU Paris-aligned benchmark </t>
  </si>
  <si>
    <t>This flag allows to identify whether the entity is excluded from the EU Paris-aligned benchmark</t>
  </si>
  <si>
    <t>EN.119</t>
  </si>
  <si>
    <t>GRP_EMSSNS_SCP1</t>
  </si>
  <si>
    <t>Group's emissions scope 1</t>
  </si>
  <si>
    <t>Scope 1 emissions corresponding to the Group</t>
  </si>
  <si>
    <t>EN.120</t>
  </si>
  <si>
    <t>GRP_EMSSNS_SCP2</t>
  </si>
  <si>
    <t>Group's emissions scope 2</t>
  </si>
  <si>
    <t>Scope 2 emissions corresponding to the Group</t>
  </si>
  <si>
    <t>EN.121</t>
  </si>
  <si>
    <t>GRP_EMSSNS_SCP3</t>
  </si>
  <si>
    <t>Group's emissions scope 3</t>
  </si>
  <si>
    <t>Scope 3 emissions corresponding to the Group</t>
  </si>
  <si>
    <t>EN.122</t>
  </si>
  <si>
    <t>FLG_ACT_PHYSCL_RSK</t>
  </si>
  <si>
    <t>Flag Acute Physical Risk at entity level</t>
  </si>
  <si>
    <t>This flag allows to identify whether the informing society has Acute physical risk or not (Acute physical risks refer to those that are event-driven, including increased severity of extreme weather events, such as cyclones, hurricanes, or floods.)</t>
  </si>
  <si>
    <t>EN.123</t>
  </si>
  <si>
    <t>FLG_CHRNC_PHYSCL_RSK</t>
  </si>
  <si>
    <t>Flag Chronic Physical Risk at entity level</t>
  </si>
  <si>
    <t>This flag allows to identify whether the informing society has Chronic physical risk or not (Chronic physical risks refer to longer-term shifts in climate patterns (e.g., sustained higher temperatures) that may cause sea level rise or chronic heat waves.)</t>
  </si>
  <si>
    <t>EN.124</t>
  </si>
  <si>
    <t>GRP_ECNMC_ACTVTY</t>
  </si>
  <si>
    <t>Group's economic activity</t>
  </si>
  <si>
    <t>NACE (level 4) classification at Group Level (Ultimate parent company)</t>
  </si>
  <si>
    <t>EN.125</t>
  </si>
  <si>
    <t>PRSN_TYP</t>
  </si>
  <si>
    <t>Type of person</t>
  </si>
  <si>
    <t>Identification of whether the client is a natural or legal person</t>
  </si>
  <si>
    <t>EN.126</t>
  </si>
  <si>
    <t>FR_CSH_FLW</t>
  </si>
  <si>
    <t>Free Cash Flow</t>
  </si>
  <si>
    <t>Non-retail clients’ Free Cash Flow at reference date T+0, according to bank-internal projections.</t>
  </si>
  <si>
    <t>EN.127</t>
  </si>
  <si>
    <t>FR_CSH_FLW_T1</t>
  </si>
  <si>
    <t>Free Cash Flow T+1</t>
  </si>
  <si>
    <t>Non-retail clients’ Free Cash Flow at reference date T+1, according to bank-internal projections.</t>
  </si>
  <si>
    <t>EN.128</t>
  </si>
  <si>
    <t>FR_CSH_FLW_T2</t>
  </si>
  <si>
    <t>Free Cash Flow T+2</t>
  </si>
  <si>
    <t>Non-retail clients’ Free Cash Flow at reference date T+2, according to bank-internal projections.</t>
  </si>
  <si>
    <t>EN.129</t>
  </si>
  <si>
    <t>FR_CSH_FLW_T3</t>
  </si>
  <si>
    <t>Free Cash Flow T+3</t>
  </si>
  <si>
    <t>Non-retail clients’ Free Cash Flow at reference date T+3, according to bank-internal projections.</t>
  </si>
  <si>
    <t>EN.130</t>
  </si>
  <si>
    <t>ADDRSS_CTY</t>
  </si>
  <si>
    <t>Address: city/town/village</t>
  </si>
  <si>
    <t>Unit should report in this field the city, town or village of residence of the counterparty.</t>
  </si>
  <si>
    <t>EN.131</t>
  </si>
  <si>
    <t>ADDRSS_STRT</t>
  </si>
  <si>
    <t>Address: street</t>
  </si>
  <si>
    <t>Unit should report in this field the street address of residence of the counterparty, including the street number.</t>
  </si>
  <si>
    <t>EN.132</t>
  </si>
  <si>
    <t>DT_ENTRPRS_SZ</t>
  </si>
  <si>
    <t>Date of enterprise size</t>
  </si>
  <si>
    <t xml:space="preserve">The date to which the value provided in the “enterprise size” (ENTRPRS_SZ_LE) refers. This is the date of the latest data used to classify or review the classification of the enterprise. </t>
  </si>
  <si>
    <t>EN.133</t>
  </si>
  <si>
    <t>NMBR_EMPLYS</t>
  </si>
  <si>
    <t>INTEGER</t>
  </si>
  <si>
    <t>Use integer numbers, no decimal point, no thousands seperators</t>
  </si>
  <si>
    <t>Number of employees</t>
  </si>
  <si>
    <t>Number of employees working for the counterparty, in accordance with Article 5 of the Annex to Recommendation 2003/361/EC.</t>
  </si>
  <si>
    <t>EN.134</t>
  </si>
  <si>
    <t>LGL_FRM</t>
  </si>
  <si>
    <t>Legal form</t>
  </si>
  <si>
    <t>The type of business entity as defined in the national legal system.</t>
  </si>
  <si>
    <t>EN.135</t>
  </si>
  <si>
    <t>HD_OFFC_UNDRTKNG_ID</t>
  </si>
  <si>
    <t>Head office undertaking identifier</t>
  </si>
  <si>
    <t>The head office undertaking identifier is the counterparty identifier of the domestic part of the legal entity of which the institutional unit is a legally dependent part.</t>
  </si>
  <si>
    <t>EN.136</t>
  </si>
  <si>
    <t>IMMDT_PRNT_UNDRTKNG_ID</t>
  </si>
  <si>
    <t>Immediate parent undertaking identifier</t>
  </si>
  <si>
    <t xml:space="preserve">The immediate parent undertaking identifier is the counterparty identifier for the domestic part of the legal entity which is the immediate parent undertaking of the counterparty. </t>
  </si>
  <si>
    <t>EN.137</t>
  </si>
  <si>
    <t>ULTMT_PRNT_UNDRTKNG_ID</t>
  </si>
  <si>
    <t>Ultimate parent undertaking identifier</t>
  </si>
  <si>
    <t>The ultimate parent undertaking identifier is the counterparty identifier for the domestic part of the legal entity which is the ultimate parent undertaking of the counterparty.</t>
  </si>
  <si>
    <t>EN.138</t>
  </si>
  <si>
    <t>TTL_ASSTS</t>
  </si>
  <si>
    <t>Total Assets</t>
  </si>
  <si>
    <t>Total Assets in the balance sheet</t>
  </si>
  <si>
    <t>EN.139</t>
  </si>
  <si>
    <t>FLLN_ANGL_NRRW_DFNTN</t>
  </si>
  <si>
    <t>Fallen Angel narrow definition</t>
  </si>
  <si>
    <t xml:space="preserve">Fallen Angel narrow definition refer to borrowers that lost the Investment Grade status (equivalent internal or external rating of BBB- (S&amp;P)/BBB- (Fitch)/Baa3 (Moody’s) or above) after the origination of the exposure, i.e., fell to a non-investment grade after having been classified with an investment grade at origination. </t>
  </si>
  <si>
    <t>EN.140</t>
  </si>
  <si>
    <t>FLLN_ANGL_EXTNDD_DFNTN</t>
  </si>
  <si>
    <t>Fallen Angel extended definition</t>
  </si>
  <si>
    <t>Fallen Angel extended definition refer to borrowers that experienced an increase of Leverage finance ratio (as per ECB Guidance on leveraged transactions; total debt vs EBITDA) due to a material deterioriation in financial performance after origination.</t>
  </si>
  <si>
    <t>EN.141</t>
  </si>
  <si>
    <t>ENTTY_ID_BDR</t>
  </si>
  <si>
    <t>VARCHAR2(60)</t>
  </si>
  <si>
    <t xml:space="preserve">BDR Entity ID </t>
  </si>
  <si>
    <t>BDR internal entity identifier (IDNUMCLI).  Each client must have one identifier. Field to be reported by Units that use BDR system.</t>
  </si>
  <si>
    <t>IDNUMCLI</t>
  </si>
  <si>
    <t>EN.142</t>
  </si>
  <si>
    <t>TXNMY_ELGBL_CAPEX_W</t>
  </si>
  <si>
    <t>Taxonomy-eligible CAPEX (W) Ratio</t>
  </si>
  <si>
    <t xml:space="preserve">Counterparty’s reported proportion of CAPEX eligible according to European Taxonomy and that might make a substantial contribution to an environmental objective of sustainable use and protection of water and marine resources. </t>
  </si>
  <si>
    <t>EN.143</t>
  </si>
  <si>
    <t>TXNMY_ELGBL_TRNVR_W</t>
  </si>
  <si>
    <t>Taxonomy-eligible Turnover (W) Ratio</t>
  </si>
  <si>
    <t xml:space="preserve">Counterparty’s reported proportion of Turnover eligible according to European Taxonomy and that might make a substantial contribution to an environmental objective of sustainable use and protection of water and marine resources. </t>
  </si>
  <si>
    <t>EN.144</t>
  </si>
  <si>
    <t>TXNMY_ELGBL_CAPEX_P</t>
  </si>
  <si>
    <t>Taxonomy-eligible CAPEX (P) Ratio</t>
  </si>
  <si>
    <t xml:space="preserve">Counterparty’s reported proportion of CAPEX eligible according to European Taxonomy and that might make a substantial contribution to an environmental objective of pollution prevention and control. </t>
  </si>
  <si>
    <t>EN.145</t>
  </si>
  <si>
    <t>TXNMY_ELGBL_TRNVR_P</t>
  </si>
  <si>
    <t>Taxonomy-eligible Turnover (P) Ratio</t>
  </si>
  <si>
    <t xml:space="preserve">Counterparty’s reported proportion of Turnover eligible according to European Taxonomy and that might make a substantial contribution to an environmental objective of pollution prevention and control. </t>
  </si>
  <si>
    <t>EN.146</t>
  </si>
  <si>
    <t>TXNMY_ELGBL_CAPEX_B</t>
  </si>
  <si>
    <t>Taxonomy-eligible CAPEX (B) Ratio</t>
  </si>
  <si>
    <t xml:space="preserve">Counterparty’s reported proportion of CAPEX eligible according to European Taxonomy and that might make a substantial contribution to an environmental objective of protection and restoration of biodiversity and ecosystems. </t>
  </si>
  <si>
    <t>EN.147</t>
  </si>
  <si>
    <t>TXNMY_ELGBL_TRNVR_B</t>
  </si>
  <si>
    <t>Taxonomy-eligible Turnover (B) Ratio</t>
  </si>
  <si>
    <t xml:space="preserve">Counterparty’s reported proportion of Turnover eligible according to European Taxonomy and that might make a substantial contribution to an environmental objective of protection and restoration of biodiversity and ecosystems. </t>
  </si>
  <si>
    <t>EN.148</t>
  </si>
  <si>
    <t>TXNMY_ELGBL_CAPEX_CE</t>
  </si>
  <si>
    <t>Taxonomy-eligible CAPEX (CE) Ratio</t>
  </si>
  <si>
    <t xml:space="preserve">Counterparty’s reported proportion of CAPEX eligible according to European Taxonomy and that might make a substantial contribution to an environmental objective of transition to a circular economy. </t>
  </si>
  <si>
    <t>EN.149</t>
  </si>
  <si>
    <t>TXNMY_ELGBL_TRNVR_CE</t>
  </si>
  <si>
    <t>Taxonomy-eligible Turnover (CE) Ratio</t>
  </si>
  <si>
    <t xml:space="preserve">Counterparty’s reported proportion of Turnover eligible according to European Taxonomy and that might make a substantial contribution to an environmental objective of transition to a circular economy. </t>
  </si>
  <si>
    <t>EN.150</t>
  </si>
  <si>
    <t>PURE_CAPEX_P</t>
  </si>
  <si>
    <t>Taxonomy-aligned CAPEX (P) - Pure Ratio</t>
  </si>
  <si>
    <t>Counterparty’s proportion of CAPEX that is Taxonomy-aligned and contributes substantially to the objective of pollution prevention and control.</t>
  </si>
  <si>
    <t>EN.151</t>
  </si>
  <si>
    <t>PURE_TRNVR_P</t>
  </si>
  <si>
    <t>Taxonomy-aligned Turnover (P) - Pure Ratio</t>
  </si>
  <si>
    <t>Counterparty’s proportion of Turnover that is Taxonomy-aligned and contributes substantially to the objective of pollution prevention and control.</t>
  </si>
  <si>
    <t>EN.152</t>
  </si>
  <si>
    <t>PURE_CAPEX_B</t>
  </si>
  <si>
    <t>Taxonomy-aligned CAPEX (B) - Pure Ratio</t>
  </si>
  <si>
    <t>Counterparty’s proportion of CAPEX that is Taxonomy-aligned and contributes substantially to the objective of protection and restoration of biodiversity and ecosystems.</t>
  </si>
  <si>
    <t>EN.153</t>
  </si>
  <si>
    <t>PURE_TRNVR_B</t>
  </si>
  <si>
    <t>Taxonomy-aligned Turnover (B) - Pure Ratio</t>
  </si>
  <si>
    <t>Counterparty’s proportion of Turnover that is Taxonomy-aligned and contributes substantially to the objective of protection and restoration of biodiversity and ecosystems.</t>
  </si>
  <si>
    <t>EN.154</t>
  </si>
  <si>
    <t>PURE_CAPEX_W</t>
  </si>
  <si>
    <t>Taxonomy-aligned CAPEX (W) - Pure Ratio</t>
  </si>
  <si>
    <t>Counterparty’s proportion of CAPEX that is Taxonomy-aligned and contributes substantially to the objective of sustainable use and protection of water and marine resources.</t>
  </si>
  <si>
    <t>EN.155</t>
  </si>
  <si>
    <t>PURE_TRNVR_W</t>
  </si>
  <si>
    <t>Taxonomy-aligned Turnover (W) - Pure Ratio</t>
  </si>
  <si>
    <t>Counterparty’s proportion of Turnover that is Taxonomy-aligned under CCA objective and contributes substantially to the objective of sustainable use and protection of water and marine resources</t>
  </si>
  <si>
    <t>EN.156</t>
  </si>
  <si>
    <t>PURE_CAPEX_CE</t>
  </si>
  <si>
    <t>Taxonomy-aligned CAPEX (CE) - Pure Ratio</t>
  </si>
  <si>
    <t>Counterparty’s proportion of CAPEX that is Taxonomy-aligned under and contributes substantially to the objective of transition to a circular economy.</t>
  </si>
  <si>
    <t>EN.157</t>
  </si>
  <si>
    <t>PURE_TRNVR_CE</t>
  </si>
  <si>
    <t>Taxonomy-aligned Turnover (CE) - Pure Ratio</t>
  </si>
  <si>
    <t>Counterparty’s proportion of Turnover that is Taxonomy-aligned and contributes substantially to the objective of transition to a circular economy.</t>
  </si>
  <si>
    <t>EN.158</t>
  </si>
  <si>
    <t>ENBLNG_CAPEX_W</t>
  </si>
  <si>
    <t>Taxonomy-aligned CAPEX (W) - Enabling Ratio</t>
  </si>
  <si>
    <t>Counterparty’s proportion of CAPEX that is Taxonomy-aligned with sustainable use and protection of water and marine resources objective and that enables other activities to make a substantial contribution to one or more of these objectives.</t>
  </si>
  <si>
    <t>EN.159</t>
  </si>
  <si>
    <t>ENBLNG_TRNVR_W</t>
  </si>
  <si>
    <t>Taxonomy-aligned Turnover (W) - Enabling Ratio</t>
  </si>
  <si>
    <t>Counterparty’s proportion of Turnover that is Taxonomy-aligned undersustainable use and protection of water and marine resources objective and that enables other activities to make a substantial contribution to one or more of these objectives.</t>
  </si>
  <si>
    <t>EN.160</t>
  </si>
  <si>
    <t>ENBLNG_CAPEX_CE</t>
  </si>
  <si>
    <t>Taxonomy-aligned CAPEX (CE) - Enabling Ratio</t>
  </si>
  <si>
    <t>Counterparty’s proportion of CAPEX that is Taxonomy-aligned under  transition to circular economy objective and that enables other activities to make a substantial contribution to one or more of these objectives.</t>
  </si>
  <si>
    <t>EN.161</t>
  </si>
  <si>
    <t>ENBLNG_TRNVR_CE</t>
  </si>
  <si>
    <t>Taxonomy-aligned Turnover (CE) - Enabling Ratio</t>
  </si>
  <si>
    <t>Counterparty’s proportion of Turnover that is Taxonomy-aligned under transition to a circular economy objective and that enables other activities to make a substantial contribution to one or more of these objectives.</t>
  </si>
  <si>
    <t>EN.162</t>
  </si>
  <si>
    <t>RORAC</t>
  </si>
  <si>
    <t xml:space="preserve">RORAC </t>
  </si>
  <si>
    <t>Return On Risk-Adjusted Capital (RORAC) of the counterparty</t>
  </si>
  <si>
    <t>EN.163</t>
  </si>
  <si>
    <t>GRP_RORAC</t>
  </si>
  <si>
    <t>Group's RORAC</t>
  </si>
  <si>
    <t>Return On Risk-Adjusted Capital (RORAC) of the counterparty's economic group.</t>
  </si>
  <si>
    <t>EN.164</t>
  </si>
  <si>
    <t>RORWA</t>
  </si>
  <si>
    <t>RoRWA</t>
  </si>
  <si>
    <t>Return On Risk Weighted Assets (RoRWA) of the counterparty</t>
  </si>
  <si>
    <t>EN.165</t>
  </si>
  <si>
    <t>GRP_RORWA</t>
  </si>
  <si>
    <t>Group's RoRWA</t>
  </si>
  <si>
    <t>Return On Risk Weighted Assets (RoRWA) of the counterparty's economic group.</t>
  </si>
  <si>
    <t>EN.166</t>
  </si>
  <si>
    <t>SCAN</t>
  </si>
  <si>
    <t>SCAN of the counterparty</t>
  </si>
  <si>
    <t>EN.167</t>
  </si>
  <si>
    <t>TTL_PRMSSBL_DBT_BLNC</t>
  </si>
  <si>
    <t>Total permissible debt balance</t>
  </si>
  <si>
    <t>The term “Total Permissible Debt Balance” refers to total committed debt (including drawn and undrawn debt) plus total not committed debt. Cash should not be netted against debt. Please report on solo entity level unless advised otherwise.</t>
  </si>
  <si>
    <t>IE.001</t>
  </si>
  <si>
    <t>INSTR_ENTITY</t>
  </si>
  <si>
    <t>Cargabal code or internal identifier of the informing society</t>
  </si>
  <si>
    <t>IE.002</t>
  </si>
  <si>
    <t>Reference date</t>
  </si>
  <si>
    <t>IE.003</t>
  </si>
  <si>
    <t>An identifier applied by the reporting agent to uniquely identify each counterparty. Each counterparty has a unique and exclusive counterparty identifier. This means that this value will not change over time and can never be used as the counterparty identifier for any other counterparty.
Foreign key from ENTITY table.</t>
  </si>
  <si>
    <t>IE.004</t>
  </si>
  <si>
    <t>INSTRMNT_ID</t>
  </si>
  <si>
    <t>Instrument ID</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</si>
  <si>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
Foreign Key from INSTRUMENT table.</t>
  </si>
  <si>
    <t>IE.005</t>
  </si>
  <si>
    <t>JNT_LBLTY_AMNT</t>
  </si>
  <si>
    <t>Joint-liability amount</t>
  </si>
  <si>
    <t>Outstanding nominal amount for which each debtor is liable in relation to a single instrument where there are two or more debtors. In the case of instruments where there is only one debtor, please report "not applicable" using the respective fall-back parameters.</t>
  </si>
  <si>
    <t>JM_INTERV_CTO - G4128_PORPARTN</t>
  </si>
  <si>
    <t>IE.006</t>
  </si>
  <si>
    <t>MN_ENTTY_ID</t>
  </si>
  <si>
    <t>Main Entity ID</t>
  </si>
  <si>
    <t>Report "Y" if "Entity ID" is the main entity of the Instrument ID</t>
  </si>
  <si>
    <t>IN.001</t>
  </si>
  <si>
    <t>INSTRUMENT</t>
  </si>
  <si>
    <t>IN.002</t>
  </si>
  <si>
    <t>Portfolio identification</t>
  </si>
  <si>
    <t>SUBPORTFOLIO_ID</t>
  </si>
  <si>
    <t>Subportfolio ID</t>
  </si>
  <si>
    <t xml:space="preserve">The unique identifier of each requested sub-portfolio is constructed considering a coding resulting from the attributes of the sub-portfolio. </t>
  </si>
  <si>
    <t>IN.003</t>
  </si>
  <si>
    <t>CRE_FNRP18</t>
  </si>
  <si>
    <t>Flag of CREs</t>
  </si>
  <si>
    <t>Loans granted to Commercial Real Estate (reported in FinRep 18 rows 140, 903, 923: “of which: loans collateralized by commercial immovable property”).</t>
  </si>
  <si>
    <t>IN.004</t>
  </si>
  <si>
    <t>SME_FNRP18</t>
  </si>
  <si>
    <t>Flag of SMEs</t>
  </si>
  <si>
    <t>Loans granted to SMEs (reported in FinRep 18 rows No 130, 900 or 920: “of which: SMEs”).</t>
  </si>
  <si>
    <t>IN.005</t>
  </si>
  <si>
    <t>RRE_FNRP18</t>
  </si>
  <si>
    <t>Flag of RREs</t>
  </si>
  <si>
    <t>Loans granted to Residential Real Estate (reported in FinRep 18 rows No 160, 910 or 930: “of which: loans collateralized by residential immovable property”).</t>
  </si>
  <si>
    <t>IN.006</t>
  </si>
  <si>
    <t>CNSMPTN_FNRP18</t>
  </si>
  <si>
    <t>Flag of Credit for consumption</t>
  </si>
  <si>
    <t>Loans granted to Consumer Credit (reported in FinRep 18 rows No 170, 913, 933: “of which: credit for consumption”).</t>
  </si>
  <si>
    <t>IN.007</t>
  </si>
  <si>
    <t>IN.008</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</si>
  <si>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t>
  </si>
  <si>
    <t>IN.009</t>
  </si>
  <si>
    <t>CNTRCT_ID</t>
  </si>
  <si>
    <t>Contract ID</t>
  </si>
  <si>
    <t>An identifier applied by the reporting agent to uniquely identify each contract. Each contract must have one contract identifier. This value will not change over time and cannot be used as the contract identifier for any other contract.</t>
  </si>
  <si>
    <t>IN.010</t>
  </si>
  <si>
    <t>CRRNCY_DNMNTN</t>
  </si>
  <si>
    <t>Currency denomination</t>
  </si>
  <si>
    <t>Currency denomination of instruments, in accordance with the ISO 4217 standard.</t>
  </si>
  <si>
    <t>JM_CONTR_BIS - G4095_CODDIV</t>
  </si>
  <si>
    <t>IN.011</t>
  </si>
  <si>
    <t>DT_INCPTN</t>
  </si>
  <si>
    <t>Date of inception</t>
  </si>
  <si>
    <t>The date on which the contractual relationship originated, i.e. the date on which the contract agreement becomes binding for all parties</t>
  </si>
  <si>
    <t>JM_CONTR_BIS - G4095_FECHAPER</t>
  </si>
  <si>
    <t>IN.012</t>
  </si>
  <si>
    <t>OBSRVD_AGNT_ID</t>
  </si>
  <si>
    <t>VARCHAR2(50)</t>
  </si>
  <si>
    <t>Observed agent identifier</t>
  </si>
  <si>
    <t>Counterparty identifier for the observed agent. If there are several observed agents to be reported please separate by comma (,).</t>
  </si>
  <si>
    <t>IN.013</t>
  </si>
  <si>
    <t>OBSRVD_AGNT_NM</t>
  </si>
  <si>
    <t>Observed Agent Name</t>
  </si>
  <si>
    <t>Counterparty name for the observed agent. If there are several observed agents to be reported please separate by comma (,).</t>
  </si>
  <si>
    <t>IN.014</t>
  </si>
  <si>
    <t>PRDCT</t>
  </si>
  <si>
    <t>Product type according to bank-internal definition</t>
  </si>
  <si>
    <t>Bank-internal classification of the product type, e.g. first time buyers/ buy to let/ home movers/ re-mortgagers. This field refers to all types of instruments and is defined according to bank-internal nomenclature.</t>
  </si>
  <si>
    <t>JM_CONTR_BIS - G4095_IDPRO_LC</t>
  </si>
  <si>
    <t>IN.015</t>
  </si>
  <si>
    <t>BRCHD_CVNNTS</t>
  </si>
  <si>
    <t>Breached covenants</t>
  </si>
  <si>
    <t>Breached covenants separated by comma (,).</t>
  </si>
  <si>
    <t>IN.016</t>
  </si>
  <si>
    <t>CHNNL_ORGNTN</t>
  </si>
  <si>
    <t>Channel of origination</t>
  </si>
  <si>
    <t>Description of the loan origination channel.</t>
  </si>
  <si>
    <t>IN.017</t>
  </si>
  <si>
    <t>CSH_SWP_TRP</t>
  </si>
  <si>
    <t>Cash sweep or cash trap covenants agreed  (Y/N)</t>
  </si>
  <si>
    <t>Report "Y" if the agreement with the debtor includes cash sweep or cash trap covenants.</t>
  </si>
  <si>
    <t>IN.018</t>
  </si>
  <si>
    <t>CVNNT_STTS</t>
  </si>
  <si>
    <t>Covenant status</t>
  </si>
  <si>
    <t>In accordance with "ECB Guidance on leveraged transactions". The term "material covenant" should be defined according to bank-internal nomenclature.</t>
  </si>
  <si>
    <t>IN.019</t>
  </si>
  <si>
    <t>CVNNT_TYP</t>
  </si>
  <si>
    <t>Covenant Type</t>
  </si>
  <si>
    <t>Type of covenant according to "ECB Guidance on leveraged transactions".</t>
  </si>
  <si>
    <t>IN.020</t>
  </si>
  <si>
    <t>DFLT_STTS_INSTRMNT</t>
  </si>
  <si>
    <t>Default status of the instrument</t>
  </si>
  <si>
    <t>Identification of the default status of the instrument. Categories describing the situations in which an instrument can be described as being at default in accordance with Article 178 of Regulation (EU) No 575/2013.</t>
  </si>
  <si>
    <t>IN.021</t>
  </si>
  <si>
    <t>DT_DFLT_STTS_INSTRMNT</t>
  </si>
  <si>
    <t>The date on which the default status, as reported in the data attribute “Default status”, is considered to have arisen. If "Not in default" since inception then this attribute is to be reported equally to the inception date. If more than one Instrument is classified as defaulted then the earliest date has to be provided. The definition of default is aligned with Art 178 of Regulation (EU) No 575/2013.</t>
  </si>
  <si>
    <t>IN.022</t>
  </si>
  <si>
    <t>DT_END_GP_PPAL</t>
  </si>
  <si>
    <t>End date of principal grace period</t>
  </si>
  <si>
    <t>The latest date on which the principal payment postponement ends according to the instrument agreement. The scope of the field refers to any interest only period, either due to renegotiations or interest only agreements at loan inception.</t>
  </si>
  <si>
    <t>IF E0623_TIPCAREN = 1 THEN E0623_FECFICAR</t>
  </si>
  <si>
    <t>IN.023</t>
  </si>
  <si>
    <t>DT_END_INTRST_ONLY</t>
  </si>
  <si>
    <t>End date of the interest-only period</t>
  </si>
  <si>
    <t>The date on which the interest-only period ends. Interest-only instruments are those for which, for a contractually set period, only the interest on the principal balance is paid, with the principal balance remaining unchanged. The scope of the field refers to any interest only period, either due to renegotiations or interest only agreements at loan inception.</t>
  </si>
  <si>
    <t>IF E0623_TIPCAREN = 1 AND E0623_TIP_AMOR = 4 THEN E0623_FECFICAR</t>
  </si>
  <si>
    <t>IN.024</t>
  </si>
  <si>
    <t>DT_FRBRNC_STTS</t>
  </si>
  <si>
    <t>Date of forbearance status</t>
  </si>
  <si>
    <t>Date of forbearance status. If the instrument has never been subject to forbearance measure then this date would be equal to the inception date.</t>
  </si>
  <si>
    <t>IF G7025_MOTRENUG in  (1;2;3;4;15;16;21;22;25)  THEN G7025_FEC_MOD</t>
  </si>
  <si>
    <t>IN.025</t>
  </si>
  <si>
    <t>DT_FRBRNC_STTS_PRVS</t>
  </si>
  <si>
    <t>Date of previous forbearance status</t>
  </si>
  <si>
    <t>This field should contain the previous value of "DT_FRBRNC_STTS" (date of the change in FRBRNC_STTS previous to the current one), i.e.:
DT_FRBRNC_STTS_PRVS reflects the date of the forbearance measure preceding the one as at reference date. If only one forbearance measure was undertaken since loan origination the field should be the same as DT_FRBRNC_STTS.  If the instrument has never been subject to forbearance measure then this date would be equal to the inception date.</t>
  </si>
  <si>
    <t>IF G7025_MOTRENUG in  (1;2;3;4;15;16;21;22;25)  THEN G7025_FEC_MOD HAVING G7025_FEC_MOD as the previous to the most recent one</t>
  </si>
  <si>
    <t>IN.026</t>
  </si>
  <si>
    <t>Date of the most recent internal rating according to Regulation (EU) No 575/2013, i.e. applicable rating as at the reference date. If the rating is assigned on entity level then provide the entity rating for all instruments.</t>
  </si>
  <si>
    <t>JM_CAL_IN_CO - E9952_FECCALI</t>
  </si>
  <si>
    <t>IN.027</t>
  </si>
  <si>
    <t>DT_PRFRMNG_STTS</t>
  </si>
  <si>
    <t>The date on which the performing status as reported in “performing status of the instrument” is considered to have been established or changed. If the performing status is measured on debtor level the status will respectively apply to all instruments.</t>
  </si>
  <si>
    <t>IN.028</t>
  </si>
  <si>
    <t>DT_PRFRMNG_STTS_PRVS</t>
  </si>
  <si>
    <t>Date of previous performing status</t>
  </si>
  <si>
    <t>The date on which the previous performing status as reported in “previous performing status of the instrument” is considered to have been established or changed within a maximum observation period of 48 month. If the performing status is measured on debtor level the status will respectively apply to all instruments.</t>
  </si>
  <si>
    <t>IF R9739_FINALIND = 3 THEN T1824_FECSIT IF it is the previous to the most recent one; ELSE T1824_FECINI</t>
  </si>
  <si>
    <t>IN.029</t>
  </si>
  <si>
    <t>DT_STRT_INTRST_ONLY</t>
  </si>
  <si>
    <t>Start date of the interest-only period</t>
  </si>
  <si>
    <t>The date on which the interest-only period starts. Interest-only instruments are those for which, for a contractually set period, only the interest on the principal balance is paid, with the principal balance remaining unchanged. The scope of the field refers to any interest only period, either due to renegotiations or interest only agreements at loan inception.</t>
  </si>
  <si>
    <t>IF E0623_TIPCAREN = 1 AND E0623_TIP_AMOR = 4 THEN E0623_FECINCAR</t>
  </si>
  <si>
    <t>IN.030</t>
  </si>
  <si>
    <t>EXPSR_IN_SCP</t>
  </si>
  <si>
    <t>VARCHAR(5)</t>
  </si>
  <si>
    <t>Identification of exposure that is in scope of the on-site inspection</t>
  </si>
  <si>
    <t>For Residential Real Estate, Retail SME and/or Retail Other on-site missions please report "Y" or "N" for following condition: 
Residentia Real Estate on-site missions: Exposure flagged in FINREP, template F 18.00.a - Information on performing and non-performing exposures (I) as Households with loans collateralised by residential immovable property in row 160.
For Retail other on-site missions: Exposure flagged in FINREP, template F 18.00.a - Information on performing and non-performing exposures (I) as Credit for consumption in row 170.
for Retail SME on-site missions: Exposure flagged "Y" when it does not exceed EUR 1 mln and is managed as SME.
For non-retail missions please indicate the row under which the exposure is reported in FINREP, template F18.00.a, e.g. Non-financial Corporations in row 120 and of which SME or CRE in row 130 or 140.</t>
  </si>
  <si>
    <t>IN.031</t>
  </si>
  <si>
    <t>FLD_SYNDCTN</t>
  </si>
  <si>
    <t>Failed syndication (as per definition according to the ECB Guidance on leveraged transactions)</t>
  </si>
  <si>
    <t>In accordance with "ECB Guidance on leveraged transactions".</t>
  </si>
  <si>
    <t>IN.032</t>
  </si>
  <si>
    <t>FLG_LBO</t>
  </si>
  <si>
    <t>Flag for leverage buy-out transactions</t>
  </si>
  <si>
    <t>Flag for leverage buy-out transactions.</t>
  </si>
  <si>
    <t>IN.033</t>
  </si>
  <si>
    <t>FRBRNC_STTS_INSTRMNT</t>
  </si>
  <si>
    <t>Forbearance status</t>
  </si>
  <si>
    <t>Identification of forborne and renegotiated instruments.</t>
  </si>
  <si>
    <t>IN.034</t>
  </si>
  <si>
    <t>IMPRMNT_STTS</t>
  </si>
  <si>
    <t>Impairment status</t>
  </si>
  <si>
    <t>Type of impairment.</t>
  </si>
  <si>
    <t>IN.035</t>
  </si>
  <si>
    <t>IMPRMNT_STTS_PRVS</t>
  </si>
  <si>
    <t>Previous impairment status</t>
  </si>
  <si>
    <t>Type of impairment previous to the one at reference date.</t>
  </si>
  <si>
    <t>IN.036</t>
  </si>
  <si>
    <t>Internal rating grade at the reference date according to Regulation (EU) No 575/2013. Please also add in sheet "Code List" the list of values used for the bank-internal rating masterscale. If only the debtor is rated please report the debtor rating on all associated instruments.</t>
  </si>
  <si>
    <t>IN.037</t>
  </si>
  <si>
    <t>INTRNL_RTNG_INCPTN</t>
  </si>
  <si>
    <t>Internal rating at inception</t>
  </si>
  <si>
    <t>Internal rating grade according to Regulation (EU) No 575/2013 at instrument origination.</t>
  </si>
  <si>
    <t>IN.038</t>
  </si>
  <si>
    <t>Bank-internal portfolio-segmentation definition according to bank-internal nomenclature.</t>
  </si>
  <si>
    <t>IN.039</t>
  </si>
  <si>
    <t>Internal classification of the bank of the instrument administrating business unit, e.g. if the loan has been transferred to the intensified loan management department it should be flagged as such.</t>
  </si>
  <si>
    <t>IN.040</t>
  </si>
  <si>
    <t>LCRE</t>
  </si>
  <si>
    <t>Low credit risk exemption for SICR assessment</t>
  </si>
  <si>
    <t>Low credit risk exception applied by the institution for SICR assessment according to IFRS9.</t>
  </si>
  <si>
    <t>IF T2417_FLGBRGCR = 1 THEN Y; ELSE N</t>
  </si>
  <si>
    <t>IN.041</t>
  </si>
  <si>
    <t>LGL_PRCDNG_STTS</t>
  </si>
  <si>
    <t>Status of legal proceedings of the instrument</t>
  </si>
  <si>
    <t>Status of legal proceedings of the instrument.</t>
  </si>
  <si>
    <t>IN.042</t>
  </si>
  <si>
    <t>LND_DRGTN</t>
  </si>
  <si>
    <t>Derogation of lending standards when the instrument was granted  (Y/N)</t>
  </si>
  <si>
    <t>Report "Y" if the bank derogated from its lending standards when the instrument was granted, e.g. deviation from credit granting policies. Please report this attribute only on instruments that were originated during a maximum observation period of 48 month prior to the reference date.</t>
  </si>
  <si>
    <t>IN.043</t>
  </si>
  <si>
    <t>POCI</t>
  </si>
  <si>
    <t>Purchased credit-impaired financial asset (POCI)</t>
  </si>
  <si>
    <t>Flag "Y" if the instrument falls under IFRS 9 criteria regarding purchased or originated credit-impaired exposures.</t>
  </si>
  <si>
    <t>IF E0623_FLGPOCI = 1 THEN Y; ELSE N</t>
  </si>
  <si>
    <t>IN.044</t>
  </si>
  <si>
    <t>PRFRMNG_STTS</t>
  </si>
  <si>
    <t>The instrument is to be classified on the reference date under one of the following categories: performing or non-performing, in accordance with Implementing Regulation (EU) No 680/2014. If the performing status is measured on entity level only all instruments are to be classified according to the status on entity level.</t>
  </si>
  <si>
    <t>IN.045</t>
  </si>
  <si>
    <t>PRFRMNG_STTS_PRVS</t>
  </si>
  <si>
    <t>Previous performing status</t>
  </si>
  <si>
    <t>The instrument is to be classified differently from PRFRMNG_STTS within a maximum observation period of 48 months under one of the following categories: performing or non-performing, in accordance with Implementing Regulation (EU) No 680/2014. If the performing status is measured on entity level only all instruments are to be classified according to the status on entity level. If there is no status different from PRFMNG_STTS as at loan origination then this field is "not applicable".</t>
  </si>
  <si>
    <t>IF R9739_FINALIND = 3 AND T1824_SITGESND in (5;6) THEN 1; ELSE 11 HAVING T1824_SITGESND as the previous to the most recent one</t>
  </si>
  <si>
    <t>IN.046</t>
  </si>
  <si>
    <t>PRJCT_FNNC_LN</t>
  </si>
  <si>
    <t>Project finance loan</t>
  </si>
  <si>
    <t>Identification of project finance.</t>
  </si>
  <si>
    <t>IN.047</t>
  </si>
  <si>
    <t>PRPS</t>
  </si>
  <si>
    <t>Purpose</t>
  </si>
  <si>
    <t>Classification of instruments according to their purpose.</t>
  </si>
  <si>
    <t>IN.048</t>
  </si>
  <si>
    <t>PYMNT_INTRST_ONLY</t>
  </si>
  <si>
    <t>Interest only repayment</t>
  </si>
  <si>
    <t>Report "Y" if the exposure is classified as interest only.</t>
  </si>
  <si>
    <t>IN.049</t>
  </si>
  <si>
    <t>RCRS</t>
  </si>
  <si>
    <t>Recourse</t>
  </si>
  <si>
    <t>Classification of instruments based on the creditor’s rights to seize assets other than any protection pledged to secure the instrument.</t>
  </si>
  <si>
    <t>IN.050</t>
  </si>
  <si>
    <t>RFNNC_PRPS</t>
  </si>
  <si>
    <t>Refinance purpose (Y/N)</t>
  </si>
  <si>
    <t>Report "Y"if the bank granted the instrument in order to refinance a previous transaction that was granted by the bank.
Report "N" if it is a newly originated loan.</t>
  </si>
  <si>
    <t>If at the reporting date “FRBRNC_STTS_INSTRMNT” is ‘3- Forborne: Refinanced debt’, then “RFNNC_PRPS” = ‘Y’. 
If at the reporting date “FRBRNC_STTS_INSTRMNT” is ‘Not forborne or renegotiated’, because the instrument has cured but previously the “FRBRNC_STTS_INSTRMNT” was ‘3- Forborne: Refinanced debt’ then “RFNNC_PRPS” = ‘Y’.</t>
  </si>
  <si>
    <t>IN.051</t>
  </si>
  <si>
    <t>SPCLTV_LNDNG</t>
  </si>
  <si>
    <t>Speculative immovable property financing  (Y/N)</t>
  </si>
  <si>
    <t>"Speculative immovable property financing” means instrument for the purposes of the acquisition of or development or construction on land in relation to immovable property, or of and in relation to such property, with the intention of reselling for profit, Art 4 (1) (79) of Regulation (EU) No 575/2013.</t>
  </si>
  <si>
    <t>IF G4095_IDFINALI = 23 THEN Y; ELSE N</t>
  </si>
  <si>
    <t>IN.052</t>
  </si>
  <si>
    <t>STTS_UNDRWRTTN_TRNSCTN</t>
  </si>
  <si>
    <t>Status for underwritten transaction</t>
  </si>
  <si>
    <t>In accordance with "ECB Guidance on leveraged transactions". Data attribute to be provided only by Lead Arrangers.</t>
  </si>
  <si>
    <t>IN.053</t>
  </si>
  <si>
    <t>TRNCH</t>
  </si>
  <si>
    <t>Tranching / security</t>
  </si>
  <si>
    <t>Tranching / security.</t>
  </si>
  <si>
    <t>IN.054</t>
  </si>
  <si>
    <t>TYP_AMRTSTN</t>
  </si>
  <si>
    <t>Type of amortisation</t>
  </si>
  <si>
    <t>Type of amortisation of the instrument including principal and interest.</t>
  </si>
  <si>
    <t>IN.055</t>
  </si>
  <si>
    <t>TYP_INSTRMNT</t>
  </si>
  <si>
    <t>Type of instrument</t>
  </si>
  <si>
    <t>Classification of the instrument according to the type of contractual terms agreed between the parties.</t>
  </si>
  <si>
    <t>IN.056</t>
  </si>
  <si>
    <t>TYP_INTRST_RT</t>
  </si>
  <si>
    <t>Type of interest rate</t>
  </si>
  <si>
    <t>Classification of credit exposures based on the base rate for establishing the interest rate for each payment period.</t>
  </si>
  <si>
    <t>IN.057</t>
  </si>
  <si>
    <t>TYP_MRTGG</t>
  </si>
  <si>
    <t>Type of mortgage</t>
  </si>
  <si>
    <t>Please report the main type of mortgages that is allocated to an instrument.
OTHER - UNSECURED_COLLATERAL and OTHER - SECURED_COLLATERAL refers to the eligibility according to Regulation (EU) No 575/2013.</t>
  </si>
  <si>
    <t>IN.058</t>
  </si>
  <si>
    <t>TYP_CRE_OPRTN</t>
  </si>
  <si>
    <t>Type of CRE operation financed</t>
  </si>
  <si>
    <t>Type of CRE operation financed, regardless of its regulatory portfolio under the Standardised or the IRB approach.</t>
  </si>
  <si>
    <t>IN.059</t>
  </si>
  <si>
    <t>DT_STRT_GP_PPAL</t>
  </si>
  <si>
    <t>Start date of principal grace period</t>
  </si>
  <si>
    <t>The date on which the principal payment postponement starts according to the instrument agreement. The scope of the field refers to any interest only period, either due to renegotiations or interest only agreements at loan inception.</t>
  </si>
  <si>
    <t>IF E0623_TIPCAREN = 1 THEN E0623_FECINCAR</t>
  </si>
  <si>
    <t>IN.060</t>
  </si>
  <si>
    <t>GRSS_CRRYNG_AMNT_INSTRMNT</t>
  </si>
  <si>
    <t>Gross carrying amount</t>
  </si>
  <si>
    <t>Reported gross carrying amount for the instrument according to definition in Annex V to Implementing Regulation (EU) No 680/2014.</t>
  </si>
  <si>
    <t>IN.061</t>
  </si>
  <si>
    <t>ACCMLTD_CHNGS_FV_CR_INSTRMNT</t>
  </si>
  <si>
    <t>Accumulated changes in fair value due to credit risk</t>
  </si>
  <si>
    <t>Accumulated changes in fair value due to credit risk in accordance with Part 2.46 of Annex V to Implementing Regulation (EU) No 680/2014.</t>
  </si>
  <si>
    <t>IN.062</t>
  </si>
  <si>
    <t>ACCNTNG_CLSSFCTN</t>
  </si>
  <si>
    <t>Accounting portfolio</t>
  </si>
  <si>
    <t>Accounting portfolio where the instrument is recorded in accordance with the accounting standard – IFRS or national GAAP – under Regulation (EU) 2015/534 (ECB/2015/13) applied by the observed agent’s legal entity.</t>
  </si>
  <si>
    <t>IN.063</t>
  </si>
  <si>
    <t>ACCRD_INTRST_INSTRMNT</t>
  </si>
  <si>
    <t>Accrued interest balance as recognised on the balance sheet</t>
  </si>
  <si>
    <t>The amount of accrued interest on loans at the reporting reference date as defined in Regulation (EU) No 1071/2013 (ECB/2013/33). In accordance with the general principle of accruals accounting, interest receivable on instruments should be subject to on-balance sheet recording as it accrues (i.e. on an accruals basis) rather than when it is actually received (i.e. on a cash basis).</t>
  </si>
  <si>
    <t>JM_CAMB_SIT_BDI - E0688_INTEDEV</t>
  </si>
  <si>
    <t>IN.064</t>
  </si>
  <si>
    <t>AMNT_D_AT_MTRTY</t>
  </si>
  <si>
    <t>Amount due at the legal final maturity date</t>
  </si>
  <si>
    <t>Total amount of principal repayment to be paid at the final legal maturity date (i.e. DT_LGL_FNL_MTRTY), i.e. amount of last instalment at maturity date.</t>
  </si>
  <si>
    <t>IN.065</t>
  </si>
  <si>
    <t>CCF</t>
  </si>
  <si>
    <t>Credit conversion factor (CCF) according to CRR</t>
  </si>
  <si>
    <t>Credit conversion factor according to regulation (EU) No 575/2013.</t>
  </si>
  <si>
    <t>IF Contract in JM_CTO_AJ_REG THEN O9209_K2; ELSE IF Contract in JM_AMP_AJ_STD THEN T0254_CCF_SFB; ELSE IF Contract in JM_SIM_AJ_STD THEN T0256_CCF_SFB</t>
  </si>
  <si>
    <t>IN.066</t>
  </si>
  <si>
    <t>CMMTMNT_INCPTN_INSTRMNT</t>
  </si>
  <si>
    <t>Commitment amount at inception</t>
  </si>
  <si>
    <t>Observed agent’s maximum exposure to credit risk on the inception date of the instrument, without taking into account any protection held or other credit enhancements. Total commitment amount on the inception date is established during the approval process and is intended to restrict an observed agent’s amount of credit risk to a given counterparty for the relevant instrument.</t>
  </si>
  <si>
    <t>E0623_IMP1LIMI at inception date (G4095_FECHAPER)</t>
  </si>
  <si>
    <t>IN.067</t>
  </si>
  <si>
    <t>CMMTMNT_INSTRMNT</t>
  </si>
  <si>
    <t>Commitment amount at reference date</t>
  </si>
  <si>
    <t>Observed agent’s maximum exposure to credit risk on the reference date of the instrument, without taking into account any protection held or other credit enhancements. Total commitment amount on the reference date is established during the life cycle of the loan and is intended to restrict an observed agent’s amount of credit risk to a given counterparty for the relevant instrument.</t>
  </si>
  <si>
    <t>IN.068</t>
  </si>
  <si>
    <t>CRRYNG_AMNT_INSTRMNT</t>
  </si>
  <si>
    <t>Carrying amount</t>
  </si>
  <si>
    <t>Net carrying amount including accrued interest as laid down in Annex 5 Regulation 680/2014.</t>
  </si>
  <si>
    <t>IN.069</t>
  </si>
  <si>
    <t>DBT_YLD</t>
  </si>
  <si>
    <t>Debt yield</t>
  </si>
  <si>
    <t>Ratio of net annual rental income divided by the total gross carrying amount which is secured by the CRE property - (see ESRB/2016/14 for details regarding the calculation of net annual rental income).</t>
  </si>
  <si>
    <t>IN.070</t>
  </si>
  <si>
    <t>DT_LGL_FNL_MTRTY</t>
  </si>
  <si>
    <t>Legal final maturity date (latest repayment date)</t>
  </si>
  <si>
    <t>The contractual maturity date of the instrument, taking into account any agreements amending initial contracts. As for retail revolving credit facilities this attribute is to be reported "not applicable".</t>
  </si>
  <si>
    <t>JM_CONTR_BIS - G4095_FECVE2</t>
  </si>
  <si>
    <t>IN.071</t>
  </si>
  <si>
    <t>DT_NXT_INTRST_RT_RST</t>
  </si>
  <si>
    <t>Next interest rate reset date</t>
  </si>
  <si>
    <t>The date when the next interest rate reset, as defined in Part 3 of Annex I to Regulation (EU) No 1071/2013 (ECB/2013/33), takes place.</t>
  </si>
  <si>
    <t>IN.072</t>
  </si>
  <si>
    <t>DT_ORGNL_MTRTY</t>
  </si>
  <si>
    <t>Original contractual maturity date (latest repayment date)</t>
  </si>
  <si>
    <t>Original contractual maturity date as agreed at the origination of the instrument. As for revolving credit facilities this attribute is to be reported "not applicable".</t>
  </si>
  <si>
    <t>JM_CONTR_BIS - G4095_FECVENTO</t>
  </si>
  <si>
    <t>IN.073</t>
  </si>
  <si>
    <t>IFRS9_BHVRL_MTRTY</t>
  </si>
  <si>
    <t>Behavioural maturity</t>
  </si>
  <si>
    <t>The estimated residual maturity is the time that elapses between the reference date and the expected end of the lifetime of the instrument. The maturity shall be reported in months. Reference can be made pursuant to IFRS9 paragraphs B5.5.38, B5.5.39 and B5.5.40.
[...] The maximum period over which expected credit losses shall be measured is the maximum contractual period over which the entity is exposed to credit risk. For loan commitments and financial guarantee contracts this is the maximum contractual period over which an entity has a present contractual obligation to extend credit [B5.5.38].
However [...], some financial instruments include both a loan and an undrawn commitment component and the entity’s contractual ability to demand repayment and cancel the undrawn commitment does not limit the entity’s exposure to credit losses to the contractual notice period. [...] However, in practice lenders continue to extend credit for a longer period and may only withdraw the facility after the credit risk of the borrower increases, which could be too late to prevent some or all of the expected credit losses. [...] [B5.5.39].
When determining the period over which the entity is expected to be exposed to credit risk, but for which expected credit losses would not be mitigate by the entity’s normal credit risk management actions, an entity should consider factors such as historical information and experience about: (a) the period over which the entity was exposed to credit risk on similar financial instruments; (b) the length of time for related defaults to occur [...] following a significant increase in credit risk; and (c) the credit risk management actions that an entity expects to take once the credit risk on the financial instrument has increased [...] [B5.5.40].</t>
  </si>
  <si>
    <t>JM_CONTR_OTROS - E0623_VCTO_RES</t>
  </si>
  <si>
    <t>IN.074</t>
  </si>
  <si>
    <t>EAD</t>
  </si>
  <si>
    <t>Regulatory EAD</t>
  </si>
  <si>
    <t>According to regulation (EU) No 575/2013.</t>
  </si>
  <si>
    <t>IF Contract in JM_CTO_AJ_REG THEN O9209_EADFINAL; ELSE IF Contract in JM_AMP_AJ_STD THEN T0254_EADCFFPS; ELSE IF Contract in JM_SIM_AJ_STD THEN T0256_EADCFFPS</t>
  </si>
  <si>
    <t>IN.075</t>
  </si>
  <si>
    <t>IFRS9_CCF</t>
  </si>
  <si>
    <t>IFRS 9 accounting CCF</t>
  </si>
  <si>
    <t>IFRS 9 accounting Credit Conversion Factor as at reference date. For defaulted exposures please report IFRS 9 accounting Credit Conversion Factor as at date of default.</t>
  </si>
  <si>
    <t>JM_CTO_IFRS9 - T2417_K2_IFRS9</t>
  </si>
  <si>
    <t>IN.076</t>
  </si>
  <si>
    <t>IFRS9_EAD</t>
  </si>
  <si>
    <t>IFRS 9 accounting EAD</t>
  </si>
  <si>
    <t>Exposure at default used for the calculation of expected credit losses according to IFRS 9 as at reference date. For defaulted exposures please report Exposure at default used for the calculation of expected credit losses according to IFRS 9 as at date of default.</t>
  </si>
  <si>
    <t>JM_CTO_IFRS9 - T2417_EADIFRS9</t>
  </si>
  <si>
    <t>IN.077</t>
  </si>
  <si>
    <t>INSTLMNT_PAY</t>
  </si>
  <si>
    <t>Instalment payable</t>
  </si>
  <si>
    <t>Average monthly payable instalment where amortisation plan is in place; excluding bullet loans but including overdrafts where minimum amortisation is agreed.</t>
  </si>
  <si>
    <t>(SUM of E0623_IMPRTCUO for the last 12 months)/12</t>
  </si>
  <si>
    <t>IN.078</t>
  </si>
  <si>
    <t>OFF_BLNC_SHT_AMNT_INSTRMNT</t>
  </si>
  <si>
    <t>Off-balance sheet amount</t>
  </si>
  <si>
    <t>Total nominal amount of off-balance-sheet exposures.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t>
  </si>
  <si>
    <t>IN.079</t>
  </si>
  <si>
    <t>OFF_BLNC_SHT_AMNT_INSTRMNT_PRVS</t>
  </si>
  <si>
    <t>Previous off-balance amount</t>
  </si>
  <si>
    <t>Total nominal amount of off-balance-sheet exposures one year before the reference date, i.e. T-1.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t>
  </si>
  <si>
    <t>IN.080</t>
  </si>
  <si>
    <t>OTSTNDNG_NMNL_AMNT_INSTRMNT</t>
  </si>
  <si>
    <t>Outstanding gross nominal amount</t>
  </si>
  <si>
    <t>Principal amount outstanding at the end of the reporting reference date, including unpaid past due interest but excluding accrued interest. The outstanding nominal amount must be reported net of write-offs and write-downs as determined by the relevant accounting practices.</t>
  </si>
  <si>
    <t>IN.081</t>
  </si>
  <si>
    <t>OTSTNDNG_NMNL_AMNT_INSTRMNT_PRVS</t>
  </si>
  <si>
    <t>Previous outstanding gross nominal amount</t>
  </si>
  <si>
    <t>Principal amount outstanding one year before the reference date, i.e. T-1, including unpaid past due interest but excluding accrued interest. The outstanding nominal amount must be reported net of write-offs and write-downs as determined by the relevant accounting practices.</t>
  </si>
  <si>
    <t>IN.082</t>
  </si>
  <si>
    <t>PRVSNS_OFF_BLNC_SHT</t>
  </si>
  <si>
    <t>Provisions associated with off-balance sheet exposures</t>
  </si>
  <si>
    <t>The amount of provisions for off-balance-sheet amounts. If no amount can be drawn by or disbursed to the debtor without contractual changes, the off-balance-sheet amount of the instrument is reported as ”not applicable”.</t>
  </si>
  <si>
    <t>IN.083</t>
  </si>
  <si>
    <t>PYMNT_FRQNCY</t>
  </si>
  <si>
    <t>Payment frequency</t>
  </si>
  <si>
    <t>Frequency of payments due, either of principal or interest, i.e. number of months between payments.</t>
  </si>
  <si>
    <t>IN.084</t>
  </si>
  <si>
    <t>RTNTN_SHR</t>
  </si>
  <si>
    <t>Retention share</t>
  </si>
  <si>
    <t>Retention share defined as per ECB Guidance on leveraged transactions. i.e. retention share = 100% - transferred / distributed percentage.</t>
  </si>
  <si>
    <t>IN.085</t>
  </si>
  <si>
    <t>RWA</t>
  </si>
  <si>
    <t>RWA according to Regulation (EU) No 575/2013.</t>
  </si>
  <si>
    <t>IF Contract in JM_CTO_AJ_REG THEN O9209_CRIAVESC*12,5; ELSE IF Contract in JM_AMP_AJ_STD THEN T0254_RWA_POSM; ELSE IF Contract in JM_SIM_AJ_STD THEN T0256_RWA_POSM</t>
  </si>
  <si>
    <t>IN.086</t>
  </si>
  <si>
    <t>RWA_MTHD</t>
  </si>
  <si>
    <t>RWA calculation method</t>
  </si>
  <si>
    <t>RWA calculation method according to Regulation (EU) No 575/2013.</t>
  </si>
  <si>
    <t>IF Contract in JM_CTO_AJ_REG THEN 1; ELSE IF Contract in JM_AMP_AJ_STD THEN 2; ELSE IF Contract in JM_SIM_AJ_STD THEN 2</t>
  </si>
  <si>
    <t>IN.087</t>
  </si>
  <si>
    <t>SPNSR_NM</t>
  </si>
  <si>
    <t>Name of the sponsor of the transaction as per definition according to the ECB Guidance on leveraged transactions</t>
  </si>
  <si>
    <t>In accordance with "Guidance on leveraged transactions".</t>
  </si>
  <si>
    <t>IN.088</t>
  </si>
  <si>
    <t>Impairment</t>
  </si>
  <si>
    <t>ACCMLTD_IMPRMNT_INSTRMNT</t>
  </si>
  <si>
    <t>Sum of LLPs and other allowances</t>
  </si>
  <si>
    <t>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</si>
  <si>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IN.089</t>
  </si>
  <si>
    <t>ACCMLTD_IMPRMNT_INSTRMNT_PRVS</t>
  </si>
  <si>
    <t>Previous sum of LLPs and other allowances</t>
  </si>
  <si>
    <t>The amount of loss allowances that are held against or are allocated to the instrument one year before the reference date, i.e. T-1.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</si>
  <si>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IN.090</t>
  </si>
  <si>
    <t>ACCMLTD_WRTFFS_INSTRMNT</t>
  </si>
  <si>
    <t>Accumulated write-offs</t>
  </si>
  <si>
    <t>Cumulative amount of principal and past due interest of any debt instrument that the institution is no longer recognising because they are considered uncollectible, independently of the portfolio in which they were included. Write-offs could be caused both by reductions in the carrying amount of financial assets recognised directly in profit or loss and by reductions in the amounts of the allowance accounts for credit losses set off against the carrying amount of financial assets.</t>
  </si>
  <si>
    <t>IN.091</t>
  </si>
  <si>
    <t>ARRRS_INSTRMNT</t>
  </si>
  <si>
    <t>Total exposure in arrears</t>
  </si>
  <si>
    <t>Aggregated amount of the principal, interest and any fee payment outstanding at the reporting date, which is contractually due and has not been paid (past due).</t>
  </si>
  <si>
    <t>IN.092</t>
  </si>
  <si>
    <t>ARRRS_INSTRMNT_12M</t>
  </si>
  <si>
    <t>Highest total exposure in arrears in the last 12 months before the reference date</t>
  </si>
  <si>
    <t>Highest aggregated amount of the principal, interest and any fee payment outstanding at a period of 12 months before the reference date, which is contractually due and has not been paid (past due).</t>
  </si>
  <si>
    <t>IN.093</t>
  </si>
  <si>
    <t>CMLTV_RCVRS_SNC_DFLT_INSTRMNT</t>
  </si>
  <si>
    <t>Cumulative recoveries since default</t>
  </si>
  <si>
    <t>The total amount recovered since the date of default.</t>
  </si>
  <si>
    <t>IN.094</t>
  </si>
  <si>
    <t>DPD</t>
  </si>
  <si>
    <t>Days past due at reference date</t>
  </si>
  <si>
    <t>Days past due at reference date in accordance with Art 178 of Regulation (EU) No 575/2013.</t>
  </si>
  <si>
    <t>JM_OUT_CTO_ND - R9739_DIAS_ATR</t>
  </si>
  <si>
    <t>IN.095</t>
  </si>
  <si>
    <t>DPD_12M</t>
  </si>
  <si>
    <t>Highest number of days past due in the last 12 months</t>
  </si>
  <si>
    <t>Highest number of days past due within a period of 12 months prior to the reference date.</t>
  </si>
  <si>
    <t>Highest value included in the field R9739_DIAS_ATR in the last 12 months</t>
  </si>
  <si>
    <t>IN.096</t>
  </si>
  <si>
    <t>DPD_12M_FRBRNC_STTS</t>
  </si>
  <si>
    <t>Highest number of days past due in the 12 months prior to the most recent change of the forbearance status</t>
  </si>
  <si>
    <t>Highest number of days past due within a period of 12 months prior to the most recent change of the forbearance status. As regards forbearance status please refer to Part 18 of Annex V to Implementing Regulation (EU) No 680/2014. The data attribute is only to be populated for instances where a status change occured during an observation period of maximum 24month preceding the reference date.</t>
  </si>
  <si>
    <t>IF G7025_MOTRENUG in (1;2;3;4;15;16;21;22;25) THEN obtain the highest value included in the field R9739_DIAS_ATR in the last 12 months previous to G7025_FEC_MOD for the instrument with the most recent date included in G7025_FEC_MOD</t>
  </si>
  <si>
    <t>IN.097</t>
  </si>
  <si>
    <t>DPD_12M_PRFRMNG_STTS</t>
  </si>
  <si>
    <t>Highest number of days past due in the 12 months prior to the most recent change of performing status</t>
  </si>
  <si>
    <t>Highest number of days past due within a period of 12 months prior to the change of the performing status. As regards performing status please refer to Part 17 of Annex V to Implementing Regulation (EU) No 680/2014. The data attribute is only to be populated for instances where a status change occured during an observation period of maximum 24month preceding the reference date.</t>
  </si>
  <si>
    <t>IF R9739_FINALIND = 3 AND T1824_SITGESND in (5;6) THEN obtain the highest value included in the field R9739_DIAS_ATR in the last 12 months previous to R9739_FEC_DEF</t>
  </si>
  <si>
    <t>IN.098</t>
  </si>
  <si>
    <t>DPD_24M_FRBRNC_STTS</t>
  </si>
  <si>
    <t>Highest number of days past due in the 24 months prior to the most recent change of the forbearance status</t>
  </si>
  <si>
    <t>Highest number of days past due within a period of 24 months prior to the change of the forbearance status.  As regards forbearance status please refer to Part 18 of Annex V to Implementing Regulation (EU) No 680/2014. The data attribute is only to be populated for instances where a status change occured during an observation period of maximum 24month preceding the reference date.</t>
  </si>
  <si>
    <t>IF G7025_MOTRENUG in (1;2;3;4;15;16;21;22;25) THEN obtain the highest value included in the field R9739_DIAS_ATR in the last 24 months previous to G7025_FEC_MOD for the instrument with the most recent date included in G7025_FEC_MOD</t>
  </si>
  <si>
    <t>IN.099</t>
  </si>
  <si>
    <t>DPD_24M_PRFRMNG_STTS</t>
  </si>
  <si>
    <t>Highest number of days past due in the 24 months before most recent change of performing status</t>
  </si>
  <si>
    <t>Highest number of days past due within a period of 24 months prior to the change of the performing status. As regards performing status please refer to Part 17 of Annex V to Implementing Regulation (EU) No 680/2014.</t>
  </si>
  <si>
    <t>IF R9739_FINALIND = 3 AND T1824_SITGESND in (5;6) THEN obtain the highest value included in the field R9739_DIAS_ATR in the last 24 months previous to R9739_FEC_DEF</t>
  </si>
  <si>
    <t>IN.100</t>
  </si>
  <si>
    <t>DPD_FRBRNC_STTS</t>
  </si>
  <si>
    <t>Days past due at the date of the most recent change of the forbearance status</t>
  </si>
  <si>
    <t>Days past due at the date of the most recent change of the forbearance status. Data attribute reported only for those instruments where any change in its classification occured during a maximum observation period of 24 month preceding the reference date. As regards forbearance status please refer to Part 18 of Annex V to Implementing Regulation (EU) No 680/2014.</t>
  </si>
  <si>
    <t>IF G7025_MOTRENUG in (1;2;3;4;15;16;21;22;25) THEN R9739_DIAS_ATR for the instrument with the most recent date included in G7025_FEC_MOD</t>
  </si>
  <si>
    <t>IN.101</t>
  </si>
  <si>
    <t>DPD_PRFRMNG_STTS</t>
  </si>
  <si>
    <t>Days past due at the time of the most recent change of the performing status</t>
  </si>
  <si>
    <t xml:space="preserve">Days past due at the time of the most recent change of the performing status. As regards performing status please refer to Part 17 of Annex V to Implementing Regulation (EU) No 680/2014. </t>
  </si>
  <si>
    <t>IF R9739_FINALIND = 3 AND T1824_SITGESND in (5;6) THEN R9739_DIAS_ATR</t>
  </si>
  <si>
    <t>IN.102</t>
  </si>
  <si>
    <t>DT_IMPRMNT_STTS</t>
  </si>
  <si>
    <t>Date of impairment status</t>
  </si>
  <si>
    <t>Date of entering the current impairment status.
For instruments which did not change the stage classification since initial recognition, this date should be equal to inception date.
Data attribute aligned with IFRS9. N-GAAP accounting banks should distinguish the status change between the recognition of General allowances (GAAP) and Specific allowances (GAAP).</t>
  </si>
  <si>
    <t>IN.103</t>
  </si>
  <si>
    <t>DT_IMPRMNT_STTS_PRVS</t>
  </si>
  <si>
    <t>Date of previous impairment status</t>
  </si>
  <si>
    <t>Date of impairment status previous to the one at reference date.
For instruments which did not change the stage classification since initial recognition, this date should be equal to inception date.
Data attribute aligned with IFRS9. N-GAAP accounting banks should distinguish the status change between the recognition of General allowances (GAAP) and Specific allowances (GAAP).</t>
  </si>
  <si>
    <t>T2420_FCBSTAGE as the previous to the most recent one</t>
  </si>
  <si>
    <t>IN.104</t>
  </si>
  <si>
    <t>DT_PST_D</t>
  </si>
  <si>
    <t>Date past due</t>
  </si>
  <si>
    <t>The date on which the instrument became past due in accordance with Part 2.96 of Annex V to the amended Implementing Regulation (EU) No 680/2014. This is the latest such date prior to the reporting reference date and it is to be reported if the instrument is past due on the reporting reference date.</t>
  </si>
  <si>
    <t>Reporting date - R9739_DIAS_ATR</t>
  </si>
  <si>
    <t>IN.105</t>
  </si>
  <si>
    <t>IMPRMNT_ASSSSMNT_MTHD</t>
  </si>
  <si>
    <t>Impairment assessment method</t>
  </si>
  <si>
    <t>The method by which the impairment is assessed, if the instrument is subject to impairment in accordance with applied accounting standards. Collective and individual methods are distinguished.</t>
  </si>
  <si>
    <t>IN.106</t>
  </si>
  <si>
    <t>IMPRMNT_CLCLTN_MTHD</t>
  </si>
  <si>
    <t>Impairment calculation method</t>
  </si>
  <si>
    <t>Method that is used to determin the provisioning amount. Going concern refers to a provisioning calculation that is mainly based on cash flow collection. Gone concern approach refers to a provisioning calculation that is mainly based on collateral execution.</t>
  </si>
  <si>
    <t>IN.107</t>
  </si>
  <si>
    <t>NMBR_FRBRNC_MSRS</t>
  </si>
  <si>
    <t>Number of historical forbearance</t>
  </si>
  <si>
    <t>Number of forbearance(s) that happened in the past observation period of 24month preceding the reference date.</t>
  </si>
  <si>
    <t>COUNT G4095_FECCANCE OR COUNT G4095_FECREFI OR COUNT G4095_FECNOVAC when Contract IN G7025_MOTRENUG for the last 24 months</t>
  </si>
  <si>
    <t>IN.108</t>
  </si>
  <si>
    <t>IFRS9_LGD</t>
  </si>
  <si>
    <t>IFRS 9 accounting LGD</t>
  </si>
  <si>
    <t>IFRS 9 accounting Loss Given Default as at reference date for defaulted and non-defaulted exposures. In case the bank models time-depended LGD variable for non-defaulted exposures then 12-month LGD as at reference date regardless the classification as Stage 1 or 2</t>
  </si>
  <si>
    <t>IN.109</t>
  </si>
  <si>
    <t>LGD</t>
  </si>
  <si>
    <t>Regulatory LGD</t>
  </si>
  <si>
    <t>If differences between regulatory and internal LGD exist, use regulatory LGD (according to Regulation (EU) No 575/2013). In particular, in IRB-F use regulatory LGD values.</t>
  </si>
  <si>
    <t>CTO_AJ_REG - LGD_FINAL</t>
  </si>
  <si>
    <t>IN.110</t>
  </si>
  <si>
    <t>LTV</t>
  </si>
  <si>
    <t>Loan to value (LTV) at reference date</t>
  </si>
  <si>
    <t>Loan to value (LTV) at the reference date calculated according to bank internal definition.
Please also add an explanatory note on sheet "Notes" on how the calculation is done.</t>
  </si>
  <si>
    <t>IN.111</t>
  </si>
  <si>
    <t>LTV_INCPTN</t>
  </si>
  <si>
    <t>Loan to value (LTV) at inception</t>
  </si>
  <si>
    <t>Loan to value (LTV) at the origination date. Calculation according to bank-internal defintion.
Please also add an explanatory note on sheet "Notes" on how the calculation is done.</t>
  </si>
  <si>
    <t>IN.112</t>
  </si>
  <si>
    <t>LTV_NPE</t>
  </si>
  <si>
    <t>Loan to value (LTV) at the date when the instrument was classified as non performing</t>
  </si>
  <si>
    <t>Loan to value (LTV) according to bank-internal definition as at the time the instrument was classified as non-performing. Please report only historical values of up to 36 months.
Please also add an explanatory note on sheet "Notes" on how the calculation is done.</t>
  </si>
  <si>
    <t>IN.113</t>
  </si>
  <si>
    <t>PD_CRR_INCPTN</t>
  </si>
  <si>
    <t>Probability of default according to CRR at inception date</t>
  </si>
  <si>
    <t>The PD over one year, determined in accordance with Articles 160, 163, 179 and 180 of Regulation (EU) No 575/2013.
If the PD is calculated on obligor level then provide the obligor PD.
Non-IRB banks to report the most appropriate internal PD.</t>
  </si>
  <si>
    <t>G7162_IN_PDINI at inception date (G4095_FECHAPER)</t>
  </si>
  <si>
    <t>IN.114</t>
  </si>
  <si>
    <t>JM_CTO_CATEG2 - G7162_IN_PDINI</t>
  </si>
  <si>
    <t>IN.115</t>
  </si>
  <si>
    <t>Report PD one year previous to the reference date. (for example, if Reference date: 03/30/2022, the PD as of 03/30/2021 is reported in this field)</t>
  </si>
  <si>
    <t>IN.116</t>
  </si>
  <si>
    <t>PD_IFRS9_12M_INCPTN</t>
  </si>
  <si>
    <t>12-month PD at inception date according to IFRS 9</t>
  </si>
  <si>
    <t>12-month PD at inception date which is used by the bank for the computation of stage 1 ECL or for SICR assessment if the bank uses a 12 month proxy for staging.
Data attribute aligned with IFRS9.</t>
  </si>
  <si>
    <t>T2417_P12IFRS9 at inception date (G4095_FECHAPER)</t>
  </si>
  <si>
    <t>IN.117</t>
  </si>
  <si>
    <t>12-month PD at reference date which is used by the bank for the computation of stage 1 ECL or for SICR assessment if the bank uses a 12 month proxy for staging.
Data attribute aligned with IFRS9.</t>
  </si>
  <si>
    <t>JM_CTO_IFRS9 - T2417_P12IFRS9</t>
  </si>
  <si>
    <t>IN.118</t>
  </si>
  <si>
    <t>12-month PD one year prior to the reference date which is used by the bank for the computation of stage 1 ECL or for SICR assessment if the bank uses a 12 month proxy for staging.
Data attribute aligned with IFRS9.</t>
  </si>
  <si>
    <t>IN.119</t>
  </si>
  <si>
    <t>PD_IFRS9_LFTM_INCPTN</t>
  </si>
  <si>
    <t>Lifetime PD at inception date according to IFRS 9 (cumulative)</t>
  </si>
  <si>
    <t>Cumulative lifetime PD at inception date calculated from the inception date until maturity.
Data attribute aligned with IFRS9.</t>
  </si>
  <si>
    <t>T2417_PDORIGEN at inception date (G4095_FECHAPER)</t>
  </si>
  <si>
    <t>IN.120</t>
  </si>
  <si>
    <t>PD_IFRS9_RMNNG_LFTM_INCPTN</t>
  </si>
  <si>
    <t>Remaining lifetime PD at inception date according to IFRS 9 (cumulative)</t>
  </si>
  <si>
    <t>Cumulative lifetime PD at inception date calculated from the reference date until maturity, i.e. remaining lifetime PD for the reporting date that was expected/estimated at initial recognition.
Data attribute aligned with IFRS9.</t>
  </si>
  <si>
    <t>JM_CTO_IFRS9 - T2417_PDORIGEN</t>
  </si>
  <si>
    <t>IN.121</t>
  </si>
  <si>
    <t>PD_IFRS9_RMNNG_LFTM_RD</t>
  </si>
  <si>
    <t>Remaining lifetime PD at reporting date according to IFRS 9 (cumulative)</t>
  </si>
  <si>
    <t>Cumulative lifetime PD at reference date, i.e. remaining lifetime PD at reporting date that is expected/estimated at the reporting date. Data attribute aligned with IFRS9.</t>
  </si>
  <si>
    <t>JM_CTO_IFRS9 - T2417_PLTIFRS9</t>
  </si>
  <si>
    <t>IN.122</t>
  </si>
  <si>
    <t>Internal definition and name of the rating/scoring model. If only the debtor is rated then report the debtor rating to all instruments associated with that debtor.</t>
  </si>
  <si>
    <t>JM_CAL_IN_CO - E9952_TIPMODEL</t>
  </si>
  <si>
    <t>IN.123</t>
  </si>
  <si>
    <t>IN.124</t>
  </si>
  <si>
    <t>SICR_ASSSSMNT_MTHD</t>
  </si>
  <si>
    <t>Significant increase in credit risk assessment approach</t>
  </si>
  <si>
    <t>Significant increase in credit risk assessment approach. Data attribute aligned with IFRS9.</t>
  </si>
  <si>
    <t>IN.125</t>
  </si>
  <si>
    <t>Interest Rates</t>
  </si>
  <si>
    <t>ANNLSD_AGRD_RT</t>
  </si>
  <si>
    <t>Interest rate at the reference date</t>
  </si>
  <si>
    <t>Annualised agreed rate or narrowly defined interest rate in accordance with Regulation (EU) No 1072/2013 of the European Central Bank (ECB/2013/34).</t>
  </si>
  <si>
    <t>JM_CONTR_OTROS - E0623_TIP_INT</t>
  </si>
  <si>
    <t>IN.126</t>
  </si>
  <si>
    <t>EIR</t>
  </si>
  <si>
    <t>Current effective interest rate for provisioning calculation according to IFRS 9.</t>
  </si>
  <si>
    <t>Current effective interest rate.
Data attribute aligned with IFRS9.</t>
  </si>
  <si>
    <t>IN.127</t>
  </si>
  <si>
    <t>EIR_INCPTN</t>
  </si>
  <si>
    <t>Effective interest rate at inception</t>
  </si>
  <si>
    <t>Effective interest rate at instrument origination according to IFRS 9.</t>
  </si>
  <si>
    <t>IN.128</t>
  </si>
  <si>
    <t>INTRST_RT_RST_FRQNCY</t>
  </si>
  <si>
    <t>Interest rate reset frequency</t>
  </si>
  <si>
    <t>Frequency at which the interest rate is reset after the initial fixed-rate period, if any.</t>
  </si>
  <si>
    <t>IN.129</t>
  </si>
  <si>
    <t>Servicing</t>
  </si>
  <si>
    <t>RCVD_AMRTSTN_12M</t>
  </si>
  <si>
    <t>Received amortisation payments within last 12 months prior to reference date</t>
  </si>
  <si>
    <t>Received amortisation payments within last 12 months prior to reference date.</t>
  </si>
  <si>
    <t>IN.130</t>
  </si>
  <si>
    <t>RCVD_AMRTSTN_24M</t>
  </si>
  <si>
    <t>Received amortisation payments within last 24 months prior to reference date</t>
  </si>
  <si>
    <t>Received amortisation payments within last 24 months prior to reference date.</t>
  </si>
  <si>
    <t>IN.131</t>
  </si>
  <si>
    <t>RCVD_INTRST_12M</t>
  </si>
  <si>
    <t>Received interest payments within last 12 months prior to reference date</t>
  </si>
  <si>
    <t>Received interest payments (including payments for derivatives).</t>
  </si>
  <si>
    <t>IN.132</t>
  </si>
  <si>
    <t>RCVD_INTRST_24M</t>
  </si>
  <si>
    <t>Received interest payments within last 24 months prior to reference date</t>
  </si>
  <si>
    <t>IN.133</t>
  </si>
  <si>
    <t>Syndication</t>
  </si>
  <si>
    <t>SYNDCT_RL</t>
  </si>
  <si>
    <t>Role of the lender in the syndicate</t>
  </si>
  <si>
    <t>Role of the lender in the syndicate.</t>
  </si>
  <si>
    <t>IN.134</t>
  </si>
  <si>
    <t>SYNDCTD_AGNT</t>
  </si>
  <si>
    <t>Syndicate agent name</t>
  </si>
  <si>
    <t>Syndicate agent name.</t>
  </si>
  <si>
    <t>IN.135</t>
  </si>
  <si>
    <t>SYNDCTD_CNTRCT_ID</t>
  </si>
  <si>
    <t>Syndicated contract ID</t>
  </si>
  <si>
    <t>“Contract identifier” applied by the lead arranger of the syndicated contract to uniquely identify each contract. Each syndicated contract will have one “syndicated contract identifier”. This value will not change over time and cannot be used by the lead arranger as the contract identifier for any other contract. All creditors participating in the syndicated contract use the same “syndicated contract identifier”.</t>
  </si>
  <si>
    <t>IN.136</t>
  </si>
  <si>
    <t>SYNDCTD_LNDRS</t>
  </si>
  <si>
    <t>Names of the other lenders in the syndicate</t>
  </si>
  <si>
    <t>Names separated by comma (,).</t>
  </si>
  <si>
    <t>IN.137</t>
  </si>
  <si>
    <t>SYNDCTD_SHR</t>
  </si>
  <si>
    <t>Share in the syndicate</t>
  </si>
  <si>
    <t>Share in the syndicate in percentage.</t>
  </si>
  <si>
    <t>IN.138</t>
  </si>
  <si>
    <t>SYNDCTN_TYP</t>
  </si>
  <si>
    <t>Syndication type</t>
  </si>
  <si>
    <t>Syndication type.</t>
  </si>
  <si>
    <t>IN.139</t>
  </si>
  <si>
    <t>COVID19</t>
  </si>
  <si>
    <t>EBA_CMPLNT_MRTR_ST_C19</t>
  </si>
  <si>
    <t>EBA compliant moratoria status. Please report all COVID-related measures until 31 December 2022. Afterwards, please report Not Applicable default value</t>
  </si>
  <si>
    <t>Identification of legislative and non-legislative EBA compliant moratoria on loans and advances meeting the requirements of para. 10 according to EBA/GL/2020/07 Guidelines on reporting and disclosure of exposures subject to measures applied in response to the COVID-19 crisis.
Institutions should report “requested” when at least one individual client request was received for the EBA-compliant moratoria regardless of whether the latter had been already implemented.
Institutions should report “granted” when at least one individual request for EBA-compliant moratoria has already been implemented.
Institutions should report “extended” when at least one implemented client request for the EBA-compliant moratoria has been extended.
Institutions should report “expired” when the EBA-compliant moratoria have expired.
Exposures that are subject to both EBA-compliant moratoria and other COVID-19-related forbearance measures should be reported only once as EBA-compliant moratoria.
Data attribute shall be reported if not waived by the competent authority according to points (a), (c), (d) or (e) of Article 19 of EBA/GL/2020/07 Guidelines on reporting and disclosure of exposures subject to measures applied in response to the COVID-19 crisis.</t>
  </si>
  <si>
    <t>IF G7025_MOTRENUG in (26;27;28;29) AND G7025_FEC_BAJA &lt; "REPORTING REFERENCE DATE" for all the records of the contract THEN "Expired"; ELSE IF G7025_MOTRENUG in (26;27;28;29) AND there are more than one record for the contract with different G7025_FEALTREL/G7025_FEC_BAJA AND one of those records has G7025_FEC_BAJA = "9999-12-31" OR G7025_FEC_BAJA &gt; "REPORTING REFERENCE DATE" THEN "Extended"; ELSE IF G7025_MOTRENUG in (26;27;28;29) THEN "Granted"</t>
  </si>
  <si>
    <t>Mapping for "Requested" is not available in BDR as there are moratoriums required by clients and not granted by the bank</t>
  </si>
  <si>
    <t>IN.140</t>
  </si>
  <si>
    <t>DT_CMPLNT_MRTR_STTS_C19</t>
  </si>
  <si>
    <t>Date of EBA compliant moratoria status. Please report all COVID-related measures until 31 December 2022. Afterwards, please report Not Applicable default value</t>
  </si>
  <si>
    <t>The latest date on which the EBA moratoria status as reported in “EBA compliant moratoria status” is considered to have been established or changed. Exposures that are subject to both EBA-compliant moratoria and other COVID-19-related forbearance measures should be reported only once as EBA-compliant moratoria.
Data attribute shall be reported if not waived by the competent authority according to points (a), (c), (d) or (e) of Article 19 of EBA/GL/2020/07 Guidelines on reporting and disclosure of exposures subject to measures applied in response to the COVID-19 crisis.</t>
  </si>
  <si>
    <t>IF G7025_MOTRENUG in (26;27;28;29) AND (G7025_FEC_BAJA = "9999-12-31" OR G7025_FEC_BAJA &gt; "REPORTING REFERENCE DATE") THEN G7025_FEALTREL</t>
  </si>
  <si>
    <t>IN.141</t>
  </si>
  <si>
    <t>DT_CMPLNT_MRTR_STTS_PRVS_C19</t>
  </si>
  <si>
    <t>Initial date of first EBA compliant moratoria status. Please report all COVID-related measures until 31 December 2022. Afterwards, please report Not Applicable default value</t>
  </si>
  <si>
    <t>The date on which the previous EBA moratoria status as reported in “EBA compliant moratoria status” is considered to have been established or changed. Exposures that are subject to both EBA-compliant moratoria and other COVID-19-related forbearance measures should be reported only once as EBA-compliant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</si>
  <si>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G7025_MOTRENUG in (26;27;28;29) THEN MIN(G7025_FEALTREL)</t>
  </si>
  <si>
    <t>IN.142</t>
  </si>
  <si>
    <t>MTRTY_LTST_MRTR_C19</t>
  </si>
  <si>
    <t>Maturity of latest EBA compliant moratoria. Please report all COVID-related measures until 31 December 2022. Afterwards, please report Not Applicable default value</t>
  </si>
  <si>
    <t>The residual maturity of moratoria is the time that elapses between the reference date and the end of the application of moratoria. The maturity shall be commercially rounded and reported in months of the current EBA-compliant moratoria. Exposures that are subject to both EBA-compliant moratoria and other COVID-19-related forbearance measures should be reported only once as EBA-compliant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</si>
  <si>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G7025_MOTRENUG in (26;27;28;29) AND (G7025_FEC_BAJA = "9999-12-31" OR G7025_FEC_BAJA &gt; "REPORTING REFERENCE DATE") THEN (E0623_FECFICAR-REPORT REFERENCE DATE)</t>
  </si>
  <si>
    <t>Report in months</t>
  </si>
  <si>
    <t>IN.143</t>
  </si>
  <si>
    <t>TYP_CMPLNT_MRTR_C19</t>
  </si>
  <si>
    <t>Type of EBA-compliant moratoria. Please report all COVID-related measures until 31 December 2022. Afterwards, please report Not Applicable default value</t>
  </si>
  <si>
    <t>Is the EBA-compliant moratoria a legislative, or non-legislative moratoria. Legislative moratoria are subject to moratoria that are based on the applicable national law and meet the criteria for general payment moratoria specified in paragraph 10 of the EBA Guidelines on moratoria. Exposures that are subject to both EBA-compliant legislative and non-legislative moratoria should be reported only once as legislative moratoria. Exposures that are subject to both EBA-compliant moratoria and other COVID-19-related forbearance measures should be reported only once as EBA-compliant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</si>
  <si>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G7025_MOTRENUG in (26;28) THEN "Legislative"; ELSE IF G7025_MOTRENUG in (27;29) THEN "Non-Legislative"</t>
  </si>
  <si>
    <t>IN.144</t>
  </si>
  <si>
    <t>GRC_PRD_CPTL_INTRST_C19</t>
  </si>
  <si>
    <t>Grace period on capital and interest. Please report all COVID-related measures until 31 December 2022. Afterwards, please report Not Applicable default value</t>
  </si>
  <si>
    <t>Loans and advances for which the EBA-compliant moratoria result in a grace period of both capital and interest at the reference date. This refers to instruments which do not have any payment obligations during the moratoria period.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</si>
  <si>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G7025_MOTRENUG in (26;27;28;29) AND E0623_TIPCAREN = "2" THEN "Y"; ELSE "N"</t>
  </si>
  <si>
    <t>IN.145</t>
  </si>
  <si>
    <t>CMPLNT_MRTR_C19_NM</t>
  </si>
  <si>
    <t>Internal name of EBA compliant moratoria as registered by the bank. Please report all COVID-related measures until 31 December 2022. Afterwards, please report Not Applicable default value</t>
  </si>
  <si>
    <t>The name of the EBA 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</si>
  <si>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G7025_MOTRENUG in (26;27;28;29) THEN R8180_DESCBARL</t>
  </si>
  <si>
    <t>It is necessary to identify the link between the global encoder and the local one</t>
  </si>
  <si>
    <t>IN.146</t>
  </si>
  <si>
    <t>FRBRNC_STTS_C19</t>
  </si>
  <si>
    <t>COVID-19 related forbearance measure status. Please report all COVID-related measures until 31 December 2022. Afterwards, please report Not Applicable default value</t>
  </si>
  <si>
    <t>Identification of other loans and advances with COVID-19-related forbearance measures that do not meet the requirements described in paragraph 10 of the EBA Guidelines on moratoria. Institutions should report the loans and advances where COVID-19-related forbearance measures were requested regardless of whether these measures have already been implemented or not.  All types of forbearance measures (contractual modifications and/or refinancing) should be considered provided that they are related to the COVID-19 crisis, except if they are newly originated loans subject to public guarantee schemes in the context of the COVID-19 crisis. In the case of COVID-19-related forbearance measures in the form of a grace period/payment moratorium, this should include both expired and active measures. Multiple requests should be treated as only one individual request. Exposures that are subject to both EBA-compliant moratoria and other COVID-19-related forbearance measures should be reported only once as EBA-compliant moratoria. 
Institutions should report “requested” when at least one individual client request was received for the COVID-19-related forbearance measure regardless of whether the latter had been already implemented.
Institutions should report “granted” when at least one individual request forCOVID-19-related forbearance measure has already been implemented.
Institutions should report “extended” when at least one implemented client request for the COVID-19-related forbearance measures has been extended.
Institutions should report “expired” when the COVID-19-related forbearance measures have expired.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</si>
  <si>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 in (specify values based on local encoder) AND G7025_FEC_BAJA &lt; "REPORTING REFERENCE DATE" for all the records of the contract THEN "Expired"; ELSE IF G7025_MOTRENU in (specify values based on local encoder) AND there are more than one record for the contract with different G7025_FEALTREL/G7025_FEC_BAJA AND one of those records has G7025_FEC_BAJA = "9999-12-31" OR G7025_FEC_BAJA &gt; "REPORTING REFERENCE DATE" THEN "Extended"; ELSE IF G7025_MOTRENU in (specify values based on local encoder) THEN "Granted"</t>
  </si>
  <si>
    <t>IN.147</t>
  </si>
  <si>
    <t>DT_FRBRNC_STTS_C19</t>
  </si>
  <si>
    <t>Date of COVID-19 related forbearance measure status. Please report all COVID-related measures until 31 December 2022. Afterwards, please report Not Applicable default value</t>
  </si>
  <si>
    <t>The date on which the forborne status as reported in “COVID-19 related forbearance measure status” is considered to have been established or changed.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</si>
  <si>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 in (specify values based on local encoder) AND (G7025_FEC_BAJA = "9999-12-31" OR G7025_FEC_BAJA &gt; "REPORTING REFERENCE DATE") THEN G7025_FEALTREL</t>
  </si>
  <si>
    <t>IN.148</t>
  </si>
  <si>
    <t>DT_FRBRNC_STTS_PRVS_C19</t>
  </si>
  <si>
    <t>Initial date of first COVID-19 related forbearance measure status. Please report all COVID-related measures until 31 December 2022. Afterwards, please report Not Applicable default value</t>
  </si>
  <si>
    <t>The date on which the intial forboreance status as reported in “COVID-19 related forbearance measure status” is considered to have been established or changed.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</si>
  <si>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 xml:space="preserve">IF G7025_MOTRENU in (specify values based on local encoder) THEN MIN(G7025_FEALTREL) </t>
  </si>
  <si>
    <t>IN.149</t>
  </si>
  <si>
    <t>MTRTY_LTST_FRBRNC_MSR_C19</t>
  </si>
  <si>
    <t>Maturity of latest COVID19 related forbearnace measure. Please report all COVID-related measures until 31 December 2022. Afterwards, please report Not Applicable default value</t>
  </si>
  <si>
    <t>Only the residual maturity of other COVID-19-related forbearance measures in the form of a grace period/payment moratorium measures should be reported. The residual maturity of a grace period/payment moratorium is the time that elapses between the reference date and the end of application of the grace period/payment moratorium.  The maturity shall be commercially rounded and reported in months of the current grace period/payment moratorium.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</si>
  <si>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 in (specify values based on local encoder) AND (G7025_FEC_BAJA = "9999-12-31" OR G7025_FEC_BAJA &gt; "REPORTING REFERENCE DATE") THEN E0623_VCTO_RES. Note: report in months</t>
  </si>
  <si>
    <t>IN.150</t>
  </si>
  <si>
    <t>DT_END_GP_PPAL_C19</t>
  </si>
  <si>
    <t>End date of principal grace period for COVID19 related measures. Please report all COVID-related measures until 31 December 2022. Afterwards, please report Not Applicable default value</t>
  </si>
  <si>
    <t>The date on which the principal payment postponement ends according to the instrument agreement.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</si>
  <si>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G7025_MOTRENUG in (26;27;28;29) AND E0623_TIPCAREN = "1" AND (G7025_FEC_BAJA is not "9999-12-31" AND G7025_FEC_BAJA &lt; "REPORTING REFERENCE DATE") THEN MAX(G7025_FEC_BAJA); ELSE IF G7025_MOTRENUG in (26;27;28;29) AND E0623_TIPCAREN = "1" AND (G7025_FEC_BAJA is "9999-12-31" OR G7025_FEC_BAJA &gt; "REPORTING REFERENCE DATE") THEN E0623_FECFICAR</t>
  </si>
  <si>
    <t>IN.151</t>
  </si>
  <si>
    <t>DT_END_INTRST_ONLY_C19</t>
  </si>
  <si>
    <t>End date of the interest-only period for COVID19 related measures. Please report all COVID-related measures until 31 December 2022. Afterwards, please report Not Applicable default value</t>
  </si>
  <si>
    <t>The date on which the interest-only period ends. Interest-only instruments are those for which, for a contractually set period, only the interest on the principal balance is paid, with the principal balance remaining unchanged.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</si>
  <si>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G7025_MOTRENUG in (26;27;28;29) AND (E0623_TIPCAREN = "1" OR E0623_TIP_AMOR = "4") AND (G7025_FEC_BAJA is not "9999-12-31" AND G7025_FEC_BAJA &lt; "REPORTING REFERENCE DATE") THEN MAX(G7025_FEC_BAJA); ELSE IF G7025_MOTRENUG in (26;27;28;29) AND (E0623_TIPCAREN = "1" OR E0623_TIP_AMOR = "4") AND (G7025_FEC_BAJA is "9999-12-31" OR G7025_FEC_BAJA &gt; "REPORTING REFERENCE DATE") THEN E0623_FECFICAR</t>
  </si>
  <si>
    <t>IN.152</t>
  </si>
  <si>
    <t>SBJCT_PBLC_GRNT_SCHM_C19</t>
  </si>
  <si>
    <t>(Newly originated) Loan subject to a public guarantee scheme. Please report all COVID-related measures until 31 December 2022. Afterwards, please report Not Applicable default value</t>
  </si>
  <si>
    <t>Indicate whether the instrument is subject to a public guarantee scheme that was introduced in response to the COVID-19 situation. Only newly originated loans and advances as referred to in paragraph 15 of the EBA guidelines that are subject to public guarantee schemes that Member States introduced in response to the COVID-19 crisis. In case of refinancing of previous debt with a new loan or in case of repackaging of several debts into a new loan, the new loan recognised in the financial statements should be reported provided that it is covered by public guarantee schemes related to the COVID-19 crisis that Member States introduced in response to the COVID-19 crisis. 
Institutions should report “requested” when at least one individual client request for a public guarantee scheme was received regardless of whether the latter had been already implemented.
Institutions should report “covered” when at least one individual request for a public guarantee scheme has already been implemented.
Institutions should report “covered_called” whose public guarantee have already been called, regardless whether payment was received from the guarantor or not
Institutions should report “extended” when at least one implemented client request for a public guarantee scheme has been extended.
Institutions should report “expired” when the public guarantee scheme has expired.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</si>
  <si>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IN.153</t>
  </si>
  <si>
    <t>PBLC_GRNT_SCHM_C19_NM</t>
  </si>
  <si>
    <t>Name of public guarantee scheme applied. Please report all COVID-related measures until 31 December 2022. Afterwards, please report Not Applicable default value</t>
  </si>
  <si>
    <t>The name of the public guarantee scheme that was introduced in response to the COVID19 situation.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</si>
  <si>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G7025_MOTRENUG = "30" THEN R8180_DESCBAR</t>
  </si>
  <si>
    <t>IN.154</t>
  </si>
  <si>
    <t>PMNT_PBLC_GRNT_SCHM_C19</t>
  </si>
  <si>
    <t>Payment received from the public guarantor since inception of the public guarantee scheme introduced in response to the COVID19 situation. Please report all COVID-related measures until 31 December 2022. Afterwards, please report Not Applicable default value</t>
  </si>
  <si>
    <t>Institutions shall report the payment received from the public guarantee in response to the COVID-19 crisis for newly originated loans during the period.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</si>
  <si>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G7025_MOTRENUG = "30" THEN G4124_IMP_ACTU</t>
  </si>
  <si>
    <t>IN.155</t>
  </si>
  <si>
    <t>Security characteristics</t>
  </si>
  <si>
    <t>ASST_SCRT_CLSS</t>
  </si>
  <si>
    <t>Asset securitisation class</t>
  </si>
  <si>
    <t>To be reported if the instrument is a securitisation or covered bond.</t>
  </si>
  <si>
    <t>IN.156</t>
  </si>
  <si>
    <t>CPN_CRRNCY</t>
  </si>
  <si>
    <t xml:space="preserve">Coupon currency </t>
  </si>
  <si>
    <t>Currency in which the coupon is paid.</t>
  </si>
  <si>
    <t>IN.157</t>
  </si>
  <si>
    <t>CPN_RT_FXD</t>
  </si>
  <si>
    <t>Coupon rate (if fixed).</t>
  </si>
  <si>
    <t>IN.158</t>
  </si>
  <si>
    <t>Valuation</t>
  </si>
  <si>
    <t>DT_VLTN</t>
  </si>
  <si>
    <t>Valuation date</t>
  </si>
  <si>
    <t>Date of the last valuation.</t>
  </si>
  <si>
    <t>IN.159</t>
  </si>
  <si>
    <t>Use of security</t>
  </si>
  <si>
    <t>ELGBLTY_ECB</t>
  </si>
  <si>
    <t>Eligibility for standard central bank (ECB) operations</t>
  </si>
  <si>
    <t>Indicate whether the security meets the eligibility criteria for standard central bank (ECB) operations.</t>
  </si>
  <si>
    <t>IN.160</t>
  </si>
  <si>
    <t>GRNTR_ID</t>
  </si>
  <si>
    <t>VARCHAR(255)</t>
  </si>
  <si>
    <t>Guarantor ID</t>
  </si>
  <si>
    <t>Guarantor identifier if a guarantee has been provided.</t>
  </si>
  <si>
    <t>IF G4124_TIP_GARA in (1;2) THEN G4093_CODIDPER FROM TABLE JM_CLIENT_BII (BY JOINING BOTH TABLES ON G4124_BIENGAR1 = G4093_IDNUMCLI)</t>
  </si>
  <si>
    <t>IN.161</t>
  </si>
  <si>
    <t>GRNTR_ID_TYP</t>
  </si>
  <si>
    <t>Guarantor ID type</t>
  </si>
  <si>
    <t>Type of guarantor identifier if a guarantee has been provided.</t>
  </si>
  <si>
    <t>IF G4124_TIP_GARA in (1;2) THEN G4093_IDENTPER FROM TABLE JM_CLIENT_BII (BY JOINING BOTH TABLES ON G4124_BIENGAR1 = G4093_IDNUMCLI)</t>
  </si>
  <si>
    <t>It is necessary to identify the link between G4093_IDENTPER local code list and GRNTR_ID_TYP code list</t>
  </si>
  <si>
    <t>IN.162</t>
  </si>
  <si>
    <t>Risk parameters</t>
  </si>
  <si>
    <t>HEDGE_ID</t>
  </si>
  <si>
    <t>Hedge ID</t>
  </si>
  <si>
    <t>Hedge ID if the position is part of an economic/accounting hedge.</t>
  </si>
  <si>
    <t>IN.163</t>
  </si>
  <si>
    <t>INSTR_SNRTY_CLSS</t>
  </si>
  <si>
    <t>Instrument seniority type</t>
  </si>
  <si>
    <t>Instrument type according to its seniority.</t>
  </si>
  <si>
    <t>IN.164</t>
  </si>
  <si>
    <t>INSTRMNT_CLSS</t>
  </si>
  <si>
    <t>Instrument class</t>
  </si>
  <si>
    <t xml:space="preserve">The class of the instrument according to ESA 2010. </t>
  </si>
  <si>
    <t>IF (DT_ORGNL_MTRTY - DT_RFRNC) &lt; 1 year THEN "F_31"; ELSE "F_32"</t>
  </si>
  <si>
    <t>DT_ORGNL_MTRTY and DT_RFRNC refer to the LT data fields IN.072 and IN.007</t>
  </si>
  <si>
    <t>IN.165</t>
  </si>
  <si>
    <t>International Securities Identification Number (ISIN)</t>
  </si>
  <si>
    <t>IF G4095_IDEMIS = "01" THEN G4095_IDEMISI</t>
  </si>
  <si>
    <t>IN.166</t>
  </si>
  <si>
    <t>ISSR_CNTRY</t>
  </si>
  <si>
    <t>Country of the issuer</t>
  </si>
  <si>
    <t>The country code of the country where the registered office of the issuer is located. To be completed only where no ISIN has been provided</t>
  </si>
  <si>
    <t>IN.167</t>
  </si>
  <si>
    <t>ISSR_ESA_2010</t>
  </si>
  <si>
    <t>Issuer ESA 2010</t>
  </si>
  <si>
    <t>European System of National and Regional Accounts (ESA) 2010 sector of the issuer.</t>
  </si>
  <si>
    <t>IN.168</t>
  </si>
  <si>
    <t>ISSR_ID</t>
  </si>
  <si>
    <t>ID of the issuer</t>
  </si>
  <si>
    <t>Unique code (Legal Entity Identifier (LEI) where available) identifying the reporting counterparty (legal entity).</t>
  </si>
  <si>
    <t>IN.169</t>
  </si>
  <si>
    <t>ISSR_ID_TYP</t>
  </si>
  <si>
    <t>Type of ID of the issuer</t>
  </si>
  <si>
    <t>Type of code used to identify the issuer (Legal entity)</t>
  </si>
  <si>
    <t>JM_CLIENT_BII - G4093_IDENTPER</t>
  </si>
  <si>
    <t>It is necessary to identify the link between G4093_IDENTPER local code list and ISSR_ID_TYP code list</t>
  </si>
  <si>
    <t>IN.170</t>
  </si>
  <si>
    <t>ISSR_NACE_SCTR</t>
  </si>
  <si>
    <t>Issuer NACE sector</t>
  </si>
  <si>
    <t>Sector according to NACE classification</t>
  </si>
  <si>
    <t>IN.171</t>
  </si>
  <si>
    <t>Issuer data</t>
  </si>
  <si>
    <t>ISSR_RTNG</t>
  </si>
  <si>
    <t>Issuer Rating(s)</t>
  </si>
  <si>
    <t>Rating of the counterparty as of cut-off date.In the event of multiple ratings, these should be separated by comma.</t>
  </si>
  <si>
    <t>IN.172</t>
  </si>
  <si>
    <t>ISSR_RTNG_SRC</t>
  </si>
  <si>
    <t>Issuer Rating(s) Source(s)</t>
  </si>
  <si>
    <t>The name of the agency providing the rating. Include only those ratings from rating agencies that are specified in the securitisation documentation. In the event of multiple ratings, the sources should be separated by commas and their order be the same as the ratings provided in other fields.</t>
  </si>
  <si>
    <t>IN.173</t>
  </si>
  <si>
    <t>Parties to the financial contract</t>
  </si>
  <si>
    <t>ISSR_TYP</t>
  </si>
  <si>
    <t>Type of Issuer</t>
  </si>
  <si>
    <t>Field to identify if the issuer is other Santander Group’s entity or a third party. Other group entity refers to entities that are part of the same group as the bank (inter-affiliate exposures). Third party refers to external parties.</t>
  </si>
  <si>
    <t xml:space="preserve">IF G5508_ORIG_EMP in (-1, 0, 99999) THEN "2"; ELSE "1"
</t>
  </si>
  <si>
    <t>IN.174</t>
  </si>
  <si>
    <t>LCR_BFFR_CTGRY</t>
  </si>
  <si>
    <t>Category of LCR buffer</t>
  </si>
  <si>
    <t>Indicate which part of the LCR buffer the security was part of.</t>
  </si>
  <si>
    <t>IN.175</t>
  </si>
  <si>
    <t>PRCH_UNDR_RSL_AGR</t>
  </si>
  <si>
    <t>Purchased under resale agreement</t>
  </si>
  <si>
    <t>Indicate whether the security was purchased with an agreement to resell it at a later stage (e.g. reverse repo, collateral swap, etc.).</t>
  </si>
  <si>
    <t>IN.176</t>
  </si>
  <si>
    <t>Accounting information</t>
  </si>
  <si>
    <t>PRDNTL_PRTFL</t>
  </si>
  <si>
    <t>Prudential portfolio of the instrument</t>
  </si>
  <si>
    <t xml:space="preserve">Indicate if the instrument is classified in the trading book or in the banking book for prudential purposes. </t>
  </si>
  <si>
    <t>IN.177</t>
  </si>
  <si>
    <t>PRMRY_ASST_CLSSF</t>
  </si>
  <si>
    <t>Primary asset classification</t>
  </si>
  <si>
    <t>Type of instrument.</t>
  </si>
  <si>
    <t>IN.178</t>
  </si>
  <si>
    <t>PRT_LCR_BFFR</t>
  </si>
  <si>
    <t>Part of LCR buffer</t>
  </si>
  <si>
    <t>Indicate whether the security meets the eligibility criteria for LCR buffer.</t>
  </si>
  <si>
    <t>IN.179</t>
  </si>
  <si>
    <t>CPN_RT_FLTNG</t>
  </si>
  <si>
    <t>Coupon rate (if floating).</t>
  </si>
  <si>
    <t>JM_CONTR_OTROS - E0623_TIP_INTE</t>
  </si>
  <si>
    <t>IN.180</t>
  </si>
  <si>
    <t>SPRD</t>
  </si>
  <si>
    <t xml:space="preserve">Spread </t>
  </si>
  <si>
    <t>Spread over the reference rate (if floating).</t>
  </si>
  <si>
    <t>JM_CONTR_OTROS - E0623_DIFERNCI</t>
  </si>
  <si>
    <t>IN.181</t>
  </si>
  <si>
    <t>SRCS_ENCMBRNC</t>
  </si>
  <si>
    <t>Sources of encumbrance</t>
  </si>
  <si>
    <t xml:space="preserve">Indicate the source of encumbrance for the security. If more than one source applies please report all the sources of encumbrance separated by comma (,). </t>
  </si>
  <si>
    <t>IN.182</t>
  </si>
  <si>
    <t>TYPE_OF_PLCMNT</t>
  </si>
  <si>
    <t>Type of placement</t>
  </si>
  <si>
    <t xml:space="preserve">Public or private. Public refers to issuances in capital markets that have been allocated an ISIN. Private refers to securities structured for clients or other third parties that were sold bilaterally </t>
  </si>
  <si>
    <t>IF "ISIN" is reported THEN "Public"; ELSE "Private"</t>
  </si>
  <si>
    <t>ISIN refers to the LT data field IN.165</t>
  </si>
  <si>
    <t>IN.183</t>
  </si>
  <si>
    <t>VLTN_CRRNCY</t>
  </si>
  <si>
    <t>Currency of the value</t>
  </si>
  <si>
    <t>The currency used for the valuation of the security. (local accounting currency)</t>
  </si>
  <si>
    <t>IN.184</t>
  </si>
  <si>
    <t>VLTN_TYP</t>
  </si>
  <si>
    <t>Valuation type</t>
  </si>
  <si>
    <t>Indicate whether valuation was performed mark-to-market or mark-to-model.</t>
  </si>
  <si>
    <t>If G5519_MTM OR G5519_MTM_BRUT is reported THEN "1"; ELSE "2"</t>
  </si>
  <si>
    <t>IN.185</t>
  </si>
  <si>
    <t>LVRG_FNNC_FLG</t>
  </si>
  <si>
    <t>Leverage finance flag</t>
  </si>
  <si>
    <t>Loans considered Leveraged finance as per the "Guidance on leveraged transactions".</t>
  </si>
  <si>
    <t>IN.186</t>
  </si>
  <si>
    <t>INTRNL_SGMNT_IFRS9</t>
  </si>
  <si>
    <t>IFRS9 Segment</t>
  </si>
  <si>
    <t>Bank-internal IFRS9 portfolio segmentation. Please report the IFRS9 segment name (e.g. Corporate, SME, Mortgage, etc). Do not report a code.</t>
  </si>
  <si>
    <t>JM_CTO_IFRS9 - T2417_SEGIFRS9</t>
  </si>
  <si>
    <t>IN.187</t>
  </si>
  <si>
    <t>INTRNL_SGMNT_CAT_MSTA</t>
  </si>
  <si>
    <t>COREP Segment - Final Category BIS II</t>
  </si>
  <si>
    <t>Bank-internal COREP segmentation - Final Category BIS II</t>
  </si>
  <si>
    <t>IF Contract in JM_CTO_AJ_REG THEN O9209_CAT_MSTA; ELSE IF Contract in JM_AMP_AJ_STD THEN T0254_CATPSFIN; ELSE IF Contract in JM_SIM_AJ_STD THEN T0256_CATPSFIN</t>
  </si>
  <si>
    <t>IN.188</t>
  </si>
  <si>
    <t>INTRNL_SGMNT_CATGSUB</t>
  </si>
  <si>
    <t>COREP Segment - Final Subcategory BIS II</t>
  </si>
  <si>
    <t>Bank-internal COREP segmentation - Final Subcategory BIS II</t>
  </si>
  <si>
    <t xml:space="preserve">IF Contract in JM_CTO_AJ_REG THEN O9209_CATGSUB1; ELSE IF Contract in JM_AMP_AJ_STD THEN T0254_SBCPSFIN; ELSE IF Contract in JM_SIM_AJ_STD THEN T0256_SBCPSFIN </t>
  </si>
  <si>
    <t>IN.189</t>
  </si>
  <si>
    <t>CRRLTN_CFFCNT</t>
  </si>
  <si>
    <t>Coefficient of correlation (R)</t>
  </si>
  <si>
    <t>The coeefficient of correlation pursuant to Art. 154 Regulation (EU) No 575/2013.</t>
  </si>
  <si>
    <t>Mapping available in the future</t>
  </si>
  <si>
    <t>This mapping will be available in BDR (JM_CTO_CATEG2)</t>
  </si>
  <si>
    <t>IN.190</t>
  </si>
  <si>
    <t>ISIN_SCRTSTN</t>
  </si>
  <si>
    <t>ISIN code of the securitisation bonds and SRT (Y/N)</t>
  </si>
  <si>
    <t xml:space="preserve">Report the flag (“SRT=Y”) or (“SRT=N”) + ISIN ID of each securitisation bond, according to if the underlying contracts have, or not, significant risk transfer. Art. 244 (2) (a) (b) and (3) (a) and article 245 (2) (a) (b) and (3) (a) of Regulation (EU) No 575/2013.
- If there is significant risk transfer (SRT) then report  SRT=Y, ISIN1, ISIN2, ISIN3, etc. 
- If there is not significant risk transfer (SRT) then report  SRT=N, ISIN1, ISIN2, ISIN3, etc. </t>
  </si>
  <si>
    <t>IN.191</t>
  </si>
  <si>
    <t>CNTRCT_ID_BDR</t>
  </si>
  <si>
    <t xml:space="preserve">BDR Contract ID </t>
  </si>
  <si>
    <t>BDR internal contract identifier (CONTRA1).  Each contract must have one contract identifier. This value will not change over time and cannot be used as the contract identifier for any other contract.</t>
  </si>
  <si>
    <t>CONTRA1</t>
  </si>
  <si>
    <t>IN.192</t>
  </si>
  <si>
    <t>COD_SOC_INTRGRP</t>
  </si>
  <si>
    <t>00000</t>
  </si>
  <si>
    <t>Cargabal identification code of the intragroup exposure</t>
  </si>
  <si>
    <t>Cargabal identification code or internal identifier of the intragroup exposure</t>
  </si>
  <si>
    <t>IN.193</t>
  </si>
  <si>
    <t>LCL_INSTMRNT_ID</t>
  </si>
  <si>
    <t>Local Instrument ID</t>
  </si>
  <si>
    <t>Local instrument ID is an identifier applied by the reporting agent to identify each instrument under a single contract applying Local Unit’s criteria instead of ECB (Anacredit) criteria. This will help to ease traceability with local systems.</t>
  </si>
  <si>
    <t>SSTNBL_INDCTR</t>
  </si>
  <si>
    <t>Sustainable Indicator</t>
  </si>
  <si>
    <t>SSTNBL_CTGRY</t>
  </si>
  <si>
    <t>IN.196</t>
  </si>
  <si>
    <t>AVRG_BLNC</t>
  </si>
  <si>
    <t>Average balance (YTD)</t>
  </si>
  <si>
    <t>The average balance is a yearly accumulated data, which is calculated at instrument level as the average of daily balances of the instrument.</t>
  </si>
  <si>
    <t>IN.197</t>
  </si>
  <si>
    <t>NW_BSNSS</t>
  </si>
  <si>
    <t>New Business</t>
  </si>
  <si>
    <t>Flag to identify if the instrument is considered new business based on Management Control criteria</t>
  </si>
  <si>
    <t>IN.198</t>
  </si>
  <si>
    <t>GRSS_INTRST_INCM</t>
  </si>
  <si>
    <t>Gross Interest income before distribution to SCIB under the Collabotarion Revenues distribution agreement (YTD)</t>
  </si>
  <si>
    <t xml:space="preserve">Gross interest income (amount that is allocated in the P&amp;L) accrued by the instrument during the reporting year.  </t>
  </si>
  <si>
    <t>IN.199</t>
  </si>
  <si>
    <t>GRSS_CMMSSN_INCM</t>
  </si>
  <si>
    <t>Gross fee and commission income before distribution to SCIB under the Collabotarion Revenues distribution agreement (YTD)</t>
  </si>
  <si>
    <t>Gross fee and commission income (amount that is allocated in the P&amp;L) accrued by the instrument during the reporting  year</t>
  </si>
  <si>
    <t>IN.200</t>
  </si>
  <si>
    <t>INTRNL_TRNSFR_RT</t>
  </si>
  <si>
    <t>Internal transfer rate amount</t>
  </si>
  <si>
    <t>Internal transfer rate (ITR) or (TTI in Spanish) system is a fundamental tool to measure performance and profitability of the Business Areas. By taking into account interest rate and liquidity risks generated by business activities, it is also an important mechanism to manage liquidity and Bank's balance sheet structure. Likewise, it constitutes a tool for the business units in the pricing process.</t>
  </si>
  <si>
    <t>IN.201</t>
  </si>
  <si>
    <t>NT_LN_LSS_PRVSN</t>
  </si>
  <si>
    <t>Net loan-loss provisions (YTD)</t>
  </si>
  <si>
    <t>Net loan-loss provision is the IFRS9 provision that has been set or release on the instrument during the reporting year.</t>
  </si>
  <si>
    <t>IN.202</t>
  </si>
  <si>
    <t>BSNSS_AREA</t>
  </si>
  <si>
    <t>Business Area</t>
  </si>
  <si>
    <t>Business areas where the instrument falls according to Management Control segmentation</t>
  </si>
  <si>
    <t>IN.203</t>
  </si>
  <si>
    <t>MNGMNT_PRDCT</t>
  </si>
  <si>
    <t>Management Product</t>
  </si>
  <si>
    <t>Type of product of the instrument based on Control Management segmentation.</t>
  </si>
  <si>
    <t>IN.204</t>
  </si>
  <si>
    <t>GRSS_CMMSSN_EXPNS</t>
  </si>
  <si>
    <t>Gross fee and commission expense before distribution to SCIB under the Collabotarion Revenues distribution agreement (YTD)</t>
  </si>
  <si>
    <t>Gross fee and commission expense (amount that is allocated in the P&amp;L) accrued by the instrument during the reporting  year</t>
  </si>
  <si>
    <t>IN.205</t>
  </si>
  <si>
    <t>GNS_FNNCL_TRNSCTN_EXCHNG_DFFRNCS</t>
  </si>
  <si>
    <t>Gains (Losses) On Financial Transaction (gft) And Exchange Differences, before distribution to SCIB under the Collabotarion Revenues distribution agreement (YTD)</t>
  </si>
  <si>
    <t>Result on Financial Operations (ROF) Valuation adjustments of financial instruments and exchange differences associated with operations within the scope of LdN Green (e.g. DCM, derivatives, etc.), following the same rules defined in Corporate Criteria.</t>
  </si>
  <si>
    <t>IN.206</t>
  </si>
  <si>
    <t>FLG_INTRBSNSS</t>
  </si>
  <si>
    <t>Flag of interbusiness</t>
  </si>
  <si>
    <t>This flag allows to identify whether or not an instrument is subject to interbusiness allocation.</t>
  </si>
  <si>
    <t>IN.207</t>
  </si>
  <si>
    <t>INTRBSNSS_ADJ_COD</t>
  </si>
  <si>
    <t>Interbusiness adjustment code</t>
  </si>
  <si>
    <t>Code that identifies the type of interbusiness adjustment</t>
  </si>
  <si>
    <t>IN.208</t>
  </si>
  <si>
    <t>COD_SOC_DSTNTN</t>
  </si>
  <si>
    <t>Cargabal identification code of the destination entity</t>
  </si>
  <si>
    <t>Entity code of the company to which interbusiness applies (destination society)</t>
  </si>
  <si>
    <t>IN.209</t>
  </si>
  <si>
    <t>BSNSS_AREA_DSTNTN</t>
  </si>
  <si>
    <t>Destination Business area</t>
  </si>
  <si>
    <t>Entity code of the business area to which interbusiness applies (business area destination)</t>
  </si>
  <si>
    <t>IN.210</t>
  </si>
  <si>
    <t>AVRG_BLNC_OFF_BLNC</t>
  </si>
  <si>
    <t>Average off balance (YTD)</t>
  </si>
  <si>
    <t>The average off balance amount is a yearly accumulated data, which is calculated at instrument level as the average of daily off balances of the instrument.</t>
  </si>
  <si>
    <t>IN.211</t>
  </si>
  <si>
    <t>INTRNL_TRNSFR_RT_OFF_BLNC</t>
  </si>
  <si>
    <t>Internal transfer rate due to off balance amounts</t>
  </si>
  <si>
    <t>Internal transfer rate (ITR or TTI in Spanish) from off balance amounts</t>
  </si>
  <si>
    <t>IN.212</t>
  </si>
  <si>
    <t>GRSS_CMMSSN_INCM_OFF_BLNC</t>
  </si>
  <si>
    <t>Gross fee and commission income corresponding to off balance product before distribution to SCIB under the Collabotarion Revenues distribution agreement  (YTD)</t>
  </si>
  <si>
    <t>Gross fee and commission income off balance (amount that is allocated in the P&amp;L) accrued by the instrument during the reporting year</t>
  </si>
  <si>
    <t>IN.213</t>
  </si>
  <si>
    <t>GRSS_CMMSSN_EXPNS_OFF_BLNC</t>
  </si>
  <si>
    <t>Gross fee and commission expense corresponding to off balance product before distribution to SCIB under the Collabotarion Revenues distribution agreement  (YTD)</t>
  </si>
  <si>
    <t>Gross fee and commission expense off balance (amount that is allocated in the P&amp;L) accrued by the instrument during the reporting  year</t>
  </si>
  <si>
    <t>IN.214</t>
  </si>
  <si>
    <t>RWA_OFF_BLNC</t>
  </si>
  <si>
    <t>RWA Off Balance</t>
  </si>
  <si>
    <t>RWA off balance according to Regulation (EU) No 575/2013.</t>
  </si>
  <si>
    <t>IN.215</t>
  </si>
  <si>
    <t>GRSS_INTRST_EXPNS</t>
  </si>
  <si>
    <t>Gross Interest expense before distribution to SCIB under the Collabotarion Revenues distribution agreement  (YTD)</t>
  </si>
  <si>
    <t>Gross interest expenses (amount that is allocated in the P&amp;L) accrued by the instrument during the reporting  year</t>
  </si>
  <si>
    <t>IN.216</t>
  </si>
  <si>
    <t>NT_LN_LSS_PRVSN_OFF_BLNC</t>
  </si>
  <si>
    <t>Net loan-loss provisions corresponding to off balance exposures  (YTD)</t>
  </si>
  <si>
    <t xml:space="preserve"> Net loan-loss provisions corresponding to off balance exposures is the IFRS9 off balance provision that has been set or release on the instrument during the reporting year.</t>
  </si>
  <si>
    <t>IN.217</t>
  </si>
  <si>
    <t>GRSS_INTRST_INCM_CCRR</t>
  </si>
  <si>
    <t>Gross Interest income distributed to SCIB under the Collabotarion Revenues distribution agreement  (YTD)</t>
  </si>
  <si>
    <t xml:space="preserve">Gross interest income (amount that is allocated in the P&amp;L) accrued by the instrument during the reporting  year for a CIB Management Product.  </t>
  </si>
  <si>
    <t>IN.218</t>
  </si>
  <si>
    <t>GRSS_INTRST_EXPNS_CCRR</t>
  </si>
  <si>
    <t>Gross Interest expense distributed to SCIB under the Collabotarion Revenues distribution agreement  (YTD)</t>
  </si>
  <si>
    <t>Gross interest expenses (amount that is allocated in the P&amp;L) accrued by the instrument during the reporting  year for a CIB Management Product.</t>
  </si>
  <si>
    <t>IN.219</t>
  </si>
  <si>
    <t>GRSS_CMMSSN_INCM_CCRR</t>
  </si>
  <si>
    <t>Gross fee and commission income distributed to SCIB under the Collabotarion Revenues distribution agreement  (YTD)</t>
  </si>
  <si>
    <t>Gross fee and commission income (amount that is allocated in the P&amp;L) accrued by the instrument during the reporting  year for a CIB Management Product</t>
  </si>
  <si>
    <t>IN.220</t>
  </si>
  <si>
    <t>GRSS_CMMSSN_EXPNS_CCRR</t>
  </si>
  <si>
    <t>Gross fee and commission expense distributed to SCIB under the Collabotarion Revenues distribution agreement  (YTD)</t>
  </si>
  <si>
    <t>Gross fee and commission expense (amount that is allocated in the P&amp;L) accrued by the instrument during the reporting  year for a CIB Management Product</t>
  </si>
  <si>
    <t>IN.221</t>
  </si>
  <si>
    <t>GNS_FNNCL_TRNSCTN_EXCHNG_CCRR</t>
  </si>
  <si>
    <t>Gains (Losses) On Financial Transaction (gft) And Exchange Differences distributed to SCIB under the Collabotarion Revenues distribution agreement  (YTD)</t>
  </si>
  <si>
    <t>Result on Financial Operations (ROF) Valuation adjustments of financial instruments and exchange differences associated with operations within the scope of LdN Green (e.g. DCM, derivatives, etc.), following the same rules defined in Corporate Criteria for a CIB Management Product.</t>
  </si>
  <si>
    <t>IN.222</t>
  </si>
  <si>
    <t>BSNSS_AREA_CCRR</t>
  </si>
  <si>
    <t>Business Area related to CIB</t>
  </si>
  <si>
    <t>IN.223</t>
  </si>
  <si>
    <t>GRSS_CMMSSN_INCM_OFF_BLNC_CCRR</t>
  </si>
  <si>
    <t>Gross fee and commission income corresponding to off balance product distributed to SCIB under the Collabotarion Revenues distribution agreement  (YTD)</t>
  </si>
  <si>
    <t>Gross fee and commission income off balance (amount that is allocated in the P&amp;L) accrued by the instrument during the reporting  year for a CIB Management Product</t>
  </si>
  <si>
    <t>IN.224</t>
  </si>
  <si>
    <t>GRSS_CMMSSN_EXPNS_OFF_BLNC_CCRR</t>
  </si>
  <si>
    <t>Gross fee and commission expense corresponding to off balance product distributed to SCIB under the Collabotarion Revenues distribution agreement  (YTD)</t>
  </si>
  <si>
    <t>Gross fee and commission expense off balance (amount that is allocated in the P&amp;L) accrued by the instrument during the reporting  year for a CIB Management Product</t>
  </si>
  <si>
    <t>ENVRNMNTL_OBJCTV</t>
  </si>
  <si>
    <t>Environmental objective</t>
  </si>
  <si>
    <t>The Taxonomy Regulation establishes six environmental objectives, our of which for now only 2 have been developed (climate change mitigation and climate change adaptation). Required breakdown according to the contribution of a specific transaction to the environmental objectives stablished by the EU Taxonomy Regulation:Climate change mitigation or Climate change adaptation. Other 4 objectives are still under development, therefore they are not yet provided as possible values (Sustainable use and protection of water and marine resources, Transition to a circular economy, Pollution prevention and control, Protection and restoration of biodiversity and ecosystems).
Where the same exposure is relevant for two environmental objectives, it shall be allocated to the most relevant objective.</t>
  </si>
  <si>
    <t>IN.226</t>
  </si>
  <si>
    <t>RSK_MTGTD_CCT</t>
  </si>
  <si>
    <t>Risk Mitigated CCT</t>
  </si>
  <si>
    <t>Identify whether the financing is mitigating any of the transition risks defined by the TCFD (Task Force on Climate-Related Financial Disclosures)</t>
  </si>
  <si>
    <t>IN.227</t>
  </si>
  <si>
    <t>RSK_MTGTD_CCP</t>
  </si>
  <si>
    <t>Risk Mitigated CCP</t>
  </si>
  <si>
    <t xml:space="preserve">Identify whether the financing is mitigating any physical risk such as chronic or acute hazard as defined by the TCFD (Task Force on Climate-Related Financial Disclosures) </t>
  </si>
  <si>
    <t>TYP_ACTVTY</t>
  </si>
  <si>
    <t>Type of activity</t>
  </si>
  <si>
    <t>Type of activity being financed</t>
  </si>
  <si>
    <t>IN.229</t>
  </si>
  <si>
    <t>LNS_CLLTRLZD_CLSSFCTN</t>
  </si>
  <si>
    <t>Loans collateralized classification</t>
  </si>
  <si>
    <t>Classification of the loans collateralized according to the Master breakdown for the field “collateral"</t>
  </si>
  <si>
    <t>IN.230</t>
  </si>
  <si>
    <t>MTHD_USD_INSTRMNT_SCP_1</t>
  </si>
  <si>
    <t>Financed emissions calculation approach at instrument level scope 1</t>
  </si>
  <si>
    <t>IN.231</t>
  </si>
  <si>
    <t>MTHD_USD_INSTRMNT_SCP_2</t>
  </si>
  <si>
    <t>Financed emissions calculation approach at instrument level scope 2</t>
  </si>
  <si>
    <t>IN.232</t>
  </si>
  <si>
    <t>MTHD_USD_INSTRMNT_SCP_3</t>
  </si>
  <si>
    <t>Financed emissions calculation approach at instrument level scope 3</t>
  </si>
  <si>
    <t>IN.233</t>
  </si>
  <si>
    <t>CNCLLD_INSTRMNT_STTS</t>
  </si>
  <si>
    <t>Cancelled instrument status</t>
  </si>
  <si>
    <t>This field indicates if the instrument has been cancelled or not during the year of the reference date</t>
  </si>
  <si>
    <t>IN.234</t>
  </si>
  <si>
    <t>IDCMB</t>
  </si>
  <si>
    <t>IDCOMB</t>
  </si>
  <si>
    <t xml:space="preserve">Unique identifier that groups balance sheet and P&amp;L accounting metrics based on a set of dimensions. This field is used to achieve the accounting alignment and links the Loan Tape to Master and Satellites. IDCOMB will replace in the future the 'Subportfolio ID' field. </t>
  </si>
  <si>
    <t>IN.235</t>
  </si>
  <si>
    <t>EXPCTD_LSS_CRR</t>
  </si>
  <si>
    <t>Expected loss (CRR)</t>
  </si>
  <si>
    <t>Prudential expected loss amount (IRB) at reference date.</t>
  </si>
  <si>
    <t>IN.236</t>
  </si>
  <si>
    <t>LSTI</t>
  </si>
  <si>
    <t>LSTI at reference date</t>
  </si>
  <si>
    <t>Loan Service To Income (LSTI) as defined in Recommendation ESRB/2016/14 as amended by Recommendation ESRB/2019/3, Annex IV, i.e. ‘disposable income’ of the borrower at numerator. The income should include to the extent possible the following items: Disposable income = employee income + self-employment income (e.g. profits) + income from public pensions + income from private and occupational pensions + income from unemployment benefits + income from social transfers other than unemployment benefits + regular private transfers (such as alimonies) + gross rental income from real estate property + income from financial investments + income from private business or partnership + regular income from other sources + loan subsidies – taxes – health care/social security/medical insurance premiums + tax rebates. 
Income and debt information should be reported at the latest available date. If only income information at origination is available, then income at origination should be reported.</t>
  </si>
  <si>
    <t>IN.237</t>
  </si>
  <si>
    <t>DSTI</t>
  </si>
  <si>
    <t>DSTI at reference date</t>
  </si>
  <si>
    <t>Debt Service to Income (DSTI) as defined in Recommendation ESRB/2016/14 as amended by Recommendation ESRB/2019/3, Annex IV, i.e. ‘disposable income’ of the borrower at numerator. The income should include to the extent possible the following items: Disposable income = employee income + self-employment income (e.g. profits) + income from public pensions + income from private and occupational pensions + income from unemployment benefits + income from social transfers other than unemployment benefits + regular private transfers (such as alimonies) + gross rental income from real estate property + income from financial investments + income from private business or partnership + regular income from other sources + loan subsidies – taxes – health care/social security/medical insurance premiums + tax rebates. 
Debt Services is the annual debt servicing costs of the total debt of the borrower, whether or not this debt is secured by real estate, including all outstanding financial loans, granted by the bank itself or by other lenders. 
Income and debt information should be reported at the latest available date. If only income information at origination is available, then income at origination should be reported.</t>
  </si>
  <si>
    <t>IN.238</t>
  </si>
  <si>
    <t>LTI_INSTRMNT</t>
  </si>
  <si>
    <t>Loan to Income (LTI) as defined in Recommendation ESRB/2016/14 as amended by Recommendation ESRB/2019/3, Annex IV, i.e. ‘disposable income’ of the borrower at numerator. The income should include to the extent possible the following items: Disposable income = employee income + self-employment income (e.g. profits) + income from public pensions + income from private and occupational pensions + income from unemployment benefits + income from social transfers other than unemployment benefits + regular private transfers (such as alimonies) + gross rental income from real estate property + income from financial investments + income from private business or partnership + regular income from other sources + loan subsidies – taxes – health care/social security/medical insurance premiums + tax rebates. 
Income and debt information should be reported at the latest available date. If only income information at origination is available, then income at origination should be reported.</t>
  </si>
  <si>
    <t>IN.239</t>
  </si>
  <si>
    <t>SSTNBL_CTGRY_TXNMY</t>
  </si>
  <si>
    <t>Sustainable category according to the European Taxonomy</t>
  </si>
  <si>
    <t>Sustainable category has four levels of information. First level is subsector (non financial corporations, financial corporations, households and local governments). Second level of general or specific purpose. Under specific purpose categories, there are more granular categories to classify the exposures as not eligible, eligible but not aligned and eligible and aligned</t>
  </si>
  <si>
    <t>IN.240</t>
  </si>
  <si>
    <t>INTRST_RT_CP</t>
  </si>
  <si>
    <t>Interest rate cap</t>
  </si>
  <si>
    <t>The maximum interest rate per annum that can be charged on the outstanding nominal amount (or parts thereof).</t>
  </si>
  <si>
    <t>IN.241</t>
  </si>
  <si>
    <t>INTRST_RT_FLR</t>
  </si>
  <si>
    <t>Interest rate floor</t>
  </si>
  <si>
    <t>The minimum interest rate per annum that can be charged on the outstanding nominal amount (or parts thereof).</t>
  </si>
  <si>
    <t>IN.242</t>
  </si>
  <si>
    <t>NMNL_INTRST_RT_FEE</t>
  </si>
  <si>
    <t>Nominal interest rate or fee</t>
  </si>
  <si>
    <t>Notional interest rate or fee as agreed and payable for the off balance sheet amount</t>
  </si>
  <si>
    <t>IN.243</t>
  </si>
  <si>
    <t>RFRNC_RT</t>
  </si>
  <si>
    <t xml:space="preserve">Reference interest rate </t>
  </si>
  <si>
    <t xml:space="preserve">Reference rate used for the calculation of the actual interest rate. </t>
  </si>
  <si>
    <t>IN.244</t>
  </si>
  <si>
    <t>DT_STTLMNT</t>
  </si>
  <si>
    <t>Settlement date</t>
  </si>
  <si>
    <t>The date on which the conditions specified in the contract are or can be executed for the first time, i.e. the date on which financial instruments are initially exchanged or created</t>
  </si>
  <si>
    <t>IN.245</t>
  </si>
  <si>
    <t>TRNSFRRD_AMNT</t>
  </si>
  <si>
    <t>Transferred amount</t>
  </si>
  <si>
    <t>Transferred amount of the economic ownership of the financial asset to third parties. This data attribute captures the part of the outstanding nominal amount that has been transferred to another creditor.</t>
  </si>
  <si>
    <t>IN.246</t>
  </si>
  <si>
    <t>TYP_SCRTZTN</t>
  </si>
  <si>
    <t>Type of securitization</t>
  </si>
  <si>
    <t>Captures the type of securitization, if any, to which the instrument has been subject, in accordance with Article 242(10), (11), 243 and 244 of Regulation (EU) No 575/2013.</t>
  </si>
  <si>
    <t>IN.247</t>
  </si>
  <si>
    <t>TYP_OFF_BLNC_PRDCT</t>
  </si>
  <si>
    <t>Type of off balance product</t>
  </si>
  <si>
    <t>Type of commitment or guarantee as per FINREP classification</t>
  </si>
  <si>
    <t>IN.248</t>
  </si>
  <si>
    <t>BLNC_SHT_RCGNTN</t>
  </si>
  <si>
    <t>Balance sheet recognition</t>
  </si>
  <si>
    <t xml:space="preserve">Balance sheet recognition of the financial asset. This data attribute classifies the reported instruments pursuant to their balance sheet recognition in accordance with Annex III and Template 15 in Annex IV to the ITS. </t>
  </si>
  <si>
    <t>IN.249</t>
  </si>
  <si>
    <t>FLG_DFLT</t>
  </si>
  <si>
    <t>Flag default (CRR Exposure class)</t>
  </si>
  <si>
    <t>Instrument classifies as Defaulted based on CRR Exposure classes.</t>
  </si>
  <si>
    <t>IN.250</t>
  </si>
  <si>
    <t>FLG_HGH_RSK</t>
  </si>
  <si>
    <t>Flag high risk (CRR Exposure class)</t>
  </si>
  <si>
    <t>Instrument classifies as High Risk based on CRR Exposure classes.</t>
  </si>
  <si>
    <t>IN.251</t>
  </si>
  <si>
    <t>EXCLDD_LF</t>
  </si>
  <si>
    <t>Excluded Leveraged Transaction Exposures</t>
  </si>
  <si>
    <t>Excluded Leveraged Transaction Exposures refers to exposures as per the definition provided in Section 3 of the ECB Guidance on Leveraged Transactions</t>
  </si>
  <si>
    <t>IN.252</t>
  </si>
  <si>
    <t>RWA_MTGTN</t>
  </si>
  <si>
    <t>RWA for exposures subject to credit risk mitigation techniques</t>
  </si>
  <si>
    <t>Risk weighted assets (RWAs) associated to the instrument for those exposures that are subject to credit risk mitigation.</t>
  </si>
  <si>
    <t>IN.253</t>
  </si>
  <si>
    <t>RWA_PRMTGTN</t>
  </si>
  <si>
    <t>RWA premitigation</t>
  </si>
  <si>
    <t>Risk weighted assets (RWAs) before the application of credit risk mitigation techniques.</t>
  </si>
  <si>
    <t>IN.254</t>
  </si>
  <si>
    <t>US_PRCDS</t>
  </si>
  <si>
    <t>Use of proceeds</t>
  </si>
  <si>
    <t>Refers to what the financing is going to be used for.</t>
  </si>
  <si>
    <t>IN.255</t>
  </si>
  <si>
    <t>TTL_LVRG_RT_INCPTN</t>
  </si>
  <si>
    <t>Leverage ratio at inception date</t>
  </si>
  <si>
    <t>Leverage ratio (as per ECB Guidance on leveraged transactions) as at deal inception. It refers to the ratio of Total Debt / EBITDA of the borrower as defined in the ECB Guidance. In other words, same definition as TTL_LVRG_RT but reported at inception date.</t>
  </si>
  <si>
    <t>IN.256</t>
  </si>
  <si>
    <t>TYP_FCLTY</t>
  </si>
  <si>
    <t>Type of Facility</t>
  </si>
  <si>
    <t>Leverage finance facility type</t>
  </si>
  <si>
    <t>IN.257</t>
  </si>
  <si>
    <t>TYP_CL</t>
  </si>
  <si>
    <t>Type of CLO</t>
  </si>
  <si>
    <t>Type of Collateralised Loan Obligations</t>
  </si>
  <si>
    <t>IN.258</t>
  </si>
  <si>
    <t>FLG_MNMM_SFGRDS</t>
  </si>
  <si>
    <t>Minimum safeguards flag</t>
  </si>
  <si>
    <t xml:space="preserve">The Taxonomy regulation establishes that for an activity to be aligned with the Taxonomy it must comply with three blocks of criteria: substantial contribution, dnsh and minimum safeguards. This field indicates compliance with the third of these criteria. As this criteria is applicable at corporate level, but if it is possible that an instrument has several counterparties, so the Minimum safeguards must be complied by all the counterparties who are part of the instrument. For example, if a project finance is given to Repsol and Iberdrola, but Iberdrola does not comply with the Minimum safeguards, report FLG_MNMM_SFGRDS = No. </t>
  </si>
  <si>
    <t>IN.259</t>
  </si>
  <si>
    <t>Return On Risk-Adjusted Capital (RORAC) of the instrument</t>
  </si>
  <si>
    <t>IN.260</t>
  </si>
  <si>
    <t>Return On Risk Weighted Assets (RoRWA) of the instrument</t>
  </si>
  <si>
    <t>IN.261</t>
  </si>
  <si>
    <t>TYP_DL</t>
  </si>
  <si>
    <t>Type of Deal</t>
  </si>
  <si>
    <t>Type of deal</t>
  </si>
  <si>
    <t>IN.262</t>
  </si>
  <si>
    <t>DSTNTN_FNDS</t>
  </si>
  <si>
    <t>Destination of funds</t>
  </si>
  <si>
    <t>Destination of funds regarding leveraged finance transactions</t>
  </si>
  <si>
    <t>IN.263</t>
  </si>
  <si>
    <t>PRTNR</t>
  </si>
  <si>
    <t>Partner</t>
  </si>
  <si>
    <t>Name of the partner with whom we have carried out the transaction</t>
  </si>
  <si>
    <t>IN.264</t>
  </si>
  <si>
    <t>INCNTVS</t>
  </si>
  <si>
    <t>Incentives  (YTD)</t>
  </si>
  <si>
    <t>Incentives paid for the sale of bank products  (amount that is allocated in the P&amp;L) accrued by the instrument during the reporting year.</t>
  </si>
  <si>
    <t>IN.265</t>
  </si>
  <si>
    <t>OTHR_OPRTNG_INCM</t>
  </si>
  <si>
    <t>Other operating income (YTD)</t>
  </si>
  <si>
    <t>Other operating income based on Management Control P&amp;L structure.</t>
  </si>
  <si>
    <t>IN.266</t>
  </si>
  <si>
    <t>RFRRL_FS</t>
  </si>
  <si>
    <t>Referral Fees  (YTD)</t>
  </si>
  <si>
    <t>Net non-financial commissions charged to companies with which the Bank has a customer referencing agreement  (amount that is allocated in the P&amp;L) accrued by the instrument during the reporting year.</t>
  </si>
  <si>
    <t>IN.267</t>
  </si>
  <si>
    <t>INSRNC_CMSSNS</t>
  </si>
  <si>
    <t>Insurance  (YTD)</t>
  </si>
  <si>
    <t>Insurance comissions (amount that is allocated in the P&amp;L) accrued by the instrument during the reporting year.</t>
  </si>
  <si>
    <t>IN.268</t>
  </si>
  <si>
    <t>OTHR_INCM_AND_CHRGS</t>
  </si>
  <si>
    <t>Other income and charges  (YTD)</t>
  </si>
  <si>
    <t>Other income and charges based on Management Control P&amp;L structure</t>
  </si>
  <si>
    <t>IN.269</t>
  </si>
  <si>
    <t>TX_ON_PRFT</t>
  </si>
  <si>
    <t>Tax on Profit  (YTD)</t>
  </si>
  <si>
    <t>Amount of corporate income tax using the average tax rate for each business area (amount that is allocated in the P&amp;L) accrued by the instrument during the reporting year.</t>
  </si>
  <si>
    <t>IN.270</t>
  </si>
  <si>
    <t>PD_EC_INCPTN</t>
  </si>
  <si>
    <t>Probability of default according to Economic Capital at inception date</t>
  </si>
  <si>
    <t xml:space="preserve">Economic capital PD at inception date. This is a 12-month PD estimated as the average of an economic cycle (Through the Cycle), without margins of conservatism. It is used to calculate economic capital.
If the PD is calculated on obligor level then provide the obligor PD.
</t>
  </si>
  <si>
    <t>IN.271</t>
  </si>
  <si>
    <t>PD_EC_RD</t>
  </si>
  <si>
    <t>Probability of default according to Economic Capital at reference date</t>
  </si>
  <si>
    <t xml:space="preserve">Economic capital PD at reference date. This is a 12-month PD estimated as the average of an economic cycle (Through the Cycle), without margins of conservatism. It is used to calculate economic capital.
If the PD is calculated on obligor level then provide the obligor PD.
</t>
  </si>
  <si>
    <t>IN.272</t>
  </si>
  <si>
    <t>TTL_LVRG_RT_INCPTN_HLT</t>
  </si>
  <si>
    <t>Leverage ratio at inception date for high leveraged transactions</t>
  </si>
  <si>
    <t>Leverage ratio for High Leveraged transactions as at deal inception. It refers to the ratio of Total Permissible Debt Balance / EBITDA of the borrower at inception date.</t>
  </si>
  <si>
    <t>IN.273</t>
  </si>
  <si>
    <t>DT_MDFCTN</t>
  </si>
  <si>
    <t>Date of contract modification</t>
  </si>
  <si>
    <t>Date when the contract was modified due to changes in the amount, the tenor or financial covenants including waivers.</t>
  </si>
  <si>
    <t>IP.001</t>
  </si>
  <si>
    <t>INSTR_PROTECTION</t>
  </si>
  <si>
    <t>IP.002</t>
  </si>
  <si>
    <t>IP.003</t>
  </si>
  <si>
    <t>IP.004</t>
  </si>
  <si>
    <t>PRTCTN_ID</t>
  </si>
  <si>
    <t>Protection ID</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</si>
  <si>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
Foreign Key from PROTECTION table.</t>
  </si>
  <si>
    <t>IP.005</t>
  </si>
  <si>
    <t>PRTCTN_ALLCTD_VL</t>
  </si>
  <si>
    <t>Protection allocated value</t>
  </si>
  <si>
    <t>The maximum amount of the protection value that can be considered as credit protection for the instrument. The amount of the existing third parties or observed agent priority claims against the protection must be excluded in the protection allocated value.</t>
  </si>
  <si>
    <t>JM_GARANT_CTO - G4124_IMP_ACTU</t>
  </si>
  <si>
    <t>IP.006</t>
  </si>
  <si>
    <t>THRD_PRTY_PRRTY_CLMS</t>
  </si>
  <si>
    <t>Third party priority claims against the protection </t>
  </si>
  <si>
    <t>The maximum amount of any existing higher ranked liens with respect to third parties other than the observed agent against the protection.</t>
  </si>
  <si>
    <t>IP.007</t>
  </si>
  <si>
    <t>TYP_RLTN</t>
  </si>
  <si>
    <t>Type of relation</t>
  </si>
  <si>
    <t xml:space="preserve">This field is used to identify the relationship between the instrument (INSTRMNT_ID) and the protection identifier (PRTCTN_ID). </t>
  </si>
  <si>
    <t>IP.008</t>
  </si>
  <si>
    <t>GRP_SPPRT</t>
  </si>
  <si>
    <t>Group support</t>
  </si>
  <si>
    <t>This flag identifies if the instrument is backed by another company from the counterparty's Economic Group (e.g. intermediate parent company or ultimate parent company)</t>
  </si>
  <si>
    <t>PR.001</t>
  </si>
  <si>
    <t>PROTECTION</t>
  </si>
  <si>
    <t>PR.002</t>
  </si>
  <si>
    <t>DT_MTRTY_PRTCTN</t>
  </si>
  <si>
    <t>Maturity date of the protection</t>
  </si>
  <si>
    <t>The contractual maturity date of the protection, which is the earliest date at which the protection may terminate or be terminated, taking into account any agreements amending initial contracts.</t>
  </si>
  <si>
    <t>JM_GARANT_CTO - G4124_FECVCTO</t>
  </si>
  <si>
    <t>PR.003</t>
  </si>
  <si>
    <t>PR.004</t>
  </si>
  <si>
    <t>NTNL_ID</t>
  </si>
  <si>
    <t>National reference of the property</t>
  </si>
  <si>
    <t>Identifier used at national level for the registration of real estate properties (if available). If there exists no local property register please make use of the fall-back values for "not applicable".</t>
  </si>
  <si>
    <t>JM_GARA_REAL - G4091_INF_REGI</t>
  </si>
  <si>
    <t>PR.005</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</si>
  <si>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t>
  </si>
  <si>
    <t>PR.006</t>
  </si>
  <si>
    <t>PRTCTN_PRVDR_ID</t>
  </si>
  <si>
    <t>Protection Provider ID (Guarantor)</t>
  </si>
  <si>
    <t>Counterparty identifier for the protection provider. If the protection provider is not a legal entity, the protection provider identifier is not required to be reported.</t>
  </si>
  <si>
    <t>IF G4124_TIP_GARA in (1;2) THEN G7015_CDG_PERS FROM TABLE JM_TRZ_CLIENTE (BY JOINING BOTH TABLES ON G4124_BIENGAR1 = G7015_IDNUMCLI) ELSE N/A</t>
  </si>
  <si>
    <t>PR.007</t>
  </si>
  <si>
    <t>RL_ESTT_ADDRSS</t>
  </si>
  <si>
    <t>Address (street) and number</t>
  </si>
  <si>
    <t>PR.008</t>
  </si>
  <si>
    <t>RL_ESTT_CLLTRL_LCTN</t>
  </si>
  <si>
    <t>Real estate collateral location</t>
  </si>
  <si>
    <t>Country where the collateral is located. The value is the ISO 3166-1 alpha-2 code of the country where the real estate collateral is located.</t>
  </si>
  <si>
    <t>JM_GARA_REAL - G4091_ID_PAIS</t>
  </si>
  <si>
    <t>PR.009</t>
  </si>
  <si>
    <t>RL_ESTT_CLLTRL_LCTN_INT</t>
  </si>
  <si>
    <t>Real estate asset location according to bank-internal definition</t>
  </si>
  <si>
    <t>Region of the real estate location according to bank-internal classification. For collateral located outside of Europe please provide us with a country code, followed by the region.</t>
  </si>
  <si>
    <t>JM_AD_GAR_REA - O2813_UBICAFIS</t>
  </si>
  <si>
    <t>PR.010</t>
  </si>
  <si>
    <t>RL_ESTT_CTY</t>
  </si>
  <si>
    <t>City real estate</t>
  </si>
  <si>
    <t>City real estate.</t>
  </si>
  <si>
    <t>PR.011</t>
  </si>
  <si>
    <t>RL_ESTT_PST_CD</t>
  </si>
  <si>
    <t>JM_GARA_REAL - G4091_CODPOSGR</t>
  </si>
  <si>
    <t>PR.012</t>
  </si>
  <si>
    <t>HRCT_MV</t>
  </si>
  <si>
    <t>Haircut applied by the bank to the market value</t>
  </si>
  <si>
    <t>Percentage of reduction applied to the open market value.</t>
  </si>
  <si>
    <t>PR.013</t>
  </si>
  <si>
    <t>PRTCTN_CLLD</t>
  </si>
  <si>
    <t>Protection called</t>
  </si>
  <si>
    <t>Indicator as to whether the property collateral has entered into the enforcement process as at reference date.</t>
  </si>
  <si>
    <t>IF E0623_GEST_SIT in (08;09;10) AND O9270_FLG_ADJ = 1 THEN Y; ELSE N</t>
  </si>
  <si>
    <t>PR.014</t>
  </si>
  <si>
    <t>TYP_PRTCTN</t>
  </si>
  <si>
    <t>Protection type</t>
  </si>
  <si>
    <t>Type of protection received, irrespective of its eligibility for credit risk mitigation.</t>
  </si>
  <si>
    <t>PR.015</t>
  </si>
  <si>
    <t>TYP_PRTCTN_INTRNL</t>
  </si>
  <si>
    <t>Type of protection received, irrespective of its eligibility for credit risk mitigation according to bank-internal classification</t>
  </si>
  <si>
    <t>Description (not code) of the type of protection received, irrespective of its eligibility for credit risk mitigation according to bank-internal classification.</t>
  </si>
  <si>
    <t>G4124_COD_GAR</t>
  </si>
  <si>
    <t>PR.016</t>
  </si>
  <si>
    <t>TYP_PRTCTN_VL</t>
  </si>
  <si>
    <t>Type of protection value</t>
  </si>
  <si>
    <t>Identification of the type of value provided in the data attribute “Protection value”.</t>
  </si>
  <si>
    <t>PR.017</t>
  </si>
  <si>
    <t>Appraisal</t>
  </si>
  <si>
    <t>APPRSL_CRRNCY</t>
  </si>
  <si>
    <t>Appraisal currency</t>
  </si>
  <si>
    <t>Appraisal currency.</t>
  </si>
  <si>
    <t>JM_VAL_GARA - G4134_CODDIV</t>
  </si>
  <si>
    <t>PR.018</t>
  </si>
  <si>
    <t>APPRSR</t>
  </si>
  <si>
    <t>Provider of latest valuation (appraiser)</t>
  </si>
  <si>
    <t>Name of the appraising company. If the bank carries out the appraisal itself report "Internal".</t>
  </si>
  <si>
    <t>JM_VAL_GARA - G4134_NOMENTI</t>
  </si>
  <si>
    <t>PR.019</t>
  </si>
  <si>
    <t>DT_LST_FLL_APPRSL</t>
  </si>
  <si>
    <t>Date of last full appraisal</t>
  </si>
  <si>
    <t>Date of the most recent full appraisal. If the most recent valuation was done by other means (e.g. based on statistical information), this field should contain the date of the most recent full appraisal on the property.</t>
  </si>
  <si>
    <t>PR.020</t>
  </si>
  <si>
    <t>DT_ORGNL_PRTCTN_VL</t>
  </si>
  <si>
    <t>Date of original protection value</t>
  </si>
  <si>
    <t>The date of original protection value is the date on which the latest appraisal or valuation of the protection was carried out prior to its initial receipt as credit protection.</t>
  </si>
  <si>
    <t>The closest G4134_FECHVALR to G4124_FECINI, having G4134_FECHVALR&lt;=G4124_FECINI and G4124_FECINI as the oldest one for the protection in JM_GARANT_CTO taking into account G4124_CONTRA1 not canceled</t>
  </si>
  <si>
    <t>PR.021</t>
  </si>
  <si>
    <t>DT_PRTCTN_VL</t>
  </si>
  <si>
    <t>Date of protection value</t>
  </si>
  <si>
    <t>The date on which the latest appraisal or valuation of the protection was carried out prior to the reporting reference date.</t>
  </si>
  <si>
    <t>JM_VAL_GARA - G4134_FECHVALR</t>
  </si>
  <si>
    <t>PR.022</t>
  </si>
  <si>
    <t>ORGNL_PRTCTN_VL</t>
  </si>
  <si>
    <t>Original protection value (at inception)</t>
  </si>
  <si>
    <t>The original protection value is the monetary value of the protection item that was established at the date when the protection item was originally received as a credit protection.</t>
  </si>
  <si>
    <t>G4134_IMGARANT corresponding to the closest G4134_FECHVALR to G4124_FECINI, having G4134_FECHVALR&lt;=G4124_FECINI and G4124_FECINI as the oldest one for the protection in JM_GARANT_CTO taking into account G4124_CONTRA1 not canceled</t>
  </si>
  <si>
    <t>PR.023</t>
  </si>
  <si>
    <t>PRTCTN_FRCD_SL_VL</t>
  </si>
  <si>
    <t>Forced sale value</t>
  </si>
  <si>
    <t>Sales value that is estimated to be cashed in considering a forced sale scenario.</t>
  </si>
  <si>
    <t>PR.024</t>
  </si>
  <si>
    <t>PRTCTN_VL</t>
  </si>
  <si>
    <t>Appraised market value</t>
  </si>
  <si>
    <t>The amount of the protection value as established for the relevant “Type of protection value” following the valuation approach.
Market value from the appraisal without any haircut, in case a haircut is applied by the bank this should be in field HRCT_MV.
In case of Guarantees, guaranteed amount.
In case of Financial Assets, Market value of the asset.</t>
  </si>
  <si>
    <t>JM_VAL_GARA - G4134_IMGARANT</t>
  </si>
  <si>
    <t>PR.025</t>
  </si>
  <si>
    <t>PRTCTN_VL_NPE</t>
  </si>
  <si>
    <t>Most recent appraised market value at the time when the instrument was classified as non-performing</t>
  </si>
  <si>
    <t>For protections securing several instruments which were classified as non-performing,  provide the information for the most recent one being classified as non-performing.</t>
  </si>
  <si>
    <t>IF R9739_FINALIND = 3 AND T1824_SITGESND in (5;6) look for G4134_IMGARANT corresponding to the closest date to T1824_FECINI</t>
  </si>
  <si>
    <t>PR.026</t>
  </si>
  <si>
    <t>PRTCTN_VLTN_APPRCH</t>
  </si>
  <si>
    <t>Protection valuation approach</t>
  </si>
  <si>
    <t>Type of protection valuation; method used to determine the protection value.</t>
  </si>
  <si>
    <t>PR.027</t>
  </si>
  <si>
    <t>DT_APPRSL_PRVS</t>
  </si>
  <si>
    <t>Previous appraisal date</t>
  </si>
  <si>
    <t>Date of the appraisal previous to the most recent one available, i.e. previous to the last full appraisal (field DT_LST_FLL_APPRSL).</t>
  </si>
  <si>
    <t>G4134_FECHVALR HAVING G4134_FECHVALR as the previous to the most recent one</t>
  </si>
  <si>
    <t>PR.028</t>
  </si>
  <si>
    <t>PRTCTN_VL_PRVS</t>
  </si>
  <si>
    <t>Previous appraised market value</t>
  </si>
  <si>
    <t>Protection value as at the date of the appraisal previous to the most recent one available.</t>
  </si>
  <si>
    <t>G4134_IMGARANT HAVING G4134_IMGARANT as the previous to the most recent one</t>
  </si>
  <si>
    <t>PR.029</t>
  </si>
  <si>
    <t>Collateral Features</t>
  </si>
  <si>
    <t>CNSTRCTN_STTS</t>
  </si>
  <si>
    <t>Construction status</t>
  </si>
  <si>
    <t>Current status of the construction progress. The term "permit" refers to the received zoning- and building permission.</t>
  </si>
  <si>
    <t>PR.030</t>
  </si>
  <si>
    <t>DT_CNSTRCTN_STTS</t>
  </si>
  <si>
    <t>Date of construction status</t>
  </si>
  <si>
    <t>Date of the construction status.</t>
  </si>
  <si>
    <t>JM_CONTR_OTROS - E0623_FECULTMO</t>
  </si>
  <si>
    <t>PR.031</t>
  </si>
  <si>
    <t>DT_FRST_USG</t>
  </si>
  <si>
    <t>Date of first usage of the building</t>
  </si>
  <si>
    <t>Date when the building was operationally used the first time. This date can also be in the future (for objects in construction).
If only the year is known. Use YYYY/01/01.</t>
  </si>
  <si>
    <t>PR.032</t>
  </si>
  <si>
    <t>DVLPMNT_STTS</t>
  </si>
  <si>
    <t>Development status</t>
  </si>
  <si>
    <t>Situation of the asset.</t>
  </si>
  <si>
    <t>PR.033</t>
  </si>
  <si>
    <t>MN_PRPS</t>
  </si>
  <si>
    <t>Main purpose</t>
  </si>
  <si>
    <t>Purpose of the real estate.
SHOPPING includes restaurants, OFFICE includes doctor's surgeries.
Example for MIXED: Hotel and office building where both usages are of similar importance.</t>
  </si>
  <si>
    <t>PR.034</t>
  </si>
  <si>
    <t>PRM_LCTN</t>
  </si>
  <si>
    <t>Prime location according to bank-internal definition  (Y/N)</t>
  </si>
  <si>
    <t>Report "Y" if the real estate is located in a prime location according to bank-internal classification.</t>
  </si>
  <si>
    <t>IF O9270_PODERADQ = 1 THEN Y; ELSE N</t>
  </si>
  <si>
    <t>PR.035</t>
  </si>
  <si>
    <t>CRE_INCM_CRRNCY</t>
  </si>
  <si>
    <t>Currency of annual income and expenses</t>
  </si>
  <si>
    <t>Currency of annual income and expenses.</t>
  </si>
  <si>
    <t>PR.036</t>
  </si>
  <si>
    <t>CRE_YRLY_EXPNSS</t>
  </si>
  <si>
    <t>Current annual operating expenses</t>
  </si>
  <si>
    <t>Current annual operating expenses.</t>
  </si>
  <si>
    <t>PR.037</t>
  </si>
  <si>
    <t>CRE_YRLY_INCM</t>
  </si>
  <si>
    <t>Current annual income</t>
  </si>
  <si>
    <t>Ideally based on capacities that are rented on the day following the reference date.</t>
  </si>
  <si>
    <t>PR.038</t>
  </si>
  <si>
    <t>PRTCTN_TYP_PBLC_GRNT_SCHM_C19</t>
  </si>
  <si>
    <t>Type protection value is a public guarantee scheme in response to the COVID19 situation. Please report all COVID-related measures until 31 December 2022. Afterwards, please report Not Applicable default value</t>
  </si>
  <si>
    <t>Indicate whether the protection type is a public guarantee scheme that was introduced in response to the COVID19 situation.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</si>
  <si>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G7025_MOTRENUG = "30" THEN "Y"; ELSE "N"</t>
  </si>
  <si>
    <t>PR.039</t>
  </si>
  <si>
    <t>PR.040</t>
  </si>
  <si>
    <t>Collateral ESG Features</t>
  </si>
  <si>
    <t>TYP_EP_SCR</t>
  </si>
  <si>
    <t>EP Score Data Type</t>
  </si>
  <si>
    <t>Identifier of whether the EP score data is real or estimated.</t>
  </si>
  <si>
    <t>PR.041</t>
  </si>
  <si>
    <t>EP_SCR</t>
  </si>
  <si>
    <t>EP Score</t>
  </si>
  <si>
    <t>Energy efficiency buckets based on the specific energy consumption of the collateral in kWh/m2, as indicated in the EPC label of the collateral or estimated by institutions in the absence of the EPC label.</t>
  </si>
  <si>
    <t>PR.042</t>
  </si>
  <si>
    <t>TYP_EPC_LBL</t>
  </si>
  <si>
    <t>EPC Label Data Type</t>
  </si>
  <si>
    <t>Identifier of whether the EPC label is real or estimated.</t>
  </si>
  <si>
    <t>PR.043</t>
  </si>
  <si>
    <t>EPC_LBL</t>
  </si>
  <si>
    <t>EPC Label</t>
  </si>
  <si>
    <t>Letter code representing the energy performance of the real estate (from A to G) regarding the energy consumption.</t>
  </si>
  <si>
    <t>PR.044</t>
  </si>
  <si>
    <t>TYP_EMSSNS_LBL</t>
  </si>
  <si>
    <t>EPC or Vehicle emissions label data type</t>
  </si>
  <si>
    <t>Identifier of whether the EPC or Vehicle emissions label is real or estimated.</t>
  </si>
  <si>
    <t>PR.045</t>
  </si>
  <si>
    <t>EPC_EMSSNS_LBL</t>
  </si>
  <si>
    <t>EPC emissions label</t>
  </si>
  <si>
    <t>Letter code (from A to G) representing the kgCO2/m2 emissions of the real estate.</t>
  </si>
  <si>
    <t>PR.046</t>
  </si>
  <si>
    <t>VHCL_EMSSNS_LBL</t>
  </si>
  <si>
    <t>Vehicle emissions label</t>
  </si>
  <si>
    <t>Letter code or similar codification found in the environmental badge representing the CO2 emissions of the vehicle (e.g. in Spain--&gt; 0, ECO, C and B).</t>
  </si>
  <si>
    <t>PR.047</t>
  </si>
  <si>
    <t>TYP_EMSSNS_SCR</t>
  </si>
  <si>
    <t>Emissions score data type</t>
  </si>
  <si>
    <t>Identifier of whether the emissions score data is real or estimated.</t>
  </si>
  <si>
    <t>PR.048</t>
  </si>
  <si>
    <t>EPC_EMSSNS_SCR</t>
  </si>
  <si>
    <t>EPC emissions score</t>
  </si>
  <si>
    <t>Emissions score (kgCO2/m2) produced by the real estate collateral as shown in the label</t>
  </si>
  <si>
    <t>PR.049</t>
  </si>
  <si>
    <t>VHCL_EMSSNS_SCR</t>
  </si>
  <si>
    <t>Vehicle's emissions score</t>
  </si>
  <si>
    <t>Emissions score (kgCO2/km) produced by the vehicle</t>
  </si>
  <si>
    <t>PR.050</t>
  </si>
  <si>
    <t>EMSSNS_SCP1_PRTCTN</t>
  </si>
  <si>
    <t>Protection's emissions scope 1</t>
  </si>
  <si>
    <t>PR.051</t>
  </si>
  <si>
    <t>EMSSNS_SCP2_PRTCTN</t>
  </si>
  <si>
    <t>Protection's emissions scope 2</t>
  </si>
  <si>
    <t>PR.052</t>
  </si>
  <si>
    <t>EMSSNS_SCP3_PRTCTN</t>
  </si>
  <si>
    <t>Protection's emissions scope 3</t>
  </si>
  <si>
    <t>PR.053</t>
  </si>
  <si>
    <t>MTHD_USD_PRTCTN_SCP_1</t>
  </si>
  <si>
    <t>Financed emissions calculation approach at protection level scope 1</t>
  </si>
  <si>
    <t>PR.054</t>
  </si>
  <si>
    <t>MTHD_USD_PRTCTN_SCP_2</t>
  </si>
  <si>
    <t>Financed emissions calculation approach at protection level scope 2</t>
  </si>
  <si>
    <t>PR.055</t>
  </si>
  <si>
    <t>MTHD_USD_PRTCTN_SCP_3</t>
  </si>
  <si>
    <t>Financed emissions calculation approach at protection level scope 3</t>
  </si>
  <si>
    <t>PR.056</t>
  </si>
  <si>
    <t>Flag Acute Physical Risk at protection level</t>
  </si>
  <si>
    <t>This flag allows to identify whether the collateral has Acute physical risk or not (Acute physical risks refer to those that are event-driven, including increased severity of extreme weather events, such as cyclones, hurricanes, or floods.)</t>
  </si>
  <si>
    <t>PR.057</t>
  </si>
  <si>
    <t>Flag Chronic Physical Risk at protection level</t>
  </si>
  <si>
    <t>This flag allows to identify whether the collateral has Chronic physical risk or not (Chronic physical risks refer to longer-term shifts in climate patterns (e.g., sustained higher temperatures) that may cause sea level rise or chronic heat waves.)</t>
  </si>
  <si>
    <t>PR.058</t>
  </si>
  <si>
    <t>Collateral Insurance</t>
  </si>
  <si>
    <t>INSRNC_ID</t>
  </si>
  <si>
    <t>Insurance ID</t>
  </si>
  <si>
    <t xml:space="preserve">Insurance identificator that is covering the collateral (protection). </t>
  </si>
  <si>
    <t>PR.059</t>
  </si>
  <si>
    <t>TYP_HZRDS_INSRD</t>
  </si>
  <si>
    <t>Type of hazards insured</t>
  </si>
  <si>
    <t>Type of hazards covered by the insurance. If the insurance covers more than one hazard please report all separated by commas (,)</t>
  </si>
  <si>
    <t>PR.060</t>
  </si>
  <si>
    <t>AMNT_CVRD_INSRNC</t>
  </si>
  <si>
    <t>Total amount covered by the insurance</t>
  </si>
  <si>
    <t>Total amount covered by the insurance. If the insurance covers more than one hazard, please report the sum up of all the amounts covered by the insurance</t>
  </si>
  <si>
    <t>PR.061</t>
  </si>
  <si>
    <t>DT_MTRTY_INSRNC</t>
  </si>
  <si>
    <t>Maturity date of the insurance</t>
  </si>
  <si>
    <t>Maturirty date of the insurance that is associated to the protection</t>
  </si>
  <si>
    <t>PR.062</t>
  </si>
  <si>
    <t>FLG_FRST_HM</t>
  </si>
  <si>
    <t>Flag first home</t>
  </si>
  <si>
    <t xml:space="preserve">This flag indicated if the collateral is the first home (primary residence) of the instrument holder (debtor). </t>
  </si>
  <si>
    <t>PR.063</t>
  </si>
  <si>
    <t>YR_CNSTRCTN</t>
  </si>
  <si>
    <t>Year of construction</t>
  </si>
  <si>
    <t>Year of construction of the building in which the property is located</t>
  </si>
  <si>
    <t>PR.064</t>
  </si>
  <si>
    <t>BLDNG_AR</t>
  </si>
  <si>
    <t>Building Area (M2)</t>
  </si>
  <si>
    <t xml:space="preserve">The area of the building in square metres. </t>
  </si>
  <si>
    <t>PR.065</t>
  </si>
  <si>
    <t>LND_AR</t>
  </si>
  <si>
    <t>Land Area (M2)</t>
  </si>
  <si>
    <t>Land area of the property in square metres, including any land surrounding the building(s) on the property that is part of the property</t>
  </si>
  <si>
    <t>PR.066</t>
  </si>
  <si>
    <t>LN_PSTN</t>
  </si>
  <si>
    <t>Lien position</t>
  </si>
  <si>
    <t>The highest ranking position in relation to the collateral held by the counterparty to secure the facility.</t>
  </si>
  <si>
    <t>PR.067</t>
  </si>
  <si>
    <t>RL_ESTT_CRTFCTN</t>
  </si>
  <si>
    <t>Real estate sustainable certifications</t>
  </si>
  <si>
    <t>This field indicates the type and level of compliance/scoring of sustainable certificate which the building has (e.g. BREEAM, LEED…).</t>
  </si>
  <si>
    <t>PR.068</t>
  </si>
  <si>
    <t>TYP_VHCL</t>
  </si>
  <si>
    <t>Type of vehicle</t>
  </si>
  <si>
    <t>PR.069</t>
  </si>
  <si>
    <t>DT_RGSTRTN</t>
  </si>
  <si>
    <t>Registration date of the vehicle</t>
  </si>
  <si>
    <t xml:space="preserve">Registration date of the vehicle. It must refer to the first registration date. </t>
  </si>
  <si>
    <t>PR.070</t>
  </si>
  <si>
    <t>PRMRY_ENRGY_DMND_NN_RNWBL</t>
  </si>
  <si>
    <t>Actual annual primary energy demand from non renewable sources of the building</t>
  </si>
  <si>
    <t>Actual annual primary energy demand for non renewable sources of the building (Kwh/m2/year). This field is only applicable to Spain according to the SFICS.</t>
  </si>
  <si>
    <t>PR.071</t>
  </si>
  <si>
    <t>PRMRY_ENRGY_DMND_TTL</t>
  </si>
  <si>
    <t>Actual annual primary energy demand of the building</t>
  </si>
  <si>
    <t xml:space="preserve">Actual  (non-modelled) annual primary energy demand of the building (Kwh/m2/year). This field is applicable to buildings located in UK, Portugal, Poland and the remain countries aligned with the SFICS. </t>
  </si>
  <si>
    <t>PR.072</t>
  </si>
  <si>
    <t>PRMRY_ENRGY_DMND_RFRNC_VL</t>
  </si>
  <si>
    <t>Annual primary energy demand of reference</t>
  </si>
  <si>
    <t>This field refers to the nominal annual global primary energy demand - reference (Nt) (Kwh/m2/year) of the building located in Portugal. This field is only applicable to Portugal due to the SFICS. For Potugal, the SFICS requieres the RNT = Nominal anual global primary demand - value/Nominal annual global primary demand - reference value according to the definition of NZEB in Portugal (see the following document: NT_SCE_02_NZEB20_V1)</t>
  </si>
  <si>
    <t>PR.073</t>
  </si>
  <si>
    <t>RL_ESTT_CLMT_ZN</t>
  </si>
  <si>
    <t>Climatic zone of the building</t>
  </si>
  <si>
    <t>Climatic Zone where the real estate is located in Spain according to the Código Técnico de Edificación (CTE).</t>
  </si>
  <si>
    <t>PR.074</t>
  </si>
  <si>
    <t>RL_ESTT_LNGTD</t>
  </si>
  <si>
    <t>FLOAT 4 decimal places</t>
  </si>
  <si>
    <t>Real estate longitude</t>
  </si>
  <si>
    <t>The longitude corresponding to the geolocation of the real estate asset. Ensure data consistency with the field RL_ESTT_LTTD.</t>
  </si>
  <si>
    <t>PR.075</t>
  </si>
  <si>
    <t>RL_ESTT_LTTD</t>
  </si>
  <si>
    <t>Real estate latitude</t>
  </si>
  <si>
    <t>The latitude corresponding to the geolocation of the real estate asset. Ensure data consistency with the field RL_ESTT_LNGTD.</t>
  </si>
  <si>
    <t>PR.076</t>
  </si>
  <si>
    <t>FLG_ELCTRC_VHCL</t>
  </si>
  <si>
    <t>Flag of electric vehicle</t>
  </si>
  <si>
    <t>This flag allows to identify whether the vehicle is full electric car or not.</t>
  </si>
  <si>
    <t>AC.001</t>
  </si>
  <si>
    <t>INSTR_ACTIVITY</t>
  </si>
  <si>
    <t>AC.002</t>
  </si>
  <si>
    <t>AC.003</t>
  </si>
  <si>
    <t>AC.004</t>
  </si>
  <si>
    <t>Sustainable Category Green (specific purpose) and General (general purpose)</t>
  </si>
  <si>
    <t>The sustainable category field is a broader concept that encompasses the SFICS Category as well as the EU Taxonomy activities as well as other categories (such as Sustainability Linked Finance and Other) to respond Green Dashboard and the regulatory requirements of the Pillar III and EU Taxonomy.</t>
  </si>
  <si>
    <t>AC.005</t>
  </si>
  <si>
    <t>PRCNTG_ACTVTY</t>
  </si>
  <si>
    <t>Percentage of UoP</t>
  </si>
  <si>
    <t>This field indicates the proportion of the operation that is dedicated to the activity of the sustainable category field.</t>
  </si>
  <si>
    <t>AC.006</t>
  </si>
  <si>
    <t>AC.007</t>
  </si>
  <si>
    <t>AC.008</t>
  </si>
  <si>
    <t>This indicator identifies exposures that are considered sustainable/green according to SFICS, the European Taxonomy, or other criteria.</t>
  </si>
  <si>
    <t>AC.009</t>
  </si>
  <si>
    <t>FLG_SBSTNTL_CNTRBTN</t>
  </si>
  <si>
    <t>Substantial contribution compliance</t>
  </si>
  <si>
    <t xml:space="preserve">The Taxonomy regulation establishes that for an activity to be aligned with the Taxonomy it must comply with three blocks of criteria: substantial contribution, dnsh and minimum safeguards. This field indicates compliance with the first of these criteria. </t>
  </si>
  <si>
    <t>AC.010</t>
  </si>
  <si>
    <t>FLG_DNSH_CMPLNC</t>
  </si>
  <si>
    <t>DNSH compliance</t>
  </si>
  <si>
    <t>The Taxonomy regulation establishes that for an activity to be aligned with the Taxonomy it must comply with three blocks of criteria: substantial contribution, dnsh and minimum safeguards. This field indicates compliance with the second of these criteria.</t>
  </si>
  <si>
    <t>AC.011</t>
  </si>
  <si>
    <t>DNSH_DTL</t>
  </si>
  <si>
    <t>DNSH detail</t>
  </si>
  <si>
    <t>This field indicates which DNHSs are not complied by the operation. Therefore, if FLG_DNSH_CMPLNC = "No", then this field must be reported with the DNSH that the operation does not comply with. For example, if there is an operation which do not comply with DNSH1 and DNSH3, the DNSH_DTL = DNSH1, DNSH3. 
Units must report this field specifying the DNSHs which are not complied separated by a comma.</t>
  </si>
  <si>
    <t>Âmbito</t>
  </si>
  <si>
    <t>TABELA</t>
  </si>
  <si>
    <t>NOME COLUNA</t>
  </si>
  <si>
    <t>lt004_protection</t>
  </si>
  <si>
    <t>orgnl_prtctn_vl</t>
  </si>
  <si>
    <t>typ_prtctn</t>
  </si>
  <si>
    <t>lt003_entity</t>
  </si>
  <si>
    <t>nace_esg</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</si>
  <si>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</si>
  <si>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</si>
  <si>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</si>
  <si>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</si>
  <si>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</si>
  <si>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</si>
  <si>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</si>
  <si>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</si>
  <si>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</si>
  <si>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</si>
  <si>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</si>
  <si>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</si>
  <si>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</si>
  <si>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</si>
  <si>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</si>
  <si>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</si>
  <si>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</si>
  <si>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</si>
  <si>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</si>
  <si>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</si>
  <si>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</si>
  <si>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</si>
  <si>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</si>
  <si>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</si>
  <si>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isin</t>
  </si>
  <si>
    <t>grp_annl_trnvr_le</t>
  </si>
  <si>
    <t>grp_ttl_lblty</t>
  </si>
  <si>
    <t>flg_grp_nfrd_applcblty</t>
  </si>
  <si>
    <t>grp_emssns_scp1</t>
  </si>
  <si>
    <t>grp_emssns_scp2</t>
  </si>
  <si>
    <t>grp_emssns_scp3</t>
  </si>
  <si>
    <t>typ_ep_scr</t>
  </si>
  <si>
    <t>ep_scr</t>
  </si>
  <si>
    <t>typ_epc_lbl</t>
  </si>
  <si>
    <t>epc_lbl</t>
  </si>
  <si>
    <t>emssns_scp1_prtctn</t>
  </si>
  <si>
    <t>emssns_scp2_prtctn</t>
  </si>
  <si>
    <t>emssns_scp3_prtctn</t>
  </si>
  <si>
    <t>mthd_usd_prtctn_scp_1</t>
  </si>
  <si>
    <t>mthd_usd_prtctn_scp_2</t>
  </si>
  <si>
    <t>mthd_usd_prtctn_scp_3</t>
  </si>
  <si>
    <t>flg_fin</t>
  </si>
  <si>
    <t>flg_exec</t>
  </si>
  <si>
    <t>flg_col</t>
  </si>
  <si>
    <t>flg_pro</t>
  </si>
  <si>
    <t>rl_estt_clltrl_lctn</t>
  </si>
  <si>
    <t>rl_estt_pst_cd</t>
  </si>
  <si>
    <t>prtctn_vl</t>
  </si>
  <si>
    <t>prtctn_id</t>
  </si>
  <si>
    <t>lt002_instrument</t>
  </si>
  <si>
    <t>rsk_mtgtd_cct</t>
  </si>
  <si>
    <t>rsk_mtgtd_ccp</t>
  </si>
  <si>
    <t>lt007_instr_activity</t>
  </si>
  <si>
    <t>envrnmntl_objctv</t>
  </si>
  <si>
    <t>typ_actvty</t>
  </si>
  <si>
    <t>lns_clltrlzd_clssfctn</t>
  </si>
  <si>
    <t>mthd_usd_instrmnt_scp_1</t>
  </si>
  <si>
    <t>mthd_usd_instrmnt_scp_2</t>
  </si>
  <si>
    <t>mthd_usd_instrmnt_scp_3</t>
  </si>
  <si>
    <t>sstnbl_ctgry_txnmy</t>
  </si>
  <si>
    <t>sstnbl_indctr</t>
  </si>
  <si>
    <t>lt827_mthd_usd_instrmnt</t>
  </si>
  <si>
    <t>ref_date</t>
  </si>
  <si>
    <t>ordem</t>
  </si>
  <si>
    <t>purpose_code</t>
  </si>
  <si>
    <t>tabela</t>
  </si>
  <si>
    <t>origem_scp1_emss</t>
  </si>
  <si>
    <t>origem_scp2_emss</t>
  </si>
  <si>
    <t>origem_scp3_emss</t>
  </si>
  <si>
    <t>lt826_esg_sbsctr</t>
  </si>
  <si>
    <t>ambito</t>
  </si>
  <si>
    <t>nace_code</t>
  </si>
  <si>
    <t>contraparte</t>
  </si>
  <si>
    <t>cnatureza_juri</t>
  </si>
  <si>
    <t>idcomb</t>
  </si>
  <si>
    <t>descrição</t>
  </si>
  <si>
    <t>sstnbl_ctgry</t>
  </si>
  <si>
    <t>AUX_TABELA</t>
  </si>
  <si>
    <t>AUX_COMBINAÇÃO</t>
  </si>
  <si>
    <t>Pilar 3 - V12</t>
  </si>
  <si>
    <t>CPN_RT</t>
  </si>
  <si>
    <t xml:space="preserve">LOAN TAPE </t>
  </si>
  <si>
    <t>PM</t>
  </si>
  <si>
    <r>
      <t xml:space="preserve">Datas de entrega de especificação novos requisitos </t>
    </r>
    <r>
      <rPr>
        <b/>
        <i/>
        <sz val="10"/>
        <color rgb="FFFF0000"/>
        <rFont val="Arial"/>
        <family val="2"/>
      </rPr>
      <t xml:space="preserve">Loan Tape </t>
    </r>
    <r>
      <rPr>
        <b/>
        <sz val="10"/>
        <color rgb="FFFF0000"/>
        <rFont val="Arial"/>
        <family val="2"/>
      </rPr>
      <t>- Pilar III</t>
    </r>
  </si>
  <si>
    <r>
      <t xml:space="preserve">1º </t>
    </r>
    <r>
      <rPr>
        <b/>
        <i/>
        <u/>
        <sz val="10"/>
        <color theme="1"/>
        <rFont val="Arial"/>
        <family val="2"/>
      </rPr>
      <t xml:space="preserve">package </t>
    </r>
    <r>
      <rPr>
        <b/>
        <u/>
        <sz val="10"/>
        <color theme="1"/>
        <rFont val="Arial"/>
        <family val="2"/>
      </rPr>
      <t>de especificação (20 campos) – 27 janeiro 2025</t>
    </r>
  </si>
  <si>
    <t>Tabela</t>
  </si>
  <si>
    <t>Ambito</t>
  </si>
  <si>
    <t>PILAR III</t>
  </si>
  <si>
    <r>
      <t xml:space="preserve">2º </t>
    </r>
    <r>
      <rPr>
        <b/>
        <i/>
        <u/>
        <sz val="10"/>
        <color theme="1"/>
        <rFont val="Arial"/>
        <family val="2"/>
      </rPr>
      <t xml:space="preserve">package </t>
    </r>
    <r>
      <rPr>
        <b/>
        <u/>
        <sz val="10"/>
        <color theme="1"/>
        <rFont val="Arial"/>
        <family val="2"/>
      </rPr>
      <t>de especificação (15 campos) – 4 fevereiro 2025</t>
    </r>
  </si>
  <si>
    <t>PILAR III + ESG Risk</t>
  </si>
  <si>
    <t>area util</t>
  </si>
  <si>
    <t>Já há especificação (LT) e não tem incidências - É só passar para produção</t>
  </si>
  <si>
    <t>Campo fechado (LT)  (testes e especificação)</t>
  </si>
  <si>
    <t>Por especificar (LT) e está no outro projeto</t>
  </si>
  <si>
    <r>
      <t xml:space="preserve">3º </t>
    </r>
    <r>
      <rPr>
        <b/>
        <i/>
        <u/>
        <sz val="10"/>
        <color theme="1"/>
        <rFont val="Arial"/>
        <family val="2"/>
      </rPr>
      <t xml:space="preserve">package </t>
    </r>
    <r>
      <rPr>
        <b/>
        <u/>
        <sz val="10"/>
        <color theme="1"/>
        <rFont val="Arial"/>
        <family val="2"/>
      </rPr>
      <t>de especificação (14 campos) – 5 fevereiro 2025</t>
    </r>
  </si>
  <si>
    <t>PILAR III + ESG Risk + GD</t>
  </si>
  <si>
    <t>ESG Risk</t>
  </si>
  <si>
    <t>4º package de especificação (13 campos) – 11 fevereiro 2025</t>
  </si>
  <si>
    <t>5º package de especificação (6 campos) – 17 fevereiro 2025</t>
  </si>
  <si>
    <t>6º package - não vinha na proposta</t>
  </si>
  <si>
    <t>Não</t>
  </si>
  <si>
    <t>Sim</t>
  </si>
  <si>
    <t>Novo Projeto</t>
  </si>
  <si>
    <t>Campo</t>
  </si>
  <si>
    <t>1. Concluído</t>
  </si>
  <si>
    <t>0. Cancelado</t>
  </si>
  <si>
    <t>4. Validação EF</t>
  </si>
  <si>
    <t>3. Pendente de outros desenvolvimentos</t>
  </si>
  <si>
    <t>dt_rfrnc</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</si>
  <si>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</si>
  <si>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</si>
  <si>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</si>
  <si>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</si>
  <si>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</si>
  <si>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</si>
  <si>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</si>
  <si>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</si>
  <si>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</si>
  <si>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</si>
  <si>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</si>
  <si>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</si>
  <si>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</si>
  <si>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</si>
  <si>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</si>
  <si>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</si>
  <si>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</si>
  <si>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</si>
  <si>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grss_intrst_incm</t>
  </si>
  <si>
    <t>2.1 Em Teste</t>
  </si>
  <si>
    <t>grss_cmmssn_incm</t>
  </si>
  <si>
    <t>grss_cmmssn_incm_off_blnc</t>
  </si>
  <si>
    <t>idcmb</t>
  </si>
  <si>
    <t>cntry</t>
  </si>
  <si>
    <t>entty_id</t>
  </si>
  <si>
    <t>lei</t>
  </si>
  <si>
    <t>ecnmc_actvty</t>
  </si>
  <si>
    <t>grp_eqty</t>
  </si>
  <si>
    <t>annl_trnvr_le</t>
  </si>
  <si>
    <t>eqty</t>
  </si>
  <si>
    <t>grp_ttl_dbt</t>
  </si>
  <si>
    <t>ttl_dbt</t>
  </si>
  <si>
    <t>lt005_instr_ent</t>
  </si>
  <si>
    <t>mn_entty_id</t>
  </si>
  <si>
    <t>lt006_instr_prot</t>
  </si>
  <si>
    <t>prtctn_allctd_vl</t>
  </si>
  <si>
    <t>STATUS</t>
  </si>
  <si>
    <t>Plano 5.12</t>
  </si>
  <si>
    <t>FLG_NFRD_APPLCBLTY</t>
  </si>
  <si>
    <t>PdS 5.12</t>
  </si>
  <si>
    <t>ESPEC PILAR 3 V12</t>
  </si>
  <si>
    <t>ESPEC PM</t>
  </si>
  <si>
    <t>FLG_GRP_NFRD_APPLCBLTY</t>
  </si>
  <si>
    <t>Comentários</t>
  </si>
  <si>
    <t>Especificação</t>
  </si>
  <si>
    <t>Teste</t>
  </si>
  <si>
    <t>9. Concluído</t>
  </si>
  <si>
    <t>5.2 Em testes - Incidência</t>
  </si>
  <si>
    <t>2. Alterar especificação</t>
  </si>
  <si>
    <t>1. Especificar</t>
  </si>
  <si>
    <t>3. Pendente de decisão</t>
  </si>
  <si>
    <t>7. Analisar controlos e completude</t>
  </si>
  <si>
    <t>8. Concluído - sem dados</t>
  </si>
  <si>
    <t>4.1 Em implementação - Re-especificação</t>
  </si>
  <si>
    <t>5.1 Em testes - Re-especificação</t>
  </si>
  <si>
    <t>6. Outros Desenvolvimentos</t>
  </si>
  <si>
    <t>LF</t>
  </si>
  <si>
    <t>PM &amp; LF</t>
  </si>
  <si>
    <t>PM - Novos Campos</t>
  </si>
  <si>
    <t xml:space="preserve">Especificar o campo </t>
  </si>
  <si>
    <t xml:space="preserve">Sim </t>
  </si>
  <si>
    <t>Adicionar apenas 805</t>
  </si>
  <si>
    <t>Sim - Replicar PM</t>
  </si>
  <si>
    <t>WIP</t>
  </si>
  <si>
    <t>WIP - LCM</t>
  </si>
  <si>
    <t xml:space="preserve">WIP </t>
  </si>
  <si>
    <t>Sim - Sinergia GD</t>
  </si>
  <si>
    <t>Sim - Replicar PM (WIP - LCM)</t>
  </si>
  <si>
    <t>WIP - Confirmar com MR</t>
  </si>
  <si>
    <t>PROJ GF</t>
  </si>
  <si>
    <t>STATUS GF</t>
  </si>
  <si>
    <t>Projeto GF</t>
  </si>
  <si>
    <t>Package</t>
  </si>
  <si>
    <t>Package 1</t>
  </si>
  <si>
    <t>Campos fora de âmbito na nova versão da Corporação</t>
  </si>
  <si>
    <t>Campos adicionados ao âmbito na nova versão da Corporação</t>
  </si>
  <si>
    <t>Campos por especificar do plano anterior (colunas AM/AN - Novo projeto martelado com não)</t>
  </si>
  <si>
    <t>Campos por testar do plano anterior (colunas AM/AN - Novo projeto martelado com não)</t>
  </si>
  <si>
    <t>Quando o campo for testado é necessário testar a LT826</t>
  </si>
  <si>
    <t>Depedem da Marcação Verde</t>
  </si>
  <si>
    <t>STATUS PdS</t>
  </si>
  <si>
    <t>MODELO VERDE</t>
  </si>
  <si>
    <t>INPUT PROJ FINAN</t>
  </si>
  <si>
    <t>MARCAÇÃO VERDE OUTPUT</t>
  </si>
  <si>
    <t>MARCAÇÃO VERDE INPUT</t>
  </si>
  <si>
    <t>Alteração SPV e TAT</t>
  </si>
  <si>
    <t>SCOPES CLIENTES (NFIN)</t>
  </si>
  <si>
    <t>Devido ao Project Finance</t>
  </si>
  <si>
    <t>SCOPES &amp; ORIGENS &amp; UNID VEICULOS</t>
  </si>
  <si>
    <t>SCOPES &amp; ORIGENS &amp; UNID IMÓVEIS</t>
  </si>
  <si>
    <t>INPUT MUNICH RE</t>
  </si>
  <si>
    <t>MODELO BENS IMO</t>
  </si>
  <si>
    <t>INPUT GLOVAL + SCRIPTS + CARR FICH</t>
  </si>
  <si>
    <t>CERTIFICADOS (4 CAMPOS DA GLOVAL)</t>
  </si>
  <si>
    <t>Modelo de Bens Imóveis</t>
  </si>
  <si>
    <t>Certificados</t>
  </si>
  <si>
    <t>Visibilidade em Plano</t>
  </si>
  <si>
    <t>Status</t>
  </si>
  <si>
    <t>Concluido</t>
  </si>
  <si>
    <t>Input Gloval</t>
  </si>
  <si>
    <t>Especificação: Gloval + Novo Campo</t>
  </si>
  <si>
    <t>Especificação: Input Gloval</t>
  </si>
  <si>
    <t>Teste: Campo Rácio NTC</t>
  </si>
  <si>
    <t>Teste: Restantes Campos (exceto Gloval)</t>
  </si>
  <si>
    <t>Modelo Verde</t>
  </si>
  <si>
    <t>Especificação: Scopes &amp; Origens &amp; Unid</t>
  </si>
  <si>
    <t>Veiculos</t>
  </si>
  <si>
    <t>Imóveis</t>
  </si>
  <si>
    <t>Clientes</t>
  </si>
  <si>
    <t>CODE NACE CLIENTES - SPV/TAT</t>
  </si>
  <si>
    <t>RISCO FISICO CLIENTES (TAT + MUNCH RE + NUTS)</t>
  </si>
  <si>
    <t>RISCO FISICO IMÓVEIS (TAT + MUNCH RE + NUTS)</t>
  </si>
  <si>
    <t>Especificação: Code Nace (TAT) no Risco Físico</t>
  </si>
  <si>
    <t>Especificação: Code Nace (TAT) no Risco Físico + SPV + Campo Code Nace</t>
  </si>
  <si>
    <t>Pilar III</t>
  </si>
  <si>
    <t>Protection</t>
  </si>
  <si>
    <t>Especificação: TYP_EPC_LBL &amp; EPC_LBL</t>
  </si>
  <si>
    <t>Geral</t>
  </si>
  <si>
    <t>Especificação: Campos MISS (terminar os comuns)</t>
  </si>
  <si>
    <t>Especificação: 6 campos (emissões e origens --&gt; as emissões dependem das origens do MV (ex: eletricos)</t>
  </si>
  <si>
    <t>Instrument</t>
  </si>
  <si>
    <t>Especificação: Métodos obtenção das scopes na LT827 (móveis e imóveis)</t>
  </si>
  <si>
    <t>Quando o campo for testado é necessário testar a LT827. Adicionalmente, atenção a bens imóveis, moveis e project Finance.</t>
  </si>
  <si>
    <t>Restantes To Do's</t>
  </si>
  <si>
    <t>- Confirmar com a MR campos da LT006</t>
  </si>
  <si>
    <t>- Enviar e-mail a Zneida acerca do universo de ESG RISK</t>
  </si>
  <si>
    <t xml:space="preserve">Entty </t>
  </si>
  <si>
    <t>Especificação: 20 campos de rácio de elegi</t>
  </si>
  <si>
    <t>Marcação Verde</t>
  </si>
  <si>
    <t>Tempo perdido em reuniões</t>
  </si>
  <si>
    <t>Não, mas devia</t>
  </si>
  <si>
    <t>Obs:. É necessário filtrar tudo o que não esta fora de âmbito, tudo o que não esta no PDS e excluir os verdes que são para testes e os vermelhos que foram excluidos.</t>
  </si>
  <si>
    <t>Package 2</t>
  </si>
  <si>
    <t>Package 3</t>
  </si>
  <si>
    <t>Package 4</t>
  </si>
  <si>
    <t>- Confirmar se a LT007 vai ter os contratos todos</t>
  </si>
  <si>
    <t>Package 5</t>
  </si>
  <si>
    <t>Status Entregas</t>
  </si>
  <si>
    <t>Tal como no Pilar III, não é necessário adicionar no ESG Risk porque são campos estruturais</t>
  </si>
  <si>
    <t>Sim (para a semana)</t>
  </si>
  <si>
    <t>Concluído</t>
  </si>
  <si>
    <t>Para o universo de exclusivamente financiados ou é missing value ou se cria uma nova tabela. Dar visibilidade à Susana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</si>
</sst>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x14ac:knownFonts="1">
    <font>
      <sz val="11"/>
      <color theme="1"/>
      <name val="Calibri"/>
      <family val="2"/>
      <scheme val="minor"/>
    </font>
    <font>
      <b/>
      <sz val="11"/>
      <color theme="0"/>
      <name val="Calibri"/>
      <family val="2"/>
      <scheme val="minor"/>
    </font>
    <font>
      <b/>
      <sz val="11"/>
      <color theme="1"/>
      <name val="Calibri"/>
      <family val="2"/>
      <scheme val="minor"/>
    </font>
    <font>
      <sz val="11"/>
      <color theme="0" tint="-0.249977111117893"/>
      <name val="Calibri"/>
      <family val="2"/>
      <scheme val="minor"/>
    </font>
    <font>
      <b/>
      <sz val="11"/>
      <name val="Calibri"/>
      <family val="2"/>
      <scheme val="minor"/>
    </font>
    <font>
      <sz val="10"/>
      <color theme="1"/>
      <name val="Arial"/>
      <family val="2"/>
    </font>
    <font>
      <b/>
      <sz val="10"/>
      <color rgb="FFFF0000"/>
      <name val="Arial"/>
      <family val="2"/>
    </font>
    <font>
      <b/>
      <i/>
      <sz val="10"/>
      <color rgb="FFFF0000"/>
      <name val="Arial"/>
      <family val="2"/>
    </font>
    <font>
      <sz val="10"/>
      <color rgb="FFFF0000"/>
      <name val="Arial"/>
      <family val="2"/>
    </font>
    <font>
      <b/>
      <u/>
      <sz val="10"/>
      <color theme="1"/>
      <name val="Arial"/>
      <family val="2"/>
    </font>
    <font>
      <b/>
      <i/>
      <u/>
      <sz val="10"/>
      <color theme="1"/>
      <name val="Arial"/>
      <family val="2"/>
    </font>
    <font>
      <sz val="10"/>
      <color theme="0" tint="-0.249977111117893"/>
      <name val="Arial"/>
      <family val="2"/>
    </font>
    <font>
      <b/>
      <strike/>
      <sz val="11"/>
      <name val="Calibri"/>
      <family val="2"/>
      <scheme val="minor"/>
    </font>
    <font>
      <i/>
      <sz val="11"/>
      <color theme="1"/>
      <name val="Calibri"/>
      <family val="2"/>
      <scheme val="minor"/>
    </font>
  </fonts>
  <fills count="13">
    <fill>
      <patternFill patternType="none"/>
    </fill>
    <fill>
      <patternFill patternType="gray125"/>
    </fill>
    <fill>
      <patternFill patternType="solid">
        <fgColor rgb="FFFF0000"/>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9" tint="-0.499984740745262"/>
        <bgColor indexed="64"/>
      </patternFill>
    </fill>
    <fill>
      <patternFill patternType="solid">
        <fgColor rgb="FFFFFF00"/>
        <bgColor indexed="64"/>
      </patternFill>
    </fill>
    <fill>
      <patternFill patternType="solid">
        <fgColor theme="0"/>
        <bgColor indexed="64"/>
      </patternFill>
    </fill>
    <fill>
      <patternFill patternType="solid">
        <fgColor theme="7" tint="-0.499984740745262"/>
        <bgColor indexed="64"/>
      </patternFill>
    </fill>
    <fill>
      <patternFill patternType="solid">
        <fgColor rgb="FFFFC1C1"/>
        <bgColor indexed="64"/>
      </patternFill>
    </fill>
    <fill>
      <patternFill patternType="solid">
        <fgColor theme="8" tint="0.79998168889431442"/>
        <bgColor indexed="64"/>
      </patternFill>
    </fill>
    <fill>
      <patternFill patternType="solid">
        <fgColor theme="5" tint="0.39997558519241921"/>
        <bgColor indexed="64"/>
      </patternFill>
    </fill>
  </fills>
  <borders count="7">
    <border>
      <left/>
      <right/>
      <top/>
      <bottom/>
      <diagonal/>
    </border>
    <border>
      <left style="thin">
        <color theme="1"/>
      </left>
      <right style="thin">
        <color theme="1"/>
      </right>
      <top style="thin">
        <color theme="1"/>
      </top>
      <bottom style="thin">
        <color theme="1"/>
      </bottom>
      <diagonal/>
    </border>
    <border>
      <left style="thin">
        <color theme="1"/>
      </left>
      <right style="thin">
        <color theme="1"/>
      </right>
      <top/>
      <bottom/>
      <diagonal/>
    </border>
    <border>
      <left/>
      <right/>
      <top/>
      <bottom style="thin">
        <color rgb="FFFF0000"/>
      </bottom>
      <diagonal/>
    </border>
    <border>
      <left/>
      <right style="thin">
        <color rgb="FF9BAFCD"/>
      </right>
      <top style="thin">
        <color rgb="FF9BAFCD"/>
      </top>
      <bottom style="thin">
        <color rgb="FF9BAFCD"/>
      </bottom>
      <diagonal/>
    </border>
    <border>
      <left style="thin">
        <color theme="1"/>
      </left>
      <right style="thin">
        <color theme="1"/>
      </right>
      <top style="thin">
        <color theme="1"/>
      </top>
      <bottom/>
      <diagonal/>
    </border>
    <border>
      <left/>
      <right style="thin">
        <color rgb="FF9BAFCD"/>
      </right>
      <top style="thin">
        <color rgb="FF9BAFCD"/>
      </top>
      <bottom/>
      <diagonal/>
    </border>
  </borders>
  <cellStyleXfs count="1">
    <xf numFmtId="0" fontId="0" fillId="0" borderId="0"/>
  </cellStyleXfs>
  <cellXfs count="51">
    <xf numFmtId="0" fontId="0" fillId="0" borderId="0" xfId="0"/>
    <xf numFmtId="0" fontId="0" fillId="0" borderId="1" xfId="0" applyBorder="1"/>
    <xf numFmtId="0" fontId="1" fillId="2" borderId="1" xfId="0" applyFont="1" applyFill="1" applyBorder="1"/>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3" fillId="0" borderId="0" xfId="0" applyFont="1"/>
    <xf numFmtId="0" fontId="1" fillId="6" borderId="1" xfId="0" applyFont="1" applyFill="1" applyBorder="1" applyAlignment="1">
      <alignment horizontal="center" vertical="center" wrapText="1"/>
    </xf>
    <xf numFmtId="0" fontId="2" fillId="0" borderId="0" xfId="0" applyFont="1"/>
    <xf numFmtId="0" fontId="1" fillId="6" borderId="0" xfId="0" applyFont="1" applyFill="1"/>
    <xf numFmtId="0" fontId="5" fillId="0" borderId="0" xfId="0" applyFont="1" applyAlignment="1"/>
    <xf numFmtId="0" fontId="6" fillId="0" borderId="3" xfId="0" applyFont="1" applyBorder="1" applyAlignment="1"/>
    <xf numFmtId="0" fontId="8" fillId="0" borderId="3" xfId="0" applyFont="1" applyBorder="1" applyAlignment="1"/>
    <xf numFmtId="0" fontId="9" fillId="3" borderId="0" xfId="0" applyFont="1" applyFill="1" applyAlignment="1">
      <alignment vertical="center"/>
    </xf>
    <xf numFmtId="0" fontId="5" fillId="3" borderId="0" xfId="0" applyFont="1" applyFill="1" applyAlignment="1"/>
    <xf numFmtId="0" fontId="5" fillId="0" borderId="0" xfId="0" applyFont="1" applyAlignment="1">
      <alignment vertical="center"/>
    </xf>
    <xf numFmtId="0" fontId="5" fillId="7" borderId="0" xfId="0" applyFont="1" applyFill="1" applyAlignment="1">
      <alignment vertical="center"/>
    </xf>
    <xf numFmtId="0" fontId="5" fillId="5" borderId="0" xfId="0" applyFont="1" applyFill="1" applyAlignment="1">
      <alignment vertical="center"/>
    </xf>
    <xf numFmtId="0" fontId="5" fillId="5" borderId="0" xfId="0" applyFont="1" applyFill="1" applyAlignment="1"/>
    <xf numFmtId="1" fontId="5" fillId="5" borderId="0" xfId="0" applyNumberFormat="1" applyFont="1" applyFill="1" applyAlignment="1">
      <alignment horizontal="left"/>
    </xf>
    <xf numFmtId="0" fontId="5" fillId="8" borderId="0" xfId="0" applyFont="1" applyFill="1" applyAlignment="1">
      <alignment vertical="center"/>
    </xf>
    <xf numFmtId="0" fontId="5" fillId="8" borderId="0" xfId="0" applyFont="1" applyFill="1" applyAlignment="1"/>
    <xf numFmtId="1" fontId="5" fillId="8" borderId="0" xfId="0" applyNumberFormat="1" applyFont="1" applyFill="1" applyAlignment="1">
      <alignment horizontal="left"/>
    </xf>
    <xf numFmtId="0" fontId="9" fillId="8" borderId="0" xfId="0" applyFont="1" applyFill="1" applyAlignment="1">
      <alignment vertical="center"/>
    </xf>
    <xf numFmtId="0" fontId="11" fillId="0" borderId="0" xfId="0" applyFont="1" applyAlignment="1"/>
    <xf numFmtId="0" fontId="0" fillId="4" borderId="1" xfId="0" applyFill="1" applyBorder="1"/>
    <xf numFmtId="0" fontId="4" fillId="0" borderId="4" xfId="0" applyFont="1" applyBorder="1" applyAlignment="1">
      <alignment horizontal="left" vertical="center"/>
    </xf>
    <xf numFmtId="0" fontId="4" fillId="7" borderId="4" xfId="0" applyFont="1" applyFill="1" applyBorder="1" applyAlignment="1">
      <alignment horizontal="left" vertical="center"/>
    </xf>
    <xf numFmtId="0" fontId="4" fillId="0" borderId="0" xfId="0" applyFont="1" applyAlignment="1">
      <alignment horizontal="left" vertical="center"/>
    </xf>
    <xf numFmtId="9" fontId="4" fillId="0" borderId="4" xfId="0" applyNumberFormat="1" applyFont="1" applyBorder="1" applyAlignment="1">
      <alignment horizontal="left" vertical="center"/>
    </xf>
    <xf numFmtId="9" fontId="4" fillId="7" borderId="4" xfId="0" applyNumberFormat="1" applyFont="1" applyFill="1" applyBorder="1" applyAlignment="1">
      <alignment horizontal="left" vertical="center"/>
    </xf>
    <xf numFmtId="0" fontId="12" fillId="0" borderId="4" xfId="0" applyFont="1" applyBorder="1" applyAlignment="1">
      <alignment horizontal="left" vertical="center"/>
    </xf>
    <xf numFmtId="0" fontId="4" fillId="7" borderId="0" xfId="0" applyFont="1" applyFill="1" applyAlignment="1">
      <alignment horizontal="left" vertical="center"/>
    </xf>
    <xf numFmtId="0" fontId="1" fillId="6" borderId="2" xfId="0" applyFont="1" applyFill="1" applyBorder="1" applyAlignment="1">
      <alignment horizontal="center" vertical="center" wrapText="1"/>
    </xf>
    <xf numFmtId="0" fontId="0" fillId="0" borderId="1" xfId="0" quotePrefix="1" applyBorder="1"/>
    <xf numFmtId="0" fontId="1" fillId="9" borderId="1" xfId="0" applyFont="1" applyFill="1" applyBorder="1" applyAlignment="1">
      <alignment horizontal="center" vertical="center" wrapText="1"/>
    </xf>
    <xf numFmtId="0" fontId="0" fillId="4" borderId="0" xfId="0" applyFill="1"/>
    <xf numFmtId="0" fontId="0" fillId="5" borderId="0" xfId="0" applyFill="1"/>
    <xf numFmtId="0" fontId="0" fillId="0" borderId="1" xfId="0" applyFill="1" applyBorder="1"/>
    <xf numFmtId="0" fontId="0" fillId="10" borderId="1" xfId="0" applyFill="1" applyBorder="1"/>
    <xf numFmtId="0" fontId="0" fillId="11" borderId="0" xfId="0" applyFill="1"/>
    <xf numFmtId="0" fontId="0" fillId="10" borderId="0" xfId="0" applyFill="1"/>
    <xf numFmtId="0" fontId="0" fillId="11" borderId="1" xfId="0" applyFill="1" applyBorder="1"/>
    <xf numFmtId="0" fontId="0" fillId="5" borderId="1" xfId="0" applyFill="1" applyBorder="1"/>
    <xf numFmtId="0" fontId="0" fillId="0" borderId="0" xfId="0" applyFill="1" applyBorder="1"/>
    <xf numFmtId="0" fontId="0" fillId="0" borderId="5" xfId="0" applyBorder="1"/>
    <xf numFmtId="0" fontId="4" fillId="0" borderId="6" xfId="0" applyFont="1" applyBorder="1" applyAlignment="1">
      <alignment horizontal="left" vertical="center"/>
    </xf>
    <xf numFmtId="0" fontId="0" fillId="0" borderId="0" xfId="0" applyFont="1"/>
    <xf numFmtId="0" fontId="0" fillId="0" borderId="0" xfId="0" quotePrefix="1"/>
    <xf numFmtId="0" fontId="13" fillId="0" borderId="0" xfId="0" applyFont="1"/>
    <xf numFmtId="0" fontId="1" fillId="12" borderId="1" xfId="0" applyFont="1" applyFill="1" applyBorder="1" applyAlignment="1">
      <alignment horizontal="center" vertical="center"/>
    </xf>
    <xf numFmtId="0" fontId="0" fillId="8" borderId="1" xfId="0" applyFill="1" applyBorder="1"/>
  </cellXfs>
  <cellStyles count="1">
    <cellStyle name="Normal" xfId="0" builtinId="0"/>
  </cellStyles>
  <dxfs count="0"/>
  <tableStyles count="0" defaultTableStyle="TableStyleMedium2" defaultPivotStyle="PivotStyleLight16"/>
  <colors>
    <mruColors>
      <color rgb="FFFFC1C1"/>
      <color rgb="FFFF5D5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e808873/Downloads/Novos%20Requisitos%20LT%20-%20P3%20-%20Package%20de%20especifica&#231;&#227;o%20(timeline)%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verview"/>
      <sheetName val="Especificação Novos Req. LT -P3"/>
      <sheetName val="Sheet1"/>
      <sheetName val="Especificação Novos Req. LT (2"/>
    </sheetNames>
    <sheetDataSet>
      <sheetData sheetId="0" refreshError="1"/>
      <sheetData sheetId="1" refreshError="1"/>
      <sheetData sheetId="2">
        <row r="5">
          <cell r="D5" t="str">
            <v>FLG_DNSH_CMPLNC</v>
          </cell>
          <cell r="E5" t="str">
            <v>MISS</v>
          </cell>
        </row>
        <row r="6">
          <cell r="D6" t="str">
            <v>DNSH_DTL</v>
          </cell>
          <cell r="E6" t="str">
            <v>MISS</v>
          </cell>
        </row>
        <row r="7">
          <cell r="D7" t="str">
            <v>FLG_MNMM_SFGRDS</v>
          </cell>
          <cell r="E7" t="str">
            <v>MISS</v>
          </cell>
        </row>
        <row r="8">
          <cell r="D8" t="str">
            <v>RL_ESTT_CRTFCTN</v>
          </cell>
          <cell r="E8" t="str">
            <v>MISS</v>
          </cell>
        </row>
        <row r="9">
          <cell r="D9" t="str">
            <v>TYP_VHCL</v>
          </cell>
          <cell r="E9" t="str">
            <v>MISS</v>
          </cell>
        </row>
        <row r="10">
          <cell r="D10" t="str">
            <v>DT_RGSTRTN</v>
          </cell>
          <cell r="E10" t="str">
            <v>0000-00-00</v>
          </cell>
        </row>
        <row r="11">
          <cell r="D11" t="str">
            <v>TYP_EMSSNS_LBL</v>
          </cell>
          <cell r="E11" t="str">
            <v>MISS</v>
          </cell>
        </row>
        <row r="12">
          <cell r="D12" t="str">
            <v>VHCL_EMSSNS_LBL</v>
          </cell>
          <cell r="E12" t="str">
            <v>MISS</v>
          </cell>
        </row>
        <row r="13">
          <cell r="D13" t="str">
            <v>VHCL_EMSSNS_SCR</v>
          </cell>
          <cell r="E13">
            <v>99999999999</v>
          </cell>
        </row>
        <row r="14">
          <cell r="D14" t="str">
            <v>INSRNC_ID</v>
          </cell>
          <cell r="E14" t="str">
            <v>MISS</v>
          </cell>
        </row>
        <row r="15">
          <cell r="D15" t="str">
            <v>TYP_HZRDS_INSRD</v>
          </cell>
          <cell r="E15" t="str">
            <v>MISS</v>
          </cell>
        </row>
        <row r="16">
          <cell r="D16" t="str">
            <v>AMNT_CVRD_INSRNC</v>
          </cell>
          <cell r="E16">
            <v>99999999999</v>
          </cell>
        </row>
        <row r="17">
          <cell r="D17" t="str">
            <v>DT_MTRTY_INSRNC</v>
          </cell>
          <cell r="E17" t="str">
            <v>0000-00-00</v>
          </cell>
        </row>
        <row r="18">
          <cell r="D18" t="str">
            <v>FLG_FRST_HM</v>
          </cell>
          <cell r="E18" t="str">
            <v>MISS</v>
          </cell>
        </row>
      </sheetData>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AX564"/>
  <sheetViews>
    <sheetView showGridLines="0" tabSelected="1" zoomScale="60" zoomScaleNormal="60" workbookViewId="0">
      <selection activeCell="G455" sqref="G455"/>
    </sheetView>
  </sheetViews>
  <sheetFormatPr defaultRowHeight="14.5" zeroHeight="1" x14ac:dyDescent="0.35"/>
  <cols>
    <col min="1" max="1" width="3.7265625" customWidth="1"/>
    <col min="2" max="2" width="8.7265625" hidden="1" customWidth="1"/>
    <col min="3" max="3" width="18.7265625" bestFit="1" customWidth="1"/>
    <col min="4" max="6" width="0" hidden="1" customWidth="1"/>
    <col min="7" max="7" width="86" bestFit="1" customWidth="1"/>
    <col min="8" max="14" width="8.7265625" customWidth="1"/>
    <col min="15" max="27" width="8.7265625" hidden="1" customWidth="1"/>
    <col min="28" max="33" width="16" customWidth="1"/>
    <col min="34" max="36" width="9.1796875" hidden="1" customWidth="1"/>
    <col min="37" max="41" width="16.54296875" customWidth="1"/>
    <col min="42" max="42" width="16.54296875" hidden="1" customWidth="1"/>
    <col min="43" max="45" width="35.453125" customWidth="1"/>
    <col min="46" max="46" width="16.54296875" customWidth="1"/>
    <col min="47" max="47" width="16.54296875" hidden="1" customWidth="1"/>
    <col min="48" max="49" width="16.54296875" customWidth="1"/>
    <col min="50" max="50" width="65.26953125" customWidth="1"/>
  </cols>
  <sheetData>
    <row r="1" spans="1:50" x14ac:dyDescent="0.35"/>
    <row r="2" spans="1:50" x14ac:dyDescent="0.35">
      <c r="C2" s="35"/>
      <c r="G2" t="s">
        <v>2477</v>
      </c>
    </row>
    <row r="3" spans="1:50" x14ac:dyDescent="0.35">
      <c r="C3" s="40"/>
      <c r="G3" t="s">
        <v>2476</v>
      </c>
    </row>
    <row r="4" spans="1:50" x14ac:dyDescent="0.35">
      <c r="C4" s="39"/>
      <c r="G4" t="s">
        <v>2478</v>
      </c>
    </row>
    <row r="5" spans="1:50" x14ac:dyDescent="0.35">
      <c r="C5" s="36"/>
      <c r="G5" t="s">
        <v>2479</v>
      </c>
    </row>
    <row r="6" spans="1:50" x14ac:dyDescent="0.35">
      <c r="C6" s="48" t="s">
        <v>2533</v>
      </c>
    </row>
    <row r="7" spans="1:50" x14ac:dyDescent="0.35"/>
    <row r="8" spans="1:50" ht="29" x14ac:dyDescent="0.35">
      <c r="B8" s="4" t="s">
        <v>0</v>
      </c>
      <c r="C8" s="4" t="s">
        <v>1</v>
      </c>
      <c r="D8" s="4" t="s">
        <v>2</v>
      </c>
      <c r="E8" s="4" t="s">
        <v>3</v>
      </c>
      <c r="F8" s="4"/>
      <c r="G8" s="4" t="s">
        <v>4</v>
      </c>
      <c r="H8" s="49" t="s">
        <v>5</v>
      </c>
      <c r="I8" s="49" t="s">
        <v>6</v>
      </c>
      <c r="J8" s="49" t="s">
        <v>7</v>
      </c>
      <c r="K8" s="49" t="s">
        <v>8</v>
      </c>
      <c r="L8" s="49" t="s">
        <v>9</v>
      </c>
      <c r="M8" s="49" t="s">
        <v>10</v>
      </c>
      <c r="N8" s="49" t="s">
        <v>11</v>
      </c>
      <c r="O8" s="4" t="s">
        <v>12</v>
      </c>
      <c r="P8" s="4" t="s">
        <v>13</v>
      </c>
      <c r="Q8" s="4" t="s">
        <v>14</v>
      </c>
      <c r="R8" s="4" t="s">
        <v>15</v>
      </c>
      <c r="S8" s="4" t="s">
        <v>16</v>
      </c>
      <c r="T8" s="4" t="s">
        <v>17</v>
      </c>
      <c r="U8" s="4" t="s">
        <v>18</v>
      </c>
      <c r="V8" s="4" t="s">
        <v>19</v>
      </c>
      <c r="W8" s="4" t="s">
        <v>20</v>
      </c>
      <c r="X8" s="4" t="s">
        <v>21</v>
      </c>
      <c r="Y8" s="4" t="s">
        <v>22</v>
      </c>
      <c r="Z8" s="4" t="s">
        <v>23</v>
      </c>
      <c r="AA8" s="4" t="s">
        <v>24</v>
      </c>
      <c r="AB8" s="3" t="s">
        <v>25</v>
      </c>
      <c r="AC8" s="3" t="s">
        <v>26</v>
      </c>
      <c r="AD8" s="3" t="s">
        <v>27</v>
      </c>
      <c r="AE8" s="3" t="s">
        <v>28</v>
      </c>
      <c r="AF8" s="3" t="s">
        <v>29</v>
      </c>
      <c r="AG8" s="3" t="s">
        <v>30</v>
      </c>
      <c r="AH8" s="2" t="s">
        <v>31</v>
      </c>
      <c r="AI8" s="2" t="s">
        <v>32</v>
      </c>
      <c r="AJ8" s="2" t="s">
        <v>33</v>
      </c>
      <c r="AK8" s="6" t="s">
        <v>2285</v>
      </c>
      <c r="AL8" s="6" t="s">
        <v>2443</v>
      </c>
      <c r="AM8" s="6" t="s">
        <v>2442</v>
      </c>
      <c r="AN8" s="6" t="s">
        <v>2441</v>
      </c>
      <c r="AO8" s="6" t="s">
        <v>2395</v>
      </c>
      <c r="AP8" s="34" t="s">
        <v>2471</v>
      </c>
      <c r="AQ8" s="34" t="s">
        <v>2482</v>
      </c>
      <c r="AR8" s="34" t="s">
        <v>2472</v>
      </c>
      <c r="AS8" s="34"/>
      <c r="AT8" s="6" t="s">
        <v>2446</v>
      </c>
      <c r="AU8" s="32" t="s">
        <v>2447</v>
      </c>
      <c r="AV8" s="32" t="s">
        <v>2474</v>
      </c>
      <c r="AW8" s="32" t="s">
        <v>2539</v>
      </c>
      <c r="AX8" s="32" t="s">
        <v>2445</v>
      </c>
    </row>
    <row r="9" spans="1:50" ht="14.5" hidden="1" customHeight="1" x14ac:dyDescent="0.35">
      <c r="A9" s="5" t="str">
        <f>+C9&amp;G9</f>
        <v>ENTITYCOD_SOC</v>
      </c>
      <c r="B9" s="1" t="s">
        <v>34</v>
      </c>
      <c r="C9" s="1" t="s">
        <v>35</v>
      </c>
      <c r="D9" s="1" t="s">
        <v>36</v>
      </c>
      <c r="E9" s="1" t="s">
        <v>37</v>
      </c>
      <c r="F9" s="25" t="s">
        <v>38</v>
      </c>
      <c r="G9" s="1" t="s">
        <v>38</v>
      </c>
      <c r="H9" s="1" t="s">
        <v>39</v>
      </c>
      <c r="I9" s="1" t="s">
        <v>39</v>
      </c>
      <c r="J9" s="1" t="s">
        <v>39</v>
      </c>
      <c r="K9" s="1" t="s">
        <v>39</v>
      </c>
      <c r="L9" s="1" t="s">
        <v>39</v>
      </c>
      <c r="M9" s="1" t="s">
        <v>39</v>
      </c>
      <c r="N9" s="1" t="s">
        <v>39</v>
      </c>
      <c r="O9" s="1"/>
      <c r="P9" s="1"/>
      <c r="Q9" s="1"/>
      <c r="R9" s="1" t="s">
        <v>40</v>
      </c>
      <c r="S9" s="1" t="s">
        <v>41</v>
      </c>
      <c r="T9" s="1" t="s">
        <v>42</v>
      </c>
      <c r="U9" s="1" t="s">
        <v>42</v>
      </c>
      <c r="V9" s="1" t="s">
        <v>42</v>
      </c>
      <c r="W9" s="1" t="s">
        <v>43</v>
      </c>
      <c r="X9" s="1" t="s">
        <v>44</v>
      </c>
      <c r="Y9" s="1" t="s">
        <v>45</v>
      </c>
      <c r="Z9" s="1" t="s">
        <v>46</v>
      </c>
      <c r="AA9" s="1" t="s">
        <v>47</v>
      </c>
      <c r="AB9" s="1" t="s">
        <v>39</v>
      </c>
      <c r="AC9" s="1" t="s">
        <v>37</v>
      </c>
      <c r="AD9" s="1" t="s">
        <v>39</v>
      </c>
      <c r="AE9" s="1" t="s">
        <v>39</v>
      </c>
      <c r="AF9" s="1" t="s">
        <v>39</v>
      </c>
      <c r="AG9" s="1" t="s">
        <v>39</v>
      </c>
      <c r="AH9" s="1" t="s">
        <v>37</v>
      </c>
      <c r="AI9" s="1" t="s">
        <v>39</v>
      </c>
      <c r="AJ9" s="1" t="s">
        <v>39</v>
      </c>
      <c r="AK9" s="1" t="str">
        <f>+IF(AND(AD9="N",AF9="N"),"Fora de âmbito",
IF(AND(AD9="N",AF9="Y"),"Apenas ESG Risk",
IF(AND(AD9="Y",AF9="N"),"Apenas Pilar 3",
IF(AND(AD9="Y",AF9="Y"),"Comum",""))))</f>
        <v>Comum</v>
      </c>
      <c r="AL9" s="1" t="str">
        <f>+IF(IFERROR(VLOOKUP(A9,Ficheiros!I:I,1,FALSE),"")=A9,"Sim","Não")</f>
        <v>Sim</v>
      </c>
      <c r="AM9" s="1" t="str">
        <f>+IF(IFERROR(VLOOKUP(A9,Ficheiros!E:E,1,FALSE),"")=A9,"Sim","Não")</f>
        <v>Não</v>
      </c>
      <c r="AN9" s="1" t="str">
        <f>+IF(IFERROR(VLOOKUP(A9,Ficheiros!O:O,1,FALSE),"")=A9,"Sim","Não")</f>
        <v>Sim</v>
      </c>
      <c r="AO9" s="1" t="str">
        <f>+IF(IFERROR(VLOOKUP(A9,'Especificação Novos Req. LT (2'!A:A,1,FALSE),"")=A9,"Sim","Não")</f>
        <v>Não</v>
      </c>
      <c r="AP9" s="1" t="str">
        <f>+IF(IFERROR(VLOOKUP(A9,Ficheiros!T:T,1,FALSE),"")=A9,"Sim","Não")</f>
        <v>Sim</v>
      </c>
      <c r="AQ9" s="1" t="str">
        <f>+VLOOKUP(A9,Ficheiros!O:P,2,FALSE)</f>
        <v>1. Concluído</v>
      </c>
      <c r="AR9" s="1" t="str">
        <f>+VLOOKUP(A9,Ficheiros!T:U,2,FALSE)</f>
        <v>9. Concluído</v>
      </c>
      <c r="AS9" s="1" t="str">
        <f>+VLOOKUP(A9,Ficheiros!T:V,3,FALSE)</f>
        <v>PM</v>
      </c>
      <c r="AT9" s="1"/>
      <c r="AU9" s="1"/>
      <c r="AV9" s="1"/>
      <c r="AW9" s="1"/>
      <c r="AX9" s="1"/>
    </row>
    <row r="10" spans="1:50" ht="14.5" hidden="1" customHeight="1" x14ac:dyDescent="0.35">
      <c r="A10" s="5" t="str">
        <f t="shared" ref="A10:A73" si="0">+C10&amp;G10</f>
        <v>ENTITYCNTRY</v>
      </c>
      <c r="B10" s="1" t="s">
        <v>48</v>
      </c>
      <c r="C10" s="1" t="s">
        <v>35</v>
      </c>
      <c r="D10" s="1" t="s">
        <v>49</v>
      </c>
      <c r="E10" s="1" t="s">
        <v>39</v>
      </c>
      <c r="F10" s="26" t="s">
        <v>50</v>
      </c>
      <c r="G10" s="1" t="s">
        <v>50</v>
      </c>
      <c r="H10" s="1" t="s">
        <v>39</v>
      </c>
      <c r="I10" s="1" t="s">
        <v>39</v>
      </c>
      <c r="J10" s="1" t="s">
        <v>39</v>
      </c>
      <c r="K10" s="1" t="s">
        <v>39</v>
      </c>
      <c r="L10" s="1" t="s">
        <v>39</v>
      </c>
      <c r="M10" s="1" t="s">
        <v>39</v>
      </c>
      <c r="N10" s="1" t="s">
        <v>39</v>
      </c>
      <c r="O10" s="1"/>
      <c r="P10" s="1"/>
      <c r="Q10" s="1"/>
      <c r="R10" s="1" t="s">
        <v>51</v>
      </c>
      <c r="S10" s="1" t="s">
        <v>52</v>
      </c>
      <c r="T10" s="1" t="s">
        <v>53</v>
      </c>
      <c r="U10" s="1" t="s">
        <v>42</v>
      </c>
      <c r="V10" s="1" t="s">
        <v>46</v>
      </c>
      <c r="W10" s="1" t="s">
        <v>54</v>
      </c>
      <c r="X10" s="1" t="s">
        <v>55</v>
      </c>
      <c r="Y10" s="1" t="s">
        <v>56</v>
      </c>
      <c r="Z10" s="1" t="s">
        <v>57</v>
      </c>
      <c r="AA10" s="1" t="s">
        <v>47</v>
      </c>
      <c r="AB10" s="1" t="s">
        <v>39</v>
      </c>
      <c r="AC10" s="1" t="s">
        <v>37</v>
      </c>
      <c r="AD10" s="1" t="s">
        <v>39</v>
      </c>
      <c r="AE10" s="1" t="s">
        <v>39</v>
      </c>
      <c r="AF10" s="1" t="s">
        <v>39</v>
      </c>
      <c r="AG10" s="1" t="s">
        <v>39</v>
      </c>
      <c r="AH10" s="1" t="s">
        <v>37</v>
      </c>
      <c r="AI10" s="1" t="s">
        <v>39</v>
      </c>
      <c r="AJ10" s="1" t="s">
        <v>39</v>
      </c>
      <c r="AK10" s="1" t="str">
        <f t="shared" ref="AK10:AK73" si="1">+IF(AND(AD10="N",AF10="N"),"Fora de âmbito",
IF(AND(AD10="N",AF10="Y"),"Apenas ESG Risk",
IF(AND(AD10="Y",AF10="N"),"Apenas Pilar 3",
IF(AND(AD10="Y",AF10="Y"),"Comum",""))))</f>
        <v>Comum</v>
      </c>
      <c r="AL10" s="1" t="str">
        <f>+IF(IFERROR(VLOOKUP(A10,Ficheiros!I:I,1,FALSE),"")=A10,"Sim","Não")</f>
        <v>Sim</v>
      </c>
      <c r="AM10" s="1" t="str">
        <f>+IF(IFERROR(VLOOKUP(A10,Ficheiros!E:E,1,FALSE),"")=A10,"Sim","Não")</f>
        <v>Não</v>
      </c>
      <c r="AN10" s="1" t="str">
        <f>+IF(IFERROR(VLOOKUP(A10,Ficheiros!O:O,1,FALSE),"")=A10,"Sim","Não")</f>
        <v>Sim</v>
      </c>
      <c r="AO10" s="1" t="str">
        <f>+IF(IFERROR(VLOOKUP(A10,'Especificação Novos Req. LT (2'!A:A,1,FALSE),"")=A10,"Sim","Não")</f>
        <v>Não</v>
      </c>
      <c r="AP10" s="1" t="str">
        <f>+IF(IFERROR(VLOOKUP(A10,Ficheiros!T:T,1,FALSE),"")=A10,"Sim","Não")</f>
        <v>Sim</v>
      </c>
      <c r="AQ10" s="1" t="str">
        <f>+VLOOKUP(A10,Ficheiros!O:P,2,FALSE)</f>
        <v>1. Concluído</v>
      </c>
      <c r="AR10" s="1" t="str">
        <f>+VLOOKUP(A10,Ficheiros!T:U,2,FALSE)</f>
        <v>9. Concluído</v>
      </c>
      <c r="AS10" s="1" t="str">
        <f>+VLOOKUP(A10,Ficheiros!T:V,3,FALSE)</f>
        <v>PM</v>
      </c>
      <c r="AT10" s="1"/>
      <c r="AU10" s="1"/>
      <c r="AV10" s="1"/>
      <c r="AW10" s="1"/>
      <c r="AX10" s="1"/>
    </row>
    <row r="11" spans="1:50" ht="14.5" hidden="1" customHeight="1" x14ac:dyDescent="0.35">
      <c r="A11" s="5" t="str">
        <f t="shared" si="0"/>
        <v>ENTITYDT_BRTH</v>
      </c>
      <c r="B11" s="1" t="s">
        <v>58</v>
      </c>
      <c r="C11" s="1" t="s">
        <v>35</v>
      </c>
      <c r="D11" s="1" t="s">
        <v>49</v>
      </c>
      <c r="E11" s="1" t="s">
        <v>39</v>
      </c>
      <c r="F11" s="25" t="s">
        <v>59</v>
      </c>
      <c r="G11" s="1" t="s">
        <v>59</v>
      </c>
      <c r="H11" s="1" t="s">
        <v>37</v>
      </c>
      <c r="I11" s="1" t="s">
        <v>37</v>
      </c>
      <c r="J11" s="1" t="s">
        <v>37</v>
      </c>
      <c r="K11" s="1" t="s">
        <v>37</v>
      </c>
      <c r="L11" s="1" t="s">
        <v>37</v>
      </c>
      <c r="M11" s="1" t="s">
        <v>39</v>
      </c>
      <c r="N11" s="1" t="s">
        <v>39</v>
      </c>
      <c r="O11" s="1"/>
      <c r="P11" s="1"/>
      <c r="Q11" s="1"/>
      <c r="R11" s="1" t="s">
        <v>60</v>
      </c>
      <c r="S11" s="1" t="s">
        <v>61</v>
      </c>
      <c r="T11" s="1" t="s">
        <v>62</v>
      </c>
      <c r="U11" s="1" t="s">
        <v>42</v>
      </c>
      <c r="V11" s="1" t="s">
        <v>63</v>
      </c>
      <c r="W11" s="1" t="s">
        <v>64</v>
      </c>
      <c r="X11" s="1" t="s">
        <v>65</v>
      </c>
      <c r="Y11" s="1" t="s">
        <v>66</v>
      </c>
      <c r="Z11" s="1" t="s">
        <v>67</v>
      </c>
      <c r="AA11" s="1" t="s">
        <v>47</v>
      </c>
      <c r="AB11" s="1" t="s">
        <v>39</v>
      </c>
      <c r="AC11" s="1" t="s">
        <v>37</v>
      </c>
      <c r="AD11" s="1" t="s">
        <v>37</v>
      </c>
      <c r="AE11" s="1" t="s">
        <v>37</v>
      </c>
      <c r="AF11" s="1" t="s">
        <v>37</v>
      </c>
      <c r="AG11" s="1" t="s">
        <v>37</v>
      </c>
      <c r="AH11" s="1" t="s">
        <v>37</v>
      </c>
      <c r="AI11" s="1" t="s">
        <v>37</v>
      </c>
      <c r="AJ11" s="1" t="s">
        <v>39</v>
      </c>
      <c r="AK11" s="1" t="str">
        <f t="shared" si="1"/>
        <v>Fora de âmbito</v>
      </c>
      <c r="AL11" s="1" t="str">
        <f>+IF(IFERROR(VLOOKUP(A11,Ficheiros!I:I,1,FALSE),"")=A11,"Sim","Não")</f>
        <v>Sim</v>
      </c>
      <c r="AM11" s="1" t="str">
        <f>+IF(IFERROR(VLOOKUP(A11,Ficheiros!E:E,1,FALSE),"")=A11,"Sim","Não")</f>
        <v>Não</v>
      </c>
      <c r="AN11" s="1" t="str">
        <f>+IF(IFERROR(VLOOKUP(A11,Ficheiros!O:O,1,FALSE),"")=A11,"Sim","Não")</f>
        <v>Não</v>
      </c>
      <c r="AO11" s="1" t="str">
        <f>+IF(IFERROR(VLOOKUP(A11,'Especificação Novos Req. LT (2'!A:A,1,FALSE),"")=A11,"Sim","Não")</f>
        <v>Não</v>
      </c>
      <c r="AP11" s="1" t="str">
        <f>+IF(IFERROR(VLOOKUP(A11,Ficheiros!T:T,1,FALSE),"")=A11,"Sim","Não")</f>
        <v>Sim</v>
      </c>
      <c r="AQ11" s="1" t="e">
        <f>+VLOOKUP(A11,Ficheiros!O:P,2,FALSE)</f>
        <v>#N/A</v>
      </c>
      <c r="AR11" s="1" t="str">
        <f>+VLOOKUP(A11,Ficheiros!T:U,2,FALSE)</f>
        <v>7. Analisar controlos e completude</v>
      </c>
      <c r="AS11" s="1" t="str">
        <f>+VLOOKUP(A11,Ficheiros!T:V,3,FALSE)</f>
        <v>PM</v>
      </c>
      <c r="AT11" s="1"/>
      <c r="AU11" s="1"/>
      <c r="AV11" s="1"/>
      <c r="AW11" s="1"/>
      <c r="AX11" s="1"/>
    </row>
    <row r="12" spans="1:50" ht="14.5" hidden="1" customHeight="1" x14ac:dyDescent="0.35">
      <c r="A12" s="5" t="str">
        <f t="shared" si="0"/>
        <v>ENTITYDT_DFLT_STTS</v>
      </c>
      <c r="B12" s="1" t="s">
        <v>68</v>
      </c>
      <c r="C12" s="1" t="s">
        <v>35</v>
      </c>
      <c r="D12" s="1" t="s">
        <v>49</v>
      </c>
      <c r="E12" s="1" t="s">
        <v>39</v>
      </c>
      <c r="F12" s="25" t="s">
        <v>69</v>
      </c>
      <c r="G12" s="1" t="s">
        <v>69</v>
      </c>
      <c r="H12" s="1" t="s">
        <v>39</v>
      </c>
      <c r="I12" s="1" t="s">
        <v>39</v>
      </c>
      <c r="J12" s="1" t="s">
        <v>39</v>
      </c>
      <c r="K12" s="1" t="s">
        <v>39</v>
      </c>
      <c r="L12" s="1" t="s">
        <v>39</v>
      </c>
      <c r="M12" s="1" t="s">
        <v>39</v>
      </c>
      <c r="N12" s="1" t="s">
        <v>39</v>
      </c>
      <c r="O12" s="1"/>
      <c r="P12" s="1"/>
      <c r="Q12" s="1"/>
      <c r="R12" s="1" t="s">
        <v>60</v>
      </c>
      <c r="S12" s="1" t="s">
        <v>61</v>
      </c>
      <c r="T12" s="1" t="s">
        <v>62</v>
      </c>
      <c r="U12" s="1" t="s">
        <v>63</v>
      </c>
      <c r="V12" s="1" t="s">
        <v>63</v>
      </c>
      <c r="W12" s="1" t="s">
        <v>70</v>
      </c>
      <c r="X12" s="1" t="s">
        <v>71</v>
      </c>
      <c r="Y12" s="1" t="s">
        <v>45</v>
      </c>
      <c r="Z12" s="1" t="s">
        <v>46</v>
      </c>
      <c r="AA12" s="1" t="s">
        <v>47</v>
      </c>
      <c r="AB12" s="1" t="s">
        <v>39</v>
      </c>
      <c r="AC12" s="1" t="s">
        <v>37</v>
      </c>
      <c r="AD12" s="1" t="s">
        <v>37</v>
      </c>
      <c r="AE12" s="1" t="s">
        <v>37</v>
      </c>
      <c r="AF12" s="1" t="s">
        <v>37</v>
      </c>
      <c r="AG12" s="1" t="s">
        <v>39</v>
      </c>
      <c r="AH12" s="1" t="s">
        <v>37</v>
      </c>
      <c r="AI12" s="1" t="s">
        <v>37</v>
      </c>
      <c r="AJ12" s="1" t="s">
        <v>39</v>
      </c>
      <c r="AK12" s="1" t="str">
        <f t="shared" si="1"/>
        <v>Fora de âmbito</v>
      </c>
      <c r="AL12" s="1" t="str">
        <f>+IF(IFERROR(VLOOKUP(A12,Ficheiros!I:I,1,FALSE),"")=A12,"Sim","Não")</f>
        <v>Sim</v>
      </c>
      <c r="AM12" s="1" t="str">
        <f>+IF(IFERROR(VLOOKUP(A12,Ficheiros!E:E,1,FALSE),"")=A12,"Sim","Não")</f>
        <v>Não</v>
      </c>
      <c r="AN12" s="1" t="str">
        <f>+IF(IFERROR(VLOOKUP(A12,Ficheiros!O:O,1,FALSE),"")=A12,"Sim","Não")</f>
        <v>Não</v>
      </c>
      <c r="AO12" s="1" t="str">
        <f>+IF(IFERROR(VLOOKUP(A12,'Especificação Novos Req. LT (2'!A:A,1,FALSE),"")=A12,"Sim","Não")</f>
        <v>Não</v>
      </c>
      <c r="AP12" s="1" t="str">
        <f>+IF(IFERROR(VLOOKUP(A12,Ficheiros!T:T,1,FALSE),"")=A12,"Sim","Não")</f>
        <v>Sim</v>
      </c>
      <c r="AQ12" s="1" t="e">
        <f>+VLOOKUP(A12,Ficheiros!O:P,2,FALSE)</f>
        <v>#N/A</v>
      </c>
      <c r="AR12" s="1" t="str">
        <f>+VLOOKUP(A12,Ficheiros!T:U,2,FALSE)</f>
        <v>3. Pendente de decisão</v>
      </c>
      <c r="AS12" s="1" t="str">
        <f>+VLOOKUP(A12,Ficheiros!T:V,3,FALSE)</f>
        <v>LF</v>
      </c>
      <c r="AT12" s="1"/>
      <c r="AU12" s="1"/>
      <c r="AV12" s="1"/>
      <c r="AW12" s="1"/>
      <c r="AX12" s="1"/>
    </row>
    <row r="13" spans="1:50" ht="14.5" hidden="1" customHeight="1" x14ac:dyDescent="0.35">
      <c r="A13" s="5" t="str">
        <f t="shared" si="0"/>
        <v>ENTITYDT_FNNCL_STTMTS</v>
      </c>
      <c r="B13" s="1" t="s">
        <v>72</v>
      </c>
      <c r="C13" s="1" t="s">
        <v>35</v>
      </c>
      <c r="D13" s="1" t="s">
        <v>49</v>
      </c>
      <c r="E13" s="1" t="s">
        <v>37</v>
      </c>
      <c r="F13" s="25" t="s">
        <v>73</v>
      </c>
      <c r="G13" s="1" t="s">
        <v>73</v>
      </c>
      <c r="H13" s="1" t="s">
        <v>39</v>
      </c>
      <c r="I13" s="1" t="s">
        <v>39</v>
      </c>
      <c r="J13" s="1" t="s">
        <v>39</v>
      </c>
      <c r="K13" s="1" t="s">
        <v>39</v>
      </c>
      <c r="L13" s="1" t="s">
        <v>39</v>
      </c>
      <c r="M13" s="1" t="s">
        <v>39</v>
      </c>
      <c r="N13" s="1" t="s">
        <v>37</v>
      </c>
      <c r="O13" s="1"/>
      <c r="P13" s="1"/>
      <c r="Q13" s="1"/>
      <c r="R13" s="1" t="s">
        <v>60</v>
      </c>
      <c r="S13" s="1" t="s">
        <v>61</v>
      </c>
      <c r="T13" s="1" t="s">
        <v>62</v>
      </c>
      <c r="U13" s="1" t="s">
        <v>63</v>
      </c>
      <c r="V13" s="1" t="s">
        <v>63</v>
      </c>
      <c r="W13" s="1" t="s">
        <v>74</v>
      </c>
      <c r="X13" s="1" t="s">
        <v>75</v>
      </c>
      <c r="Y13" s="1" t="s">
        <v>45</v>
      </c>
      <c r="Z13" s="1" t="s">
        <v>46</v>
      </c>
      <c r="AA13" s="1" t="s">
        <v>47</v>
      </c>
      <c r="AB13" s="1" t="s">
        <v>39</v>
      </c>
      <c r="AC13" s="1" t="s">
        <v>37</v>
      </c>
      <c r="AD13" s="1" t="s">
        <v>37</v>
      </c>
      <c r="AE13" s="1" t="s">
        <v>37</v>
      </c>
      <c r="AF13" s="1" t="s">
        <v>37</v>
      </c>
      <c r="AG13" s="1" t="s">
        <v>39</v>
      </c>
      <c r="AH13" s="1" t="s">
        <v>37</v>
      </c>
      <c r="AI13" s="1" t="s">
        <v>37</v>
      </c>
      <c r="AJ13" s="1" t="s">
        <v>39</v>
      </c>
      <c r="AK13" s="1" t="str">
        <f t="shared" si="1"/>
        <v>Fora de âmbito</v>
      </c>
      <c r="AL13" s="1" t="str">
        <f>+IF(IFERROR(VLOOKUP(A13,Ficheiros!I:I,1,FALSE),"")=A13,"Sim","Não")</f>
        <v>Sim</v>
      </c>
      <c r="AM13" s="1" t="str">
        <f>+IF(IFERROR(VLOOKUP(A13,Ficheiros!E:E,1,FALSE),"")=A13,"Sim","Não")</f>
        <v>Não</v>
      </c>
      <c r="AN13" s="1" t="str">
        <f>+IF(IFERROR(VLOOKUP(A13,Ficheiros!O:O,1,FALSE),"")=A13,"Sim","Não")</f>
        <v>Não</v>
      </c>
      <c r="AO13" s="1" t="str">
        <f>+IF(IFERROR(VLOOKUP(A13,'Especificação Novos Req. LT (2'!A:A,1,FALSE),"")=A13,"Sim","Não")</f>
        <v>Não</v>
      </c>
      <c r="AP13" s="1" t="str">
        <f>+IF(IFERROR(VLOOKUP(A13,Ficheiros!T:T,1,FALSE),"")=A13,"Sim","Não")</f>
        <v>Sim</v>
      </c>
      <c r="AQ13" s="1" t="e">
        <f>+VLOOKUP(A13,Ficheiros!O:P,2,FALSE)</f>
        <v>#N/A</v>
      </c>
      <c r="AR13" s="1" t="str">
        <f>+VLOOKUP(A13,Ficheiros!T:U,2,FALSE)</f>
        <v>2. Alterar especificação</v>
      </c>
      <c r="AS13" s="1" t="str">
        <f>+VLOOKUP(A13,Ficheiros!T:V,3,FALSE)</f>
        <v>PM &amp; LF</v>
      </c>
      <c r="AT13" s="1"/>
      <c r="AU13" s="1"/>
      <c r="AV13" s="1"/>
      <c r="AW13" s="1"/>
      <c r="AX13" s="1"/>
    </row>
    <row r="14" spans="1:50" ht="14.5" hidden="1" customHeight="1" x14ac:dyDescent="0.35">
      <c r="A14" s="5" t="str">
        <f t="shared" si="0"/>
        <v>ENTITYDT_FNNCL_STTMTS_PRVS</v>
      </c>
      <c r="B14" s="1" t="s">
        <v>76</v>
      </c>
      <c r="C14" s="1" t="s">
        <v>35</v>
      </c>
      <c r="D14" s="1" t="s">
        <v>49</v>
      </c>
      <c r="E14" s="1" t="s">
        <v>37</v>
      </c>
      <c r="F14" s="25" t="s">
        <v>77</v>
      </c>
      <c r="G14" s="1" t="s">
        <v>77</v>
      </c>
      <c r="H14" s="1" t="s">
        <v>39</v>
      </c>
      <c r="I14" s="1" t="s">
        <v>39</v>
      </c>
      <c r="J14" s="1" t="s">
        <v>39</v>
      </c>
      <c r="K14" s="1" t="s">
        <v>39</v>
      </c>
      <c r="L14" s="1" t="s">
        <v>39</v>
      </c>
      <c r="M14" s="1" t="s">
        <v>39</v>
      </c>
      <c r="N14" s="1" t="s">
        <v>37</v>
      </c>
      <c r="O14" s="1"/>
      <c r="P14" s="1"/>
      <c r="Q14" s="1"/>
      <c r="R14" s="1" t="s">
        <v>60</v>
      </c>
      <c r="S14" s="1" t="s">
        <v>61</v>
      </c>
      <c r="T14" s="1" t="s">
        <v>62</v>
      </c>
      <c r="U14" s="1" t="s">
        <v>63</v>
      </c>
      <c r="V14" s="1" t="s">
        <v>63</v>
      </c>
      <c r="W14" s="1" t="s">
        <v>78</v>
      </c>
      <c r="X14" s="1" t="s">
        <v>79</v>
      </c>
      <c r="Y14" s="1" t="s">
        <v>45</v>
      </c>
      <c r="Z14" s="1" t="s">
        <v>46</v>
      </c>
      <c r="AA14" s="1" t="s">
        <v>47</v>
      </c>
      <c r="AB14" s="1" t="s">
        <v>39</v>
      </c>
      <c r="AC14" s="1" t="s">
        <v>37</v>
      </c>
      <c r="AD14" s="1" t="s">
        <v>37</v>
      </c>
      <c r="AE14" s="1" t="s">
        <v>37</v>
      </c>
      <c r="AF14" s="1" t="s">
        <v>37</v>
      </c>
      <c r="AG14" s="1" t="s">
        <v>39</v>
      </c>
      <c r="AH14" s="1" t="s">
        <v>37</v>
      </c>
      <c r="AI14" s="1" t="s">
        <v>37</v>
      </c>
      <c r="AJ14" s="1" t="s">
        <v>39</v>
      </c>
      <c r="AK14" s="1" t="str">
        <f t="shared" si="1"/>
        <v>Fora de âmbito</v>
      </c>
      <c r="AL14" s="1" t="str">
        <f>+IF(IFERROR(VLOOKUP(A14,Ficheiros!I:I,1,FALSE),"")=A14,"Sim","Não")</f>
        <v>Sim</v>
      </c>
      <c r="AM14" s="1" t="str">
        <f>+IF(IFERROR(VLOOKUP(A14,Ficheiros!E:E,1,FALSE),"")=A14,"Sim","Não")</f>
        <v>Não</v>
      </c>
      <c r="AN14" s="1" t="str">
        <f>+IF(IFERROR(VLOOKUP(A14,Ficheiros!O:O,1,FALSE),"")=A14,"Sim","Não")</f>
        <v>Não</v>
      </c>
      <c r="AO14" s="1" t="str">
        <f>+IF(IFERROR(VLOOKUP(A14,'Especificação Novos Req. LT (2'!A:A,1,FALSE),"")=A14,"Sim","Não")</f>
        <v>Não</v>
      </c>
      <c r="AP14" s="1" t="str">
        <f>+IF(IFERROR(VLOOKUP(A14,Ficheiros!T:T,1,FALSE),"")=A14,"Sim","Não")</f>
        <v>Sim</v>
      </c>
      <c r="AQ14" s="1" t="e">
        <f>+VLOOKUP(A14,Ficheiros!O:P,2,FALSE)</f>
        <v>#N/A</v>
      </c>
      <c r="AR14" s="1" t="str">
        <f>+VLOOKUP(A14,Ficheiros!T:U,2,FALSE)</f>
        <v>2. Alterar especificação</v>
      </c>
      <c r="AS14" s="1" t="str">
        <f>+VLOOKUP(A14,Ficheiros!T:V,3,FALSE)</f>
        <v>PM &amp; LF</v>
      </c>
      <c r="AT14" s="1"/>
      <c r="AU14" s="1"/>
      <c r="AV14" s="1"/>
      <c r="AW14" s="1"/>
      <c r="AX14" s="1"/>
    </row>
    <row r="15" spans="1:50" ht="14.5" hidden="1" customHeight="1" x14ac:dyDescent="0.35">
      <c r="A15" s="5" t="str">
        <f t="shared" si="0"/>
        <v>ENTITYDT_INTTN_LGL_PRCDNGS_LE</v>
      </c>
      <c r="B15" s="1" t="s">
        <v>80</v>
      </c>
      <c r="C15" s="1" t="s">
        <v>35</v>
      </c>
      <c r="D15" s="1" t="s">
        <v>49</v>
      </c>
      <c r="E15" s="1" t="s">
        <v>39</v>
      </c>
      <c r="F15" s="25" t="s">
        <v>81</v>
      </c>
      <c r="G15" s="1" t="s">
        <v>81</v>
      </c>
      <c r="H15" s="1" t="s">
        <v>39</v>
      </c>
      <c r="I15" s="1" t="s">
        <v>39</v>
      </c>
      <c r="J15" s="1" t="s">
        <v>39</v>
      </c>
      <c r="K15" s="1" t="s">
        <v>39</v>
      </c>
      <c r="L15" s="1" t="s">
        <v>39</v>
      </c>
      <c r="M15" s="1" t="s">
        <v>39</v>
      </c>
      <c r="N15" s="1" t="s">
        <v>39</v>
      </c>
      <c r="O15" s="1"/>
      <c r="P15" s="1"/>
      <c r="Q15" s="1"/>
      <c r="R15" s="1" t="s">
        <v>60</v>
      </c>
      <c r="S15" s="1" t="s">
        <v>61</v>
      </c>
      <c r="T15" s="1" t="s">
        <v>62</v>
      </c>
      <c r="U15" s="1" t="s">
        <v>63</v>
      </c>
      <c r="V15" s="1" t="s">
        <v>63</v>
      </c>
      <c r="W15" s="1" t="s">
        <v>82</v>
      </c>
      <c r="X15" s="1" t="s">
        <v>83</v>
      </c>
      <c r="Y15" s="1" t="s">
        <v>84</v>
      </c>
      <c r="Z15" s="1" t="s">
        <v>85</v>
      </c>
      <c r="AA15" s="1" t="s">
        <v>47</v>
      </c>
      <c r="AB15" s="1" t="s">
        <v>39</v>
      </c>
      <c r="AC15" s="1" t="s">
        <v>37</v>
      </c>
      <c r="AD15" s="1" t="s">
        <v>37</v>
      </c>
      <c r="AE15" s="1" t="s">
        <v>37</v>
      </c>
      <c r="AF15" s="1" t="s">
        <v>37</v>
      </c>
      <c r="AG15" s="1" t="s">
        <v>39</v>
      </c>
      <c r="AH15" s="1" t="s">
        <v>37</v>
      </c>
      <c r="AI15" s="1" t="s">
        <v>37</v>
      </c>
      <c r="AJ15" s="1" t="s">
        <v>39</v>
      </c>
      <c r="AK15" s="1" t="str">
        <f t="shared" si="1"/>
        <v>Fora de âmbito</v>
      </c>
      <c r="AL15" s="1" t="str">
        <f>+IF(IFERROR(VLOOKUP(A15,Ficheiros!I:I,1,FALSE),"")=A15,"Sim","Não")</f>
        <v>Sim</v>
      </c>
      <c r="AM15" s="1" t="str">
        <f>+IF(IFERROR(VLOOKUP(A15,Ficheiros!E:E,1,FALSE),"")=A15,"Sim","Não")</f>
        <v>Não</v>
      </c>
      <c r="AN15" s="1" t="str">
        <f>+IF(IFERROR(VLOOKUP(A15,Ficheiros!O:O,1,FALSE),"")=A15,"Sim","Não")</f>
        <v>Não</v>
      </c>
      <c r="AO15" s="1" t="str">
        <f>+IF(IFERROR(VLOOKUP(A15,'Especificação Novos Req. LT (2'!A:A,1,FALSE),"")=A15,"Sim","Não")</f>
        <v>Não</v>
      </c>
      <c r="AP15" s="1" t="str">
        <f>+IF(IFERROR(VLOOKUP(A15,Ficheiros!T:T,1,FALSE),"")=A15,"Sim","Não")</f>
        <v>Sim</v>
      </c>
      <c r="AQ15" s="1" t="e">
        <f>+VLOOKUP(A15,Ficheiros!O:P,2,FALSE)</f>
        <v>#N/A</v>
      </c>
      <c r="AR15" s="1" t="str">
        <f>+VLOOKUP(A15,Ficheiros!T:U,2,FALSE)</f>
        <v>9. Concluído</v>
      </c>
      <c r="AS15" s="1" t="str">
        <f>+VLOOKUP(A15,Ficheiros!T:V,3,FALSE)</f>
        <v>PM</v>
      </c>
      <c r="AT15" s="1"/>
      <c r="AU15" s="1"/>
      <c r="AV15" s="1"/>
      <c r="AW15" s="1"/>
      <c r="AX15" s="1"/>
    </row>
    <row r="16" spans="1:50" ht="14.5" hidden="1" customHeight="1" x14ac:dyDescent="0.35">
      <c r="A16" s="5" t="str">
        <f t="shared" si="0"/>
        <v>ENTITYDT_PRFRMNG_STTS_LE</v>
      </c>
      <c r="B16" s="1" t="s">
        <v>86</v>
      </c>
      <c r="C16" s="1" t="s">
        <v>35</v>
      </c>
      <c r="D16" s="1" t="s">
        <v>49</v>
      </c>
      <c r="E16" s="1" t="s">
        <v>37</v>
      </c>
      <c r="F16" s="25" t="s">
        <v>87</v>
      </c>
      <c r="G16" s="1" t="s">
        <v>87</v>
      </c>
      <c r="H16" s="1" t="s">
        <v>39</v>
      </c>
      <c r="I16" s="1" t="s">
        <v>39</v>
      </c>
      <c r="J16" s="1" t="s">
        <v>39</v>
      </c>
      <c r="K16" s="1" t="s">
        <v>39</v>
      </c>
      <c r="L16" s="1" t="s">
        <v>39</v>
      </c>
      <c r="M16" s="1" t="s">
        <v>39</v>
      </c>
      <c r="N16" s="1" t="s">
        <v>39</v>
      </c>
      <c r="O16" s="1"/>
      <c r="P16" s="1"/>
      <c r="Q16" s="1"/>
      <c r="R16" s="1" t="s">
        <v>60</v>
      </c>
      <c r="S16" s="1" t="s">
        <v>61</v>
      </c>
      <c r="T16" s="1" t="s">
        <v>62</v>
      </c>
      <c r="U16" s="1" t="s">
        <v>63</v>
      </c>
      <c r="V16" s="1" t="s">
        <v>63</v>
      </c>
      <c r="W16" s="1" t="s">
        <v>88</v>
      </c>
      <c r="X16" s="1" t="s">
        <v>89</v>
      </c>
      <c r="Y16" s="1" t="s">
        <v>45</v>
      </c>
      <c r="Z16" s="1" t="s">
        <v>46</v>
      </c>
      <c r="AA16" s="1" t="s">
        <v>47</v>
      </c>
      <c r="AB16" s="1" t="s">
        <v>39</v>
      </c>
      <c r="AC16" s="1" t="s">
        <v>37</v>
      </c>
      <c r="AD16" s="1" t="s">
        <v>37</v>
      </c>
      <c r="AE16" s="1" t="s">
        <v>37</v>
      </c>
      <c r="AF16" s="1" t="s">
        <v>37</v>
      </c>
      <c r="AG16" s="1" t="s">
        <v>39</v>
      </c>
      <c r="AH16" s="1" t="s">
        <v>37</v>
      </c>
      <c r="AI16" s="1" t="s">
        <v>37</v>
      </c>
      <c r="AJ16" s="1" t="s">
        <v>39</v>
      </c>
      <c r="AK16" s="1" t="str">
        <f t="shared" si="1"/>
        <v>Fora de âmbito</v>
      </c>
      <c r="AL16" s="1" t="str">
        <f>+IF(IFERROR(VLOOKUP(A16,Ficheiros!I:I,1,FALSE),"")=A16,"Sim","Não")</f>
        <v>Sim</v>
      </c>
      <c r="AM16" s="1" t="str">
        <f>+IF(IFERROR(VLOOKUP(A16,Ficheiros!E:E,1,FALSE),"")=A16,"Sim","Não")</f>
        <v>Não</v>
      </c>
      <c r="AN16" s="1" t="str">
        <f>+IF(IFERROR(VLOOKUP(A16,Ficheiros!O:O,1,FALSE),"")=A16,"Sim","Não")</f>
        <v>Não</v>
      </c>
      <c r="AO16" s="1" t="str">
        <f>+IF(IFERROR(VLOOKUP(A16,'Especificação Novos Req. LT (2'!A:A,1,FALSE),"")=A16,"Sim","Não")</f>
        <v>Não</v>
      </c>
      <c r="AP16" s="1" t="str">
        <f>+IF(IFERROR(VLOOKUP(A16,Ficheiros!T:T,1,FALSE),"")=A16,"Sim","Não")</f>
        <v>Sim</v>
      </c>
      <c r="AQ16" s="1" t="e">
        <f>+VLOOKUP(A16,Ficheiros!O:P,2,FALSE)</f>
        <v>#N/A</v>
      </c>
      <c r="AR16" s="1" t="str">
        <f>+VLOOKUP(A16,Ficheiros!T:U,2,FALSE)</f>
        <v>3. Pendente de decisão</v>
      </c>
      <c r="AS16" s="1" t="str">
        <f>+VLOOKUP(A16,Ficheiros!T:V,3,FALSE)</f>
        <v>LF</v>
      </c>
      <c r="AT16" s="1"/>
      <c r="AU16" s="1"/>
      <c r="AV16" s="1"/>
      <c r="AW16" s="1"/>
      <c r="AX16" s="1"/>
    </row>
    <row r="17" spans="1:50" ht="14.5" hidden="1" customHeight="1" x14ac:dyDescent="0.35">
      <c r="A17" s="5" t="str">
        <f t="shared" si="0"/>
        <v>ENTITYDT_RFRNC</v>
      </c>
      <c r="B17" s="1" t="s">
        <v>90</v>
      </c>
      <c r="C17" s="1" t="s">
        <v>35</v>
      </c>
      <c r="D17" s="1" t="s">
        <v>49</v>
      </c>
      <c r="E17" s="1" t="s">
        <v>39</v>
      </c>
      <c r="F17" s="25" t="s">
        <v>91</v>
      </c>
      <c r="G17" s="1" t="s">
        <v>91</v>
      </c>
      <c r="H17" s="1" t="s">
        <v>39</v>
      </c>
      <c r="I17" s="1" t="s">
        <v>39</v>
      </c>
      <c r="J17" s="1" t="s">
        <v>39</v>
      </c>
      <c r="K17" s="1" t="s">
        <v>39</v>
      </c>
      <c r="L17" s="1" t="s">
        <v>39</v>
      </c>
      <c r="M17" s="1" t="s">
        <v>39</v>
      </c>
      <c r="N17" s="1" t="s">
        <v>39</v>
      </c>
      <c r="O17" s="1"/>
      <c r="P17" s="1"/>
      <c r="Q17" s="1"/>
      <c r="R17" s="1" t="s">
        <v>60</v>
      </c>
      <c r="S17" s="1" t="s">
        <v>61</v>
      </c>
      <c r="T17" s="1" t="s">
        <v>42</v>
      </c>
      <c r="U17" s="1" t="s">
        <v>42</v>
      </c>
      <c r="V17" s="1" t="s">
        <v>42</v>
      </c>
      <c r="W17" s="1" t="s">
        <v>92</v>
      </c>
      <c r="X17" s="1" t="s">
        <v>93</v>
      </c>
      <c r="Y17" s="1" t="s">
        <v>45</v>
      </c>
      <c r="Z17" s="1" t="s">
        <v>46</v>
      </c>
      <c r="AA17" s="1" t="s">
        <v>47</v>
      </c>
      <c r="AB17" s="1" t="s">
        <v>39</v>
      </c>
      <c r="AC17" s="1" t="s">
        <v>37</v>
      </c>
      <c r="AD17" s="1" t="s">
        <v>39</v>
      </c>
      <c r="AE17" s="1" t="s">
        <v>39</v>
      </c>
      <c r="AF17" s="1" t="s">
        <v>37</v>
      </c>
      <c r="AG17" s="1" t="s">
        <v>39</v>
      </c>
      <c r="AH17" s="1" t="s">
        <v>37</v>
      </c>
      <c r="AI17" s="1" t="s">
        <v>39</v>
      </c>
      <c r="AJ17" s="1" t="s">
        <v>39</v>
      </c>
      <c r="AK17" s="1" t="str">
        <f t="shared" si="1"/>
        <v>Apenas Pilar 3</v>
      </c>
      <c r="AL17" s="1" t="str">
        <f>+IF(IFERROR(VLOOKUP(A17,Ficheiros!I:I,1,FALSE),"")=A17,"Sim","Não")</f>
        <v>Sim</v>
      </c>
      <c r="AM17" s="1" t="str">
        <f>+IF(IFERROR(VLOOKUP(A17,Ficheiros!E:E,1,FALSE),"")=A17,"Sim","Não")</f>
        <v>Não</v>
      </c>
      <c r="AN17" s="1" t="str">
        <f>+IF(IFERROR(VLOOKUP(A17,Ficheiros!O:O,1,FALSE),"")=A17,"Sim","Não")</f>
        <v>Sim</v>
      </c>
      <c r="AO17" s="1" t="str">
        <f>+IF(IFERROR(VLOOKUP(A17,'Especificação Novos Req. LT (2'!A:A,1,FALSE),"")=A17,"Sim","Não")</f>
        <v>Não</v>
      </c>
      <c r="AP17" s="1" t="str">
        <f>+IF(IFERROR(VLOOKUP(A17,Ficheiros!T:T,1,FALSE),"")=A17,"Sim","Não")</f>
        <v>Sim</v>
      </c>
      <c r="AQ17" s="1" t="str">
        <f>+VLOOKUP(A17,Ficheiros!O:P,2,FALSE)</f>
        <v>1. Concluído</v>
      </c>
      <c r="AR17" s="1" t="str">
        <f>+VLOOKUP(A17,Ficheiros!T:U,2,FALSE)</f>
        <v>9. Concluído</v>
      </c>
      <c r="AS17" s="1" t="str">
        <f>+VLOOKUP(A17,Ficheiros!T:V,3,FALSE)</f>
        <v>PM</v>
      </c>
      <c r="AT17" s="1"/>
      <c r="AU17" s="1"/>
      <c r="AV17" s="1"/>
      <c r="AW17" s="1"/>
      <c r="AX17" s="1"/>
    </row>
    <row r="18" spans="1:50" ht="14.5" hidden="1" customHeight="1" x14ac:dyDescent="0.35">
      <c r="A18" s="5" t="str">
        <f t="shared" si="0"/>
        <v>ENTITYENTTY_ID</v>
      </c>
      <c r="B18" s="1" t="s">
        <v>94</v>
      </c>
      <c r="C18" s="1" t="s">
        <v>35</v>
      </c>
      <c r="D18" s="1" t="s">
        <v>49</v>
      </c>
      <c r="E18" s="1" t="s">
        <v>39</v>
      </c>
      <c r="F18" s="25" t="s">
        <v>95</v>
      </c>
      <c r="G18" s="1" t="s">
        <v>95</v>
      </c>
      <c r="H18" s="1" t="s">
        <v>39</v>
      </c>
      <c r="I18" s="1" t="s">
        <v>39</v>
      </c>
      <c r="J18" s="1" t="s">
        <v>39</v>
      </c>
      <c r="K18" s="1" t="s">
        <v>39</v>
      </c>
      <c r="L18" s="1" t="s">
        <v>39</v>
      </c>
      <c r="M18" s="1" t="s">
        <v>39</v>
      </c>
      <c r="N18" s="1" t="s">
        <v>39</v>
      </c>
      <c r="O18" s="1"/>
      <c r="P18" s="1"/>
      <c r="Q18" s="1"/>
      <c r="R18" s="1" t="s">
        <v>96</v>
      </c>
      <c r="S18" s="1" t="s">
        <v>41</v>
      </c>
      <c r="T18" s="1" t="s">
        <v>42</v>
      </c>
      <c r="U18" s="1" t="s">
        <v>42</v>
      </c>
      <c r="V18" s="1" t="s">
        <v>42</v>
      </c>
      <c r="W18" s="1" t="s">
        <v>97</v>
      </c>
      <c r="X18" s="1" t="s">
        <v>98</v>
      </c>
      <c r="Y18" s="1" t="s">
        <v>45</v>
      </c>
      <c r="Z18" s="1" t="s">
        <v>46</v>
      </c>
      <c r="AA18" s="1" t="s">
        <v>47</v>
      </c>
      <c r="AB18" s="1" t="s">
        <v>39</v>
      </c>
      <c r="AC18" s="1" t="s">
        <v>37</v>
      </c>
      <c r="AD18" s="1" t="s">
        <v>39</v>
      </c>
      <c r="AE18" s="1" t="s">
        <v>39</v>
      </c>
      <c r="AF18" s="1" t="s">
        <v>39</v>
      </c>
      <c r="AG18" s="1" t="s">
        <v>39</v>
      </c>
      <c r="AH18" s="1" t="s">
        <v>37</v>
      </c>
      <c r="AI18" s="1" t="s">
        <v>39</v>
      </c>
      <c r="AJ18" s="1" t="s">
        <v>39</v>
      </c>
      <c r="AK18" s="1" t="str">
        <f t="shared" si="1"/>
        <v>Comum</v>
      </c>
      <c r="AL18" s="1" t="str">
        <f>+IF(IFERROR(VLOOKUP(A18,Ficheiros!I:I,1,FALSE),"")=A18,"Sim","Não")</f>
        <v>Sim</v>
      </c>
      <c r="AM18" s="1" t="str">
        <f>+IF(IFERROR(VLOOKUP(A18,Ficheiros!E:E,1,FALSE),"")=A18,"Sim","Não")</f>
        <v>Não</v>
      </c>
      <c r="AN18" s="1" t="str">
        <f>+IF(IFERROR(VLOOKUP(A18,Ficheiros!O:O,1,FALSE),"")=A18,"Sim","Não")</f>
        <v>Sim</v>
      </c>
      <c r="AO18" s="1" t="str">
        <f>+IF(IFERROR(VLOOKUP(A18,'Especificação Novos Req. LT (2'!A:A,1,FALSE),"")=A18,"Sim","Não")</f>
        <v>Não</v>
      </c>
      <c r="AP18" s="1" t="str">
        <f>+IF(IFERROR(VLOOKUP(A18,Ficheiros!T:T,1,FALSE),"")=A18,"Sim","Não")</f>
        <v>Sim</v>
      </c>
      <c r="AQ18" s="1" t="str">
        <f>+VLOOKUP(A18,Ficheiros!O:P,2,FALSE)</f>
        <v>1. Concluído</v>
      </c>
      <c r="AR18" s="1" t="str">
        <f>+VLOOKUP(A18,Ficheiros!T:U,2,FALSE)</f>
        <v>7. Analisar controlos e completude</v>
      </c>
      <c r="AS18" s="1" t="str">
        <f>+VLOOKUP(A18,Ficheiros!T:V,3,FALSE)</f>
        <v>LF</v>
      </c>
      <c r="AT18" s="1"/>
      <c r="AU18" s="1"/>
      <c r="AV18" s="1"/>
      <c r="AW18" s="1"/>
      <c r="AX18" s="1"/>
    </row>
    <row r="19" spans="1:50" ht="14.5" hidden="1" customHeight="1" x14ac:dyDescent="0.35">
      <c r="A19" s="5" t="str">
        <f t="shared" si="0"/>
        <v>ENTITYGCC_PRNT_ID</v>
      </c>
      <c r="B19" s="1" t="s">
        <v>99</v>
      </c>
      <c r="C19" s="1" t="s">
        <v>35</v>
      </c>
      <c r="D19" s="1" t="s">
        <v>49</v>
      </c>
      <c r="E19" s="1" t="s">
        <v>37</v>
      </c>
      <c r="F19" s="26" t="s">
        <v>100</v>
      </c>
      <c r="G19" s="1" t="s">
        <v>100</v>
      </c>
      <c r="H19" s="1" t="s">
        <v>39</v>
      </c>
      <c r="I19" s="1" t="s">
        <v>39</v>
      </c>
      <c r="J19" s="1" t="s">
        <v>39</v>
      </c>
      <c r="K19" s="1" t="s">
        <v>39</v>
      </c>
      <c r="L19" s="1" t="s">
        <v>39</v>
      </c>
      <c r="M19" s="1" t="s">
        <v>39</v>
      </c>
      <c r="N19" s="1" t="s">
        <v>37</v>
      </c>
      <c r="O19" s="1"/>
      <c r="P19" s="1"/>
      <c r="Q19" s="1"/>
      <c r="R19" s="1" t="s">
        <v>96</v>
      </c>
      <c r="S19" s="1" t="s">
        <v>41</v>
      </c>
      <c r="T19" s="1" t="s">
        <v>53</v>
      </c>
      <c r="U19" s="1" t="s">
        <v>46</v>
      </c>
      <c r="V19" s="1" t="s">
        <v>46</v>
      </c>
      <c r="W19" s="1" t="s">
        <v>101</v>
      </c>
      <c r="X19" s="1" t="s">
        <v>102</v>
      </c>
      <c r="Y19" s="1" t="s">
        <v>66</v>
      </c>
      <c r="Z19" s="1" t="s">
        <v>103</v>
      </c>
      <c r="AA19" s="1" t="s">
        <v>47</v>
      </c>
      <c r="AB19" s="1" t="s">
        <v>39</v>
      </c>
      <c r="AC19" s="1" t="s">
        <v>37</v>
      </c>
      <c r="AD19" s="1" t="s">
        <v>37</v>
      </c>
      <c r="AE19" s="1" t="s">
        <v>37</v>
      </c>
      <c r="AF19" s="1" t="s">
        <v>37</v>
      </c>
      <c r="AG19" s="1" t="s">
        <v>39</v>
      </c>
      <c r="AH19" s="1" t="s">
        <v>37</v>
      </c>
      <c r="AI19" s="1" t="s">
        <v>37</v>
      </c>
      <c r="AJ19" s="1" t="s">
        <v>39</v>
      </c>
      <c r="AK19" s="1" t="str">
        <f t="shared" si="1"/>
        <v>Fora de âmbito</v>
      </c>
      <c r="AL19" s="1" t="str">
        <f>+IF(IFERROR(VLOOKUP(A19,Ficheiros!I:I,1,FALSE),"")=A19,"Sim","Não")</f>
        <v>Sim</v>
      </c>
      <c r="AM19" s="1" t="str">
        <f>+IF(IFERROR(VLOOKUP(A19,Ficheiros!E:E,1,FALSE),"")=A19,"Sim","Não")</f>
        <v>Não</v>
      </c>
      <c r="AN19" s="1" t="str">
        <f>+IF(IFERROR(VLOOKUP(A19,Ficheiros!O:O,1,FALSE),"")=A19,"Sim","Não")</f>
        <v>Não</v>
      </c>
      <c r="AO19" s="1" t="str">
        <f>+IF(IFERROR(VLOOKUP(A19,'Especificação Novos Req. LT (2'!A:A,1,FALSE),"")=A19,"Sim","Não")</f>
        <v>Não</v>
      </c>
      <c r="AP19" s="1" t="str">
        <f>+IF(IFERROR(VLOOKUP(A19,Ficheiros!T:T,1,FALSE),"")=A19,"Sim","Não")</f>
        <v>Sim</v>
      </c>
      <c r="AQ19" s="1" t="e">
        <f>+VLOOKUP(A19,Ficheiros!O:P,2,FALSE)</f>
        <v>#N/A</v>
      </c>
      <c r="AR19" s="1" t="str">
        <f>+VLOOKUP(A19,Ficheiros!T:U,2,FALSE)</f>
        <v>9. Concluído</v>
      </c>
      <c r="AS19" s="1" t="str">
        <f>+VLOOKUP(A19,Ficheiros!T:V,3,FALSE)</f>
        <v>PM</v>
      </c>
      <c r="AT19" s="1"/>
      <c r="AU19" s="1"/>
      <c r="AV19" s="1"/>
      <c r="AW19" s="1"/>
      <c r="AX19" s="1"/>
    </row>
    <row r="20" spans="1:50" ht="14.5" hidden="1" customHeight="1" x14ac:dyDescent="0.35">
      <c r="A20" s="5" t="str">
        <f t="shared" si="0"/>
        <v>ENTITYGCC_PRNT_NM</v>
      </c>
      <c r="B20" s="1" t="s">
        <v>104</v>
      </c>
      <c r="C20" s="1" t="s">
        <v>35</v>
      </c>
      <c r="D20" s="1" t="s">
        <v>49</v>
      </c>
      <c r="E20" s="1" t="s">
        <v>37</v>
      </c>
      <c r="F20" s="26" t="s">
        <v>105</v>
      </c>
      <c r="G20" s="1" t="s">
        <v>105</v>
      </c>
      <c r="H20" s="1" t="s">
        <v>39</v>
      </c>
      <c r="I20" s="1" t="s">
        <v>39</v>
      </c>
      <c r="J20" s="1" t="s">
        <v>39</v>
      </c>
      <c r="K20" s="1" t="s">
        <v>39</v>
      </c>
      <c r="L20" s="1" t="s">
        <v>39</v>
      </c>
      <c r="M20" s="1" t="s">
        <v>39</v>
      </c>
      <c r="N20" s="1" t="s">
        <v>37</v>
      </c>
      <c r="O20" s="1"/>
      <c r="P20" s="1"/>
      <c r="Q20" s="1"/>
      <c r="R20" s="1" t="s">
        <v>96</v>
      </c>
      <c r="S20" s="1" t="s">
        <v>41</v>
      </c>
      <c r="T20" s="1" t="s">
        <v>53</v>
      </c>
      <c r="U20" s="1" t="s">
        <v>46</v>
      </c>
      <c r="V20" s="1" t="s">
        <v>46</v>
      </c>
      <c r="W20" s="1" t="s">
        <v>106</v>
      </c>
      <c r="X20" s="1" t="s">
        <v>107</v>
      </c>
      <c r="Y20" s="1" t="s">
        <v>66</v>
      </c>
      <c r="Z20" s="1" t="s">
        <v>108</v>
      </c>
      <c r="AA20" s="1" t="s">
        <v>109</v>
      </c>
      <c r="AB20" s="1" t="s">
        <v>39</v>
      </c>
      <c r="AC20" s="1" t="s">
        <v>37</v>
      </c>
      <c r="AD20" s="1" t="s">
        <v>37</v>
      </c>
      <c r="AE20" s="1" t="s">
        <v>37</v>
      </c>
      <c r="AF20" s="1" t="s">
        <v>37</v>
      </c>
      <c r="AG20" s="1" t="s">
        <v>39</v>
      </c>
      <c r="AH20" s="1" t="s">
        <v>37</v>
      </c>
      <c r="AI20" s="1" t="s">
        <v>37</v>
      </c>
      <c r="AJ20" s="1" t="s">
        <v>39</v>
      </c>
      <c r="AK20" s="1" t="str">
        <f t="shared" si="1"/>
        <v>Fora de âmbito</v>
      </c>
      <c r="AL20" s="1" t="str">
        <f>+IF(IFERROR(VLOOKUP(A20,Ficheiros!I:I,1,FALSE),"")=A20,"Sim","Não")</f>
        <v>Sim</v>
      </c>
      <c r="AM20" s="1" t="str">
        <f>+IF(IFERROR(VLOOKUP(A20,Ficheiros!E:E,1,FALSE),"")=A20,"Sim","Não")</f>
        <v>Não</v>
      </c>
      <c r="AN20" s="1" t="str">
        <f>+IF(IFERROR(VLOOKUP(A20,Ficheiros!O:O,1,FALSE),"")=A20,"Sim","Não")</f>
        <v>Não</v>
      </c>
      <c r="AO20" s="1" t="str">
        <f>+IF(IFERROR(VLOOKUP(A20,'Especificação Novos Req. LT (2'!A:A,1,FALSE),"")=A20,"Sim","Não")</f>
        <v>Não</v>
      </c>
      <c r="AP20" s="1" t="str">
        <f>+IF(IFERROR(VLOOKUP(A20,Ficheiros!T:T,1,FALSE),"")=A20,"Sim","Não")</f>
        <v>Sim</v>
      </c>
      <c r="AQ20" s="1" t="e">
        <f>+VLOOKUP(A20,Ficheiros!O:P,2,FALSE)</f>
        <v>#N/A</v>
      </c>
      <c r="AR20" s="1" t="str">
        <f>+VLOOKUP(A20,Ficheiros!T:U,2,FALSE)</f>
        <v>9. Concluído</v>
      </c>
      <c r="AS20" s="1" t="str">
        <f>+VLOOKUP(A20,Ficheiros!T:V,3,FALSE)</f>
        <v>PM</v>
      </c>
      <c r="AT20" s="1"/>
      <c r="AU20" s="1"/>
      <c r="AV20" s="1"/>
      <c r="AW20" s="1"/>
      <c r="AX20" s="1"/>
    </row>
    <row r="21" spans="1:50" ht="14.5" hidden="1" customHeight="1" x14ac:dyDescent="0.35">
      <c r="A21" s="5" t="str">
        <f t="shared" si="0"/>
        <v>ENTITYINTRNL_SGMNT</v>
      </c>
      <c r="B21" s="1" t="s">
        <v>110</v>
      </c>
      <c r="C21" s="1" t="s">
        <v>35</v>
      </c>
      <c r="D21" s="1" t="s">
        <v>49</v>
      </c>
      <c r="E21" s="1" t="s">
        <v>37</v>
      </c>
      <c r="F21" s="25" t="s">
        <v>111</v>
      </c>
      <c r="G21" s="1" t="s">
        <v>111</v>
      </c>
      <c r="H21" s="1" t="s">
        <v>39</v>
      </c>
      <c r="I21" s="1" t="s">
        <v>39</v>
      </c>
      <c r="J21" s="1" t="s">
        <v>39</v>
      </c>
      <c r="K21" s="1" t="s">
        <v>39</v>
      </c>
      <c r="L21" s="1" t="s">
        <v>39</v>
      </c>
      <c r="M21" s="1" t="s">
        <v>39</v>
      </c>
      <c r="N21" s="1" t="s">
        <v>39</v>
      </c>
      <c r="O21" s="1"/>
      <c r="P21" s="1"/>
      <c r="Q21" s="1"/>
      <c r="R21" s="1" t="s">
        <v>96</v>
      </c>
      <c r="S21" s="1" t="s">
        <v>41</v>
      </c>
      <c r="T21" s="1" t="s">
        <v>53</v>
      </c>
      <c r="U21" s="1" t="s">
        <v>46</v>
      </c>
      <c r="V21" s="1" t="s">
        <v>46</v>
      </c>
      <c r="W21" s="1" t="s">
        <v>112</v>
      </c>
      <c r="X21" s="1" t="s">
        <v>113</v>
      </c>
      <c r="Y21" s="1" t="s">
        <v>66</v>
      </c>
      <c r="Z21" s="1" t="s">
        <v>114</v>
      </c>
      <c r="AA21" s="1" t="s">
        <v>47</v>
      </c>
      <c r="AB21" s="1" t="s">
        <v>39</v>
      </c>
      <c r="AC21" s="1" t="s">
        <v>37</v>
      </c>
      <c r="AD21" s="1" t="s">
        <v>37</v>
      </c>
      <c r="AE21" s="1" t="s">
        <v>37</v>
      </c>
      <c r="AF21" s="1" t="s">
        <v>37</v>
      </c>
      <c r="AG21" s="1" t="s">
        <v>39</v>
      </c>
      <c r="AH21" s="1" t="s">
        <v>37</v>
      </c>
      <c r="AI21" s="1" t="s">
        <v>37</v>
      </c>
      <c r="AJ21" s="1" t="s">
        <v>39</v>
      </c>
      <c r="AK21" s="1" t="str">
        <f t="shared" si="1"/>
        <v>Fora de âmbito</v>
      </c>
      <c r="AL21" s="1" t="str">
        <f>+IF(IFERROR(VLOOKUP(A21,Ficheiros!I:I,1,FALSE),"")=A21,"Sim","Não")</f>
        <v>Sim</v>
      </c>
      <c r="AM21" s="1" t="str">
        <f>+IF(IFERROR(VLOOKUP(A21,Ficheiros!E:E,1,FALSE),"")=A21,"Sim","Não")</f>
        <v>Não</v>
      </c>
      <c r="AN21" s="1" t="str">
        <f>+IF(IFERROR(VLOOKUP(A21,Ficheiros!O:O,1,FALSE),"")=A21,"Sim","Não")</f>
        <v>Não</v>
      </c>
      <c r="AO21" s="1" t="str">
        <f>+IF(IFERROR(VLOOKUP(A21,'Especificação Novos Req. LT (2'!A:A,1,FALSE),"")=A21,"Sim","Não")</f>
        <v>Não</v>
      </c>
      <c r="AP21" s="1" t="str">
        <f>+IF(IFERROR(VLOOKUP(A21,Ficheiros!T:T,1,FALSE),"")=A21,"Sim","Não")</f>
        <v>Sim</v>
      </c>
      <c r="AQ21" s="1" t="e">
        <f>+VLOOKUP(A21,Ficheiros!O:P,2,FALSE)</f>
        <v>#N/A</v>
      </c>
      <c r="AR21" s="1" t="str">
        <f>+VLOOKUP(A21,Ficheiros!T:U,2,FALSE)</f>
        <v>9. Concluído</v>
      </c>
      <c r="AS21" s="1" t="str">
        <f>+VLOOKUP(A21,Ficheiros!T:V,3,FALSE)</f>
        <v>PM</v>
      </c>
      <c r="AT21" s="1"/>
      <c r="AU21" s="1"/>
      <c r="AV21" s="1"/>
      <c r="AW21" s="1"/>
      <c r="AX21" s="1"/>
    </row>
    <row r="22" spans="1:50" ht="14.5" hidden="1" customHeight="1" x14ac:dyDescent="0.35">
      <c r="A22" s="5" t="str">
        <f t="shared" si="0"/>
        <v>ENTITYINTRNL_UNT</v>
      </c>
      <c r="B22" s="1" t="s">
        <v>115</v>
      </c>
      <c r="C22" s="1" t="s">
        <v>35</v>
      </c>
      <c r="D22" s="1" t="s">
        <v>49</v>
      </c>
      <c r="E22" s="1" t="s">
        <v>37</v>
      </c>
      <c r="F22" s="25" t="s">
        <v>116</v>
      </c>
      <c r="G22" s="1" t="s">
        <v>116</v>
      </c>
      <c r="H22" s="1" t="s">
        <v>39</v>
      </c>
      <c r="I22" s="1" t="s">
        <v>39</v>
      </c>
      <c r="J22" s="1" t="s">
        <v>39</v>
      </c>
      <c r="K22" s="1" t="s">
        <v>39</v>
      </c>
      <c r="L22" s="1" t="s">
        <v>39</v>
      </c>
      <c r="M22" s="1" t="s">
        <v>39</v>
      </c>
      <c r="N22" s="1" t="s">
        <v>39</v>
      </c>
      <c r="O22" s="1"/>
      <c r="P22" s="1"/>
      <c r="Q22" s="1"/>
      <c r="R22" s="1" t="s">
        <v>96</v>
      </c>
      <c r="S22" s="1" t="s">
        <v>41</v>
      </c>
      <c r="T22" s="1" t="s">
        <v>53</v>
      </c>
      <c r="U22" s="1" t="s">
        <v>46</v>
      </c>
      <c r="V22" s="1" t="s">
        <v>46</v>
      </c>
      <c r="W22" s="1" t="s">
        <v>117</v>
      </c>
      <c r="X22" s="1" t="s">
        <v>118</v>
      </c>
      <c r="Y22" s="1" t="s">
        <v>45</v>
      </c>
      <c r="Z22" s="1" t="s">
        <v>46</v>
      </c>
      <c r="AA22" s="1" t="s">
        <v>47</v>
      </c>
      <c r="AB22" s="1" t="s">
        <v>39</v>
      </c>
      <c r="AC22" s="1" t="s">
        <v>37</v>
      </c>
      <c r="AD22" s="1" t="s">
        <v>37</v>
      </c>
      <c r="AE22" s="1" t="s">
        <v>37</v>
      </c>
      <c r="AF22" s="1" t="s">
        <v>37</v>
      </c>
      <c r="AG22" s="1" t="s">
        <v>39</v>
      </c>
      <c r="AH22" s="1" t="s">
        <v>37</v>
      </c>
      <c r="AI22" s="1" t="s">
        <v>37</v>
      </c>
      <c r="AJ22" s="1" t="s">
        <v>39</v>
      </c>
      <c r="AK22" s="1" t="str">
        <f t="shared" si="1"/>
        <v>Fora de âmbito</v>
      </c>
      <c r="AL22" s="1" t="str">
        <f>+IF(IFERROR(VLOOKUP(A22,Ficheiros!I:I,1,FALSE),"")=A22,"Sim","Não")</f>
        <v>Sim</v>
      </c>
      <c r="AM22" s="1" t="str">
        <f>+IF(IFERROR(VLOOKUP(A22,Ficheiros!E:E,1,FALSE),"")=A22,"Sim","Não")</f>
        <v>Não</v>
      </c>
      <c r="AN22" s="1" t="str">
        <f>+IF(IFERROR(VLOOKUP(A22,Ficheiros!O:O,1,FALSE),"")=A22,"Sim","Não")</f>
        <v>Não</v>
      </c>
      <c r="AO22" s="1" t="str">
        <f>+IF(IFERROR(VLOOKUP(A22,'Especificação Novos Req. LT (2'!A:A,1,FALSE),"")=A22,"Sim","Não")</f>
        <v>Não</v>
      </c>
      <c r="AP22" s="1" t="str">
        <f>+IF(IFERROR(VLOOKUP(A22,Ficheiros!T:T,1,FALSE),"")=A22,"Sim","Não")</f>
        <v>Sim</v>
      </c>
      <c r="AQ22" s="1" t="e">
        <f>+VLOOKUP(A22,Ficheiros!O:P,2,FALSE)</f>
        <v>#N/A</v>
      </c>
      <c r="AR22" s="1" t="str">
        <f>+VLOOKUP(A22,Ficheiros!T:U,2,FALSE)</f>
        <v>9. Concluído</v>
      </c>
      <c r="AS22" s="1" t="str">
        <f>+VLOOKUP(A22,Ficheiros!T:V,3,FALSE)</f>
        <v>PM</v>
      </c>
      <c r="AT22" s="1"/>
      <c r="AU22" s="1"/>
      <c r="AV22" s="1"/>
      <c r="AW22" s="1"/>
      <c r="AX22" s="1"/>
    </row>
    <row r="23" spans="1:50" ht="14.5" hidden="1" customHeight="1" x14ac:dyDescent="0.35">
      <c r="A23" s="5" t="str">
        <f t="shared" si="0"/>
        <v>ENTITYLEI</v>
      </c>
      <c r="B23" s="1" t="s">
        <v>119</v>
      </c>
      <c r="C23" s="1" t="s">
        <v>35</v>
      </c>
      <c r="D23" s="1" t="s">
        <v>49</v>
      </c>
      <c r="E23" s="1" t="s">
        <v>39</v>
      </c>
      <c r="F23" s="25" t="s">
        <v>120</v>
      </c>
      <c r="G23" s="1" t="s">
        <v>120</v>
      </c>
      <c r="H23" s="1" t="s">
        <v>39</v>
      </c>
      <c r="I23" s="1" t="s">
        <v>39</v>
      </c>
      <c r="J23" s="1" t="s">
        <v>39</v>
      </c>
      <c r="K23" s="1" t="s">
        <v>39</v>
      </c>
      <c r="L23" s="1" t="s">
        <v>39</v>
      </c>
      <c r="M23" s="1" t="s">
        <v>39</v>
      </c>
      <c r="N23" s="1" t="s">
        <v>37</v>
      </c>
      <c r="O23" s="1"/>
      <c r="P23" s="1"/>
      <c r="Q23" s="1"/>
      <c r="R23" s="1" t="s">
        <v>121</v>
      </c>
      <c r="S23" s="1" t="s">
        <v>41</v>
      </c>
      <c r="T23" s="1" t="s">
        <v>53</v>
      </c>
      <c r="U23" s="1" t="s">
        <v>46</v>
      </c>
      <c r="V23" s="1" t="s">
        <v>46</v>
      </c>
      <c r="W23" s="1" t="s">
        <v>122</v>
      </c>
      <c r="X23" s="1" t="s">
        <v>123</v>
      </c>
      <c r="Y23" s="1" t="s">
        <v>45</v>
      </c>
      <c r="Z23" s="1" t="s">
        <v>46</v>
      </c>
      <c r="AA23" s="1" t="s">
        <v>47</v>
      </c>
      <c r="AB23" s="1" t="s">
        <v>39</v>
      </c>
      <c r="AC23" s="1" t="s">
        <v>37</v>
      </c>
      <c r="AD23" s="1" t="s">
        <v>39</v>
      </c>
      <c r="AE23" s="1" t="s">
        <v>37</v>
      </c>
      <c r="AF23" s="1" t="s">
        <v>37</v>
      </c>
      <c r="AG23" s="1" t="s">
        <v>39</v>
      </c>
      <c r="AH23" s="1" t="s">
        <v>37</v>
      </c>
      <c r="AI23" s="1" t="s">
        <v>39</v>
      </c>
      <c r="AJ23" s="1" t="s">
        <v>39</v>
      </c>
      <c r="AK23" s="1" t="str">
        <f t="shared" si="1"/>
        <v>Apenas Pilar 3</v>
      </c>
      <c r="AL23" s="1" t="str">
        <f>+IF(IFERROR(VLOOKUP(A23,Ficheiros!I:I,1,FALSE),"")=A23,"Sim","Não")</f>
        <v>Sim</v>
      </c>
      <c r="AM23" s="1" t="str">
        <f>+IF(IFERROR(VLOOKUP(A23,Ficheiros!E:E,1,FALSE),"")=A23,"Sim","Não")</f>
        <v>Não</v>
      </c>
      <c r="AN23" s="1" t="str">
        <f>+IF(IFERROR(VLOOKUP(A23,Ficheiros!O:O,1,FALSE),"")=A23,"Sim","Não")</f>
        <v>Sim</v>
      </c>
      <c r="AO23" s="1" t="str">
        <f>+IF(IFERROR(VLOOKUP(A23,'Especificação Novos Req. LT (2'!A:A,1,FALSE),"")=A23,"Sim","Não")</f>
        <v>Não</v>
      </c>
      <c r="AP23" s="1" t="str">
        <f>+IF(IFERROR(VLOOKUP(A23,Ficheiros!T:T,1,FALSE),"")=A23,"Sim","Não")</f>
        <v>Sim</v>
      </c>
      <c r="AQ23" s="1" t="str">
        <f>+VLOOKUP(A23,Ficheiros!O:P,2,FALSE)</f>
        <v>1. Concluído</v>
      </c>
      <c r="AR23" s="1" t="str">
        <f>+VLOOKUP(A23,Ficheiros!T:U,2,FALSE)</f>
        <v>9. Concluído</v>
      </c>
      <c r="AS23" s="1" t="str">
        <f>+VLOOKUP(A23,Ficheiros!T:V,3,FALSE)</f>
        <v>PM</v>
      </c>
      <c r="AT23" s="1"/>
      <c r="AU23" s="1"/>
      <c r="AV23" s="1"/>
      <c r="AW23" s="1"/>
      <c r="AX23" s="1"/>
    </row>
    <row r="24" spans="1:50" ht="14.5" hidden="1" customHeight="1" x14ac:dyDescent="0.35">
      <c r="A24" s="5" t="str">
        <f t="shared" si="0"/>
        <v>ENTITYENTTY_NM</v>
      </c>
      <c r="B24" s="1" t="s">
        <v>124</v>
      </c>
      <c r="C24" s="1" t="s">
        <v>35</v>
      </c>
      <c r="D24" s="1" t="s">
        <v>49</v>
      </c>
      <c r="E24" s="1" t="s">
        <v>39</v>
      </c>
      <c r="F24" s="26" t="s">
        <v>125</v>
      </c>
      <c r="G24" s="1" t="s">
        <v>125</v>
      </c>
      <c r="H24" s="1" t="s">
        <v>39</v>
      </c>
      <c r="I24" s="1" t="s">
        <v>39</v>
      </c>
      <c r="J24" s="1" t="s">
        <v>39</v>
      </c>
      <c r="K24" s="1" t="s">
        <v>39</v>
      </c>
      <c r="L24" s="1" t="s">
        <v>39</v>
      </c>
      <c r="M24" s="1" t="s">
        <v>39</v>
      </c>
      <c r="N24" s="1" t="s">
        <v>39</v>
      </c>
      <c r="O24" s="1"/>
      <c r="P24" s="1"/>
      <c r="Q24" s="1"/>
      <c r="R24" s="1" t="s">
        <v>96</v>
      </c>
      <c r="S24" s="1" t="s">
        <v>41</v>
      </c>
      <c r="T24" s="1" t="s">
        <v>53</v>
      </c>
      <c r="U24" s="1" t="s">
        <v>42</v>
      </c>
      <c r="V24" s="1" t="s">
        <v>42</v>
      </c>
      <c r="W24" s="1" t="s">
        <v>126</v>
      </c>
      <c r="X24" s="1" t="s">
        <v>127</v>
      </c>
      <c r="Y24" s="1" t="s">
        <v>45</v>
      </c>
      <c r="Z24" s="1" t="s">
        <v>46</v>
      </c>
      <c r="AA24" s="1" t="s">
        <v>47</v>
      </c>
      <c r="AB24" s="1" t="s">
        <v>39</v>
      </c>
      <c r="AC24" s="1" t="s">
        <v>37</v>
      </c>
      <c r="AD24" s="1" t="s">
        <v>39</v>
      </c>
      <c r="AE24" s="1" t="s">
        <v>39</v>
      </c>
      <c r="AF24" s="1" t="s">
        <v>37</v>
      </c>
      <c r="AG24" s="1" t="s">
        <v>39</v>
      </c>
      <c r="AH24" s="1" t="s">
        <v>37</v>
      </c>
      <c r="AI24" s="1" t="s">
        <v>39</v>
      </c>
      <c r="AJ24" s="1" t="s">
        <v>39</v>
      </c>
      <c r="AK24" s="1" t="str">
        <f t="shared" si="1"/>
        <v>Apenas Pilar 3</v>
      </c>
      <c r="AL24" s="1" t="str">
        <f>+IF(IFERROR(VLOOKUP(A24,Ficheiros!I:I,1,FALSE),"")=A24,"Sim","Não")</f>
        <v>Sim</v>
      </c>
      <c r="AM24" s="1" t="str">
        <f>+IF(IFERROR(VLOOKUP(A24,Ficheiros!E:E,1,FALSE),"")=A24,"Sim","Não")</f>
        <v>Não</v>
      </c>
      <c r="AN24" s="1" t="str">
        <f>+IF(IFERROR(VLOOKUP(A24,Ficheiros!O:O,1,FALSE),"")=A24,"Sim","Não")</f>
        <v>Não</v>
      </c>
      <c r="AO24" s="1" t="str">
        <f>+IF(IFERROR(VLOOKUP(A24,'Especificação Novos Req. LT (2'!A:A,1,FALSE),"")=A24,"Sim","Não")</f>
        <v>Sim</v>
      </c>
      <c r="AP24" s="1" t="str">
        <f>+IF(IFERROR(VLOOKUP(A24,Ficheiros!T:T,1,FALSE),"")=A24,"Sim","Não")</f>
        <v>Sim</v>
      </c>
      <c r="AQ24" s="1" t="e">
        <f>+VLOOKUP(A24,Ficheiros!O:P,2,FALSE)</f>
        <v>#N/A</v>
      </c>
      <c r="AR24" s="1" t="str">
        <f>+VLOOKUP(A24,Ficheiros!T:U,2,FALSE)</f>
        <v>9. Concluído</v>
      </c>
      <c r="AS24" s="1" t="str">
        <f>+VLOOKUP(A24,Ficheiros!T:V,3,FALSE)</f>
        <v>PM</v>
      </c>
      <c r="AT24" s="1"/>
      <c r="AU24" s="1"/>
      <c r="AV24" s="1" t="s">
        <v>2535</v>
      </c>
      <c r="AW24" s="1"/>
      <c r="AX24" s="1"/>
    </row>
    <row r="25" spans="1:50" ht="14.5" hidden="1" customHeight="1" x14ac:dyDescent="0.35">
      <c r="A25" s="5" t="str">
        <f t="shared" si="0"/>
        <v>ENTITYEXTRNL_RTNG_NM</v>
      </c>
      <c r="B25" s="1" t="s">
        <v>128</v>
      </c>
      <c r="C25" s="1" t="s">
        <v>35</v>
      </c>
      <c r="D25" s="1" t="s">
        <v>49</v>
      </c>
      <c r="E25" s="1" t="s">
        <v>37</v>
      </c>
      <c r="F25" s="25" t="s">
        <v>129</v>
      </c>
      <c r="G25" s="1" t="s">
        <v>129</v>
      </c>
      <c r="H25" s="1" t="s">
        <v>39</v>
      </c>
      <c r="I25" s="1" t="s">
        <v>39</v>
      </c>
      <c r="J25" s="1" t="s">
        <v>39</v>
      </c>
      <c r="K25" s="1" t="s">
        <v>39</v>
      </c>
      <c r="L25" s="1" t="s">
        <v>39</v>
      </c>
      <c r="M25" s="1" t="s">
        <v>39</v>
      </c>
      <c r="N25" s="1" t="s">
        <v>37</v>
      </c>
      <c r="O25" s="1"/>
      <c r="P25" s="1"/>
      <c r="Q25" s="1"/>
      <c r="R25" s="1" t="s">
        <v>96</v>
      </c>
      <c r="S25" s="1" t="s">
        <v>41</v>
      </c>
      <c r="T25" s="1" t="s">
        <v>53</v>
      </c>
      <c r="U25" s="1" t="s">
        <v>46</v>
      </c>
      <c r="V25" s="1" t="s">
        <v>46</v>
      </c>
      <c r="W25" s="1" t="s">
        <v>130</v>
      </c>
      <c r="X25" s="1" t="s">
        <v>131</v>
      </c>
      <c r="Y25" s="1" t="s">
        <v>66</v>
      </c>
      <c r="Z25" s="1" t="s">
        <v>132</v>
      </c>
      <c r="AA25" s="1" t="s">
        <v>47</v>
      </c>
      <c r="AB25" s="1" t="s">
        <v>39</v>
      </c>
      <c r="AC25" s="1" t="s">
        <v>37</v>
      </c>
      <c r="AD25" s="1" t="s">
        <v>37</v>
      </c>
      <c r="AE25" s="1" t="s">
        <v>37</v>
      </c>
      <c r="AF25" s="1" t="s">
        <v>37</v>
      </c>
      <c r="AG25" s="1" t="s">
        <v>39</v>
      </c>
      <c r="AH25" s="1" t="s">
        <v>37</v>
      </c>
      <c r="AI25" s="1" t="s">
        <v>37</v>
      </c>
      <c r="AJ25" s="1" t="s">
        <v>39</v>
      </c>
      <c r="AK25" s="1" t="str">
        <f t="shared" si="1"/>
        <v>Fora de âmbito</v>
      </c>
      <c r="AL25" s="1" t="str">
        <f>+IF(IFERROR(VLOOKUP(A25,Ficheiros!I:I,1,FALSE),"")=A25,"Sim","Não")</f>
        <v>Sim</v>
      </c>
      <c r="AM25" s="1" t="str">
        <f>+IF(IFERROR(VLOOKUP(A25,Ficheiros!E:E,1,FALSE),"")=A25,"Sim","Não")</f>
        <v>Não</v>
      </c>
      <c r="AN25" s="1" t="str">
        <f>+IF(IFERROR(VLOOKUP(A25,Ficheiros!O:O,1,FALSE),"")=A25,"Sim","Não")</f>
        <v>Não</v>
      </c>
      <c r="AO25" s="1" t="str">
        <f>+IF(IFERROR(VLOOKUP(A25,'Especificação Novos Req. LT (2'!A:A,1,FALSE),"")=A25,"Sim","Não")</f>
        <v>Não</v>
      </c>
      <c r="AP25" s="1" t="str">
        <f>+IF(IFERROR(VLOOKUP(A25,Ficheiros!T:T,1,FALSE),"")=A25,"Sim","Não")</f>
        <v>Sim</v>
      </c>
      <c r="AQ25" s="1" t="e">
        <f>+VLOOKUP(A25,Ficheiros!O:P,2,FALSE)</f>
        <v>#N/A</v>
      </c>
      <c r="AR25" s="1" t="str">
        <f>+VLOOKUP(A25,Ficheiros!T:U,2,FALSE)</f>
        <v>2. Alterar especificação</v>
      </c>
      <c r="AS25" s="1" t="str">
        <f>+VLOOKUP(A25,Ficheiros!T:V,3,FALSE)</f>
        <v>LF</v>
      </c>
      <c r="AT25" s="1"/>
      <c r="AU25" s="1"/>
      <c r="AV25" s="1"/>
      <c r="AW25" s="1"/>
      <c r="AX25" s="1"/>
    </row>
    <row r="26" spans="1:50" ht="14.5" hidden="1" customHeight="1" x14ac:dyDescent="0.35">
      <c r="A26" s="5" t="str">
        <f t="shared" si="0"/>
        <v>ENTITYACCNTNG_FRMWRK_SL</v>
      </c>
      <c r="B26" s="1" t="s">
        <v>133</v>
      </c>
      <c r="C26" s="1" t="s">
        <v>35</v>
      </c>
      <c r="D26" s="1" t="s">
        <v>134</v>
      </c>
      <c r="E26" s="1" t="s">
        <v>39</v>
      </c>
      <c r="F26" s="25" t="s">
        <v>135</v>
      </c>
      <c r="G26" s="1" t="s">
        <v>135</v>
      </c>
      <c r="H26" s="1" t="s">
        <v>39</v>
      </c>
      <c r="I26" s="1" t="s">
        <v>39</v>
      </c>
      <c r="J26" s="1" t="s">
        <v>39</v>
      </c>
      <c r="K26" s="1" t="s">
        <v>39</v>
      </c>
      <c r="L26" s="1" t="s">
        <v>39</v>
      </c>
      <c r="M26" s="1" t="s">
        <v>39</v>
      </c>
      <c r="N26" s="1" t="s">
        <v>37</v>
      </c>
      <c r="O26" s="1"/>
      <c r="P26" s="1"/>
      <c r="Q26" s="1"/>
      <c r="R26" s="1" t="s">
        <v>136</v>
      </c>
      <c r="S26" s="1" t="s">
        <v>52</v>
      </c>
      <c r="T26" s="1">
        <v>99999999999</v>
      </c>
      <c r="U26" s="1">
        <v>11111111111</v>
      </c>
      <c r="V26" s="1">
        <v>11111111111</v>
      </c>
      <c r="W26" s="1" t="s">
        <v>137</v>
      </c>
      <c r="X26" s="1" t="s">
        <v>138</v>
      </c>
      <c r="Y26" s="1" t="s">
        <v>45</v>
      </c>
      <c r="Z26" s="1" t="s">
        <v>46</v>
      </c>
      <c r="AA26" s="1" t="s">
        <v>47</v>
      </c>
      <c r="AB26" s="1" t="s">
        <v>39</v>
      </c>
      <c r="AC26" s="1" t="s">
        <v>37</v>
      </c>
      <c r="AD26" s="1" t="s">
        <v>37</v>
      </c>
      <c r="AE26" s="1" t="s">
        <v>37</v>
      </c>
      <c r="AF26" s="1" t="s">
        <v>37</v>
      </c>
      <c r="AG26" s="1" t="s">
        <v>39</v>
      </c>
      <c r="AH26" s="1" t="s">
        <v>37</v>
      </c>
      <c r="AI26" s="1" t="s">
        <v>37</v>
      </c>
      <c r="AJ26" s="1" t="s">
        <v>39</v>
      </c>
      <c r="AK26" s="1" t="str">
        <f t="shared" si="1"/>
        <v>Fora de âmbito</v>
      </c>
      <c r="AL26" s="1" t="str">
        <f>+IF(IFERROR(VLOOKUP(A26,Ficheiros!I:I,1,FALSE),"")=A26,"Sim","Não")</f>
        <v>Sim</v>
      </c>
      <c r="AM26" s="1" t="str">
        <f>+IF(IFERROR(VLOOKUP(A26,Ficheiros!E:E,1,FALSE),"")=A26,"Sim","Não")</f>
        <v>Não</v>
      </c>
      <c r="AN26" s="1" t="str">
        <f>+IF(IFERROR(VLOOKUP(A26,Ficheiros!O:O,1,FALSE),"")=A26,"Sim","Não")</f>
        <v>Não</v>
      </c>
      <c r="AO26" s="1" t="str">
        <f>+IF(IFERROR(VLOOKUP(A26,'Especificação Novos Req. LT (2'!A:A,1,FALSE),"")=A26,"Sim","Não")</f>
        <v>Não</v>
      </c>
      <c r="AP26" s="1" t="str">
        <f>+IF(IFERROR(VLOOKUP(A26,Ficheiros!T:T,1,FALSE),"")=A26,"Sim","Não")</f>
        <v>Sim</v>
      </c>
      <c r="AQ26" s="1" t="e">
        <f>+VLOOKUP(A26,Ficheiros!O:P,2,FALSE)</f>
        <v>#N/A</v>
      </c>
      <c r="AR26" s="1" t="str">
        <f>+VLOOKUP(A26,Ficheiros!T:U,2,FALSE)</f>
        <v>2. Alterar especificação</v>
      </c>
      <c r="AS26" s="1" t="str">
        <f>+VLOOKUP(A26,Ficheiros!T:V,3,FALSE)</f>
        <v>PM &amp; LF</v>
      </c>
      <c r="AT26" s="1"/>
      <c r="AU26" s="1"/>
      <c r="AV26" s="1"/>
      <c r="AW26" s="1"/>
      <c r="AX26" s="1"/>
    </row>
    <row r="27" spans="1:50" ht="14.5" hidden="1" customHeight="1" x14ac:dyDescent="0.35">
      <c r="A27" s="5" t="str">
        <f t="shared" si="0"/>
        <v>ENTITYCR_FLG</v>
      </c>
      <c r="B27" s="1" t="s">
        <v>139</v>
      </c>
      <c r="C27" s="1" t="s">
        <v>35</v>
      </c>
      <c r="D27" s="1" t="s">
        <v>134</v>
      </c>
      <c r="E27" s="1" t="s">
        <v>37</v>
      </c>
      <c r="F27" s="25" t="s">
        <v>140</v>
      </c>
      <c r="G27" s="1" t="s">
        <v>140</v>
      </c>
      <c r="H27" s="1" t="s">
        <v>39</v>
      </c>
      <c r="I27" s="1" t="s">
        <v>39</v>
      </c>
      <c r="J27" s="1" t="s">
        <v>39</v>
      </c>
      <c r="K27" s="1" t="s">
        <v>39</v>
      </c>
      <c r="L27" s="1" t="s">
        <v>39</v>
      </c>
      <c r="M27" s="1" t="s">
        <v>39</v>
      </c>
      <c r="N27" s="1" t="s">
        <v>39</v>
      </c>
      <c r="O27" s="1"/>
      <c r="P27" s="1"/>
      <c r="Q27" s="1"/>
      <c r="R27" s="1" t="s">
        <v>141</v>
      </c>
      <c r="S27" s="1" t="s">
        <v>142</v>
      </c>
      <c r="T27" s="1" t="s">
        <v>53</v>
      </c>
      <c r="U27" s="1" t="s">
        <v>46</v>
      </c>
      <c r="V27" s="1" t="s">
        <v>46</v>
      </c>
      <c r="W27" s="1" t="s">
        <v>143</v>
      </c>
      <c r="X27" s="1" t="s">
        <v>144</v>
      </c>
      <c r="Y27" s="1" t="s">
        <v>84</v>
      </c>
      <c r="Z27" s="1" t="s">
        <v>145</v>
      </c>
      <c r="AA27" s="1" t="s">
        <v>47</v>
      </c>
      <c r="AB27" s="1" t="s">
        <v>39</v>
      </c>
      <c r="AC27" s="1" t="s">
        <v>37</v>
      </c>
      <c r="AD27" s="1" t="s">
        <v>37</v>
      </c>
      <c r="AE27" s="1" t="s">
        <v>37</v>
      </c>
      <c r="AF27" s="1" t="s">
        <v>37</v>
      </c>
      <c r="AG27" s="1" t="s">
        <v>37</v>
      </c>
      <c r="AH27" s="1" t="s">
        <v>37</v>
      </c>
      <c r="AI27" s="1" t="s">
        <v>37</v>
      </c>
      <c r="AJ27" s="1" t="s">
        <v>39</v>
      </c>
      <c r="AK27" s="1" t="str">
        <f t="shared" si="1"/>
        <v>Fora de âmbito</v>
      </c>
      <c r="AL27" s="1" t="str">
        <f>+IF(IFERROR(VLOOKUP(A27,Ficheiros!I:I,1,FALSE),"")=A27,"Sim","Não")</f>
        <v>Sim</v>
      </c>
      <c r="AM27" s="1" t="str">
        <f>+IF(IFERROR(VLOOKUP(A27,Ficheiros!E:E,1,FALSE),"")=A27,"Sim","Não")</f>
        <v>Não</v>
      </c>
      <c r="AN27" s="1" t="str">
        <f>+IF(IFERROR(VLOOKUP(A27,Ficheiros!O:O,1,FALSE),"")=A27,"Sim","Não")</f>
        <v>Não</v>
      </c>
      <c r="AO27" s="1" t="str">
        <f>+IF(IFERROR(VLOOKUP(A27,'Especificação Novos Req. LT (2'!A:A,1,FALSE),"")=A27,"Sim","Não")</f>
        <v>Não</v>
      </c>
      <c r="AP27" s="1" t="str">
        <f>+IF(IFERROR(VLOOKUP(A27,Ficheiros!T:T,1,FALSE),"")=A27,"Sim","Não")</f>
        <v>Sim</v>
      </c>
      <c r="AQ27" s="1" t="e">
        <f>+VLOOKUP(A27,Ficheiros!O:P,2,FALSE)</f>
        <v>#N/A</v>
      </c>
      <c r="AR27" s="1" t="str">
        <f>+VLOOKUP(A27,Ficheiros!T:U,2,FALSE)</f>
        <v>7. Analisar controlos e completude</v>
      </c>
      <c r="AS27" s="1" t="str">
        <f>+VLOOKUP(A27,Ficheiros!T:V,3,FALSE)</f>
        <v>PM</v>
      </c>
      <c r="AT27" s="1"/>
      <c r="AU27" s="1"/>
      <c r="AV27" s="1"/>
      <c r="AW27" s="1"/>
      <c r="AX27" s="1"/>
    </row>
    <row r="28" spans="1:50" ht="14.5" hidden="1" customHeight="1" x14ac:dyDescent="0.35">
      <c r="A28" s="5" t="str">
        <f t="shared" si="0"/>
        <v>ENTITYDCSD</v>
      </c>
      <c r="B28" s="1" t="s">
        <v>146</v>
      </c>
      <c r="C28" s="1" t="s">
        <v>35</v>
      </c>
      <c r="D28" s="1" t="s">
        <v>134</v>
      </c>
      <c r="E28" s="1" t="s">
        <v>37</v>
      </c>
      <c r="F28" s="25" t="s">
        <v>147</v>
      </c>
      <c r="G28" s="1" t="s">
        <v>147</v>
      </c>
      <c r="H28" s="1" t="s">
        <v>37</v>
      </c>
      <c r="I28" s="1" t="s">
        <v>37</v>
      </c>
      <c r="J28" s="1" t="s">
        <v>37</v>
      </c>
      <c r="K28" s="1" t="s">
        <v>37</v>
      </c>
      <c r="L28" s="1" t="s">
        <v>37</v>
      </c>
      <c r="M28" s="1" t="s">
        <v>37</v>
      </c>
      <c r="N28" s="1" t="s">
        <v>39</v>
      </c>
      <c r="O28" s="1"/>
      <c r="P28" s="1"/>
      <c r="Q28" s="1"/>
      <c r="R28" s="1" t="s">
        <v>141</v>
      </c>
      <c r="S28" s="1" t="s">
        <v>142</v>
      </c>
      <c r="T28" s="1" t="s">
        <v>53</v>
      </c>
      <c r="U28" s="1" t="s">
        <v>46</v>
      </c>
      <c r="V28" s="1" t="s">
        <v>46</v>
      </c>
      <c r="W28" s="1" t="s">
        <v>148</v>
      </c>
      <c r="X28" s="1" t="s">
        <v>149</v>
      </c>
      <c r="Y28" s="1" t="s">
        <v>45</v>
      </c>
      <c r="Z28" s="1" t="s">
        <v>46</v>
      </c>
      <c r="AA28" s="1" t="s">
        <v>47</v>
      </c>
      <c r="AB28" s="1" t="s">
        <v>39</v>
      </c>
      <c r="AC28" s="1" t="s">
        <v>37</v>
      </c>
      <c r="AD28" s="1" t="s">
        <v>37</v>
      </c>
      <c r="AE28" s="1" t="s">
        <v>37</v>
      </c>
      <c r="AF28" s="1" t="s">
        <v>37</v>
      </c>
      <c r="AG28" s="1" t="s">
        <v>37</v>
      </c>
      <c r="AH28" s="1" t="s">
        <v>37</v>
      </c>
      <c r="AI28" s="1" t="s">
        <v>37</v>
      </c>
      <c r="AJ28" s="1" t="s">
        <v>39</v>
      </c>
      <c r="AK28" s="1" t="str">
        <f t="shared" si="1"/>
        <v>Fora de âmbito</v>
      </c>
      <c r="AL28" s="1" t="str">
        <f>+IF(IFERROR(VLOOKUP(A28,Ficheiros!I:I,1,FALSE),"")=A28,"Sim","Não")</f>
        <v>Sim</v>
      </c>
      <c r="AM28" s="1" t="str">
        <f>+IF(IFERROR(VLOOKUP(A28,Ficheiros!E:E,1,FALSE),"")=A28,"Sim","Não")</f>
        <v>Não</v>
      </c>
      <c r="AN28" s="1" t="str">
        <f>+IF(IFERROR(VLOOKUP(A28,Ficheiros!O:O,1,FALSE),"")=A28,"Sim","Não")</f>
        <v>Não</v>
      </c>
      <c r="AO28" s="1" t="str">
        <f>+IF(IFERROR(VLOOKUP(A28,'Especificação Novos Req. LT (2'!A:A,1,FALSE),"")=A28,"Sim","Não")</f>
        <v>Não</v>
      </c>
      <c r="AP28" s="1" t="str">
        <f>+IF(IFERROR(VLOOKUP(A28,Ficheiros!T:T,1,FALSE),"")=A28,"Sim","Não")</f>
        <v>Sim</v>
      </c>
      <c r="AQ28" s="1" t="e">
        <f>+VLOOKUP(A28,Ficheiros!O:P,2,FALSE)</f>
        <v>#N/A</v>
      </c>
      <c r="AR28" s="1" t="str">
        <f>+VLOOKUP(A28,Ficheiros!T:U,2,FALSE)</f>
        <v>9. Concluído</v>
      </c>
      <c r="AS28" s="1" t="str">
        <f>+VLOOKUP(A28,Ficheiros!T:V,3,FALSE)</f>
        <v>PM</v>
      </c>
      <c r="AT28" s="1"/>
      <c r="AU28" s="1"/>
      <c r="AV28" s="1"/>
      <c r="AW28" s="1"/>
      <c r="AX28" s="1"/>
    </row>
    <row r="29" spans="1:50" ht="14.5" hidden="1" customHeight="1" x14ac:dyDescent="0.35">
      <c r="A29" s="5" t="str">
        <f t="shared" si="0"/>
        <v>ENTITYDFLT_STTS</v>
      </c>
      <c r="B29" s="1" t="s">
        <v>150</v>
      </c>
      <c r="C29" s="1" t="s">
        <v>35</v>
      </c>
      <c r="D29" s="1" t="s">
        <v>134</v>
      </c>
      <c r="E29" s="1" t="s">
        <v>39</v>
      </c>
      <c r="F29" s="25" t="s">
        <v>151</v>
      </c>
      <c r="G29" s="1" t="s">
        <v>151</v>
      </c>
      <c r="H29" s="1" t="s">
        <v>39</v>
      </c>
      <c r="I29" s="1" t="s">
        <v>39</v>
      </c>
      <c r="J29" s="1" t="s">
        <v>39</v>
      </c>
      <c r="K29" s="1" t="s">
        <v>39</v>
      </c>
      <c r="L29" s="1" t="s">
        <v>39</v>
      </c>
      <c r="M29" s="1" t="s">
        <v>39</v>
      </c>
      <c r="N29" s="1" t="s">
        <v>39</v>
      </c>
      <c r="O29" s="1"/>
      <c r="P29" s="1"/>
      <c r="Q29" s="1"/>
      <c r="R29" s="1" t="s">
        <v>136</v>
      </c>
      <c r="S29" s="1" t="s">
        <v>52</v>
      </c>
      <c r="T29" s="1">
        <v>99999999999</v>
      </c>
      <c r="U29" s="1">
        <v>11111111111</v>
      </c>
      <c r="V29" s="1">
        <v>11111111111</v>
      </c>
      <c r="W29" s="1" t="s">
        <v>152</v>
      </c>
      <c r="X29" s="1" t="s">
        <v>153</v>
      </c>
      <c r="Y29" s="1" t="s">
        <v>45</v>
      </c>
      <c r="Z29" s="1" t="s">
        <v>46</v>
      </c>
      <c r="AA29" s="1" t="s">
        <v>47</v>
      </c>
      <c r="AB29" s="1" t="s">
        <v>39</v>
      </c>
      <c r="AC29" s="1" t="s">
        <v>37</v>
      </c>
      <c r="AD29" s="1" t="s">
        <v>37</v>
      </c>
      <c r="AE29" s="1" t="s">
        <v>37</v>
      </c>
      <c r="AF29" s="1" t="s">
        <v>37</v>
      </c>
      <c r="AG29" s="1" t="s">
        <v>39</v>
      </c>
      <c r="AH29" s="1" t="s">
        <v>37</v>
      </c>
      <c r="AI29" s="1" t="s">
        <v>37</v>
      </c>
      <c r="AJ29" s="1" t="s">
        <v>39</v>
      </c>
      <c r="AK29" s="1" t="str">
        <f t="shared" si="1"/>
        <v>Fora de âmbito</v>
      </c>
      <c r="AL29" s="1" t="str">
        <f>+IF(IFERROR(VLOOKUP(A29,Ficheiros!I:I,1,FALSE),"")=A29,"Sim","Não")</f>
        <v>Sim</v>
      </c>
      <c r="AM29" s="1" t="str">
        <f>+IF(IFERROR(VLOOKUP(A29,Ficheiros!E:E,1,FALSE),"")=A29,"Sim","Não")</f>
        <v>Não</v>
      </c>
      <c r="AN29" s="1" t="str">
        <f>+IF(IFERROR(VLOOKUP(A29,Ficheiros!O:O,1,FALSE),"")=A29,"Sim","Não")</f>
        <v>Não</v>
      </c>
      <c r="AO29" s="1" t="str">
        <f>+IF(IFERROR(VLOOKUP(A29,'Especificação Novos Req. LT (2'!A:A,1,FALSE),"")=A29,"Sim","Não")</f>
        <v>Não</v>
      </c>
      <c r="AP29" s="1" t="str">
        <f>+IF(IFERROR(VLOOKUP(A29,Ficheiros!T:T,1,FALSE),"")=A29,"Sim","Não")</f>
        <v>Sim</v>
      </c>
      <c r="AQ29" s="1" t="e">
        <f>+VLOOKUP(A29,Ficheiros!O:P,2,FALSE)</f>
        <v>#N/A</v>
      </c>
      <c r="AR29" s="1" t="str">
        <f>+VLOOKUP(A29,Ficheiros!T:U,2,FALSE)</f>
        <v>3. Pendente de decisão</v>
      </c>
      <c r="AS29" s="1" t="str">
        <f>+VLOOKUP(A29,Ficheiros!T:V,3,FALSE)</f>
        <v>LF</v>
      </c>
      <c r="AT29" s="1"/>
      <c r="AU29" s="1"/>
      <c r="AV29" s="1"/>
      <c r="AW29" s="1"/>
      <c r="AX29" s="1"/>
    </row>
    <row r="30" spans="1:50" ht="14.5" hidden="1" customHeight="1" x14ac:dyDescent="0.35">
      <c r="A30" s="5" t="str">
        <f t="shared" si="0"/>
        <v>ENTITYDT_EXTRNL_RTNG</v>
      </c>
      <c r="B30" s="1" t="s">
        <v>154</v>
      </c>
      <c r="C30" s="1" t="s">
        <v>35</v>
      </c>
      <c r="D30" s="1" t="s">
        <v>134</v>
      </c>
      <c r="E30" s="1" t="s">
        <v>37</v>
      </c>
      <c r="F30" s="25" t="s">
        <v>155</v>
      </c>
      <c r="G30" s="1" t="s">
        <v>155</v>
      </c>
      <c r="H30" s="1" t="s">
        <v>39</v>
      </c>
      <c r="I30" s="1" t="s">
        <v>39</v>
      </c>
      <c r="J30" s="1" t="s">
        <v>39</v>
      </c>
      <c r="K30" s="1" t="s">
        <v>39</v>
      </c>
      <c r="L30" s="1" t="s">
        <v>39</v>
      </c>
      <c r="M30" s="1" t="s">
        <v>39</v>
      </c>
      <c r="N30" s="1" t="s">
        <v>37</v>
      </c>
      <c r="O30" s="1"/>
      <c r="P30" s="1"/>
      <c r="Q30" s="1"/>
      <c r="R30" s="1" t="s">
        <v>60</v>
      </c>
      <c r="S30" s="1" t="s">
        <v>61</v>
      </c>
      <c r="T30" s="1" t="s">
        <v>62</v>
      </c>
      <c r="U30" s="1" t="s">
        <v>63</v>
      </c>
      <c r="V30" s="1" t="s">
        <v>63</v>
      </c>
      <c r="W30" s="1" t="s">
        <v>156</v>
      </c>
      <c r="X30" s="1" t="s">
        <v>157</v>
      </c>
      <c r="Y30" s="1" t="s">
        <v>66</v>
      </c>
      <c r="Z30" s="1" t="s">
        <v>158</v>
      </c>
      <c r="AA30" s="1" t="s">
        <v>47</v>
      </c>
      <c r="AB30" s="1" t="s">
        <v>39</v>
      </c>
      <c r="AC30" s="1" t="s">
        <v>37</v>
      </c>
      <c r="AD30" s="1" t="s">
        <v>37</v>
      </c>
      <c r="AE30" s="1" t="s">
        <v>37</v>
      </c>
      <c r="AF30" s="1" t="s">
        <v>37</v>
      </c>
      <c r="AG30" s="1" t="s">
        <v>39</v>
      </c>
      <c r="AH30" s="1" t="s">
        <v>37</v>
      </c>
      <c r="AI30" s="1" t="s">
        <v>37</v>
      </c>
      <c r="AJ30" s="1" t="s">
        <v>39</v>
      </c>
      <c r="AK30" s="1" t="str">
        <f t="shared" si="1"/>
        <v>Fora de âmbito</v>
      </c>
      <c r="AL30" s="1" t="str">
        <f>+IF(IFERROR(VLOOKUP(A30,Ficheiros!I:I,1,FALSE),"")=A30,"Sim","Não")</f>
        <v>Sim</v>
      </c>
      <c r="AM30" s="1" t="str">
        <f>+IF(IFERROR(VLOOKUP(A30,Ficheiros!E:E,1,FALSE),"")=A30,"Sim","Não")</f>
        <v>Não</v>
      </c>
      <c r="AN30" s="1" t="str">
        <f>+IF(IFERROR(VLOOKUP(A30,Ficheiros!O:O,1,FALSE),"")=A30,"Sim","Não")</f>
        <v>Não</v>
      </c>
      <c r="AO30" s="1" t="str">
        <f>+IF(IFERROR(VLOOKUP(A30,'Especificação Novos Req. LT (2'!A:A,1,FALSE),"")=A30,"Sim","Não")</f>
        <v>Não</v>
      </c>
      <c r="AP30" s="1" t="str">
        <f>+IF(IFERROR(VLOOKUP(A30,Ficheiros!T:T,1,FALSE),"")=A30,"Sim","Não")</f>
        <v>Sim</v>
      </c>
      <c r="AQ30" s="1" t="e">
        <f>+VLOOKUP(A30,Ficheiros!O:P,2,FALSE)</f>
        <v>#N/A</v>
      </c>
      <c r="AR30" s="1" t="str">
        <f>+VLOOKUP(A30,Ficheiros!T:U,2,FALSE)</f>
        <v>2. Alterar especificação</v>
      </c>
      <c r="AS30" s="1" t="str">
        <f>+VLOOKUP(A30,Ficheiros!T:V,3,FALSE)</f>
        <v>LF</v>
      </c>
      <c r="AT30" s="1"/>
      <c r="AU30" s="1"/>
      <c r="AV30" s="1"/>
      <c r="AW30" s="1"/>
      <c r="AX30" s="1"/>
    </row>
    <row r="31" spans="1:50" ht="14.5" hidden="1" customHeight="1" x14ac:dyDescent="0.35">
      <c r="A31" s="5" t="str">
        <f t="shared" si="0"/>
        <v>ENTITYDT_INTRNL_RTNG</v>
      </c>
      <c r="B31" s="1" t="s">
        <v>159</v>
      </c>
      <c r="C31" s="1" t="s">
        <v>35</v>
      </c>
      <c r="D31" s="1" t="s">
        <v>134</v>
      </c>
      <c r="E31" s="1" t="s">
        <v>37</v>
      </c>
      <c r="F31" s="26" t="s">
        <v>160</v>
      </c>
      <c r="G31" s="1" t="s">
        <v>160</v>
      </c>
      <c r="H31" s="1" t="s">
        <v>39</v>
      </c>
      <c r="I31" s="1" t="s">
        <v>39</v>
      </c>
      <c r="J31" s="1" t="s">
        <v>39</v>
      </c>
      <c r="K31" s="1" t="s">
        <v>39</v>
      </c>
      <c r="L31" s="1" t="s">
        <v>39</v>
      </c>
      <c r="M31" s="1" t="s">
        <v>39</v>
      </c>
      <c r="N31" s="1" t="s">
        <v>39</v>
      </c>
      <c r="O31" s="1"/>
      <c r="P31" s="1"/>
      <c r="Q31" s="1"/>
      <c r="R31" s="1" t="s">
        <v>60</v>
      </c>
      <c r="S31" s="1" t="s">
        <v>61</v>
      </c>
      <c r="T31" s="1" t="s">
        <v>62</v>
      </c>
      <c r="U31" s="1" t="s">
        <v>63</v>
      </c>
      <c r="V31" s="1" t="s">
        <v>63</v>
      </c>
      <c r="W31" s="1" t="s">
        <v>161</v>
      </c>
      <c r="X31" s="1" t="s">
        <v>162</v>
      </c>
      <c r="Y31" s="1" t="s">
        <v>66</v>
      </c>
      <c r="Z31" s="1" t="s">
        <v>163</v>
      </c>
      <c r="AA31" s="1" t="s">
        <v>47</v>
      </c>
      <c r="AB31" s="1" t="s">
        <v>39</v>
      </c>
      <c r="AC31" s="1" t="s">
        <v>37</v>
      </c>
      <c r="AD31" s="1" t="s">
        <v>37</v>
      </c>
      <c r="AE31" s="1" t="s">
        <v>37</v>
      </c>
      <c r="AF31" s="1" t="s">
        <v>37</v>
      </c>
      <c r="AG31" s="1" t="s">
        <v>39</v>
      </c>
      <c r="AH31" s="1" t="s">
        <v>37</v>
      </c>
      <c r="AI31" s="1" t="s">
        <v>37</v>
      </c>
      <c r="AJ31" s="1" t="s">
        <v>39</v>
      </c>
      <c r="AK31" s="1" t="str">
        <f t="shared" si="1"/>
        <v>Fora de âmbito</v>
      </c>
      <c r="AL31" s="1" t="str">
        <f>+IF(IFERROR(VLOOKUP(A31,Ficheiros!I:I,1,FALSE),"")=A31,"Sim","Não")</f>
        <v>Sim</v>
      </c>
      <c r="AM31" s="1" t="str">
        <f>+IF(IFERROR(VLOOKUP(A31,Ficheiros!E:E,1,FALSE),"")=A31,"Sim","Não")</f>
        <v>Não</v>
      </c>
      <c r="AN31" s="1" t="str">
        <f>+IF(IFERROR(VLOOKUP(A31,Ficheiros!O:O,1,FALSE),"")=A31,"Sim","Não")</f>
        <v>Não</v>
      </c>
      <c r="AO31" s="1" t="str">
        <f>+IF(IFERROR(VLOOKUP(A31,'Especificação Novos Req. LT (2'!A:A,1,FALSE),"")=A31,"Sim","Não")</f>
        <v>Não</v>
      </c>
      <c r="AP31" s="1" t="str">
        <f>+IF(IFERROR(VLOOKUP(A31,Ficheiros!T:T,1,FALSE),"")=A31,"Sim","Não")</f>
        <v>Sim</v>
      </c>
      <c r="AQ31" s="1" t="e">
        <f>+VLOOKUP(A31,Ficheiros!O:P,2,FALSE)</f>
        <v>#N/A</v>
      </c>
      <c r="AR31" s="1" t="str">
        <f>+VLOOKUP(A31,Ficheiros!T:U,2,FALSE)</f>
        <v>5.1 Em testes - Re-especificação</v>
      </c>
      <c r="AS31" s="1" t="str">
        <f>+VLOOKUP(A31,Ficheiros!T:V,3,FALSE)</f>
        <v>LF</v>
      </c>
      <c r="AT31" s="1"/>
      <c r="AU31" s="1"/>
      <c r="AV31" s="1"/>
      <c r="AW31" s="1"/>
      <c r="AX31" s="1"/>
    </row>
    <row r="32" spans="1:50" ht="14.5" hidden="1" customHeight="1" x14ac:dyDescent="0.35">
      <c r="A32" s="5" t="str">
        <f t="shared" si="0"/>
        <v>ENTITYECNMC_ACTVTY</v>
      </c>
      <c r="B32" s="1" t="s">
        <v>164</v>
      </c>
      <c r="C32" s="1" t="s">
        <v>35</v>
      </c>
      <c r="D32" s="1" t="s">
        <v>134</v>
      </c>
      <c r="E32" s="1" t="s">
        <v>39</v>
      </c>
      <c r="F32" s="26" t="s">
        <v>165</v>
      </c>
      <c r="G32" s="1" t="s">
        <v>165</v>
      </c>
      <c r="H32" s="24" t="s">
        <v>37</v>
      </c>
      <c r="I32" s="24" t="s">
        <v>39</v>
      </c>
      <c r="J32" s="24" t="s">
        <v>39</v>
      </c>
      <c r="K32" s="24" t="s">
        <v>39</v>
      </c>
      <c r="L32" s="24" t="s">
        <v>39</v>
      </c>
      <c r="M32" s="24" t="s">
        <v>39</v>
      </c>
      <c r="N32" s="24" t="s">
        <v>37</v>
      </c>
      <c r="O32" s="1"/>
      <c r="P32" s="1"/>
      <c r="Q32" s="1"/>
      <c r="R32" s="1" t="s">
        <v>51</v>
      </c>
      <c r="S32" s="1" t="s">
        <v>52</v>
      </c>
      <c r="T32" s="1" t="s">
        <v>53</v>
      </c>
      <c r="U32" s="1" t="s">
        <v>46</v>
      </c>
      <c r="V32" s="1" t="s">
        <v>46</v>
      </c>
      <c r="W32" s="1" t="s">
        <v>166</v>
      </c>
      <c r="X32" s="1" t="s">
        <v>167</v>
      </c>
      <c r="Y32" s="1" t="s">
        <v>45</v>
      </c>
      <c r="Z32" s="1" t="s">
        <v>46</v>
      </c>
      <c r="AA32" s="1" t="s">
        <v>47</v>
      </c>
      <c r="AB32" s="1" t="s">
        <v>39</v>
      </c>
      <c r="AC32" s="37" t="s">
        <v>37</v>
      </c>
      <c r="AD32" s="1" t="s">
        <v>39</v>
      </c>
      <c r="AE32" s="1" t="s">
        <v>39</v>
      </c>
      <c r="AF32" s="1" t="s">
        <v>39</v>
      </c>
      <c r="AG32" s="1" t="s">
        <v>39</v>
      </c>
      <c r="AH32" s="1" t="s">
        <v>37</v>
      </c>
      <c r="AI32" s="1" t="s">
        <v>39</v>
      </c>
      <c r="AJ32" s="1" t="s">
        <v>39</v>
      </c>
      <c r="AK32" s="1" t="str">
        <f t="shared" si="1"/>
        <v>Comum</v>
      </c>
      <c r="AL32" s="1" t="str">
        <f>+IF(IFERROR(VLOOKUP(A32,Ficheiros!I:I,1,FALSE),"")=A32,"Sim","Não")</f>
        <v>Sim</v>
      </c>
      <c r="AM32" s="1" t="str">
        <f>+IF(IFERROR(VLOOKUP(A32,Ficheiros!E:E,1,FALSE),"")=A32,"Sim","Não")</f>
        <v>Não</v>
      </c>
      <c r="AN32" s="1" t="str">
        <f>+IF(IFERROR(VLOOKUP(A32,Ficheiros!O:O,1,FALSE),"")=A32,"Sim","Não")</f>
        <v>Sim</v>
      </c>
      <c r="AO32" s="1" t="str">
        <f>+IF(IFERROR(VLOOKUP(A32,'Especificação Novos Req. LT (2'!A:A,1,FALSE),"")=A32,"Sim","Não")</f>
        <v>Não</v>
      </c>
      <c r="AP32" s="1" t="str">
        <f>+IF(IFERROR(VLOOKUP(A32,Ficheiros!T:T,1,FALSE),"")=A32,"Sim","Não")</f>
        <v>Sim</v>
      </c>
      <c r="AQ32" s="1" t="str">
        <f>+VLOOKUP(A32,Ficheiros!O:P,2,FALSE)</f>
        <v>1. Concluído</v>
      </c>
      <c r="AR32" s="1" t="str">
        <f>+VLOOKUP(A32,Ficheiros!T:U,2,FALSE)</f>
        <v>9. Concluído</v>
      </c>
      <c r="AS32" s="1" t="str">
        <f>+VLOOKUP(A32,Ficheiros!T:V,3,FALSE)</f>
        <v>PM</v>
      </c>
      <c r="AT32" s="1"/>
      <c r="AU32" s="1"/>
      <c r="AV32" s="1"/>
      <c r="AW32" s="1"/>
      <c r="AX32" s="1"/>
    </row>
    <row r="33" spans="1:50" ht="14.5" hidden="1" customHeight="1" x14ac:dyDescent="0.35">
      <c r="A33" s="5" t="str">
        <f t="shared" si="0"/>
        <v>ENTITYEMPLYMNT_STTS_INTRNL</v>
      </c>
      <c r="B33" s="1" t="s">
        <v>168</v>
      </c>
      <c r="C33" s="1" t="s">
        <v>35</v>
      </c>
      <c r="D33" s="1" t="s">
        <v>134</v>
      </c>
      <c r="E33" s="1" t="s">
        <v>37</v>
      </c>
      <c r="F33" s="25" t="s">
        <v>169</v>
      </c>
      <c r="G33" s="1" t="s">
        <v>169</v>
      </c>
      <c r="H33" s="1" t="s">
        <v>37</v>
      </c>
      <c r="I33" s="1" t="s">
        <v>37</v>
      </c>
      <c r="J33" s="1" t="s">
        <v>37</v>
      </c>
      <c r="K33" s="1" t="s">
        <v>37</v>
      </c>
      <c r="L33" s="1" t="s">
        <v>37</v>
      </c>
      <c r="M33" s="1" t="s">
        <v>37</v>
      </c>
      <c r="N33" s="1" t="s">
        <v>39</v>
      </c>
      <c r="O33" s="1"/>
      <c r="P33" s="1"/>
      <c r="Q33" s="1"/>
      <c r="R33" s="1" t="s">
        <v>96</v>
      </c>
      <c r="S33" s="1" t="s">
        <v>41</v>
      </c>
      <c r="T33" s="1" t="s">
        <v>53</v>
      </c>
      <c r="U33" s="1" t="s">
        <v>46</v>
      </c>
      <c r="V33" s="1" t="s">
        <v>46</v>
      </c>
      <c r="W33" s="1" t="s">
        <v>170</v>
      </c>
      <c r="X33" s="1" t="s">
        <v>171</v>
      </c>
      <c r="Y33" s="1" t="s">
        <v>45</v>
      </c>
      <c r="Z33" s="1" t="s">
        <v>46</v>
      </c>
      <c r="AA33" s="1" t="s">
        <v>47</v>
      </c>
      <c r="AB33" s="1" t="s">
        <v>39</v>
      </c>
      <c r="AC33" s="1" t="s">
        <v>37</v>
      </c>
      <c r="AD33" s="1" t="s">
        <v>37</v>
      </c>
      <c r="AE33" s="1" t="s">
        <v>37</v>
      </c>
      <c r="AF33" s="1" t="s">
        <v>37</v>
      </c>
      <c r="AG33" s="1" t="s">
        <v>37</v>
      </c>
      <c r="AH33" s="1" t="s">
        <v>37</v>
      </c>
      <c r="AI33" s="1" t="s">
        <v>37</v>
      </c>
      <c r="AJ33" s="1" t="s">
        <v>39</v>
      </c>
      <c r="AK33" s="1" t="str">
        <f t="shared" si="1"/>
        <v>Fora de âmbito</v>
      </c>
      <c r="AL33" s="1" t="str">
        <f>+IF(IFERROR(VLOOKUP(A33,Ficheiros!I:I,1,FALSE),"")=A33,"Sim","Não")</f>
        <v>Sim</v>
      </c>
      <c r="AM33" s="1" t="str">
        <f>+IF(IFERROR(VLOOKUP(A33,Ficheiros!E:E,1,FALSE),"")=A33,"Sim","Não")</f>
        <v>Não</v>
      </c>
      <c r="AN33" s="1" t="str">
        <f>+IF(IFERROR(VLOOKUP(A33,Ficheiros!O:O,1,FALSE),"")=A33,"Sim","Não")</f>
        <v>Não</v>
      </c>
      <c r="AO33" s="1" t="str">
        <f>+IF(IFERROR(VLOOKUP(A33,'Especificação Novos Req. LT (2'!A:A,1,FALSE),"")=A33,"Sim","Não")</f>
        <v>Não</v>
      </c>
      <c r="AP33" s="1" t="str">
        <f>+IF(IFERROR(VLOOKUP(A33,Ficheiros!T:T,1,FALSE),"")=A33,"Sim","Não")</f>
        <v>Sim</v>
      </c>
      <c r="AQ33" s="1" t="e">
        <f>+VLOOKUP(A33,Ficheiros!O:P,2,FALSE)</f>
        <v>#N/A</v>
      </c>
      <c r="AR33" s="1" t="str">
        <f>+VLOOKUP(A33,Ficheiros!T:U,2,FALSE)</f>
        <v>9. Concluído</v>
      </c>
      <c r="AS33" s="1" t="str">
        <f>+VLOOKUP(A33,Ficheiros!T:V,3,FALSE)</f>
        <v>PM</v>
      </c>
      <c r="AT33" s="1"/>
      <c r="AU33" s="1"/>
      <c r="AV33" s="1"/>
      <c r="AW33" s="1"/>
      <c r="AX33" s="1"/>
    </row>
    <row r="34" spans="1:50" ht="14.5" hidden="1" customHeight="1" x14ac:dyDescent="0.35">
      <c r="A34" s="5" t="str">
        <f t="shared" si="0"/>
        <v>ENTITYEMPLYMNT_STTS</v>
      </c>
      <c r="B34" s="1" t="s">
        <v>172</v>
      </c>
      <c r="C34" s="1" t="s">
        <v>35</v>
      </c>
      <c r="D34" s="1" t="s">
        <v>134</v>
      </c>
      <c r="E34" s="1" t="s">
        <v>37</v>
      </c>
      <c r="F34" s="25" t="s">
        <v>173</v>
      </c>
      <c r="G34" s="1" t="s">
        <v>173</v>
      </c>
      <c r="H34" s="1" t="s">
        <v>37</v>
      </c>
      <c r="I34" s="1" t="s">
        <v>37</v>
      </c>
      <c r="J34" s="1" t="s">
        <v>37</v>
      </c>
      <c r="K34" s="1" t="s">
        <v>37</v>
      </c>
      <c r="L34" s="1" t="s">
        <v>37</v>
      </c>
      <c r="M34" s="1" t="s">
        <v>37</v>
      </c>
      <c r="N34" s="1" t="s">
        <v>39</v>
      </c>
      <c r="O34" s="1"/>
      <c r="P34" s="1"/>
      <c r="Q34" s="1"/>
      <c r="R34" s="1" t="s">
        <v>136</v>
      </c>
      <c r="S34" s="1" t="s">
        <v>52</v>
      </c>
      <c r="T34" s="1">
        <v>99999999999</v>
      </c>
      <c r="U34" s="1">
        <v>11111111111</v>
      </c>
      <c r="V34" s="1">
        <v>11111111111</v>
      </c>
      <c r="W34" s="1" t="s">
        <v>174</v>
      </c>
      <c r="X34" s="1" t="s">
        <v>175</v>
      </c>
      <c r="Y34" s="1" t="s">
        <v>45</v>
      </c>
      <c r="Z34" s="1" t="s">
        <v>46</v>
      </c>
      <c r="AA34" s="1" t="s">
        <v>47</v>
      </c>
      <c r="AB34" s="1" t="s">
        <v>39</v>
      </c>
      <c r="AC34" s="1" t="s">
        <v>37</v>
      </c>
      <c r="AD34" s="1" t="s">
        <v>37</v>
      </c>
      <c r="AE34" s="1" t="s">
        <v>37</v>
      </c>
      <c r="AF34" s="1" t="s">
        <v>37</v>
      </c>
      <c r="AG34" s="1" t="s">
        <v>37</v>
      </c>
      <c r="AH34" s="1" t="s">
        <v>37</v>
      </c>
      <c r="AI34" s="1" t="s">
        <v>37</v>
      </c>
      <c r="AJ34" s="1" t="s">
        <v>39</v>
      </c>
      <c r="AK34" s="1" t="str">
        <f t="shared" si="1"/>
        <v>Fora de âmbito</v>
      </c>
      <c r="AL34" s="1" t="str">
        <f>+IF(IFERROR(VLOOKUP(A34,Ficheiros!I:I,1,FALSE),"")=A34,"Sim","Não")</f>
        <v>Sim</v>
      </c>
      <c r="AM34" s="1" t="str">
        <f>+IF(IFERROR(VLOOKUP(A34,Ficheiros!E:E,1,FALSE),"")=A34,"Sim","Não")</f>
        <v>Não</v>
      </c>
      <c r="AN34" s="1" t="str">
        <f>+IF(IFERROR(VLOOKUP(A34,Ficheiros!O:O,1,FALSE),"")=A34,"Sim","Não")</f>
        <v>Não</v>
      </c>
      <c r="AO34" s="1" t="str">
        <f>+IF(IFERROR(VLOOKUP(A34,'Especificação Novos Req. LT (2'!A:A,1,FALSE),"")=A34,"Sim","Não")</f>
        <v>Não</v>
      </c>
      <c r="AP34" s="1" t="str">
        <f>+IF(IFERROR(VLOOKUP(A34,Ficheiros!T:T,1,FALSE),"")=A34,"Sim","Não")</f>
        <v>Sim</v>
      </c>
      <c r="AQ34" s="1" t="e">
        <f>+VLOOKUP(A34,Ficheiros!O:P,2,FALSE)</f>
        <v>#N/A</v>
      </c>
      <c r="AR34" s="1" t="str">
        <f>+VLOOKUP(A34,Ficheiros!T:U,2,FALSE)</f>
        <v>9. Concluído</v>
      </c>
      <c r="AS34" s="1" t="str">
        <f>+VLOOKUP(A34,Ficheiros!T:V,3,FALSE)</f>
        <v>PM</v>
      </c>
      <c r="AT34" s="1"/>
      <c r="AU34" s="1"/>
      <c r="AV34" s="1"/>
      <c r="AW34" s="1"/>
      <c r="AX34" s="1"/>
    </row>
    <row r="35" spans="1:50" ht="14.5" hidden="1" customHeight="1" x14ac:dyDescent="0.35">
      <c r="A35" s="5" t="str">
        <f t="shared" si="0"/>
        <v>ENTITYENTRPRS_SZ_LE</v>
      </c>
      <c r="B35" s="1" t="s">
        <v>176</v>
      </c>
      <c r="C35" s="1" t="s">
        <v>35</v>
      </c>
      <c r="D35" s="1" t="s">
        <v>134</v>
      </c>
      <c r="E35" s="1" t="s">
        <v>39</v>
      </c>
      <c r="F35" s="25" t="s">
        <v>177</v>
      </c>
      <c r="G35" s="1" t="s">
        <v>177</v>
      </c>
      <c r="H35" s="1" t="s">
        <v>37</v>
      </c>
      <c r="I35" s="1" t="s">
        <v>37</v>
      </c>
      <c r="J35" s="1" t="s">
        <v>37</v>
      </c>
      <c r="K35" s="1" t="s">
        <v>37</v>
      </c>
      <c r="L35" s="1" t="s">
        <v>37</v>
      </c>
      <c r="M35" s="1" t="s">
        <v>39</v>
      </c>
      <c r="N35" s="1" t="s">
        <v>37</v>
      </c>
      <c r="O35" s="1"/>
      <c r="P35" s="1"/>
      <c r="Q35" s="1"/>
      <c r="R35" s="1" t="s">
        <v>136</v>
      </c>
      <c r="S35" s="1" t="s">
        <v>52</v>
      </c>
      <c r="T35" s="1">
        <v>99999999999</v>
      </c>
      <c r="U35" s="1">
        <v>11111111111</v>
      </c>
      <c r="V35" s="1">
        <v>11111111111</v>
      </c>
      <c r="W35" s="1" t="s">
        <v>178</v>
      </c>
      <c r="X35" s="1" t="s">
        <v>179</v>
      </c>
      <c r="Y35" s="1" t="s">
        <v>84</v>
      </c>
      <c r="Z35" s="1" t="s">
        <v>180</v>
      </c>
      <c r="AA35" s="1" t="s">
        <v>47</v>
      </c>
      <c r="AB35" s="1" t="s">
        <v>39</v>
      </c>
      <c r="AC35" s="1" t="s">
        <v>37</v>
      </c>
      <c r="AD35" s="1" t="s">
        <v>37</v>
      </c>
      <c r="AE35" s="1" t="s">
        <v>37</v>
      </c>
      <c r="AF35" s="1" t="s">
        <v>37</v>
      </c>
      <c r="AG35" s="1" t="s">
        <v>37</v>
      </c>
      <c r="AH35" s="1" t="s">
        <v>37</v>
      </c>
      <c r="AI35" s="1" t="s">
        <v>37</v>
      </c>
      <c r="AJ35" s="1" t="s">
        <v>39</v>
      </c>
      <c r="AK35" s="1" t="str">
        <f t="shared" si="1"/>
        <v>Fora de âmbito</v>
      </c>
      <c r="AL35" s="1" t="str">
        <f>+IF(IFERROR(VLOOKUP(A35,Ficheiros!I:I,1,FALSE),"")=A35,"Sim","Não")</f>
        <v>Sim</v>
      </c>
      <c r="AM35" s="1" t="str">
        <f>+IF(IFERROR(VLOOKUP(A35,Ficheiros!E:E,1,FALSE),"")=A35,"Sim","Não")</f>
        <v>Não</v>
      </c>
      <c r="AN35" s="1" t="str">
        <f>+IF(IFERROR(VLOOKUP(A35,Ficheiros!O:O,1,FALSE),"")=A35,"Sim","Não")</f>
        <v>Não</v>
      </c>
      <c r="AO35" s="1" t="str">
        <f>+IF(IFERROR(VLOOKUP(A35,'Especificação Novos Req. LT (2'!A:A,1,FALSE),"")=A35,"Sim","Não")</f>
        <v>Não</v>
      </c>
      <c r="AP35" s="1" t="str">
        <f>+IF(IFERROR(VLOOKUP(A35,Ficheiros!T:T,1,FALSE),"")=A35,"Sim","Não")</f>
        <v>Sim</v>
      </c>
      <c r="AQ35" s="1" t="e">
        <f>+VLOOKUP(A35,Ficheiros!O:P,2,FALSE)</f>
        <v>#N/A</v>
      </c>
      <c r="AR35" s="1" t="str">
        <f>+VLOOKUP(A35,Ficheiros!T:U,2,FALSE)</f>
        <v>7. Analisar controlos e completude</v>
      </c>
      <c r="AS35" s="1" t="str">
        <f>+VLOOKUP(A35,Ficheiros!T:V,3,FALSE)</f>
        <v>PM</v>
      </c>
      <c r="AT35" s="1"/>
      <c r="AU35" s="1"/>
      <c r="AV35" s="1"/>
      <c r="AW35" s="1"/>
      <c r="AX35" s="1"/>
    </row>
    <row r="36" spans="1:50" ht="14.5" hidden="1" customHeight="1" x14ac:dyDescent="0.35">
      <c r="A36" s="5" t="str">
        <f t="shared" si="0"/>
        <v>ENTITYEXTRNL_RTNG</v>
      </c>
      <c r="B36" s="1" t="s">
        <v>181</v>
      </c>
      <c r="C36" s="1" t="s">
        <v>35</v>
      </c>
      <c r="D36" s="1" t="s">
        <v>134</v>
      </c>
      <c r="E36" s="1" t="s">
        <v>37</v>
      </c>
      <c r="F36" s="25" t="s">
        <v>182</v>
      </c>
      <c r="G36" s="1" t="s">
        <v>182</v>
      </c>
      <c r="H36" s="1" t="s">
        <v>39</v>
      </c>
      <c r="I36" s="1" t="s">
        <v>39</v>
      </c>
      <c r="J36" s="1" t="s">
        <v>39</v>
      </c>
      <c r="K36" s="1" t="s">
        <v>39</v>
      </c>
      <c r="L36" s="1" t="s">
        <v>39</v>
      </c>
      <c r="M36" s="1" t="s">
        <v>39</v>
      </c>
      <c r="N36" s="1" t="s">
        <v>37</v>
      </c>
      <c r="O36" s="1"/>
      <c r="P36" s="1"/>
      <c r="Q36" s="1"/>
      <c r="R36" s="1" t="s">
        <v>136</v>
      </c>
      <c r="S36" s="1" t="s">
        <v>52</v>
      </c>
      <c r="T36" s="1">
        <v>99999999999</v>
      </c>
      <c r="U36" s="1">
        <v>11111111111</v>
      </c>
      <c r="V36" s="1">
        <v>11111111111</v>
      </c>
      <c r="W36" s="1" t="s">
        <v>183</v>
      </c>
      <c r="X36" s="1" t="s">
        <v>184</v>
      </c>
      <c r="Y36" s="1" t="s">
        <v>84</v>
      </c>
      <c r="Z36" s="1" t="s">
        <v>185</v>
      </c>
      <c r="AA36" s="1" t="s">
        <v>47</v>
      </c>
      <c r="AB36" s="1" t="s">
        <v>39</v>
      </c>
      <c r="AC36" s="1" t="s">
        <v>37</v>
      </c>
      <c r="AD36" s="1" t="s">
        <v>37</v>
      </c>
      <c r="AE36" s="1" t="s">
        <v>37</v>
      </c>
      <c r="AF36" s="1" t="s">
        <v>37</v>
      </c>
      <c r="AG36" s="1" t="s">
        <v>39</v>
      </c>
      <c r="AH36" s="1" t="s">
        <v>37</v>
      </c>
      <c r="AI36" s="1" t="s">
        <v>37</v>
      </c>
      <c r="AJ36" s="1" t="s">
        <v>39</v>
      </c>
      <c r="AK36" s="1" t="str">
        <f t="shared" si="1"/>
        <v>Fora de âmbito</v>
      </c>
      <c r="AL36" s="1" t="str">
        <f>+IF(IFERROR(VLOOKUP(A36,Ficheiros!I:I,1,FALSE),"")=A36,"Sim","Não")</f>
        <v>Sim</v>
      </c>
      <c r="AM36" s="1" t="str">
        <f>+IF(IFERROR(VLOOKUP(A36,Ficheiros!E:E,1,FALSE),"")=A36,"Sim","Não")</f>
        <v>Não</v>
      </c>
      <c r="AN36" s="1" t="str">
        <f>+IF(IFERROR(VLOOKUP(A36,Ficheiros!O:O,1,FALSE),"")=A36,"Sim","Não")</f>
        <v>Não</v>
      </c>
      <c r="AO36" s="1" t="str">
        <f>+IF(IFERROR(VLOOKUP(A36,'Especificação Novos Req. LT (2'!A:A,1,FALSE),"")=A36,"Sim","Não")</f>
        <v>Não</v>
      </c>
      <c r="AP36" s="1" t="str">
        <f>+IF(IFERROR(VLOOKUP(A36,Ficheiros!T:T,1,FALSE),"")=A36,"Sim","Não")</f>
        <v>Sim</v>
      </c>
      <c r="AQ36" s="1" t="e">
        <f>+VLOOKUP(A36,Ficheiros!O:P,2,FALSE)</f>
        <v>#N/A</v>
      </c>
      <c r="AR36" s="1" t="str">
        <f>+VLOOKUP(A36,Ficheiros!T:U,2,FALSE)</f>
        <v>2. Alterar especificação</v>
      </c>
      <c r="AS36" s="1" t="str">
        <f>+VLOOKUP(A36,Ficheiros!T:V,3,FALSE)</f>
        <v>LF</v>
      </c>
      <c r="AT36" s="1"/>
      <c r="AU36" s="1"/>
      <c r="AV36" s="1"/>
      <c r="AW36" s="1"/>
      <c r="AX36" s="1"/>
    </row>
    <row r="37" spans="1:50" ht="14.5" hidden="1" customHeight="1" x14ac:dyDescent="0.35">
      <c r="A37" s="5" t="str">
        <f t="shared" si="0"/>
        <v>ENTITYEXTRNL_RTNG_PRVS</v>
      </c>
      <c r="B37" s="1" t="s">
        <v>186</v>
      </c>
      <c r="C37" s="1" t="s">
        <v>35</v>
      </c>
      <c r="D37" s="1" t="s">
        <v>134</v>
      </c>
      <c r="E37" s="1" t="s">
        <v>37</v>
      </c>
      <c r="F37" s="25" t="s">
        <v>187</v>
      </c>
      <c r="G37" s="1" t="s">
        <v>187</v>
      </c>
      <c r="H37" s="1" t="s">
        <v>39</v>
      </c>
      <c r="I37" s="1" t="s">
        <v>39</v>
      </c>
      <c r="J37" s="1" t="s">
        <v>39</v>
      </c>
      <c r="K37" s="1" t="s">
        <v>39</v>
      </c>
      <c r="L37" s="1" t="s">
        <v>39</v>
      </c>
      <c r="M37" s="1" t="s">
        <v>39</v>
      </c>
      <c r="N37" s="1" t="s">
        <v>37</v>
      </c>
      <c r="O37" s="1"/>
      <c r="P37" s="1"/>
      <c r="Q37" s="1"/>
      <c r="R37" s="1" t="s">
        <v>136</v>
      </c>
      <c r="S37" s="1" t="s">
        <v>52</v>
      </c>
      <c r="T37" s="1">
        <v>99999999999</v>
      </c>
      <c r="U37" s="1">
        <v>11111111111</v>
      </c>
      <c r="V37" s="1">
        <v>11111111111</v>
      </c>
      <c r="W37" s="1" t="s">
        <v>188</v>
      </c>
      <c r="X37" s="1" t="s">
        <v>189</v>
      </c>
      <c r="Y37" s="1" t="s">
        <v>84</v>
      </c>
      <c r="Z37" s="1" t="s">
        <v>190</v>
      </c>
      <c r="AA37" s="1" t="s">
        <v>47</v>
      </c>
      <c r="AB37" s="1" t="s">
        <v>39</v>
      </c>
      <c r="AC37" s="1" t="s">
        <v>37</v>
      </c>
      <c r="AD37" s="1" t="s">
        <v>37</v>
      </c>
      <c r="AE37" s="1" t="s">
        <v>37</v>
      </c>
      <c r="AF37" s="1" t="s">
        <v>37</v>
      </c>
      <c r="AG37" s="1" t="s">
        <v>39</v>
      </c>
      <c r="AH37" s="1" t="s">
        <v>37</v>
      </c>
      <c r="AI37" s="1" t="s">
        <v>37</v>
      </c>
      <c r="AJ37" s="1" t="s">
        <v>39</v>
      </c>
      <c r="AK37" s="1" t="str">
        <f t="shared" si="1"/>
        <v>Fora de âmbito</v>
      </c>
      <c r="AL37" s="1" t="str">
        <f>+IF(IFERROR(VLOOKUP(A37,Ficheiros!I:I,1,FALSE),"")=A37,"Sim","Não")</f>
        <v>Sim</v>
      </c>
      <c r="AM37" s="1" t="str">
        <f>+IF(IFERROR(VLOOKUP(A37,Ficheiros!E:E,1,FALSE),"")=A37,"Sim","Não")</f>
        <v>Não</v>
      </c>
      <c r="AN37" s="1" t="str">
        <f>+IF(IFERROR(VLOOKUP(A37,Ficheiros!O:O,1,FALSE),"")=A37,"Sim","Não")</f>
        <v>Não</v>
      </c>
      <c r="AO37" s="1" t="str">
        <f>+IF(IFERROR(VLOOKUP(A37,'Especificação Novos Req. LT (2'!A:A,1,FALSE),"")=A37,"Sim","Não")</f>
        <v>Não</v>
      </c>
      <c r="AP37" s="1" t="str">
        <f>+IF(IFERROR(VLOOKUP(A37,Ficheiros!T:T,1,FALSE),"")=A37,"Sim","Não")</f>
        <v>Sim</v>
      </c>
      <c r="AQ37" s="1" t="e">
        <f>+VLOOKUP(A37,Ficheiros!O:P,2,FALSE)</f>
        <v>#N/A</v>
      </c>
      <c r="AR37" s="1" t="str">
        <f>+VLOOKUP(A37,Ficheiros!T:U,2,FALSE)</f>
        <v>2. Alterar especificação</v>
      </c>
      <c r="AS37" s="1" t="str">
        <f>+VLOOKUP(A37,Ficheiros!T:V,3,FALSE)</f>
        <v>LF</v>
      </c>
      <c r="AT37" s="1"/>
      <c r="AU37" s="1"/>
      <c r="AV37" s="1"/>
      <c r="AW37" s="1"/>
      <c r="AX37" s="1"/>
    </row>
    <row r="38" spans="1:50" ht="14.5" hidden="1" customHeight="1" x14ac:dyDescent="0.35">
      <c r="A38" s="5" t="str">
        <f t="shared" si="0"/>
        <v>ENTITYFLG_BNKRPTCY_IN_GRP</v>
      </c>
      <c r="B38" s="1" t="s">
        <v>191</v>
      </c>
      <c r="C38" s="1" t="s">
        <v>35</v>
      </c>
      <c r="D38" s="1" t="s">
        <v>134</v>
      </c>
      <c r="E38" s="1" t="s">
        <v>37</v>
      </c>
      <c r="F38" s="25" t="s">
        <v>192</v>
      </c>
      <c r="G38" s="1" t="s">
        <v>192</v>
      </c>
      <c r="H38" s="1" t="s">
        <v>37</v>
      </c>
      <c r="I38" s="1" t="s">
        <v>39</v>
      </c>
      <c r="J38" s="1" t="s">
        <v>39</v>
      </c>
      <c r="K38" s="1" t="s">
        <v>39</v>
      </c>
      <c r="L38" s="1" t="s">
        <v>39</v>
      </c>
      <c r="M38" s="1" t="s">
        <v>39</v>
      </c>
      <c r="N38" s="1" t="s">
        <v>37</v>
      </c>
      <c r="O38" s="1"/>
      <c r="P38" s="1"/>
      <c r="Q38" s="1"/>
      <c r="R38" s="1" t="s">
        <v>141</v>
      </c>
      <c r="S38" s="1" t="s">
        <v>142</v>
      </c>
      <c r="T38" s="1" t="s">
        <v>53</v>
      </c>
      <c r="U38" s="1" t="s">
        <v>46</v>
      </c>
      <c r="V38" s="1" t="s">
        <v>46</v>
      </c>
      <c r="W38" s="1" t="s">
        <v>193</v>
      </c>
      <c r="X38" s="1" t="s">
        <v>194</v>
      </c>
      <c r="Y38" s="1" t="s">
        <v>84</v>
      </c>
      <c r="Z38" s="1" t="s">
        <v>195</v>
      </c>
      <c r="AA38" s="1" t="s">
        <v>47</v>
      </c>
      <c r="AB38" s="1" t="s">
        <v>39</v>
      </c>
      <c r="AC38" s="1" t="s">
        <v>37</v>
      </c>
      <c r="AD38" s="1" t="s">
        <v>37</v>
      </c>
      <c r="AE38" s="1" t="s">
        <v>37</v>
      </c>
      <c r="AF38" s="1" t="s">
        <v>37</v>
      </c>
      <c r="AG38" s="1" t="s">
        <v>37</v>
      </c>
      <c r="AH38" s="1" t="s">
        <v>37</v>
      </c>
      <c r="AI38" s="1" t="s">
        <v>37</v>
      </c>
      <c r="AJ38" s="1" t="s">
        <v>39</v>
      </c>
      <c r="AK38" s="1" t="str">
        <f t="shared" si="1"/>
        <v>Fora de âmbito</v>
      </c>
      <c r="AL38" s="1" t="str">
        <f>+IF(IFERROR(VLOOKUP(A38,Ficheiros!I:I,1,FALSE),"")=A38,"Sim","Não")</f>
        <v>Sim</v>
      </c>
      <c r="AM38" s="1" t="str">
        <f>+IF(IFERROR(VLOOKUP(A38,Ficheiros!E:E,1,FALSE),"")=A38,"Sim","Não")</f>
        <v>Não</v>
      </c>
      <c r="AN38" s="1" t="str">
        <f>+IF(IFERROR(VLOOKUP(A38,Ficheiros!O:O,1,FALSE),"")=A38,"Sim","Não")</f>
        <v>Não</v>
      </c>
      <c r="AO38" s="1" t="str">
        <f>+IF(IFERROR(VLOOKUP(A38,'Especificação Novos Req. LT (2'!A:A,1,FALSE),"")=A38,"Sim","Não")</f>
        <v>Não</v>
      </c>
      <c r="AP38" s="1" t="str">
        <f>+IF(IFERROR(VLOOKUP(A38,Ficheiros!T:T,1,FALSE),"")=A38,"Sim","Não")</f>
        <v>Sim</v>
      </c>
      <c r="AQ38" s="1" t="e">
        <f>+VLOOKUP(A38,Ficheiros!O:P,2,FALSE)</f>
        <v>#N/A</v>
      </c>
      <c r="AR38" s="1" t="str">
        <f>+VLOOKUP(A38,Ficheiros!T:U,2,FALSE)</f>
        <v>9. Concluído</v>
      </c>
      <c r="AS38" s="1" t="str">
        <f>+VLOOKUP(A38,Ficheiros!T:V,3,FALSE)</f>
        <v>PM</v>
      </c>
      <c r="AT38" s="1"/>
      <c r="AU38" s="1"/>
      <c r="AV38" s="1"/>
      <c r="AW38" s="1"/>
      <c r="AX38" s="1"/>
    </row>
    <row r="39" spans="1:50" ht="14.5" hidden="1" customHeight="1" x14ac:dyDescent="0.35">
      <c r="A39" s="5" t="str">
        <f t="shared" si="0"/>
        <v>ENTITYFLG_HGH_CDS</v>
      </c>
      <c r="B39" s="1" t="s">
        <v>196</v>
      </c>
      <c r="C39" s="1" t="s">
        <v>35</v>
      </c>
      <c r="D39" s="1" t="s">
        <v>134</v>
      </c>
      <c r="E39" s="1" t="s">
        <v>37</v>
      </c>
      <c r="F39" s="25" t="s">
        <v>197</v>
      </c>
      <c r="G39" s="1" t="s">
        <v>197</v>
      </c>
      <c r="H39" s="1" t="s">
        <v>39</v>
      </c>
      <c r="I39" s="1" t="s">
        <v>39</v>
      </c>
      <c r="J39" s="1" t="s">
        <v>39</v>
      </c>
      <c r="K39" s="1" t="s">
        <v>39</v>
      </c>
      <c r="L39" s="1" t="s">
        <v>39</v>
      </c>
      <c r="M39" s="1" t="s">
        <v>39</v>
      </c>
      <c r="N39" s="1" t="s">
        <v>37</v>
      </c>
      <c r="O39" s="1"/>
      <c r="P39" s="1"/>
      <c r="Q39" s="1"/>
      <c r="R39" s="1" t="s">
        <v>141</v>
      </c>
      <c r="S39" s="1" t="s">
        <v>142</v>
      </c>
      <c r="T39" s="1" t="s">
        <v>53</v>
      </c>
      <c r="U39" s="1" t="s">
        <v>46</v>
      </c>
      <c r="V39" s="1" t="s">
        <v>46</v>
      </c>
      <c r="W39" s="1" t="s">
        <v>198</v>
      </c>
      <c r="X39" s="1" t="s">
        <v>199</v>
      </c>
      <c r="Y39" s="1" t="s">
        <v>45</v>
      </c>
      <c r="Z39" s="1" t="s">
        <v>46</v>
      </c>
      <c r="AA39" s="1" t="s">
        <v>47</v>
      </c>
      <c r="AB39" s="1" t="s">
        <v>39</v>
      </c>
      <c r="AC39" s="1" t="s">
        <v>37</v>
      </c>
      <c r="AD39" s="1" t="s">
        <v>37</v>
      </c>
      <c r="AE39" s="1" t="s">
        <v>37</v>
      </c>
      <c r="AF39" s="1" t="s">
        <v>37</v>
      </c>
      <c r="AG39" s="1" t="s">
        <v>37</v>
      </c>
      <c r="AH39" s="1" t="s">
        <v>37</v>
      </c>
      <c r="AI39" s="1" t="s">
        <v>37</v>
      </c>
      <c r="AJ39" s="1" t="s">
        <v>39</v>
      </c>
      <c r="AK39" s="1" t="str">
        <f t="shared" si="1"/>
        <v>Fora de âmbito</v>
      </c>
      <c r="AL39" s="1" t="str">
        <f>+IF(IFERROR(VLOOKUP(A39,Ficheiros!I:I,1,FALSE),"")=A39,"Sim","Não")</f>
        <v>Sim</v>
      </c>
      <c r="AM39" s="1" t="str">
        <f>+IF(IFERROR(VLOOKUP(A39,Ficheiros!E:E,1,FALSE),"")=A39,"Sim","Não")</f>
        <v>Não</v>
      </c>
      <c r="AN39" s="1" t="str">
        <f>+IF(IFERROR(VLOOKUP(A39,Ficheiros!O:O,1,FALSE),"")=A39,"Sim","Não")</f>
        <v>Não</v>
      </c>
      <c r="AO39" s="1" t="str">
        <f>+IF(IFERROR(VLOOKUP(A39,'Especificação Novos Req. LT (2'!A:A,1,FALSE),"")=A39,"Sim","Não")</f>
        <v>Não</v>
      </c>
      <c r="AP39" s="1" t="str">
        <f>+IF(IFERROR(VLOOKUP(A39,Ficheiros!T:T,1,FALSE),"")=A39,"Sim","Não")</f>
        <v>Sim</v>
      </c>
      <c r="AQ39" s="1" t="e">
        <f>+VLOOKUP(A39,Ficheiros!O:P,2,FALSE)</f>
        <v>#N/A</v>
      </c>
      <c r="AR39" s="1" t="str">
        <f>+VLOOKUP(A39,Ficheiros!T:U,2,FALSE)</f>
        <v>9. Concluído</v>
      </c>
      <c r="AS39" s="1" t="str">
        <f>+VLOOKUP(A39,Ficheiros!T:V,3,FALSE)</f>
        <v>PM</v>
      </c>
      <c r="AT39" s="1"/>
      <c r="AU39" s="1"/>
      <c r="AV39" s="1"/>
      <c r="AW39" s="1"/>
      <c r="AX39" s="1"/>
    </row>
    <row r="40" spans="1:50" ht="14.5" hidden="1" customHeight="1" x14ac:dyDescent="0.35">
      <c r="A40" s="5" t="str">
        <f t="shared" si="0"/>
        <v>ENTITYFLG_ISDA_CRDT_EVNT</v>
      </c>
      <c r="B40" s="1" t="s">
        <v>200</v>
      </c>
      <c r="C40" s="1" t="s">
        <v>35</v>
      </c>
      <c r="D40" s="1" t="s">
        <v>134</v>
      </c>
      <c r="E40" s="1" t="s">
        <v>37</v>
      </c>
      <c r="F40" s="25" t="s">
        <v>201</v>
      </c>
      <c r="G40" s="1" t="s">
        <v>201</v>
      </c>
      <c r="H40" s="1" t="s">
        <v>39</v>
      </c>
      <c r="I40" s="1" t="s">
        <v>39</v>
      </c>
      <c r="J40" s="1" t="s">
        <v>39</v>
      </c>
      <c r="K40" s="1" t="s">
        <v>39</v>
      </c>
      <c r="L40" s="1" t="s">
        <v>39</v>
      </c>
      <c r="M40" s="1" t="s">
        <v>39</v>
      </c>
      <c r="N40" s="1" t="s">
        <v>37</v>
      </c>
      <c r="O40" s="1"/>
      <c r="P40" s="1"/>
      <c r="Q40" s="1"/>
      <c r="R40" s="1" t="s">
        <v>141</v>
      </c>
      <c r="S40" s="1" t="s">
        <v>142</v>
      </c>
      <c r="T40" s="1" t="s">
        <v>53</v>
      </c>
      <c r="U40" s="1" t="s">
        <v>46</v>
      </c>
      <c r="V40" s="1" t="s">
        <v>46</v>
      </c>
      <c r="W40" s="1" t="s">
        <v>202</v>
      </c>
      <c r="X40" s="1" t="s">
        <v>203</v>
      </c>
      <c r="Y40" s="1" t="s">
        <v>45</v>
      </c>
      <c r="Z40" s="1" t="s">
        <v>46</v>
      </c>
      <c r="AA40" s="1" t="s">
        <v>47</v>
      </c>
      <c r="AB40" s="1" t="s">
        <v>39</v>
      </c>
      <c r="AC40" s="1" t="s">
        <v>37</v>
      </c>
      <c r="AD40" s="1" t="s">
        <v>37</v>
      </c>
      <c r="AE40" s="1" t="s">
        <v>37</v>
      </c>
      <c r="AF40" s="1" t="s">
        <v>37</v>
      </c>
      <c r="AG40" s="1" t="s">
        <v>37</v>
      </c>
      <c r="AH40" s="1" t="s">
        <v>37</v>
      </c>
      <c r="AI40" s="1" t="s">
        <v>37</v>
      </c>
      <c r="AJ40" s="1" t="s">
        <v>39</v>
      </c>
      <c r="AK40" s="1" t="str">
        <f t="shared" si="1"/>
        <v>Fora de âmbito</v>
      </c>
      <c r="AL40" s="1" t="str">
        <f>+IF(IFERROR(VLOOKUP(A40,Ficheiros!I:I,1,FALSE),"")=A40,"Sim","Não")</f>
        <v>Sim</v>
      </c>
      <c r="AM40" s="1" t="str">
        <f>+IF(IFERROR(VLOOKUP(A40,Ficheiros!E:E,1,FALSE),"")=A40,"Sim","Não")</f>
        <v>Não</v>
      </c>
      <c r="AN40" s="1" t="str">
        <f>+IF(IFERROR(VLOOKUP(A40,Ficheiros!O:O,1,FALSE),"")=A40,"Sim","Não")</f>
        <v>Não</v>
      </c>
      <c r="AO40" s="1" t="str">
        <f>+IF(IFERROR(VLOOKUP(A40,'Especificação Novos Req. LT (2'!A:A,1,FALSE),"")=A40,"Sim","Não")</f>
        <v>Não</v>
      </c>
      <c r="AP40" s="1" t="str">
        <f>+IF(IFERROR(VLOOKUP(A40,Ficheiros!T:T,1,FALSE),"")=A40,"Sim","Não")</f>
        <v>Sim</v>
      </c>
      <c r="AQ40" s="1" t="e">
        <f>+VLOOKUP(A40,Ficheiros!O:P,2,FALSE)</f>
        <v>#N/A</v>
      </c>
      <c r="AR40" s="1" t="str">
        <f>+VLOOKUP(A40,Ficheiros!T:U,2,FALSE)</f>
        <v>9. Concluído</v>
      </c>
      <c r="AS40" s="1" t="str">
        <f>+VLOOKUP(A40,Ficheiros!T:V,3,FALSE)</f>
        <v>PM</v>
      </c>
      <c r="AT40" s="1"/>
      <c r="AU40" s="1"/>
      <c r="AV40" s="1"/>
      <c r="AW40" s="1"/>
      <c r="AX40" s="1"/>
    </row>
    <row r="41" spans="1:50" ht="14.5" hidden="1" customHeight="1" x14ac:dyDescent="0.35">
      <c r="A41" s="5" t="str">
        <f t="shared" si="0"/>
        <v>ENTITYFLG_NN_ACCRL</v>
      </c>
      <c r="B41" s="1" t="s">
        <v>204</v>
      </c>
      <c r="C41" s="1" t="s">
        <v>35</v>
      </c>
      <c r="D41" s="1" t="s">
        <v>134</v>
      </c>
      <c r="E41" s="1" t="s">
        <v>37</v>
      </c>
      <c r="F41" s="25" t="s">
        <v>205</v>
      </c>
      <c r="G41" s="1" t="s">
        <v>205</v>
      </c>
      <c r="H41" s="1" t="s">
        <v>37</v>
      </c>
      <c r="I41" s="1" t="s">
        <v>37</v>
      </c>
      <c r="J41" s="1" t="s">
        <v>37</v>
      </c>
      <c r="K41" s="1" t="s">
        <v>37</v>
      </c>
      <c r="L41" s="1" t="s">
        <v>37</v>
      </c>
      <c r="M41" s="1" t="s">
        <v>39</v>
      </c>
      <c r="N41" s="1" t="s">
        <v>39</v>
      </c>
      <c r="O41" s="1"/>
      <c r="P41" s="1"/>
      <c r="Q41" s="1"/>
      <c r="R41" s="1" t="s">
        <v>141</v>
      </c>
      <c r="S41" s="1" t="s">
        <v>142</v>
      </c>
      <c r="T41" s="1" t="s">
        <v>53</v>
      </c>
      <c r="U41" s="1" t="s">
        <v>46</v>
      </c>
      <c r="V41" s="1" t="s">
        <v>46</v>
      </c>
      <c r="W41" s="1" t="s">
        <v>206</v>
      </c>
      <c r="X41" s="1" t="s">
        <v>207</v>
      </c>
      <c r="Y41" s="1" t="s">
        <v>45</v>
      </c>
      <c r="Z41" s="1" t="s">
        <v>46</v>
      </c>
      <c r="AA41" s="1" t="s">
        <v>47</v>
      </c>
      <c r="AB41" s="1" t="s">
        <v>39</v>
      </c>
      <c r="AC41" s="1" t="s">
        <v>37</v>
      </c>
      <c r="AD41" s="1" t="s">
        <v>37</v>
      </c>
      <c r="AE41" s="1" t="s">
        <v>37</v>
      </c>
      <c r="AF41" s="1" t="s">
        <v>37</v>
      </c>
      <c r="AG41" s="1" t="s">
        <v>37</v>
      </c>
      <c r="AH41" s="1" t="s">
        <v>37</v>
      </c>
      <c r="AI41" s="1" t="s">
        <v>37</v>
      </c>
      <c r="AJ41" s="1" t="s">
        <v>39</v>
      </c>
      <c r="AK41" s="1" t="str">
        <f t="shared" si="1"/>
        <v>Fora de âmbito</v>
      </c>
      <c r="AL41" s="1" t="str">
        <f>+IF(IFERROR(VLOOKUP(A41,Ficheiros!I:I,1,FALSE),"")=A41,"Sim","Não")</f>
        <v>Sim</v>
      </c>
      <c r="AM41" s="1" t="str">
        <f>+IF(IFERROR(VLOOKUP(A41,Ficheiros!E:E,1,FALSE),"")=A41,"Sim","Não")</f>
        <v>Não</v>
      </c>
      <c r="AN41" s="1" t="str">
        <f>+IF(IFERROR(VLOOKUP(A41,Ficheiros!O:O,1,FALSE),"")=A41,"Sim","Não")</f>
        <v>Não</v>
      </c>
      <c r="AO41" s="1" t="str">
        <f>+IF(IFERROR(VLOOKUP(A41,'Especificação Novos Req. LT (2'!A:A,1,FALSE),"")=A41,"Sim","Não")</f>
        <v>Não</v>
      </c>
      <c r="AP41" s="1" t="str">
        <f>+IF(IFERROR(VLOOKUP(A41,Ficheiros!T:T,1,FALSE),"")=A41,"Sim","Não")</f>
        <v>Sim</v>
      </c>
      <c r="AQ41" s="1" t="e">
        <f>+VLOOKUP(A41,Ficheiros!O:P,2,FALSE)</f>
        <v>#N/A</v>
      </c>
      <c r="AR41" s="1" t="str">
        <f>+VLOOKUP(A41,Ficheiros!T:U,2,FALSE)</f>
        <v>9. Concluído</v>
      </c>
      <c r="AS41" s="1" t="str">
        <f>+VLOOKUP(A41,Ficheiros!T:V,3,FALSE)</f>
        <v>PM</v>
      </c>
      <c r="AT41" s="1"/>
      <c r="AU41" s="1"/>
      <c r="AV41" s="1"/>
      <c r="AW41" s="1"/>
      <c r="AX41" s="1"/>
    </row>
    <row r="42" spans="1:50" ht="14.5" hidden="1" customHeight="1" x14ac:dyDescent="0.35">
      <c r="A42" s="5" t="str">
        <f t="shared" si="0"/>
        <v>ENTITYFLG_RQST_BNKRPTCY</v>
      </c>
      <c r="B42" s="1" t="s">
        <v>208</v>
      </c>
      <c r="C42" s="1" t="s">
        <v>35</v>
      </c>
      <c r="D42" s="1" t="s">
        <v>134</v>
      </c>
      <c r="E42" s="1" t="s">
        <v>37</v>
      </c>
      <c r="F42" s="25" t="s">
        <v>209</v>
      </c>
      <c r="G42" s="1" t="s">
        <v>209</v>
      </c>
      <c r="H42" s="1" t="s">
        <v>37</v>
      </c>
      <c r="I42" s="1" t="s">
        <v>39</v>
      </c>
      <c r="J42" s="1" t="s">
        <v>39</v>
      </c>
      <c r="K42" s="1" t="s">
        <v>39</v>
      </c>
      <c r="L42" s="1" t="s">
        <v>39</v>
      </c>
      <c r="M42" s="1" t="s">
        <v>39</v>
      </c>
      <c r="N42" s="1" t="s">
        <v>37</v>
      </c>
      <c r="O42" s="1"/>
      <c r="P42" s="1"/>
      <c r="Q42" s="1"/>
      <c r="R42" s="1" t="s">
        <v>141</v>
      </c>
      <c r="S42" s="1" t="s">
        <v>142</v>
      </c>
      <c r="T42" s="1" t="s">
        <v>53</v>
      </c>
      <c r="U42" s="1" t="s">
        <v>46</v>
      </c>
      <c r="V42" s="1" t="s">
        <v>46</v>
      </c>
      <c r="W42" s="1" t="s">
        <v>210</v>
      </c>
      <c r="X42" s="1" t="s">
        <v>211</v>
      </c>
      <c r="Y42" s="1" t="s">
        <v>45</v>
      </c>
      <c r="Z42" s="1" t="s">
        <v>46</v>
      </c>
      <c r="AA42" s="1" t="s">
        <v>47</v>
      </c>
      <c r="AB42" s="1" t="s">
        <v>39</v>
      </c>
      <c r="AC42" s="1" t="s">
        <v>37</v>
      </c>
      <c r="AD42" s="1" t="s">
        <v>37</v>
      </c>
      <c r="AE42" s="1" t="s">
        <v>37</v>
      </c>
      <c r="AF42" s="1" t="s">
        <v>37</v>
      </c>
      <c r="AG42" s="1" t="s">
        <v>37</v>
      </c>
      <c r="AH42" s="1" t="s">
        <v>37</v>
      </c>
      <c r="AI42" s="1" t="s">
        <v>37</v>
      </c>
      <c r="AJ42" s="1" t="s">
        <v>39</v>
      </c>
      <c r="AK42" s="1" t="str">
        <f t="shared" si="1"/>
        <v>Fora de âmbito</v>
      </c>
      <c r="AL42" s="1" t="str">
        <f>+IF(IFERROR(VLOOKUP(A42,Ficheiros!I:I,1,FALSE),"")=A42,"Sim","Não")</f>
        <v>Sim</v>
      </c>
      <c r="AM42" s="1" t="str">
        <f>+IF(IFERROR(VLOOKUP(A42,Ficheiros!E:E,1,FALSE),"")=A42,"Sim","Não")</f>
        <v>Não</v>
      </c>
      <c r="AN42" s="1" t="str">
        <f>+IF(IFERROR(VLOOKUP(A42,Ficheiros!O:O,1,FALSE),"")=A42,"Sim","Não")</f>
        <v>Não</v>
      </c>
      <c r="AO42" s="1" t="str">
        <f>+IF(IFERROR(VLOOKUP(A42,'Especificação Novos Req. LT (2'!A:A,1,FALSE),"")=A42,"Sim","Não")</f>
        <v>Não</v>
      </c>
      <c r="AP42" s="1" t="str">
        <f>+IF(IFERROR(VLOOKUP(A42,Ficheiros!T:T,1,FALSE),"")=A42,"Sim","Não")</f>
        <v>Sim</v>
      </c>
      <c r="AQ42" s="1" t="e">
        <f>+VLOOKUP(A42,Ficheiros!O:P,2,FALSE)</f>
        <v>#N/A</v>
      </c>
      <c r="AR42" s="1" t="str">
        <f>+VLOOKUP(A42,Ficheiros!T:U,2,FALSE)</f>
        <v>9. Concluído</v>
      </c>
      <c r="AS42" s="1" t="str">
        <f>+VLOOKUP(A42,Ficheiros!T:V,3,FALSE)</f>
        <v>PM</v>
      </c>
      <c r="AT42" s="1"/>
      <c r="AU42" s="1"/>
      <c r="AV42" s="1"/>
      <c r="AW42" s="1"/>
      <c r="AX42" s="1"/>
    </row>
    <row r="43" spans="1:50" ht="14.5" hidden="1" customHeight="1" x14ac:dyDescent="0.35">
      <c r="A43" s="5" t="str">
        <f t="shared" si="0"/>
        <v>ENTITYFLG_RQST_DSTRSSD_RSTRCTRNG</v>
      </c>
      <c r="B43" s="1" t="s">
        <v>212</v>
      </c>
      <c r="C43" s="1" t="s">
        <v>35</v>
      </c>
      <c r="D43" s="1" t="s">
        <v>134</v>
      </c>
      <c r="E43" s="1" t="s">
        <v>37</v>
      </c>
      <c r="F43" s="25" t="s">
        <v>213</v>
      </c>
      <c r="G43" s="1" t="s">
        <v>213</v>
      </c>
      <c r="H43" s="1" t="s">
        <v>37</v>
      </c>
      <c r="I43" s="1" t="s">
        <v>37</v>
      </c>
      <c r="J43" s="1" t="s">
        <v>37</v>
      </c>
      <c r="K43" s="1" t="s">
        <v>37</v>
      </c>
      <c r="L43" s="1" t="s">
        <v>37</v>
      </c>
      <c r="M43" s="1" t="s">
        <v>39</v>
      </c>
      <c r="N43" s="1" t="s">
        <v>39</v>
      </c>
      <c r="O43" s="1"/>
      <c r="P43" s="1"/>
      <c r="Q43" s="1"/>
      <c r="R43" s="1" t="s">
        <v>141</v>
      </c>
      <c r="S43" s="1" t="s">
        <v>142</v>
      </c>
      <c r="T43" s="1" t="s">
        <v>53</v>
      </c>
      <c r="U43" s="1" t="s">
        <v>46</v>
      </c>
      <c r="V43" s="1" t="s">
        <v>46</v>
      </c>
      <c r="W43" s="1" t="s">
        <v>214</v>
      </c>
      <c r="X43" s="1" t="s">
        <v>215</v>
      </c>
      <c r="Y43" s="1" t="s">
        <v>45</v>
      </c>
      <c r="Z43" s="1" t="s">
        <v>46</v>
      </c>
      <c r="AA43" s="1" t="s">
        <v>47</v>
      </c>
      <c r="AB43" s="1" t="s">
        <v>39</v>
      </c>
      <c r="AC43" s="1" t="s">
        <v>37</v>
      </c>
      <c r="AD43" s="1" t="s">
        <v>37</v>
      </c>
      <c r="AE43" s="1" t="s">
        <v>37</v>
      </c>
      <c r="AF43" s="1" t="s">
        <v>37</v>
      </c>
      <c r="AG43" s="1" t="s">
        <v>37</v>
      </c>
      <c r="AH43" s="1" t="s">
        <v>37</v>
      </c>
      <c r="AI43" s="1" t="s">
        <v>37</v>
      </c>
      <c r="AJ43" s="1" t="s">
        <v>39</v>
      </c>
      <c r="AK43" s="1" t="str">
        <f t="shared" si="1"/>
        <v>Fora de âmbito</v>
      </c>
      <c r="AL43" s="1" t="str">
        <f>+IF(IFERROR(VLOOKUP(A43,Ficheiros!I:I,1,FALSE),"")=A43,"Sim","Não")</f>
        <v>Sim</v>
      </c>
      <c r="AM43" s="1" t="str">
        <f>+IF(IFERROR(VLOOKUP(A43,Ficheiros!E:E,1,FALSE),"")=A43,"Sim","Não")</f>
        <v>Não</v>
      </c>
      <c r="AN43" s="1" t="str">
        <f>+IF(IFERROR(VLOOKUP(A43,Ficheiros!O:O,1,FALSE),"")=A43,"Sim","Não")</f>
        <v>Não</v>
      </c>
      <c r="AO43" s="1" t="str">
        <f>+IF(IFERROR(VLOOKUP(A43,'Especificação Novos Req. LT (2'!A:A,1,FALSE),"")=A43,"Sim","Não")</f>
        <v>Não</v>
      </c>
      <c r="AP43" s="1" t="str">
        <f>+IF(IFERROR(VLOOKUP(A43,Ficheiros!T:T,1,FALSE),"")=A43,"Sim","Não")</f>
        <v>Sim</v>
      </c>
      <c r="AQ43" s="1" t="e">
        <f>+VLOOKUP(A43,Ficheiros!O:P,2,FALSE)</f>
        <v>#N/A</v>
      </c>
      <c r="AR43" s="1" t="str">
        <f>+VLOOKUP(A43,Ficheiros!T:U,2,FALSE)</f>
        <v>1. Especificar</v>
      </c>
      <c r="AS43" s="1" t="str">
        <f>+VLOOKUP(A43,Ficheiros!T:V,3,FALSE)</f>
        <v>PM</v>
      </c>
      <c r="AT43" s="1"/>
      <c r="AU43" s="1"/>
      <c r="AV43" s="1"/>
      <c r="AW43" s="1"/>
      <c r="AX43" s="1"/>
    </row>
    <row r="44" spans="1:50" ht="14.5" hidden="1" customHeight="1" x14ac:dyDescent="0.35">
      <c r="A44" s="5" t="str">
        <f t="shared" si="0"/>
        <v>ENTITYFLG_RQST_EMRGNCY_FNDNG</v>
      </c>
      <c r="B44" s="1" t="s">
        <v>216</v>
      </c>
      <c r="C44" s="1" t="s">
        <v>35</v>
      </c>
      <c r="D44" s="1" t="s">
        <v>134</v>
      </c>
      <c r="E44" s="1" t="s">
        <v>37</v>
      </c>
      <c r="F44" s="26" t="s">
        <v>217</v>
      </c>
      <c r="G44" s="1" t="s">
        <v>217</v>
      </c>
      <c r="H44" s="1" t="s">
        <v>37</v>
      </c>
      <c r="I44" s="1" t="s">
        <v>37</v>
      </c>
      <c r="J44" s="1" t="s">
        <v>37</v>
      </c>
      <c r="K44" s="1" t="s">
        <v>37</v>
      </c>
      <c r="L44" s="1" t="s">
        <v>39</v>
      </c>
      <c r="M44" s="1" t="s">
        <v>39</v>
      </c>
      <c r="N44" s="1" t="s">
        <v>39</v>
      </c>
      <c r="O44" s="1"/>
      <c r="P44" s="1"/>
      <c r="Q44" s="1"/>
      <c r="R44" s="1" t="s">
        <v>141</v>
      </c>
      <c r="S44" s="1" t="s">
        <v>142</v>
      </c>
      <c r="T44" s="1" t="s">
        <v>53</v>
      </c>
      <c r="U44" s="1" t="s">
        <v>42</v>
      </c>
      <c r="V44" s="1" t="s">
        <v>46</v>
      </c>
      <c r="W44" s="1" t="s">
        <v>218</v>
      </c>
      <c r="X44" s="1" t="s">
        <v>219</v>
      </c>
      <c r="Y44" s="1" t="s">
        <v>45</v>
      </c>
      <c r="Z44" s="1" t="s">
        <v>46</v>
      </c>
      <c r="AA44" s="1" t="s">
        <v>47</v>
      </c>
      <c r="AB44" s="1" t="s">
        <v>39</v>
      </c>
      <c r="AC44" s="1" t="s">
        <v>37</v>
      </c>
      <c r="AD44" s="1" t="s">
        <v>37</v>
      </c>
      <c r="AE44" s="1" t="s">
        <v>37</v>
      </c>
      <c r="AF44" s="1" t="s">
        <v>37</v>
      </c>
      <c r="AG44" s="1" t="s">
        <v>39</v>
      </c>
      <c r="AH44" s="1" t="s">
        <v>37</v>
      </c>
      <c r="AI44" s="1" t="s">
        <v>37</v>
      </c>
      <c r="AJ44" s="1" t="s">
        <v>39</v>
      </c>
      <c r="AK44" s="1" t="str">
        <f t="shared" si="1"/>
        <v>Fora de âmbito</v>
      </c>
      <c r="AL44" s="1" t="str">
        <f>+IF(IFERROR(VLOOKUP(A44,Ficheiros!I:I,1,FALSE),"")=A44,"Sim","Não")</f>
        <v>Sim</v>
      </c>
      <c r="AM44" s="1" t="str">
        <f>+IF(IFERROR(VLOOKUP(A44,Ficheiros!E:E,1,FALSE),"")=A44,"Sim","Não")</f>
        <v>Não</v>
      </c>
      <c r="AN44" s="1" t="str">
        <f>+IF(IFERROR(VLOOKUP(A44,Ficheiros!O:O,1,FALSE),"")=A44,"Sim","Não")</f>
        <v>Não</v>
      </c>
      <c r="AO44" s="1" t="str">
        <f>+IF(IFERROR(VLOOKUP(A44,'Especificação Novos Req. LT (2'!A:A,1,FALSE),"")=A44,"Sim","Não")</f>
        <v>Não</v>
      </c>
      <c r="AP44" s="1" t="str">
        <f>+IF(IFERROR(VLOOKUP(A44,Ficheiros!T:T,1,FALSE),"")=A44,"Sim","Não")</f>
        <v>Sim</v>
      </c>
      <c r="AQ44" s="1" t="e">
        <f>+VLOOKUP(A44,Ficheiros!O:P,2,FALSE)</f>
        <v>#N/A</v>
      </c>
      <c r="AR44" s="1" t="str">
        <f>+VLOOKUP(A44,Ficheiros!T:U,2,FALSE)</f>
        <v>9. Concluído</v>
      </c>
      <c r="AS44" s="1" t="str">
        <f>+VLOOKUP(A44,Ficheiros!T:V,3,FALSE)</f>
        <v>PM</v>
      </c>
      <c r="AT44" s="1"/>
      <c r="AU44" s="1"/>
      <c r="AV44" s="1"/>
      <c r="AW44" s="1"/>
      <c r="AX44" s="1"/>
    </row>
    <row r="45" spans="1:50" ht="14.5" hidden="1" customHeight="1" x14ac:dyDescent="0.35">
      <c r="A45" s="5" t="str">
        <f t="shared" si="0"/>
        <v>ENTITYFLG_SLL_WTH_LSS</v>
      </c>
      <c r="B45" s="1" t="s">
        <v>220</v>
      </c>
      <c r="C45" s="1" t="s">
        <v>35</v>
      </c>
      <c r="D45" s="1" t="s">
        <v>134</v>
      </c>
      <c r="E45" s="1" t="s">
        <v>37</v>
      </c>
      <c r="F45" s="25" t="s">
        <v>221</v>
      </c>
      <c r="G45" s="1" t="s">
        <v>221</v>
      </c>
      <c r="H45" s="1" t="s">
        <v>37</v>
      </c>
      <c r="I45" s="1" t="s">
        <v>39</v>
      </c>
      <c r="J45" s="1" t="s">
        <v>39</v>
      </c>
      <c r="K45" s="1" t="s">
        <v>39</v>
      </c>
      <c r="L45" s="1" t="s">
        <v>39</v>
      </c>
      <c r="M45" s="1" t="s">
        <v>39</v>
      </c>
      <c r="N45" s="1" t="s">
        <v>37</v>
      </c>
      <c r="O45" s="1"/>
      <c r="P45" s="1"/>
      <c r="Q45" s="1"/>
      <c r="R45" s="1" t="s">
        <v>141</v>
      </c>
      <c r="S45" s="1" t="s">
        <v>142</v>
      </c>
      <c r="T45" s="1" t="s">
        <v>53</v>
      </c>
      <c r="U45" s="1" t="s">
        <v>46</v>
      </c>
      <c r="V45" s="1" t="s">
        <v>46</v>
      </c>
      <c r="W45" s="1" t="s">
        <v>222</v>
      </c>
      <c r="X45" s="1" t="s">
        <v>223</v>
      </c>
      <c r="Y45" s="1" t="s">
        <v>84</v>
      </c>
      <c r="Z45" s="1" t="s">
        <v>224</v>
      </c>
      <c r="AA45" s="1" t="s">
        <v>47</v>
      </c>
      <c r="AB45" s="1" t="s">
        <v>39</v>
      </c>
      <c r="AC45" s="1" t="s">
        <v>37</v>
      </c>
      <c r="AD45" s="1" t="s">
        <v>37</v>
      </c>
      <c r="AE45" s="1" t="s">
        <v>37</v>
      </c>
      <c r="AF45" s="1" t="s">
        <v>37</v>
      </c>
      <c r="AG45" s="1" t="s">
        <v>37</v>
      </c>
      <c r="AH45" s="1" t="s">
        <v>37</v>
      </c>
      <c r="AI45" s="1" t="s">
        <v>37</v>
      </c>
      <c r="AJ45" s="1" t="s">
        <v>39</v>
      </c>
      <c r="AK45" s="1" t="str">
        <f t="shared" si="1"/>
        <v>Fora de âmbito</v>
      </c>
      <c r="AL45" s="1" t="str">
        <f>+IF(IFERROR(VLOOKUP(A45,Ficheiros!I:I,1,FALSE),"")=A45,"Sim","Não")</f>
        <v>Sim</v>
      </c>
      <c r="AM45" s="1" t="str">
        <f>+IF(IFERROR(VLOOKUP(A45,Ficheiros!E:E,1,FALSE),"")=A45,"Sim","Não")</f>
        <v>Não</v>
      </c>
      <c r="AN45" s="1" t="str">
        <f>+IF(IFERROR(VLOOKUP(A45,Ficheiros!O:O,1,FALSE),"")=A45,"Sim","Não")</f>
        <v>Não</v>
      </c>
      <c r="AO45" s="1" t="str">
        <f>+IF(IFERROR(VLOOKUP(A45,'Especificação Novos Req. LT (2'!A:A,1,FALSE),"")=A45,"Sim","Não")</f>
        <v>Não</v>
      </c>
      <c r="AP45" s="1" t="str">
        <f>+IF(IFERROR(VLOOKUP(A45,Ficheiros!T:T,1,FALSE),"")=A45,"Sim","Não")</f>
        <v>Sim</v>
      </c>
      <c r="AQ45" s="1" t="e">
        <f>+VLOOKUP(A45,Ficheiros!O:P,2,FALSE)</f>
        <v>#N/A</v>
      </c>
      <c r="AR45" s="1" t="str">
        <f>+VLOOKUP(A45,Ficheiros!T:U,2,FALSE)</f>
        <v>9. Concluído</v>
      </c>
      <c r="AS45" s="1" t="str">
        <f>+VLOOKUP(A45,Ficheiros!T:V,3,FALSE)</f>
        <v>PM</v>
      </c>
      <c r="AT45" s="1"/>
      <c r="AU45" s="1"/>
      <c r="AV45" s="1"/>
      <c r="AW45" s="1"/>
      <c r="AX45" s="1"/>
    </row>
    <row r="46" spans="1:50" ht="14.5" hidden="1" customHeight="1" x14ac:dyDescent="0.35">
      <c r="A46" s="5" t="str">
        <f t="shared" si="0"/>
        <v>ENTITYINCM_SC</v>
      </c>
      <c r="B46" s="1" t="s">
        <v>225</v>
      </c>
      <c r="C46" s="1" t="s">
        <v>35</v>
      </c>
      <c r="D46" s="1" t="s">
        <v>134</v>
      </c>
      <c r="E46" s="1" t="s">
        <v>37</v>
      </c>
      <c r="F46" s="25" t="s">
        <v>226</v>
      </c>
      <c r="G46" s="1" t="s">
        <v>226</v>
      </c>
      <c r="H46" s="1" t="s">
        <v>37</v>
      </c>
      <c r="I46" s="1" t="s">
        <v>37</v>
      </c>
      <c r="J46" s="1" t="s">
        <v>37</v>
      </c>
      <c r="K46" s="1" t="s">
        <v>37</v>
      </c>
      <c r="L46" s="1" t="s">
        <v>37</v>
      </c>
      <c r="M46" s="1" t="s">
        <v>37</v>
      </c>
      <c r="N46" s="1" t="s">
        <v>39</v>
      </c>
      <c r="O46" s="1"/>
      <c r="P46" s="1"/>
      <c r="Q46" s="1"/>
      <c r="R46" s="1" t="s">
        <v>141</v>
      </c>
      <c r="S46" s="1" t="s">
        <v>142</v>
      </c>
      <c r="T46" s="1" t="s">
        <v>53</v>
      </c>
      <c r="U46" s="1" t="s">
        <v>46</v>
      </c>
      <c r="V46" s="1" t="s">
        <v>46</v>
      </c>
      <c r="W46" s="1" t="s">
        <v>227</v>
      </c>
      <c r="X46" s="1" t="s">
        <v>228</v>
      </c>
      <c r="Y46" s="1" t="s">
        <v>84</v>
      </c>
      <c r="Z46" s="1" t="s">
        <v>229</v>
      </c>
      <c r="AA46" s="1" t="s">
        <v>47</v>
      </c>
      <c r="AB46" s="1" t="s">
        <v>39</v>
      </c>
      <c r="AC46" s="1" t="s">
        <v>37</v>
      </c>
      <c r="AD46" s="1" t="s">
        <v>37</v>
      </c>
      <c r="AE46" s="1" t="s">
        <v>37</v>
      </c>
      <c r="AF46" s="1" t="s">
        <v>37</v>
      </c>
      <c r="AG46" s="1" t="s">
        <v>37</v>
      </c>
      <c r="AH46" s="1" t="s">
        <v>37</v>
      </c>
      <c r="AI46" s="1" t="s">
        <v>37</v>
      </c>
      <c r="AJ46" s="1" t="s">
        <v>39</v>
      </c>
      <c r="AK46" s="1" t="str">
        <f t="shared" si="1"/>
        <v>Fora de âmbito</v>
      </c>
      <c r="AL46" s="1" t="str">
        <f>+IF(IFERROR(VLOOKUP(A46,Ficheiros!I:I,1,FALSE),"")=A46,"Sim","Não")</f>
        <v>Sim</v>
      </c>
      <c r="AM46" s="1" t="str">
        <f>+IF(IFERROR(VLOOKUP(A46,Ficheiros!E:E,1,FALSE),"")=A46,"Sim","Não")</f>
        <v>Não</v>
      </c>
      <c r="AN46" s="1" t="str">
        <f>+IF(IFERROR(VLOOKUP(A46,Ficheiros!O:O,1,FALSE),"")=A46,"Sim","Não")</f>
        <v>Não</v>
      </c>
      <c r="AO46" s="1" t="str">
        <f>+IF(IFERROR(VLOOKUP(A46,'Especificação Novos Req. LT (2'!A:A,1,FALSE),"")=A46,"Sim","Não")</f>
        <v>Não</v>
      </c>
      <c r="AP46" s="1" t="str">
        <f>+IF(IFERROR(VLOOKUP(A46,Ficheiros!T:T,1,FALSE),"")=A46,"Sim","Não")</f>
        <v>Sim</v>
      </c>
      <c r="AQ46" s="1" t="e">
        <f>+VLOOKUP(A46,Ficheiros!O:P,2,FALSE)</f>
        <v>#N/A</v>
      </c>
      <c r="AR46" s="1" t="str">
        <f>+VLOOKUP(A46,Ficheiros!T:U,2,FALSE)</f>
        <v>1. Especificar</v>
      </c>
      <c r="AS46" s="1" t="str">
        <f>+VLOOKUP(A46,Ficheiros!T:V,3,FALSE)</f>
        <v>PM</v>
      </c>
      <c r="AT46" s="1"/>
      <c r="AU46" s="1"/>
      <c r="AV46" s="1"/>
      <c r="AW46" s="1"/>
      <c r="AX46" s="1"/>
    </row>
    <row r="47" spans="1:50" ht="14.5" hidden="1" customHeight="1" x14ac:dyDescent="0.35">
      <c r="A47" s="5" t="str">
        <f t="shared" si="0"/>
        <v>ENTITYINTRNL_RTNG</v>
      </c>
      <c r="B47" s="1" t="s">
        <v>230</v>
      </c>
      <c r="C47" s="1" t="s">
        <v>35</v>
      </c>
      <c r="D47" s="1" t="s">
        <v>134</v>
      </c>
      <c r="E47" s="1" t="s">
        <v>37</v>
      </c>
      <c r="F47" s="26" t="s">
        <v>231</v>
      </c>
      <c r="G47" s="1" t="s">
        <v>231</v>
      </c>
      <c r="H47" s="1" t="s">
        <v>39</v>
      </c>
      <c r="I47" s="1" t="s">
        <v>39</v>
      </c>
      <c r="J47" s="1" t="s">
        <v>39</v>
      </c>
      <c r="K47" s="1" t="s">
        <v>39</v>
      </c>
      <c r="L47" s="1" t="s">
        <v>39</v>
      </c>
      <c r="M47" s="1" t="s">
        <v>39</v>
      </c>
      <c r="N47" s="1" t="s">
        <v>39</v>
      </c>
      <c r="O47" s="1"/>
      <c r="P47" s="1"/>
      <c r="Q47" s="1"/>
      <c r="R47" s="1" t="s">
        <v>136</v>
      </c>
      <c r="S47" s="1" t="s">
        <v>52</v>
      </c>
      <c r="T47" s="1" t="s">
        <v>53</v>
      </c>
      <c r="U47" s="1" t="s">
        <v>46</v>
      </c>
      <c r="V47" s="1" t="s">
        <v>46</v>
      </c>
      <c r="W47" s="1" t="s">
        <v>232</v>
      </c>
      <c r="X47" s="1" t="s">
        <v>233</v>
      </c>
      <c r="Y47" s="1" t="s">
        <v>45</v>
      </c>
      <c r="Z47" s="1" t="s">
        <v>46</v>
      </c>
      <c r="AA47" s="1" t="s">
        <v>47</v>
      </c>
      <c r="AB47" s="1" t="s">
        <v>39</v>
      </c>
      <c r="AC47" s="1" t="s">
        <v>37</v>
      </c>
      <c r="AD47" s="1" t="s">
        <v>37</v>
      </c>
      <c r="AE47" s="1" t="s">
        <v>37</v>
      </c>
      <c r="AF47" s="1" t="s">
        <v>37</v>
      </c>
      <c r="AG47" s="1" t="s">
        <v>39</v>
      </c>
      <c r="AH47" s="1" t="s">
        <v>37</v>
      </c>
      <c r="AI47" s="1" t="s">
        <v>37</v>
      </c>
      <c r="AJ47" s="1" t="s">
        <v>39</v>
      </c>
      <c r="AK47" s="1" t="str">
        <f t="shared" si="1"/>
        <v>Fora de âmbito</v>
      </c>
      <c r="AL47" s="1" t="str">
        <f>+IF(IFERROR(VLOOKUP(A47,Ficheiros!I:I,1,FALSE),"")=A47,"Sim","Não")</f>
        <v>Sim</v>
      </c>
      <c r="AM47" s="1" t="str">
        <f>+IF(IFERROR(VLOOKUP(A47,Ficheiros!E:E,1,FALSE),"")=A47,"Sim","Não")</f>
        <v>Não</v>
      </c>
      <c r="AN47" s="1" t="str">
        <f>+IF(IFERROR(VLOOKUP(A47,Ficheiros!O:O,1,FALSE),"")=A47,"Sim","Não")</f>
        <v>Não</v>
      </c>
      <c r="AO47" s="1" t="str">
        <f>+IF(IFERROR(VLOOKUP(A47,'Especificação Novos Req. LT (2'!A:A,1,FALSE),"")=A47,"Sim","Não")</f>
        <v>Não</v>
      </c>
      <c r="AP47" s="1" t="str">
        <f>+IF(IFERROR(VLOOKUP(A47,Ficheiros!T:T,1,FALSE),"")=A47,"Sim","Não")</f>
        <v>Sim</v>
      </c>
      <c r="AQ47" s="1" t="e">
        <f>+VLOOKUP(A47,Ficheiros!O:P,2,FALSE)</f>
        <v>#N/A</v>
      </c>
      <c r="AR47" s="1" t="str">
        <f>+VLOOKUP(A47,Ficheiros!T:U,2,FALSE)</f>
        <v>5.1 Em testes - Re-especificação</v>
      </c>
      <c r="AS47" s="1" t="str">
        <f>+VLOOKUP(A47,Ficheiros!T:V,3,FALSE)</f>
        <v>LF</v>
      </c>
      <c r="AT47" s="1"/>
      <c r="AU47" s="1"/>
      <c r="AV47" s="1"/>
      <c r="AW47" s="1"/>
      <c r="AX47" s="1"/>
    </row>
    <row r="48" spans="1:50" ht="14.5" hidden="1" customHeight="1" x14ac:dyDescent="0.35">
      <c r="A48" s="5" t="str">
        <f t="shared" si="0"/>
        <v>ENTITYINTRNL_RTNG_PRVS</v>
      </c>
      <c r="B48" s="1" t="s">
        <v>234</v>
      </c>
      <c r="C48" s="1" t="s">
        <v>35</v>
      </c>
      <c r="D48" s="1" t="s">
        <v>134</v>
      </c>
      <c r="E48" s="1" t="s">
        <v>37</v>
      </c>
      <c r="F48" s="26" t="s">
        <v>235</v>
      </c>
      <c r="G48" s="1" t="s">
        <v>235</v>
      </c>
      <c r="H48" s="1" t="s">
        <v>39</v>
      </c>
      <c r="I48" s="1" t="s">
        <v>39</v>
      </c>
      <c r="J48" s="1" t="s">
        <v>39</v>
      </c>
      <c r="K48" s="1" t="s">
        <v>39</v>
      </c>
      <c r="L48" s="1" t="s">
        <v>39</v>
      </c>
      <c r="M48" s="1" t="s">
        <v>39</v>
      </c>
      <c r="N48" s="1" t="s">
        <v>39</v>
      </c>
      <c r="O48" s="1"/>
      <c r="P48" s="1"/>
      <c r="Q48" s="1"/>
      <c r="R48" s="1" t="s">
        <v>136</v>
      </c>
      <c r="S48" s="1" t="s">
        <v>52</v>
      </c>
      <c r="T48" s="1" t="s">
        <v>53</v>
      </c>
      <c r="U48" s="1" t="s">
        <v>46</v>
      </c>
      <c r="V48" s="1" t="s">
        <v>46</v>
      </c>
      <c r="W48" s="1" t="s">
        <v>236</v>
      </c>
      <c r="X48" s="1" t="s">
        <v>237</v>
      </c>
      <c r="Y48" s="1" t="s">
        <v>45</v>
      </c>
      <c r="Z48" s="1" t="s">
        <v>46</v>
      </c>
      <c r="AA48" s="1" t="s">
        <v>47</v>
      </c>
      <c r="AB48" s="1" t="s">
        <v>39</v>
      </c>
      <c r="AC48" s="1" t="s">
        <v>37</v>
      </c>
      <c r="AD48" s="1" t="s">
        <v>37</v>
      </c>
      <c r="AE48" s="1" t="s">
        <v>37</v>
      </c>
      <c r="AF48" s="1" t="s">
        <v>37</v>
      </c>
      <c r="AG48" s="1" t="s">
        <v>39</v>
      </c>
      <c r="AH48" s="1" t="s">
        <v>37</v>
      </c>
      <c r="AI48" s="1" t="s">
        <v>37</v>
      </c>
      <c r="AJ48" s="1" t="s">
        <v>39</v>
      </c>
      <c r="AK48" s="1" t="str">
        <f t="shared" si="1"/>
        <v>Fora de âmbito</v>
      </c>
      <c r="AL48" s="1" t="str">
        <f>+IF(IFERROR(VLOOKUP(A48,Ficheiros!I:I,1,FALSE),"")=A48,"Sim","Não")</f>
        <v>Sim</v>
      </c>
      <c r="AM48" s="1" t="str">
        <f>+IF(IFERROR(VLOOKUP(A48,Ficheiros!E:E,1,FALSE),"")=A48,"Sim","Não")</f>
        <v>Não</v>
      </c>
      <c r="AN48" s="1" t="str">
        <f>+IF(IFERROR(VLOOKUP(A48,Ficheiros!O:O,1,FALSE),"")=A48,"Sim","Não")</f>
        <v>Não</v>
      </c>
      <c r="AO48" s="1" t="str">
        <f>+IF(IFERROR(VLOOKUP(A48,'Especificação Novos Req. LT (2'!A:A,1,FALSE),"")=A48,"Sim","Não")</f>
        <v>Não</v>
      </c>
      <c r="AP48" s="1" t="str">
        <f>+IF(IFERROR(VLOOKUP(A48,Ficheiros!T:T,1,FALSE),"")=A48,"Sim","Não")</f>
        <v>Sim</v>
      </c>
      <c r="AQ48" s="1" t="e">
        <f>+VLOOKUP(A48,Ficheiros!O:P,2,FALSE)</f>
        <v>#N/A</v>
      </c>
      <c r="AR48" s="1" t="str">
        <f>+VLOOKUP(A48,Ficheiros!T:U,2,FALSE)</f>
        <v>5.1 Em testes - Re-especificação</v>
      </c>
      <c r="AS48" s="1" t="str">
        <f>+VLOOKUP(A48,Ficheiros!T:V,3,FALSE)</f>
        <v>LF</v>
      </c>
      <c r="AT48" s="1"/>
      <c r="AU48" s="1"/>
      <c r="AV48" s="1"/>
      <c r="AW48" s="1"/>
      <c r="AX48" s="1"/>
    </row>
    <row r="49" spans="1:50" ht="14.5" hidden="1" customHeight="1" x14ac:dyDescent="0.35">
      <c r="A49" s="5" t="str">
        <f t="shared" si="0"/>
        <v>ENTITYLGL_PRCDNG_STTS_LE</v>
      </c>
      <c r="B49" s="1" t="s">
        <v>238</v>
      </c>
      <c r="C49" s="1" t="s">
        <v>35</v>
      </c>
      <c r="D49" s="1" t="s">
        <v>134</v>
      </c>
      <c r="E49" s="1" t="s">
        <v>39</v>
      </c>
      <c r="F49" s="25" t="s">
        <v>239</v>
      </c>
      <c r="G49" s="1" t="s">
        <v>239</v>
      </c>
      <c r="H49" s="1" t="s">
        <v>39</v>
      </c>
      <c r="I49" s="1" t="s">
        <v>39</v>
      </c>
      <c r="J49" s="1" t="s">
        <v>39</v>
      </c>
      <c r="K49" s="1" t="s">
        <v>39</v>
      </c>
      <c r="L49" s="1" t="s">
        <v>39</v>
      </c>
      <c r="M49" s="1" t="s">
        <v>39</v>
      </c>
      <c r="N49" s="1" t="s">
        <v>39</v>
      </c>
      <c r="O49" s="1"/>
      <c r="P49" s="1"/>
      <c r="Q49" s="1"/>
      <c r="R49" s="1" t="s">
        <v>136</v>
      </c>
      <c r="S49" s="1" t="s">
        <v>52</v>
      </c>
      <c r="T49" s="1">
        <v>99999999999</v>
      </c>
      <c r="U49" s="1" t="s">
        <v>42</v>
      </c>
      <c r="V49" s="1" t="s">
        <v>42</v>
      </c>
      <c r="W49" s="1" t="s">
        <v>240</v>
      </c>
      <c r="X49" s="1" t="s">
        <v>241</v>
      </c>
      <c r="Y49" s="1" t="s">
        <v>84</v>
      </c>
      <c r="Z49" s="1" t="s">
        <v>242</v>
      </c>
      <c r="AA49" s="1" t="s">
        <v>47</v>
      </c>
      <c r="AB49" s="1" t="s">
        <v>39</v>
      </c>
      <c r="AC49" s="1" t="s">
        <v>37</v>
      </c>
      <c r="AD49" s="1" t="s">
        <v>37</v>
      </c>
      <c r="AE49" s="1" t="s">
        <v>37</v>
      </c>
      <c r="AF49" s="1" t="s">
        <v>37</v>
      </c>
      <c r="AG49" s="1" t="s">
        <v>39</v>
      </c>
      <c r="AH49" s="1" t="s">
        <v>37</v>
      </c>
      <c r="AI49" s="1" t="s">
        <v>37</v>
      </c>
      <c r="AJ49" s="1" t="s">
        <v>39</v>
      </c>
      <c r="AK49" s="1" t="str">
        <f t="shared" si="1"/>
        <v>Fora de âmbito</v>
      </c>
      <c r="AL49" s="1" t="str">
        <f>+IF(IFERROR(VLOOKUP(A49,Ficheiros!I:I,1,FALSE),"")=A49,"Sim","Não")</f>
        <v>Sim</v>
      </c>
      <c r="AM49" s="1" t="str">
        <f>+IF(IFERROR(VLOOKUP(A49,Ficheiros!E:E,1,FALSE),"")=A49,"Sim","Não")</f>
        <v>Não</v>
      </c>
      <c r="AN49" s="1" t="str">
        <f>+IF(IFERROR(VLOOKUP(A49,Ficheiros!O:O,1,FALSE),"")=A49,"Sim","Não")</f>
        <v>Não</v>
      </c>
      <c r="AO49" s="1" t="str">
        <f>+IF(IFERROR(VLOOKUP(A49,'Especificação Novos Req. LT (2'!A:A,1,FALSE),"")=A49,"Sim","Não")</f>
        <v>Não</v>
      </c>
      <c r="AP49" s="1" t="str">
        <f>+IF(IFERROR(VLOOKUP(A49,Ficheiros!T:T,1,FALSE),"")=A49,"Sim","Não")</f>
        <v>Sim</v>
      </c>
      <c r="AQ49" s="1" t="e">
        <f>+VLOOKUP(A49,Ficheiros!O:P,2,FALSE)</f>
        <v>#N/A</v>
      </c>
      <c r="AR49" s="1" t="str">
        <f>+VLOOKUP(A49,Ficheiros!T:U,2,FALSE)</f>
        <v>7. Analisar controlos e completude</v>
      </c>
      <c r="AS49" s="1" t="str">
        <f>+VLOOKUP(A49,Ficheiros!T:V,3,FALSE)</f>
        <v>LF</v>
      </c>
      <c r="AT49" s="1"/>
      <c r="AU49" s="1"/>
      <c r="AV49" s="1"/>
      <c r="AW49" s="1"/>
      <c r="AX49" s="1"/>
    </row>
    <row r="50" spans="1:50" ht="14.5" hidden="1" customHeight="1" x14ac:dyDescent="0.35">
      <c r="A50" s="5" t="str">
        <f t="shared" si="0"/>
        <v>ENTITYOWND_BY_SPNSR</v>
      </c>
      <c r="B50" s="1" t="s">
        <v>243</v>
      </c>
      <c r="C50" s="1" t="s">
        <v>35</v>
      </c>
      <c r="D50" s="1" t="s">
        <v>134</v>
      </c>
      <c r="E50" s="1" t="s">
        <v>37</v>
      </c>
      <c r="F50" s="25" t="s">
        <v>244</v>
      </c>
      <c r="G50" s="1" t="s">
        <v>244</v>
      </c>
      <c r="H50" s="1" t="s">
        <v>37</v>
      </c>
      <c r="I50" s="1" t="s">
        <v>37</v>
      </c>
      <c r="J50" s="1" t="s">
        <v>37</v>
      </c>
      <c r="K50" s="1" t="s">
        <v>37</v>
      </c>
      <c r="L50" s="1" t="s">
        <v>39</v>
      </c>
      <c r="M50" s="1" t="s">
        <v>39</v>
      </c>
      <c r="N50" s="1" t="s">
        <v>37</v>
      </c>
      <c r="O50" s="1"/>
      <c r="P50" s="1"/>
      <c r="Q50" s="1"/>
      <c r="R50" s="1" t="s">
        <v>141</v>
      </c>
      <c r="S50" s="1" t="s">
        <v>142</v>
      </c>
      <c r="T50" s="1" t="s">
        <v>53</v>
      </c>
      <c r="U50" s="1" t="s">
        <v>46</v>
      </c>
      <c r="V50" s="1" t="s">
        <v>46</v>
      </c>
      <c r="W50" s="1" t="s">
        <v>245</v>
      </c>
      <c r="X50" s="1" t="s">
        <v>246</v>
      </c>
      <c r="Y50" s="1" t="s">
        <v>45</v>
      </c>
      <c r="Z50" s="1" t="s">
        <v>46</v>
      </c>
      <c r="AA50" s="1" t="s">
        <v>47</v>
      </c>
      <c r="AB50" s="1" t="s">
        <v>39</v>
      </c>
      <c r="AC50" s="1" t="s">
        <v>37</v>
      </c>
      <c r="AD50" s="1" t="s">
        <v>37</v>
      </c>
      <c r="AE50" s="1" t="s">
        <v>37</v>
      </c>
      <c r="AF50" s="1" t="s">
        <v>37</v>
      </c>
      <c r="AG50" s="1" t="s">
        <v>39</v>
      </c>
      <c r="AH50" s="1" t="s">
        <v>37</v>
      </c>
      <c r="AI50" s="1" t="s">
        <v>37</v>
      </c>
      <c r="AJ50" s="1" t="s">
        <v>39</v>
      </c>
      <c r="AK50" s="1" t="str">
        <f t="shared" si="1"/>
        <v>Fora de âmbito</v>
      </c>
      <c r="AL50" s="1" t="str">
        <f>+IF(IFERROR(VLOOKUP(A50,Ficheiros!I:I,1,FALSE),"")=A50,"Sim","Não")</f>
        <v>Sim</v>
      </c>
      <c r="AM50" s="1" t="str">
        <f>+IF(IFERROR(VLOOKUP(A50,Ficheiros!E:E,1,FALSE),"")=A50,"Sim","Não")</f>
        <v>Não</v>
      </c>
      <c r="AN50" s="1" t="str">
        <f>+IF(IFERROR(VLOOKUP(A50,Ficheiros!O:O,1,FALSE),"")=A50,"Sim","Não")</f>
        <v>Não</v>
      </c>
      <c r="AO50" s="1" t="str">
        <f>+IF(IFERROR(VLOOKUP(A50,'Especificação Novos Req. LT (2'!A:A,1,FALSE),"")=A50,"Sim","Não")</f>
        <v>Não</v>
      </c>
      <c r="AP50" s="1" t="str">
        <f>+IF(IFERROR(VLOOKUP(A50,Ficheiros!T:T,1,FALSE),"")=A50,"Sim","Não")</f>
        <v>Sim</v>
      </c>
      <c r="AQ50" s="1" t="e">
        <f>+VLOOKUP(A50,Ficheiros!O:P,2,FALSE)</f>
        <v>#N/A</v>
      </c>
      <c r="AR50" s="1" t="str">
        <f>+VLOOKUP(A50,Ficheiros!T:U,2,FALSE)</f>
        <v>9. Concluído</v>
      </c>
      <c r="AS50" s="1" t="str">
        <f>+VLOOKUP(A50,Ficheiros!T:V,3,FALSE)</f>
        <v>PM &amp; LF</v>
      </c>
      <c r="AT50" s="1"/>
      <c r="AU50" s="1"/>
      <c r="AV50" s="1"/>
      <c r="AW50" s="1"/>
      <c r="AX50" s="1"/>
    </row>
    <row r="51" spans="1:50" ht="14.5" hidden="1" customHeight="1" x14ac:dyDescent="0.35">
      <c r="A51" s="5" t="str">
        <f t="shared" si="0"/>
        <v>ENTITYPRFRMNG_STTS_LE</v>
      </c>
      <c r="B51" s="1" t="s">
        <v>247</v>
      </c>
      <c r="C51" s="1" t="s">
        <v>35</v>
      </c>
      <c r="D51" s="1" t="s">
        <v>134</v>
      </c>
      <c r="E51" s="1" t="s">
        <v>37</v>
      </c>
      <c r="F51" s="25" t="s">
        <v>248</v>
      </c>
      <c r="G51" s="1" t="s">
        <v>248</v>
      </c>
      <c r="H51" s="1" t="s">
        <v>39</v>
      </c>
      <c r="I51" s="1" t="s">
        <v>39</v>
      </c>
      <c r="J51" s="1" t="s">
        <v>39</v>
      </c>
      <c r="K51" s="1" t="s">
        <v>39</v>
      </c>
      <c r="L51" s="1" t="s">
        <v>39</v>
      </c>
      <c r="M51" s="1" t="s">
        <v>39</v>
      </c>
      <c r="N51" s="1" t="s">
        <v>39</v>
      </c>
      <c r="O51" s="1"/>
      <c r="P51" s="1"/>
      <c r="Q51" s="1"/>
      <c r="R51" s="1" t="s">
        <v>136</v>
      </c>
      <c r="S51" s="1" t="s">
        <v>52</v>
      </c>
      <c r="T51" s="1">
        <v>99999999999</v>
      </c>
      <c r="U51" s="1">
        <v>11111111111</v>
      </c>
      <c r="V51" s="1">
        <v>11111111111</v>
      </c>
      <c r="W51" s="1" t="s">
        <v>249</v>
      </c>
      <c r="X51" s="1" t="s">
        <v>250</v>
      </c>
      <c r="Y51" s="1" t="s">
        <v>45</v>
      </c>
      <c r="Z51" s="1" t="s">
        <v>46</v>
      </c>
      <c r="AA51" s="1" t="s">
        <v>47</v>
      </c>
      <c r="AB51" s="1" t="s">
        <v>39</v>
      </c>
      <c r="AC51" s="1" t="s">
        <v>37</v>
      </c>
      <c r="AD51" s="1" t="s">
        <v>37</v>
      </c>
      <c r="AE51" s="1" t="s">
        <v>37</v>
      </c>
      <c r="AF51" s="1" t="s">
        <v>37</v>
      </c>
      <c r="AG51" s="1" t="s">
        <v>39</v>
      </c>
      <c r="AH51" s="1" t="s">
        <v>37</v>
      </c>
      <c r="AI51" s="1" t="s">
        <v>37</v>
      </c>
      <c r="AJ51" s="1" t="s">
        <v>39</v>
      </c>
      <c r="AK51" s="1" t="str">
        <f t="shared" si="1"/>
        <v>Fora de âmbito</v>
      </c>
      <c r="AL51" s="1" t="str">
        <f>+IF(IFERROR(VLOOKUP(A51,Ficheiros!I:I,1,FALSE),"")=A51,"Sim","Não")</f>
        <v>Sim</v>
      </c>
      <c r="AM51" s="1" t="str">
        <f>+IF(IFERROR(VLOOKUP(A51,Ficheiros!E:E,1,FALSE),"")=A51,"Sim","Não")</f>
        <v>Não</v>
      </c>
      <c r="AN51" s="1" t="str">
        <f>+IF(IFERROR(VLOOKUP(A51,Ficheiros!O:O,1,FALSE),"")=A51,"Sim","Não")</f>
        <v>Não</v>
      </c>
      <c r="AO51" s="1" t="str">
        <f>+IF(IFERROR(VLOOKUP(A51,'Especificação Novos Req. LT (2'!A:A,1,FALSE),"")=A51,"Sim","Não")</f>
        <v>Não</v>
      </c>
      <c r="AP51" s="1" t="str">
        <f>+IF(IFERROR(VLOOKUP(A51,Ficheiros!T:T,1,FALSE),"")=A51,"Sim","Não")</f>
        <v>Sim</v>
      </c>
      <c r="AQ51" s="1" t="e">
        <f>+VLOOKUP(A51,Ficheiros!O:P,2,FALSE)</f>
        <v>#N/A</v>
      </c>
      <c r="AR51" s="1" t="str">
        <f>+VLOOKUP(A51,Ficheiros!T:U,2,FALSE)</f>
        <v>9. Concluído</v>
      </c>
      <c r="AS51" s="1" t="str">
        <f>+VLOOKUP(A51,Ficheiros!T:V,3,FALSE)</f>
        <v>PM</v>
      </c>
      <c r="AT51" s="1"/>
      <c r="AU51" s="1"/>
      <c r="AV51" s="1"/>
      <c r="AW51" s="1"/>
      <c r="AX51" s="1"/>
    </row>
    <row r="52" spans="1:50" ht="14.5" hidden="1" customHeight="1" x14ac:dyDescent="0.35">
      <c r="A52" s="5" t="str">
        <f t="shared" si="0"/>
        <v>ENTITYRTNG_MTHD</v>
      </c>
      <c r="B52" s="1" t="s">
        <v>251</v>
      </c>
      <c r="C52" s="1" t="s">
        <v>35</v>
      </c>
      <c r="D52" s="1" t="s">
        <v>134</v>
      </c>
      <c r="E52" s="1" t="s">
        <v>37</v>
      </c>
      <c r="F52" s="25" t="s">
        <v>252</v>
      </c>
      <c r="G52" s="1" t="s">
        <v>252</v>
      </c>
      <c r="H52" s="1" t="s">
        <v>39</v>
      </c>
      <c r="I52" s="1" t="s">
        <v>39</v>
      </c>
      <c r="J52" s="1" t="s">
        <v>39</v>
      </c>
      <c r="K52" s="1" t="s">
        <v>39</v>
      </c>
      <c r="L52" s="1" t="s">
        <v>39</v>
      </c>
      <c r="M52" s="1" t="s">
        <v>39</v>
      </c>
      <c r="N52" s="1" t="s">
        <v>39</v>
      </c>
      <c r="O52" s="1"/>
      <c r="P52" s="1"/>
      <c r="Q52" s="1"/>
      <c r="R52" s="1" t="s">
        <v>136</v>
      </c>
      <c r="S52" s="1" t="s">
        <v>52</v>
      </c>
      <c r="T52" s="1">
        <v>99999999999</v>
      </c>
      <c r="U52" s="1">
        <v>11111111111</v>
      </c>
      <c r="V52" s="1">
        <v>11111111111</v>
      </c>
      <c r="W52" s="1" t="s">
        <v>253</v>
      </c>
      <c r="X52" s="1" t="s">
        <v>254</v>
      </c>
      <c r="Y52" s="1" t="s">
        <v>66</v>
      </c>
      <c r="Z52" s="1" t="s">
        <v>255</v>
      </c>
      <c r="AA52" s="1" t="s">
        <v>47</v>
      </c>
      <c r="AB52" s="1" t="s">
        <v>39</v>
      </c>
      <c r="AC52" s="1" t="s">
        <v>37</v>
      </c>
      <c r="AD52" s="1" t="s">
        <v>37</v>
      </c>
      <c r="AE52" s="1" t="s">
        <v>37</v>
      </c>
      <c r="AF52" s="1" t="s">
        <v>37</v>
      </c>
      <c r="AG52" s="1" t="s">
        <v>39</v>
      </c>
      <c r="AH52" s="1" t="s">
        <v>37</v>
      </c>
      <c r="AI52" s="1" t="s">
        <v>37</v>
      </c>
      <c r="AJ52" s="1" t="s">
        <v>39</v>
      </c>
      <c r="AK52" s="1" t="str">
        <f t="shared" si="1"/>
        <v>Fora de âmbito</v>
      </c>
      <c r="AL52" s="1" t="str">
        <f>+IF(IFERROR(VLOOKUP(A52,Ficheiros!I:I,1,FALSE),"")=A52,"Sim","Não")</f>
        <v>Sim</v>
      </c>
      <c r="AM52" s="1" t="str">
        <f>+IF(IFERROR(VLOOKUP(A52,Ficheiros!E:E,1,FALSE),"")=A52,"Sim","Não")</f>
        <v>Não</v>
      </c>
      <c r="AN52" s="1" t="str">
        <f>+IF(IFERROR(VLOOKUP(A52,Ficheiros!O:O,1,FALSE),"")=A52,"Sim","Não")</f>
        <v>Não</v>
      </c>
      <c r="AO52" s="1" t="str">
        <f>+IF(IFERROR(VLOOKUP(A52,'Especificação Novos Req. LT (2'!A:A,1,FALSE),"")=A52,"Sim","Não")</f>
        <v>Não</v>
      </c>
      <c r="AP52" s="1" t="str">
        <f>+IF(IFERROR(VLOOKUP(A52,Ficheiros!T:T,1,FALSE),"")=A52,"Sim","Não")</f>
        <v>Sim</v>
      </c>
      <c r="AQ52" s="1" t="e">
        <f>+VLOOKUP(A52,Ficheiros!O:P,2,FALSE)</f>
        <v>#N/A</v>
      </c>
      <c r="AR52" s="1" t="str">
        <f>+VLOOKUP(A52,Ficheiros!T:U,2,FALSE)</f>
        <v>5.1 Em testes - Re-especificação</v>
      </c>
      <c r="AS52" s="1" t="str">
        <f>+VLOOKUP(A52,Ficheiros!T:V,3,FALSE)</f>
        <v>LF</v>
      </c>
      <c r="AT52" s="1"/>
      <c r="AU52" s="1"/>
      <c r="AV52" s="1"/>
      <c r="AW52" s="1"/>
      <c r="AX52" s="1"/>
    </row>
    <row r="53" spans="1:50" ht="14.5" hidden="1" customHeight="1" x14ac:dyDescent="0.35">
      <c r="A53" s="5" t="str">
        <f t="shared" si="0"/>
        <v>ENTITYRTNG_SCL</v>
      </c>
      <c r="B53" s="1" t="s">
        <v>256</v>
      </c>
      <c r="C53" s="1" t="s">
        <v>35</v>
      </c>
      <c r="D53" s="1" t="s">
        <v>134</v>
      </c>
      <c r="E53" s="1" t="s">
        <v>37</v>
      </c>
      <c r="F53" s="25" t="s">
        <v>257</v>
      </c>
      <c r="G53" s="1" t="s">
        <v>257</v>
      </c>
      <c r="H53" s="1" t="s">
        <v>258</v>
      </c>
      <c r="I53" s="1" t="s">
        <v>258</v>
      </c>
      <c r="J53" s="1" t="s">
        <v>258</v>
      </c>
      <c r="K53" s="1" t="s">
        <v>258</v>
      </c>
      <c r="L53" s="1" t="s">
        <v>258</v>
      </c>
      <c r="M53" s="1" t="s">
        <v>258</v>
      </c>
      <c r="N53" s="1" t="s">
        <v>258</v>
      </c>
      <c r="O53" s="1"/>
      <c r="P53" s="1"/>
      <c r="Q53" s="1"/>
      <c r="R53" s="1" t="s">
        <v>136</v>
      </c>
      <c r="S53" s="1" t="s">
        <v>52</v>
      </c>
      <c r="T53" s="1">
        <v>99999999999</v>
      </c>
      <c r="U53" s="1">
        <v>11111111111</v>
      </c>
      <c r="V53" s="1">
        <v>11111111111</v>
      </c>
      <c r="W53" s="1" t="s">
        <v>259</v>
      </c>
      <c r="X53" s="1" t="s">
        <v>260</v>
      </c>
      <c r="Y53" s="1" t="s">
        <v>45</v>
      </c>
      <c r="Z53" s="1" t="s">
        <v>46</v>
      </c>
      <c r="AA53" s="1" t="s">
        <v>47</v>
      </c>
      <c r="AB53" s="1" t="s">
        <v>39</v>
      </c>
      <c r="AC53" s="1" t="s">
        <v>37</v>
      </c>
      <c r="AD53" s="1" t="s">
        <v>37</v>
      </c>
      <c r="AE53" s="1" t="s">
        <v>37</v>
      </c>
      <c r="AF53" s="1" t="s">
        <v>37</v>
      </c>
      <c r="AG53" s="1" t="s">
        <v>39</v>
      </c>
      <c r="AH53" s="1" t="s">
        <v>37</v>
      </c>
      <c r="AI53" s="1" t="s">
        <v>37</v>
      </c>
      <c r="AJ53" s="1" t="s">
        <v>39</v>
      </c>
      <c r="AK53" s="1" t="str">
        <f t="shared" si="1"/>
        <v>Fora de âmbito</v>
      </c>
      <c r="AL53" s="1" t="str">
        <f>+IF(IFERROR(VLOOKUP(A53,Ficheiros!I:I,1,FALSE),"")=A53,"Sim","Não")</f>
        <v>Sim</v>
      </c>
      <c r="AM53" s="1" t="str">
        <f>+IF(IFERROR(VLOOKUP(A53,Ficheiros!E:E,1,FALSE),"")=A53,"Sim","Não")</f>
        <v>Não</v>
      </c>
      <c r="AN53" s="1" t="str">
        <f>+IF(IFERROR(VLOOKUP(A53,Ficheiros!O:O,1,FALSE),"")=A53,"Sim","Não")</f>
        <v>Não</v>
      </c>
      <c r="AO53" s="1" t="str">
        <f>+IF(IFERROR(VLOOKUP(A53,'Especificação Novos Req. LT (2'!A:A,1,FALSE),"")=A53,"Sim","Não")</f>
        <v>Não</v>
      </c>
      <c r="AP53" s="1" t="str">
        <f>+IF(IFERROR(VLOOKUP(A53,Ficheiros!T:T,1,FALSE),"")=A53,"Sim","Não")</f>
        <v>Sim</v>
      </c>
      <c r="AQ53" s="1" t="e">
        <f>+VLOOKUP(A53,Ficheiros!O:P,2,FALSE)</f>
        <v>#N/A</v>
      </c>
      <c r="AR53" s="1" t="str">
        <f>+VLOOKUP(A53,Ficheiros!T:U,2,FALSE)</f>
        <v>9. Concluído</v>
      </c>
      <c r="AS53" s="1" t="str">
        <f>+VLOOKUP(A53,Ficheiros!T:V,3,FALSE)</f>
        <v>PM</v>
      </c>
      <c r="AT53" s="1"/>
      <c r="AU53" s="1"/>
      <c r="AV53" s="1"/>
      <c r="AW53" s="1"/>
      <c r="AX53" s="1"/>
    </row>
    <row r="54" spans="1:50" ht="14.5" hidden="1" customHeight="1" x14ac:dyDescent="0.35">
      <c r="A54" s="5" t="str">
        <f t="shared" si="0"/>
        <v>ENTITYWTCH_LST</v>
      </c>
      <c r="B54" s="1" t="s">
        <v>261</v>
      </c>
      <c r="C54" s="1" t="s">
        <v>35</v>
      </c>
      <c r="D54" s="1" t="s">
        <v>134</v>
      </c>
      <c r="E54" s="1" t="s">
        <v>37</v>
      </c>
      <c r="F54" s="25" t="s">
        <v>262</v>
      </c>
      <c r="G54" s="1" t="s">
        <v>262</v>
      </c>
      <c r="H54" s="1" t="s">
        <v>37</v>
      </c>
      <c r="I54" s="1" t="s">
        <v>39</v>
      </c>
      <c r="J54" s="1" t="s">
        <v>39</v>
      </c>
      <c r="K54" s="1" t="s">
        <v>39</v>
      </c>
      <c r="L54" s="1" t="s">
        <v>39</v>
      </c>
      <c r="M54" s="1" t="s">
        <v>39</v>
      </c>
      <c r="N54" s="1" t="s">
        <v>39</v>
      </c>
      <c r="O54" s="1"/>
      <c r="P54" s="1"/>
      <c r="Q54" s="1"/>
      <c r="R54" s="1" t="s">
        <v>141</v>
      </c>
      <c r="S54" s="1" t="s">
        <v>142</v>
      </c>
      <c r="T54" s="1" t="s">
        <v>53</v>
      </c>
      <c r="U54" s="1" t="s">
        <v>46</v>
      </c>
      <c r="V54" s="1" t="s">
        <v>46</v>
      </c>
      <c r="W54" s="1" t="s">
        <v>263</v>
      </c>
      <c r="X54" s="1" t="s">
        <v>264</v>
      </c>
      <c r="Y54" s="1" t="s">
        <v>84</v>
      </c>
      <c r="Z54" s="1" t="s">
        <v>265</v>
      </c>
      <c r="AA54" s="1" t="s">
        <v>47</v>
      </c>
      <c r="AB54" s="1" t="s">
        <v>39</v>
      </c>
      <c r="AC54" s="1" t="s">
        <v>37</v>
      </c>
      <c r="AD54" s="1" t="s">
        <v>37</v>
      </c>
      <c r="AE54" s="1" t="s">
        <v>37</v>
      </c>
      <c r="AF54" s="1" t="s">
        <v>37</v>
      </c>
      <c r="AG54" s="1" t="s">
        <v>39</v>
      </c>
      <c r="AH54" s="1" t="s">
        <v>37</v>
      </c>
      <c r="AI54" s="1" t="s">
        <v>37</v>
      </c>
      <c r="AJ54" s="1" t="s">
        <v>39</v>
      </c>
      <c r="AK54" s="1" t="str">
        <f t="shared" si="1"/>
        <v>Fora de âmbito</v>
      </c>
      <c r="AL54" s="1" t="str">
        <f>+IF(IFERROR(VLOOKUP(A54,Ficheiros!I:I,1,FALSE),"")=A54,"Sim","Não")</f>
        <v>Sim</v>
      </c>
      <c r="AM54" s="1" t="str">
        <f>+IF(IFERROR(VLOOKUP(A54,Ficheiros!E:E,1,FALSE),"")=A54,"Sim","Não")</f>
        <v>Não</v>
      </c>
      <c r="AN54" s="1" t="str">
        <f>+IF(IFERROR(VLOOKUP(A54,Ficheiros!O:O,1,FALSE),"")=A54,"Sim","Não")</f>
        <v>Não</v>
      </c>
      <c r="AO54" s="1" t="str">
        <f>+IF(IFERROR(VLOOKUP(A54,'Especificação Novos Req. LT (2'!A:A,1,FALSE),"")=A54,"Sim","Não")</f>
        <v>Não</v>
      </c>
      <c r="AP54" s="1" t="str">
        <f>+IF(IFERROR(VLOOKUP(A54,Ficheiros!T:T,1,FALSE),"")=A54,"Sim","Não")</f>
        <v>Sim</v>
      </c>
      <c r="AQ54" s="1" t="e">
        <f>+VLOOKUP(A54,Ficheiros!O:P,2,FALSE)</f>
        <v>#N/A</v>
      </c>
      <c r="AR54" s="1" t="str">
        <f>+VLOOKUP(A54,Ficheiros!T:U,2,FALSE)</f>
        <v>9. Concluído</v>
      </c>
      <c r="AS54" s="1" t="str">
        <f>+VLOOKUP(A54,Ficheiros!T:V,3,FALSE)</f>
        <v>PM</v>
      </c>
      <c r="AT54" s="1"/>
      <c r="AU54" s="1"/>
      <c r="AV54" s="1"/>
      <c r="AW54" s="1"/>
      <c r="AX54" s="1"/>
    </row>
    <row r="55" spans="1:50" ht="14.5" hidden="1" customHeight="1" x14ac:dyDescent="0.35">
      <c r="A55" s="5" t="str">
        <f t="shared" si="0"/>
        <v>ENTITYSNGL_PRPS_VHCL</v>
      </c>
      <c r="B55" s="1" t="s">
        <v>266</v>
      </c>
      <c r="C55" s="1" t="s">
        <v>35</v>
      </c>
      <c r="D55" s="1" t="s">
        <v>134</v>
      </c>
      <c r="E55" s="1" t="s">
        <v>37</v>
      </c>
      <c r="F55" s="25" t="s">
        <v>267</v>
      </c>
      <c r="G55" s="1" t="s">
        <v>267</v>
      </c>
      <c r="H55" s="1" t="s">
        <v>37</v>
      </c>
      <c r="I55" s="1" t="s">
        <v>37</v>
      </c>
      <c r="J55" s="1" t="s">
        <v>37</v>
      </c>
      <c r="K55" s="1" t="s">
        <v>37</v>
      </c>
      <c r="L55" s="1" t="s">
        <v>37</v>
      </c>
      <c r="M55" s="1" t="s">
        <v>39</v>
      </c>
      <c r="N55" s="1" t="s">
        <v>37</v>
      </c>
      <c r="O55" s="1"/>
      <c r="P55" s="1"/>
      <c r="Q55" s="1"/>
      <c r="R55" s="1" t="s">
        <v>136</v>
      </c>
      <c r="S55" s="1" t="s">
        <v>52</v>
      </c>
      <c r="T55" s="1">
        <v>99999999999</v>
      </c>
      <c r="U55" s="1">
        <v>11111111111</v>
      </c>
      <c r="V55" s="1">
        <v>11111111111</v>
      </c>
      <c r="W55" s="1" t="s">
        <v>268</v>
      </c>
      <c r="X55" s="1" t="s">
        <v>269</v>
      </c>
      <c r="Y55" s="1" t="s">
        <v>45</v>
      </c>
      <c r="Z55" s="1" t="s">
        <v>46</v>
      </c>
      <c r="AA55" s="1" t="s">
        <v>47</v>
      </c>
      <c r="AB55" s="1" t="s">
        <v>39</v>
      </c>
      <c r="AC55" s="1" t="s">
        <v>37</v>
      </c>
      <c r="AD55" s="1" t="s">
        <v>37</v>
      </c>
      <c r="AE55" s="1" t="s">
        <v>37</v>
      </c>
      <c r="AF55" s="1" t="s">
        <v>37</v>
      </c>
      <c r="AG55" s="1" t="s">
        <v>37</v>
      </c>
      <c r="AH55" s="1" t="s">
        <v>37</v>
      </c>
      <c r="AI55" s="1" t="s">
        <v>37</v>
      </c>
      <c r="AJ55" s="1" t="s">
        <v>39</v>
      </c>
      <c r="AK55" s="1" t="str">
        <f t="shared" si="1"/>
        <v>Fora de âmbito</v>
      </c>
      <c r="AL55" s="1" t="str">
        <f>+IF(IFERROR(VLOOKUP(A55,Ficheiros!I:I,1,FALSE),"")=A55,"Sim","Não")</f>
        <v>Sim</v>
      </c>
      <c r="AM55" s="1" t="str">
        <f>+IF(IFERROR(VLOOKUP(A55,Ficheiros!E:E,1,FALSE),"")=A55,"Sim","Não")</f>
        <v>Não</v>
      </c>
      <c r="AN55" s="1" t="str">
        <f>+IF(IFERROR(VLOOKUP(A55,Ficheiros!O:O,1,FALSE),"")=A55,"Sim","Não")</f>
        <v>Não</v>
      </c>
      <c r="AO55" s="1" t="str">
        <f>+IF(IFERROR(VLOOKUP(A55,'Especificação Novos Req. LT (2'!A:A,1,FALSE),"")=A55,"Sim","Não")</f>
        <v>Não</v>
      </c>
      <c r="AP55" s="1" t="str">
        <f>+IF(IFERROR(VLOOKUP(A55,Ficheiros!T:T,1,FALSE),"")=A55,"Sim","Não")</f>
        <v>Sim</v>
      </c>
      <c r="AQ55" s="1" t="e">
        <f>+VLOOKUP(A55,Ficheiros!O:P,2,FALSE)</f>
        <v>#N/A</v>
      </c>
      <c r="AR55" s="1" t="str">
        <f>+VLOOKUP(A55,Ficheiros!T:U,2,FALSE)</f>
        <v>9. Concluído</v>
      </c>
      <c r="AS55" s="1" t="str">
        <f>+VLOOKUP(A55,Ficheiros!T:V,3,FALSE)</f>
        <v>PM</v>
      </c>
      <c r="AT55" s="1"/>
      <c r="AU55" s="1"/>
      <c r="AV55" s="1"/>
      <c r="AW55" s="1"/>
      <c r="AX55" s="1"/>
    </row>
    <row r="56" spans="1:50" ht="14.5" hidden="1" customHeight="1" x14ac:dyDescent="0.35">
      <c r="A56" s="5" t="str">
        <f t="shared" si="0"/>
        <v>ENTITYGRP_EBITDA</v>
      </c>
      <c r="B56" s="1" t="s">
        <v>270</v>
      </c>
      <c r="C56" s="1" t="s">
        <v>35</v>
      </c>
      <c r="D56" s="1" t="s">
        <v>271</v>
      </c>
      <c r="E56" s="1" t="s">
        <v>37</v>
      </c>
      <c r="F56" s="25" t="s">
        <v>272</v>
      </c>
      <c r="G56" s="1" t="s">
        <v>272</v>
      </c>
      <c r="H56" s="1" t="s">
        <v>39</v>
      </c>
      <c r="I56" s="1" t="s">
        <v>39</v>
      </c>
      <c r="J56" s="1" t="s">
        <v>39</v>
      </c>
      <c r="K56" s="1" t="s">
        <v>39</v>
      </c>
      <c r="L56" s="1" t="s">
        <v>39</v>
      </c>
      <c r="M56" s="1" t="s">
        <v>39</v>
      </c>
      <c r="N56" s="1" t="s">
        <v>37</v>
      </c>
      <c r="O56" s="1"/>
      <c r="P56" s="1"/>
      <c r="Q56" s="1"/>
      <c r="R56" s="1" t="s">
        <v>273</v>
      </c>
      <c r="S56" s="1" t="s">
        <v>274</v>
      </c>
      <c r="T56" s="1">
        <v>99999999999</v>
      </c>
      <c r="U56" s="1">
        <v>11111111111</v>
      </c>
      <c r="V56" s="1">
        <v>11111111111</v>
      </c>
      <c r="W56" s="1" t="s">
        <v>275</v>
      </c>
      <c r="X56" s="1" t="s">
        <v>276</v>
      </c>
      <c r="Y56" s="1" t="s">
        <v>45</v>
      </c>
      <c r="Z56" s="1" t="s">
        <v>46</v>
      </c>
      <c r="AA56" s="1" t="s">
        <v>47</v>
      </c>
      <c r="AB56" s="1" t="s">
        <v>39</v>
      </c>
      <c r="AC56" s="1" t="s">
        <v>37</v>
      </c>
      <c r="AD56" s="1" t="s">
        <v>37</v>
      </c>
      <c r="AE56" s="1" t="s">
        <v>37</v>
      </c>
      <c r="AF56" s="1" t="s">
        <v>37</v>
      </c>
      <c r="AG56" s="1" t="s">
        <v>39</v>
      </c>
      <c r="AH56" s="1" t="s">
        <v>37</v>
      </c>
      <c r="AI56" s="1" t="s">
        <v>37</v>
      </c>
      <c r="AJ56" s="1" t="s">
        <v>39</v>
      </c>
      <c r="AK56" s="1" t="str">
        <f t="shared" si="1"/>
        <v>Fora de âmbito</v>
      </c>
      <c r="AL56" s="1" t="str">
        <f>+IF(IFERROR(VLOOKUP(A56,Ficheiros!I:I,1,FALSE),"")=A56,"Sim","Não")</f>
        <v>Sim</v>
      </c>
      <c r="AM56" s="1" t="str">
        <f>+IF(IFERROR(VLOOKUP(A56,Ficheiros!E:E,1,FALSE),"")=A56,"Sim","Não")</f>
        <v>Não</v>
      </c>
      <c r="AN56" s="1" t="str">
        <f>+IF(IFERROR(VLOOKUP(A56,Ficheiros!O:O,1,FALSE),"")=A56,"Sim","Não")</f>
        <v>Não</v>
      </c>
      <c r="AO56" s="1" t="str">
        <f>+IF(IFERROR(VLOOKUP(A56,'Especificação Novos Req. LT (2'!A:A,1,FALSE),"")=A56,"Sim","Não")</f>
        <v>Não</v>
      </c>
      <c r="AP56" s="1" t="str">
        <f>+IF(IFERROR(VLOOKUP(A56,Ficheiros!T:T,1,FALSE),"")=A56,"Sim","Não")</f>
        <v>Sim</v>
      </c>
      <c r="AQ56" s="1" t="e">
        <f>+VLOOKUP(A56,Ficheiros!O:P,2,FALSE)</f>
        <v>#N/A</v>
      </c>
      <c r="AR56" s="1" t="str">
        <f>+VLOOKUP(A56,Ficheiros!T:U,2,FALSE)</f>
        <v>9. Concluído</v>
      </c>
      <c r="AS56" s="1" t="str">
        <f>+VLOOKUP(A56,Ficheiros!T:V,3,FALSE)</f>
        <v>PM</v>
      </c>
      <c r="AT56" s="1"/>
      <c r="AU56" s="1"/>
      <c r="AV56" s="1"/>
      <c r="AW56" s="1"/>
      <c r="AX56" s="1"/>
    </row>
    <row r="57" spans="1:50" ht="14.5" hidden="1" customHeight="1" x14ac:dyDescent="0.35">
      <c r="A57" s="5" t="str">
        <f t="shared" si="0"/>
        <v>ENTITYGRP_EQTY</v>
      </c>
      <c r="B57" s="1" t="s">
        <v>277</v>
      </c>
      <c r="C57" s="1" t="s">
        <v>35</v>
      </c>
      <c r="D57" s="1" t="s">
        <v>271</v>
      </c>
      <c r="E57" s="1" t="s">
        <v>37</v>
      </c>
      <c r="F57" s="25" t="s">
        <v>278</v>
      </c>
      <c r="G57" s="1" t="s">
        <v>278</v>
      </c>
      <c r="H57" s="1" t="s">
        <v>39</v>
      </c>
      <c r="I57" s="1" t="s">
        <v>39</v>
      </c>
      <c r="J57" s="1" t="s">
        <v>39</v>
      </c>
      <c r="K57" s="1" t="s">
        <v>39</v>
      </c>
      <c r="L57" s="1" t="s">
        <v>39</v>
      </c>
      <c r="M57" s="1" t="s">
        <v>39</v>
      </c>
      <c r="N57" s="1" t="s">
        <v>37</v>
      </c>
      <c r="O57" s="1"/>
      <c r="P57" s="1"/>
      <c r="Q57" s="1"/>
      <c r="R57" s="1" t="s">
        <v>273</v>
      </c>
      <c r="S57" s="1" t="s">
        <v>274</v>
      </c>
      <c r="T57" s="1">
        <v>99999999999</v>
      </c>
      <c r="U57" s="1">
        <v>11111111111</v>
      </c>
      <c r="V57" s="1">
        <v>11111111111</v>
      </c>
      <c r="W57" s="1" t="s">
        <v>279</v>
      </c>
      <c r="X57" s="1" t="s">
        <v>280</v>
      </c>
      <c r="Y57" s="1" t="s">
        <v>45</v>
      </c>
      <c r="Z57" s="1" t="s">
        <v>46</v>
      </c>
      <c r="AA57" s="1" t="s">
        <v>47</v>
      </c>
      <c r="AB57" s="1" t="s">
        <v>39</v>
      </c>
      <c r="AC57" s="1" t="s">
        <v>37</v>
      </c>
      <c r="AD57" s="1" t="s">
        <v>39</v>
      </c>
      <c r="AE57" s="1" t="s">
        <v>37</v>
      </c>
      <c r="AF57" s="1" t="s">
        <v>37</v>
      </c>
      <c r="AG57" s="1" t="s">
        <v>39</v>
      </c>
      <c r="AH57" s="1" t="s">
        <v>37</v>
      </c>
      <c r="AI57" s="1" t="s">
        <v>39</v>
      </c>
      <c r="AJ57" s="1" t="s">
        <v>39</v>
      </c>
      <c r="AK57" s="1" t="str">
        <f t="shared" si="1"/>
        <v>Apenas Pilar 3</v>
      </c>
      <c r="AL57" s="1" t="str">
        <f>+IF(IFERROR(VLOOKUP(A57,Ficheiros!I:I,1,FALSE),"")=A57,"Sim","Não")</f>
        <v>Sim</v>
      </c>
      <c r="AM57" s="1" t="str">
        <f>+IF(IFERROR(VLOOKUP(A57,Ficheiros!E:E,1,FALSE),"")=A57,"Sim","Não")</f>
        <v>Não</v>
      </c>
      <c r="AN57" s="1" t="str">
        <f>+IF(IFERROR(VLOOKUP(A57,Ficheiros!O:O,1,FALSE),"")=A57,"Sim","Não")</f>
        <v>Sim</v>
      </c>
      <c r="AO57" s="1" t="str">
        <f>+IF(IFERROR(VLOOKUP(A57,'Especificação Novos Req. LT (2'!A:A,1,FALSE),"")=A57,"Sim","Não")</f>
        <v>Não</v>
      </c>
      <c r="AP57" s="1" t="str">
        <f>+IF(IFERROR(VLOOKUP(A57,Ficheiros!T:T,1,FALSE),"")=A57,"Sim","Não")</f>
        <v>Sim</v>
      </c>
      <c r="AQ57" s="1" t="str">
        <f>+VLOOKUP(A57,Ficheiros!O:P,2,FALSE)</f>
        <v>1. Concluído</v>
      </c>
      <c r="AR57" s="1" t="str">
        <f>+VLOOKUP(A57,Ficheiros!T:U,2,FALSE)</f>
        <v>9. Concluído</v>
      </c>
      <c r="AS57" s="1" t="str">
        <f>+VLOOKUP(A57,Ficheiros!T:V,3,FALSE)</f>
        <v>PM</v>
      </c>
      <c r="AT57" s="1"/>
      <c r="AU57" s="1"/>
      <c r="AV57" s="1"/>
      <c r="AW57" s="1"/>
      <c r="AX57" s="1"/>
    </row>
    <row r="58" spans="1:50" ht="14.5" hidden="1" customHeight="1" x14ac:dyDescent="0.35">
      <c r="A58" s="5" t="str">
        <f t="shared" si="0"/>
        <v>ENTITYGRP_NT_DBT</v>
      </c>
      <c r="B58" s="1" t="s">
        <v>281</v>
      </c>
      <c r="C58" s="1" t="s">
        <v>35</v>
      </c>
      <c r="D58" s="1" t="s">
        <v>271</v>
      </c>
      <c r="E58" s="1" t="s">
        <v>37</v>
      </c>
      <c r="F58" s="25" t="s">
        <v>282</v>
      </c>
      <c r="G58" s="1" t="s">
        <v>282</v>
      </c>
      <c r="H58" s="1" t="s">
        <v>39</v>
      </c>
      <c r="I58" s="1" t="s">
        <v>39</v>
      </c>
      <c r="J58" s="1" t="s">
        <v>39</v>
      </c>
      <c r="K58" s="1" t="s">
        <v>39</v>
      </c>
      <c r="L58" s="1" t="s">
        <v>39</v>
      </c>
      <c r="M58" s="1" t="s">
        <v>39</v>
      </c>
      <c r="N58" s="1" t="s">
        <v>37</v>
      </c>
      <c r="O58" s="1"/>
      <c r="P58" s="1"/>
      <c r="Q58" s="1"/>
      <c r="R58" s="1" t="s">
        <v>273</v>
      </c>
      <c r="S58" s="1" t="s">
        <v>274</v>
      </c>
      <c r="T58" s="1">
        <v>99999999999</v>
      </c>
      <c r="U58" s="1">
        <v>11111111111</v>
      </c>
      <c r="V58" s="1">
        <v>11111111111</v>
      </c>
      <c r="W58" s="1" t="s">
        <v>283</v>
      </c>
      <c r="X58" s="1" t="s">
        <v>284</v>
      </c>
      <c r="Y58" s="1" t="s">
        <v>45</v>
      </c>
      <c r="Z58" s="1" t="s">
        <v>46</v>
      </c>
      <c r="AA58" s="1" t="s">
        <v>47</v>
      </c>
      <c r="AB58" s="1" t="s">
        <v>39</v>
      </c>
      <c r="AC58" s="1" t="s">
        <v>37</v>
      </c>
      <c r="AD58" s="1" t="s">
        <v>37</v>
      </c>
      <c r="AE58" s="1" t="s">
        <v>37</v>
      </c>
      <c r="AF58" s="1" t="s">
        <v>37</v>
      </c>
      <c r="AG58" s="1" t="s">
        <v>39</v>
      </c>
      <c r="AH58" s="1" t="s">
        <v>37</v>
      </c>
      <c r="AI58" s="1" t="s">
        <v>37</v>
      </c>
      <c r="AJ58" s="1" t="s">
        <v>39</v>
      </c>
      <c r="AK58" s="1" t="str">
        <f t="shared" si="1"/>
        <v>Fora de âmbito</v>
      </c>
      <c r="AL58" s="1" t="str">
        <f>+IF(IFERROR(VLOOKUP(A58,Ficheiros!I:I,1,FALSE),"")=A58,"Sim","Não")</f>
        <v>Sim</v>
      </c>
      <c r="AM58" s="1" t="str">
        <f>+IF(IFERROR(VLOOKUP(A58,Ficheiros!E:E,1,FALSE),"")=A58,"Sim","Não")</f>
        <v>Não</v>
      </c>
      <c r="AN58" s="1" t="str">
        <f>+IF(IFERROR(VLOOKUP(A58,Ficheiros!O:O,1,FALSE),"")=A58,"Sim","Não")</f>
        <v>Não</v>
      </c>
      <c r="AO58" s="1" t="str">
        <f>+IF(IFERROR(VLOOKUP(A58,'Especificação Novos Req. LT (2'!A:A,1,FALSE),"")=A58,"Sim","Não")</f>
        <v>Não</v>
      </c>
      <c r="AP58" s="1" t="str">
        <f>+IF(IFERROR(VLOOKUP(A58,Ficheiros!T:T,1,FALSE),"")=A58,"Sim","Não")</f>
        <v>Sim</v>
      </c>
      <c r="AQ58" s="1" t="e">
        <f>+VLOOKUP(A58,Ficheiros!O:P,2,FALSE)</f>
        <v>#N/A</v>
      </c>
      <c r="AR58" s="1" t="str">
        <f>+VLOOKUP(A58,Ficheiros!T:U,2,FALSE)</f>
        <v>9. Concluído</v>
      </c>
      <c r="AS58" s="1" t="str">
        <f>+VLOOKUP(A58,Ficheiros!T:V,3,FALSE)</f>
        <v>PM</v>
      </c>
      <c r="AT58" s="1"/>
      <c r="AU58" s="1"/>
      <c r="AV58" s="1"/>
      <c r="AW58" s="1"/>
      <c r="AX58" s="1"/>
    </row>
    <row r="59" spans="1:50" ht="14.5" hidden="1" customHeight="1" x14ac:dyDescent="0.35">
      <c r="A59" s="5" t="str">
        <f t="shared" si="0"/>
        <v>ENTITYANNL_TRNVR_LE</v>
      </c>
      <c r="B59" s="1" t="s">
        <v>285</v>
      </c>
      <c r="C59" s="1" t="s">
        <v>35</v>
      </c>
      <c r="D59" s="1" t="s">
        <v>271</v>
      </c>
      <c r="E59" s="1" t="s">
        <v>39</v>
      </c>
      <c r="F59" s="25" t="s">
        <v>286</v>
      </c>
      <c r="G59" s="1" t="s">
        <v>286</v>
      </c>
      <c r="H59" s="1" t="s">
        <v>39</v>
      </c>
      <c r="I59" s="1" t="s">
        <v>39</v>
      </c>
      <c r="J59" s="1" t="s">
        <v>39</v>
      </c>
      <c r="K59" s="1" t="s">
        <v>39</v>
      </c>
      <c r="L59" s="1" t="s">
        <v>39</v>
      </c>
      <c r="M59" s="1" t="s">
        <v>39</v>
      </c>
      <c r="N59" s="1" t="s">
        <v>37</v>
      </c>
      <c r="O59" s="1"/>
      <c r="P59" s="1"/>
      <c r="Q59" s="1"/>
      <c r="R59" s="1" t="s">
        <v>273</v>
      </c>
      <c r="S59" s="1" t="s">
        <v>274</v>
      </c>
      <c r="T59" s="1">
        <v>99999999999</v>
      </c>
      <c r="U59" s="1">
        <v>11111111111</v>
      </c>
      <c r="V59" s="1">
        <v>11111111111</v>
      </c>
      <c r="W59" s="1" t="s">
        <v>287</v>
      </c>
      <c r="X59" s="1" t="s">
        <v>288</v>
      </c>
      <c r="Y59" s="1" t="s">
        <v>45</v>
      </c>
      <c r="Z59" s="1" t="s">
        <v>46</v>
      </c>
      <c r="AA59" s="1" t="s">
        <v>47</v>
      </c>
      <c r="AB59" s="1" t="s">
        <v>39</v>
      </c>
      <c r="AC59" s="1" t="s">
        <v>37</v>
      </c>
      <c r="AD59" s="1" t="s">
        <v>39</v>
      </c>
      <c r="AE59" s="1" t="s">
        <v>37</v>
      </c>
      <c r="AF59" s="1" t="s">
        <v>37</v>
      </c>
      <c r="AG59" s="1" t="s">
        <v>39</v>
      </c>
      <c r="AH59" s="1" t="s">
        <v>37</v>
      </c>
      <c r="AI59" s="1" t="s">
        <v>39</v>
      </c>
      <c r="AJ59" s="1" t="s">
        <v>39</v>
      </c>
      <c r="AK59" s="1" t="str">
        <f t="shared" si="1"/>
        <v>Apenas Pilar 3</v>
      </c>
      <c r="AL59" s="1" t="str">
        <f>+IF(IFERROR(VLOOKUP(A59,Ficheiros!I:I,1,FALSE),"")=A59,"Sim","Não")</f>
        <v>Sim</v>
      </c>
      <c r="AM59" s="1" t="str">
        <f>+IF(IFERROR(VLOOKUP(A59,Ficheiros!E:E,1,FALSE),"")=A59,"Sim","Não")</f>
        <v>Não</v>
      </c>
      <c r="AN59" s="1" t="str">
        <f>+IF(IFERROR(VLOOKUP(A59,Ficheiros!O:O,1,FALSE),"")=A59,"Sim","Não")</f>
        <v>Sim</v>
      </c>
      <c r="AO59" s="1" t="str">
        <f>+IF(IFERROR(VLOOKUP(A59,'Especificação Novos Req. LT (2'!A:A,1,FALSE),"")=A59,"Sim","Não")</f>
        <v>Não</v>
      </c>
      <c r="AP59" s="1" t="str">
        <f>+IF(IFERROR(VLOOKUP(A59,Ficheiros!T:T,1,FALSE),"")=A59,"Sim","Não")</f>
        <v>Sim</v>
      </c>
      <c r="AQ59" s="1" t="str">
        <f>+VLOOKUP(A59,Ficheiros!O:P,2,FALSE)</f>
        <v>1. Concluído</v>
      </c>
      <c r="AR59" s="1" t="str">
        <f>+VLOOKUP(A59,Ficheiros!T:U,2,FALSE)</f>
        <v>2. Alterar especificação</v>
      </c>
      <c r="AS59" s="1" t="str">
        <f>+VLOOKUP(A59,Ficheiros!T:V,3,FALSE)</f>
        <v>PM &amp; LF</v>
      </c>
      <c r="AT59" s="1"/>
      <c r="AU59" s="1"/>
      <c r="AV59" s="1"/>
      <c r="AW59" s="1"/>
      <c r="AX59" s="1"/>
    </row>
    <row r="60" spans="1:50" ht="14.5" hidden="1" customHeight="1" x14ac:dyDescent="0.35">
      <c r="A60" s="5" t="str">
        <f t="shared" si="0"/>
        <v>ENTITYANNL_TRNVR_PRVS</v>
      </c>
      <c r="B60" s="1" t="s">
        <v>289</v>
      </c>
      <c r="C60" s="1" t="s">
        <v>35</v>
      </c>
      <c r="D60" s="1" t="s">
        <v>271</v>
      </c>
      <c r="E60" s="1" t="s">
        <v>37</v>
      </c>
      <c r="F60" s="25" t="s">
        <v>290</v>
      </c>
      <c r="G60" s="1" t="s">
        <v>290</v>
      </c>
      <c r="H60" s="1" t="s">
        <v>39</v>
      </c>
      <c r="I60" s="1" t="s">
        <v>39</v>
      </c>
      <c r="J60" s="1" t="s">
        <v>39</v>
      </c>
      <c r="K60" s="1" t="s">
        <v>39</v>
      </c>
      <c r="L60" s="1" t="s">
        <v>39</v>
      </c>
      <c r="M60" s="1" t="s">
        <v>39</v>
      </c>
      <c r="N60" s="1" t="s">
        <v>37</v>
      </c>
      <c r="O60" s="1"/>
      <c r="P60" s="1"/>
      <c r="Q60" s="1"/>
      <c r="R60" s="1" t="s">
        <v>273</v>
      </c>
      <c r="S60" s="1" t="s">
        <v>274</v>
      </c>
      <c r="T60" s="1">
        <v>99999999999</v>
      </c>
      <c r="U60" s="1">
        <v>11111111111</v>
      </c>
      <c r="V60" s="1">
        <v>11111111111</v>
      </c>
      <c r="W60" s="1" t="s">
        <v>291</v>
      </c>
      <c r="X60" s="1" t="s">
        <v>288</v>
      </c>
      <c r="Y60" s="1" t="s">
        <v>45</v>
      </c>
      <c r="Z60" s="1" t="s">
        <v>46</v>
      </c>
      <c r="AA60" s="1" t="s">
        <v>47</v>
      </c>
      <c r="AB60" s="1" t="s">
        <v>39</v>
      </c>
      <c r="AC60" s="1" t="s">
        <v>37</v>
      </c>
      <c r="AD60" s="1" t="s">
        <v>37</v>
      </c>
      <c r="AE60" s="1" t="s">
        <v>37</v>
      </c>
      <c r="AF60" s="1" t="s">
        <v>37</v>
      </c>
      <c r="AG60" s="1" t="s">
        <v>39</v>
      </c>
      <c r="AH60" s="1" t="s">
        <v>37</v>
      </c>
      <c r="AI60" s="1" t="s">
        <v>37</v>
      </c>
      <c r="AJ60" s="1" t="s">
        <v>39</v>
      </c>
      <c r="AK60" s="1" t="str">
        <f t="shared" si="1"/>
        <v>Fora de âmbito</v>
      </c>
      <c r="AL60" s="1" t="str">
        <f>+IF(IFERROR(VLOOKUP(A60,Ficheiros!I:I,1,FALSE),"")=A60,"Sim","Não")</f>
        <v>Sim</v>
      </c>
      <c r="AM60" s="1" t="str">
        <f>+IF(IFERROR(VLOOKUP(A60,Ficheiros!E:E,1,FALSE),"")=A60,"Sim","Não")</f>
        <v>Não</v>
      </c>
      <c r="AN60" s="1" t="str">
        <f>+IF(IFERROR(VLOOKUP(A60,Ficheiros!O:O,1,FALSE),"")=A60,"Sim","Não")</f>
        <v>Não</v>
      </c>
      <c r="AO60" s="1" t="str">
        <f>+IF(IFERROR(VLOOKUP(A60,'Especificação Novos Req. LT (2'!A:A,1,FALSE),"")=A60,"Sim","Não")</f>
        <v>Não</v>
      </c>
      <c r="AP60" s="1" t="str">
        <f>+IF(IFERROR(VLOOKUP(A60,Ficheiros!T:T,1,FALSE),"")=A60,"Sim","Não")</f>
        <v>Sim</v>
      </c>
      <c r="AQ60" s="1" t="e">
        <f>+VLOOKUP(A60,Ficheiros!O:P,2,FALSE)</f>
        <v>#N/A</v>
      </c>
      <c r="AR60" s="1" t="str">
        <f>+VLOOKUP(A60,Ficheiros!T:U,2,FALSE)</f>
        <v>2. Alterar especificação</v>
      </c>
      <c r="AS60" s="1" t="str">
        <f>+VLOOKUP(A60,Ficheiros!T:V,3,FALSE)</f>
        <v>PM &amp; LF</v>
      </c>
      <c r="AT60" s="1"/>
      <c r="AU60" s="1"/>
      <c r="AV60" s="1"/>
      <c r="AW60" s="1"/>
      <c r="AX60" s="1"/>
    </row>
    <row r="61" spans="1:50" ht="14.5" hidden="1" customHeight="1" x14ac:dyDescent="0.35">
      <c r="A61" s="5" t="str">
        <f t="shared" si="0"/>
        <v>ENTITYCAPEX</v>
      </c>
      <c r="B61" s="1" t="s">
        <v>292</v>
      </c>
      <c r="C61" s="1" t="s">
        <v>35</v>
      </c>
      <c r="D61" s="1" t="s">
        <v>271</v>
      </c>
      <c r="E61" s="1" t="s">
        <v>37</v>
      </c>
      <c r="F61" s="25" t="s">
        <v>293</v>
      </c>
      <c r="G61" s="1" t="s">
        <v>293</v>
      </c>
      <c r="H61" s="1" t="s">
        <v>39</v>
      </c>
      <c r="I61" s="1" t="s">
        <v>39</v>
      </c>
      <c r="J61" s="1" t="s">
        <v>39</v>
      </c>
      <c r="K61" s="1" t="s">
        <v>39</v>
      </c>
      <c r="L61" s="1" t="s">
        <v>39</v>
      </c>
      <c r="M61" s="1" t="s">
        <v>39</v>
      </c>
      <c r="N61" s="1" t="s">
        <v>37</v>
      </c>
      <c r="O61" s="1"/>
      <c r="P61" s="1"/>
      <c r="Q61" s="1"/>
      <c r="R61" s="1" t="s">
        <v>273</v>
      </c>
      <c r="S61" s="1" t="s">
        <v>274</v>
      </c>
      <c r="T61" s="1">
        <v>99999999999</v>
      </c>
      <c r="U61" s="1">
        <v>11111111111</v>
      </c>
      <c r="V61" s="1">
        <v>11111111111</v>
      </c>
      <c r="W61" s="1" t="s">
        <v>294</v>
      </c>
      <c r="X61" s="1" t="s">
        <v>295</v>
      </c>
      <c r="Y61" s="1" t="s">
        <v>45</v>
      </c>
      <c r="Z61" s="1" t="s">
        <v>46</v>
      </c>
      <c r="AA61" s="1" t="s">
        <v>47</v>
      </c>
      <c r="AB61" s="1" t="s">
        <v>39</v>
      </c>
      <c r="AC61" s="1" t="s">
        <v>37</v>
      </c>
      <c r="AD61" s="1" t="s">
        <v>37</v>
      </c>
      <c r="AE61" s="1" t="s">
        <v>37</v>
      </c>
      <c r="AF61" s="1" t="s">
        <v>37</v>
      </c>
      <c r="AG61" s="1" t="s">
        <v>37</v>
      </c>
      <c r="AH61" s="1" t="s">
        <v>37</v>
      </c>
      <c r="AI61" s="1" t="s">
        <v>37</v>
      </c>
      <c r="AJ61" s="1" t="s">
        <v>39</v>
      </c>
      <c r="AK61" s="1" t="str">
        <f t="shared" si="1"/>
        <v>Fora de âmbito</v>
      </c>
      <c r="AL61" s="1" t="str">
        <f>+IF(IFERROR(VLOOKUP(A61,Ficheiros!I:I,1,FALSE),"")=A61,"Sim","Não")</f>
        <v>Sim</v>
      </c>
      <c r="AM61" s="1" t="str">
        <f>+IF(IFERROR(VLOOKUP(A61,Ficheiros!E:E,1,FALSE),"")=A61,"Sim","Não")</f>
        <v>Não</v>
      </c>
      <c r="AN61" s="1" t="str">
        <f>+IF(IFERROR(VLOOKUP(A61,Ficheiros!O:O,1,FALSE),"")=A61,"Sim","Não")</f>
        <v>Não</v>
      </c>
      <c r="AO61" s="1" t="str">
        <f>+IF(IFERROR(VLOOKUP(A61,'Especificação Novos Req. LT (2'!A:A,1,FALSE),"")=A61,"Sim","Não")</f>
        <v>Não</v>
      </c>
      <c r="AP61" s="1" t="str">
        <f>+IF(IFERROR(VLOOKUP(A61,Ficheiros!T:T,1,FALSE),"")=A61,"Sim","Não")</f>
        <v>Sim</v>
      </c>
      <c r="AQ61" s="1" t="e">
        <f>+VLOOKUP(A61,Ficheiros!O:P,2,FALSE)</f>
        <v>#N/A</v>
      </c>
      <c r="AR61" s="1" t="str">
        <f>+VLOOKUP(A61,Ficheiros!T:U,2,FALSE)</f>
        <v>2. Alterar especificação</v>
      </c>
      <c r="AS61" s="1" t="str">
        <f>+VLOOKUP(A61,Ficheiros!T:V,3,FALSE)</f>
        <v>PM</v>
      </c>
      <c r="AT61" s="1"/>
      <c r="AU61" s="1"/>
      <c r="AV61" s="1"/>
      <c r="AW61" s="1"/>
      <c r="AX61" s="1"/>
    </row>
    <row r="62" spans="1:50" ht="14.5" hidden="1" customHeight="1" x14ac:dyDescent="0.35">
      <c r="A62" s="5" t="str">
        <f t="shared" si="0"/>
        <v>ENTITYCAPEX_PRVS</v>
      </c>
      <c r="B62" s="1" t="s">
        <v>296</v>
      </c>
      <c r="C62" s="1" t="s">
        <v>35</v>
      </c>
      <c r="D62" s="1" t="s">
        <v>271</v>
      </c>
      <c r="E62" s="1" t="s">
        <v>37</v>
      </c>
      <c r="F62" s="25" t="s">
        <v>297</v>
      </c>
      <c r="G62" s="1" t="s">
        <v>297</v>
      </c>
      <c r="H62" s="1" t="s">
        <v>39</v>
      </c>
      <c r="I62" s="1" t="s">
        <v>39</v>
      </c>
      <c r="J62" s="1" t="s">
        <v>39</v>
      </c>
      <c r="K62" s="1" t="s">
        <v>39</v>
      </c>
      <c r="L62" s="1" t="s">
        <v>39</v>
      </c>
      <c r="M62" s="1" t="s">
        <v>39</v>
      </c>
      <c r="N62" s="1" t="s">
        <v>37</v>
      </c>
      <c r="O62" s="1"/>
      <c r="P62" s="1"/>
      <c r="Q62" s="1"/>
      <c r="R62" s="1" t="s">
        <v>273</v>
      </c>
      <c r="S62" s="1" t="s">
        <v>274</v>
      </c>
      <c r="T62" s="1">
        <v>99999999999</v>
      </c>
      <c r="U62" s="1">
        <v>11111111111</v>
      </c>
      <c r="V62" s="1">
        <v>11111111111</v>
      </c>
      <c r="W62" s="1" t="s">
        <v>298</v>
      </c>
      <c r="X62" s="1" t="s">
        <v>299</v>
      </c>
      <c r="Y62" s="1" t="s">
        <v>45</v>
      </c>
      <c r="Z62" s="1" t="s">
        <v>46</v>
      </c>
      <c r="AA62" s="1" t="s">
        <v>47</v>
      </c>
      <c r="AB62" s="1" t="s">
        <v>39</v>
      </c>
      <c r="AC62" s="1" t="s">
        <v>37</v>
      </c>
      <c r="AD62" s="1" t="s">
        <v>37</v>
      </c>
      <c r="AE62" s="1" t="s">
        <v>37</v>
      </c>
      <c r="AF62" s="1" t="s">
        <v>37</v>
      </c>
      <c r="AG62" s="1" t="s">
        <v>37</v>
      </c>
      <c r="AH62" s="1" t="s">
        <v>37</v>
      </c>
      <c r="AI62" s="1" t="s">
        <v>37</v>
      </c>
      <c r="AJ62" s="1" t="s">
        <v>39</v>
      </c>
      <c r="AK62" s="1" t="str">
        <f t="shared" si="1"/>
        <v>Fora de âmbito</v>
      </c>
      <c r="AL62" s="1" t="str">
        <f>+IF(IFERROR(VLOOKUP(A62,Ficheiros!I:I,1,FALSE),"")=A62,"Sim","Não")</f>
        <v>Sim</v>
      </c>
      <c r="AM62" s="1" t="str">
        <f>+IF(IFERROR(VLOOKUP(A62,Ficheiros!E:E,1,FALSE),"")=A62,"Sim","Não")</f>
        <v>Não</v>
      </c>
      <c r="AN62" s="1" t="str">
        <f>+IF(IFERROR(VLOOKUP(A62,Ficheiros!O:O,1,FALSE),"")=A62,"Sim","Não")</f>
        <v>Não</v>
      </c>
      <c r="AO62" s="1" t="str">
        <f>+IF(IFERROR(VLOOKUP(A62,'Especificação Novos Req. LT (2'!A:A,1,FALSE),"")=A62,"Sim","Não")</f>
        <v>Não</v>
      </c>
      <c r="AP62" s="1" t="str">
        <f>+IF(IFERROR(VLOOKUP(A62,Ficheiros!T:T,1,FALSE),"")=A62,"Sim","Não")</f>
        <v>Sim</v>
      </c>
      <c r="AQ62" s="1" t="e">
        <f>+VLOOKUP(A62,Ficheiros!O:P,2,FALSE)</f>
        <v>#N/A</v>
      </c>
      <c r="AR62" s="1" t="str">
        <f>+VLOOKUP(A62,Ficheiros!T:U,2,FALSE)</f>
        <v>2. Alterar especificação</v>
      </c>
      <c r="AS62" s="1" t="str">
        <f>+VLOOKUP(A62,Ficheiros!T:V,3,FALSE)</f>
        <v>PM</v>
      </c>
      <c r="AT62" s="1"/>
      <c r="AU62" s="1"/>
      <c r="AV62" s="1"/>
      <c r="AW62" s="1"/>
      <c r="AX62" s="1"/>
    </row>
    <row r="63" spans="1:50" ht="14.5" hidden="1" customHeight="1" x14ac:dyDescent="0.35">
      <c r="A63" s="5" t="str">
        <f t="shared" si="0"/>
        <v>ENTITYCLLCTN_MD</v>
      </c>
      <c r="B63" s="1" t="s">
        <v>300</v>
      </c>
      <c r="C63" s="1" t="s">
        <v>35</v>
      </c>
      <c r="D63" s="1" t="s">
        <v>271</v>
      </c>
      <c r="E63" s="1" t="s">
        <v>37</v>
      </c>
      <c r="F63" s="25" t="s">
        <v>301</v>
      </c>
      <c r="G63" s="1" t="s">
        <v>301</v>
      </c>
      <c r="H63" s="1" t="s">
        <v>37</v>
      </c>
      <c r="I63" s="1" t="s">
        <v>39</v>
      </c>
      <c r="J63" s="1" t="s">
        <v>39</v>
      </c>
      <c r="K63" s="1" t="s">
        <v>39</v>
      </c>
      <c r="L63" s="1" t="s">
        <v>39</v>
      </c>
      <c r="M63" s="1" t="s">
        <v>39</v>
      </c>
      <c r="N63" s="1" t="s">
        <v>39</v>
      </c>
      <c r="O63" s="1"/>
      <c r="P63" s="1"/>
      <c r="Q63" s="1"/>
      <c r="R63" s="1" t="s">
        <v>136</v>
      </c>
      <c r="S63" s="1" t="s">
        <v>52</v>
      </c>
      <c r="T63" s="1">
        <v>99999999999</v>
      </c>
      <c r="U63" s="1">
        <v>11111111111</v>
      </c>
      <c r="V63" s="1">
        <v>11111111111</v>
      </c>
      <c r="W63" s="1" t="s">
        <v>302</v>
      </c>
      <c r="X63" s="1" t="s">
        <v>303</v>
      </c>
      <c r="Y63" s="1" t="s">
        <v>45</v>
      </c>
      <c r="Z63" s="1" t="s">
        <v>46</v>
      </c>
      <c r="AA63" s="1" t="s">
        <v>47</v>
      </c>
      <c r="AB63" s="1" t="s">
        <v>39</v>
      </c>
      <c r="AC63" s="1" t="s">
        <v>37</v>
      </c>
      <c r="AD63" s="1" t="s">
        <v>37</v>
      </c>
      <c r="AE63" s="1" t="s">
        <v>37</v>
      </c>
      <c r="AF63" s="1" t="s">
        <v>37</v>
      </c>
      <c r="AG63" s="1" t="s">
        <v>37</v>
      </c>
      <c r="AH63" s="1" t="s">
        <v>37</v>
      </c>
      <c r="AI63" s="1" t="s">
        <v>37</v>
      </c>
      <c r="AJ63" s="1" t="s">
        <v>39</v>
      </c>
      <c r="AK63" s="1" t="str">
        <f t="shared" si="1"/>
        <v>Fora de âmbito</v>
      </c>
      <c r="AL63" s="1" t="str">
        <f>+IF(IFERROR(VLOOKUP(A63,Ficheiros!I:I,1,FALSE),"")=A63,"Sim","Não")</f>
        <v>Sim</v>
      </c>
      <c r="AM63" s="1" t="str">
        <f>+IF(IFERROR(VLOOKUP(A63,Ficheiros!E:E,1,FALSE),"")=A63,"Sim","Não")</f>
        <v>Não</v>
      </c>
      <c r="AN63" s="1" t="str">
        <f>+IF(IFERROR(VLOOKUP(A63,Ficheiros!O:O,1,FALSE),"")=A63,"Sim","Não")</f>
        <v>Não</v>
      </c>
      <c r="AO63" s="1" t="str">
        <f>+IF(IFERROR(VLOOKUP(A63,'Especificação Novos Req. LT (2'!A:A,1,FALSE),"")=A63,"Sim","Não")</f>
        <v>Não</v>
      </c>
      <c r="AP63" s="1" t="str">
        <f>+IF(IFERROR(VLOOKUP(A63,Ficheiros!T:T,1,FALSE),"")=A63,"Sim","Não")</f>
        <v>Sim</v>
      </c>
      <c r="AQ63" s="1" t="e">
        <f>+VLOOKUP(A63,Ficheiros!O:P,2,FALSE)</f>
        <v>#N/A</v>
      </c>
      <c r="AR63" s="1" t="str">
        <f>+VLOOKUP(A63,Ficheiros!T:U,2,FALSE)</f>
        <v>9. Concluído</v>
      </c>
      <c r="AS63" s="1" t="str">
        <f>+VLOOKUP(A63,Ficheiros!T:V,3,FALSE)</f>
        <v>PM</v>
      </c>
      <c r="AT63" s="1"/>
      <c r="AU63" s="1"/>
      <c r="AV63" s="1"/>
      <c r="AW63" s="1"/>
      <c r="AX63" s="1"/>
    </row>
    <row r="64" spans="1:50" ht="14.5" hidden="1" customHeight="1" x14ac:dyDescent="0.35">
      <c r="A64" s="5" t="str">
        <f t="shared" si="0"/>
        <v>ENTITYCSH</v>
      </c>
      <c r="B64" s="1" t="s">
        <v>304</v>
      </c>
      <c r="C64" s="1" t="s">
        <v>35</v>
      </c>
      <c r="D64" s="1" t="s">
        <v>271</v>
      </c>
      <c r="E64" s="1" t="s">
        <v>37</v>
      </c>
      <c r="F64" s="25" t="s">
        <v>305</v>
      </c>
      <c r="G64" s="1" t="s">
        <v>305</v>
      </c>
      <c r="H64" s="1" t="s">
        <v>39</v>
      </c>
      <c r="I64" s="1" t="s">
        <v>39</v>
      </c>
      <c r="J64" s="1" t="s">
        <v>39</v>
      </c>
      <c r="K64" s="1" t="s">
        <v>39</v>
      </c>
      <c r="L64" s="1" t="s">
        <v>39</v>
      </c>
      <c r="M64" s="1" t="s">
        <v>39</v>
      </c>
      <c r="N64" s="1" t="s">
        <v>37</v>
      </c>
      <c r="O64" s="1"/>
      <c r="P64" s="1"/>
      <c r="Q64" s="1"/>
      <c r="R64" s="1" t="s">
        <v>273</v>
      </c>
      <c r="S64" s="1" t="s">
        <v>274</v>
      </c>
      <c r="T64" s="1">
        <v>99999999999</v>
      </c>
      <c r="U64" s="1">
        <v>11111111111</v>
      </c>
      <c r="V64" s="1">
        <v>11111111111</v>
      </c>
      <c r="W64" s="1" t="s">
        <v>306</v>
      </c>
      <c r="X64" s="1" t="s">
        <v>307</v>
      </c>
      <c r="Y64" s="1" t="s">
        <v>45</v>
      </c>
      <c r="Z64" s="1" t="s">
        <v>46</v>
      </c>
      <c r="AA64" s="1" t="s">
        <v>47</v>
      </c>
      <c r="AB64" s="1" t="s">
        <v>39</v>
      </c>
      <c r="AC64" s="1" t="s">
        <v>37</v>
      </c>
      <c r="AD64" s="1" t="s">
        <v>37</v>
      </c>
      <c r="AE64" s="1" t="s">
        <v>37</v>
      </c>
      <c r="AF64" s="1" t="s">
        <v>37</v>
      </c>
      <c r="AG64" s="1" t="s">
        <v>37</v>
      </c>
      <c r="AH64" s="1" t="s">
        <v>37</v>
      </c>
      <c r="AI64" s="1" t="s">
        <v>37</v>
      </c>
      <c r="AJ64" s="1" t="s">
        <v>39</v>
      </c>
      <c r="AK64" s="1" t="str">
        <f t="shared" si="1"/>
        <v>Fora de âmbito</v>
      </c>
      <c r="AL64" s="1" t="str">
        <f>+IF(IFERROR(VLOOKUP(A64,Ficheiros!I:I,1,FALSE),"")=A64,"Sim","Não")</f>
        <v>Sim</v>
      </c>
      <c r="AM64" s="1" t="str">
        <f>+IF(IFERROR(VLOOKUP(A64,Ficheiros!E:E,1,FALSE),"")=A64,"Sim","Não")</f>
        <v>Não</v>
      </c>
      <c r="AN64" s="1" t="str">
        <f>+IF(IFERROR(VLOOKUP(A64,Ficheiros!O:O,1,FALSE),"")=A64,"Sim","Não")</f>
        <v>Não</v>
      </c>
      <c r="AO64" s="1" t="str">
        <f>+IF(IFERROR(VLOOKUP(A64,'Especificação Novos Req. LT (2'!A:A,1,FALSE),"")=A64,"Sim","Não")</f>
        <v>Não</v>
      </c>
      <c r="AP64" s="1" t="str">
        <f>+IF(IFERROR(VLOOKUP(A64,Ficheiros!T:T,1,FALSE),"")=A64,"Sim","Não")</f>
        <v>Sim</v>
      </c>
      <c r="AQ64" s="1" t="e">
        <f>+VLOOKUP(A64,Ficheiros!O:P,2,FALSE)</f>
        <v>#N/A</v>
      </c>
      <c r="AR64" s="1" t="str">
        <f>+VLOOKUP(A64,Ficheiros!T:U,2,FALSE)</f>
        <v>2. Alterar especificação</v>
      </c>
      <c r="AS64" s="1" t="str">
        <f>+VLOOKUP(A64,Ficheiros!T:V,3,FALSE)</f>
        <v>PM</v>
      </c>
      <c r="AT64" s="1"/>
      <c r="AU64" s="1"/>
      <c r="AV64" s="1"/>
      <c r="AW64" s="1"/>
      <c r="AX64" s="1"/>
    </row>
    <row r="65" spans="1:50" ht="14.5" hidden="1" customHeight="1" x14ac:dyDescent="0.35">
      <c r="A65" s="5" t="str">
        <f t="shared" si="0"/>
        <v>ENTITYCSH_PRVS</v>
      </c>
      <c r="B65" s="1" t="s">
        <v>308</v>
      </c>
      <c r="C65" s="1" t="s">
        <v>35</v>
      </c>
      <c r="D65" s="1" t="s">
        <v>271</v>
      </c>
      <c r="E65" s="1" t="s">
        <v>37</v>
      </c>
      <c r="F65" s="25" t="s">
        <v>309</v>
      </c>
      <c r="G65" s="1" t="s">
        <v>309</v>
      </c>
      <c r="H65" s="1" t="s">
        <v>39</v>
      </c>
      <c r="I65" s="1" t="s">
        <v>39</v>
      </c>
      <c r="J65" s="1" t="s">
        <v>39</v>
      </c>
      <c r="K65" s="1" t="s">
        <v>39</v>
      </c>
      <c r="L65" s="1" t="s">
        <v>39</v>
      </c>
      <c r="M65" s="1" t="s">
        <v>39</v>
      </c>
      <c r="N65" s="1" t="s">
        <v>37</v>
      </c>
      <c r="O65" s="1"/>
      <c r="P65" s="1"/>
      <c r="Q65" s="1"/>
      <c r="R65" s="1" t="s">
        <v>273</v>
      </c>
      <c r="S65" s="1" t="s">
        <v>274</v>
      </c>
      <c r="T65" s="1">
        <v>99999999999</v>
      </c>
      <c r="U65" s="1">
        <v>11111111111</v>
      </c>
      <c r="V65" s="1">
        <v>11111111111</v>
      </c>
      <c r="W65" s="1" t="s">
        <v>310</v>
      </c>
      <c r="X65" s="1" t="s">
        <v>311</v>
      </c>
      <c r="Y65" s="1" t="s">
        <v>45</v>
      </c>
      <c r="Z65" s="1" t="s">
        <v>46</v>
      </c>
      <c r="AA65" s="1" t="s">
        <v>47</v>
      </c>
      <c r="AB65" s="1" t="s">
        <v>39</v>
      </c>
      <c r="AC65" s="1" t="s">
        <v>37</v>
      </c>
      <c r="AD65" s="1" t="s">
        <v>37</v>
      </c>
      <c r="AE65" s="1" t="s">
        <v>37</v>
      </c>
      <c r="AF65" s="1" t="s">
        <v>37</v>
      </c>
      <c r="AG65" s="1" t="s">
        <v>37</v>
      </c>
      <c r="AH65" s="1" t="s">
        <v>37</v>
      </c>
      <c r="AI65" s="1" t="s">
        <v>37</v>
      </c>
      <c r="AJ65" s="1" t="s">
        <v>39</v>
      </c>
      <c r="AK65" s="1" t="str">
        <f t="shared" si="1"/>
        <v>Fora de âmbito</v>
      </c>
      <c r="AL65" s="1" t="str">
        <f>+IF(IFERROR(VLOOKUP(A65,Ficheiros!I:I,1,FALSE),"")=A65,"Sim","Não")</f>
        <v>Sim</v>
      </c>
      <c r="AM65" s="1" t="str">
        <f>+IF(IFERROR(VLOOKUP(A65,Ficheiros!E:E,1,FALSE),"")=A65,"Sim","Não")</f>
        <v>Não</v>
      </c>
      <c r="AN65" s="1" t="str">
        <f>+IF(IFERROR(VLOOKUP(A65,Ficheiros!O:O,1,FALSE),"")=A65,"Sim","Não")</f>
        <v>Não</v>
      </c>
      <c r="AO65" s="1" t="str">
        <f>+IF(IFERROR(VLOOKUP(A65,'Especificação Novos Req. LT (2'!A:A,1,FALSE),"")=A65,"Sim","Não")</f>
        <v>Não</v>
      </c>
      <c r="AP65" s="1" t="str">
        <f>+IF(IFERROR(VLOOKUP(A65,Ficheiros!T:T,1,FALSE),"")=A65,"Sim","Não")</f>
        <v>Sim</v>
      </c>
      <c r="AQ65" s="1" t="e">
        <f>+VLOOKUP(A65,Ficheiros!O:P,2,FALSE)</f>
        <v>#N/A</v>
      </c>
      <c r="AR65" s="1" t="str">
        <f>+VLOOKUP(A65,Ficheiros!T:U,2,FALSE)</f>
        <v>2. Alterar especificação</v>
      </c>
      <c r="AS65" s="1" t="str">
        <f>+VLOOKUP(A65,Ficheiros!T:V,3,FALSE)</f>
        <v>PM</v>
      </c>
      <c r="AT65" s="1"/>
      <c r="AU65" s="1"/>
      <c r="AV65" s="1"/>
      <c r="AW65" s="1"/>
      <c r="AX65" s="1"/>
    </row>
    <row r="66" spans="1:50" ht="14.5" hidden="1" customHeight="1" x14ac:dyDescent="0.35">
      <c r="A66" s="5" t="str">
        <f t="shared" si="0"/>
        <v>ENTITYEBITDA</v>
      </c>
      <c r="B66" s="1" t="s">
        <v>312</v>
      </c>
      <c r="C66" s="1" t="s">
        <v>35</v>
      </c>
      <c r="D66" s="1" t="s">
        <v>271</v>
      </c>
      <c r="E66" s="1" t="s">
        <v>37</v>
      </c>
      <c r="F66" s="25" t="s">
        <v>313</v>
      </c>
      <c r="G66" s="1" t="s">
        <v>313</v>
      </c>
      <c r="H66" s="1" t="s">
        <v>39</v>
      </c>
      <c r="I66" s="1" t="s">
        <v>39</v>
      </c>
      <c r="J66" s="1" t="s">
        <v>39</v>
      </c>
      <c r="K66" s="1" t="s">
        <v>39</v>
      </c>
      <c r="L66" s="1" t="s">
        <v>39</v>
      </c>
      <c r="M66" s="1" t="s">
        <v>39</v>
      </c>
      <c r="N66" s="1" t="s">
        <v>37</v>
      </c>
      <c r="O66" s="1"/>
      <c r="P66" s="1"/>
      <c r="Q66" s="1"/>
      <c r="R66" s="1" t="s">
        <v>273</v>
      </c>
      <c r="S66" s="1" t="s">
        <v>274</v>
      </c>
      <c r="T66" s="1">
        <v>99999999999</v>
      </c>
      <c r="U66" s="1">
        <v>11111111111</v>
      </c>
      <c r="V66" s="1">
        <v>11111111111</v>
      </c>
      <c r="W66" s="1" t="s">
        <v>314</v>
      </c>
      <c r="X66" s="1" t="s">
        <v>315</v>
      </c>
      <c r="Y66" s="1" t="s">
        <v>45</v>
      </c>
      <c r="Z66" s="1" t="s">
        <v>46</v>
      </c>
      <c r="AA66" s="1" t="s">
        <v>47</v>
      </c>
      <c r="AB66" s="1" t="s">
        <v>39</v>
      </c>
      <c r="AC66" s="1" t="s">
        <v>37</v>
      </c>
      <c r="AD66" s="1" t="s">
        <v>37</v>
      </c>
      <c r="AE66" s="1" t="s">
        <v>37</v>
      </c>
      <c r="AF66" s="1" t="s">
        <v>37</v>
      </c>
      <c r="AG66" s="1" t="s">
        <v>39</v>
      </c>
      <c r="AH66" s="1" t="s">
        <v>37</v>
      </c>
      <c r="AI66" s="1" t="s">
        <v>37</v>
      </c>
      <c r="AJ66" s="1" t="s">
        <v>39</v>
      </c>
      <c r="AK66" s="1" t="str">
        <f t="shared" si="1"/>
        <v>Fora de âmbito</v>
      </c>
      <c r="AL66" s="1" t="str">
        <f>+IF(IFERROR(VLOOKUP(A66,Ficheiros!I:I,1,FALSE),"")=A66,"Sim","Não")</f>
        <v>Sim</v>
      </c>
      <c r="AM66" s="1" t="str">
        <f>+IF(IFERROR(VLOOKUP(A66,Ficheiros!E:E,1,FALSE),"")=A66,"Sim","Não")</f>
        <v>Não</v>
      </c>
      <c r="AN66" s="1" t="str">
        <f>+IF(IFERROR(VLOOKUP(A66,Ficheiros!O:O,1,FALSE),"")=A66,"Sim","Não")</f>
        <v>Não</v>
      </c>
      <c r="AO66" s="1" t="str">
        <f>+IF(IFERROR(VLOOKUP(A66,'Especificação Novos Req. LT (2'!A:A,1,FALSE),"")=A66,"Sim","Não")</f>
        <v>Não</v>
      </c>
      <c r="AP66" s="1" t="str">
        <f>+IF(IFERROR(VLOOKUP(A66,Ficheiros!T:T,1,FALSE),"")=A66,"Sim","Não")</f>
        <v>Sim</v>
      </c>
      <c r="AQ66" s="1" t="e">
        <f>+VLOOKUP(A66,Ficheiros!O:P,2,FALSE)</f>
        <v>#N/A</v>
      </c>
      <c r="AR66" s="1" t="str">
        <f>+VLOOKUP(A66,Ficheiros!T:U,2,FALSE)</f>
        <v>2. Alterar especificação</v>
      </c>
      <c r="AS66" s="1" t="str">
        <f>+VLOOKUP(A66,Ficheiros!T:V,3,FALSE)</f>
        <v>PM &amp; LF</v>
      </c>
      <c r="AT66" s="1"/>
      <c r="AU66" s="1"/>
      <c r="AV66" s="1"/>
      <c r="AW66" s="1"/>
      <c r="AX66" s="1"/>
    </row>
    <row r="67" spans="1:50" ht="14.5" hidden="1" customHeight="1" x14ac:dyDescent="0.35">
      <c r="A67" s="5" t="str">
        <f t="shared" si="0"/>
        <v>ENTITYEBITDA_PRVS</v>
      </c>
      <c r="B67" s="1" t="s">
        <v>316</v>
      </c>
      <c r="C67" s="1" t="s">
        <v>35</v>
      </c>
      <c r="D67" s="1" t="s">
        <v>271</v>
      </c>
      <c r="E67" s="1" t="s">
        <v>37</v>
      </c>
      <c r="F67" s="25" t="s">
        <v>317</v>
      </c>
      <c r="G67" s="1" t="s">
        <v>317</v>
      </c>
      <c r="H67" s="1" t="s">
        <v>39</v>
      </c>
      <c r="I67" s="1" t="s">
        <v>39</v>
      </c>
      <c r="J67" s="1" t="s">
        <v>39</v>
      </c>
      <c r="K67" s="1" t="s">
        <v>39</v>
      </c>
      <c r="L67" s="1" t="s">
        <v>39</v>
      </c>
      <c r="M67" s="1" t="s">
        <v>39</v>
      </c>
      <c r="N67" s="1" t="s">
        <v>37</v>
      </c>
      <c r="O67" s="1"/>
      <c r="P67" s="1"/>
      <c r="Q67" s="1"/>
      <c r="R67" s="1" t="s">
        <v>273</v>
      </c>
      <c r="S67" s="1" t="s">
        <v>274</v>
      </c>
      <c r="T67" s="1">
        <v>99999999999</v>
      </c>
      <c r="U67" s="1">
        <v>11111111111</v>
      </c>
      <c r="V67" s="1">
        <v>11111111111</v>
      </c>
      <c r="W67" s="1" t="s">
        <v>318</v>
      </c>
      <c r="X67" s="1" t="s">
        <v>319</v>
      </c>
      <c r="Y67" s="1" t="s">
        <v>45</v>
      </c>
      <c r="Z67" s="1" t="s">
        <v>46</v>
      </c>
      <c r="AA67" s="1" t="s">
        <v>47</v>
      </c>
      <c r="AB67" s="1" t="s">
        <v>39</v>
      </c>
      <c r="AC67" s="1" t="s">
        <v>37</v>
      </c>
      <c r="AD67" s="1" t="s">
        <v>37</v>
      </c>
      <c r="AE67" s="1" t="s">
        <v>37</v>
      </c>
      <c r="AF67" s="1" t="s">
        <v>37</v>
      </c>
      <c r="AG67" s="1" t="s">
        <v>39</v>
      </c>
      <c r="AH67" s="1" t="s">
        <v>37</v>
      </c>
      <c r="AI67" s="1" t="s">
        <v>37</v>
      </c>
      <c r="AJ67" s="1" t="s">
        <v>39</v>
      </c>
      <c r="AK67" s="1" t="str">
        <f t="shared" si="1"/>
        <v>Fora de âmbito</v>
      </c>
      <c r="AL67" s="1" t="str">
        <f>+IF(IFERROR(VLOOKUP(A67,Ficheiros!I:I,1,FALSE),"")=A67,"Sim","Não")</f>
        <v>Sim</v>
      </c>
      <c r="AM67" s="1" t="str">
        <f>+IF(IFERROR(VLOOKUP(A67,Ficheiros!E:E,1,FALSE),"")=A67,"Sim","Não")</f>
        <v>Não</v>
      </c>
      <c r="AN67" s="1" t="str">
        <f>+IF(IFERROR(VLOOKUP(A67,Ficheiros!O:O,1,FALSE),"")=A67,"Sim","Não")</f>
        <v>Não</v>
      </c>
      <c r="AO67" s="1" t="str">
        <f>+IF(IFERROR(VLOOKUP(A67,'Especificação Novos Req. LT (2'!A:A,1,FALSE),"")=A67,"Sim","Não")</f>
        <v>Não</v>
      </c>
      <c r="AP67" s="1" t="str">
        <f>+IF(IFERROR(VLOOKUP(A67,Ficheiros!T:T,1,FALSE),"")=A67,"Sim","Não")</f>
        <v>Sim</v>
      </c>
      <c r="AQ67" s="1" t="e">
        <f>+VLOOKUP(A67,Ficheiros!O:P,2,FALSE)</f>
        <v>#N/A</v>
      </c>
      <c r="AR67" s="1" t="str">
        <f>+VLOOKUP(A67,Ficheiros!T:U,2,FALSE)</f>
        <v>2. Alterar especificação</v>
      </c>
      <c r="AS67" s="1" t="str">
        <f>+VLOOKUP(A67,Ficheiros!T:V,3,FALSE)</f>
        <v>PM &amp; LF</v>
      </c>
      <c r="AT67" s="1"/>
      <c r="AU67" s="1"/>
      <c r="AV67" s="1"/>
      <c r="AW67" s="1"/>
      <c r="AX67" s="1"/>
    </row>
    <row r="68" spans="1:50" ht="14.5" hidden="1" customHeight="1" x14ac:dyDescent="0.35">
      <c r="A68" s="5" t="str">
        <f t="shared" si="0"/>
        <v>ENTITYEQTY</v>
      </c>
      <c r="B68" s="1" t="s">
        <v>320</v>
      </c>
      <c r="C68" s="1" t="s">
        <v>35</v>
      </c>
      <c r="D68" s="1" t="s">
        <v>271</v>
      </c>
      <c r="E68" s="1" t="s">
        <v>37</v>
      </c>
      <c r="F68" s="25" t="s">
        <v>321</v>
      </c>
      <c r="G68" s="1" t="s">
        <v>321</v>
      </c>
      <c r="H68" s="1" t="s">
        <v>39</v>
      </c>
      <c r="I68" s="1" t="s">
        <v>39</v>
      </c>
      <c r="J68" s="1" t="s">
        <v>39</v>
      </c>
      <c r="K68" s="1" t="s">
        <v>39</v>
      </c>
      <c r="L68" s="1" t="s">
        <v>39</v>
      </c>
      <c r="M68" s="1" t="s">
        <v>39</v>
      </c>
      <c r="N68" s="1" t="s">
        <v>37</v>
      </c>
      <c r="O68" s="1"/>
      <c r="P68" s="1"/>
      <c r="Q68" s="1"/>
      <c r="R68" s="1" t="s">
        <v>273</v>
      </c>
      <c r="S68" s="1" t="s">
        <v>274</v>
      </c>
      <c r="T68" s="1">
        <v>99999999999</v>
      </c>
      <c r="U68" s="1">
        <v>11111111111</v>
      </c>
      <c r="V68" s="1">
        <v>11111111111</v>
      </c>
      <c r="W68" s="1" t="s">
        <v>322</v>
      </c>
      <c r="X68" s="1" t="s">
        <v>323</v>
      </c>
      <c r="Y68" s="1" t="s">
        <v>45</v>
      </c>
      <c r="Z68" s="1" t="s">
        <v>46</v>
      </c>
      <c r="AA68" s="1" t="s">
        <v>47</v>
      </c>
      <c r="AB68" s="1" t="s">
        <v>39</v>
      </c>
      <c r="AC68" s="1" t="s">
        <v>37</v>
      </c>
      <c r="AD68" s="1" t="s">
        <v>39</v>
      </c>
      <c r="AE68" s="1" t="s">
        <v>37</v>
      </c>
      <c r="AF68" s="1" t="s">
        <v>37</v>
      </c>
      <c r="AG68" s="1" t="s">
        <v>39</v>
      </c>
      <c r="AH68" s="1" t="s">
        <v>37</v>
      </c>
      <c r="AI68" s="1" t="s">
        <v>39</v>
      </c>
      <c r="AJ68" s="1" t="s">
        <v>39</v>
      </c>
      <c r="AK68" s="1" t="str">
        <f t="shared" si="1"/>
        <v>Apenas Pilar 3</v>
      </c>
      <c r="AL68" s="1" t="str">
        <f>+IF(IFERROR(VLOOKUP(A68,Ficheiros!I:I,1,FALSE),"")=A68,"Sim","Não")</f>
        <v>Sim</v>
      </c>
      <c r="AM68" s="1" t="str">
        <f>+IF(IFERROR(VLOOKUP(A68,Ficheiros!E:E,1,FALSE),"")=A68,"Sim","Não")</f>
        <v>Não</v>
      </c>
      <c r="AN68" s="1" t="str">
        <f>+IF(IFERROR(VLOOKUP(A68,Ficheiros!O:O,1,FALSE),"")=A68,"Sim","Não")</f>
        <v>Sim</v>
      </c>
      <c r="AO68" s="1" t="str">
        <f>+IF(IFERROR(VLOOKUP(A68,'Especificação Novos Req. LT (2'!A:A,1,FALSE),"")=A68,"Sim","Não")</f>
        <v>Não</v>
      </c>
      <c r="AP68" s="1" t="str">
        <f>+IF(IFERROR(VLOOKUP(A68,Ficheiros!T:T,1,FALSE),"")=A68,"Sim","Não")</f>
        <v>Sim</v>
      </c>
      <c r="AQ68" s="1" t="str">
        <f>+VLOOKUP(A68,Ficheiros!O:P,2,FALSE)</f>
        <v>1. Concluído</v>
      </c>
      <c r="AR68" s="1" t="str">
        <f>+VLOOKUP(A68,Ficheiros!T:U,2,FALSE)</f>
        <v>2. Alterar especificação</v>
      </c>
      <c r="AS68" s="1" t="str">
        <f>+VLOOKUP(A68,Ficheiros!T:V,3,FALSE)</f>
        <v>PM &amp; LF</v>
      </c>
      <c r="AT68" s="1"/>
      <c r="AU68" s="1"/>
      <c r="AV68" s="1"/>
      <c r="AW68" s="1"/>
      <c r="AX68" s="1"/>
    </row>
    <row r="69" spans="1:50" ht="14.5" hidden="1" customHeight="1" x14ac:dyDescent="0.35">
      <c r="A69" s="5" t="str">
        <f t="shared" si="0"/>
        <v>ENTITYEQTY_PRVS</v>
      </c>
      <c r="B69" s="1" t="s">
        <v>324</v>
      </c>
      <c r="C69" s="1" t="s">
        <v>35</v>
      </c>
      <c r="D69" s="1" t="s">
        <v>271</v>
      </c>
      <c r="E69" s="1" t="s">
        <v>37</v>
      </c>
      <c r="F69" s="25" t="s">
        <v>325</v>
      </c>
      <c r="G69" s="1" t="s">
        <v>325</v>
      </c>
      <c r="H69" s="1" t="s">
        <v>39</v>
      </c>
      <c r="I69" s="1" t="s">
        <v>39</v>
      </c>
      <c r="J69" s="1" t="s">
        <v>39</v>
      </c>
      <c r="K69" s="1" t="s">
        <v>39</v>
      </c>
      <c r="L69" s="1" t="s">
        <v>39</v>
      </c>
      <c r="M69" s="1" t="s">
        <v>39</v>
      </c>
      <c r="N69" s="1" t="s">
        <v>37</v>
      </c>
      <c r="O69" s="1"/>
      <c r="P69" s="1"/>
      <c r="Q69" s="1"/>
      <c r="R69" s="1" t="s">
        <v>273</v>
      </c>
      <c r="S69" s="1" t="s">
        <v>274</v>
      </c>
      <c r="T69" s="1">
        <v>99999999999</v>
      </c>
      <c r="U69" s="1">
        <v>11111111111</v>
      </c>
      <c r="V69" s="1">
        <v>11111111111</v>
      </c>
      <c r="W69" s="1" t="s">
        <v>326</v>
      </c>
      <c r="X69" s="1" t="s">
        <v>327</v>
      </c>
      <c r="Y69" s="1" t="s">
        <v>45</v>
      </c>
      <c r="Z69" s="1" t="s">
        <v>46</v>
      </c>
      <c r="AA69" s="1" t="s">
        <v>47</v>
      </c>
      <c r="AB69" s="1" t="s">
        <v>39</v>
      </c>
      <c r="AC69" s="1" t="s">
        <v>37</v>
      </c>
      <c r="AD69" s="1" t="s">
        <v>37</v>
      </c>
      <c r="AE69" s="1" t="s">
        <v>37</v>
      </c>
      <c r="AF69" s="1" t="s">
        <v>37</v>
      </c>
      <c r="AG69" s="1" t="s">
        <v>39</v>
      </c>
      <c r="AH69" s="1" t="s">
        <v>37</v>
      </c>
      <c r="AI69" s="1" t="s">
        <v>37</v>
      </c>
      <c r="AJ69" s="1" t="s">
        <v>39</v>
      </c>
      <c r="AK69" s="1" t="str">
        <f t="shared" si="1"/>
        <v>Fora de âmbito</v>
      </c>
      <c r="AL69" s="1" t="str">
        <f>+IF(IFERROR(VLOOKUP(A69,Ficheiros!I:I,1,FALSE),"")=A69,"Sim","Não")</f>
        <v>Sim</v>
      </c>
      <c r="AM69" s="1" t="str">
        <f>+IF(IFERROR(VLOOKUP(A69,Ficheiros!E:E,1,FALSE),"")=A69,"Sim","Não")</f>
        <v>Não</v>
      </c>
      <c r="AN69" s="1" t="str">
        <f>+IF(IFERROR(VLOOKUP(A69,Ficheiros!O:O,1,FALSE),"")=A69,"Sim","Não")</f>
        <v>Não</v>
      </c>
      <c r="AO69" s="1" t="str">
        <f>+IF(IFERROR(VLOOKUP(A69,'Especificação Novos Req. LT (2'!A:A,1,FALSE),"")=A69,"Sim","Não")</f>
        <v>Não</v>
      </c>
      <c r="AP69" s="1" t="str">
        <f>+IF(IFERROR(VLOOKUP(A69,Ficheiros!T:T,1,FALSE),"")=A69,"Sim","Não")</f>
        <v>Sim</v>
      </c>
      <c r="AQ69" s="1" t="e">
        <f>+VLOOKUP(A69,Ficheiros!O:P,2,FALSE)</f>
        <v>#N/A</v>
      </c>
      <c r="AR69" s="1" t="str">
        <f>+VLOOKUP(A69,Ficheiros!T:U,2,FALSE)</f>
        <v>2. Alterar especificação</v>
      </c>
      <c r="AS69" s="1" t="str">
        <f>+VLOOKUP(A69,Ficheiros!T:V,3,FALSE)</f>
        <v>PM &amp; LF</v>
      </c>
      <c r="AT69" s="1"/>
      <c r="AU69" s="1"/>
      <c r="AV69" s="1"/>
      <c r="AW69" s="1"/>
      <c r="AX69" s="1"/>
    </row>
    <row r="70" spans="1:50" ht="14.5" hidden="1" customHeight="1" x14ac:dyDescent="0.35">
      <c r="A70" s="5" t="str">
        <f t="shared" si="0"/>
        <v>ENTITYGRP_TTL_DBT</v>
      </c>
      <c r="B70" s="1" t="s">
        <v>328</v>
      </c>
      <c r="C70" s="1" t="s">
        <v>35</v>
      </c>
      <c r="D70" s="1" t="s">
        <v>271</v>
      </c>
      <c r="E70" s="1" t="s">
        <v>37</v>
      </c>
      <c r="F70" s="25" t="s">
        <v>329</v>
      </c>
      <c r="G70" s="1" t="s">
        <v>329</v>
      </c>
      <c r="H70" s="1" t="s">
        <v>39</v>
      </c>
      <c r="I70" s="1" t="s">
        <v>39</v>
      </c>
      <c r="J70" s="1" t="s">
        <v>39</v>
      </c>
      <c r="K70" s="1" t="s">
        <v>39</v>
      </c>
      <c r="L70" s="1" t="s">
        <v>39</v>
      </c>
      <c r="M70" s="1" t="s">
        <v>39</v>
      </c>
      <c r="N70" s="1" t="s">
        <v>37</v>
      </c>
      <c r="O70" s="1"/>
      <c r="P70" s="1"/>
      <c r="Q70" s="1"/>
      <c r="R70" s="1" t="s">
        <v>273</v>
      </c>
      <c r="S70" s="1" t="s">
        <v>274</v>
      </c>
      <c r="T70" s="1">
        <v>99999999999</v>
      </c>
      <c r="U70" s="1">
        <v>11111111111</v>
      </c>
      <c r="V70" s="1">
        <v>11111111111</v>
      </c>
      <c r="W70" s="1" t="s">
        <v>330</v>
      </c>
      <c r="X70" s="1" t="s">
        <v>331</v>
      </c>
      <c r="Y70" s="1" t="s">
        <v>45</v>
      </c>
      <c r="Z70" s="1" t="s">
        <v>46</v>
      </c>
      <c r="AA70" s="1" t="s">
        <v>47</v>
      </c>
      <c r="AB70" s="1" t="s">
        <v>39</v>
      </c>
      <c r="AC70" s="1" t="s">
        <v>37</v>
      </c>
      <c r="AD70" s="1" t="s">
        <v>39</v>
      </c>
      <c r="AE70" s="1" t="s">
        <v>37</v>
      </c>
      <c r="AF70" s="1" t="s">
        <v>37</v>
      </c>
      <c r="AG70" s="1" t="s">
        <v>37</v>
      </c>
      <c r="AH70" s="1" t="s">
        <v>37</v>
      </c>
      <c r="AI70" s="1" t="s">
        <v>39</v>
      </c>
      <c r="AJ70" s="1" t="s">
        <v>39</v>
      </c>
      <c r="AK70" s="1" t="str">
        <f t="shared" si="1"/>
        <v>Apenas Pilar 3</v>
      </c>
      <c r="AL70" s="1" t="str">
        <f>+IF(IFERROR(VLOOKUP(A70,Ficheiros!I:I,1,FALSE),"")=A70,"Sim","Não")</f>
        <v>Sim</v>
      </c>
      <c r="AM70" s="1" t="str">
        <f>+IF(IFERROR(VLOOKUP(A70,Ficheiros!E:E,1,FALSE),"")=A70,"Sim","Não")</f>
        <v>Não</v>
      </c>
      <c r="AN70" s="1" t="str">
        <f>+IF(IFERROR(VLOOKUP(A70,Ficheiros!O:O,1,FALSE),"")=A70,"Sim","Não")</f>
        <v>Sim</v>
      </c>
      <c r="AO70" s="1" t="str">
        <f>+IF(IFERROR(VLOOKUP(A70,'Especificação Novos Req. LT (2'!A:A,1,FALSE),"")=A70,"Sim","Não")</f>
        <v>Não</v>
      </c>
      <c r="AP70" s="1" t="str">
        <f>+IF(IFERROR(VLOOKUP(A70,Ficheiros!T:T,1,FALSE),"")=A70,"Sim","Não")</f>
        <v>Sim</v>
      </c>
      <c r="AQ70" s="1" t="str">
        <f>+VLOOKUP(A70,Ficheiros!O:P,2,FALSE)</f>
        <v>1. Concluído</v>
      </c>
      <c r="AR70" s="1" t="str">
        <f>+VLOOKUP(A70,Ficheiros!T:U,2,FALSE)</f>
        <v>2. Alterar especificação</v>
      </c>
      <c r="AS70" s="1" t="str">
        <f>+VLOOKUP(A70,Ficheiros!T:V,3,FALSE)</f>
        <v>PM</v>
      </c>
      <c r="AT70" s="1"/>
      <c r="AU70" s="1"/>
      <c r="AV70" s="1"/>
      <c r="AW70" s="1"/>
      <c r="AX70" s="1"/>
    </row>
    <row r="71" spans="1:50" ht="14.5" hidden="1" customHeight="1" x14ac:dyDescent="0.35">
      <c r="A71" s="5" t="str">
        <f t="shared" si="0"/>
        <v>ENTITYGDWILL</v>
      </c>
      <c r="B71" s="1" t="s">
        <v>332</v>
      </c>
      <c r="C71" s="1" t="s">
        <v>35</v>
      </c>
      <c r="D71" s="1" t="s">
        <v>271</v>
      </c>
      <c r="E71" s="1" t="s">
        <v>37</v>
      </c>
      <c r="F71" s="25" t="s">
        <v>333</v>
      </c>
      <c r="G71" s="1" t="s">
        <v>333</v>
      </c>
      <c r="H71" s="1" t="s">
        <v>39</v>
      </c>
      <c r="I71" s="1" t="s">
        <v>39</v>
      </c>
      <c r="J71" s="1" t="s">
        <v>39</v>
      </c>
      <c r="K71" s="1" t="s">
        <v>39</v>
      </c>
      <c r="L71" s="1" t="s">
        <v>39</v>
      </c>
      <c r="M71" s="1" t="s">
        <v>39</v>
      </c>
      <c r="N71" s="1" t="s">
        <v>37</v>
      </c>
      <c r="O71" s="1"/>
      <c r="P71" s="1"/>
      <c r="Q71" s="1"/>
      <c r="R71" s="1" t="s">
        <v>273</v>
      </c>
      <c r="S71" s="1" t="s">
        <v>274</v>
      </c>
      <c r="T71" s="1">
        <v>99999999999</v>
      </c>
      <c r="U71" s="1">
        <v>11111111111</v>
      </c>
      <c r="V71" s="1">
        <v>11111111111</v>
      </c>
      <c r="W71" s="1" t="s">
        <v>334</v>
      </c>
      <c r="X71" s="1" t="s">
        <v>335</v>
      </c>
      <c r="Y71" s="1" t="s">
        <v>45</v>
      </c>
      <c r="Z71" s="1" t="s">
        <v>46</v>
      </c>
      <c r="AA71" s="1" t="s">
        <v>47</v>
      </c>
      <c r="AB71" s="1" t="s">
        <v>39</v>
      </c>
      <c r="AC71" s="1" t="s">
        <v>37</v>
      </c>
      <c r="AD71" s="1" t="s">
        <v>37</v>
      </c>
      <c r="AE71" s="1" t="s">
        <v>37</v>
      </c>
      <c r="AF71" s="1" t="s">
        <v>37</v>
      </c>
      <c r="AG71" s="1" t="s">
        <v>37</v>
      </c>
      <c r="AH71" s="1" t="s">
        <v>37</v>
      </c>
      <c r="AI71" s="1" t="s">
        <v>37</v>
      </c>
      <c r="AJ71" s="1" t="s">
        <v>39</v>
      </c>
      <c r="AK71" s="1" t="str">
        <f t="shared" si="1"/>
        <v>Fora de âmbito</v>
      </c>
      <c r="AL71" s="1" t="str">
        <f>+IF(IFERROR(VLOOKUP(A71,Ficheiros!I:I,1,FALSE),"")=A71,"Sim","Não")</f>
        <v>Sim</v>
      </c>
      <c r="AM71" s="1" t="str">
        <f>+IF(IFERROR(VLOOKUP(A71,Ficheiros!E:E,1,FALSE),"")=A71,"Sim","Não")</f>
        <v>Não</v>
      </c>
      <c r="AN71" s="1" t="str">
        <f>+IF(IFERROR(VLOOKUP(A71,Ficheiros!O:O,1,FALSE),"")=A71,"Sim","Não")</f>
        <v>Não</v>
      </c>
      <c r="AO71" s="1" t="str">
        <f>+IF(IFERROR(VLOOKUP(A71,'Especificação Novos Req. LT (2'!A:A,1,FALSE),"")=A71,"Sim","Não")</f>
        <v>Não</v>
      </c>
      <c r="AP71" s="1" t="str">
        <f>+IF(IFERROR(VLOOKUP(A71,Ficheiros!T:T,1,FALSE),"")=A71,"Sim","Não")</f>
        <v>Sim</v>
      </c>
      <c r="AQ71" s="1" t="e">
        <f>+VLOOKUP(A71,Ficheiros!O:P,2,FALSE)</f>
        <v>#N/A</v>
      </c>
      <c r="AR71" s="1" t="str">
        <f>+VLOOKUP(A71,Ficheiros!T:U,2,FALSE)</f>
        <v>9. Concluído</v>
      </c>
      <c r="AS71" s="1" t="str">
        <f>+VLOOKUP(A71,Ficheiros!T:V,3,FALSE)</f>
        <v>PM</v>
      </c>
      <c r="AT71" s="1"/>
      <c r="AU71" s="1"/>
      <c r="AV71" s="1"/>
      <c r="AW71" s="1"/>
      <c r="AX71" s="1"/>
    </row>
    <row r="72" spans="1:50" ht="14.5" hidden="1" customHeight="1" x14ac:dyDescent="0.35">
      <c r="A72" s="5" t="str">
        <f t="shared" si="0"/>
        <v>ENTITYGDWILL_PRVS</v>
      </c>
      <c r="B72" s="1" t="s">
        <v>336</v>
      </c>
      <c r="C72" s="1" t="s">
        <v>35</v>
      </c>
      <c r="D72" s="1" t="s">
        <v>271</v>
      </c>
      <c r="E72" s="1" t="s">
        <v>37</v>
      </c>
      <c r="F72" s="25" t="s">
        <v>337</v>
      </c>
      <c r="G72" s="1" t="s">
        <v>337</v>
      </c>
      <c r="H72" s="1" t="s">
        <v>39</v>
      </c>
      <c r="I72" s="1" t="s">
        <v>39</v>
      </c>
      <c r="J72" s="1" t="s">
        <v>39</v>
      </c>
      <c r="K72" s="1" t="s">
        <v>39</v>
      </c>
      <c r="L72" s="1" t="s">
        <v>39</v>
      </c>
      <c r="M72" s="1" t="s">
        <v>39</v>
      </c>
      <c r="N72" s="1" t="s">
        <v>37</v>
      </c>
      <c r="O72" s="1"/>
      <c r="P72" s="1"/>
      <c r="Q72" s="1"/>
      <c r="R72" s="1" t="s">
        <v>273</v>
      </c>
      <c r="S72" s="1" t="s">
        <v>274</v>
      </c>
      <c r="T72" s="1">
        <v>99999999999</v>
      </c>
      <c r="U72" s="1">
        <v>11111111111</v>
      </c>
      <c r="V72" s="1">
        <v>11111111111</v>
      </c>
      <c r="W72" s="1" t="s">
        <v>338</v>
      </c>
      <c r="X72" s="1" t="s">
        <v>339</v>
      </c>
      <c r="Y72" s="1" t="s">
        <v>45</v>
      </c>
      <c r="Z72" s="1" t="s">
        <v>46</v>
      </c>
      <c r="AA72" s="1" t="s">
        <v>47</v>
      </c>
      <c r="AB72" s="1" t="s">
        <v>39</v>
      </c>
      <c r="AC72" s="1" t="s">
        <v>37</v>
      </c>
      <c r="AD72" s="1" t="s">
        <v>37</v>
      </c>
      <c r="AE72" s="1" t="s">
        <v>37</v>
      </c>
      <c r="AF72" s="1" t="s">
        <v>37</v>
      </c>
      <c r="AG72" s="1" t="s">
        <v>37</v>
      </c>
      <c r="AH72" s="1" t="s">
        <v>37</v>
      </c>
      <c r="AI72" s="1" t="s">
        <v>37</v>
      </c>
      <c r="AJ72" s="1" t="s">
        <v>39</v>
      </c>
      <c r="AK72" s="1" t="str">
        <f t="shared" si="1"/>
        <v>Fora de âmbito</v>
      </c>
      <c r="AL72" s="1" t="str">
        <f>+IF(IFERROR(VLOOKUP(A72,Ficheiros!I:I,1,FALSE),"")=A72,"Sim","Não")</f>
        <v>Sim</v>
      </c>
      <c r="AM72" s="1" t="str">
        <f>+IF(IFERROR(VLOOKUP(A72,Ficheiros!E:E,1,FALSE),"")=A72,"Sim","Não")</f>
        <v>Não</v>
      </c>
      <c r="AN72" s="1" t="str">
        <f>+IF(IFERROR(VLOOKUP(A72,Ficheiros!O:O,1,FALSE),"")=A72,"Sim","Não")</f>
        <v>Não</v>
      </c>
      <c r="AO72" s="1" t="str">
        <f>+IF(IFERROR(VLOOKUP(A72,'Especificação Novos Req. LT (2'!A:A,1,FALSE),"")=A72,"Sim","Não")</f>
        <v>Não</v>
      </c>
      <c r="AP72" s="1" t="str">
        <f>+IF(IFERROR(VLOOKUP(A72,Ficheiros!T:T,1,FALSE),"")=A72,"Sim","Não")</f>
        <v>Sim</v>
      </c>
      <c r="AQ72" s="1" t="e">
        <f>+VLOOKUP(A72,Ficheiros!O:P,2,FALSE)</f>
        <v>#N/A</v>
      </c>
      <c r="AR72" s="1" t="str">
        <f>+VLOOKUP(A72,Ficheiros!T:U,2,FALSE)</f>
        <v>9. Concluído</v>
      </c>
      <c r="AS72" s="1" t="str">
        <f>+VLOOKUP(A72,Ficheiros!T:V,3,FALSE)</f>
        <v>PM</v>
      </c>
      <c r="AT72" s="1"/>
      <c r="AU72" s="1"/>
      <c r="AV72" s="1"/>
      <c r="AW72" s="1"/>
      <c r="AX72" s="1"/>
    </row>
    <row r="73" spans="1:50" ht="14.5" hidden="1" customHeight="1" x14ac:dyDescent="0.35">
      <c r="A73" s="5" t="str">
        <f t="shared" si="0"/>
        <v>ENTITYLTI</v>
      </c>
      <c r="B73" s="1" t="s">
        <v>340</v>
      </c>
      <c r="C73" s="1" t="s">
        <v>35</v>
      </c>
      <c r="D73" s="1" t="s">
        <v>271</v>
      </c>
      <c r="E73" s="1" t="s">
        <v>37</v>
      </c>
      <c r="F73" s="25" t="s">
        <v>341</v>
      </c>
      <c r="G73" s="1" t="s">
        <v>341</v>
      </c>
      <c r="H73" s="1" t="s">
        <v>37</v>
      </c>
      <c r="I73" s="1" t="s">
        <v>37</v>
      </c>
      <c r="J73" s="1" t="s">
        <v>37</v>
      </c>
      <c r="K73" s="1" t="s">
        <v>37</v>
      </c>
      <c r="L73" s="1" t="s">
        <v>37</v>
      </c>
      <c r="M73" s="1" t="s">
        <v>37</v>
      </c>
      <c r="N73" s="1" t="s">
        <v>39</v>
      </c>
      <c r="O73" s="1"/>
      <c r="P73" s="1"/>
      <c r="Q73" s="1"/>
      <c r="R73" s="1" t="s">
        <v>342</v>
      </c>
      <c r="S73" s="1" t="s">
        <v>274</v>
      </c>
      <c r="T73" s="1">
        <v>99999999999</v>
      </c>
      <c r="U73" s="1">
        <v>11111111111</v>
      </c>
      <c r="V73" s="1">
        <v>11111111111</v>
      </c>
      <c r="W73" s="1" t="s">
        <v>343</v>
      </c>
      <c r="X73" s="1" t="s">
        <v>344</v>
      </c>
      <c r="Y73" s="1" t="s">
        <v>45</v>
      </c>
      <c r="Z73" s="1" t="s">
        <v>46</v>
      </c>
      <c r="AA73" s="1" t="s">
        <v>47</v>
      </c>
      <c r="AB73" s="1" t="s">
        <v>39</v>
      </c>
      <c r="AC73" s="1" t="s">
        <v>37</v>
      </c>
      <c r="AD73" s="1" t="s">
        <v>37</v>
      </c>
      <c r="AE73" s="1" t="s">
        <v>37</v>
      </c>
      <c r="AF73" s="1" t="s">
        <v>37</v>
      </c>
      <c r="AG73" s="1" t="s">
        <v>37</v>
      </c>
      <c r="AH73" s="1" t="s">
        <v>37</v>
      </c>
      <c r="AI73" s="1" t="s">
        <v>37</v>
      </c>
      <c r="AJ73" s="1" t="s">
        <v>39</v>
      </c>
      <c r="AK73" s="1" t="str">
        <f t="shared" si="1"/>
        <v>Fora de âmbito</v>
      </c>
      <c r="AL73" s="1" t="str">
        <f>+IF(IFERROR(VLOOKUP(A73,Ficheiros!I:I,1,FALSE),"")=A73,"Sim","Não")</f>
        <v>Sim</v>
      </c>
      <c r="AM73" s="1" t="str">
        <f>+IF(IFERROR(VLOOKUP(A73,Ficheiros!E:E,1,FALSE),"")=A73,"Sim","Não")</f>
        <v>Não</v>
      </c>
      <c r="AN73" s="1" t="str">
        <f>+IF(IFERROR(VLOOKUP(A73,Ficheiros!O:O,1,FALSE),"")=A73,"Sim","Não")</f>
        <v>Não</v>
      </c>
      <c r="AO73" s="1" t="str">
        <f>+IF(IFERROR(VLOOKUP(A73,'Especificação Novos Req. LT (2'!A:A,1,FALSE),"")=A73,"Sim","Não")</f>
        <v>Não</v>
      </c>
      <c r="AP73" s="1" t="str">
        <f>+IF(IFERROR(VLOOKUP(A73,Ficheiros!T:T,1,FALSE),"")=A73,"Sim","Não")</f>
        <v>Sim</v>
      </c>
      <c r="AQ73" s="1" t="e">
        <f>+VLOOKUP(A73,Ficheiros!O:P,2,FALSE)</f>
        <v>#N/A</v>
      </c>
      <c r="AR73" s="1" t="str">
        <f>+VLOOKUP(A73,Ficheiros!T:U,2,FALSE)</f>
        <v>1. Especificar</v>
      </c>
      <c r="AS73" s="1" t="str">
        <f>+VLOOKUP(A73,Ficheiros!T:V,3,FALSE)</f>
        <v>PM</v>
      </c>
      <c r="AT73" s="1"/>
      <c r="AU73" s="1"/>
      <c r="AV73" s="1"/>
      <c r="AW73" s="1"/>
      <c r="AX73" s="1"/>
    </row>
    <row r="74" spans="1:50" ht="14.5" hidden="1" customHeight="1" x14ac:dyDescent="0.35">
      <c r="A74" s="5" t="str">
        <f t="shared" ref="A74:A137" si="2">+C74&amp;G74</f>
        <v>ENTITYLVRG</v>
      </c>
      <c r="B74" s="1" t="s">
        <v>345</v>
      </c>
      <c r="C74" s="1" t="s">
        <v>35</v>
      </c>
      <c r="D74" s="1" t="s">
        <v>271</v>
      </c>
      <c r="E74" s="1" t="s">
        <v>37</v>
      </c>
      <c r="F74" s="25" t="s">
        <v>346</v>
      </c>
      <c r="G74" s="1" t="s">
        <v>346</v>
      </c>
      <c r="H74" s="1" t="s">
        <v>39</v>
      </c>
      <c r="I74" s="1" t="s">
        <v>39</v>
      </c>
      <c r="J74" s="1" t="s">
        <v>39</v>
      </c>
      <c r="K74" s="1" t="s">
        <v>39</v>
      </c>
      <c r="L74" s="1" t="s">
        <v>39</v>
      </c>
      <c r="M74" s="1" t="s">
        <v>39</v>
      </c>
      <c r="N74" s="1" t="s">
        <v>37</v>
      </c>
      <c r="O74" s="1"/>
      <c r="P74" s="1"/>
      <c r="Q74" s="1"/>
      <c r="R74" s="1" t="s">
        <v>342</v>
      </c>
      <c r="S74" s="1" t="s">
        <v>274</v>
      </c>
      <c r="T74" s="1">
        <v>99999999999</v>
      </c>
      <c r="U74" s="1">
        <v>11111111111</v>
      </c>
      <c r="V74" s="1">
        <v>11111111111</v>
      </c>
      <c r="W74" s="1" t="s">
        <v>347</v>
      </c>
      <c r="X74" s="1" t="s">
        <v>348</v>
      </c>
      <c r="Y74" s="1" t="s">
        <v>45</v>
      </c>
      <c r="Z74" s="1" t="s">
        <v>46</v>
      </c>
      <c r="AA74" s="1" t="s">
        <v>47</v>
      </c>
      <c r="AB74" s="1" t="s">
        <v>39</v>
      </c>
      <c r="AC74" s="1" t="s">
        <v>37</v>
      </c>
      <c r="AD74" s="1" t="s">
        <v>37</v>
      </c>
      <c r="AE74" s="1" t="s">
        <v>37</v>
      </c>
      <c r="AF74" s="1" t="s">
        <v>37</v>
      </c>
      <c r="AG74" s="1" t="s">
        <v>39</v>
      </c>
      <c r="AH74" s="1" t="s">
        <v>37</v>
      </c>
      <c r="AI74" s="1" t="s">
        <v>37</v>
      </c>
      <c r="AJ74" s="1" t="s">
        <v>39</v>
      </c>
      <c r="AK74" s="1" t="str">
        <f t="shared" ref="AK74:AK137" si="3">+IF(AND(AD74="N",AF74="N"),"Fora de âmbito",
IF(AND(AD74="N",AF74="Y"),"Apenas ESG Risk",
IF(AND(AD74="Y",AF74="N"),"Apenas Pilar 3",
IF(AND(AD74="Y",AF74="Y"),"Comum",""))))</f>
        <v>Fora de âmbito</v>
      </c>
      <c r="AL74" s="1" t="str">
        <f>+IF(IFERROR(VLOOKUP(A74,Ficheiros!I:I,1,FALSE),"")=A74,"Sim","Não")</f>
        <v>Sim</v>
      </c>
      <c r="AM74" s="1" t="str">
        <f>+IF(IFERROR(VLOOKUP(A74,Ficheiros!E:E,1,FALSE),"")=A74,"Sim","Não")</f>
        <v>Não</v>
      </c>
      <c r="AN74" s="1" t="str">
        <f>+IF(IFERROR(VLOOKUP(A74,Ficheiros!O:O,1,FALSE),"")=A74,"Sim","Não")</f>
        <v>Não</v>
      </c>
      <c r="AO74" s="1" t="str">
        <f>+IF(IFERROR(VLOOKUP(A74,'Especificação Novos Req. LT (2'!A:A,1,FALSE),"")=A74,"Sim","Não")</f>
        <v>Não</v>
      </c>
      <c r="AP74" s="1" t="str">
        <f>+IF(IFERROR(VLOOKUP(A74,Ficheiros!T:T,1,FALSE),"")=A74,"Sim","Não")</f>
        <v>Sim</v>
      </c>
      <c r="AQ74" s="1" t="e">
        <f>+VLOOKUP(A74,Ficheiros!O:P,2,FALSE)</f>
        <v>#N/A</v>
      </c>
      <c r="AR74" s="1" t="str">
        <f>+VLOOKUP(A74,Ficheiros!T:U,2,FALSE)</f>
        <v>9. Concluído</v>
      </c>
      <c r="AS74" s="1" t="str">
        <f>+VLOOKUP(A74,Ficheiros!T:V,3,FALSE)</f>
        <v>PM</v>
      </c>
      <c r="AT74" s="1"/>
      <c r="AU74" s="1"/>
      <c r="AV74" s="1"/>
      <c r="AW74" s="1"/>
      <c r="AX74" s="1"/>
    </row>
    <row r="75" spans="1:50" ht="14.5" hidden="1" customHeight="1" x14ac:dyDescent="0.35">
      <c r="A75" s="5" t="str">
        <f t="shared" si="2"/>
        <v>ENTITYLVRG_PRVS</v>
      </c>
      <c r="B75" s="1" t="s">
        <v>349</v>
      </c>
      <c r="C75" s="1" t="s">
        <v>35</v>
      </c>
      <c r="D75" s="1" t="s">
        <v>271</v>
      </c>
      <c r="E75" s="1" t="s">
        <v>37</v>
      </c>
      <c r="F75" s="25" t="s">
        <v>350</v>
      </c>
      <c r="G75" s="1" t="s">
        <v>350</v>
      </c>
      <c r="H75" s="1" t="s">
        <v>39</v>
      </c>
      <c r="I75" s="1" t="s">
        <v>39</v>
      </c>
      <c r="J75" s="1" t="s">
        <v>39</v>
      </c>
      <c r="K75" s="1" t="s">
        <v>39</v>
      </c>
      <c r="L75" s="1" t="s">
        <v>39</v>
      </c>
      <c r="M75" s="1" t="s">
        <v>39</v>
      </c>
      <c r="N75" s="1" t="s">
        <v>37</v>
      </c>
      <c r="O75" s="1"/>
      <c r="P75" s="1"/>
      <c r="Q75" s="1"/>
      <c r="R75" s="1" t="s">
        <v>342</v>
      </c>
      <c r="S75" s="1" t="s">
        <v>274</v>
      </c>
      <c r="T75" s="1">
        <v>99999999999</v>
      </c>
      <c r="U75" s="1">
        <v>11111111111</v>
      </c>
      <c r="V75" s="1">
        <v>11111111111</v>
      </c>
      <c r="W75" s="1" t="s">
        <v>351</v>
      </c>
      <c r="X75" s="1" t="s">
        <v>352</v>
      </c>
      <c r="Y75" s="1" t="s">
        <v>45</v>
      </c>
      <c r="Z75" s="1" t="s">
        <v>46</v>
      </c>
      <c r="AA75" s="1" t="s">
        <v>47</v>
      </c>
      <c r="AB75" s="1" t="s">
        <v>39</v>
      </c>
      <c r="AC75" s="1" t="s">
        <v>37</v>
      </c>
      <c r="AD75" s="1" t="s">
        <v>37</v>
      </c>
      <c r="AE75" s="1" t="s">
        <v>37</v>
      </c>
      <c r="AF75" s="1" t="s">
        <v>37</v>
      </c>
      <c r="AG75" s="1" t="s">
        <v>39</v>
      </c>
      <c r="AH75" s="1" t="s">
        <v>37</v>
      </c>
      <c r="AI75" s="1" t="s">
        <v>37</v>
      </c>
      <c r="AJ75" s="1" t="s">
        <v>39</v>
      </c>
      <c r="AK75" s="1" t="str">
        <f t="shared" si="3"/>
        <v>Fora de âmbito</v>
      </c>
      <c r="AL75" s="1" t="str">
        <f>+IF(IFERROR(VLOOKUP(A75,Ficheiros!I:I,1,FALSE),"")=A75,"Sim","Não")</f>
        <v>Sim</v>
      </c>
      <c r="AM75" s="1" t="str">
        <f>+IF(IFERROR(VLOOKUP(A75,Ficheiros!E:E,1,FALSE),"")=A75,"Sim","Não")</f>
        <v>Não</v>
      </c>
      <c r="AN75" s="1" t="str">
        <f>+IF(IFERROR(VLOOKUP(A75,Ficheiros!O:O,1,FALSE),"")=A75,"Sim","Não")</f>
        <v>Não</v>
      </c>
      <c r="AO75" s="1" t="str">
        <f>+IF(IFERROR(VLOOKUP(A75,'Especificação Novos Req. LT (2'!A:A,1,FALSE),"")=A75,"Sim","Não")</f>
        <v>Não</v>
      </c>
      <c r="AP75" s="1" t="str">
        <f>+IF(IFERROR(VLOOKUP(A75,Ficheiros!T:T,1,FALSE),"")=A75,"Sim","Não")</f>
        <v>Sim</v>
      </c>
      <c r="AQ75" s="1" t="e">
        <f>+VLOOKUP(A75,Ficheiros!O:P,2,FALSE)</f>
        <v>#N/A</v>
      </c>
      <c r="AR75" s="1" t="str">
        <f>+VLOOKUP(A75,Ficheiros!T:U,2,FALSE)</f>
        <v>9. Concluído</v>
      </c>
      <c r="AS75" s="1" t="str">
        <f>+VLOOKUP(A75,Ficheiros!T:V,3,FALSE)</f>
        <v>PM</v>
      </c>
      <c r="AT75" s="1"/>
      <c r="AU75" s="1"/>
      <c r="AV75" s="1"/>
      <c r="AW75" s="1"/>
      <c r="AX75" s="1"/>
    </row>
    <row r="76" spans="1:50" ht="14.5" hidden="1" customHeight="1" x14ac:dyDescent="0.35">
      <c r="A76" s="5" t="str">
        <f t="shared" si="2"/>
        <v>ENTITYMNTHL_INCM</v>
      </c>
      <c r="B76" s="1" t="s">
        <v>353</v>
      </c>
      <c r="C76" s="1" t="s">
        <v>35</v>
      </c>
      <c r="D76" s="1" t="s">
        <v>271</v>
      </c>
      <c r="E76" s="1" t="s">
        <v>37</v>
      </c>
      <c r="F76" s="25" t="s">
        <v>354</v>
      </c>
      <c r="G76" s="1" t="s">
        <v>354</v>
      </c>
      <c r="H76" s="1" t="s">
        <v>37</v>
      </c>
      <c r="I76" s="1" t="s">
        <v>37</v>
      </c>
      <c r="J76" s="1" t="s">
        <v>37</v>
      </c>
      <c r="K76" s="1" t="s">
        <v>37</v>
      </c>
      <c r="L76" s="1" t="s">
        <v>37</v>
      </c>
      <c r="M76" s="1" t="s">
        <v>37</v>
      </c>
      <c r="N76" s="1" t="s">
        <v>39</v>
      </c>
      <c r="O76" s="1"/>
      <c r="P76" s="1"/>
      <c r="Q76" s="1"/>
      <c r="R76" s="1" t="s">
        <v>273</v>
      </c>
      <c r="S76" s="1" t="s">
        <v>274</v>
      </c>
      <c r="T76" s="1">
        <v>99999999999</v>
      </c>
      <c r="U76" s="1">
        <v>11111111111</v>
      </c>
      <c r="V76" s="1">
        <v>11111111111</v>
      </c>
      <c r="W76" s="1" t="s">
        <v>355</v>
      </c>
      <c r="X76" s="1" t="s">
        <v>356</v>
      </c>
      <c r="Y76" s="1" t="s">
        <v>45</v>
      </c>
      <c r="Z76" s="1" t="s">
        <v>46</v>
      </c>
      <c r="AA76" s="1" t="s">
        <v>47</v>
      </c>
      <c r="AB76" s="1" t="s">
        <v>39</v>
      </c>
      <c r="AC76" s="1" t="s">
        <v>37</v>
      </c>
      <c r="AD76" s="1" t="s">
        <v>37</v>
      </c>
      <c r="AE76" s="1" t="s">
        <v>37</v>
      </c>
      <c r="AF76" s="1" t="s">
        <v>37</v>
      </c>
      <c r="AG76" s="1" t="s">
        <v>37</v>
      </c>
      <c r="AH76" s="1" t="s">
        <v>37</v>
      </c>
      <c r="AI76" s="1" t="s">
        <v>37</v>
      </c>
      <c r="AJ76" s="1" t="s">
        <v>39</v>
      </c>
      <c r="AK76" s="1" t="str">
        <f t="shared" si="3"/>
        <v>Fora de âmbito</v>
      </c>
      <c r="AL76" s="1" t="str">
        <f>+IF(IFERROR(VLOOKUP(A76,Ficheiros!I:I,1,FALSE),"")=A76,"Sim","Não")</f>
        <v>Sim</v>
      </c>
      <c r="AM76" s="1" t="str">
        <f>+IF(IFERROR(VLOOKUP(A76,Ficheiros!E:E,1,FALSE),"")=A76,"Sim","Não")</f>
        <v>Não</v>
      </c>
      <c r="AN76" s="1" t="str">
        <f>+IF(IFERROR(VLOOKUP(A76,Ficheiros!O:O,1,FALSE),"")=A76,"Sim","Não")</f>
        <v>Não</v>
      </c>
      <c r="AO76" s="1" t="str">
        <f>+IF(IFERROR(VLOOKUP(A76,'Especificação Novos Req. LT (2'!A:A,1,FALSE),"")=A76,"Sim","Não")</f>
        <v>Não</v>
      </c>
      <c r="AP76" s="1" t="str">
        <f>+IF(IFERROR(VLOOKUP(A76,Ficheiros!T:T,1,FALSE),"")=A76,"Sim","Não")</f>
        <v>Sim</v>
      </c>
      <c r="AQ76" s="1" t="e">
        <f>+VLOOKUP(A76,Ficheiros!O:P,2,FALSE)</f>
        <v>#N/A</v>
      </c>
      <c r="AR76" s="1" t="str">
        <f>+VLOOKUP(A76,Ficheiros!T:U,2,FALSE)</f>
        <v>1. Especificar</v>
      </c>
      <c r="AS76" s="1" t="str">
        <f>+VLOOKUP(A76,Ficheiros!T:V,3,FALSE)</f>
        <v>PM</v>
      </c>
      <c r="AT76" s="1"/>
      <c r="AU76" s="1"/>
      <c r="AV76" s="1"/>
      <c r="AW76" s="1"/>
      <c r="AX76" s="1"/>
    </row>
    <row r="77" spans="1:50" ht="14.5" hidden="1" customHeight="1" x14ac:dyDescent="0.35">
      <c r="A77" s="5" t="str">
        <f t="shared" si="2"/>
        <v>ENTITYMNTHL_INCM_SLR</v>
      </c>
      <c r="B77" s="1" t="s">
        <v>357</v>
      </c>
      <c r="C77" s="1" t="s">
        <v>35</v>
      </c>
      <c r="D77" s="1" t="s">
        <v>271</v>
      </c>
      <c r="E77" s="1" t="s">
        <v>37</v>
      </c>
      <c r="F77" s="25" t="s">
        <v>358</v>
      </c>
      <c r="G77" s="1" t="s">
        <v>358</v>
      </c>
      <c r="H77" s="1" t="s">
        <v>37</v>
      </c>
      <c r="I77" s="1" t="s">
        <v>37</v>
      </c>
      <c r="J77" s="1" t="s">
        <v>37</v>
      </c>
      <c r="K77" s="1" t="s">
        <v>37</v>
      </c>
      <c r="L77" s="1" t="s">
        <v>37</v>
      </c>
      <c r="M77" s="1" t="s">
        <v>37</v>
      </c>
      <c r="N77" s="1" t="s">
        <v>39</v>
      </c>
      <c r="O77" s="1"/>
      <c r="P77" s="1"/>
      <c r="Q77" s="1"/>
      <c r="R77" s="1" t="s">
        <v>273</v>
      </c>
      <c r="S77" s="1" t="s">
        <v>274</v>
      </c>
      <c r="T77" s="1">
        <v>99999999999</v>
      </c>
      <c r="U77" s="1">
        <v>11111111111</v>
      </c>
      <c r="V77" s="1">
        <v>11111111111</v>
      </c>
      <c r="W77" s="1" t="s">
        <v>359</v>
      </c>
      <c r="X77" s="1" t="s">
        <v>360</v>
      </c>
      <c r="Y77" s="1" t="s">
        <v>45</v>
      </c>
      <c r="Z77" s="1" t="s">
        <v>46</v>
      </c>
      <c r="AA77" s="1" t="s">
        <v>47</v>
      </c>
      <c r="AB77" s="1" t="s">
        <v>39</v>
      </c>
      <c r="AC77" s="1" t="s">
        <v>37</v>
      </c>
      <c r="AD77" s="1" t="s">
        <v>37</v>
      </c>
      <c r="AE77" s="1" t="s">
        <v>37</v>
      </c>
      <c r="AF77" s="1" t="s">
        <v>37</v>
      </c>
      <c r="AG77" s="1" t="s">
        <v>37</v>
      </c>
      <c r="AH77" s="1" t="s">
        <v>37</v>
      </c>
      <c r="AI77" s="1" t="s">
        <v>37</v>
      </c>
      <c r="AJ77" s="1" t="s">
        <v>39</v>
      </c>
      <c r="AK77" s="1" t="str">
        <f t="shared" si="3"/>
        <v>Fora de âmbito</v>
      </c>
      <c r="AL77" s="1" t="str">
        <f>+IF(IFERROR(VLOOKUP(A77,Ficheiros!I:I,1,FALSE),"")=A77,"Sim","Não")</f>
        <v>Sim</v>
      </c>
      <c r="AM77" s="1" t="str">
        <f>+IF(IFERROR(VLOOKUP(A77,Ficheiros!E:E,1,FALSE),"")=A77,"Sim","Não")</f>
        <v>Não</v>
      </c>
      <c r="AN77" s="1" t="str">
        <f>+IF(IFERROR(VLOOKUP(A77,Ficheiros!O:O,1,FALSE),"")=A77,"Sim","Não")</f>
        <v>Não</v>
      </c>
      <c r="AO77" s="1" t="str">
        <f>+IF(IFERROR(VLOOKUP(A77,'Especificação Novos Req. LT (2'!A:A,1,FALSE),"")=A77,"Sim","Não")</f>
        <v>Não</v>
      </c>
      <c r="AP77" s="1" t="str">
        <f>+IF(IFERROR(VLOOKUP(A77,Ficheiros!T:T,1,FALSE),"")=A77,"Sim","Não")</f>
        <v>Sim</v>
      </c>
      <c r="AQ77" s="1" t="e">
        <f>+VLOOKUP(A77,Ficheiros!O:P,2,FALSE)</f>
        <v>#N/A</v>
      </c>
      <c r="AR77" s="1" t="str">
        <f>+VLOOKUP(A77,Ficheiros!T:U,2,FALSE)</f>
        <v>1. Especificar</v>
      </c>
      <c r="AS77" s="1" t="str">
        <f>+VLOOKUP(A77,Ficheiros!T:V,3,FALSE)</f>
        <v>PM</v>
      </c>
      <c r="AT77" s="1"/>
      <c r="AU77" s="1"/>
      <c r="AV77" s="1"/>
      <c r="AW77" s="1"/>
      <c r="AX77" s="1"/>
    </row>
    <row r="78" spans="1:50" ht="14.5" hidden="1" customHeight="1" x14ac:dyDescent="0.35">
      <c r="A78" s="5" t="str">
        <f t="shared" si="2"/>
        <v>ENTITYMNTHL_TRNVR</v>
      </c>
      <c r="B78" s="1" t="s">
        <v>361</v>
      </c>
      <c r="C78" s="1" t="s">
        <v>35</v>
      </c>
      <c r="D78" s="1" t="s">
        <v>271</v>
      </c>
      <c r="E78" s="1" t="s">
        <v>37</v>
      </c>
      <c r="F78" s="25" t="s">
        <v>362</v>
      </c>
      <c r="G78" s="1" t="s">
        <v>362</v>
      </c>
      <c r="H78" s="1" t="s">
        <v>37</v>
      </c>
      <c r="I78" s="1" t="s">
        <v>37</v>
      </c>
      <c r="J78" s="1" t="s">
        <v>37</v>
      </c>
      <c r="K78" s="1" t="s">
        <v>37</v>
      </c>
      <c r="L78" s="1" t="s">
        <v>37</v>
      </c>
      <c r="M78" s="1" t="s">
        <v>37</v>
      </c>
      <c r="N78" s="1" t="s">
        <v>39</v>
      </c>
      <c r="O78" s="1"/>
      <c r="P78" s="1"/>
      <c r="Q78" s="1"/>
      <c r="R78" s="1" t="s">
        <v>273</v>
      </c>
      <c r="S78" s="1" t="s">
        <v>274</v>
      </c>
      <c r="T78" s="1">
        <v>99999999999</v>
      </c>
      <c r="U78" s="1">
        <v>11111111111</v>
      </c>
      <c r="V78" s="1">
        <v>11111111111</v>
      </c>
      <c r="W78" s="1" t="s">
        <v>363</v>
      </c>
      <c r="X78" s="1" t="s">
        <v>364</v>
      </c>
      <c r="Y78" s="1" t="s">
        <v>84</v>
      </c>
      <c r="Z78" s="1" t="s">
        <v>365</v>
      </c>
      <c r="AA78" s="1" t="s">
        <v>47</v>
      </c>
      <c r="AB78" s="1" t="s">
        <v>39</v>
      </c>
      <c r="AC78" s="1" t="s">
        <v>37</v>
      </c>
      <c r="AD78" s="1" t="s">
        <v>37</v>
      </c>
      <c r="AE78" s="1" t="s">
        <v>37</v>
      </c>
      <c r="AF78" s="1" t="s">
        <v>37</v>
      </c>
      <c r="AG78" s="1" t="s">
        <v>37</v>
      </c>
      <c r="AH78" s="1" t="s">
        <v>37</v>
      </c>
      <c r="AI78" s="1" t="s">
        <v>37</v>
      </c>
      <c r="AJ78" s="1" t="s">
        <v>39</v>
      </c>
      <c r="AK78" s="1" t="str">
        <f t="shared" si="3"/>
        <v>Fora de âmbito</v>
      </c>
      <c r="AL78" s="1" t="str">
        <f>+IF(IFERROR(VLOOKUP(A78,Ficheiros!I:I,1,FALSE),"")=A78,"Sim","Não")</f>
        <v>Sim</v>
      </c>
      <c r="AM78" s="1" t="str">
        <f>+IF(IFERROR(VLOOKUP(A78,Ficheiros!E:E,1,FALSE),"")=A78,"Sim","Não")</f>
        <v>Não</v>
      </c>
      <c r="AN78" s="1" t="str">
        <f>+IF(IFERROR(VLOOKUP(A78,Ficheiros!O:O,1,FALSE),"")=A78,"Sim","Não")</f>
        <v>Não</v>
      </c>
      <c r="AO78" s="1" t="str">
        <f>+IF(IFERROR(VLOOKUP(A78,'Especificação Novos Req. LT (2'!A:A,1,FALSE),"")=A78,"Sim","Não")</f>
        <v>Não</v>
      </c>
      <c r="AP78" s="1" t="str">
        <f>+IF(IFERROR(VLOOKUP(A78,Ficheiros!T:T,1,FALSE),"")=A78,"Sim","Não")</f>
        <v>Sim</v>
      </c>
      <c r="AQ78" s="1" t="e">
        <f>+VLOOKUP(A78,Ficheiros!O:P,2,FALSE)</f>
        <v>#N/A</v>
      </c>
      <c r="AR78" s="1" t="str">
        <f>+VLOOKUP(A78,Ficheiros!T:U,2,FALSE)</f>
        <v>1. Especificar</v>
      </c>
      <c r="AS78" s="1" t="str">
        <f>+VLOOKUP(A78,Ficheiros!T:V,3,FALSE)</f>
        <v>PM</v>
      </c>
      <c r="AT78" s="1"/>
      <c r="AU78" s="1"/>
      <c r="AV78" s="1"/>
      <c r="AW78" s="1"/>
      <c r="AX78" s="1"/>
    </row>
    <row r="79" spans="1:50" ht="14.5" hidden="1" customHeight="1" x14ac:dyDescent="0.35">
      <c r="A79" s="5" t="str">
        <f t="shared" si="2"/>
        <v>ENTITYNT_INCM</v>
      </c>
      <c r="B79" s="1" t="s">
        <v>366</v>
      </c>
      <c r="C79" s="1" t="s">
        <v>35</v>
      </c>
      <c r="D79" s="1" t="s">
        <v>271</v>
      </c>
      <c r="E79" s="1" t="s">
        <v>37</v>
      </c>
      <c r="F79" s="25" t="s">
        <v>367</v>
      </c>
      <c r="G79" s="1" t="s">
        <v>367</v>
      </c>
      <c r="H79" s="1" t="s">
        <v>39</v>
      </c>
      <c r="I79" s="1" t="s">
        <v>39</v>
      </c>
      <c r="J79" s="1" t="s">
        <v>39</v>
      </c>
      <c r="K79" s="1" t="s">
        <v>39</v>
      </c>
      <c r="L79" s="1" t="s">
        <v>39</v>
      </c>
      <c r="M79" s="1" t="s">
        <v>39</v>
      </c>
      <c r="N79" s="1" t="s">
        <v>37</v>
      </c>
      <c r="O79" s="1"/>
      <c r="P79" s="1"/>
      <c r="Q79" s="1"/>
      <c r="R79" s="1" t="s">
        <v>273</v>
      </c>
      <c r="S79" s="1" t="s">
        <v>274</v>
      </c>
      <c r="T79" s="1">
        <v>99999999999</v>
      </c>
      <c r="U79" s="1">
        <v>11111111111</v>
      </c>
      <c r="V79" s="1">
        <v>11111111111</v>
      </c>
      <c r="W79" s="1" t="s">
        <v>368</v>
      </c>
      <c r="X79" s="1" t="s">
        <v>369</v>
      </c>
      <c r="Y79" s="1" t="s">
        <v>45</v>
      </c>
      <c r="Z79" s="1" t="s">
        <v>46</v>
      </c>
      <c r="AA79" s="1" t="s">
        <v>47</v>
      </c>
      <c r="AB79" s="1" t="s">
        <v>39</v>
      </c>
      <c r="AC79" s="1" t="s">
        <v>37</v>
      </c>
      <c r="AD79" s="1" t="s">
        <v>37</v>
      </c>
      <c r="AE79" s="1" t="s">
        <v>37</v>
      </c>
      <c r="AF79" s="1" t="s">
        <v>37</v>
      </c>
      <c r="AG79" s="1" t="s">
        <v>39</v>
      </c>
      <c r="AH79" s="1" t="s">
        <v>37</v>
      </c>
      <c r="AI79" s="1" t="s">
        <v>37</v>
      </c>
      <c r="AJ79" s="1" t="s">
        <v>39</v>
      </c>
      <c r="AK79" s="1" t="str">
        <f t="shared" si="3"/>
        <v>Fora de âmbito</v>
      </c>
      <c r="AL79" s="1" t="str">
        <f>+IF(IFERROR(VLOOKUP(A79,Ficheiros!I:I,1,FALSE),"")=A79,"Sim","Não")</f>
        <v>Sim</v>
      </c>
      <c r="AM79" s="1" t="str">
        <f>+IF(IFERROR(VLOOKUP(A79,Ficheiros!E:E,1,FALSE),"")=A79,"Sim","Não")</f>
        <v>Não</v>
      </c>
      <c r="AN79" s="1" t="str">
        <f>+IF(IFERROR(VLOOKUP(A79,Ficheiros!O:O,1,FALSE),"")=A79,"Sim","Não")</f>
        <v>Não</v>
      </c>
      <c r="AO79" s="1" t="str">
        <f>+IF(IFERROR(VLOOKUP(A79,'Especificação Novos Req. LT (2'!A:A,1,FALSE),"")=A79,"Sim","Não")</f>
        <v>Não</v>
      </c>
      <c r="AP79" s="1" t="str">
        <f>+IF(IFERROR(VLOOKUP(A79,Ficheiros!T:T,1,FALSE),"")=A79,"Sim","Não")</f>
        <v>Sim</v>
      </c>
      <c r="AQ79" s="1" t="e">
        <f>+VLOOKUP(A79,Ficheiros!O:P,2,FALSE)</f>
        <v>#N/A</v>
      </c>
      <c r="AR79" s="1" t="str">
        <f>+VLOOKUP(A79,Ficheiros!T:U,2,FALSE)</f>
        <v>2. Alterar especificação</v>
      </c>
      <c r="AS79" s="1" t="str">
        <f>+VLOOKUP(A79,Ficheiros!T:V,3,FALSE)</f>
        <v>PM &amp; LF</v>
      </c>
      <c r="AT79" s="1"/>
      <c r="AU79" s="1"/>
      <c r="AV79" s="1"/>
      <c r="AW79" s="1"/>
      <c r="AX79" s="1"/>
    </row>
    <row r="80" spans="1:50" ht="14.5" hidden="1" customHeight="1" x14ac:dyDescent="0.35">
      <c r="A80" s="5" t="str">
        <f t="shared" si="2"/>
        <v>ENTITYNT_INCM_PRVS</v>
      </c>
      <c r="B80" s="1" t="s">
        <v>370</v>
      </c>
      <c r="C80" s="1" t="s">
        <v>35</v>
      </c>
      <c r="D80" s="1" t="s">
        <v>271</v>
      </c>
      <c r="E80" s="1" t="s">
        <v>37</v>
      </c>
      <c r="F80" s="25" t="s">
        <v>371</v>
      </c>
      <c r="G80" s="1" t="s">
        <v>371</v>
      </c>
      <c r="H80" s="1" t="s">
        <v>39</v>
      </c>
      <c r="I80" s="1" t="s">
        <v>39</v>
      </c>
      <c r="J80" s="1" t="s">
        <v>39</v>
      </c>
      <c r="K80" s="1" t="s">
        <v>39</v>
      </c>
      <c r="L80" s="1" t="s">
        <v>39</v>
      </c>
      <c r="M80" s="1" t="s">
        <v>39</v>
      </c>
      <c r="N80" s="1" t="s">
        <v>37</v>
      </c>
      <c r="O80" s="1"/>
      <c r="P80" s="1"/>
      <c r="Q80" s="1"/>
      <c r="R80" s="1" t="s">
        <v>273</v>
      </c>
      <c r="S80" s="1" t="s">
        <v>274</v>
      </c>
      <c r="T80" s="1">
        <v>99999999999</v>
      </c>
      <c r="U80" s="1">
        <v>11111111111</v>
      </c>
      <c r="V80" s="1">
        <v>11111111111</v>
      </c>
      <c r="W80" s="1" t="s">
        <v>372</v>
      </c>
      <c r="X80" s="1" t="s">
        <v>373</v>
      </c>
      <c r="Y80" s="1" t="s">
        <v>45</v>
      </c>
      <c r="Z80" s="1" t="s">
        <v>46</v>
      </c>
      <c r="AA80" s="1" t="s">
        <v>47</v>
      </c>
      <c r="AB80" s="1" t="s">
        <v>39</v>
      </c>
      <c r="AC80" s="1" t="s">
        <v>37</v>
      </c>
      <c r="AD80" s="1" t="s">
        <v>37</v>
      </c>
      <c r="AE80" s="1" t="s">
        <v>37</v>
      </c>
      <c r="AF80" s="1" t="s">
        <v>37</v>
      </c>
      <c r="AG80" s="1" t="s">
        <v>39</v>
      </c>
      <c r="AH80" s="1" t="s">
        <v>37</v>
      </c>
      <c r="AI80" s="1" t="s">
        <v>37</v>
      </c>
      <c r="AJ80" s="1" t="s">
        <v>39</v>
      </c>
      <c r="AK80" s="1" t="str">
        <f t="shared" si="3"/>
        <v>Fora de âmbito</v>
      </c>
      <c r="AL80" s="1" t="str">
        <f>+IF(IFERROR(VLOOKUP(A80,Ficheiros!I:I,1,FALSE),"")=A80,"Sim","Não")</f>
        <v>Sim</v>
      </c>
      <c r="AM80" s="1" t="str">
        <f>+IF(IFERROR(VLOOKUP(A80,Ficheiros!E:E,1,FALSE),"")=A80,"Sim","Não")</f>
        <v>Não</v>
      </c>
      <c r="AN80" s="1" t="str">
        <f>+IF(IFERROR(VLOOKUP(A80,Ficheiros!O:O,1,FALSE),"")=A80,"Sim","Não")</f>
        <v>Não</v>
      </c>
      <c r="AO80" s="1" t="str">
        <f>+IF(IFERROR(VLOOKUP(A80,'Especificação Novos Req. LT (2'!A:A,1,FALSE),"")=A80,"Sim","Não")</f>
        <v>Não</v>
      </c>
      <c r="AP80" s="1" t="str">
        <f>+IF(IFERROR(VLOOKUP(A80,Ficheiros!T:T,1,FALSE),"")=A80,"Sim","Não")</f>
        <v>Sim</v>
      </c>
      <c r="AQ80" s="1" t="e">
        <f>+VLOOKUP(A80,Ficheiros!O:P,2,FALSE)</f>
        <v>#N/A</v>
      </c>
      <c r="AR80" s="1" t="str">
        <f>+VLOOKUP(A80,Ficheiros!T:U,2,FALSE)</f>
        <v>2. Alterar especificação</v>
      </c>
      <c r="AS80" s="1" t="str">
        <f>+VLOOKUP(A80,Ficheiros!T:V,3,FALSE)</f>
        <v>PM &amp; LF</v>
      </c>
      <c r="AT80" s="1"/>
      <c r="AU80" s="1"/>
      <c r="AV80" s="1"/>
      <c r="AW80" s="1"/>
      <c r="AX80" s="1"/>
    </row>
    <row r="81" spans="1:50" ht="14.5" hidden="1" customHeight="1" x14ac:dyDescent="0.35">
      <c r="A81" s="5" t="str">
        <f t="shared" si="2"/>
        <v>ENTITYTTL_DBT</v>
      </c>
      <c r="B81" s="1" t="s">
        <v>374</v>
      </c>
      <c r="C81" s="1" t="s">
        <v>35</v>
      </c>
      <c r="D81" s="1" t="s">
        <v>271</v>
      </c>
      <c r="E81" s="1" t="s">
        <v>37</v>
      </c>
      <c r="F81" s="25" t="s">
        <v>375</v>
      </c>
      <c r="G81" s="1" t="s">
        <v>375</v>
      </c>
      <c r="H81" s="1" t="s">
        <v>39</v>
      </c>
      <c r="I81" s="1" t="s">
        <v>39</v>
      </c>
      <c r="J81" s="1" t="s">
        <v>39</v>
      </c>
      <c r="K81" s="1" t="s">
        <v>39</v>
      </c>
      <c r="L81" s="1" t="s">
        <v>39</v>
      </c>
      <c r="M81" s="1" t="s">
        <v>39</v>
      </c>
      <c r="N81" s="1" t="s">
        <v>37</v>
      </c>
      <c r="O81" s="1"/>
      <c r="P81" s="1"/>
      <c r="Q81" s="1"/>
      <c r="R81" s="1" t="s">
        <v>273</v>
      </c>
      <c r="S81" s="1" t="s">
        <v>274</v>
      </c>
      <c r="T81" s="1">
        <v>99999999999</v>
      </c>
      <c r="U81" s="1">
        <v>11111111111</v>
      </c>
      <c r="V81" s="1">
        <v>11111111111</v>
      </c>
      <c r="W81" s="1" t="s">
        <v>376</v>
      </c>
      <c r="X81" s="1" t="s">
        <v>377</v>
      </c>
      <c r="Y81" s="1" t="s">
        <v>45</v>
      </c>
      <c r="Z81" s="1" t="s">
        <v>46</v>
      </c>
      <c r="AA81" s="1" t="s">
        <v>47</v>
      </c>
      <c r="AB81" s="1" t="s">
        <v>39</v>
      </c>
      <c r="AC81" s="1" t="s">
        <v>37</v>
      </c>
      <c r="AD81" s="1" t="s">
        <v>39</v>
      </c>
      <c r="AE81" s="1" t="s">
        <v>37</v>
      </c>
      <c r="AF81" s="1" t="s">
        <v>37</v>
      </c>
      <c r="AG81" s="1" t="s">
        <v>39</v>
      </c>
      <c r="AH81" s="1" t="s">
        <v>37</v>
      </c>
      <c r="AI81" s="1" t="s">
        <v>39</v>
      </c>
      <c r="AJ81" s="1" t="s">
        <v>39</v>
      </c>
      <c r="AK81" s="1" t="str">
        <f t="shared" si="3"/>
        <v>Apenas Pilar 3</v>
      </c>
      <c r="AL81" s="1" t="str">
        <f>+IF(IFERROR(VLOOKUP(A81,Ficheiros!I:I,1,FALSE),"")=A81,"Sim","Não")</f>
        <v>Sim</v>
      </c>
      <c r="AM81" s="1" t="str">
        <f>+IF(IFERROR(VLOOKUP(A81,Ficheiros!E:E,1,FALSE),"")=A81,"Sim","Não")</f>
        <v>Não</v>
      </c>
      <c r="AN81" s="1" t="str">
        <f>+IF(IFERROR(VLOOKUP(A81,Ficheiros!O:O,1,FALSE),"")=A81,"Sim","Não")</f>
        <v>Sim</v>
      </c>
      <c r="AO81" s="1" t="str">
        <f>+IF(IFERROR(VLOOKUP(A81,'Especificação Novos Req. LT (2'!A:A,1,FALSE),"")=A81,"Sim","Não")</f>
        <v>Não</v>
      </c>
      <c r="AP81" s="1" t="str">
        <f>+IF(IFERROR(VLOOKUP(A81,Ficheiros!T:T,1,FALSE),"")=A81,"Sim","Não")</f>
        <v>Sim</v>
      </c>
      <c r="AQ81" s="1" t="str">
        <f>+VLOOKUP(A81,Ficheiros!O:P,2,FALSE)</f>
        <v>1. Concluído</v>
      </c>
      <c r="AR81" s="1" t="str">
        <f>+VLOOKUP(A81,Ficheiros!T:U,2,FALSE)</f>
        <v>2. Alterar especificação</v>
      </c>
      <c r="AS81" s="1" t="str">
        <f>+VLOOKUP(A81,Ficheiros!T:V,3,FALSE)</f>
        <v>PM &amp; LF</v>
      </c>
      <c r="AT81" s="1"/>
      <c r="AU81" s="1"/>
      <c r="AV81" s="1"/>
      <c r="AW81" s="1"/>
      <c r="AX81" s="1"/>
    </row>
    <row r="82" spans="1:50" ht="14.5" hidden="1" customHeight="1" x14ac:dyDescent="0.35">
      <c r="A82" s="5" t="str">
        <f t="shared" si="2"/>
        <v>ENTITYTTL_DBT_PRVS</v>
      </c>
      <c r="B82" s="1" t="s">
        <v>378</v>
      </c>
      <c r="C82" s="1" t="s">
        <v>35</v>
      </c>
      <c r="D82" s="1" t="s">
        <v>271</v>
      </c>
      <c r="E82" s="1" t="s">
        <v>37</v>
      </c>
      <c r="F82" s="25" t="s">
        <v>379</v>
      </c>
      <c r="G82" s="1" t="s">
        <v>379</v>
      </c>
      <c r="H82" s="1" t="s">
        <v>39</v>
      </c>
      <c r="I82" s="1" t="s">
        <v>39</v>
      </c>
      <c r="J82" s="1" t="s">
        <v>39</v>
      </c>
      <c r="K82" s="1" t="s">
        <v>39</v>
      </c>
      <c r="L82" s="1" t="s">
        <v>39</v>
      </c>
      <c r="M82" s="1" t="s">
        <v>39</v>
      </c>
      <c r="N82" s="1" t="s">
        <v>37</v>
      </c>
      <c r="O82" s="1"/>
      <c r="P82" s="1"/>
      <c r="Q82" s="1"/>
      <c r="R82" s="1" t="s">
        <v>273</v>
      </c>
      <c r="S82" s="1" t="s">
        <v>274</v>
      </c>
      <c r="T82" s="1">
        <v>99999999999</v>
      </c>
      <c r="U82" s="1">
        <v>11111111111</v>
      </c>
      <c r="V82" s="1">
        <v>11111111111</v>
      </c>
      <c r="W82" s="1" t="s">
        <v>380</v>
      </c>
      <c r="X82" s="1" t="s">
        <v>381</v>
      </c>
      <c r="Y82" s="1" t="s">
        <v>45</v>
      </c>
      <c r="Z82" s="1" t="s">
        <v>46</v>
      </c>
      <c r="AA82" s="1" t="s">
        <v>47</v>
      </c>
      <c r="AB82" s="1" t="s">
        <v>39</v>
      </c>
      <c r="AC82" s="1" t="s">
        <v>37</v>
      </c>
      <c r="AD82" s="1" t="s">
        <v>37</v>
      </c>
      <c r="AE82" s="1" t="s">
        <v>37</v>
      </c>
      <c r="AF82" s="1" t="s">
        <v>37</v>
      </c>
      <c r="AG82" s="1" t="s">
        <v>39</v>
      </c>
      <c r="AH82" s="1" t="s">
        <v>37</v>
      </c>
      <c r="AI82" s="1" t="s">
        <v>37</v>
      </c>
      <c r="AJ82" s="1" t="s">
        <v>39</v>
      </c>
      <c r="AK82" s="1" t="str">
        <f t="shared" si="3"/>
        <v>Fora de âmbito</v>
      </c>
      <c r="AL82" s="1" t="str">
        <f>+IF(IFERROR(VLOOKUP(A82,Ficheiros!I:I,1,FALSE),"")=A82,"Sim","Não")</f>
        <v>Sim</v>
      </c>
      <c r="AM82" s="1" t="str">
        <f>+IF(IFERROR(VLOOKUP(A82,Ficheiros!E:E,1,FALSE),"")=A82,"Sim","Não")</f>
        <v>Não</v>
      </c>
      <c r="AN82" s="1" t="str">
        <f>+IF(IFERROR(VLOOKUP(A82,Ficheiros!O:O,1,FALSE),"")=A82,"Sim","Não")</f>
        <v>Não</v>
      </c>
      <c r="AO82" s="1" t="str">
        <f>+IF(IFERROR(VLOOKUP(A82,'Especificação Novos Req. LT (2'!A:A,1,FALSE),"")=A82,"Sim","Não")</f>
        <v>Não</v>
      </c>
      <c r="AP82" s="1" t="str">
        <f>+IF(IFERROR(VLOOKUP(A82,Ficheiros!T:T,1,FALSE),"")=A82,"Sim","Não")</f>
        <v>Sim</v>
      </c>
      <c r="AQ82" s="1" t="e">
        <f>+VLOOKUP(A82,Ficheiros!O:P,2,FALSE)</f>
        <v>#N/A</v>
      </c>
      <c r="AR82" s="1" t="str">
        <f>+VLOOKUP(A82,Ficheiros!T:U,2,FALSE)</f>
        <v>2. Alterar especificação</v>
      </c>
      <c r="AS82" s="1" t="str">
        <f>+VLOOKUP(A82,Ficheiros!T:V,3,FALSE)</f>
        <v>PM &amp; LF</v>
      </c>
      <c r="AT82" s="1"/>
      <c r="AU82" s="1"/>
      <c r="AV82" s="1"/>
      <c r="AW82" s="1"/>
      <c r="AX82" s="1"/>
    </row>
    <row r="83" spans="1:50" ht="14.5" hidden="1" customHeight="1" x14ac:dyDescent="0.35">
      <c r="A83" s="5" t="str">
        <f t="shared" si="2"/>
        <v>ENTITYTTL_INTRST_PD</v>
      </c>
      <c r="B83" s="1" t="s">
        <v>382</v>
      </c>
      <c r="C83" s="1" t="s">
        <v>35</v>
      </c>
      <c r="D83" s="1" t="s">
        <v>271</v>
      </c>
      <c r="E83" s="1" t="s">
        <v>37</v>
      </c>
      <c r="F83" s="25" t="s">
        <v>383</v>
      </c>
      <c r="G83" s="1" t="s">
        <v>383</v>
      </c>
      <c r="H83" s="1" t="s">
        <v>37</v>
      </c>
      <c r="I83" s="1" t="s">
        <v>37</v>
      </c>
      <c r="J83" s="1" t="s">
        <v>37</v>
      </c>
      <c r="K83" s="1" t="s">
        <v>37</v>
      </c>
      <c r="L83" s="1" t="s">
        <v>39</v>
      </c>
      <c r="M83" s="1" t="s">
        <v>39</v>
      </c>
      <c r="N83" s="1" t="s">
        <v>37</v>
      </c>
      <c r="O83" s="1"/>
      <c r="P83" s="1"/>
      <c r="Q83" s="1"/>
      <c r="R83" s="1" t="s">
        <v>273</v>
      </c>
      <c r="S83" s="1" t="s">
        <v>274</v>
      </c>
      <c r="T83" s="1">
        <v>99999999999</v>
      </c>
      <c r="U83" s="1">
        <v>11111111111</v>
      </c>
      <c r="V83" s="1">
        <v>11111111111</v>
      </c>
      <c r="W83" s="1" t="s">
        <v>384</v>
      </c>
      <c r="X83" s="1" t="s">
        <v>385</v>
      </c>
      <c r="Y83" s="1" t="s">
        <v>45</v>
      </c>
      <c r="Z83" s="1" t="s">
        <v>46</v>
      </c>
      <c r="AA83" s="1" t="s">
        <v>47</v>
      </c>
      <c r="AB83" s="1" t="s">
        <v>39</v>
      </c>
      <c r="AC83" s="1" t="s">
        <v>37</v>
      </c>
      <c r="AD83" s="1" t="s">
        <v>37</v>
      </c>
      <c r="AE83" s="1" t="s">
        <v>37</v>
      </c>
      <c r="AF83" s="1" t="s">
        <v>37</v>
      </c>
      <c r="AG83" s="1" t="s">
        <v>39</v>
      </c>
      <c r="AH83" s="1" t="s">
        <v>37</v>
      </c>
      <c r="AI83" s="1" t="s">
        <v>37</v>
      </c>
      <c r="AJ83" s="1" t="s">
        <v>39</v>
      </c>
      <c r="AK83" s="1" t="str">
        <f t="shared" si="3"/>
        <v>Fora de âmbito</v>
      </c>
      <c r="AL83" s="1" t="str">
        <f>+IF(IFERROR(VLOOKUP(A83,Ficheiros!I:I,1,FALSE),"")=A83,"Sim","Não")</f>
        <v>Sim</v>
      </c>
      <c r="AM83" s="1" t="str">
        <f>+IF(IFERROR(VLOOKUP(A83,Ficheiros!E:E,1,FALSE),"")=A83,"Sim","Não")</f>
        <v>Não</v>
      </c>
      <c r="AN83" s="1" t="str">
        <f>+IF(IFERROR(VLOOKUP(A83,Ficheiros!O:O,1,FALSE),"")=A83,"Sim","Não")</f>
        <v>Não</v>
      </c>
      <c r="AO83" s="1" t="str">
        <f>+IF(IFERROR(VLOOKUP(A83,'Especificação Novos Req. LT (2'!A:A,1,FALSE),"")=A83,"Sim","Não")</f>
        <v>Não</v>
      </c>
      <c r="AP83" s="1" t="str">
        <f>+IF(IFERROR(VLOOKUP(A83,Ficheiros!T:T,1,FALSE),"")=A83,"Sim","Não")</f>
        <v>Sim</v>
      </c>
      <c r="AQ83" s="1" t="e">
        <f>+VLOOKUP(A83,Ficheiros!O:P,2,FALSE)</f>
        <v>#N/A</v>
      </c>
      <c r="AR83" s="1" t="str">
        <f>+VLOOKUP(A83,Ficheiros!T:U,2,FALSE)</f>
        <v>2. Alterar especificação</v>
      </c>
      <c r="AS83" s="1" t="str">
        <f>+VLOOKUP(A83,Ficheiros!T:V,3,FALSE)</f>
        <v>LF</v>
      </c>
      <c r="AT83" s="1"/>
      <c r="AU83" s="1"/>
      <c r="AV83" s="1"/>
      <c r="AW83" s="1"/>
      <c r="AX83" s="1"/>
    </row>
    <row r="84" spans="1:50" ht="14.5" hidden="1" customHeight="1" x14ac:dyDescent="0.35">
      <c r="A84" s="5" t="str">
        <f t="shared" si="2"/>
        <v>ENTITYTTL_LVRG_RT</v>
      </c>
      <c r="B84" s="1" t="s">
        <v>386</v>
      </c>
      <c r="C84" s="1" t="s">
        <v>35</v>
      </c>
      <c r="D84" s="1" t="s">
        <v>271</v>
      </c>
      <c r="E84" s="1" t="s">
        <v>37</v>
      </c>
      <c r="F84" s="25" t="s">
        <v>387</v>
      </c>
      <c r="G84" s="1" t="s">
        <v>387</v>
      </c>
      <c r="H84" s="1" t="s">
        <v>37</v>
      </c>
      <c r="I84" s="1" t="s">
        <v>37</v>
      </c>
      <c r="J84" s="1" t="s">
        <v>37</v>
      </c>
      <c r="K84" s="1" t="s">
        <v>37</v>
      </c>
      <c r="L84" s="1" t="s">
        <v>39</v>
      </c>
      <c r="M84" s="1" t="s">
        <v>39</v>
      </c>
      <c r="N84" s="1" t="s">
        <v>37</v>
      </c>
      <c r="O84" s="1"/>
      <c r="P84" s="1"/>
      <c r="Q84" s="1"/>
      <c r="R84" s="1" t="s">
        <v>342</v>
      </c>
      <c r="S84" s="1" t="s">
        <v>274</v>
      </c>
      <c r="T84" s="1">
        <v>99999999999</v>
      </c>
      <c r="U84" s="1">
        <v>11111111111</v>
      </c>
      <c r="V84" s="1">
        <v>11111111111</v>
      </c>
      <c r="W84" s="1" t="s">
        <v>388</v>
      </c>
      <c r="X84" s="1" t="s">
        <v>389</v>
      </c>
      <c r="Y84" s="1" t="s">
        <v>45</v>
      </c>
      <c r="Z84" s="1" t="s">
        <v>46</v>
      </c>
      <c r="AA84" s="1" t="s">
        <v>47</v>
      </c>
      <c r="AB84" s="1" t="s">
        <v>39</v>
      </c>
      <c r="AC84" s="1" t="s">
        <v>37</v>
      </c>
      <c r="AD84" s="1" t="s">
        <v>37</v>
      </c>
      <c r="AE84" s="1" t="s">
        <v>37</v>
      </c>
      <c r="AF84" s="1" t="s">
        <v>37</v>
      </c>
      <c r="AG84" s="1" t="s">
        <v>39</v>
      </c>
      <c r="AH84" s="1" t="s">
        <v>37</v>
      </c>
      <c r="AI84" s="1" t="s">
        <v>37</v>
      </c>
      <c r="AJ84" s="1" t="s">
        <v>39</v>
      </c>
      <c r="AK84" s="1" t="str">
        <f t="shared" si="3"/>
        <v>Fora de âmbito</v>
      </c>
      <c r="AL84" s="1" t="str">
        <f>+IF(IFERROR(VLOOKUP(A84,Ficheiros!I:I,1,FALSE),"")=A84,"Sim","Não")</f>
        <v>Sim</v>
      </c>
      <c r="AM84" s="1" t="str">
        <f>+IF(IFERROR(VLOOKUP(A84,Ficheiros!E:E,1,FALSE),"")=A84,"Sim","Não")</f>
        <v>Não</v>
      </c>
      <c r="AN84" s="1" t="str">
        <f>+IF(IFERROR(VLOOKUP(A84,Ficheiros!O:O,1,FALSE),"")=A84,"Sim","Não")</f>
        <v>Não</v>
      </c>
      <c r="AO84" s="1" t="str">
        <f>+IF(IFERROR(VLOOKUP(A84,'Especificação Novos Req. LT (2'!A:A,1,FALSE),"")=A84,"Sim","Não")</f>
        <v>Não</v>
      </c>
      <c r="AP84" s="1" t="str">
        <f>+IF(IFERROR(VLOOKUP(A84,Ficheiros!T:T,1,FALSE),"")=A84,"Sim","Não")</f>
        <v>Sim</v>
      </c>
      <c r="AQ84" s="1" t="e">
        <f>+VLOOKUP(A84,Ficheiros!O:P,2,FALSE)</f>
        <v>#N/A</v>
      </c>
      <c r="AR84" s="1" t="str">
        <f>+VLOOKUP(A84,Ficheiros!T:U,2,FALSE)</f>
        <v>9. Concluído</v>
      </c>
      <c r="AS84" s="1" t="str">
        <f>+VLOOKUP(A84,Ficheiros!T:V,3,FALSE)</f>
        <v>PM</v>
      </c>
      <c r="AT84" s="1"/>
      <c r="AU84" s="1"/>
      <c r="AV84" s="1"/>
      <c r="AW84" s="1"/>
      <c r="AX84" s="1"/>
    </row>
    <row r="85" spans="1:50" ht="14.5" hidden="1" customHeight="1" x14ac:dyDescent="0.35">
      <c r="A85" s="5" t="str">
        <f t="shared" si="2"/>
        <v>ENTITYTTL_LVRG_RT_PRVS</v>
      </c>
      <c r="B85" s="1" t="s">
        <v>390</v>
      </c>
      <c r="C85" s="1" t="s">
        <v>35</v>
      </c>
      <c r="D85" s="1" t="s">
        <v>271</v>
      </c>
      <c r="E85" s="1" t="s">
        <v>37</v>
      </c>
      <c r="F85" s="25" t="s">
        <v>391</v>
      </c>
      <c r="G85" s="1" t="s">
        <v>391</v>
      </c>
      <c r="H85" s="1" t="s">
        <v>37</v>
      </c>
      <c r="I85" s="1" t="s">
        <v>37</v>
      </c>
      <c r="J85" s="1" t="s">
        <v>37</v>
      </c>
      <c r="K85" s="1" t="s">
        <v>37</v>
      </c>
      <c r="L85" s="1" t="s">
        <v>39</v>
      </c>
      <c r="M85" s="1" t="s">
        <v>39</v>
      </c>
      <c r="N85" s="1" t="s">
        <v>37</v>
      </c>
      <c r="O85" s="1"/>
      <c r="P85" s="1"/>
      <c r="Q85" s="1"/>
      <c r="R85" s="1" t="s">
        <v>342</v>
      </c>
      <c r="S85" s="1" t="s">
        <v>274</v>
      </c>
      <c r="T85" s="1">
        <v>99999999999</v>
      </c>
      <c r="U85" s="1">
        <v>11111111111</v>
      </c>
      <c r="V85" s="1">
        <v>11111111111</v>
      </c>
      <c r="W85" s="1" t="s">
        <v>392</v>
      </c>
      <c r="X85" s="1" t="s">
        <v>393</v>
      </c>
      <c r="Y85" s="1" t="s">
        <v>45</v>
      </c>
      <c r="Z85" s="1" t="s">
        <v>46</v>
      </c>
      <c r="AA85" s="1" t="s">
        <v>47</v>
      </c>
      <c r="AB85" s="1" t="s">
        <v>39</v>
      </c>
      <c r="AC85" s="1" t="s">
        <v>37</v>
      </c>
      <c r="AD85" s="1" t="s">
        <v>37</v>
      </c>
      <c r="AE85" s="1" t="s">
        <v>37</v>
      </c>
      <c r="AF85" s="1" t="s">
        <v>37</v>
      </c>
      <c r="AG85" s="1" t="s">
        <v>39</v>
      </c>
      <c r="AH85" s="1" t="s">
        <v>37</v>
      </c>
      <c r="AI85" s="1" t="s">
        <v>37</v>
      </c>
      <c r="AJ85" s="1" t="s">
        <v>39</v>
      </c>
      <c r="AK85" s="1" t="str">
        <f t="shared" si="3"/>
        <v>Fora de âmbito</v>
      </c>
      <c r="AL85" s="1" t="str">
        <f>+IF(IFERROR(VLOOKUP(A85,Ficheiros!I:I,1,FALSE),"")=A85,"Sim","Não")</f>
        <v>Sim</v>
      </c>
      <c r="AM85" s="1" t="str">
        <f>+IF(IFERROR(VLOOKUP(A85,Ficheiros!E:E,1,FALSE),"")=A85,"Sim","Não")</f>
        <v>Não</v>
      </c>
      <c r="AN85" s="1" t="str">
        <f>+IF(IFERROR(VLOOKUP(A85,Ficheiros!O:O,1,FALSE),"")=A85,"Sim","Não")</f>
        <v>Não</v>
      </c>
      <c r="AO85" s="1" t="str">
        <f>+IF(IFERROR(VLOOKUP(A85,'Especificação Novos Req. LT (2'!A:A,1,FALSE),"")=A85,"Sim","Não")</f>
        <v>Não</v>
      </c>
      <c r="AP85" s="1" t="str">
        <f>+IF(IFERROR(VLOOKUP(A85,Ficheiros!T:T,1,FALSE),"")=A85,"Sim","Não")</f>
        <v>Sim</v>
      </c>
      <c r="AQ85" s="1" t="e">
        <f>+VLOOKUP(A85,Ficheiros!O:P,2,FALSE)</f>
        <v>#N/A</v>
      </c>
      <c r="AR85" s="1" t="str">
        <f>+VLOOKUP(A85,Ficheiros!T:U,2,FALSE)</f>
        <v>9. Concluído</v>
      </c>
      <c r="AS85" s="1" t="str">
        <f>+VLOOKUP(A85,Ficheiros!T:V,3,FALSE)</f>
        <v>PM</v>
      </c>
      <c r="AT85" s="1"/>
      <c r="AU85" s="1"/>
      <c r="AV85" s="1"/>
      <c r="AW85" s="1"/>
      <c r="AX85" s="1"/>
    </row>
    <row r="86" spans="1:50" ht="14.5" hidden="1" customHeight="1" x14ac:dyDescent="0.35">
      <c r="A86" s="5" t="str">
        <f t="shared" si="2"/>
        <v>ENTITYDBT_RPYMNT_CPCTY_SNR_DBT</v>
      </c>
      <c r="B86" s="1" t="s">
        <v>394</v>
      </c>
      <c r="C86" s="1" t="s">
        <v>35</v>
      </c>
      <c r="D86" s="1" t="s">
        <v>395</v>
      </c>
      <c r="E86" s="1" t="s">
        <v>37</v>
      </c>
      <c r="F86" s="26" t="s">
        <v>396</v>
      </c>
      <c r="G86" s="1" t="s">
        <v>396</v>
      </c>
      <c r="H86" s="1" t="s">
        <v>37</v>
      </c>
      <c r="I86" s="1" t="s">
        <v>37</v>
      </c>
      <c r="J86" s="1" t="s">
        <v>37</v>
      </c>
      <c r="K86" s="1" t="s">
        <v>37</v>
      </c>
      <c r="L86" s="1" t="s">
        <v>39</v>
      </c>
      <c r="M86" s="1" t="s">
        <v>39</v>
      </c>
      <c r="N86" s="1" t="s">
        <v>37</v>
      </c>
      <c r="O86" s="1"/>
      <c r="P86" s="1"/>
      <c r="Q86" s="1"/>
      <c r="R86" s="1" t="s">
        <v>342</v>
      </c>
      <c r="S86" s="1" t="s">
        <v>274</v>
      </c>
      <c r="T86" s="1">
        <v>99999999999</v>
      </c>
      <c r="U86" s="1">
        <v>11111111111</v>
      </c>
      <c r="V86" s="1">
        <v>11111111111</v>
      </c>
      <c r="W86" s="1" t="s">
        <v>397</v>
      </c>
      <c r="X86" s="1" t="s">
        <v>398</v>
      </c>
      <c r="Y86" s="1" t="s">
        <v>45</v>
      </c>
      <c r="Z86" s="1" t="s">
        <v>46</v>
      </c>
      <c r="AA86" s="1" t="s">
        <v>47</v>
      </c>
      <c r="AB86" s="1" t="s">
        <v>39</v>
      </c>
      <c r="AC86" s="1" t="s">
        <v>37</v>
      </c>
      <c r="AD86" s="1" t="s">
        <v>37</v>
      </c>
      <c r="AE86" s="1" t="s">
        <v>37</v>
      </c>
      <c r="AF86" s="1" t="s">
        <v>37</v>
      </c>
      <c r="AG86" s="1" t="s">
        <v>39</v>
      </c>
      <c r="AH86" s="1" t="s">
        <v>37</v>
      </c>
      <c r="AI86" s="1" t="s">
        <v>37</v>
      </c>
      <c r="AJ86" s="1" t="s">
        <v>39</v>
      </c>
      <c r="AK86" s="1" t="str">
        <f t="shared" si="3"/>
        <v>Fora de âmbito</v>
      </c>
      <c r="AL86" s="1" t="str">
        <f>+IF(IFERROR(VLOOKUP(A86,Ficheiros!I:I,1,FALSE),"")=A86,"Sim","Não")</f>
        <v>Sim</v>
      </c>
      <c r="AM86" s="1" t="str">
        <f>+IF(IFERROR(VLOOKUP(A86,Ficheiros!E:E,1,FALSE),"")=A86,"Sim","Não")</f>
        <v>Não</v>
      </c>
      <c r="AN86" s="1" t="str">
        <f>+IF(IFERROR(VLOOKUP(A86,Ficheiros!O:O,1,FALSE),"")=A86,"Sim","Não")</f>
        <v>Não</v>
      </c>
      <c r="AO86" s="1" t="str">
        <f>+IF(IFERROR(VLOOKUP(A86,'Especificação Novos Req. LT (2'!A:A,1,FALSE),"")=A86,"Sim","Não")</f>
        <v>Não</v>
      </c>
      <c r="AP86" s="1" t="str">
        <f>+IF(IFERROR(VLOOKUP(A86,Ficheiros!T:T,1,FALSE),"")=A86,"Sim","Não")</f>
        <v>Sim</v>
      </c>
      <c r="AQ86" s="1" t="e">
        <f>+VLOOKUP(A86,Ficheiros!O:P,2,FALSE)</f>
        <v>#N/A</v>
      </c>
      <c r="AR86" s="1" t="str">
        <f>+VLOOKUP(A86,Ficheiros!T:U,2,FALSE)</f>
        <v>8. Concluído - sem dados</v>
      </c>
      <c r="AS86" s="1" t="str">
        <f>+VLOOKUP(A86,Ficheiros!T:V,3,FALSE)</f>
        <v>PM &amp; LF</v>
      </c>
      <c r="AT86" s="1"/>
      <c r="AU86" s="1"/>
      <c r="AV86" s="1"/>
      <c r="AW86" s="1"/>
      <c r="AX86" s="1"/>
    </row>
    <row r="87" spans="1:50" ht="14.5" hidden="1" customHeight="1" x14ac:dyDescent="0.35">
      <c r="A87" s="5" t="str">
        <f t="shared" si="2"/>
        <v>ENTITYDBT_RPYMNT_CPCTY_TTL</v>
      </c>
      <c r="B87" s="1" t="s">
        <v>399</v>
      </c>
      <c r="C87" s="1" t="s">
        <v>35</v>
      </c>
      <c r="D87" s="1" t="s">
        <v>395</v>
      </c>
      <c r="E87" s="1" t="s">
        <v>37</v>
      </c>
      <c r="F87" s="26" t="s">
        <v>400</v>
      </c>
      <c r="G87" s="1" t="s">
        <v>400</v>
      </c>
      <c r="H87" s="1" t="s">
        <v>37</v>
      </c>
      <c r="I87" s="1" t="s">
        <v>37</v>
      </c>
      <c r="J87" s="1" t="s">
        <v>37</v>
      </c>
      <c r="K87" s="1" t="s">
        <v>37</v>
      </c>
      <c r="L87" s="1" t="s">
        <v>39</v>
      </c>
      <c r="M87" s="1" t="s">
        <v>39</v>
      </c>
      <c r="N87" s="1" t="s">
        <v>37</v>
      </c>
      <c r="O87" s="1"/>
      <c r="P87" s="1"/>
      <c r="Q87" s="1"/>
      <c r="R87" s="1" t="s">
        <v>342</v>
      </c>
      <c r="S87" s="1" t="s">
        <v>274</v>
      </c>
      <c r="T87" s="1">
        <v>99999999999</v>
      </c>
      <c r="U87" s="1">
        <v>11111111111</v>
      </c>
      <c r="V87" s="1">
        <v>11111111111</v>
      </c>
      <c r="W87" s="1" t="s">
        <v>401</v>
      </c>
      <c r="X87" s="1" t="s">
        <v>398</v>
      </c>
      <c r="Y87" s="1" t="s">
        <v>45</v>
      </c>
      <c r="Z87" s="1" t="s">
        <v>46</v>
      </c>
      <c r="AA87" s="1" t="s">
        <v>47</v>
      </c>
      <c r="AB87" s="1" t="s">
        <v>39</v>
      </c>
      <c r="AC87" s="1" t="s">
        <v>37</v>
      </c>
      <c r="AD87" s="1" t="s">
        <v>37</v>
      </c>
      <c r="AE87" s="1" t="s">
        <v>37</v>
      </c>
      <c r="AF87" s="1" t="s">
        <v>37</v>
      </c>
      <c r="AG87" s="1" t="s">
        <v>39</v>
      </c>
      <c r="AH87" s="1" t="s">
        <v>37</v>
      </c>
      <c r="AI87" s="1" t="s">
        <v>37</v>
      </c>
      <c r="AJ87" s="1" t="s">
        <v>39</v>
      </c>
      <c r="AK87" s="1" t="str">
        <f t="shared" si="3"/>
        <v>Fora de âmbito</v>
      </c>
      <c r="AL87" s="1" t="str">
        <f>+IF(IFERROR(VLOOKUP(A87,Ficheiros!I:I,1,FALSE),"")=A87,"Sim","Não")</f>
        <v>Sim</v>
      </c>
      <c r="AM87" s="1" t="str">
        <f>+IF(IFERROR(VLOOKUP(A87,Ficheiros!E:E,1,FALSE),"")=A87,"Sim","Não")</f>
        <v>Não</v>
      </c>
      <c r="AN87" s="1" t="str">
        <f>+IF(IFERROR(VLOOKUP(A87,Ficheiros!O:O,1,FALSE),"")=A87,"Sim","Não")</f>
        <v>Não</v>
      </c>
      <c r="AO87" s="1" t="str">
        <f>+IF(IFERROR(VLOOKUP(A87,'Especificação Novos Req. LT (2'!A:A,1,FALSE),"")=A87,"Sim","Não")</f>
        <v>Não</v>
      </c>
      <c r="AP87" s="1" t="str">
        <f>+IF(IFERROR(VLOOKUP(A87,Ficheiros!T:T,1,FALSE),"")=A87,"Sim","Não")</f>
        <v>Sim</v>
      </c>
      <c r="AQ87" s="1" t="e">
        <f>+VLOOKUP(A87,Ficheiros!O:P,2,FALSE)</f>
        <v>#N/A</v>
      </c>
      <c r="AR87" s="1" t="str">
        <f>+VLOOKUP(A87,Ficheiros!T:U,2,FALSE)</f>
        <v>9. Concluído</v>
      </c>
      <c r="AS87" s="1" t="str">
        <f>+VLOOKUP(A87,Ficheiros!T:V,3,FALSE)</f>
        <v>PM</v>
      </c>
      <c r="AT87" s="1"/>
      <c r="AU87" s="1"/>
      <c r="AV87" s="1"/>
      <c r="AW87" s="1"/>
      <c r="AX87" s="1"/>
    </row>
    <row r="88" spans="1:50" ht="14.5" hidden="1" customHeight="1" x14ac:dyDescent="0.35">
      <c r="A88" s="5" t="str">
        <f t="shared" si="2"/>
        <v>ENTITYDBT_SRVC_RT</v>
      </c>
      <c r="B88" s="1" t="s">
        <v>402</v>
      </c>
      <c r="C88" s="1" t="s">
        <v>35</v>
      </c>
      <c r="D88" s="1" t="s">
        <v>395</v>
      </c>
      <c r="E88" s="1" t="s">
        <v>37</v>
      </c>
      <c r="F88" s="25" t="s">
        <v>403</v>
      </c>
      <c r="G88" s="1" t="s">
        <v>403</v>
      </c>
      <c r="H88" s="1" t="s">
        <v>39</v>
      </c>
      <c r="I88" s="1" t="s">
        <v>39</v>
      </c>
      <c r="J88" s="1" t="s">
        <v>39</v>
      </c>
      <c r="K88" s="1" t="s">
        <v>39</v>
      </c>
      <c r="L88" s="1" t="s">
        <v>39</v>
      </c>
      <c r="M88" s="1" t="s">
        <v>39</v>
      </c>
      <c r="N88" s="1" t="s">
        <v>37</v>
      </c>
      <c r="O88" s="1"/>
      <c r="P88" s="1"/>
      <c r="Q88" s="1"/>
      <c r="R88" s="1" t="s">
        <v>342</v>
      </c>
      <c r="S88" s="1" t="s">
        <v>274</v>
      </c>
      <c r="T88" s="1">
        <v>99999999999</v>
      </c>
      <c r="U88" s="1">
        <v>11111111111</v>
      </c>
      <c r="V88" s="1">
        <v>11111111111</v>
      </c>
      <c r="W88" s="1" t="s">
        <v>404</v>
      </c>
      <c r="X88" s="1" t="s">
        <v>405</v>
      </c>
      <c r="Y88" s="1" t="s">
        <v>45</v>
      </c>
      <c r="Z88" s="1" t="s">
        <v>46</v>
      </c>
      <c r="AA88" s="1" t="s">
        <v>47</v>
      </c>
      <c r="AB88" s="1" t="s">
        <v>39</v>
      </c>
      <c r="AC88" s="1" t="s">
        <v>37</v>
      </c>
      <c r="AD88" s="1" t="s">
        <v>37</v>
      </c>
      <c r="AE88" s="1" t="s">
        <v>37</v>
      </c>
      <c r="AF88" s="1" t="s">
        <v>37</v>
      </c>
      <c r="AG88" s="1" t="s">
        <v>37</v>
      </c>
      <c r="AH88" s="1" t="s">
        <v>37</v>
      </c>
      <c r="AI88" s="1" t="s">
        <v>37</v>
      </c>
      <c r="AJ88" s="1" t="s">
        <v>39</v>
      </c>
      <c r="AK88" s="1" t="str">
        <f t="shared" si="3"/>
        <v>Fora de âmbito</v>
      </c>
      <c r="AL88" s="1" t="str">
        <f>+IF(IFERROR(VLOOKUP(A88,Ficheiros!I:I,1,FALSE),"")=A88,"Sim","Não")</f>
        <v>Sim</v>
      </c>
      <c r="AM88" s="1" t="str">
        <f>+IF(IFERROR(VLOOKUP(A88,Ficheiros!E:E,1,FALSE),"")=A88,"Sim","Não")</f>
        <v>Não</v>
      </c>
      <c r="AN88" s="1" t="str">
        <f>+IF(IFERROR(VLOOKUP(A88,Ficheiros!O:O,1,FALSE),"")=A88,"Sim","Não")</f>
        <v>Não</v>
      </c>
      <c r="AO88" s="1" t="str">
        <f>+IF(IFERROR(VLOOKUP(A88,'Especificação Novos Req. LT (2'!A:A,1,FALSE),"")=A88,"Sim","Não")</f>
        <v>Não</v>
      </c>
      <c r="AP88" s="1" t="str">
        <f>+IF(IFERROR(VLOOKUP(A88,Ficheiros!T:T,1,FALSE),"")=A88,"Sim","Não")</f>
        <v>Sim</v>
      </c>
      <c r="AQ88" s="1" t="e">
        <f>+VLOOKUP(A88,Ficheiros!O:P,2,FALSE)</f>
        <v>#N/A</v>
      </c>
      <c r="AR88" s="1" t="str">
        <f>+VLOOKUP(A88,Ficheiros!T:U,2,FALSE)</f>
        <v>2. Alterar especificação</v>
      </c>
      <c r="AS88" s="1" t="str">
        <f>+VLOOKUP(A88,Ficheiros!T:V,3,FALSE)</f>
        <v>PM</v>
      </c>
      <c r="AT88" s="1"/>
      <c r="AU88" s="1"/>
      <c r="AV88" s="1"/>
      <c r="AW88" s="1"/>
      <c r="AX88" s="1"/>
    </row>
    <row r="89" spans="1:50" ht="14.5" hidden="1" customHeight="1" x14ac:dyDescent="0.35">
      <c r="A89" s="5" t="str">
        <f t="shared" si="2"/>
        <v>ENTITYDBT_SRVC_RT_12M</v>
      </c>
      <c r="B89" s="1" t="s">
        <v>406</v>
      </c>
      <c r="C89" s="1" t="s">
        <v>35</v>
      </c>
      <c r="D89" s="1" t="s">
        <v>395</v>
      </c>
      <c r="E89" s="1" t="s">
        <v>37</v>
      </c>
      <c r="F89" s="25" t="s">
        <v>407</v>
      </c>
      <c r="G89" s="1" t="s">
        <v>407</v>
      </c>
      <c r="H89" s="1" t="s">
        <v>39</v>
      </c>
      <c r="I89" s="1" t="s">
        <v>39</v>
      </c>
      <c r="J89" s="1" t="s">
        <v>39</v>
      </c>
      <c r="K89" s="1" t="s">
        <v>39</v>
      </c>
      <c r="L89" s="1" t="s">
        <v>39</v>
      </c>
      <c r="M89" s="1" t="s">
        <v>39</v>
      </c>
      <c r="N89" s="1" t="s">
        <v>37</v>
      </c>
      <c r="O89" s="1"/>
      <c r="P89" s="1"/>
      <c r="Q89" s="1"/>
      <c r="R89" s="1" t="s">
        <v>342</v>
      </c>
      <c r="S89" s="1" t="s">
        <v>274</v>
      </c>
      <c r="T89" s="1">
        <v>99999999999</v>
      </c>
      <c r="U89" s="1">
        <v>11111111111</v>
      </c>
      <c r="V89" s="1">
        <v>11111111111</v>
      </c>
      <c r="W89" s="1" t="s">
        <v>408</v>
      </c>
      <c r="X89" s="1" t="s">
        <v>409</v>
      </c>
      <c r="Y89" s="1" t="s">
        <v>45</v>
      </c>
      <c r="Z89" s="1" t="s">
        <v>46</v>
      </c>
      <c r="AA89" s="1" t="s">
        <v>47</v>
      </c>
      <c r="AB89" s="1" t="s">
        <v>39</v>
      </c>
      <c r="AC89" s="1" t="s">
        <v>37</v>
      </c>
      <c r="AD89" s="1" t="s">
        <v>37</v>
      </c>
      <c r="AE89" s="1" t="s">
        <v>37</v>
      </c>
      <c r="AF89" s="1" t="s">
        <v>37</v>
      </c>
      <c r="AG89" s="1" t="s">
        <v>37</v>
      </c>
      <c r="AH89" s="1" t="s">
        <v>37</v>
      </c>
      <c r="AI89" s="1" t="s">
        <v>37</v>
      </c>
      <c r="AJ89" s="1" t="s">
        <v>39</v>
      </c>
      <c r="AK89" s="1" t="str">
        <f t="shared" si="3"/>
        <v>Fora de âmbito</v>
      </c>
      <c r="AL89" s="1" t="str">
        <f>+IF(IFERROR(VLOOKUP(A89,Ficheiros!I:I,1,FALSE),"")=A89,"Sim","Não")</f>
        <v>Sim</v>
      </c>
      <c r="AM89" s="1" t="str">
        <f>+IF(IFERROR(VLOOKUP(A89,Ficheiros!E:E,1,FALSE),"")=A89,"Sim","Não")</f>
        <v>Não</v>
      </c>
      <c r="AN89" s="1" t="str">
        <f>+IF(IFERROR(VLOOKUP(A89,Ficheiros!O:O,1,FALSE),"")=A89,"Sim","Não")</f>
        <v>Não</v>
      </c>
      <c r="AO89" s="1" t="str">
        <f>+IF(IFERROR(VLOOKUP(A89,'Especificação Novos Req. LT (2'!A:A,1,FALSE),"")=A89,"Sim","Não")</f>
        <v>Não</v>
      </c>
      <c r="AP89" s="1" t="str">
        <f>+IF(IFERROR(VLOOKUP(A89,Ficheiros!T:T,1,FALSE),"")=A89,"Sim","Não")</f>
        <v>Sim</v>
      </c>
      <c r="AQ89" s="1" t="e">
        <f>+VLOOKUP(A89,Ficheiros!O:P,2,FALSE)</f>
        <v>#N/A</v>
      </c>
      <c r="AR89" s="1" t="str">
        <f>+VLOOKUP(A89,Ficheiros!T:U,2,FALSE)</f>
        <v>2. Alterar especificação</v>
      </c>
      <c r="AS89" s="1" t="str">
        <f>+VLOOKUP(A89,Ficheiros!T:V,3,FALSE)</f>
        <v>PM</v>
      </c>
      <c r="AT89" s="1"/>
      <c r="AU89" s="1"/>
      <c r="AV89" s="1"/>
      <c r="AW89" s="1"/>
      <c r="AX89" s="1"/>
    </row>
    <row r="90" spans="1:50" ht="14.5" hidden="1" customHeight="1" x14ac:dyDescent="0.35">
      <c r="A90" s="5" t="str">
        <f t="shared" si="2"/>
        <v>ENTITYPD_CRR_RD</v>
      </c>
      <c r="B90" s="1" t="s">
        <v>410</v>
      </c>
      <c r="C90" s="1" t="s">
        <v>35</v>
      </c>
      <c r="D90" s="1" t="s">
        <v>395</v>
      </c>
      <c r="E90" s="1" t="s">
        <v>37</v>
      </c>
      <c r="F90" s="25" t="s">
        <v>411</v>
      </c>
      <c r="G90" s="1" t="s">
        <v>411</v>
      </c>
      <c r="H90" s="1" t="s">
        <v>39</v>
      </c>
      <c r="I90" s="1" t="s">
        <v>39</v>
      </c>
      <c r="J90" s="1" t="s">
        <v>39</v>
      </c>
      <c r="K90" s="1" t="s">
        <v>39</v>
      </c>
      <c r="L90" s="1" t="s">
        <v>39</v>
      </c>
      <c r="M90" s="1" t="s">
        <v>39</v>
      </c>
      <c r="N90" s="1" t="s">
        <v>39</v>
      </c>
      <c r="O90" s="1"/>
      <c r="P90" s="1"/>
      <c r="Q90" s="1"/>
      <c r="R90" s="1" t="s">
        <v>342</v>
      </c>
      <c r="S90" s="1" t="s">
        <v>274</v>
      </c>
      <c r="T90" s="1">
        <v>99999999999</v>
      </c>
      <c r="U90" s="1">
        <v>11111111111</v>
      </c>
      <c r="V90" s="1">
        <v>11111111111</v>
      </c>
      <c r="W90" s="1" t="s">
        <v>412</v>
      </c>
      <c r="X90" s="1" t="s">
        <v>413</v>
      </c>
      <c r="Y90" s="1" t="s">
        <v>84</v>
      </c>
      <c r="Z90" s="1" t="s">
        <v>414</v>
      </c>
      <c r="AA90" s="1" t="s">
        <v>415</v>
      </c>
      <c r="AB90" s="1" t="s">
        <v>39</v>
      </c>
      <c r="AC90" s="1" t="s">
        <v>37</v>
      </c>
      <c r="AD90" s="1" t="s">
        <v>37</v>
      </c>
      <c r="AE90" s="1" t="s">
        <v>37</v>
      </c>
      <c r="AF90" s="1" t="s">
        <v>37</v>
      </c>
      <c r="AG90" s="1" t="s">
        <v>39</v>
      </c>
      <c r="AH90" s="1" t="s">
        <v>37</v>
      </c>
      <c r="AI90" s="1" t="s">
        <v>37</v>
      </c>
      <c r="AJ90" s="1" t="s">
        <v>39</v>
      </c>
      <c r="AK90" s="1" t="str">
        <f t="shared" si="3"/>
        <v>Fora de âmbito</v>
      </c>
      <c r="AL90" s="1" t="str">
        <f>+IF(IFERROR(VLOOKUP(A90,Ficheiros!I:I,1,FALSE),"")=A90,"Sim","Não")</f>
        <v>Sim</v>
      </c>
      <c r="AM90" s="1" t="str">
        <f>+IF(IFERROR(VLOOKUP(A90,Ficheiros!E:E,1,FALSE),"")=A90,"Sim","Não")</f>
        <v>Não</v>
      </c>
      <c r="AN90" s="1" t="str">
        <f>+IF(IFERROR(VLOOKUP(A90,Ficheiros!O:O,1,FALSE),"")=A90,"Sim","Não")</f>
        <v>Não</v>
      </c>
      <c r="AO90" s="1" t="str">
        <f>+IF(IFERROR(VLOOKUP(A90,'Especificação Novos Req. LT (2'!A:A,1,FALSE),"")=A90,"Sim","Não")</f>
        <v>Não</v>
      </c>
      <c r="AP90" s="1" t="str">
        <f>+IF(IFERROR(VLOOKUP(A90,Ficheiros!T:T,1,FALSE),"")=A90,"Sim","Não")</f>
        <v>Sim</v>
      </c>
      <c r="AQ90" s="1" t="e">
        <f>+VLOOKUP(A90,Ficheiros!O:P,2,FALSE)</f>
        <v>#N/A</v>
      </c>
      <c r="AR90" s="1" t="str">
        <f>+VLOOKUP(A90,Ficheiros!T:U,2,FALSE)</f>
        <v>7. Analisar controlos e completude</v>
      </c>
      <c r="AS90" s="1" t="str">
        <f>+VLOOKUP(A90,Ficheiros!T:V,3,FALSE)</f>
        <v>LF</v>
      </c>
      <c r="AT90" s="1"/>
      <c r="AU90" s="1"/>
      <c r="AV90" s="1"/>
      <c r="AW90" s="1"/>
      <c r="AX90" s="1"/>
    </row>
    <row r="91" spans="1:50" ht="14.5" hidden="1" customHeight="1" x14ac:dyDescent="0.35">
      <c r="A91" s="5" t="str">
        <f t="shared" si="2"/>
        <v>ENTITYPD_IFRS9_12M_RD</v>
      </c>
      <c r="B91" s="1" t="s">
        <v>416</v>
      </c>
      <c r="C91" s="1" t="s">
        <v>35</v>
      </c>
      <c r="D91" s="1" t="s">
        <v>395</v>
      </c>
      <c r="E91" s="1" t="s">
        <v>37</v>
      </c>
      <c r="F91" s="25" t="s">
        <v>417</v>
      </c>
      <c r="G91" s="1" t="s">
        <v>417</v>
      </c>
      <c r="H91" s="1" t="s">
        <v>39</v>
      </c>
      <c r="I91" s="1" t="s">
        <v>39</v>
      </c>
      <c r="J91" s="1" t="s">
        <v>39</v>
      </c>
      <c r="K91" s="1" t="s">
        <v>39</v>
      </c>
      <c r="L91" s="1" t="s">
        <v>39</v>
      </c>
      <c r="M91" s="1" t="s">
        <v>39</v>
      </c>
      <c r="N91" s="1" t="s">
        <v>39</v>
      </c>
      <c r="O91" s="1"/>
      <c r="P91" s="1"/>
      <c r="Q91" s="1"/>
      <c r="R91" s="1" t="s">
        <v>342</v>
      </c>
      <c r="S91" s="1" t="s">
        <v>274</v>
      </c>
      <c r="T91" s="1">
        <v>99999999999</v>
      </c>
      <c r="U91" s="1">
        <v>11111111111</v>
      </c>
      <c r="V91" s="1">
        <v>11111111111</v>
      </c>
      <c r="W91" s="1" t="s">
        <v>418</v>
      </c>
      <c r="X91" s="1" t="s">
        <v>419</v>
      </c>
      <c r="Y91" s="1" t="s">
        <v>84</v>
      </c>
      <c r="Z91" s="1" t="s">
        <v>420</v>
      </c>
      <c r="AA91" s="1" t="s">
        <v>47</v>
      </c>
      <c r="AB91" s="1" t="s">
        <v>39</v>
      </c>
      <c r="AC91" s="1" t="s">
        <v>37</v>
      </c>
      <c r="AD91" s="1" t="s">
        <v>37</v>
      </c>
      <c r="AE91" s="1" t="s">
        <v>37</v>
      </c>
      <c r="AF91" s="1" t="s">
        <v>37</v>
      </c>
      <c r="AG91" s="1" t="s">
        <v>39</v>
      </c>
      <c r="AH91" s="1" t="s">
        <v>37</v>
      </c>
      <c r="AI91" s="1" t="s">
        <v>37</v>
      </c>
      <c r="AJ91" s="1" t="s">
        <v>39</v>
      </c>
      <c r="AK91" s="1" t="str">
        <f t="shared" si="3"/>
        <v>Fora de âmbito</v>
      </c>
      <c r="AL91" s="1" t="str">
        <f>+IF(IFERROR(VLOOKUP(A91,Ficheiros!I:I,1,FALSE),"")=A91,"Sim","Não")</f>
        <v>Sim</v>
      </c>
      <c r="AM91" s="1" t="str">
        <f>+IF(IFERROR(VLOOKUP(A91,Ficheiros!E:E,1,FALSE),"")=A91,"Sim","Não")</f>
        <v>Não</v>
      </c>
      <c r="AN91" s="1" t="str">
        <f>+IF(IFERROR(VLOOKUP(A91,Ficheiros!O:O,1,FALSE),"")=A91,"Sim","Não")</f>
        <v>Não</v>
      </c>
      <c r="AO91" s="1" t="str">
        <f>+IF(IFERROR(VLOOKUP(A91,'Especificação Novos Req. LT (2'!A:A,1,FALSE),"")=A91,"Sim","Não")</f>
        <v>Não</v>
      </c>
      <c r="AP91" s="1" t="str">
        <f>+IF(IFERROR(VLOOKUP(A91,Ficheiros!T:T,1,FALSE),"")=A91,"Sim","Não")</f>
        <v>Sim</v>
      </c>
      <c r="AQ91" s="1" t="e">
        <f>+VLOOKUP(A91,Ficheiros!O:P,2,FALSE)</f>
        <v>#N/A</v>
      </c>
      <c r="AR91" s="1" t="str">
        <f>+VLOOKUP(A91,Ficheiros!T:U,2,FALSE)</f>
        <v>3. Pendente de decisão</v>
      </c>
      <c r="AS91" s="1" t="str">
        <f>+VLOOKUP(A91,Ficheiros!T:V,3,FALSE)</f>
        <v>LF</v>
      </c>
      <c r="AT91" s="1"/>
      <c r="AU91" s="1"/>
      <c r="AV91" s="1"/>
      <c r="AW91" s="1"/>
      <c r="AX91" s="1"/>
    </row>
    <row r="92" spans="1:50" ht="14.5" hidden="1" customHeight="1" x14ac:dyDescent="0.35">
      <c r="A92" s="5" t="str">
        <f t="shared" si="2"/>
        <v>ENTITYPD_IFRS9_12M_RD_T1</v>
      </c>
      <c r="B92" s="1" t="s">
        <v>421</v>
      </c>
      <c r="C92" s="1" t="s">
        <v>35</v>
      </c>
      <c r="D92" s="1" t="s">
        <v>395</v>
      </c>
      <c r="E92" s="1" t="s">
        <v>37</v>
      </c>
      <c r="F92" s="25" t="s">
        <v>422</v>
      </c>
      <c r="G92" s="1" t="s">
        <v>422</v>
      </c>
      <c r="H92" s="1" t="s">
        <v>39</v>
      </c>
      <c r="I92" s="1" t="s">
        <v>39</v>
      </c>
      <c r="J92" s="1" t="s">
        <v>39</v>
      </c>
      <c r="K92" s="1" t="s">
        <v>39</v>
      </c>
      <c r="L92" s="1" t="s">
        <v>39</v>
      </c>
      <c r="M92" s="1" t="s">
        <v>39</v>
      </c>
      <c r="N92" s="1" t="s">
        <v>39</v>
      </c>
      <c r="O92" s="1"/>
      <c r="P92" s="1"/>
      <c r="Q92" s="1"/>
      <c r="R92" s="1" t="s">
        <v>342</v>
      </c>
      <c r="S92" s="1" t="s">
        <v>274</v>
      </c>
      <c r="T92" s="1">
        <v>99999999999</v>
      </c>
      <c r="U92" s="1">
        <v>11111111111</v>
      </c>
      <c r="V92" s="1">
        <v>11111111111</v>
      </c>
      <c r="W92" s="1" t="s">
        <v>423</v>
      </c>
      <c r="X92" s="1" t="s">
        <v>424</v>
      </c>
      <c r="Y92" s="1" t="s">
        <v>84</v>
      </c>
      <c r="Z92" s="1" t="s">
        <v>420</v>
      </c>
      <c r="AA92" s="1" t="s">
        <v>425</v>
      </c>
      <c r="AB92" s="1" t="s">
        <v>39</v>
      </c>
      <c r="AC92" s="1" t="s">
        <v>37</v>
      </c>
      <c r="AD92" s="1" t="s">
        <v>37</v>
      </c>
      <c r="AE92" s="1" t="s">
        <v>37</v>
      </c>
      <c r="AF92" s="1" t="s">
        <v>37</v>
      </c>
      <c r="AG92" s="1" t="s">
        <v>37</v>
      </c>
      <c r="AH92" s="1" t="s">
        <v>37</v>
      </c>
      <c r="AI92" s="1" t="s">
        <v>37</v>
      </c>
      <c r="AJ92" s="1" t="s">
        <v>39</v>
      </c>
      <c r="AK92" s="1" t="str">
        <f t="shared" si="3"/>
        <v>Fora de âmbito</v>
      </c>
      <c r="AL92" s="1" t="str">
        <f>+IF(IFERROR(VLOOKUP(A92,Ficheiros!I:I,1,FALSE),"")=A92,"Sim","Não")</f>
        <v>Sim</v>
      </c>
      <c r="AM92" s="1" t="str">
        <f>+IF(IFERROR(VLOOKUP(A92,Ficheiros!E:E,1,FALSE),"")=A92,"Sim","Não")</f>
        <v>Não</v>
      </c>
      <c r="AN92" s="1" t="str">
        <f>+IF(IFERROR(VLOOKUP(A92,Ficheiros!O:O,1,FALSE),"")=A92,"Sim","Não")</f>
        <v>Não</v>
      </c>
      <c r="AO92" s="1" t="str">
        <f>+IF(IFERROR(VLOOKUP(A92,'Especificação Novos Req. LT (2'!A:A,1,FALSE),"")=A92,"Sim","Não")</f>
        <v>Não</v>
      </c>
      <c r="AP92" s="1" t="str">
        <f>+IF(IFERROR(VLOOKUP(A92,Ficheiros!T:T,1,FALSE),"")=A92,"Sim","Não")</f>
        <v>Sim</v>
      </c>
      <c r="AQ92" s="1" t="e">
        <f>+VLOOKUP(A92,Ficheiros!O:P,2,FALSE)</f>
        <v>#N/A</v>
      </c>
      <c r="AR92" s="1" t="str">
        <f>+VLOOKUP(A92,Ficheiros!T:U,2,FALSE)</f>
        <v>7. Analisar controlos e completude</v>
      </c>
      <c r="AS92" s="1" t="str">
        <f>+VLOOKUP(A92,Ficheiros!T:V,3,FALSE)</f>
        <v>PM</v>
      </c>
      <c r="AT92" s="1"/>
      <c r="AU92" s="1"/>
      <c r="AV92" s="1"/>
      <c r="AW92" s="1"/>
      <c r="AX92" s="1"/>
    </row>
    <row r="93" spans="1:50" ht="14.5" hidden="1" customHeight="1" x14ac:dyDescent="0.35">
      <c r="A93" s="5" t="str">
        <f t="shared" si="2"/>
        <v>ENTITYTAX_ID</v>
      </c>
      <c r="B93" s="1" t="s">
        <v>426</v>
      </c>
      <c r="C93" s="1" t="s">
        <v>35</v>
      </c>
      <c r="D93" s="1" t="s">
        <v>49</v>
      </c>
      <c r="E93" s="1" t="s">
        <v>37</v>
      </c>
      <c r="F93" s="25" t="s">
        <v>427</v>
      </c>
      <c r="G93" s="1" t="s">
        <v>427</v>
      </c>
      <c r="H93" s="1" t="s">
        <v>39</v>
      </c>
      <c r="I93" s="1" t="s">
        <v>39</v>
      </c>
      <c r="J93" s="1" t="s">
        <v>39</v>
      </c>
      <c r="K93" s="1" t="s">
        <v>39</v>
      </c>
      <c r="L93" s="1" t="s">
        <v>39</v>
      </c>
      <c r="M93" s="1" t="s">
        <v>39</v>
      </c>
      <c r="N93" s="1" t="s">
        <v>39</v>
      </c>
      <c r="O93" s="1"/>
      <c r="P93" s="1"/>
      <c r="Q93" s="1"/>
      <c r="R93" s="1" t="s">
        <v>96</v>
      </c>
      <c r="S93" s="1" t="s">
        <v>41</v>
      </c>
      <c r="T93" s="1" t="s">
        <v>53</v>
      </c>
      <c r="U93" s="1" t="s">
        <v>46</v>
      </c>
      <c r="V93" s="1" t="s">
        <v>46</v>
      </c>
      <c r="W93" s="1" t="s">
        <v>428</v>
      </c>
      <c r="X93" s="1" t="s">
        <v>429</v>
      </c>
      <c r="Y93" s="1" t="s">
        <v>66</v>
      </c>
      <c r="Z93" s="1" t="s">
        <v>430</v>
      </c>
      <c r="AA93" s="1" t="s">
        <v>47</v>
      </c>
      <c r="AB93" s="1" t="s">
        <v>39</v>
      </c>
      <c r="AC93" s="1" t="s">
        <v>37</v>
      </c>
      <c r="AD93" s="1" t="s">
        <v>37</v>
      </c>
      <c r="AE93" s="1" t="s">
        <v>37</v>
      </c>
      <c r="AF93" s="1" t="s">
        <v>37</v>
      </c>
      <c r="AG93" s="1" t="s">
        <v>37</v>
      </c>
      <c r="AH93" s="1" t="s">
        <v>37</v>
      </c>
      <c r="AI93" s="1" t="s">
        <v>37</v>
      </c>
      <c r="AJ93" s="1" t="s">
        <v>39</v>
      </c>
      <c r="AK93" s="1" t="str">
        <f t="shared" si="3"/>
        <v>Fora de âmbito</v>
      </c>
      <c r="AL93" s="1" t="str">
        <f>+IF(IFERROR(VLOOKUP(A93,Ficheiros!I:I,1,FALSE),"")=A93,"Sim","Não")</f>
        <v>Sim</v>
      </c>
      <c r="AM93" s="1" t="str">
        <f>+IF(IFERROR(VLOOKUP(A93,Ficheiros!E:E,1,FALSE),"")=A93,"Sim","Não")</f>
        <v>Não</v>
      </c>
      <c r="AN93" s="1" t="str">
        <f>+IF(IFERROR(VLOOKUP(A93,Ficheiros!O:O,1,FALSE),"")=A93,"Sim","Não")</f>
        <v>Não</v>
      </c>
      <c r="AO93" s="1" t="str">
        <f>+IF(IFERROR(VLOOKUP(A93,'Especificação Novos Req. LT (2'!A:A,1,FALSE),"")=A93,"Sim","Não")</f>
        <v>Não</v>
      </c>
      <c r="AP93" s="1" t="str">
        <f>+IF(IFERROR(VLOOKUP(A93,Ficheiros!T:T,1,FALSE),"")=A93,"Sim","Não")</f>
        <v>Sim</v>
      </c>
      <c r="AQ93" s="1" t="e">
        <f>+VLOOKUP(A93,Ficheiros!O:P,2,FALSE)</f>
        <v>#N/A</v>
      </c>
      <c r="AR93" s="1" t="str">
        <f>+VLOOKUP(A93,Ficheiros!T:U,2,FALSE)</f>
        <v>7. Analisar controlos e completude</v>
      </c>
      <c r="AS93" s="1" t="str">
        <f>+VLOOKUP(A93,Ficheiros!T:V,3,FALSE)</f>
        <v>PM</v>
      </c>
      <c r="AT93" s="1"/>
      <c r="AU93" s="1"/>
      <c r="AV93" s="1"/>
      <c r="AW93" s="1"/>
      <c r="AX93" s="1"/>
    </row>
    <row r="94" spans="1:50" ht="14.5" hidden="1" customHeight="1" x14ac:dyDescent="0.35">
      <c r="A94" s="5" t="str">
        <f t="shared" si="2"/>
        <v>ENTITYANNL_TRNVR_LE_BDR</v>
      </c>
      <c r="B94" s="1" t="s">
        <v>431</v>
      </c>
      <c r="C94" s="1" t="s">
        <v>35</v>
      </c>
      <c r="D94" s="1" t="s">
        <v>271</v>
      </c>
      <c r="E94" s="1" t="s">
        <v>37</v>
      </c>
      <c r="F94" s="25" t="s">
        <v>432</v>
      </c>
      <c r="G94" s="1" t="s">
        <v>432</v>
      </c>
      <c r="H94" s="1" t="s">
        <v>39</v>
      </c>
      <c r="I94" s="1" t="s">
        <v>39</v>
      </c>
      <c r="J94" s="1" t="s">
        <v>39</v>
      </c>
      <c r="K94" s="1" t="s">
        <v>39</v>
      </c>
      <c r="L94" s="1" t="s">
        <v>39</v>
      </c>
      <c r="M94" s="1" t="s">
        <v>39</v>
      </c>
      <c r="N94" s="1" t="s">
        <v>37</v>
      </c>
      <c r="O94" s="1"/>
      <c r="P94" s="1"/>
      <c r="Q94" s="1"/>
      <c r="R94" s="1" t="s">
        <v>273</v>
      </c>
      <c r="S94" s="1" t="s">
        <v>274</v>
      </c>
      <c r="T94" s="1">
        <v>99999999999</v>
      </c>
      <c r="U94" s="1">
        <v>11111111111</v>
      </c>
      <c r="V94" s="1">
        <v>11111111111</v>
      </c>
      <c r="W94" s="1" t="s">
        <v>433</v>
      </c>
      <c r="X94" s="1" t="s">
        <v>434</v>
      </c>
      <c r="Y94" s="1" t="s">
        <v>66</v>
      </c>
      <c r="Z94" s="1" t="s">
        <v>435</v>
      </c>
      <c r="AA94" s="1" t="s">
        <v>47</v>
      </c>
      <c r="AB94" s="1" t="s">
        <v>39</v>
      </c>
      <c r="AC94" s="1" t="s">
        <v>37</v>
      </c>
      <c r="AD94" s="1" t="s">
        <v>37</v>
      </c>
      <c r="AE94" s="1" t="s">
        <v>37</v>
      </c>
      <c r="AF94" s="1" t="s">
        <v>37</v>
      </c>
      <c r="AG94" s="1" t="s">
        <v>37</v>
      </c>
      <c r="AH94" s="1" t="s">
        <v>37</v>
      </c>
      <c r="AI94" s="1" t="s">
        <v>37</v>
      </c>
      <c r="AJ94" s="1" t="s">
        <v>39</v>
      </c>
      <c r="AK94" s="1" t="str">
        <f t="shared" si="3"/>
        <v>Fora de âmbito</v>
      </c>
      <c r="AL94" s="1" t="str">
        <f>+IF(IFERROR(VLOOKUP(A94,Ficheiros!I:I,1,FALSE),"")=A94,"Sim","Não")</f>
        <v>Sim</v>
      </c>
      <c r="AM94" s="1" t="str">
        <f>+IF(IFERROR(VLOOKUP(A94,Ficheiros!E:E,1,FALSE),"")=A94,"Sim","Não")</f>
        <v>Não</v>
      </c>
      <c r="AN94" s="1" t="str">
        <f>+IF(IFERROR(VLOOKUP(A94,Ficheiros!O:O,1,FALSE),"")=A94,"Sim","Não")</f>
        <v>Não</v>
      </c>
      <c r="AO94" s="1" t="str">
        <f>+IF(IFERROR(VLOOKUP(A94,'Especificação Novos Req. LT (2'!A:A,1,FALSE),"")=A94,"Sim","Não")</f>
        <v>Não</v>
      </c>
      <c r="AP94" s="1" t="str">
        <f>+IF(IFERROR(VLOOKUP(A94,Ficheiros!T:T,1,FALSE),"")=A94,"Sim","Não")</f>
        <v>Sim</v>
      </c>
      <c r="AQ94" s="1" t="e">
        <f>+VLOOKUP(A94,Ficheiros!O:P,2,FALSE)</f>
        <v>#N/A</v>
      </c>
      <c r="AR94" s="1" t="str">
        <f>+VLOOKUP(A94,Ficheiros!T:U,2,FALSE)</f>
        <v>9. Concluído</v>
      </c>
      <c r="AS94" s="1" t="str">
        <f>+VLOOKUP(A94,Ficheiros!T:V,3,FALSE)</f>
        <v>PM</v>
      </c>
      <c r="AT94" s="1"/>
      <c r="AU94" s="1"/>
      <c r="AV94" s="1"/>
      <c r="AW94" s="1"/>
      <c r="AX94" s="1"/>
    </row>
    <row r="95" spans="1:50" ht="14.5" hidden="1" customHeight="1" x14ac:dyDescent="0.35">
      <c r="A95" s="5" t="str">
        <f t="shared" si="2"/>
        <v>ENTITYANNL_TRNVR_PRVS_BDR</v>
      </c>
      <c r="B95" s="1" t="s">
        <v>436</v>
      </c>
      <c r="C95" s="1" t="s">
        <v>35</v>
      </c>
      <c r="D95" s="1" t="s">
        <v>271</v>
      </c>
      <c r="E95" s="1" t="s">
        <v>37</v>
      </c>
      <c r="F95" s="25" t="s">
        <v>437</v>
      </c>
      <c r="G95" s="1" t="s">
        <v>437</v>
      </c>
      <c r="H95" s="1" t="s">
        <v>39</v>
      </c>
      <c r="I95" s="1" t="s">
        <v>39</v>
      </c>
      <c r="J95" s="1" t="s">
        <v>39</v>
      </c>
      <c r="K95" s="1" t="s">
        <v>39</v>
      </c>
      <c r="L95" s="1" t="s">
        <v>39</v>
      </c>
      <c r="M95" s="1" t="s">
        <v>39</v>
      </c>
      <c r="N95" s="1" t="s">
        <v>37</v>
      </c>
      <c r="O95" s="1"/>
      <c r="P95" s="1"/>
      <c r="Q95" s="1"/>
      <c r="R95" s="1" t="s">
        <v>273</v>
      </c>
      <c r="S95" s="1" t="s">
        <v>274</v>
      </c>
      <c r="T95" s="1">
        <v>99999999999</v>
      </c>
      <c r="U95" s="1">
        <v>11111111111</v>
      </c>
      <c r="V95" s="1">
        <v>11111111111</v>
      </c>
      <c r="W95" s="1" t="s">
        <v>438</v>
      </c>
      <c r="X95" s="1" t="s">
        <v>434</v>
      </c>
      <c r="Y95" s="1" t="s">
        <v>66</v>
      </c>
      <c r="Z95" s="1" t="s">
        <v>435</v>
      </c>
      <c r="AA95" s="1" t="s">
        <v>439</v>
      </c>
      <c r="AB95" s="1" t="s">
        <v>39</v>
      </c>
      <c r="AC95" s="1" t="s">
        <v>37</v>
      </c>
      <c r="AD95" s="1" t="s">
        <v>37</v>
      </c>
      <c r="AE95" s="1" t="s">
        <v>37</v>
      </c>
      <c r="AF95" s="1" t="s">
        <v>37</v>
      </c>
      <c r="AG95" s="1" t="s">
        <v>37</v>
      </c>
      <c r="AH95" s="1" t="s">
        <v>37</v>
      </c>
      <c r="AI95" s="1" t="s">
        <v>37</v>
      </c>
      <c r="AJ95" s="1" t="s">
        <v>39</v>
      </c>
      <c r="AK95" s="1" t="str">
        <f t="shared" si="3"/>
        <v>Fora de âmbito</v>
      </c>
      <c r="AL95" s="1" t="str">
        <f>+IF(IFERROR(VLOOKUP(A95,Ficheiros!I:I,1,FALSE),"")=A95,"Sim","Não")</f>
        <v>Sim</v>
      </c>
      <c r="AM95" s="1" t="str">
        <f>+IF(IFERROR(VLOOKUP(A95,Ficheiros!E:E,1,FALSE),"")=A95,"Sim","Não")</f>
        <v>Não</v>
      </c>
      <c r="AN95" s="1" t="str">
        <f>+IF(IFERROR(VLOOKUP(A95,Ficheiros!O:O,1,FALSE),"")=A95,"Sim","Não")</f>
        <v>Não</v>
      </c>
      <c r="AO95" s="1" t="str">
        <f>+IF(IFERROR(VLOOKUP(A95,'Especificação Novos Req. LT (2'!A:A,1,FALSE),"")=A95,"Sim","Não")</f>
        <v>Não</v>
      </c>
      <c r="AP95" s="1" t="str">
        <f>+IF(IFERROR(VLOOKUP(A95,Ficheiros!T:T,1,FALSE),"")=A95,"Sim","Não")</f>
        <v>Sim</v>
      </c>
      <c r="AQ95" s="1" t="e">
        <f>+VLOOKUP(A95,Ficheiros!O:P,2,FALSE)</f>
        <v>#N/A</v>
      </c>
      <c r="AR95" s="1" t="str">
        <f>+VLOOKUP(A95,Ficheiros!T:U,2,FALSE)</f>
        <v>9. Concluído</v>
      </c>
      <c r="AS95" s="1" t="str">
        <f>+VLOOKUP(A95,Ficheiros!T:V,3,FALSE)</f>
        <v>PM</v>
      </c>
      <c r="AT95" s="1"/>
      <c r="AU95" s="1"/>
      <c r="AV95" s="1"/>
      <c r="AW95" s="1"/>
      <c r="AX95" s="1"/>
    </row>
    <row r="96" spans="1:50" ht="14.5" hidden="1" customHeight="1" x14ac:dyDescent="0.35">
      <c r="A96" s="5" t="str">
        <f t="shared" si="2"/>
        <v>ENTITYOSI_ID</v>
      </c>
      <c r="B96" s="1" t="s">
        <v>440</v>
      </c>
      <c r="C96" s="1" t="s">
        <v>35</v>
      </c>
      <c r="D96" s="1" t="s">
        <v>49</v>
      </c>
      <c r="E96" s="1" t="s">
        <v>37</v>
      </c>
      <c r="F96" s="25" t="s">
        <v>441</v>
      </c>
      <c r="G96" s="1" t="s">
        <v>441</v>
      </c>
      <c r="H96" s="1" t="s">
        <v>258</v>
      </c>
      <c r="I96" s="1" t="s">
        <v>258</v>
      </c>
      <c r="J96" s="1" t="s">
        <v>258</v>
      </c>
      <c r="K96" s="1" t="s">
        <v>258</v>
      </c>
      <c r="L96" s="1" t="s">
        <v>258</v>
      </c>
      <c r="M96" s="1" t="s">
        <v>258</v>
      </c>
      <c r="N96" s="1" t="s">
        <v>258</v>
      </c>
      <c r="O96" s="1"/>
      <c r="P96" s="1"/>
      <c r="Q96" s="1"/>
      <c r="R96" s="1" t="s">
        <v>96</v>
      </c>
      <c r="S96" s="1" t="s">
        <v>41</v>
      </c>
      <c r="T96" s="1" t="s">
        <v>53</v>
      </c>
      <c r="U96" s="1" t="s">
        <v>46</v>
      </c>
      <c r="V96" s="1" t="s">
        <v>46</v>
      </c>
      <c r="W96" s="1" t="s">
        <v>442</v>
      </c>
      <c r="X96" s="1" t="s">
        <v>443</v>
      </c>
      <c r="Y96" s="1" t="s">
        <v>45</v>
      </c>
      <c r="Z96" s="1" t="s">
        <v>46</v>
      </c>
      <c r="AA96" s="1" t="s">
        <v>47</v>
      </c>
      <c r="AB96" s="1" t="s">
        <v>39</v>
      </c>
      <c r="AC96" s="1" t="s">
        <v>37</v>
      </c>
      <c r="AD96" s="1" t="s">
        <v>37</v>
      </c>
      <c r="AE96" s="1" t="s">
        <v>37</v>
      </c>
      <c r="AF96" s="1" t="s">
        <v>37</v>
      </c>
      <c r="AG96" s="1" t="s">
        <v>39</v>
      </c>
      <c r="AH96" s="1" t="s">
        <v>37</v>
      </c>
      <c r="AI96" s="1" t="s">
        <v>37</v>
      </c>
      <c r="AJ96" s="1" t="s">
        <v>39</v>
      </c>
      <c r="AK96" s="1" t="str">
        <f t="shared" si="3"/>
        <v>Fora de âmbito</v>
      </c>
      <c r="AL96" s="1" t="str">
        <f>+IF(IFERROR(VLOOKUP(A96,Ficheiros!I:I,1,FALSE),"")=A96,"Sim","Não")</f>
        <v>Sim</v>
      </c>
      <c r="AM96" s="1" t="str">
        <f>+IF(IFERROR(VLOOKUP(A96,Ficheiros!E:E,1,FALSE),"")=A96,"Sim","Não")</f>
        <v>Não</v>
      </c>
      <c r="AN96" s="1" t="str">
        <f>+IF(IFERROR(VLOOKUP(A96,Ficheiros!O:O,1,FALSE),"")=A96,"Sim","Não")</f>
        <v>Não</v>
      </c>
      <c r="AO96" s="1" t="str">
        <f>+IF(IFERROR(VLOOKUP(A96,'Especificação Novos Req. LT (2'!A:A,1,FALSE),"")=A96,"Sim","Não")</f>
        <v>Não</v>
      </c>
      <c r="AP96" s="1" t="str">
        <f>+IF(IFERROR(VLOOKUP(A96,Ficheiros!T:T,1,FALSE),"")=A96,"Sim","Não")</f>
        <v>Sim</v>
      </c>
      <c r="AQ96" s="1" t="e">
        <f>+VLOOKUP(A96,Ficheiros!O:P,2,FALSE)</f>
        <v>#N/A</v>
      </c>
      <c r="AR96" s="1" t="str">
        <f>+VLOOKUP(A96,Ficheiros!T:U,2,FALSE)</f>
        <v>9. Concluído</v>
      </c>
      <c r="AS96" s="1" t="str">
        <f>+VLOOKUP(A96,Ficheiros!T:V,3,FALSE)</f>
        <v>PM</v>
      </c>
      <c r="AT96" s="1"/>
      <c r="AU96" s="1"/>
      <c r="AV96" s="1"/>
      <c r="AW96" s="1"/>
      <c r="AX96" s="1"/>
    </row>
    <row r="97" spans="1:50" ht="14.5" hidden="1" customHeight="1" x14ac:dyDescent="0.35">
      <c r="A97" s="5" t="str">
        <f t="shared" si="2"/>
        <v>ENTITYPD_CRR_RD_T1</v>
      </c>
      <c r="B97" s="1" t="s">
        <v>444</v>
      </c>
      <c r="C97" s="1" t="s">
        <v>35</v>
      </c>
      <c r="D97" s="1" t="s">
        <v>395</v>
      </c>
      <c r="E97" s="1" t="s">
        <v>37</v>
      </c>
      <c r="F97" s="25" t="s">
        <v>445</v>
      </c>
      <c r="G97" s="1" t="s">
        <v>445</v>
      </c>
      <c r="H97" s="1" t="s">
        <v>39</v>
      </c>
      <c r="I97" s="1" t="s">
        <v>39</v>
      </c>
      <c r="J97" s="1" t="s">
        <v>39</v>
      </c>
      <c r="K97" s="1" t="s">
        <v>39</v>
      </c>
      <c r="L97" s="1" t="s">
        <v>39</v>
      </c>
      <c r="M97" s="1" t="s">
        <v>39</v>
      </c>
      <c r="N97" s="1" t="s">
        <v>39</v>
      </c>
      <c r="O97" s="1"/>
      <c r="P97" s="1"/>
      <c r="Q97" s="1"/>
      <c r="R97" s="1" t="s">
        <v>342</v>
      </c>
      <c r="S97" s="1" t="s">
        <v>274</v>
      </c>
      <c r="T97" s="1">
        <v>99999999999</v>
      </c>
      <c r="U97" s="1">
        <v>11111111111</v>
      </c>
      <c r="V97" s="1">
        <v>11111111111</v>
      </c>
      <c r="W97" s="1" t="s">
        <v>446</v>
      </c>
      <c r="X97" s="1" t="s">
        <v>413</v>
      </c>
      <c r="Y97" s="1" t="s">
        <v>84</v>
      </c>
      <c r="Z97" s="1" t="s">
        <v>414</v>
      </c>
      <c r="AA97" s="1" t="s">
        <v>447</v>
      </c>
      <c r="AB97" s="1" t="s">
        <v>39</v>
      </c>
      <c r="AC97" s="1" t="s">
        <v>37</v>
      </c>
      <c r="AD97" s="1" t="s">
        <v>37</v>
      </c>
      <c r="AE97" s="1" t="s">
        <v>37</v>
      </c>
      <c r="AF97" s="1" t="s">
        <v>37</v>
      </c>
      <c r="AG97" s="1" t="s">
        <v>37</v>
      </c>
      <c r="AH97" s="1" t="s">
        <v>37</v>
      </c>
      <c r="AI97" s="1" t="s">
        <v>37</v>
      </c>
      <c r="AJ97" s="1" t="s">
        <v>39</v>
      </c>
      <c r="AK97" s="1" t="str">
        <f t="shared" si="3"/>
        <v>Fora de âmbito</v>
      </c>
      <c r="AL97" s="1" t="str">
        <f>+IF(IFERROR(VLOOKUP(A97,Ficheiros!I:I,1,FALSE),"")=A97,"Sim","Não")</f>
        <v>Sim</v>
      </c>
      <c r="AM97" s="1" t="str">
        <f>+IF(IFERROR(VLOOKUP(A97,Ficheiros!E:E,1,FALSE),"")=A97,"Sim","Não")</f>
        <v>Não</v>
      </c>
      <c r="AN97" s="1" t="str">
        <f>+IF(IFERROR(VLOOKUP(A97,Ficheiros!O:O,1,FALSE),"")=A97,"Sim","Não")</f>
        <v>Não</v>
      </c>
      <c r="AO97" s="1" t="str">
        <f>+IF(IFERROR(VLOOKUP(A97,'Especificação Novos Req. LT (2'!A:A,1,FALSE),"")=A97,"Sim","Não")</f>
        <v>Não</v>
      </c>
      <c r="AP97" s="1" t="str">
        <f>+IF(IFERROR(VLOOKUP(A97,Ficheiros!T:T,1,FALSE),"")=A97,"Sim","Não")</f>
        <v>Sim</v>
      </c>
      <c r="AQ97" s="1" t="e">
        <f>+VLOOKUP(A97,Ficheiros!O:P,2,FALSE)</f>
        <v>#N/A</v>
      </c>
      <c r="AR97" s="1" t="str">
        <f>+VLOOKUP(A97,Ficheiros!T:U,2,FALSE)</f>
        <v>5.1 Em testes - Re-especificação</v>
      </c>
      <c r="AS97" s="1" t="str">
        <f>+VLOOKUP(A97,Ficheiros!T:V,3,FALSE)</f>
        <v>PM</v>
      </c>
      <c r="AT97" s="1"/>
      <c r="AU97" s="1"/>
      <c r="AV97" s="1"/>
      <c r="AW97" s="1"/>
      <c r="AX97" s="1"/>
    </row>
    <row r="98" spans="1:50" ht="14.5" hidden="1" customHeight="1" x14ac:dyDescent="0.35">
      <c r="A98" s="5" t="str">
        <f t="shared" si="2"/>
        <v>ENTITYEC_GRP_ID</v>
      </c>
      <c r="B98" s="1" t="s">
        <v>448</v>
      </c>
      <c r="C98" s="1" t="s">
        <v>35</v>
      </c>
      <c r="D98" s="1" t="s">
        <v>49</v>
      </c>
      <c r="E98" s="1" t="s">
        <v>37</v>
      </c>
      <c r="F98" s="26" t="s">
        <v>449</v>
      </c>
      <c r="G98" s="24" t="s">
        <v>449</v>
      </c>
      <c r="H98" s="1" t="s">
        <v>39</v>
      </c>
      <c r="I98" s="1" t="s">
        <v>39</v>
      </c>
      <c r="J98" s="1" t="s">
        <v>39</v>
      </c>
      <c r="K98" s="1" t="s">
        <v>39</v>
      </c>
      <c r="L98" s="1" t="s">
        <v>39</v>
      </c>
      <c r="M98" s="1" t="s">
        <v>39</v>
      </c>
      <c r="N98" s="1" t="s">
        <v>37</v>
      </c>
      <c r="O98" s="1"/>
      <c r="P98" s="1"/>
      <c r="Q98" s="1"/>
      <c r="R98" s="1" t="s">
        <v>96</v>
      </c>
      <c r="S98" s="1" t="s">
        <v>41</v>
      </c>
      <c r="T98" s="1" t="s">
        <v>53</v>
      </c>
      <c r="U98" s="1" t="s">
        <v>46</v>
      </c>
      <c r="V98" s="1" t="s">
        <v>46</v>
      </c>
      <c r="W98" s="1" t="s">
        <v>450</v>
      </c>
      <c r="X98" s="1" t="s">
        <v>451</v>
      </c>
      <c r="Y98" s="1" t="s">
        <v>66</v>
      </c>
      <c r="Z98" s="1" t="s">
        <v>103</v>
      </c>
      <c r="AA98" s="1"/>
      <c r="AB98" s="1" t="s">
        <v>39</v>
      </c>
      <c r="AC98" s="1" t="s">
        <v>37</v>
      </c>
      <c r="AD98" s="1" t="s">
        <v>39</v>
      </c>
      <c r="AE98" s="1" t="s">
        <v>39</v>
      </c>
      <c r="AF98" s="1" t="s">
        <v>37</v>
      </c>
      <c r="AG98" s="1" t="s">
        <v>39</v>
      </c>
      <c r="AH98" s="1" t="s">
        <v>37</v>
      </c>
      <c r="AI98" s="1" t="s">
        <v>39</v>
      </c>
      <c r="AJ98" s="1" t="s">
        <v>39</v>
      </c>
      <c r="AK98" s="1" t="str">
        <f t="shared" si="3"/>
        <v>Apenas Pilar 3</v>
      </c>
      <c r="AL98" s="1" t="str">
        <f>+IF(IFERROR(VLOOKUP(A98,Ficheiros!I:I,1,FALSE),"")=A98,"Sim","Não")</f>
        <v>Sim</v>
      </c>
      <c r="AM98" s="1" t="str">
        <f>+IF(IFERROR(VLOOKUP(A98,Ficheiros!E:E,1,FALSE),"")=A98,"Sim","Não")</f>
        <v>Não</v>
      </c>
      <c r="AN98" s="1" t="str">
        <f>+IF(IFERROR(VLOOKUP(A98,Ficheiros!O:O,1,FALSE),"")=A98,"Sim","Não")</f>
        <v>Não</v>
      </c>
      <c r="AO98" s="1" t="str">
        <f>+IF(IFERROR(VLOOKUP(A98,'Especificação Novos Req. LT (2'!A:A,1,FALSE),"")=A98,"Sim","Não")</f>
        <v>Não</v>
      </c>
      <c r="AP98" s="1" t="str">
        <f>+IF(IFERROR(VLOOKUP(A98,Ficheiros!T:T,1,FALSE),"")=A98,"Sim","Não")</f>
        <v>Sim</v>
      </c>
      <c r="AQ98" s="1" t="e">
        <f>+VLOOKUP(A98,Ficheiros!O:P,2,FALSE)</f>
        <v>#N/A</v>
      </c>
      <c r="AR98" s="1" t="str">
        <f>+VLOOKUP(A98,Ficheiros!T:U,2,FALSE)</f>
        <v>1. Especificar</v>
      </c>
      <c r="AS98" s="1" t="str">
        <f>+VLOOKUP(A98,Ficheiros!T:V,3,FALSE)</f>
        <v>LF</v>
      </c>
      <c r="AT98" s="1" t="s">
        <v>2462</v>
      </c>
      <c r="AU98" s="1" t="s">
        <v>2394</v>
      </c>
      <c r="AV98" s="1" t="s">
        <v>2536</v>
      </c>
      <c r="AW98" s="1"/>
      <c r="AX98" s="33" t="s">
        <v>2461</v>
      </c>
    </row>
    <row r="99" spans="1:50" ht="14.5" hidden="1" customHeight="1" x14ac:dyDescent="0.35">
      <c r="A99" s="5" t="str">
        <f t="shared" si="2"/>
        <v>ENTITYEC_GRP_NM</v>
      </c>
      <c r="B99" s="1" t="s">
        <v>452</v>
      </c>
      <c r="C99" s="1" t="s">
        <v>35</v>
      </c>
      <c r="D99" s="1" t="s">
        <v>49</v>
      </c>
      <c r="E99" s="1" t="s">
        <v>37</v>
      </c>
      <c r="F99" s="25" t="s">
        <v>453</v>
      </c>
      <c r="G99" s="1" t="s">
        <v>453</v>
      </c>
      <c r="H99" s="1" t="s">
        <v>39</v>
      </c>
      <c r="I99" s="1" t="s">
        <v>39</v>
      </c>
      <c r="J99" s="1" t="s">
        <v>39</v>
      </c>
      <c r="K99" s="1" t="s">
        <v>39</v>
      </c>
      <c r="L99" s="1" t="s">
        <v>39</v>
      </c>
      <c r="M99" s="1" t="s">
        <v>39</v>
      </c>
      <c r="N99" s="1" t="s">
        <v>37</v>
      </c>
      <c r="O99" s="1"/>
      <c r="P99" s="1"/>
      <c r="Q99" s="1"/>
      <c r="R99" s="1" t="s">
        <v>96</v>
      </c>
      <c r="S99" s="1" t="s">
        <v>41</v>
      </c>
      <c r="T99" s="1" t="s">
        <v>53</v>
      </c>
      <c r="U99" s="1" t="s">
        <v>46</v>
      </c>
      <c r="V99" s="1" t="s">
        <v>46</v>
      </c>
      <c r="W99" s="1" t="s">
        <v>454</v>
      </c>
      <c r="X99" s="1" t="s">
        <v>455</v>
      </c>
      <c r="Y99" s="1" t="s">
        <v>66</v>
      </c>
      <c r="Z99" s="1" t="s">
        <v>108</v>
      </c>
      <c r="AA99" s="1" t="s">
        <v>109</v>
      </c>
      <c r="AB99" s="1" t="s">
        <v>39</v>
      </c>
      <c r="AC99" s="1" t="s">
        <v>37</v>
      </c>
      <c r="AD99" s="1" t="s">
        <v>39</v>
      </c>
      <c r="AE99" s="1" t="s">
        <v>39</v>
      </c>
      <c r="AF99" s="1" t="s">
        <v>37</v>
      </c>
      <c r="AG99" s="1" t="s">
        <v>39</v>
      </c>
      <c r="AH99" s="1" t="s">
        <v>37</v>
      </c>
      <c r="AI99" s="1" t="s">
        <v>39</v>
      </c>
      <c r="AJ99" s="1" t="s">
        <v>39</v>
      </c>
      <c r="AK99" s="1" t="str">
        <f t="shared" si="3"/>
        <v>Apenas Pilar 3</v>
      </c>
      <c r="AL99" s="1" t="str">
        <f>+IF(IFERROR(VLOOKUP(A99,Ficheiros!I:I,1,FALSE),"")=A99,"Sim","Não")</f>
        <v>Sim</v>
      </c>
      <c r="AM99" s="1" t="str">
        <f>+IF(IFERROR(VLOOKUP(A99,Ficheiros!E:E,1,FALSE),"")=A99,"Sim","Não")</f>
        <v>Não</v>
      </c>
      <c r="AN99" s="1" t="str">
        <f>+IF(IFERROR(VLOOKUP(A99,Ficheiros!O:O,1,FALSE),"")=A99,"Sim","Não")</f>
        <v>Não</v>
      </c>
      <c r="AO99" s="1" t="str">
        <f>+IF(IFERROR(VLOOKUP(A99,'Especificação Novos Req. LT (2'!A:A,1,FALSE),"")=A99,"Sim","Não")</f>
        <v>Sim</v>
      </c>
      <c r="AP99" s="1" t="str">
        <f>+IF(IFERROR(VLOOKUP(A99,Ficheiros!T:T,1,FALSE),"")=A99,"Sim","Não")</f>
        <v>Sim</v>
      </c>
      <c r="AQ99" s="1" t="e">
        <f>+VLOOKUP(A99,Ficheiros!O:P,2,FALSE)</f>
        <v>#N/A</v>
      </c>
      <c r="AR99" s="1" t="str">
        <f>+VLOOKUP(A99,Ficheiros!T:U,2,FALSE)</f>
        <v>1. Especificar</v>
      </c>
      <c r="AS99" s="1" t="str">
        <f>+VLOOKUP(A99,Ficheiros!T:V,3,FALSE)</f>
        <v>LF</v>
      </c>
      <c r="AT99" s="1"/>
      <c r="AU99" s="1"/>
      <c r="AV99" s="1" t="s">
        <v>2538</v>
      </c>
      <c r="AW99" s="1"/>
      <c r="AX99" s="1"/>
    </row>
    <row r="100" spans="1:50" ht="14.5" hidden="1" customHeight="1" x14ac:dyDescent="0.35">
      <c r="A100" s="5" t="str">
        <f t="shared" si="2"/>
        <v>ENTITYPST_CD</v>
      </c>
      <c r="B100" s="1" t="s">
        <v>456</v>
      </c>
      <c r="C100" s="1" t="s">
        <v>35</v>
      </c>
      <c r="D100" s="1" t="s">
        <v>49</v>
      </c>
      <c r="E100" s="1" t="s">
        <v>37</v>
      </c>
      <c r="F100" s="25" t="s">
        <v>457</v>
      </c>
      <c r="G100" s="42" t="s">
        <v>457</v>
      </c>
      <c r="H100" s="1" t="s">
        <v>37</v>
      </c>
      <c r="I100" s="1" t="s">
        <v>39</v>
      </c>
      <c r="J100" s="1" t="s">
        <v>39</v>
      </c>
      <c r="K100" s="1" t="s">
        <v>39</v>
      </c>
      <c r="L100" s="1" t="s">
        <v>39</v>
      </c>
      <c r="M100" s="1" t="s">
        <v>39</v>
      </c>
      <c r="N100" s="1" t="s">
        <v>39</v>
      </c>
      <c r="O100" s="1"/>
      <c r="P100" s="1"/>
      <c r="Q100" s="1"/>
      <c r="R100" s="1" t="s">
        <v>96</v>
      </c>
      <c r="S100" s="1" t="s">
        <v>41</v>
      </c>
      <c r="T100" s="1" t="s">
        <v>53</v>
      </c>
      <c r="U100" s="1" t="s">
        <v>46</v>
      </c>
      <c r="V100" s="1" t="s">
        <v>46</v>
      </c>
      <c r="W100" s="1" t="s">
        <v>458</v>
      </c>
      <c r="X100" s="1" t="s">
        <v>459</v>
      </c>
      <c r="Y100" s="1" t="s">
        <v>45</v>
      </c>
      <c r="Z100" s="1" t="s">
        <v>46</v>
      </c>
      <c r="AA100" s="1" t="s">
        <v>47</v>
      </c>
      <c r="AB100" s="1" t="s">
        <v>37</v>
      </c>
      <c r="AC100" s="37" t="s">
        <v>37</v>
      </c>
      <c r="AD100" s="1" t="s">
        <v>39</v>
      </c>
      <c r="AE100" s="1" t="s">
        <v>37</v>
      </c>
      <c r="AF100" s="1" t="s">
        <v>39</v>
      </c>
      <c r="AG100" s="1" t="s">
        <v>37</v>
      </c>
      <c r="AH100" s="1" t="s">
        <v>37</v>
      </c>
      <c r="AI100" s="1" t="s">
        <v>39</v>
      </c>
      <c r="AJ100" s="1" t="s">
        <v>39</v>
      </c>
      <c r="AK100" s="1" t="str">
        <f t="shared" si="3"/>
        <v>Comum</v>
      </c>
      <c r="AL100" s="1" t="str">
        <f>+IF(IFERROR(VLOOKUP(A100,Ficheiros!I:I,1,FALSE),"")=A100,"Sim","Não")</f>
        <v>Não</v>
      </c>
      <c r="AM100" s="1" t="str">
        <f>+IF(IFERROR(VLOOKUP(A100,Ficheiros!E:E,1,FALSE),"")=A100,"Sim","Não")</f>
        <v>Sim</v>
      </c>
      <c r="AN100" s="1" t="str">
        <f>+IF(IFERROR(VLOOKUP(A100,Ficheiros!O:O,1,FALSE),"")=A100,"Sim","Não")</f>
        <v>Sim</v>
      </c>
      <c r="AO100" s="1" t="str">
        <f>+IF(IFERROR(VLOOKUP(A100,'Especificação Novos Req. LT (2'!A:A,1,FALSE),"")=A100,"Sim","Não")</f>
        <v>Não</v>
      </c>
      <c r="AP100" s="1" t="str">
        <f>+IF(IFERROR(VLOOKUP(A100,Ficheiros!T:T,1,FALSE),"")=A100,"Sim","Não")</f>
        <v>Não</v>
      </c>
      <c r="AQ100" s="1" t="str">
        <f>+VLOOKUP(A100,Ficheiros!O:P,2,FALSE)</f>
        <v>1. Concluído</v>
      </c>
      <c r="AR100" s="1" t="e">
        <f>+VLOOKUP(A100,Ficheiros!R:S,3,FALSE)</f>
        <v>#N/A</v>
      </c>
      <c r="AS100" s="1" t="e">
        <f>+VLOOKUP(A100,Ficheiros!T:V,3,FALSE)</f>
        <v>#N/A</v>
      </c>
      <c r="AT100" s="1"/>
      <c r="AU100" s="1"/>
      <c r="AV100" s="1"/>
      <c r="AW100" s="1"/>
      <c r="AX100" s="1"/>
    </row>
    <row r="101" spans="1:50" ht="14.5" customHeight="1" x14ac:dyDescent="0.35">
      <c r="A101" s="5" t="str">
        <f t="shared" si="2"/>
        <v>ENTITYESG_SBSCTR</v>
      </c>
      <c r="B101" s="1" t="s">
        <v>460</v>
      </c>
      <c r="C101" s="1" t="s">
        <v>35</v>
      </c>
      <c r="D101" s="1" t="s">
        <v>49</v>
      </c>
      <c r="E101" s="1" t="s">
        <v>37</v>
      </c>
      <c r="F101" s="25" t="s">
        <v>461</v>
      </c>
      <c r="G101" s="42" t="s">
        <v>461</v>
      </c>
      <c r="H101" s="1" t="s">
        <v>37</v>
      </c>
      <c r="I101" s="1" t="s">
        <v>37</v>
      </c>
      <c r="J101" s="1" t="s">
        <v>39</v>
      </c>
      <c r="K101" s="1" t="s">
        <v>37</v>
      </c>
      <c r="L101" s="1" t="s">
        <v>39</v>
      </c>
      <c r="M101" s="1" t="s">
        <v>37</v>
      </c>
      <c r="N101" s="1" t="s">
        <v>37</v>
      </c>
      <c r="O101" s="1"/>
      <c r="P101" s="1"/>
      <c r="Q101" s="1"/>
      <c r="R101" s="1" t="s">
        <v>136</v>
      </c>
      <c r="S101" s="1" t="s">
        <v>52</v>
      </c>
      <c r="T101" s="1" t="s">
        <v>53</v>
      </c>
      <c r="U101" s="1" t="s">
        <v>46</v>
      </c>
      <c r="V101" s="1" t="s">
        <v>46</v>
      </c>
      <c r="W101" s="1" t="s">
        <v>462</v>
      </c>
      <c r="X101" s="1" t="s">
        <v>463</v>
      </c>
      <c r="Y101" s="1" t="s">
        <v>45</v>
      </c>
      <c r="Z101" s="1" t="s">
        <v>46</v>
      </c>
      <c r="AA101" s="1" t="s">
        <v>47</v>
      </c>
      <c r="AB101" s="1" t="s">
        <v>37</v>
      </c>
      <c r="AC101" s="1" t="s">
        <v>37</v>
      </c>
      <c r="AD101" s="1" t="s">
        <v>39</v>
      </c>
      <c r="AE101" s="1" t="s">
        <v>37</v>
      </c>
      <c r="AF101" s="1" t="s">
        <v>37</v>
      </c>
      <c r="AG101" s="1" t="s">
        <v>37</v>
      </c>
      <c r="AH101" s="1" t="s">
        <v>37</v>
      </c>
      <c r="AI101" s="1" t="s">
        <v>39</v>
      </c>
      <c r="AJ101" s="1" t="s">
        <v>39</v>
      </c>
      <c r="AK101" s="1" t="str">
        <f t="shared" si="3"/>
        <v>Apenas Pilar 3</v>
      </c>
      <c r="AL101" s="1" t="str">
        <f>+IF(IFERROR(VLOOKUP(A101,Ficheiros!I:I,1,FALSE),"")=A101,"Sim","Não")</f>
        <v>Não</v>
      </c>
      <c r="AM101" s="41" t="s">
        <v>2393</v>
      </c>
      <c r="AN101" s="41" t="s">
        <v>2393</v>
      </c>
      <c r="AO101" s="1" t="str">
        <f>+IF(IFERROR(VLOOKUP(A101,'Especificação Novos Req. LT (2'!A:A,1,FALSE),"")=A101,"Sim","Não")</f>
        <v>Não</v>
      </c>
      <c r="AP101" s="1" t="str">
        <f>+IF(IFERROR(VLOOKUP(A101,Ficheiros!T:T,1,FALSE),"")=A101,"Sim","Não")</f>
        <v>Não</v>
      </c>
      <c r="AQ101" s="1" t="str">
        <f>+VLOOKUP(A101,Ficheiros!O:P,2,FALSE)</f>
        <v>1. Concluído</v>
      </c>
      <c r="AR101" s="1" t="e">
        <f>+VLOOKUP(A101,Ficheiros!R:S,3,FALSE)</f>
        <v>#N/A</v>
      </c>
      <c r="AS101" s="1" t="e">
        <f>+VLOOKUP(A101,Ficheiros!T:V,3,FALSE)</f>
        <v>#N/A</v>
      </c>
      <c r="AT101" s="1"/>
      <c r="AU101" s="1"/>
      <c r="AV101" s="1" t="s">
        <v>2538</v>
      </c>
      <c r="AW101" s="1" t="s">
        <v>2542</v>
      </c>
      <c r="AX101" s="33" t="s">
        <v>2480</v>
      </c>
    </row>
    <row r="102" spans="1:50" ht="14.5" hidden="1" customHeight="1" x14ac:dyDescent="0.35">
      <c r="A102" s="5" t="str">
        <f t="shared" si="2"/>
        <v>ENTITYNACE_ESG</v>
      </c>
      <c r="B102" s="1" t="s">
        <v>464</v>
      </c>
      <c r="C102" s="1" t="s">
        <v>35</v>
      </c>
      <c r="D102" s="1" t="s">
        <v>134</v>
      </c>
      <c r="E102" s="1" t="s">
        <v>37</v>
      </c>
      <c r="F102" s="25" t="s">
        <v>465</v>
      </c>
      <c r="G102" s="42" t="s">
        <v>465</v>
      </c>
      <c r="H102" s="24" t="s">
        <v>37</v>
      </c>
      <c r="I102" s="24" t="s">
        <v>39</v>
      </c>
      <c r="J102" s="24" t="s">
        <v>39</v>
      </c>
      <c r="K102" s="24" t="s">
        <v>39</v>
      </c>
      <c r="L102" s="24" t="s">
        <v>39</v>
      </c>
      <c r="M102" s="24" t="s">
        <v>39</v>
      </c>
      <c r="N102" s="24" t="s">
        <v>37</v>
      </c>
      <c r="O102" s="1"/>
      <c r="P102" s="1"/>
      <c r="Q102" s="1"/>
      <c r="R102" s="1" t="s">
        <v>51</v>
      </c>
      <c r="S102" s="1" t="s">
        <v>52</v>
      </c>
      <c r="T102" s="1" t="s">
        <v>53</v>
      </c>
      <c r="U102" s="1" t="s">
        <v>46</v>
      </c>
      <c r="V102" s="1" t="s">
        <v>46</v>
      </c>
      <c r="W102" s="1" t="s">
        <v>466</v>
      </c>
      <c r="X102" s="1" t="s">
        <v>467</v>
      </c>
      <c r="Y102" s="1" t="s">
        <v>45</v>
      </c>
      <c r="Z102" s="1" t="s">
        <v>46</v>
      </c>
      <c r="AA102" s="1" t="s">
        <v>47</v>
      </c>
      <c r="AB102" s="1" t="s">
        <v>37</v>
      </c>
      <c r="AC102" s="37" t="s">
        <v>37</v>
      </c>
      <c r="AD102" s="1" t="s">
        <v>39</v>
      </c>
      <c r="AE102" s="1" t="s">
        <v>37</v>
      </c>
      <c r="AF102" s="1" t="s">
        <v>39</v>
      </c>
      <c r="AG102" s="1" t="s">
        <v>37</v>
      </c>
      <c r="AH102" s="1" t="s">
        <v>37</v>
      </c>
      <c r="AI102" s="1" t="s">
        <v>39</v>
      </c>
      <c r="AJ102" s="1" t="s">
        <v>39</v>
      </c>
      <c r="AK102" s="1" t="str">
        <f t="shared" si="3"/>
        <v>Comum</v>
      </c>
      <c r="AL102" s="1" t="str">
        <f>+IF(IFERROR(VLOOKUP(A102,Ficheiros!I:I,1,FALSE),"")=A102,"Sim","Não")</f>
        <v>Não</v>
      </c>
      <c r="AM102" s="1" t="str">
        <f>+IF(IFERROR(VLOOKUP(A102,Ficheiros!E:E,1,FALSE),"")=A102,"Sim","Não")</f>
        <v>Sim</v>
      </c>
      <c r="AN102" s="1" t="str">
        <f>+IF(IFERROR(VLOOKUP(A102,Ficheiros!O:O,1,FALSE),"")=A102,"Sim","Não")</f>
        <v>Sim</v>
      </c>
      <c r="AO102" s="1" t="str">
        <f>+IF(IFERROR(VLOOKUP(A102,'Especificação Novos Req. LT (2'!A:A,1,FALSE),"")=A102,"Sim","Não")</f>
        <v>Não</v>
      </c>
      <c r="AP102" s="1" t="str">
        <f>+IF(IFERROR(VLOOKUP(A102,Ficheiros!T:T,1,FALSE),"")=A102,"Sim","Não")</f>
        <v>Não</v>
      </c>
      <c r="AQ102" s="1" t="str">
        <f>+VLOOKUP(A102,Ficheiros!O:P,2,FALSE)</f>
        <v>1. Concluído</v>
      </c>
      <c r="AR102" s="1" t="e">
        <f>+VLOOKUP(A102,Ficheiros!R:S,3,FALSE)</f>
        <v>#N/A</v>
      </c>
      <c r="AS102" s="1" t="e">
        <f>+VLOOKUP(A102,Ficheiros!T:V,3,FALSE)</f>
        <v>#N/A</v>
      </c>
      <c r="AT102" s="1"/>
      <c r="AU102" s="1"/>
      <c r="AV102" s="1"/>
      <c r="AW102" s="1"/>
      <c r="AX102" s="1"/>
    </row>
    <row r="103" spans="1:50" ht="14.5" hidden="1" customHeight="1" x14ac:dyDescent="0.35">
      <c r="A103" s="5" t="str">
        <f t="shared" si="2"/>
        <v>ENTITYTTL_LBLTY</v>
      </c>
      <c r="B103" s="1" t="s">
        <v>468</v>
      </c>
      <c r="C103" s="1" t="s">
        <v>35</v>
      </c>
      <c r="D103" s="1" t="s">
        <v>271</v>
      </c>
      <c r="E103" s="1" t="s">
        <v>37</v>
      </c>
      <c r="F103" s="25" t="s">
        <v>469</v>
      </c>
      <c r="G103" s="1" t="s">
        <v>469</v>
      </c>
      <c r="H103" s="1" t="s">
        <v>39</v>
      </c>
      <c r="I103" s="1" t="s">
        <v>37</v>
      </c>
      <c r="J103" s="1" t="s">
        <v>39</v>
      </c>
      <c r="K103" s="1" t="s">
        <v>39</v>
      </c>
      <c r="L103" s="1" t="s">
        <v>39</v>
      </c>
      <c r="M103" s="1" t="s">
        <v>39</v>
      </c>
      <c r="N103" s="1" t="s">
        <v>37</v>
      </c>
      <c r="O103" s="1"/>
      <c r="P103" s="1"/>
      <c r="Q103" s="1"/>
      <c r="R103" s="1" t="s">
        <v>273</v>
      </c>
      <c r="S103" s="1" t="s">
        <v>274</v>
      </c>
      <c r="T103" s="1">
        <v>99999999999</v>
      </c>
      <c r="U103" s="1">
        <v>11111111111</v>
      </c>
      <c r="V103" s="1">
        <v>11111111111</v>
      </c>
      <c r="W103" s="1" t="s">
        <v>470</v>
      </c>
      <c r="X103" s="1" t="s">
        <v>471</v>
      </c>
      <c r="Y103" s="1" t="s">
        <v>45</v>
      </c>
      <c r="Z103" s="1" t="s">
        <v>46</v>
      </c>
      <c r="AA103" s="1" t="s">
        <v>47</v>
      </c>
      <c r="AB103" s="1" t="s">
        <v>37</v>
      </c>
      <c r="AC103" s="1" t="s">
        <v>37</v>
      </c>
      <c r="AD103" s="1" t="s">
        <v>39</v>
      </c>
      <c r="AE103" s="1" t="s">
        <v>37</v>
      </c>
      <c r="AF103" s="1" t="s">
        <v>37</v>
      </c>
      <c r="AG103" s="1" t="s">
        <v>37</v>
      </c>
      <c r="AH103" s="1" t="s">
        <v>37</v>
      </c>
      <c r="AI103" s="1" t="s">
        <v>39</v>
      </c>
      <c r="AJ103" s="1" t="s">
        <v>39</v>
      </c>
      <c r="AK103" s="1" t="str">
        <f t="shared" si="3"/>
        <v>Apenas Pilar 3</v>
      </c>
      <c r="AL103" s="1" t="str">
        <f>+IF(IFERROR(VLOOKUP(A103,Ficheiros!I:I,1,FALSE),"")=A103,"Sim","Não")</f>
        <v>Não</v>
      </c>
      <c r="AM103" s="1" t="str">
        <f>+IF(IFERROR(VLOOKUP(A103,Ficheiros!E:E,1,FALSE),"")=A103,"Sim","Não")</f>
        <v>Sim</v>
      </c>
      <c r="AN103" s="1" t="str">
        <f>+IF(IFERROR(VLOOKUP(A103,Ficheiros!O:O,1,FALSE),"")=A103,"Sim","Não")</f>
        <v>Sim</v>
      </c>
      <c r="AO103" s="1" t="str">
        <f>+IF(IFERROR(VLOOKUP(A103,'Especificação Novos Req. LT (2'!A:A,1,FALSE),"")=A103,"Sim","Não")</f>
        <v>Não</v>
      </c>
      <c r="AP103" s="1" t="str">
        <f>+IF(IFERROR(VLOOKUP(A103,Ficheiros!T:T,1,FALSE),"")=A103,"Sim","Não")</f>
        <v>Não</v>
      </c>
      <c r="AQ103" s="1" t="str">
        <f>+VLOOKUP(A103,Ficheiros!O:P,2,FALSE)</f>
        <v>1. Concluído</v>
      </c>
      <c r="AR103" s="1" t="e">
        <f>+VLOOKUP(A103,Ficheiros!R:S,3,FALSE)</f>
        <v>#N/A</v>
      </c>
      <c r="AS103" s="1" t="e">
        <f>+VLOOKUP(A103,Ficheiros!T:V,3,FALSE)</f>
        <v>#N/A</v>
      </c>
      <c r="AT103" s="1"/>
      <c r="AU103" s="1"/>
      <c r="AV103" s="1"/>
      <c r="AW103" s="1"/>
      <c r="AX103" s="1"/>
    </row>
    <row r="104" spans="1:50" ht="14.5" hidden="1" customHeight="1" x14ac:dyDescent="0.35">
      <c r="A104" s="5" t="str">
        <f t="shared" si="2"/>
        <v>ENTITYTXNMY_ELGBL_CAPEX_CCM</v>
      </c>
      <c r="B104" s="1" t="s">
        <v>472</v>
      </c>
      <c r="C104" s="1" t="s">
        <v>35</v>
      </c>
      <c r="D104" s="1" t="s">
        <v>49</v>
      </c>
      <c r="E104" s="1" t="s">
        <v>37</v>
      </c>
      <c r="F104" s="25" t="s">
        <v>473</v>
      </c>
      <c r="G104" s="1" t="s">
        <v>473</v>
      </c>
      <c r="H104" s="1" t="s">
        <v>37</v>
      </c>
      <c r="I104" s="1" t="s">
        <v>37</v>
      </c>
      <c r="J104" s="1" t="s">
        <v>37</v>
      </c>
      <c r="K104" s="1" t="s">
        <v>39</v>
      </c>
      <c r="L104" s="1" t="s">
        <v>39</v>
      </c>
      <c r="M104" s="1" t="s">
        <v>39</v>
      </c>
      <c r="N104" s="1" t="s">
        <v>37</v>
      </c>
      <c r="O104" s="1"/>
      <c r="P104" s="1"/>
      <c r="Q104" s="1"/>
      <c r="R104" s="1" t="s">
        <v>342</v>
      </c>
      <c r="S104" s="1" t="s">
        <v>274</v>
      </c>
      <c r="T104" s="1">
        <v>99999999999</v>
      </c>
      <c r="U104" s="1">
        <v>11111111111</v>
      </c>
      <c r="V104" s="1">
        <v>11111111111</v>
      </c>
      <c r="W104" s="1" t="s">
        <v>474</v>
      </c>
      <c r="X104" s="1" t="s">
        <v>475</v>
      </c>
      <c r="Y104" s="1" t="s">
        <v>45</v>
      </c>
      <c r="Z104" s="1" t="s">
        <v>46</v>
      </c>
      <c r="AA104" s="1" t="s">
        <v>47</v>
      </c>
      <c r="AB104" s="1" t="s">
        <v>37</v>
      </c>
      <c r="AC104" s="1" t="s">
        <v>37</v>
      </c>
      <c r="AD104" s="1" t="s">
        <v>39</v>
      </c>
      <c r="AE104" s="1" t="s">
        <v>37</v>
      </c>
      <c r="AF104" s="1" t="s">
        <v>37</v>
      </c>
      <c r="AG104" s="1" t="s">
        <v>37</v>
      </c>
      <c r="AH104" s="1" t="s">
        <v>37</v>
      </c>
      <c r="AI104" s="1" t="s">
        <v>39</v>
      </c>
      <c r="AJ104" s="1" t="s">
        <v>39</v>
      </c>
      <c r="AK104" s="1" t="str">
        <f t="shared" si="3"/>
        <v>Apenas Pilar 3</v>
      </c>
      <c r="AL104" s="1" t="str">
        <f>+IF(IFERROR(VLOOKUP(A104,Ficheiros!I:I,1,FALSE),"")=A104,"Sim","Não")</f>
        <v>Não</v>
      </c>
      <c r="AM104" s="1" t="str">
        <f>+IF(IFERROR(VLOOKUP(A104,Ficheiros!E:E,1,FALSE),"")=A104,"Sim","Não")</f>
        <v>Sim</v>
      </c>
      <c r="AN104" s="1" t="str">
        <f>+IF(IFERROR(VLOOKUP(A104,Ficheiros!O:O,1,FALSE),"")=A104,"Sim","Não")</f>
        <v>Sim</v>
      </c>
      <c r="AO104" s="1" t="str">
        <f>+IF(IFERROR(VLOOKUP(A104,'Especificação Novos Req. LT (2'!A:A,1,FALSE),"")=A104,"Sim","Não")</f>
        <v>Não</v>
      </c>
      <c r="AP104" s="1" t="str">
        <f>+IF(IFERROR(VLOOKUP(A104,Ficheiros!T:T,1,FALSE),"")=A104,"Sim","Não")</f>
        <v>Não</v>
      </c>
      <c r="AQ104" s="1" t="str">
        <f>+VLOOKUP(A104,Ficheiros!O:P,2,FALSE)</f>
        <v>1. Concluído</v>
      </c>
      <c r="AR104" s="1" t="e">
        <f>+VLOOKUP(A104,Ficheiros!R:S,3,FALSE)</f>
        <v>#N/A</v>
      </c>
      <c r="AS104" s="1" t="e">
        <f>+VLOOKUP(A104,Ficheiros!T:V,3,FALSE)</f>
        <v>#N/A</v>
      </c>
      <c r="AT104" s="1"/>
      <c r="AU104" s="1"/>
      <c r="AV104" s="1"/>
      <c r="AW104" s="1"/>
      <c r="AX104" s="1"/>
    </row>
    <row r="105" spans="1:50" ht="14.5" hidden="1" customHeight="1" x14ac:dyDescent="0.35">
      <c r="A105" s="5" t="str">
        <f t="shared" si="2"/>
        <v>ENTITYTXNMY_ELGBL_TRNVR_CCM</v>
      </c>
      <c r="B105" s="1" t="s">
        <v>476</v>
      </c>
      <c r="C105" s="1" t="s">
        <v>35</v>
      </c>
      <c r="D105" s="1" t="s">
        <v>49</v>
      </c>
      <c r="E105" s="1" t="s">
        <v>37</v>
      </c>
      <c r="F105" s="25" t="s">
        <v>477</v>
      </c>
      <c r="G105" s="1" t="s">
        <v>477</v>
      </c>
      <c r="H105" s="1" t="s">
        <v>37</v>
      </c>
      <c r="I105" s="1" t="s">
        <v>37</v>
      </c>
      <c r="J105" s="1" t="s">
        <v>37</v>
      </c>
      <c r="K105" s="1" t="s">
        <v>39</v>
      </c>
      <c r="L105" s="1" t="s">
        <v>39</v>
      </c>
      <c r="M105" s="1" t="s">
        <v>39</v>
      </c>
      <c r="N105" s="1" t="s">
        <v>37</v>
      </c>
      <c r="O105" s="1"/>
      <c r="P105" s="1"/>
      <c r="Q105" s="1"/>
      <c r="R105" s="1" t="s">
        <v>342</v>
      </c>
      <c r="S105" s="1" t="s">
        <v>274</v>
      </c>
      <c r="T105" s="1">
        <v>99999999999</v>
      </c>
      <c r="U105" s="1">
        <v>11111111111</v>
      </c>
      <c r="V105" s="1">
        <v>11111111111</v>
      </c>
      <c r="W105" s="1" t="s">
        <v>478</v>
      </c>
      <c r="X105" s="1" t="s">
        <v>479</v>
      </c>
      <c r="Y105" s="1" t="s">
        <v>45</v>
      </c>
      <c r="Z105" s="1" t="s">
        <v>46</v>
      </c>
      <c r="AA105" s="1" t="s">
        <v>47</v>
      </c>
      <c r="AB105" s="1" t="s">
        <v>37</v>
      </c>
      <c r="AC105" s="1" t="s">
        <v>37</v>
      </c>
      <c r="AD105" s="1" t="s">
        <v>39</v>
      </c>
      <c r="AE105" s="1" t="s">
        <v>37</v>
      </c>
      <c r="AF105" s="1" t="s">
        <v>37</v>
      </c>
      <c r="AG105" s="1" t="s">
        <v>37</v>
      </c>
      <c r="AH105" s="1" t="s">
        <v>37</v>
      </c>
      <c r="AI105" s="1" t="s">
        <v>39</v>
      </c>
      <c r="AJ105" s="1" t="s">
        <v>39</v>
      </c>
      <c r="AK105" s="1" t="str">
        <f t="shared" si="3"/>
        <v>Apenas Pilar 3</v>
      </c>
      <c r="AL105" s="1" t="str">
        <f>+IF(IFERROR(VLOOKUP(A105,Ficheiros!I:I,1,FALSE),"")=A105,"Sim","Não")</f>
        <v>Não</v>
      </c>
      <c r="AM105" s="1" t="str">
        <f>+IF(IFERROR(VLOOKUP(A105,Ficheiros!E:E,1,FALSE),"")=A105,"Sim","Não")</f>
        <v>Sim</v>
      </c>
      <c r="AN105" s="1" t="str">
        <f>+IF(IFERROR(VLOOKUP(A105,Ficheiros!O:O,1,FALSE),"")=A105,"Sim","Não")</f>
        <v>Sim</v>
      </c>
      <c r="AO105" s="1" t="str">
        <f>+IF(IFERROR(VLOOKUP(A105,'Especificação Novos Req. LT (2'!A:A,1,FALSE),"")=A105,"Sim","Não")</f>
        <v>Não</v>
      </c>
      <c r="AP105" s="1" t="str">
        <f>+IF(IFERROR(VLOOKUP(A105,Ficheiros!T:T,1,FALSE),"")=A105,"Sim","Não")</f>
        <v>Não</v>
      </c>
      <c r="AQ105" s="1" t="str">
        <f>+VLOOKUP(A105,Ficheiros!O:P,2,FALSE)</f>
        <v>1. Concluído</v>
      </c>
      <c r="AR105" s="1" t="e">
        <f>+VLOOKUP(A105,Ficheiros!R:S,3,FALSE)</f>
        <v>#N/A</v>
      </c>
      <c r="AS105" s="1" t="e">
        <f>+VLOOKUP(A105,Ficheiros!T:V,3,FALSE)</f>
        <v>#N/A</v>
      </c>
      <c r="AT105" s="1"/>
      <c r="AU105" s="1"/>
      <c r="AV105" s="1"/>
      <c r="AW105" s="1"/>
      <c r="AX105" s="1"/>
    </row>
    <row r="106" spans="1:50" ht="14.5" hidden="1" customHeight="1" x14ac:dyDescent="0.35">
      <c r="A106" s="5" t="str">
        <f t="shared" si="2"/>
        <v>ENTITYTXNMY_ELGBL_CAPEX_CCA</v>
      </c>
      <c r="B106" s="1" t="s">
        <v>480</v>
      </c>
      <c r="C106" s="1" t="s">
        <v>35</v>
      </c>
      <c r="D106" s="1" t="s">
        <v>49</v>
      </c>
      <c r="E106" s="1" t="s">
        <v>37</v>
      </c>
      <c r="F106" s="25" t="s">
        <v>481</v>
      </c>
      <c r="G106" s="1" t="s">
        <v>481</v>
      </c>
      <c r="H106" s="1" t="s">
        <v>37</v>
      </c>
      <c r="I106" s="1" t="s">
        <v>37</v>
      </c>
      <c r="J106" s="1" t="s">
        <v>37</v>
      </c>
      <c r="K106" s="1" t="s">
        <v>39</v>
      </c>
      <c r="L106" s="1" t="s">
        <v>39</v>
      </c>
      <c r="M106" s="1" t="s">
        <v>39</v>
      </c>
      <c r="N106" s="1" t="s">
        <v>37</v>
      </c>
      <c r="O106" s="1"/>
      <c r="P106" s="1"/>
      <c r="Q106" s="1"/>
      <c r="R106" s="1" t="s">
        <v>342</v>
      </c>
      <c r="S106" s="1" t="s">
        <v>274</v>
      </c>
      <c r="T106" s="1">
        <v>99999999999</v>
      </c>
      <c r="U106" s="1">
        <v>11111111111</v>
      </c>
      <c r="V106" s="1">
        <v>11111111111</v>
      </c>
      <c r="W106" s="1" t="s">
        <v>482</v>
      </c>
      <c r="X106" s="1" t="s">
        <v>483</v>
      </c>
      <c r="Y106" s="1" t="s">
        <v>45</v>
      </c>
      <c r="Z106" s="1" t="s">
        <v>46</v>
      </c>
      <c r="AA106" s="1" t="s">
        <v>47</v>
      </c>
      <c r="AB106" s="1" t="s">
        <v>37</v>
      </c>
      <c r="AC106" s="1" t="s">
        <v>37</v>
      </c>
      <c r="AD106" s="1" t="s">
        <v>39</v>
      </c>
      <c r="AE106" s="1" t="s">
        <v>37</v>
      </c>
      <c r="AF106" s="1" t="s">
        <v>37</v>
      </c>
      <c r="AG106" s="1" t="s">
        <v>37</v>
      </c>
      <c r="AH106" s="1" t="s">
        <v>37</v>
      </c>
      <c r="AI106" s="1" t="s">
        <v>39</v>
      </c>
      <c r="AJ106" s="1" t="s">
        <v>39</v>
      </c>
      <c r="AK106" s="1" t="str">
        <f t="shared" si="3"/>
        <v>Apenas Pilar 3</v>
      </c>
      <c r="AL106" s="1" t="str">
        <f>+IF(IFERROR(VLOOKUP(A106,Ficheiros!I:I,1,FALSE),"")=A106,"Sim","Não")</f>
        <v>Não</v>
      </c>
      <c r="AM106" s="1" t="str">
        <f>+IF(IFERROR(VLOOKUP(A106,Ficheiros!E:E,1,FALSE),"")=A106,"Sim","Não")</f>
        <v>Sim</v>
      </c>
      <c r="AN106" s="1" t="str">
        <f>+IF(IFERROR(VLOOKUP(A106,Ficheiros!O:O,1,FALSE),"")=A106,"Sim","Não")</f>
        <v>Sim</v>
      </c>
      <c r="AO106" s="1" t="str">
        <f>+IF(IFERROR(VLOOKUP(A106,'Especificação Novos Req. LT (2'!A:A,1,FALSE),"")=A106,"Sim","Não")</f>
        <v>Não</v>
      </c>
      <c r="AP106" s="1" t="str">
        <f>+IF(IFERROR(VLOOKUP(A106,Ficheiros!T:T,1,FALSE),"")=A106,"Sim","Não")</f>
        <v>Não</v>
      </c>
      <c r="AQ106" s="1" t="str">
        <f>+VLOOKUP(A106,Ficheiros!O:P,2,FALSE)</f>
        <v>1. Concluído</v>
      </c>
      <c r="AR106" s="1" t="e">
        <f>+VLOOKUP(A106,Ficheiros!R:S,3,FALSE)</f>
        <v>#N/A</v>
      </c>
      <c r="AS106" s="1" t="e">
        <f>+VLOOKUP(A106,Ficheiros!T:V,3,FALSE)</f>
        <v>#N/A</v>
      </c>
      <c r="AT106" s="1"/>
      <c r="AU106" s="1"/>
      <c r="AV106" s="1"/>
      <c r="AW106" s="1"/>
      <c r="AX106" s="1"/>
    </row>
    <row r="107" spans="1:50" ht="14.5" hidden="1" customHeight="1" x14ac:dyDescent="0.35">
      <c r="A107" s="5" t="str">
        <f t="shared" si="2"/>
        <v>ENTITYTXNMY_ELGBL_TRNVR_CCA</v>
      </c>
      <c r="B107" s="1" t="s">
        <v>484</v>
      </c>
      <c r="C107" s="1" t="s">
        <v>35</v>
      </c>
      <c r="D107" s="1" t="s">
        <v>49</v>
      </c>
      <c r="E107" s="1" t="s">
        <v>37</v>
      </c>
      <c r="F107" s="25" t="s">
        <v>485</v>
      </c>
      <c r="G107" s="1" t="s">
        <v>485</v>
      </c>
      <c r="H107" s="1" t="s">
        <v>37</v>
      </c>
      <c r="I107" s="1" t="s">
        <v>37</v>
      </c>
      <c r="J107" s="1" t="s">
        <v>37</v>
      </c>
      <c r="K107" s="1" t="s">
        <v>39</v>
      </c>
      <c r="L107" s="1" t="s">
        <v>39</v>
      </c>
      <c r="M107" s="1" t="s">
        <v>39</v>
      </c>
      <c r="N107" s="1" t="s">
        <v>37</v>
      </c>
      <c r="O107" s="1"/>
      <c r="P107" s="1"/>
      <c r="Q107" s="1"/>
      <c r="R107" s="1" t="s">
        <v>342</v>
      </c>
      <c r="S107" s="1" t="s">
        <v>274</v>
      </c>
      <c r="T107" s="1">
        <v>99999999999</v>
      </c>
      <c r="U107" s="1">
        <v>11111111111</v>
      </c>
      <c r="V107" s="1">
        <v>11111111111</v>
      </c>
      <c r="W107" s="1" t="s">
        <v>486</v>
      </c>
      <c r="X107" s="1" t="s">
        <v>487</v>
      </c>
      <c r="Y107" s="1" t="s">
        <v>45</v>
      </c>
      <c r="Z107" s="1" t="s">
        <v>46</v>
      </c>
      <c r="AA107" s="1" t="s">
        <v>47</v>
      </c>
      <c r="AB107" s="1" t="s">
        <v>37</v>
      </c>
      <c r="AC107" s="1" t="s">
        <v>37</v>
      </c>
      <c r="AD107" s="1" t="s">
        <v>39</v>
      </c>
      <c r="AE107" s="1" t="s">
        <v>37</v>
      </c>
      <c r="AF107" s="1" t="s">
        <v>37</v>
      </c>
      <c r="AG107" s="1" t="s">
        <v>37</v>
      </c>
      <c r="AH107" s="1" t="s">
        <v>37</v>
      </c>
      <c r="AI107" s="1" t="s">
        <v>39</v>
      </c>
      <c r="AJ107" s="1" t="s">
        <v>39</v>
      </c>
      <c r="AK107" s="1" t="str">
        <f t="shared" si="3"/>
        <v>Apenas Pilar 3</v>
      </c>
      <c r="AL107" s="1" t="str">
        <f>+IF(IFERROR(VLOOKUP(A107,Ficheiros!I:I,1,FALSE),"")=A107,"Sim","Não")</f>
        <v>Não</v>
      </c>
      <c r="AM107" s="1" t="str">
        <f>+IF(IFERROR(VLOOKUP(A107,Ficheiros!E:E,1,FALSE),"")=A107,"Sim","Não")</f>
        <v>Sim</v>
      </c>
      <c r="AN107" s="1" t="str">
        <f>+IF(IFERROR(VLOOKUP(A107,Ficheiros!O:O,1,FALSE),"")=A107,"Sim","Não")</f>
        <v>Sim</v>
      </c>
      <c r="AO107" s="1" t="str">
        <f>+IF(IFERROR(VLOOKUP(A107,'Especificação Novos Req. LT (2'!A:A,1,FALSE),"")=A107,"Sim","Não")</f>
        <v>Não</v>
      </c>
      <c r="AP107" s="1" t="str">
        <f>+IF(IFERROR(VLOOKUP(A107,Ficheiros!T:T,1,FALSE),"")=A107,"Sim","Não")</f>
        <v>Não</v>
      </c>
      <c r="AQ107" s="1" t="str">
        <f>+VLOOKUP(A107,Ficheiros!O:P,2,FALSE)</f>
        <v>1. Concluído</v>
      </c>
      <c r="AR107" s="1" t="e">
        <f>+VLOOKUP(A107,Ficheiros!R:S,3,FALSE)</f>
        <v>#N/A</v>
      </c>
      <c r="AS107" s="1" t="e">
        <f>+VLOOKUP(A107,Ficheiros!T:V,3,FALSE)</f>
        <v>#N/A</v>
      </c>
      <c r="AT107" s="1"/>
      <c r="AU107" s="1"/>
      <c r="AV107" s="1"/>
      <c r="AW107" s="1"/>
      <c r="AX107" s="1"/>
    </row>
    <row r="108" spans="1:50" ht="14.5" hidden="1" customHeight="1" x14ac:dyDescent="0.35">
      <c r="A108" s="5" t="str">
        <f t="shared" si="2"/>
        <v>ENTITYENBLNG_CAPEX_CCM</v>
      </c>
      <c r="B108" s="1" t="s">
        <v>488</v>
      </c>
      <c r="C108" s="1" t="s">
        <v>35</v>
      </c>
      <c r="D108" s="1" t="s">
        <v>49</v>
      </c>
      <c r="E108" s="1" t="s">
        <v>37</v>
      </c>
      <c r="F108" s="25" t="s">
        <v>489</v>
      </c>
      <c r="G108" s="1" t="s">
        <v>489</v>
      </c>
      <c r="H108" s="1" t="s">
        <v>37</v>
      </c>
      <c r="I108" s="1" t="s">
        <v>37</v>
      </c>
      <c r="J108" s="1" t="s">
        <v>37</v>
      </c>
      <c r="K108" s="1" t="s">
        <v>39</v>
      </c>
      <c r="L108" s="1" t="s">
        <v>39</v>
      </c>
      <c r="M108" s="1" t="s">
        <v>39</v>
      </c>
      <c r="N108" s="1" t="s">
        <v>37</v>
      </c>
      <c r="O108" s="1"/>
      <c r="P108" s="1"/>
      <c r="Q108" s="1"/>
      <c r="R108" s="1" t="s">
        <v>342</v>
      </c>
      <c r="S108" s="1" t="s">
        <v>274</v>
      </c>
      <c r="T108" s="1">
        <v>99999999999</v>
      </c>
      <c r="U108" s="1">
        <v>11111111111</v>
      </c>
      <c r="V108" s="1">
        <v>11111111111</v>
      </c>
      <c r="W108" s="1" t="s">
        <v>490</v>
      </c>
      <c r="X108" s="1" t="s">
        <v>491</v>
      </c>
      <c r="Y108" s="1" t="s">
        <v>45</v>
      </c>
      <c r="Z108" s="1" t="s">
        <v>46</v>
      </c>
      <c r="AA108" s="1" t="s">
        <v>47</v>
      </c>
      <c r="AB108" s="1" t="s">
        <v>37</v>
      </c>
      <c r="AC108" s="1" t="s">
        <v>37</v>
      </c>
      <c r="AD108" s="1" t="s">
        <v>39</v>
      </c>
      <c r="AE108" s="1" t="s">
        <v>37</v>
      </c>
      <c r="AF108" s="1" t="s">
        <v>37</v>
      </c>
      <c r="AG108" s="1" t="s">
        <v>37</v>
      </c>
      <c r="AH108" s="1" t="s">
        <v>37</v>
      </c>
      <c r="AI108" s="1" t="s">
        <v>39</v>
      </c>
      <c r="AJ108" s="1" t="s">
        <v>39</v>
      </c>
      <c r="AK108" s="1" t="str">
        <f t="shared" si="3"/>
        <v>Apenas Pilar 3</v>
      </c>
      <c r="AL108" s="1" t="str">
        <f>+IF(IFERROR(VLOOKUP(A108,Ficheiros!I:I,1,FALSE),"")=A108,"Sim","Não")</f>
        <v>Não</v>
      </c>
      <c r="AM108" s="1" t="str">
        <f>+IF(IFERROR(VLOOKUP(A108,Ficheiros!E:E,1,FALSE),"")=A108,"Sim","Não")</f>
        <v>Sim</v>
      </c>
      <c r="AN108" s="1" t="str">
        <f>+IF(IFERROR(VLOOKUP(A108,Ficheiros!O:O,1,FALSE),"")=A108,"Sim","Não")</f>
        <v>Sim</v>
      </c>
      <c r="AO108" s="1" t="str">
        <f>+IF(IFERROR(VLOOKUP(A108,'Especificação Novos Req. LT (2'!A:A,1,FALSE),"")=A108,"Sim","Não")</f>
        <v>Não</v>
      </c>
      <c r="AP108" s="1" t="str">
        <f>+IF(IFERROR(VLOOKUP(A108,Ficheiros!T:T,1,FALSE),"")=A108,"Sim","Não")</f>
        <v>Não</v>
      </c>
      <c r="AQ108" s="1" t="str">
        <f>+VLOOKUP(A108,Ficheiros!O:P,2,FALSE)</f>
        <v>1. Concluído</v>
      </c>
      <c r="AR108" s="1" t="e">
        <f>+VLOOKUP(A108,Ficheiros!R:S,3,FALSE)</f>
        <v>#N/A</v>
      </c>
      <c r="AS108" s="1" t="e">
        <f>+VLOOKUP(A108,Ficheiros!T:V,3,FALSE)</f>
        <v>#N/A</v>
      </c>
      <c r="AT108" s="1"/>
      <c r="AU108" s="1"/>
      <c r="AV108" s="1"/>
      <c r="AW108" s="1"/>
      <c r="AX108" s="1"/>
    </row>
    <row r="109" spans="1:50" ht="14.5" hidden="1" customHeight="1" x14ac:dyDescent="0.35">
      <c r="A109" s="5" t="str">
        <f t="shared" si="2"/>
        <v>ENTITYENBLNG_CAPEX_CCA</v>
      </c>
      <c r="B109" s="1" t="s">
        <v>492</v>
      </c>
      <c r="C109" s="1" t="s">
        <v>35</v>
      </c>
      <c r="D109" s="1" t="s">
        <v>49</v>
      </c>
      <c r="E109" s="1" t="s">
        <v>37</v>
      </c>
      <c r="F109" s="25" t="s">
        <v>493</v>
      </c>
      <c r="G109" s="1" t="s">
        <v>493</v>
      </c>
      <c r="H109" s="1" t="s">
        <v>37</v>
      </c>
      <c r="I109" s="1" t="s">
        <v>37</v>
      </c>
      <c r="J109" s="1" t="s">
        <v>37</v>
      </c>
      <c r="K109" s="1" t="s">
        <v>39</v>
      </c>
      <c r="L109" s="1" t="s">
        <v>39</v>
      </c>
      <c r="M109" s="1" t="s">
        <v>39</v>
      </c>
      <c r="N109" s="1" t="s">
        <v>37</v>
      </c>
      <c r="O109" s="1"/>
      <c r="P109" s="1"/>
      <c r="Q109" s="1"/>
      <c r="R109" s="1" t="s">
        <v>342</v>
      </c>
      <c r="S109" s="1" t="s">
        <v>274</v>
      </c>
      <c r="T109" s="1">
        <v>99999999999</v>
      </c>
      <c r="U109" s="1">
        <v>11111111111</v>
      </c>
      <c r="V109" s="1">
        <v>11111111111</v>
      </c>
      <c r="W109" s="1" t="s">
        <v>494</v>
      </c>
      <c r="X109" s="1" t="s">
        <v>495</v>
      </c>
      <c r="Y109" s="1" t="s">
        <v>45</v>
      </c>
      <c r="Z109" s="1" t="s">
        <v>46</v>
      </c>
      <c r="AA109" s="1" t="s">
        <v>47</v>
      </c>
      <c r="AB109" s="1" t="s">
        <v>37</v>
      </c>
      <c r="AC109" s="1" t="s">
        <v>37</v>
      </c>
      <c r="AD109" s="1" t="s">
        <v>39</v>
      </c>
      <c r="AE109" s="1" t="s">
        <v>37</v>
      </c>
      <c r="AF109" s="1" t="s">
        <v>37</v>
      </c>
      <c r="AG109" s="1" t="s">
        <v>37</v>
      </c>
      <c r="AH109" s="1" t="s">
        <v>37</v>
      </c>
      <c r="AI109" s="1" t="s">
        <v>39</v>
      </c>
      <c r="AJ109" s="1" t="s">
        <v>39</v>
      </c>
      <c r="AK109" s="1" t="str">
        <f t="shared" si="3"/>
        <v>Apenas Pilar 3</v>
      </c>
      <c r="AL109" s="1" t="str">
        <f>+IF(IFERROR(VLOOKUP(A109,Ficheiros!I:I,1,FALSE),"")=A109,"Sim","Não")</f>
        <v>Não</v>
      </c>
      <c r="AM109" s="1" t="str">
        <f>+IF(IFERROR(VLOOKUP(A109,Ficheiros!E:E,1,FALSE),"")=A109,"Sim","Não")</f>
        <v>Sim</v>
      </c>
      <c r="AN109" s="1" t="str">
        <f>+IF(IFERROR(VLOOKUP(A109,Ficheiros!O:O,1,FALSE),"")=A109,"Sim","Não")</f>
        <v>Sim</v>
      </c>
      <c r="AO109" s="1" t="str">
        <f>+IF(IFERROR(VLOOKUP(A109,'Especificação Novos Req. LT (2'!A:A,1,FALSE),"")=A109,"Sim","Não")</f>
        <v>Não</v>
      </c>
      <c r="AP109" s="1" t="str">
        <f>+IF(IFERROR(VLOOKUP(A109,Ficheiros!T:T,1,FALSE),"")=A109,"Sim","Não")</f>
        <v>Não</v>
      </c>
      <c r="AQ109" s="1" t="str">
        <f>+VLOOKUP(A109,Ficheiros!O:P,2,FALSE)</f>
        <v>1. Concluído</v>
      </c>
      <c r="AR109" s="1" t="e">
        <f>+VLOOKUP(A109,Ficheiros!R:S,3,FALSE)</f>
        <v>#N/A</v>
      </c>
      <c r="AS109" s="1" t="e">
        <f>+VLOOKUP(A109,Ficheiros!T:V,3,FALSE)</f>
        <v>#N/A</v>
      </c>
      <c r="AT109" s="1"/>
      <c r="AU109" s="1"/>
      <c r="AV109" s="1"/>
      <c r="AW109" s="1"/>
      <c r="AX109" s="1"/>
    </row>
    <row r="110" spans="1:50" ht="14.5" hidden="1" customHeight="1" x14ac:dyDescent="0.35">
      <c r="A110" s="5" t="str">
        <f t="shared" si="2"/>
        <v>ENTITYTRNSTNL_CAPEX</v>
      </c>
      <c r="B110" s="1" t="s">
        <v>496</v>
      </c>
      <c r="C110" s="1" t="s">
        <v>35</v>
      </c>
      <c r="D110" s="1" t="s">
        <v>49</v>
      </c>
      <c r="E110" s="1" t="s">
        <v>37</v>
      </c>
      <c r="F110" s="25" t="s">
        <v>497</v>
      </c>
      <c r="G110" s="1" t="s">
        <v>497</v>
      </c>
      <c r="H110" s="1" t="s">
        <v>37</v>
      </c>
      <c r="I110" s="1" t="s">
        <v>37</v>
      </c>
      <c r="J110" s="1" t="s">
        <v>37</v>
      </c>
      <c r="K110" s="1" t="s">
        <v>39</v>
      </c>
      <c r="L110" s="1" t="s">
        <v>39</v>
      </c>
      <c r="M110" s="1" t="s">
        <v>39</v>
      </c>
      <c r="N110" s="1" t="s">
        <v>37</v>
      </c>
      <c r="O110" s="1"/>
      <c r="P110" s="1"/>
      <c r="Q110" s="1"/>
      <c r="R110" s="1" t="s">
        <v>342</v>
      </c>
      <c r="S110" s="1" t="s">
        <v>274</v>
      </c>
      <c r="T110" s="1">
        <v>99999999999</v>
      </c>
      <c r="U110" s="1">
        <v>11111111111</v>
      </c>
      <c r="V110" s="1">
        <v>11111111111</v>
      </c>
      <c r="W110" s="1" t="s">
        <v>498</v>
      </c>
      <c r="X110" s="1" t="s">
        <v>499</v>
      </c>
      <c r="Y110" s="1" t="s">
        <v>45</v>
      </c>
      <c r="Z110" s="1" t="s">
        <v>46</v>
      </c>
      <c r="AA110" s="1" t="s">
        <v>47</v>
      </c>
      <c r="AB110" s="1" t="s">
        <v>37</v>
      </c>
      <c r="AC110" s="1" t="s">
        <v>37</v>
      </c>
      <c r="AD110" s="1" t="s">
        <v>39</v>
      </c>
      <c r="AE110" s="1" t="s">
        <v>37</v>
      </c>
      <c r="AF110" s="1" t="s">
        <v>37</v>
      </c>
      <c r="AG110" s="1" t="s">
        <v>37</v>
      </c>
      <c r="AH110" s="1" t="s">
        <v>37</v>
      </c>
      <c r="AI110" s="1" t="s">
        <v>39</v>
      </c>
      <c r="AJ110" s="1" t="s">
        <v>39</v>
      </c>
      <c r="AK110" s="1" t="str">
        <f t="shared" si="3"/>
        <v>Apenas Pilar 3</v>
      </c>
      <c r="AL110" s="1" t="str">
        <f>+IF(IFERROR(VLOOKUP(A110,Ficheiros!I:I,1,FALSE),"")=A110,"Sim","Não")</f>
        <v>Não</v>
      </c>
      <c r="AM110" s="1" t="str">
        <f>+IF(IFERROR(VLOOKUP(A110,Ficheiros!E:E,1,FALSE),"")=A110,"Sim","Não")</f>
        <v>Sim</v>
      </c>
      <c r="AN110" s="1" t="str">
        <f>+IF(IFERROR(VLOOKUP(A110,Ficheiros!O:O,1,FALSE),"")=A110,"Sim","Não")</f>
        <v>Sim</v>
      </c>
      <c r="AO110" s="1" t="str">
        <f>+IF(IFERROR(VLOOKUP(A110,'Especificação Novos Req. LT (2'!A:A,1,FALSE),"")=A110,"Sim","Não")</f>
        <v>Não</v>
      </c>
      <c r="AP110" s="1" t="str">
        <f>+IF(IFERROR(VLOOKUP(A110,Ficheiros!T:T,1,FALSE),"")=A110,"Sim","Não")</f>
        <v>Não</v>
      </c>
      <c r="AQ110" s="1" t="str">
        <f>+VLOOKUP(A110,Ficheiros!O:P,2,FALSE)</f>
        <v>1. Concluído</v>
      </c>
      <c r="AR110" s="1" t="e">
        <f>+VLOOKUP(A110,Ficheiros!R:S,3,FALSE)</f>
        <v>#N/A</v>
      </c>
      <c r="AS110" s="1" t="e">
        <f>+VLOOKUP(A110,Ficheiros!T:V,3,FALSE)</f>
        <v>#N/A</v>
      </c>
      <c r="AT110" s="1"/>
      <c r="AU110" s="1"/>
      <c r="AV110" s="1"/>
      <c r="AW110" s="1"/>
      <c r="AX110" s="1"/>
    </row>
    <row r="111" spans="1:50" ht="14.5" hidden="1" customHeight="1" x14ac:dyDescent="0.35">
      <c r="A111" s="5" t="str">
        <f t="shared" si="2"/>
        <v>ENTITYPURE_CAPEX_CCM</v>
      </c>
      <c r="B111" s="1" t="s">
        <v>500</v>
      </c>
      <c r="C111" s="1" t="s">
        <v>35</v>
      </c>
      <c r="D111" s="1" t="s">
        <v>49</v>
      </c>
      <c r="E111" s="1" t="s">
        <v>37</v>
      </c>
      <c r="F111" s="25" t="s">
        <v>501</v>
      </c>
      <c r="G111" s="1" t="s">
        <v>501</v>
      </c>
      <c r="H111" s="1" t="s">
        <v>37</v>
      </c>
      <c r="I111" s="1" t="s">
        <v>37</v>
      </c>
      <c r="J111" s="1" t="s">
        <v>37</v>
      </c>
      <c r="K111" s="1" t="s">
        <v>39</v>
      </c>
      <c r="L111" s="1" t="s">
        <v>39</v>
      </c>
      <c r="M111" s="1" t="s">
        <v>39</v>
      </c>
      <c r="N111" s="1" t="s">
        <v>37</v>
      </c>
      <c r="O111" s="1"/>
      <c r="P111" s="1"/>
      <c r="Q111" s="1"/>
      <c r="R111" s="1" t="s">
        <v>342</v>
      </c>
      <c r="S111" s="1" t="s">
        <v>274</v>
      </c>
      <c r="T111" s="1">
        <v>99999999999</v>
      </c>
      <c r="U111" s="1">
        <v>11111111111</v>
      </c>
      <c r="V111" s="1">
        <v>11111111111</v>
      </c>
      <c r="W111" s="1" t="s">
        <v>502</v>
      </c>
      <c r="X111" s="1" t="s">
        <v>503</v>
      </c>
      <c r="Y111" s="1" t="s">
        <v>45</v>
      </c>
      <c r="Z111" s="1" t="s">
        <v>46</v>
      </c>
      <c r="AA111" s="1" t="s">
        <v>47</v>
      </c>
      <c r="AB111" s="1" t="s">
        <v>37</v>
      </c>
      <c r="AC111" s="1" t="s">
        <v>37</v>
      </c>
      <c r="AD111" s="1" t="s">
        <v>39</v>
      </c>
      <c r="AE111" s="1" t="s">
        <v>37</v>
      </c>
      <c r="AF111" s="1" t="s">
        <v>37</v>
      </c>
      <c r="AG111" s="1" t="s">
        <v>37</v>
      </c>
      <c r="AH111" s="1" t="s">
        <v>37</v>
      </c>
      <c r="AI111" s="1" t="s">
        <v>39</v>
      </c>
      <c r="AJ111" s="1" t="s">
        <v>39</v>
      </c>
      <c r="AK111" s="1" t="str">
        <f t="shared" si="3"/>
        <v>Apenas Pilar 3</v>
      </c>
      <c r="AL111" s="1" t="str">
        <f>+IF(IFERROR(VLOOKUP(A111,Ficheiros!I:I,1,FALSE),"")=A111,"Sim","Não")</f>
        <v>Não</v>
      </c>
      <c r="AM111" s="1" t="str">
        <f>+IF(IFERROR(VLOOKUP(A111,Ficheiros!E:E,1,FALSE),"")=A111,"Sim","Não")</f>
        <v>Sim</v>
      </c>
      <c r="AN111" s="1" t="str">
        <f>+IF(IFERROR(VLOOKUP(A111,Ficheiros!O:O,1,FALSE),"")=A111,"Sim","Não")</f>
        <v>Sim</v>
      </c>
      <c r="AO111" s="1" t="str">
        <f>+IF(IFERROR(VLOOKUP(A111,'Especificação Novos Req. LT (2'!A:A,1,FALSE),"")=A111,"Sim","Não")</f>
        <v>Não</v>
      </c>
      <c r="AP111" s="1" t="str">
        <f>+IF(IFERROR(VLOOKUP(A111,Ficheiros!T:T,1,FALSE),"")=A111,"Sim","Não")</f>
        <v>Não</v>
      </c>
      <c r="AQ111" s="1" t="str">
        <f>+VLOOKUP(A111,Ficheiros!O:P,2,FALSE)</f>
        <v>1. Concluído</v>
      </c>
      <c r="AR111" s="1" t="e">
        <f>+VLOOKUP(A111,Ficheiros!R:S,3,FALSE)</f>
        <v>#N/A</v>
      </c>
      <c r="AS111" s="1" t="e">
        <f>+VLOOKUP(A111,Ficheiros!T:V,3,FALSE)</f>
        <v>#N/A</v>
      </c>
      <c r="AT111" s="1"/>
      <c r="AU111" s="1"/>
      <c r="AV111" s="1"/>
      <c r="AW111" s="1"/>
      <c r="AX111" s="1"/>
    </row>
    <row r="112" spans="1:50" ht="14.5" hidden="1" customHeight="1" x14ac:dyDescent="0.35">
      <c r="A112" s="5" t="str">
        <f t="shared" si="2"/>
        <v>ENTITYPURE_CAPEX_CCA</v>
      </c>
      <c r="B112" s="1" t="s">
        <v>504</v>
      </c>
      <c r="C112" s="1" t="s">
        <v>35</v>
      </c>
      <c r="D112" s="1" t="s">
        <v>49</v>
      </c>
      <c r="E112" s="1" t="s">
        <v>37</v>
      </c>
      <c r="F112" s="25" t="s">
        <v>505</v>
      </c>
      <c r="G112" s="1" t="s">
        <v>505</v>
      </c>
      <c r="H112" s="1" t="s">
        <v>37</v>
      </c>
      <c r="I112" s="1" t="s">
        <v>37</v>
      </c>
      <c r="J112" s="1" t="s">
        <v>37</v>
      </c>
      <c r="K112" s="1" t="s">
        <v>39</v>
      </c>
      <c r="L112" s="1" t="s">
        <v>39</v>
      </c>
      <c r="M112" s="1" t="s">
        <v>39</v>
      </c>
      <c r="N112" s="1" t="s">
        <v>37</v>
      </c>
      <c r="O112" s="1"/>
      <c r="P112" s="1"/>
      <c r="Q112" s="1"/>
      <c r="R112" s="1" t="s">
        <v>342</v>
      </c>
      <c r="S112" s="1" t="s">
        <v>274</v>
      </c>
      <c r="T112" s="1">
        <v>99999999999</v>
      </c>
      <c r="U112" s="1">
        <v>11111111111</v>
      </c>
      <c r="V112" s="1">
        <v>11111111111</v>
      </c>
      <c r="W112" s="1" t="s">
        <v>506</v>
      </c>
      <c r="X112" s="1" t="s">
        <v>507</v>
      </c>
      <c r="Y112" s="1" t="s">
        <v>45</v>
      </c>
      <c r="Z112" s="1" t="s">
        <v>46</v>
      </c>
      <c r="AA112" s="1" t="s">
        <v>47</v>
      </c>
      <c r="AB112" s="1" t="s">
        <v>37</v>
      </c>
      <c r="AC112" s="1" t="s">
        <v>37</v>
      </c>
      <c r="AD112" s="1" t="s">
        <v>39</v>
      </c>
      <c r="AE112" s="1" t="s">
        <v>37</v>
      </c>
      <c r="AF112" s="1" t="s">
        <v>37</v>
      </c>
      <c r="AG112" s="1" t="s">
        <v>37</v>
      </c>
      <c r="AH112" s="1" t="s">
        <v>37</v>
      </c>
      <c r="AI112" s="1" t="s">
        <v>39</v>
      </c>
      <c r="AJ112" s="1" t="s">
        <v>39</v>
      </c>
      <c r="AK112" s="1" t="str">
        <f t="shared" si="3"/>
        <v>Apenas Pilar 3</v>
      </c>
      <c r="AL112" s="1" t="str">
        <f>+IF(IFERROR(VLOOKUP(A112,Ficheiros!I:I,1,FALSE),"")=A112,"Sim","Não")</f>
        <v>Não</v>
      </c>
      <c r="AM112" s="1" t="str">
        <f>+IF(IFERROR(VLOOKUP(A112,Ficheiros!E:E,1,FALSE),"")=A112,"Sim","Não")</f>
        <v>Sim</v>
      </c>
      <c r="AN112" s="1" t="str">
        <f>+IF(IFERROR(VLOOKUP(A112,Ficheiros!O:O,1,FALSE),"")=A112,"Sim","Não")</f>
        <v>Sim</v>
      </c>
      <c r="AO112" s="1" t="str">
        <f>+IF(IFERROR(VLOOKUP(A112,'Especificação Novos Req. LT (2'!A:A,1,FALSE),"")=A112,"Sim","Não")</f>
        <v>Não</v>
      </c>
      <c r="AP112" s="1" t="str">
        <f>+IF(IFERROR(VLOOKUP(A112,Ficheiros!T:T,1,FALSE),"")=A112,"Sim","Não")</f>
        <v>Não</v>
      </c>
      <c r="AQ112" s="1" t="str">
        <f>+VLOOKUP(A112,Ficheiros!O:P,2,FALSE)</f>
        <v>1. Concluído</v>
      </c>
      <c r="AR112" s="1" t="e">
        <f>+VLOOKUP(A112,Ficheiros!R:S,3,FALSE)</f>
        <v>#N/A</v>
      </c>
      <c r="AS112" s="1" t="e">
        <f>+VLOOKUP(A112,Ficheiros!T:V,3,FALSE)</f>
        <v>#N/A</v>
      </c>
      <c r="AT112" s="1"/>
      <c r="AU112" s="1"/>
      <c r="AV112" s="1"/>
      <c r="AW112" s="1"/>
      <c r="AX112" s="1"/>
    </row>
    <row r="113" spans="1:50" ht="14.5" hidden="1" customHeight="1" x14ac:dyDescent="0.35">
      <c r="A113" s="5" t="str">
        <f t="shared" si="2"/>
        <v>ENTITYENBLNG_TRNVR_CCM</v>
      </c>
      <c r="B113" s="1" t="s">
        <v>508</v>
      </c>
      <c r="C113" s="1" t="s">
        <v>35</v>
      </c>
      <c r="D113" s="1" t="s">
        <v>49</v>
      </c>
      <c r="E113" s="1" t="s">
        <v>37</v>
      </c>
      <c r="F113" s="25" t="s">
        <v>509</v>
      </c>
      <c r="G113" s="1" t="s">
        <v>509</v>
      </c>
      <c r="H113" s="1" t="s">
        <v>37</v>
      </c>
      <c r="I113" s="1" t="s">
        <v>37</v>
      </c>
      <c r="J113" s="1" t="s">
        <v>37</v>
      </c>
      <c r="K113" s="1" t="s">
        <v>39</v>
      </c>
      <c r="L113" s="1" t="s">
        <v>39</v>
      </c>
      <c r="M113" s="1" t="s">
        <v>39</v>
      </c>
      <c r="N113" s="1" t="s">
        <v>37</v>
      </c>
      <c r="O113" s="1"/>
      <c r="P113" s="1"/>
      <c r="Q113" s="1"/>
      <c r="R113" s="1" t="s">
        <v>342</v>
      </c>
      <c r="S113" s="1" t="s">
        <v>274</v>
      </c>
      <c r="T113" s="1">
        <v>99999999999</v>
      </c>
      <c r="U113" s="1">
        <v>11111111111</v>
      </c>
      <c r="V113" s="1">
        <v>11111111111</v>
      </c>
      <c r="W113" s="1" t="s">
        <v>510</v>
      </c>
      <c r="X113" s="1" t="s">
        <v>511</v>
      </c>
      <c r="Y113" s="1" t="s">
        <v>45</v>
      </c>
      <c r="Z113" s="1" t="s">
        <v>46</v>
      </c>
      <c r="AA113" s="1" t="s">
        <v>47</v>
      </c>
      <c r="AB113" s="1" t="s">
        <v>37</v>
      </c>
      <c r="AC113" s="1" t="s">
        <v>37</v>
      </c>
      <c r="AD113" s="1" t="s">
        <v>39</v>
      </c>
      <c r="AE113" s="1" t="s">
        <v>37</v>
      </c>
      <c r="AF113" s="1" t="s">
        <v>37</v>
      </c>
      <c r="AG113" s="1" t="s">
        <v>37</v>
      </c>
      <c r="AH113" s="1" t="s">
        <v>37</v>
      </c>
      <c r="AI113" s="1" t="s">
        <v>39</v>
      </c>
      <c r="AJ113" s="1" t="s">
        <v>39</v>
      </c>
      <c r="AK113" s="1" t="str">
        <f t="shared" si="3"/>
        <v>Apenas Pilar 3</v>
      </c>
      <c r="AL113" s="1" t="str">
        <f>+IF(IFERROR(VLOOKUP(A113,Ficheiros!I:I,1,FALSE),"")=A113,"Sim","Não")</f>
        <v>Não</v>
      </c>
      <c r="AM113" s="1" t="str">
        <f>+IF(IFERROR(VLOOKUP(A113,Ficheiros!E:E,1,FALSE),"")=A113,"Sim","Não")</f>
        <v>Sim</v>
      </c>
      <c r="AN113" s="1" t="str">
        <f>+IF(IFERROR(VLOOKUP(A113,Ficheiros!O:O,1,FALSE),"")=A113,"Sim","Não")</f>
        <v>Sim</v>
      </c>
      <c r="AO113" s="1" t="str">
        <f>+IF(IFERROR(VLOOKUP(A113,'Especificação Novos Req. LT (2'!A:A,1,FALSE),"")=A113,"Sim","Não")</f>
        <v>Não</v>
      </c>
      <c r="AP113" s="1" t="str">
        <f>+IF(IFERROR(VLOOKUP(A113,Ficheiros!T:T,1,FALSE),"")=A113,"Sim","Não")</f>
        <v>Não</v>
      </c>
      <c r="AQ113" s="1" t="str">
        <f>+VLOOKUP(A113,Ficheiros!O:P,2,FALSE)</f>
        <v>1. Concluído</v>
      </c>
      <c r="AR113" s="1" t="e">
        <f>+VLOOKUP(A113,Ficheiros!R:S,3,FALSE)</f>
        <v>#N/A</v>
      </c>
      <c r="AS113" s="1" t="e">
        <f>+VLOOKUP(A113,Ficheiros!T:V,3,FALSE)</f>
        <v>#N/A</v>
      </c>
      <c r="AT113" s="1"/>
      <c r="AU113" s="1"/>
      <c r="AV113" s="1"/>
      <c r="AW113" s="1"/>
      <c r="AX113" s="1"/>
    </row>
    <row r="114" spans="1:50" ht="14.5" hidden="1" customHeight="1" x14ac:dyDescent="0.35">
      <c r="A114" s="5" t="str">
        <f t="shared" si="2"/>
        <v>ENTITYENBLNG_TRNVR_CCA</v>
      </c>
      <c r="B114" s="1" t="s">
        <v>512</v>
      </c>
      <c r="C114" s="1" t="s">
        <v>35</v>
      </c>
      <c r="D114" s="1" t="s">
        <v>49</v>
      </c>
      <c r="E114" s="1" t="s">
        <v>37</v>
      </c>
      <c r="F114" s="25" t="s">
        <v>513</v>
      </c>
      <c r="G114" s="1" t="s">
        <v>513</v>
      </c>
      <c r="H114" s="1" t="s">
        <v>37</v>
      </c>
      <c r="I114" s="1" t="s">
        <v>37</v>
      </c>
      <c r="J114" s="1" t="s">
        <v>37</v>
      </c>
      <c r="K114" s="1" t="s">
        <v>39</v>
      </c>
      <c r="L114" s="1" t="s">
        <v>39</v>
      </c>
      <c r="M114" s="1" t="s">
        <v>39</v>
      </c>
      <c r="N114" s="1" t="s">
        <v>37</v>
      </c>
      <c r="O114" s="1"/>
      <c r="P114" s="1"/>
      <c r="Q114" s="1"/>
      <c r="R114" s="1" t="s">
        <v>342</v>
      </c>
      <c r="S114" s="1" t="s">
        <v>274</v>
      </c>
      <c r="T114" s="1">
        <v>99999999999</v>
      </c>
      <c r="U114" s="1">
        <v>11111111111</v>
      </c>
      <c r="V114" s="1">
        <v>11111111111</v>
      </c>
      <c r="W114" s="1" t="s">
        <v>514</v>
      </c>
      <c r="X114" s="1" t="s">
        <v>515</v>
      </c>
      <c r="Y114" s="1" t="s">
        <v>45</v>
      </c>
      <c r="Z114" s="1" t="s">
        <v>46</v>
      </c>
      <c r="AA114" s="1" t="s">
        <v>47</v>
      </c>
      <c r="AB114" s="1" t="s">
        <v>37</v>
      </c>
      <c r="AC114" s="1" t="s">
        <v>37</v>
      </c>
      <c r="AD114" s="1" t="s">
        <v>39</v>
      </c>
      <c r="AE114" s="1" t="s">
        <v>37</v>
      </c>
      <c r="AF114" s="1" t="s">
        <v>37</v>
      </c>
      <c r="AG114" s="1" t="s">
        <v>37</v>
      </c>
      <c r="AH114" s="1" t="s">
        <v>37</v>
      </c>
      <c r="AI114" s="1" t="s">
        <v>39</v>
      </c>
      <c r="AJ114" s="1" t="s">
        <v>39</v>
      </c>
      <c r="AK114" s="1" t="str">
        <f t="shared" si="3"/>
        <v>Apenas Pilar 3</v>
      </c>
      <c r="AL114" s="1" t="str">
        <f>+IF(IFERROR(VLOOKUP(A114,Ficheiros!I:I,1,FALSE),"")=A114,"Sim","Não")</f>
        <v>Não</v>
      </c>
      <c r="AM114" s="1" t="str">
        <f>+IF(IFERROR(VLOOKUP(A114,Ficheiros!E:E,1,FALSE),"")=A114,"Sim","Não")</f>
        <v>Sim</v>
      </c>
      <c r="AN114" s="1" t="str">
        <f>+IF(IFERROR(VLOOKUP(A114,Ficheiros!O:O,1,FALSE),"")=A114,"Sim","Não")</f>
        <v>Sim</v>
      </c>
      <c r="AO114" s="1" t="str">
        <f>+IF(IFERROR(VLOOKUP(A114,'Especificação Novos Req. LT (2'!A:A,1,FALSE),"")=A114,"Sim","Não")</f>
        <v>Não</v>
      </c>
      <c r="AP114" s="1" t="str">
        <f>+IF(IFERROR(VLOOKUP(A114,Ficheiros!T:T,1,FALSE),"")=A114,"Sim","Não")</f>
        <v>Não</v>
      </c>
      <c r="AQ114" s="1" t="str">
        <f>+VLOOKUP(A114,Ficheiros!O:P,2,FALSE)</f>
        <v>1. Concluído</v>
      </c>
      <c r="AR114" s="1" t="e">
        <f>+VLOOKUP(A114,Ficheiros!R:S,3,FALSE)</f>
        <v>#N/A</v>
      </c>
      <c r="AS114" s="1" t="e">
        <f>+VLOOKUP(A114,Ficheiros!T:V,3,FALSE)</f>
        <v>#N/A</v>
      </c>
      <c r="AT114" s="1"/>
      <c r="AU114" s="1"/>
      <c r="AV114" s="1"/>
      <c r="AW114" s="1"/>
      <c r="AX114" s="1"/>
    </row>
    <row r="115" spans="1:50" ht="14.5" hidden="1" customHeight="1" x14ac:dyDescent="0.35">
      <c r="A115" s="5" t="str">
        <f t="shared" si="2"/>
        <v>ENTITYTRNSTNL_TRNVR</v>
      </c>
      <c r="B115" s="1" t="s">
        <v>516</v>
      </c>
      <c r="C115" s="1" t="s">
        <v>35</v>
      </c>
      <c r="D115" s="1" t="s">
        <v>49</v>
      </c>
      <c r="E115" s="1" t="s">
        <v>37</v>
      </c>
      <c r="F115" s="25" t="s">
        <v>517</v>
      </c>
      <c r="G115" s="1" t="s">
        <v>517</v>
      </c>
      <c r="H115" s="1" t="s">
        <v>37</v>
      </c>
      <c r="I115" s="1" t="s">
        <v>37</v>
      </c>
      <c r="J115" s="1" t="s">
        <v>37</v>
      </c>
      <c r="K115" s="1" t="s">
        <v>39</v>
      </c>
      <c r="L115" s="1" t="s">
        <v>39</v>
      </c>
      <c r="M115" s="1" t="s">
        <v>39</v>
      </c>
      <c r="N115" s="1" t="s">
        <v>37</v>
      </c>
      <c r="O115" s="1"/>
      <c r="P115" s="1"/>
      <c r="Q115" s="1"/>
      <c r="R115" s="1" t="s">
        <v>342</v>
      </c>
      <c r="S115" s="1" t="s">
        <v>274</v>
      </c>
      <c r="T115" s="1">
        <v>99999999999</v>
      </c>
      <c r="U115" s="1">
        <v>11111111111</v>
      </c>
      <c r="V115" s="1">
        <v>11111111111</v>
      </c>
      <c r="W115" s="1" t="s">
        <v>518</v>
      </c>
      <c r="X115" s="1" t="s">
        <v>519</v>
      </c>
      <c r="Y115" s="1" t="s">
        <v>45</v>
      </c>
      <c r="Z115" s="1" t="s">
        <v>46</v>
      </c>
      <c r="AA115" s="1" t="s">
        <v>47</v>
      </c>
      <c r="AB115" s="1" t="s">
        <v>37</v>
      </c>
      <c r="AC115" s="1" t="s">
        <v>37</v>
      </c>
      <c r="AD115" s="1" t="s">
        <v>39</v>
      </c>
      <c r="AE115" s="1" t="s">
        <v>37</v>
      </c>
      <c r="AF115" s="1" t="s">
        <v>37</v>
      </c>
      <c r="AG115" s="1" t="s">
        <v>37</v>
      </c>
      <c r="AH115" s="1" t="s">
        <v>37</v>
      </c>
      <c r="AI115" s="1" t="s">
        <v>39</v>
      </c>
      <c r="AJ115" s="1" t="s">
        <v>39</v>
      </c>
      <c r="AK115" s="1" t="str">
        <f t="shared" si="3"/>
        <v>Apenas Pilar 3</v>
      </c>
      <c r="AL115" s="1" t="str">
        <f>+IF(IFERROR(VLOOKUP(A115,Ficheiros!I:I,1,FALSE),"")=A115,"Sim","Não")</f>
        <v>Não</v>
      </c>
      <c r="AM115" s="1" t="str">
        <f>+IF(IFERROR(VLOOKUP(A115,Ficheiros!E:E,1,FALSE),"")=A115,"Sim","Não")</f>
        <v>Sim</v>
      </c>
      <c r="AN115" s="1" t="str">
        <f>+IF(IFERROR(VLOOKUP(A115,Ficheiros!O:O,1,FALSE),"")=A115,"Sim","Não")</f>
        <v>Sim</v>
      </c>
      <c r="AO115" s="1" t="str">
        <f>+IF(IFERROR(VLOOKUP(A115,'Especificação Novos Req. LT (2'!A:A,1,FALSE),"")=A115,"Sim","Não")</f>
        <v>Não</v>
      </c>
      <c r="AP115" s="1" t="str">
        <f>+IF(IFERROR(VLOOKUP(A115,Ficheiros!T:T,1,FALSE),"")=A115,"Sim","Não")</f>
        <v>Não</v>
      </c>
      <c r="AQ115" s="1" t="str">
        <f>+VLOOKUP(A115,Ficheiros!O:P,2,FALSE)</f>
        <v>1. Concluído</v>
      </c>
      <c r="AR115" s="1" t="e">
        <f>+VLOOKUP(A115,Ficheiros!R:S,3,FALSE)</f>
        <v>#N/A</v>
      </c>
      <c r="AS115" s="1" t="e">
        <f>+VLOOKUP(A115,Ficheiros!T:V,3,FALSE)</f>
        <v>#N/A</v>
      </c>
      <c r="AT115" s="1"/>
      <c r="AU115" s="1"/>
      <c r="AV115" s="1"/>
      <c r="AW115" s="1"/>
      <c r="AX115" s="1"/>
    </row>
    <row r="116" spans="1:50" ht="14.5" hidden="1" customHeight="1" x14ac:dyDescent="0.35">
      <c r="A116" s="5" t="str">
        <f t="shared" si="2"/>
        <v>ENTITYPURE_TRNVR_CCM</v>
      </c>
      <c r="B116" s="1" t="s">
        <v>520</v>
      </c>
      <c r="C116" s="1" t="s">
        <v>35</v>
      </c>
      <c r="D116" s="1" t="s">
        <v>49</v>
      </c>
      <c r="E116" s="1" t="s">
        <v>37</v>
      </c>
      <c r="F116" s="25" t="s">
        <v>521</v>
      </c>
      <c r="G116" s="1" t="s">
        <v>521</v>
      </c>
      <c r="H116" s="1" t="s">
        <v>37</v>
      </c>
      <c r="I116" s="1" t="s">
        <v>37</v>
      </c>
      <c r="J116" s="1" t="s">
        <v>37</v>
      </c>
      <c r="K116" s="1" t="s">
        <v>39</v>
      </c>
      <c r="L116" s="1" t="s">
        <v>39</v>
      </c>
      <c r="M116" s="1" t="s">
        <v>39</v>
      </c>
      <c r="N116" s="1" t="s">
        <v>37</v>
      </c>
      <c r="O116" s="1"/>
      <c r="P116" s="1"/>
      <c r="Q116" s="1"/>
      <c r="R116" s="1" t="s">
        <v>342</v>
      </c>
      <c r="S116" s="1" t="s">
        <v>274</v>
      </c>
      <c r="T116" s="1">
        <v>99999999999</v>
      </c>
      <c r="U116" s="1">
        <v>11111111111</v>
      </c>
      <c r="V116" s="1">
        <v>11111111111</v>
      </c>
      <c r="W116" s="1" t="s">
        <v>522</v>
      </c>
      <c r="X116" s="1" t="s">
        <v>523</v>
      </c>
      <c r="Y116" s="1" t="s">
        <v>45</v>
      </c>
      <c r="Z116" s="1" t="s">
        <v>46</v>
      </c>
      <c r="AA116" s="1" t="s">
        <v>47</v>
      </c>
      <c r="AB116" s="1" t="s">
        <v>37</v>
      </c>
      <c r="AC116" s="1" t="s">
        <v>37</v>
      </c>
      <c r="AD116" s="1" t="s">
        <v>39</v>
      </c>
      <c r="AE116" s="1" t="s">
        <v>37</v>
      </c>
      <c r="AF116" s="1" t="s">
        <v>37</v>
      </c>
      <c r="AG116" s="1" t="s">
        <v>37</v>
      </c>
      <c r="AH116" s="1" t="s">
        <v>37</v>
      </c>
      <c r="AI116" s="1" t="s">
        <v>39</v>
      </c>
      <c r="AJ116" s="1" t="s">
        <v>39</v>
      </c>
      <c r="AK116" s="1" t="str">
        <f t="shared" si="3"/>
        <v>Apenas Pilar 3</v>
      </c>
      <c r="AL116" s="1" t="str">
        <f>+IF(IFERROR(VLOOKUP(A116,Ficheiros!I:I,1,FALSE),"")=A116,"Sim","Não")</f>
        <v>Não</v>
      </c>
      <c r="AM116" s="1" t="str">
        <f>+IF(IFERROR(VLOOKUP(A116,Ficheiros!E:E,1,FALSE),"")=A116,"Sim","Não")</f>
        <v>Sim</v>
      </c>
      <c r="AN116" s="1" t="str">
        <f>+IF(IFERROR(VLOOKUP(A116,Ficheiros!O:O,1,FALSE),"")=A116,"Sim","Não")</f>
        <v>Sim</v>
      </c>
      <c r="AO116" s="1" t="str">
        <f>+IF(IFERROR(VLOOKUP(A116,'Especificação Novos Req. LT (2'!A:A,1,FALSE),"")=A116,"Sim","Não")</f>
        <v>Não</v>
      </c>
      <c r="AP116" s="1" t="str">
        <f>+IF(IFERROR(VLOOKUP(A116,Ficheiros!T:T,1,FALSE),"")=A116,"Sim","Não")</f>
        <v>Não</v>
      </c>
      <c r="AQ116" s="1" t="str">
        <f>+VLOOKUP(A116,Ficheiros!O:P,2,FALSE)</f>
        <v>1. Concluído</v>
      </c>
      <c r="AR116" s="1" t="e">
        <f>+VLOOKUP(A116,Ficheiros!R:S,3,FALSE)</f>
        <v>#N/A</v>
      </c>
      <c r="AS116" s="1" t="e">
        <f>+VLOOKUP(A116,Ficheiros!T:V,3,FALSE)</f>
        <v>#N/A</v>
      </c>
      <c r="AT116" s="1"/>
      <c r="AU116" s="1"/>
      <c r="AV116" s="1"/>
      <c r="AW116" s="1"/>
      <c r="AX116" s="1"/>
    </row>
    <row r="117" spans="1:50" ht="14.5" hidden="1" customHeight="1" x14ac:dyDescent="0.35">
      <c r="A117" s="5" t="str">
        <f t="shared" si="2"/>
        <v>ENTITYPURE_TRNVR_CCA</v>
      </c>
      <c r="B117" s="1" t="s">
        <v>524</v>
      </c>
      <c r="C117" s="1" t="s">
        <v>35</v>
      </c>
      <c r="D117" s="1" t="s">
        <v>49</v>
      </c>
      <c r="E117" s="1" t="s">
        <v>37</v>
      </c>
      <c r="F117" s="25" t="s">
        <v>525</v>
      </c>
      <c r="G117" s="1" t="s">
        <v>525</v>
      </c>
      <c r="H117" s="1" t="s">
        <v>37</v>
      </c>
      <c r="I117" s="1" t="s">
        <v>37</v>
      </c>
      <c r="J117" s="1" t="s">
        <v>37</v>
      </c>
      <c r="K117" s="1" t="s">
        <v>39</v>
      </c>
      <c r="L117" s="1" t="s">
        <v>39</v>
      </c>
      <c r="M117" s="1" t="s">
        <v>39</v>
      </c>
      <c r="N117" s="1" t="s">
        <v>37</v>
      </c>
      <c r="O117" s="1"/>
      <c r="P117" s="1"/>
      <c r="Q117" s="1"/>
      <c r="R117" s="1" t="s">
        <v>342</v>
      </c>
      <c r="S117" s="1" t="s">
        <v>274</v>
      </c>
      <c r="T117" s="1">
        <v>99999999999</v>
      </c>
      <c r="U117" s="1">
        <v>11111111111</v>
      </c>
      <c r="V117" s="1">
        <v>11111111111</v>
      </c>
      <c r="W117" s="1" t="s">
        <v>526</v>
      </c>
      <c r="X117" s="1" t="s">
        <v>527</v>
      </c>
      <c r="Y117" s="1" t="s">
        <v>45</v>
      </c>
      <c r="Z117" s="1" t="s">
        <v>46</v>
      </c>
      <c r="AA117" s="1" t="s">
        <v>47</v>
      </c>
      <c r="AB117" s="1" t="s">
        <v>37</v>
      </c>
      <c r="AC117" s="1" t="s">
        <v>37</v>
      </c>
      <c r="AD117" s="1" t="s">
        <v>39</v>
      </c>
      <c r="AE117" s="1" t="s">
        <v>37</v>
      </c>
      <c r="AF117" s="1" t="s">
        <v>37</v>
      </c>
      <c r="AG117" s="1" t="s">
        <v>37</v>
      </c>
      <c r="AH117" s="1" t="s">
        <v>37</v>
      </c>
      <c r="AI117" s="1" t="s">
        <v>39</v>
      </c>
      <c r="AJ117" s="1" t="s">
        <v>39</v>
      </c>
      <c r="AK117" s="1" t="str">
        <f t="shared" si="3"/>
        <v>Apenas Pilar 3</v>
      </c>
      <c r="AL117" s="1" t="str">
        <f>+IF(IFERROR(VLOOKUP(A117,Ficheiros!I:I,1,FALSE),"")=A117,"Sim","Não")</f>
        <v>Não</v>
      </c>
      <c r="AM117" s="1" t="str">
        <f>+IF(IFERROR(VLOOKUP(A117,Ficheiros!E:E,1,FALSE),"")=A117,"Sim","Não")</f>
        <v>Sim</v>
      </c>
      <c r="AN117" s="1" t="str">
        <f>+IF(IFERROR(VLOOKUP(A117,Ficheiros!O:O,1,FALSE),"")=A117,"Sim","Não")</f>
        <v>Sim</v>
      </c>
      <c r="AO117" s="1" t="str">
        <f>+IF(IFERROR(VLOOKUP(A117,'Especificação Novos Req. LT (2'!A:A,1,FALSE),"")=A117,"Sim","Não")</f>
        <v>Não</v>
      </c>
      <c r="AP117" s="1" t="str">
        <f>+IF(IFERROR(VLOOKUP(A117,Ficheiros!T:T,1,FALSE),"")=A117,"Sim","Não")</f>
        <v>Não</v>
      </c>
      <c r="AQ117" s="1" t="str">
        <f>+VLOOKUP(A117,Ficheiros!O:P,2,FALSE)</f>
        <v>1. Concluído</v>
      </c>
      <c r="AR117" s="1" t="e">
        <f>+VLOOKUP(A117,Ficheiros!R:S,3,FALSE)</f>
        <v>#N/A</v>
      </c>
      <c r="AS117" s="1" t="e">
        <f>+VLOOKUP(A117,Ficheiros!T:V,3,FALSE)</f>
        <v>#N/A</v>
      </c>
      <c r="AT117" s="1"/>
      <c r="AU117" s="1"/>
      <c r="AV117" s="1"/>
      <c r="AW117" s="1"/>
      <c r="AX117" s="1"/>
    </row>
    <row r="118" spans="1:50" ht="14.5" hidden="1" customHeight="1" x14ac:dyDescent="0.35">
      <c r="A118" s="5" t="str">
        <f t="shared" si="2"/>
        <v>ENTITYFLG_NFRD_APPLCBLTY</v>
      </c>
      <c r="B118" s="1" t="s">
        <v>528</v>
      </c>
      <c r="C118" s="1" t="s">
        <v>35</v>
      </c>
      <c r="D118" s="1" t="s">
        <v>134</v>
      </c>
      <c r="E118" s="1" t="s">
        <v>37</v>
      </c>
      <c r="F118" s="25" t="s">
        <v>529</v>
      </c>
      <c r="G118" s="42" t="s">
        <v>2440</v>
      </c>
      <c r="H118" s="24" t="s">
        <v>37</v>
      </c>
      <c r="I118" s="24" t="s">
        <v>37</v>
      </c>
      <c r="J118" s="24" t="s">
        <v>37</v>
      </c>
      <c r="K118" s="24" t="s">
        <v>39</v>
      </c>
      <c r="L118" s="24" t="s">
        <v>39</v>
      </c>
      <c r="M118" s="24" t="s">
        <v>39</v>
      </c>
      <c r="N118" s="24" t="s">
        <v>37</v>
      </c>
      <c r="O118" s="1"/>
      <c r="P118" s="1"/>
      <c r="Q118" s="1"/>
      <c r="R118" s="1" t="s">
        <v>141</v>
      </c>
      <c r="S118" s="1" t="s">
        <v>142</v>
      </c>
      <c r="T118" s="1" t="s">
        <v>53</v>
      </c>
      <c r="U118" s="1" t="s">
        <v>42</v>
      </c>
      <c r="V118" s="1" t="s">
        <v>46</v>
      </c>
      <c r="W118" s="1" t="s">
        <v>530</v>
      </c>
      <c r="X118" s="1" t="s">
        <v>531</v>
      </c>
      <c r="Y118" s="1" t="s">
        <v>45</v>
      </c>
      <c r="Z118" s="1" t="s">
        <v>46</v>
      </c>
      <c r="AA118" s="1" t="s">
        <v>47</v>
      </c>
      <c r="AB118" s="1" t="s">
        <v>37</v>
      </c>
      <c r="AC118" s="37" t="s">
        <v>37</v>
      </c>
      <c r="AD118" s="1" t="s">
        <v>39</v>
      </c>
      <c r="AE118" s="1" t="s">
        <v>37</v>
      </c>
      <c r="AF118" s="1" t="s">
        <v>39</v>
      </c>
      <c r="AG118" s="1" t="s">
        <v>37</v>
      </c>
      <c r="AH118" s="1" t="s">
        <v>37</v>
      </c>
      <c r="AI118" s="1" t="s">
        <v>39</v>
      </c>
      <c r="AJ118" s="1" t="s">
        <v>39</v>
      </c>
      <c r="AK118" s="1" t="str">
        <f t="shared" si="3"/>
        <v>Comum</v>
      </c>
      <c r="AL118" s="1" t="str">
        <f>+IF(IFERROR(VLOOKUP(A118,Ficheiros!I:I,1,FALSE),"")=A118,"Sim","Não")</f>
        <v>Não</v>
      </c>
      <c r="AM118" s="1" t="str">
        <f>+IF(IFERROR(VLOOKUP(A118,Ficheiros!E:E,1,FALSE),"")=A118,"Sim","Não")</f>
        <v>Sim</v>
      </c>
      <c r="AN118" s="1" t="str">
        <f>+IF(IFERROR(VLOOKUP(A118,Ficheiros!O:O,1,FALSE),"")=A118,"Sim","Não")</f>
        <v>Sim</v>
      </c>
      <c r="AO118" s="1" t="str">
        <f>+IF(IFERROR(VLOOKUP(A118,'Especificação Novos Req. LT (2'!A:A,1,FALSE),"")=A118,"Sim","Não")</f>
        <v>Não</v>
      </c>
      <c r="AP118" s="1" t="str">
        <f>+IF(IFERROR(VLOOKUP(A118,Ficheiros!T:T,1,FALSE),"")=A118,"Sim","Não")</f>
        <v>Não</v>
      </c>
      <c r="AQ118" s="1" t="str">
        <f>+VLOOKUP(A118,Ficheiros!O:P,2,FALSE)</f>
        <v>1. Concluído</v>
      </c>
      <c r="AR118" s="1" t="e">
        <f>+VLOOKUP(A118,Ficheiros!R:S,3,FALSE)</f>
        <v>#N/A</v>
      </c>
      <c r="AS118" s="1" t="e">
        <f>+VLOOKUP(A118,Ficheiros!T:V,3,FALSE)</f>
        <v>#N/A</v>
      </c>
      <c r="AT118" s="1"/>
      <c r="AU118" s="1"/>
      <c r="AV118" s="1"/>
      <c r="AW118" s="1"/>
      <c r="AX118" s="1"/>
    </row>
    <row r="119" spans="1:50" ht="14.5" hidden="1" customHeight="1" x14ac:dyDescent="0.35">
      <c r="A119" s="5" t="str">
        <f t="shared" si="2"/>
        <v>ENTITYFLG_GRP_NFRD_APPLCBLTY</v>
      </c>
      <c r="B119" s="1" t="s">
        <v>532</v>
      </c>
      <c r="C119" s="1" t="s">
        <v>35</v>
      </c>
      <c r="D119" s="1" t="s">
        <v>134</v>
      </c>
      <c r="E119" s="1" t="s">
        <v>37</v>
      </c>
      <c r="F119" s="25" t="s">
        <v>533</v>
      </c>
      <c r="G119" s="42" t="s">
        <v>2444</v>
      </c>
      <c r="H119" s="24" t="s">
        <v>37</v>
      </c>
      <c r="I119" s="24" t="s">
        <v>37</v>
      </c>
      <c r="J119" s="24" t="s">
        <v>37</v>
      </c>
      <c r="K119" s="24" t="s">
        <v>39</v>
      </c>
      <c r="L119" s="24" t="s">
        <v>39</v>
      </c>
      <c r="M119" s="24" t="s">
        <v>39</v>
      </c>
      <c r="N119" s="24" t="s">
        <v>37</v>
      </c>
      <c r="O119" s="1"/>
      <c r="P119" s="1"/>
      <c r="Q119" s="1"/>
      <c r="R119" s="1" t="s">
        <v>141</v>
      </c>
      <c r="S119" s="1" t="s">
        <v>142</v>
      </c>
      <c r="T119" s="1" t="s">
        <v>53</v>
      </c>
      <c r="U119" s="1" t="s">
        <v>42</v>
      </c>
      <c r="V119" s="1" t="s">
        <v>46</v>
      </c>
      <c r="W119" s="1" t="s">
        <v>534</v>
      </c>
      <c r="X119" s="1" t="s">
        <v>535</v>
      </c>
      <c r="Y119" s="1" t="s">
        <v>45</v>
      </c>
      <c r="Z119" s="1" t="s">
        <v>46</v>
      </c>
      <c r="AA119" s="1" t="s">
        <v>47</v>
      </c>
      <c r="AB119" s="1" t="s">
        <v>37</v>
      </c>
      <c r="AC119" s="37" t="s">
        <v>37</v>
      </c>
      <c r="AD119" s="1" t="s">
        <v>39</v>
      </c>
      <c r="AE119" s="1" t="s">
        <v>37</v>
      </c>
      <c r="AF119" s="1" t="s">
        <v>39</v>
      </c>
      <c r="AG119" s="1" t="s">
        <v>37</v>
      </c>
      <c r="AH119" s="1" t="s">
        <v>37</v>
      </c>
      <c r="AI119" s="1" t="s">
        <v>39</v>
      </c>
      <c r="AJ119" s="1" t="s">
        <v>39</v>
      </c>
      <c r="AK119" s="1" t="str">
        <f t="shared" si="3"/>
        <v>Comum</v>
      </c>
      <c r="AL119" s="1" t="str">
        <f>+IF(IFERROR(VLOOKUP(A119,Ficheiros!I:I,1,FALSE),"")=A119,"Sim","Não")</f>
        <v>Não</v>
      </c>
      <c r="AM119" s="1" t="str">
        <f>+IF(IFERROR(VLOOKUP(A119,Ficheiros!E:E,1,FALSE),"")=A119,"Sim","Não")</f>
        <v>Sim</v>
      </c>
      <c r="AN119" s="1" t="str">
        <f>+IF(IFERROR(VLOOKUP(A119,Ficheiros!O:O,1,FALSE),"")=A119,"Sim","Não")</f>
        <v>Sim</v>
      </c>
      <c r="AO119" s="1" t="str">
        <f>+IF(IFERROR(VLOOKUP(A119,'Especificação Novos Req. LT (2'!A:A,1,FALSE),"")=A119,"Sim","Não")</f>
        <v>Não</v>
      </c>
      <c r="AP119" s="1" t="str">
        <f>+IF(IFERROR(VLOOKUP(A119,Ficheiros!T:T,1,FALSE),"")=A119,"Sim","Não")</f>
        <v>Não</v>
      </c>
      <c r="AQ119" s="1" t="str">
        <f>+VLOOKUP(A119,Ficheiros!O:P,2,FALSE)</f>
        <v>1. Concluído</v>
      </c>
      <c r="AR119" s="1" t="e">
        <f>+VLOOKUP(A119,Ficheiros!R:S,3,FALSE)</f>
        <v>#N/A</v>
      </c>
      <c r="AS119" s="1" t="e">
        <f>+VLOOKUP(A119,Ficheiros!T:V,3,FALSE)</f>
        <v>#N/A</v>
      </c>
      <c r="AT119" s="1"/>
      <c r="AU119" s="1"/>
      <c r="AV119" s="1"/>
      <c r="AW119" s="1"/>
      <c r="AX119" s="1"/>
    </row>
    <row r="120" spans="1:50" ht="14.5" hidden="1" customHeight="1" x14ac:dyDescent="0.35">
      <c r="A120" s="5" t="str">
        <f t="shared" si="2"/>
        <v>ENTITYISIN</v>
      </c>
      <c r="B120" s="1" t="s">
        <v>536</v>
      </c>
      <c r="C120" s="1" t="s">
        <v>35</v>
      </c>
      <c r="D120" s="1" t="s">
        <v>537</v>
      </c>
      <c r="E120" s="1" t="s">
        <v>37</v>
      </c>
      <c r="F120" s="25" t="s">
        <v>538</v>
      </c>
      <c r="G120" s="1" t="s">
        <v>538</v>
      </c>
      <c r="H120" s="1" t="s">
        <v>37</v>
      </c>
      <c r="I120" s="1" t="s">
        <v>39</v>
      </c>
      <c r="J120" s="1" t="s">
        <v>37</v>
      </c>
      <c r="K120" s="1" t="s">
        <v>39</v>
      </c>
      <c r="L120" s="1" t="s">
        <v>37</v>
      </c>
      <c r="M120" s="1" t="s">
        <v>39</v>
      </c>
      <c r="N120" s="1" t="s">
        <v>37</v>
      </c>
      <c r="O120" s="1"/>
      <c r="P120" s="1"/>
      <c r="Q120" s="1"/>
      <c r="R120" s="1" t="s">
        <v>539</v>
      </c>
      <c r="S120" s="1" t="s">
        <v>41</v>
      </c>
      <c r="T120" s="1" t="s">
        <v>53</v>
      </c>
      <c r="U120" s="1" t="s">
        <v>46</v>
      </c>
      <c r="V120" s="1" t="s">
        <v>46</v>
      </c>
      <c r="W120" s="1" t="s">
        <v>538</v>
      </c>
      <c r="X120" s="1" t="s">
        <v>540</v>
      </c>
      <c r="Y120" s="1" t="s">
        <v>45</v>
      </c>
      <c r="Z120" s="1" t="s">
        <v>46</v>
      </c>
      <c r="AA120" s="1" t="s">
        <v>47</v>
      </c>
      <c r="AB120" s="1" t="s">
        <v>37</v>
      </c>
      <c r="AC120" s="1" t="s">
        <v>37</v>
      </c>
      <c r="AD120" s="1" t="s">
        <v>39</v>
      </c>
      <c r="AE120" s="1" t="s">
        <v>37</v>
      </c>
      <c r="AF120" s="1" t="s">
        <v>37</v>
      </c>
      <c r="AG120" s="1" t="s">
        <v>37</v>
      </c>
      <c r="AH120" s="1" t="s">
        <v>37</v>
      </c>
      <c r="AI120" s="1" t="s">
        <v>39</v>
      </c>
      <c r="AJ120" s="1" t="s">
        <v>39</v>
      </c>
      <c r="AK120" s="1" t="str">
        <f t="shared" si="3"/>
        <v>Apenas Pilar 3</v>
      </c>
      <c r="AL120" s="1" t="str">
        <f>+IF(IFERROR(VLOOKUP(A120,Ficheiros!I:I,1,FALSE),"")=A120,"Sim","Não")</f>
        <v>Não</v>
      </c>
      <c r="AM120" s="1" t="str">
        <f>+IF(IFERROR(VLOOKUP(A120,Ficheiros!E:E,1,FALSE),"")=A120,"Sim","Não")</f>
        <v>Sim</v>
      </c>
      <c r="AN120" s="1" t="str">
        <f>+IF(IFERROR(VLOOKUP(A120,Ficheiros!O:O,1,FALSE),"")=A120,"Sim","Não")</f>
        <v>Sim</v>
      </c>
      <c r="AO120" s="1" t="str">
        <f>+IF(IFERROR(VLOOKUP(A120,'Especificação Novos Req. LT (2'!A:A,1,FALSE),"")=A120,"Sim","Não")</f>
        <v>Não</v>
      </c>
      <c r="AP120" s="1" t="str">
        <f>+IF(IFERROR(VLOOKUP(A120,Ficheiros!T:T,1,FALSE),"")=A120,"Sim","Não")</f>
        <v>Não</v>
      </c>
      <c r="AQ120" s="1" t="str">
        <f>+VLOOKUP(A120,Ficheiros!O:P,2,FALSE)</f>
        <v>1. Concluído</v>
      </c>
      <c r="AR120" s="1" t="e">
        <f>+VLOOKUP(A120,Ficheiros!R:S,3,FALSE)</f>
        <v>#N/A</v>
      </c>
      <c r="AS120" s="1" t="e">
        <f>+VLOOKUP(A120,Ficheiros!T:V,3,FALSE)</f>
        <v>#N/A</v>
      </c>
      <c r="AT120" s="1"/>
      <c r="AU120" s="1"/>
      <c r="AV120" s="1"/>
      <c r="AW120" s="1"/>
      <c r="AX120" s="1"/>
    </row>
    <row r="121" spans="1:50" ht="14.5" hidden="1" customHeight="1" x14ac:dyDescent="0.35">
      <c r="A121" s="5" t="str">
        <f t="shared" si="2"/>
        <v>ENTITYGRP_ANNL_TRNVR_LE</v>
      </c>
      <c r="B121" s="1" t="s">
        <v>541</v>
      </c>
      <c r="C121" s="1" t="s">
        <v>35</v>
      </c>
      <c r="D121" s="1" t="s">
        <v>271</v>
      </c>
      <c r="E121" s="1" t="s">
        <v>37</v>
      </c>
      <c r="F121" s="25" t="s">
        <v>542</v>
      </c>
      <c r="G121" s="1" t="s">
        <v>542</v>
      </c>
      <c r="H121" s="1" t="s">
        <v>39</v>
      </c>
      <c r="I121" s="1" t="s">
        <v>39</v>
      </c>
      <c r="J121" s="1" t="s">
        <v>39</v>
      </c>
      <c r="K121" s="1" t="s">
        <v>39</v>
      </c>
      <c r="L121" s="1" t="s">
        <v>39</v>
      </c>
      <c r="M121" s="1" t="s">
        <v>39</v>
      </c>
      <c r="N121" s="1" t="s">
        <v>37</v>
      </c>
      <c r="O121" s="1"/>
      <c r="P121" s="1"/>
      <c r="Q121" s="1"/>
      <c r="R121" s="1" t="s">
        <v>273</v>
      </c>
      <c r="S121" s="1" t="s">
        <v>274</v>
      </c>
      <c r="T121" s="1">
        <v>99999999999</v>
      </c>
      <c r="U121" s="1">
        <v>11111111111</v>
      </c>
      <c r="V121" s="1">
        <v>11111111111</v>
      </c>
      <c r="W121" s="1" t="s">
        <v>543</v>
      </c>
      <c r="X121" s="1" t="s">
        <v>544</v>
      </c>
      <c r="Y121" s="1" t="s">
        <v>45</v>
      </c>
      <c r="Z121" s="1" t="s">
        <v>46</v>
      </c>
      <c r="AA121" s="1" t="s">
        <v>47</v>
      </c>
      <c r="AB121" s="1" t="s">
        <v>37</v>
      </c>
      <c r="AC121" s="1" t="s">
        <v>37</v>
      </c>
      <c r="AD121" s="1" t="s">
        <v>39</v>
      </c>
      <c r="AE121" s="1" t="s">
        <v>37</v>
      </c>
      <c r="AF121" s="1" t="s">
        <v>37</v>
      </c>
      <c r="AG121" s="1" t="s">
        <v>37</v>
      </c>
      <c r="AH121" s="1" t="s">
        <v>37</v>
      </c>
      <c r="AI121" s="1" t="s">
        <v>39</v>
      </c>
      <c r="AJ121" s="1" t="s">
        <v>39</v>
      </c>
      <c r="AK121" s="1" t="str">
        <f t="shared" si="3"/>
        <v>Apenas Pilar 3</v>
      </c>
      <c r="AL121" s="1" t="str">
        <f>+IF(IFERROR(VLOOKUP(A121,Ficheiros!I:I,1,FALSE),"")=A121,"Sim","Não")</f>
        <v>Não</v>
      </c>
      <c r="AM121" s="1" t="str">
        <f>+IF(IFERROR(VLOOKUP(A121,Ficheiros!E:E,1,FALSE),"")=A121,"Sim","Não")</f>
        <v>Sim</v>
      </c>
      <c r="AN121" s="1" t="str">
        <f>+IF(IFERROR(VLOOKUP(A121,Ficheiros!O:O,1,FALSE),"")=A121,"Sim","Não")</f>
        <v>Sim</v>
      </c>
      <c r="AO121" s="1" t="str">
        <f>+IF(IFERROR(VLOOKUP(A121,'Especificação Novos Req. LT (2'!A:A,1,FALSE),"")=A121,"Sim","Não")</f>
        <v>Não</v>
      </c>
      <c r="AP121" s="1" t="str">
        <f>+IF(IFERROR(VLOOKUP(A121,Ficheiros!T:T,1,FALSE),"")=A121,"Sim","Não")</f>
        <v>Não</v>
      </c>
      <c r="AQ121" s="1" t="str">
        <f>+VLOOKUP(A121,Ficheiros!O:P,2,FALSE)</f>
        <v>1. Concluído</v>
      </c>
      <c r="AR121" s="1" t="e">
        <f>+VLOOKUP(A121,Ficheiros!R:S,3,FALSE)</f>
        <v>#N/A</v>
      </c>
      <c r="AS121" s="1" t="e">
        <f>+VLOOKUP(A121,Ficheiros!T:V,3,FALSE)</f>
        <v>#N/A</v>
      </c>
      <c r="AT121" s="1"/>
      <c r="AU121" s="1"/>
      <c r="AV121" s="1"/>
      <c r="AW121" s="1"/>
      <c r="AX121" s="1"/>
    </row>
    <row r="122" spans="1:50" ht="14.5" hidden="1" customHeight="1" x14ac:dyDescent="0.35">
      <c r="A122" s="5" t="str">
        <f t="shared" si="2"/>
        <v>ENTITYGRP_TTL_LBLTY</v>
      </c>
      <c r="B122" s="1" t="s">
        <v>545</v>
      </c>
      <c r="C122" s="1" t="s">
        <v>35</v>
      </c>
      <c r="D122" s="1" t="s">
        <v>271</v>
      </c>
      <c r="E122" s="1" t="s">
        <v>37</v>
      </c>
      <c r="F122" s="25" t="s">
        <v>546</v>
      </c>
      <c r="G122" s="1" t="s">
        <v>546</v>
      </c>
      <c r="H122" s="1" t="s">
        <v>39</v>
      </c>
      <c r="I122" s="1" t="s">
        <v>39</v>
      </c>
      <c r="J122" s="1" t="s">
        <v>39</v>
      </c>
      <c r="K122" s="1" t="s">
        <v>39</v>
      </c>
      <c r="L122" s="1" t="s">
        <v>39</v>
      </c>
      <c r="M122" s="1" t="s">
        <v>39</v>
      </c>
      <c r="N122" s="1" t="s">
        <v>37</v>
      </c>
      <c r="O122" s="1"/>
      <c r="P122" s="1"/>
      <c r="Q122" s="1"/>
      <c r="R122" s="1" t="s">
        <v>273</v>
      </c>
      <c r="S122" s="1" t="s">
        <v>274</v>
      </c>
      <c r="T122" s="1">
        <v>99999999999</v>
      </c>
      <c r="U122" s="1">
        <v>11111111111</v>
      </c>
      <c r="V122" s="1">
        <v>11111111111</v>
      </c>
      <c r="W122" s="1" t="s">
        <v>547</v>
      </c>
      <c r="X122" s="1" t="s">
        <v>548</v>
      </c>
      <c r="Y122" s="1" t="s">
        <v>45</v>
      </c>
      <c r="Z122" s="1" t="s">
        <v>46</v>
      </c>
      <c r="AA122" s="1" t="s">
        <v>47</v>
      </c>
      <c r="AB122" s="1" t="s">
        <v>37</v>
      </c>
      <c r="AC122" s="1" t="s">
        <v>37</v>
      </c>
      <c r="AD122" s="1" t="s">
        <v>39</v>
      </c>
      <c r="AE122" s="1" t="s">
        <v>37</v>
      </c>
      <c r="AF122" s="1" t="s">
        <v>37</v>
      </c>
      <c r="AG122" s="1" t="s">
        <v>37</v>
      </c>
      <c r="AH122" s="1" t="s">
        <v>37</v>
      </c>
      <c r="AI122" s="1" t="s">
        <v>39</v>
      </c>
      <c r="AJ122" s="1" t="s">
        <v>39</v>
      </c>
      <c r="AK122" s="1" t="str">
        <f t="shared" si="3"/>
        <v>Apenas Pilar 3</v>
      </c>
      <c r="AL122" s="1" t="str">
        <f>+IF(IFERROR(VLOOKUP(A122,Ficheiros!I:I,1,FALSE),"")=A122,"Sim","Não")</f>
        <v>Não</v>
      </c>
      <c r="AM122" s="1" t="str">
        <f>+IF(IFERROR(VLOOKUP(A122,Ficheiros!E:E,1,FALSE),"")=A122,"Sim","Não")</f>
        <v>Sim</v>
      </c>
      <c r="AN122" s="1" t="str">
        <f>+IF(IFERROR(VLOOKUP(A122,Ficheiros!O:O,1,FALSE),"")=A122,"Sim","Não")</f>
        <v>Sim</v>
      </c>
      <c r="AO122" s="1" t="str">
        <f>+IF(IFERROR(VLOOKUP(A122,'Especificação Novos Req. LT (2'!A:A,1,FALSE),"")=A122,"Sim","Não")</f>
        <v>Não</v>
      </c>
      <c r="AP122" s="1" t="str">
        <f>+IF(IFERROR(VLOOKUP(A122,Ficheiros!T:T,1,FALSE),"")=A122,"Sim","Não")</f>
        <v>Não</v>
      </c>
      <c r="AQ122" s="1" t="str">
        <f>+VLOOKUP(A122,Ficheiros!O:P,2,FALSE)</f>
        <v>1. Concluído</v>
      </c>
      <c r="AR122" s="1" t="e">
        <f>+VLOOKUP(A122,Ficheiros!R:S,3,FALSE)</f>
        <v>#N/A</v>
      </c>
      <c r="AS122" s="1" t="e">
        <f>+VLOOKUP(A122,Ficheiros!T:V,3,FALSE)</f>
        <v>#N/A</v>
      </c>
      <c r="AT122" s="1"/>
      <c r="AU122" s="1"/>
      <c r="AV122" s="1"/>
      <c r="AW122" s="1"/>
      <c r="AX122" s="1"/>
    </row>
    <row r="123" spans="1:50" ht="14.5" hidden="1" customHeight="1" x14ac:dyDescent="0.35">
      <c r="A123" s="5" t="str">
        <f t="shared" si="2"/>
        <v>ENTITYCNTRPRTY_EMSSNS_SCP1</v>
      </c>
      <c r="B123" s="1" t="s">
        <v>549</v>
      </c>
      <c r="C123" s="1" t="s">
        <v>35</v>
      </c>
      <c r="D123" s="1" t="s">
        <v>49</v>
      </c>
      <c r="E123" s="1" t="s">
        <v>37</v>
      </c>
      <c r="F123" s="25" t="s">
        <v>550</v>
      </c>
      <c r="G123" s="42" t="s">
        <v>550</v>
      </c>
      <c r="H123" s="24" t="s">
        <v>37</v>
      </c>
      <c r="I123" s="24" t="s">
        <v>37</v>
      </c>
      <c r="J123" s="24" t="s">
        <v>37</v>
      </c>
      <c r="K123" s="24" t="s">
        <v>37</v>
      </c>
      <c r="L123" s="24" t="s">
        <v>37</v>
      </c>
      <c r="M123" s="24" t="s">
        <v>39</v>
      </c>
      <c r="N123" s="24" t="s">
        <v>37</v>
      </c>
      <c r="O123" s="1"/>
      <c r="P123" s="1"/>
      <c r="Q123" s="1"/>
      <c r="R123" s="1" t="s">
        <v>342</v>
      </c>
      <c r="S123" s="1" t="s">
        <v>274</v>
      </c>
      <c r="T123" s="1">
        <v>99999999999</v>
      </c>
      <c r="U123" s="1">
        <v>11111111111</v>
      </c>
      <c r="V123" s="1">
        <v>11111111111</v>
      </c>
      <c r="W123" s="1" t="s">
        <v>551</v>
      </c>
      <c r="X123" s="1" t="s">
        <v>552</v>
      </c>
      <c r="Y123" s="1" t="s">
        <v>45</v>
      </c>
      <c r="Z123" s="1" t="s">
        <v>46</v>
      </c>
      <c r="AA123" s="1" t="s">
        <v>47</v>
      </c>
      <c r="AB123" s="1" t="s">
        <v>37</v>
      </c>
      <c r="AC123" s="37" t="s">
        <v>37</v>
      </c>
      <c r="AD123" s="1" t="s">
        <v>39</v>
      </c>
      <c r="AE123" s="1" t="s">
        <v>37</v>
      </c>
      <c r="AF123" s="1" t="s">
        <v>39</v>
      </c>
      <c r="AG123" s="1" t="s">
        <v>37</v>
      </c>
      <c r="AH123" s="1" t="s">
        <v>37</v>
      </c>
      <c r="AI123" s="1" t="s">
        <v>39</v>
      </c>
      <c r="AJ123" s="1" t="s">
        <v>39</v>
      </c>
      <c r="AK123" s="1" t="str">
        <f t="shared" si="3"/>
        <v>Comum</v>
      </c>
      <c r="AL123" s="1" t="str">
        <f>+IF(IFERROR(VLOOKUP(A123,Ficheiros!I:I,1,FALSE),"")=A123,"Sim","Não")</f>
        <v>Não</v>
      </c>
      <c r="AM123" s="1" t="str">
        <f>+IF(IFERROR(VLOOKUP(A123,Ficheiros!E:E,1,FALSE),"")=A123,"Sim","Não")</f>
        <v>Sim</v>
      </c>
      <c r="AN123" s="1" t="str">
        <f>+IF(IFERROR(VLOOKUP(A123,Ficheiros!O:O,1,FALSE),"")=A123,"Sim","Não")</f>
        <v>Sim</v>
      </c>
      <c r="AO123" s="1" t="str">
        <f>+IF(IFERROR(VLOOKUP(A123,'Especificação Novos Req. LT (2'!A:A,1,FALSE),"")=A123,"Sim","Não")</f>
        <v>Não</v>
      </c>
      <c r="AP123" s="1" t="str">
        <f>+IF(IFERROR(VLOOKUP(A123,Ficheiros!T:T,1,FALSE),"")=A123,"Sim","Não")</f>
        <v>Não</v>
      </c>
      <c r="AQ123" s="1" t="str">
        <f>+VLOOKUP(A123,Ficheiros!O:P,2,FALSE)</f>
        <v>1. Concluído</v>
      </c>
      <c r="AR123" s="1" t="e">
        <f>+VLOOKUP(A123,Ficheiros!R:S,3,FALSE)</f>
        <v>#N/A</v>
      </c>
      <c r="AS123" s="1" t="e">
        <f>+VLOOKUP(A123,Ficheiros!T:V,3,FALSE)</f>
        <v>#N/A</v>
      </c>
      <c r="AT123" s="1"/>
      <c r="AU123" s="1"/>
      <c r="AV123" s="1"/>
      <c r="AW123" s="1"/>
      <c r="AX123" s="1"/>
    </row>
    <row r="124" spans="1:50" ht="14.5" hidden="1" customHeight="1" x14ac:dyDescent="0.35">
      <c r="A124" s="5" t="str">
        <f t="shared" si="2"/>
        <v>ENTITYCNTRPRTY_EMSSNS_SCP2</v>
      </c>
      <c r="B124" s="1" t="s">
        <v>553</v>
      </c>
      <c r="C124" s="1" t="s">
        <v>35</v>
      </c>
      <c r="D124" s="1" t="s">
        <v>49</v>
      </c>
      <c r="E124" s="1" t="s">
        <v>37</v>
      </c>
      <c r="F124" s="25" t="s">
        <v>554</v>
      </c>
      <c r="G124" s="42" t="s">
        <v>554</v>
      </c>
      <c r="H124" s="24" t="s">
        <v>37</v>
      </c>
      <c r="I124" s="24" t="s">
        <v>37</v>
      </c>
      <c r="J124" s="24" t="s">
        <v>37</v>
      </c>
      <c r="K124" s="24" t="s">
        <v>37</v>
      </c>
      <c r="L124" s="24" t="s">
        <v>37</v>
      </c>
      <c r="M124" s="24" t="s">
        <v>39</v>
      </c>
      <c r="N124" s="24" t="s">
        <v>37</v>
      </c>
      <c r="O124" s="1"/>
      <c r="P124" s="1"/>
      <c r="Q124" s="1"/>
      <c r="R124" s="1" t="s">
        <v>342</v>
      </c>
      <c r="S124" s="1" t="s">
        <v>274</v>
      </c>
      <c r="T124" s="1">
        <v>99999999999</v>
      </c>
      <c r="U124" s="1">
        <v>11111111111</v>
      </c>
      <c r="V124" s="1">
        <v>11111111111</v>
      </c>
      <c r="W124" s="1" t="s">
        <v>555</v>
      </c>
      <c r="X124" s="1" t="s">
        <v>556</v>
      </c>
      <c r="Y124" s="1" t="s">
        <v>45</v>
      </c>
      <c r="Z124" s="1" t="s">
        <v>46</v>
      </c>
      <c r="AA124" s="1" t="s">
        <v>47</v>
      </c>
      <c r="AB124" s="1" t="s">
        <v>37</v>
      </c>
      <c r="AC124" s="37" t="s">
        <v>37</v>
      </c>
      <c r="AD124" s="1" t="s">
        <v>39</v>
      </c>
      <c r="AE124" s="1" t="s">
        <v>37</v>
      </c>
      <c r="AF124" s="1" t="s">
        <v>39</v>
      </c>
      <c r="AG124" s="1" t="s">
        <v>37</v>
      </c>
      <c r="AH124" s="1" t="s">
        <v>37</v>
      </c>
      <c r="AI124" s="1" t="s">
        <v>39</v>
      </c>
      <c r="AJ124" s="1" t="s">
        <v>39</v>
      </c>
      <c r="AK124" s="1" t="str">
        <f t="shared" si="3"/>
        <v>Comum</v>
      </c>
      <c r="AL124" s="1" t="str">
        <f>+IF(IFERROR(VLOOKUP(A124,Ficheiros!I:I,1,FALSE),"")=A124,"Sim","Não")</f>
        <v>Não</v>
      </c>
      <c r="AM124" s="1" t="str">
        <f>+IF(IFERROR(VLOOKUP(A124,Ficheiros!E:E,1,FALSE),"")=A124,"Sim","Não")</f>
        <v>Sim</v>
      </c>
      <c r="AN124" s="1" t="str">
        <f>+IF(IFERROR(VLOOKUP(A124,Ficheiros!O:O,1,FALSE),"")=A124,"Sim","Não")</f>
        <v>Sim</v>
      </c>
      <c r="AO124" s="1" t="str">
        <f>+IF(IFERROR(VLOOKUP(A124,'Especificação Novos Req. LT (2'!A:A,1,FALSE),"")=A124,"Sim","Não")</f>
        <v>Não</v>
      </c>
      <c r="AP124" s="1" t="str">
        <f>+IF(IFERROR(VLOOKUP(A124,Ficheiros!T:T,1,FALSE),"")=A124,"Sim","Não")</f>
        <v>Não</v>
      </c>
      <c r="AQ124" s="1" t="str">
        <f>+VLOOKUP(A124,Ficheiros!O:P,2,FALSE)</f>
        <v>1. Concluído</v>
      </c>
      <c r="AR124" s="1" t="e">
        <f>+VLOOKUP(A124,Ficheiros!R:S,3,FALSE)</f>
        <v>#N/A</v>
      </c>
      <c r="AS124" s="1" t="e">
        <f>+VLOOKUP(A124,Ficheiros!T:V,3,FALSE)</f>
        <v>#N/A</v>
      </c>
      <c r="AT124" s="1"/>
      <c r="AU124" s="1"/>
      <c r="AV124" s="1"/>
      <c r="AW124" s="1"/>
      <c r="AX124" s="1"/>
    </row>
    <row r="125" spans="1:50" ht="14.5" hidden="1" customHeight="1" x14ac:dyDescent="0.35">
      <c r="A125" s="5" t="str">
        <f t="shared" si="2"/>
        <v>ENTITYCNTRPRTY_EMSSNS_SCP3</v>
      </c>
      <c r="B125" s="1" t="s">
        <v>557</v>
      </c>
      <c r="C125" s="1" t="s">
        <v>35</v>
      </c>
      <c r="D125" s="1" t="s">
        <v>49</v>
      </c>
      <c r="E125" s="1" t="s">
        <v>37</v>
      </c>
      <c r="F125" s="25" t="s">
        <v>558</v>
      </c>
      <c r="G125" s="42" t="s">
        <v>558</v>
      </c>
      <c r="H125" s="24" t="s">
        <v>37</v>
      </c>
      <c r="I125" s="24" t="s">
        <v>37</v>
      </c>
      <c r="J125" s="24" t="s">
        <v>37</v>
      </c>
      <c r="K125" s="24" t="s">
        <v>37</v>
      </c>
      <c r="L125" s="24" t="s">
        <v>37</v>
      </c>
      <c r="M125" s="24" t="s">
        <v>39</v>
      </c>
      <c r="N125" s="24" t="s">
        <v>37</v>
      </c>
      <c r="O125" s="1"/>
      <c r="P125" s="1"/>
      <c r="Q125" s="1"/>
      <c r="R125" s="1" t="s">
        <v>342</v>
      </c>
      <c r="S125" s="1" t="s">
        <v>274</v>
      </c>
      <c r="T125" s="1">
        <v>99999999999</v>
      </c>
      <c r="U125" s="1">
        <v>11111111111</v>
      </c>
      <c r="V125" s="1">
        <v>11111111111</v>
      </c>
      <c r="W125" s="1" t="s">
        <v>559</v>
      </c>
      <c r="X125" s="1" t="s">
        <v>560</v>
      </c>
      <c r="Y125" s="1" t="s">
        <v>45</v>
      </c>
      <c r="Z125" s="1" t="s">
        <v>46</v>
      </c>
      <c r="AA125" s="1" t="s">
        <v>47</v>
      </c>
      <c r="AB125" s="1" t="s">
        <v>37</v>
      </c>
      <c r="AC125" s="37" t="s">
        <v>37</v>
      </c>
      <c r="AD125" s="1" t="s">
        <v>39</v>
      </c>
      <c r="AE125" s="1" t="s">
        <v>37</v>
      </c>
      <c r="AF125" s="1" t="s">
        <v>39</v>
      </c>
      <c r="AG125" s="1" t="s">
        <v>37</v>
      </c>
      <c r="AH125" s="1" t="s">
        <v>37</v>
      </c>
      <c r="AI125" s="1" t="s">
        <v>39</v>
      </c>
      <c r="AJ125" s="1" t="s">
        <v>39</v>
      </c>
      <c r="AK125" s="1" t="str">
        <f t="shared" si="3"/>
        <v>Comum</v>
      </c>
      <c r="AL125" s="1" t="str">
        <f>+IF(IFERROR(VLOOKUP(A125,Ficheiros!I:I,1,FALSE),"")=A125,"Sim","Não")</f>
        <v>Não</v>
      </c>
      <c r="AM125" s="1" t="str">
        <f>+IF(IFERROR(VLOOKUP(A125,Ficheiros!E:E,1,FALSE),"")=A125,"Sim","Não")</f>
        <v>Sim</v>
      </c>
      <c r="AN125" s="1" t="str">
        <f>+IF(IFERROR(VLOOKUP(A125,Ficheiros!O:O,1,FALSE),"")=A125,"Sim","Não")</f>
        <v>Sim</v>
      </c>
      <c r="AO125" s="1" t="str">
        <f>+IF(IFERROR(VLOOKUP(A125,'Especificação Novos Req. LT (2'!A:A,1,FALSE),"")=A125,"Sim","Não")</f>
        <v>Não</v>
      </c>
      <c r="AP125" s="1" t="str">
        <f>+IF(IFERROR(VLOOKUP(A125,Ficheiros!T:T,1,FALSE),"")=A125,"Sim","Não")</f>
        <v>Não</v>
      </c>
      <c r="AQ125" s="1" t="str">
        <f>+VLOOKUP(A125,Ficheiros!O:P,2,FALSE)</f>
        <v>1. Concluído</v>
      </c>
      <c r="AR125" s="1" t="e">
        <f>+VLOOKUP(A125,Ficheiros!R:S,3,FALSE)</f>
        <v>#N/A</v>
      </c>
      <c r="AS125" s="1" t="e">
        <f>+VLOOKUP(A125,Ficheiros!T:V,3,FALSE)</f>
        <v>#N/A</v>
      </c>
      <c r="AT125" s="1"/>
      <c r="AU125" s="1"/>
      <c r="AV125" s="1"/>
      <c r="AW125" s="1"/>
      <c r="AX125" s="1"/>
    </row>
    <row r="126" spans="1:50" ht="14.5" hidden="1" customHeight="1" x14ac:dyDescent="0.35">
      <c r="A126" s="5" t="str">
        <f t="shared" si="2"/>
        <v>ENTITYFLG_EXCLDD_EU_PRS_ALGND_BNCHMRK</v>
      </c>
      <c r="B126" s="1" t="s">
        <v>561</v>
      </c>
      <c r="C126" s="1" t="s">
        <v>35</v>
      </c>
      <c r="D126" s="1" t="s">
        <v>49</v>
      </c>
      <c r="E126" s="1" t="s">
        <v>37</v>
      </c>
      <c r="F126" s="25" t="s">
        <v>562</v>
      </c>
      <c r="G126" s="1" t="s">
        <v>562</v>
      </c>
      <c r="H126" s="1" t="s">
        <v>37</v>
      </c>
      <c r="I126" s="1" t="s">
        <v>37</v>
      </c>
      <c r="J126" s="1" t="s">
        <v>37</v>
      </c>
      <c r="K126" s="1" t="s">
        <v>37</v>
      </c>
      <c r="L126" s="1" t="s">
        <v>37</v>
      </c>
      <c r="M126" s="1" t="s">
        <v>39</v>
      </c>
      <c r="N126" s="1" t="s">
        <v>37</v>
      </c>
      <c r="O126" s="1"/>
      <c r="P126" s="1"/>
      <c r="Q126" s="1"/>
      <c r="R126" s="1" t="s">
        <v>141</v>
      </c>
      <c r="S126" s="1" t="s">
        <v>142</v>
      </c>
      <c r="T126" s="1" t="s">
        <v>53</v>
      </c>
      <c r="U126" s="1" t="s">
        <v>42</v>
      </c>
      <c r="V126" s="1" t="s">
        <v>46</v>
      </c>
      <c r="W126" s="1" t="s">
        <v>563</v>
      </c>
      <c r="X126" s="1" t="s">
        <v>564</v>
      </c>
      <c r="Y126" s="1" t="s">
        <v>45</v>
      </c>
      <c r="Z126" s="1" t="s">
        <v>46</v>
      </c>
      <c r="AA126" s="1" t="s">
        <v>47</v>
      </c>
      <c r="AB126" s="1" t="s">
        <v>37</v>
      </c>
      <c r="AC126" s="1" t="s">
        <v>37</v>
      </c>
      <c r="AD126" s="1" t="s">
        <v>39</v>
      </c>
      <c r="AE126" s="1" t="s">
        <v>37</v>
      </c>
      <c r="AF126" s="1" t="s">
        <v>37</v>
      </c>
      <c r="AG126" s="1" t="s">
        <v>37</v>
      </c>
      <c r="AH126" s="1" t="s">
        <v>37</v>
      </c>
      <c r="AI126" s="1" t="s">
        <v>39</v>
      </c>
      <c r="AJ126" s="1" t="s">
        <v>39</v>
      </c>
      <c r="AK126" s="1" t="str">
        <f t="shared" si="3"/>
        <v>Apenas Pilar 3</v>
      </c>
      <c r="AL126" s="1" t="str">
        <f>+IF(IFERROR(VLOOKUP(A126,Ficheiros!I:I,1,FALSE),"")=A126,"Sim","Não")</f>
        <v>Não</v>
      </c>
      <c r="AM126" s="1" t="str">
        <f>+IF(IFERROR(VLOOKUP(A126,Ficheiros!E:E,1,FALSE),"")=A126,"Sim","Não")</f>
        <v>Sim</v>
      </c>
      <c r="AN126" s="1" t="str">
        <f>+IF(IFERROR(VLOOKUP(A126,Ficheiros!O:O,1,FALSE),"")=A126,"Sim","Não")</f>
        <v>Sim</v>
      </c>
      <c r="AO126" s="1" t="str">
        <f>+IF(IFERROR(VLOOKUP(A126,'Especificação Novos Req. LT (2'!A:A,1,FALSE),"")=A126,"Sim","Não")</f>
        <v>Não</v>
      </c>
      <c r="AP126" s="1" t="str">
        <f>+IF(IFERROR(VLOOKUP(A126,Ficheiros!T:T,1,FALSE),"")=A126,"Sim","Não")</f>
        <v>Não</v>
      </c>
      <c r="AQ126" s="1" t="str">
        <f>+VLOOKUP(A126,Ficheiros!O:P,2,FALSE)</f>
        <v>1. Concluído</v>
      </c>
      <c r="AR126" s="1" t="e">
        <f>+VLOOKUP(A126,Ficheiros!R:S,3,FALSE)</f>
        <v>#N/A</v>
      </c>
      <c r="AS126" s="1" t="e">
        <f>+VLOOKUP(A126,Ficheiros!T:V,3,FALSE)</f>
        <v>#N/A</v>
      </c>
      <c r="AT126" s="1"/>
      <c r="AU126" s="1"/>
      <c r="AV126" s="1"/>
      <c r="AW126" s="1"/>
      <c r="AX126" s="1"/>
    </row>
    <row r="127" spans="1:50" ht="14.5" hidden="1" customHeight="1" x14ac:dyDescent="0.35">
      <c r="A127" s="5" t="str">
        <f t="shared" si="2"/>
        <v>ENTITYGRP_EMSSNS_SCP1</v>
      </c>
      <c r="B127" s="1" t="s">
        <v>565</v>
      </c>
      <c r="C127" s="1" t="s">
        <v>35</v>
      </c>
      <c r="D127" s="1" t="s">
        <v>49</v>
      </c>
      <c r="E127" s="1" t="s">
        <v>37</v>
      </c>
      <c r="F127" s="25" t="s">
        <v>566</v>
      </c>
      <c r="G127" s="42" t="s">
        <v>566</v>
      </c>
      <c r="H127" s="24" t="s">
        <v>37</v>
      </c>
      <c r="I127" s="24" t="s">
        <v>37</v>
      </c>
      <c r="J127" s="24" t="s">
        <v>37</v>
      </c>
      <c r="K127" s="24" t="s">
        <v>37</v>
      </c>
      <c r="L127" s="24" t="s">
        <v>37</v>
      </c>
      <c r="M127" s="24" t="s">
        <v>39</v>
      </c>
      <c r="N127" s="24" t="s">
        <v>37</v>
      </c>
      <c r="O127" s="1"/>
      <c r="P127" s="1"/>
      <c r="Q127" s="1"/>
      <c r="R127" s="1" t="s">
        <v>342</v>
      </c>
      <c r="S127" s="1" t="s">
        <v>274</v>
      </c>
      <c r="T127" s="1">
        <v>99999999999</v>
      </c>
      <c r="U127" s="1">
        <v>11111111111</v>
      </c>
      <c r="V127" s="1">
        <v>11111111111</v>
      </c>
      <c r="W127" s="1" t="s">
        <v>567</v>
      </c>
      <c r="X127" s="1" t="s">
        <v>568</v>
      </c>
      <c r="Y127" s="1" t="s">
        <v>45</v>
      </c>
      <c r="Z127" s="1" t="s">
        <v>46</v>
      </c>
      <c r="AA127" s="1" t="s">
        <v>47</v>
      </c>
      <c r="AB127" s="1" t="s">
        <v>37</v>
      </c>
      <c r="AC127" s="37" t="s">
        <v>37</v>
      </c>
      <c r="AD127" s="1" t="s">
        <v>39</v>
      </c>
      <c r="AE127" s="1" t="s">
        <v>37</v>
      </c>
      <c r="AF127" s="1" t="s">
        <v>39</v>
      </c>
      <c r="AG127" s="1" t="s">
        <v>37</v>
      </c>
      <c r="AH127" s="1" t="s">
        <v>37</v>
      </c>
      <c r="AI127" s="1" t="s">
        <v>39</v>
      </c>
      <c r="AJ127" s="1" t="s">
        <v>39</v>
      </c>
      <c r="AK127" s="1" t="str">
        <f t="shared" si="3"/>
        <v>Comum</v>
      </c>
      <c r="AL127" s="1" t="str">
        <f>+IF(IFERROR(VLOOKUP(A127,Ficheiros!I:I,1,FALSE),"")=A127,"Sim","Não")</f>
        <v>Não</v>
      </c>
      <c r="AM127" s="1" t="str">
        <f>+IF(IFERROR(VLOOKUP(A127,Ficheiros!E:E,1,FALSE),"")=A127,"Sim","Não")</f>
        <v>Sim</v>
      </c>
      <c r="AN127" s="1" t="str">
        <f>+IF(IFERROR(VLOOKUP(A127,Ficheiros!O:O,1,FALSE),"")=A127,"Sim","Não")</f>
        <v>Sim</v>
      </c>
      <c r="AO127" s="1" t="str">
        <f>+IF(IFERROR(VLOOKUP(A127,'Especificação Novos Req. LT (2'!A:A,1,FALSE),"")=A127,"Sim","Não")</f>
        <v>Não</v>
      </c>
      <c r="AP127" s="1" t="str">
        <f>+IF(IFERROR(VLOOKUP(A127,Ficheiros!T:T,1,FALSE),"")=A127,"Sim","Não")</f>
        <v>Não</v>
      </c>
      <c r="AQ127" s="1" t="str">
        <f>+VLOOKUP(A127,Ficheiros!O:P,2,FALSE)</f>
        <v>1. Concluído</v>
      </c>
      <c r="AR127" s="1" t="e">
        <f>+VLOOKUP(A127,Ficheiros!R:S,3,FALSE)</f>
        <v>#N/A</v>
      </c>
      <c r="AS127" s="1" t="e">
        <f>+VLOOKUP(A127,Ficheiros!T:V,3,FALSE)</f>
        <v>#N/A</v>
      </c>
      <c r="AT127" s="1"/>
      <c r="AU127" s="1"/>
      <c r="AV127" s="1"/>
      <c r="AW127" s="1"/>
      <c r="AX127" s="1"/>
    </row>
    <row r="128" spans="1:50" ht="14.5" hidden="1" customHeight="1" x14ac:dyDescent="0.35">
      <c r="A128" s="5" t="str">
        <f t="shared" si="2"/>
        <v>ENTITYGRP_EMSSNS_SCP2</v>
      </c>
      <c r="B128" s="1" t="s">
        <v>569</v>
      </c>
      <c r="C128" s="1" t="s">
        <v>35</v>
      </c>
      <c r="D128" s="1" t="s">
        <v>49</v>
      </c>
      <c r="E128" s="1" t="s">
        <v>37</v>
      </c>
      <c r="F128" s="25" t="s">
        <v>570</v>
      </c>
      <c r="G128" s="42" t="s">
        <v>570</v>
      </c>
      <c r="H128" s="24" t="s">
        <v>37</v>
      </c>
      <c r="I128" s="24" t="s">
        <v>37</v>
      </c>
      <c r="J128" s="24" t="s">
        <v>37</v>
      </c>
      <c r="K128" s="24" t="s">
        <v>37</v>
      </c>
      <c r="L128" s="24" t="s">
        <v>37</v>
      </c>
      <c r="M128" s="24" t="s">
        <v>39</v>
      </c>
      <c r="N128" s="24" t="s">
        <v>37</v>
      </c>
      <c r="O128" s="1"/>
      <c r="P128" s="1"/>
      <c r="Q128" s="1"/>
      <c r="R128" s="1" t="s">
        <v>342</v>
      </c>
      <c r="S128" s="1" t="s">
        <v>274</v>
      </c>
      <c r="T128" s="1">
        <v>99999999999</v>
      </c>
      <c r="U128" s="1">
        <v>11111111111</v>
      </c>
      <c r="V128" s="1">
        <v>11111111111</v>
      </c>
      <c r="W128" s="1" t="s">
        <v>571</v>
      </c>
      <c r="X128" s="1" t="s">
        <v>572</v>
      </c>
      <c r="Y128" s="1" t="s">
        <v>45</v>
      </c>
      <c r="Z128" s="1" t="s">
        <v>46</v>
      </c>
      <c r="AA128" s="1" t="s">
        <v>47</v>
      </c>
      <c r="AB128" s="1" t="s">
        <v>37</v>
      </c>
      <c r="AC128" s="37" t="s">
        <v>37</v>
      </c>
      <c r="AD128" s="1" t="s">
        <v>39</v>
      </c>
      <c r="AE128" s="1" t="s">
        <v>37</v>
      </c>
      <c r="AF128" s="1" t="s">
        <v>39</v>
      </c>
      <c r="AG128" s="1" t="s">
        <v>37</v>
      </c>
      <c r="AH128" s="1" t="s">
        <v>37</v>
      </c>
      <c r="AI128" s="1" t="s">
        <v>39</v>
      </c>
      <c r="AJ128" s="1" t="s">
        <v>39</v>
      </c>
      <c r="AK128" s="1" t="str">
        <f t="shared" si="3"/>
        <v>Comum</v>
      </c>
      <c r="AL128" s="1" t="str">
        <f>+IF(IFERROR(VLOOKUP(A128,Ficheiros!I:I,1,FALSE),"")=A128,"Sim","Não")</f>
        <v>Não</v>
      </c>
      <c r="AM128" s="1" t="str">
        <f>+IF(IFERROR(VLOOKUP(A128,Ficheiros!E:E,1,FALSE),"")=A128,"Sim","Não")</f>
        <v>Sim</v>
      </c>
      <c r="AN128" s="1" t="str">
        <f>+IF(IFERROR(VLOOKUP(A128,Ficheiros!O:O,1,FALSE),"")=A128,"Sim","Não")</f>
        <v>Sim</v>
      </c>
      <c r="AO128" s="1" t="str">
        <f>+IF(IFERROR(VLOOKUP(A128,'Especificação Novos Req. LT (2'!A:A,1,FALSE),"")=A128,"Sim","Não")</f>
        <v>Não</v>
      </c>
      <c r="AP128" s="1" t="str">
        <f>+IF(IFERROR(VLOOKUP(A128,Ficheiros!T:T,1,FALSE),"")=A128,"Sim","Não")</f>
        <v>Não</v>
      </c>
      <c r="AQ128" s="1" t="str">
        <f>+VLOOKUP(A128,Ficheiros!O:P,2,FALSE)</f>
        <v>1. Concluído</v>
      </c>
      <c r="AR128" s="1" t="e">
        <f>+VLOOKUP(A128,Ficheiros!R:S,3,FALSE)</f>
        <v>#N/A</v>
      </c>
      <c r="AS128" s="1" t="e">
        <f>+VLOOKUP(A128,Ficheiros!T:V,3,FALSE)</f>
        <v>#N/A</v>
      </c>
      <c r="AT128" s="1"/>
      <c r="AU128" s="1"/>
      <c r="AV128" s="1"/>
      <c r="AW128" s="1"/>
      <c r="AX128" s="1"/>
    </row>
    <row r="129" spans="1:50" ht="14.5" hidden="1" customHeight="1" x14ac:dyDescent="0.35">
      <c r="A129" s="5" t="str">
        <f t="shared" si="2"/>
        <v>ENTITYGRP_EMSSNS_SCP3</v>
      </c>
      <c r="B129" s="1" t="s">
        <v>573</v>
      </c>
      <c r="C129" s="1" t="s">
        <v>35</v>
      </c>
      <c r="D129" s="1" t="s">
        <v>49</v>
      </c>
      <c r="E129" s="1" t="s">
        <v>37</v>
      </c>
      <c r="F129" s="25" t="s">
        <v>574</v>
      </c>
      <c r="G129" s="42" t="s">
        <v>574</v>
      </c>
      <c r="H129" s="24" t="s">
        <v>37</v>
      </c>
      <c r="I129" s="24" t="s">
        <v>37</v>
      </c>
      <c r="J129" s="24" t="s">
        <v>37</v>
      </c>
      <c r="K129" s="24" t="s">
        <v>37</v>
      </c>
      <c r="L129" s="24" t="s">
        <v>37</v>
      </c>
      <c r="M129" s="24" t="s">
        <v>39</v>
      </c>
      <c r="N129" s="24" t="s">
        <v>37</v>
      </c>
      <c r="O129" s="1"/>
      <c r="P129" s="1"/>
      <c r="Q129" s="1"/>
      <c r="R129" s="1" t="s">
        <v>342</v>
      </c>
      <c r="S129" s="1" t="s">
        <v>274</v>
      </c>
      <c r="T129" s="1">
        <v>99999999999</v>
      </c>
      <c r="U129" s="1">
        <v>11111111111</v>
      </c>
      <c r="V129" s="1">
        <v>11111111111</v>
      </c>
      <c r="W129" s="1" t="s">
        <v>575</v>
      </c>
      <c r="X129" s="1" t="s">
        <v>576</v>
      </c>
      <c r="Y129" s="1" t="s">
        <v>45</v>
      </c>
      <c r="Z129" s="1" t="s">
        <v>46</v>
      </c>
      <c r="AA129" s="1" t="s">
        <v>47</v>
      </c>
      <c r="AB129" s="1" t="s">
        <v>37</v>
      </c>
      <c r="AC129" s="37" t="s">
        <v>37</v>
      </c>
      <c r="AD129" s="1" t="s">
        <v>39</v>
      </c>
      <c r="AE129" s="1" t="s">
        <v>37</v>
      </c>
      <c r="AF129" s="1" t="s">
        <v>39</v>
      </c>
      <c r="AG129" s="1" t="s">
        <v>37</v>
      </c>
      <c r="AH129" s="1" t="s">
        <v>37</v>
      </c>
      <c r="AI129" s="1" t="s">
        <v>39</v>
      </c>
      <c r="AJ129" s="1" t="s">
        <v>39</v>
      </c>
      <c r="AK129" s="1" t="str">
        <f t="shared" si="3"/>
        <v>Comum</v>
      </c>
      <c r="AL129" s="1" t="str">
        <f>+IF(IFERROR(VLOOKUP(A129,Ficheiros!I:I,1,FALSE),"")=A129,"Sim","Não")</f>
        <v>Não</v>
      </c>
      <c r="AM129" s="1" t="str">
        <f>+IF(IFERROR(VLOOKUP(A129,Ficheiros!E:E,1,FALSE),"")=A129,"Sim","Não")</f>
        <v>Sim</v>
      </c>
      <c r="AN129" s="1" t="str">
        <f>+IF(IFERROR(VLOOKUP(A129,Ficheiros!O:O,1,FALSE),"")=A129,"Sim","Não")</f>
        <v>Sim</v>
      </c>
      <c r="AO129" s="1" t="str">
        <f>+IF(IFERROR(VLOOKUP(A129,'Especificação Novos Req. LT (2'!A:A,1,FALSE),"")=A129,"Sim","Não")</f>
        <v>Não</v>
      </c>
      <c r="AP129" s="1" t="str">
        <f>+IF(IFERROR(VLOOKUP(A129,Ficheiros!T:T,1,FALSE),"")=A129,"Sim","Não")</f>
        <v>Não</v>
      </c>
      <c r="AQ129" s="1" t="str">
        <f>+VLOOKUP(A129,Ficheiros!O:P,2,FALSE)</f>
        <v>1. Concluído</v>
      </c>
      <c r="AR129" s="1" t="e">
        <f>+VLOOKUP(A129,Ficheiros!R:S,3,FALSE)</f>
        <v>#N/A</v>
      </c>
      <c r="AS129" s="1" t="e">
        <f>+VLOOKUP(A129,Ficheiros!T:V,3,FALSE)</f>
        <v>#N/A</v>
      </c>
      <c r="AT129" s="1"/>
      <c r="AU129" s="1"/>
      <c r="AV129" s="1"/>
      <c r="AW129" s="1"/>
      <c r="AX129" s="1"/>
    </row>
    <row r="130" spans="1:50" ht="14.5" hidden="1" customHeight="1" x14ac:dyDescent="0.35">
      <c r="A130" s="5" t="str">
        <f t="shared" si="2"/>
        <v>ENTITYFLG_ACT_PHYSCL_RSK</v>
      </c>
      <c r="B130" s="1" t="s">
        <v>577</v>
      </c>
      <c r="C130" s="1" t="s">
        <v>35</v>
      </c>
      <c r="D130" s="1" t="s">
        <v>49</v>
      </c>
      <c r="E130" s="1" t="s">
        <v>37</v>
      </c>
      <c r="F130" s="25" t="s">
        <v>578</v>
      </c>
      <c r="G130" s="42" t="s">
        <v>578</v>
      </c>
      <c r="H130" s="1" t="s">
        <v>37</v>
      </c>
      <c r="I130" s="1" t="s">
        <v>39</v>
      </c>
      <c r="J130" s="1" t="s">
        <v>39</v>
      </c>
      <c r="K130" s="1" t="s">
        <v>39</v>
      </c>
      <c r="L130" s="1" t="s">
        <v>39</v>
      </c>
      <c r="M130" s="1" t="s">
        <v>39</v>
      </c>
      <c r="N130" s="1" t="s">
        <v>39</v>
      </c>
      <c r="O130" s="1"/>
      <c r="P130" s="1"/>
      <c r="Q130" s="1"/>
      <c r="R130" s="1" t="s">
        <v>141</v>
      </c>
      <c r="S130" s="1" t="s">
        <v>142</v>
      </c>
      <c r="T130" s="1" t="s">
        <v>42</v>
      </c>
      <c r="U130" s="1" t="s">
        <v>42</v>
      </c>
      <c r="V130" s="1" t="s">
        <v>46</v>
      </c>
      <c r="W130" s="1" t="s">
        <v>579</v>
      </c>
      <c r="X130" s="1" t="s">
        <v>580</v>
      </c>
      <c r="Y130" s="1" t="s">
        <v>45</v>
      </c>
      <c r="Z130" s="1" t="s">
        <v>46</v>
      </c>
      <c r="AA130" s="1" t="s">
        <v>47</v>
      </c>
      <c r="AB130" s="1" t="s">
        <v>37</v>
      </c>
      <c r="AC130" s="1" t="s">
        <v>37</v>
      </c>
      <c r="AD130" s="1" t="s">
        <v>39</v>
      </c>
      <c r="AE130" s="1" t="s">
        <v>37</v>
      </c>
      <c r="AF130" s="1" t="s">
        <v>37</v>
      </c>
      <c r="AG130" s="1" t="s">
        <v>37</v>
      </c>
      <c r="AH130" s="1" t="s">
        <v>37</v>
      </c>
      <c r="AI130" s="1" t="s">
        <v>39</v>
      </c>
      <c r="AJ130" s="1" t="s">
        <v>39</v>
      </c>
      <c r="AK130" s="1" t="str">
        <f t="shared" si="3"/>
        <v>Apenas Pilar 3</v>
      </c>
      <c r="AL130" s="1" t="str">
        <f>+IF(IFERROR(VLOOKUP(A130,Ficheiros!I:I,1,FALSE),"")=A130,"Sim","Não")</f>
        <v>Não</v>
      </c>
      <c r="AM130" s="42" t="s">
        <v>2393</v>
      </c>
      <c r="AN130" s="42" t="s">
        <v>2393</v>
      </c>
      <c r="AO130" s="1" t="str">
        <f>+IF(IFERROR(VLOOKUP(A130,'Especificação Novos Req. LT (2'!A:A,1,FALSE),"")=A130,"Sim","Não")</f>
        <v>Não</v>
      </c>
      <c r="AP130" s="1" t="str">
        <f>+IF(IFERROR(VLOOKUP(A130,Ficheiros!T:T,1,FALSE),"")=A130,"Sim","Não")</f>
        <v>Não</v>
      </c>
      <c r="AQ130" s="1" t="str">
        <f>+VLOOKUP(A130,Ficheiros!O:P,2,FALSE)</f>
        <v>1. Concluído</v>
      </c>
      <c r="AR130" s="1" t="e">
        <f>+VLOOKUP(A130,Ficheiros!R:S,3,FALSE)</f>
        <v>#N/A</v>
      </c>
      <c r="AS130" s="1" t="e">
        <f>+VLOOKUP(A130,Ficheiros!T:V,3,FALSE)</f>
        <v>#N/A</v>
      </c>
      <c r="AT130" s="1"/>
      <c r="AU130" s="1"/>
      <c r="AV130" s="1"/>
      <c r="AW130" s="1"/>
      <c r="AX130" s="1"/>
    </row>
    <row r="131" spans="1:50" ht="14.5" hidden="1" customHeight="1" x14ac:dyDescent="0.35">
      <c r="A131" s="5" t="str">
        <f t="shared" si="2"/>
        <v>ENTITYFLG_CHRNC_PHYSCL_RSK</v>
      </c>
      <c r="B131" s="1" t="s">
        <v>581</v>
      </c>
      <c r="C131" s="1" t="s">
        <v>35</v>
      </c>
      <c r="D131" s="1" t="s">
        <v>49</v>
      </c>
      <c r="E131" s="1" t="s">
        <v>37</v>
      </c>
      <c r="F131" s="25" t="s">
        <v>582</v>
      </c>
      <c r="G131" s="42" t="s">
        <v>582</v>
      </c>
      <c r="H131" s="1" t="s">
        <v>37</v>
      </c>
      <c r="I131" s="1" t="s">
        <v>39</v>
      </c>
      <c r="J131" s="1" t="s">
        <v>39</v>
      </c>
      <c r="K131" s="1" t="s">
        <v>39</v>
      </c>
      <c r="L131" s="1" t="s">
        <v>39</v>
      </c>
      <c r="M131" s="1" t="s">
        <v>39</v>
      </c>
      <c r="N131" s="1" t="s">
        <v>39</v>
      </c>
      <c r="O131" s="1"/>
      <c r="P131" s="1"/>
      <c r="Q131" s="1"/>
      <c r="R131" s="1" t="s">
        <v>141</v>
      </c>
      <c r="S131" s="1" t="s">
        <v>142</v>
      </c>
      <c r="T131" s="1" t="s">
        <v>42</v>
      </c>
      <c r="U131" s="1" t="s">
        <v>42</v>
      </c>
      <c r="V131" s="1" t="s">
        <v>46</v>
      </c>
      <c r="W131" s="1" t="s">
        <v>583</v>
      </c>
      <c r="X131" s="1" t="s">
        <v>584</v>
      </c>
      <c r="Y131" s="1" t="s">
        <v>45</v>
      </c>
      <c r="Z131" s="1" t="s">
        <v>46</v>
      </c>
      <c r="AA131" s="1" t="s">
        <v>47</v>
      </c>
      <c r="AB131" s="1" t="s">
        <v>37</v>
      </c>
      <c r="AC131" s="1" t="s">
        <v>37</v>
      </c>
      <c r="AD131" s="1" t="s">
        <v>39</v>
      </c>
      <c r="AE131" s="1" t="s">
        <v>37</v>
      </c>
      <c r="AF131" s="1" t="s">
        <v>37</v>
      </c>
      <c r="AG131" s="1" t="s">
        <v>37</v>
      </c>
      <c r="AH131" s="1" t="s">
        <v>37</v>
      </c>
      <c r="AI131" s="1" t="s">
        <v>39</v>
      </c>
      <c r="AJ131" s="1" t="s">
        <v>39</v>
      </c>
      <c r="AK131" s="1" t="str">
        <f t="shared" si="3"/>
        <v>Apenas Pilar 3</v>
      </c>
      <c r="AL131" s="1" t="str">
        <f>+IF(IFERROR(VLOOKUP(A131,Ficheiros!I:I,1,FALSE),"")=A131,"Sim","Não")</f>
        <v>Não</v>
      </c>
      <c r="AM131" s="42" t="s">
        <v>2393</v>
      </c>
      <c r="AN131" s="42" t="s">
        <v>2393</v>
      </c>
      <c r="AO131" s="1" t="str">
        <f>+IF(IFERROR(VLOOKUP(A131,'Especificação Novos Req. LT (2'!A:A,1,FALSE),"")=A131,"Sim","Não")</f>
        <v>Não</v>
      </c>
      <c r="AP131" s="1" t="str">
        <f>+IF(IFERROR(VLOOKUP(A131,Ficheiros!T:T,1,FALSE),"")=A131,"Sim","Não")</f>
        <v>Não</v>
      </c>
      <c r="AQ131" s="1" t="str">
        <f>+VLOOKUP(A131,Ficheiros!O:P,2,FALSE)</f>
        <v>1. Concluído</v>
      </c>
      <c r="AR131" s="1" t="e">
        <f>+VLOOKUP(A131,Ficheiros!R:S,3,FALSE)</f>
        <v>#N/A</v>
      </c>
      <c r="AS131" s="1" t="e">
        <f>+VLOOKUP(A131,Ficheiros!T:V,3,FALSE)</f>
        <v>#N/A</v>
      </c>
      <c r="AT131" s="1"/>
      <c r="AU131" s="1"/>
      <c r="AV131" s="1"/>
      <c r="AW131" s="1"/>
      <c r="AX131" s="1"/>
    </row>
    <row r="132" spans="1:50" ht="14.5" hidden="1" customHeight="1" x14ac:dyDescent="0.35">
      <c r="A132" s="5" t="str">
        <f t="shared" si="2"/>
        <v>ENTITYGRP_ECNMC_ACTVTY</v>
      </c>
      <c r="B132" s="1" t="s">
        <v>585</v>
      </c>
      <c r="C132" s="1" t="s">
        <v>35</v>
      </c>
      <c r="D132" s="1" t="s">
        <v>49</v>
      </c>
      <c r="E132" s="1" t="s">
        <v>37</v>
      </c>
      <c r="F132" s="26" t="s">
        <v>586</v>
      </c>
      <c r="G132" s="1" t="s">
        <v>586</v>
      </c>
      <c r="H132" s="24" t="s">
        <v>37</v>
      </c>
      <c r="I132" s="24" t="s">
        <v>39</v>
      </c>
      <c r="J132" s="24" t="s">
        <v>39</v>
      </c>
      <c r="K132" s="24" t="s">
        <v>39</v>
      </c>
      <c r="L132" s="24" t="s">
        <v>39</v>
      </c>
      <c r="M132" s="24" t="s">
        <v>39</v>
      </c>
      <c r="N132" s="24" t="s">
        <v>37</v>
      </c>
      <c r="O132" s="1"/>
      <c r="P132" s="1"/>
      <c r="Q132" s="1"/>
      <c r="R132" s="1" t="s">
        <v>51</v>
      </c>
      <c r="S132" s="1" t="s">
        <v>52</v>
      </c>
      <c r="T132" s="1" t="s">
        <v>53</v>
      </c>
      <c r="U132" s="1" t="s">
        <v>46</v>
      </c>
      <c r="V132" s="1" t="s">
        <v>46</v>
      </c>
      <c r="W132" s="1" t="s">
        <v>587</v>
      </c>
      <c r="X132" s="1" t="s">
        <v>588</v>
      </c>
      <c r="Y132" s="1" t="s">
        <v>45</v>
      </c>
      <c r="Z132" s="1" t="s">
        <v>46</v>
      </c>
      <c r="AA132" s="1" t="s">
        <v>47</v>
      </c>
      <c r="AB132" s="1" t="s">
        <v>37</v>
      </c>
      <c r="AC132" s="1" t="s">
        <v>37</v>
      </c>
      <c r="AD132" s="1" t="s">
        <v>39</v>
      </c>
      <c r="AE132" s="1" t="s">
        <v>39</v>
      </c>
      <c r="AF132" s="1" t="s">
        <v>39</v>
      </c>
      <c r="AG132" s="1" t="s">
        <v>37</v>
      </c>
      <c r="AH132" s="1" t="s">
        <v>37</v>
      </c>
      <c r="AI132" s="1" t="s">
        <v>39</v>
      </c>
      <c r="AJ132" s="1" t="s">
        <v>39</v>
      </c>
      <c r="AK132" s="1" t="str">
        <f t="shared" si="3"/>
        <v>Comum</v>
      </c>
      <c r="AL132" s="1" t="str">
        <f>+IF(IFERROR(VLOOKUP(A132,Ficheiros!I:I,1,FALSE),"")=A132,"Sim","Não")</f>
        <v>Não</v>
      </c>
      <c r="AM132" s="1" t="str">
        <f>+IF(IFERROR(VLOOKUP(A132,Ficheiros!E:E,1,FALSE),"")=A132,"Sim","Não")</f>
        <v>Não</v>
      </c>
      <c r="AN132" s="1" t="str">
        <f>+IF(IFERROR(VLOOKUP(A132,Ficheiros!O:O,1,FALSE),"")=A132,"Sim","Não")</f>
        <v>Não</v>
      </c>
      <c r="AO132" s="1" t="str">
        <f>+IF(IFERROR(VLOOKUP(A132,'Especificação Novos Req. LT (2'!A:A,1,FALSE),"")=A132,"Sim","Não")</f>
        <v>Sim</v>
      </c>
      <c r="AP132" s="1" t="str">
        <f>+IF(IFERROR(VLOOKUP(A132,Ficheiros!T:T,1,FALSE),"")=A132,"Sim","Não")</f>
        <v>Não</v>
      </c>
      <c r="AQ132" s="1" t="e">
        <f>+VLOOKUP(A132,Ficheiros!O:P,2,FALSE)</f>
        <v>#N/A</v>
      </c>
      <c r="AR132" s="1" t="e">
        <f>+VLOOKUP(A132,Ficheiros!R:S,3,FALSE)</f>
        <v>#N/A</v>
      </c>
      <c r="AS132" s="1" t="e">
        <f>+VLOOKUP(A132,Ficheiros!T:V,3,FALSE)</f>
        <v>#N/A</v>
      </c>
      <c r="AT132" s="1"/>
      <c r="AU132" s="1"/>
      <c r="AV132" s="1" t="s">
        <v>2535</v>
      </c>
      <c r="AW132" s="1"/>
      <c r="AX132" s="1"/>
    </row>
    <row r="133" spans="1:50" ht="14.5" hidden="1" customHeight="1" x14ac:dyDescent="0.35">
      <c r="A133" s="5" t="str">
        <f t="shared" si="2"/>
        <v>ENTITYPRSN_TYP</v>
      </c>
      <c r="B133" s="1" t="s">
        <v>589</v>
      </c>
      <c r="C133" s="1" t="s">
        <v>35</v>
      </c>
      <c r="D133" s="1" t="s">
        <v>49</v>
      </c>
      <c r="E133" s="1" t="s">
        <v>37</v>
      </c>
      <c r="F133" s="25" t="s">
        <v>590</v>
      </c>
      <c r="G133" s="1" t="s">
        <v>590</v>
      </c>
      <c r="H133" s="1" t="s">
        <v>39</v>
      </c>
      <c r="I133" s="1" t="s">
        <v>39</v>
      </c>
      <c r="J133" s="1" t="s">
        <v>39</v>
      </c>
      <c r="K133" s="1" t="s">
        <v>39</v>
      </c>
      <c r="L133" s="1" t="s">
        <v>39</v>
      </c>
      <c r="M133" s="1" t="s">
        <v>39</v>
      </c>
      <c r="N133" s="1" t="s">
        <v>39</v>
      </c>
      <c r="O133" s="1"/>
      <c r="P133" s="1"/>
      <c r="Q133" s="1"/>
      <c r="R133" s="1" t="s">
        <v>136</v>
      </c>
      <c r="S133" s="1" t="s">
        <v>52</v>
      </c>
      <c r="T133" s="1" t="s">
        <v>53</v>
      </c>
      <c r="U133" s="1" t="s">
        <v>42</v>
      </c>
      <c r="V133" s="1" t="s">
        <v>42</v>
      </c>
      <c r="W133" s="1" t="s">
        <v>591</v>
      </c>
      <c r="X133" s="1" t="s">
        <v>592</v>
      </c>
      <c r="Y133" s="1" t="s">
        <v>45</v>
      </c>
      <c r="Z133" s="1" t="s">
        <v>46</v>
      </c>
      <c r="AA133" s="1" t="s">
        <v>47</v>
      </c>
      <c r="AB133" s="1" t="s">
        <v>39</v>
      </c>
      <c r="AC133" s="1" t="s">
        <v>37</v>
      </c>
      <c r="AD133" s="1" t="s">
        <v>37</v>
      </c>
      <c r="AE133" s="1" t="s">
        <v>37</v>
      </c>
      <c r="AF133" s="1" t="s">
        <v>37</v>
      </c>
      <c r="AG133" s="1" t="s">
        <v>37</v>
      </c>
      <c r="AH133" s="1" t="s">
        <v>37</v>
      </c>
      <c r="AI133" s="1" t="s">
        <v>37</v>
      </c>
      <c r="AJ133" s="1" t="s">
        <v>39</v>
      </c>
      <c r="AK133" s="1" t="str">
        <f t="shared" si="3"/>
        <v>Fora de âmbito</v>
      </c>
      <c r="AL133" s="1" t="str">
        <f>+IF(IFERROR(VLOOKUP(A133,Ficheiros!I:I,1,FALSE),"")=A133,"Sim","Não")</f>
        <v>Sim</v>
      </c>
      <c r="AM133" s="1" t="str">
        <f>+IF(IFERROR(VLOOKUP(A133,Ficheiros!E:E,1,FALSE),"")=A133,"Sim","Não")</f>
        <v>Não</v>
      </c>
      <c r="AN133" s="1" t="str">
        <f>+IF(IFERROR(VLOOKUP(A133,Ficheiros!O:O,1,FALSE),"")=A133,"Sim","Não")</f>
        <v>Não</v>
      </c>
      <c r="AO133" s="1" t="str">
        <f>+IF(IFERROR(VLOOKUP(A133,'Especificação Novos Req. LT (2'!A:A,1,FALSE),"")=A133,"Sim","Não")</f>
        <v>Não</v>
      </c>
      <c r="AP133" s="1" t="str">
        <f>+IF(IFERROR(VLOOKUP(A133,Ficheiros!T:T,1,FALSE),"")=A133,"Sim","Não")</f>
        <v>Sim</v>
      </c>
      <c r="AQ133" s="1" t="e">
        <f>+VLOOKUP(A133,Ficheiros!O:P,2,FALSE)</f>
        <v>#N/A</v>
      </c>
      <c r="AR133" s="1" t="str">
        <f>+VLOOKUP(A133,Ficheiros!T:U,2,FALSE)</f>
        <v>5.1 Em testes - Re-especificação</v>
      </c>
      <c r="AS133" s="1" t="str">
        <f>+VLOOKUP(A133,Ficheiros!T:V,3,FALSE)</f>
        <v>PM</v>
      </c>
      <c r="AT133" s="1"/>
      <c r="AU133" s="1"/>
      <c r="AV133" s="1"/>
      <c r="AW133" s="1"/>
      <c r="AX133" s="1"/>
    </row>
    <row r="134" spans="1:50" ht="14.5" hidden="1" customHeight="1" x14ac:dyDescent="0.35">
      <c r="A134" s="5" t="str">
        <f t="shared" si="2"/>
        <v>ENTITYFR_CSH_FLW</v>
      </c>
      <c r="B134" s="1" t="s">
        <v>593</v>
      </c>
      <c r="C134" s="1" t="s">
        <v>35</v>
      </c>
      <c r="D134" s="1" t="s">
        <v>271</v>
      </c>
      <c r="E134" s="1" t="s">
        <v>37</v>
      </c>
      <c r="F134" s="25" t="s">
        <v>594</v>
      </c>
      <c r="G134" s="1" t="s">
        <v>594</v>
      </c>
      <c r="H134" s="1" t="s">
        <v>37</v>
      </c>
      <c r="I134" s="1" t="s">
        <v>37</v>
      </c>
      <c r="J134" s="1" t="s">
        <v>37</v>
      </c>
      <c r="K134" s="1" t="s">
        <v>37</v>
      </c>
      <c r="L134" s="1" t="s">
        <v>39</v>
      </c>
      <c r="M134" s="1" t="s">
        <v>39</v>
      </c>
      <c r="N134" s="1" t="s">
        <v>37</v>
      </c>
      <c r="O134" s="1"/>
      <c r="P134" s="1"/>
      <c r="Q134" s="1"/>
      <c r="R134" s="1" t="s">
        <v>273</v>
      </c>
      <c r="S134" s="1" t="s">
        <v>274</v>
      </c>
      <c r="T134" s="1">
        <v>99999999999</v>
      </c>
      <c r="U134" s="1">
        <v>11111111111</v>
      </c>
      <c r="V134" s="1">
        <v>11111111111</v>
      </c>
      <c r="W134" s="1" t="s">
        <v>595</v>
      </c>
      <c r="X134" s="1" t="s">
        <v>596</v>
      </c>
      <c r="Y134" s="1" t="s">
        <v>45</v>
      </c>
      <c r="Z134" s="1" t="s">
        <v>46</v>
      </c>
      <c r="AA134" s="1" t="s">
        <v>47</v>
      </c>
      <c r="AB134" s="1" t="s">
        <v>39</v>
      </c>
      <c r="AC134" s="1" t="s">
        <v>37</v>
      </c>
      <c r="AD134" s="1" t="s">
        <v>37</v>
      </c>
      <c r="AE134" s="1" t="s">
        <v>37</v>
      </c>
      <c r="AF134" s="1" t="s">
        <v>37</v>
      </c>
      <c r="AG134" s="1" t="s">
        <v>39</v>
      </c>
      <c r="AH134" s="1" t="s">
        <v>37</v>
      </c>
      <c r="AI134" s="1" t="s">
        <v>37</v>
      </c>
      <c r="AJ134" s="1" t="s">
        <v>39</v>
      </c>
      <c r="AK134" s="1" t="str">
        <f t="shared" si="3"/>
        <v>Fora de âmbito</v>
      </c>
      <c r="AL134" s="1" t="str">
        <f>+IF(IFERROR(VLOOKUP(A134,Ficheiros!I:I,1,FALSE),"")=A134,"Sim","Não")</f>
        <v>Sim</v>
      </c>
      <c r="AM134" s="1" t="str">
        <f>+IF(IFERROR(VLOOKUP(A134,Ficheiros!E:E,1,FALSE),"")=A134,"Sim","Não")</f>
        <v>Não</v>
      </c>
      <c r="AN134" s="1" t="str">
        <f>+IF(IFERROR(VLOOKUP(A134,Ficheiros!O:O,1,FALSE),"")=A134,"Sim","Não")</f>
        <v>Não</v>
      </c>
      <c r="AO134" s="1" t="str">
        <f>+IF(IFERROR(VLOOKUP(A134,'Especificação Novos Req. LT (2'!A:A,1,FALSE),"")=A134,"Sim","Não")</f>
        <v>Não</v>
      </c>
      <c r="AP134" s="1" t="str">
        <f>+IF(IFERROR(VLOOKUP(A134,Ficheiros!T:T,1,FALSE),"")=A134,"Sim","Não")</f>
        <v>Sim</v>
      </c>
      <c r="AQ134" s="1" t="e">
        <f>+VLOOKUP(A134,Ficheiros!O:P,2,FALSE)</f>
        <v>#N/A</v>
      </c>
      <c r="AR134" s="1" t="str">
        <f>+VLOOKUP(A134,Ficheiros!T:U,2,FALSE)</f>
        <v>1. Especificar</v>
      </c>
      <c r="AS134" s="1" t="str">
        <f>+VLOOKUP(A134,Ficheiros!T:V,3,FALSE)</f>
        <v>LF</v>
      </c>
      <c r="AT134" s="1"/>
      <c r="AU134" s="1"/>
      <c r="AV134" s="1"/>
      <c r="AW134" s="1"/>
      <c r="AX134" s="1"/>
    </row>
    <row r="135" spans="1:50" ht="14.5" hidden="1" customHeight="1" x14ac:dyDescent="0.35">
      <c r="A135" s="5" t="str">
        <f t="shared" si="2"/>
        <v>ENTITYFR_CSH_FLW_T1</v>
      </c>
      <c r="B135" s="1" t="s">
        <v>597</v>
      </c>
      <c r="C135" s="1" t="s">
        <v>35</v>
      </c>
      <c r="D135" s="1" t="s">
        <v>271</v>
      </c>
      <c r="E135" s="1" t="s">
        <v>37</v>
      </c>
      <c r="F135" s="25" t="s">
        <v>598</v>
      </c>
      <c r="G135" s="1" t="s">
        <v>598</v>
      </c>
      <c r="H135" s="1" t="s">
        <v>37</v>
      </c>
      <c r="I135" s="1" t="s">
        <v>37</v>
      </c>
      <c r="J135" s="1" t="s">
        <v>37</v>
      </c>
      <c r="K135" s="1" t="s">
        <v>37</v>
      </c>
      <c r="L135" s="1" t="s">
        <v>39</v>
      </c>
      <c r="M135" s="1" t="s">
        <v>39</v>
      </c>
      <c r="N135" s="1" t="s">
        <v>37</v>
      </c>
      <c r="O135" s="1"/>
      <c r="P135" s="1"/>
      <c r="Q135" s="1"/>
      <c r="R135" s="1" t="s">
        <v>273</v>
      </c>
      <c r="S135" s="1" t="s">
        <v>274</v>
      </c>
      <c r="T135" s="1">
        <v>99999999999</v>
      </c>
      <c r="U135" s="1">
        <v>11111111111</v>
      </c>
      <c r="V135" s="1">
        <v>11111111111</v>
      </c>
      <c r="W135" s="1" t="s">
        <v>599</v>
      </c>
      <c r="X135" s="1" t="s">
        <v>600</v>
      </c>
      <c r="Y135" s="1" t="s">
        <v>45</v>
      </c>
      <c r="Z135" s="1" t="s">
        <v>46</v>
      </c>
      <c r="AA135" s="1" t="s">
        <v>47</v>
      </c>
      <c r="AB135" s="1" t="s">
        <v>39</v>
      </c>
      <c r="AC135" s="1" t="s">
        <v>37</v>
      </c>
      <c r="AD135" s="1" t="s">
        <v>37</v>
      </c>
      <c r="AE135" s="1" t="s">
        <v>37</v>
      </c>
      <c r="AF135" s="1" t="s">
        <v>37</v>
      </c>
      <c r="AG135" s="1" t="s">
        <v>39</v>
      </c>
      <c r="AH135" s="1" t="s">
        <v>37</v>
      </c>
      <c r="AI135" s="1" t="s">
        <v>37</v>
      </c>
      <c r="AJ135" s="1" t="s">
        <v>39</v>
      </c>
      <c r="AK135" s="1" t="str">
        <f t="shared" si="3"/>
        <v>Fora de âmbito</v>
      </c>
      <c r="AL135" s="1" t="str">
        <f>+IF(IFERROR(VLOOKUP(A135,Ficheiros!I:I,1,FALSE),"")=A135,"Sim","Não")</f>
        <v>Sim</v>
      </c>
      <c r="AM135" s="1" t="str">
        <f>+IF(IFERROR(VLOOKUP(A135,Ficheiros!E:E,1,FALSE),"")=A135,"Sim","Não")</f>
        <v>Não</v>
      </c>
      <c r="AN135" s="1" t="str">
        <f>+IF(IFERROR(VLOOKUP(A135,Ficheiros!O:O,1,FALSE),"")=A135,"Sim","Não")</f>
        <v>Não</v>
      </c>
      <c r="AO135" s="1" t="str">
        <f>+IF(IFERROR(VLOOKUP(A135,'Especificação Novos Req. LT (2'!A:A,1,FALSE),"")=A135,"Sim","Não")</f>
        <v>Não</v>
      </c>
      <c r="AP135" s="1" t="str">
        <f>+IF(IFERROR(VLOOKUP(A135,Ficheiros!T:T,1,FALSE),"")=A135,"Sim","Não")</f>
        <v>Sim</v>
      </c>
      <c r="AQ135" s="1" t="e">
        <f>+VLOOKUP(A135,Ficheiros!O:P,2,FALSE)</f>
        <v>#N/A</v>
      </c>
      <c r="AR135" s="1" t="str">
        <f>+VLOOKUP(A135,Ficheiros!T:U,2,FALSE)</f>
        <v>1. Especificar</v>
      </c>
      <c r="AS135" s="1" t="str">
        <f>+VLOOKUP(A135,Ficheiros!T:V,3,FALSE)</f>
        <v>LF</v>
      </c>
      <c r="AT135" s="1"/>
      <c r="AU135" s="1"/>
      <c r="AV135" s="1"/>
      <c r="AW135" s="1"/>
      <c r="AX135" s="1"/>
    </row>
    <row r="136" spans="1:50" ht="14.5" hidden="1" customHeight="1" x14ac:dyDescent="0.35">
      <c r="A136" s="5" t="str">
        <f t="shared" si="2"/>
        <v>ENTITYFR_CSH_FLW_T2</v>
      </c>
      <c r="B136" s="1" t="s">
        <v>601</v>
      </c>
      <c r="C136" s="1" t="s">
        <v>35</v>
      </c>
      <c r="D136" s="1" t="s">
        <v>271</v>
      </c>
      <c r="E136" s="1" t="s">
        <v>37</v>
      </c>
      <c r="F136" s="25" t="s">
        <v>602</v>
      </c>
      <c r="G136" s="1" t="s">
        <v>602</v>
      </c>
      <c r="H136" s="1" t="s">
        <v>37</v>
      </c>
      <c r="I136" s="1" t="s">
        <v>37</v>
      </c>
      <c r="J136" s="1" t="s">
        <v>37</v>
      </c>
      <c r="K136" s="1" t="s">
        <v>37</v>
      </c>
      <c r="L136" s="1" t="s">
        <v>39</v>
      </c>
      <c r="M136" s="1" t="s">
        <v>39</v>
      </c>
      <c r="N136" s="1" t="s">
        <v>37</v>
      </c>
      <c r="O136" s="1"/>
      <c r="P136" s="1"/>
      <c r="Q136" s="1"/>
      <c r="R136" s="1" t="s">
        <v>273</v>
      </c>
      <c r="S136" s="1" t="s">
        <v>274</v>
      </c>
      <c r="T136" s="1">
        <v>99999999999</v>
      </c>
      <c r="U136" s="1">
        <v>11111111111</v>
      </c>
      <c r="V136" s="1">
        <v>11111111111</v>
      </c>
      <c r="W136" s="1" t="s">
        <v>603</v>
      </c>
      <c r="X136" s="1" t="s">
        <v>604</v>
      </c>
      <c r="Y136" s="1" t="s">
        <v>45</v>
      </c>
      <c r="Z136" s="1" t="s">
        <v>46</v>
      </c>
      <c r="AA136" s="1" t="s">
        <v>47</v>
      </c>
      <c r="AB136" s="1" t="s">
        <v>39</v>
      </c>
      <c r="AC136" s="1" t="s">
        <v>37</v>
      </c>
      <c r="AD136" s="1" t="s">
        <v>37</v>
      </c>
      <c r="AE136" s="1" t="s">
        <v>37</v>
      </c>
      <c r="AF136" s="1" t="s">
        <v>37</v>
      </c>
      <c r="AG136" s="1" t="s">
        <v>39</v>
      </c>
      <c r="AH136" s="1" t="s">
        <v>37</v>
      </c>
      <c r="AI136" s="1" t="s">
        <v>37</v>
      </c>
      <c r="AJ136" s="1" t="s">
        <v>39</v>
      </c>
      <c r="AK136" s="1" t="str">
        <f t="shared" si="3"/>
        <v>Fora de âmbito</v>
      </c>
      <c r="AL136" s="1" t="str">
        <f>+IF(IFERROR(VLOOKUP(A136,Ficheiros!I:I,1,FALSE),"")=A136,"Sim","Não")</f>
        <v>Sim</v>
      </c>
      <c r="AM136" s="1" t="str">
        <f>+IF(IFERROR(VLOOKUP(A136,Ficheiros!E:E,1,FALSE),"")=A136,"Sim","Não")</f>
        <v>Não</v>
      </c>
      <c r="AN136" s="1" t="str">
        <f>+IF(IFERROR(VLOOKUP(A136,Ficheiros!O:O,1,FALSE),"")=A136,"Sim","Não")</f>
        <v>Não</v>
      </c>
      <c r="AO136" s="1" t="str">
        <f>+IF(IFERROR(VLOOKUP(A136,'Especificação Novos Req. LT (2'!A:A,1,FALSE),"")=A136,"Sim","Não")</f>
        <v>Não</v>
      </c>
      <c r="AP136" s="1" t="str">
        <f>+IF(IFERROR(VLOOKUP(A136,Ficheiros!T:T,1,FALSE),"")=A136,"Sim","Não")</f>
        <v>Sim</v>
      </c>
      <c r="AQ136" s="1" t="e">
        <f>+VLOOKUP(A136,Ficheiros!O:P,2,FALSE)</f>
        <v>#N/A</v>
      </c>
      <c r="AR136" s="1" t="str">
        <f>+VLOOKUP(A136,Ficheiros!T:U,2,FALSE)</f>
        <v>1. Especificar</v>
      </c>
      <c r="AS136" s="1" t="str">
        <f>+VLOOKUP(A136,Ficheiros!T:V,3,FALSE)</f>
        <v>LF</v>
      </c>
      <c r="AT136" s="1"/>
      <c r="AU136" s="1"/>
      <c r="AV136" s="1"/>
      <c r="AW136" s="1"/>
      <c r="AX136" s="1"/>
    </row>
    <row r="137" spans="1:50" ht="14.5" hidden="1" customHeight="1" x14ac:dyDescent="0.35">
      <c r="A137" s="5" t="str">
        <f t="shared" si="2"/>
        <v>ENTITYFR_CSH_FLW_T3</v>
      </c>
      <c r="B137" s="1" t="s">
        <v>605</v>
      </c>
      <c r="C137" s="1" t="s">
        <v>35</v>
      </c>
      <c r="D137" s="1" t="s">
        <v>271</v>
      </c>
      <c r="E137" s="1" t="s">
        <v>37</v>
      </c>
      <c r="F137" s="25" t="s">
        <v>606</v>
      </c>
      <c r="G137" s="1" t="s">
        <v>606</v>
      </c>
      <c r="H137" s="1" t="s">
        <v>37</v>
      </c>
      <c r="I137" s="1" t="s">
        <v>37</v>
      </c>
      <c r="J137" s="1" t="s">
        <v>37</v>
      </c>
      <c r="K137" s="1" t="s">
        <v>37</v>
      </c>
      <c r="L137" s="1" t="s">
        <v>39</v>
      </c>
      <c r="M137" s="1" t="s">
        <v>39</v>
      </c>
      <c r="N137" s="1" t="s">
        <v>37</v>
      </c>
      <c r="O137" s="1"/>
      <c r="P137" s="1"/>
      <c r="Q137" s="1"/>
      <c r="R137" s="1" t="s">
        <v>273</v>
      </c>
      <c r="S137" s="1" t="s">
        <v>274</v>
      </c>
      <c r="T137" s="1">
        <v>99999999999</v>
      </c>
      <c r="U137" s="1">
        <v>11111111111</v>
      </c>
      <c r="V137" s="1">
        <v>11111111111</v>
      </c>
      <c r="W137" s="1" t="s">
        <v>607</v>
      </c>
      <c r="X137" s="1" t="s">
        <v>608</v>
      </c>
      <c r="Y137" s="1" t="s">
        <v>45</v>
      </c>
      <c r="Z137" s="1" t="s">
        <v>46</v>
      </c>
      <c r="AA137" s="1" t="s">
        <v>47</v>
      </c>
      <c r="AB137" s="1" t="s">
        <v>39</v>
      </c>
      <c r="AC137" s="1" t="s">
        <v>37</v>
      </c>
      <c r="AD137" s="1" t="s">
        <v>37</v>
      </c>
      <c r="AE137" s="1" t="s">
        <v>37</v>
      </c>
      <c r="AF137" s="1" t="s">
        <v>37</v>
      </c>
      <c r="AG137" s="1" t="s">
        <v>39</v>
      </c>
      <c r="AH137" s="1" t="s">
        <v>37</v>
      </c>
      <c r="AI137" s="1" t="s">
        <v>37</v>
      </c>
      <c r="AJ137" s="1" t="s">
        <v>39</v>
      </c>
      <c r="AK137" s="1" t="str">
        <f t="shared" si="3"/>
        <v>Fora de âmbito</v>
      </c>
      <c r="AL137" s="1" t="str">
        <f>+IF(IFERROR(VLOOKUP(A137,Ficheiros!I:I,1,FALSE),"")=A137,"Sim","Não")</f>
        <v>Sim</v>
      </c>
      <c r="AM137" s="1" t="str">
        <f>+IF(IFERROR(VLOOKUP(A137,Ficheiros!E:E,1,FALSE),"")=A137,"Sim","Não")</f>
        <v>Não</v>
      </c>
      <c r="AN137" s="1" t="str">
        <f>+IF(IFERROR(VLOOKUP(A137,Ficheiros!O:O,1,FALSE),"")=A137,"Sim","Não")</f>
        <v>Não</v>
      </c>
      <c r="AO137" s="1" t="str">
        <f>+IF(IFERROR(VLOOKUP(A137,'Especificação Novos Req. LT (2'!A:A,1,FALSE),"")=A137,"Sim","Não")</f>
        <v>Não</v>
      </c>
      <c r="AP137" s="1" t="str">
        <f>+IF(IFERROR(VLOOKUP(A137,Ficheiros!T:T,1,FALSE),"")=A137,"Sim","Não")</f>
        <v>Sim</v>
      </c>
      <c r="AQ137" s="1" t="e">
        <f>+VLOOKUP(A137,Ficheiros!O:P,2,FALSE)</f>
        <v>#N/A</v>
      </c>
      <c r="AR137" s="1" t="str">
        <f>+VLOOKUP(A137,Ficheiros!T:U,2,FALSE)</f>
        <v>1. Especificar</v>
      </c>
      <c r="AS137" s="1" t="str">
        <f>+VLOOKUP(A137,Ficheiros!T:V,3,FALSE)</f>
        <v>LF</v>
      </c>
      <c r="AT137" s="1"/>
      <c r="AU137" s="1"/>
      <c r="AV137" s="1"/>
      <c r="AW137" s="1"/>
      <c r="AX137" s="1"/>
    </row>
    <row r="138" spans="1:50" ht="14.5" hidden="1" customHeight="1" x14ac:dyDescent="0.35">
      <c r="A138" s="5" t="str">
        <f t="shared" ref="A138:A201" si="4">+C138&amp;G138</f>
        <v>ENTITYADDRSS_CTY</v>
      </c>
      <c r="B138" s="1" t="s">
        <v>609</v>
      </c>
      <c r="C138" s="1" t="s">
        <v>35</v>
      </c>
      <c r="D138" s="1" t="s">
        <v>49</v>
      </c>
      <c r="E138" s="1" t="s">
        <v>39</v>
      </c>
      <c r="F138" s="25" t="s">
        <v>610</v>
      </c>
      <c r="G138" s="1" t="s">
        <v>610</v>
      </c>
      <c r="H138" s="1" t="s">
        <v>39</v>
      </c>
      <c r="I138" s="1" t="s">
        <v>39</v>
      </c>
      <c r="J138" s="1" t="s">
        <v>39</v>
      </c>
      <c r="K138" s="1" t="s">
        <v>39</v>
      </c>
      <c r="L138" s="1" t="s">
        <v>39</v>
      </c>
      <c r="M138" s="1" t="s">
        <v>39</v>
      </c>
      <c r="N138" s="1" t="s">
        <v>39</v>
      </c>
      <c r="O138" s="1"/>
      <c r="P138" s="1"/>
      <c r="Q138" s="1"/>
      <c r="R138" s="1" t="s">
        <v>96</v>
      </c>
      <c r="S138" s="1" t="s">
        <v>41</v>
      </c>
      <c r="T138" s="1" t="s">
        <v>53</v>
      </c>
      <c r="U138" s="1" t="s">
        <v>46</v>
      </c>
      <c r="V138" s="1" t="s">
        <v>46</v>
      </c>
      <c r="W138" s="1" t="s">
        <v>611</v>
      </c>
      <c r="X138" s="1" t="s">
        <v>612</v>
      </c>
      <c r="Y138" s="1" t="s">
        <v>45</v>
      </c>
      <c r="Z138" s="1" t="s">
        <v>46</v>
      </c>
      <c r="AA138" s="1"/>
      <c r="AB138" s="1" t="s">
        <v>39</v>
      </c>
      <c r="AC138" s="1" t="s">
        <v>37</v>
      </c>
      <c r="AD138" s="1" t="s">
        <v>37</v>
      </c>
      <c r="AE138" s="1" t="s">
        <v>37</v>
      </c>
      <c r="AF138" s="1" t="s">
        <v>37</v>
      </c>
      <c r="AG138" s="1" t="s">
        <v>37</v>
      </c>
      <c r="AH138" s="1" t="s">
        <v>37</v>
      </c>
      <c r="AI138" s="1" t="s">
        <v>37</v>
      </c>
      <c r="AJ138" s="1" t="s">
        <v>39</v>
      </c>
      <c r="AK138" s="1" t="str">
        <f t="shared" ref="AK138:AK201" si="5">+IF(AND(AD138="N",AF138="N"),"Fora de âmbito",
IF(AND(AD138="N",AF138="Y"),"Apenas ESG Risk",
IF(AND(AD138="Y",AF138="N"),"Apenas Pilar 3",
IF(AND(AD138="Y",AF138="Y"),"Comum",""))))</f>
        <v>Fora de âmbito</v>
      </c>
      <c r="AL138" s="1" t="str">
        <f>+IF(IFERROR(VLOOKUP(A138,Ficheiros!I:I,1,FALSE),"")=A138,"Sim","Não")</f>
        <v>Não</v>
      </c>
      <c r="AM138" s="1" t="str">
        <f>+IF(IFERROR(VLOOKUP(A138,Ficheiros!E:E,1,FALSE),"")=A138,"Sim","Não")</f>
        <v>Não</v>
      </c>
      <c r="AN138" s="1" t="str">
        <f>+IF(IFERROR(VLOOKUP(A138,Ficheiros!O:O,1,FALSE),"")=A138,"Sim","Não")</f>
        <v>Não</v>
      </c>
      <c r="AO138" s="1" t="str">
        <f>+IF(IFERROR(VLOOKUP(A138,'Especificação Novos Req. LT (2'!A:A,1,FALSE),"")=A138,"Sim","Não")</f>
        <v>Não</v>
      </c>
      <c r="AP138" s="1" t="str">
        <f>+IF(IFERROR(VLOOKUP(A138,Ficheiros!T:T,1,FALSE),"")=A138,"Sim","Não")</f>
        <v>Sim</v>
      </c>
      <c r="AQ138" s="1" t="e">
        <f>+VLOOKUP(A138,Ficheiros!O:P,2,FALSE)</f>
        <v>#N/A</v>
      </c>
      <c r="AR138" s="1" t="str">
        <f>+VLOOKUP(A138,Ficheiros!T:U,2,FALSE)</f>
        <v>1. Especificar</v>
      </c>
      <c r="AS138" s="1" t="str">
        <f>+VLOOKUP(A138,Ficheiros!T:V,3,FALSE)</f>
        <v>PM - Novos Campos</v>
      </c>
      <c r="AT138" s="1"/>
      <c r="AU138" s="1"/>
      <c r="AV138" s="1"/>
      <c r="AW138" s="1"/>
      <c r="AX138" s="1"/>
    </row>
    <row r="139" spans="1:50" ht="14.5" hidden="1" customHeight="1" x14ac:dyDescent="0.35">
      <c r="A139" s="5" t="str">
        <f t="shared" si="4"/>
        <v>ENTITYADDRSS_STRT</v>
      </c>
      <c r="B139" s="1" t="s">
        <v>613</v>
      </c>
      <c r="C139" s="1" t="s">
        <v>35</v>
      </c>
      <c r="D139" s="1" t="s">
        <v>49</v>
      </c>
      <c r="E139" s="1" t="s">
        <v>39</v>
      </c>
      <c r="F139" s="25" t="s">
        <v>614</v>
      </c>
      <c r="G139" s="1" t="s">
        <v>614</v>
      </c>
      <c r="H139" s="1" t="s">
        <v>39</v>
      </c>
      <c r="I139" s="1" t="s">
        <v>39</v>
      </c>
      <c r="J139" s="1" t="s">
        <v>39</v>
      </c>
      <c r="K139" s="1" t="s">
        <v>39</v>
      </c>
      <c r="L139" s="1" t="s">
        <v>39</v>
      </c>
      <c r="M139" s="1" t="s">
        <v>39</v>
      </c>
      <c r="N139" s="1" t="s">
        <v>39</v>
      </c>
      <c r="O139" s="1"/>
      <c r="P139" s="1"/>
      <c r="Q139" s="1"/>
      <c r="R139" s="1" t="s">
        <v>96</v>
      </c>
      <c r="S139" s="1" t="s">
        <v>41</v>
      </c>
      <c r="T139" s="1" t="s">
        <v>53</v>
      </c>
      <c r="U139" s="1" t="s">
        <v>46</v>
      </c>
      <c r="V139" s="1" t="s">
        <v>46</v>
      </c>
      <c r="W139" s="1" t="s">
        <v>615</v>
      </c>
      <c r="X139" s="1" t="s">
        <v>616</v>
      </c>
      <c r="Y139" s="1" t="s">
        <v>45</v>
      </c>
      <c r="Z139" s="1" t="s">
        <v>46</v>
      </c>
      <c r="AA139" s="1"/>
      <c r="AB139" s="1" t="s">
        <v>39</v>
      </c>
      <c r="AC139" s="1" t="s">
        <v>37</v>
      </c>
      <c r="AD139" s="1" t="s">
        <v>37</v>
      </c>
      <c r="AE139" s="1" t="s">
        <v>37</v>
      </c>
      <c r="AF139" s="1" t="s">
        <v>37</v>
      </c>
      <c r="AG139" s="1" t="s">
        <v>37</v>
      </c>
      <c r="AH139" s="1" t="s">
        <v>37</v>
      </c>
      <c r="AI139" s="1" t="s">
        <v>37</v>
      </c>
      <c r="AJ139" s="1" t="s">
        <v>39</v>
      </c>
      <c r="AK139" s="1" t="str">
        <f t="shared" si="5"/>
        <v>Fora de âmbito</v>
      </c>
      <c r="AL139" s="1" t="str">
        <f>+IF(IFERROR(VLOOKUP(A139,Ficheiros!I:I,1,FALSE),"")=A139,"Sim","Não")</f>
        <v>Não</v>
      </c>
      <c r="AM139" s="1" t="str">
        <f>+IF(IFERROR(VLOOKUP(A139,Ficheiros!E:E,1,FALSE),"")=A139,"Sim","Não")</f>
        <v>Não</v>
      </c>
      <c r="AN139" s="1" t="str">
        <f>+IF(IFERROR(VLOOKUP(A139,Ficheiros!O:O,1,FALSE),"")=A139,"Sim","Não")</f>
        <v>Não</v>
      </c>
      <c r="AO139" s="1" t="str">
        <f>+IF(IFERROR(VLOOKUP(A139,'Especificação Novos Req. LT (2'!A:A,1,FALSE),"")=A139,"Sim","Não")</f>
        <v>Não</v>
      </c>
      <c r="AP139" s="1" t="str">
        <f>+IF(IFERROR(VLOOKUP(A139,Ficheiros!T:T,1,FALSE),"")=A139,"Sim","Não")</f>
        <v>Sim</v>
      </c>
      <c r="AQ139" s="1" t="e">
        <f>+VLOOKUP(A139,Ficheiros!O:P,2,FALSE)</f>
        <v>#N/A</v>
      </c>
      <c r="AR139" s="1" t="str">
        <f>+VLOOKUP(A139,Ficheiros!T:U,2,FALSE)</f>
        <v>1. Especificar</v>
      </c>
      <c r="AS139" s="1" t="str">
        <f>+VLOOKUP(A139,Ficheiros!T:V,3,FALSE)</f>
        <v>PM - Novos Campos</v>
      </c>
      <c r="AT139" s="1"/>
      <c r="AU139" s="1"/>
      <c r="AV139" s="1"/>
      <c r="AW139" s="1"/>
      <c r="AX139" s="1"/>
    </row>
    <row r="140" spans="1:50" ht="14.5" hidden="1" customHeight="1" x14ac:dyDescent="0.35">
      <c r="A140" s="5" t="str">
        <f t="shared" si="4"/>
        <v>ENTITYDT_ENTRPRS_SZ</v>
      </c>
      <c r="B140" s="1" t="s">
        <v>617</v>
      </c>
      <c r="C140" s="1" t="s">
        <v>35</v>
      </c>
      <c r="D140" s="1" t="s">
        <v>49</v>
      </c>
      <c r="E140" s="1" t="s">
        <v>39</v>
      </c>
      <c r="F140" s="25" t="s">
        <v>618</v>
      </c>
      <c r="G140" s="1" t="s">
        <v>618</v>
      </c>
      <c r="H140" s="1" t="s">
        <v>37</v>
      </c>
      <c r="I140" s="1" t="s">
        <v>37</v>
      </c>
      <c r="J140" s="1" t="s">
        <v>37</v>
      </c>
      <c r="K140" s="1" t="s">
        <v>37</v>
      </c>
      <c r="L140" s="1" t="s">
        <v>37</v>
      </c>
      <c r="M140" s="1" t="s">
        <v>39</v>
      </c>
      <c r="N140" s="1" t="s">
        <v>37</v>
      </c>
      <c r="O140" s="1"/>
      <c r="P140" s="1"/>
      <c r="Q140" s="1"/>
      <c r="R140" s="1" t="s">
        <v>60</v>
      </c>
      <c r="S140" s="1" t="s">
        <v>61</v>
      </c>
      <c r="T140" s="1" t="s">
        <v>62</v>
      </c>
      <c r="U140" s="1" t="s">
        <v>63</v>
      </c>
      <c r="V140" s="1" t="s">
        <v>63</v>
      </c>
      <c r="W140" s="1" t="s">
        <v>619</v>
      </c>
      <c r="X140" s="1" t="s">
        <v>620</v>
      </c>
      <c r="Y140" s="1" t="s">
        <v>45</v>
      </c>
      <c r="Z140" s="1" t="s">
        <v>46</v>
      </c>
      <c r="AA140" s="1"/>
      <c r="AB140" s="1" t="s">
        <v>39</v>
      </c>
      <c r="AC140" s="1" t="s">
        <v>37</v>
      </c>
      <c r="AD140" s="1" t="s">
        <v>37</v>
      </c>
      <c r="AE140" s="1" t="s">
        <v>37</v>
      </c>
      <c r="AF140" s="1" t="s">
        <v>37</v>
      </c>
      <c r="AG140" s="1" t="s">
        <v>37</v>
      </c>
      <c r="AH140" s="1" t="s">
        <v>37</v>
      </c>
      <c r="AI140" s="1" t="s">
        <v>37</v>
      </c>
      <c r="AJ140" s="1" t="s">
        <v>39</v>
      </c>
      <c r="AK140" s="1" t="str">
        <f t="shared" si="5"/>
        <v>Fora de âmbito</v>
      </c>
      <c r="AL140" s="1" t="str">
        <f>+IF(IFERROR(VLOOKUP(A140,Ficheiros!I:I,1,FALSE),"")=A140,"Sim","Não")</f>
        <v>Não</v>
      </c>
      <c r="AM140" s="1" t="str">
        <f>+IF(IFERROR(VLOOKUP(A140,Ficheiros!E:E,1,FALSE),"")=A140,"Sim","Não")</f>
        <v>Não</v>
      </c>
      <c r="AN140" s="1" t="str">
        <f>+IF(IFERROR(VLOOKUP(A140,Ficheiros!O:O,1,FALSE),"")=A140,"Sim","Não")</f>
        <v>Não</v>
      </c>
      <c r="AO140" s="1" t="str">
        <f>+IF(IFERROR(VLOOKUP(A140,'Especificação Novos Req. LT (2'!A:A,1,FALSE),"")=A140,"Sim","Não")</f>
        <v>Não</v>
      </c>
      <c r="AP140" s="1" t="str">
        <f>+IF(IFERROR(VLOOKUP(A140,Ficheiros!T:T,1,FALSE),"")=A140,"Sim","Não")</f>
        <v>Sim</v>
      </c>
      <c r="AQ140" s="1" t="e">
        <f>+VLOOKUP(A140,Ficheiros!O:P,2,FALSE)</f>
        <v>#N/A</v>
      </c>
      <c r="AR140" s="1" t="str">
        <f>+VLOOKUP(A140,Ficheiros!T:U,2,FALSE)</f>
        <v>1. Especificar</v>
      </c>
      <c r="AS140" s="1" t="str">
        <f>+VLOOKUP(A140,Ficheiros!T:V,3,FALSE)</f>
        <v>PM - Novos Campos</v>
      </c>
      <c r="AT140" s="1"/>
      <c r="AU140" s="1"/>
      <c r="AV140" s="1"/>
      <c r="AW140" s="1"/>
      <c r="AX140" s="1"/>
    </row>
    <row r="141" spans="1:50" ht="14.5" hidden="1" customHeight="1" x14ac:dyDescent="0.35">
      <c r="A141" s="5" t="str">
        <f t="shared" si="4"/>
        <v>ENTITYNMBR_EMPLYS</v>
      </c>
      <c r="B141" s="1" t="s">
        <v>621</v>
      </c>
      <c r="C141" s="1" t="s">
        <v>35</v>
      </c>
      <c r="D141" s="1" t="s">
        <v>49</v>
      </c>
      <c r="E141" s="1" t="s">
        <v>39</v>
      </c>
      <c r="F141" s="25" t="s">
        <v>622</v>
      </c>
      <c r="G141" s="1" t="s">
        <v>622</v>
      </c>
      <c r="H141" s="1" t="s">
        <v>37</v>
      </c>
      <c r="I141" s="1" t="s">
        <v>37</v>
      </c>
      <c r="J141" s="1" t="s">
        <v>37</v>
      </c>
      <c r="K141" s="1" t="s">
        <v>37</v>
      </c>
      <c r="L141" s="1" t="s">
        <v>37</v>
      </c>
      <c r="M141" s="1" t="s">
        <v>39</v>
      </c>
      <c r="N141" s="1" t="s">
        <v>37</v>
      </c>
      <c r="O141" s="1"/>
      <c r="P141" s="1"/>
      <c r="Q141" s="1"/>
      <c r="R141" s="1" t="s">
        <v>623</v>
      </c>
      <c r="S141" s="1" t="s">
        <v>624</v>
      </c>
      <c r="T141" s="1">
        <v>99999999999</v>
      </c>
      <c r="U141" s="1">
        <v>11111111111</v>
      </c>
      <c r="V141" s="1">
        <v>11111111111</v>
      </c>
      <c r="W141" s="1" t="s">
        <v>625</v>
      </c>
      <c r="X141" s="1" t="s">
        <v>626</v>
      </c>
      <c r="Y141" s="1" t="s">
        <v>45</v>
      </c>
      <c r="Z141" s="1" t="s">
        <v>46</v>
      </c>
      <c r="AA141" s="1"/>
      <c r="AB141" s="1" t="s">
        <v>39</v>
      </c>
      <c r="AC141" s="1" t="s">
        <v>37</v>
      </c>
      <c r="AD141" s="1" t="s">
        <v>37</v>
      </c>
      <c r="AE141" s="1" t="s">
        <v>37</v>
      </c>
      <c r="AF141" s="1" t="s">
        <v>37</v>
      </c>
      <c r="AG141" s="1" t="s">
        <v>37</v>
      </c>
      <c r="AH141" s="1" t="s">
        <v>37</v>
      </c>
      <c r="AI141" s="1" t="s">
        <v>37</v>
      </c>
      <c r="AJ141" s="1" t="s">
        <v>39</v>
      </c>
      <c r="AK141" s="1" t="str">
        <f t="shared" si="5"/>
        <v>Fora de âmbito</v>
      </c>
      <c r="AL141" s="1" t="str">
        <f>+IF(IFERROR(VLOOKUP(A141,Ficheiros!I:I,1,FALSE),"")=A141,"Sim","Não")</f>
        <v>Não</v>
      </c>
      <c r="AM141" s="1" t="str">
        <f>+IF(IFERROR(VLOOKUP(A141,Ficheiros!E:E,1,FALSE),"")=A141,"Sim","Não")</f>
        <v>Não</v>
      </c>
      <c r="AN141" s="1" t="str">
        <f>+IF(IFERROR(VLOOKUP(A141,Ficheiros!O:O,1,FALSE),"")=A141,"Sim","Não")</f>
        <v>Não</v>
      </c>
      <c r="AO141" s="1" t="str">
        <f>+IF(IFERROR(VLOOKUP(A141,'Especificação Novos Req. LT (2'!A:A,1,FALSE),"")=A141,"Sim","Não")</f>
        <v>Não</v>
      </c>
      <c r="AP141" s="1" t="str">
        <f>+IF(IFERROR(VLOOKUP(A141,Ficheiros!T:T,1,FALSE),"")=A141,"Sim","Não")</f>
        <v>Sim</v>
      </c>
      <c r="AQ141" s="1" t="e">
        <f>+VLOOKUP(A141,Ficheiros!O:P,2,FALSE)</f>
        <v>#N/A</v>
      </c>
      <c r="AR141" s="1" t="str">
        <f>+VLOOKUP(A141,Ficheiros!T:U,2,FALSE)</f>
        <v>1. Especificar</v>
      </c>
      <c r="AS141" s="1" t="str">
        <f>+VLOOKUP(A141,Ficheiros!T:V,3,FALSE)</f>
        <v>PM - Novos Campos</v>
      </c>
      <c r="AT141" s="1"/>
      <c r="AU141" s="1"/>
      <c r="AV141" s="1"/>
      <c r="AW141" s="1"/>
      <c r="AX141" s="1"/>
    </row>
    <row r="142" spans="1:50" ht="14.5" hidden="1" customHeight="1" x14ac:dyDescent="0.35">
      <c r="A142" s="5" t="str">
        <f t="shared" si="4"/>
        <v>ENTITYLGL_FRM</v>
      </c>
      <c r="B142" s="1" t="s">
        <v>627</v>
      </c>
      <c r="C142" s="1" t="s">
        <v>35</v>
      </c>
      <c r="D142" s="1" t="s">
        <v>49</v>
      </c>
      <c r="E142" s="1" t="s">
        <v>39</v>
      </c>
      <c r="F142" s="25" t="s">
        <v>628</v>
      </c>
      <c r="G142" s="1" t="s">
        <v>628</v>
      </c>
      <c r="H142" s="1" t="s">
        <v>37</v>
      </c>
      <c r="I142" s="1" t="s">
        <v>37</v>
      </c>
      <c r="J142" s="1" t="s">
        <v>37</v>
      </c>
      <c r="K142" s="1" t="s">
        <v>39</v>
      </c>
      <c r="L142" s="1" t="s">
        <v>39</v>
      </c>
      <c r="M142" s="1" t="s">
        <v>39</v>
      </c>
      <c r="N142" s="1" t="s">
        <v>37</v>
      </c>
      <c r="O142" s="1"/>
      <c r="P142" s="1"/>
      <c r="Q142" s="1"/>
      <c r="R142" s="1" t="s">
        <v>96</v>
      </c>
      <c r="S142" s="1" t="s">
        <v>41</v>
      </c>
      <c r="T142" s="1" t="s">
        <v>53</v>
      </c>
      <c r="U142" s="1" t="s">
        <v>46</v>
      </c>
      <c r="V142" s="1" t="s">
        <v>46</v>
      </c>
      <c r="W142" s="1" t="s">
        <v>629</v>
      </c>
      <c r="X142" s="1" t="s">
        <v>630</v>
      </c>
      <c r="Y142" s="1" t="s">
        <v>45</v>
      </c>
      <c r="Z142" s="1" t="s">
        <v>46</v>
      </c>
      <c r="AA142" s="1"/>
      <c r="AB142" s="1" t="s">
        <v>39</v>
      </c>
      <c r="AC142" s="1" t="s">
        <v>37</v>
      </c>
      <c r="AD142" s="1" t="s">
        <v>37</v>
      </c>
      <c r="AE142" s="1" t="s">
        <v>37</v>
      </c>
      <c r="AF142" s="1" t="s">
        <v>37</v>
      </c>
      <c r="AG142" s="1" t="s">
        <v>37</v>
      </c>
      <c r="AH142" s="1" t="s">
        <v>37</v>
      </c>
      <c r="AI142" s="1" t="s">
        <v>37</v>
      </c>
      <c r="AJ142" s="1" t="s">
        <v>39</v>
      </c>
      <c r="AK142" s="1" t="str">
        <f t="shared" si="5"/>
        <v>Fora de âmbito</v>
      </c>
      <c r="AL142" s="1" t="str">
        <f>+IF(IFERROR(VLOOKUP(A142,Ficheiros!I:I,1,FALSE),"")=A142,"Sim","Não")</f>
        <v>Não</v>
      </c>
      <c r="AM142" s="1" t="str">
        <f>+IF(IFERROR(VLOOKUP(A142,Ficheiros!E:E,1,FALSE),"")=A142,"Sim","Não")</f>
        <v>Não</v>
      </c>
      <c r="AN142" s="1" t="str">
        <f>+IF(IFERROR(VLOOKUP(A142,Ficheiros!O:O,1,FALSE),"")=A142,"Sim","Não")</f>
        <v>Não</v>
      </c>
      <c r="AO142" s="1" t="str">
        <f>+IF(IFERROR(VLOOKUP(A142,'Especificação Novos Req. LT (2'!A:A,1,FALSE),"")=A142,"Sim","Não")</f>
        <v>Não</v>
      </c>
      <c r="AP142" s="1" t="str">
        <f>+IF(IFERROR(VLOOKUP(A142,Ficheiros!T:T,1,FALSE),"")=A142,"Sim","Não")</f>
        <v>Sim</v>
      </c>
      <c r="AQ142" s="1" t="e">
        <f>+VLOOKUP(A142,Ficheiros!O:P,2,FALSE)</f>
        <v>#N/A</v>
      </c>
      <c r="AR142" s="1" t="str">
        <f>+VLOOKUP(A142,Ficheiros!T:U,2,FALSE)</f>
        <v>1. Especificar</v>
      </c>
      <c r="AS142" s="1" t="str">
        <f>+VLOOKUP(A142,Ficheiros!T:V,3,FALSE)</f>
        <v>PM - Novos Campos</v>
      </c>
      <c r="AT142" s="1"/>
      <c r="AU142" s="1"/>
      <c r="AV142" s="1"/>
      <c r="AW142" s="1"/>
      <c r="AX142" s="1"/>
    </row>
    <row r="143" spans="1:50" ht="14.5" hidden="1" customHeight="1" x14ac:dyDescent="0.35">
      <c r="A143" s="5" t="str">
        <f t="shared" si="4"/>
        <v>ENTITYHD_OFFC_UNDRTKNG_ID</v>
      </c>
      <c r="B143" s="1" t="s">
        <v>631</v>
      </c>
      <c r="C143" s="1" t="s">
        <v>35</v>
      </c>
      <c r="D143" s="1" t="s">
        <v>49</v>
      </c>
      <c r="E143" s="1" t="s">
        <v>39</v>
      </c>
      <c r="F143" s="25" t="s">
        <v>632</v>
      </c>
      <c r="G143" s="1" t="s">
        <v>632</v>
      </c>
      <c r="H143" s="1" t="s">
        <v>37</v>
      </c>
      <c r="I143" s="1" t="s">
        <v>37</v>
      </c>
      <c r="J143" s="1" t="s">
        <v>37</v>
      </c>
      <c r="K143" s="1" t="s">
        <v>39</v>
      </c>
      <c r="L143" s="1" t="s">
        <v>39</v>
      </c>
      <c r="M143" s="1" t="s">
        <v>39</v>
      </c>
      <c r="N143" s="1" t="s">
        <v>37</v>
      </c>
      <c r="O143" s="1"/>
      <c r="P143" s="1"/>
      <c r="Q143" s="1"/>
      <c r="R143" s="1" t="s">
        <v>96</v>
      </c>
      <c r="S143" s="1" t="s">
        <v>41</v>
      </c>
      <c r="T143" s="1" t="s">
        <v>53</v>
      </c>
      <c r="U143" s="1" t="s">
        <v>46</v>
      </c>
      <c r="V143" s="1" t="s">
        <v>46</v>
      </c>
      <c r="W143" s="1" t="s">
        <v>633</v>
      </c>
      <c r="X143" s="1" t="s">
        <v>634</v>
      </c>
      <c r="Y143" s="1" t="s">
        <v>45</v>
      </c>
      <c r="Z143" s="1" t="s">
        <v>46</v>
      </c>
      <c r="AA143" s="1"/>
      <c r="AB143" s="1" t="s">
        <v>39</v>
      </c>
      <c r="AC143" s="1" t="s">
        <v>37</v>
      </c>
      <c r="AD143" s="1" t="s">
        <v>37</v>
      </c>
      <c r="AE143" s="1" t="s">
        <v>37</v>
      </c>
      <c r="AF143" s="1" t="s">
        <v>37</v>
      </c>
      <c r="AG143" s="1" t="s">
        <v>37</v>
      </c>
      <c r="AH143" s="1" t="s">
        <v>37</v>
      </c>
      <c r="AI143" s="1" t="s">
        <v>37</v>
      </c>
      <c r="AJ143" s="1" t="s">
        <v>39</v>
      </c>
      <c r="AK143" s="1" t="str">
        <f t="shared" si="5"/>
        <v>Fora de âmbito</v>
      </c>
      <c r="AL143" s="1" t="str">
        <f>+IF(IFERROR(VLOOKUP(A143,Ficheiros!I:I,1,FALSE),"")=A143,"Sim","Não")</f>
        <v>Não</v>
      </c>
      <c r="AM143" s="1" t="str">
        <f>+IF(IFERROR(VLOOKUP(A143,Ficheiros!E:E,1,FALSE),"")=A143,"Sim","Não")</f>
        <v>Não</v>
      </c>
      <c r="AN143" s="1" t="str">
        <f>+IF(IFERROR(VLOOKUP(A143,Ficheiros!O:O,1,FALSE),"")=A143,"Sim","Não")</f>
        <v>Não</v>
      </c>
      <c r="AO143" s="1" t="str">
        <f>+IF(IFERROR(VLOOKUP(A143,'Especificação Novos Req. LT (2'!A:A,1,FALSE),"")=A143,"Sim","Não")</f>
        <v>Não</v>
      </c>
      <c r="AP143" s="1" t="str">
        <f>+IF(IFERROR(VLOOKUP(A143,Ficheiros!T:T,1,FALSE),"")=A143,"Sim","Não")</f>
        <v>Sim</v>
      </c>
      <c r="AQ143" s="1" t="e">
        <f>+VLOOKUP(A143,Ficheiros!O:P,2,FALSE)</f>
        <v>#N/A</v>
      </c>
      <c r="AR143" s="1" t="str">
        <f>+VLOOKUP(A143,Ficheiros!T:U,2,FALSE)</f>
        <v>1. Especificar</v>
      </c>
      <c r="AS143" s="1" t="str">
        <f>+VLOOKUP(A143,Ficheiros!T:V,3,FALSE)</f>
        <v>PM - Novos Campos</v>
      </c>
      <c r="AT143" s="1"/>
      <c r="AU143" s="1"/>
      <c r="AV143" s="1"/>
      <c r="AW143" s="1"/>
      <c r="AX143" s="1"/>
    </row>
    <row r="144" spans="1:50" ht="14.5" hidden="1" customHeight="1" x14ac:dyDescent="0.35">
      <c r="A144" s="5" t="str">
        <f t="shared" si="4"/>
        <v>ENTITYIMMDT_PRNT_UNDRTKNG_ID</v>
      </c>
      <c r="B144" s="1" t="s">
        <v>635</v>
      </c>
      <c r="C144" s="1" t="s">
        <v>35</v>
      </c>
      <c r="D144" s="1" t="s">
        <v>49</v>
      </c>
      <c r="E144" s="1" t="s">
        <v>39</v>
      </c>
      <c r="F144" s="25" t="s">
        <v>636</v>
      </c>
      <c r="G144" s="1" t="s">
        <v>636</v>
      </c>
      <c r="H144" s="1" t="s">
        <v>37</v>
      </c>
      <c r="I144" s="1" t="s">
        <v>37</v>
      </c>
      <c r="J144" s="1" t="s">
        <v>37</v>
      </c>
      <c r="K144" s="1" t="s">
        <v>39</v>
      </c>
      <c r="L144" s="1" t="s">
        <v>39</v>
      </c>
      <c r="M144" s="1" t="s">
        <v>39</v>
      </c>
      <c r="N144" s="1" t="s">
        <v>37</v>
      </c>
      <c r="O144" s="1"/>
      <c r="P144" s="1"/>
      <c r="Q144" s="1"/>
      <c r="R144" s="1" t="s">
        <v>96</v>
      </c>
      <c r="S144" s="1" t="s">
        <v>41</v>
      </c>
      <c r="T144" s="1" t="s">
        <v>53</v>
      </c>
      <c r="U144" s="1" t="s">
        <v>46</v>
      </c>
      <c r="V144" s="1" t="s">
        <v>46</v>
      </c>
      <c r="W144" s="1" t="s">
        <v>637</v>
      </c>
      <c r="X144" s="1" t="s">
        <v>638</v>
      </c>
      <c r="Y144" s="1" t="s">
        <v>45</v>
      </c>
      <c r="Z144" s="1" t="s">
        <v>46</v>
      </c>
      <c r="AA144" s="1"/>
      <c r="AB144" s="1" t="s">
        <v>39</v>
      </c>
      <c r="AC144" s="1" t="s">
        <v>37</v>
      </c>
      <c r="AD144" s="1" t="s">
        <v>37</v>
      </c>
      <c r="AE144" s="1" t="s">
        <v>37</v>
      </c>
      <c r="AF144" s="1" t="s">
        <v>37</v>
      </c>
      <c r="AG144" s="1" t="s">
        <v>37</v>
      </c>
      <c r="AH144" s="1" t="s">
        <v>37</v>
      </c>
      <c r="AI144" s="1" t="s">
        <v>37</v>
      </c>
      <c r="AJ144" s="1" t="s">
        <v>39</v>
      </c>
      <c r="AK144" s="1" t="str">
        <f t="shared" si="5"/>
        <v>Fora de âmbito</v>
      </c>
      <c r="AL144" s="1" t="str">
        <f>+IF(IFERROR(VLOOKUP(A144,Ficheiros!I:I,1,FALSE),"")=A144,"Sim","Não")</f>
        <v>Não</v>
      </c>
      <c r="AM144" s="1" t="str">
        <f>+IF(IFERROR(VLOOKUP(A144,Ficheiros!E:E,1,FALSE),"")=A144,"Sim","Não")</f>
        <v>Não</v>
      </c>
      <c r="AN144" s="1" t="str">
        <f>+IF(IFERROR(VLOOKUP(A144,Ficheiros!O:O,1,FALSE),"")=A144,"Sim","Não")</f>
        <v>Não</v>
      </c>
      <c r="AO144" s="1" t="str">
        <f>+IF(IFERROR(VLOOKUP(A144,'Especificação Novos Req. LT (2'!A:A,1,FALSE),"")=A144,"Sim","Não")</f>
        <v>Não</v>
      </c>
      <c r="AP144" s="1" t="str">
        <f>+IF(IFERROR(VLOOKUP(A144,Ficheiros!T:T,1,FALSE),"")=A144,"Sim","Não")</f>
        <v>Sim</v>
      </c>
      <c r="AQ144" s="1" t="e">
        <f>+VLOOKUP(A144,Ficheiros!O:P,2,FALSE)</f>
        <v>#N/A</v>
      </c>
      <c r="AR144" s="1" t="str">
        <f>+VLOOKUP(A144,Ficheiros!T:U,2,FALSE)</f>
        <v>1. Especificar</v>
      </c>
      <c r="AS144" s="1" t="str">
        <f>+VLOOKUP(A144,Ficheiros!T:V,3,FALSE)</f>
        <v>PM - Novos Campos</v>
      </c>
      <c r="AT144" s="1"/>
      <c r="AU144" s="1"/>
      <c r="AV144" s="1"/>
      <c r="AW144" s="1"/>
      <c r="AX144" s="1"/>
    </row>
    <row r="145" spans="1:50" ht="14.5" hidden="1" customHeight="1" x14ac:dyDescent="0.35">
      <c r="A145" s="5" t="str">
        <f t="shared" si="4"/>
        <v>ENTITYULTMT_PRNT_UNDRTKNG_ID</v>
      </c>
      <c r="B145" s="1" t="s">
        <v>639</v>
      </c>
      <c r="C145" s="1" t="s">
        <v>35</v>
      </c>
      <c r="D145" s="1" t="s">
        <v>49</v>
      </c>
      <c r="E145" s="1" t="s">
        <v>39</v>
      </c>
      <c r="F145" s="25" t="s">
        <v>640</v>
      </c>
      <c r="G145" s="1" t="s">
        <v>640</v>
      </c>
      <c r="H145" s="1" t="s">
        <v>37</v>
      </c>
      <c r="I145" s="1" t="s">
        <v>37</v>
      </c>
      <c r="J145" s="1" t="s">
        <v>37</v>
      </c>
      <c r="K145" s="1" t="s">
        <v>39</v>
      </c>
      <c r="L145" s="1" t="s">
        <v>39</v>
      </c>
      <c r="M145" s="1" t="s">
        <v>39</v>
      </c>
      <c r="N145" s="1" t="s">
        <v>37</v>
      </c>
      <c r="O145" s="1"/>
      <c r="P145" s="1"/>
      <c r="Q145" s="1"/>
      <c r="R145" s="1" t="s">
        <v>96</v>
      </c>
      <c r="S145" s="1" t="s">
        <v>41</v>
      </c>
      <c r="T145" s="1" t="s">
        <v>53</v>
      </c>
      <c r="U145" s="1" t="s">
        <v>46</v>
      </c>
      <c r="V145" s="1" t="s">
        <v>46</v>
      </c>
      <c r="W145" s="1" t="s">
        <v>641</v>
      </c>
      <c r="X145" s="1" t="s">
        <v>642</v>
      </c>
      <c r="Y145" s="1" t="s">
        <v>45</v>
      </c>
      <c r="Z145" s="1" t="s">
        <v>46</v>
      </c>
      <c r="AA145" s="1"/>
      <c r="AB145" s="1" t="s">
        <v>39</v>
      </c>
      <c r="AC145" s="1" t="s">
        <v>37</v>
      </c>
      <c r="AD145" s="1" t="s">
        <v>37</v>
      </c>
      <c r="AE145" s="1" t="s">
        <v>37</v>
      </c>
      <c r="AF145" s="1" t="s">
        <v>37</v>
      </c>
      <c r="AG145" s="1" t="s">
        <v>37</v>
      </c>
      <c r="AH145" s="1" t="s">
        <v>37</v>
      </c>
      <c r="AI145" s="1" t="s">
        <v>37</v>
      </c>
      <c r="AJ145" s="1" t="s">
        <v>39</v>
      </c>
      <c r="AK145" s="1" t="str">
        <f t="shared" si="5"/>
        <v>Fora de âmbito</v>
      </c>
      <c r="AL145" s="1" t="str">
        <f>+IF(IFERROR(VLOOKUP(A145,Ficheiros!I:I,1,FALSE),"")=A145,"Sim","Não")</f>
        <v>Não</v>
      </c>
      <c r="AM145" s="1" t="str">
        <f>+IF(IFERROR(VLOOKUP(A145,Ficheiros!E:E,1,FALSE),"")=A145,"Sim","Não")</f>
        <v>Não</v>
      </c>
      <c r="AN145" s="1" t="str">
        <f>+IF(IFERROR(VLOOKUP(A145,Ficheiros!O:O,1,FALSE),"")=A145,"Sim","Não")</f>
        <v>Não</v>
      </c>
      <c r="AO145" s="1" t="str">
        <f>+IF(IFERROR(VLOOKUP(A145,'Especificação Novos Req. LT (2'!A:A,1,FALSE),"")=A145,"Sim","Não")</f>
        <v>Não</v>
      </c>
      <c r="AP145" s="1" t="str">
        <f>+IF(IFERROR(VLOOKUP(A145,Ficheiros!T:T,1,FALSE),"")=A145,"Sim","Não")</f>
        <v>Sim</v>
      </c>
      <c r="AQ145" s="1" t="e">
        <f>+VLOOKUP(A145,Ficheiros!O:P,2,FALSE)</f>
        <v>#N/A</v>
      </c>
      <c r="AR145" s="1" t="str">
        <f>+VLOOKUP(A145,Ficheiros!T:U,2,FALSE)</f>
        <v>1. Especificar</v>
      </c>
      <c r="AS145" s="1" t="str">
        <f>+VLOOKUP(A145,Ficheiros!T:V,3,FALSE)</f>
        <v>PM - Novos Campos</v>
      </c>
      <c r="AT145" s="1"/>
      <c r="AU145" s="1"/>
      <c r="AV145" s="1"/>
      <c r="AW145" s="1"/>
      <c r="AX145" s="1"/>
    </row>
    <row r="146" spans="1:50" ht="14.5" hidden="1" customHeight="1" x14ac:dyDescent="0.35">
      <c r="A146" s="5" t="str">
        <f t="shared" si="4"/>
        <v>ENTITYTTL_ASSTS</v>
      </c>
      <c r="B146" s="1" t="s">
        <v>643</v>
      </c>
      <c r="C146" s="1" t="s">
        <v>35</v>
      </c>
      <c r="D146" s="1" t="s">
        <v>271</v>
      </c>
      <c r="E146" s="1" t="s">
        <v>39</v>
      </c>
      <c r="F146" s="25" t="s">
        <v>644</v>
      </c>
      <c r="G146" s="1" t="s">
        <v>644</v>
      </c>
      <c r="H146" s="1" t="s">
        <v>39</v>
      </c>
      <c r="I146" s="1" t="s">
        <v>39</v>
      </c>
      <c r="J146" s="1" t="s">
        <v>39</v>
      </c>
      <c r="K146" s="1" t="s">
        <v>39</v>
      </c>
      <c r="L146" s="1" t="s">
        <v>39</v>
      </c>
      <c r="M146" s="1" t="s">
        <v>39</v>
      </c>
      <c r="N146" s="1" t="s">
        <v>37</v>
      </c>
      <c r="O146" s="1"/>
      <c r="P146" s="1"/>
      <c r="Q146" s="1"/>
      <c r="R146" s="1" t="s">
        <v>273</v>
      </c>
      <c r="S146" s="1" t="s">
        <v>274</v>
      </c>
      <c r="T146" s="1">
        <v>99999999999</v>
      </c>
      <c r="U146" s="1">
        <v>11111111111</v>
      </c>
      <c r="V146" s="1">
        <v>11111111111</v>
      </c>
      <c r="W146" s="1" t="s">
        <v>645</v>
      </c>
      <c r="X146" s="1" t="s">
        <v>646</v>
      </c>
      <c r="Y146" s="1" t="s">
        <v>45</v>
      </c>
      <c r="Z146" s="1" t="s">
        <v>46</v>
      </c>
      <c r="AA146" s="1"/>
      <c r="AB146" s="1" t="s">
        <v>39</v>
      </c>
      <c r="AC146" s="1" t="s">
        <v>37</v>
      </c>
      <c r="AD146" s="1" t="s">
        <v>37</v>
      </c>
      <c r="AE146" s="1" t="s">
        <v>37</v>
      </c>
      <c r="AF146" s="1" t="s">
        <v>37</v>
      </c>
      <c r="AG146" s="1" t="s">
        <v>37</v>
      </c>
      <c r="AH146" s="1" t="s">
        <v>37</v>
      </c>
      <c r="AI146" s="1" t="s">
        <v>37</v>
      </c>
      <c r="AJ146" s="1" t="s">
        <v>39</v>
      </c>
      <c r="AK146" s="1" t="str">
        <f t="shared" si="5"/>
        <v>Fora de âmbito</v>
      </c>
      <c r="AL146" s="1" t="str">
        <f>+IF(IFERROR(VLOOKUP(A146,Ficheiros!I:I,1,FALSE),"")=A146,"Sim","Não")</f>
        <v>Não</v>
      </c>
      <c r="AM146" s="1" t="str">
        <f>+IF(IFERROR(VLOOKUP(A146,Ficheiros!E:E,1,FALSE),"")=A146,"Sim","Não")</f>
        <v>Não</v>
      </c>
      <c r="AN146" s="1" t="str">
        <f>+IF(IFERROR(VLOOKUP(A146,Ficheiros!O:O,1,FALSE),"")=A146,"Sim","Não")</f>
        <v>Não</v>
      </c>
      <c r="AO146" s="1" t="str">
        <f>+IF(IFERROR(VLOOKUP(A146,'Especificação Novos Req. LT (2'!A:A,1,FALSE),"")=A146,"Sim","Não")</f>
        <v>Não</v>
      </c>
      <c r="AP146" s="1" t="str">
        <f>+IF(IFERROR(VLOOKUP(A146,Ficheiros!T:T,1,FALSE),"")=A146,"Sim","Não")</f>
        <v>Sim</v>
      </c>
      <c r="AQ146" s="1" t="e">
        <f>+VLOOKUP(A146,Ficheiros!O:P,2,FALSE)</f>
        <v>#N/A</v>
      </c>
      <c r="AR146" s="1" t="str">
        <f>+VLOOKUP(A146,Ficheiros!T:U,2,FALSE)</f>
        <v>1. Especificar</v>
      </c>
      <c r="AS146" s="1" t="str">
        <f>+VLOOKUP(A146,Ficheiros!T:V,3,FALSE)</f>
        <v>PM - Novos Campos</v>
      </c>
      <c r="AT146" s="1"/>
      <c r="AU146" s="1"/>
      <c r="AV146" s="1"/>
      <c r="AW146" s="1"/>
      <c r="AX146" s="1"/>
    </row>
    <row r="147" spans="1:50" ht="14.5" hidden="1" customHeight="1" x14ac:dyDescent="0.35">
      <c r="A147" s="5" t="str">
        <f t="shared" si="4"/>
        <v>ENTITYFLLN_ANGL_NRRW_DFNTN</v>
      </c>
      <c r="B147" s="1" t="s">
        <v>647</v>
      </c>
      <c r="C147" s="1" t="s">
        <v>35</v>
      </c>
      <c r="D147" s="1" t="s">
        <v>49</v>
      </c>
      <c r="E147" s="1" t="s">
        <v>37</v>
      </c>
      <c r="F147" s="25" t="s">
        <v>648</v>
      </c>
      <c r="G147" s="1" t="s">
        <v>648</v>
      </c>
      <c r="H147" s="1" t="s">
        <v>37</v>
      </c>
      <c r="I147" s="1" t="s">
        <v>37</v>
      </c>
      <c r="J147" s="1" t="s">
        <v>37</v>
      </c>
      <c r="K147" s="1" t="s">
        <v>37</v>
      </c>
      <c r="L147" s="1" t="s">
        <v>39</v>
      </c>
      <c r="M147" s="1" t="s">
        <v>39</v>
      </c>
      <c r="N147" s="1" t="s">
        <v>37</v>
      </c>
      <c r="O147" s="1"/>
      <c r="P147" s="1"/>
      <c r="Q147" s="1"/>
      <c r="R147" s="1" t="s">
        <v>141</v>
      </c>
      <c r="S147" s="1" t="s">
        <v>142</v>
      </c>
      <c r="T147" s="1" t="s">
        <v>53</v>
      </c>
      <c r="U147" s="1" t="s">
        <v>42</v>
      </c>
      <c r="V147" s="1" t="s">
        <v>46</v>
      </c>
      <c r="W147" s="1" t="s">
        <v>649</v>
      </c>
      <c r="X147" s="1" t="s">
        <v>650</v>
      </c>
      <c r="Y147" s="1" t="s">
        <v>45</v>
      </c>
      <c r="Z147" s="1" t="s">
        <v>46</v>
      </c>
      <c r="AA147" s="1"/>
      <c r="AB147" s="1" t="s">
        <v>37</v>
      </c>
      <c r="AC147" s="1" t="s">
        <v>37</v>
      </c>
      <c r="AD147" s="1" t="s">
        <v>37</v>
      </c>
      <c r="AE147" s="1" t="s">
        <v>37</v>
      </c>
      <c r="AF147" s="1" t="s">
        <v>37</v>
      </c>
      <c r="AG147" s="1" t="s">
        <v>39</v>
      </c>
      <c r="AH147" s="1" t="s">
        <v>37</v>
      </c>
      <c r="AI147" s="1" t="s">
        <v>37</v>
      </c>
      <c r="AJ147" s="1" t="s">
        <v>39</v>
      </c>
      <c r="AK147" s="1" t="str">
        <f t="shared" si="5"/>
        <v>Fora de âmbito</v>
      </c>
      <c r="AL147" s="1" t="str">
        <f>+IF(IFERROR(VLOOKUP(A147,Ficheiros!I:I,1,FALSE),"")=A147,"Sim","Não")</f>
        <v>Não</v>
      </c>
      <c r="AM147" s="1" t="str">
        <f>+IF(IFERROR(VLOOKUP(A147,Ficheiros!E:E,1,FALSE),"")=A147,"Sim","Não")</f>
        <v>Não</v>
      </c>
      <c r="AN147" s="1" t="str">
        <f>+IF(IFERROR(VLOOKUP(A147,Ficheiros!O:O,1,FALSE),"")=A147,"Sim","Não")</f>
        <v>Não</v>
      </c>
      <c r="AO147" s="1" t="str">
        <f>+IF(IFERROR(VLOOKUP(A147,'Especificação Novos Req. LT (2'!A:A,1,FALSE),"")=A147,"Sim","Não")</f>
        <v>Não</v>
      </c>
      <c r="AP147" s="1" t="str">
        <f>+IF(IFERROR(VLOOKUP(A147,Ficheiros!T:T,1,FALSE),"")=A147,"Sim","Não")</f>
        <v>Não</v>
      </c>
      <c r="AQ147" s="1" t="e">
        <f>+VLOOKUP(A147,Ficheiros!O:P,2,FALSE)</f>
        <v>#N/A</v>
      </c>
      <c r="AR147" s="1" t="e">
        <f>+VLOOKUP(A147,Ficheiros!R:S,3,FALSE)</f>
        <v>#N/A</v>
      </c>
      <c r="AS147" s="1" t="e">
        <f>+VLOOKUP(A147,Ficheiros!T:V,3,FALSE)</f>
        <v>#N/A</v>
      </c>
      <c r="AT147" s="1"/>
      <c r="AU147" s="1"/>
      <c r="AV147" s="1"/>
      <c r="AW147" s="1"/>
      <c r="AX147" s="1"/>
    </row>
    <row r="148" spans="1:50" ht="14.5" hidden="1" customHeight="1" x14ac:dyDescent="0.35">
      <c r="A148" s="5" t="str">
        <f t="shared" si="4"/>
        <v>ENTITYFLLN_ANGL_EXTNDD_DFNTN</v>
      </c>
      <c r="B148" s="1" t="s">
        <v>651</v>
      </c>
      <c r="C148" s="1" t="s">
        <v>35</v>
      </c>
      <c r="D148" s="1" t="s">
        <v>49</v>
      </c>
      <c r="E148" s="1" t="s">
        <v>37</v>
      </c>
      <c r="F148" s="25" t="s">
        <v>652</v>
      </c>
      <c r="G148" s="1" t="s">
        <v>652</v>
      </c>
      <c r="H148" s="1" t="s">
        <v>37</v>
      </c>
      <c r="I148" s="1" t="s">
        <v>37</v>
      </c>
      <c r="J148" s="1" t="s">
        <v>37</v>
      </c>
      <c r="K148" s="1" t="s">
        <v>37</v>
      </c>
      <c r="L148" s="1" t="s">
        <v>39</v>
      </c>
      <c r="M148" s="1" t="s">
        <v>39</v>
      </c>
      <c r="N148" s="1" t="s">
        <v>37</v>
      </c>
      <c r="O148" s="1"/>
      <c r="P148" s="1"/>
      <c r="Q148" s="1"/>
      <c r="R148" s="1" t="s">
        <v>141</v>
      </c>
      <c r="S148" s="1" t="s">
        <v>142</v>
      </c>
      <c r="T148" s="1" t="s">
        <v>53</v>
      </c>
      <c r="U148" s="1" t="s">
        <v>42</v>
      </c>
      <c r="V148" s="1" t="s">
        <v>46</v>
      </c>
      <c r="W148" s="1" t="s">
        <v>653</v>
      </c>
      <c r="X148" s="1" t="s">
        <v>654</v>
      </c>
      <c r="Y148" s="1" t="s">
        <v>45</v>
      </c>
      <c r="Z148" s="1" t="s">
        <v>46</v>
      </c>
      <c r="AA148" s="1"/>
      <c r="AB148" s="1" t="s">
        <v>37</v>
      </c>
      <c r="AC148" s="1" t="s">
        <v>37</v>
      </c>
      <c r="AD148" s="1" t="s">
        <v>37</v>
      </c>
      <c r="AE148" s="1" t="s">
        <v>37</v>
      </c>
      <c r="AF148" s="1" t="s">
        <v>37</v>
      </c>
      <c r="AG148" s="1" t="s">
        <v>39</v>
      </c>
      <c r="AH148" s="1" t="s">
        <v>37</v>
      </c>
      <c r="AI148" s="1" t="s">
        <v>37</v>
      </c>
      <c r="AJ148" s="1" t="s">
        <v>39</v>
      </c>
      <c r="AK148" s="1" t="str">
        <f t="shared" si="5"/>
        <v>Fora de âmbito</v>
      </c>
      <c r="AL148" s="1" t="str">
        <f>+IF(IFERROR(VLOOKUP(A148,Ficheiros!I:I,1,FALSE),"")=A148,"Sim","Não")</f>
        <v>Não</v>
      </c>
      <c r="AM148" s="1" t="str">
        <f>+IF(IFERROR(VLOOKUP(A148,Ficheiros!E:E,1,FALSE),"")=A148,"Sim","Não")</f>
        <v>Não</v>
      </c>
      <c r="AN148" s="1" t="str">
        <f>+IF(IFERROR(VLOOKUP(A148,Ficheiros!O:O,1,FALSE),"")=A148,"Sim","Não")</f>
        <v>Não</v>
      </c>
      <c r="AO148" s="1" t="str">
        <f>+IF(IFERROR(VLOOKUP(A148,'Especificação Novos Req. LT (2'!A:A,1,FALSE),"")=A148,"Sim","Não")</f>
        <v>Não</v>
      </c>
      <c r="AP148" s="1" t="str">
        <f>+IF(IFERROR(VLOOKUP(A148,Ficheiros!T:T,1,FALSE),"")=A148,"Sim","Não")</f>
        <v>Não</v>
      </c>
      <c r="AQ148" s="1" t="e">
        <f>+VLOOKUP(A148,Ficheiros!O:P,2,FALSE)</f>
        <v>#N/A</v>
      </c>
      <c r="AR148" s="1" t="e">
        <f>+VLOOKUP(A148,Ficheiros!R:S,3,FALSE)</f>
        <v>#N/A</v>
      </c>
      <c r="AS148" s="1" t="e">
        <f>+VLOOKUP(A148,Ficheiros!T:V,3,FALSE)</f>
        <v>#N/A</v>
      </c>
      <c r="AT148" s="1"/>
      <c r="AU148" s="1"/>
      <c r="AV148" s="1"/>
      <c r="AW148" s="1"/>
      <c r="AX148" s="1"/>
    </row>
    <row r="149" spans="1:50" ht="14.5" hidden="1" customHeight="1" x14ac:dyDescent="0.35">
      <c r="A149" s="5" t="str">
        <f t="shared" si="4"/>
        <v>ENTITYENTTY_ID_BDR</v>
      </c>
      <c r="B149" s="1" t="s">
        <v>655</v>
      </c>
      <c r="C149" s="1" t="s">
        <v>35</v>
      </c>
      <c r="D149" s="1" t="s">
        <v>49</v>
      </c>
      <c r="E149" s="1" t="s">
        <v>37</v>
      </c>
      <c r="F149" s="25" t="s">
        <v>656</v>
      </c>
      <c r="G149" s="1" t="s">
        <v>656</v>
      </c>
      <c r="H149" s="1" t="s">
        <v>39</v>
      </c>
      <c r="I149" s="1" t="s">
        <v>39</v>
      </c>
      <c r="J149" s="1" t="s">
        <v>39</v>
      </c>
      <c r="K149" s="1" t="s">
        <v>39</v>
      </c>
      <c r="L149" s="1" t="s">
        <v>39</v>
      </c>
      <c r="M149" s="1" t="s">
        <v>39</v>
      </c>
      <c r="N149" s="1" t="s">
        <v>39</v>
      </c>
      <c r="O149" s="1"/>
      <c r="P149" s="1"/>
      <c r="Q149" s="1"/>
      <c r="R149" s="1" t="s">
        <v>657</v>
      </c>
      <c r="S149" s="1" t="s">
        <v>41</v>
      </c>
      <c r="T149" s="1" t="s">
        <v>53</v>
      </c>
      <c r="U149" s="1" t="s">
        <v>46</v>
      </c>
      <c r="V149" s="1" t="s">
        <v>46</v>
      </c>
      <c r="W149" s="1" t="s">
        <v>658</v>
      </c>
      <c r="X149" s="1" t="s">
        <v>659</v>
      </c>
      <c r="Y149" s="1" t="s">
        <v>66</v>
      </c>
      <c r="Z149" s="1" t="s">
        <v>660</v>
      </c>
      <c r="AA149" s="1"/>
      <c r="AB149" s="1" t="s">
        <v>39</v>
      </c>
      <c r="AC149" s="1" t="s">
        <v>37</v>
      </c>
      <c r="AD149" s="1" t="s">
        <v>37</v>
      </c>
      <c r="AE149" s="1" t="s">
        <v>37</v>
      </c>
      <c r="AF149" s="1" t="s">
        <v>37</v>
      </c>
      <c r="AG149" s="1" t="s">
        <v>37</v>
      </c>
      <c r="AH149" s="1" t="s">
        <v>37</v>
      </c>
      <c r="AI149" s="1" t="s">
        <v>37</v>
      </c>
      <c r="AJ149" s="1" t="s">
        <v>39</v>
      </c>
      <c r="AK149" s="1" t="str">
        <f t="shared" si="5"/>
        <v>Fora de âmbito</v>
      </c>
      <c r="AL149" s="1" t="str">
        <f>+IF(IFERROR(VLOOKUP(A149,Ficheiros!I:I,1,FALSE),"")=A149,"Sim","Não")</f>
        <v>Não</v>
      </c>
      <c r="AM149" s="1" t="str">
        <f>+IF(IFERROR(VLOOKUP(A149,Ficheiros!E:E,1,FALSE),"")=A149,"Sim","Não")</f>
        <v>Não</v>
      </c>
      <c r="AN149" s="1" t="str">
        <f>+IF(IFERROR(VLOOKUP(A149,Ficheiros!O:O,1,FALSE),"")=A149,"Sim","Não")</f>
        <v>Não</v>
      </c>
      <c r="AO149" s="1" t="str">
        <f>+IF(IFERROR(VLOOKUP(A149,'Especificação Novos Req. LT (2'!A:A,1,FALSE),"")=A149,"Sim","Não")</f>
        <v>Não</v>
      </c>
      <c r="AP149" s="1" t="str">
        <f>+IF(IFERROR(VLOOKUP(A149,Ficheiros!T:T,1,FALSE),"")=A149,"Sim","Não")</f>
        <v>Sim</v>
      </c>
      <c r="AQ149" s="1" t="e">
        <f>+VLOOKUP(A149,Ficheiros!O:P,2,FALSE)</f>
        <v>#N/A</v>
      </c>
      <c r="AR149" s="1" t="str">
        <f>+VLOOKUP(A149,Ficheiros!T:U,2,FALSE)</f>
        <v>1. Especificar</v>
      </c>
      <c r="AS149" s="1" t="str">
        <f>+VLOOKUP(A149,Ficheiros!T:V,3,FALSE)</f>
        <v>PM - Novos Campos</v>
      </c>
      <c r="AT149" s="1"/>
      <c r="AU149" s="1"/>
      <c r="AV149" s="1"/>
      <c r="AW149" s="1"/>
      <c r="AX149" s="1"/>
    </row>
    <row r="150" spans="1:50" ht="14.5" customHeight="1" x14ac:dyDescent="0.35">
      <c r="A150" s="5" t="str">
        <f t="shared" si="4"/>
        <v>ENTITYTXNMY_ELGBL_CAPEX_W</v>
      </c>
      <c r="B150" s="1" t="s">
        <v>661</v>
      </c>
      <c r="C150" s="1" t="s">
        <v>35</v>
      </c>
      <c r="D150" s="1" t="s">
        <v>49</v>
      </c>
      <c r="E150" s="1" t="s">
        <v>37</v>
      </c>
      <c r="F150" s="25" t="s">
        <v>662</v>
      </c>
      <c r="G150" s="1" t="s">
        <v>662</v>
      </c>
      <c r="H150" s="1" t="s">
        <v>37</v>
      </c>
      <c r="I150" s="1" t="s">
        <v>37</v>
      </c>
      <c r="J150" s="1" t="s">
        <v>37</v>
      </c>
      <c r="K150" s="1" t="s">
        <v>39</v>
      </c>
      <c r="L150" s="1" t="s">
        <v>39</v>
      </c>
      <c r="M150" s="1" t="s">
        <v>39</v>
      </c>
      <c r="N150" s="1" t="s">
        <v>37</v>
      </c>
      <c r="O150" s="1"/>
      <c r="P150" s="1"/>
      <c r="Q150" s="1"/>
      <c r="R150" s="1" t="s">
        <v>342</v>
      </c>
      <c r="S150" s="1" t="s">
        <v>274</v>
      </c>
      <c r="T150" s="1">
        <v>99999999999</v>
      </c>
      <c r="U150" s="1">
        <v>11111111111</v>
      </c>
      <c r="V150" s="1">
        <v>11111111111</v>
      </c>
      <c r="W150" s="1" t="s">
        <v>663</v>
      </c>
      <c r="X150" s="1" t="s">
        <v>664</v>
      </c>
      <c r="Y150" s="1" t="s">
        <v>45</v>
      </c>
      <c r="Z150" s="1" t="s">
        <v>46</v>
      </c>
      <c r="AA150" s="1" t="s">
        <v>47</v>
      </c>
      <c r="AB150" s="1" t="s">
        <v>37</v>
      </c>
      <c r="AC150" s="1" t="s">
        <v>37</v>
      </c>
      <c r="AD150" s="1" t="s">
        <v>39</v>
      </c>
      <c r="AE150" s="1" t="s">
        <v>37</v>
      </c>
      <c r="AF150" s="1" t="s">
        <v>37</v>
      </c>
      <c r="AG150" s="1" t="s">
        <v>37</v>
      </c>
      <c r="AH150" s="1" t="s">
        <v>37</v>
      </c>
      <c r="AI150" s="1" t="s">
        <v>39</v>
      </c>
      <c r="AJ150" s="1" t="s">
        <v>39</v>
      </c>
      <c r="AK150" s="1" t="str">
        <f t="shared" si="5"/>
        <v>Apenas Pilar 3</v>
      </c>
      <c r="AL150" s="1" t="str">
        <f>+IF(IFERROR(VLOOKUP(A150,Ficheiros!I:I,1,FALSE),"")=A150,"Sim","Não")</f>
        <v>Não</v>
      </c>
      <c r="AM150" s="1" t="str">
        <f>+IF(IFERROR(VLOOKUP(A150,Ficheiros!E:E,1,FALSE),"")=A150,"Sim","Não")</f>
        <v>Não</v>
      </c>
      <c r="AN150" s="1" t="str">
        <f>+IF(IFERROR(VLOOKUP(A150,Ficheiros!O:O,1,FALSE),"")=A150,"Sim","Não")</f>
        <v>Não</v>
      </c>
      <c r="AO150" s="1" t="str">
        <f>+IF(IFERROR(VLOOKUP(A150,'Especificação Novos Req. LT (2'!A:A,1,FALSE),"")=A150,"Sim","Não")</f>
        <v>Sim</v>
      </c>
      <c r="AP150" s="1" t="str">
        <f>+IF(IFERROR(VLOOKUP(A150,Ficheiros!T:T,1,FALSE),"")=A150,"Sim","Não")</f>
        <v>Não</v>
      </c>
      <c r="AQ150" s="1" t="e">
        <f>+VLOOKUP(A150,Ficheiros!O:P,2,FALSE)</f>
        <v>#N/A</v>
      </c>
      <c r="AR150" s="1" t="e">
        <f>+VLOOKUP(A150,Ficheiros!R:S,3,FALSE)</f>
        <v>#N/A</v>
      </c>
      <c r="AS150" s="1" t="e">
        <f>+VLOOKUP(A150,Ficheiros!T:V,3,FALSE)</f>
        <v>#N/A</v>
      </c>
      <c r="AT150" s="1"/>
      <c r="AU150" s="1"/>
      <c r="AV150" s="1" t="s">
        <v>2475</v>
      </c>
      <c r="AW150" s="1" t="s">
        <v>2542</v>
      </c>
      <c r="AX150" s="1"/>
    </row>
    <row r="151" spans="1:50" ht="14.5" customHeight="1" x14ac:dyDescent="0.35">
      <c r="A151" s="5" t="str">
        <f t="shared" si="4"/>
        <v>ENTITYTXNMY_ELGBL_TRNVR_W</v>
      </c>
      <c r="B151" s="1" t="s">
        <v>665</v>
      </c>
      <c r="C151" s="1" t="s">
        <v>35</v>
      </c>
      <c r="D151" s="1" t="s">
        <v>49</v>
      </c>
      <c r="E151" s="1" t="s">
        <v>37</v>
      </c>
      <c r="F151" s="25" t="s">
        <v>666</v>
      </c>
      <c r="G151" s="1" t="s">
        <v>666</v>
      </c>
      <c r="H151" s="1" t="s">
        <v>37</v>
      </c>
      <c r="I151" s="1" t="s">
        <v>37</v>
      </c>
      <c r="J151" s="1" t="s">
        <v>37</v>
      </c>
      <c r="K151" s="1" t="s">
        <v>39</v>
      </c>
      <c r="L151" s="1" t="s">
        <v>39</v>
      </c>
      <c r="M151" s="1" t="s">
        <v>39</v>
      </c>
      <c r="N151" s="1" t="s">
        <v>37</v>
      </c>
      <c r="O151" s="1"/>
      <c r="P151" s="1"/>
      <c r="Q151" s="1"/>
      <c r="R151" s="1" t="s">
        <v>342</v>
      </c>
      <c r="S151" s="1" t="s">
        <v>274</v>
      </c>
      <c r="T151" s="1">
        <v>99999999999</v>
      </c>
      <c r="U151" s="1">
        <v>11111111111</v>
      </c>
      <c r="V151" s="1">
        <v>11111111111</v>
      </c>
      <c r="W151" s="1" t="s">
        <v>667</v>
      </c>
      <c r="X151" s="1" t="s">
        <v>668</v>
      </c>
      <c r="Y151" s="1" t="s">
        <v>45</v>
      </c>
      <c r="Z151" s="1" t="s">
        <v>46</v>
      </c>
      <c r="AA151" s="1" t="s">
        <v>47</v>
      </c>
      <c r="AB151" s="1" t="s">
        <v>37</v>
      </c>
      <c r="AC151" s="1" t="s">
        <v>37</v>
      </c>
      <c r="AD151" s="1" t="s">
        <v>39</v>
      </c>
      <c r="AE151" s="1" t="s">
        <v>37</v>
      </c>
      <c r="AF151" s="1" t="s">
        <v>37</v>
      </c>
      <c r="AG151" s="1" t="s">
        <v>37</v>
      </c>
      <c r="AH151" s="1" t="s">
        <v>37</v>
      </c>
      <c r="AI151" s="1" t="s">
        <v>39</v>
      </c>
      <c r="AJ151" s="1" t="s">
        <v>39</v>
      </c>
      <c r="AK151" s="1" t="str">
        <f t="shared" si="5"/>
        <v>Apenas Pilar 3</v>
      </c>
      <c r="AL151" s="1" t="str">
        <f>+IF(IFERROR(VLOOKUP(A151,Ficheiros!I:I,1,FALSE),"")=A151,"Sim","Não")</f>
        <v>Não</v>
      </c>
      <c r="AM151" s="1" t="str">
        <f>+IF(IFERROR(VLOOKUP(A151,Ficheiros!E:E,1,FALSE),"")=A151,"Sim","Não")</f>
        <v>Não</v>
      </c>
      <c r="AN151" s="1" t="str">
        <f>+IF(IFERROR(VLOOKUP(A151,Ficheiros!O:O,1,FALSE),"")=A151,"Sim","Não")</f>
        <v>Não</v>
      </c>
      <c r="AO151" s="1" t="str">
        <f>+IF(IFERROR(VLOOKUP(A151,'Especificação Novos Req. LT (2'!A:A,1,FALSE),"")=A151,"Sim","Não")</f>
        <v>Sim</v>
      </c>
      <c r="AP151" s="1" t="str">
        <f>+IF(IFERROR(VLOOKUP(A151,Ficheiros!T:T,1,FALSE),"")=A151,"Sim","Não")</f>
        <v>Não</v>
      </c>
      <c r="AQ151" s="1" t="e">
        <f>+VLOOKUP(A151,Ficheiros!O:P,2,FALSE)</f>
        <v>#N/A</v>
      </c>
      <c r="AR151" s="1" t="e">
        <f>+VLOOKUP(A151,Ficheiros!R:S,3,FALSE)</f>
        <v>#N/A</v>
      </c>
      <c r="AS151" s="1" t="e">
        <f>+VLOOKUP(A151,Ficheiros!T:V,3,FALSE)</f>
        <v>#N/A</v>
      </c>
      <c r="AT151" s="1"/>
      <c r="AU151" s="1"/>
      <c r="AV151" s="1" t="s">
        <v>2475</v>
      </c>
      <c r="AW151" s="1" t="s">
        <v>2542</v>
      </c>
      <c r="AX151" s="1"/>
    </row>
    <row r="152" spans="1:50" ht="14.5" customHeight="1" x14ac:dyDescent="0.35">
      <c r="A152" s="5" t="str">
        <f t="shared" si="4"/>
        <v>ENTITYTXNMY_ELGBL_CAPEX_P</v>
      </c>
      <c r="B152" s="1" t="s">
        <v>669</v>
      </c>
      <c r="C152" s="1" t="s">
        <v>35</v>
      </c>
      <c r="D152" s="1" t="s">
        <v>49</v>
      </c>
      <c r="E152" s="1" t="s">
        <v>37</v>
      </c>
      <c r="F152" s="25" t="s">
        <v>670</v>
      </c>
      <c r="G152" s="1" t="s">
        <v>670</v>
      </c>
      <c r="H152" s="1" t="s">
        <v>37</v>
      </c>
      <c r="I152" s="1" t="s">
        <v>37</v>
      </c>
      <c r="J152" s="1" t="s">
        <v>37</v>
      </c>
      <c r="K152" s="1" t="s">
        <v>39</v>
      </c>
      <c r="L152" s="1" t="s">
        <v>39</v>
      </c>
      <c r="M152" s="1" t="s">
        <v>39</v>
      </c>
      <c r="N152" s="1" t="s">
        <v>37</v>
      </c>
      <c r="O152" s="1"/>
      <c r="P152" s="1"/>
      <c r="Q152" s="1"/>
      <c r="R152" s="1" t="s">
        <v>342</v>
      </c>
      <c r="S152" s="1" t="s">
        <v>274</v>
      </c>
      <c r="T152" s="1">
        <v>99999999999</v>
      </c>
      <c r="U152" s="1">
        <v>11111111111</v>
      </c>
      <c r="V152" s="1">
        <v>11111111111</v>
      </c>
      <c r="W152" s="1" t="s">
        <v>671</v>
      </c>
      <c r="X152" s="1" t="s">
        <v>672</v>
      </c>
      <c r="Y152" s="1" t="s">
        <v>45</v>
      </c>
      <c r="Z152" s="1" t="s">
        <v>46</v>
      </c>
      <c r="AA152" s="1" t="s">
        <v>47</v>
      </c>
      <c r="AB152" s="1" t="s">
        <v>37</v>
      </c>
      <c r="AC152" s="1" t="s">
        <v>37</v>
      </c>
      <c r="AD152" s="1" t="s">
        <v>39</v>
      </c>
      <c r="AE152" s="1" t="s">
        <v>37</v>
      </c>
      <c r="AF152" s="1" t="s">
        <v>37</v>
      </c>
      <c r="AG152" s="1" t="s">
        <v>37</v>
      </c>
      <c r="AH152" s="1" t="s">
        <v>37</v>
      </c>
      <c r="AI152" s="1" t="s">
        <v>39</v>
      </c>
      <c r="AJ152" s="1" t="s">
        <v>39</v>
      </c>
      <c r="AK152" s="1" t="str">
        <f t="shared" si="5"/>
        <v>Apenas Pilar 3</v>
      </c>
      <c r="AL152" s="1" t="str">
        <f>+IF(IFERROR(VLOOKUP(A152,Ficheiros!I:I,1,FALSE),"")=A152,"Sim","Não")</f>
        <v>Não</v>
      </c>
      <c r="AM152" s="1" t="str">
        <f>+IF(IFERROR(VLOOKUP(A152,Ficheiros!E:E,1,FALSE),"")=A152,"Sim","Não")</f>
        <v>Não</v>
      </c>
      <c r="AN152" s="1" t="str">
        <f>+IF(IFERROR(VLOOKUP(A152,Ficheiros!O:O,1,FALSE),"")=A152,"Sim","Não")</f>
        <v>Não</v>
      </c>
      <c r="AO152" s="1" t="str">
        <f>+IF(IFERROR(VLOOKUP(A152,'Especificação Novos Req. LT (2'!A:A,1,FALSE),"")=A152,"Sim","Não")</f>
        <v>Sim</v>
      </c>
      <c r="AP152" s="1" t="str">
        <f>+IF(IFERROR(VLOOKUP(A152,Ficheiros!T:T,1,FALSE),"")=A152,"Sim","Não")</f>
        <v>Não</v>
      </c>
      <c r="AQ152" s="1" t="e">
        <f>+VLOOKUP(A152,Ficheiros!O:P,2,FALSE)</f>
        <v>#N/A</v>
      </c>
      <c r="AR152" s="1" t="e">
        <f>+VLOOKUP(A152,Ficheiros!R:S,3,FALSE)</f>
        <v>#N/A</v>
      </c>
      <c r="AS152" s="1" t="e">
        <f>+VLOOKUP(A152,Ficheiros!T:V,3,FALSE)</f>
        <v>#N/A</v>
      </c>
      <c r="AT152" s="1"/>
      <c r="AU152" s="1"/>
      <c r="AV152" s="1" t="s">
        <v>2475</v>
      </c>
      <c r="AW152" s="1" t="s">
        <v>2542</v>
      </c>
      <c r="AX152" s="1"/>
    </row>
    <row r="153" spans="1:50" ht="14.5" customHeight="1" x14ac:dyDescent="0.35">
      <c r="A153" s="5" t="str">
        <f t="shared" si="4"/>
        <v>ENTITYTXNMY_ELGBL_TRNVR_P</v>
      </c>
      <c r="B153" s="1" t="s">
        <v>673</v>
      </c>
      <c r="C153" s="1" t="s">
        <v>35</v>
      </c>
      <c r="D153" s="1" t="s">
        <v>49</v>
      </c>
      <c r="E153" s="1" t="s">
        <v>37</v>
      </c>
      <c r="F153" s="25" t="s">
        <v>674</v>
      </c>
      <c r="G153" s="1" t="s">
        <v>674</v>
      </c>
      <c r="H153" s="1" t="s">
        <v>37</v>
      </c>
      <c r="I153" s="1" t="s">
        <v>37</v>
      </c>
      <c r="J153" s="1" t="s">
        <v>37</v>
      </c>
      <c r="K153" s="1" t="s">
        <v>39</v>
      </c>
      <c r="L153" s="1" t="s">
        <v>39</v>
      </c>
      <c r="M153" s="1" t="s">
        <v>39</v>
      </c>
      <c r="N153" s="1" t="s">
        <v>37</v>
      </c>
      <c r="O153" s="1"/>
      <c r="P153" s="1"/>
      <c r="Q153" s="1"/>
      <c r="R153" s="1" t="s">
        <v>342</v>
      </c>
      <c r="S153" s="1" t="s">
        <v>274</v>
      </c>
      <c r="T153" s="1">
        <v>99999999999</v>
      </c>
      <c r="U153" s="1">
        <v>11111111111</v>
      </c>
      <c r="V153" s="1">
        <v>11111111111</v>
      </c>
      <c r="W153" s="1" t="s">
        <v>675</v>
      </c>
      <c r="X153" s="1" t="s">
        <v>676</v>
      </c>
      <c r="Y153" s="1" t="s">
        <v>45</v>
      </c>
      <c r="Z153" s="1" t="s">
        <v>46</v>
      </c>
      <c r="AA153" s="1" t="s">
        <v>47</v>
      </c>
      <c r="AB153" s="1" t="s">
        <v>37</v>
      </c>
      <c r="AC153" s="1" t="s">
        <v>37</v>
      </c>
      <c r="AD153" s="1" t="s">
        <v>39</v>
      </c>
      <c r="AE153" s="1" t="s">
        <v>37</v>
      </c>
      <c r="AF153" s="1" t="s">
        <v>37</v>
      </c>
      <c r="AG153" s="1" t="s">
        <v>37</v>
      </c>
      <c r="AH153" s="1" t="s">
        <v>37</v>
      </c>
      <c r="AI153" s="1" t="s">
        <v>39</v>
      </c>
      <c r="AJ153" s="1" t="s">
        <v>39</v>
      </c>
      <c r="AK153" s="1" t="str">
        <f t="shared" si="5"/>
        <v>Apenas Pilar 3</v>
      </c>
      <c r="AL153" s="1" t="str">
        <f>+IF(IFERROR(VLOOKUP(A153,Ficheiros!I:I,1,FALSE),"")=A153,"Sim","Não")</f>
        <v>Não</v>
      </c>
      <c r="AM153" s="1" t="str">
        <f>+IF(IFERROR(VLOOKUP(A153,Ficheiros!E:E,1,FALSE),"")=A153,"Sim","Não")</f>
        <v>Não</v>
      </c>
      <c r="AN153" s="1" t="str">
        <f>+IF(IFERROR(VLOOKUP(A153,Ficheiros!O:O,1,FALSE),"")=A153,"Sim","Não")</f>
        <v>Não</v>
      </c>
      <c r="AO153" s="1" t="str">
        <f>+IF(IFERROR(VLOOKUP(A153,'Especificação Novos Req. LT (2'!A:A,1,FALSE),"")=A153,"Sim","Não")</f>
        <v>Sim</v>
      </c>
      <c r="AP153" s="1" t="str">
        <f>+IF(IFERROR(VLOOKUP(A153,Ficheiros!T:T,1,FALSE),"")=A153,"Sim","Não")</f>
        <v>Não</v>
      </c>
      <c r="AQ153" s="1" t="e">
        <f>+VLOOKUP(A153,Ficheiros!O:P,2,FALSE)</f>
        <v>#N/A</v>
      </c>
      <c r="AR153" s="1" t="e">
        <f>+VLOOKUP(A153,Ficheiros!R:S,3,FALSE)</f>
        <v>#N/A</v>
      </c>
      <c r="AS153" s="1" t="e">
        <f>+VLOOKUP(A153,Ficheiros!T:V,3,FALSE)</f>
        <v>#N/A</v>
      </c>
      <c r="AT153" s="1"/>
      <c r="AU153" s="1"/>
      <c r="AV153" s="1" t="s">
        <v>2475</v>
      </c>
      <c r="AW153" s="1" t="s">
        <v>2542</v>
      </c>
      <c r="AX153" s="1"/>
    </row>
    <row r="154" spans="1:50" ht="14.5" customHeight="1" x14ac:dyDescent="0.35">
      <c r="A154" s="5" t="str">
        <f t="shared" si="4"/>
        <v>ENTITYTXNMY_ELGBL_CAPEX_B</v>
      </c>
      <c r="B154" s="1" t="s">
        <v>677</v>
      </c>
      <c r="C154" s="1" t="s">
        <v>35</v>
      </c>
      <c r="D154" s="1" t="s">
        <v>49</v>
      </c>
      <c r="E154" s="1" t="s">
        <v>37</v>
      </c>
      <c r="F154" s="25" t="s">
        <v>678</v>
      </c>
      <c r="G154" s="1" t="s">
        <v>678</v>
      </c>
      <c r="H154" s="1" t="s">
        <v>37</v>
      </c>
      <c r="I154" s="1" t="s">
        <v>37</v>
      </c>
      <c r="J154" s="1" t="s">
        <v>37</v>
      </c>
      <c r="K154" s="1" t="s">
        <v>39</v>
      </c>
      <c r="L154" s="1" t="s">
        <v>39</v>
      </c>
      <c r="M154" s="1" t="s">
        <v>39</v>
      </c>
      <c r="N154" s="1" t="s">
        <v>37</v>
      </c>
      <c r="O154" s="1"/>
      <c r="P154" s="1"/>
      <c r="Q154" s="1"/>
      <c r="R154" s="1" t="s">
        <v>342</v>
      </c>
      <c r="S154" s="1" t="s">
        <v>274</v>
      </c>
      <c r="T154" s="1">
        <v>99999999999</v>
      </c>
      <c r="U154" s="1">
        <v>11111111111</v>
      </c>
      <c r="V154" s="1">
        <v>11111111111</v>
      </c>
      <c r="W154" s="1" t="s">
        <v>679</v>
      </c>
      <c r="X154" s="1" t="s">
        <v>680</v>
      </c>
      <c r="Y154" s="1" t="s">
        <v>45</v>
      </c>
      <c r="Z154" s="1" t="s">
        <v>46</v>
      </c>
      <c r="AA154" s="1" t="s">
        <v>47</v>
      </c>
      <c r="AB154" s="1" t="s">
        <v>37</v>
      </c>
      <c r="AC154" s="1" t="s">
        <v>37</v>
      </c>
      <c r="AD154" s="1" t="s">
        <v>39</v>
      </c>
      <c r="AE154" s="1" t="s">
        <v>37</v>
      </c>
      <c r="AF154" s="1" t="s">
        <v>37</v>
      </c>
      <c r="AG154" s="1" t="s">
        <v>37</v>
      </c>
      <c r="AH154" s="1" t="s">
        <v>37</v>
      </c>
      <c r="AI154" s="1" t="s">
        <v>39</v>
      </c>
      <c r="AJ154" s="1" t="s">
        <v>39</v>
      </c>
      <c r="AK154" s="1" t="str">
        <f t="shared" si="5"/>
        <v>Apenas Pilar 3</v>
      </c>
      <c r="AL154" s="1" t="str">
        <f>+IF(IFERROR(VLOOKUP(A154,Ficheiros!I:I,1,FALSE),"")=A154,"Sim","Não")</f>
        <v>Não</v>
      </c>
      <c r="AM154" s="1" t="str">
        <f>+IF(IFERROR(VLOOKUP(A154,Ficheiros!E:E,1,FALSE),"")=A154,"Sim","Não")</f>
        <v>Não</v>
      </c>
      <c r="AN154" s="1" t="str">
        <f>+IF(IFERROR(VLOOKUP(A154,Ficheiros!O:O,1,FALSE),"")=A154,"Sim","Não")</f>
        <v>Não</v>
      </c>
      <c r="AO154" s="1" t="str">
        <f>+IF(IFERROR(VLOOKUP(A154,'Especificação Novos Req. LT (2'!A:A,1,FALSE),"")=A154,"Sim","Não")</f>
        <v>Sim</v>
      </c>
      <c r="AP154" s="1" t="str">
        <f>+IF(IFERROR(VLOOKUP(A154,Ficheiros!T:T,1,FALSE),"")=A154,"Sim","Não")</f>
        <v>Não</v>
      </c>
      <c r="AQ154" s="1" t="e">
        <f>+VLOOKUP(A154,Ficheiros!O:P,2,FALSE)</f>
        <v>#N/A</v>
      </c>
      <c r="AR154" s="1" t="e">
        <f>+VLOOKUP(A154,Ficheiros!R:S,3,FALSE)</f>
        <v>#N/A</v>
      </c>
      <c r="AS154" s="1" t="e">
        <f>+VLOOKUP(A154,Ficheiros!T:V,3,FALSE)</f>
        <v>#N/A</v>
      </c>
      <c r="AT154" s="1"/>
      <c r="AU154" s="1"/>
      <c r="AV154" s="1" t="s">
        <v>2475</v>
      </c>
      <c r="AW154" s="1" t="s">
        <v>2542</v>
      </c>
      <c r="AX154" s="1"/>
    </row>
    <row r="155" spans="1:50" ht="14.5" customHeight="1" x14ac:dyDescent="0.35">
      <c r="A155" s="5" t="str">
        <f t="shared" si="4"/>
        <v>ENTITYTXNMY_ELGBL_TRNVR_B</v>
      </c>
      <c r="B155" s="1" t="s">
        <v>681</v>
      </c>
      <c r="C155" s="1" t="s">
        <v>35</v>
      </c>
      <c r="D155" s="1" t="s">
        <v>49</v>
      </c>
      <c r="E155" s="1" t="s">
        <v>37</v>
      </c>
      <c r="F155" s="25" t="s">
        <v>682</v>
      </c>
      <c r="G155" s="1" t="s">
        <v>682</v>
      </c>
      <c r="H155" s="1" t="s">
        <v>37</v>
      </c>
      <c r="I155" s="1" t="s">
        <v>37</v>
      </c>
      <c r="J155" s="1" t="s">
        <v>37</v>
      </c>
      <c r="K155" s="1" t="s">
        <v>39</v>
      </c>
      <c r="L155" s="1" t="s">
        <v>39</v>
      </c>
      <c r="M155" s="1" t="s">
        <v>39</v>
      </c>
      <c r="N155" s="1" t="s">
        <v>37</v>
      </c>
      <c r="O155" s="1"/>
      <c r="P155" s="1"/>
      <c r="Q155" s="1"/>
      <c r="R155" s="1" t="s">
        <v>342</v>
      </c>
      <c r="S155" s="1" t="s">
        <v>274</v>
      </c>
      <c r="T155" s="1">
        <v>99999999999</v>
      </c>
      <c r="U155" s="1">
        <v>11111111111</v>
      </c>
      <c r="V155" s="1">
        <v>11111111111</v>
      </c>
      <c r="W155" s="1" t="s">
        <v>683</v>
      </c>
      <c r="X155" s="1" t="s">
        <v>684</v>
      </c>
      <c r="Y155" s="1" t="s">
        <v>45</v>
      </c>
      <c r="Z155" s="1" t="s">
        <v>46</v>
      </c>
      <c r="AA155" s="1" t="s">
        <v>47</v>
      </c>
      <c r="AB155" s="1" t="s">
        <v>37</v>
      </c>
      <c r="AC155" s="1" t="s">
        <v>37</v>
      </c>
      <c r="AD155" s="1" t="s">
        <v>39</v>
      </c>
      <c r="AE155" s="1" t="s">
        <v>37</v>
      </c>
      <c r="AF155" s="1" t="s">
        <v>37</v>
      </c>
      <c r="AG155" s="1" t="s">
        <v>37</v>
      </c>
      <c r="AH155" s="1" t="s">
        <v>37</v>
      </c>
      <c r="AI155" s="1" t="s">
        <v>39</v>
      </c>
      <c r="AJ155" s="1" t="s">
        <v>39</v>
      </c>
      <c r="AK155" s="1" t="str">
        <f t="shared" si="5"/>
        <v>Apenas Pilar 3</v>
      </c>
      <c r="AL155" s="1" t="str">
        <f>+IF(IFERROR(VLOOKUP(A155,Ficheiros!I:I,1,FALSE),"")=A155,"Sim","Não")</f>
        <v>Não</v>
      </c>
      <c r="AM155" s="1" t="str">
        <f>+IF(IFERROR(VLOOKUP(A155,Ficheiros!E:E,1,FALSE),"")=A155,"Sim","Não")</f>
        <v>Não</v>
      </c>
      <c r="AN155" s="1" t="str">
        <f>+IF(IFERROR(VLOOKUP(A155,Ficheiros!O:O,1,FALSE),"")=A155,"Sim","Não")</f>
        <v>Não</v>
      </c>
      <c r="AO155" s="1" t="str">
        <f>+IF(IFERROR(VLOOKUP(A155,'Especificação Novos Req. LT (2'!A:A,1,FALSE),"")=A155,"Sim","Não")</f>
        <v>Sim</v>
      </c>
      <c r="AP155" s="1" t="str">
        <f>+IF(IFERROR(VLOOKUP(A155,Ficheiros!T:T,1,FALSE),"")=A155,"Sim","Não")</f>
        <v>Não</v>
      </c>
      <c r="AQ155" s="1" t="e">
        <f>+VLOOKUP(A155,Ficheiros!O:P,2,FALSE)</f>
        <v>#N/A</v>
      </c>
      <c r="AR155" s="1" t="e">
        <f>+VLOOKUP(A155,Ficheiros!R:S,3,FALSE)</f>
        <v>#N/A</v>
      </c>
      <c r="AS155" s="1" t="e">
        <f>+VLOOKUP(A155,Ficheiros!T:V,3,FALSE)</f>
        <v>#N/A</v>
      </c>
      <c r="AT155" s="1"/>
      <c r="AU155" s="1"/>
      <c r="AV155" s="1" t="s">
        <v>2475</v>
      </c>
      <c r="AW155" s="1" t="s">
        <v>2542</v>
      </c>
      <c r="AX155" s="1"/>
    </row>
    <row r="156" spans="1:50" ht="14.5" customHeight="1" x14ac:dyDescent="0.35">
      <c r="A156" s="5" t="str">
        <f t="shared" si="4"/>
        <v>ENTITYTXNMY_ELGBL_CAPEX_CE</v>
      </c>
      <c r="B156" s="1" t="s">
        <v>685</v>
      </c>
      <c r="C156" s="1" t="s">
        <v>35</v>
      </c>
      <c r="D156" s="1" t="s">
        <v>49</v>
      </c>
      <c r="E156" s="1" t="s">
        <v>37</v>
      </c>
      <c r="F156" s="25" t="s">
        <v>686</v>
      </c>
      <c r="G156" s="1" t="s">
        <v>686</v>
      </c>
      <c r="H156" s="1" t="s">
        <v>37</v>
      </c>
      <c r="I156" s="1" t="s">
        <v>37</v>
      </c>
      <c r="J156" s="1" t="s">
        <v>37</v>
      </c>
      <c r="K156" s="1" t="s">
        <v>39</v>
      </c>
      <c r="L156" s="1" t="s">
        <v>39</v>
      </c>
      <c r="M156" s="1" t="s">
        <v>39</v>
      </c>
      <c r="N156" s="1" t="s">
        <v>37</v>
      </c>
      <c r="O156" s="1"/>
      <c r="P156" s="1"/>
      <c r="Q156" s="1"/>
      <c r="R156" s="1" t="s">
        <v>342</v>
      </c>
      <c r="S156" s="1" t="s">
        <v>274</v>
      </c>
      <c r="T156" s="1">
        <v>99999999999</v>
      </c>
      <c r="U156" s="1">
        <v>11111111111</v>
      </c>
      <c r="V156" s="1">
        <v>11111111111</v>
      </c>
      <c r="W156" s="1" t="s">
        <v>687</v>
      </c>
      <c r="X156" s="1" t="s">
        <v>688</v>
      </c>
      <c r="Y156" s="1" t="s">
        <v>45</v>
      </c>
      <c r="Z156" s="1" t="s">
        <v>46</v>
      </c>
      <c r="AA156" s="1" t="s">
        <v>47</v>
      </c>
      <c r="AB156" s="1" t="s">
        <v>37</v>
      </c>
      <c r="AC156" s="1" t="s">
        <v>37</v>
      </c>
      <c r="AD156" s="1" t="s">
        <v>39</v>
      </c>
      <c r="AE156" s="1" t="s">
        <v>37</v>
      </c>
      <c r="AF156" s="1" t="s">
        <v>37</v>
      </c>
      <c r="AG156" s="1" t="s">
        <v>37</v>
      </c>
      <c r="AH156" s="1" t="s">
        <v>37</v>
      </c>
      <c r="AI156" s="1" t="s">
        <v>39</v>
      </c>
      <c r="AJ156" s="1" t="s">
        <v>39</v>
      </c>
      <c r="AK156" s="1" t="str">
        <f t="shared" si="5"/>
        <v>Apenas Pilar 3</v>
      </c>
      <c r="AL156" s="1" t="str">
        <f>+IF(IFERROR(VLOOKUP(A156,Ficheiros!I:I,1,FALSE),"")=A156,"Sim","Não")</f>
        <v>Não</v>
      </c>
      <c r="AM156" s="1" t="str">
        <f>+IF(IFERROR(VLOOKUP(A156,Ficheiros!E:E,1,FALSE),"")=A156,"Sim","Não")</f>
        <v>Não</v>
      </c>
      <c r="AN156" s="1" t="str">
        <f>+IF(IFERROR(VLOOKUP(A156,Ficheiros!O:O,1,FALSE),"")=A156,"Sim","Não")</f>
        <v>Não</v>
      </c>
      <c r="AO156" s="1" t="str">
        <f>+IF(IFERROR(VLOOKUP(A156,'Especificação Novos Req. LT (2'!A:A,1,FALSE),"")=A156,"Sim","Não")</f>
        <v>Sim</v>
      </c>
      <c r="AP156" s="1" t="str">
        <f>+IF(IFERROR(VLOOKUP(A156,Ficheiros!T:T,1,FALSE),"")=A156,"Sim","Não")</f>
        <v>Não</v>
      </c>
      <c r="AQ156" s="1" t="e">
        <f>+VLOOKUP(A156,Ficheiros!O:P,2,FALSE)</f>
        <v>#N/A</v>
      </c>
      <c r="AR156" s="1" t="e">
        <f>+VLOOKUP(A156,Ficheiros!R:S,3,FALSE)</f>
        <v>#N/A</v>
      </c>
      <c r="AS156" s="1" t="e">
        <f>+VLOOKUP(A156,Ficheiros!T:V,3,FALSE)</f>
        <v>#N/A</v>
      </c>
      <c r="AT156" s="1"/>
      <c r="AU156" s="1"/>
      <c r="AV156" s="1" t="s">
        <v>2475</v>
      </c>
      <c r="AW156" s="1" t="s">
        <v>2542</v>
      </c>
      <c r="AX156" s="1"/>
    </row>
    <row r="157" spans="1:50" ht="14.5" customHeight="1" x14ac:dyDescent="0.35">
      <c r="A157" s="5" t="str">
        <f t="shared" si="4"/>
        <v>ENTITYTXNMY_ELGBL_TRNVR_CE</v>
      </c>
      <c r="B157" s="1" t="s">
        <v>689</v>
      </c>
      <c r="C157" s="1" t="s">
        <v>35</v>
      </c>
      <c r="D157" s="1" t="s">
        <v>49</v>
      </c>
      <c r="E157" s="1" t="s">
        <v>37</v>
      </c>
      <c r="F157" s="25" t="s">
        <v>690</v>
      </c>
      <c r="G157" s="1" t="s">
        <v>690</v>
      </c>
      <c r="H157" s="1" t="s">
        <v>37</v>
      </c>
      <c r="I157" s="1" t="s">
        <v>37</v>
      </c>
      <c r="J157" s="1" t="s">
        <v>37</v>
      </c>
      <c r="K157" s="1" t="s">
        <v>39</v>
      </c>
      <c r="L157" s="1" t="s">
        <v>39</v>
      </c>
      <c r="M157" s="1" t="s">
        <v>39</v>
      </c>
      <c r="N157" s="1" t="s">
        <v>37</v>
      </c>
      <c r="O157" s="1"/>
      <c r="P157" s="1"/>
      <c r="Q157" s="1"/>
      <c r="R157" s="1" t="s">
        <v>342</v>
      </c>
      <c r="S157" s="1" t="s">
        <v>274</v>
      </c>
      <c r="T157" s="1">
        <v>99999999999</v>
      </c>
      <c r="U157" s="1">
        <v>11111111111</v>
      </c>
      <c r="V157" s="1">
        <v>11111111111</v>
      </c>
      <c r="W157" s="1" t="s">
        <v>691</v>
      </c>
      <c r="X157" s="1" t="s">
        <v>692</v>
      </c>
      <c r="Y157" s="1" t="s">
        <v>45</v>
      </c>
      <c r="Z157" s="1" t="s">
        <v>46</v>
      </c>
      <c r="AA157" s="1" t="s">
        <v>47</v>
      </c>
      <c r="AB157" s="1" t="s">
        <v>37</v>
      </c>
      <c r="AC157" s="1" t="s">
        <v>37</v>
      </c>
      <c r="AD157" s="1" t="s">
        <v>39</v>
      </c>
      <c r="AE157" s="1" t="s">
        <v>37</v>
      </c>
      <c r="AF157" s="1" t="s">
        <v>37</v>
      </c>
      <c r="AG157" s="1" t="s">
        <v>37</v>
      </c>
      <c r="AH157" s="1" t="s">
        <v>37</v>
      </c>
      <c r="AI157" s="1" t="s">
        <v>39</v>
      </c>
      <c r="AJ157" s="1" t="s">
        <v>39</v>
      </c>
      <c r="AK157" s="1" t="str">
        <f t="shared" si="5"/>
        <v>Apenas Pilar 3</v>
      </c>
      <c r="AL157" s="1" t="str">
        <f>+IF(IFERROR(VLOOKUP(A157,Ficheiros!I:I,1,FALSE),"")=A157,"Sim","Não")</f>
        <v>Não</v>
      </c>
      <c r="AM157" s="1" t="str">
        <f>+IF(IFERROR(VLOOKUP(A157,Ficheiros!E:E,1,FALSE),"")=A157,"Sim","Não")</f>
        <v>Não</v>
      </c>
      <c r="AN157" s="1" t="str">
        <f>+IF(IFERROR(VLOOKUP(A157,Ficheiros!O:O,1,FALSE),"")=A157,"Sim","Não")</f>
        <v>Não</v>
      </c>
      <c r="AO157" s="1" t="str">
        <f>+IF(IFERROR(VLOOKUP(A157,'Especificação Novos Req. LT (2'!A:A,1,FALSE),"")=A157,"Sim","Não")</f>
        <v>Sim</v>
      </c>
      <c r="AP157" s="1" t="str">
        <f>+IF(IFERROR(VLOOKUP(A157,Ficheiros!T:T,1,FALSE),"")=A157,"Sim","Não")</f>
        <v>Não</v>
      </c>
      <c r="AQ157" s="1" t="e">
        <f>+VLOOKUP(A157,Ficheiros!O:P,2,FALSE)</f>
        <v>#N/A</v>
      </c>
      <c r="AR157" s="1" t="e">
        <f>+VLOOKUP(A157,Ficheiros!R:S,3,FALSE)</f>
        <v>#N/A</v>
      </c>
      <c r="AS157" s="1" t="e">
        <f>+VLOOKUP(A157,Ficheiros!T:V,3,FALSE)</f>
        <v>#N/A</v>
      </c>
      <c r="AT157" s="1"/>
      <c r="AU157" s="1"/>
      <c r="AV157" s="1" t="s">
        <v>2475</v>
      </c>
      <c r="AW157" s="1" t="s">
        <v>2542</v>
      </c>
      <c r="AX157" s="1"/>
    </row>
    <row r="158" spans="1:50" ht="14.5" customHeight="1" x14ac:dyDescent="0.35">
      <c r="A158" s="5" t="str">
        <f t="shared" si="4"/>
        <v>ENTITYPURE_CAPEX_P</v>
      </c>
      <c r="B158" s="1" t="s">
        <v>693</v>
      </c>
      <c r="C158" s="1" t="s">
        <v>35</v>
      </c>
      <c r="D158" s="1" t="s">
        <v>49</v>
      </c>
      <c r="E158" s="1" t="s">
        <v>37</v>
      </c>
      <c r="F158" s="25" t="s">
        <v>694</v>
      </c>
      <c r="G158" s="1" t="s">
        <v>694</v>
      </c>
      <c r="H158" s="1" t="s">
        <v>37</v>
      </c>
      <c r="I158" s="1" t="s">
        <v>37</v>
      </c>
      <c r="J158" s="1" t="s">
        <v>37</v>
      </c>
      <c r="K158" s="1" t="s">
        <v>39</v>
      </c>
      <c r="L158" s="1" t="s">
        <v>39</v>
      </c>
      <c r="M158" s="1" t="s">
        <v>39</v>
      </c>
      <c r="N158" s="1" t="s">
        <v>37</v>
      </c>
      <c r="O158" s="1"/>
      <c r="P158" s="1"/>
      <c r="Q158" s="1"/>
      <c r="R158" s="1" t="s">
        <v>342</v>
      </c>
      <c r="S158" s="1" t="s">
        <v>274</v>
      </c>
      <c r="T158" s="1">
        <v>99999999999</v>
      </c>
      <c r="U158" s="1">
        <v>11111111111</v>
      </c>
      <c r="V158" s="1">
        <v>11111111111</v>
      </c>
      <c r="W158" s="1" t="s">
        <v>695</v>
      </c>
      <c r="X158" s="1" t="s">
        <v>696</v>
      </c>
      <c r="Y158" s="1" t="s">
        <v>45</v>
      </c>
      <c r="Z158" s="1" t="s">
        <v>46</v>
      </c>
      <c r="AA158" s="1" t="s">
        <v>47</v>
      </c>
      <c r="AB158" s="1" t="s">
        <v>37</v>
      </c>
      <c r="AC158" s="1" t="s">
        <v>37</v>
      </c>
      <c r="AD158" s="1" t="s">
        <v>39</v>
      </c>
      <c r="AE158" s="1" t="s">
        <v>37</v>
      </c>
      <c r="AF158" s="1" t="s">
        <v>37</v>
      </c>
      <c r="AG158" s="1" t="s">
        <v>37</v>
      </c>
      <c r="AH158" s="1" t="s">
        <v>37</v>
      </c>
      <c r="AI158" s="1" t="s">
        <v>39</v>
      </c>
      <c r="AJ158" s="1" t="s">
        <v>39</v>
      </c>
      <c r="AK158" s="1" t="str">
        <f t="shared" si="5"/>
        <v>Apenas Pilar 3</v>
      </c>
      <c r="AL158" s="1" t="str">
        <f>+IF(IFERROR(VLOOKUP(A158,Ficheiros!I:I,1,FALSE),"")=A158,"Sim","Não")</f>
        <v>Não</v>
      </c>
      <c r="AM158" s="1" t="str">
        <f>+IF(IFERROR(VLOOKUP(A158,Ficheiros!E:E,1,FALSE),"")=A158,"Sim","Não")</f>
        <v>Não</v>
      </c>
      <c r="AN158" s="1" t="str">
        <f>+IF(IFERROR(VLOOKUP(A158,Ficheiros!O:O,1,FALSE),"")=A158,"Sim","Não")</f>
        <v>Não</v>
      </c>
      <c r="AO158" s="1" t="str">
        <f>+IF(IFERROR(VLOOKUP(A158,'Especificação Novos Req. LT (2'!A:A,1,FALSE),"")=A158,"Sim","Não")</f>
        <v>Sim</v>
      </c>
      <c r="AP158" s="1" t="str">
        <f>+IF(IFERROR(VLOOKUP(A158,Ficheiros!T:T,1,FALSE),"")=A158,"Sim","Não")</f>
        <v>Não</v>
      </c>
      <c r="AQ158" s="1" t="e">
        <f>+VLOOKUP(A158,Ficheiros!O:P,2,FALSE)</f>
        <v>#N/A</v>
      </c>
      <c r="AR158" s="1" t="e">
        <f>+VLOOKUP(A158,Ficheiros!R:S,3,FALSE)</f>
        <v>#N/A</v>
      </c>
      <c r="AS158" s="1" t="e">
        <f>+VLOOKUP(A158,Ficheiros!T:V,3,FALSE)</f>
        <v>#N/A</v>
      </c>
      <c r="AT158" s="1"/>
      <c r="AU158" s="1"/>
      <c r="AV158" s="1" t="s">
        <v>2475</v>
      </c>
      <c r="AW158" s="1" t="s">
        <v>2542</v>
      </c>
      <c r="AX158" s="1"/>
    </row>
    <row r="159" spans="1:50" ht="14.5" customHeight="1" x14ac:dyDescent="0.35">
      <c r="A159" s="5" t="str">
        <f t="shared" si="4"/>
        <v>ENTITYPURE_TRNVR_P</v>
      </c>
      <c r="B159" s="1" t="s">
        <v>697</v>
      </c>
      <c r="C159" s="1" t="s">
        <v>35</v>
      </c>
      <c r="D159" s="1" t="s">
        <v>49</v>
      </c>
      <c r="E159" s="1" t="s">
        <v>37</v>
      </c>
      <c r="F159" s="25" t="s">
        <v>698</v>
      </c>
      <c r="G159" s="1" t="s">
        <v>698</v>
      </c>
      <c r="H159" s="1" t="s">
        <v>37</v>
      </c>
      <c r="I159" s="1" t="s">
        <v>37</v>
      </c>
      <c r="J159" s="1" t="s">
        <v>37</v>
      </c>
      <c r="K159" s="1" t="s">
        <v>39</v>
      </c>
      <c r="L159" s="1" t="s">
        <v>39</v>
      </c>
      <c r="M159" s="1" t="s">
        <v>39</v>
      </c>
      <c r="N159" s="1" t="s">
        <v>37</v>
      </c>
      <c r="O159" s="1"/>
      <c r="P159" s="1"/>
      <c r="Q159" s="1"/>
      <c r="R159" s="1" t="s">
        <v>342</v>
      </c>
      <c r="S159" s="1" t="s">
        <v>274</v>
      </c>
      <c r="T159" s="1">
        <v>99999999999</v>
      </c>
      <c r="U159" s="1">
        <v>11111111111</v>
      </c>
      <c r="V159" s="1">
        <v>11111111111</v>
      </c>
      <c r="W159" s="1" t="s">
        <v>699</v>
      </c>
      <c r="X159" s="1" t="s">
        <v>700</v>
      </c>
      <c r="Y159" s="1" t="s">
        <v>45</v>
      </c>
      <c r="Z159" s="1" t="s">
        <v>46</v>
      </c>
      <c r="AA159" s="1" t="s">
        <v>47</v>
      </c>
      <c r="AB159" s="1" t="s">
        <v>37</v>
      </c>
      <c r="AC159" s="1" t="s">
        <v>37</v>
      </c>
      <c r="AD159" s="1" t="s">
        <v>39</v>
      </c>
      <c r="AE159" s="1" t="s">
        <v>37</v>
      </c>
      <c r="AF159" s="1" t="s">
        <v>37</v>
      </c>
      <c r="AG159" s="1" t="s">
        <v>37</v>
      </c>
      <c r="AH159" s="1" t="s">
        <v>37</v>
      </c>
      <c r="AI159" s="1" t="s">
        <v>39</v>
      </c>
      <c r="AJ159" s="1" t="s">
        <v>39</v>
      </c>
      <c r="AK159" s="1" t="str">
        <f t="shared" si="5"/>
        <v>Apenas Pilar 3</v>
      </c>
      <c r="AL159" s="1" t="str">
        <f>+IF(IFERROR(VLOOKUP(A159,Ficheiros!I:I,1,FALSE),"")=A159,"Sim","Não")</f>
        <v>Não</v>
      </c>
      <c r="AM159" s="1" t="str">
        <f>+IF(IFERROR(VLOOKUP(A159,Ficheiros!E:E,1,FALSE),"")=A159,"Sim","Não")</f>
        <v>Não</v>
      </c>
      <c r="AN159" s="1" t="str">
        <f>+IF(IFERROR(VLOOKUP(A159,Ficheiros!O:O,1,FALSE),"")=A159,"Sim","Não")</f>
        <v>Não</v>
      </c>
      <c r="AO159" s="1" t="str">
        <f>+IF(IFERROR(VLOOKUP(A159,'Especificação Novos Req. LT (2'!A:A,1,FALSE),"")=A159,"Sim","Não")</f>
        <v>Sim</v>
      </c>
      <c r="AP159" s="1" t="str">
        <f>+IF(IFERROR(VLOOKUP(A159,Ficheiros!T:T,1,FALSE),"")=A159,"Sim","Não")</f>
        <v>Não</v>
      </c>
      <c r="AQ159" s="1" t="e">
        <f>+VLOOKUP(A159,Ficheiros!O:P,2,FALSE)</f>
        <v>#N/A</v>
      </c>
      <c r="AR159" s="1" t="e">
        <f>+VLOOKUP(A159,Ficheiros!R:S,3,FALSE)</f>
        <v>#N/A</v>
      </c>
      <c r="AS159" s="1" t="e">
        <f>+VLOOKUP(A159,Ficheiros!T:V,3,FALSE)</f>
        <v>#N/A</v>
      </c>
      <c r="AT159" s="1"/>
      <c r="AU159" s="1"/>
      <c r="AV159" s="1" t="s">
        <v>2475</v>
      </c>
      <c r="AW159" s="1" t="s">
        <v>2542</v>
      </c>
      <c r="AX159" s="1"/>
    </row>
    <row r="160" spans="1:50" ht="14.5" customHeight="1" x14ac:dyDescent="0.35">
      <c r="A160" s="5" t="str">
        <f t="shared" si="4"/>
        <v>ENTITYPURE_CAPEX_B</v>
      </c>
      <c r="B160" s="1" t="s">
        <v>701</v>
      </c>
      <c r="C160" s="1" t="s">
        <v>35</v>
      </c>
      <c r="D160" s="1" t="s">
        <v>49</v>
      </c>
      <c r="E160" s="1" t="s">
        <v>37</v>
      </c>
      <c r="F160" s="25" t="s">
        <v>702</v>
      </c>
      <c r="G160" s="1" t="s">
        <v>702</v>
      </c>
      <c r="H160" s="1" t="s">
        <v>37</v>
      </c>
      <c r="I160" s="1" t="s">
        <v>37</v>
      </c>
      <c r="J160" s="1" t="s">
        <v>37</v>
      </c>
      <c r="K160" s="1" t="s">
        <v>39</v>
      </c>
      <c r="L160" s="1" t="s">
        <v>39</v>
      </c>
      <c r="M160" s="1" t="s">
        <v>39</v>
      </c>
      <c r="N160" s="1" t="s">
        <v>37</v>
      </c>
      <c r="O160" s="1"/>
      <c r="P160" s="1"/>
      <c r="Q160" s="1"/>
      <c r="R160" s="1" t="s">
        <v>342</v>
      </c>
      <c r="S160" s="1" t="s">
        <v>274</v>
      </c>
      <c r="T160" s="1">
        <v>99999999999</v>
      </c>
      <c r="U160" s="1">
        <v>11111111111</v>
      </c>
      <c r="V160" s="1">
        <v>11111111111</v>
      </c>
      <c r="W160" s="1" t="s">
        <v>703</v>
      </c>
      <c r="X160" s="1" t="s">
        <v>704</v>
      </c>
      <c r="Y160" s="1" t="s">
        <v>45</v>
      </c>
      <c r="Z160" s="1" t="s">
        <v>46</v>
      </c>
      <c r="AA160" s="1" t="s">
        <v>47</v>
      </c>
      <c r="AB160" s="1" t="s">
        <v>37</v>
      </c>
      <c r="AC160" s="1" t="s">
        <v>37</v>
      </c>
      <c r="AD160" s="1" t="s">
        <v>39</v>
      </c>
      <c r="AE160" s="1" t="s">
        <v>37</v>
      </c>
      <c r="AF160" s="1" t="s">
        <v>37</v>
      </c>
      <c r="AG160" s="1" t="s">
        <v>37</v>
      </c>
      <c r="AH160" s="1" t="s">
        <v>37</v>
      </c>
      <c r="AI160" s="1" t="s">
        <v>39</v>
      </c>
      <c r="AJ160" s="1" t="s">
        <v>39</v>
      </c>
      <c r="AK160" s="1" t="str">
        <f t="shared" si="5"/>
        <v>Apenas Pilar 3</v>
      </c>
      <c r="AL160" s="1" t="str">
        <f>+IF(IFERROR(VLOOKUP(A160,Ficheiros!I:I,1,FALSE),"")=A160,"Sim","Não")</f>
        <v>Não</v>
      </c>
      <c r="AM160" s="1" t="str">
        <f>+IF(IFERROR(VLOOKUP(A160,Ficheiros!E:E,1,FALSE),"")=A160,"Sim","Não")</f>
        <v>Não</v>
      </c>
      <c r="AN160" s="1" t="str">
        <f>+IF(IFERROR(VLOOKUP(A160,Ficheiros!O:O,1,FALSE),"")=A160,"Sim","Não")</f>
        <v>Não</v>
      </c>
      <c r="AO160" s="1" t="str">
        <f>+IF(IFERROR(VLOOKUP(A160,'Especificação Novos Req. LT (2'!A:A,1,FALSE),"")=A160,"Sim","Não")</f>
        <v>Sim</v>
      </c>
      <c r="AP160" s="1" t="str">
        <f>+IF(IFERROR(VLOOKUP(A160,Ficheiros!T:T,1,FALSE),"")=A160,"Sim","Não")</f>
        <v>Não</v>
      </c>
      <c r="AQ160" s="1" t="e">
        <f>+VLOOKUP(A160,Ficheiros!O:P,2,FALSE)</f>
        <v>#N/A</v>
      </c>
      <c r="AR160" s="1" t="e">
        <f>+VLOOKUP(A160,Ficheiros!R:S,3,FALSE)</f>
        <v>#N/A</v>
      </c>
      <c r="AS160" s="1" t="e">
        <f>+VLOOKUP(A160,Ficheiros!T:V,3,FALSE)</f>
        <v>#N/A</v>
      </c>
      <c r="AT160" s="1"/>
      <c r="AU160" s="1"/>
      <c r="AV160" s="1" t="s">
        <v>2475</v>
      </c>
      <c r="AW160" s="1" t="s">
        <v>2542</v>
      </c>
      <c r="AX160" s="1"/>
    </row>
    <row r="161" spans="1:50" ht="14.5" customHeight="1" x14ac:dyDescent="0.35">
      <c r="A161" s="5" t="str">
        <f t="shared" si="4"/>
        <v>ENTITYPURE_TRNVR_B</v>
      </c>
      <c r="B161" s="1" t="s">
        <v>705</v>
      </c>
      <c r="C161" s="1" t="s">
        <v>35</v>
      </c>
      <c r="D161" s="1" t="s">
        <v>49</v>
      </c>
      <c r="E161" s="1" t="s">
        <v>37</v>
      </c>
      <c r="F161" s="25" t="s">
        <v>706</v>
      </c>
      <c r="G161" s="1" t="s">
        <v>706</v>
      </c>
      <c r="H161" s="1" t="s">
        <v>37</v>
      </c>
      <c r="I161" s="1" t="s">
        <v>37</v>
      </c>
      <c r="J161" s="1" t="s">
        <v>37</v>
      </c>
      <c r="K161" s="1" t="s">
        <v>39</v>
      </c>
      <c r="L161" s="1" t="s">
        <v>39</v>
      </c>
      <c r="M161" s="1" t="s">
        <v>39</v>
      </c>
      <c r="N161" s="1" t="s">
        <v>37</v>
      </c>
      <c r="O161" s="1"/>
      <c r="P161" s="1"/>
      <c r="Q161" s="1"/>
      <c r="R161" s="1" t="s">
        <v>342</v>
      </c>
      <c r="S161" s="1" t="s">
        <v>274</v>
      </c>
      <c r="T161" s="1">
        <v>99999999999</v>
      </c>
      <c r="U161" s="1">
        <v>11111111111</v>
      </c>
      <c r="V161" s="1">
        <v>11111111111</v>
      </c>
      <c r="W161" s="1" t="s">
        <v>707</v>
      </c>
      <c r="X161" s="1" t="s">
        <v>708</v>
      </c>
      <c r="Y161" s="1" t="s">
        <v>45</v>
      </c>
      <c r="Z161" s="1" t="s">
        <v>46</v>
      </c>
      <c r="AA161" s="1" t="s">
        <v>47</v>
      </c>
      <c r="AB161" s="1" t="s">
        <v>37</v>
      </c>
      <c r="AC161" s="1" t="s">
        <v>37</v>
      </c>
      <c r="AD161" s="1" t="s">
        <v>39</v>
      </c>
      <c r="AE161" s="1" t="s">
        <v>37</v>
      </c>
      <c r="AF161" s="1" t="s">
        <v>37</v>
      </c>
      <c r="AG161" s="1" t="s">
        <v>37</v>
      </c>
      <c r="AH161" s="1" t="s">
        <v>37</v>
      </c>
      <c r="AI161" s="1" t="s">
        <v>39</v>
      </c>
      <c r="AJ161" s="1" t="s">
        <v>39</v>
      </c>
      <c r="AK161" s="1" t="str">
        <f t="shared" si="5"/>
        <v>Apenas Pilar 3</v>
      </c>
      <c r="AL161" s="1" t="str">
        <f>+IF(IFERROR(VLOOKUP(A161,Ficheiros!I:I,1,FALSE),"")=A161,"Sim","Não")</f>
        <v>Não</v>
      </c>
      <c r="AM161" s="1" t="str">
        <f>+IF(IFERROR(VLOOKUP(A161,Ficheiros!E:E,1,FALSE),"")=A161,"Sim","Não")</f>
        <v>Não</v>
      </c>
      <c r="AN161" s="1" t="str">
        <f>+IF(IFERROR(VLOOKUP(A161,Ficheiros!O:O,1,FALSE),"")=A161,"Sim","Não")</f>
        <v>Não</v>
      </c>
      <c r="AO161" s="1" t="str">
        <f>+IF(IFERROR(VLOOKUP(A161,'Especificação Novos Req. LT (2'!A:A,1,FALSE),"")=A161,"Sim","Não")</f>
        <v>Sim</v>
      </c>
      <c r="AP161" s="1" t="str">
        <f>+IF(IFERROR(VLOOKUP(A161,Ficheiros!T:T,1,FALSE),"")=A161,"Sim","Não")</f>
        <v>Não</v>
      </c>
      <c r="AQ161" s="1" t="e">
        <f>+VLOOKUP(A161,Ficheiros!O:P,2,FALSE)</f>
        <v>#N/A</v>
      </c>
      <c r="AR161" s="1" t="e">
        <f>+VLOOKUP(A161,Ficheiros!R:S,3,FALSE)</f>
        <v>#N/A</v>
      </c>
      <c r="AS161" s="1" t="e">
        <f>+VLOOKUP(A161,Ficheiros!T:V,3,FALSE)</f>
        <v>#N/A</v>
      </c>
      <c r="AT161" s="1"/>
      <c r="AU161" s="1"/>
      <c r="AV161" s="1" t="s">
        <v>2475</v>
      </c>
      <c r="AW161" s="1" t="s">
        <v>2542</v>
      </c>
      <c r="AX161" s="1"/>
    </row>
    <row r="162" spans="1:50" ht="14.5" customHeight="1" x14ac:dyDescent="0.35">
      <c r="A162" s="5" t="str">
        <f t="shared" si="4"/>
        <v>ENTITYPURE_CAPEX_W</v>
      </c>
      <c r="B162" s="1" t="s">
        <v>709</v>
      </c>
      <c r="C162" s="1" t="s">
        <v>35</v>
      </c>
      <c r="D162" s="1" t="s">
        <v>49</v>
      </c>
      <c r="E162" s="1" t="s">
        <v>37</v>
      </c>
      <c r="F162" s="25" t="s">
        <v>710</v>
      </c>
      <c r="G162" s="1" t="s">
        <v>710</v>
      </c>
      <c r="H162" s="1" t="s">
        <v>37</v>
      </c>
      <c r="I162" s="1" t="s">
        <v>37</v>
      </c>
      <c r="J162" s="1" t="s">
        <v>37</v>
      </c>
      <c r="K162" s="1" t="s">
        <v>39</v>
      </c>
      <c r="L162" s="1" t="s">
        <v>39</v>
      </c>
      <c r="M162" s="1" t="s">
        <v>39</v>
      </c>
      <c r="N162" s="1" t="s">
        <v>37</v>
      </c>
      <c r="O162" s="1"/>
      <c r="P162" s="1"/>
      <c r="Q162" s="1"/>
      <c r="R162" s="1" t="s">
        <v>342</v>
      </c>
      <c r="S162" s="1" t="s">
        <v>274</v>
      </c>
      <c r="T162" s="1">
        <v>99999999999</v>
      </c>
      <c r="U162" s="1">
        <v>11111111111</v>
      </c>
      <c r="V162" s="1">
        <v>11111111111</v>
      </c>
      <c r="W162" s="1" t="s">
        <v>711</v>
      </c>
      <c r="X162" s="1" t="s">
        <v>712</v>
      </c>
      <c r="Y162" s="1" t="s">
        <v>45</v>
      </c>
      <c r="Z162" s="1" t="s">
        <v>46</v>
      </c>
      <c r="AA162" s="1" t="s">
        <v>47</v>
      </c>
      <c r="AB162" s="1" t="s">
        <v>37</v>
      </c>
      <c r="AC162" s="1" t="s">
        <v>37</v>
      </c>
      <c r="AD162" s="1" t="s">
        <v>39</v>
      </c>
      <c r="AE162" s="1" t="s">
        <v>37</v>
      </c>
      <c r="AF162" s="1" t="s">
        <v>37</v>
      </c>
      <c r="AG162" s="1" t="s">
        <v>37</v>
      </c>
      <c r="AH162" s="1" t="s">
        <v>37</v>
      </c>
      <c r="AI162" s="1" t="s">
        <v>39</v>
      </c>
      <c r="AJ162" s="1" t="s">
        <v>39</v>
      </c>
      <c r="AK162" s="1" t="str">
        <f t="shared" si="5"/>
        <v>Apenas Pilar 3</v>
      </c>
      <c r="AL162" s="1" t="str">
        <f>+IF(IFERROR(VLOOKUP(A162,Ficheiros!I:I,1,FALSE),"")=A162,"Sim","Não")</f>
        <v>Não</v>
      </c>
      <c r="AM162" s="1" t="str">
        <f>+IF(IFERROR(VLOOKUP(A162,Ficheiros!E:E,1,FALSE),"")=A162,"Sim","Não")</f>
        <v>Não</v>
      </c>
      <c r="AN162" s="1" t="str">
        <f>+IF(IFERROR(VLOOKUP(A162,Ficheiros!O:O,1,FALSE),"")=A162,"Sim","Não")</f>
        <v>Não</v>
      </c>
      <c r="AO162" s="1" t="str">
        <f>+IF(IFERROR(VLOOKUP(A162,'Especificação Novos Req. LT (2'!A:A,1,FALSE),"")=A162,"Sim","Não")</f>
        <v>Sim</v>
      </c>
      <c r="AP162" s="1" t="str">
        <f>+IF(IFERROR(VLOOKUP(A162,Ficheiros!T:T,1,FALSE),"")=A162,"Sim","Não")</f>
        <v>Não</v>
      </c>
      <c r="AQ162" s="1" t="e">
        <f>+VLOOKUP(A162,Ficheiros!O:P,2,FALSE)</f>
        <v>#N/A</v>
      </c>
      <c r="AR162" s="1" t="e">
        <f>+VLOOKUP(A162,Ficheiros!R:S,3,FALSE)</f>
        <v>#N/A</v>
      </c>
      <c r="AS162" s="1" t="e">
        <f>+VLOOKUP(A162,Ficheiros!T:V,3,FALSE)</f>
        <v>#N/A</v>
      </c>
      <c r="AT162" s="1"/>
      <c r="AU162" s="1"/>
      <c r="AV162" s="1" t="s">
        <v>2475</v>
      </c>
      <c r="AW162" s="1" t="s">
        <v>2542</v>
      </c>
      <c r="AX162" s="1"/>
    </row>
    <row r="163" spans="1:50" ht="14.5" customHeight="1" x14ac:dyDescent="0.35">
      <c r="A163" s="5" t="str">
        <f t="shared" si="4"/>
        <v>ENTITYPURE_TRNVR_W</v>
      </c>
      <c r="B163" s="1" t="s">
        <v>713</v>
      </c>
      <c r="C163" s="1" t="s">
        <v>35</v>
      </c>
      <c r="D163" s="1" t="s">
        <v>49</v>
      </c>
      <c r="E163" s="1" t="s">
        <v>37</v>
      </c>
      <c r="F163" s="25" t="s">
        <v>714</v>
      </c>
      <c r="G163" s="1" t="s">
        <v>714</v>
      </c>
      <c r="H163" s="1" t="s">
        <v>37</v>
      </c>
      <c r="I163" s="1" t="s">
        <v>37</v>
      </c>
      <c r="J163" s="1" t="s">
        <v>37</v>
      </c>
      <c r="K163" s="1" t="s">
        <v>39</v>
      </c>
      <c r="L163" s="1" t="s">
        <v>39</v>
      </c>
      <c r="M163" s="1" t="s">
        <v>39</v>
      </c>
      <c r="N163" s="1" t="s">
        <v>37</v>
      </c>
      <c r="O163" s="1"/>
      <c r="P163" s="1"/>
      <c r="Q163" s="1"/>
      <c r="R163" s="1" t="s">
        <v>342</v>
      </c>
      <c r="S163" s="1" t="s">
        <v>274</v>
      </c>
      <c r="T163" s="1">
        <v>99999999999</v>
      </c>
      <c r="U163" s="1">
        <v>11111111111</v>
      </c>
      <c r="V163" s="1">
        <v>11111111111</v>
      </c>
      <c r="W163" s="1" t="s">
        <v>715</v>
      </c>
      <c r="X163" s="1" t="s">
        <v>716</v>
      </c>
      <c r="Y163" s="1" t="s">
        <v>45</v>
      </c>
      <c r="Z163" s="1" t="s">
        <v>46</v>
      </c>
      <c r="AA163" s="1" t="s">
        <v>47</v>
      </c>
      <c r="AB163" s="1" t="s">
        <v>37</v>
      </c>
      <c r="AC163" s="1" t="s">
        <v>37</v>
      </c>
      <c r="AD163" s="1" t="s">
        <v>39</v>
      </c>
      <c r="AE163" s="1" t="s">
        <v>37</v>
      </c>
      <c r="AF163" s="1" t="s">
        <v>37</v>
      </c>
      <c r="AG163" s="1" t="s">
        <v>37</v>
      </c>
      <c r="AH163" s="1" t="s">
        <v>37</v>
      </c>
      <c r="AI163" s="1" t="s">
        <v>39</v>
      </c>
      <c r="AJ163" s="1" t="s">
        <v>39</v>
      </c>
      <c r="AK163" s="1" t="str">
        <f t="shared" si="5"/>
        <v>Apenas Pilar 3</v>
      </c>
      <c r="AL163" s="1" t="str">
        <f>+IF(IFERROR(VLOOKUP(A163,Ficheiros!I:I,1,FALSE),"")=A163,"Sim","Não")</f>
        <v>Não</v>
      </c>
      <c r="AM163" s="1" t="str">
        <f>+IF(IFERROR(VLOOKUP(A163,Ficheiros!E:E,1,FALSE),"")=A163,"Sim","Não")</f>
        <v>Não</v>
      </c>
      <c r="AN163" s="1" t="str">
        <f>+IF(IFERROR(VLOOKUP(A163,Ficheiros!O:O,1,FALSE),"")=A163,"Sim","Não")</f>
        <v>Não</v>
      </c>
      <c r="AO163" s="1" t="str">
        <f>+IF(IFERROR(VLOOKUP(A163,'Especificação Novos Req. LT (2'!A:A,1,FALSE),"")=A163,"Sim","Não")</f>
        <v>Sim</v>
      </c>
      <c r="AP163" s="1" t="str">
        <f>+IF(IFERROR(VLOOKUP(A163,Ficheiros!T:T,1,FALSE),"")=A163,"Sim","Não")</f>
        <v>Não</v>
      </c>
      <c r="AQ163" s="1" t="e">
        <f>+VLOOKUP(A163,Ficheiros!O:P,2,FALSE)</f>
        <v>#N/A</v>
      </c>
      <c r="AR163" s="1" t="e">
        <f>+VLOOKUP(A163,Ficheiros!R:S,3,FALSE)</f>
        <v>#N/A</v>
      </c>
      <c r="AS163" s="1" t="e">
        <f>+VLOOKUP(A163,Ficheiros!T:V,3,FALSE)</f>
        <v>#N/A</v>
      </c>
      <c r="AT163" s="1"/>
      <c r="AU163" s="1"/>
      <c r="AV163" s="1" t="s">
        <v>2475</v>
      </c>
      <c r="AW163" s="1" t="s">
        <v>2542</v>
      </c>
      <c r="AX163" s="1"/>
    </row>
    <row r="164" spans="1:50" ht="14.5" customHeight="1" x14ac:dyDescent="0.35">
      <c r="A164" s="5" t="str">
        <f t="shared" si="4"/>
        <v>ENTITYPURE_CAPEX_CE</v>
      </c>
      <c r="B164" s="1" t="s">
        <v>717</v>
      </c>
      <c r="C164" s="1" t="s">
        <v>35</v>
      </c>
      <c r="D164" s="1" t="s">
        <v>49</v>
      </c>
      <c r="E164" s="1" t="s">
        <v>37</v>
      </c>
      <c r="F164" s="25" t="s">
        <v>718</v>
      </c>
      <c r="G164" s="1" t="s">
        <v>718</v>
      </c>
      <c r="H164" s="1" t="s">
        <v>37</v>
      </c>
      <c r="I164" s="1" t="s">
        <v>37</v>
      </c>
      <c r="J164" s="1" t="s">
        <v>37</v>
      </c>
      <c r="K164" s="1" t="s">
        <v>39</v>
      </c>
      <c r="L164" s="1" t="s">
        <v>39</v>
      </c>
      <c r="M164" s="1" t="s">
        <v>39</v>
      </c>
      <c r="N164" s="1" t="s">
        <v>37</v>
      </c>
      <c r="O164" s="1"/>
      <c r="P164" s="1"/>
      <c r="Q164" s="1"/>
      <c r="R164" s="1" t="s">
        <v>342</v>
      </c>
      <c r="S164" s="1" t="s">
        <v>274</v>
      </c>
      <c r="T164" s="1">
        <v>99999999999</v>
      </c>
      <c r="U164" s="1">
        <v>11111111111</v>
      </c>
      <c r="V164" s="1">
        <v>11111111111</v>
      </c>
      <c r="W164" s="1" t="s">
        <v>719</v>
      </c>
      <c r="X164" s="1" t="s">
        <v>720</v>
      </c>
      <c r="Y164" s="1" t="s">
        <v>45</v>
      </c>
      <c r="Z164" s="1" t="s">
        <v>46</v>
      </c>
      <c r="AA164" s="1" t="s">
        <v>47</v>
      </c>
      <c r="AB164" s="1" t="s">
        <v>37</v>
      </c>
      <c r="AC164" s="1" t="s">
        <v>37</v>
      </c>
      <c r="AD164" s="1" t="s">
        <v>39</v>
      </c>
      <c r="AE164" s="1" t="s">
        <v>37</v>
      </c>
      <c r="AF164" s="1" t="s">
        <v>37</v>
      </c>
      <c r="AG164" s="1" t="s">
        <v>37</v>
      </c>
      <c r="AH164" s="1" t="s">
        <v>37</v>
      </c>
      <c r="AI164" s="1" t="s">
        <v>39</v>
      </c>
      <c r="AJ164" s="1" t="s">
        <v>39</v>
      </c>
      <c r="AK164" s="1" t="str">
        <f t="shared" si="5"/>
        <v>Apenas Pilar 3</v>
      </c>
      <c r="AL164" s="1" t="str">
        <f>+IF(IFERROR(VLOOKUP(A164,Ficheiros!I:I,1,FALSE),"")=A164,"Sim","Não")</f>
        <v>Não</v>
      </c>
      <c r="AM164" s="1" t="str">
        <f>+IF(IFERROR(VLOOKUP(A164,Ficheiros!E:E,1,FALSE),"")=A164,"Sim","Não")</f>
        <v>Não</v>
      </c>
      <c r="AN164" s="1" t="str">
        <f>+IF(IFERROR(VLOOKUP(A164,Ficheiros!O:O,1,FALSE),"")=A164,"Sim","Não")</f>
        <v>Não</v>
      </c>
      <c r="AO164" s="1" t="str">
        <f>+IF(IFERROR(VLOOKUP(A164,'Especificação Novos Req. LT (2'!A:A,1,FALSE),"")=A164,"Sim","Não")</f>
        <v>Sim</v>
      </c>
      <c r="AP164" s="1" t="str">
        <f>+IF(IFERROR(VLOOKUP(A164,Ficheiros!T:T,1,FALSE),"")=A164,"Sim","Não")</f>
        <v>Não</v>
      </c>
      <c r="AQ164" s="1" t="e">
        <f>+VLOOKUP(A164,Ficheiros!O:P,2,FALSE)</f>
        <v>#N/A</v>
      </c>
      <c r="AR164" s="1" t="e">
        <f>+VLOOKUP(A164,Ficheiros!R:S,3,FALSE)</f>
        <v>#N/A</v>
      </c>
      <c r="AS164" s="1" t="e">
        <f>+VLOOKUP(A164,Ficheiros!T:V,3,FALSE)</f>
        <v>#N/A</v>
      </c>
      <c r="AT164" s="1"/>
      <c r="AU164" s="1"/>
      <c r="AV164" s="1" t="s">
        <v>2475</v>
      </c>
      <c r="AW164" s="1" t="s">
        <v>2542</v>
      </c>
      <c r="AX164" s="1"/>
    </row>
    <row r="165" spans="1:50" ht="14.5" customHeight="1" x14ac:dyDescent="0.35">
      <c r="A165" s="5" t="str">
        <f t="shared" si="4"/>
        <v>ENTITYPURE_TRNVR_CE</v>
      </c>
      <c r="B165" s="1" t="s">
        <v>721</v>
      </c>
      <c r="C165" s="1" t="s">
        <v>35</v>
      </c>
      <c r="D165" s="1" t="s">
        <v>49</v>
      </c>
      <c r="E165" s="1" t="s">
        <v>37</v>
      </c>
      <c r="F165" s="25" t="s">
        <v>722</v>
      </c>
      <c r="G165" s="1" t="s">
        <v>722</v>
      </c>
      <c r="H165" s="1" t="s">
        <v>37</v>
      </c>
      <c r="I165" s="1" t="s">
        <v>37</v>
      </c>
      <c r="J165" s="1" t="s">
        <v>37</v>
      </c>
      <c r="K165" s="1" t="s">
        <v>39</v>
      </c>
      <c r="L165" s="1" t="s">
        <v>39</v>
      </c>
      <c r="M165" s="1" t="s">
        <v>39</v>
      </c>
      <c r="N165" s="1" t="s">
        <v>37</v>
      </c>
      <c r="O165" s="1"/>
      <c r="P165" s="1"/>
      <c r="Q165" s="1"/>
      <c r="R165" s="1" t="s">
        <v>342</v>
      </c>
      <c r="S165" s="1" t="s">
        <v>274</v>
      </c>
      <c r="T165" s="1">
        <v>99999999999</v>
      </c>
      <c r="U165" s="1">
        <v>11111111111</v>
      </c>
      <c r="V165" s="1">
        <v>11111111111</v>
      </c>
      <c r="W165" s="1" t="s">
        <v>723</v>
      </c>
      <c r="X165" s="1" t="s">
        <v>724</v>
      </c>
      <c r="Y165" s="1" t="s">
        <v>45</v>
      </c>
      <c r="Z165" s="1" t="s">
        <v>46</v>
      </c>
      <c r="AA165" s="1" t="s">
        <v>47</v>
      </c>
      <c r="AB165" s="1" t="s">
        <v>37</v>
      </c>
      <c r="AC165" s="1" t="s">
        <v>37</v>
      </c>
      <c r="AD165" s="1" t="s">
        <v>39</v>
      </c>
      <c r="AE165" s="1" t="s">
        <v>37</v>
      </c>
      <c r="AF165" s="1" t="s">
        <v>37</v>
      </c>
      <c r="AG165" s="1" t="s">
        <v>37</v>
      </c>
      <c r="AH165" s="1" t="s">
        <v>37</v>
      </c>
      <c r="AI165" s="1" t="s">
        <v>39</v>
      </c>
      <c r="AJ165" s="1" t="s">
        <v>39</v>
      </c>
      <c r="AK165" s="1" t="str">
        <f t="shared" si="5"/>
        <v>Apenas Pilar 3</v>
      </c>
      <c r="AL165" s="1" t="str">
        <f>+IF(IFERROR(VLOOKUP(A165,Ficheiros!I:I,1,FALSE),"")=A165,"Sim","Não")</f>
        <v>Não</v>
      </c>
      <c r="AM165" s="1" t="str">
        <f>+IF(IFERROR(VLOOKUP(A165,Ficheiros!E:E,1,FALSE),"")=A165,"Sim","Não")</f>
        <v>Não</v>
      </c>
      <c r="AN165" s="1" t="str">
        <f>+IF(IFERROR(VLOOKUP(A165,Ficheiros!O:O,1,FALSE),"")=A165,"Sim","Não")</f>
        <v>Não</v>
      </c>
      <c r="AO165" s="1" t="str">
        <f>+IF(IFERROR(VLOOKUP(A165,'Especificação Novos Req. LT (2'!A:A,1,FALSE),"")=A165,"Sim","Não")</f>
        <v>Sim</v>
      </c>
      <c r="AP165" s="1" t="str">
        <f>+IF(IFERROR(VLOOKUP(A165,Ficheiros!T:T,1,FALSE),"")=A165,"Sim","Não")</f>
        <v>Não</v>
      </c>
      <c r="AQ165" s="1" t="e">
        <f>+VLOOKUP(A165,Ficheiros!O:P,2,FALSE)</f>
        <v>#N/A</v>
      </c>
      <c r="AR165" s="1" t="e">
        <f>+VLOOKUP(A165,Ficheiros!R:S,3,FALSE)</f>
        <v>#N/A</v>
      </c>
      <c r="AS165" s="1" t="e">
        <f>+VLOOKUP(A165,Ficheiros!T:V,3,FALSE)</f>
        <v>#N/A</v>
      </c>
      <c r="AT165" s="1"/>
      <c r="AU165" s="1"/>
      <c r="AV165" s="1" t="s">
        <v>2475</v>
      </c>
      <c r="AW165" s="1" t="s">
        <v>2542</v>
      </c>
      <c r="AX165" s="1"/>
    </row>
    <row r="166" spans="1:50" ht="14.5" customHeight="1" x14ac:dyDescent="0.35">
      <c r="A166" s="5" t="str">
        <f t="shared" si="4"/>
        <v>ENTITYENBLNG_CAPEX_W</v>
      </c>
      <c r="B166" s="1" t="s">
        <v>725</v>
      </c>
      <c r="C166" s="1" t="s">
        <v>35</v>
      </c>
      <c r="D166" s="1" t="s">
        <v>49</v>
      </c>
      <c r="E166" s="1" t="s">
        <v>37</v>
      </c>
      <c r="F166" s="25" t="s">
        <v>726</v>
      </c>
      <c r="G166" s="1" t="s">
        <v>726</v>
      </c>
      <c r="H166" s="1" t="s">
        <v>37</v>
      </c>
      <c r="I166" s="1" t="s">
        <v>37</v>
      </c>
      <c r="J166" s="1" t="s">
        <v>37</v>
      </c>
      <c r="K166" s="1" t="s">
        <v>39</v>
      </c>
      <c r="L166" s="1" t="s">
        <v>39</v>
      </c>
      <c r="M166" s="1" t="s">
        <v>39</v>
      </c>
      <c r="N166" s="1" t="s">
        <v>37</v>
      </c>
      <c r="O166" s="1"/>
      <c r="P166" s="1"/>
      <c r="Q166" s="1"/>
      <c r="R166" s="1" t="s">
        <v>342</v>
      </c>
      <c r="S166" s="1" t="s">
        <v>274</v>
      </c>
      <c r="T166" s="1">
        <v>99999999999</v>
      </c>
      <c r="U166" s="1">
        <v>11111111111</v>
      </c>
      <c r="V166" s="1">
        <v>11111111111</v>
      </c>
      <c r="W166" s="1" t="s">
        <v>727</v>
      </c>
      <c r="X166" s="1" t="s">
        <v>728</v>
      </c>
      <c r="Y166" s="1" t="s">
        <v>45</v>
      </c>
      <c r="Z166" s="1" t="s">
        <v>46</v>
      </c>
      <c r="AA166" s="1" t="s">
        <v>47</v>
      </c>
      <c r="AB166" s="1" t="s">
        <v>37</v>
      </c>
      <c r="AC166" s="1" t="s">
        <v>37</v>
      </c>
      <c r="AD166" s="1" t="s">
        <v>39</v>
      </c>
      <c r="AE166" s="1" t="s">
        <v>37</v>
      </c>
      <c r="AF166" s="1" t="s">
        <v>37</v>
      </c>
      <c r="AG166" s="1" t="s">
        <v>37</v>
      </c>
      <c r="AH166" s="1" t="s">
        <v>37</v>
      </c>
      <c r="AI166" s="1" t="s">
        <v>39</v>
      </c>
      <c r="AJ166" s="1" t="s">
        <v>39</v>
      </c>
      <c r="AK166" s="1" t="str">
        <f t="shared" si="5"/>
        <v>Apenas Pilar 3</v>
      </c>
      <c r="AL166" s="1" t="str">
        <f>+IF(IFERROR(VLOOKUP(A166,Ficheiros!I:I,1,FALSE),"")=A166,"Sim","Não")</f>
        <v>Não</v>
      </c>
      <c r="AM166" s="1" t="str">
        <f>+IF(IFERROR(VLOOKUP(A166,Ficheiros!E:E,1,FALSE),"")=A166,"Sim","Não")</f>
        <v>Não</v>
      </c>
      <c r="AN166" s="1" t="str">
        <f>+IF(IFERROR(VLOOKUP(A166,Ficheiros!O:O,1,FALSE),"")=A166,"Sim","Não")</f>
        <v>Não</v>
      </c>
      <c r="AO166" s="1" t="str">
        <f>+IF(IFERROR(VLOOKUP(A166,'Especificação Novos Req. LT (2'!A:A,1,FALSE),"")=A166,"Sim","Não")</f>
        <v>Sim</v>
      </c>
      <c r="AP166" s="1" t="str">
        <f>+IF(IFERROR(VLOOKUP(A166,Ficheiros!T:T,1,FALSE),"")=A166,"Sim","Não")</f>
        <v>Não</v>
      </c>
      <c r="AQ166" s="1" t="e">
        <f>+VLOOKUP(A166,Ficheiros!O:P,2,FALSE)</f>
        <v>#N/A</v>
      </c>
      <c r="AR166" s="1" t="e">
        <f>+VLOOKUP(A166,Ficheiros!R:S,3,FALSE)</f>
        <v>#N/A</v>
      </c>
      <c r="AS166" s="1" t="e">
        <f>+VLOOKUP(A166,Ficheiros!T:V,3,FALSE)</f>
        <v>#N/A</v>
      </c>
      <c r="AT166" s="1"/>
      <c r="AU166" s="1"/>
      <c r="AV166" s="1" t="s">
        <v>2475</v>
      </c>
      <c r="AW166" s="1" t="s">
        <v>2542</v>
      </c>
      <c r="AX166" s="1"/>
    </row>
    <row r="167" spans="1:50" ht="14.5" customHeight="1" x14ac:dyDescent="0.35">
      <c r="A167" s="5" t="str">
        <f t="shared" si="4"/>
        <v>ENTITYENBLNG_TRNVR_W</v>
      </c>
      <c r="B167" s="1" t="s">
        <v>729</v>
      </c>
      <c r="C167" s="1" t="s">
        <v>35</v>
      </c>
      <c r="D167" s="1" t="s">
        <v>49</v>
      </c>
      <c r="E167" s="1" t="s">
        <v>37</v>
      </c>
      <c r="F167" s="25" t="s">
        <v>730</v>
      </c>
      <c r="G167" s="1" t="s">
        <v>730</v>
      </c>
      <c r="H167" s="1" t="s">
        <v>37</v>
      </c>
      <c r="I167" s="1" t="s">
        <v>37</v>
      </c>
      <c r="J167" s="1" t="s">
        <v>37</v>
      </c>
      <c r="K167" s="1" t="s">
        <v>39</v>
      </c>
      <c r="L167" s="1" t="s">
        <v>39</v>
      </c>
      <c r="M167" s="1" t="s">
        <v>39</v>
      </c>
      <c r="N167" s="1" t="s">
        <v>37</v>
      </c>
      <c r="O167" s="1"/>
      <c r="P167" s="1"/>
      <c r="Q167" s="1"/>
      <c r="R167" s="1" t="s">
        <v>342</v>
      </c>
      <c r="S167" s="1" t="s">
        <v>274</v>
      </c>
      <c r="T167" s="1">
        <v>99999999999</v>
      </c>
      <c r="U167" s="1">
        <v>11111111111</v>
      </c>
      <c r="V167" s="1">
        <v>11111111111</v>
      </c>
      <c r="W167" s="1" t="s">
        <v>731</v>
      </c>
      <c r="X167" s="1" t="s">
        <v>732</v>
      </c>
      <c r="Y167" s="1" t="s">
        <v>45</v>
      </c>
      <c r="Z167" s="1" t="s">
        <v>46</v>
      </c>
      <c r="AA167" s="1" t="s">
        <v>47</v>
      </c>
      <c r="AB167" s="1" t="s">
        <v>37</v>
      </c>
      <c r="AC167" s="1" t="s">
        <v>37</v>
      </c>
      <c r="AD167" s="1" t="s">
        <v>39</v>
      </c>
      <c r="AE167" s="1" t="s">
        <v>37</v>
      </c>
      <c r="AF167" s="1" t="s">
        <v>37</v>
      </c>
      <c r="AG167" s="1" t="s">
        <v>37</v>
      </c>
      <c r="AH167" s="1" t="s">
        <v>37</v>
      </c>
      <c r="AI167" s="1" t="s">
        <v>39</v>
      </c>
      <c r="AJ167" s="1" t="s">
        <v>39</v>
      </c>
      <c r="AK167" s="1" t="str">
        <f t="shared" si="5"/>
        <v>Apenas Pilar 3</v>
      </c>
      <c r="AL167" s="1" t="str">
        <f>+IF(IFERROR(VLOOKUP(A167,Ficheiros!I:I,1,FALSE),"")=A167,"Sim","Não")</f>
        <v>Não</v>
      </c>
      <c r="AM167" s="1" t="str">
        <f>+IF(IFERROR(VLOOKUP(A167,Ficheiros!E:E,1,FALSE),"")=A167,"Sim","Não")</f>
        <v>Não</v>
      </c>
      <c r="AN167" s="1" t="str">
        <f>+IF(IFERROR(VLOOKUP(A167,Ficheiros!O:O,1,FALSE),"")=A167,"Sim","Não")</f>
        <v>Não</v>
      </c>
      <c r="AO167" s="1" t="str">
        <f>+IF(IFERROR(VLOOKUP(A167,'Especificação Novos Req. LT (2'!A:A,1,FALSE),"")=A167,"Sim","Não")</f>
        <v>Sim</v>
      </c>
      <c r="AP167" s="1" t="str">
        <f>+IF(IFERROR(VLOOKUP(A167,Ficheiros!T:T,1,FALSE),"")=A167,"Sim","Não")</f>
        <v>Não</v>
      </c>
      <c r="AQ167" s="1" t="e">
        <f>+VLOOKUP(A167,Ficheiros!O:P,2,FALSE)</f>
        <v>#N/A</v>
      </c>
      <c r="AR167" s="1" t="e">
        <f>+VLOOKUP(A167,Ficheiros!R:S,3,FALSE)</f>
        <v>#N/A</v>
      </c>
      <c r="AS167" s="1" t="e">
        <f>+VLOOKUP(A167,Ficheiros!T:V,3,FALSE)</f>
        <v>#N/A</v>
      </c>
      <c r="AT167" s="1"/>
      <c r="AU167" s="1"/>
      <c r="AV167" s="1" t="s">
        <v>2475</v>
      </c>
      <c r="AW167" s="1" t="s">
        <v>2542</v>
      </c>
      <c r="AX167" s="1"/>
    </row>
    <row r="168" spans="1:50" ht="14.5" customHeight="1" x14ac:dyDescent="0.35">
      <c r="A168" s="5" t="str">
        <f t="shared" si="4"/>
        <v>ENTITYENBLNG_CAPEX_CE</v>
      </c>
      <c r="B168" s="1" t="s">
        <v>733</v>
      </c>
      <c r="C168" s="1" t="s">
        <v>35</v>
      </c>
      <c r="D168" s="1" t="s">
        <v>49</v>
      </c>
      <c r="E168" s="1" t="s">
        <v>37</v>
      </c>
      <c r="F168" s="25" t="s">
        <v>734</v>
      </c>
      <c r="G168" s="1" t="s">
        <v>734</v>
      </c>
      <c r="H168" s="1" t="s">
        <v>37</v>
      </c>
      <c r="I168" s="1" t="s">
        <v>37</v>
      </c>
      <c r="J168" s="1" t="s">
        <v>37</v>
      </c>
      <c r="K168" s="1" t="s">
        <v>39</v>
      </c>
      <c r="L168" s="1" t="s">
        <v>39</v>
      </c>
      <c r="M168" s="1" t="s">
        <v>39</v>
      </c>
      <c r="N168" s="1" t="s">
        <v>37</v>
      </c>
      <c r="O168" s="1"/>
      <c r="P168" s="1"/>
      <c r="Q168" s="1"/>
      <c r="R168" s="1" t="s">
        <v>342</v>
      </c>
      <c r="S168" s="1" t="s">
        <v>274</v>
      </c>
      <c r="T168" s="1">
        <v>99999999999</v>
      </c>
      <c r="U168" s="1">
        <v>11111111111</v>
      </c>
      <c r="V168" s="1">
        <v>11111111111</v>
      </c>
      <c r="W168" s="1" t="s">
        <v>735</v>
      </c>
      <c r="X168" s="1" t="s">
        <v>736</v>
      </c>
      <c r="Y168" s="1" t="s">
        <v>45</v>
      </c>
      <c r="Z168" s="1" t="s">
        <v>46</v>
      </c>
      <c r="AA168" s="1" t="s">
        <v>47</v>
      </c>
      <c r="AB168" s="1" t="s">
        <v>37</v>
      </c>
      <c r="AC168" s="1" t="s">
        <v>37</v>
      </c>
      <c r="AD168" s="1" t="s">
        <v>39</v>
      </c>
      <c r="AE168" s="1" t="s">
        <v>37</v>
      </c>
      <c r="AF168" s="1" t="s">
        <v>37</v>
      </c>
      <c r="AG168" s="1" t="s">
        <v>37</v>
      </c>
      <c r="AH168" s="1" t="s">
        <v>37</v>
      </c>
      <c r="AI168" s="1" t="s">
        <v>39</v>
      </c>
      <c r="AJ168" s="1" t="s">
        <v>39</v>
      </c>
      <c r="AK168" s="1" t="str">
        <f t="shared" si="5"/>
        <v>Apenas Pilar 3</v>
      </c>
      <c r="AL168" s="1" t="str">
        <f>+IF(IFERROR(VLOOKUP(A168,Ficheiros!I:I,1,FALSE),"")=A168,"Sim","Não")</f>
        <v>Não</v>
      </c>
      <c r="AM168" s="1" t="str">
        <f>+IF(IFERROR(VLOOKUP(A168,Ficheiros!E:E,1,FALSE),"")=A168,"Sim","Não")</f>
        <v>Não</v>
      </c>
      <c r="AN168" s="1" t="str">
        <f>+IF(IFERROR(VLOOKUP(A168,Ficheiros!O:O,1,FALSE),"")=A168,"Sim","Não")</f>
        <v>Não</v>
      </c>
      <c r="AO168" s="1" t="str">
        <f>+IF(IFERROR(VLOOKUP(A168,'Especificação Novos Req. LT (2'!A:A,1,FALSE),"")=A168,"Sim","Não")</f>
        <v>Sim</v>
      </c>
      <c r="AP168" s="1" t="str">
        <f>+IF(IFERROR(VLOOKUP(A168,Ficheiros!T:T,1,FALSE),"")=A168,"Sim","Não")</f>
        <v>Não</v>
      </c>
      <c r="AQ168" s="1" t="e">
        <f>+VLOOKUP(A168,Ficheiros!O:P,2,FALSE)</f>
        <v>#N/A</v>
      </c>
      <c r="AR168" s="1" t="e">
        <f>+VLOOKUP(A168,Ficheiros!R:S,3,FALSE)</f>
        <v>#N/A</v>
      </c>
      <c r="AS168" s="1" t="e">
        <f>+VLOOKUP(A168,Ficheiros!T:V,3,FALSE)</f>
        <v>#N/A</v>
      </c>
      <c r="AT168" s="1"/>
      <c r="AU168" s="1"/>
      <c r="AV168" s="1" t="s">
        <v>2475</v>
      </c>
      <c r="AW168" s="1" t="s">
        <v>2542</v>
      </c>
      <c r="AX168" s="1"/>
    </row>
    <row r="169" spans="1:50" ht="14.5" customHeight="1" x14ac:dyDescent="0.35">
      <c r="A169" s="5" t="str">
        <f t="shared" si="4"/>
        <v>ENTITYENBLNG_TRNVR_CE</v>
      </c>
      <c r="B169" s="1" t="s">
        <v>737</v>
      </c>
      <c r="C169" s="1" t="s">
        <v>35</v>
      </c>
      <c r="D169" s="1" t="s">
        <v>49</v>
      </c>
      <c r="E169" s="1" t="s">
        <v>37</v>
      </c>
      <c r="F169" s="25" t="s">
        <v>738</v>
      </c>
      <c r="G169" s="1" t="s">
        <v>738</v>
      </c>
      <c r="H169" s="1" t="s">
        <v>37</v>
      </c>
      <c r="I169" s="1" t="s">
        <v>37</v>
      </c>
      <c r="J169" s="1" t="s">
        <v>37</v>
      </c>
      <c r="K169" s="1" t="s">
        <v>39</v>
      </c>
      <c r="L169" s="1" t="s">
        <v>39</v>
      </c>
      <c r="M169" s="1" t="s">
        <v>39</v>
      </c>
      <c r="N169" s="1" t="s">
        <v>37</v>
      </c>
      <c r="O169" s="1"/>
      <c r="P169" s="1"/>
      <c r="Q169" s="1"/>
      <c r="R169" s="1" t="s">
        <v>342</v>
      </c>
      <c r="S169" s="1" t="s">
        <v>274</v>
      </c>
      <c r="T169" s="1">
        <v>99999999999</v>
      </c>
      <c r="U169" s="1">
        <v>11111111111</v>
      </c>
      <c r="V169" s="1">
        <v>11111111111</v>
      </c>
      <c r="W169" s="1" t="s">
        <v>739</v>
      </c>
      <c r="X169" s="1" t="s">
        <v>740</v>
      </c>
      <c r="Y169" s="1" t="s">
        <v>45</v>
      </c>
      <c r="Z169" s="1" t="s">
        <v>46</v>
      </c>
      <c r="AA169" s="1" t="s">
        <v>47</v>
      </c>
      <c r="AB169" s="1" t="s">
        <v>37</v>
      </c>
      <c r="AC169" s="1" t="s">
        <v>37</v>
      </c>
      <c r="AD169" s="1" t="s">
        <v>39</v>
      </c>
      <c r="AE169" s="1" t="s">
        <v>37</v>
      </c>
      <c r="AF169" s="1" t="s">
        <v>37</v>
      </c>
      <c r="AG169" s="1" t="s">
        <v>37</v>
      </c>
      <c r="AH169" s="1" t="s">
        <v>37</v>
      </c>
      <c r="AI169" s="1" t="s">
        <v>39</v>
      </c>
      <c r="AJ169" s="1" t="s">
        <v>39</v>
      </c>
      <c r="AK169" s="1" t="str">
        <f t="shared" si="5"/>
        <v>Apenas Pilar 3</v>
      </c>
      <c r="AL169" s="1" t="str">
        <f>+IF(IFERROR(VLOOKUP(A169,Ficheiros!I:I,1,FALSE),"")=A169,"Sim","Não")</f>
        <v>Não</v>
      </c>
      <c r="AM169" s="1" t="str">
        <f>+IF(IFERROR(VLOOKUP(A169,Ficheiros!E:E,1,FALSE),"")=A169,"Sim","Não")</f>
        <v>Não</v>
      </c>
      <c r="AN169" s="1" t="str">
        <f>+IF(IFERROR(VLOOKUP(A169,Ficheiros!O:O,1,FALSE),"")=A169,"Sim","Não")</f>
        <v>Não</v>
      </c>
      <c r="AO169" s="1" t="str">
        <f>+IF(IFERROR(VLOOKUP(A169,'Especificação Novos Req. LT (2'!A:A,1,FALSE),"")=A169,"Sim","Não")</f>
        <v>Sim</v>
      </c>
      <c r="AP169" s="1" t="str">
        <f>+IF(IFERROR(VLOOKUP(A169,Ficheiros!T:T,1,FALSE),"")=A169,"Sim","Não")</f>
        <v>Não</v>
      </c>
      <c r="AQ169" s="1" t="e">
        <f>+VLOOKUP(A169,Ficheiros!O:P,2,FALSE)</f>
        <v>#N/A</v>
      </c>
      <c r="AR169" s="1" t="e">
        <f>+VLOOKUP(A169,Ficheiros!R:S,3,FALSE)</f>
        <v>#N/A</v>
      </c>
      <c r="AS169" s="1" t="e">
        <f>+VLOOKUP(A169,Ficheiros!T:V,3,FALSE)</f>
        <v>#N/A</v>
      </c>
      <c r="AT169" s="1"/>
      <c r="AU169" s="1"/>
      <c r="AV169" s="1" t="s">
        <v>2475</v>
      </c>
      <c r="AW169" s="1" t="s">
        <v>2542</v>
      </c>
      <c r="AX169" s="1"/>
    </row>
    <row r="170" spans="1:50" ht="14.5" hidden="1" customHeight="1" x14ac:dyDescent="0.35">
      <c r="A170" s="5" t="str">
        <f t="shared" si="4"/>
        <v>ENTITYRORAC</v>
      </c>
      <c r="B170" s="1" t="s">
        <v>741</v>
      </c>
      <c r="C170" s="1" t="s">
        <v>35</v>
      </c>
      <c r="D170" s="1" t="s">
        <v>49</v>
      </c>
      <c r="E170" s="1" t="s">
        <v>37</v>
      </c>
      <c r="F170" s="25" t="s">
        <v>742</v>
      </c>
      <c r="G170" s="1" t="s">
        <v>742</v>
      </c>
      <c r="H170" s="1" t="s">
        <v>37</v>
      </c>
      <c r="I170" s="1" t="s">
        <v>37</v>
      </c>
      <c r="J170" s="1" t="s">
        <v>37</v>
      </c>
      <c r="K170" s="1" t="s">
        <v>37</v>
      </c>
      <c r="L170" s="1" t="s">
        <v>39</v>
      </c>
      <c r="M170" s="1" t="s">
        <v>39</v>
      </c>
      <c r="N170" s="1" t="s">
        <v>37</v>
      </c>
      <c r="O170" s="1"/>
      <c r="P170" s="1"/>
      <c r="Q170" s="1"/>
      <c r="R170" s="1" t="s">
        <v>342</v>
      </c>
      <c r="S170" s="1" t="s">
        <v>274</v>
      </c>
      <c r="T170" s="1">
        <v>99999999999</v>
      </c>
      <c r="U170" s="1">
        <v>11111111111</v>
      </c>
      <c r="V170" s="1">
        <v>11111111111</v>
      </c>
      <c r="W170" s="1" t="s">
        <v>743</v>
      </c>
      <c r="X170" s="1" t="s">
        <v>744</v>
      </c>
      <c r="Y170" s="1" t="s">
        <v>45</v>
      </c>
      <c r="Z170" s="1" t="s">
        <v>46</v>
      </c>
      <c r="AA170" s="1" t="s">
        <v>47</v>
      </c>
      <c r="AB170" s="1" t="s">
        <v>37</v>
      </c>
      <c r="AC170" s="1" t="s">
        <v>37</v>
      </c>
      <c r="AD170" s="1" t="s">
        <v>37</v>
      </c>
      <c r="AE170" s="1" t="s">
        <v>37</v>
      </c>
      <c r="AF170" s="1" t="s">
        <v>37</v>
      </c>
      <c r="AG170" s="1" t="s">
        <v>39</v>
      </c>
      <c r="AH170" s="1" t="s">
        <v>37</v>
      </c>
      <c r="AI170" s="1" t="s">
        <v>37</v>
      </c>
      <c r="AJ170" s="1" t="s">
        <v>39</v>
      </c>
      <c r="AK170" s="1" t="str">
        <f t="shared" si="5"/>
        <v>Fora de âmbito</v>
      </c>
      <c r="AL170" s="1" t="str">
        <f>+IF(IFERROR(VLOOKUP(A170,Ficheiros!I:I,1,FALSE),"")=A170,"Sim","Não")</f>
        <v>Não</v>
      </c>
      <c r="AM170" s="1" t="str">
        <f>+IF(IFERROR(VLOOKUP(A170,Ficheiros!E:E,1,FALSE),"")=A170,"Sim","Não")</f>
        <v>Não</v>
      </c>
      <c r="AN170" s="1" t="str">
        <f>+IF(IFERROR(VLOOKUP(A170,Ficheiros!O:O,1,FALSE),"")=A170,"Sim","Não")</f>
        <v>Não</v>
      </c>
      <c r="AO170" s="1" t="str">
        <f>+IF(IFERROR(VLOOKUP(A170,'Especificação Novos Req. LT (2'!A:A,1,FALSE),"")=A170,"Sim","Não")</f>
        <v>Não</v>
      </c>
      <c r="AP170" s="1" t="str">
        <f>+IF(IFERROR(VLOOKUP(A170,Ficheiros!T:T,1,FALSE),"")=A170,"Sim","Não")</f>
        <v>Não</v>
      </c>
      <c r="AQ170" s="1" t="e">
        <f>+VLOOKUP(A170,Ficheiros!O:P,2,FALSE)</f>
        <v>#N/A</v>
      </c>
      <c r="AR170" s="1" t="e">
        <f>+VLOOKUP(A170,Ficheiros!R:S,3,FALSE)</f>
        <v>#N/A</v>
      </c>
      <c r="AS170" s="1" t="e">
        <f>+VLOOKUP(A170,Ficheiros!T:V,3,FALSE)</f>
        <v>#N/A</v>
      </c>
      <c r="AT170" s="1"/>
      <c r="AU170" s="1"/>
      <c r="AV170" s="1"/>
      <c r="AW170" s="1"/>
      <c r="AX170" s="1"/>
    </row>
    <row r="171" spans="1:50" ht="14.5" hidden="1" customHeight="1" x14ac:dyDescent="0.35">
      <c r="A171" s="5" t="str">
        <f t="shared" si="4"/>
        <v>ENTITYGRP_RORAC</v>
      </c>
      <c r="B171" s="1" t="s">
        <v>745</v>
      </c>
      <c r="C171" s="1" t="s">
        <v>35</v>
      </c>
      <c r="D171" s="1" t="s">
        <v>49</v>
      </c>
      <c r="E171" s="1" t="s">
        <v>37</v>
      </c>
      <c r="F171" s="25" t="s">
        <v>746</v>
      </c>
      <c r="G171" s="1" t="s">
        <v>746</v>
      </c>
      <c r="H171" s="1" t="s">
        <v>37</v>
      </c>
      <c r="I171" s="1" t="s">
        <v>37</v>
      </c>
      <c r="J171" s="1" t="s">
        <v>37</v>
      </c>
      <c r="K171" s="1" t="s">
        <v>37</v>
      </c>
      <c r="L171" s="1" t="s">
        <v>39</v>
      </c>
      <c r="M171" s="1" t="s">
        <v>39</v>
      </c>
      <c r="N171" s="1" t="s">
        <v>37</v>
      </c>
      <c r="O171" s="1"/>
      <c r="P171" s="1"/>
      <c r="Q171" s="1"/>
      <c r="R171" s="1" t="s">
        <v>342</v>
      </c>
      <c r="S171" s="1" t="s">
        <v>274</v>
      </c>
      <c r="T171" s="1">
        <v>99999999999</v>
      </c>
      <c r="U171" s="1">
        <v>11111111111</v>
      </c>
      <c r="V171" s="1">
        <v>11111111111</v>
      </c>
      <c r="W171" s="1" t="s">
        <v>747</v>
      </c>
      <c r="X171" s="1" t="s">
        <v>748</v>
      </c>
      <c r="Y171" s="1" t="s">
        <v>45</v>
      </c>
      <c r="Z171" s="1" t="s">
        <v>46</v>
      </c>
      <c r="AA171" s="1" t="s">
        <v>47</v>
      </c>
      <c r="AB171" s="1" t="s">
        <v>37</v>
      </c>
      <c r="AC171" s="1" t="s">
        <v>37</v>
      </c>
      <c r="AD171" s="1" t="s">
        <v>37</v>
      </c>
      <c r="AE171" s="1" t="s">
        <v>37</v>
      </c>
      <c r="AF171" s="1" t="s">
        <v>37</v>
      </c>
      <c r="AG171" s="1" t="s">
        <v>39</v>
      </c>
      <c r="AH171" s="1" t="s">
        <v>37</v>
      </c>
      <c r="AI171" s="1" t="s">
        <v>37</v>
      </c>
      <c r="AJ171" s="1" t="s">
        <v>39</v>
      </c>
      <c r="AK171" s="1" t="str">
        <f t="shared" si="5"/>
        <v>Fora de âmbito</v>
      </c>
      <c r="AL171" s="1" t="str">
        <f>+IF(IFERROR(VLOOKUP(A171,Ficheiros!I:I,1,FALSE),"")=A171,"Sim","Não")</f>
        <v>Não</v>
      </c>
      <c r="AM171" s="1" t="str">
        <f>+IF(IFERROR(VLOOKUP(A171,Ficheiros!E:E,1,FALSE),"")=A171,"Sim","Não")</f>
        <v>Não</v>
      </c>
      <c r="AN171" s="1" t="str">
        <f>+IF(IFERROR(VLOOKUP(A171,Ficheiros!O:O,1,FALSE),"")=A171,"Sim","Não")</f>
        <v>Não</v>
      </c>
      <c r="AO171" s="1" t="str">
        <f>+IF(IFERROR(VLOOKUP(A171,'Especificação Novos Req. LT (2'!A:A,1,FALSE),"")=A171,"Sim","Não")</f>
        <v>Não</v>
      </c>
      <c r="AP171" s="1" t="str">
        <f>+IF(IFERROR(VLOOKUP(A171,Ficheiros!T:T,1,FALSE),"")=A171,"Sim","Não")</f>
        <v>Não</v>
      </c>
      <c r="AQ171" s="1" t="e">
        <f>+VLOOKUP(A171,Ficheiros!O:P,2,FALSE)</f>
        <v>#N/A</v>
      </c>
      <c r="AR171" s="1" t="e">
        <f>+VLOOKUP(A171,Ficheiros!R:S,3,FALSE)</f>
        <v>#N/A</v>
      </c>
      <c r="AS171" s="1" t="e">
        <f>+VLOOKUP(A171,Ficheiros!T:V,3,FALSE)</f>
        <v>#N/A</v>
      </c>
      <c r="AT171" s="1"/>
      <c r="AU171" s="1"/>
      <c r="AV171" s="1"/>
      <c r="AW171" s="1"/>
      <c r="AX171" s="1"/>
    </row>
    <row r="172" spans="1:50" ht="14.5" hidden="1" customHeight="1" x14ac:dyDescent="0.35">
      <c r="A172" s="5" t="str">
        <f t="shared" si="4"/>
        <v>ENTITYRORWA</v>
      </c>
      <c r="B172" s="1" t="s">
        <v>749</v>
      </c>
      <c r="C172" s="1" t="s">
        <v>35</v>
      </c>
      <c r="D172" s="1" t="s">
        <v>49</v>
      </c>
      <c r="E172" s="1" t="s">
        <v>37</v>
      </c>
      <c r="F172" s="25" t="s">
        <v>750</v>
      </c>
      <c r="G172" s="1" t="s">
        <v>750</v>
      </c>
      <c r="H172" s="1" t="s">
        <v>37</v>
      </c>
      <c r="I172" s="1" t="s">
        <v>37</v>
      </c>
      <c r="J172" s="1" t="s">
        <v>37</v>
      </c>
      <c r="K172" s="1" t="s">
        <v>37</v>
      </c>
      <c r="L172" s="1" t="s">
        <v>39</v>
      </c>
      <c r="M172" s="1" t="s">
        <v>39</v>
      </c>
      <c r="N172" s="1" t="s">
        <v>37</v>
      </c>
      <c r="O172" s="1"/>
      <c r="P172" s="1"/>
      <c r="Q172" s="1"/>
      <c r="R172" s="1" t="s">
        <v>342</v>
      </c>
      <c r="S172" s="1" t="s">
        <v>274</v>
      </c>
      <c r="T172" s="1">
        <v>99999999999</v>
      </c>
      <c r="U172" s="1">
        <v>11111111111</v>
      </c>
      <c r="V172" s="1">
        <v>11111111111</v>
      </c>
      <c r="W172" s="1" t="s">
        <v>751</v>
      </c>
      <c r="X172" s="1" t="s">
        <v>752</v>
      </c>
      <c r="Y172" s="1" t="s">
        <v>45</v>
      </c>
      <c r="Z172" s="1" t="s">
        <v>46</v>
      </c>
      <c r="AA172" s="1" t="s">
        <v>47</v>
      </c>
      <c r="AB172" s="1" t="s">
        <v>37</v>
      </c>
      <c r="AC172" s="1" t="s">
        <v>37</v>
      </c>
      <c r="AD172" s="1" t="s">
        <v>37</v>
      </c>
      <c r="AE172" s="1" t="s">
        <v>37</v>
      </c>
      <c r="AF172" s="1" t="s">
        <v>37</v>
      </c>
      <c r="AG172" s="1" t="s">
        <v>39</v>
      </c>
      <c r="AH172" s="1" t="s">
        <v>37</v>
      </c>
      <c r="AI172" s="1" t="s">
        <v>37</v>
      </c>
      <c r="AJ172" s="1" t="s">
        <v>39</v>
      </c>
      <c r="AK172" s="1" t="str">
        <f t="shared" si="5"/>
        <v>Fora de âmbito</v>
      </c>
      <c r="AL172" s="1" t="str">
        <f>+IF(IFERROR(VLOOKUP(A172,Ficheiros!I:I,1,FALSE),"")=A172,"Sim","Não")</f>
        <v>Não</v>
      </c>
      <c r="AM172" s="1" t="str">
        <f>+IF(IFERROR(VLOOKUP(A172,Ficheiros!E:E,1,FALSE),"")=A172,"Sim","Não")</f>
        <v>Não</v>
      </c>
      <c r="AN172" s="1" t="str">
        <f>+IF(IFERROR(VLOOKUP(A172,Ficheiros!O:O,1,FALSE),"")=A172,"Sim","Não")</f>
        <v>Não</v>
      </c>
      <c r="AO172" s="1" t="str">
        <f>+IF(IFERROR(VLOOKUP(A172,'Especificação Novos Req. LT (2'!A:A,1,FALSE),"")=A172,"Sim","Não")</f>
        <v>Não</v>
      </c>
      <c r="AP172" s="1" t="str">
        <f>+IF(IFERROR(VLOOKUP(A172,Ficheiros!T:T,1,FALSE),"")=A172,"Sim","Não")</f>
        <v>Não</v>
      </c>
      <c r="AQ172" s="1" t="e">
        <f>+VLOOKUP(A172,Ficheiros!O:P,2,FALSE)</f>
        <v>#N/A</v>
      </c>
      <c r="AR172" s="1" t="e">
        <f>+VLOOKUP(A172,Ficheiros!R:S,3,FALSE)</f>
        <v>#N/A</v>
      </c>
      <c r="AS172" s="1" t="e">
        <f>+VLOOKUP(A172,Ficheiros!T:V,3,FALSE)</f>
        <v>#N/A</v>
      </c>
      <c r="AT172" s="1"/>
      <c r="AU172" s="1"/>
      <c r="AV172" s="1"/>
      <c r="AW172" s="1"/>
      <c r="AX172" s="1"/>
    </row>
    <row r="173" spans="1:50" ht="14.5" hidden="1" customHeight="1" x14ac:dyDescent="0.35">
      <c r="A173" s="5" t="str">
        <f t="shared" si="4"/>
        <v>ENTITYGRP_RORWA</v>
      </c>
      <c r="B173" s="1" t="s">
        <v>753</v>
      </c>
      <c r="C173" s="1" t="s">
        <v>35</v>
      </c>
      <c r="D173" s="1" t="s">
        <v>49</v>
      </c>
      <c r="E173" s="1" t="s">
        <v>37</v>
      </c>
      <c r="F173" s="25" t="s">
        <v>754</v>
      </c>
      <c r="G173" s="1" t="s">
        <v>754</v>
      </c>
      <c r="H173" s="1" t="s">
        <v>37</v>
      </c>
      <c r="I173" s="1" t="s">
        <v>37</v>
      </c>
      <c r="J173" s="1" t="s">
        <v>37</v>
      </c>
      <c r="K173" s="1" t="s">
        <v>37</v>
      </c>
      <c r="L173" s="1" t="s">
        <v>39</v>
      </c>
      <c r="M173" s="1" t="s">
        <v>39</v>
      </c>
      <c r="N173" s="1" t="s">
        <v>37</v>
      </c>
      <c r="O173" s="1"/>
      <c r="P173" s="1"/>
      <c r="Q173" s="1"/>
      <c r="R173" s="1" t="s">
        <v>342</v>
      </c>
      <c r="S173" s="1" t="s">
        <v>274</v>
      </c>
      <c r="T173" s="1">
        <v>99999999999</v>
      </c>
      <c r="U173" s="1">
        <v>11111111111</v>
      </c>
      <c r="V173" s="1">
        <v>11111111111</v>
      </c>
      <c r="W173" s="1" t="s">
        <v>755</v>
      </c>
      <c r="X173" s="1" t="s">
        <v>756</v>
      </c>
      <c r="Y173" s="1" t="s">
        <v>45</v>
      </c>
      <c r="Z173" s="1" t="s">
        <v>46</v>
      </c>
      <c r="AA173" s="1" t="s">
        <v>47</v>
      </c>
      <c r="AB173" s="1" t="s">
        <v>37</v>
      </c>
      <c r="AC173" s="1" t="s">
        <v>37</v>
      </c>
      <c r="AD173" s="1" t="s">
        <v>37</v>
      </c>
      <c r="AE173" s="1" t="s">
        <v>37</v>
      </c>
      <c r="AF173" s="1" t="s">
        <v>37</v>
      </c>
      <c r="AG173" s="1" t="s">
        <v>39</v>
      </c>
      <c r="AH173" s="1" t="s">
        <v>37</v>
      </c>
      <c r="AI173" s="1" t="s">
        <v>37</v>
      </c>
      <c r="AJ173" s="1" t="s">
        <v>39</v>
      </c>
      <c r="AK173" s="1" t="str">
        <f t="shared" si="5"/>
        <v>Fora de âmbito</v>
      </c>
      <c r="AL173" s="1" t="str">
        <f>+IF(IFERROR(VLOOKUP(A173,Ficheiros!I:I,1,FALSE),"")=A173,"Sim","Não")</f>
        <v>Não</v>
      </c>
      <c r="AM173" s="1" t="str">
        <f>+IF(IFERROR(VLOOKUP(A173,Ficheiros!E:E,1,FALSE),"")=A173,"Sim","Não")</f>
        <v>Não</v>
      </c>
      <c r="AN173" s="1" t="str">
        <f>+IF(IFERROR(VLOOKUP(A173,Ficheiros!O:O,1,FALSE),"")=A173,"Sim","Não")</f>
        <v>Não</v>
      </c>
      <c r="AO173" s="1" t="str">
        <f>+IF(IFERROR(VLOOKUP(A173,'Especificação Novos Req. LT (2'!A:A,1,FALSE),"")=A173,"Sim","Não")</f>
        <v>Não</v>
      </c>
      <c r="AP173" s="1" t="str">
        <f>+IF(IFERROR(VLOOKUP(A173,Ficheiros!T:T,1,FALSE),"")=A173,"Sim","Não")</f>
        <v>Não</v>
      </c>
      <c r="AQ173" s="1" t="e">
        <f>+VLOOKUP(A173,Ficheiros!O:P,2,FALSE)</f>
        <v>#N/A</v>
      </c>
      <c r="AR173" s="1" t="e">
        <f>+VLOOKUP(A173,Ficheiros!R:S,3,FALSE)</f>
        <v>#N/A</v>
      </c>
      <c r="AS173" s="1" t="e">
        <f>+VLOOKUP(A173,Ficheiros!T:V,3,FALSE)</f>
        <v>#N/A</v>
      </c>
      <c r="AT173" s="1"/>
      <c r="AU173" s="1"/>
      <c r="AV173" s="1"/>
      <c r="AW173" s="1"/>
      <c r="AX173" s="1"/>
    </row>
    <row r="174" spans="1:50" ht="14.5" hidden="1" customHeight="1" x14ac:dyDescent="0.35">
      <c r="A174" s="5" t="str">
        <f t="shared" si="4"/>
        <v>ENTITYSCAN</v>
      </c>
      <c r="B174" s="1" t="s">
        <v>757</v>
      </c>
      <c r="C174" s="1" t="s">
        <v>35</v>
      </c>
      <c r="D174" s="1" t="s">
        <v>49</v>
      </c>
      <c r="E174" s="1" t="s">
        <v>37</v>
      </c>
      <c r="F174" s="25" t="s">
        <v>758</v>
      </c>
      <c r="G174" s="1" t="s">
        <v>758</v>
      </c>
      <c r="H174" s="1" t="s">
        <v>37</v>
      </c>
      <c r="I174" s="1" t="s">
        <v>37</v>
      </c>
      <c r="J174" s="1" t="s">
        <v>37</v>
      </c>
      <c r="K174" s="1" t="s">
        <v>37</v>
      </c>
      <c r="L174" s="1" t="s">
        <v>39</v>
      </c>
      <c r="M174" s="1" t="s">
        <v>39</v>
      </c>
      <c r="N174" s="1" t="s">
        <v>37</v>
      </c>
      <c r="O174" s="1"/>
      <c r="P174" s="1"/>
      <c r="Q174" s="1"/>
      <c r="R174" s="1" t="s">
        <v>136</v>
      </c>
      <c r="S174" s="1" t="s">
        <v>52</v>
      </c>
      <c r="T174" s="1" t="s">
        <v>53</v>
      </c>
      <c r="U174" s="1" t="s">
        <v>46</v>
      </c>
      <c r="V174" s="1">
        <v>11111111111</v>
      </c>
      <c r="W174" s="1" t="s">
        <v>758</v>
      </c>
      <c r="X174" s="1" t="s">
        <v>759</v>
      </c>
      <c r="Y174" s="1" t="s">
        <v>45</v>
      </c>
      <c r="Z174" s="1" t="s">
        <v>46</v>
      </c>
      <c r="AA174" s="1" t="s">
        <v>47</v>
      </c>
      <c r="AB174" s="1" t="s">
        <v>37</v>
      </c>
      <c r="AC174" s="1" t="s">
        <v>37</v>
      </c>
      <c r="AD174" s="1" t="s">
        <v>37</v>
      </c>
      <c r="AE174" s="1" t="s">
        <v>37</v>
      </c>
      <c r="AF174" s="1" t="s">
        <v>37</v>
      </c>
      <c r="AG174" s="1" t="s">
        <v>39</v>
      </c>
      <c r="AH174" s="1" t="s">
        <v>37</v>
      </c>
      <c r="AI174" s="1" t="s">
        <v>37</v>
      </c>
      <c r="AJ174" s="1" t="s">
        <v>39</v>
      </c>
      <c r="AK174" s="1" t="str">
        <f t="shared" si="5"/>
        <v>Fora de âmbito</v>
      </c>
      <c r="AL174" s="1" t="str">
        <f>+IF(IFERROR(VLOOKUP(A174,Ficheiros!I:I,1,FALSE),"")=A174,"Sim","Não")</f>
        <v>Não</v>
      </c>
      <c r="AM174" s="1" t="str">
        <f>+IF(IFERROR(VLOOKUP(A174,Ficheiros!E:E,1,FALSE),"")=A174,"Sim","Não")</f>
        <v>Não</v>
      </c>
      <c r="AN174" s="1" t="str">
        <f>+IF(IFERROR(VLOOKUP(A174,Ficheiros!O:O,1,FALSE),"")=A174,"Sim","Não")</f>
        <v>Não</v>
      </c>
      <c r="AO174" s="1" t="str">
        <f>+IF(IFERROR(VLOOKUP(A174,'Especificação Novos Req. LT (2'!A:A,1,FALSE),"")=A174,"Sim","Não")</f>
        <v>Não</v>
      </c>
      <c r="AP174" s="1" t="str">
        <f>+IF(IFERROR(VLOOKUP(A174,Ficheiros!T:T,1,FALSE),"")=A174,"Sim","Não")</f>
        <v>Não</v>
      </c>
      <c r="AQ174" s="1" t="e">
        <f>+VLOOKUP(A174,Ficheiros!O:P,2,FALSE)</f>
        <v>#N/A</v>
      </c>
      <c r="AR174" s="1" t="e">
        <f>+VLOOKUP(A174,Ficheiros!R:S,3,FALSE)</f>
        <v>#N/A</v>
      </c>
      <c r="AS174" s="1" t="e">
        <f>+VLOOKUP(A174,Ficheiros!T:V,3,FALSE)</f>
        <v>#N/A</v>
      </c>
      <c r="AT174" s="1"/>
      <c r="AU174" s="1"/>
      <c r="AV174" s="1"/>
      <c r="AW174" s="1"/>
      <c r="AX174" s="1"/>
    </row>
    <row r="175" spans="1:50" ht="14.5" hidden="1" customHeight="1" x14ac:dyDescent="0.35">
      <c r="A175" s="5" t="str">
        <f t="shared" si="4"/>
        <v>ENTITYTTL_PRMSSBL_DBT_BLNC</v>
      </c>
      <c r="B175" s="1" t="s">
        <v>760</v>
      </c>
      <c r="C175" s="1" t="s">
        <v>35</v>
      </c>
      <c r="D175" s="1" t="s">
        <v>49</v>
      </c>
      <c r="E175" s="1" t="s">
        <v>37</v>
      </c>
      <c r="F175" s="25" t="s">
        <v>761</v>
      </c>
      <c r="G175" s="1" t="s">
        <v>761</v>
      </c>
      <c r="H175" s="1" t="s">
        <v>37</v>
      </c>
      <c r="I175" s="1" t="s">
        <v>37</v>
      </c>
      <c r="J175" s="1" t="s">
        <v>37</v>
      </c>
      <c r="K175" s="1" t="s">
        <v>37</v>
      </c>
      <c r="L175" s="1" t="s">
        <v>39</v>
      </c>
      <c r="M175" s="1" t="s">
        <v>39</v>
      </c>
      <c r="N175" s="1" t="s">
        <v>37</v>
      </c>
      <c r="O175" s="1"/>
      <c r="P175" s="1"/>
      <c r="Q175" s="1"/>
      <c r="R175" s="1" t="s">
        <v>273</v>
      </c>
      <c r="S175" s="1" t="s">
        <v>274</v>
      </c>
      <c r="T175" s="1">
        <v>99999999999</v>
      </c>
      <c r="U175" s="1">
        <v>11111111111</v>
      </c>
      <c r="V175" s="1">
        <v>11111111111</v>
      </c>
      <c r="W175" s="1" t="s">
        <v>762</v>
      </c>
      <c r="X175" s="1" t="s">
        <v>763</v>
      </c>
      <c r="Y175" s="1" t="s">
        <v>45</v>
      </c>
      <c r="Z175" s="1" t="s">
        <v>46</v>
      </c>
      <c r="AA175" s="1" t="s">
        <v>47</v>
      </c>
      <c r="AB175" s="1" t="s">
        <v>37</v>
      </c>
      <c r="AC175" s="1" t="s">
        <v>37</v>
      </c>
      <c r="AD175" s="1" t="s">
        <v>37</v>
      </c>
      <c r="AE175" s="1" t="s">
        <v>37</v>
      </c>
      <c r="AF175" s="1" t="s">
        <v>37</v>
      </c>
      <c r="AG175" s="1" t="s">
        <v>39</v>
      </c>
      <c r="AH175" s="1" t="s">
        <v>37</v>
      </c>
      <c r="AI175" s="1" t="s">
        <v>37</v>
      </c>
      <c r="AJ175" s="1" t="s">
        <v>39</v>
      </c>
      <c r="AK175" s="1" t="str">
        <f t="shared" si="5"/>
        <v>Fora de âmbito</v>
      </c>
      <c r="AL175" s="1" t="str">
        <f>+IF(IFERROR(VLOOKUP(A175,Ficheiros!I:I,1,FALSE),"")=A175,"Sim","Não")</f>
        <v>Não</v>
      </c>
      <c r="AM175" s="1" t="str">
        <f>+IF(IFERROR(VLOOKUP(A175,Ficheiros!E:E,1,FALSE),"")=A175,"Sim","Não")</f>
        <v>Não</v>
      </c>
      <c r="AN175" s="1" t="str">
        <f>+IF(IFERROR(VLOOKUP(A175,Ficheiros!O:O,1,FALSE),"")=A175,"Sim","Não")</f>
        <v>Não</v>
      </c>
      <c r="AO175" s="1" t="str">
        <f>+IF(IFERROR(VLOOKUP(A175,'Especificação Novos Req. LT (2'!A:A,1,FALSE),"")=A175,"Sim","Não")</f>
        <v>Não</v>
      </c>
      <c r="AP175" s="1" t="str">
        <f>+IF(IFERROR(VLOOKUP(A175,Ficheiros!T:T,1,FALSE),"")=A175,"Sim","Não")</f>
        <v>Não</v>
      </c>
      <c r="AQ175" s="1" t="e">
        <f>+VLOOKUP(A175,Ficheiros!O:P,2,FALSE)</f>
        <v>#N/A</v>
      </c>
      <c r="AR175" s="1" t="e">
        <f>+VLOOKUP(A175,Ficheiros!R:S,3,FALSE)</f>
        <v>#N/A</v>
      </c>
      <c r="AS175" s="1" t="e">
        <f>+VLOOKUP(A175,Ficheiros!T:V,3,FALSE)</f>
        <v>#N/A</v>
      </c>
      <c r="AT175" s="1"/>
      <c r="AU175" s="1"/>
      <c r="AV175" s="1"/>
      <c r="AW175" s="1"/>
      <c r="AX175" s="1"/>
    </row>
    <row r="176" spans="1:50" ht="14.5" hidden="1" customHeight="1" x14ac:dyDescent="0.35">
      <c r="A176" s="5" t="str">
        <f t="shared" si="4"/>
        <v>INSTR_ENTITYCOD_SOC</v>
      </c>
      <c r="B176" s="1" t="s">
        <v>764</v>
      </c>
      <c r="C176" s="1" t="s">
        <v>765</v>
      </c>
      <c r="D176" s="1" t="s">
        <v>36</v>
      </c>
      <c r="E176" s="1" t="s">
        <v>37</v>
      </c>
      <c r="F176" s="25" t="s">
        <v>38</v>
      </c>
      <c r="G176" s="37" t="s">
        <v>38</v>
      </c>
      <c r="H176" s="1" t="s">
        <v>39</v>
      </c>
      <c r="I176" s="1" t="s">
        <v>39</v>
      </c>
      <c r="J176" s="1" t="s">
        <v>39</v>
      </c>
      <c r="K176" s="1" t="s">
        <v>39</v>
      </c>
      <c r="L176" s="1" t="s">
        <v>39</v>
      </c>
      <c r="M176" s="1" t="s">
        <v>39</v>
      </c>
      <c r="N176" s="1" t="s">
        <v>39</v>
      </c>
      <c r="O176" s="1"/>
      <c r="P176" s="1"/>
      <c r="Q176" s="1"/>
      <c r="R176" s="1" t="s">
        <v>40</v>
      </c>
      <c r="S176" s="1" t="s">
        <v>41</v>
      </c>
      <c r="T176" s="1" t="s">
        <v>42</v>
      </c>
      <c r="U176" s="1" t="s">
        <v>42</v>
      </c>
      <c r="V176" s="1" t="s">
        <v>42</v>
      </c>
      <c r="W176" s="1" t="s">
        <v>43</v>
      </c>
      <c r="X176" s="1" t="s">
        <v>766</v>
      </c>
      <c r="Y176" s="1" t="s">
        <v>45</v>
      </c>
      <c r="Z176" s="1" t="s">
        <v>46</v>
      </c>
      <c r="AA176" s="1" t="s">
        <v>47</v>
      </c>
      <c r="AB176" s="1" t="s">
        <v>39</v>
      </c>
      <c r="AC176" s="1" t="s">
        <v>37</v>
      </c>
      <c r="AD176" s="1" t="s">
        <v>39</v>
      </c>
      <c r="AE176" s="1" t="s">
        <v>39</v>
      </c>
      <c r="AF176" s="1" t="s">
        <v>37</v>
      </c>
      <c r="AG176" s="1" t="s">
        <v>39</v>
      </c>
      <c r="AH176" s="1" t="s">
        <v>37</v>
      </c>
      <c r="AI176" s="1" t="s">
        <v>39</v>
      </c>
      <c r="AJ176" s="1" t="s">
        <v>39</v>
      </c>
      <c r="AK176" s="1" t="str">
        <f t="shared" si="5"/>
        <v>Apenas Pilar 3</v>
      </c>
      <c r="AL176" s="1" t="str">
        <f>+IF(IFERROR(VLOOKUP(A176,Ficheiros!I:I,1,FALSE),"")=A176,"Sim","Não")</f>
        <v>Sim</v>
      </c>
      <c r="AM176" s="1" t="str">
        <f>+IF(IFERROR(VLOOKUP(A176,Ficheiros!E:E,1,FALSE),"")=A176,"Sim","Não")</f>
        <v>Não</v>
      </c>
      <c r="AN176" s="1" t="str">
        <f>+IF(IFERROR(VLOOKUP(A176,Ficheiros!O:O,1,FALSE),"")=A176,"Sim","Não")</f>
        <v>Sim</v>
      </c>
      <c r="AO176" s="1" t="str">
        <f>+IF(IFERROR(VLOOKUP(A176,'Especificação Novos Req. LT (2'!A:A,1,FALSE),"")=A176,"Sim","Não")</f>
        <v>Não</v>
      </c>
      <c r="AP176" s="1" t="str">
        <f>+IF(IFERROR(VLOOKUP(A176,Ficheiros!T:T,1,FALSE),"")=A176,"Sim","Não")</f>
        <v>Sim</v>
      </c>
      <c r="AQ176" s="1" t="str">
        <f>+VLOOKUP(A176,Ficheiros!O:P,2,FALSE)</f>
        <v>1. Concluído</v>
      </c>
      <c r="AR176" s="1" t="str">
        <f>+VLOOKUP(A176,Ficheiros!T:U,2,FALSE)</f>
        <v>9. Concluído</v>
      </c>
      <c r="AS176" s="1" t="str">
        <f>+VLOOKUP(A176,Ficheiros!T:V,3,FALSE)</f>
        <v>PM</v>
      </c>
      <c r="AT176" s="1" t="s">
        <v>2464</v>
      </c>
      <c r="AU176" s="1" t="s">
        <v>2393</v>
      </c>
      <c r="AV176" s="1"/>
      <c r="AW176" s="1"/>
      <c r="AX176" s="1" t="s">
        <v>2463</v>
      </c>
    </row>
    <row r="177" spans="1:50" ht="14.5" hidden="1" customHeight="1" x14ac:dyDescent="0.35">
      <c r="A177" s="5" t="str">
        <f t="shared" si="4"/>
        <v>INSTR_ENTITYDT_RFRNC</v>
      </c>
      <c r="B177" s="1" t="s">
        <v>767</v>
      </c>
      <c r="C177" s="1" t="s">
        <v>765</v>
      </c>
      <c r="D177" s="1" t="s">
        <v>49</v>
      </c>
      <c r="E177" s="1" t="s">
        <v>39</v>
      </c>
      <c r="F177" s="25" t="s">
        <v>91</v>
      </c>
      <c r="G177" s="37" t="s">
        <v>91</v>
      </c>
      <c r="H177" s="1" t="s">
        <v>39</v>
      </c>
      <c r="I177" s="1" t="s">
        <v>39</v>
      </c>
      <c r="J177" s="1" t="s">
        <v>39</v>
      </c>
      <c r="K177" s="1" t="s">
        <v>39</v>
      </c>
      <c r="L177" s="1" t="s">
        <v>39</v>
      </c>
      <c r="M177" s="1" t="s">
        <v>39</v>
      </c>
      <c r="N177" s="1" t="s">
        <v>39</v>
      </c>
      <c r="O177" s="1"/>
      <c r="P177" s="1"/>
      <c r="Q177" s="1"/>
      <c r="R177" s="1" t="s">
        <v>60</v>
      </c>
      <c r="S177" s="1" t="s">
        <v>61</v>
      </c>
      <c r="T177" s="1" t="s">
        <v>42</v>
      </c>
      <c r="U177" s="1" t="s">
        <v>42</v>
      </c>
      <c r="V177" s="1" t="s">
        <v>42</v>
      </c>
      <c r="W177" s="1" t="s">
        <v>768</v>
      </c>
      <c r="X177" s="1" t="s">
        <v>93</v>
      </c>
      <c r="Y177" s="1" t="s">
        <v>45</v>
      </c>
      <c r="Z177" s="1" t="s">
        <v>46</v>
      </c>
      <c r="AA177" s="1" t="s">
        <v>47</v>
      </c>
      <c r="AB177" s="1" t="s">
        <v>39</v>
      </c>
      <c r="AC177" s="1" t="s">
        <v>37</v>
      </c>
      <c r="AD177" s="1" t="s">
        <v>39</v>
      </c>
      <c r="AE177" s="1" t="s">
        <v>39</v>
      </c>
      <c r="AF177" s="1" t="s">
        <v>37</v>
      </c>
      <c r="AG177" s="1" t="s">
        <v>39</v>
      </c>
      <c r="AH177" s="1" t="s">
        <v>37</v>
      </c>
      <c r="AI177" s="1" t="s">
        <v>39</v>
      </c>
      <c r="AJ177" s="1" t="s">
        <v>39</v>
      </c>
      <c r="AK177" s="1" t="str">
        <f t="shared" si="5"/>
        <v>Apenas Pilar 3</v>
      </c>
      <c r="AL177" s="1" t="str">
        <f>+IF(IFERROR(VLOOKUP(A177,Ficheiros!I:I,1,FALSE),"")=A177,"Sim","Não")</f>
        <v>Sim</v>
      </c>
      <c r="AM177" s="1" t="str">
        <f>+IF(IFERROR(VLOOKUP(A177,Ficheiros!E:E,1,FALSE),"")=A177,"Sim","Não")</f>
        <v>Não</v>
      </c>
      <c r="AN177" s="1" t="str">
        <f>+IF(IFERROR(VLOOKUP(A177,Ficheiros!O:O,1,FALSE),"")=A177,"Sim","Não")</f>
        <v>Sim</v>
      </c>
      <c r="AO177" s="1" t="str">
        <f>+IF(IFERROR(VLOOKUP(A177,'Especificação Novos Req. LT (2'!A:A,1,FALSE),"")=A177,"Sim","Não")</f>
        <v>Não</v>
      </c>
      <c r="AP177" s="1" t="str">
        <f>+IF(IFERROR(VLOOKUP(A177,Ficheiros!T:T,1,FALSE),"")=A177,"Sim","Não")</f>
        <v>Sim</v>
      </c>
      <c r="AQ177" s="1" t="str">
        <f>+VLOOKUP(A177,Ficheiros!O:P,2,FALSE)</f>
        <v>1. Concluído</v>
      </c>
      <c r="AR177" s="1" t="str">
        <f>+VLOOKUP(A177,Ficheiros!T:U,2,FALSE)</f>
        <v>9. Concluído</v>
      </c>
      <c r="AS177" s="1" t="str">
        <f>+VLOOKUP(A177,Ficheiros!T:V,3,FALSE)</f>
        <v>PM</v>
      </c>
      <c r="AT177" s="1" t="s">
        <v>2464</v>
      </c>
      <c r="AU177" s="1" t="s">
        <v>2393</v>
      </c>
      <c r="AV177" s="1"/>
      <c r="AW177" s="1"/>
      <c r="AX177" s="1" t="s">
        <v>2463</v>
      </c>
    </row>
    <row r="178" spans="1:50" ht="14.5" hidden="1" customHeight="1" x14ac:dyDescent="0.35">
      <c r="A178" s="5" t="str">
        <f t="shared" si="4"/>
        <v>INSTR_ENTITYENTTY_ID</v>
      </c>
      <c r="B178" s="1" t="s">
        <v>769</v>
      </c>
      <c r="C178" s="1" t="s">
        <v>765</v>
      </c>
      <c r="D178" s="1" t="s">
        <v>49</v>
      </c>
      <c r="E178" s="1" t="s">
        <v>39</v>
      </c>
      <c r="F178" s="25" t="s">
        <v>95</v>
      </c>
      <c r="G178" s="37" t="s">
        <v>95</v>
      </c>
      <c r="H178" s="1" t="s">
        <v>39</v>
      </c>
      <c r="I178" s="1" t="s">
        <v>39</v>
      </c>
      <c r="J178" s="1" t="s">
        <v>39</v>
      </c>
      <c r="K178" s="1" t="s">
        <v>39</v>
      </c>
      <c r="L178" s="1" t="s">
        <v>39</v>
      </c>
      <c r="M178" s="1" t="s">
        <v>39</v>
      </c>
      <c r="N178" s="1" t="s">
        <v>39</v>
      </c>
      <c r="O178" s="1"/>
      <c r="P178" s="1"/>
      <c r="Q178" s="1"/>
      <c r="R178" s="1" t="s">
        <v>96</v>
      </c>
      <c r="S178" s="1" t="s">
        <v>41</v>
      </c>
      <c r="T178" s="1" t="s">
        <v>42</v>
      </c>
      <c r="U178" s="1" t="s">
        <v>42</v>
      </c>
      <c r="V178" s="1" t="s">
        <v>42</v>
      </c>
      <c r="W178" s="1" t="s">
        <v>97</v>
      </c>
      <c r="X178" s="1" t="s">
        <v>770</v>
      </c>
      <c r="Y178" s="1" t="s">
        <v>45</v>
      </c>
      <c r="Z178" s="1" t="s">
        <v>46</v>
      </c>
      <c r="AA178" s="1" t="s">
        <v>47</v>
      </c>
      <c r="AB178" s="1" t="s">
        <v>39</v>
      </c>
      <c r="AC178" s="1" t="s">
        <v>37</v>
      </c>
      <c r="AD178" s="1" t="s">
        <v>39</v>
      </c>
      <c r="AE178" s="1" t="s">
        <v>39</v>
      </c>
      <c r="AF178" s="1" t="s">
        <v>37</v>
      </c>
      <c r="AG178" s="1" t="s">
        <v>39</v>
      </c>
      <c r="AH178" s="1" t="s">
        <v>37</v>
      </c>
      <c r="AI178" s="1" t="s">
        <v>39</v>
      </c>
      <c r="AJ178" s="1" t="s">
        <v>39</v>
      </c>
      <c r="AK178" s="1" t="str">
        <f t="shared" si="5"/>
        <v>Apenas Pilar 3</v>
      </c>
      <c r="AL178" s="1" t="str">
        <f>+IF(IFERROR(VLOOKUP(A178,Ficheiros!I:I,1,FALSE),"")=A178,"Sim","Não")</f>
        <v>Sim</v>
      </c>
      <c r="AM178" s="1" t="str">
        <f>+IF(IFERROR(VLOOKUP(A178,Ficheiros!E:E,1,FALSE),"")=A178,"Sim","Não")</f>
        <v>Não</v>
      </c>
      <c r="AN178" s="1" t="str">
        <f>+IF(IFERROR(VLOOKUP(A178,Ficheiros!O:O,1,FALSE),"")=A178,"Sim","Não")</f>
        <v>Sim</v>
      </c>
      <c r="AO178" s="1" t="str">
        <f>+IF(IFERROR(VLOOKUP(A178,'Especificação Novos Req. LT (2'!A:A,1,FALSE),"")=A178,"Sim","Não")</f>
        <v>Não</v>
      </c>
      <c r="AP178" s="1" t="str">
        <f>+IF(IFERROR(VLOOKUP(A178,Ficheiros!T:T,1,FALSE),"")=A178,"Sim","Não")</f>
        <v>Sim</v>
      </c>
      <c r="AQ178" s="1" t="str">
        <f>+VLOOKUP(A178,Ficheiros!O:P,2,FALSE)</f>
        <v>1. Concluído</v>
      </c>
      <c r="AR178" s="1" t="str">
        <f>+VLOOKUP(A178,Ficheiros!T:U,2,FALSE)</f>
        <v>7. Analisar controlos e completude</v>
      </c>
      <c r="AS178" s="1" t="str">
        <f>+VLOOKUP(A178,Ficheiros!T:V,3,FALSE)</f>
        <v>LF</v>
      </c>
      <c r="AT178" s="1" t="s">
        <v>2464</v>
      </c>
      <c r="AU178" s="1" t="s">
        <v>2466</v>
      </c>
      <c r="AV178" s="1"/>
      <c r="AW178" s="1"/>
      <c r="AX178" s="1" t="s">
        <v>2463</v>
      </c>
    </row>
    <row r="179" spans="1:50" ht="14.5" hidden="1" customHeight="1" x14ac:dyDescent="0.35">
      <c r="A179" s="5" t="str">
        <f t="shared" si="4"/>
        <v>INSTR_ENTITYINSTRMNT_ID</v>
      </c>
      <c r="B179" s="1" t="s">
        <v>771</v>
      </c>
      <c r="C179" s="1" t="s">
        <v>765</v>
      </c>
      <c r="D179" s="1" t="s">
        <v>49</v>
      </c>
      <c r="E179" s="1" t="s">
        <v>39</v>
      </c>
      <c r="F179" s="25" t="s">
        <v>772</v>
      </c>
      <c r="G179" s="37" t="s">
        <v>772</v>
      </c>
      <c r="H179" s="1" t="s">
        <v>39</v>
      </c>
      <c r="I179" s="1" t="s">
        <v>39</v>
      </c>
      <c r="J179" s="1" t="s">
        <v>39</v>
      </c>
      <c r="K179" s="1" t="s">
        <v>39</v>
      </c>
      <c r="L179" s="1" t="s">
        <v>39</v>
      </c>
      <c r="M179" s="1" t="s">
        <v>39</v>
      </c>
      <c r="N179" s="1" t="s">
        <v>39</v>
      </c>
      <c r="O179" s="1"/>
      <c r="P179" s="1"/>
      <c r="Q179" s="1"/>
      <c r="R179" s="1" t="s">
        <v>657</v>
      </c>
      <c r="S179" s="1" t="s">
        <v>41</v>
      </c>
      <c r="T179" s="1" t="s">
        <v>42</v>
      </c>
      <c r="U179" s="1" t="s">
        <v>42</v>
      </c>
      <c r="V179" s="1" t="s">
        <v>42</v>
      </c>
      <c r="W179" s="1" t="s">
        <v>773</v>
      </c>
      <c r="X179" s="1" t="s">
        <v>774</v>
      </c>
      <c r="Y179" s="1" t="s">
        <v>45</v>
      </c>
      <c r="Z179" s="1" t="s">
        <v>46</v>
      </c>
      <c r="AA179" s="1" t="s">
        <v>47</v>
      </c>
      <c r="AB179" s="1" t="s">
        <v>39</v>
      </c>
      <c r="AC179" s="1" t="s">
        <v>37</v>
      </c>
      <c r="AD179" s="1" t="s">
        <v>39</v>
      </c>
      <c r="AE179" s="1" t="s">
        <v>39</v>
      </c>
      <c r="AF179" s="1" t="s">
        <v>37</v>
      </c>
      <c r="AG179" s="1" t="s">
        <v>39</v>
      </c>
      <c r="AH179" s="1" t="s">
        <v>37</v>
      </c>
      <c r="AI179" s="1" t="s">
        <v>39</v>
      </c>
      <c r="AJ179" s="1" t="s">
        <v>39</v>
      </c>
      <c r="AK179" s="1" t="str">
        <f t="shared" si="5"/>
        <v>Apenas Pilar 3</v>
      </c>
      <c r="AL179" s="1" t="str">
        <f>+IF(IFERROR(VLOOKUP(A179,Ficheiros!I:I,1,FALSE),"")=A179,"Sim","Não")</f>
        <v>Sim</v>
      </c>
      <c r="AM179" s="1" t="str">
        <f>+IF(IFERROR(VLOOKUP(A179,Ficheiros!E:E,1,FALSE),"")=A179,"Sim","Não")</f>
        <v>Não</v>
      </c>
      <c r="AN179" s="1" t="str">
        <f>+IF(IFERROR(VLOOKUP(A179,Ficheiros!O:O,1,FALSE),"")=A179,"Sim","Não")</f>
        <v>Sim</v>
      </c>
      <c r="AO179" s="1" t="str">
        <f>+IF(IFERROR(VLOOKUP(A179,'Especificação Novos Req. LT (2'!A:A,1,FALSE),"")=A179,"Sim","Não")</f>
        <v>Não</v>
      </c>
      <c r="AP179" s="1" t="str">
        <f>+IF(IFERROR(VLOOKUP(A179,Ficheiros!T:T,1,FALSE),"")=A179,"Sim","Não")</f>
        <v>Sim</v>
      </c>
      <c r="AQ179" s="1" t="str">
        <f>+VLOOKUP(A179,Ficheiros!O:P,2,FALSE)</f>
        <v>1. Concluído</v>
      </c>
      <c r="AR179" s="1" t="str">
        <f>+VLOOKUP(A179,Ficheiros!T:U,2,FALSE)</f>
        <v>9. Concluído</v>
      </c>
      <c r="AS179" s="1" t="str">
        <f>+VLOOKUP(A179,Ficheiros!T:V,3,FALSE)</f>
        <v>PM</v>
      </c>
      <c r="AT179" s="1" t="s">
        <v>2464</v>
      </c>
      <c r="AU179" s="1" t="s">
        <v>2393</v>
      </c>
      <c r="AV179" s="1"/>
      <c r="AW179" s="1"/>
      <c r="AX179" s="1" t="s">
        <v>2463</v>
      </c>
    </row>
    <row r="180" spans="1:50" ht="14.5" hidden="1" customHeight="1" x14ac:dyDescent="0.35">
      <c r="A180" s="5" t="str">
        <f t="shared" si="4"/>
        <v>INSTR_ENTITYJNT_LBLTY_AMNT</v>
      </c>
      <c r="B180" s="1" t="s">
        <v>775</v>
      </c>
      <c r="C180" s="1" t="s">
        <v>765</v>
      </c>
      <c r="D180" s="1" t="s">
        <v>271</v>
      </c>
      <c r="E180" s="1" t="s">
        <v>39</v>
      </c>
      <c r="F180" s="25" t="s">
        <v>776</v>
      </c>
      <c r="G180" s="1" t="s">
        <v>776</v>
      </c>
      <c r="H180" s="1" t="s">
        <v>39</v>
      </c>
      <c r="I180" s="1" t="s">
        <v>39</v>
      </c>
      <c r="J180" s="1" t="s">
        <v>39</v>
      </c>
      <c r="K180" s="1" t="s">
        <v>39</v>
      </c>
      <c r="L180" s="1" t="s">
        <v>39</v>
      </c>
      <c r="M180" s="1" t="s">
        <v>39</v>
      </c>
      <c r="N180" s="1" t="s">
        <v>39</v>
      </c>
      <c r="O180" s="1"/>
      <c r="P180" s="1"/>
      <c r="Q180" s="1"/>
      <c r="R180" s="1" t="s">
        <v>273</v>
      </c>
      <c r="S180" s="1" t="s">
        <v>274</v>
      </c>
      <c r="T180" s="1">
        <v>99999999999</v>
      </c>
      <c r="U180" s="1">
        <v>11111111111</v>
      </c>
      <c r="V180" s="1">
        <v>11111111111</v>
      </c>
      <c r="W180" s="1" t="s">
        <v>777</v>
      </c>
      <c r="X180" s="1" t="s">
        <v>778</v>
      </c>
      <c r="Y180" s="1" t="s">
        <v>66</v>
      </c>
      <c r="Z180" s="1" t="s">
        <v>779</v>
      </c>
      <c r="AA180" s="1" t="s">
        <v>47</v>
      </c>
      <c r="AB180" s="1" t="s">
        <v>39</v>
      </c>
      <c r="AC180" s="1" t="s">
        <v>37</v>
      </c>
      <c r="AD180" s="1" t="s">
        <v>37</v>
      </c>
      <c r="AE180" s="1" t="s">
        <v>37</v>
      </c>
      <c r="AF180" s="1" t="s">
        <v>37</v>
      </c>
      <c r="AG180" s="1" t="s">
        <v>39</v>
      </c>
      <c r="AH180" s="1" t="s">
        <v>37</v>
      </c>
      <c r="AI180" s="1" t="s">
        <v>37</v>
      </c>
      <c r="AJ180" s="1" t="s">
        <v>39</v>
      </c>
      <c r="AK180" s="1" t="str">
        <f t="shared" si="5"/>
        <v>Fora de âmbito</v>
      </c>
      <c r="AL180" s="1" t="str">
        <f>+IF(IFERROR(VLOOKUP(A180,Ficheiros!I:I,1,FALSE),"")=A180,"Sim","Não")</f>
        <v>Sim</v>
      </c>
      <c r="AM180" s="1" t="str">
        <f>+IF(IFERROR(VLOOKUP(A180,Ficheiros!E:E,1,FALSE),"")=A180,"Sim","Não")</f>
        <v>Não</v>
      </c>
      <c r="AN180" s="1" t="str">
        <f>+IF(IFERROR(VLOOKUP(A180,Ficheiros!O:O,1,FALSE),"")=A180,"Sim","Não")</f>
        <v>Não</v>
      </c>
      <c r="AO180" s="1" t="str">
        <f>+IF(IFERROR(VLOOKUP(A180,'Especificação Novos Req. LT (2'!A:A,1,FALSE),"")=A180,"Sim","Não")</f>
        <v>Não</v>
      </c>
      <c r="AP180" s="1" t="str">
        <f>+IF(IFERROR(VLOOKUP(A180,Ficheiros!T:T,1,FALSE),"")=A180,"Sim","Não")</f>
        <v>Sim</v>
      </c>
      <c r="AQ180" s="1" t="e">
        <f>+VLOOKUP(A180,Ficheiros!O:P,2,FALSE)</f>
        <v>#N/A</v>
      </c>
      <c r="AR180" s="1" t="str">
        <f>+VLOOKUP(A180,Ficheiros!T:U,2,FALSE)</f>
        <v>9. Concluído</v>
      </c>
      <c r="AS180" s="1" t="str">
        <f>+VLOOKUP(A180,Ficheiros!T:V,3,FALSE)</f>
        <v>PM</v>
      </c>
      <c r="AT180" s="1"/>
      <c r="AU180" s="1"/>
      <c r="AV180" s="1"/>
      <c r="AW180" s="1"/>
      <c r="AX180" s="1"/>
    </row>
    <row r="181" spans="1:50" ht="14.5" hidden="1" customHeight="1" x14ac:dyDescent="0.35">
      <c r="A181" s="5" t="str">
        <f t="shared" si="4"/>
        <v>INSTR_ENTITYMN_ENTTY_ID</v>
      </c>
      <c r="B181" s="1" t="s">
        <v>780</v>
      </c>
      <c r="C181" s="1" t="s">
        <v>765</v>
      </c>
      <c r="D181" s="1" t="s">
        <v>49</v>
      </c>
      <c r="E181" s="1" t="s">
        <v>37</v>
      </c>
      <c r="F181" s="26" t="s">
        <v>781</v>
      </c>
      <c r="G181" s="37" t="s">
        <v>781</v>
      </c>
      <c r="H181" s="1" t="s">
        <v>39</v>
      </c>
      <c r="I181" s="1" t="s">
        <v>39</v>
      </c>
      <c r="J181" s="1" t="s">
        <v>39</v>
      </c>
      <c r="K181" s="1" t="s">
        <v>39</v>
      </c>
      <c r="L181" s="1" t="s">
        <v>39</v>
      </c>
      <c r="M181" s="1" t="s">
        <v>39</v>
      </c>
      <c r="N181" s="1" t="s">
        <v>39</v>
      </c>
      <c r="O181" s="1"/>
      <c r="P181" s="1"/>
      <c r="Q181" s="1"/>
      <c r="R181" s="1" t="s">
        <v>141</v>
      </c>
      <c r="S181" s="1" t="s">
        <v>142</v>
      </c>
      <c r="T181" s="1" t="s">
        <v>42</v>
      </c>
      <c r="U181" s="1" t="s">
        <v>42</v>
      </c>
      <c r="V181" s="1" t="s">
        <v>46</v>
      </c>
      <c r="W181" s="1" t="s">
        <v>782</v>
      </c>
      <c r="X181" s="1" t="s">
        <v>783</v>
      </c>
      <c r="Y181" s="1" t="s">
        <v>45</v>
      </c>
      <c r="Z181" s="1" t="s">
        <v>46</v>
      </c>
      <c r="AA181" s="1" t="s">
        <v>47</v>
      </c>
      <c r="AB181" s="1" t="s">
        <v>39</v>
      </c>
      <c r="AC181" s="1" t="s">
        <v>37</v>
      </c>
      <c r="AD181" s="1" t="s">
        <v>39</v>
      </c>
      <c r="AE181" s="1" t="s">
        <v>39</v>
      </c>
      <c r="AF181" s="1" t="s">
        <v>37</v>
      </c>
      <c r="AG181" s="1" t="s">
        <v>39</v>
      </c>
      <c r="AH181" s="1" t="s">
        <v>37</v>
      </c>
      <c r="AI181" s="1" t="s">
        <v>39</v>
      </c>
      <c r="AJ181" s="1" t="s">
        <v>39</v>
      </c>
      <c r="AK181" s="1" t="str">
        <f t="shared" si="5"/>
        <v>Apenas Pilar 3</v>
      </c>
      <c r="AL181" s="1" t="str">
        <f>+IF(IFERROR(VLOOKUP(A181,Ficheiros!I:I,1,FALSE),"")=A181,"Sim","Não")</f>
        <v>Sim</v>
      </c>
      <c r="AM181" s="1" t="str">
        <f>+IF(IFERROR(VLOOKUP(A181,Ficheiros!E:E,1,FALSE),"")=A181,"Sim","Não")</f>
        <v>Não</v>
      </c>
      <c r="AN181" s="1" t="str">
        <f>+IF(IFERROR(VLOOKUP(A181,Ficheiros!O:O,1,FALSE),"")=A181,"Sim","Não")</f>
        <v>Sim</v>
      </c>
      <c r="AO181" s="1" t="str">
        <f>+IF(IFERROR(VLOOKUP(A181,'Especificação Novos Req. LT (2'!A:A,1,FALSE),"")=A181,"Sim","Não")</f>
        <v>Não</v>
      </c>
      <c r="AP181" s="1" t="str">
        <f>+IF(IFERROR(VLOOKUP(A181,Ficheiros!T:T,1,FALSE),"")=A181,"Sim","Não")</f>
        <v>Sim</v>
      </c>
      <c r="AQ181" s="1" t="str">
        <f>+VLOOKUP(A181,Ficheiros!O:P,2,FALSE)</f>
        <v>1. Concluído</v>
      </c>
      <c r="AR181" s="1" t="str">
        <f>+VLOOKUP(A181,Ficheiros!T:U,2,FALSE)</f>
        <v>5.2 Em testes - Incidência</v>
      </c>
      <c r="AS181" s="1" t="str">
        <f>+VLOOKUP(A181,Ficheiros!T:V,3,FALSE)</f>
        <v>LF</v>
      </c>
      <c r="AT181" s="1" t="s">
        <v>2464</v>
      </c>
      <c r="AU181" s="1" t="s">
        <v>2467</v>
      </c>
      <c r="AV181" s="1"/>
      <c r="AW181" s="1"/>
      <c r="AX181" s="1"/>
    </row>
    <row r="182" spans="1:50" ht="14.5" hidden="1" customHeight="1" x14ac:dyDescent="0.35">
      <c r="A182" s="5" t="str">
        <f t="shared" si="4"/>
        <v>INSTRUMENTCOD_SOC</v>
      </c>
      <c r="B182" s="1" t="s">
        <v>784</v>
      </c>
      <c r="C182" s="1" t="s">
        <v>785</v>
      </c>
      <c r="D182" s="1" t="s">
        <v>36</v>
      </c>
      <c r="E182" s="1" t="s">
        <v>37</v>
      </c>
      <c r="F182" s="25" t="s">
        <v>38</v>
      </c>
      <c r="G182" s="1" t="s">
        <v>38</v>
      </c>
      <c r="H182" s="1" t="s">
        <v>39</v>
      </c>
      <c r="I182" s="1" t="s">
        <v>39</v>
      </c>
      <c r="J182" s="1" t="s">
        <v>39</v>
      </c>
      <c r="K182" s="1" t="s">
        <v>39</v>
      </c>
      <c r="L182" s="1" t="s">
        <v>39</v>
      </c>
      <c r="M182" s="1" t="s">
        <v>39</v>
      </c>
      <c r="N182" s="1" t="s">
        <v>39</v>
      </c>
      <c r="O182" s="1" t="s">
        <v>39</v>
      </c>
      <c r="P182" s="1" t="s">
        <v>39</v>
      </c>
      <c r="Q182" s="1" t="s">
        <v>39</v>
      </c>
      <c r="R182" s="1" t="s">
        <v>40</v>
      </c>
      <c r="S182" s="1" t="s">
        <v>41</v>
      </c>
      <c r="T182" s="1" t="s">
        <v>42</v>
      </c>
      <c r="U182" s="1" t="s">
        <v>42</v>
      </c>
      <c r="V182" s="1" t="s">
        <v>42</v>
      </c>
      <c r="W182" s="1" t="s">
        <v>43</v>
      </c>
      <c r="X182" s="1" t="s">
        <v>44</v>
      </c>
      <c r="Y182" s="1" t="s">
        <v>45</v>
      </c>
      <c r="Z182" s="1" t="s">
        <v>46</v>
      </c>
      <c r="AA182" s="1" t="s">
        <v>47</v>
      </c>
      <c r="AB182" s="1" t="s">
        <v>39</v>
      </c>
      <c r="AC182" s="1" t="s">
        <v>39</v>
      </c>
      <c r="AD182" s="1" t="s">
        <v>39</v>
      </c>
      <c r="AE182" s="1" t="s">
        <v>39</v>
      </c>
      <c r="AF182" s="1" t="s">
        <v>39</v>
      </c>
      <c r="AG182" s="1" t="s">
        <v>39</v>
      </c>
      <c r="AH182" s="1" t="s">
        <v>39</v>
      </c>
      <c r="AI182" s="1" t="s">
        <v>39</v>
      </c>
      <c r="AJ182" s="1" t="s">
        <v>39</v>
      </c>
      <c r="AK182" s="1" t="str">
        <f t="shared" si="5"/>
        <v>Comum</v>
      </c>
      <c r="AL182" s="1" t="str">
        <f>+IF(IFERROR(VLOOKUP(A182,Ficheiros!I:I,1,FALSE),"")=A182,"Sim","Não")</f>
        <v>Sim</v>
      </c>
      <c r="AM182" s="1" t="str">
        <f>+IF(IFERROR(VLOOKUP(A182,Ficheiros!E:E,1,FALSE),"")=A182,"Sim","Não")</f>
        <v>Não</v>
      </c>
      <c r="AN182" s="1" t="str">
        <f>+IF(IFERROR(VLOOKUP(A182,Ficheiros!O:O,1,FALSE),"")=A182,"Sim","Não")</f>
        <v>Sim</v>
      </c>
      <c r="AO182" s="1" t="str">
        <f>+IF(IFERROR(VLOOKUP(A182,'Especificação Novos Req. LT (2'!A:A,1,FALSE),"")=A182,"Sim","Não")</f>
        <v>Não</v>
      </c>
      <c r="AP182" s="1" t="str">
        <f>+IF(IFERROR(VLOOKUP(A182,Ficheiros!T:T,1,FALSE),"")=A182,"Sim","Não")</f>
        <v>Sim</v>
      </c>
      <c r="AQ182" s="1" t="str">
        <f>+VLOOKUP(A182,Ficheiros!O:P,2,FALSE)</f>
        <v>1. Concluído</v>
      </c>
      <c r="AR182" s="1" t="str">
        <f>+VLOOKUP(A182,Ficheiros!T:U,2,FALSE)</f>
        <v>9. Concluído</v>
      </c>
      <c r="AS182" s="1" t="str">
        <f>+VLOOKUP(A182,Ficheiros!T:V,3,FALSE)</f>
        <v>PM</v>
      </c>
      <c r="AT182" s="1"/>
      <c r="AU182" s="1"/>
      <c r="AV182" s="1"/>
      <c r="AW182" s="1"/>
      <c r="AX182" s="1" t="s">
        <v>2540</v>
      </c>
    </row>
    <row r="183" spans="1:50" ht="14.5" hidden="1" customHeight="1" x14ac:dyDescent="0.35">
      <c r="A183" s="5" t="str">
        <f t="shared" si="4"/>
        <v>INSTRUMENTSUBPORTFOLIO_ID</v>
      </c>
      <c r="B183" s="1" t="s">
        <v>786</v>
      </c>
      <c r="C183" s="1" t="s">
        <v>785</v>
      </c>
      <c r="D183" s="1" t="s">
        <v>787</v>
      </c>
      <c r="E183" s="1" t="s">
        <v>37</v>
      </c>
      <c r="F183" s="27" t="s">
        <v>788</v>
      </c>
      <c r="G183" s="1" t="s">
        <v>788</v>
      </c>
      <c r="H183" s="1" t="s">
        <v>39</v>
      </c>
      <c r="I183" s="1" t="s">
        <v>39</v>
      </c>
      <c r="J183" s="1" t="s">
        <v>39</v>
      </c>
      <c r="K183" s="1" t="s">
        <v>39</v>
      </c>
      <c r="L183" s="1" t="s">
        <v>39</v>
      </c>
      <c r="M183" s="1" t="s">
        <v>39</v>
      </c>
      <c r="N183" s="1" t="s">
        <v>39</v>
      </c>
      <c r="O183" s="1" t="s">
        <v>39</v>
      </c>
      <c r="P183" s="1" t="s">
        <v>39</v>
      </c>
      <c r="Q183" s="1" t="s">
        <v>39</v>
      </c>
      <c r="R183" s="1" t="s">
        <v>136</v>
      </c>
      <c r="S183" s="1" t="s">
        <v>52</v>
      </c>
      <c r="T183" s="1" t="s">
        <v>42</v>
      </c>
      <c r="U183" s="1" t="s">
        <v>42</v>
      </c>
      <c r="V183" s="1" t="s">
        <v>42</v>
      </c>
      <c r="W183" s="1" t="s">
        <v>789</v>
      </c>
      <c r="X183" s="1" t="s">
        <v>790</v>
      </c>
      <c r="Y183" s="1" t="s">
        <v>45</v>
      </c>
      <c r="Z183" s="1" t="s">
        <v>46</v>
      </c>
      <c r="AA183" s="1" t="s">
        <v>47</v>
      </c>
      <c r="AB183" s="1" t="s">
        <v>39</v>
      </c>
      <c r="AC183" s="1" t="s">
        <v>39</v>
      </c>
      <c r="AD183" s="1" t="s">
        <v>39</v>
      </c>
      <c r="AE183" s="1" t="s">
        <v>37</v>
      </c>
      <c r="AF183" s="1" t="s">
        <v>39</v>
      </c>
      <c r="AG183" s="1" t="s">
        <v>39</v>
      </c>
      <c r="AH183" s="1" t="s">
        <v>39</v>
      </c>
      <c r="AI183" s="1" t="s">
        <v>39</v>
      </c>
      <c r="AJ183" s="1" t="s">
        <v>39</v>
      </c>
      <c r="AK183" s="1" t="str">
        <f t="shared" si="5"/>
        <v>Comum</v>
      </c>
      <c r="AL183" s="1" t="str">
        <f>+IF(IFERROR(VLOOKUP(A183,Ficheiros!I:I,1,FALSE),"")=A183,"Sim","Não")</f>
        <v>Sim</v>
      </c>
      <c r="AM183" s="1" t="str">
        <f>+IF(IFERROR(VLOOKUP(A183,Ficheiros!E:E,1,FALSE),"")=A183,"Sim","Não")</f>
        <v>Não</v>
      </c>
      <c r="AN183" s="1" t="str">
        <f>+IF(IFERROR(VLOOKUP(A183,Ficheiros!O:O,1,FALSE),"")=A183,"Sim","Não")</f>
        <v>Sim</v>
      </c>
      <c r="AO183" s="1" t="str">
        <f>+IF(IFERROR(VLOOKUP(A183,'Especificação Novos Req. LT (2'!A:A,1,FALSE),"")=A183,"Sim","Não")</f>
        <v>Não</v>
      </c>
      <c r="AP183" s="1" t="str">
        <f>+IF(IFERROR(VLOOKUP(A183,Ficheiros!T:T,1,FALSE),"")=A183,"Sim","Não")</f>
        <v>Sim</v>
      </c>
      <c r="AQ183" s="1" t="str">
        <f>+VLOOKUP(A183,Ficheiros!O:P,2,FALSE)</f>
        <v>1. Concluído</v>
      </c>
      <c r="AR183" s="1" t="str">
        <f>+VLOOKUP(A183,Ficheiros!T:U,2,FALSE)</f>
        <v>9. Concluído</v>
      </c>
      <c r="AS183" s="1" t="str">
        <f>+VLOOKUP(A183,Ficheiros!T:V,3,FALSE)</f>
        <v>PM</v>
      </c>
      <c r="AT183" s="1"/>
      <c r="AU183" s="1"/>
      <c r="AV183" s="1"/>
      <c r="AW183" s="1"/>
      <c r="AX183" s="1" t="s">
        <v>2540</v>
      </c>
    </row>
    <row r="184" spans="1:50" ht="14.5" hidden="1" customHeight="1" x14ac:dyDescent="0.35">
      <c r="A184" s="5" t="str">
        <f t="shared" si="4"/>
        <v>INSTRUMENTCRE_FNRP18</v>
      </c>
      <c r="B184" s="1" t="s">
        <v>791</v>
      </c>
      <c r="C184" s="1" t="s">
        <v>785</v>
      </c>
      <c r="D184" s="1" t="s">
        <v>787</v>
      </c>
      <c r="E184" s="1" t="s">
        <v>37</v>
      </c>
      <c r="F184" s="26" t="s">
        <v>792</v>
      </c>
      <c r="G184" s="1" t="s">
        <v>792</v>
      </c>
      <c r="H184" s="1" t="s">
        <v>37</v>
      </c>
      <c r="I184" s="1" t="s">
        <v>37</v>
      </c>
      <c r="J184" s="1" t="s">
        <v>37</v>
      </c>
      <c r="K184" s="1" t="s">
        <v>37</v>
      </c>
      <c r="L184" s="1" t="s">
        <v>37</v>
      </c>
      <c r="M184" s="1" t="s">
        <v>39</v>
      </c>
      <c r="N184" s="1" t="s">
        <v>37</v>
      </c>
      <c r="O184" s="1" t="s">
        <v>39</v>
      </c>
      <c r="P184" s="1" t="s">
        <v>39</v>
      </c>
      <c r="Q184" s="1" t="s">
        <v>37</v>
      </c>
      <c r="R184" s="1" t="s">
        <v>141</v>
      </c>
      <c r="S184" s="1" t="s">
        <v>142</v>
      </c>
      <c r="T184" s="1" t="s">
        <v>42</v>
      </c>
      <c r="U184" s="1" t="s">
        <v>42</v>
      </c>
      <c r="V184" s="1" t="s">
        <v>46</v>
      </c>
      <c r="W184" s="1" t="s">
        <v>793</v>
      </c>
      <c r="X184" s="1" t="s">
        <v>794</v>
      </c>
      <c r="Y184" s="1" t="s">
        <v>45</v>
      </c>
      <c r="Z184" s="1" t="s">
        <v>46</v>
      </c>
      <c r="AA184" s="1" t="s">
        <v>47</v>
      </c>
      <c r="AB184" s="1" t="s">
        <v>39</v>
      </c>
      <c r="AC184" s="1" t="s">
        <v>37</v>
      </c>
      <c r="AD184" s="1" t="s">
        <v>37</v>
      </c>
      <c r="AE184" s="1" t="s">
        <v>37</v>
      </c>
      <c r="AF184" s="1" t="s">
        <v>37</v>
      </c>
      <c r="AG184" s="1" t="s">
        <v>37</v>
      </c>
      <c r="AH184" s="1" t="s">
        <v>37</v>
      </c>
      <c r="AI184" s="1" t="s">
        <v>37</v>
      </c>
      <c r="AJ184" s="1" t="s">
        <v>39</v>
      </c>
      <c r="AK184" s="1" t="str">
        <f t="shared" si="5"/>
        <v>Fora de âmbito</v>
      </c>
      <c r="AL184" s="1" t="str">
        <f>+IF(IFERROR(VLOOKUP(A184,Ficheiros!I:I,1,FALSE),"")=A184,"Sim","Não")</f>
        <v>Sim</v>
      </c>
      <c r="AM184" s="1" t="str">
        <f>+IF(IFERROR(VLOOKUP(A184,Ficheiros!E:E,1,FALSE),"")=A184,"Sim","Não")</f>
        <v>Não</v>
      </c>
      <c r="AN184" s="1" t="str">
        <f>+IF(IFERROR(VLOOKUP(A184,Ficheiros!O:O,1,FALSE),"")=A184,"Sim","Não")</f>
        <v>Não</v>
      </c>
      <c r="AO184" s="1" t="str">
        <f>+IF(IFERROR(VLOOKUP(A184,'Especificação Novos Req. LT (2'!A:A,1,FALSE),"")=A184,"Sim","Não")</f>
        <v>Não</v>
      </c>
      <c r="AP184" s="1" t="str">
        <f>+IF(IFERROR(VLOOKUP(A184,Ficheiros!T:T,1,FALSE),"")=A184,"Sim","Não")</f>
        <v>Sim</v>
      </c>
      <c r="AQ184" s="1" t="e">
        <f>+VLOOKUP(A184,Ficheiros!O:P,2,FALSE)</f>
        <v>#N/A</v>
      </c>
      <c r="AR184" s="1" t="str">
        <f>+VLOOKUP(A184,Ficheiros!T:U,2,FALSE)</f>
        <v>9. Concluído</v>
      </c>
      <c r="AS184" s="1" t="str">
        <f>+VLOOKUP(A184,Ficheiros!T:V,3,FALSE)</f>
        <v>PM</v>
      </c>
      <c r="AT184" s="1"/>
      <c r="AU184" s="1"/>
      <c r="AV184" s="1"/>
      <c r="AW184" s="1"/>
      <c r="AX184" s="1"/>
    </row>
    <row r="185" spans="1:50" ht="14.5" hidden="1" customHeight="1" x14ac:dyDescent="0.35">
      <c r="A185" s="5" t="str">
        <f t="shared" si="4"/>
        <v>INSTRUMENTSME_FNRP18</v>
      </c>
      <c r="B185" s="1" t="s">
        <v>795</v>
      </c>
      <c r="C185" s="1" t="s">
        <v>785</v>
      </c>
      <c r="D185" s="1" t="s">
        <v>787</v>
      </c>
      <c r="E185" s="1" t="s">
        <v>37</v>
      </c>
      <c r="F185" s="26" t="s">
        <v>796</v>
      </c>
      <c r="G185" s="1" t="s">
        <v>796</v>
      </c>
      <c r="H185" s="1" t="s">
        <v>37</v>
      </c>
      <c r="I185" s="1" t="s">
        <v>37</v>
      </c>
      <c r="J185" s="1" t="s">
        <v>37</v>
      </c>
      <c r="K185" s="1" t="s">
        <v>37</v>
      </c>
      <c r="L185" s="1" t="s">
        <v>37</v>
      </c>
      <c r="M185" s="1" t="s">
        <v>39</v>
      </c>
      <c r="N185" s="1" t="s">
        <v>37</v>
      </c>
      <c r="O185" s="1" t="s">
        <v>39</v>
      </c>
      <c r="P185" s="1" t="s">
        <v>39</v>
      </c>
      <c r="Q185" s="1" t="s">
        <v>37</v>
      </c>
      <c r="R185" s="1" t="s">
        <v>141</v>
      </c>
      <c r="S185" s="1" t="s">
        <v>142</v>
      </c>
      <c r="T185" s="1" t="s">
        <v>42</v>
      </c>
      <c r="U185" s="1" t="s">
        <v>42</v>
      </c>
      <c r="V185" s="1" t="s">
        <v>46</v>
      </c>
      <c r="W185" s="1" t="s">
        <v>797</v>
      </c>
      <c r="X185" s="1" t="s">
        <v>798</v>
      </c>
      <c r="Y185" s="1" t="s">
        <v>45</v>
      </c>
      <c r="Z185" s="1" t="s">
        <v>46</v>
      </c>
      <c r="AA185" s="1" t="s">
        <v>47</v>
      </c>
      <c r="AB185" s="1" t="s">
        <v>39</v>
      </c>
      <c r="AC185" s="1" t="s">
        <v>37</v>
      </c>
      <c r="AD185" s="1" t="s">
        <v>37</v>
      </c>
      <c r="AE185" s="1" t="s">
        <v>37</v>
      </c>
      <c r="AF185" s="1" t="s">
        <v>37</v>
      </c>
      <c r="AG185" s="1" t="s">
        <v>37</v>
      </c>
      <c r="AH185" s="1" t="s">
        <v>37</v>
      </c>
      <c r="AI185" s="1" t="s">
        <v>37</v>
      </c>
      <c r="AJ185" s="1" t="s">
        <v>39</v>
      </c>
      <c r="AK185" s="1" t="str">
        <f t="shared" si="5"/>
        <v>Fora de âmbito</v>
      </c>
      <c r="AL185" s="1" t="str">
        <f>+IF(IFERROR(VLOOKUP(A185,Ficheiros!I:I,1,FALSE),"")=A185,"Sim","Não")</f>
        <v>Sim</v>
      </c>
      <c r="AM185" s="1" t="str">
        <f>+IF(IFERROR(VLOOKUP(A185,Ficheiros!E:E,1,FALSE),"")=A185,"Sim","Não")</f>
        <v>Não</v>
      </c>
      <c r="AN185" s="1" t="str">
        <f>+IF(IFERROR(VLOOKUP(A185,Ficheiros!O:O,1,FALSE),"")=A185,"Sim","Não")</f>
        <v>Não</v>
      </c>
      <c r="AO185" s="1" t="str">
        <f>+IF(IFERROR(VLOOKUP(A185,'Especificação Novos Req. LT (2'!A:A,1,FALSE),"")=A185,"Sim","Não")</f>
        <v>Não</v>
      </c>
      <c r="AP185" s="1" t="str">
        <f>+IF(IFERROR(VLOOKUP(A185,Ficheiros!T:T,1,FALSE),"")=A185,"Sim","Não")</f>
        <v>Sim</v>
      </c>
      <c r="AQ185" s="1" t="e">
        <f>+VLOOKUP(A185,Ficheiros!O:P,2,FALSE)</f>
        <v>#N/A</v>
      </c>
      <c r="AR185" s="1" t="str">
        <f>+VLOOKUP(A185,Ficheiros!T:U,2,FALSE)</f>
        <v>9. Concluído</v>
      </c>
      <c r="AS185" s="1" t="str">
        <f>+VLOOKUP(A185,Ficheiros!T:V,3,FALSE)</f>
        <v>PM</v>
      </c>
      <c r="AT185" s="1"/>
      <c r="AU185" s="1"/>
      <c r="AV185" s="1"/>
      <c r="AW185" s="1"/>
      <c r="AX185" s="1"/>
    </row>
    <row r="186" spans="1:50" ht="14.5" hidden="1" customHeight="1" x14ac:dyDescent="0.35">
      <c r="A186" s="5" t="str">
        <f t="shared" si="4"/>
        <v>INSTRUMENTRRE_FNRP18</v>
      </c>
      <c r="B186" s="1" t="s">
        <v>799</v>
      </c>
      <c r="C186" s="1" t="s">
        <v>785</v>
      </c>
      <c r="D186" s="1" t="s">
        <v>787</v>
      </c>
      <c r="E186" s="1" t="s">
        <v>37</v>
      </c>
      <c r="F186" s="26" t="s">
        <v>800</v>
      </c>
      <c r="G186" s="1" t="s">
        <v>800</v>
      </c>
      <c r="H186" s="1" t="s">
        <v>37</v>
      </c>
      <c r="I186" s="1" t="s">
        <v>37</v>
      </c>
      <c r="J186" s="1" t="s">
        <v>37</v>
      </c>
      <c r="K186" s="1" t="s">
        <v>37</v>
      </c>
      <c r="L186" s="1" t="s">
        <v>37</v>
      </c>
      <c r="M186" s="1" t="s">
        <v>37</v>
      </c>
      <c r="N186" s="1" t="s">
        <v>39</v>
      </c>
      <c r="O186" s="1" t="s">
        <v>37</v>
      </c>
      <c r="P186" s="1" t="s">
        <v>39</v>
      </c>
      <c r="Q186" s="1" t="s">
        <v>37</v>
      </c>
      <c r="R186" s="1" t="s">
        <v>141</v>
      </c>
      <c r="S186" s="1" t="s">
        <v>142</v>
      </c>
      <c r="T186" s="1" t="s">
        <v>42</v>
      </c>
      <c r="U186" s="1" t="s">
        <v>42</v>
      </c>
      <c r="V186" s="1" t="s">
        <v>46</v>
      </c>
      <c r="W186" s="1" t="s">
        <v>801</v>
      </c>
      <c r="X186" s="1" t="s">
        <v>802</v>
      </c>
      <c r="Y186" s="1" t="s">
        <v>45</v>
      </c>
      <c r="Z186" s="1" t="s">
        <v>46</v>
      </c>
      <c r="AA186" s="1" t="s">
        <v>47</v>
      </c>
      <c r="AB186" s="1" t="s">
        <v>39</v>
      </c>
      <c r="AC186" s="1" t="s">
        <v>37</v>
      </c>
      <c r="AD186" s="1" t="s">
        <v>37</v>
      </c>
      <c r="AE186" s="1" t="s">
        <v>37</v>
      </c>
      <c r="AF186" s="1" t="s">
        <v>37</v>
      </c>
      <c r="AG186" s="1" t="s">
        <v>37</v>
      </c>
      <c r="AH186" s="1" t="s">
        <v>37</v>
      </c>
      <c r="AI186" s="1" t="s">
        <v>37</v>
      </c>
      <c r="AJ186" s="1" t="s">
        <v>39</v>
      </c>
      <c r="AK186" s="1" t="str">
        <f t="shared" si="5"/>
        <v>Fora de âmbito</v>
      </c>
      <c r="AL186" s="1" t="str">
        <f>+IF(IFERROR(VLOOKUP(A186,Ficheiros!I:I,1,FALSE),"")=A186,"Sim","Não")</f>
        <v>Sim</v>
      </c>
      <c r="AM186" s="1" t="str">
        <f>+IF(IFERROR(VLOOKUP(A186,Ficheiros!E:E,1,FALSE),"")=A186,"Sim","Não")</f>
        <v>Não</v>
      </c>
      <c r="AN186" s="1" t="str">
        <f>+IF(IFERROR(VLOOKUP(A186,Ficheiros!O:O,1,FALSE),"")=A186,"Sim","Não")</f>
        <v>Não</v>
      </c>
      <c r="AO186" s="1" t="str">
        <f>+IF(IFERROR(VLOOKUP(A186,'Especificação Novos Req. LT (2'!A:A,1,FALSE),"")=A186,"Sim","Não")</f>
        <v>Não</v>
      </c>
      <c r="AP186" s="1" t="str">
        <f>+IF(IFERROR(VLOOKUP(A186,Ficheiros!T:T,1,FALSE),"")=A186,"Sim","Não")</f>
        <v>Sim</v>
      </c>
      <c r="AQ186" s="1" t="e">
        <f>+VLOOKUP(A186,Ficheiros!O:P,2,FALSE)</f>
        <v>#N/A</v>
      </c>
      <c r="AR186" s="1" t="str">
        <f>+VLOOKUP(A186,Ficheiros!T:U,2,FALSE)</f>
        <v>9. Concluído</v>
      </c>
      <c r="AS186" s="1" t="str">
        <f>+VLOOKUP(A186,Ficheiros!T:V,3,FALSE)</f>
        <v>PM</v>
      </c>
      <c r="AT186" s="1"/>
      <c r="AU186" s="1"/>
      <c r="AV186" s="1"/>
      <c r="AW186" s="1"/>
      <c r="AX186" s="1"/>
    </row>
    <row r="187" spans="1:50" ht="14.5" hidden="1" customHeight="1" x14ac:dyDescent="0.35">
      <c r="A187" s="5" t="str">
        <f t="shared" si="4"/>
        <v>INSTRUMENTCNSMPTN_FNRP18</v>
      </c>
      <c r="B187" s="1" t="s">
        <v>803</v>
      </c>
      <c r="C187" s="1" t="s">
        <v>785</v>
      </c>
      <c r="D187" s="1" t="s">
        <v>787</v>
      </c>
      <c r="E187" s="1" t="s">
        <v>37</v>
      </c>
      <c r="F187" s="26" t="s">
        <v>804</v>
      </c>
      <c r="G187" s="1" t="s">
        <v>804</v>
      </c>
      <c r="H187" s="1" t="s">
        <v>37</v>
      </c>
      <c r="I187" s="1" t="s">
        <v>37</v>
      </c>
      <c r="J187" s="1" t="s">
        <v>37</v>
      </c>
      <c r="K187" s="1" t="s">
        <v>37</v>
      </c>
      <c r="L187" s="1" t="s">
        <v>37</v>
      </c>
      <c r="M187" s="1" t="s">
        <v>37</v>
      </c>
      <c r="N187" s="1" t="s">
        <v>39</v>
      </c>
      <c r="O187" s="1" t="s">
        <v>37</v>
      </c>
      <c r="P187" s="1" t="s">
        <v>39</v>
      </c>
      <c r="Q187" s="1" t="s">
        <v>37</v>
      </c>
      <c r="R187" s="1" t="s">
        <v>141</v>
      </c>
      <c r="S187" s="1" t="s">
        <v>142</v>
      </c>
      <c r="T187" s="1" t="s">
        <v>42</v>
      </c>
      <c r="U187" s="1" t="s">
        <v>42</v>
      </c>
      <c r="V187" s="1" t="s">
        <v>46</v>
      </c>
      <c r="W187" s="1" t="s">
        <v>805</v>
      </c>
      <c r="X187" s="1" t="s">
        <v>806</v>
      </c>
      <c r="Y187" s="1" t="s">
        <v>45</v>
      </c>
      <c r="Z187" s="1" t="s">
        <v>46</v>
      </c>
      <c r="AA187" s="1" t="s">
        <v>47</v>
      </c>
      <c r="AB187" s="1" t="s">
        <v>39</v>
      </c>
      <c r="AC187" s="1" t="s">
        <v>37</v>
      </c>
      <c r="AD187" s="1" t="s">
        <v>37</v>
      </c>
      <c r="AE187" s="1" t="s">
        <v>37</v>
      </c>
      <c r="AF187" s="1" t="s">
        <v>37</v>
      </c>
      <c r="AG187" s="1" t="s">
        <v>37</v>
      </c>
      <c r="AH187" s="1" t="s">
        <v>37</v>
      </c>
      <c r="AI187" s="1" t="s">
        <v>37</v>
      </c>
      <c r="AJ187" s="1" t="s">
        <v>39</v>
      </c>
      <c r="AK187" s="1" t="str">
        <f t="shared" si="5"/>
        <v>Fora de âmbito</v>
      </c>
      <c r="AL187" s="1" t="str">
        <f>+IF(IFERROR(VLOOKUP(A187,Ficheiros!I:I,1,FALSE),"")=A187,"Sim","Não")</f>
        <v>Sim</v>
      </c>
      <c r="AM187" s="1" t="str">
        <f>+IF(IFERROR(VLOOKUP(A187,Ficheiros!E:E,1,FALSE),"")=A187,"Sim","Não")</f>
        <v>Não</v>
      </c>
      <c r="AN187" s="1" t="str">
        <f>+IF(IFERROR(VLOOKUP(A187,Ficheiros!O:O,1,FALSE),"")=A187,"Sim","Não")</f>
        <v>Não</v>
      </c>
      <c r="AO187" s="1" t="str">
        <f>+IF(IFERROR(VLOOKUP(A187,'Especificação Novos Req. LT (2'!A:A,1,FALSE),"")=A187,"Sim","Não")</f>
        <v>Não</v>
      </c>
      <c r="AP187" s="1" t="str">
        <f>+IF(IFERROR(VLOOKUP(A187,Ficheiros!T:T,1,FALSE),"")=A187,"Sim","Não")</f>
        <v>Sim</v>
      </c>
      <c r="AQ187" s="1" t="e">
        <f>+VLOOKUP(A187,Ficheiros!O:P,2,FALSE)</f>
        <v>#N/A</v>
      </c>
      <c r="AR187" s="1" t="str">
        <f>+VLOOKUP(A187,Ficheiros!T:U,2,FALSE)</f>
        <v>9. Concluído</v>
      </c>
      <c r="AS187" s="1" t="str">
        <f>+VLOOKUP(A187,Ficheiros!T:V,3,FALSE)</f>
        <v>PM</v>
      </c>
      <c r="AT187" s="1"/>
      <c r="AU187" s="1"/>
      <c r="AV187" s="1"/>
      <c r="AW187" s="1"/>
      <c r="AX187" s="1"/>
    </row>
    <row r="188" spans="1:50" ht="14.5" hidden="1" customHeight="1" x14ac:dyDescent="0.35">
      <c r="A188" s="5" t="str">
        <f t="shared" si="4"/>
        <v>INSTRUMENTDT_RFRNC</v>
      </c>
      <c r="B188" s="1" t="s">
        <v>807</v>
      </c>
      <c r="C188" s="1" t="s">
        <v>785</v>
      </c>
      <c r="D188" s="1" t="s">
        <v>49</v>
      </c>
      <c r="E188" s="1" t="s">
        <v>39</v>
      </c>
      <c r="F188" s="25" t="s">
        <v>91</v>
      </c>
      <c r="G188" s="1" t="s">
        <v>91</v>
      </c>
      <c r="H188" s="1" t="s">
        <v>39</v>
      </c>
      <c r="I188" s="1" t="s">
        <v>39</v>
      </c>
      <c r="J188" s="1" t="s">
        <v>39</v>
      </c>
      <c r="K188" s="1" t="s">
        <v>39</v>
      </c>
      <c r="L188" s="1" t="s">
        <v>39</v>
      </c>
      <c r="M188" s="1" t="s">
        <v>39</v>
      </c>
      <c r="N188" s="1" t="s">
        <v>39</v>
      </c>
      <c r="O188" s="1" t="s">
        <v>39</v>
      </c>
      <c r="P188" s="1" t="s">
        <v>39</v>
      </c>
      <c r="Q188" s="1" t="s">
        <v>39</v>
      </c>
      <c r="R188" s="1" t="s">
        <v>60</v>
      </c>
      <c r="S188" s="1" t="s">
        <v>61</v>
      </c>
      <c r="T188" s="1" t="s">
        <v>42</v>
      </c>
      <c r="U188" s="1" t="s">
        <v>42</v>
      </c>
      <c r="V188" s="1" t="s">
        <v>42</v>
      </c>
      <c r="W188" s="1" t="s">
        <v>768</v>
      </c>
      <c r="X188" s="1" t="s">
        <v>93</v>
      </c>
      <c r="Y188" s="1" t="s">
        <v>45</v>
      </c>
      <c r="Z188" s="1" t="s">
        <v>46</v>
      </c>
      <c r="AA188" s="1" t="s">
        <v>47</v>
      </c>
      <c r="AB188" s="1" t="s">
        <v>39</v>
      </c>
      <c r="AC188" s="1" t="s">
        <v>39</v>
      </c>
      <c r="AD188" s="1" t="s">
        <v>39</v>
      </c>
      <c r="AE188" s="1" t="s">
        <v>39</v>
      </c>
      <c r="AF188" s="1" t="s">
        <v>39</v>
      </c>
      <c r="AG188" s="1" t="s">
        <v>39</v>
      </c>
      <c r="AH188" s="1" t="s">
        <v>39</v>
      </c>
      <c r="AI188" s="1" t="s">
        <v>39</v>
      </c>
      <c r="AJ188" s="1" t="s">
        <v>39</v>
      </c>
      <c r="AK188" s="1" t="str">
        <f t="shared" si="5"/>
        <v>Comum</v>
      </c>
      <c r="AL188" s="1" t="str">
        <f>+IF(IFERROR(VLOOKUP(A188,Ficheiros!I:I,1,FALSE),"")=A188,"Sim","Não")</f>
        <v>Sim</v>
      </c>
      <c r="AM188" s="1" t="str">
        <f>+IF(IFERROR(VLOOKUP(A188,Ficheiros!E:E,1,FALSE),"")=A188,"Sim","Não")</f>
        <v>Não</v>
      </c>
      <c r="AN188" s="1" t="str">
        <f>+IF(IFERROR(VLOOKUP(A188,Ficheiros!O:O,1,FALSE),"")=A188,"Sim","Não")</f>
        <v>Sim</v>
      </c>
      <c r="AO188" s="1" t="str">
        <f>+IF(IFERROR(VLOOKUP(A188,'Especificação Novos Req. LT (2'!A:A,1,FALSE),"")=A188,"Sim","Não")</f>
        <v>Não</v>
      </c>
      <c r="AP188" s="1" t="str">
        <f>+IF(IFERROR(VLOOKUP(A188,Ficheiros!T:T,1,FALSE),"")=A188,"Sim","Não")</f>
        <v>Sim</v>
      </c>
      <c r="AQ188" s="1" t="str">
        <f>+VLOOKUP(A188,Ficheiros!O:P,2,FALSE)</f>
        <v>1. Concluído</v>
      </c>
      <c r="AR188" s="1" t="str">
        <f>+VLOOKUP(A188,Ficheiros!T:U,2,FALSE)</f>
        <v>9. Concluído</v>
      </c>
      <c r="AS188" s="1" t="str">
        <f>+VLOOKUP(A188,Ficheiros!T:V,3,FALSE)</f>
        <v>PM</v>
      </c>
      <c r="AT188" s="1"/>
      <c r="AU188" s="1"/>
      <c r="AV188" s="1"/>
      <c r="AW188" s="1"/>
      <c r="AX188" s="1" t="s">
        <v>2540</v>
      </c>
    </row>
    <row r="189" spans="1:50" ht="14.5" hidden="1" customHeight="1" x14ac:dyDescent="0.35">
      <c r="A189" s="5" t="str">
        <f t="shared" si="4"/>
        <v>INSTRUMENTINSTRMNT_ID</v>
      </c>
      <c r="B189" s="1" t="s">
        <v>808</v>
      </c>
      <c r="C189" s="1" t="s">
        <v>785</v>
      </c>
      <c r="D189" s="1" t="s">
        <v>49</v>
      </c>
      <c r="E189" s="1" t="s">
        <v>39</v>
      </c>
      <c r="F189" s="25" t="s">
        <v>772</v>
      </c>
      <c r="G189" s="1" t="s">
        <v>772</v>
      </c>
      <c r="H189" s="1" t="s">
        <v>39</v>
      </c>
      <c r="I189" s="1" t="s">
        <v>39</v>
      </c>
      <c r="J189" s="1" t="s">
        <v>39</v>
      </c>
      <c r="K189" s="1" t="s">
        <v>39</v>
      </c>
      <c r="L189" s="1" t="s">
        <v>39</v>
      </c>
      <c r="M189" s="1" t="s">
        <v>39</v>
      </c>
      <c r="N189" s="1" t="s">
        <v>39</v>
      </c>
      <c r="O189" s="1" t="s">
        <v>39</v>
      </c>
      <c r="P189" s="1" t="s">
        <v>39</v>
      </c>
      <c r="Q189" s="1" t="s">
        <v>39</v>
      </c>
      <c r="R189" s="1" t="s">
        <v>657</v>
      </c>
      <c r="S189" s="1" t="s">
        <v>41</v>
      </c>
      <c r="T189" s="1" t="s">
        <v>42</v>
      </c>
      <c r="U189" s="1" t="s">
        <v>42</v>
      </c>
      <c r="V189" s="1" t="s">
        <v>42</v>
      </c>
      <c r="W189" s="1" t="s">
        <v>773</v>
      </c>
      <c r="X189" s="1" t="s">
        <v>809</v>
      </c>
      <c r="Y189" s="1" t="s">
        <v>45</v>
      </c>
      <c r="Z189" s="1" t="s">
        <v>46</v>
      </c>
      <c r="AA189" s="1" t="s">
        <v>47</v>
      </c>
      <c r="AB189" s="1" t="s">
        <v>39</v>
      </c>
      <c r="AC189" s="1" t="s">
        <v>39</v>
      </c>
      <c r="AD189" s="1" t="s">
        <v>39</v>
      </c>
      <c r="AE189" s="1" t="s">
        <v>39</v>
      </c>
      <c r="AF189" s="1" t="s">
        <v>39</v>
      </c>
      <c r="AG189" s="1" t="s">
        <v>39</v>
      </c>
      <c r="AH189" s="1" t="s">
        <v>39</v>
      </c>
      <c r="AI189" s="1" t="s">
        <v>39</v>
      </c>
      <c r="AJ189" s="1" t="s">
        <v>39</v>
      </c>
      <c r="AK189" s="1" t="str">
        <f t="shared" si="5"/>
        <v>Comum</v>
      </c>
      <c r="AL189" s="1" t="str">
        <f>+IF(IFERROR(VLOOKUP(A189,Ficheiros!I:I,1,FALSE),"")=A189,"Sim","Não")</f>
        <v>Sim</v>
      </c>
      <c r="AM189" s="1" t="str">
        <f>+IF(IFERROR(VLOOKUP(A189,Ficheiros!E:E,1,FALSE),"")=A189,"Sim","Não")</f>
        <v>Não</v>
      </c>
      <c r="AN189" s="1" t="str">
        <f>+IF(IFERROR(VLOOKUP(A189,Ficheiros!O:O,1,FALSE),"")=A189,"Sim","Não")</f>
        <v>Sim</v>
      </c>
      <c r="AO189" s="1" t="str">
        <f>+IF(IFERROR(VLOOKUP(A189,'Especificação Novos Req. LT (2'!A:A,1,FALSE),"")=A189,"Sim","Não")</f>
        <v>Não</v>
      </c>
      <c r="AP189" s="1" t="str">
        <f>+IF(IFERROR(VLOOKUP(A189,Ficheiros!T:T,1,FALSE),"")=A189,"Sim","Não")</f>
        <v>Sim</v>
      </c>
      <c r="AQ189" s="1" t="str">
        <f>+VLOOKUP(A189,Ficheiros!O:P,2,FALSE)</f>
        <v>1. Concluído</v>
      </c>
      <c r="AR189" s="1" t="str">
        <f>+VLOOKUP(A189,Ficheiros!T:U,2,FALSE)</f>
        <v>9. Concluído</v>
      </c>
      <c r="AS189" s="1" t="str">
        <f>+VLOOKUP(A189,Ficheiros!T:V,3,FALSE)</f>
        <v>PM</v>
      </c>
      <c r="AT189" s="1"/>
      <c r="AU189" s="1"/>
      <c r="AV189" s="1"/>
      <c r="AW189" s="1"/>
      <c r="AX189" s="1" t="s">
        <v>2540</v>
      </c>
    </row>
    <row r="190" spans="1:50" ht="14.5" hidden="1" customHeight="1" x14ac:dyDescent="0.35">
      <c r="A190" s="5" t="str">
        <f t="shared" si="4"/>
        <v>INSTRUMENTCNTRCT_ID</v>
      </c>
      <c r="B190" s="1" t="s">
        <v>810</v>
      </c>
      <c r="C190" s="1" t="s">
        <v>785</v>
      </c>
      <c r="D190" s="1" t="s">
        <v>49</v>
      </c>
      <c r="E190" s="1" t="s">
        <v>39</v>
      </c>
      <c r="F190" s="25" t="s">
        <v>811</v>
      </c>
      <c r="G190" s="1" t="s">
        <v>811</v>
      </c>
      <c r="H190" s="1" t="s">
        <v>39</v>
      </c>
      <c r="I190" s="1" t="s">
        <v>39</v>
      </c>
      <c r="J190" s="1" t="s">
        <v>39</v>
      </c>
      <c r="K190" s="1" t="s">
        <v>39</v>
      </c>
      <c r="L190" s="1" t="s">
        <v>39</v>
      </c>
      <c r="M190" s="1" t="s">
        <v>39</v>
      </c>
      <c r="N190" s="1" t="s">
        <v>39</v>
      </c>
      <c r="O190" s="1" t="s">
        <v>39</v>
      </c>
      <c r="P190" s="1" t="s">
        <v>37</v>
      </c>
      <c r="Q190" s="1" t="s">
        <v>37</v>
      </c>
      <c r="R190" s="1" t="s">
        <v>657</v>
      </c>
      <c r="S190" s="1" t="s">
        <v>41</v>
      </c>
      <c r="T190" s="1" t="s">
        <v>42</v>
      </c>
      <c r="U190" s="1" t="s">
        <v>42</v>
      </c>
      <c r="V190" s="1" t="s">
        <v>46</v>
      </c>
      <c r="W190" s="1" t="s">
        <v>812</v>
      </c>
      <c r="X190" s="1" t="s">
        <v>813</v>
      </c>
      <c r="Y190" s="1" t="s">
        <v>45</v>
      </c>
      <c r="Z190" s="1" t="s">
        <v>46</v>
      </c>
      <c r="AA190" s="1" t="s">
        <v>47</v>
      </c>
      <c r="AB190" s="1" t="s">
        <v>39</v>
      </c>
      <c r="AC190" s="1" t="s">
        <v>37</v>
      </c>
      <c r="AD190" s="1" t="s">
        <v>37</v>
      </c>
      <c r="AE190" s="1" t="s">
        <v>37</v>
      </c>
      <c r="AF190" s="1" t="s">
        <v>37</v>
      </c>
      <c r="AG190" s="1" t="s">
        <v>37</v>
      </c>
      <c r="AH190" s="1" t="s">
        <v>37</v>
      </c>
      <c r="AI190" s="1" t="s">
        <v>37</v>
      </c>
      <c r="AJ190" s="1" t="s">
        <v>39</v>
      </c>
      <c r="AK190" s="1" t="str">
        <f t="shared" si="5"/>
        <v>Fora de âmbito</v>
      </c>
      <c r="AL190" s="1" t="str">
        <f>+IF(IFERROR(VLOOKUP(A190,Ficheiros!I:I,1,FALSE),"")=A190,"Sim","Não")</f>
        <v>Sim</v>
      </c>
      <c r="AM190" s="1" t="str">
        <f>+IF(IFERROR(VLOOKUP(A190,Ficheiros!E:E,1,FALSE),"")=A190,"Sim","Não")</f>
        <v>Não</v>
      </c>
      <c r="AN190" s="1" t="str">
        <f>+IF(IFERROR(VLOOKUP(A190,Ficheiros!O:O,1,FALSE),"")=A190,"Sim","Não")</f>
        <v>Não</v>
      </c>
      <c r="AO190" s="1" t="str">
        <f>+IF(IFERROR(VLOOKUP(A190,'Especificação Novos Req. LT (2'!A:A,1,FALSE),"")=A190,"Sim","Não")</f>
        <v>Não</v>
      </c>
      <c r="AP190" s="1" t="str">
        <f>+IF(IFERROR(VLOOKUP(A190,Ficheiros!T:T,1,FALSE),"")=A190,"Sim","Não")</f>
        <v>Sim</v>
      </c>
      <c r="AQ190" s="1" t="e">
        <f>+VLOOKUP(A190,Ficheiros!O:P,2,FALSE)</f>
        <v>#N/A</v>
      </c>
      <c r="AR190" s="1" t="str">
        <f>+VLOOKUP(A190,Ficheiros!T:U,2,FALSE)</f>
        <v>9. Concluído</v>
      </c>
      <c r="AS190" s="1" t="str">
        <f>+VLOOKUP(A190,Ficheiros!T:V,3,FALSE)</f>
        <v>PM</v>
      </c>
      <c r="AT190" s="1"/>
      <c r="AU190" s="1"/>
      <c r="AV190" s="1"/>
      <c r="AW190" s="1"/>
      <c r="AX190" s="1"/>
    </row>
    <row r="191" spans="1:50" ht="14.5" hidden="1" customHeight="1" x14ac:dyDescent="0.35">
      <c r="A191" s="5" t="str">
        <f t="shared" si="4"/>
        <v>INSTRUMENTCRRNCY_DNMNTN</v>
      </c>
      <c r="B191" s="1" t="s">
        <v>814</v>
      </c>
      <c r="C191" s="1" t="s">
        <v>785</v>
      </c>
      <c r="D191" s="1" t="s">
        <v>49</v>
      </c>
      <c r="E191" s="1" t="s">
        <v>39</v>
      </c>
      <c r="F191" s="26" t="s">
        <v>815</v>
      </c>
      <c r="G191" s="1" t="s">
        <v>815</v>
      </c>
      <c r="H191" s="1" t="s">
        <v>39</v>
      </c>
      <c r="I191" s="1" t="s">
        <v>39</v>
      </c>
      <c r="J191" s="1" t="s">
        <v>39</v>
      </c>
      <c r="K191" s="1" t="s">
        <v>39</v>
      </c>
      <c r="L191" s="1" t="s">
        <v>39</v>
      </c>
      <c r="M191" s="1" t="s">
        <v>39</v>
      </c>
      <c r="N191" s="1" t="s">
        <v>39</v>
      </c>
      <c r="O191" s="1" t="s">
        <v>39</v>
      </c>
      <c r="P191" s="1" t="s">
        <v>37</v>
      </c>
      <c r="Q191" s="1" t="s">
        <v>37</v>
      </c>
      <c r="R191" s="1" t="s">
        <v>136</v>
      </c>
      <c r="S191" s="1" t="s">
        <v>52</v>
      </c>
      <c r="T191" s="1" t="s">
        <v>53</v>
      </c>
      <c r="U191" s="1" t="s">
        <v>42</v>
      </c>
      <c r="V191" s="1" t="s">
        <v>46</v>
      </c>
      <c r="W191" s="1" t="s">
        <v>816</v>
      </c>
      <c r="X191" s="1" t="s">
        <v>817</v>
      </c>
      <c r="Y191" s="1" t="s">
        <v>66</v>
      </c>
      <c r="Z191" s="1" t="s">
        <v>818</v>
      </c>
      <c r="AA191" s="1" t="s">
        <v>47</v>
      </c>
      <c r="AB191" s="1" t="s">
        <v>39</v>
      </c>
      <c r="AC191" s="1" t="s">
        <v>37</v>
      </c>
      <c r="AD191" s="1" t="s">
        <v>37</v>
      </c>
      <c r="AE191" s="1" t="s">
        <v>39</v>
      </c>
      <c r="AF191" s="1" t="s">
        <v>37</v>
      </c>
      <c r="AG191" s="1" t="s">
        <v>39</v>
      </c>
      <c r="AH191" s="1" t="s">
        <v>37</v>
      </c>
      <c r="AI191" s="1" t="s">
        <v>39</v>
      </c>
      <c r="AJ191" s="1" t="s">
        <v>39</v>
      </c>
      <c r="AK191" s="1" t="str">
        <f t="shared" si="5"/>
        <v>Fora de âmbito</v>
      </c>
      <c r="AL191" s="1" t="str">
        <f>+IF(IFERROR(VLOOKUP(A191,Ficheiros!I:I,1,FALSE),"")=A191,"Sim","Não")</f>
        <v>Sim</v>
      </c>
      <c r="AM191" s="1" t="str">
        <f>+IF(IFERROR(VLOOKUP(A191,Ficheiros!E:E,1,FALSE),"")=A191,"Sim","Não")</f>
        <v>Não</v>
      </c>
      <c r="AN191" s="1" t="str">
        <f>+IF(IFERROR(VLOOKUP(A191,Ficheiros!O:O,1,FALSE),"")=A191,"Sim","Não")</f>
        <v>Não</v>
      </c>
      <c r="AO191" s="1" t="str">
        <f>+IF(IFERROR(VLOOKUP(A191,'Especificação Novos Req. LT (2'!A:A,1,FALSE),"")=A191,"Sim","Não")</f>
        <v>Não</v>
      </c>
      <c r="AP191" s="1" t="str">
        <f>+IF(IFERROR(VLOOKUP(A191,Ficheiros!T:T,1,FALSE),"")=A191,"Sim","Não")</f>
        <v>Sim</v>
      </c>
      <c r="AQ191" s="1" t="e">
        <f>+VLOOKUP(A191,Ficheiros!O:P,2,FALSE)</f>
        <v>#N/A</v>
      </c>
      <c r="AR191" s="1" t="str">
        <f>+VLOOKUP(A191,Ficheiros!T:U,2,FALSE)</f>
        <v>9. Concluído</v>
      </c>
      <c r="AS191" s="1" t="str">
        <f>+VLOOKUP(A191,Ficheiros!T:V,3,FALSE)</f>
        <v>PM</v>
      </c>
      <c r="AT191" s="1"/>
      <c r="AU191" s="1"/>
      <c r="AV191" s="1"/>
      <c r="AW191" s="1"/>
      <c r="AX191" s="1"/>
    </row>
    <row r="192" spans="1:50" ht="14.5" hidden="1" customHeight="1" x14ac:dyDescent="0.35">
      <c r="A192" s="5" t="str">
        <f t="shared" si="4"/>
        <v>INSTRUMENTDT_INCPTN</v>
      </c>
      <c r="B192" s="1" t="s">
        <v>819</v>
      </c>
      <c r="C192" s="1" t="s">
        <v>785</v>
      </c>
      <c r="D192" s="1" t="s">
        <v>49</v>
      </c>
      <c r="E192" s="1" t="s">
        <v>39</v>
      </c>
      <c r="F192" s="25" t="s">
        <v>820</v>
      </c>
      <c r="G192" s="1" t="s">
        <v>820</v>
      </c>
      <c r="H192" s="1" t="s">
        <v>39</v>
      </c>
      <c r="I192" s="1" t="s">
        <v>39</v>
      </c>
      <c r="J192" s="1" t="s">
        <v>39</v>
      </c>
      <c r="K192" s="1" t="s">
        <v>39</v>
      </c>
      <c r="L192" s="1" t="s">
        <v>39</v>
      </c>
      <c r="M192" s="1" t="s">
        <v>39</v>
      </c>
      <c r="N192" s="1" t="s">
        <v>39</v>
      </c>
      <c r="O192" s="1" t="s">
        <v>39</v>
      </c>
      <c r="P192" s="1" t="s">
        <v>37</v>
      </c>
      <c r="Q192" s="1" t="s">
        <v>37</v>
      </c>
      <c r="R192" s="1" t="s">
        <v>60</v>
      </c>
      <c r="S192" s="1" t="s">
        <v>61</v>
      </c>
      <c r="T192" s="1" t="s">
        <v>62</v>
      </c>
      <c r="U192" s="1" t="s">
        <v>42</v>
      </c>
      <c r="V192" s="1" t="s">
        <v>63</v>
      </c>
      <c r="W192" s="1" t="s">
        <v>821</v>
      </c>
      <c r="X192" s="1" t="s">
        <v>822</v>
      </c>
      <c r="Y192" s="1" t="s">
        <v>66</v>
      </c>
      <c r="Z192" s="1" t="s">
        <v>823</v>
      </c>
      <c r="AA192" s="1" t="s">
        <v>47</v>
      </c>
      <c r="AB192" s="1" t="s">
        <v>39</v>
      </c>
      <c r="AC192" s="1" t="s">
        <v>37</v>
      </c>
      <c r="AD192" s="1" t="s">
        <v>39</v>
      </c>
      <c r="AE192" s="1" t="s">
        <v>39</v>
      </c>
      <c r="AF192" s="1" t="s">
        <v>37</v>
      </c>
      <c r="AG192" s="1" t="s">
        <v>39</v>
      </c>
      <c r="AH192" s="1" t="s">
        <v>37</v>
      </c>
      <c r="AI192" s="1" t="s">
        <v>39</v>
      </c>
      <c r="AJ192" s="1" t="s">
        <v>39</v>
      </c>
      <c r="AK192" s="1" t="str">
        <f t="shared" si="5"/>
        <v>Apenas Pilar 3</v>
      </c>
      <c r="AL192" s="1" t="str">
        <f>+IF(IFERROR(VLOOKUP(A192,Ficheiros!I:I,1,FALSE),"")=A192,"Sim","Não")</f>
        <v>Sim</v>
      </c>
      <c r="AM192" s="1" t="str">
        <f>+IF(IFERROR(VLOOKUP(A192,Ficheiros!E:E,1,FALSE),"")=A192,"Sim","Não")</f>
        <v>Não</v>
      </c>
      <c r="AN192" s="1" t="str">
        <f>+IF(IFERROR(VLOOKUP(A192,Ficheiros!O:O,1,FALSE),"")=A192,"Sim","Não")</f>
        <v>Sim</v>
      </c>
      <c r="AO192" s="1" t="str">
        <f>+IF(IFERROR(VLOOKUP(A192,'Especificação Novos Req. LT (2'!A:A,1,FALSE),"")=A192,"Sim","Não")</f>
        <v>Não</v>
      </c>
      <c r="AP192" s="1" t="str">
        <f>+IF(IFERROR(VLOOKUP(A192,Ficheiros!T:T,1,FALSE),"")=A192,"Sim","Não")</f>
        <v>Sim</v>
      </c>
      <c r="AQ192" s="1" t="str">
        <f>+VLOOKUP(A192,Ficheiros!O:P,2,FALSE)</f>
        <v>1. Concluído</v>
      </c>
      <c r="AR192" s="1" t="str">
        <f>+VLOOKUP(A192,Ficheiros!T:U,2,FALSE)</f>
        <v>7. Analisar controlos e completude</v>
      </c>
      <c r="AS192" s="1" t="str">
        <f>+VLOOKUP(A192,Ficheiros!T:V,3,FALSE)</f>
        <v>LF</v>
      </c>
      <c r="AT192" s="1"/>
      <c r="AU192" s="1"/>
      <c r="AV192" s="1"/>
      <c r="AW192" s="1"/>
      <c r="AX192" s="1"/>
    </row>
    <row r="193" spans="1:50" ht="14.5" hidden="1" customHeight="1" x14ac:dyDescent="0.35">
      <c r="A193" s="5" t="str">
        <f t="shared" si="4"/>
        <v>INSTRUMENTOBSRVD_AGNT_ID</v>
      </c>
      <c r="B193" s="1" t="s">
        <v>824</v>
      </c>
      <c r="C193" s="1" t="s">
        <v>785</v>
      </c>
      <c r="D193" s="1" t="s">
        <v>49</v>
      </c>
      <c r="E193" s="1" t="s">
        <v>39</v>
      </c>
      <c r="F193" s="25" t="s">
        <v>825</v>
      </c>
      <c r="G193" s="1" t="s">
        <v>825</v>
      </c>
      <c r="H193" s="1" t="s">
        <v>39</v>
      </c>
      <c r="I193" s="1" t="s">
        <v>39</v>
      </c>
      <c r="J193" s="1" t="s">
        <v>39</v>
      </c>
      <c r="K193" s="1" t="s">
        <v>39</v>
      </c>
      <c r="L193" s="1" t="s">
        <v>39</v>
      </c>
      <c r="M193" s="1" t="s">
        <v>39</v>
      </c>
      <c r="N193" s="1" t="s">
        <v>39</v>
      </c>
      <c r="O193" s="1" t="s">
        <v>39</v>
      </c>
      <c r="P193" s="1" t="s">
        <v>37</v>
      </c>
      <c r="Q193" s="1" t="s">
        <v>37</v>
      </c>
      <c r="R193" s="1" t="s">
        <v>826</v>
      </c>
      <c r="S193" s="1" t="s">
        <v>41</v>
      </c>
      <c r="T193" s="1" t="s">
        <v>42</v>
      </c>
      <c r="U193" s="1" t="s">
        <v>42</v>
      </c>
      <c r="V193" s="1" t="s">
        <v>46</v>
      </c>
      <c r="W193" s="1" t="s">
        <v>827</v>
      </c>
      <c r="X193" s="1" t="s">
        <v>828</v>
      </c>
      <c r="Y193" s="1" t="s">
        <v>45</v>
      </c>
      <c r="Z193" s="1" t="s">
        <v>46</v>
      </c>
      <c r="AA193" s="1" t="s">
        <v>47</v>
      </c>
      <c r="AB193" s="1" t="s">
        <v>39</v>
      </c>
      <c r="AC193" s="1" t="s">
        <v>37</v>
      </c>
      <c r="AD193" s="1" t="s">
        <v>37</v>
      </c>
      <c r="AE193" s="1" t="s">
        <v>37</v>
      </c>
      <c r="AF193" s="1" t="s">
        <v>37</v>
      </c>
      <c r="AG193" s="1" t="s">
        <v>39</v>
      </c>
      <c r="AH193" s="1" t="s">
        <v>37</v>
      </c>
      <c r="AI193" s="1" t="s">
        <v>37</v>
      </c>
      <c r="AJ193" s="1" t="s">
        <v>39</v>
      </c>
      <c r="AK193" s="1" t="str">
        <f t="shared" si="5"/>
        <v>Fora de âmbito</v>
      </c>
      <c r="AL193" s="1" t="str">
        <f>+IF(IFERROR(VLOOKUP(A193,Ficheiros!I:I,1,FALSE),"")=A193,"Sim","Não")</f>
        <v>Sim</v>
      </c>
      <c r="AM193" s="1" t="str">
        <f>+IF(IFERROR(VLOOKUP(A193,Ficheiros!E:E,1,FALSE),"")=A193,"Sim","Não")</f>
        <v>Não</v>
      </c>
      <c r="AN193" s="1" t="str">
        <f>+IF(IFERROR(VLOOKUP(A193,Ficheiros!O:O,1,FALSE),"")=A193,"Sim","Não")</f>
        <v>Não</v>
      </c>
      <c r="AO193" s="1" t="str">
        <f>+IF(IFERROR(VLOOKUP(A193,'Especificação Novos Req. LT (2'!A:A,1,FALSE),"")=A193,"Sim","Não")</f>
        <v>Não</v>
      </c>
      <c r="AP193" s="1" t="str">
        <f>+IF(IFERROR(VLOOKUP(A193,Ficheiros!T:T,1,FALSE),"")=A193,"Sim","Não")</f>
        <v>Sim</v>
      </c>
      <c r="AQ193" s="1" t="e">
        <f>+VLOOKUP(A193,Ficheiros!O:P,2,FALSE)</f>
        <v>#N/A</v>
      </c>
      <c r="AR193" s="1" t="str">
        <f>+VLOOKUP(A193,Ficheiros!T:U,2,FALSE)</f>
        <v>9. Concluído</v>
      </c>
      <c r="AS193" s="1" t="str">
        <f>+VLOOKUP(A193,Ficheiros!T:V,3,FALSE)</f>
        <v>PM</v>
      </c>
      <c r="AT193" s="1"/>
      <c r="AU193" s="1"/>
      <c r="AV193" s="1"/>
      <c r="AW193" s="1"/>
      <c r="AX193" s="1"/>
    </row>
    <row r="194" spans="1:50" ht="14.5" hidden="1" customHeight="1" x14ac:dyDescent="0.35">
      <c r="A194" s="5" t="str">
        <f t="shared" si="4"/>
        <v>INSTRUMENTOBSRVD_AGNT_NM</v>
      </c>
      <c r="B194" s="1" t="s">
        <v>829</v>
      </c>
      <c r="C194" s="1" t="s">
        <v>785</v>
      </c>
      <c r="D194" s="1" t="s">
        <v>49</v>
      </c>
      <c r="E194" s="1" t="s">
        <v>37</v>
      </c>
      <c r="F194" s="25" t="s">
        <v>830</v>
      </c>
      <c r="G194" s="1" t="s">
        <v>830</v>
      </c>
      <c r="H194" s="1" t="s">
        <v>39</v>
      </c>
      <c r="I194" s="1" t="s">
        <v>39</v>
      </c>
      <c r="J194" s="1" t="s">
        <v>39</v>
      </c>
      <c r="K194" s="1" t="s">
        <v>39</v>
      </c>
      <c r="L194" s="1" t="s">
        <v>39</v>
      </c>
      <c r="M194" s="1" t="s">
        <v>39</v>
      </c>
      <c r="N194" s="1" t="s">
        <v>39</v>
      </c>
      <c r="O194" s="1" t="s">
        <v>39</v>
      </c>
      <c r="P194" s="1" t="s">
        <v>37</v>
      </c>
      <c r="Q194" s="1" t="s">
        <v>37</v>
      </c>
      <c r="R194" s="1" t="s">
        <v>96</v>
      </c>
      <c r="S194" s="1" t="s">
        <v>41</v>
      </c>
      <c r="T194" s="1" t="s">
        <v>42</v>
      </c>
      <c r="U194" s="1" t="s">
        <v>42</v>
      </c>
      <c r="V194" s="1" t="s">
        <v>46</v>
      </c>
      <c r="W194" s="1" t="s">
        <v>831</v>
      </c>
      <c r="X194" s="1" t="s">
        <v>832</v>
      </c>
      <c r="Y194" s="1" t="s">
        <v>45</v>
      </c>
      <c r="Z194" s="1" t="s">
        <v>46</v>
      </c>
      <c r="AA194" s="1" t="s">
        <v>47</v>
      </c>
      <c r="AB194" s="1" t="s">
        <v>39</v>
      </c>
      <c r="AC194" s="1" t="s">
        <v>37</v>
      </c>
      <c r="AD194" s="1" t="s">
        <v>37</v>
      </c>
      <c r="AE194" s="1" t="s">
        <v>37</v>
      </c>
      <c r="AF194" s="1" t="s">
        <v>37</v>
      </c>
      <c r="AG194" s="1" t="s">
        <v>39</v>
      </c>
      <c r="AH194" s="1" t="s">
        <v>37</v>
      </c>
      <c r="AI194" s="1" t="s">
        <v>37</v>
      </c>
      <c r="AJ194" s="1" t="s">
        <v>39</v>
      </c>
      <c r="AK194" s="1" t="str">
        <f t="shared" si="5"/>
        <v>Fora de âmbito</v>
      </c>
      <c r="AL194" s="1" t="str">
        <f>+IF(IFERROR(VLOOKUP(A194,Ficheiros!I:I,1,FALSE),"")=A194,"Sim","Não")</f>
        <v>Sim</v>
      </c>
      <c r="AM194" s="1" t="str">
        <f>+IF(IFERROR(VLOOKUP(A194,Ficheiros!E:E,1,FALSE),"")=A194,"Sim","Não")</f>
        <v>Não</v>
      </c>
      <c r="AN194" s="1" t="str">
        <f>+IF(IFERROR(VLOOKUP(A194,Ficheiros!O:O,1,FALSE),"")=A194,"Sim","Não")</f>
        <v>Não</v>
      </c>
      <c r="AO194" s="1" t="str">
        <f>+IF(IFERROR(VLOOKUP(A194,'Especificação Novos Req. LT (2'!A:A,1,FALSE),"")=A194,"Sim","Não")</f>
        <v>Não</v>
      </c>
      <c r="AP194" s="1" t="str">
        <f>+IF(IFERROR(VLOOKUP(A194,Ficheiros!T:T,1,FALSE),"")=A194,"Sim","Não")</f>
        <v>Sim</v>
      </c>
      <c r="AQ194" s="1" t="e">
        <f>+VLOOKUP(A194,Ficheiros!O:P,2,FALSE)</f>
        <v>#N/A</v>
      </c>
      <c r="AR194" s="1" t="str">
        <f>+VLOOKUP(A194,Ficheiros!T:U,2,FALSE)</f>
        <v>9. Concluído</v>
      </c>
      <c r="AS194" s="1" t="str">
        <f>+VLOOKUP(A194,Ficheiros!T:V,3,FALSE)</f>
        <v>PM</v>
      </c>
      <c r="AT194" s="1"/>
      <c r="AU194" s="1"/>
      <c r="AV194" s="1"/>
      <c r="AW194" s="1"/>
      <c r="AX194" s="1"/>
    </row>
    <row r="195" spans="1:50" ht="14.5" hidden="1" customHeight="1" x14ac:dyDescent="0.35">
      <c r="A195" s="5" t="str">
        <f t="shared" si="4"/>
        <v>INSTRUMENTPRDCT</v>
      </c>
      <c r="B195" s="1" t="s">
        <v>833</v>
      </c>
      <c r="C195" s="1" t="s">
        <v>785</v>
      </c>
      <c r="D195" s="1" t="s">
        <v>49</v>
      </c>
      <c r="E195" s="1" t="s">
        <v>37</v>
      </c>
      <c r="F195" s="25" t="s">
        <v>834</v>
      </c>
      <c r="G195" s="1" t="s">
        <v>834</v>
      </c>
      <c r="H195" s="1" t="s">
        <v>37</v>
      </c>
      <c r="I195" s="1" t="s">
        <v>39</v>
      </c>
      <c r="J195" s="1" t="s">
        <v>39</v>
      </c>
      <c r="K195" s="1" t="s">
        <v>39</v>
      </c>
      <c r="L195" s="1" t="s">
        <v>39</v>
      </c>
      <c r="M195" s="1" t="s">
        <v>39</v>
      </c>
      <c r="N195" s="1" t="s">
        <v>39</v>
      </c>
      <c r="O195" s="1" t="s">
        <v>37</v>
      </c>
      <c r="P195" s="1" t="s">
        <v>37</v>
      </c>
      <c r="Q195" s="1" t="s">
        <v>37</v>
      </c>
      <c r="R195" s="1" t="s">
        <v>96</v>
      </c>
      <c r="S195" s="1" t="s">
        <v>41</v>
      </c>
      <c r="T195" s="1" t="s">
        <v>53</v>
      </c>
      <c r="U195" s="1" t="s">
        <v>46</v>
      </c>
      <c r="V195" s="1" t="s">
        <v>46</v>
      </c>
      <c r="W195" s="1" t="s">
        <v>835</v>
      </c>
      <c r="X195" s="1" t="s">
        <v>836</v>
      </c>
      <c r="Y195" s="1" t="s">
        <v>66</v>
      </c>
      <c r="Z195" s="1" t="s">
        <v>837</v>
      </c>
      <c r="AA195" s="1" t="s">
        <v>47</v>
      </c>
      <c r="AB195" s="1" t="s">
        <v>39</v>
      </c>
      <c r="AC195" s="1" t="s">
        <v>37</v>
      </c>
      <c r="AD195" s="1" t="s">
        <v>37</v>
      </c>
      <c r="AE195" s="1" t="s">
        <v>39</v>
      </c>
      <c r="AF195" s="1" t="s">
        <v>37</v>
      </c>
      <c r="AG195" s="1" t="s">
        <v>37</v>
      </c>
      <c r="AH195" s="1" t="s">
        <v>37</v>
      </c>
      <c r="AI195" s="1" t="s">
        <v>39</v>
      </c>
      <c r="AJ195" s="1" t="s">
        <v>39</v>
      </c>
      <c r="AK195" s="1" t="str">
        <f t="shared" si="5"/>
        <v>Fora de âmbito</v>
      </c>
      <c r="AL195" s="1" t="str">
        <f>+IF(IFERROR(VLOOKUP(A195,Ficheiros!I:I,1,FALSE),"")=A195,"Sim","Não")</f>
        <v>Sim</v>
      </c>
      <c r="AM195" s="1" t="str">
        <f>+IF(IFERROR(VLOOKUP(A195,Ficheiros!E:E,1,FALSE),"")=A195,"Sim","Não")</f>
        <v>Não</v>
      </c>
      <c r="AN195" s="1" t="str">
        <f>+IF(IFERROR(VLOOKUP(A195,Ficheiros!O:O,1,FALSE),"")=A195,"Sim","Não")</f>
        <v>Não</v>
      </c>
      <c r="AO195" s="1" t="str">
        <f>+IF(IFERROR(VLOOKUP(A195,'Especificação Novos Req. LT (2'!A:A,1,FALSE),"")=A195,"Sim","Não")</f>
        <v>Não</v>
      </c>
      <c r="AP195" s="1" t="str">
        <f>+IF(IFERROR(VLOOKUP(A195,Ficheiros!T:T,1,FALSE),"")=A195,"Sim","Não")</f>
        <v>Sim</v>
      </c>
      <c r="AQ195" s="1" t="e">
        <f>+VLOOKUP(A195,Ficheiros!O:P,2,FALSE)</f>
        <v>#N/A</v>
      </c>
      <c r="AR195" s="1" t="str">
        <f>+VLOOKUP(A195,Ficheiros!T:U,2,FALSE)</f>
        <v>9. Concluído</v>
      </c>
      <c r="AS195" s="1" t="str">
        <f>+VLOOKUP(A195,Ficheiros!T:V,3,FALSE)</f>
        <v>PM</v>
      </c>
      <c r="AT195" s="1"/>
      <c r="AU195" s="1"/>
      <c r="AV195" s="1"/>
      <c r="AW195" s="1"/>
      <c r="AX195" s="1"/>
    </row>
    <row r="196" spans="1:50" ht="14.5" hidden="1" customHeight="1" x14ac:dyDescent="0.35">
      <c r="A196" s="5" t="str">
        <f t="shared" si="4"/>
        <v>INSTRUMENTBRCHD_CVNNTS</v>
      </c>
      <c r="B196" s="1" t="s">
        <v>838</v>
      </c>
      <c r="C196" s="1" t="s">
        <v>785</v>
      </c>
      <c r="D196" s="1" t="s">
        <v>134</v>
      </c>
      <c r="E196" s="1" t="s">
        <v>37</v>
      </c>
      <c r="F196" s="25" t="s">
        <v>839</v>
      </c>
      <c r="G196" s="1" t="s">
        <v>839</v>
      </c>
      <c r="H196" s="1" t="s">
        <v>37</v>
      </c>
      <c r="I196" s="1" t="s">
        <v>37</v>
      </c>
      <c r="J196" s="1" t="s">
        <v>37</v>
      </c>
      <c r="K196" s="1" t="s">
        <v>37</v>
      </c>
      <c r="L196" s="1" t="s">
        <v>39</v>
      </c>
      <c r="M196" s="1" t="s">
        <v>39</v>
      </c>
      <c r="N196" s="1" t="s">
        <v>37</v>
      </c>
      <c r="O196" s="1" t="s">
        <v>37</v>
      </c>
      <c r="P196" s="1" t="s">
        <v>37</v>
      </c>
      <c r="Q196" s="1" t="s">
        <v>37</v>
      </c>
      <c r="R196" s="1" t="s">
        <v>96</v>
      </c>
      <c r="S196" s="1" t="s">
        <v>41</v>
      </c>
      <c r="T196" s="1" t="s">
        <v>53</v>
      </c>
      <c r="U196" s="1" t="s">
        <v>46</v>
      </c>
      <c r="V196" s="1" t="s">
        <v>46</v>
      </c>
      <c r="W196" s="1" t="s">
        <v>840</v>
      </c>
      <c r="X196" s="1" t="s">
        <v>841</v>
      </c>
      <c r="Y196" s="1" t="s">
        <v>45</v>
      </c>
      <c r="Z196" s="1" t="s">
        <v>46</v>
      </c>
      <c r="AA196" s="1" t="s">
        <v>47</v>
      </c>
      <c r="AB196" s="1" t="s">
        <v>39</v>
      </c>
      <c r="AC196" s="1" t="s">
        <v>37</v>
      </c>
      <c r="AD196" s="1" t="s">
        <v>37</v>
      </c>
      <c r="AE196" s="1" t="s">
        <v>37</v>
      </c>
      <c r="AF196" s="1" t="s">
        <v>37</v>
      </c>
      <c r="AG196" s="1" t="s">
        <v>39</v>
      </c>
      <c r="AH196" s="1" t="s">
        <v>37</v>
      </c>
      <c r="AI196" s="1" t="s">
        <v>37</v>
      </c>
      <c r="AJ196" s="1" t="s">
        <v>39</v>
      </c>
      <c r="AK196" s="1" t="str">
        <f t="shared" si="5"/>
        <v>Fora de âmbito</v>
      </c>
      <c r="AL196" s="1" t="str">
        <f>+IF(IFERROR(VLOOKUP(A196,Ficheiros!I:I,1,FALSE),"")=A196,"Sim","Não")</f>
        <v>Sim</v>
      </c>
      <c r="AM196" s="1" t="str">
        <f>+IF(IFERROR(VLOOKUP(A196,Ficheiros!E:E,1,FALSE),"")=A196,"Sim","Não")</f>
        <v>Não</v>
      </c>
      <c r="AN196" s="1" t="str">
        <f>+IF(IFERROR(VLOOKUP(A196,Ficheiros!O:O,1,FALSE),"")=A196,"Sim","Não")</f>
        <v>Não</v>
      </c>
      <c r="AO196" s="1" t="str">
        <f>+IF(IFERROR(VLOOKUP(A196,'Especificação Novos Req. LT (2'!A:A,1,FALSE),"")=A196,"Sim","Não")</f>
        <v>Não</v>
      </c>
      <c r="AP196" s="1" t="str">
        <f>+IF(IFERROR(VLOOKUP(A196,Ficheiros!T:T,1,FALSE),"")=A196,"Sim","Não")</f>
        <v>Sim</v>
      </c>
      <c r="AQ196" s="1" t="e">
        <f>+VLOOKUP(A196,Ficheiros!O:P,2,FALSE)</f>
        <v>#N/A</v>
      </c>
      <c r="AR196" s="1" t="str">
        <f>+VLOOKUP(A196,Ficheiros!T:U,2,FALSE)</f>
        <v>8. Concluído - sem dados</v>
      </c>
      <c r="AS196" s="1" t="str">
        <f>+VLOOKUP(A196,Ficheiros!T:V,3,FALSE)</f>
        <v>PM</v>
      </c>
      <c r="AT196" s="1"/>
      <c r="AU196" s="1"/>
      <c r="AV196" s="1"/>
      <c r="AW196" s="1"/>
      <c r="AX196" s="1"/>
    </row>
    <row r="197" spans="1:50" ht="14.5" hidden="1" customHeight="1" x14ac:dyDescent="0.35">
      <c r="A197" s="5" t="str">
        <f t="shared" si="4"/>
        <v>INSTRUMENTCHNNL_ORGNTN</v>
      </c>
      <c r="B197" s="1" t="s">
        <v>842</v>
      </c>
      <c r="C197" s="1" t="s">
        <v>785</v>
      </c>
      <c r="D197" s="1" t="s">
        <v>134</v>
      </c>
      <c r="E197" s="1" t="s">
        <v>37</v>
      </c>
      <c r="F197" s="26" t="s">
        <v>843</v>
      </c>
      <c r="G197" s="1" t="s">
        <v>843</v>
      </c>
      <c r="H197" s="1" t="s">
        <v>37</v>
      </c>
      <c r="I197" s="1" t="s">
        <v>39</v>
      </c>
      <c r="J197" s="1" t="s">
        <v>39</v>
      </c>
      <c r="K197" s="1" t="s">
        <v>39</v>
      </c>
      <c r="L197" s="1" t="s">
        <v>39</v>
      </c>
      <c r="M197" s="1" t="s">
        <v>39</v>
      </c>
      <c r="N197" s="1" t="s">
        <v>39</v>
      </c>
      <c r="O197" s="1" t="s">
        <v>37</v>
      </c>
      <c r="P197" s="1" t="s">
        <v>37</v>
      </c>
      <c r="Q197" s="1" t="s">
        <v>37</v>
      </c>
      <c r="R197" s="1" t="s">
        <v>136</v>
      </c>
      <c r="S197" s="1" t="s">
        <v>52</v>
      </c>
      <c r="T197" s="1">
        <v>99999999999</v>
      </c>
      <c r="U197" s="1">
        <v>11111111111</v>
      </c>
      <c r="V197" s="1">
        <v>11111111111</v>
      </c>
      <c r="W197" s="1" t="s">
        <v>844</v>
      </c>
      <c r="X197" s="1" t="s">
        <v>845</v>
      </c>
      <c r="Y197" s="1" t="s">
        <v>56</v>
      </c>
      <c r="Z197" s="1" t="s">
        <v>57</v>
      </c>
      <c r="AA197" s="1" t="s">
        <v>47</v>
      </c>
      <c r="AB197" s="1" t="s">
        <v>39</v>
      </c>
      <c r="AC197" s="1" t="s">
        <v>37</v>
      </c>
      <c r="AD197" s="1" t="s">
        <v>37</v>
      </c>
      <c r="AE197" s="1" t="s">
        <v>39</v>
      </c>
      <c r="AF197" s="1" t="s">
        <v>37</v>
      </c>
      <c r="AG197" s="1" t="s">
        <v>37</v>
      </c>
      <c r="AH197" s="1" t="s">
        <v>37</v>
      </c>
      <c r="AI197" s="1" t="s">
        <v>39</v>
      </c>
      <c r="AJ197" s="1" t="s">
        <v>39</v>
      </c>
      <c r="AK197" s="1" t="str">
        <f t="shared" si="5"/>
        <v>Fora de âmbito</v>
      </c>
      <c r="AL197" s="1" t="str">
        <f>+IF(IFERROR(VLOOKUP(A197,Ficheiros!I:I,1,FALSE),"")=A197,"Sim","Não")</f>
        <v>Sim</v>
      </c>
      <c r="AM197" s="1" t="str">
        <f>+IF(IFERROR(VLOOKUP(A197,Ficheiros!E:E,1,FALSE),"")=A197,"Sim","Não")</f>
        <v>Não</v>
      </c>
      <c r="AN197" s="1" t="str">
        <f>+IF(IFERROR(VLOOKUP(A197,Ficheiros!O:O,1,FALSE),"")=A197,"Sim","Não")</f>
        <v>Não</v>
      </c>
      <c r="AO197" s="1" t="str">
        <f>+IF(IFERROR(VLOOKUP(A197,'Especificação Novos Req. LT (2'!A:A,1,FALSE),"")=A197,"Sim","Não")</f>
        <v>Não</v>
      </c>
      <c r="AP197" s="1" t="str">
        <f>+IF(IFERROR(VLOOKUP(A197,Ficheiros!T:T,1,FALSE),"")=A197,"Sim","Não")</f>
        <v>Sim</v>
      </c>
      <c r="AQ197" s="1" t="e">
        <f>+VLOOKUP(A197,Ficheiros!O:P,2,FALSE)</f>
        <v>#N/A</v>
      </c>
      <c r="AR197" s="1" t="str">
        <f>+VLOOKUP(A197,Ficheiros!T:U,2,FALSE)</f>
        <v>4.1 Em implementação - Re-especificação</v>
      </c>
      <c r="AS197" s="1" t="str">
        <f>+VLOOKUP(A197,Ficheiros!T:V,3,FALSE)</f>
        <v>PM</v>
      </c>
      <c r="AT197" s="1"/>
      <c r="AU197" s="1"/>
      <c r="AV197" s="1"/>
      <c r="AW197" s="1"/>
      <c r="AX197" s="1"/>
    </row>
    <row r="198" spans="1:50" ht="14.5" hidden="1" customHeight="1" x14ac:dyDescent="0.35">
      <c r="A198" s="5" t="str">
        <f t="shared" si="4"/>
        <v>INSTRUMENTCSH_SWP_TRP</v>
      </c>
      <c r="B198" s="1" t="s">
        <v>846</v>
      </c>
      <c r="C198" s="1" t="s">
        <v>785</v>
      </c>
      <c r="D198" s="1" t="s">
        <v>134</v>
      </c>
      <c r="E198" s="1" t="s">
        <v>37</v>
      </c>
      <c r="F198" s="25" t="s">
        <v>847</v>
      </c>
      <c r="G198" s="1" t="s">
        <v>847</v>
      </c>
      <c r="H198" s="1" t="s">
        <v>37</v>
      </c>
      <c r="I198" s="1" t="s">
        <v>39</v>
      </c>
      <c r="J198" s="1" t="s">
        <v>39</v>
      </c>
      <c r="K198" s="1" t="s">
        <v>39</v>
      </c>
      <c r="L198" s="1" t="s">
        <v>39</v>
      </c>
      <c r="M198" s="1" t="s">
        <v>39</v>
      </c>
      <c r="N198" s="1" t="s">
        <v>37</v>
      </c>
      <c r="O198" s="1" t="s">
        <v>37</v>
      </c>
      <c r="P198" s="1" t="s">
        <v>37</v>
      </c>
      <c r="Q198" s="1" t="s">
        <v>37</v>
      </c>
      <c r="R198" s="1" t="s">
        <v>141</v>
      </c>
      <c r="S198" s="1" t="s">
        <v>142</v>
      </c>
      <c r="T198" s="1" t="s">
        <v>53</v>
      </c>
      <c r="U198" s="1" t="s">
        <v>46</v>
      </c>
      <c r="V198" s="1" t="s">
        <v>46</v>
      </c>
      <c r="W198" s="1" t="s">
        <v>848</v>
      </c>
      <c r="X198" s="1" t="s">
        <v>849</v>
      </c>
      <c r="Y198" s="1" t="s">
        <v>45</v>
      </c>
      <c r="Z198" s="1" t="s">
        <v>46</v>
      </c>
      <c r="AA198" s="1" t="s">
        <v>47</v>
      </c>
      <c r="AB198" s="1" t="s">
        <v>39</v>
      </c>
      <c r="AC198" s="1" t="s">
        <v>37</v>
      </c>
      <c r="AD198" s="1" t="s">
        <v>37</v>
      </c>
      <c r="AE198" s="1" t="s">
        <v>37</v>
      </c>
      <c r="AF198" s="1" t="s">
        <v>37</v>
      </c>
      <c r="AG198" s="1" t="s">
        <v>39</v>
      </c>
      <c r="AH198" s="1" t="s">
        <v>37</v>
      </c>
      <c r="AI198" s="1" t="s">
        <v>37</v>
      </c>
      <c r="AJ198" s="1" t="s">
        <v>39</v>
      </c>
      <c r="AK198" s="1" t="str">
        <f t="shared" si="5"/>
        <v>Fora de âmbito</v>
      </c>
      <c r="AL198" s="1" t="str">
        <f>+IF(IFERROR(VLOOKUP(A198,Ficheiros!I:I,1,FALSE),"")=A198,"Sim","Não")</f>
        <v>Sim</v>
      </c>
      <c r="AM198" s="1" t="str">
        <f>+IF(IFERROR(VLOOKUP(A198,Ficheiros!E:E,1,FALSE),"")=A198,"Sim","Não")</f>
        <v>Não</v>
      </c>
      <c r="AN198" s="1" t="str">
        <f>+IF(IFERROR(VLOOKUP(A198,Ficheiros!O:O,1,FALSE),"")=A198,"Sim","Não")</f>
        <v>Não</v>
      </c>
      <c r="AO198" s="1" t="str">
        <f>+IF(IFERROR(VLOOKUP(A198,'Especificação Novos Req. LT (2'!A:A,1,FALSE),"")=A198,"Sim","Não")</f>
        <v>Não</v>
      </c>
      <c r="AP198" s="1" t="str">
        <f>+IF(IFERROR(VLOOKUP(A198,Ficheiros!T:T,1,FALSE),"")=A198,"Sim","Não")</f>
        <v>Sim</v>
      </c>
      <c r="AQ198" s="1" t="e">
        <f>+VLOOKUP(A198,Ficheiros!O:P,2,FALSE)</f>
        <v>#N/A</v>
      </c>
      <c r="AR198" s="1" t="str">
        <f>+VLOOKUP(A198,Ficheiros!T:U,2,FALSE)</f>
        <v>9. Concluído</v>
      </c>
      <c r="AS198" s="1" t="str">
        <f>+VLOOKUP(A198,Ficheiros!T:V,3,FALSE)</f>
        <v>PM</v>
      </c>
      <c r="AT198" s="1"/>
      <c r="AU198" s="1"/>
      <c r="AV198" s="1"/>
      <c r="AW198" s="1"/>
      <c r="AX198" s="1"/>
    </row>
    <row r="199" spans="1:50" ht="14.5" hidden="1" customHeight="1" x14ac:dyDescent="0.35">
      <c r="A199" s="5" t="str">
        <f t="shared" si="4"/>
        <v>INSTRUMENTCVNNT_STTS</v>
      </c>
      <c r="B199" s="1" t="s">
        <v>850</v>
      </c>
      <c r="C199" s="1" t="s">
        <v>785</v>
      </c>
      <c r="D199" s="1" t="s">
        <v>134</v>
      </c>
      <c r="E199" s="1" t="s">
        <v>37</v>
      </c>
      <c r="F199" s="25" t="s">
        <v>851</v>
      </c>
      <c r="G199" s="1" t="s">
        <v>851</v>
      </c>
      <c r="H199" s="1" t="s">
        <v>37</v>
      </c>
      <c r="I199" s="1" t="s">
        <v>37</v>
      </c>
      <c r="J199" s="1" t="s">
        <v>37</v>
      </c>
      <c r="K199" s="1" t="s">
        <v>37</v>
      </c>
      <c r="L199" s="1" t="s">
        <v>39</v>
      </c>
      <c r="M199" s="1" t="s">
        <v>39</v>
      </c>
      <c r="N199" s="1" t="s">
        <v>37</v>
      </c>
      <c r="O199" s="1" t="s">
        <v>37</v>
      </c>
      <c r="P199" s="1" t="s">
        <v>37</v>
      </c>
      <c r="Q199" s="1" t="s">
        <v>37</v>
      </c>
      <c r="R199" s="1" t="s">
        <v>136</v>
      </c>
      <c r="S199" s="1" t="s">
        <v>52</v>
      </c>
      <c r="T199" s="1">
        <v>99999999999</v>
      </c>
      <c r="U199" s="1">
        <v>11111111111</v>
      </c>
      <c r="V199" s="1">
        <v>11111111111</v>
      </c>
      <c r="W199" s="1" t="s">
        <v>852</v>
      </c>
      <c r="X199" s="1" t="s">
        <v>853</v>
      </c>
      <c r="Y199" s="1" t="s">
        <v>45</v>
      </c>
      <c r="Z199" s="1" t="s">
        <v>46</v>
      </c>
      <c r="AA199" s="1" t="s">
        <v>47</v>
      </c>
      <c r="AB199" s="1" t="s">
        <v>39</v>
      </c>
      <c r="AC199" s="1" t="s">
        <v>37</v>
      </c>
      <c r="AD199" s="1" t="s">
        <v>37</v>
      </c>
      <c r="AE199" s="1" t="s">
        <v>37</v>
      </c>
      <c r="AF199" s="1" t="s">
        <v>37</v>
      </c>
      <c r="AG199" s="1" t="s">
        <v>39</v>
      </c>
      <c r="AH199" s="1" t="s">
        <v>37</v>
      </c>
      <c r="AI199" s="1" t="s">
        <v>37</v>
      </c>
      <c r="AJ199" s="1" t="s">
        <v>39</v>
      </c>
      <c r="AK199" s="1" t="str">
        <f t="shared" si="5"/>
        <v>Fora de âmbito</v>
      </c>
      <c r="AL199" s="1" t="str">
        <f>+IF(IFERROR(VLOOKUP(A199,Ficheiros!I:I,1,FALSE),"")=A199,"Sim","Não")</f>
        <v>Sim</v>
      </c>
      <c r="AM199" s="1" t="str">
        <f>+IF(IFERROR(VLOOKUP(A199,Ficheiros!E:E,1,FALSE),"")=A199,"Sim","Não")</f>
        <v>Não</v>
      </c>
      <c r="AN199" s="1" t="str">
        <f>+IF(IFERROR(VLOOKUP(A199,Ficheiros!O:O,1,FALSE),"")=A199,"Sim","Não")</f>
        <v>Não</v>
      </c>
      <c r="AO199" s="1" t="str">
        <f>+IF(IFERROR(VLOOKUP(A199,'Especificação Novos Req. LT (2'!A:A,1,FALSE),"")=A199,"Sim","Não")</f>
        <v>Não</v>
      </c>
      <c r="AP199" s="1" t="str">
        <f>+IF(IFERROR(VLOOKUP(A199,Ficheiros!T:T,1,FALSE),"")=A199,"Sim","Não")</f>
        <v>Sim</v>
      </c>
      <c r="AQ199" s="1" t="e">
        <f>+VLOOKUP(A199,Ficheiros!O:P,2,FALSE)</f>
        <v>#N/A</v>
      </c>
      <c r="AR199" s="1" t="str">
        <f>+VLOOKUP(A199,Ficheiros!T:U,2,FALSE)</f>
        <v>8. Concluído - sem dados</v>
      </c>
      <c r="AS199" s="1" t="str">
        <f>+VLOOKUP(A199,Ficheiros!T:V,3,FALSE)</f>
        <v>PM &amp; LF</v>
      </c>
      <c r="AT199" s="1"/>
      <c r="AU199" s="1"/>
      <c r="AV199" s="1"/>
      <c r="AW199" s="1"/>
      <c r="AX199" s="1"/>
    </row>
    <row r="200" spans="1:50" ht="14.5" hidden="1" customHeight="1" x14ac:dyDescent="0.35">
      <c r="A200" s="5" t="str">
        <f t="shared" si="4"/>
        <v>INSTRUMENTCVNNT_TYP</v>
      </c>
      <c r="B200" s="1" t="s">
        <v>854</v>
      </c>
      <c r="C200" s="1" t="s">
        <v>785</v>
      </c>
      <c r="D200" s="1" t="s">
        <v>134</v>
      </c>
      <c r="E200" s="1" t="s">
        <v>37</v>
      </c>
      <c r="F200" s="25" t="s">
        <v>855</v>
      </c>
      <c r="G200" s="1" t="s">
        <v>855</v>
      </c>
      <c r="H200" s="1" t="s">
        <v>37</v>
      </c>
      <c r="I200" s="1" t="s">
        <v>37</v>
      </c>
      <c r="J200" s="1" t="s">
        <v>37</v>
      </c>
      <c r="K200" s="1" t="s">
        <v>37</v>
      </c>
      <c r="L200" s="1" t="s">
        <v>39</v>
      </c>
      <c r="M200" s="1" t="s">
        <v>39</v>
      </c>
      <c r="N200" s="1" t="s">
        <v>37</v>
      </c>
      <c r="O200" s="1" t="s">
        <v>37</v>
      </c>
      <c r="P200" s="1" t="s">
        <v>37</v>
      </c>
      <c r="Q200" s="1" t="s">
        <v>37</v>
      </c>
      <c r="R200" s="1" t="s">
        <v>136</v>
      </c>
      <c r="S200" s="1" t="s">
        <v>52</v>
      </c>
      <c r="T200" s="1">
        <v>99999999999</v>
      </c>
      <c r="U200" s="1">
        <v>11111111111</v>
      </c>
      <c r="V200" s="1">
        <v>11111111111</v>
      </c>
      <c r="W200" s="1" t="s">
        <v>856</v>
      </c>
      <c r="X200" s="1" t="s">
        <v>857</v>
      </c>
      <c r="Y200" s="1" t="s">
        <v>45</v>
      </c>
      <c r="Z200" s="1" t="s">
        <v>46</v>
      </c>
      <c r="AA200" s="1" t="s">
        <v>47</v>
      </c>
      <c r="AB200" s="1" t="s">
        <v>39</v>
      </c>
      <c r="AC200" s="1" t="s">
        <v>37</v>
      </c>
      <c r="AD200" s="1" t="s">
        <v>37</v>
      </c>
      <c r="AE200" s="1" t="s">
        <v>37</v>
      </c>
      <c r="AF200" s="1" t="s">
        <v>37</v>
      </c>
      <c r="AG200" s="1" t="s">
        <v>39</v>
      </c>
      <c r="AH200" s="1" t="s">
        <v>37</v>
      </c>
      <c r="AI200" s="1" t="s">
        <v>37</v>
      </c>
      <c r="AJ200" s="1" t="s">
        <v>39</v>
      </c>
      <c r="AK200" s="1" t="str">
        <f t="shared" si="5"/>
        <v>Fora de âmbito</v>
      </c>
      <c r="AL200" s="1" t="str">
        <f>+IF(IFERROR(VLOOKUP(A200,Ficheiros!I:I,1,FALSE),"")=A200,"Sim","Não")</f>
        <v>Sim</v>
      </c>
      <c r="AM200" s="1" t="str">
        <f>+IF(IFERROR(VLOOKUP(A200,Ficheiros!E:E,1,FALSE),"")=A200,"Sim","Não")</f>
        <v>Não</v>
      </c>
      <c r="AN200" s="1" t="str">
        <f>+IF(IFERROR(VLOOKUP(A200,Ficheiros!O:O,1,FALSE),"")=A200,"Sim","Não")</f>
        <v>Não</v>
      </c>
      <c r="AO200" s="1" t="str">
        <f>+IF(IFERROR(VLOOKUP(A200,'Especificação Novos Req. LT (2'!A:A,1,FALSE),"")=A200,"Sim","Não")</f>
        <v>Não</v>
      </c>
      <c r="AP200" s="1" t="str">
        <f>+IF(IFERROR(VLOOKUP(A200,Ficheiros!T:T,1,FALSE),"")=A200,"Sim","Não")</f>
        <v>Sim</v>
      </c>
      <c r="AQ200" s="1" t="e">
        <f>+VLOOKUP(A200,Ficheiros!O:P,2,FALSE)</f>
        <v>#N/A</v>
      </c>
      <c r="AR200" s="1" t="str">
        <f>+VLOOKUP(A200,Ficheiros!T:U,2,FALSE)</f>
        <v>9. Concluído</v>
      </c>
      <c r="AS200" s="1" t="str">
        <f>+VLOOKUP(A200,Ficheiros!T:V,3,FALSE)</f>
        <v>PM &amp; LF</v>
      </c>
      <c r="AT200" s="1"/>
      <c r="AU200" s="1"/>
      <c r="AV200" s="1"/>
      <c r="AW200" s="1"/>
      <c r="AX200" s="1"/>
    </row>
    <row r="201" spans="1:50" ht="14.5" hidden="1" customHeight="1" x14ac:dyDescent="0.35">
      <c r="A201" s="5" t="str">
        <f t="shared" si="4"/>
        <v>INSTRUMENTDFLT_STTS_INSTRMNT</v>
      </c>
      <c r="B201" s="1" t="s">
        <v>858</v>
      </c>
      <c r="C201" s="1" t="s">
        <v>785</v>
      </c>
      <c r="D201" s="1" t="s">
        <v>134</v>
      </c>
      <c r="E201" s="1" t="s">
        <v>39</v>
      </c>
      <c r="F201" s="28" t="s">
        <v>859</v>
      </c>
      <c r="G201" s="1" t="s">
        <v>859</v>
      </c>
      <c r="H201" s="1" t="s">
        <v>39</v>
      </c>
      <c r="I201" s="1" t="s">
        <v>39</v>
      </c>
      <c r="J201" s="1" t="s">
        <v>39</v>
      </c>
      <c r="K201" s="1" t="s">
        <v>39</v>
      </c>
      <c r="L201" s="1" t="s">
        <v>39</v>
      </c>
      <c r="M201" s="1" t="s">
        <v>39</v>
      </c>
      <c r="N201" s="1" t="s">
        <v>39</v>
      </c>
      <c r="O201" s="1" t="s">
        <v>37</v>
      </c>
      <c r="P201" s="1" t="s">
        <v>39</v>
      </c>
      <c r="Q201" s="1" t="s">
        <v>39</v>
      </c>
      <c r="R201" s="1" t="s">
        <v>136</v>
      </c>
      <c r="S201" s="1" t="s">
        <v>52</v>
      </c>
      <c r="T201" s="1">
        <v>99999999999</v>
      </c>
      <c r="U201" s="1" t="s">
        <v>42</v>
      </c>
      <c r="V201" s="1" t="s">
        <v>42</v>
      </c>
      <c r="W201" s="1" t="s">
        <v>860</v>
      </c>
      <c r="X201" s="1" t="s">
        <v>861</v>
      </c>
      <c r="Y201" s="1" t="s">
        <v>45</v>
      </c>
      <c r="Z201" s="1" t="s">
        <v>46</v>
      </c>
      <c r="AA201" s="1" t="s">
        <v>47</v>
      </c>
      <c r="AB201" s="1" t="s">
        <v>39</v>
      </c>
      <c r="AC201" s="1" t="s">
        <v>39</v>
      </c>
      <c r="AD201" s="1" t="s">
        <v>39</v>
      </c>
      <c r="AE201" s="1" t="s">
        <v>39</v>
      </c>
      <c r="AF201" s="1" t="s">
        <v>37</v>
      </c>
      <c r="AG201" s="1" t="s">
        <v>39</v>
      </c>
      <c r="AH201" s="1" t="s">
        <v>39</v>
      </c>
      <c r="AI201" s="1" t="s">
        <v>39</v>
      </c>
      <c r="AJ201" s="1" t="s">
        <v>39</v>
      </c>
      <c r="AK201" s="1" t="str">
        <f t="shared" si="5"/>
        <v>Apenas Pilar 3</v>
      </c>
      <c r="AL201" s="1" t="str">
        <f>+IF(IFERROR(VLOOKUP(A201,Ficheiros!I:I,1,FALSE),"")=A201,"Sim","Não")</f>
        <v>Sim</v>
      </c>
      <c r="AM201" s="1" t="str">
        <f>+IF(IFERROR(VLOOKUP(A201,Ficheiros!E:E,1,FALSE),"")=A201,"Sim","Não")</f>
        <v>Não</v>
      </c>
      <c r="AN201" s="1" t="str">
        <f>+IF(IFERROR(VLOOKUP(A201,Ficheiros!O:O,1,FALSE),"")=A201,"Sim","Não")</f>
        <v>Sim</v>
      </c>
      <c r="AO201" s="1" t="str">
        <f>+IF(IFERROR(VLOOKUP(A201,'Especificação Novos Req. LT (2'!A:A,1,FALSE),"")=A201,"Sim","Não")</f>
        <v>Não</v>
      </c>
      <c r="AP201" s="1" t="str">
        <f>+IF(IFERROR(VLOOKUP(A201,Ficheiros!T:T,1,FALSE),"")=A201,"Sim","Não")</f>
        <v>Sim</v>
      </c>
      <c r="AQ201" s="1" t="str">
        <f>+VLOOKUP(A201,Ficheiros!O:P,2,FALSE)</f>
        <v>1. Concluído</v>
      </c>
      <c r="AR201" s="1" t="str">
        <f>+VLOOKUP(A201,Ficheiros!T:U,2,FALSE)</f>
        <v>2. Alterar especificação</v>
      </c>
      <c r="AS201" s="1" t="str">
        <f>+VLOOKUP(A201,Ficheiros!T:V,3,FALSE)</f>
        <v>LF</v>
      </c>
      <c r="AT201" s="1"/>
      <c r="AU201" s="1"/>
      <c r="AV201" s="1"/>
      <c r="AW201" s="1"/>
      <c r="AX201" s="1"/>
    </row>
    <row r="202" spans="1:50" ht="14.5" hidden="1" customHeight="1" x14ac:dyDescent="0.35">
      <c r="A202" s="5" t="str">
        <f t="shared" ref="A202:A265" si="6">+C202&amp;G202</f>
        <v>INSTRUMENTDT_DFLT_STTS_INSTRMNT</v>
      </c>
      <c r="B202" s="1" t="s">
        <v>862</v>
      </c>
      <c r="C202" s="1" t="s">
        <v>785</v>
      </c>
      <c r="D202" s="1" t="s">
        <v>134</v>
      </c>
      <c r="E202" s="1" t="s">
        <v>39</v>
      </c>
      <c r="F202" s="25" t="s">
        <v>863</v>
      </c>
      <c r="G202" s="1" t="s">
        <v>863</v>
      </c>
      <c r="H202" s="1" t="s">
        <v>39</v>
      </c>
      <c r="I202" s="1" t="s">
        <v>39</v>
      </c>
      <c r="J202" s="1" t="s">
        <v>39</v>
      </c>
      <c r="K202" s="1" t="s">
        <v>39</v>
      </c>
      <c r="L202" s="1" t="s">
        <v>39</v>
      </c>
      <c r="M202" s="1" t="s">
        <v>39</v>
      </c>
      <c r="N202" s="1" t="s">
        <v>39</v>
      </c>
      <c r="O202" s="1" t="s">
        <v>37</v>
      </c>
      <c r="P202" s="1" t="s">
        <v>37</v>
      </c>
      <c r="Q202" s="1" t="s">
        <v>37</v>
      </c>
      <c r="R202" s="1" t="s">
        <v>60</v>
      </c>
      <c r="S202" s="1" t="s">
        <v>61</v>
      </c>
      <c r="T202" s="1" t="s">
        <v>62</v>
      </c>
      <c r="U202" s="1" t="s">
        <v>42</v>
      </c>
      <c r="V202" s="1" t="s">
        <v>63</v>
      </c>
      <c r="W202" s="1" t="s">
        <v>70</v>
      </c>
      <c r="X202" s="1" t="s">
        <v>864</v>
      </c>
      <c r="Y202" s="1" t="s">
        <v>45</v>
      </c>
      <c r="Z202" s="1" t="s">
        <v>46</v>
      </c>
      <c r="AA202" s="1" t="s">
        <v>47</v>
      </c>
      <c r="AB202" s="1" t="s">
        <v>39</v>
      </c>
      <c r="AC202" s="1" t="s">
        <v>37</v>
      </c>
      <c r="AD202" s="1" t="s">
        <v>37</v>
      </c>
      <c r="AE202" s="1" t="s">
        <v>37</v>
      </c>
      <c r="AF202" s="1" t="s">
        <v>37</v>
      </c>
      <c r="AG202" s="1" t="s">
        <v>39</v>
      </c>
      <c r="AH202" s="1" t="s">
        <v>37</v>
      </c>
      <c r="AI202" s="1" t="s">
        <v>37</v>
      </c>
      <c r="AJ202" s="1" t="s">
        <v>39</v>
      </c>
      <c r="AK202" s="1" t="str">
        <f t="shared" ref="AK202:AK265" si="7">+IF(AND(AD202="N",AF202="N"),"Fora de âmbito",
IF(AND(AD202="N",AF202="Y"),"Apenas ESG Risk",
IF(AND(AD202="Y",AF202="N"),"Apenas Pilar 3",
IF(AND(AD202="Y",AF202="Y"),"Comum",""))))</f>
        <v>Fora de âmbito</v>
      </c>
      <c r="AL202" s="1" t="str">
        <f>+IF(IFERROR(VLOOKUP(A202,Ficheiros!I:I,1,FALSE),"")=A202,"Sim","Não")</f>
        <v>Sim</v>
      </c>
      <c r="AM202" s="1" t="str">
        <f>+IF(IFERROR(VLOOKUP(A202,Ficheiros!E:E,1,FALSE),"")=A202,"Sim","Não")</f>
        <v>Não</v>
      </c>
      <c r="AN202" s="1" t="str">
        <f>+IF(IFERROR(VLOOKUP(A202,Ficheiros!O:O,1,FALSE),"")=A202,"Sim","Não")</f>
        <v>Não</v>
      </c>
      <c r="AO202" s="1" t="str">
        <f>+IF(IFERROR(VLOOKUP(A202,'Especificação Novos Req. LT (2'!A:A,1,FALSE),"")=A202,"Sim","Não")</f>
        <v>Não</v>
      </c>
      <c r="AP202" s="1" t="str">
        <f>+IF(IFERROR(VLOOKUP(A202,Ficheiros!T:T,1,FALSE),"")=A202,"Sim","Não")</f>
        <v>Sim</v>
      </c>
      <c r="AQ202" s="1" t="e">
        <f>+VLOOKUP(A202,Ficheiros!O:P,2,FALSE)</f>
        <v>#N/A</v>
      </c>
      <c r="AR202" s="1" t="str">
        <f>+VLOOKUP(A202,Ficheiros!T:U,2,FALSE)</f>
        <v>5.2 Em testes - Incidência</v>
      </c>
      <c r="AS202" s="1" t="str">
        <f>+VLOOKUP(A202,Ficheiros!T:V,3,FALSE)</f>
        <v>LF</v>
      </c>
      <c r="AT202" s="1"/>
      <c r="AU202" s="1"/>
      <c r="AV202" s="1"/>
      <c r="AW202" s="1"/>
      <c r="AX202" s="1"/>
    </row>
    <row r="203" spans="1:50" ht="14.5" hidden="1" customHeight="1" x14ac:dyDescent="0.35">
      <c r="A203" s="5" t="str">
        <f t="shared" si="6"/>
        <v>INSTRUMENTDT_END_GP_PPAL</v>
      </c>
      <c r="B203" s="1" t="s">
        <v>865</v>
      </c>
      <c r="C203" s="1" t="s">
        <v>785</v>
      </c>
      <c r="D203" s="1" t="s">
        <v>134</v>
      </c>
      <c r="E203" s="1" t="s">
        <v>37</v>
      </c>
      <c r="F203" s="25" t="s">
        <v>866</v>
      </c>
      <c r="G203" s="1" t="s">
        <v>866</v>
      </c>
      <c r="H203" s="1" t="s">
        <v>37</v>
      </c>
      <c r="I203" s="1" t="s">
        <v>39</v>
      </c>
      <c r="J203" s="1" t="s">
        <v>39</v>
      </c>
      <c r="K203" s="1" t="s">
        <v>39</v>
      </c>
      <c r="L203" s="1" t="s">
        <v>39</v>
      </c>
      <c r="M203" s="1" t="s">
        <v>39</v>
      </c>
      <c r="N203" s="1" t="s">
        <v>39</v>
      </c>
      <c r="O203" s="1" t="s">
        <v>37</v>
      </c>
      <c r="P203" s="1" t="s">
        <v>37</v>
      </c>
      <c r="Q203" s="1" t="s">
        <v>37</v>
      </c>
      <c r="R203" s="1" t="s">
        <v>60</v>
      </c>
      <c r="S203" s="1" t="s">
        <v>61</v>
      </c>
      <c r="T203" s="1" t="s">
        <v>62</v>
      </c>
      <c r="U203" s="1" t="s">
        <v>63</v>
      </c>
      <c r="V203" s="1" t="s">
        <v>63</v>
      </c>
      <c r="W203" s="1" t="s">
        <v>867</v>
      </c>
      <c r="X203" s="1" t="s">
        <v>868</v>
      </c>
      <c r="Y203" s="1" t="s">
        <v>84</v>
      </c>
      <c r="Z203" s="1" t="s">
        <v>869</v>
      </c>
      <c r="AA203" s="1" t="s">
        <v>47</v>
      </c>
      <c r="AB203" s="1" t="s">
        <v>39</v>
      </c>
      <c r="AC203" s="1" t="s">
        <v>37</v>
      </c>
      <c r="AD203" s="1" t="s">
        <v>37</v>
      </c>
      <c r="AE203" s="1" t="s">
        <v>37</v>
      </c>
      <c r="AF203" s="1" t="s">
        <v>37</v>
      </c>
      <c r="AG203" s="1" t="s">
        <v>37</v>
      </c>
      <c r="AH203" s="1" t="s">
        <v>37</v>
      </c>
      <c r="AI203" s="1" t="s">
        <v>37</v>
      </c>
      <c r="AJ203" s="1" t="s">
        <v>39</v>
      </c>
      <c r="AK203" s="1" t="str">
        <f t="shared" si="7"/>
        <v>Fora de âmbito</v>
      </c>
      <c r="AL203" s="1" t="str">
        <f>+IF(IFERROR(VLOOKUP(A203,Ficheiros!I:I,1,FALSE),"")=A203,"Sim","Não")</f>
        <v>Sim</v>
      </c>
      <c r="AM203" s="1" t="str">
        <f>+IF(IFERROR(VLOOKUP(A203,Ficheiros!E:E,1,FALSE),"")=A203,"Sim","Não")</f>
        <v>Não</v>
      </c>
      <c r="AN203" s="1" t="str">
        <f>+IF(IFERROR(VLOOKUP(A203,Ficheiros!O:O,1,FALSE),"")=A203,"Sim","Não")</f>
        <v>Não</v>
      </c>
      <c r="AO203" s="1" t="str">
        <f>+IF(IFERROR(VLOOKUP(A203,'Especificação Novos Req. LT (2'!A:A,1,FALSE),"")=A203,"Sim","Não")</f>
        <v>Não</v>
      </c>
      <c r="AP203" s="1" t="str">
        <f>+IF(IFERROR(VLOOKUP(A203,Ficheiros!T:T,1,FALSE),"")=A203,"Sim","Não")</f>
        <v>Sim</v>
      </c>
      <c r="AQ203" s="1" t="e">
        <f>+VLOOKUP(A203,Ficheiros!O:P,2,FALSE)</f>
        <v>#N/A</v>
      </c>
      <c r="AR203" s="1" t="str">
        <f>+VLOOKUP(A203,Ficheiros!T:U,2,FALSE)</f>
        <v>7. Analisar controlos e completude</v>
      </c>
      <c r="AS203" s="1" t="str">
        <f>+VLOOKUP(A203,Ficheiros!T:V,3,FALSE)</f>
        <v>PM</v>
      </c>
      <c r="AT203" s="1"/>
      <c r="AU203" s="1"/>
      <c r="AV203" s="1"/>
      <c r="AW203" s="1"/>
      <c r="AX203" s="1"/>
    </row>
    <row r="204" spans="1:50" ht="14.5" hidden="1" customHeight="1" x14ac:dyDescent="0.35">
      <c r="A204" s="5" t="str">
        <f t="shared" si="6"/>
        <v>INSTRUMENTDT_END_INTRST_ONLY</v>
      </c>
      <c r="B204" s="1" t="s">
        <v>870</v>
      </c>
      <c r="C204" s="1" t="s">
        <v>785</v>
      </c>
      <c r="D204" s="1" t="s">
        <v>134</v>
      </c>
      <c r="E204" s="1" t="s">
        <v>39</v>
      </c>
      <c r="F204" s="25" t="s">
        <v>871</v>
      </c>
      <c r="G204" s="1" t="s">
        <v>871</v>
      </c>
      <c r="H204" s="1" t="s">
        <v>37</v>
      </c>
      <c r="I204" s="1" t="s">
        <v>39</v>
      </c>
      <c r="J204" s="1" t="s">
        <v>39</v>
      </c>
      <c r="K204" s="1" t="s">
        <v>39</v>
      </c>
      <c r="L204" s="1" t="s">
        <v>39</v>
      </c>
      <c r="M204" s="1" t="s">
        <v>39</v>
      </c>
      <c r="N204" s="1" t="s">
        <v>39</v>
      </c>
      <c r="O204" s="1" t="s">
        <v>37</v>
      </c>
      <c r="P204" s="1" t="s">
        <v>37</v>
      </c>
      <c r="Q204" s="1" t="s">
        <v>37</v>
      </c>
      <c r="R204" s="1" t="s">
        <v>60</v>
      </c>
      <c r="S204" s="1" t="s">
        <v>61</v>
      </c>
      <c r="T204" s="1" t="s">
        <v>62</v>
      </c>
      <c r="U204" s="1" t="s">
        <v>63</v>
      </c>
      <c r="V204" s="1" t="s">
        <v>63</v>
      </c>
      <c r="W204" s="1" t="s">
        <v>872</v>
      </c>
      <c r="X204" s="1" t="s">
        <v>873</v>
      </c>
      <c r="Y204" s="1" t="s">
        <v>84</v>
      </c>
      <c r="Z204" s="1" t="s">
        <v>874</v>
      </c>
      <c r="AA204" s="1" t="s">
        <v>47</v>
      </c>
      <c r="AB204" s="1" t="s">
        <v>39</v>
      </c>
      <c r="AC204" s="1" t="s">
        <v>37</v>
      </c>
      <c r="AD204" s="1" t="s">
        <v>37</v>
      </c>
      <c r="AE204" s="1" t="s">
        <v>37</v>
      </c>
      <c r="AF204" s="1" t="s">
        <v>37</v>
      </c>
      <c r="AG204" s="1" t="s">
        <v>37</v>
      </c>
      <c r="AH204" s="1" t="s">
        <v>37</v>
      </c>
      <c r="AI204" s="1" t="s">
        <v>37</v>
      </c>
      <c r="AJ204" s="1" t="s">
        <v>39</v>
      </c>
      <c r="AK204" s="1" t="str">
        <f t="shared" si="7"/>
        <v>Fora de âmbito</v>
      </c>
      <c r="AL204" s="1" t="str">
        <f>+IF(IFERROR(VLOOKUP(A204,Ficheiros!I:I,1,FALSE),"")=A204,"Sim","Não")</f>
        <v>Sim</v>
      </c>
      <c r="AM204" s="1" t="str">
        <f>+IF(IFERROR(VLOOKUP(A204,Ficheiros!E:E,1,FALSE),"")=A204,"Sim","Não")</f>
        <v>Não</v>
      </c>
      <c r="AN204" s="1" t="str">
        <f>+IF(IFERROR(VLOOKUP(A204,Ficheiros!O:O,1,FALSE),"")=A204,"Sim","Não")</f>
        <v>Não</v>
      </c>
      <c r="AO204" s="1" t="str">
        <f>+IF(IFERROR(VLOOKUP(A204,'Especificação Novos Req. LT (2'!A:A,1,FALSE),"")=A204,"Sim","Não")</f>
        <v>Não</v>
      </c>
      <c r="AP204" s="1" t="str">
        <f>+IF(IFERROR(VLOOKUP(A204,Ficheiros!T:T,1,FALSE),"")=A204,"Sim","Não")</f>
        <v>Sim</v>
      </c>
      <c r="AQ204" s="1" t="e">
        <f>+VLOOKUP(A204,Ficheiros!O:P,2,FALSE)</f>
        <v>#N/A</v>
      </c>
      <c r="AR204" s="1" t="str">
        <f>+VLOOKUP(A204,Ficheiros!T:U,2,FALSE)</f>
        <v>7. Analisar controlos e completude</v>
      </c>
      <c r="AS204" s="1" t="str">
        <f>+VLOOKUP(A204,Ficheiros!T:V,3,FALSE)</f>
        <v>PM</v>
      </c>
      <c r="AT204" s="1"/>
      <c r="AU204" s="1"/>
      <c r="AV204" s="1"/>
      <c r="AW204" s="1"/>
      <c r="AX204" s="1"/>
    </row>
    <row r="205" spans="1:50" ht="14.5" hidden="1" customHeight="1" x14ac:dyDescent="0.35">
      <c r="A205" s="5" t="str">
        <f t="shared" si="6"/>
        <v>INSTRUMENTDT_FRBRNC_STTS</v>
      </c>
      <c r="B205" s="1" t="s">
        <v>875</v>
      </c>
      <c r="C205" s="1" t="s">
        <v>785</v>
      </c>
      <c r="D205" s="1" t="s">
        <v>134</v>
      </c>
      <c r="E205" s="1" t="s">
        <v>39</v>
      </c>
      <c r="F205" s="25" t="s">
        <v>876</v>
      </c>
      <c r="G205" s="1" t="s">
        <v>876</v>
      </c>
      <c r="H205" s="1" t="s">
        <v>39</v>
      </c>
      <c r="I205" s="1" t="s">
        <v>39</v>
      </c>
      <c r="J205" s="1" t="s">
        <v>39</v>
      </c>
      <c r="K205" s="1" t="s">
        <v>39</v>
      </c>
      <c r="L205" s="1" t="s">
        <v>39</v>
      </c>
      <c r="M205" s="1" t="s">
        <v>39</v>
      </c>
      <c r="N205" s="1" t="s">
        <v>39</v>
      </c>
      <c r="O205" s="1" t="s">
        <v>37</v>
      </c>
      <c r="P205" s="1" t="s">
        <v>37</v>
      </c>
      <c r="Q205" s="1" t="s">
        <v>37</v>
      </c>
      <c r="R205" s="1" t="s">
        <v>60</v>
      </c>
      <c r="S205" s="1" t="s">
        <v>61</v>
      </c>
      <c r="T205" s="1" t="s">
        <v>62</v>
      </c>
      <c r="U205" s="1" t="s">
        <v>42</v>
      </c>
      <c r="V205" s="1" t="s">
        <v>63</v>
      </c>
      <c r="W205" s="1" t="s">
        <v>877</v>
      </c>
      <c r="X205" s="1" t="s">
        <v>878</v>
      </c>
      <c r="Y205" s="1" t="s">
        <v>84</v>
      </c>
      <c r="Z205" s="1" t="s">
        <v>879</v>
      </c>
      <c r="AA205" s="1" t="s">
        <v>47</v>
      </c>
      <c r="AB205" s="1" t="s">
        <v>39</v>
      </c>
      <c r="AC205" s="1" t="s">
        <v>37</v>
      </c>
      <c r="AD205" s="1" t="s">
        <v>37</v>
      </c>
      <c r="AE205" s="1" t="s">
        <v>37</v>
      </c>
      <c r="AF205" s="1" t="s">
        <v>37</v>
      </c>
      <c r="AG205" s="1" t="s">
        <v>39</v>
      </c>
      <c r="AH205" s="1" t="s">
        <v>37</v>
      </c>
      <c r="AI205" s="1" t="s">
        <v>37</v>
      </c>
      <c r="AJ205" s="1" t="s">
        <v>39</v>
      </c>
      <c r="AK205" s="1" t="str">
        <f t="shared" si="7"/>
        <v>Fora de âmbito</v>
      </c>
      <c r="AL205" s="1" t="str">
        <f>+IF(IFERROR(VLOOKUP(A205,Ficheiros!I:I,1,FALSE),"")=A205,"Sim","Não")</f>
        <v>Sim</v>
      </c>
      <c r="AM205" s="1" t="str">
        <f>+IF(IFERROR(VLOOKUP(A205,Ficheiros!E:E,1,FALSE),"")=A205,"Sim","Não")</f>
        <v>Não</v>
      </c>
      <c r="AN205" s="1" t="str">
        <f>+IF(IFERROR(VLOOKUP(A205,Ficheiros!O:O,1,FALSE),"")=A205,"Sim","Não")</f>
        <v>Não</v>
      </c>
      <c r="AO205" s="1" t="str">
        <f>+IF(IFERROR(VLOOKUP(A205,'Especificação Novos Req. LT (2'!A:A,1,FALSE),"")=A205,"Sim","Não")</f>
        <v>Não</v>
      </c>
      <c r="AP205" s="1" t="str">
        <f>+IF(IFERROR(VLOOKUP(A205,Ficheiros!T:T,1,FALSE),"")=A205,"Sim","Não")</f>
        <v>Sim</v>
      </c>
      <c r="AQ205" s="1" t="e">
        <f>+VLOOKUP(A205,Ficheiros!O:P,2,FALSE)</f>
        <v>#N/A</v>
      </c>
      <c r="AR205" s="1" t="str">
        <f>+VLOOKUP(A205,Ficheiros!T:U,2,FALSE)</f>
        <v>2. Alterar especificação</v>
      </c>
      <c r="AS205" s="1" t="str">
        <f>+VLOOKUP(A205,Ficheiros!T:V,3,FALSE)</f>
        <v>LF</v>
      </c>
      <c r="AT205" s="1"/>
      <c r="AU205" s="1"/>
      <c r="AV205" s="1"/>
      <c r="AW205" s="1"/>
      <c r="AX205" s="1"/>
    </row>
    <row r="206" spans="1:50" ht="14.5" hidden="1" customHeight="1" x14ac:dyDescent="0.35">
      <c r="A206" s="5" t="str">
        <f t="shared" si="6"/>
        <v>INSTRUMENTDT_FRBRNC_STTS_PRVS</v>
      </c>
      <c r="B206" s="1" t="s">
        <v>880</v>
      </c>
      <c r="C206" s="1" t="s">
        <v>785</v>
      </c>
      <c r="D206" s="1" t="s">
        <v>134</v>
      </c>
      <c r="E206" s="1" t="s">
        <v>37</v>
      </c>
      <c r="F206" s="25" t="s">
        <v>881</v>
      </c>
      <c r="G206" s="1" t="s">
        <v>881</v>
      </c>
      <c r="H206" s="1" t="s">
        <v>39</v>
      </c>
      <c r="I206" s="1" t="s">
        <v>39</v>
      </c>
      <c r="J206" s="1" t="s">
        <v>39</v>
      </c>
      <c r="K206" s="1" t="s">
        <v>39</v>
      </c>
      <c r="L206" s="1" t="s">
        <v>39</v>
      </c>
      <c r="M206" s="1" t="s">
        <v>39</v>
      </c>
      <c r="N206" s="1" t="s">
        <v>39</v>
      </c>
      <c r="O206" s="1" t="s">
        <v>37</v>
      </c>
      <c r="P206" s="1" t="s">
        <v>37</v>
      </c>
      <c r="Q206" s="1" t="s">
        <v>37</v>
      </c>
      <c r="R206" s="1" t="s">
        <v>60</v>
      </c>
      <c r="S206" s="1" t="s">
        <v>61</v>
      </c>
      <c r="T206" s="1" t="s">
        <v>62</v>
      </c>
      <c r="U206" s="1" t="s">
        <v>42</v>
      </c>
      <c r="V206" s="1" t="s">
        <v>63</v>
      </c>
      <c r="W206" s="1" t="s">
        <v>882</v>
      </c>
      <c r="X206" s="1" t="s">
        <v>883</v>
      </c>
      <c r="Y206" s="1" t="s">
        <v>84</v>
      </c>
      <c r="Z206" s="1" t="s">
        <v>884</v>
      </c>
      <c r="AA206" s="1" t="s">
        <v>47</v>
      </c>
      <c r="AB206" s="1" t="s">
        <v>39</v>
      </c>
      <c r="AC206" s="1" t="s">
        <v>37</v>
      </c>
      <c r="AD206" s="1" t="s">
        <v>37</v>
      </c>
      <c r="AE206" s="1" t="s">
        <v>37</v>
      </c>
      <c r="AF206" s="1" t="s">
        <v>37</v>
      </c>
      <c r="AG206" s="1" t="s">
        <v>37</v>
      </c>
      <c r="AH206" s="1" t="s">
        <v>37</v>
      </c>
      <c r="AI206" s="1" t="s">
        <v>37</v>
      </c>
      <c r="AJ206" s="1" t="s">
        <v>39</v>
      </c>
      <c r="AK206" s="1" t="str">
        <f t="shared" si="7"/>
        <v>Fora de âmbito</v>
      </c>
      <c r="AL206" s="1" t="str">
        <f>+IF(IFERROR(VLOOKUP(A206,Ficheiros!I:I,1,FALSE),"")=A206,"Sim","Não")</f>
        <v>Sim</v>
      </c>
      <c r="AM206" s="1" t="str">
        <f>+IF(IFERROR(VLOOKUP(A206,Ficheiros!E:E,1,FALSE),"")=A206,"Sim","Não")</f>
        <v>Não</v>
      </c>
      <c r="AN206" s="1" t="str">
        <f>+IF(IFERROR(VLOOKUP(A206,Ficheiros!O:O,1,FALSE),"")=A206,"Sim","Não")</f>
        <v>Não</v>
      </c>
      <c r="AO206" s="1" t="str">
        <f>+IF(IFERROR(VLOOKUP(A206,'Especificação Novos Req. LT (2'!A:A,1,FALSE),"")=A206,"Sim","Não")</f>
        <v>Não</v>
      </c>
      <c r="AP206" s="1" t="str">
        <f>+IF(IFERROR(VLOOKUP(A206,Ficheiros!T:T,1,FALSE),"")=A206,"Sim","Não")</f>
        <v>Sim</v>
      </c>
      <c r="AQ206" s="1" t="e">
        <f>+VLOOKUP(A206,Ficheiros!O:P,2,FALSE)</f>
        <v>#N/A</v>
      </c>
      <c r="AR206" s="1" t="str">
        <f>+VLOOKUP(A206,Ficheiros!T:U,2,FALSE)</f>
        <v>2. Alterar especificação</v>
      </c>
      <c r="AS206" s="1" t="str">
        <f>+VLOOKUP(A206,Ficheiros!T:V,3,FALSE)</f>
        <v>PM</v>
      </c>
      <c r="AT206" s="1"/>
      <c r="AU206" s="1"/>
      <c r="AV206" s="1"/>
      <c r="AW206" s="1"/>
      <c r="AX206" s="1"/>
    </row>
    <row r="207" spans="1:50" ht="14.5" hidden="1" customHeight="1" x14ac:dyDescent="0.35">
      <c r="A207" s="5" t="str">
        <f t="shared" si="6"/>
        <v>INSTRUMENTDT_INTRNL_RTNG</v>
      </c>
      <c r="B207" s="1" t="s">
        <v>885</v>
      </c>
      <c r="C207" s="1" t="s">
        <v>785</v>
      </c>
      <c r="D207" s="1" t="s">
        <v>134</v>
      </c>
      <c r="E207" s="1" t="s">
        <v>37</v>
      </c>
      <c r="F207" s="26" t="s">
        <v>160</v>
      </c>
      <c r="G207" s="1" t="s">
        <v>160</v>
      </c>
      <c r="H207" s="1" t="s">
        <v>39</v>
      </c>
      <c r="I207" s="1" t="s">
        <v>39</v>
      </c>
      <c r="J207" s="1" t="s">
        <v>39</v>
      </c>
      <c r="K207" s="1" t="s">
        <v>39</v>
      </c>
      <c r="L207" s="1" t="s">
        <v>39</v>
      </c>
      <c r="M207" s="1" t="s">
        <v>39</v>
      </c>
      <c r="N207" s="1" t="s">
        <v>39</v>
      </c>
      <c r="O207" s="1" t="s">
        <v>39</v>
      </c>
      <c r="P207" s="1" t="s">
        <v>37</v>
      </c>
      <c r="Q207" s="1" t="s">
        <v>37</v>
      </c>
      <c r="R207" s="1" t="s">
        <v>60</v>
      </c>
      <c r="S207" s="1" t="s">
        <v>61</v>
      </c>
      <c r="T207" s="1" t="s">
        <v>62</v>
      </c>
      <c r="U207" s="1" t="s">
        <v>63</v>
      </c>
      <c r="V207" s="1" t="s">
        <v>63</v>
      </c>
      <c r="W207" s="1" t="s">
        <v>161</v>
      </c>
      <c r="X207" s="1" t="s">
        <v>886</v>
      </c>
      <c r="Y207" s="1" t="s">
        <v>66</v>
      </c>
      <c r="Z207" s="1" t="s">
        <v>887</v>
      </c>
      <c r="AA207" s="1" t="s">
        <v>47</v>
      </c>
      <c r="AB207" s="1" t="s">
        <v>39</v>
      </c>
      <c r="AC207" s="1" t="s">
        <v>37</v>
      </c>
      <c r="AD207" s="1" t="s">
        <v>37</v>
      </c>
      <c r="AE207" s="1" t="s">
        <v>37</v>
      </c>
      <c r="AF207" s="1" t="s">
        <v>37</v>
      </c>
      <c r="AG207" s="1" t="s">
        <v>39</v>
      </c>
      <c r="AH207" s="1" t="s">
        <v>37</v>
      </c>
      <c r="AI207" s="1" t="s">
        <v>37</v>
      </c>
      <c r="AJ207" s="1" t="s">
        <v>39</v>
      </c>
      <c r="AK207" s="1" t="str">
        <f t="shared" si="7"/>
        <v>Fora de âmbito</v>
      </c>
      <c r="AL207" s="1" t="str">
        <f>+IF(IFERROR(VLOOKUP(A207,Ficheiros!I:I,1,FALSE),"")=A207,"Sim","Não")</f>
        <v>Sim</v>
      </c>
      <c r="AM207" s="1" t="str">
        <f>+IF(IFERROR(VLOOKUP(A207,Ficheiros!E:E,1,FALSE),"")=A207,"Sim","Não")</f>
        <v>Não</v>
      </c>
      <c r="AN207" s="1" t="str">
        <f>+IF(IFERROR(VLOOKUP(A207,Ficheiros!O:O,1,FALSE),"")=A207,"Sim","Não")</f>
        <v>Não</v>
      </c>
      <c r="AO207" s="1" t="str">
        <f>+IF(IFERROR(VLOOKUP(A207,'Especificação Novos Req. LT (2'!A:A,1,FALSE),"")=A207,"Sim","Não")</f>
        <v>Não</v>
      </c>
      <c r="AP207" s="1" t="str">
        <f>+IF(IFERROR(VLOOKUP(A207,Ficheiros!T:T,1,FALSE),"")=A207,"Sim","Não")</f>
        <v>Sim</v>
      </c>
      <c r="AQ207" s="1" t="e">
        <f>+VLOOKUP(A207,Ficheiros!O:P,2,FALSE)</f>
        <v>#N/A</v>
      </c>
      <c r="AR207" s="1" t="str">
        <f>+VLOOKUP(A207,Ficheiros!T:U,2,FALSE)</f>
        <v>5.1 Em testes - Re-especificação</v>
      </c>
      <c r="AS207" s="1" t="str">
        <f>+VLOOKUP(A207,Ficheiros!T:V,3,FALSE)</f>
        <v>LF</v>
      </c>
      <c r="AT207" s="1"/>
      <c r="AU207" s="1"/>
      <c r="AV207" s="1"/>
      <c r="AW207" s="1"/>
      <c r="AX207" s="1"/>
    </row>
    <row r="208" spans="1:50" ht="14.5" hidden="1" customHeight="1" x14ac:dyDescent="0.35">
      <c r="A208" s="5" t="str">
        <f t="shared" si="6"/>
        <v>INSTRUMENTDT_PRFRMNG_STTS</v>
      </c>
      <c r="B208" s="1" t="s">
        <v>888</v>
      </c>
      <c r="C208" s="1" t="s">
        <v>785</v>
      </c>
      <c r="D208" s="1" t="s">
        <v>134</v>
      </c>
      <c r="E208" s="1" t="s">
        <v>39</v>
      </c>
      <c r="F208" s="25" t="s">
        <v>889</v>
      </c>
      <c r="G208" s="1" t="s">
        <v>889</v>
      </c>
      <c r="H208" s="1" t="s">
        <v>39</v>
      </c>
      <c r="I208" s="1" t="s">
        <v>39</v>
      </c>
      <c r="J208" s="1" t="s">
        <v>39</v>
      </c>
      <c r="K208" s="1" t="s">
        <v>39</v>
      </c>
      <c r="L208" s="1" t="s">
        <v>39</v>
      </c>
      <c r="M208" s="1" t="s">
        <v>39</v>
      </c>
      <c r="N208" s="1" t="s">
        <v>39</v>
      </c>
      <c r="O208" s="1" t="s">
        <v>39</v>
      </c>
      <c r="P208" s="1" t="s">
        <v>37</v>
      </c>
      <c r="Q208" s="1" t="s">
        <v>37</v>
      </c>
      <c r="R208" s="1" t="s">
        <v>60</v>
      </c>
      <c r="S208" s="1" t="s">
        <v>61</v>
      </c>
      <c r="T208" s="1" t="s">
        <v>62</v>
      </c>
      <c r="U208" s="1" t="s">
        <v>42</v>
      </c>
      <c r="V208" s="1" t="s">
        <v>63</v>
      </c>
      <c r="W208" s="1" t="s">
        <v>88</v>
      </c>
      <c r="X208" s="1" t="s">
        <v>890</v>
      </c>
      <c r="Y208" s="1" t="s">
        <v>45</v>
      </c>
      <c r="Z208" s="1" t="s">
        <v>46</v>
      </c>
      <c r="AA208" s="1" t="s">
        <v>47</v>
      </c>
      <c r="AB208" s="1" t="s">
        <v>39</v>
      </c>
      <c r="AC208" s="1" t="s">
        <v>37</v>
      </c>
      <c r="AD208" s="1" t="s">
        <v>37</v>
      </c>
      <c r="AE208" s="1" t="s">
        <v>37</v>
      </c>
      <c r="AF208" s="1" t="s">
        <v>37</v>
      </c>
      <c r="AG208" s="1" t="s">
        <v>39</v>
      </c>
      <c r="AH208" s="1" t="s">
        <v>37</v>
      </c>
      <c r="AI208" s="1" t="s">
        <v>37</v>
      </c>
      <c r="AJ208" s="1" t="s">
        <v>39</v>
      </c>
      <c r="AK208" s="1" t="str">
        <f t="shared" si="7"/>
        <v>Fora de âmbito</v>
      </c>
      <c r="AL208" s="1" t="str">
        <f>+IF(IFERROR(VLOOKUP(A208,Ficheiros!I:I,1,FALSE),"")=A208,"Sim","Não")</f>
        <v>Sim</v>
      </c>
      <c r="AM208" s="1" t="str">
        <f>+IF(IFERROR(VLOOKUP(A208,Ficheiros!E:E,1,FALSE),"")=A208,"Sim","Não")</f>
        <v>Não</v>
      </c>
      <c r="AN208" s="1" t="str">
        <f>+IF(IFERROR(VLOOKUP(A208,Ficheiros!O:O,1,FALSE),"")=A208,"Sim","Não")</f>
        <v>Não</v>
      </c>
      <c r="AO208" s="1" t="str">
        <f>+IF(IFERROR(VLOOKUP(A208,'Especificação Novos Req. LT (2'!A:A,1,FALSE),"")=A208,"Sim","Não")</f>
        <v>Não</v>
      </c>
      <c r="AP208" s="1" t="str">
        <f>+IF(IFERROR(VLOOKUP(A208,Ficheiros!T:T,1,FALSE),"")=A208,"Sim","Não")</f>
        <v>Sim</v>
      </c>
      <c r="AQ208" s="1" t="e">
        <f>+VLOOKUP(A208,Ficheiros!O:P,2,FALSE)</f>
        <v>#N/A</v>
      </c>
      <c r="AR208" s="1" t="str">
        <f>+VLOOKUP(A208,Ficheiros!T:U,2,FALSE)</f>
        <v>5.1 Em testes - Re-especificação</v>
      </c>
      <c r="AS208" s="1" t="str">
        <f>+VLOOKUP(A208,Ficheiros!T:V,3,FALSE)</f>
        <v>PM</v>
      </c>
      <c r="AT208" s="1"/>
      <c r="AU208" s="1"/>
      <c r="AV208" s="1"/>
      <c r="AW208" s="1"/>
      <c r="AX208" s="1"/>
    </row>
    <row r="209" spans="1:50" ht="14.5" hidden="1" customHeight="1" x14ac:dyDescent="0.35">
      <c r="A209" s="5" t="str">
        <f t="shared" si="6"/>
        <v>INSTRUMENTDT_PRFRMNG_STTS_PRVS</v>
      </c>
      <c r="B209" s="1" t="s">
        <v>891</v>
      </c>
      <c r="C209" s="1" t="s">
        <v>785</v>
      </c>
      <c r="D209" s="1" t="s">
        <v>134</v>
      </c>
      <c r="E209" s="1" t="s">
        <v>37</v>
      </c>
      <c r="F209" s="25" t="s">
        <v>892</v>
      </c>
      <c r="G209" s="1" t="s">
        <v>892</v>
      </c>
      <c r="H209" s="1" t="s">
        <v>39</v>
      </c>
      <c r="I209" s="1" t="s">
        <v>39</v>
      </c>
      <c r="J209" s="1" t="s">
        <v>39</v>
      </c>
      <c r="K209" s="1" t="s">
        <v>39</v>
      </c>
      <c r="L209" s="1" t="s">
        <v>39</v>
      </c>
      <c r="M209" s="1" t="s">
        <v>39</v>
      </c>
      <c r="N209" s="1" t="s">
        <v>39</v>
      </c>
      <c r="O209" s="1" t="s">
        <v>39</v>
      </c>
      <c r="P209" s="1" t="s">
        <v>37</v>
      </c>
      <c r="Q209" s="1" t="s">
        <v>37</v>
      </c>
      <c r="R209" s="1" t="s">
        <v>60</v>
      </c>
      <c r="S209" s="1" t="s">
        <v>61</v>
      </c>
      <c r="T209" s="1" t="s">
        <v>62</v>
      </c>
      <c r="U209" s="1" t="s">
        <v>63</v>
      </c>
      <c r="V209" s="1" t="s">
        <v>63</v>
      </c>
      <c r="W209" s="1" t="s">
        <v>893</v>
      </c>
      <c r="X209" s="1" t="s">
        <v>894</v>
      </c>
      <c r="Y209" s="1" t="s">
        <v>84</v>
      </c>
      <c r="Z209" s="1" t="s">
        <v>895</v>
      </c>
      <c r="AA209" s="1" t="s">
        <v>47</v>
      </c>
      <c r="AB209" s="1" t="s">
        <v>39</v>
      </c>
      <c r="AC209" s="1" t="s">
        <v>37</v>
      </c>
      <c r="AD209" s="1" t="s">
        <v>37</v>
      </c>
      <c r="AE209" s="1" t="s">
        <v>37</v>
      </c>
      <c r="AF209" s="1" t="s">
        <v>37</v>
      </c>
      <c r="AG209" s="1" t="s">
        <v>39</v>
      </c>
      <c r="AH209" s="1" t="s">
        <v>37</v>
      </c>
      <c r="AI209" s="1" t="s">
        <v>37</v>
      </c>
      <c r="AJ209" s="1" t="s">
        <v>39</v>
      </c>
      <c r="AK209" s="1" t="str">
        <f t="shared" si="7"/>
        <v>Fora de âmbito</v>
      </c>
      <c r="AL209" s="1" t="str">
        <f>+IF(IFERROR(VLOOKUP(A209,Ficheiros!I:I,1,FALSE),"")=A209,"Sim","Não")</f>
        <v>Sim</v>
      </c>
      <c r="AM209" s="1" t="str">
        <f>+IF(IFERROR(VLOOKUP(A209,Ficheiros!E:E,1,FALSE),"")=A209,"Sim","Não")</f>
        <v>Não</v>
      </c>
      <c r="AN209" s="1" t="str">
        <f>+IF(IFERROR(VLOOKUP(A209,Ficheiros!O:O,1,FALSE),"")=A209,"Sim","Não")</f>
        <v>Não</v>
      </c>
      <c r="AO209" s="1" t="str">
        <f>+IF(IFERROR(VLOOKUP(A209,'Especificação Novos Req. LT (2'!A:A,1,FALSE),"")=A209,"Sim","Não")</f>
        <v>Não</v>
      </c>
      <c r="AP209" s="1" t="str">
        <f>+IF(IFERROR(VLOOKUP(A209,Ficheiros!T:T,1,FALSE),"")=A209,"Sim","Não")</f>
        <v>Sim</v>
      </c>
      <c r="AQ209" s="1" t="e">
        <f>+VLOOKUP(A209,Ficheiros!O:P,2,FALSE)</f>
        <v>#N/A</v>
      </c>
      <c r="AR209" s="1" t="str">
        <f>+VLOOKUP(A209,Ficheiros!T:U,2,FALSE)</f>
        <v>5.1 Em testes - Re-especificação</v>
      </c>
      <c r="AS209" s="1" t="str">
        <f>+VLOOKUP(A209,Ficheiros!T:V,3,FALSE)</f>
        <v>PM</v>
      </c>
      <c r="AT209" s="1"/>
      <c r="AU209" s="1"/>
      <c r="AV209" s="1"/>
      <c r="AW209" s="1"/>
      <c r="AX209" s="1"/>
    </row>
    <row r="210" spans="1:50" ht="14.5" hidden="1" customHeight="1" x14ac:dyDescent="0.35">
      <c r="A210" s="5" t="str">
        <f t="shared" si="6"/>
        <v>INSTRUMENTDT_STRT_INTRST_ONLY</v>
      </c>
      <c r="B210" s="1" t="s">
        <v>896</v>
      </c>
      <c r="C210" s="1" t="s">
        <v>785</v>
      </c>
      <c r="D210" s="1" t="s">
        <v>134</v>
      </c>
      <c r="E210" s="1" t="s">
        <v>37</v>
      </c>
      <c r="F210" s="25" t="s">
        <v>897</v>
      </c>
      <c r="G210" s="1" t="s">
        <v>897</v>
      </c>
      <c r="H210" s="1" t="s">
        <v>37</v>
      </c>
      <c r="I210" s="1" t="s">
        <v>39</v>
      </c>
      <c r="J210" s="1" t="s">
        <v>39</v>
      </c>
      <c r="K210" s="1" t="s">
        <v>39</v>
      </c>
      <c r="L210" s="1" t="s">
        <v>39</v>
      </c>
      <c r="M210" s="1" t="s">
        <v>39</v>
      </c>
      <c r="N210" s="1" t="s">
        <v>39</v>
      </c>
      <c r="O210" s="1" t="s">
        <v>37</v>
      </c>
      <c r="P210" s="1" t="s">
        <v>37</v>
      </c>
      <c r="Q210" s="1" t="s">
        <v>37</v>
      </c>
      <c r="R210" s="1" t="s">
        <v>60</v>
      </c>
      <c r="S210" s="1" t="s">
        <v>61</v>
      </c>
      <c r="T210" s="1" t="s">
        <v>62</v>
      </c>
      <c r="U210" s="1" t="s">
        <v>63</v>
      </c>
      <c r="V210" s="1" t="s">
        <v>63</v>
      </c>
      <c r="W210" s="1" t="s">
        <v>898</v>
      </c>
      <c r="X210" s="1" t="s">
        <v>899</v>
      </c>
      <c r="Y210" s="1" t="s">
        <v>84</v>
      </c>
      <c r="Z210" s="1" t="s">
        <v>900</v>
      </c>
      <c r="AA210" s="1" t="s">
        <v>47</v>
      </c>
      <c r="AB210" s="1" t="s">
        <v>39</v>
      </c>
      <c r="AC210" s="1" t="s">
        <v>37</v>
      </c>
      <c r="AD210" s="1" t="s">
        <v>37</v>
      </c>
      <c r="AE210" s="1" t="s">
        <v>37</v>
      </c>
      <c r="AF210" s="1" t="s">
        <v>37</v>
      </c>
      <c r="AG210" s="1" t="s">
        <v>37</v>
      </c>
      <c r="AH210" s="1" t="s">
        <v>37</v>
      </c>
      <c r="AI210" s="1" t="s">
        <v>37</v>
      </c>
      <c r="AJ210" s="1" t="s">
        <v>39</v>
      </c>
      <c r="AK210" s="1" t="str">
        <f t="shared" si="7"/>
        <v>Fora de âmbito</v>
      </c>
      <c r="AL210" s="1" t="str">
        <f>+IF(IFERROR(VLOOKUP(A210,Ficheiros!I:I,1,FALSE),"")=A210,"Sim","Não")</f>
        <v>Sim</v>
      </c>
      <c r="AM210" s="1" t="str">
        <f>+IF(IFERROR(VLOOKUP(A210,Ficheiros!E:E,1,FALSE),"")=A210,"Sim","Não")</f>
        <v>Não</v>
      </c>
      <c r="AN210" s="1" t="str">
        <f>+IF(IFERROR(VLOOKUP(A210,Ficheiros!O:O,1,FALSE),"")=A210,"Sim","Não")</f>
        <v>Não</v>
      </c>
      <c r="AO210" s="1" t="str">
        <f>+IF(IFERROR(VLOOKUP(A210,'Especificação Novos Req. LT (2'!A:A,1,FALSE),"")=A210,"Sim","Não")</f>
        <v>Não</v>
      </c>
      <c r="AP210" s="1" t="str">
        <f>+IF(IFERROR(VLOOKUP(A210,Ficheiros!T:T,1,FALSE),"")=A210,"Sim","Não")</f>
        <v>Sim</v>
      </c>
      <c r="AQ210" s="1" t="e">
        <f>+VLOOKUP(A210,Ficheiros!O:P,2,FALSE)</f>
        <v>#N/A</v>
      </c>
      <c r="AR210" s="1" t="str">
        <f>+VLOOKUP(A210,Ficheiros!T:U,2,FALSE)</f>
        <v>7. Analisar controlos e completude</v>
      </c>
      <c r="AS210" s="1" t="str">
        <f>+VLOOKUP(A210,Ficheiros!T:V,3,FALSE)</f>
        <v>PM</v>
      </c>
      <c r="AT210" s="1"/>
      <c r="AU210" s="1"/>
      <c r="AV210" s="1"/>
      <c r="AW210" s="1"/>
      <c r="AX210" s="1"/>
    </row>
    <row r="211" spans="1:50" ht="14.5" hidden="1" customHeight="1" x14ac:dyDescent="0.35">
      <c r="A211" s="5" t="str">
        <f t="shared" si="6"/>
        <v>INSTRUMENTEXPSR_IN_SCP</v>
      </c>
      <c r="B211" s="1" t="s">
        <v>901</v>
      </c>
      <c r="C211" s="1" t="s">
        <v>785</v>
      </c>
      <c r="D211" s="1" t="s">
        <v>134</v>
      </c>
      <c r="E211" s="1" t="s">
        <v>37</v>
      </c>
      <c r="F211" s="25" t="s">
        <v>902</v>
      </c>
      <c r="G211" s="1" t="s">
        <v>902</v>
      </c>
      <c r="H211" s="1" t="s">
        <v>258</v>
      </c>
      <c r="I211" s="1" t="s">
        <v>258</v>
      </c>
      <c r="J211" s="1" t="s">
        <v>258</v>
      </c>
      <c r="K211" s="1" t="s">
        <v>258</v>
      </c>
      <c r="L211" s="1" t="s">
        <v>258</v>
      </c>
      <c r="M211" s="1" t="s">
        <v>258</v>
      </c>
      <c r="N211" s="1" t="s">
        <v>258</v>
      </c>
      <c r="O211" s="1" t="s">
        <v>258</v>
      </c>
      <c r="P211" s="1" t="s">
        <v>37</v>
      </c>
      <c r="Q211" s="1" t="s">
        <v>37</v>
      </c>
      <c r="R211" s="1" t="s">
        <v>903</v>
      </c>
      <c r="S211" s="1" t="s">
        <v>41</v>
      </c>
      <c r="T211" s="1" t="s">
        <v>53</v>
      </c>
      <c r="U211" s="1" t="s">
        <v>46</v>
      </c>
      <c r="V211" s="1" t="s">
        <v>46</v>
      </c>
      <c r="W211" s="1" t="s">
        <v>904</v>
      </c>
      <c r="X211" s="1" t="s">
        <v>905</v>
      </c>
      <c r="Y211" s="1" t="s">
        <v>45</v>
      </c>
      <c r="Z211" s="1" t="s">
        <v>46</v>
      </c>
      <c r="AA211" s="1" t="s">
        <v>47</v>
      </c>
      <c r="AB211" s="1" t="s">
        <v>39</v>
      </c>
      <c r="AC211" s="1" t="s">
        <v>37</v>
      </c>
      <c r="AD211" s="1" t="s">
        <v>37</v>
      </c>
      <c r="AE211" s="1" t="s">
        <v>37</v>
      </c>
      <c r="AF211" s="1" t="s">
        <v>37</v>
      </c>
      <c r="AG211" s="1" t="s">
        <v>39</v>
      </c>
      <c r="AH211" s="1" t="s">
        <v>37</v>
      </c>
      <c r="AI211" s="1" t="s">
        <v>37</v>
      </c>
      <c r="AJ211" s="1" t="s">
        <v>39</v>
      </c>
      <c r="AK211" s="1" t="str">
        <f t="shared" si="7"/>
        <v>Fora de âmbito</v>
      </c>
      <c r="AL211" s="1" t="str">
        <f>+IF(IFERROR(VLOOKUP(A211,Ficheiros!I:I,1,FALSE),"")=A211,"Sim","Não")</f>
        <v>Sim</v>
      </c>
      <c r="AM211" s="1" t="str">
        <f>+IF(IFERROR(VLOOKUP(A211,Ficheiros!E:E,1,FALSE),"")=A211,"Sim","Não")</f>
        <v>Não</v>
      </c>
      <c r="AN211" s="1" t="str">
        <f>+IF(IFERROR(VLOOKUP(A211,Ficheiros!O:O,1,FALSE),"")=A211,"Sim","Não")</f>
        <v>Não</v>
      </c>
      <c r="AO211" s="1" t="str">
        <f>+IF(IFERROR(VLOOKUP(A211,'Especificação Novos Req. LT (2'!A:A,1,FALSE),"")=A211,"Sim","Não")</f>
        <v>Não</v>
      </c>
      <c r="AP211" s="1" t="str">
        <f>+IF(IFERROR(VLOOKUP(A211,Ficheiros!T:T,1,FALSE),"")=A211,"Sim","Não")</f>
        <v>Sim</v>
      </c>
      <c r="AQ211" s="1" t="e">
        <f>+VLOOKUP(A211,Ficheiros!O:P,2,FALSE)</f>
        <v>#N/A</v>
      </c>
      <c r="AR211" s="1" t="str">
        <f>+VLOOKUP(A211,Ficheiros!T:U,2,FALSE)</f>
        <v>9. Concluído</v>
      </c>
      <c r="AS211" s="1" t="str">
        <f>+VLOOKUP(A211,Ficheiros!T:V,3,FALSE)</f>
        <v>PM</v>
      </c>
      <c r="AT211" s="1"/>
      <c r="AU211" s="1"/>
      <c r="AV211" s="1"/>
      <c r="AW211" s="1"/>
      <c r="AX211" s="1"/>
    </row>
    <row r="212" spans="1:50" ht="14.5" hidden="1" customHeight="1" x14ac:dyDescent="0.35">
      <c r="A212" s="5" t="str">
        <f t="shared" si="6"/>
        <v>INSTRUMENTFLD_SYNDCTN</v>
      </c>
      <c r="B212" s="1" t="s">
        <v>906</v>
      </c>
      <c r="C212" s="1" t="s">
        <v>785</v>
      </c>
      <c r="D212" s="1" t="s">
        <v>134</v>
      </c>
      <c r="E212" s="1" t="s">
        <v>37</v>
      </c>
      <c r="F212" s="25" t="s">
        <v>907</v>
      </c>
      <c r="G212" s="1" t="s">
        <v>907</v>
      </c>
      <c r="H212" s="1" t="s">
        <v>37</v>
      </c>
      <c r="I212" s="1" t="s">
        <v>37</v>
      </c>
      <c r="J212" s="1" t="s">
        <v>37</v>
      </c>
      <c r="K212" s="1" t="s">
        <v>37</v>
      </c>
      <c r="L212" s="1" t="s">
        <v>39</v>
      </c>
      <c r="M212" s="1" t="s">
        <v>39</v>
      </c>
      <c r="N212" s="1" t="s">
        <v>37</v>
      </c>
      <c r="O212" s="1" t="s">
        <v>37</v>
      </c>
      <c r="P212" s="1" t="s">
        <v>37</v>
      </c>
      <c r="Q212" s="1" t="s">
        <v>37</v>
      </c>
      <c r="R212" s="1" t="s">
        <v>141</v>
      </c>
      <c r="S212" s="1" t="s">
        <v>142</v>
      </c>
      <c r="T212" s="1" t="s">
        <v>53</v>
      </c>
      <c r="U212" s="1" t="s">
        <v>46</v>
      </c>
      <c r="V212" s="1" t="s">
        <v>46</v>
      </c>
      <c r="W212" s="1" t="s">
        <v>908</v>
      </c>
      <c r="X212" s="1" t="s">
        <v>909</v>
      </c>
      <c r="Y212" s="1" t="s">
        <v>45</v>
      </c>
      <c r="Z212" s="1" t="s">
        <v>46</v>
      </c>
      <c r="AA212" s="1" t="s">
        <v>47</v>
      </c>
      <c r="AB212" s="1" t="s">
        <v>39</v>
      </c>
      <c r="AC212" s="1" t="s">
        <v>37</v>
      </c>
      <c r="AD212" s="1" t="s">
        <v>37</v>
      </c>
      <c r="AE212" s="1" t="s">
        <v>37</v>
      </c>
      <c r="AF212" s="1" t="s">
        <v>37</v>
      </c>
      <c r="AG212" s="1" t="s">
        <v>39</v>
      </c>
      <c r="AH212" s="1" t="s">
        <v>37</v>
      </c>
      <c r="AI212" s="1" t="s">
        <v>37</v>
      </c>
      <c r="AJ212" s="1" t="s">
        <v>39</v>
      </c>
      <c r="AK212" s="1" t="str">
        <f t="shared" si="7"/>
        <v>Fora de âmbito</v>
      </c>
      <c r="AL212" s="1" t="str">
        <f>+IF(IFERROR(VLOOKUP(A212,Ficheiros!I:I,1,FALSE),"")=A212,"Sim","Não")</f>
        <v>Sim</v>
      </c>
      <c r="AM212" s="1" t="str">
        <f>+IF(IFERROR(VLOOKUP(A212,Ficheiros!E:E,1,FALSE),"")=A212,"Sim","Não")</f>
        <v>Não</v>
      </c>
      <c r="AN212" s="1" t="str">
        <f>+IF(IFERROR(VLOOKUP(A212,Ficheiros!O:O,1,FALSE),"")=A212,"Sim","Não")</f>
        <v>Não</v>
      </c>
      <c r="AO212" s="1" t="str">
        <f>+IF(IFERROR(VLOOKUP(A212,'Especificação Novos Req. LT (2'!A:A,1,FALSE),"")=A212,"Sim","Não")</f>
        <v>Não</v>
      </c>
      <c r="AP212" s="1" t="str">
        <f>+IF(IFERROR(VLOOKUP(A212,Ficheiros!T:T,1,FALSE),"")=A212,"Sim","Não")</f>
        <v>Sim</v>
      </c>
      <c r="AQ212" s="1" t="e">
        <f>+VLOOKUP(A212,Ficheiros!O:P,2,FALSE)</f>
        <v>#N/A</v>
      </c>
      <c r="AR212" s="1" t="str">
        <f>+VLOOKUP(A212,Ficheiros!T:U,2,FALSE)</f>
        <v>6. Outros Desenvolvimentos</v>
      </c>
      <c r="AS212" s="1" t="str">
        <f>+VLOOKUP(A212,Ficheiros!T:V,3,FALSE)</f>
        <v>LF</v>
      </c>
      <c r="AT212" s="1"/>
      <c r="AU212" s="1"/>
      <c r="AV212" s="1"/>
      <c r="AW212" s="1"/>
      <c r="AX212" s="1"/>
    </row>
    <row r="213" spans="1:50" ht="14.5" hidden="1" customHeight="1" x14ac:dyDescent="0.35">
      <c r="A213" s="5" t="str">
        <f t="shared" si="6"/>
        <v>INSTRUMENTFLG_LBO</v>
      </c>
      <c r="B213" s="1" t="s">
        <v>910</v>
      </c>
      <c r="C213" s="1" t="s">
        <v>785</v>
      </c>
      <c r="D213" s="1" t="s">
        <v>134</v>
      </c>
      <c r="E213" s="1" t="s">
        <v>37</v>
      </c>
      <c r="F213" s="26" t="s">
        <v>911</v>
      </c>
      <c r="G213" s="1" t="s">
        <v>911</v>
      </c>
      <c r="H213" s="1" t="s">
        <v>37</v>
      </c>
      <c r="I213" s="1" t="s">
        <v>37</v>
      </c>
      <c r="J213" s="1" t="s">
        <v>37</v>
      </c>
      <c r="K213" s="1" t="s">
        <v>37</v>
      </c>
      <c r="L213" s="1" t="s">
        <v>39</v>
      </c>
      <c r="M213" s="1" t="s">
        <v>39</v>
      </c>
      <c r="N213" s="1" t="s">
        <v>37</v>
      </c>
      <c r="O213" s="1" t="s">
        <v>37</v>
      </c>
      <c r="P213" s="1" t="s">
        <v>37</v>
      </c>
      <c r="Q213" s="1" t="s">
        <v>37</v>
      </c>
      <c r="R213" s="1" t="s">
        <v>141</v>
      </c>
      <c r="S213" s="1" t="s">
        <v>142</v>
      </c>
      <c r="T213" s="1" t="s">
        <v>53</v>
      </c>
      <c r="U213" s="1" t="s">
        <v>42</v>
      </c>
      <c r="V213" s="1" t="s">
        <v>46</v>
      </c>
      <c r="W213" s="1" t="s">
        <v>912</v>
      </c>
      <c r="X213" s="1" t="s">
        <v>913</v>
      </c>
      <c r="Y213" s="1" t="s">
        <v>45</v>
      </c>
      <c r="Z213" s="1" t="s">
        <v>46</v>
      </c>
      <c r="AA213" s="1" t="s">
        <v>47</v>
      </c>
      <c r="AB213" s="1" t="s">
        <v>39</v>
      </c>
      <c r="AC213" s="1" t="s">
        <v>37</v>
      </c>
      <c r="AD213" s="1" t="s">
        <v>37</v>
      </c>
      <c r="AE213" s="1" t="s">
        <v>37</v>
      </c>
      <c r="AF213" s="1" t="s">
        <v>37</v>
      </c>
      <c r="AG213" s="1" t="s">
        <v>39</v>
      </c>
      <c r="AH213" s="1" t="s">
        <v>37</v>
      </c>
      <c r="AI213" s="1" t="s">
        <v>37</v>
      </c>
      <c r="AJ213" s="1" t="s">
        <v>39</v>
      </c>
      <c r="AK213" s="1" t="str">
        <f t="shared" si="7"/>
        <v>Fora de âmbito</v>
      </c>
      <c r="AL213" s="1" t="str">
        <f>+IF(IFERROR(VLOOKUP(A213,Ficheiros!I:I,1,FALSE),"")=A213,"Sim","Não")</f>
        <v>Sim</v>
      </c>
      <c r="AM213" s="1" t="str">
        <f>+IF(IFERROR(VLOOKUP(A213,Ficheiros!E:E,1,FALSE),"")=A213,"Sim","Não")</f>
        <v>Não</v>
      </c>
      <c r="AN213" s="1" t="str">
        <f>+IF(IFERROR(VLOOKUP(A213,Ficheiros!O:O,1,FALSE),"")=A213,"Sim","Não")</f>
        <v>Não</v>
      </c>
      <c r="AO213" s="1" t="str">
        <f>+IF(IFERROR(VLOOKUP(A213,'Especificação Novos Req. LT (2'!A:A,1,FALSE),"")=A213,"Sim","Não")</f>
        <v>Não</v>
      </c>
      <c r="AP213" s="1" t="str">
        <f>+IF(IFERROR(VLOOKUP(A213,Ficheiros!T:T,1,FALSE),"")=A213,"Sim","Não")</f>
        <v>Sim</v>
      </c>
      <c r="AQ213" s="1" t="e">
        <f>+VLOOKUP(A213,Ficheiros!O:P,2,FALSE)</f>
        <v>#N/A</v>
      </c>
      <c r="AR213" s="1" t="str">
        <f>+VLOOKUP(A213,Ficheiros!T:U,2,FALSE)</f>
        <v>9. Concluído</v>
      </c>
      <c r="AS213" s="1" t="str">
        <f>+VLOOKUP(A213,Ficheiros!T:V,3,FALSE)</f>
        <v>PM &amp; LF</v>
      </c>
      <c r="AT213" s="1"/>
      <c r="AU213" s="1"/>
      <c r="AV213" s="1"/>
      <c r="AW213" s="1"/>
      <c r="AX213" s="1"/>
    </row>
    <row r="214" spans="1:50" ht="14.5" hidden="1" customHeight="1" x14ac:dyDescent="0.35">
      <c r="A214" s="5" t="str">
        <f t="shared" si="6"/>
        <v>INSTRUMENTFRBRNC_STTS_INSTRMNT</v>
      </c>
      <c r="B214" s="1" t="s">
        <v>914</v>
      </c>
      <c r="C214" s="1" t="s">
        <v>785</v>
      </c>
      <c r="D214" s="1" t="s">
        <v>134</v>
      </c>
      <c r="E214" s="1" t="s">
        <v>39</v>
      </c>
      <c r="F214" s="25" t="s">
        <v>915</v>
      </c>
      <c r="G214" s="1" t="s">
        <v>915</v>
      </c>
      <c r="H214" s="1" t="s">
        <v>39</v>
      </c>
      <c r="I214" s="1" t="s">
        <v>39</v>
      </c>
      <c r="J214" s="1" t="s">
        <v>39</v>
      </c>
      <c r="K214" s="1" t="s">
        <v>39</v>
      </c>
      <c r="L214" s="1" t="s">
        <v>39</v>
      </c>
      <c r="M214" s="1" t="s">
        <v>39</v>
      </c>
      <c r="N214" s="1" t="s">
        <v>39</v>
      </c>
      <c r="O214" s="1" t="s">
        <v>37</v>
      </c>
      <c r="P214" s="1" t="s">
        <v>39</v>
      </c>
      <c r="Q214" s="1" t="s">
        <v>37</v>
      </c>
      <c r="R214" s="1" t="s">
        <v>136</v>
      </c>
      <c r="S214" s="1" t="s">
        <v>52</v>
      </c>
      <c r="T214" s="1">
        <v>99999999999</v>
      </c>
      <c r="U214" s="1" t="s">
        <v>42</v>
      </c>
      <c r="V214" s="1" t="s">
        <v>42</v>
      </c>
      <c r="W214" s="1" t="s">
        <v>916</v>
      </c>
      <c r="X214" s="1" t="s">
        <v>917</v>
      </c>
      <c r="Y214" s="1" t="s">
        <v>45</v>
      </c>
      <c r="Z214" s="1" t="s">
        <v>46</v>
      </c>
      <c r="AA214" s="1" t="s">
        <v>47</v>
      </c>
      <c r="AB214" s="1" t="s">
        <v>39</v>
      </c>
      <c r="AC214" s="1" t="s">
        <v>37</v>
      </c>
      <c r="AD214" s="1" t="s">
        <v>39</v>
      </c>
      <c r="AE214" s="1" t="s">
        <v>37</v>
      </c>
      <c r="AF214" s="1" t="s">
        <v>37</v>
      </c>
      <c r="AG214" s="1" t="s">
        <v>39</v>
      </c>
      <c r="AH214" s="1" t="s">
        <v>37</v>
      </c>
      <c r="AI214" s="1" t="s">
        <v>39</v>
      </c>
      <c r="AJ214" s="1" t="s">
        <v>39</v>
      </c>
      <c r="AK214" s="1" t="str">
        <f t="shared" si="7"/>
        <v>Apenas Pilar 3</v>
      </c>
      <c r="AL214" s="1" t="str">
        <f>+IF(IFERROR(VLOOKUP(A214,Ficheiros!I:I,1,FALSE),"")=A214,"Sim","Não")</f>
        <v>Sim</v>
      </c>
      <c r="AM214" s="1" t="str">
        <f>+IF(IFERROR(VLOOKUP(A214,Ficheiros!E:E,1,FALSE),"")=A214,"Sim","Não")</f>
        <v>Não</v>
      </c>
      <c r="AN214" s="1" t="str">
        <f>+IF(IFERROR(VLOOKUP(A214,Ficheiros!O:O,1,FALSE),"")=A214,"Sim","Não")</f>
        <v>Não</v>
      </c>
      <c r="AO214" s="1" t="str">
        <f>+IF(IFERROR(VLOOKUP(A214,'Especificação Novos Req. LT (2'!A:A,1,FALSE),"")=A214,"Sim","Não")</f>
        <v>Sim</v>
      </c>
      <c r="AP214" s="1" t="str">
        <f>+IF(IFERROR(VLOOKUP(A214,Ficheiros!T:T,1,FALSE),"")=A214,"Sim","Não")</f>
        <v>Sim</v>
      </c>
      <c r="AQ214" s="1" t="e">
        <f>+VLOOKUP(A214,Ficheiros!O:P,2,FALSE)</f>
        <v>#N/A</v>
      </c>
      <c r="AR214" s="1" t="str">
        <f>+VLOOKUP(A214,Ficheiros!T:U,2,FALSE)</f>
        <v>2. Alterar especificação</v>
      </c>
      <c r="AS214" s="1" t="str">
        <f>+VLOOKUP(A214,Ficheiros!T:V,3,FALSE)</f>
        <v>LF</v>
      </c>
      <c r="AT214" s="1"/>
      <c r="AU214" s="1"/>
      <c r="AV214" s="1" t="s">
        <v>2538</v>
      </c>
      <c r="AW214" s="1"/>
      <c r="AX214" s="1"/>
    </row>
    <row r="215" spans="1:50" ht="14.5" hidden="1" customHeight="1" x14ac:dyDescent="0.35">
      <c r="A215" s="5" t="str">
        <f t="shared" si="6"/>
        <v>INSTRUMENTIMPRMNT_STTS</v>
      </c>
      <c r="B215" s="1" t="s">
        <v>918</v>
      </c>
      <c r="C215" s="1" t="s">
        <v>785</v>
      </c>
      <c r="D215" s="1" t="s">
        <v>134</v>
      </c>
      <c r="E215" s="1" t="s">
        <v>39</v>
      </c>
      <c r="F215" s="25" t="s">
        <v>919</v>
      </c>
      <c r="G215" s="1" t="s">
        <v>919</v>
      </c>
      <c r="H215" s="1" t="s">
        <v>39</v>
      </c>
      <c r="I215" s="1" t="s">
        <v>39</v>
      </c>
      <c r="J215" s="1" t="s">
        <v>39</v>
      </c>
      <c r="K215" s="1" t="s">
        <v>39</v>
      </c>
      <c r="L215" s="1" t="s">
        <v>39</v>
      </c>
      <c r="M215" s="1" t="s">
        <v>39</v>
      </c>
      <c r="N215" s="1" t="s">
        <v>39</v>
      </c>
      <c r="O215" s="1" t="s">
        <v>39</v>
      </c>
      <c r="P215" s="1" t="s">
        <v>39</v>
      </c>
      <c r="Q215" s="1" t="s">
        <v>39</v>
      </c>
      <c r="R215" s="1" t="s">
        <v>136</v>
      </c>
      <c r="S215" s="1" t="s">
        <v>52</v>
      </c>
      <c r="T215" s="1">
        <v>99999999999</v>
      </c>
      <c r="U215" s="1">
        <v>11111111111</v>
      </c>
      <c r="V215" s="1">
        <v>11111111111</v>
      </c>
      <c r="W215" s="1" t="s">
        <v>920</v>
      </c>
      <c r="X215" s="1" t="s">
        <v>921</v>
      </c>
      <c r="Y215" s="1" t="s">
        <v>45</v>
      </c>
      <c r="Z215" s="1" t="s">
        <v>46</v>
      </c>
      <c r="AA215" s="1" t="s">
        <v>47</v>
      </c>
      <c r="AB215" s="1" t="s">
        <v>39</v>
      </c>
      <c r="AC215" s="1" t="s">
        <v>39</v>
      </c>
      <c r="AD215" s="1" t="s">
        <v>39</v>
      </c>
      <c r="AE215" s="1" t="s">
        <v>37</v>
      </c>
      <c r="AF215" s="1" t="s">
        <v>37</v>
      </c>
      <c r="AG215" s="1" t="s">
        <v>39</v>
      </c>
      <c r="AH215" s="1" t="s">
        <v>39</v>
      </c>
      <c r="AI215" s="1" t="s">
        <v>39</v>
      </c>
      <c r="AJ215" s="1" t="s">
        <v>39</v>
      </c>
      <c r="AK215" s="1" t="str">
        <f t="shared" si="7"/>
        <v>Apenas Pilar 3</v>
      </c>
      <c r="AL215" s="1" t="str">
        <f>+IF(IFERROR(VLOOKUP(A215,Ficheiros!I:I,1,FALSE),"")=A215,"Sim","Não")</f>
        <v>Sim</v>
      </c>
      <c r="AM215" s="1" t="str">
        <f>+IF(IFERROR(VLOOKUP(A215,Ficheiros!E:E,1,FALSE),"")=A215,"Sim","Não")</f>
        <v>Não</v>
      </c>
      <c r="AN215" s="1" t="str">
        <f>+IF(IFERROR(VLOOKUP(A215,Ficheiros!O:O,1,FALSE),"")=A215,"Sim","Não")</f>
        <v>Sim</v>
      </c>
      <c r="AO215" s="1" t="str">
        <f>+IF(IFERROR(VLOOKUP(A215,'Especificação Novos Req. LT (2'!A:A,1,FALSE),"")=A215,"Sim","Não")</f>
        <v>Não</v>
      </c>
      <c r="AP215" s="1" t="str">
        <f>+IF(IFERROR(VLOOKUP(A215,Ficheiros!T:T,1,FALSE),"")=A215,"Sim","Não")</f>
        <v>Sim</v>
      </c>
      <c r="AQ215" s="1" t="str">
        <f>+VLOOKUP(A215,Ficheiros!O:P,2,FALSE)</f>
        <v>1. Concluído</v>
      </c>
      <c r="AR215" s="1" t="str">
        <f>+VLOOKUP(A215,Ficheiros!T:U,2,FALSE)</f>
        <v>5.1 Em testes - Re-especificação</v>
      </c>
      <c r="AS215" s="1" t="str">
        <f>+VLOOKUP(A215,Ficheiros!T:V,3,FALSE)</f>
        <v>PM</v>
      </c>
      <c r="AT215" s="1"/>
      <c r="AU215" s="1"/>
      <c r="AV215" s="1"/>
      <c r="AW215" s="1"/>
      <c r="AX215" s="1"/>
    </row>
    <row r="216" spans="1:50" ht="14.5" hidden="1" customHeight="1" x14ac:dyDescent="0.35">
      <c r="A216" s="5" t="str">
        <f t="shared" si="6"/>
        <v>INSTRUMENTIMPRMNT_STTS_PRVS</v>
      </c>
      <c r="B216" s="1" t="s">
        <v>922</v>
      </c>
      <c r="C216" s="1" t="s">
        <v>785</v>
      </c>
      <c r="D216" s="1" t="s">
        <v>134</v>
      </c>
      <c r="E216" s="1" t="s">
        <v>37</v>
      </c>
      <c r="F216" s="25" t="s">
        <v>923</v>
      </c>
      <c r="G216" s="1" t="s">
        <v>923</v>
      </c>
      <c r="H216" s="1" t="s">
        <v>39</v>
      </c>
      <c r="I216" s="1" t="s">
        <v>39</v>
      </c>
      <c r="J216" s="1" t="s">
        <v>39</v>
      </c>
      <c r="K216" s="1" t="s">
        <v>39</v>
      </c>
      <c r="L216" s="1" t="s">
        <v>39</v>
      </c>
      <c r="M216" s="1" t="s">
        <v>39</v>
      </c>
      <c r="N216" s="1" t="s">
        <v>39</v>
      </c>
      <c r="O216" s="1" t="s">
        <v>39</v>
      </c>
      <c r="P216" s="1" t="s">
        <v>37</v>
      </c>
      <c r="Q216" s="1" t="s">
        <v>37</v>
      </c>
      <c r="R216" s="1" t="s">
        <v>136</v>
      </c>
      <c r="S216" s="1" t="s">
        <v>52</v>
      </c>
      <c r="T216" s="1">
        <v>99999999999</v>
      </c>
      <c r="U216" s="1">
        <v>11111111111</v>
      </c>
      <c r="V216" s="1">
        <v>11111111111</v>
      </c>
      <c r="W216" s="1" t="s">
        <v>924</v>
      </c>
      <c r="X216" s="1" t="s">
        <v>925</v>
      </c>
      <c r="Y216" s="1" t="s">
        <v>56</v>
      </c>
      <c r="Z216" s="1" t="s">
        <v>57</v>
      </c>
      <c r="AA216" s="1" t="s">
        <v>47</v>
      </c>
      <c r="AB216" s="1" t="s">
        <v>39</v>
      </c>
      <c r="AC216" s="1" t="s">
        <v>37</v>
      </c>
      <c r="AD216" s="1" t="s">
        <v>37</v>
      </c>
      <c r="AE216" s="1" t="s">
        <v>37</v>
      </c>
      <c r="AF216" s="1" t="s">
        <v>37</v>
      </c>
      <c r="AG216" s="1" t="s">
        <v>39</v>
      </c>
      <c r="AH216" s="1" t="s">
        <v>37</v>
      </c>
      <c r="AI216" s="1" t="s">
        <v>37</v>
      </c>
      <c r="AJ216" s="1" t="s">
        <v>39</v>
      </c>
      <c r="AK216" s="1" t="str">
        <f t="shared" si="7"/>
        <v>Fora de âmbito</v>
      </c>
      <c r="AL216" s="1" t="str">
        <f>+IF(IFERROR(VLOOKUP(A216,Ficheiros!I:I,1,FALSE),"")=A216,"Sim","Não")</f>
        <v>Sim</v>
      </c>
      <c r="AM216" s="1" t="str">
        <f>+IF(IFERROR(VLOOKUP(A216,Ficheiros!E:E,1,FALSE),"")=A216,"Sim","Não")</f>
        <v>Não</v>
      </c>
      <c r="AN216" s="1" t="str">
        <f>+IF(IFERROR(VLOOKUP(A216,Ficheiros!O:O,1,FALSE),"")=A216,"Sim","Não")</f>
        <v>Não</v>
      </c>
      <c r="AO216" s="1" t="str">
        <f>+IF(IFERROR(VLOOKUP(A216,'Especificação Novos Req. LT (2'!A:A,1,FALSE),"")=A216,"Sim","Não")</f>
        <v>Não</v>
      </c>
      <c r="AP216" s="1" t="str">
        <f>+IF(IFERROR(VLOOKUP(A216,Ficheiros!T:T,1,FALSE),"")=A216,"Sim","Não")</f>
        <v>Sim</v>
      </c>
      <c r="AQ216" s="1" t="e">
        <f>+VLOOKUP(A216,Ficheiros!O:P,2,FALSE)</f>
        <v>#N/A</v>
      </c>
      <c r="AR216" s="1" t="str">
        <f>+VLOOKUP(A216,Ficheiros!T:U,2,FALSE)</f>
        <v>5.1 Em testes - Re-especificação</v>
      </c>
      <c r="AS216" s="1" t="str">
        <f>+VLOOKUP(A216,Ficheiros!T:V,3,FALSE)</f>
        <v>PM</v>
      </c>
      <c r="AT216" s="1"/>
      <c r="AU216" s="1"/>
      <c r="AV216" s="1"/>
      <c r="AW216" s="1"/>
      <c r="AX216" s="1"/>
    </row>
    <row r="217" spans="1:50" ht="14.5" hidden="1" customHeight="1" x14ac:dyDescent="0.35">
      <c r="A217" s="5" t="str">
        <f t="shared" si="6"/>
        <v>INSTRUMENTINTRNL_RTNG</v>
      </c>
      <c r="B217" s="1" t="s">
        <v>926</v>
      </c>
      <c r="C217" s="1" t="s">
        <v>785</v>
      </c>
      <c r="D217" s="1" t="s">
        <v>134</v>
      </c>
      <c r="E217" s="1" t="s">
        <v>37</v>
      </c>
      <c r="F217" s="26" t="s">
        <v>231</v>
      </c>
      <c r="G217" s="1" t="s">
        <v>231</v>
      </c>
      <c r="H217" s="1" t="s">
        <v>39</v>
      </c>
      <c r="I217" s="1" t="s">
        <v>39</v>
      </c>
      <c r="J217" s="1" t="s">
        <v>39</v>
      </c>
      <c r="K217" s="1" t="s">
        <v>39</v>
      </c>
      <c r="L217" s="1" t="s">
        <v>39</v>
      </c>
      <c r="M217" s="1" t="s">
        <v>39</v>
      </c>
      <c r="N217" s="1" t="s">
        <v>39</v>
      </c>
      <c r="O217" s="1" t="s">
        <v>39</v>
      </c>
      <c r="P217" s="1" t="s">
        <v>37</v>
      </c>
      <c r="Q217" s="1" t="s">
        <v>37</v>
      </c>
      <c r="R217" s="1" t="s">
        <v>136</v>
      </c>
      <c r="S217" s="1" t="s">
        <v>52</v>
      </c>
      <c r="T217" s="1" t="s">
        <v>53</v>
      </c>
      <c r="U217" s="1" t="s">
        <v>46</v>
      </c>
      <c r="V217" s="1" t="s">
        <v>46</v>
      </c>
      <c r="W217" s="1" t="s">
        <v>232</v>
      </c>
      <c r="X217" s="1" t="s">
        <v>927</v>
      </c>
      <c r="Y217" s="1" t="s">
        <v>45</v>
      </c>
      <c r="Z217" s="1" t="s">
        <v>46</v>
      </c>
      <c r="AA217" s="1" t="s">
        <v>47</v>
      </c>
      <c r="AB217" s="1" t="s">
        <v>39</v>
      </c>
      <c r="AC217" s="1" t="s">
        <v>37</v>
      </c>
      <c r="AD217" s="1" t="s">
        <v>37</v>
      </c>
      <c r="AE217" s="1" t="s">
        <v>37</v>
      </c>
      <c r="AF217" s="1" t="s">
        <v>37</v>
      </c>
      <c r="AG217" s="1" t="s">
        <v>39</v>
      </c>
      <c r="AH217" s="1" t="s">
        <v>37</v>
      </c>
      <c r="AI217" s="1" t="s">
        <v>37</v>
      </c>
      <c r="AJ217" s="1" t="s">
        <v>39</v>
      </c>
      <c r="AK217" s="1" t="str">
        <f t="shared" si="7"/>
        <v>Fora de âmbito</v>
      </c>
      <c r="AL217" s="1" t="str">
        <f>+IF(IFERROR(VLOOKUP(A217,Ficheiros!I:I,1,FALSE),"")=A217,"Sim","Não")</f>
        <v>Sim</v>
      </c>
      <c r="AM217" s="1" t="str">
        <f>+IF(IFERROR(VLOOKUP(A217,Ficheiros!E:E,1,FALSE),"")=A217,"Sim","Não")</f>
        <v>Não</v>
      </c>
      <c r="AN217" s="1" t="str">
        <f>+IF(IFERROR(VLOOKUP(A217,Ficheiros!O:O,1,FALSE),"")=A217,"Sim","Não")</f>
        <v>Não</v>
      </c>
      <c r="AO217" s="1" t="str">
        <f>+IF(IFERROR(VLOOKUP(A217,'Especificação Novos Req. LT (2'!A:A,1,FALSE),"")=A217,"Sim","Não")</f>
        <v>Não</v>
      </c>
      <c r="AP217" s="1" t="str">
        <f>+IF(IFERROR(VLOOKUP(A217,Ficheiros!T:T,1,FALSE),"")=A217,"Sim","Não")</f>
        <v>Sim</v>
      </c>
      <c r="AQ217" s="1" t="e">
        <f>+VLOOKUP(A217,Ficheiros!O:P,2,FALSE)</f>
        <v>#N/A</v>
      </c>
      <c r="AR217" s="1" t="str">
        <f>+VLOOKUP(A217,Ficheiros!T:U,2,FALSE)</f>
        <v>5.1 Em testes - Re-especificação</v>
      </c>
      <c r="AS217" s="1" t="str">
        <f>+VLOOKUP(A217,Ficheiros!T:V,3,FALSE)</f>
        <v>LF</v>
      </c>
      <c r="AT217" s="1"/>
      <c r="AU217" s="1"/>
      <c r="AV217" s="1"/>
      <c r="AW217" s="1"/>
      <c r="AX217" s="1"/>
    </row>
    <row r="218" spans="1:50" ht="14.5" hidden="1" customHeight="1" x14ac:dyDescent="0.35">
      <c r="A218" s="5" t="str">
        <f t="shared" si="6"/>
        <v>INSTRUMENTINTRNL_RTNG_INCPTN</v>
      </c>
      <c r="B218" s="1" t="s">
        <v>928</v>
      </c>
      <c r="C218" s="1" t="s">
        <v>785</v>
      </c>
      <c r="D218" s="1" t="s">
        <v>134</v>
      </c>
      <c r="E218" s="1" t="s">
        <v>37</v>
      </c>
      <c r="F218" s="25" t="s">
        <v>929</v>
      </c>
      <c r="G218" s="1" t="s">
        <v>929</v>
      </c>
      <c r="H218" s="1" t="s">
        <v>39</v>
      </c>
      <c r="I218" s="1" t="s">
        <v>39</v>
      </c>
      <c r="J218" s="1" t="s">
        <v>39</v>
      </c>
      <c r="K218" s="1" t="s">
        <v>39</v>
      </c>
      <c r="L218" s="1" t="s">
        <v>39</v>
      </c>
      <c r="M218" s="1" t="s">
        <v>39</v>
      </c>
      <c r="N218" s="1" t="s">
        <v>39</v>
      </c>
      <c r="O218" s="1" t="s">
        <v>39</v>
      </c>
      <c r="P218" s="1" t="s">
        <v>37</v>
      </c>
      <c r="Q218" s="1" t="s">
        <v>37</v>
      </c>
      <c r="R218" s="1" t="s">
        <v>136</v>
      </c>
      <c r="S218" s="1" t="s">
        <v>52</v>
      </c>
      <c r="T218" s="1" t="s">
        <v>53</v>
      </c>
      <c r="U218" s="1" t="s">
        <v>46</v>
      </c>
      <c r="V218" s="1" t="s">
        <v>46</v>
      </c>
      <c r="W218" s="1" t="s">
        <v>930</v>
      </c>
      <c r="X218" s="1" t="s">
        <v>931</v>
      </c>
      <c r="Y218" s="1" t="s">
        <v>45</v>
      </c>
      <c r="Z218" s="1" t="s">
        <v>46</v>
      </c>
      <c r="AA218" s="1" t="s">
        <v>47</v>
      </c>
      <c r="AB218" s="1" t="s">
        <v>39</v>
      </c>
      <c r="AC218" s="1" t="s">
        <v>37</v>
      </c>
      <c r="AD218" s="1" t="s">
        <v>37</v>
      </c>
      <c r="AE218" s="1" t="s">
        <v>37</v>
      </c>
      <c r="AF218" s="1" t="s">
        <v>37</v>
      </c>
      <c r="AG218" s="1" t="s">
        <v>39</v>
      </c>
      <c r="AH218" s="1" t="s">
        <v>37</v>
      </c>
      <c r="AI218" s="1" t="s">
        <v>37</v>
      </c>
      <c r="AJ218" s="1" t="s">
        <v>39</v>
      </c>
      <c r="AK218" s="1" t="str">
        <f t="shared" si="7"/>
        <v>Fora de âmbito</v>
      </c>
      <c r="AL218" s="1" t="str">
        <f>+IF(IFERROR(VLOOKUP(A218,Ficheiros!I:I,1,FALSE),"")=A218,"Sim","Não")</f>
        <v>Sim</v>
      </c>
      <c r="AM218" s="1" t="str">
        <f>+IF(IFERROR(VLOOKUP(A218,Ficheiros!E:E,1,FALSE),"")=A218,"Sim","Não")</f>
        <v>Não</v>
      </c>
      <c r="AN218" s="1" t="str">
        <f>+IF(IFERROR(VLOOKUP(A218,Ficheiros!O:O,1,FALSE),"")=A218,"Sim","Não")</f>
        <v>Não</v>
      </c>
      <c r="AO218" s="1" t="str">
        <f>+IF(IFERROR(VLOOKUP(A218,'Especificação Novos Req. LT (2'!A:A,1,FALSE),"")=A218,"Sim","Não")</f>
        <v>Não</v>
      </c>
      <c r="AP218" s="1" t="str">
        <f>+IF(IFERROR(VLOOKUP(A218,Ficheiros!T:T,1,FALSE),"")=A218,"Sim","Não")</f>
        <v>Sim</v>
      </c>
      <c r="AQ218" s="1" t="e">
        <f>+VLOOKUP(A218,Ficheiros!O:P,2,FALSE)</f>
        <v>#N/A</v>
      </c>
      <c r="AR218" s="1" t="str">
        <f>+VLOOKUP(A218,Ficheiros!T:U,2,FALSE)</f>
        <v>5.2 Em testes - Incidência</v>
      </c>
      <c r="AS218" s="1" t="str">
        <f>+VLOOKUP(A218,Ficheiros!T:V,3,FALSE)</f>
        <v>LF</v>
      </c>
      <c r="AT218" s="1"/>
      <c r="AU218" s="1"/>
      <c r="AV218" s="1"/>
      <c r="AW218" s="1"/>
      <c r="AX218" s="1"/>
    </row>
    <row r="219" spans="1:50" ht="14.5" hidden="1" customHeight="1" x14ac:dyDescent="0.35">
      <c r="A219" s="5" t="str">
        <f t="shared" si="6"/>
        <v>INSTRUMENTINTRNL_SGMNT</v>
      </c>
      <c r="B219" s="1" t="s">
        <v>932</v>
      </c>
      <c r="C219" s="1" t="s">
        <v>785</v>
      </c>
      <c r="D219" s="1" t="s">
        <v>134</v>
      </c>
      <c r="E219" s="1" t="s">
        <v>37</v>
      </c>
      <c r="F219" s="25" t="s">
        <v>111</v>
      </c>
      <c r="G219" s="1" t="s">
        <v>111</v>
      </c>
      <c r="H219" s="1" t="s">
        <v>39</v>
      </c>
      <c r="I219" s="1" t="s">
        <v>39</v>
      </c>
      <c r="J219" s="1" t="s">
        <v>39</v>
      </c>
      <c r="K219" s="1" t="s">
        <v>39</v>
      </c>
      <c r="L219" s="1" t="s">
        <v>39</v>
      </c>
      <c r="M219" s="1" t="s">
        <v>39</v>
      </c>
      <c r="N219" s="1" t="s">
        <v>39</v>
      </c>
      <c r="O219" s="1" t="s">
        <v>39</v>
      </c>
      <c r="P219" s="1" t="s">
        <v>37</v>
      </c>
      <c r="Q219" s="1" t="s">
        <v>37</v>
      </c>
      <c r="R219" s="1" t="s">
        <v>96</v>
      </c>
      <c r="S219" s="1" t="s">
        <v>41</v>
      </c>
      <c r="T219" s="1" t="s">
        <v>53</v>
      </c>
      <c r="U219" s="1" t="s">
        <v>46</v>
      </c>
      <c r="V219" s="1" t="s">
        <v>46</v>
      </c>
      <c r="W219" s="1" t="s">
        <v>112</v>
      </c>
      <c r="X219" s="1" t="s">
        <v>933</v>
      </c>
      <c r="Y219" s="1" t="s">
        <v>45</v>
      </c>
      <c r="Z219" s="1" t="s">
        <v>46</v>
      </c>
      <c r="AA219" s="1" t="s">
        <v>47</v>
      </c>
      <c r="AB219" s="1" t="s">
        <v>39</v>
      </c>
      <c r="AC219" s="1" t="s">
        <v>37</v>
      </c>
      <c r="AD219" s="1" t="s">
        <v>37</v>
      </c>
      <c r="AE219" s="1" t="s">
        <v>37</v>
      </c>
      <c r="AF219" s="1" t="s">
        <v>39</v>
      </c>
      <c r="AG219" s="1" t="s">
        <v>39</v>
      </c>
      <c r="AH219" s="1" t="s">
        <v>37</v>
      </c>
      <c r="AI219" s="1" t="s">
        <v>37</v>
      </c>
      <c r="AJ219" s="1" t="s">
        <v>39</v>
      </c>
      <c r="AK219" s="1" t="str">
        <f t="shared" si="7"/>
        <v>Apenas ESG Risk</v>
      </c>
      <c r="AL219" s="1" t="str">
        <f>+IF(IFERROR(VLOOKUP(A219,Ficheiros!I:I,1,FALSE),"")=A219,"Sim","Não")</f>
        <v>Sim</v>
      </c>
      <c r="AM219" s="1" t="str">
        <f>+IF(IFERROR(VLOOKUP(A219,Ficheiros!E:E,1,FALSE),"")=A219,"Sim","Não")</f>
        <v>Não</v>
      </c>
      <c r="AN219" s="1" t="str">
        <f>+IF(IFERROR(VLOOKUP(A219,Ficheiros!O:O,1,FALSE),"")=A219,"Sim","Não")</f>
        <v>Não</v>
      </c>
      <c r="AO219" s="1" t="str">
        <f>+IF(IFERROR(VLOOKUP(A219,'Especificação Novos Req. LT (2'!A:A,1,FALSE),"")=A219,"Sim","Não")</f>
        <v>Sim</v>
      </c>
      <c r="AP219" s="1" t="str">
        <f>+IF(IFERROR(VLOOKUP(A219,Ficheiros!T:T,1,FALSE),"")=A219,"Sim","Não")</f>
        <v>Sim</v>
      </c>
      <c r="AQ219" s="1" t="e">
        <f>+VLOOKUP(A219,Ficheiros!O:P,2,FALSE)</f>
        <v>#N/A</v>
      </c>
      <c r="AR219" s="1" t="str">
        <f>+VLOOKUP(A219,Ficheiros!T:U,2,FALSE)</f>
        <v>9. Concluído</v>
      </c>
      <c r="AS219" s="1" t="str">
        <f>+VLOOKUP(A219,Ficheiros!T:V,3,FALSE)</f>
        <v>PM</v>
      </c>
      <c r="AT219" s="1"/>
      <c r="AU219" s="1"/>
      <c r="AV219" s="1" t="s">
        <v>2535</v>
      </c>
      <c r="AW219" s="1"/>
      <c r="AX219" s="1"/>
    </row>
    <row r="220" spans="1:50" ht="14.5" hidden="1" customHeight="1" x14ac:dyDescent="0.35">
      <c r="A220" s="5" t="str">
        <f t="shared" si="6"/>
        <v>INSTRUMENTINTRNL_UNT</v>
      </c>
      <c r="B220" s="1" t="s">
        <v>934</v>
      </c>
      <c r="C220" s="1" t="s">
        <v>785</v>
      </c>
      <c r="D220" s="1" t="s">
        <v>134</v>
      </c>
      <c r="E220" s="1" t="s">
        <v>37</v>
      </c>
      <c r="F220" s="25" t="s">
        <v>116</v>
      </c>
      <c r="G220" s="1" t="s">
        <v>116</v>
      </c>
      <c r="H220" s="1" t="s">
        <v>39</v>
      </c>
      <c r="I220" s="1" t="s">
        <v>39</v>
      </c>
      <c r="J220" s="1" t="s">
        <v>39</v>
      </c>
      <c r="K220" s="1" t="s">
        <v>39</v>
      </c>
      <c r="L220" s="1" t="s">
        <v>39</v>
      </c>
      <c r="M220" s="1" t="s">
        <v>39</v>
      </c>
      <c r="N220" s="1" t="s">
        <v>39</v>
      </c>
      <c r="O220" s="1" t="s">
        <v>39</v>
      </c>
      <c r="P220" s="1" t="s">
        <v>37</v>
      </c>
      <c r="Q220" s="1" t="s">
        <v>37</v>
      </c>
      <c r="R220" s="1" t="s">
        <v>96</v>
      </c>
      <c r="S220" s="1" t="s">
        <v>41</v>
      </c>
      <c r="T220" s="1" t="s">
        <v>53</v>
      </c>
      <c r="U220" s="1" t="s">
        <v>46</v>
      </c>
      <c r="V220" s="1" t="s">
        <v>46</v>
      </c>
      <c r="W220" s="1" t="s">
        <v>117</v>
      </c>
      <c r="X220" s="1" t="s">
        <v>935</v>
      </c>
      <c r="Y220" s="1" t="s">
        <v>45</v>
      </c>
      <c r="Z220" s="1" t="s">
        <v>46</v>
      </c>
      <c r="AA220" s="1" t="s">
        <v>47</v>
      </c>
      <c r="AB220" s="1" t="s">
        <v>39</v>
      </c>
      <c r="AC220" s="1" t="s">
        <v>37</v>
      </c>
      <c r="AD220" s="1" t="s">
        <v>37</v>
      </c>
      <c r="AE220" s="1" t="s">
        <v>37</v>
      </c>
      <c r="AF220" s="1" t="s">
        <v>37</v>
      </c>
      <c r="AG220" s="1" t="s">
        <v>39</v>
      </c>
      <c r="AH220" s="1" t="s">
        <v>37</v>
      </c>
      <c r="AI220" s="1" t="s">
        <v>37</v>
      </c>
      <c r="AJ220" s="1" t="s">
        <v>39</v>
      </c>
      <c r="AK220" s="1" t="str">
        <f t="shared" si="7"/>
        <v>Fora de âmbito</v>
      </c>
      <c r="AL220" s="1" t="str">
        <f>+IF(IFERROR(VLOOKUP(A220,Ficheiros!I:I,1,FALSE),"")=A220,"Sim","Não")</f>
        <v>Sim</v>
      </c>
      <c r="AM220" s="1" t="str">
        <f>+IF(IFERROR(VLOOKUP(A220,Ficheiros!E:E,1,FALSE),"")=A220,"Sim","Não")</f>
        <v>Não</v>
      </c>
      <c r="AN220" s="1" t="str">
        <f>+IF(IFERROR(VLOOKUP(A220,Ficheiros!O:O,1,FALSE),"")=A220,"Sim","Não")</f>
        <v>Não</v>
      </c>
      <c r="AO220" s="1" t="str">
        <f>+IF(IFERROR(VLOOKUP(A220,'Especificação Novos Req. LT (2'!A:A,1,FALSE),"")=A220,"Sim","Não")</f>
        <v>Não</v>
      </c>
      <c r="AP220" s="1" t="str">
        <f>+IF(IFERROR(VLOOKUP(A220,Ficheiros!T:T,1,FALSE),"")=A220,"Sim","Não")</f>
        <v>Sim</v>
      </c>
      <c r="AQ220" s="1" t="e">
        <f>+VLOOKUP(A220,Ficheiros!O:P,2,FALSE)</f>
        <v>#N/A</v>
      </c>
      <c r="AR220" s="1" t="str">
        <f>+VLOOKUP(A220,Ficheiros!T:U,2,FALSE)</f>
        <v>9. Concluído</v>
      </c>
      <c r="AS220" s="1" t="str">
        <f>+VLOOKUP(A220,Ficheiros!T:V,3,FALSE)</f>
        <v>PM</v>
      </c>
      <c r="AT220" s="1"/>
      <c r="AU220" s="1"/>
      <c r="AV220" s="1"/>
      <c r="AW220" s="1"/>
      <c r="AX220" s="1"/>
    </row>
    <row r="221" spans="1:50" ht="14.5" hidden="1" customHeight="1" x14ac:dyDescent="0.35">
      <c r="A221" s="5" t="str">
        <f t="shared" si="6"/>
        <v>INSTRUMENTLCRE</v>
      </c>
      <c r="B221" s="1" t="s">
        <v>936</v>
      </c>
      <c r="C221" s="1" t="s">
        <v>785</v>
      </c>
      <c r="D221" s="1" t="s">
        <v>134</v>
      </c>
      <c r="E221" s="1" t="s">
        <v>37</v>
      </c>
      <c r="F221" s="25" t="s">
        <v>937</v>
      </c>
      <c r="G221" s="1" t="s">
        <v>937</v>
      </c>
      <c r="H221" s="1" t="s">
        <v>37</v>
      </c>
      <c r="I221" s="1" t="s">
        <v>39</v>
      </c>
      <c r="J221" s="1" t="s">
        <v>39</v>
      </c>
      <c r="K221" s="1" t="s">
        <v>39</v>
      </c>
      <c r="L221" s="1" t="s">
        <v>39</v>
      </c>
      <c r="M221" s="1" t="s">
        <v>39</v>
      </c>
      <c r="N221" s="1" t="s">
        <v>39</v>
      </c>
      <c r="O221" s="1" t="s">
        <v>39</v>
      </c>
      <c r="P221" s="1" t="s">
        <v>37</v>
      </c>
      <c r="Q221" s="1" t="s">
        <v>37</v>
      </c>
      <c r="R221" s="1" t="s">
        <v>141</v>
      </c>
      <c r="S221" s="1" t="s">
        <v>142</v>
      </c>
      <c r="T221" s="1" t="s">
        <v>53</v>
      </c>
      <c r="U221" s="1" t="s">
        <v>46</v>
      </c>
      <c r="V221" s="1" t="s">
        <v>46</v>
      </c>
      <c r="W221" s="1" t="s">
        <v>938</v>
      </c>
      <c r="X221" s="1" t="s">
        <v>939</v>
      </c>
      <c r="Y221" s="1" t="s">
        <v>84</v>
      </c>
      <c r="Z221" s="1" t="s">
        <v>940</v>
      </c>
      <c r="AA221" s="1" t="s">
        <v>47</v>
      </c>
      <c r="AB221" s="1" t="s">
        <v>39</v>
      </c>
      <c r="AC221" s="1" t="s">
        <v>37</v>
      </c>
      <c r="AD221" s="1" t="s">
        <v>37</v>
      </c>
      <c r="AE221" s="1" t="s">
        <v>37</v>
      </c>
      <c r="AF221" s="1" t="s">
        <v>37</v>
      </c>
      <c r="AG221" s="1" t="s">
        <v>37</v>
      </c>
      <c r="AH221" s="1" t="s">
        <v>37</v>
      </c>
      <c r="AI221" s="1" t="s">
        <v>37</v>
      </c>
      <c r="AJ221" s="1" t="s">
        <v>39</v>
      </c>
      <c r="AK221" s="1" t="str">
        <f t="shared" si="7"/>
        <v>Fora de âmbito</v>
      </c>
      <c r="AL221" s="1" t="str">
        <f>+IF(IFERROR(VLOOKUP(A221,Ficheiros!I:I,1,FALSE),"")=A221,"Sim","Não")</f>
        <v>Sim</v>
      </c>
      <c r="AM221" s="1" t="str">
        <f>+IF(IFERROR(VLOOKUP(A221,Ficheiros!E:E,1,FALSE),"")=A221,"Sim","Não")</f>
        <v>Não</v>
      </c>
      <c r="AN221" s="1" t="str">
        <f>+IF(IFERROR(VLOOKUP(A221,Ficheiros!O:O,1,FALSE),"")=A221,"Sim","Não")</f>
        <v>Não</v>
      </c>
      <c r="AO221" s="1" t="str">
        <f>+IF(IFERROR(VLOOKUP(A221,'Especificação Novos Req. LT (2'!A:A,1,FALSE),"")=A221,"Sim","Não")</f>
        <v>Não</v>
      </c>
      <c r="AP221" s="1" t="str">
        <f>+IF(IFERROR(VLOOKUP(A221,Ficheiros!T:T,1,FALSE),"")=A221,"Sim","Não")</f>
        <v>Sim</v>
      </c>
      <c r="AQ221" s="1" t="e">
        <f>+VLOOKUP(A221,Ficheiros!O:P,2,FALSE)</f>
        <v>#N/A</v>
      </c>
      <c r="AR221" s="1" t="str">
        <f>+VLOOKUP(A221,Ficheiros!T:U,2,FALSE)</f>
        <v>3. Pendente de decisão</v>
      </c>
      <c r="AS221" s="1" t="str">
        <f>+VLOOKUP(A221,Ficheiros!T:V,3,FALSE)</f>
        <v>PM</v>
      </c>
      <c r="AT221" s="1"/>
      <c r="AU221" s="1"/>
      <c r="AV221" s="1"/>
      <c r="AW221" s="1"/>
      <c r="AX221" s="1"/>
    </row>
    <row r="222" spans="1:50" ht="14.5" hidden="1" customHeight="1" x14ac:dyDescent="0.35">
      <c r="A222" s="5" t="str">
        <f t="shared" si="6"/>
        <v>INSTRUMENTLGL_PRCDNG_STTS</v>
      </c>
      <c r="B222" s="1" t="s">
        <v>941</v>
      </c>
      <c r="C222" s="1" t="s">
        <v>785</v>
      </c>
      <c r="D222" s="1" t="s">
        <v>134</v>
      </c>
      <c r="E222" s="1" t="s">
        <v>37</v>
      </c>
      <c r="F222" s="25" t="s">
        <v>942</v>
      </c>
      <c r="G222" s="1" t="s">
        <v>942</v>
      </c>
      <c r="H222" s="1" t="s">
        <v>39</v>
      </c>
      <c r="I222" s="1" t="s">
        <v>39</v>
      </c>
      <c r="J222" s="1" t="s">
        <v>39</v>
      </c>
      <c r="K222" s="1" t="s">
        <v>39</v>
      </c>
      <c r="L222" s="1" t="s">
        <v>39</v>
      </c>
      <c r="M222" s="1" t="s">
        <v>39</v>
      </c>
      <c r="N222" s="1" t="s">
        <v>37</v>
      </c>
      <c r="O222" s="1" t="s">
        <v>39</v>
      </c>
      <c r="P222" s="1" t="s">
        <v>37</v>
      </c>
      <c r="Q222" s="1" t="s">
        <v>37</v>
      </c>
      <c r="R222" s="1" t="s">
        <v>136</v>
      </c>
      <c r="S222" s="1" t="s">
        <v>52</v>
      </c>
      <c r="T222" s="1">
        <v>99999999999</v>
      </c>
      <c r="U222" s="1">
        <v>11111111111</v>
      </c>
      <c r="V222" s="1">
        <v>11111111111</v>
      </c>
      <c r="W222" s="1" t="s">
        <v>943</v>
      </c>
      <c r="X222" s="1" t="s">
        <v>944</v>
      </c>
      <c r="Y222" s="1" t="s">
        <v>84</v>
      </c>
      <c r="Z222" s="1" t="s">
        <v>242</v>
      </c>
      <c r="AA222" s="1" t="s">
        <v>47</v>
      </c>
      <c r="AB222" s="1" t="s">
        <v>39</v>
      </c>
      <c r="AC222" s="1" t="s">
        <v>37</v>
      </c>
      <c r="AD222" s="1" t="s">
        <v>37</v>
      </c>
      <c r="AE222" s="1" t="s">
        <v>37</v>
      </c>
      <c r="AF222" s="1" t="s">
        <v>37</v>
      </c>
      <c r="AG222" s="1" t="s">
        <v>37</v>
      </c>
      <c r="AH222" s="1" t="s">
        <v>37</v>
      </c>
      <c r="AI222" s="1" t="s">
        <v>37</v>
      </c>
      <c r="AJ222" s="1" t="s">
        <v>39</v>
      </c>
      <c r="AK222" s="1" t="str">
        <f t="shared" si="7"/>
        <v>Fora de âmbito</v>
      </c>
      <c r="AL222" s="1" t="str">
        <f>+IF(IFERROR(VLOOKUP(A222,Ficheiros!I:I,1,FALSE),"")=A222,"Sim","Não")</f>
        <v>Sim</v>
      </c>
      <c r="AM222" s="1" t="str">
        <f>+IF(IFERROR(VLOOKUP(A222,Ficheiros!E:E,1,FALSE),"")=A222,"Sim","Não")</f>
        <v>Não</v>
      </c>
      <c r="AN222" s="1" t="str">
        <f>+IF(IFERROR(VLOOKUP(A222,Ficheiros!O:O,1,FALSE),"")=A222,"Sim","Não")</f>
        <v>Não</v>
      </c>
      <c r="AO222" s="1" t="str">
        <f>+IF(IFERROR(VLOOKUP(A222,'Especificação Novos Req. LT (2'!A:A,1,FALSE),"")=A222,"Sim","Não")</f>
        <v>Não</v>
      </c>
      <c r="AP222" s="1" t="str">
        <f>+IF(IFERROR(VLOOKUP(A222,Ficheiros!T:T,1,FALSE),"")=A222,"Sim","Não")</f>
        <v>Sim</v>
      </c>
      <c r="AQ222" s="1" t="e">
        <f>+VLOOKUP(A222,Ficheiros!O:P,2,FALSE)</f>
        <v>#N/A</v>
      </c>
      <c r="AR222" s="1" t="str">
        <f>+VLOOKUP(A222,Ficheiros!T:U,2,FALSE)</f>
        <v>9. Concluído</v>
      </c>
      <c r="AS222" s="1" t="str">
        <f>+VLOOKUP(A222,Ficheiros!T:V,3,FALSE)</f>
        <v>PM</v>
      </c>
      <c r="AT222" s="1"/>
      <c r="AU222" s="1"/>
      <c r="AV222" s="1"/>
      <c r="AW222" s="1"/>
      <c r="AX222" s="1"/>
    </row>
    <row r="223" spans="1:50" ht="14.5" hidden="1" customHeight="1" x14ac:dyDescent="0.35">
      <c r="A223" s="5" t="str">
        <f t="shared" si="6"/>
        <v>INSTRUMENTLND_DRGTN</v>
      </c>
      <c r="B223" s="1" t="s">
        <v>945</v>
      </c>
      <c r="C223" s="1" t="s">
        <v>785</v>
      </c>
      <c r="D223" s="1" t="s">
        <v>134</v>
      </c>
      <c r="E223" s="1" t="s">
        <v>37</v>
      </c>
      <c r="F223" s="25" t="s">
        <v>946</v>
      </c>
      <c r="G223" s="1" t="s">
        <v>946</v>
      </c>
      <c r="H223" s="1" t="s">
        <v>37</v>
      </c>
      <c r="I223" s="1" t="s">
        <v>37</v>
      </c>
      <c r="J223" s="1" t="s">
        <v>37</v>
      </c>
      <c r="K223" s="1" t="s">
        <v>37</v>
      </c>
      <c r="L223" s="1" t="s">
        <v>37</v>
      </c>
      <c r="M223" s="1" t="s">
        <v>39</v>
      </c>
      <c r="N223" s="1" t="s">
        <v>37</v>
      </c>
      <c r="O223" s="1" t="s">
        <v>37</v>
      </c>
      <c r="P223" s="1" t="s">
        <v>37</v>
      </c>
      <c r="Q223" s="1" t="s">
        <v>37</v>
      </c>
      <c r="R223" s="1" t="s">
        <v>141</v>
      </c>
      <c r="S223" s="1" t="s">
        <v>142</v>
      </c>
      <c r="T223" s="1" t="s">
        <v>53</v>
      </c>
      <c r="U223" s="1" t="s">
        <v>46</v>
      </c>
      <c r="V223" s="1" t="s">
        <v>46</v>
      </c>
      <c r="W223" s="1" t="s">
        <v>947</v>
      </c>
      <c r="X223" s="1" t="s">
        <v>948</v>
      </c>
      <c r="Y223" s="1" t="s">
        <v>45</v>
      </c>
      <c r="Z223" s="1" t="s">
        <v>46</v>
      </c>
      <c r="AA223" s="1" t="s">
        <v>47</v>
      </c>
      <c r="AB223" s="1" t="s">
        <v>39</v>
      </c>
      <c r="AC223" s="1" t="s">
        <v>37</v>
      </c>
      <c r="AD223" s="1" t="s">
        <v>37</v>
      </c>
      <c r="AE223" s="1" t="s">
        <v>37</v>
      </c>
      <c r="AF223" s="1" t="s">
        <v>37</v>
      </c>
      <c r="AG223" s="1" t="s">
        <v>37</v>
      </c>
      <c r="AH223" s="1" t="s">
        <v>37</v>
      </c>
      <c r="AI223" s="1" t="s">
        <v>37</v>
      </c>
      <c r="AJ223" s="1" t="s">
        <v>39</v>
      </c>
      <c r="AK223" s="1" t="str">
        <f t="shared" si="7"/>
        <v>Fora de âmbito</v>
      </c>
      <c r="AL223" s="1" t="str">
        <f>+IF(IFERROR(VLOOKUP(A223,Ficheiros!I:I,1,FALSE),"")=A223,"Sim","Não")</f>
        <v>Sim</v>
      </c>
      <c r="AM223" s="1" t="str">
        <f>+IF(IFERROR(VLOOKUP(A223,Ficheiros!E:E,1,FALSE),"")=A223,"Sim","Não")</f>
        <v>Não</v>
      </c>
      <c r="AN223" s="1" t="str">
        <f>+IF(IFERROR(VLOOKUP(A223,Ficheiros!O:O,1,FALSE),"")=A223,"Sim","Não")</f>
        <v>Não</v>
      </c>
      <c r="AO223" s="1" t="str">
        <f>+IF(IFERROR(VLOOKUP(A223,'Especificação Novos Req. LT (2'!A:A,1,FALSE),"")=A223,"Sim","Não")</f>
        <v>Não</v>
      </c>
      <c r="AP223" s="1" t="str">
        <f>+IF(IFERROR(VLOOKUP(A223,Ficheiros!T:T,1,FALSE),"")=A223,"Sim","Não")</f>
        <v>Sim</v>
      </c>
      <c r="AQ223" s="1" t="e">
        <f>+VLOOKUP(A223,Ficheiros!O:P,2,FALSE)</f>
        <v>#N/A</v>
      </c>
      <c r="AR223" s="1" t="str">
        <f>+VLOOKUP(A223,Ficheiros!T:U,2,FALSE)</f>
        <v>9. Concluído</v>
      </c>
      <c r="AS223" s="1" t="str">
        <f>+VLOOKUP(A223,Ficheiros!T:V,3,FALSE)</f>
        <v>PM</v>
      </c>
      <c r="AT223" s="1"/>
      <c r="AU223" s="1"/>
      <c r="AV223" s="1"/>
      <c r="AW223" s="1"/>
      <c r="AX223" s="1"/>
    </row>
    <row r="224" spans="1:50" ht="14.5" hidden="1" customHeight="1" x14ac:dyDescent="0.35">
      <c r="A224" s="5" t="str">
        <f t="shared" si="6"/>
        <v>INSTRUMENTPOCI</v>
      </c>
      <c r="B224" s="1" t="s">
        <v>949</v>
      </c>
      <c r="C224" s="1" t="s">
        <v>785</v>
      </c>
      <c r="D224" s="1" t="s">
        <v>134</v>
      </c>
      <c r="E224" s="1" t="s">
        <v>37</v>
      </c>
      <c r="F224" s="25" t="s">
        <v>950</v>
      </c>
      <c r="G224" s="1" t="s">
        <v>950</v>
      </c>
      <c r="H224" s="1" t="s">
        <v>37</v>
      </c>
      <c r="I224" s="1" t="s">
        <v>39</v>
      </c>
      <c r="J224" s="1" t="s">
        <v>39</v>
      </c>
      <c r="K224" s="1" t="s">
        <v>39</v>
      </c>
      <c r="L224" s="1" t="s">
        <v>39</v>
      </c>
      <c r="M224" s="1" t="s">
        <v>39</v>
      </c>
      <c r="N224" s="1" t="s">
        <v>39</v>
      </c>
      <c r="O224" s="1" t="s">
        <v>39</v>
      </c>
      <c r="P224" s="1" t="s">
        <v>39</v>
      </c>
      <c r="Q224" s="1" t="s">
        <v>37</v>
      </c>
      <c r="R224" s="1" t="s">
        <v>141</v>
      </c>
      <c r="S224" s="1" t="s">
        <v>142</v>
      </c>
      <c r="T224" s="1" t="s">
        <v>53</v>
      </c>
      <c r="U224" s="1" t="s">
        <v>46</v>
      </c>
      <c r="V224" s="1" t="s">
        <v>46</v>
      </c>
      <c r="W224" s="1" t="s">
        <v>951</v>
      </c>
      <c r="X224" s="1" t="s">
        <v>952</v>
      </c>
      <c r="Y224" s="1" t="s">
        <v>84</v>
      </c>
      <c r="Z224" s="1" t="s">
        <v>953</v>
      </c>
      <c r="AA224" s="1" t="s">
        <v>47</v>
      </c>
      <c r="AB224" s="1" t="s">
        <v>39</v>
      </c>
      <c r="AC224" s="1" t="s">
        <v>37</v>
      </c>
      <c r="AD224" s="1" t="s">
        <v>37</v>
      </c>
      <c r="AE224" s="1" t="s">
        <v>37</v>
      </c>
      <c r="AF224" s="1" t="s">
        <v>37</v>
      </c>
      <c r="AG224" s="1" t="s">
        <v>37</v>
      </c>
      <c r="AH224" s="1" t="s">
        <v>37</v>
      </c>
      <c r="AI224" s="1" t="s">
        <v>37</v>
      </c>
      <c r="AJ224" s="1" t="s">
        <v>39</v>
      </c>
      <c r="AK224" s="1" t="str">
        <f t="shared" si="7"/>
        <v>Fora de âmbito</v>
      </c>
      <c r="AL224" s="1" t="str">
        <f>+IF(IFERROR(VLOOKUP(A224,Ficheiros!I:I,1,FALSE),"")=A224,"Sim","Não")</f>
        <v>Sim</v>
      </c>
      <c r="AM224" s="1" t="str">
        <f>+IF(IFERROR(VLOOKUP(A224,Ficheiros!E:E,1,FALSE),"")=A224,"Sim","Não")</f>
        <v>Não</v>
      </c>
      <c r="AN224" s="1" t="str">
        <f>+IF(IFERROR(VLOOKUP(A224,Ficheiros!O:O,1,FALSE),"")=A224,"Sim","Não")</f>
        <v>Não</v>
      </c>
      <c r="AO224" s="1" t="str">
        <f>+IF(IFERROR(VLOOKUP(A224,'Especificação Novos Req. LT (2'!A:A,1,FALSE),"")=A224,"Sim","Não")</f>
        <v>Não</v>
      </c>
      <c r="AP224" s="1" t="str">
        <f>+IF(IFERROR(VLOOKUP(A224,Ficheiros!T:T,1,FALSE),"")=A224,"Sim","Não")</f>
        <v>Sim</v>
      </c>
      <c r="AQ224" s="1" t="e">
        <f>+VLOOKUP(A224,Ficheiros!O:P,2,FALSE)</f>
        <v>#N/A</v>
      </c>
      <c r="AR224" s="1" t="str">
        <f>+VLOOKUP(A224,Ficheiros!T:U,2,FALSE)</f>
        <v>2. Alterar especificação</v>
      </c>
      <c r="AS224" s="1" t="str">
        <f>+VLOOKUP(A224,Ficheiros!T:V,3,FALSE)</f>
        <v>PM</v>
      </c>
      <c r="AT224" s="1"/>
      <c r="AU224" s="1"/>
      <c r="AV224" s="1"/>
      <c r="AW224" s="1"/>
      <c r="AX224" s="1"/>
    </row>
    <row r="225" spans="1:50" ht="14.5" hidden="1" customHeight="1" x14ac:dyDescent="0.35">
      <c r="A225" s="5" t="str">
        <f t="shared" si="6"/>
        <v>INSTRUMENTPRFRMNG_STTS</v>
      </c>
      <c r="B225" s="1" t="s">
        <v>954</v>
      </c>
      <c r="C225" s="1" t="s">
        <v>785</v>
      </c>
      <c r="D225" s="1" t="s">
        <v>134</v>
      </c>
      <c r="E225" s="1" t="s">
        <v>39</v>
      </c>
      <c r="F225" s="25" t="s">
        <v>955</v>
      </c>
      <c r="G225" s="1" t="s">
        <v>955</v>
      </c>
      <c r="H225" s="1" t="s">
        <v>39</v>
      </c>
      <c r="I225" s="1" t="s">
        <v>39</v>
      </c>
      <c r="J225" s="1" t="s">
        <v>39</v>
      </c>
      <c r="K225" s="1" t="s">
        <v>39</v>
      </c>
      <c r="L225" s="1" t="s">
        <v>39</v>
      </c>
      <c r="M225" s="1" t="s">
        <v>39</v>
      </c>
      <c r="N225" s="1" t="s">
        <v>39</v>
      </c>
      <c r="O225" s="1" t="s">
        <v>39</v>
      </c>
      <c r="P225" s="1" t="s">
        <v>37</v>
      </c>
      <c r="Q225" s="1" t="s">
        <v>39</v>
      </c>
      <c r="R225" s="1" t="s">
        <v>136</v>
      </c>
      <c r="S225" s="1" t="s">
        <v>52</v>
      </c>
      <c r="T225" s="1">
        <v>99999999999</v>
      </c>
      <c r="U225" s="1" t="s">
        <v>42</v>
      </c>
      <c r="V225" s="1">
        <v>11111111111</v>
      </c>
      <c r="W225" s="1" t="s">
        <v>249</v>
      </c>
      <c r="X225" s="1" t="s">
        <v>956</v>
      </c>
      <c r="Y225" s="1" t="s">
        <v>45</v>
      </c>
      <c r="Z225" s="1" t="s">
        <v>46</v>
      </c>
      <c r="AA225" s="1" t="s">
        <v>47</v>
      </c>
      <c r="AB225" s="1" t="s">
        <v>39</v>
      </c>
      <c r="AC225" s="1" t="s">
        <v>39</v>
      </c>
      <c r="AD225" s="1" t="s">
        <v>39</v>
      </c>
      <c r="AE225" s="1" t="s">
        <v>37</v>
      </c>
      <c r="AF225" s="1" t="s">
        <v>37</v>
      </c>
      <c r="AG225" s="1" t="s">
        <v>39</v>
      </c>
      <c r="AH225" s="1" t="s">
        <v>39</v>
      </c>
      <c r="AI225" s="1" t="s">
        <v>39</v>
      </c>
      <c r="AJ225" s="1" t="s">
        <v>39</v>
      </c>
      <c r="AK225" s="1" t="str">
        <f t="shared" si="7"/>
        <v>Apenas Pilar 3</v>
      </c>
      <c r="AL225" s="1" t="str">
        <f>+IF(IFERROR(VLOOKUP(A225,Ficheiros!I:I,1,FALSE),"")=A225,"Sim","Não")</f>
        <v>Sim</v>
      </c>
      <c r="AM225" s="1" t="str">
        <f>+IF(IFERROR(VLOOKUP(A225,Ficheiros!E:E,1,FALSE),"")=A225,"Sim","Não")</f>
        <v>Não</v>
      </c>
      <c r="AN225" s="1" t="str">
        <f>+IF(IFERROR(VLOOKUP(A225,Ficheiros!O:O,1,FALSE),"")=A225,"Sim","Não")</f>
        <v>Sim</v>
      </c>
      <c r="AO225" s="1" t="str">
        <f>+IF(IFERROR(VLOOKUP(A225,'Especificação Novos Req. LT (2'!A:A,1,FALSE),"")=A225,"Sim","Não")</f>
        <v>Não</v>
      </c>
      <c r="AP225" s="1" t="str">
        <f>+IF(IFERROR(VLOOKUP(A225,Ficheiros!T:T,1,FALSE),"")=A225,"Sim","Não")</f>
        <v>Sim</v>
      </c>
      <c r="AQ225" s="1" t="str">
        <f>+VLOOKUP(A225,Ficheiros!O:P,2,FALSE)</f>
        <v>1. Concluído</v>
      </c>
      <c r="AR225" s="1" t="str">
        <f>+VLOOKUP(A225,Ficheiros!T:U,2,FALSE)</f>
        <v>5.1 Em testes - Re-especificação</v>
      </c>
      <c r="AS225" s="1" t="str">
        <f>+VLOOKUP(A225,Ficheiros!T:V,3,FALSE)</f>
        <v>PM</v>
      </c>
      <c r="AT225" s="1"/>
      <c r="AU225" s="1"/>
      <c r="AV225" s="1"/>
      <c r="AW225" s="1"/>
      <c r="AX225" s="1"/>
    </row>
    <row r="226" spans="1:50" ht="14.5" hidden="1" customHeight="1" x14ac:dyDescent="0.35">
      <c r="A226" s="5" t="str">
        <f t="shared" si="6"/>
        <v>INSTRUMENTPRFRMNG_STTS_PRVS</v>
      </c>
      <c r="B226" s="1" t="s">
        <v>957</v>
      </c>
      <c r="C226" s="1" t="s">
        <v>785</v>
      </c>
      <c r="D226" s="1" t="s">
        <v>134</v>
      </c>
      <c r="E226" s="1" t="s">
        <v>37</v>
      </c>
      <c r="F226" s="26" t="s">
        <v>958</v>
      </c>
      <c r="G226" s="1" t="s">
        <v>958</v>
      </c>
      <c r="H226" s="1" t="s">
        <v>39</v>
      </c>
      <c r="I226" s="1" t="s">
        <v>39</v>
      </c>
      <c r="J226" s="1" t="s">
        <v>39</v>
      </c>
      <c r="K226" s="1" t="s">
        <v>39</v>
      </c>
      <c r="L226" s="1" t="s">
        <v>39</v>
      </c>
      <c r="M226" s="1" t="s">
        <v>39</v>
      </c>
      <c r="N226" s="1" t="s">
        <v>39</v>
      </c>
      <c r="O226" s="1" t="s">
        <v>39</v>
      </c>
      <c r="P226" s="1" t="s">
        <v>37</v>
      </c>
      <c r="Q226" s="1" t="s">
        <v>37</v>
      </c>
      <c r="R226" s="1" t="s">
        <v>136</v>
      </c>
      <c r="S226" s="1" t="s">
        <v>52</v>
      </c>
      <c r="T226" s="1">
        <v>99999999999</v>
      </c>
      <c r="U226" s="1">
        <v>11111111111</v>
      </c>
      <c r="V226" s="1">
        <v>11111111111</v>
      </c>
      <c r="W226" s="1" t="s">
        <v>959</v>
      </c>
      <c r="X226" s="1" t="s">
        <v>960</v>
      </c>
      <c r="Y226" s="1" t="s">
        <v>84</v>
      </c>
      <c r="Z226" s="1" t="s">
        <v>961</v>
      </c>
      <c r="AA226" s="1" t="s">
        <v>47</v>
      </c>
      <c r="AB226" s="1" t="s">
        <v>39</v>
      </c>
      <c r="AC226" s="1" t="s">
        <v>37</v>
      </c>
      <c r="AD226" s="1" t="s">
        <v>37</v>
      </c>
      <c r="AE226" s="1" t="s">
        <v>37</v>
      </c>
      <c r="AF226" s="1" t="s">
        <v>37</v>
      </c>
      <c r="AG226" s="1" t="s">
        <v>39</v>
      </c>
      <c r="AH226" s="1" t="s">
        <v>37</v>
      </c>
      <c r="AI226" s="1" t="s">
        <v>37</v>
      </c>
      <c r="AJ226" s="1" t="s">
        <v>39</v>
      </c>
      <c r="AK226" s="1" t="str">
        <f t="shared" si="7"/>
        <v>Fora de âmbito</v>
      </c>
      <c r="AL226" s="1" t="str">
        <f>+IF(IFERROR(VLOOKUP(A226,Ficheiros!I:I,1,FALSE),"")=A226,"Sim","Não")</f>
        <v>Sim</v>
      </c>
      <c r="AM226" s="1" t="str">
        <f>+IF(IFERROR(VLOOKUP(A226,Ficheiros!E:E,1,FALSE),"")=A226,"Sim","Não")</f>
        <v>Não</v>
      </c>
      <c r="AN226" s="1" t="str">
        <f>+IF(IFERROR(VLOOKUP(A226,Ficheiros!O:O,1,FALSE),"")=A226,"Sim","Não")</f>
        <v>Não</v>
      </c>
      <c r="AO226" s="1" t="str">
        <f>+IF(IFERROR(VLOOKUP(A226,'Especificação Novos Req. LT (2'!A:A,1,FALSE),"")=A226,"Sim","Não")</f>
        <v>Não</v>
      </c>
      <c r="AP226" s="1" t="str">
        <f>+IF(IFERROR(VLOOKUP(A226,Ficheiros!T:T,1,FALSE),"")=A226,"Sim","Não")</f>
        <v>Sim</v>
      </c>
      <c r="AQ226" s="1" t="e">
        <f>+VLOOKUP(A226,Ficheiros!O:P,2,FALSE)</f>
        <v>#N/A</v>
      </c>
      <c r="AR226" s="1" t="str">
        <f>+VLOOKUP(A226,Ficheiros!T:U,2,FALSE)</f>
        <v>5.1 Em testes - Re-especificação</v>
      </c>
      <c r="AS226" s="1" t="str">
        <f>+VLOOKUP(A226,Ficheiros!T:V,3,FALSE)</f>
        <v>PM</v>
      </c>
      <c r="AT226" s="1"/>
      <c r="AU226" s="1"/>
      <c r="AV226" s="1"/>
      <c r="AW226" s="1"/>
      <c r="AX226" s="1"/>
    </row>
    <row r="227" spans="1:50" ht="14.5" hidden="1" customHeight="1" x14ac:dyDescent="0.35">
      <c r="A227" s="5" t="str">
        <f t="shared" si="6"/>
        <v>INSTRUMENTPRJCT_FNNC_LN</v>
      </c>
      <c r="B227" s="1" t="s">
        <v>962</v>
      </c>
      <c r="C227" s="1" t="s">
        <v>785</v>
      </c>
      <c r="D227" s="1" t="s">
        <v>134</v>
      </c>
      <c r="E227" s="1" t="s">
        <v>39</v>
      </c>
      <c r="F227" s="25" t="s">
        <v>963</v>
      </c>
      <c r="G227" s="1" t="s">
        <v>963</v>
      </c>
      <c r="H227" s="1" t="s">
        <v>37</v>
      </c>
      <c r="I227" s="1" t="s">
        <v>39</v>
      </c>
      <c r="J227" s="1" t="s">
        <v>39</v>
      </c>
      <c r="K227" s="1" t="s">
        <v>39</v>
      </c>
      <c r="L227" s="1" t="s">
        <v>39</v>
      </c>
      <c r="M227" s="1" t="s">
        <v>39</v>
      </c>
      <c r="N227" s="1" t="s">
        <v>37</v>
      </c>
      <c r="O227" s="1" t="s">
        <v>37</v>
      </c>
      <c r="P227" s="1" t="s">
        <v>37</v>
      </c>
      <c r="Q227" s="1" t="s">
        <v>37</v>
      </c>
      <c r="R227" s="1" t="s">
        <v>136</v>
      </c>
      <c r="S227" s="1" t="s">
        <v>52</v>
      </c>
      <c r="T227" s="1">
        <v>99999999999</v>
      </c>
      <c r="U227" s="1">
        <v>11111111111</v>
      </c>
      <c r="V227" s="1">
        <v>11111111111</v>
      </c>
      <c r="W227" s="1" t="s">
        <v>964</v>
      </c>
      <c r="X227" s="1" t="s">
        <v>965</v>
      </c>
      <c r="Y227" s="1" t="s">
        <v>56</v>
      </c>
      <c r="Z227" s="1" t="s">
        <v>57</v>
      </c>
      <c r="AA227" s="1" t="s">
        <v>47</v>
      </c>
      <c r="AB227" s="1" t="s">
        <v>39</v>
      </c>
      <c r="AC227" s="1" t="s">
        <v>37</v>
      </c>
      <c r="AD227" s="1" t="s">
        <v>39</v>
      </c>
      <c r="AE227" s="1" t="s">
        <v>37</v>
      </c>
      <c r="AF227" s="1" t="s">
        <v>37</v>
      </c>
      <c r="AG227" s="1" t="s">
        <v>37</v>
      </c>
      <c r="AH227" s="1" t="s">
        <v>37</v>
      </c>
      <c r="AI227" s="1" t="s">
        <v>39</v>
      </c>
      <c r="AJ227" s="1" t="s">
        <v>39</v>
      </c>
      <c r="AK227" s="1" t="str">
        <f t="shared" si="7"/>
        <v>Apenas Pilar 3</v>
      </c>
      <c r="AL227" s="1" t="str">
        <f>+IF(IFERROR(VLOOKUP(A227,Ficheiros!I:I,1,FALSE),"")=A227,"Sim","Não")</f>
        <v>Sim</v>
      </c>
      <c r="AM227" s="1" t="str">
        <f>+IF(IFERROR(VLOOKUP(A227,Ficheiros!E:E,1,FALSE),"")=A227,"Sim","Não")</f>
        <v>Não</v>
      </c>
      <c r="AN227" s="1" t="str">
        <f>+IF(IFERROR(VLOOKUP(A227,Ficheiros!O:O,1,FALSE),"")=A227,"Sim","Não")</f>
        <v>Sim</v>
      </c>
      <c r="AO227" s="1" t="str">
        <f>+IF(IFERROR(VLOOKUP(A227,'Especificação Novos Req. LT (2'!A:A,1,FALSE),"")=A227,"Sim","Não")</f>
        <v>Não</v>
      </c>
      <c r="AP227" s="1" t="str">
        <f>+IF(IFERROR(VLOOKUP(A227,Ficheiros!T:T,1,FALSE),"")=A227,"Sim","Não")</f>
        <v>Sim</v>
      </c>
      <c r="AQ227" s="1" t="str">
        <f>+VLOOKUP(A227,Ficheiros!O:P,2,FALSE)</f>
        <v>1. Concluído</v>
      </c>
      <c r="AR227" s="1" t="str">
        <f>+VLOOKUP(A227,Ficheiros!T:U,2,FALSE)</f>
        <v>9. Concluído</v>
      </c>
      <c r="AS227" s="1" t="str">
        <f>+VLOOKUP(A227,Ficheiros!T:V,3,FALSE)</f>
        <v>PM</v>
      </c>
      <c r="AT227" s="1"/>
      <c r="AU227" s="1"/>
      <c r="AV227" s="1"/>
      <c r="AW227" s="1"/>
      <c r="AX227" s="1"/>
    </row>
    <row r="228" spans="1:50" ht="14.5" hidden="1" customHeight="1" x14ac:dyDescent="0.35">
      <c r="A228" s="5" t="str">
        <f t="shared" si="6"/>
        <v>INSTRUMENTPRPS</v>
      </c>
      <c r="B228" s="1" t="s">
        <v>966</v>
      </c>
      <c r="C228" s="1" t="s">
        <v>785</v>
      </c>
      <c r="D228" s="1" t="s">
        <v>134</v>
      </c>
      <c r="E228" s="1" t="s">
        <v>39</v>
      </c>
      <c r="F228" s="25" t="s">
        <v>967</v>
      </c>
      <c r="G228" s="1" t="s">
        <v>967</v>
      </c>
      <c r="H228" s="1" t="s">
        <v>37</v>
      </c>
      <c r="I228" s="1" t="s">
        <v>39</v>
      </c>
      <c r="J228" s="1" t="s">
        <v>39</v>
      </c>
      <c r="K228" s="1" t="s">
        <v>39</v>
      </c>
      <c r="L228" s="1" t="s">
        <v>39</v>
      </c>
      <c r="M228" s="1" t="s">
        <v>39</v>
      </c>
      <c r="N228" s="1" t="s">
        <v>39</v>
      </c>
      <c r="O228" s="1" t="s">
        <v>37</v>
      </c>
      <c r="P228" s="1" t="s">
        <v>37</v>
      </c>
      <c r="Q228" s="1" t="s">
        <v>37</v>
      </c>
      <c r="R228" s="1" t="s">
        <v>136</v>
      </c>
      <c r="S228" s="1" t="s">
        <v>52</v>
      </c>
      <c r="T228" s="1">
        <v>99999999999</v>
      </c>
      <c r="U228" s="1">
        <v>11111111111</v>
      </c>
      <c r="V228" s="1">
        <v>11111111111</v>
      </c>
      <c r="W228" s="1" t="s">
        <v>968</v>
      </c>
      <c r="X228" s="1" t="s">
        <v>969</v>
      </c>
      <c r="Y228" s="1" t="s">
        <v>45</v>
      </c>
      <c r="Z228" s="1" t="s">
        <v>46</v>
      </c>
      <c r="AA228" s="1" t="s">
        <v>47</v>
      </c>
      <c r="AB228" s="1" t="s">
        <v>39</v>
      </c>
      <c r="AC228" s="1" t="s">
        <v>37</v>
      </c>
      <c r="AD228" s="1" t="s">
        <v>37</v>
      </c>
      <c r="AE228" s="1" t="s">
        <v>37</v>
      </c>
      <c r="AF228" s="1" t="s">
        <v>37</v>
      </c>
      <c r="AG228" s="1" t="s">
        <v>39</v>
      </c>
      <c r="AH228" s="1" t="s">
        <v>37</v>
      </c>
      <c r="AI228" s="1" t="s">
        <v>37</v>
      </c>
      <c r="AJ228" s="1" t="s">
        <v>39</v>
      </c>
      <c r="AK228" s="1" t="str">
        <f t="shared" si="7"/>
        <v>Fora de âmbito</v>
      </c>
      <c r="AL228" s="1" t="str">
        <f>+IF(IFERROR(VLOOKUP(A228,Ficheiros!I:I,1,FALSE),"")=A228,"Sim","Não")</f>
        <v>Sim</v>
      </c>
      <c r="AM228" s="1" t="str">
        <f>+IF(IFERROR(VLOOKUP(A228,Ficheiros!E:E,1,FALSE),"")=A228,"Sim","Não")</f>
        <v>Não</v>
      </c>
      <c r="AN228" s="1" t="str">
        <f>+IF(IFERROR(VLOOKUP(A228,Ficheiros!O:O,1,FALSE),"")=A228,"Sim","Não")</f>
        <v>Não</v>
      </c>
      <c r="AO228" s="1" t="str">
        <f>+IF(IFERROR(VLOOKUP(A228,'Especificação Novos Req. LT (2'!A:A,1,FALSE),"")=A228,"Sim","Não")</f>
        <v>Não</v>
      </c>
      <c r="AP228" s="1" t="str">
        <f>+IF(IFERROR(VLOOKUP(A228,Ficheiros!T:T,1,FALSE),"")=A228,"Sim","Não")</f>
        <v>Sim</v>
      </c>
      <c r="AQ228" s="1" t="e">
        <f>+VLOOKUP(A228,Ficheiros!O:P,2,FALSE)</f>
        <v>#N/A</v>
      </c>
      <c r="AR228" s="1" t="str">
        <f>+VLOOKUP(A228,Ficheiros!T:U,2,FALSE)</f>
        <v>9. Concluído</v>
      </c>
      <c r="AS228" s="1" t="str">
        <f>+VLOOKUP(A228,Ficheiros!T:V,3,FALSE)</f>
        <v>PM</v>
      </c>
      <c r="AT228" s="1"/>
      <c r="AU228" s="1"/>
      <c r="AV228" s="1"/>
      <c r="AW228" s="1"/>
      <c r="AX228" s="1"/>
    </row>
    <row r="229" spans="1:50" ht="14.5" hidden="1" customHeight="1" x14ac:dyDescent="0.35">
      <c r="A229" s="5" t="str">
        <f t="shared" si="6"/>
        <v>INSTRUMENTPYMNT_INTRST_ONLY</v>
      </c>
      <c r="B229" s="1" t="s">
        <v>970</v>
      </c>
      <c r="C229" s="1" t="s">
        <v>785</v>
      </c>
      <c r="D229" s="1" t="s">
        <v>134</v>
      </c>
      <c r="E229" s="1" t="s">
        <v>37</v>
      </c>
      <c r="F229" s="25" t="s">
        <v>971</v>
      </c>
      <c r="G229" s="1" t="s">
        <v>971</v>
      </c>
      <c r="H229" s="1" t="s">
        <v>37</v>
      </c>
      <c r="I229" s="1" t="s">
        <v>39</v>
      </c>
      <c r="J229" s="1" t="s">
        <v>39</v>
      </c>
      <c r="K229" s="1" t="s">
        <v>39</v>
      </c>
      <c r="L229" s="1" t="s">
        <v>39</v>
      </c>
      <c r="M229" s="1" t="s">
        <v>39</v>
      </c>
      <c r="N229" s="1" t="s">
        <v>39</v>
      </c>
      <c r="O229" s="1" t="s">
        <v>37</v>
      </c>
      <c r="P229" s="1" t="s">
        <v>37</v>
      </c>
      <c r="Q229" s="1" t="s">
        <v>37</v>
      </c>
      <c r="R229" s="1" t="s">
        <v>141</v>
      </c>
      <c r="S229" s="1" t="s">
        <v>142</v>
      </c>
      <c r="T229" s="1" t="s">
        <v>53</v>
      </c>
      <c r="U229" s="1" t="s">
        <v>46</v>
      </c>
      <c r="V229" s="1" t="s">
        <v>46</v>
      </c>
      <c r="W229" s="1" t="s">
        <v>972</v>
      </c>
      <c r="X229" s="1" t="s">
        <v>973</v>
      </c>
      <c r="Y229" s="1" t="s">
        <v>45</v>
      </c>
      <c r="Z229" s="1" t="s">
        <v>46</v>
      </c>
      <c r="AA229" s="1" t="s">
        <v>47</v>
      </c>
      <c r="AB229" s="1" t="s">
        <v>39</v>
      </c>
      <c r="AC229" s="1" t="s">
        <v>37</v>
      </c>
      <c r="AD229" s="1" t="s">
        <v>37</v>
      </c>
      <c r="AE229" s="1" t="s">
        <v>37</v>
      </c>
      <c r="AF229" s="1" t="s">
        <v>37</v>
      </c>
      <c r="AG229" s="1" t="s">
        <v>39</v>
      </c>
      <c r="AH229" s="1" t="s">
        <v>37</v>
      </c>
      <c r="AI229" s="1" t="s">
        <v>37</v>
      </c>
      <c r="AJ229" s="1" t="s">
        <v>39</v>
      </c>
      <c r="AK229" s="1" t="str">
        <f t="shared" si="7"/>
        <v>Fora de âmbito</v>
      </c>
      <c r="AL229" s="1" t="str">
        <f>+IF(IFERROR(VLOOKUP(A229,Ficheiros!I:I,1,FALSE),"")=A229,"Sim","Não")</f>
        <v>Sim</v>
      </c>
      <c r="AM229" s="1" t="str">
        <f>+IF(IFERROR(VLOOKUP(A229,Ficheiros!E:E,1,FALSE),"")=A229,"Sim","Não")</f>
        <v>Não</v>
      </c>
      <c r="AN229" s="1" t="str">
        <f>+IF(IFERROR(VLOOKUP(A229,Ficheiros!O:O,1,FALSE),"")=A229,"Sim","Não")</f>
        <v>Não</v>
      </c>
      <c r="AO229" s="1" t="str">
        <f>+IF(IFERROR(VLOOKUP(A229,'Especificação Novos Req. LT (2'!A:A,1,FALSE),"")=A229,"Sim","Não")</f>
        <v>Não</v>
      </c>
      <c r="AP229" s="1" t="str">
        <f>+IF(IFERROR(VLOOKUP(A229,Ficheiros!T:T,1,FALSE),"")=A229,"Sim","Não")</f>
        <v>Sim</v>
      </c>
      <c r="AQ229" s="1" t="e">
        <f>+VLOOKUP(A229,Ficheiros!O:P,2,FALSE)</f>
        <v>#N/A</v>
      </c>
      <c r="AR229" s="1" t="str">
        <f>+VLOOKUP(A229,Ficheiros!T:U,2,FALSE)</f>
        <v>3. Pendente de decisão</v>
      </c>
      <c r="AS229" s="1" t="str">
        <f>+VLOOKUP(A229,Ficheiros!T:V,3,FALSE)</f>
        <v>LF</v>
      </c>
      <c r="AT229" s="1"/>
      <c r="AU229" s="1"/>
      <c r="AV229" s="1"/>
      <c r="AW229" s="1"/>
      <c r="AX229" s="1"/>
    </row>
    <row r="230" spans="1:50" ht="14.5" hidden="1" customHeight="1" x14ac:dyDescent="0.35">
      <c r="A230" s="5" t="str">
        <f t="shared" si="6"/>
        <v>INSTRUMENTRCRS</v>
      </c>
      <c r="B230" s="1" t="s">
        <v>974</v>
      </c>
      <c r="C230" s="1" t="s">
        <v>785</v>
      </c>
      <c r="D230" s="1" t="s">
        <v>134</v>
      </c>
      <c r="E230" s="1" t="s">
        <v>39</v>
      </c>
      <c r="F230" s="25" t="s">
        <v>975</v>
      </c>
      <c r="G230" s="1" t="s">
        <v>975</v>
      </c>
      <c r="H230" s="1" t="s">
        <v>37</v>
      </c>
      <c r="I230" s="1" t="s">
        <v>39</v>
      </c>
      <c r="J230" s="1" t="s">
        <v>39</v>
      </c>
      <c r="K230" s="1" t="s">
        <v>39</v>
      </c>
      <c r="L230" s="1" t="s">
        <v>39</v>
      </c>
      <c r="M230" s="1" t="s">
        <v>39</v>
      </c>
      <c r="N230" s="1" t="s">
        <v>37</v>
      </c>
      <c r="O230" s="1" t="s">
        <v>37</v>
      </c>
      <c r="P230" s="1" t="s">
        <v>37</v>
      </c>
      <c r="Q230" s="1" t="s">
        <v>37</v>
      </c>
      <c r="R230" s="1" t="s">
        <v>136</v>
      </c>
      <c r="S230" s="1" t="s">
        <v>52</v>
      </c>
      <c r="T230" s="1">
        <v>99999999999</v>
      </c>
      <c r="U230" s="1">
        <v>11111111111</v>
      </c>
      <c r="V230" s="1">
        <v>11111111111</v>
      </c>
      <c r="W230" s="1" t="s">
        <v>976</v>
      </c>
      <c r="X230" s="1" t="s">
        <v>977</v>
      </c>
      <c r="Y230" s="1" t="s">
        <v>45</v>
      </c>
      <c r="Z230" s="1" t="s">
        <v>46</v>
      </c>
      <c r="AA230" s="1" t="s">
        <v>47</v>
      </c>
      <c r="AB230" s="1" t="s">
        <v>39</v>
      </c>
      <c r="AC230" s="1" t="s">
        <v>37</v>
      </c>
      <c r="AD230" s="1" t="s">
        <v>37</v>
      </c>
      <c r="AE230" s="1" t="s">
        <v>37</v>
      </c>
      <c r="AF230" s="1" t="s">
        <v>37</v>
      </c>
      <c r="AG230" s="1" t="s">
        <v>37</v>
      </c>
      <c r="AH230" s="1" t="s">
        <v>37</v>
      </c>
      <c r="AI230" s="1" t="s">
        <v>37</v>
      </c>
      <c r="AJ230" s="1" t="s">
        <v>39</v>
      </c>
      <c r="AK230" s="1" t="str">
        <f t="shared" si="7"/>
        <v>Fora de âmbito</v>
      </c>
      <c r="AL230" s="1" t="str">
        <f>+IF(IFERROR(VLOOKUP(A230,Ficheiros!I:I,1,FALSE),"")=A230,"Sim","Não")</f>
        <v>Sim</v>
      </c>
      <c r="AM230" s="1" t="str">
        <f>+IF(IFERROR(VLOOKUP(A230,Ficheiros!E:E,1,FALSE),"")=A230,"Sim","Não")</f>
        <v>Não</v>
      </c>
      <c r="AN230" s="1" t="str">
        <f>+IF(IFERROR(VLOOKUP(A230,Ficheiros!O:O,1,FALSE),"")=A230,"Sim","Não")</f>
        <v>Não</v>
      </c>
      <c r="AO230" s="1" t="str">
        <f>+IF(IFERROR(VLOOKUP(A230,'Especificação Novos Req. LT (2'!A:A,1,FALSE),"")=A230,"Sim","Não")</f>
        <v>Não</v>
      </c>
      <c r="AP230" s="1" t="str">
        <f>+IF(IFERROR(VLOOKUP(A230,Ficheiros!T:T,1,FALSE),"")=A230,"Sim","Não")</f>
        <v>Sim</v>
      </c>
      <c r="AQ230" s="1" t="e">
        <f>+VLOOKUP(A230,Ficheiros!O:P,2,FALSE)</f>
        <v>#N/A</v>
      </c>
      <c r="AR230" s="1" t="str">
        <f>+VLOOKUP(A230,Ficheiros!T:U,2,FALSE)</f>
        <v>9. Concluído</v>
      </c>
      <c r="AS230" s="1" t="str">
        <f>+VLOOKUP(A230,Ficheiros!T:V,3,FALSE)</f>
        <v>PM</v>
      </c>
      <c r="AT230" s="1"/>
      <c r="AU230" s="1"/>
      <c r="AV230" s="1"/>
      <c r="AW230" s="1"/>
      <c r="AX230" s="1"/>
    </row>
    <row r="231" spans="1:50" ht="14.5" hidden="1" customHeight="1" x14ac:dyDescent="0.35">
      <c r="A231" s="5" t="str">
        <f t="shared" si="6"/>
        <v>INSTRUMENTRFNNC_PRPS</v>
      </c>
      <c r="B231" s="1" t="s">
        <v>978</v>
      </c>
      <c r="C231" s="1" t="s">
        <v>785</v>
      </c>
      <c r="D231" s="1" t="s">
        <v>134</v>
      </c>
      <c r="E231" s="1" t="s">
        <v>37</v>
      </c>
      <c r="F231" s="25" t="s">
        <v>979</v>
      </c>
      <c r="G231" s="1" t="s">
        <v>979</v>
      </c>
      <c r="H231" s="1" t="s">
        <v>39</v>
      </c>
      <c r="I231" s="1" t="s">
        <v>39</v>
      </c>
      <c r="J231" s="1" t="s">
        <v>39</v>
      </c>
      <c r="K231" s="1" t="s">
        <v>39</v>
      </c>
      <c r="L231" s="1" t="s">
        <v>39</v>
      </c>
      <c r="M231" s="1" t="s">
        <v>39</v>
      </c>
      <c r="N231" s="1" t="s">
        <v>37</v>
      </c>
      <c r="O231" s="1" t="s">
        <v>37</v>
      </c>
      <c r="P231" s="1" t="s">
        <v>37</v>
      </c>
      <c r="Q231" s="1" t="s">
        <v>37</v>
      </c>
      <c r="R231" s="1" t="s">
        <v>141</v>
      </c>
      <c r="S231" s="1" t="s">
        <v>142</v>
      </c>
      <c r="T231" s="1" t="s">
        <v>53</v>
      </c>
      <c r="U231" s="1" t="s">
        <v>46</v>
      </c>
      <c r="V231" s="1" t="s">
        <v>46</v>
      </c>
      <c r="W231" s="1" t="s">
        <v>980</v>
      </c>
      <c r="X231" s="1" t="s">
        <v>981</v>
      </c>
      <c r="Y231" s="1" t="s">
        <v>84</v>
      </c>
      <c r="Z231" s="1" t="s">
        <v>982</v>
      </c>
      <c r="AA231" s="1" t="s">
        <v>47</v>
      </c>
      <c r="AB231" s="1" t="s">
        <v>39</v>
      </c>
      <c r="AC231" s="1" t="s">
        <v>37</v>
      </c>
      <c r="AD231" s="1" t="s">
        <v>37</v>
      </c>
      <c r="AE231" s="1" t="s">
        <v>37</v>
      </c>
      <c r="AF231" s="1" t="s">
        <v>37</v>
      </c>
      <c r="AG231" s="1" t="s">
        <v>37</v>
      </c>
      <c r="AH231" s="1" t="s">
        <v>37</v>
      </c>
      <c r="AI231" s="1" t="s">
        <v>37</v>
      </c>
      <c r="AJ231" s="1" t="s">
        <v>39</v>
      </c>
      <c r="AK231" s="1" t="str">
        <f t="shared" si="7"/>
        <v>Fora de âmbito</v>
      </c>
      <c r="AL231" s="1" t="str">
        <f>+IF(IFERROR(VLOOKUP(A231,Ficheiros!I:I,1,FALSE),"")=A231,"Sim","Não")</f>
        <v>Sim</v>
      </c>
      <c r="AM231" s="1" t="str">
        <f>+IF(IFERROR(VLOOKUP(A231,Ficheiros!E:E,1,FALSE),"")=A231,"Sim","Não")</f>
        <v>Não</v>
      </c>
      <c r="AN231" s="1" t="str">
        <f>+IF(IFERROR(VLOOKUP(A231,Ficheiros!O:O,1,FALSE),"")=A231,"Sim","Não")</f>
        <v>Não</v>
      </c>
      <c r="AO231" s="1" t="str">
        <f>+IF(IFERROR(VLOOKUP(A231,'Especificação Novos Req. LT (2'!A:A,1,FALSE),"")=A231,"Sim","Não")</f>
        <v>Não</v>
      </c>
      <c r="AP231" s="1" t="str">
        <f>+IF(IFERROR(VLOOKUP(A231,Ficheiros!T:T,1,FALSE),"")=A231,"Sim","Não")</f>
        <v>Sim</v>
      </c>
      <c r="AQ231" s="1" t="e">
        <f>+VLOOKUP(A231,Ficheiros!O:P,2,FALSE)</f>
        <v>#N/A</v>
      </c>
      <c r="AR231" s="1" t="str">
        <f>+VLOOKUP(A231,Ficheiros!T:U,2,FALSE)</f>
        <v>2. Alterar especificação</v>
      </c>
      <c r="AS231" s="1" t="str">
        <f>+VLOOKUP(A231,Ficheiros!T:V,3,FALSE)</f>
        <v>PM</v>
      </c>
      <c r="AT231" s="1"/>
      <c r="AU231" s="1"/>
      <c r="AV231" s="1"/>
      <c r="AW231" s="1"/>
      <c r="AX231" s="1"/>
    </row>
    <row r="232" spans="1:50" ht="14.5" hidden="1" customHeight="1" x14ac:dyDescent="0.35">
      <c r="A232" s="5" t="str">
        <f t="shared" si="6"/>
        <v>INSTRUMENTSPCLTV_LNDNG</v>
      </c>
      <c r="B232" s="1" t="s">
        <v>983</v>
      </c>
      <c r="C232" s="1" t="s">
        <v>785</v>
      </c>
      <c r="D232" s="1" t="s">
        <v>134</v>
      </c>
      <c r="E232" s="1" t="s">
        <v>37</v>
      </c>
      <c r="F232" s="25" t="s">
        <v>984</v>
      </c>
      <c r="G232" s="1" t="s">
        <v>984</v>
      </c>
      <c r="H232" s="1" t="s">
        <v>37</v>
      </c>
      <c r="I232" s="1" t="s">
        <v>37</v>
      </c>
      <c r="J232" s="1" t="s">
        <v>37</v>
      </c>
      <c r="K232" s="1" t="s">
        <v>37</v>
      </c>
      <c r="L232" s="1" t="s">
        <v>37</v>
      </c>
      <c r="M232" s="1" t="s">
        <v>39</v>
      </c>
      <c r="N232" s="1" t="s">
        <v>37</v>
      </c>
      <c r="O232" s="1" t="s">
        <v>37</v>
      </c>
      <c r="P232" s="1" t="s">
        <v>37</v>
      </c>
      <c r="Q232" s="1" t="s">
        <v>37</v>
      </c>
      <c r="R232" s="1" t="s">
        <v>141</v>
      </c>
      <c r="S232" s="1" t="s">
        <v>142</v>
      </c>
      <c r="T232" s="1" t="s">
        <v>53</v>
      </c>
      <c r="U232" s="1" t="s">
        <v>46</v>
      </c>
      <c r="V232" s="1" t="s">
        <v>46</v>
      </c>
      <c r="W232" s="1" t="s">
        <v>985</v>
      </c>
      <c r="X232" s="1" t="s">
        <v>986</v>
      </c>
      <c r="Y232" s="1" t="s">
        <v>84</v>
      </c>
      <c r="Z232" s="1" t="s">
        <v>987</v>
      </c>
      <c r="AA232" s="1" t="s">
        <v>47</v>
      </c>
      <c r="AB232" s="1" t="s">
        <v>39</v>
      </c>
      <c r="AC232" s="1" t="s">
        <v>37</v>
      </c>
      <c r="AD232" s="1" t="s">
        <v>37</v>
      </c>
      <c r="AE232" s="1" t="s">
        <v>37</v>
      </c>
      <c r="AF232" s="1" t="s">
        <v>37</v>
      </c>
      <c r="AG232" s="1" t="s">
        <v>37</v>
      </c>
      <c r="AH232" s="1" t="s">
        <v>37</v>
      </c>
      <c r="AI232" s="1" t="s">
        <v>37</v>
      </c>
      <c r="AJ232" s="1" t="s">
        <v>39</v>
      </c>
      <c r="AK232" s="1" t="str">
        <f t="shared" si="7"/>
        <v>Fora de âmbito</v>
      </c>
      <c r="AL232" s="1" t="str">
        <f>+IF(IFERROR(VLOOKUP(A232,Ficheiros!I:I,1,FALSE),"")=A232,"Sim","Não")</f>
        <v>Sim</v>
      </c>
      <c r="AM232" s="1" t="str">
        <f>+IF(IFERROR(VLOOKUP(A232,Ficheiros!E:E,1,FALSE),"")=A232,"Sim","Não")</f>
        <v>Não</v>
      </c>
      <c r="AN232" s="1" t="str">
        <f>+IF(IFERROR(VLOOKUP(A232,Ficheiros!O:O,1,FALSE),"")=A232,"Sim","Não")</f>
        <v>Não</v>
      </c>
      <c r="AO232" s="1" t="str">
        <f>+IF(IFERROR(VLOOKUP(A232,'Especificação Novos Req. LT (2'!A:A,1,FALSE),"")=A232,"Sim","Não")</f>
        <v>Não</v>
      </c>
      <c r="AP232" s="1" t="str">
        <f>+IF(IFERROR(VLOOKUP(A232,Ficheiros!T:T,1,FALSE),"")=A232,"Sim","Não")</f>
        <v>Sim</v>
      </c>
      <c r="AQ232" s="1" t="e">
        <f>+VLOOKUP(A232,Ficheiros!O:P,2,FALSE)</f>
        <v>#N/A</v>
      </c>
      <c r="AR232" s="1" t="str">
        <f>+VLOOKUP(A232,Ficheiros!T:U,2,FALSE)</f>
        <v>7. Analisar controlos e completude</v>
      </c>
      <c r="AS232" s="1" t="str">
        <f>+VLOOKUP(A232,Ficheiros!T:V,3,FALSE)</f>
        <v>PM</v>
      </c>
      <c r="AT232" s="1"/>
      <c r="AU232" s="1"/>
      <c r="AV232" s="1"/>
      <c r="AW232" s="1"/>
      <c r="AX232" s="1"/>
    </row>
    <row r="233" spans="1:50" ht="14.5" hidden="1" customHeight="1" x14ac:dyDescent="0.35">
      <c r="A233" s="5" t="str">
        <f t="shared" si="6"/>
        <v>INSTRUMENTSTTS_UNDRWRTTN_TRNSCTN</v>
      </c>
      <c r="B233" s="1" t="s">
        <v>988</v>
      </c>
      <c r="C233" s="1" t="s">
        <v>785</v>
      </c>
      <c r="D233" s="1" t="s">
        <v>134</v>
      </c>
      <c r="E233" s="1" t="s">
        <v>37</v>
      </c>
      <c r="F233" s="25" t="s">
        <v>989</v>
      </c>
      <c r="G233" s="1" t="s">
        <v>989</v>
      </c>
      <c r="H233" s="1" t="s">
        <v>37</v>
      </c>
      <c r="I233" s="1" t="s">
        <v>37</v>
      </c>
      <c r="J233" s="1" t="s">
        <v>37</v>
      </c>
      <c r="K233" s="1" t="s">
        <v>37</v>
      </c>
      <c r="L233" s="1" t="s">
        <v>39</v>
      </c>
      <c r="M233" s="1" t="s">
        <v>39</v>
      </c>
      <c r="N233" s="1" t="s">
        <v>37</v>
      </c>
      <c r="O233" s="1" t="s">
        <v>37</v>
      </c>
      <c r="P233" s="1" t="s">
        <v>37</v>
      </c>
      <c r="Q233" s="1" t="s">
        <v>37</v>
      </c>
      <c r="R233" s="1" t="s">
        <v>136</v>
      </c>
      <c r="S233" s="1" t="s">
        <v>52</v>
      </c>
      <c r="T233" s="1">
        <v>99999999999</v>
      </c>
      <c r="U233" s="1">
        <v>11111111111</v>
      </c>
      <c r="V233" s="1">
        <v>11111111111</v>
      </c>
      <c r="W233" s="1" t="s">
        <v>990</v>
      </c>
      <c r="X233" s="1" t="s">
        <v>991</v>
      </c>
      <c r="Y233" s="1" t="s">
        <v>45</v>
      </c>
      <c r="Z233" s="1" t="s">
        <v>46</v>
      </c>
      <c r="AA233" s="1" t="s">
        <v>47</v>
      </c>
      <c r="AB233" s="1" t="s">
        <v>39</v>
      </c>
      <c r="AC233" s="1" t="s">
        <v>37</v>
      </c>
      <c r="AD233" s="1" t="s">
        <v>37</v>
      </c>
      <c r="AE233" s="1" t="s">
        <v>37</v>
      </c>
      <c r="AF233" s="1" t="s">
        <v>37</v>
      </c>
      <c r="AG233" s="1" t="s">
        <v>39</v>
      </c>
      <c r="AH233" s="1" t="s">
        <v>37</v>
      </c>
      <c r="AI233" s="1" t="s">
        <v>37</v>
      </c>
      <c r="AJ233" s="1" t="s">
        <v>39</v>
      </c>
      <c r="AK233" s="1" t="str">
        <f t="shared" si="7"/>
        <v>Fora de âmbito</v>
      </c>
      <c r="AL233" s="1" t="str">
        <f>+IF(IFERROR(VLOOKUP(A233,Ficheiros!I:I,1,FALSE),"")=A233,"Sim","Não")</f>
        <v>Sim</v>
      </c>
      <c r="AM233" s="1" t="str">
        <f>+IF(IFERROR(VLOOKUP(A233,Ficheiros!E:E,1,FALSE),"")=A233,"Sim","Não")</f>
        <v>Não</v>
      </c>
      <c r="AN233" s="1" t="str">
        <f>+IF(IFERROR(VLOOKUP(A233,Ficheiros!O:O,1,FALSE),"")=A233,"Sim","Não")</f>
        <v>Não</v>
      </c>
      <c r="AO233" s="1" t="str">
        <f>+IF(IFERROR(VLOOKUP(A233,'Especificação Novos Req. LT (2'!A:A,1,FALSE),"")=A233,"Sim","Não")</f>
        <v>Não</v>
      </c>
      <c r="AP233" s="1" t="str">
        <f>+IF(IFERROR(VLOOKUP(A233,Ficheiros!T:T,1,FALSE),"")=A233,"Sim","Não")</f>
        <v>Sim</v>
      </c>
      <c r="AQ233" s="1" t="e">
        <f>+VLOOKUP(A233,Ficheiros!O:P,2,FALSE)</f>
        <v>#N/A</v>
      </c>
      <c r="AR233" s="1" t="str">
        <f>+VLOOKUP(A233,Ficheiros!T:U,2,FALSE)</f>
        <v>6. Outros Desenvolvimentos</v>
      </c>
      <c r="AS233" s="1" t="str">
        <f>+VLOOKUP(A233,Ficheiros!T:V,3,FALSE)</f>
        <v>LF</v>
      </c>
      <c r="AT233" s="1"/>
      <c r="AU233" s="1"/>
      <c r="AV233" s="1"/>
      <c r="AW233" s="1"/>
      <c r="AX233" s="1"/>
    </row>
    <row r="234" spans="1:50" ht="14.5" hidden="1" customHeight="1" x14ac:dyDescent="0.35">
      <c r="A234" s="5" t="str">
        <f t="shared" si="6"/>
        <v>INSTRUMENTTRNCH</v>
      </c>
      <c r="B234" s="1" t="s">
        <v>992</v>
      </c>
      <c r="C234" s="1" t="s">
        <v>785</v>
      </c>
      <c r="D234" s="1" t="s">
        <v>134</v>
      </c>
      <c r="E234" s="1" t="s">
        <v>37</v>
      </c>
      <c r="F234" s="25" t="s">
        <v>993</v>
      </c>
      <c r="G234" s="1" t="s">
        <v>993</v>
      </c>
      <c r="H234" s="1" t="s">
        <v>37</v>
      </c>
      <c r="I234" s="1" t="s">
        <v>37</v>
      </c>
      <c r="J234" s="1" t="s">
        <v>37</v>
      </c>
      <c r="K234" s="1" t="s">
        <v>37</v>
      </c>
      <c r="L234" s="1" t="s">
        <v>39</v>
      </c>
      <c r="M234" s="1" t="s">
        <v>39</v>
      </c>
      <c r="N234" s="1" t="s">
        <v>37</v>
      </c>
      <c r="O234" s="1" t="s">
        <v>37</v>
      </c>
      <c r="P234" s="1" t="s">
        <v>37</v>
      </c>
      <c r="Q234" s="1" t="s">
        <v>37</v>
      </c>
      <c r="R234" s="1" t="s">
        <v>136</v>
      </c>
      <c r="S234" s="1" t="s">
        <v>52</v>
      </c>
      <c r="T234" s="1">
        <v>99999999999</v>
      </c>
      <c r="U234" s="1">
        <v>11111111111</v>
      </c>
      <c r="V234" s="1">
        <v>11111111111</v>
      </c>
      <c r="W234" s="1" t="s">
        <v>994</v>
      </c>
      <c r="X234" s="1" t="s">
        <v>995</v>
      </c>
      <c r="Y234" s="1" t="s">
        <v>56</v>
      </c>
      <c r="Z234" s="1" t="s">
        <v>57</v>
      </c>
      <c r="AA234" s="1" t="s">
        <v>47</v>
      </c>
      <c r="AB234" s="1" t="s">
        <v>39</v>
      </c>
      <c r="AC234" s="1" t="s">
        <v>37</v>
      </c>
      <c r="AD234" s="1" t="s">
        <v>37</v>
      </c>
      <c r="AE234" s="1" t="s">
        <v>37</v>
      </c>
      <c r="AF234" s="1" t="s">
        <v>37</v>
      </c>
      <c r="AG234" s="1" t="s">
        <v>39</v>
      </c>
      <c r="AH234" s="1" t="s">
        <v>37</v>
      </c>
      <c r="AI234" s="1" t="s">
        <v>37</v>
      </c>
      <c r="AJ234" s="1" t="s">
        <v>39</v>
      </c>
      <c r="AK234" s="1" t="str">
        <f t="shared" si="7"/>
        <v>Fora de âmbito</v>
      </c>
      <c r="AL234" s="1" t="str">
        <f>+IF(IFERROR(VLOOKUP(A234,Ficheiros!I:I,1,FALSE),"")=A234,"Sim","Não")</f>
        <v>Sim</v>
      </c>
      <c r="AM234" s="1" t="str">
        <f>+IF(IFERROR(VLOOKUP(A234,Ficheiros!E:E,1,FALSE),"")=A234,"Sim","Não")</f>
        <v>Não</v>
      </c>
      <c r="AN234" s="1" t="str">
        <f>+IF(IFERROR(VLOOKUP(A234,Ficheiros!O:O,1,FALSE),"")=A234,"Sim","Não")</f>
        <v>Não</v>
      </c>
      <c r="AO234" s="1" t="str">
        <f>+IF(IFERROR(VLOOKUP(A234,'Especificação Novos Req. LT (2'!A:A,1,FALSE),"")=A234,"Sim","Não")</f>
        <v>Não</v>
      </c>
      <c r="AP234" s="1" t="str">
        <f>+IF(IFERROR(VLOOKUP(A234,Ficheiros!T:T,1,FALSE),"")=A234,"Sim","Não")</f>
        <v>Sim</v>
      </c>
      <c r="AQ234" s="1" t="e">
        <f>+VLOOKUP(A234,Ficheiros!O:P,2,FALSE)</f>
        <v>#N/A</v>
      </c>
      <c r="AR234" s="1" t="str">
        <f>+VLOOKUP(A234,Ficheiros!T:U,2,FALSE)</f>
        <v>6. Outros Desenvolvimentos</v>
      </c>
      <c r="AS234" s="1" t="str">
        <f>+VLOOKUP(A234,Ficheiros!T:V,3,FALSE)</f>
        <v>LF</v>
      </c>
      <c r="AT234" s="1"/>
      <c r="AU234" s="1"/>
      <c r="AV234" s="1"/>
      <c r="AW234" s="1"/>
      <c r="AX234" s="1"/>
    </row>
    <row r="235" spans="1:50" ht="14.5" hidden="1" customHeight="1" x14ac:dyDescent="0.35">
      <c r="A235" s="5" t="str">
        <f t="shared" si="6"/>
        <v>INSTRUMENTTYP_AMRTSTN</v>
      </c>
      <c r="B235" s="1" t="s">
        <v>996</v>
      </c>
      <c r="C235" s="1" t="s">
        <v>785</v>
      </c>
      <c r="D235" s="1" t="s">
        <v>134</v>
      </c>
      <c r="E235" s="1" t="s">
        <v>39</v>
      </c>
      <c r="F235" s="25" t="s">
        <v>997</v>
      </c>
      <c r="G235" s="1" t="s">
        <v>997</v>
      </c>
      <c r="H235" s="1" t="s">
        <v>37</v>
      </c>
      <c r="I235" s="1" t="s">
        <v>39</v>
      </c>
      <c r="J235" s="1" t="s">
        <v>39</v>
      </c>
      <c r="K235" s="1" t="s">
        <v>39</v>
      </c>
      <c r="L235" s="1" t="s">
        <v>39</v>
      </c>
      <c r="M235" s="1" t="s">
        <v>39</v>
      </c>
      <c r="N235" s="1" t="s">
        <v>39</v>
      </c>
      <c r="O235" s="1" t="s">
        <v>37</v>
      </c>
      <c r="P235" s="1" t="s">
        <v>37</v>
      </c>
      <c r="Q235" s="1" t="s">
        <v>37</v>
      </c>
      <c r="R235" s="1" t="s">
        <v>136</v>
      </c>
      <c r="S235" s="1" t="s">
        <v>52</v>
      </c>
      <c r="T235" s="1">
        <v>99999999999</v>
      </c>
      <c r="U235" s="1">
        <v>11111111111</v>
      </c>
      <c r="V235" s="1">
        <v>11111111111</v>
      </c>
      <c r="W235" s="1" t="s">
        <v>998</v>
      </c>
      <c r="X235" s="1" t="s">
        <v>999</v>
      </c>
      <c r="Y235" s="1" t="s">
        <v>45</v>
      </c>
      <c r="Z235" s="1" t="s">
        <v>46</v>
      </c>
      <c r="AA235" s="1" t="s">
        <v>47</v>
      </c>
      <c r="AB235" s="1" t="s">
        <v>39</v>
      </c>
      <c r="AC235" s="1" t="s">
        <v>37</v>
      </c>
      <c r="AD235" s="1" t="s">
        <v>37</v>
      </c>
      <c r="AE235" s="1" t="s">
        <v>37</v>
      </c>
      <c r="AF235" s="1" t="s">
        <v>37</v>
      </c>
      <c r="AG235" s="1" t="s">
        <v>39</v>
      </c>
      <c r="AH235" s="1" t="s">
        <v>37</v>
      </c>
      <c r="AI235" s="1" t="s">
        <v>37</v>
      </c>
      <c r="AJ235" s="1" t="s">
        <v>39</v>
      </c>
      <c r="AK235" s="1" t="str">
        <f t="shared" si="7"/>
        <v>Fora de âmbito</v>
      </c>
      <c r="AL235" s="1" t="str">
        <f>+IF(IFERROR(VLOOKUP(A235,Ficheiros!I:I,1,FALSE),"")=A235,"Sim","Não")</f>
        <v>Sim</v>
      </c>
      <c r="AM235" s="1" t="str">
        <f>+IF(IFERROR(VLOOKUP(A235,Ficheiros!E:E,1,FALSE),"")=A235,"Sim","Não")</f>
        <v>Não</v>
      </c>
      <c r="AN235" s="1" t="str">
        <f>+IF(IFERROR(VLOOKUP(A235,Ficheiros!O:O,1,FALSE),"")=A235,"Sim","Não")</f>
        <v>Não</v>
      </c>
      <c r="AO235" s="1" t="str">
        <f>+IF(IFERROR(VLOOKUP(A235,'Especificação Novos Req. LT (2'!A:A,1,FALSE),"")=A235,"Sim","Não")</f>
        <v>Não</v>
      </c>
      <c r="AP235" s="1" t="str">
        <f>+IF(IFERROR(VLOOKUP(A235,Ficheiros!T:T,1,FALSE),"")=A235,"Sim","Não")</f>
        <v>Sim</v>
      </c>
      <c r="AQ235" s="1" t="e">
        <f>+VLOOKUP(A235,Ficheiros!O:P,2,FALSE)</f>
        <v>#N/A</v>
      </c>
      <c r="AR235" s="1" t="str">
        <f>+VLOOKUP(A235,Ficheiros!T:U,2,FALSE)</f>
        <v>3. Pendente de decisão</v>
      </c>
      <c r="AS235" s="1" t="str">
        <f>+VLOOKUP(A235,Ficheiros!T:V,3,FALSE)</f>
        <v>LF</v>
      </c>
      <c r="AT235" s="1"/>
      <c r="AU235" s="1"/>
      <c r="AV235" s="1"/>
      <c r="AW235" s="1"/>
      <c r="AX235" s="1"/>
    </row>
    <row r="236" spans="1:50" ht="14.5" hidden="1" customHeight="1" x14ac:dyDescent="0.35">
      <c r="A236" s="5" t="str">
        <f t="shared" si="6"/>
        <v>INSTRUMENTTYP_INSTRMNT</v>
      </c>
      <c r="B236" s="1" t="s">
        <v>1000</v>
      </c>
      <c r="C236" s="1" t="s">
        <v>785</v>
      </c>
      <c r="D236" s="1" t="s">
        <v>134</v>
      </c>
      <c r="E236" s="1" t="s">
        <v>39</v>
      </c>
      <c r="F236" s="29" t="s">
        <v>1001</v>
      </c>
      <c r="G236" s="1" t="s">
        <v>1001</v>
      </c>
      <c r="H236" s="1" t="s">
        <v>39</v>
      </c>
      <c r="I236" s="1" t="s">
        <v>39</v>
      </c>
      <c r="J236" s="1" t="s">
        <v>39</v>
      </c>
      <c r="K236" s="1" t="s">
        <v>39</v>
      </c>
      <c r="L236" s="1" t="s">
        <v>39</v>
      </c>
      <c r="M236" s="1" t="s">
        <v>39</v>
      </c>
      <c r="N236" s="1" t="s">
        <v>39</v>
      </c>
      <c r="O236" s="1" t="s">
        <v>39</v>
      </c>
      <c r="P236" s="1" t="s">
        <v>37</v>
      </c>
      <c r="Q236" s="1" t="s">
        <v>39</v>
      </c>
      <c r="R236" s="1" t="s">
        <v>136</v>
      </c>
      <c r="S236" s="1" t="s">
        <v>52</v>
      </c>
      <c r="T236" s="1">
        <v>99999999999</v>
      </c>
      <c r="U236" s="1" t="s">
        <v>42</v>
      </c>
      <c r="V236" s="1">
        <v>11111111111</v>
      </c>
      <c r="W236" s="1" t="s">
        <v>1002</v>
      </c>
      <c r="X236" s="1" t="s">
        <v>1003</v>
      </c>
      <c r="Y236" s="1" t="s">
        <v>56</v>
      </c>
      <c r="Z236" s="1" t="s">
        <v>57</v>
      </c>
      <c r="AA236" s="1" t="s">
        <v>47</v>
      </c>
      <c r="AB236" s="1" t="s">
        <v>39</v>
      </c>
      <c r="AC236" s="1" t="s">
        <v>39</v>
      </c>
      <c r="AD236" s="1" t="s">
        <v>39</v>
      </c>
      <c r="AE236" s="1" t="s">
        <v>37</v>
      </c>
      <c r="AF236" s="1" t="s">
        <v>37</v>
      </c>
      <c r="AG236" s="1" t="s">
        <v>39</v>
      </c>
      <c r="AH236" s="1" t="s">
        <v>39</v>
      </c>
      <c r="AI236" s="1" t="s">
        <v>39</v>
      </c>
      <c r="AJ236" s="1" t="s">
        <v>39</v>
      </c>
      <c r="AK236" s="1" t="str">
        <f t="shared" si="7"/>
        <v>Apenas Pilar 3</v>
      </c>
      <c r="AL236" s="1" t="str">
        <f>+IF(IFERROR(VLOOKUP(A236,Ficheiros!I:I,1,FALSE),"")=A236,"Sim","Não")</f>
        <v>Sim</v>
      </c>
      <c r="AM236" s="1" t="str">
        <f>+IF(IFERROR(VLOOKUP(A236,Ficheiros!E:E,1,FALSE),"")=A236,"Sim","Não")</f>
        <v>Não</v>
      </c>
      <c r="AN236" s="1" t="str">
        <f>+IF(IFERROR(VLOOKUP(A236,Ficheiros!O:O,1,FALSE),"")=A236,"Sim","Não")</f>
        <v>Sim</v>
      </c>
      <c r="AO236" s="1" t="str">
        <f>+IF(IFERROR(VLOOKUP(A236,'Especificação Novos Req. LT (2'!A:A,1,FALSE),"")=A236,"Sim","Não")</f>
        <v>Não</v>
      </c>
      <c r="AP236" s="1" t="str">
        <f>+IF(IFERROR(VLOOKUP(A236,Ficheiros!T:T,1,FALSE),"")=A236,"Sim","Não")</f>
        <v>Sim</v>
      </c>
      <c r="AQ236" s="1" t="str">
        <f>+VLOOKUP(A236,Ficheiros!O:P,2,FALSE)</f>
        <v>1. Concluído</v>
      </c>
      <c r="AR236" s="1" t="str">
        <f>+VLOOKUP(A236,Ficheiros!T:U,2,FALSE)</f>
        <v>9. Concluído</v>
      </c>
      <c r="AS236" s="1" t="str">
        <f>+VLOOKUP(A236,Ficheiros!T:V,3,FALSE)</f>
        <v>PM</v>
      </c>
      <c r="AT236" s="1"/>
      <c r="AU236" s="1"/>
      <c r="AV236" s="1"/>
      <c r="AW236" s="1"/>
      <c r="AX236" s="1"/>
    </row>
    <row r="237" spans="1:50" ht="14.5" hidden="1" customHeight="1" x14ac:dyDescent="0.35">
      <c r="A237" s="5" t="str">
        <f t="shared" si="6"/>
        <v>INSTRUMENTTYP_INTRST_RT</v>
      </c>
      <c r="B237" s="1" t="s">
        <v>1004</v>
      </c>
      <c r="C237" s="1" t="s">
        <v>785</v>
      </c>
      <c r="D237" s="1" t="s">
        <v>134</v>
      </c>
      <c r="E237" s="1" t="s">
        <v>39</v>
      </c>
      <c r="F237" s="26" t="s">
        <v>1005</v>
      </c>
      <c r="G237" s="1" t="s">
        <v>1005</v>
      </c>
      <c r="H237" s="1" t="s">
        <v>37</v>
      </c>
      <c r="I237" s="1" t="s">
        <v>39</v>
      </c>
      <c r="J237" s="1" t="s">
        <v>39</v>
      </c>
      <c r="K237" s="1" t="s">
        <v>39</v>
      </c>
      <c r="L237" s="1" t="s">
        <v>39</v>
      </c>
      <c r="M237" s="1" t="s">
        <v>39</v>
      </c>
      <c r="N237" s="1" t="s">
        <v>39</v>
      </c>
      <c r="O237" s="1" t="s">
        <v>39</v>
      </c>
      <c r="P237" s="1" t="s">
        <v>37</v>
      </c>
      <c r="Q237" s="1" t="s">
        <v>37</v>
      </c>
      <c r="R237" s="1" t="s">
        <v>136</v>
      </c>
      <c r="S237" s="1" t="s">
        <v>52</v>
      </c>
      <c r="T237" s="1">
        <v>99999999999</v>
      </c>
      <c r="U237" s="1" t="s">
        <v>42</v>
      </c>
      <c r="V237" s="1">
        <v>11111111111</v>
      </c>
      <c r="W237" s="1" t="s">
        <v>1006</v>
      </c>
      <c r="X237" s="1" t="s">
        <v>1007</v>
      </c>
      <c r="Y237" s="1" t="s">
        <v>56</v>
      </c>
      <c r="Z237" s="1" t="s">
        <v>57</v>
      </c>
      <c r="AA237" s="1" t="s">
        <v>47</v>
      </c>
      <c r="AB237" s="1" t="s">
        <v>39</v>
      </c>
      <c r="AC237" s="1" t="s">
        <v>37</v>
      </c>
      <c r="AD237" s="1" t="s">
        <v>37</v>
      </c>
      <c r="AE237" s="1" t="s">
        <v>37</v>
      </c>
      <c r="AF237" s="1" t="s">
        <v>37</v>
      </c>
      <c r="AG237" s="1" t="s">
        <v>37</v>
      </c>
      <c r="AH237" s="1" t="s">
        <v>37</v>
      </c>
      <c r="AI237" s="1" t="s">
        <v>37</v>
      </c>
      <c r="AJ237" s="1" t="s">
        <v>39</v>
      </c>
      <c r="AK237" s="1" t="str">
        <f t="shared" si="7"/>
        <v>Fora de âmbito</v>
      </c>
      <c r="AL237" s="1" t="str">
        <f>+IF(IFERROR(VLOOKUP(A237,Ficheiros!I:I,1,FALSE),"")=A237,"Sim","Não")</f>
        <v>Sim</v>
      </c>
      <c r="AM237" s="1" t="str">
        <f>+IF(IFERROR(VLOOKUP(A237,Ficheiros!E:E,1,FALSE),"")=A237,"Sim","Não")</f>
        <v>Não</v>
      </c>
      <c r="AN237" s="1" t="str">
        <f>+IF(IFERROR(VLOOKUP(A237,Ficheiros!O:O,1,FALSE),"")=A237,"Sim","Não")</f>
        <v>Não</v>
      </c>
      <c r="AO237" s="1" t="str">
        <f>+IF(IFERROR(VLOOKUP(A237,'Especificação Novos Req. LT (2'!A:A,1,FALSE),"")=A237,"Sim","Não")</f>
        <v>Não</v>
      </c>
      <c r="AP237" s="1" t="str">
        <f>+IF(IFERROR(VLOOKUP(A237,Ficheiros!T:T,1,FALSE),"")=A237,"Sim","Não")</f>
        <v>Sim</v>
      </c>
      <c r="AQ237" s="1" t="e">
        <f>+VLOOKUP(A237,Ficheiros!O:P,2,FALSE)</f>
        <v>#N/A</v>
      </c>
      <c r="AR237" s="1" t="str">
        <f>+VLOOKUP(A237,Ficheiros!T:U,2,FALSE)</f>
        <v>9. Concluído</v>
      </c>
      <c r="AS237" s="1" t="str">
        <f>+VLOOKUP(A237,Ficheiros!T:V,3,FALSE)</f>
        <v>PM</v>
      </c>
      <c r="AT237" s="1"/>
      <c r="AU237" s="1"/>
      <c r="AV237" s="1"/>
      <c r="AW237" s="1"/>
      <c r="AX237" s="1"/>
    </row>
    <row r="238" spans="1:50" ht="14.5" hidden="1" customHeight="1" x14ac:dyDescent="0.35">
      <c r="A238" s="5" t="str">
        <f t="shared" si="6"/>
        <v>INSTRUMENTTYP_MRTGG</v>
      </c>
      <c r="B238" s="1" t="s">
        <v>1008</v>
      </c>
      <c r="C238" s="1" t="s">
        <v>785</v>
      </c>
      <c r="D238" s="1" t="s">
        <v>134</v>
      </c>
      <c r="E238" s="1" t="s">
        <v>37</v>
      </c>
      <c r="F238" s="26" t="s">
        <v>1009</v>
      </c>
      <c r="G238" s="1" t="s">
        <v>1009</v>
      </c>
      <c r="H238" s="1" t="s">
        <v>37</v>
      </c>
      <c r="I238" s="1" t="s">
        <v>39</v>
      </c>
      <c r="J238" s="1" t="s">
        <v>39</v>
      </c>
      <c r="K238" s="1" t="s">
        <v>39</v>
      </c>
      <c r="L238" s="1" t="s">
        <v>39</v>
      </c>
      <c r="M238" s="1" t="s">
        <v>39</v>
      </c>
      <c r="N238" s="1" t="s">
        <v>39</v>
      </c>
      <c r="O238" s="1" t="s">
        <v>37</v>
      </c>
      <c r="P238" s="1" t="s">
        <v>37</v>
      </c>
      <c r="Q238" s="1" t="s">
        <v>37</v>
      </c>
      <c r="R238" s="1" t="s">
        <v>136</v>
      </c>
      <c r="S238" s="1" t="s">
        <v>52</v>
      </c>
      <c r="T238" s="1">
        <v>99999999999</v>
      </c>
      <c r="U238" s="1" t="s">
        <v>42</v>
      </c>
      <c r="V238" s="1">
        <v>11111111111</v>
      </c>
      <c r="W238" s="1" t="s">
        <v>1010</v>
      </c>
      <c r="X238" s="1" t="s">
        <v>1011</v>
      </c>
      <c r="Y238" s="1" t="s">
        <v>45</v>
      </c>
      <c r="Z238" s="1" t="s">
        <v>46</v>
      </c>
      <c r="AA238" s="1" t="s">
        <v>47</v>
      </c>
      <c r="AB238" s="1" t="s">
        <v>39</v>
      </c>
      <c r="AC238" s="1" t="s">
        <v>37</v>
      </c>
      <c r="AD238" s="1" t="s">
        <v>37</v>
      </c>
      <c r="AE238" s="1" t="s">
        <v>37</v>
      </c>
      <c r="AF238" s="1" t="s">
        <v>37</v>
      </c>
      <c r="AG238" s="1" t="s">
        <v>37</v>
      </c>
      <c r="AH238" s="1" t="s">
        <v>37</v>
      </c>
      <c r="AI238" s="1" t="s">
        <v>37</v>
      </c>
      <c r="AJ238" s="1" t="s">
        <v>39</v>
      </c>
      <c r="AK238" s="1" t="str">
        <f t="shared" si="7"/>
        <v>Fora de âmbito</v>
      </c>
      <c r="AL238" s="1" t="str">
        <f>+IF(IFERROR(VLOOKUP(A238,Ficheiros!I:I,1,FALSE),"")=A238,"Sim","Não")</f>
        <v>Sim</v>
      </c>
      <c r="AM238" s="1" t="str">
        <f>+IF(IFERROR(VLOOKUP(A238,Ficheiros!E:E,1,FALSE),"")=A238,"Sim","Não")</f>
        <v>Não</v>
      </c>
      <c r="AN238" s="1" t="str">
        <f>+IF(IFERROR(VLOOKUP(A238,Ficheiros!O:O,1,FALSE),"")=A238,"Sim","Não")</f>
        <v>Não</v>
      </c>
      <c r="AO238" s="1" t="str">
        <f>+IF(IFERROR(VLOOKUP(A238,'Especificação Novos Req. LT (2'!A:A,1,FALSE),"")=A238,"Sim","Não")</f>
        <v>Não</v>
      </c>
      <c r="AP238" s="1" t="str">
        <f>+IF(IFERROR(VLOOKUP(A238,Ficheiros!T:T,1,FALSE),"")=A238,"Sim","Não")</f>
        <v>Sim</v>
      </c>
      <c r="AQ238" s="1" t="e">
        <f>+VLOOKUP(A238,Ficheiros!O:P,2,FALSE)</f>
        <v>#N/A</v>
      </c>
      <c r="AR238" s="1" t="str">
        <f>+VLOOKUP(A238,Ficheiros!T:U,2,FALSE)</f>
        <v>2. Alterar especificação</v>
      </c>
      <c r="AS238" s="1" t="str">
        <f>+VLOOKUP(A238,Ficheiros!T:V,3,FALSE)</f>
        <v>PM</v>
      </c>
      <c r="AT238" s="1"/>
      <c r="AU238" s="1"/>
      <c r="AV238" s="1"/>
      <c r="AW238" s="1"/>
      <c r="AX238" s="1"/>
    </row>
    <row r="239" spans="1:50" ht="14.5" hidden="1" customHeight="1" x14ac:dyDescent="0.35">
      <c r="A239" s="5" t="str">
        <f t="shared" si="6"/>
        <v>INSTRUMENTTYP_CRE_OPRTN</v>
      </c>
      <c r="B239" s="1" t="s">
        <v>1012</v>
      </c>
      <c r="C239" s="1" t="s">
        <v>785</v>
      </c>
      <c r="D239" s="1" t="s">
        <v>134</v>
      </c>
      <c r="E239" s="1" t="s">
        <v>37</v>
      </c>
      <c r="F239" s="25" t="s">
        <v>1013</v>
      </c>
      <c r="G239" s="1" t="s">
        <v>1013</v>
      </c>
      <c r="H239" s="1" t="s">
        <v>37</v>
      </c>
      <c r="I239" s="1" t="s">
        <v>37</v>
      </c>
      <c r="J239" s="1" t="s">
        <v>37</v>
      </c>
      <c r="K239" s="1" t="s">
        <v>37</v>
      </c>
      <c r="L239" s="1" t="s">
        <v>37</v>
      </c>
      <c r="M239" s="1" t="s">
        <v>39</v>
      </c>
      <c r="N239" s="1" t="s">
        <v>37</v>
      </c>
      <c r="O239" s="1" t="s">
        <v>37</v>
      </c>
      <c r="P239" s="1" t="s">
        <v>37</v>
      </c>
      <c r="Q239" s="1" t="s">
        <v>37</v>
      </c>
      <c r="R239" s="1" t="s">
        <v>136</v>
      </c>
      <c r="S239" s="1" t="s">
        <v>52</v>
      </c>
      <c r="T239" s="1">
        <v>99999999999</v>
      </c>
      <c r="U239" s="1">
        <v>11111111111</v>
      </c>
      <c r="V239" s="1">
        <v>11111111111</v>
      </c>
      <c r="W239" s="1" t="s">
        <v>1014</v>
      </c>
      <c r="X239" s="1" t="s">
        <v>1015</v>
      </c>
      <c r="Y239" s="1" t="s">
        <v>45</v>
      </c>
      <c r="Z239" s="1" t="s">
        <v>46</v>
      </c>
      <c r="AA239" s="1" t="s">
        <v>47</v>
      </c>
      <c r="AB239" s="1" t="s">
        <v>39</v>
      </c>
      <c r="AC239" s="1" t="s">
        <v>37</v>
      </c>
      <c r="AD239" s="1" t="s">
        <v>37</v>
      </c>
      <c r="AE239" s="1" t="s">
        <v>37</v>
      </c>
      <c r="AF239" s="1" t="s">
        <v>37</v>
      </c>
      <c r="AG239" s="1" t="s">
        <v>37</v>
      </c>
      <c r="AH239" s="1" t="s">
        <v>37</v>
      </c>
      <c r="AI239" s="1" t="s">
        <v>37</v>
      </c>
      <c r="AJ239" s="1" t="s">
        <v>39</v>
      </c>
      <c r="AK239" s="1" t="str">
        <f t="shared" si="7"/>
        <v>Fora de âmbito</v>
      </c>
      <c r="AL239" s="1" t="str">
        <f>+IF(IFERROR(VLOOKUP(A239,Ficheiros!I:I,1,FALSE),"")=A239,"Sim","Não")</f>
        <v>Sim</v>
      </c>
      <c r="AM239" s="1" t="str">
        <f>+IF(IFERROR(VLOOKUP(A239,Ficheiros!E:E,1,FALSE),"")=A239,"Sim","Não")</f>
        <v>Não</v>
      </c>
      <c r="AN239" s="1" t="str">
        <f>+IF(IFERROR(VLOOKUP(A239,Ficheiros!O:O,1,FALSE),"")=A239,"Sim","Não")</f>
        <v>Não</v>
      </c>
      <c r="AO239" s="1" t="str">
        <f>+IF(IFERROR(VLOOKUP(A239,'Especificação Novos Req. LT (2'!A:A,1,FALSE),"")=A239,"Sim","Não")</f>
        <v>Não</v>
      </c>
      <c r="AP239" s="1" t="str">
        <f>+IF(IFERROR(VLOOKUP(A239,Ficheiros!T:T,1,FALSE),"")=A239,"Sim","Não")</f>
        <v>Sim</v>
      </c>
      <c r="AQ239" s="1" t="e">
        <f>+VLOOKUP(A239,Ficheiros!O:P,2,FALSE)</f>
        <v>#N/A</v>
      </c>
      <c r="AR239" s="1" t="str">
        <f>+VLOOKUP(A239,Ficheiros!T:U,2,FALSE)</f>
        <v>7. Analisar controlos e completude</v>
      </c>
      <c r="AS239" s="1" t="str">
        <f>+VLOOKUP(A239,Ficheiros!T:V,3,FALSE)</f>
        <v>PM</v>
      </c>
      <c r="AT239" s="1"/>
      <c r="AU239" s="1"/>
      <c r="AV239" s="1"/>
      <c r="AW239" s="1"/>
      <c r="AX239" s="1"/>
    </row>
    <row r="240" spans="1:50" ht="14.5" hidden="1" customHeight="1" x14ac:dyDescent="0.35">
      <c r="A240" s="5" t="str">
        <f t="shared" si="6"/>
        <v>INSTRUMENTDT_STRT_GP_PPAL</v>
      </c>
      <c r="B240" s="1" t="s">
        <v>1016</v>
      </c>
      <c r="C240" s="1" t="s">
        <v>785</v>
      </c>
      <c r="D240" s="1" t="s">
        <v>134</v>
      </c>
      <c r="E240" s="1" t="s">
        <v>37</v>
      </c>
      <c r="F240" s="25" t="s">
        <v>1017</v>
      </c>
      <c r="G240" s="1" t="s">
        <v>1017</v>
      </c>
      <c r="H240" s="1" t="s">
        <v>37</v>
      </c>
      <c r="I240" s="1" t="s">
        <v>39</v>
      </c>
      <c r="J240" s="1" t="s">
        <v>39</v>
      </c>
      <c r="K240" s="1" t="s">
        <v>39</v>
      </c>
      <c r="L240" s="1" t="s">
        <v>39</v>
      </c>
      <c r="M240" s="1" t="s">
        <v>39</v>
      </c>
      <c r="N240" s="1" t="s">
        <v>39</v>
      </c>
      <c r="O240" s="1" t="s">
        <v>37</v>
      </c>
      <c r="P240" s="1" t="s">
        <v>37</v>
      </c>
      <c r="Q240" s="1" t="s">
        <v>37</v>
      </c>
      <c r="R240" s="1" t="s">
        <v>60</v>
      </c>
      <c r="S240" s="1" t="s">
        <v>61</v>
      </c>
      <c r="T240" s="1" t="s">
        <v>62</v>
      </c>
      <c r="U240" s="1" t="s">
        <v>63</v>
      </c>
      <c r="V240" s="1" t="s">
        <v>63</v>
      </c>
      <c r="W240" s="1" t="s">
        <v>1018</v>
      </c>
      <c r="X240" s="1" t="s">
        <v>1019</v>
      </c>
      <c r="Y240" s="1" t="s">
        <v>84</v>
      </c>
      <c r="Z240" s="1" t="s">
        <v>1020</v>
      </c>
      <c r="AA240" s="1" t="s">
        <v>47</v>
      </c>
      <c r="AB240" s="1" t="s">
        <v>39</v>
      </c>
      <c r="AC240" s="1" t="s">
        <v>37</v>
      </c>
      <c r="AD240" s="1" t="s">
        <v>37</v>
      </c>
      <c r="AE240" s="1" t="s">
        <v>37</v>
      </c>
      <c r="AF240" s="1" t="s">
        <v>37</v>
      </c>
      <c r="AG240" s="1" t="s">
        <v>37</v>
      </c>
      <c r="AH240" s="1" t="s">
        <v>37</v>
      </c>
      <c r="AI240" s="1" t="s">
        <v>37</v>
      </c>
      <c r="AJ240" s="1" t="s">
        <v>39</v>
      </c>
      <c r="AK240" s="1" t="str">
        <f t="shared" si="7"/>
        <v>Fora de âmbito</v>
      </c>
      <c r="AL240" s="1" t="str">
        <f>+IF(IFERROR(VLOOKUP(A240,Ficheiros!I:I,1,FALSE),"")=A240,"Sim","Não")</f>
        <v>Sim</v>
      </c>
      <c r="AM240" s="1" t="str">
        <f>+IF(IFERROR(VLOOKUP(A240,Ficheiros!E:E,1,FALSE),"")=A240,"Sim","Não")</f>
        <v>Não</v>
      </c>
      <c r="AN240" s="1" t="str">
        <f>+IF(IFERROR(VLOOKUP(A240,Ficheiros!O:O,1,FALSE),"")=A240,"Sim","Não")</f>
        <v>Não</v>
      </c>
      <c r="AO240" s="1" t="str">
        <f>+IF(IFERROR(VLOOKUP(A240,'Especificação Novos Req. LT (2'!A:A,1,FALSE),"")=A240,"Sim","Não")</f>
        <v>Não</v>
      </c>
      <c r="AP240" s="1" t="str">
        <f>+IF(IFERROR(VLOOKUP(A240,Ficheiros!T:T,1,FALSE),"")=A240,"Sim","Não")</f>
        <v>Sim</v>
      </c>
      <c r="AQ240" s="1" t="e">
        <f>+VLOOKUP(A240,Ficheiros!O:P,2,FALSE)</f>
        <v>#N/A</v>
      </c>
      <c r="AR240" s="1" t="str">
        <f>+VLOOKUP(A240,Ficheiros!T:U,2,FALSE)</f>
        <v>7. Analisar controlos e completude</v>
      </c>
      <c r="AS240" s="1" t="str">
        <f>+VLOOKUP(A240,Ficheiros!T:V,3,FALSE)</f>
        <v>PM</v>
      </c>
      <c r="AT240" s="1"/>
      <c r="AU240" s="1"/>
      <c r="AV240" s="1"/>
      <c r="AW240" s="1"/>
      <c r="AX240" s="1"/>
    </row>
    <row r="241" spans="1:50" ht="14.5" hidden="1" customHeight="1" x14ac:dyDescent="0.35">
      <c r="A241" s="5" t="str">
        <f t="shared" si="6"/>
        <v>INSTRUMENTGRSS_CRRYNG_AMNT_INSTRMNT</v>
      </c>
      <c r="B241" s="1" t="s">
        <v>1021</v>
      </c>
      <c r="C241" s="1" t="s">
        <v>785</v>
      </c>
      <c r="D241" s="1" t="s">
        <v>271</v>
      </c>
      <c r="E241" s="1" t="s">
        <v>37</v>
      </c>
      <c r="F241" s="25" t="s">
        <v>1022</v>
      </c>
      <c r="G241" s="1" t="s">
        <v>1022</v>
      </c>
      <c r="H241" s="1" t="s">
        <v>39</v>
      </c>
      <c r="I241" s="1" t="s">
        <v>39</v>
      </c>
      <c r="J241" s="1" t="s">
        <v>39</v>
      </c>
      <c r="K241" s="1" t="s">
        <v>39</v>
      </c>
      <c r="L241" s="1" t="s">
        <v>39</v>
      </c>
      <c r="M241" s="1" t="s">
        <v>39</v>
      </c>
      <c r="N241" s="1" t="s">
        <v>39</v>
      </c>
      <c r="O241" s="1" t="s">
        <v>39</v>
      </c>
      <c r="P241" s="1" t="s">
        <v>39</v>
      </c>
      <c r="Q241" s="1" t="s">
        <v>39</v>
      </c>
      <c r="R241" s="1" t="s">
        <v>273</v>
      </c>
      <c r="S241" s="1" t="s">
        <v>274</v>
      </c>
      <c r="T241" s="1">
        <v>99999999999</v>
      </c>
      <c r="U241" s="1">
        <v>11111111111</v>
      </c>
      <c r="V241" s="1">
        <v>11111111111</v>
      </c>
      <c r="W241" s="1" t="s">
        <v>1023</v>
      </c>
      <c r="X241" s="1" t="s">
        <v>1024</v>
      </c>
      <c r="Y241" s="1" t="s">
        <v>45</v>
      </c>
      <c r="Z241" s="1" t="s">
        <v>46</v>
      </c>
      <c r="AA241" s="1" t="s">
        <v>47</v>
      </c>
      <c r="AB241" s="1" t="s">
        <v>39</v>
      </c>
      <c r="AC241" s="1" t="s">
        <v>39</v>
      </c>
      <c r="AD241" s="1" t="s">
        <v>39</v>
      </c>
      <c r="AE241" s="1" t="s">
        <v>39</v>
      </c>
      <c r="AF241" s="1" t="s">
        <v>39</v>
      </c>
      <c r="AG241" s="1" t="s">
        <v>39</v>
      </c>
      <c r="AH241" s="1" t="s">
        <v>39</v>
      </c>
      <c r="AI241" s="1" t="s">
        <v>39</v>
      </c>
      <c r="AJ241" s="1" t="s">
        <v>39</v>
      </c>
      <c r="AK241" s="1" t="str">
        <f t="shared" si="7"/>
        <v>Comum</v>
      </c>
      <c r="AL241" s="1" t="str">
        <f>+IF(IFERROR(VLOOKUP(A241,Ficheiros!I:I,1,FALSE),"")=A241,"Sim","Não")</f>
        <v>Sim</v>
      </c>
      <c r="AM241" s="1" t="str">
        <f>+IF(IFERROR(VLOOKUP(A241,Ficheiros!E:E,1,FALSE),"")=A241,"Sim","Não")</f>
        <v>Não</v>
      </c>
      <c r="AN241" s="1" t="str">
        <f>+IF(IFERROR(VLOOKUP(A241,Ficheiros!O:O,1,FALSE),"")=A241,"Sim","Não")</f>
        <v>Sim</v>
      </c>
      <c r="AO241" s="1" t="str">
        <f>+IF(IFERROR(VLOOKUP(A241,'Especificação Novos Req. LT (2'!A:A,1,FALSE),"")=A241,"Sim","Não")</f>
        <v>Não</v>
      </c>
      <c r="AP241" s="1" t="str">
        <f>+IF(IFERROR(VLOOKUP(A241,Ficheiros!T:T,1,FALSE),"")=A241,"Sim","Não")</f>
        <v>Sim</v>
      </c>
      <c r="AQ241" s="1" t="str">
        <f>+VLOOKUP(A241,Ficheiros!O:P,2,FALSE)</f>
        <v>1. Concluído</v>
      </c>
      <c r="AR241" s="1" t="str">
        <f>+VLOOKUP(A241,Ficheiros!T:U,2,FALSE)</f>
        <v>9. Concluído</v>
      </c>
      <c r="AS241" s="1" t="str">
        <f>+VLOOKUP(A241,Ficheiros!T:V,3,FALSE)</f>
        <v>PM</v>
      </c>
      <c r="AT241" s="1"/>
      <c r="AU241" s="1"/>
      <c r="AV241" s="1"/>
      <c r="AW241" s="1"/>
      <c r="AX241" s="1" t="s">
        <v>2540</v>
      </c>
    </row>
    <row r="242" spans="1:50" ht="14.5" hidden="1" customHeight="1" x14ac:dyDescent="0.35">
      <c r="A242" s="5" t="str">
        <f t="shared" si="6"/>
        <v>INSTRUMENTACCMLTD_CHNGS_FV_CR_INSTRMNT</v>
      </c>
      <c r="B242" s="1" t="s">
        <v>1025</v>
      </c>
      <c r="C242" s="1" t="s">
        <v>785</v>
      </c>
      <c r="D242" s="1" t="s">
        <v>271</v>
      </c>
      <c r="E242" s="1" t="s">
        <v>39</v>
      </c>
      <c r="F242" s="25" t="s">
        <v>1026</v>
      </c>
      <c r="G242" s="1" t="s">
        <v>1026</v>
      </c>
      <c r="H242" s="1" t="s">
        <v>37</v>
      </c>
      <c r="I242" s="1" t="s">
        <v>39</v>
      </c>
      <c r="J242" s="1" t="s">
        <v>39</v>
      </c>
      <c r="K242" s="1" t="s">
        <v>39</v>
      </c>
      <c r="L242" s="1" t="s">
        <v>39</v>
      </c>
      <c r="M242" s="1" t="s">
        <v>39</v>
      </c>
      <c r="N242" s="1" t="s">
        <v>39</v>
      </c>
      <c r="O242" s="1" t="s">
        <v>39</v>
      </c>
      <c r="P242" s="1" t="s">
        <v>39</v>
      </c>
      <c r="Q242" s="1" t="s">
        <v>39</v>
      </c>
      <c r="R242" s="1" t="s">
        <v>273</v>
      </c>
      <c r="S242" s="1" t="s">
        <v>274</v>
      </c>
      <c r="T242" s="1">
        <v>99999999999</v>
      </c>
      <c r="U242" s="1">
        <v>11111111111</v>
      </c>
      <c r="V242" s="1">
        <v>11111111111</v>
      </c>
      <c r="W242" s="1" t="s">
        <v>1027</v>
      </c>
      <c r="X242" s="1" t="s">
        <v>1028</v>
      </c>
      <c r="Y242" s="1" t="s">
        <v>45</v>
      </c>
      <c r="Z242" s="1" t="s">
        <v>46</v>
      </c>
      <c r="AA242" s="1" t="s">
        <v>47</v>
      </c>
      <c r="AB242" s="1" t="s">
        <v>39</v>
      </c>
      <c r="AC242" s="1" t="s">
        <v>39</v>
      </c>
      <c r="AD242" s="1" t="s">
        <v>39</v>
      </c>
      <c r="AE242" s="1" t="s">
        <v>39</v>
      </c>
      <c r="AF242" s="1" t="s">
        <v>37</v>
      </c>
      <c r="AG242" s="1" t="s">
        <v>37</v>
      </c>
      <c r="AH242" s="1" t="s">
        <v>39</v>
      </c>
      <c r="AI242" s="1" t="s">
        <v>39</v>
      </c>
      <c r="AJ242" s="1" t="s">
        <v>39</v>
      </c>
      <c r="AK242" s="1" t="str">
        <f t="shared" si="7"/>
        <v>Apenas Pilar 3</v>
      </c>
      <c r="AL242" s="1" t="str">
        <f>+IF(IFERROR(VLOOKUP(A242,Ficheiros!I:I,1,FALSE),"")=A242,"Sim","Não")</f>
        <v>Sim</v>
      </c>
      <c r="AM242" s="1" t="str">
        <f>+IF(IFERROR(VLOOKUP(A242,Ficheiros!E:E,1,FALSE),"")=A242,"Sim","Não")</f>
        <v>Não</v>
      </c>
      <c r="AN242" s="1" t="str">
        <f>+IF(IFERROR(VLOOKUP(A242,Ficheiros!O:O,1,FALSE),"")=A242,"Sim","Não")</f>
        <v>Sim</v>
      </c>
      <c r="AO242" s="1" t="str">
        <f>+IF(IFERROR(VLOOKUP(A242,'Especificação Novos Req. LT (2'!A:A,1,FALSE),"")=A242,"Sim","Não")</f>
        <v>Não</v>
      </c>
      <c r="AP242" s="1" t="str">
        <f>+IF(IFERROR(VLOOKUP(A242,Ficheiros!T:T,1,FALSE),"")=A242,"Sim","Não")</f>
        <v>Sim</v>
      </c>
      <c r="AQ242" s="1" t="str">
        <f>+VLOOKUP(A242,Ficheiros!O:P,2,FALSE)</f>
        <v>1. Concluído</v>
      </c>
      <c r="AR242" s="1" t="str">
        <f>+VLOOKUP(A242,Ficheiros!T:U,2,FALSE)</f>
        <v>9. Concluído</v>
      </c>
      <c r="AS242" s="1" t="str">
        <f>+VLOOKUP(A242,Ficheiros!T:V,3,FALSE)</f>
        <v>PM</v>
      </c>
      <c r="AT242" s="1"/>
      <c r="AU242" s="1"/>
      <c r="AV242" s="1"/>
      <c r="AW242" s="1"/>
      <c r="AX242" s="1"/>
    </row>
    <row r="243" spans="1:50" ht="14.5" hidden="1" customHeight="1" x14ac:dyDescent="0.35">
      <c r="A243" s="5" t="str">
        <f t="shared" si="6"/>
        <v>INSTRUMENTACCNTNG_CLSSFCTN</v>
      </c>
      <c r="B243" s="1" t="s">
        <v>1029</v>
      </c>
      <c r="C243" s="1" t="s">
        <v>785</v>
      </c>
      <c r="D243" s="1" t="s">
        <v>271</v>
      </c>
      <c r="E243" s="1" t="s">
        <v>39</v>
      </c>
      <c r="F243" s="29" t="s">
        <v>1030</v>
      </c>
      <c r="G243" s="1" t="s">
        <v>1030</v>
      </c>
      <c r="H243" s="1" t="s">
        <v>39</v>
      </c>
      <c r="I243" s="1" t="s">
        <v>39</v>
      </c>
      <c r="J243" s="1" t="s">
        <v>39</v>
      </c>
      <c r="K243" s="1" t="s">
        <v>39</v>
      </c>
      <c r="L243" s="1" t="s">
        <v>39</v>
      </c>
      <c r="M243" s="1" t="s">
        <v>39</v>
      </c>
      <c r="N243" s="1" t="s">
        <v>39</v>
      </c>
      <c r="O243" s="1" t="s">
        <v>39</v>
      </c>
      <c r="P243" s="1" t="s">
        <v>39</v>
      </c>
      <c r="Q243" s="1" t="s">
        <v>39</v>
      </c>
      <c r="R243" s="1" t="s">
        <v>136</v>
      </c>
      <c r="S243" s="1" t="s">
        <v>52</v>
      </c>
      <c r="T243" s="1">
        <v>99999999999</v>
      </c>
      <c r="U243" s="1">
        <v>11111111111</v>
      </c>
      <c r="V243" s="1">
        <v>11111111111</v>
      </c>
      <c r="W243" s="1" t="s">
        <v>1031</v>
      </c>
      <c r="X243" s="1" t="s">
        <v>1032</v>
      </c>
      <c r="Y243" s="1" t="s">
        <v>45</v>
      </c>
      <c r="Z243" s="1" t="s">
        <v>46</v>
      </c>
      <c r="AA243" s="1" t="s">
        <v>47</v>
      </c>
      <c r="AB243" s="1" t="s">
        <v>39</v>
      </c>
      <c r="AC243" s="1" t="s">
        <v>39</v>
      </c>
      <c r="AD243" s="1" t="s">
        <v>39</v>
      </c>
      <c r="AE243" s="1" t="s">
        <v>37</v>
      </c>
      <c r="AF243" s="1" t="s">
        <v>37</v>
      </c>
      <c r="AG243" s="1" t="s">
        <v>39</v>
      </c>
      <c r="AH243" s="1" t="s">
        <v>39</v>
      </c>
      <c r="AI243" s="1" t="s">
        <v>39</v>
      </c>
      <c r="AJ243" s="1" t="s">
        <v>39</v>
      </c>
      <c r="AK243" s="1" t="str">
        <f t="shared" si="7"/>
        <v>Apenas Pilar 3</v>
      </c>
      <c r="AL243" s="1" t="str">
        <f>+IF(IFERROR(VLOOKUP(A243,Ficheiros!I:I,1,FALSE),"")=A243,"Sim","Não")</f>
        <v>Sim</v>
      </c>
      <c r="AM243" s="1" t="str">
        <f>+IF(IFERROR(VLOOKUP(A243,Ficheiros!E:E,1,FALSE),"")=A243,"Sim","Não")</f>
        <v>Não</v>
      </c>
      <c r="AN243" s="1" t="str">
        <f>+IF(IFERROR(VLOOKUP(A243,Ficheiros!O:O,1,FALSE),"")=A243,"Sim","Não")</f>
        <v>Sim</v>
      </c>
      <c r="AO243" s="1" t="str">
        <f>+IF(IFERROR(VLOOKUP(A243,'Especificação Novos Req. LT (2'!A:A,1,FALSE),"")=A243,"Sim","Não")</f>
        <v>Não</v>
      </c>
      <c r="AP243" s="1" t="str">
        <f>+IF(IFERROR(VLOOKUP(A243,Ficheiros!T:T,1,FALSE),"")=A243,"Sim","Não")</f>
        <v>Sim</v>
      </c>
      <c r="AQ243" s="1" t="str">
        <f>+VLOOKUP(A243,Ficheiros!O:P,2,FALSE)</f>
        <v>1. Concluído</v>
      </c>
      <c r="AR243" s="1" t="str">
        <f>+VLOOKUP(A243,Ficheiros!T:U,2,FALSE)</f>
        <v>9. Concluído</v>
      </c>
      <c r="AS243" s="1" t="str">
        <f>+VLOOKUP(A243,Ficheiros!T:V,3,FALSE)</f>
        <v>PM</v>
      </c>
      <c r="AT243" s="1"/>
      <c r="AU243" s="1"/>
      <c r="AV243" s="1"/>
      <c r="AW243" s="1"/>
      <c r="AX243" s="1"/>
    </row>
    <row r="244" spans="1:50" ht="14.5" hidden="1" customHeight="1" x14ac:dyDescent="0.35">
      <c r="A244" s="5" t="str">
        <f t="shared" si="6"/>
        <v>INSTRUMENTACCRD_INTRST_INSTRMNT</v>
      </c>
      <c r="B244" s="1" t="s">
        <v>1033</v>
      </c>
      <c r="C244" s="1" t="s">
        <v>785</v>
      </c>
      <c r="D244" s="1" t="s">
        <v>271</v>
      </c>
      <c r="E244" s="1" t="s">
        <v>39</v>
      </c>
      <c r="F244" s="25" t="s">
        <v>1034</v>
      </c>
      <c r="G244" s="1" t="s">
        <v>1034</v>
      </c>
      <c r="H244" s="1" t="s">
        <v>37</v>
      </c>
      <c r="I244" s="1" t="s">
        <v>39</v>
      </c>
      <c r="J244" s="1" t="s">
        <v>39</v>
      </c>
      <c r="K244" s="1" t="s">
        <v>39</v>
      </c>
      <c r="L244" s="1" t="s">
        <v>39</v>
      </c>
      <c r="M244" s="1" t="s">
        <v>39</v>
      </c>
      <c r="N244" s="1" t="s">
        <v>39</v>
      </c>
      <c r="O244" s="1" t="s">
        <v>39</v>
      </c>
      <c r="P244" s="1" t="s">
        <v>37</v>
      </c>
      <c r="Q244" s="1" t="s">
        <v>37</v>
      </c>
      <c r="R244" s="1" t="s">
        <v>273</v>
      </c>
      <c r="S244" s="1" t="s">
        <v>274</v>
      </c>
      <c r="T244" s="1">
        <v>99999999999</v>
      </c>
      <c r="U244" s="1">
        <v>11111111111</v>
      </c>
      <c r="V244" s="1">
        <v>11111111111</v>
      </c>
      <c r="W244" s="1" t="s">
        <v>1035</v>
      </c>
      <c r="X244" s="1" t="s">
        <v>1036</v>
      </c>
      <c r="Y244" s="1" t="s">
        <v>66</v>
      </c>
      <c r="Z244" s="1" t="s">
        <v>1037</v>
      </c>
      <c r="AA244" s="1" t="s">
        <v>47</v>
      </c>
      <c r="AB244" s="1" t="s">
        <v>39</v>
      </c>
      <c r="AC244" s="1" t="s">
        <v>37</v>
      </c>
      <c r="AD244" s="1" t="s">
        <v>37</v>
      </c>
      <c r="AE244" s="1" t="s">
        <v>37</v>
      </c>
      <c r="AF244" s="1" t="s">
        <v>37</v>
      </c>
      <c r="AG244" s="1" t="s">
        <v>39</v>
      </c>
      <c r="AH244" s="1" t="s">
        <v>37</v>
      </c>
      <c r="AI244" s="1" t="s">
        <v>37</v>
      </c>
      <c r="AJ244" s="1" t="s">
        <v>39</v>
      </c>
      <c r="AK244" s="1" t="str">
        <f t="shared" si="7"/>
        <v>Fora de âmbito</v>
      </c>
      <c r="AL244" s="1" t="str">
        <f>+IF(IFERROR(VLOOKUP(A244,Ficheiros!I:I,1,FALSE),"")=A244,"Sim","Não")</f>
        <v>Sim</v>
      </c>
      <c r="AM244" s="1" t="str">
        <f>+IF(IFERROR(VLOOKUP(A244,Ficheiros!E:E,1,FALSE),"")=A244,"Sim","Não")</f>
        <v>Não</v>
      </c>
      <c r="AN244" s="1" t="str">
        <f>+IF(IFERROR(VLOOKUP(A244,Ficheiros!O:O,1,FALSE),"")=A244,"Sim","Não")</f>
        <v>Não</v>
      </c>
      <c r="AO244" s="1" t="str">
        <f>+IF(IFERROR(VLOOKUP(A244,'Especificação Novos Req. LT (2'!A:A,1,FALSE),"")=A244,"Sim","Não")</f>
        <v>Não</v>
      </c>
      <c r="AP244" s="1" t="str">
        <f>+IF(IFERROR(VLOOKUP(A244,Ficheiros!T:T,1,FALSE),"")=A244,"Sim","Não")</f>
        <v>Sim</v>
      </c>
      <c r="AQ244" s="1" t="e">
        <f>+VLOOKUP(A244,Ficheiros!O:P,2,FALSE)</f>
        <v>#N/A</v>
      </c>
      <c r="AR244" s="1" t="str">
        <f>+VLOOKUP(A244,Ficheiros!T:U,2,FALSE)</f>
        <v>2. Alterar especificação</v>
      </c>
      <c r="AS244" s="1" t="str">
        <f>+VLOOKUP(A244,Ficheiros!T:V,3,FALSE)</f>
        <v>LF</v>
      </c>
      <c r="AT244" s="1"/>
      <c r="AU244" s="1"/>
      <c r="AV244" s="1"/>
      <c r="AW244" s="1"/>
      <c r="AX244" s="1"/>
    </row>
    <row r="245" spans="1:50" ht="14.5" hidden="1" customHeight="1" x14ac:dyDescent="0.35">
      <c r="A245" s="5" t="str">
        <f t="shared" si="6"/>
        <v>INSTRUMENTAMNT_D_AT_MTRTY</v>
      </c>
      <c r="B245" s="1" t="s">
        <v>1038</v>
      </c>
      <c r="C245" s="1" t="s">
        <v>785</v>
      </c>
      <c r="D245" s="1" t="s">
        <v>271</v>
      </c>
      <c r="E245" s="1" t="s">
        <v>37</v>
      </c>
      <c r="F245" s="25" t="s">
        <v>1039</v>
      </c>
      <c r="G245" s="1" t="s">
        <v>1039</v>
      </c>
      <c r="H245" s="1" t="s">
        <v>37</v>
      </c>
      <c r="I245" s="1" t="s">
        <v>39</v>
      </c>
      <c r="J245" s="1" t="s">
        <v>39</v>
      </c>
      <c r="K245" s="1" t="s">
        <v>39</v>
      </c>
      <c r="L245" s="1" t="s">
        <v>39</v>
      </c>
      <c r="M245" s="1" t="s">
        <v>39</v>
      </c>
      <c r="N245" s="1" t="s">
        <v>39</v>
      </c>
      <c r="O245" s="1" t="s">
        <v>37</v>
      </c>
      <c r="P245" s="1" t="s">
        <v>37</v>
      </c>
      <c r="Q245" s="1" t="s">
        <v>37</v>
      </c>
      <c r="R245" s="1" t="s">
        <v>273</v>
      </c>
      <c r="S245" s="1" t="s">
        <v>274</v>
      </c>
      <c r="T245" s="1">
        <v>99999999999</v>
      </c>
      <c r="U245" s="1">
        <v>11111111111</v>
      </c>
      <c r="V245" s="1">
        <v>11111111111</v>
      </c>
      <c r="W245" s="1" t="s">
        <v>1040</v>
      </c>
      <c r="X245" s="1" t="s">
        <v>1041</v>
      </c>
      <c r="Y245" s="1" t="s">
        <v>45</v>
      </c>
      <c r="Z245" s="1" t="s">
        <v>46</v>
      </c>
      <c r="AA245" s="1" t="s">
        <v>47</v>
      </c>
      <c r="AB245" s="1" t="s">
        <v>39</v>
      </c>
      <c r="AC245" s="1" t="s">
        <v>37</v>
      </c>
      <c r="AD245" s="1" t="s">
        <v>37</v>
      </c>
      <c r="AE245" s="1" t="s">
        <v>37</v>
      </c>
      <c r="AF245" s="1" t="s">
        <v>37</v>
      </c>
      <c r="AG245" s="1" t="s">
        <v>39</v>
      </c>
      <c r="AH245" s="1" t="s">
        <v>37</v>
      </c>
      <c r="AI245" s="1" t="s">
        <v>37</v>
      </c>
      <c r="AJ245" s="1" t="s">
        <v>39</v>
      </c>
      <c r="AK245" s="1" t="str">
        <f t="shared" si="7"/>
        <v>Fora de âmbito</v>
      </c>
      <c r="AL245" s="1" t="str">
        <f>+IF(IFERROR(VLOOKUP(A245,Ficheiros!I:I,1,FALSE),"")=A245,"Sim","Não")</f>
        <v>Sim</v>
      </c>
      <c r="AM245" s="1" t="str">
        <f>+IF(IFERROR(VLOOKUP(A245,Ficheiros!E:E,1,FALSE),"")=A245,"Sim","Não")</f>
        <v>Não</v>
      </c>
      <c r="AN245" s="1" t="str">
        <f>+IF(IFERROR(VLOOKUP(A245,Ficheiros!O:O,1,FALSE),"")=A245,"Sim","Não")</f>
        <v>Não</v>
      </c>
      <c r="AO245" s="1" t="str">
        <f>+IF(IFERROR(VLOOKUP(A245,'Especificação Novos Req. LT (2'!A:A,1,FALSE),"")=A245,"Sim","Não")</f>
        <v>Não</v>
      </c>
      <c r="AP245" s="1" t="str">
        <f>+IF(IFERROR(VLOOKUP(A245,Ficheiros!T:T,1,FALSE),"")=A245,"Sim","Não")</f>
        <v>Sim</v>
      </c>
      <c r="AQ245" s="1" t="e">
        <f>+VLOOKUP(A245,Ficheiros!O:P,2,FALSE)</f>
        <v>#N/A</v>
      </c>
      <c r="AR245" s="1" t="str">
        <f>+VLOOKUP(A245,Ficheiros!T:U,2,FALSE)</f>
        <v>1. Especificar</v>
      </c>
      <c r="AS245" s="1" t="str">
        <f>+VLOOKUP(A245,Ficheiros!T:V,3,FALSE)</f>
        <v>LF</v>
      </c>
      <c r="AT245" s="1"/>
      <c r="AU245" s="1"/>
      <c r="AV245" s="1"/>
      <c r="AW245" s="1"/>
      <c r="AX245" s="1"/>
    </row>
    <row r="246" spans="1:50" ht="14.5" hidden="1" customHeight="1" x14ac:dyDescent="0.35">
      <c r="A246" s="5" t="str">
        <f t="shared" si="6"/>
        <v>INSTRUMENTCCF</v>
      </c>
      <c r="B246" s="1" t="s">
        <v>1042</v>
      </c>
      <c r="C246" s="1" t="s">
        <v>785</v>
      </c>
      <c r="D246" s="1" t="s">
        <v>271</v>
      </c>
      <c r="E246" s="1" t="s">
        <v>37</v>
      </c>
      <c r="F246" s="25" t="s">
        <v>1043</v>
      </c>
      <c r="G246" s="1" t="s">
        <v>1043</v>
      </c>
      <c r="H246" s="1" t="s">
        <v>39</v>
      </c>
      <c r="I246" s="1" t="s">
        <v>39</v>
      </c>
      <c r="J246" s="1" t="s">
        <v>39</v>
      </c>
      <c r="K246" s="1" t="s">
        <v>39</v>
      </c>
      <c r="L246" s="1" t="s">
        <v>39</v>
      </c>
      <c r="M246" s="1" t="s">
        <v>39</v>
      </c>
      <c r="N246" s="1" t="s">
        <v>39</v>
      </c>
      <c r="O246" s="1" t="s">
        <v>37</v>
      </c>
      <c r="P246" s="1" t="s">
        <v>37</v>
      </c>
      <c r="Q246" s="1" t="s">
        <v>37</v>
      </c>
      <c r="R246" s="1" t="s">
        <v>342</v>
      </c>
      <c r="S246" s="1" t="s">
        <v>274</v>
      </c>
      <c r="T246" s="1">
        <v>99999999999</v>
      </c>
      <c r="U246" s="1">
        <v>11111111111</v>
      </c>
      <c r="V246" s="1">
        <v>11111111111</v>
      </c>
      <c r="W246" s="1" t="s">
        <v>1044</v>
      </c>
      <c r="X246" s="1" t="s">
        <v>1045</v>
      </c>
      <c r="Y246" s="1" t="s">
        <v>84</v>
      </c>
      <c r="Z246" s="1" t="s">
        <v>1046</v>
      </c>
      <c r="AA246" s="1" t="s">
        <v>47</v>
      </c>
      <c r="AB246" s="1" t="s">
        <v>39</v>
      </c>
      <c r="AC246" s="1" t="s">
        <v>39</v>
      </c>
      <c r="AD246" s="1" t="s">
        <v>37</v>
      </c>
      <c r="AE246" s="1" t="s">
        <v>37</v>
      </c>
      <c r="AF246" s="1" t="s">
        <v>37</v>
      </c>
      <c r="AG246" s="1" t="s">
        <v>39</v>
      </c>
      <c r="AH246" s="1" t="s">
        <v>39</v>
      </c>
      <c r="AI246" s="1" t="s">
        <v>39</v>
      </c>
      <c r="AJ246" s="1" t="s">
        <v>39</v>
      </c>
      <c r="AK246" s="1" t="str">
        <f t="shared" si="7"/>
        <v>Fora de âmbito</v>
      </c>
      <c r="AL246" s="1" t="str">
        <f>+IF(IFERROR(VLOOKUP(A246,Ficheiros!I:I,1,FALSE),"")=A246,"Sim","Não")</f>
        <v>Sim</v>
      </c>
      <c r="AM246" s="1" t="str">
        <f>+IF(IFERROR(VLOOKUP(A246,Ficheiros!E:E,1,FALSE),"")=A246,"Sim","Não")</f>
        <v>Não</v>
      </c>
      <c r="AN246" s="1" t="str">
        <f>+IF(IFERROR(VLOOKUP(A246,Ficheiros!O:O,1,FALSE),"")=A246,"Sim","Não")</f>
        <v>Não</v>
      </c>
      <c r="AO246" s="1" t="str">
        <f>+IF(IFERROR(VLOOKUP(A246,'Especificação Novos Req. LT (2'!A:A,1,FALSE),"")=A246,"Sim","Não")</f>
        <v>Não</v>
      </c>
      <c r="AP246" s="1" t="str">
        <f>+IF(IFERROR(VLOOKUP(A246,Ficheiros!T:T,1,FALSE),"")=A246,"Sim","Não")</f>
        <v>Sim</v>
      </c>
      <c r="AQ246" s="1" t="e">
        <f>+VLOOKUP(A246,Ficheiros!O:P,2,FALSE)</f>
        <v>#N/A</v>
      </c>
      <c r="AR246" s="1" t="str">
        <f>+VLOOKUP(A246,Ficheiros!T:U,2,FALSE)</f>
        <v>9. Concluído</v>
      </c>
      <c r="AS246" s="1" t="str">
        <f>+VLOOKUP(A246,Ficheiros!T:V,3,FALSE)</f>
        <v>PM</v>
      </c>
      <c r="AT246" s="1"/>
      <c r="AU246" s="1"/>
      <c r="AV246" s="1"/>
      <c r="AW246" s="1"/>
      <c r="AX246" s="1"/>
    </row>
    <row r="247" spans="1:50" ht="14.5" hidden="1" customHeight="1" x14ac:dyDescent="0.35">
      <c r="A247" s="5" t="str">
        <f t="shared" si="6"/>
        <v>INSTRUMENTCMMTMNT_INCPTN_INSTRMNT</v>
      </c>
      <c r="B247" s="1" t="s">
        <v>1047</v>
      </c>
      <c r="C247" s="1" t="s">
        <v>785</v>
      </c>
      <c r="D247" s="1" t="s">
        <v>271</v>
      </c>
      <c r="E247" s="1" t="s">
        <v>39</v>
      </c>
      <c r="F247" s="26" t="s">
        <v>1048</v>
      </c>
      <c r="G247" s="1" t="s">
        <v>1048</v>
      </c>
      <c r="H247" s="1" t="s">
        <v>37</v>
      </c>
      <c r="I247" s="1" t="s">
        <v>39</v>
      </c>
      <c r="J247" s="1" t="s">
        <v>39</v>
      </c>
      <c r="K247" s="1" t="s">
        <v>39</v>
      </c>
      <c r="L247" s="1" t="s">
        <v>39</v>
      </c>
      <c r="M247" s="1" t="s">
        <v>39</v>
      </c>
      <c r="N247" s="1" t="s">
        <v>39</v>
      </c>
      <c r="O247" s="1" t="s">
        <v>37</v>
      </c>
      <c r="P247" s="1" t="s">
        <v>37</v>
      </c>
      <c r="Q247" s="1" t="s">
        <v>37</v>
      </c>
      <c r="R247" s="1" t="s">
        <v>273</v>
      </c>
      <c r="S247" s="1" t="s">
        <v>274</v>
      </c>
      <c r="T247" s="1">
        <v>99999999999</v>
      </c>
      <c r="U247" s="1">
        <v>11111111111</v>
      </c>
      <c r="V247" s="1">
        <v>11111111111</v>
      </c>
      <c r="W247" s="1" t="s">
        <v>1049</v>
      </c>
      <c r="X247" s="1" t="s">
        <v>1050</v>
      </c>
      <c r="Y247" s="1" t="s">
        <v>84</v>
      </c>
      <c r="Z247" s="1" t="s">
        <v>1051</v>
      </c>
      <c r="AA247" s="1" t="s">
        <v>47</v>
      </c>
      <c r="AB247" s="1" t="s">
        <v>39</v>
      </c>
      <c r="AC247" s="1" t="s">
        <v>37</v>
      </c>
      <c r="AD247" s="1" t="s">
        <v>37</v>
      </c>
      <c r="AE247" s="1" t="s">
        <v>39</v>
      </c>
      <c r="AF247" s="1" t="s">
        <v>37</v>
      </c>
      <c r="AG247" s="1" t="s">
        <v>37</v>
      </c>
      <c r="AH247" s="1" t="s">
        <v>37</v>
      </c>
      <c r="AI247" s="1" t="s">
        <v>39</v>
      </c>
      <c r="AJ247" s="1" t="s">
        <v>39</v>
      </c>
      <c r="AK247" s="1" t="str">
        <f t="shared" si="7"/>
        <v>Fora de âmbito</v>
      </c>
      <c r="AL247" s="1" t="str">
        <f>+IF(IFERROR(VLOOKUP(A247,Ficheiros!I:I,1,FALSE),"")=A247,"Sim","Não")</f>
        <v>Sim</v>
      </c>
      <c r="AM247" s="1" t="str">
        <f>+IF(IFERROR(VLOOKUP(A247,Ficheiros!E:E,1,FALSE),"")=A247,"Sim","Não")</f>
        <v>Não</v>
      </c>
      <c r="AN247" s="1" t="str">
        <f>+IF(IFERROR(VLOOKUP(A247,Ficheiros!O:O,1,FALSE),"")=A247,"Sim","Não")</f>
        <v>Não</v>
      </c>
      <c r="AO247" s="1" t="str">
        <f>+IF(IFERROR(VLOOKUP(A247,'Especificação Novos Req. LT (2'!A:A,1,FALSE),"")=A247,"Sim","Não")</f>
        <v>Não</v>
      </c>
      <c r="AP247" s="1" t="str">
        <f>+IF(IFERROR(VLOOKUP(A247,Ficheiros!T:T,1,FALSE),"")=A247,"Sim","Não")</f>
        <v>Sim</v>
      </c>
      <c r="AQ247" s="1" t="e">
        <f>+VLOOKUP(A247,Ficheiros!O:P,2,FALSE)</f>
        <v>#N/A</v>
      </c>
      <c r="AR247" s="1" t="str">
        <f>+VLOOKUP(A247,Ficheiros!T:U,2,FALSE)</f>
        <v>7. Analisar controlos e completude</v>
      </c>
      <c r="AS247" s="1" t="str">
        <f>+VLOOKUP(A247,Ficheiros!T:V,3,FALSE)</f>
        <v>PM</v>
      </c>
      <c r="AT247" s="1"/>
      <c r="AU247" s="1"/>
      <c r="AV247" s="1"/>
      <c r="AW247" s="1"/>
      <c r="AX247" s="1"/>
    </row>
    <row r="248" spans="1:50" ht="14.5" hidden="1" customHeight="1" x14ac:dyDescent="0.35">
      <c r="A248" s="5" t="str">
        <f t="shared" si="6"/>
        <v>INSTRUMENTCMMTMNT_INSTRMNT</v>
      </c>
      <c r="B248" s="1" t="s">
        <v>1052</v>
      </c>
      <c r="C248" s="1" t="s">
        <v>785</v>
      </c>
      <c r="D248" s="1" t="s">
        <v>271</v>
      </c>
      <c r="E248" s="1" t="s">
        <v>37</v>
      </c>
      <c r="F248" s="26" t="s">
        <v>1053</v>
      </c>
      <c r="G248" s="1" t="s">
        <v>1053</v>
      </c>
      <c r="H248" s="1" t="s">
        <v>37</v>
      </c>
      <c r="I248" s="1" t="s">
        <v>39</v>
      </c>
      <c r="J248" s="1" t="s">
        <v>39</v>
      </c>
      <c r="K248" s="1" t="s">
        <v>39</v>
      </c>
      <c r="L248" s="1" t="s">
        <v>39</v>
      </c>
      <c r="M248" s="1" t="s">
        <v>39</v>
      </c>
      <c r="N248" s="1" t="s">
        <v>39</v>
      </c>
      <c r="O248" s="1" t="s">
        <v>37</v>
      </c>
      <c r="P248" s="1" t="s">
        <v>37</v>
      </c>
      <c r="Q248" s="1" t="s">
        <v>37</v>
      </c>
      <c r="R248" s="1" t="s">
        <v>273</v>
      </c>
      <c r="S248" s="1" t="s">
        <v>274</v>
      </c>
      <c r="T248" s="1">
        <v>99999999999</v>
      </c>
      <c r="U248" s="1">
        <v>11111111111</v>
      </c>
      <c r="V248" s="1">
        <v>11111111111</v>
      </c>
      <c r="W248" s="1" t="s">
        <v>1054</v>
      </c>
      <c r="X248" s="1" t="s">
        <v>1055</v>
      </c>
      <c r="Y248" s="1" t="s">
        <v>45</v>
      </c>
      <c r="Z248" s="1" t="s">
        <v>46</v>
      </c>
      <c r="AA248" s="1" t="s">
        <v>47</v>
      </c>
      <c r="AB248" s="1" t="s">
        <v>39</v>
      </c>
      <c r="AC248" s="1" t="s">
        <v>37</v>
      </c>
      <c r="AD248" s="1" t="s">
        <v>37</v>
      </c>
      <c r="AE248" s="1" t="s">
        <v>39</v>
      </c>
      <c r="AF248" s="1" t="s">
        <v>37</v>
      </c>
      <c r="AG248" s="1" t="s">
        <v>37</v>
      </c>
      <c r="AH248" s="1" t="s">
        <v>37</v>
      </c>
      <c r="AI248" s="1" t="s">
        <v>39</v>
      </c>
      <c r="AJ248" s="1" t="s">
        <v>39</v>
      </c>
      <c r="AK248" s="1" t="str">
        <f t="shared" si="7"/>
        <v>Fora de âmbito</v>
      </c>
      <c r="AL248" s="1" t="str">
        <f>+IF(IFERROR(VLOOKUP(A248,Ficheiros!I:I,1,FALSE),"")=A248,"Sim","Não")</f>
        <v>Sim</v>
      </c>
      <c r="AM248" s="1" t="str">
        <f>+IF(IFERROR(VLOOKUP(A248,Ficheiros!E:E,1,FALSE),"")=A248,"Sim","Não")</f>
        <v>Não</v>
      </c>
      <c r="AN248" s="1" t="str">
        <f>+IF(IFERROR(VLOOKUP(A248,Ficheiros!O:O,1,FALSE),"")=A248,"Sim","Não")</f>
        <v>Não</v>
      </c>
      <c r="AO248" s="1" t="str">
        <f>+IF(IFERROR(VLOOKUP(A248,'Especificação Novos Req. LT (2'!A:A,1,FALSE),"")=A248,"Sim","Não")</f>
        <v>Não</v>
      </c>
      <c r="AP248" s="1" t="str">
        <f>+IF(IFERROR(VLOOKUP(A248,Ficheiros!T:T,1,FALSE),"")=A248,"Sim","Não")</f>
        <v>Sim</v>
      </c>
      <c r="AQ248" s="1" t="e">
        <f>+VLOOKUP(A248,Ficheiros!O:P,2,FALSE)</f>
        <v>#N/A</v>
      </c>
      <c r="AR248" s="1" t="str">
        <f>+VLOOKUP(A248,Ficheiros!T:U,2,FALSE)</f>
        <v>2. Alterar especificação</v>
      </c>
      <c r="AS248" s="1" t="str">
        <f>+VLOOKUP(A248,Ficheiros!T:V,3,FALSE)</f>
        <v>PM</v>
      </c>
      <c r="AT248" s="1"/>
      <c r="AU248" s="1"/>
      <c r="AV248" s="1"/>
      <c r="AW248" s="1"/>
      <c r="AX248" s="1"/>
    </row>
    <row r="249" spans="1:50" ht="14.5" hidden="1" customHeight="1" x14ac:dyDescent="0.35">
      <c r="A249" s="5" t="str">
        <f t="shared" si="6"/>
        <v>INSTRUMENTCRRYNG_AMNT_INSTRMNT</v>
      </c>
      <c r="B249" s="1" t="s">
        <v>1056</v>
      </c>
      <c r="C249" s="1" t="s">
        <v>785</v>
      </c>
      <c r="D249" s="1" t="s">
        <v>271</v>
      </c>
      <c r="E249" s="1" t="s">
        <v>39</v>
      </c>
      <c r="F249" s="25" t="s">
        <v>1057</v>
      </c>
      <c r="G249" s="1" t="s">
        <v>1057</v>
      </c>
      <c r="H249" s="1" t="s">
        <v>39</v>
      </c>
      <c r="I249" s="1" t="s">
        <v>39</v>
      </c>
      <c r="J249" s="1" t="s">
        <v>39</v>
      </c>
      <c r="K249" s="1" t="s">
        <v>39</v>
      </c>
      <c r="L249" s="1" t="s">
        <v>39</v>
      </c>
      <c r="M249" s="1" t="s">
        <v>39</v>
      </c>
      <c r="N249" s="1" t="s">
        <v>39</v>
      </c>
      <c r="O249" s="1" t="s">
        <v>39</v>
      </c>
      <c r="P249" s="1" t="s">
        <v>39</v>
      </c>
      <c r="Q249" s="1" t="s">
        <v>37</v>
      </c>
      <c r="R249" s="1" t="s">
        <v>273</v>
      </c>
      <c r="S249" s="1" t="s">
        <v>274</v>
      </c>
      <c r="T249" s="1">
        <v>99999999999</v>
      </c>
      <c r="U249" s="1">
        <v>11111111111</v>
      </c>
      <c r="V249" s="1">
        <v>11111111111</v>
      </c>
      <c r="W249" s="1" t="s">
        <v>1058</v>
      </c>
      <c r="X249" s="1" t="s">
        <v>1059</v>
      </c>
      <c r="Y249" s="1" t="s">
        <v>45</v>
      </c>
      <c r="Z249" s="1" t="s">
        <v>46</v>
      </c>
      <c r="AA249" s="1" t="s">
        <v>47</v>
      </c>
      <c r="AB249" s="1" t="s">
        <v>39</v>
      </c>
      <c r="AC249" s="1" t="s">
        <v>37</v>
      </c>
      <c r="AD249" s="1" t="s">
        <v>37</v>
      </c>
      <c r="AE249" s="1" t="s">
        <v>37</v>
      </c>
      <c r="AF249" s="1" t="s">
        <v>37</v>
      </c>
      <c r="AG249" s="1" t="s">
        <v>39</v>
      </c>
      <c r="AH249" s="1" t="s">
        <v>37</v>
      </c>
      <c r="AI249" s="1" t="s">
        <v>37</v>
      </c>
      <c r="AJ249" s="1" t="s">
        <v>39</v>
      </c>
      <c r="AK249" s="1" t="str">
        <f t="shared" si="7"/>
        <v>Fora de âmbito</v>
      </c>
      <c r="AL249" s="1" t="str">
        <f>+IF(IFERROR(VLOOKUP(A249,Ficheiros!I:I,1,FALSE),"")=A249,"Sim","Não")</f>
        <v>Sim</v>
      </c>
      <c r="AM249" s="1" t="str">
        <f>+IF(IFERROR(VLOOKUP(A249,Ficheiros!E:E,1,FALSE),"")=A249,"Sim","Não")</f>
        <v>Não</v>
      </c>
      <c r="AN249" s="1" t="str">
        <f>+IF(IFERROR(VLOOKUP(A249,Ficheiros!O:O,1,FALSE),"")=A249,"Sim","Não")</f>
        <v>Não</v>
      </c>
      <c r="AO249" s="1" t="str">
        <f>+IF(IFERROR(VLOOKUP(A249,'Especificação Novos Req. LT (2'!A:A,1,FALSE),"")=A249,"Sim","Não")</f>
        <v>Não</v>
      </c>
      <c r="AP249" s="1" t="str">
        <f>+IF(IFERROR(VLOOKUP(A249,Ficheiros!T:T,1,FALSE),"")=A249,"Sim","Não")</f>
        <v>Sim</v>
      </c>
      <c r="AQ249" s="1" t="e">
        <f>+VLOOKUP(A249,Ficheiros!O:P,2,FALSE)</f>
        <v>#N/A</v>
      </c>
      <c r="AR249" s="1" t="str">
        <f>+VLOOKUP(A249,Ficheiros!T:U,2,FALSE)</f>
        <v>9. Concluído</v>
      </c>
      <c r="AS249" s="1" t="str">
        <f>+VLOOKUP(A249,Ficheiros!T:V,3,FALSE)</f>
        <v>PM</v>
      </c>
      <c r="AT249" s="1"/>
      <c r="AU249" s="1"/>
      <c r="AV249" s="1"/>
      <c r="AW249" s="1"/>
      <c r="AX249" s="1"/>
    </row>
    <row r="250" spans="1:50" ht="14.5" hidden="1" customHeight="1" x14ac:dyDescent="0.35">
      <c r="A250" s="5" t="str">
        <f t="shared" si="6"/>
        <v>INSTRUMENTDBT_YLD</v>
      </c>
      <c r="B250" s="1" t="s">
        <v>1060</v>
      </c>
      <c r="C250" s="1" t="s">
        <v>785</v>
      </c>
      <c r="D250" s="1" t="s">
        <v>271</v>
      </c>
      <c r="E250" s="1" t="s">
        <v>37</v>
      </c>
      <c r="F250" s="25" t="s">
        <v>1061</v>
      </c>
      <c r="G250" s="1" t="s">
        <v>1061</v>
      </c>
      <c r="H250" s="1" t="s">
        <v>37</v>
      </c>
      <c r="I250" s="1" t="s">
        <v>37</v>
      </c>
      <c r="J250" s="1" t="s">
        <v>37</v>
      </c>
      <c r="K250" s="1" t="s">
        <v>37</v>
      </c>
      <c r="L250" s="1" t="s">
        <v>37</v>
      </c>
      <c r="M250" s="1" t="s">
        <v>39</v>
      </c>
      <c r="N250" s="1" t="s">
        <v>37</v>
      </c>
      <c r="O250" s="1" t="s">
        <v>37</v>
      </c>
      <c r="P250" s="1" t="s">
        <v>37</v>
      </c>
      <c r="Q250" s="1" t="s">
        <v>37</v>
      </c>
      <c r="R250" s="1" t="s">
        <v>342</v>
      </c>
      <c r="S250" s="1" t="s">
        <v>274</v>
      </c>
      <c r="T250" s="1">
        <v>99999999999</v>
      </c>
      <c r="U250" s="1">
        <v>11111111111</v>
      </c>
      <c r="V250" s="1">
        <v>11111111111</v>
      </c>
      <c r="W250" s="1" t="s">
        <v>1062</v>
      </c>
      <c r="X250" s="1" t="s">
        <v>1063</v>
      </c>
      <c r="Y250" s="1" t="s">
        <v>45</v>
      </c>
      <c r="Z250" s="1" t="s">
        <v>46</v>
      </c>
      <c r="AA250" s="1" t="s">
        <v>47</v>
      </c>
      <c r="AB250" s="1" t="s">
        <v>39</v>
      </c>
      <c r="AC250" s="1" t="s">
        <v>37</v>
      </c>
      <c r="AD250" s="1" t="s">
        <v>37</v>
      </c>
      <c r="AE250" s="1" t="s">
        <v>37</v>
      </c>
      <c r="AF250" s="1" t="s">
        <v>37</v>
      </c>
      <c r="AG250" s="1" t="s">
        <v>37</v>
      </c>
      <c r="AH250" s="1" t="s">
        <v>37</v>
      </c>
      <c r="AI250" s="1" t="s">
        <v>37</v>
      </c>
      <c r="AJ250" s="1" t="s">
        <v>39</v>
      </c>
      <c r="AK250" s="1" t="str">
        <f t="shared" si="7"/>
        <v>Fora de âmbito</v>
      </c>
      <c r="AL250" s="1" t="str">
        <f>+IF(IFERROR(VLOOKUP(A250,Ficheiros!I:I,1,FALSE),"")=A250,"Sim","Não")</f>
        <v>Sim</v>
      </c>
      <c r="AM250" s="1" t="str">
        <f>+IF(IFERROR(VLOOKUP(A250,Ficheiros!E:E,1,FALSE),"")=A250,"Sim","Não")</f>
        <v>Não</v>
      </c>
      <c r="AN250" s="1" t="str">
        <f>+IF(IFERROR(VLOOKUP(A250,Ficheiros!O:O,1,FALSE),"")=A250,"Sim","Não")</f>
        <v>Não</v>
      </c>
      <c r="AO250" s="1" t="str">
        <f>+IF(IFERROR(VLOOKUP(A250,'Especificação Novos Req. LT (2'!A:A,1,FALSE),"")=A250,"Sim","Não")</f>
        <v>Não</v>
      </c>
      <c r="AP250" s="1" t="str">
        <f>+IF(IFERROR(VLOOKUP(A250,Ficheiros!T:T,1,FALSE),"")=A250,"Sim","Não")</f>
        <v>Sim</v>
      </c>
      <c r="AQ250" s="1" t="e">
        <f>+VLOOKUP(A250,Ficheiros!O:P,2,FALSE)</f>
        <v>#N/A</v>
      </c>
      <c r="AR250" s="1" t="str">
        <f>+VLOOKUP(A250,Ficheiros!T:U,2,FALSE)</f>
        <v>8. Concluído - sem dados</v>
      </c>
      <c r="AS250" s="1" t="str">
        <f>+VLOOKUP(A250,Ficheiros!T:V,3,FALSE)</f>
        <v>PM</v>
      </c>
      <c r="AT250" s="1"/>
      <c r="AU250" s="1"/>
      <c r="AV250" s="1"/>
      <c r="AW250" s="1"/>
      <c r="AX250" s="1"/>
    </row>
    <row r="251" spans="1:50" ht="14.5" hidden="1" customHeight="1" x14ac:dyDescent="0.35">
      <c r="A251" s="5" t="str">
        <f t="shared" si="6"/>
        <v>INSTRUMENTDT_LGL_FNL_MTRTY</v>
      </c>
      <c r="B251" s="1" t="s">
        <v>1064</v>
      </c>
      <c r="C251" s="1" t="s">
        <v>785</v>
      </c>
      <c r="D251" s="1" t="s">
        <v>271</v>
      </c>
      <c r="E251" s="1" t="s">
        <v>39</v>
      </c>
      <c r="F251" s="25" t="s">
        <v>1065</v>
      </c>
      <c r="G251" s="1" t="s">
        <v>1065</v>
      </c>
      <c r="H251" s="1" t="s">
        <v>39</v>
      </c>
      <c r="I251" s="1" t="s">
        <v>39</v>
      </c>
      <c r="J251" s="1" t="s">
        <v>39</v>
      </c>
      <c r="K251" s="1" t="s">
        <v>39</v>
      </c>
      <c r="L251" s="1" t="s">
        <v>39</v>
      </c>
      <c r="M251" s="1" t="s">
        <v>39</v>
      </c>
      <c r="N251" s="1" t="s">
        <v>39</v>
      </c>
      <c r="O251" s="1" t="s">
        <v>39</v>
      </c>
      <c r="P251" s="1" t="s">
        <v>37</v>
      </c>
      <c r="Q251" s="1" t="s">
        <v>37</v>
      </c>
      <c r="R251" s="1" t="s">
        <v>60</v>
      </c>
      <c r="S251" s="1" t="s">
        <v>61</v>
      </c>
      <c r="T251" s="1" t="s">
        <v>62</v>
      </c>
      <c r="U251" s="1" t="s">
        <v>63</v>
      </c>
      <c r="V251" s="1" t="s">
        <v>63</v>
      </c>
      <c r="W251" s="1" t="s">
        <v>1066</v>
      </c>
      <c r="X251" s="1" t="s">
        <v>1067</v>
      </c>
      <c r="Y251" s="1" t="s">
        <v>66</v>
      </c>
      <c r="Z251" s="1" t="s">
        <v>1068</v>
      </c>
      <c r="AA251" s="1" t="s">
        <v>47</v>
      </c>
      <c r="AB251" s="1" t="s">
        <v>39</v>
      </c>
      <c r="AC251" s="1" t="s">
        <v>37</v>
      </c>
      <c r="AD251" s="1" t="s">
        <v>39</v>
      </c>
      <c r="AE251" s="1" t="s">
        <v>39</v>
      </c>
      <c r="AF251" s="1" t="s">
        <v>37</v>
      </c>
      <c r="AG251" s="1" t="s">
        <v>39</v>
      </c>
      <c r="AH251" s="1" t="s">
        <v>37</v>
      </c>
      <c r="AI251" s="1" t="s">
        <v>39</v>
      </c>
      <c r="AJ251" s="1" t="s">
        <v>39</v>
      </c>
      <c r="AK251" s="1" t="str">
        <f t="shared" si="7"/>
        <v>Apenas Pilar 3</v>
      </c>
      <c r="AL251" s="1" t="str">
        <f>+IF(IFERROR(VLOOKUP(A251,Ficheiros!I:I,1,FALSE),"")=A251,"Sim","Não")</f>
        <v>Sim</v>
      </c>
      <c r="AM251" s="1" t="str">
        <f>+IF(IFERROR(VLOOKUP(A251,Ficheiros!E:E,1,FALSE),"")=A251,"Sim","Não")</f>
        <v>Não</v>
      </c>
      <c r="AN251" s="1" t="str">
        <f>+IF(IFERROR(VLOOKUP(A251,Ficheiros!O:O,1,FALSE),"")=A251,"Sim","Não")</f>
        <v>Sim</v>
      </c>
      <c r="AO251" s="1" t="str">
        <f>+IF(IFERROR(VLOOKUP(A251,'Especificação Novos Req. LT (2'!A:A,1,FALSE),"")=A251,"Sim","Não")</f>
        <v>Não</v>
      </c>
      <c r="AP251" s="1" t="str">
        <f>+IF(IFERROR(VLOOKUP(A251,Ficheiros!T:T,1,FALSE),"")=A251,"Sim","Não")</f>
        <v>Sim</v>
      </c>
      <c r="AQ251" s="1" t="str">
        <f>+VLOOKUP(A251,Ficheiros!O:P,2,FALSE)</f>
        <v>1. Concluído</v>
      </c>
      <c r="AR251" s="1" t="str">
        <f>+VLOOKUP(A251,Ficheiros!T:U,2,FALSE)</f>
        <v>5.2 Em testes - Incidência</v>
      </c>
      <c r="AS251" s="1" t="str">
        <f>+VLOOKUP(A251,Ficheiros!T:V,3,FALSE)</f>
        <v>LF</v>
      </c>
      <c r="AT251" s="1"/>
      <c r="AU251" s="1"/>
      <c r="AV251" s="1"/>
      <c r="AW251" s="1"/>
      <c r="AX251" s="1"/>
    </row>
    <row r="252" spans="1:50" ht="14.5" hidden="1" customHeight="1" x14ac:dyDescent="0.35">
      <c r="A252" s="5" t="str">
        <f t="shared" si="6"/>
        <v>INSTRUMENTDT_NXT_INTRST_RT_RST</v>
      </c>
      <c r="B252" s="1" t="s">
        <v>1069</v>
      </c>
      <c r="C252" s="1" t="s">
        <v>785</v>
      </c>
      <c r="D252" s="1" t="s">
        <v>271</v>
      </c>
      <c r="E252" s="1" t="s">
        <v>39</v>
      </c>
      <c r="F252" s="25" t="s">
        <v>1070</v>
      </c>
      <c r="G252" s="1" t="s">
        <v>1070</v>
      </c>
      <c r="H252" s="1" t="s">
        <v>39</v>
      </c>
      <c r="I252" s="1" t="s">
        <v>39</v>
      </c>
      <c r="J252" s="1" t="s">
        <v>39</v>
      </c>
      <c r="K252" s="1" t="s">
        <v>39</v>
      </c>
      <c r="L252" s="1" t="s">
        <v>39</v>
      </c>
      <c r="M252" s="1" t="s">
        <v>39</v>
      </c>
      <c r="N252" s="1" t="s">
        <v>39</v>
      </c>
      <c r="O252" s="1" t="s">
        <v>39</v>
      </c>
      <c r="P252" s="1" t="s">
        <v>37</v>
      </c>
      <c r="Q252" s="1" t="s">
        <v>37</v>
      </c>
      <c r="R252" s="1" t="s">
        <v>60</v>
      </c>
      <c r="S252" s="1" t="s">
        <v>61</v>
      </c>
      <c r="T252" s="1" t="s">
        <v>62</v>
      </c>
      <c r="U252" s="1" t="s">
        <v>63</v>
      </c>
      <c r="V252" s="1" t="s">
        <v>63</v>
      </c>
      <c r="W252" s="1" t="s">
        <v>1071</v>
      </c>
      <c r="X252" s="1" t="s">
        <v>1072</v>
      </c>
      <c r="Y252" s="1" t="s">
        <v>45</v>
      </c>
      <c r="Z252" s="1" t="s">
        <v>46</v>
      </c>
      <c r="AA252" s="1" t="s">
        <v>47</v>
      </c>
      <c r="AB252" s="1" t="s">
        <v>39</v>
      </c>
      <c r="AC252" s="1" t="s">
        <v>37</v>
      </c>
      <c r="AD252" s="1" t="s">
        <v>37</v>
      </c>
      <c r="AE252" s="1" t="s">
        <v>37</v>
      </c>
      <c r="AF252" s="1" t="s">
        <v>37</v>
      </c>
      <c r="AG252" s="1" t="s">
        <v>37</v>
      </c>
      <c r="AH252" s="1" t="s">
        <v>37</v>
      </c>
      <c r="AI252" s="1" t="s">
        <v>37</v>
      </c>
      <c r="AJ252" s="1" t="s">
        <v>39</v>
      </c>
      <c r="AK252" s="1" t="str">
        <f t="shared" si="7"/>
        <v>Fora de âmbito</v>
      </c>
      <c r="AL252" s="1" t="str">
        <f>+IF(IFERROR(VLOOKUP(A252,Ficheiros!I:I,1,FALSE),"")=A252,"Sim","Não")</f>
        <v>Sim</v>
      </c>
      <c r="AM252" s="1" t="str">
        <f>+IF(IFERROR(VLOOKUP(A252,Ficheiros!E:E,1,FALSE),"")=A252,"Sim","Não")</f>
        <v>Não</v>
      </c>
      <c r="AN252" s="1" t="str">
        <f>+IF(IFERROR(VLOOKUP(A252,Ficheiros!O:O,1,FALSE),"")=A252,"Sim","Não")</f>
        <v>Não</v>
      </c>
      <c r="AO252" s="1" t="str">
        <f>+IF(IFERROR(VLOOKUP(A252,'Especificação Novos Req. LT (2'!A:A,1,FALSE),"")=A252,"Sim","Não")</f>
        <v>Não</v>
      </c>
      <c r="AP252" s="1" t="str">
        <f>+IF(IFERROR(VLOOKUP(A252,Ficheiros!T:T,1,FALSE),"")=A252,"Sim","Não")</f>
        <v>Sim</v>
      </c>
      <c r="AQ252" s="1" t="e">
        <f>+VLOOKUP(A252,Ficheiros!O:P,2,FALSE)</f>
        <v>#N/A</v>
      </c>
      <c r="AR252" s="1" t="str">
        <f>+VLOOKUP(A252,Ficheiros!T:U,2,FALSE)</f>
        <v>5.2 Em testes - Incidência</v>
      </c>
      <c r="AS252" s="1" t="str">
        <f>+VLOOKUP(A252,Ficheiros!T:V,3,FALSE)</f>
        <v>PM</v>
      </c>
      <c r="AT252" s="1"/>
      <c r="AU252" s="1"/>
      <c r="AV252" s="1"/>
      <c r="AW252" s="1"/>
      <c r="AX252" s="1"/>
    </row>
    <row r="253" spans="1:50" ht="14.5" hidden="1" customHeight="1" x14ac:dyDescent="0.35">
      <c r="A253" s="5" t="str">
        <f t="shared" si="6"/>
        <v>INSTRUMENTDT_ORGNL_MTRTY</v>
      </c>
      <c r="B253" s="1" t="s">
        <v>1073</v>
      </c>
      <c r="C253" s="1" t="s">
        <v>785</v>
      </c>
      <c r="D253" s="1" t="s">
        <v>271</v>
      </c>
      <c r="E253" s="1" t="s">
        <v>37</v>
      </c>
      <c r="F253" s="26" t="s">
        <v>1074</v>
      </c>
      <c r="G253" s="24" t="s">
        <v>1074</v>
      </c>
      <c r="H253" s="1" t="s">
        <v>39</v>
      </c>
      <c r="I253" s="1" t="s">
        <v>39</v>
      </c>
      <c r="J253" s="1" t="s">
        <v>39</v>
      </c>
      <c r="K253" s="1" t="s">
        <v>39</v>
      </c>
      <c r="L253" s="1" t="s">
        <v>39</v>
      </c>
      <c r="M253" s="1" t="s">
        <v>39</v>
      </c>
      <c r="N253" s="1" t="s">
        <v>39</v>
      </c>
      <c r="O253" s="1" t="s">
        <v>39</v>
      </c>
      <c r="P253" s="1" t="s">
        <v>37</v>
      </c>
      <c r="Q253" s="1" t="s">
        <v>37</v>
      </c>
      <c r="R253" s="1" t="s">
        <v>60</v>
      </c>
      <c r="S253" s="1" t="s">
        <v>61</v>
      </c>
      <c r="T253" s="1" t="s">
        <v>62</v>
      </c>
      <c r="U253" s="1" t="s">
        <v>63</v>
      </c>
      <c r="V253" s="1" t="s">
        <v>63</v>
      </c>
      <c r="W253" s="1" t="s">
        <v>1075</v>
      </c>
      <c r="X253" s="1" t="s">
        <v>1076</v>
      </c>
      <c r="Y253" s="1" t="s">
        <v>66</v>
      </c>
      <c r="Z253" s="1" t="s">
        <v>1077</v>
      </c>
      <c r="AA253" s="1" t="s">
        <v>47</v>
      </c>
      <c r="AB253" s="1" t="s">
        <v>39</v>
      </c>
      <c r="AC253" s="1" t="s">
        <v>37</v>
      </c>
      <c r="AD253" s="1" t="s">
        <v>39</v>
      </c>
      <c r="AE253" s="1" t="s">
        <v>39</v>
      </c>
      <c r="AF253" s="1" t="s">
        <v>37</v>
      </c>
      <c r="AG253" s="1" t="s">
        <v>39</v>
      </c>
      <c r="AH253" s="1" t="s">
        <v>37</v>
      </c>
      <c r="AI253" s="1" t="s">
        <v>39</v>
      </c>
      <c r="AJ253" s="1" t="s">
        <v>39</v>
      </c>
      <c r="AK253" s="1" t="str">
        <f t="shared" si="7"/>
        <v>Apenas Pilar 3</v>
      </c>
      <c r="AL253" s="1" t="str">
        <f>+IF(IFERROR(VLOOKUP(A253,Ficheiros!I:I,1,FALSE),"")=A253,"Sim","Não")</f>
        <v>Sim</v>
      </c>
      <c r="AM253" s="1" t="str">
        <f>+IF(IFERROR(VLOOKUP(A253,Ficheiros!E:E,1,FALSE),"")=A253,"Sim","Não")</f>
        <v>Não</v>
      </c>
      <c r="AN253" s="1" t="str">
        <f>+IF(IFERROR(VLOOKUP(A253,Ficheiros!O:O,1,FALSE),"")=A253,"Sim","Não")</f>
        <v>Não</v>
      </c>
      <c r="AO253" s="1" t="str">
        <f>+IF(IFERROR(VLOOKUP(A253,'Especificação Novos Req. LT (2'!A:A,1,FALSE),"")=A253,"Sim","Não")</f>
        <v>Não</v>
      </c>
      <c r="AP253" s="1" t="str">
        <f>+IF(IFERROR(VLOOKUP(A253,Ficheiros!T:T,1,FALSE),"")=A253,"Sim","Não")</f>
        <v>Sim</v>
      </c>
      <c r="AQ253" s="1" t="e">
        <f>+VLOOKUP(A253,Ficheiros!O:P,2,FALSE)</f>
        <v>#N/A</v>
      </c>
      <c r="AR253" s="1" t="str">
        <f>+VLOOKUP(A253,Ficheiros!T:U,2,FALSE)</f>
        <v>7. Analisar controlos e completude</v>
      </c>
      <c r="AS253" s="1" t="str">
        <f>+VLOOKUP(A253,Ficheiros!T:V,3,FALSE)</f>
        <v>LF</v>
      </c>
      <c r="AT253" s="1" t="s">
        <v>2464</v>
      </c>
      <c r="AU253" s="1" t="s">
        <v>2465</v>
      </c>
      <c r="AV253" s="1" t="s">
        <v>2535</v>
      </c>
      <c r="AW253" s="1"/>
      <c r="AX253" s="1"/>
    </row>
    <row r="254" spans="1:50" ht="14.5" hidden="1" customHeight="1" x14ac:dyDescent="0.35">
      <c r="A254" s="5" t="str">
        <f t="shared" si="6"/>
        <v>INSTRUMENTIFRS9_BHVRL_MTRTY</v>
      </c>
      <c r="B254" s="1" t="s">
        <v>1078</v>
      </c>
      <c r="C254" s="1" t="s">
        <v>785</v>
      </c>
      <c r="D254" s="1" t="s">
        <v>271</v>
      </c>
      <c r="E254" s="1" t="s">
        <v>37</v>
      </c>
      <c r="F254" s="26" t="s">
        <v>1079</v>
      </c>
      <c r="G254" s="38" t="s">
        <v>1079</v>
      </c>
      <c r="H254" s="1" t="s">
        <v>37</v>
      </c>
      <c r="I254" s="1" t="s">
        <v>39</v>
      </c>
      <c r="J254" s="1" t="s">
        <v>39</v>
      </c>
      <c r="K254" s="1" t="s">
        <v>39</v>
      </c>
      <c r="L254" s="1" t="s">
        <v>39</v>
      </c>
      <c r="M254" s="1" t="s">
        <v>39</v>
      </c>
      <c r="N254" s="1" t="s">
        <v>39</v>
      </c>
      <c r="O254" s="1" t="s">
        <v>39</v>
      </c>
      <c r="P254" s="1" t="s">
        <v>37</v>
      </c>
      <c r="Q254" s="1" t="s">
        <v>37</v>
      </c>
      <c r="R254" s="1" t="s">
        <v>623</v>
      </c>
      <c r="S254" s="1" t="s">
        <v>624</v>
      </c>
      <c r="T254" s="1">
        <v>99999999999</v>
      </c>
      <c r="U254" s="1">
        <v>11111111111</v>
      </c>
      <c r="V254" s="1">
        <v>11111111111</v>
      </c>
      <c r="W254" s="1" t="s">
        <v>1080</v>
      </c>
      <c r="X254" s="1" t="s">
        <v>1081</v>
      </c>
      <c r="Y254" s="1" t="s">
        <v>66</v>
      </c>
      <c r="Z254" s="1" t="s">
        <v>1082</v>
      </c>
      <c r="AA254" s="1" t="s">
        <v>47</v>
      </c>
      <c r="AB254" s="1" t="s">
        <v>39</v>
      </c>
      <c r="AC254" s="1" t="s">
        <v>37</v>
      </c>
      <c r="AD254" s="1" t="s">
        <v>37</v>
      </c>
      <c r="AE254" s="1" t="s">
        <v>37</v>
      </c>
      <c r="AF254" s="1" t="s">
        <v>37</v>
      </c>
      <c r="AG254" s="1" t="s">
        <v>39</v>
      </c>
      <c r="AH254" s="1" t="s">
        <v>37</v>
      </c>
      <c r="AI254" s="1" t="s">
        <v>37</v>
      </c>
      <c r="AJ254" s="1" t="s">
        <v>39</v>
      </c>
      <c r="AK254" s="1" t="str">
        <f t="shared" si="7"/>
        <v>Fora de âmbito</v>
      </c>
      <c r="AL254" s="1" t="str">
        <f>+IF(IFERROR(VLOOKUP(A254,Ficheiros!I:I,1,FALSE),"")=A254,"Sim","Não")</f>
        <v>Sim</v>
      </c>
      <c r="AM254" s="1" t="str">
        <f>+IF(IFERROR(VLOOKUP(A254,Ficheiros!E:E,1,FALSE),"")=A254,"Sim","Não")</f>
        <v>Não</v>
      </c>
      <c r="AN254" s="1" t="str">
        <f>+IF(IFERROR(VLOOKUP(A254,Ficheiros!O:O,1,FALSE),"")=A254,"Sim","Não")</f>
        <v>Não</v>
      </c>
      <c r="AO254" s="1" t="str">
        <f>+IF(IFERROR(VLOOKUP(A254,'Especificação Novos Req. LT (2'!A:A,1,FALSE),"")=A254,"Sim","Não")</f>
        <v>Sim</v>
      </c>
      <c r="AP254" s="1" t="str">
        <f>+IF(IFERROR(VLOOKUP(A254,Ficheiros!T:T,1,FALSE),"")=A254,"Sim","Não")</f>
        <v>Sim</v>
      </c>
      <c r="AQ254" s="1" t="e">
        <f>+VLOOKUP(A254,Ficheiros!O:P,2,FALSE)</f>
        <v>#N/A</v>
      </c>
      <c r="AR254" s="1" t="str">
        <f>+VLOOKUP(A254,Ficheiros!T:U,2,FALSE)</f>
        <v>5.1 Em testes - Re-especificação</v>
      </c>
      <c r="AS254" s="1" t="str">
        <f>+VLOOKUP(A254,Ficheiros!T:V,3,FALSE)</f>
        <v>PM</v>
      </c>
      <c r="AT254" s="1"/>
      <c r="AU254" s="1"/>
      <c r="AV254" s="1"/>
      <c r="AW254" s="1"/>
      <c r="AX254" s="1"/>
    </row>
    <row r="255" spans="1:50" ht="14.5" hidden="1" customHeight="1" x14ac:dyDescent="0.35">
      <c r="A255" s="5" t="str">
        <f t="shared" si="6"/>
        <v>INSTRUMENTEAD</v>
      </c>
      <c r="B255" s="1" t="s">
        <v>1083</v>
      </c>
      <c r="C255" s="1" t="s">
        <v>785</v>
      </c>
      <c r="D255" s="1" t="s">
        <v>271</v>
      </c>
      <c r="E255" s="1" t="s">
        <v>37</v>
      </c>
      <c r="F255" s="25" t="s">
        <v>1084</v>
      </c>
      <c r="G255" s="1" t="s">
        <v>1084</v>
      </c>
      <c r="H255" s="1" t="s">
        <v>39</v>
      </c>
      <c r="I255" s="1" t="s">
        <v>39</v>
      </c>
      <c r="J255" s="1" t="s">
        <v>39</v>
      </c>
      <c r="K255" s="1" t="s">
        <v>39</v>
      </c>
      <c r="L255" s="1" t="s">
        <v>39</v>
      </c>
      <c r="M255" s="1" t="s">
        <v>39</v>
      </c>
      <c r="N255" s="1" t="s">
        <v>39</v>
      </c>
      <c r="O255" s="1" t="s">
        <v>39</v>
      </c>
      <c r="P255" s="1" t="s">
        <v>37</v>
      </c>
      <c r="Q255" s="1" t="s">
        <v>37</v>
      </c>
      <c r="R255" s="1" t="s">
        <v>273</v>
      </c>
      <c r="S255" s="1" t="s">
        <v>274</v>
      </c>
      <c r="T255" s="1">
        <v>99999999999</v>
      </c>
      <c r="U255" s="1">
        <v>11111111111</v>
      </c>
      <c r="V255" s="1">
        <v>11111111111</v>
      </c>
      <c r="W255" s="1" t="s">
        <v>1085</v>
      </c>
      <c r="X255" s="1" t="s">
        <v>1086</v>
      </c>
      <c r="Y255" s="1" t="s">
        <v>84</v>
      </c>
      <c r="Z255" s="1" t="s">
        <v>1087</v>
      </c>
      <c r="AA255" s="1" t="s">
        <v>47</v>
      </c>
      <c r="AB255" s="1" t="s">
        <v>39</v>
      </c>
      <c r="AC255" s="1" t="s">
        <v>39</v>
      </c>
      <c r="AD255" s="1" t="s">
        <v>37</v>
      </c>
      <c r="AE255" s="1" t="s">
        <v>37</v>
      </c>
      <c r="AF255" s="1" t="s">
        <v>39</v>
      </c>
      <c r="AG255" s="1" t="s">
        <v>39</v>
      </c>
      <c r="AH255" s="1" t="s">
        <v>39</v>
      </c>
      <c r="AI255" s="1" t="s">
        <v>39</v>
      </c>
      <c r="AJ255" s="1" t="s">
        <v>39</v>
      </c>
      <c r="AK255" s="1" t="str">
        <f t="shared" si="7"/>
        <v>Apenas ESG Risk</v>
      </c>
      <c r="AL255" s="1" t="str">
        <f>+IF(IFERROR(VLOOKUP(A255,Ficheiros!I:I,1,FALSE),"")=A255,"Sim","Não")</f>
        <v>Sim</v>
      </c>
      <c r="AM255" s="1" t="str">
        <f>+IF(IFERROR(VLOOKUP(A255,Ficheiros!E:E,1,FALSE),"")=A255,"Sim","Não")</f>
        <v>Não</v>
      </c>
      <c r="AN255" s="1" t="str">
        <f>+IF(IFERROR(VLOOKUP(A255,Ficheiros!O:O,1,FALSE),"")=A255,"Sim","Não")</f>
        <v>Não</v>
      </c>
      <c r="AO255" s="1" t="str">
        <f>+IF(IFERROR(VLOOKUP(A255,'Especificação Novos Req. LT (2'!A:A,1,FALSE),"")=A255,"Sim","Não")</f>
        <v>Sim</v>
      </c>
      <c r="AP255" s="1" t="str">
        <f>+IF(IFERROR(VLOOKUP(A255,Ficheiros!T:T,1,FALSE),"")=A255,"Sim","Não")</f>
        <v>Sim</v>
      </c>
      <c r="AQ255" s="1" t="e">
        <f>+VLOOKUP(A255,Ficheiros!O:P,2,FALSE)</f>
        <v>#N/A</v>
      </c>
      <c r="AR255" s="1" t="str">
        <f>+VLOOKUP(A255,Ficheiros!T:U,2,FALSE)</f>
        <v>5.1 Em testes - Re-especificação</v>
      </c>
      <c r="AS255" s="1" t="str">
        <f>+VLOOKUP(A255,Ficheiros!T:V,3,FALSE)</f>
        <v>LF</v>
      </c>
      <c r="AT255" s="1"/>
      <c r="AU255" s="1"/>
      <c r="AV255" s="1" t="s">
        <v>2536</v>
      </c>
      <c r="AW255" s="1"/>
      <c r="AX255" s="1"/>
    </row>
    <row r="256" spans="1:50" ht="14.5" hidden="1" customHeight="1" x14ac:dyDescent="0.35">
      <c r="A256" s="5" t="str">
        <f t="shared" si="6"/>
        <v>INSTRUMENTIFRS9_CCF</v>
      </c>
      <c r="B256" s="1" t="s">
        <v>1088</v>
      </c>
      <c r="C256" s="1" t="s">
        <v>785</v>
      </c>
      <c r="D256" s="1" t="s">
        <v>271</v>
      </c>
      <c r="E256" s="1" t="s">
        <v>37</v>
      </c>
      <c r="F256" s="25" t="s">
        <v>1089</v>
      </c>
      <c r="G256" s="1" t="s">
        <v>1089</v>
      </c>
      <c r="H256" s="1" t="s">
        <v>37</v>
      </c>
      <c r="I256" s="1" t="s">
        <v>39</v>
      </c>
      <c r="J256" s="1" t="s">
        <v>39</v>
      </c>
      <c r="K256" s="1" t="s">
        <v>39</v>
      </c>
      <c r="L256" s="1" t="s">
        <v>39</v>
      </c>
      <c r="M256" s="1" t="s">
        <v>39</v>
      </c>
      <c r="N256" s="1" t="s">
        <v>39</v>
      </c>
      <c r="O256" s="1" t="s">
        <v>37</v>
      </c>
      <c r="P256" s="1" t="s">
        <v>37</v>
      </c>
      <c r="Q256" s="1" t="s">
        <v>37</v>
      </c>
      <c r="R256" s="1" t="s">
        <v>342</v>
      </c>
      <c r="S256" s="1" t="s">
        <v>274</v>
      </c>
      <c r="T256" s="1">
        <v>99999999999</v>
      </c>
      <c r="U256" s="1">
        <v>11111111111</v>
      </c>
      <c r="V256" s="1">
        <v>11111111111</v>
      </c>
      <c r="W256" s="1" t="s">
        <v>1090</v>
      </c>
      <c r="X256" s="1" t="s">
        <v>1091</v>
      </c>
      <c r="Y256" s="1" t="s">
        <v>66</v>
      </c>
      <c r="Z256" s="1" t="s">
        <v>1092</v>
      </c>
      <c r="AA256" s="1" t="s">
        <v>47</v>
      </c>
      <c r="AB256" s="1" t="s">
        <v>39</v>
      </c>
      <c r="AC256" s="1" t="s">
        <v>37</v>
      </c>
      <c r="AD256" s="1" t="s">
        <v>37</v>
      </c>
      <c r="AE256" s="1" t="s">
        <v>37</v>
      </c>
      <c r="AF256" s="1" t="s">
        <v>37</v>
      </c>
      <c r="AG256" s="1" t="s">
        <v>37</v>
      </c>
      <c r="AH256" s="1" t="s">
        <v>37</v>
      </c>
      <c r="AI256" s="1" t="s">
        <v>37</v>
      </c>
      <c r="AJ256" s="1" t="s">
        <v>39</v>
      </c>
      <c r="AK256" s="1" t="str">
        <f t="shared" si="7"/>
        <v>Fora de âmbito</v>
      </c>
      <c r="AL256" s="1" t="str">
        <f>+IF(IFERROR(VLOOKUP(A256,Ficheiros!I:I,1,FALSE),"")=A256,"Sim","Não")</f>
        <v>Sim</v>
      </c>
      <c r="AM256" s="1" t="str">
        <f>+IF(IFERROR(VLOOKUP(A256,Ficheiros!E:E,1,FALSE),"")=A256,"Sim","Não")</f>
        <v>Não</v>
      </c>
      <c r="AN256" s="1" t="str">
        <f>+IF(IFERROR(VLOOKUP(A256,Ficheiros!O:O,1,FALSE),"")=A256,"Sim","Não")</f>
        <v>Não</v>
      </c>
      <c r="AO256" s="1" t="str">
        <f>+IF(IFERROR(VLOOKUP(A256,'Especificação Novos Req. LT (2'!A:A,1,FALSE),"")=A256,"Sim","Não")</f>
        <v>Não</v>
      </c>
      <c r="AP256" s="1" t="str">
        <f>+IF(IFERROR(VLOOKUP(A256,Ficheiros!T:T,1,FALSE),"")=A256,"Sim","Não")</f>
        <v>Sim</v>
      </c>
      <c r="AQ256" s="1" t="e">
        <f>+VLOOKUP(A256,Ficheiros!O:P,2,FALSE)</f>
        <v>#N/A</v>
      </c>
      <c r="AR256" s="1" t="str">
        <f>+VLOOKUP(A256,Ficheiros!T:U,2,FALSE)</f>
        <v>9. Concluído</v>
      </c>
      <c r="AS256" s="1" t="str">
        <f>+VLOOKUP(A256,Ficheiros!T:V,3,FALSE)</f>
        <v>PM</v>
      </c>
      <c r="AT256" s="1"/>
      <c r="AU256" s="1"/>
      <c r="AV256" s="1"/>
      <c r="AW256" s="1"/>
      <c r="AX256" s="1"/>
    </row>
    <row r="257" spans="1:50" ht="14.5" hidden="1" customHeight="1" x14ac:dyDescent="0.35">
      <c r="A257" s="5" t="str">
        <f t="shared" si="6"/>
        <v>INSTRUMENTIFRS9_EAD</v>
      </c>
      <c r="B257" s="1" t="s">
        <v>1093</v>
      </c>
      <c r="C257" s="1" t="s">
        <v>785</v>
      </c>
      <c r="D257" s="1" t="s">
        <v>271</v>
      </c>
      <c r="E257" s="1" t="s">
        <v>37</v>
      </c>
      <c r="F257" s="25" t="s">
        <v>1094</v>
      </c>
      <c r="G257" s="1" t="s">
        <v>1094</v>
      </c>
      <c r="H257" s="1" t="s">
        <v>39</v>
      </c>
      <c r="I257" s="1" t="s">
        <v>39</v>
      </c>
      <c r="J257" s="1" t="s">
        <v>39</v>
      </c>
      <c r="K257" s="1" t="s">
        <v>39</v>
      </c>
      <c r="L257" s="1" t="s">
        <v>39</v>
      </c>
      <c r="M257" s="1" t="s">
        <v>39</v>
      </c>
      <c r="N257" s="1" t="s">
        <v>39</v>
      </c>
      <c r="O257" s="1" t="s">
        <v>39</v>
      </c>
      <c r="P257" s="1" t="s">
        <v>37</v>
      </c>
      <c r="Q257" s="1" t="s">
        <v>37</v>
      </c>
      <c r="R257" s="1" t="s">
        <v>273</v>
      </c>
      <c r="S257" s="1" t="s">
        <v>274</v>
      </c>
      <c r="T257" s="1">
        <v>99999999999</v>
      </c>
      <c r="U257" s="1">
        <v>11111111111</v>
      </c>
      <c r="V257" s="1">
        <v>11111111111</v>
      </c>
      <c r="W257" s="1" t="s">
        <v>1095</v>
      </c>
      <c r="X257" s="1" t="s">
        <v>1096</v>
      </c>
      <c r="Y257" s="1" t="s">
        <v>66</v>
      </c>
      <c r="Z257" s="1" t="s">
        <v>1097</v>
      </c>
      <c r="AA257" s="1" t="s">
        <v>47</v>
      </c>
      <c r="AB257" s="1" t="s">
        <v>39</v>
      </c>
      <c r="AC257" s="1" t="s">
        <v>37</v>
      </c>
      <c r="AD257" s="1" t="s">
        <v>37</v>
      </c>
      <c r="AE257" s="1" t="s">
        <v>37</v>
      </c>
      <c r="AF257" s="1" t="s">
        <v>37</v>
      </c>
      <c r="AG257" s="1" t="s">
        <v>37</v>
      </c>
      <c r="AH257" s="1" t="s">
        <v>37</v>
      </c>
      <c r="AI257" s="1" t="s">
        <v>37</v>
      </c>
      <c r="AJ257" s="1" t="s">
        <v>39</v>
      </c>
      <c r="AK257" s="1" t="str">
        <f t="shared" si="7"/>
        <v>Fora de âmbito</v>
      </c>
      <c r="AL257" s="1" t="str">
        <f>+IF(IFERROR(VLOOKUP(A257,Ficheiros!I:I,1,FALSE),"")=A257,"Sim","Não")</f>
        <v>Sim</v>
      </c>
      <c r="AM257" s="1" t="str">
        <f>+IF(IFERROR(VLOOKUP(A257,Ficheiros!E:E,1,FALSE),"")=A257,"Sim","Não")</f>
        <v>Não</v>
      </c>
      <c r="AN257" s="1" t="str">
        <f>+IF(IFERROR(VLOOKUP(A257,Ficheiros!O:O,1,FALSE),"")=A257,"Sim","Não")</f>
        <v>Não</v>
      </c>
      <c r="AO257" s="1" t="str">
        <f>+IF(IFERROR(VLOOKUP(A257,'Especificação Novos Req. LT (2'!A:A,1,FALSE),"")=A257,"Sim","Não")</f>
        <v>Não</v>
      </c>
      <c r="AP257" s="1" t="str">
        <f>+IF(IFERROR(VLOOKUP(A257,Ficheiros!T:T,1,FALSE),"")=A257,"Sim","Não")</f>
        <v>Sim</v>
      </c>
      <c r="AQ257" s="1" t="e">
        <f>+VLOOKUP(A257,Ficheiros!O:P,2,FALSE)</f>
        <v>#N/A</v>
      </c>
      <c r="AR257" s="1" t="str">
        <f>+VLOOKUP(A257,Ficheiros!T:U,2,FALSE)</f>
        <v>7. Analisar controlos e completude</v>
      </c>
      <c r="AS257" s="1" t="str">
        <f>+VLOOKUP(A257,Ficheiros!T:V,3,FALSE)</f>
        <v>PM</v>
      </c>
      <c r="AT257" s="1"/>
      <c r="AU257" s="1"/>
      <c r="AV257" s="1"/>
      <c r="AW257" s="1"/>
      <c r="AX257" s="1"/>
    </row>
    <row r="258" spans="1:50" ht="14.5" hidden="1" customHeight="1" x14ac:dyDescent="0.35">
      <c r="A258" s="5" t="str">
        <f t="shared" si="6"/>
        <v>INSTRUMENTINSTLMNT_PAY</v>
      </c>
      <c r="B258" s="1" t="s">
        <v>1098</v>
      </c>
      <c r="C258" s="1" t="s">
        <v>785</v>
      </c>
      <c r="D258" s="1" t="s">
        <v>271</v>
      </c>
      <c r="E258" s="1" t="s">
        <v>37</v>
      </c>
      <c r="F258" s="25" t="s">
        <v>1099</v>
      </c>
      <c r="G258" s="1" t="s">
        <v>1099</v>
      </c>
      <c r="H258" s="1" t="s">
        <v>37</v>
      </c>
      <c r="I258" s="1" t="s">
        <v>39</v>
      </c>
      <c r="J258" s="1" t="s">
        <v>39</v>
      </c>
      <c r="K258" s="1" t="s">
        <v>39</v>
      </c>
      <c r="L258" s="1" t="s">
        <v>39</v>
      </c>
      <c r="M258" s="1" t="s">
        <v>39</v>
      </c>
      <c r="N258" s="1" t="s">
        <v>39</v>
      </c>
      <c r="O258" s="1" t="s">
        <v>37</v>
      </c>
      <c r="P258" s="1" t="s">
        <v>37</v>
      </c>
      <c r="Q258" s="1" t="s">
        <v>37</v>
      </c>
      <c r="R258" s="1" t="s">
        <v>273</v>
      </c>
      <c r="S258" s="1" t="s">
        <v>274</v>
      </c>
      <c r="T258" s="1">
        <v>99999999999</v>
      </c>
      <c r="U258" s="1">
        <v>11111111111</v>
      </c>
      <c r="V258" s="1">
        <v>11111111111</v>
      </c>
      <c r="W258" s="1" t="s">
        <v>1100</v>
      </c>
      <c r="X258" s="1" t="s">
        <v>1101</v>
      </c>
      <c r="Y258" s="1" t="s">
        <v>84</v>
      </c>
      <c r="Z258" s="1" t="s">
        <v>1102</v>
      </c>
      <c r="AA258" s="1" t="s">
        <v>47</v>
      </c>
      <c r="AB258" s="1" t="s">
        <v>39</v>
      </c>
      <c r="AC258" s="1" t="s">
        <v>37</v>
      </c>
      <c r="AD258" s="1" t="s">
        <v>37</v>
      </c>
      <c r="AE258" s="1" t="s">
        <v>37</v>
      </c>
      <c r="AF258" s="1" t="s">
        <v>37</v>
      </c>
      <c r="AG258" s="1" t="s">
        <v>37</v>
      </c>
      <c r="AH258" s="1" t="s">
        <v>37</v>
      </c>
      <c r="AI258" s="1" t="s">
        <v>37</v>
      </c>
      <c r="AJ258" s="1" t="s">
        <v>39</v>
      </c>
      <c r="AK258" s="1" t="str">
        <f t="shared" si="7"/>
        <v>Fora de âmbito</v>
      </c>
      <c r="AL258" s="1" t="str">
        <f>+IF(IFERROR(VLOOKUP(A258,Ficheiros!I:I,1,FALSE),"")=A258,"Sim","Não")</f>
        <v>Sim</v>
      </c>
      <c r="AM258" s="1" t="str">
        <f>+IF(IFERROR(VLOOKUP(A258,Ficheiros!E:E,1,FALSE),"")=A258,"Sim","Não")</f>
        <v>Não</v>
      </c>
      <c r="AN258" s="1" t="str">
        <f>+IF(IFERROR(VLOOKUP(A258,Ficheiros!O:O,1,FALSE),"")=A258,"Sim","Não")</f>
        <v>Não</v>
      </c>
      <c r="AO258" s="1" t="str">
        <f>+IF(IFERROR(VLOOKUP(A258,'Especificação Novos Req. LT (2'!A:A,1,FALSE),"")=A258,"Sim","Não")</f>
        <v>Não</v>
      </c>
      <c r="AP258" s="1" t="str">
        <f>+IF(IFERROR(VLOOKUP(A258,Ficheiros!T:T,1,FALSE),"")=A258,"Sim","Não")</f>
        <v>Sim</v>
      </c>
      <c r="AQ258" s="1" t="e">
        <f>+VLOOKUP(A258,Ficheiros!O:P,2,FALSE)</f>
        <v>#N/A</v>
      </c>
      <c r="AR258" s="1" t="str">
        <f>+VLOOKUP(A258,Ficheiros!T:U,2,FALSE)</f>
        <v>2. Alterar especificação</v>
      </c>
      <c r="AS258" s="1" t="str">
        <f>+VLOOKUP(A258,Ficheiros!T:V,3,FALSE)</f>
        <v>PM</v>
      </c>
      <c r="AT258" s="1"/>
      <c r="AU258" s="1"/>
      <c r="AV258" s="1"/>
      <c r="AW258" s="1"/>
      <c r="AX258" s="1"/>
    </row>
    <row r="259" spans="1:50" ht="14.5" hidden="1" customHeight="1" x14ac:dyDescent="0.35">
      <c r="A259" s="5" t="str">
        <f t="shared" si="6"/>
        <v>INSTRUMENTOFF_BLNC_SHT_AMNT_INSTRMNT</v>
      </c>
      <c r="B259" s="1" t="s">
        <v>1103</v>
      </c>
      <c r="C259" s="1" t="s">
        <v>785</v>
      </c>
      <c r="D259" s="1" t="s">
        <v>271</v>
      </c>
      <c r="E259" s="1" t="s">
        <v>39</v>
      </c>
      <c r="F259" s="25" t="s">
        <v>1104</v>
      </c>
      <c r="G259" s="1" t="s">
        <v>1104</v>
      </c>
      <c r="H259" s="1" t="s">
        <v>37</v>
      </c>
      <c r="I259" s="1" t="s">
        <v>39</v>
      </c>
      <c r="J259" s="1" t="s">
        <v>39</v>
      </c>
      <c r="K259" s="1" t="s">
        <v>39</v>
      </c>
      <c r="L259" s="1" t="s">
        <v>39</v>
      </c>
      <c r="M259" s="1" t="s">
        <v>39</v>
      </c>
      <c r="N259" s="1" t="s">
        <v>39</v>
      </c>
      <c r="O259" s="1" t="s">
        <v>37</v>
      </c>
      <c r="P259" s="1" t="s">
        <v>39</v>
      </c>
      <c r="Q259" s="1" t="s">
        <v>39</v>
      </c>
      <c r="R259" s="1" t="s">
        <v>273</v>
      </c>
      <c r="S259" s="1" t="s">
        <v>274</v>
      </c>
      <c r="T259" s="1">
        <v>99999999999</v>
      </c>
      <c r="U259" s="1">
        <v>11111111111</v>
      </c>
      <c r="V259" s="1">
        <v>11111111111</v>
      </c>
      <c r="W259" s="1" t="s">
        <v>1105</v>
      </c>
      <c r="X259" s="1" t="s">
        <v>1106</v>
      </c>
      <c r="Y259" s="1" t="s">
        <v>45</v>
      </c>
      <c r="Z259" s="1" t="s">
        <v>46</v>
      </c>
      <c r="AA259" s="1" t="s">
        <v>47</v>
      </c>
      <c r="AB259" s="1" t="s">
        <v>39</v>
      </c>
      <c r="AC259" s="1" t="s">
        <v>39</v>
      </c>
      <c r="AD259" s="1" t="s">
        <v>37</v>
      </c>
      <c r="AE259" s="1" t="s">
        <v>39</v>
      </c>
      <c r="AF259" s="1" t="s">
        <v>39</v>
      </c>
      <c r="AG259" s="1" t="s">
        <v>39</v>
      </c>
      <c r="AH259" s="1" t="s">
        <v>39</v>
      </c>
      <c r="AI259" s="1" t="s">
        <v>39</v>
      </c>
      <c r="AJ259" s="1" t="s">
        <v>39</v>
      </c>
      <c r="AK259" s="1" t="str">
        <f t="shared" si="7"/>
        <v>Apenas ESG Risk</v>
      </c>
      <c r="AL259" s="1" t="str">
        <f>+IF(IFERROR(VLOOKUP(A259,Ficheiros!I:I,1,FALSE),"")=A259,"Sim","Não")</f>
        <v>Sim</v>
      </c>
      <c r="AM259" s="1" t="str">
        <f>+IF(IFERROR(VLOOKUP(A259,Ficheiros!E:E,1,FALSE),"")=A259,"Sim","Não")</f>
        <v>Não</v>
      </c>
      <c r="AN259" s="1" t="str">
        <f>+IF(IFERROR(VLOOKUP(A259,Ficheiros!O:O,1,FALSE),"")=A259,"Sim","Não")</f>
        <v>Não</v>
      </c>
      <c r="AO259" s="1" t="str">
        <f>+IF(IFERROR(VLOOKUP(A259,'Especificação Novos Req. LT (2'!A:A,1,FALSE),"")=A259,"Sim","Não")</f>
        <v>Sim</v>
      </c>
      <c r="AP259" s="1" t="str">
        <f>+IF(IFERROR(VLOOKUP(A259,Ficheiros!T:T,1,FALSE),"")=A259,"Sim","Não")</f>
        <v>Sim</v>
      </c>
      <c r="AQ259" s="1" t="e">
        <f>+VLOOKUP(A259,Ficheiros!O:P,2,FALSE)</f>
        <v>#N/A</v>
      </c>
      <c r="AR259" s="1" t="str">
        <f>+VLOOKUP(A259,Ficheiros!T:U,2,FALSE)</f>
        <v>7. Analisar controlos e completude</v>
      </c>
      <c r="AS259" s="1" t="str">
        <f>+VLOOKUP(A259,Ficheiros!T:V,3,FALSE)</f>
        <v>LF</v>
      </c>
      <c r="AT259" s="1"/>
      <c r="AU259" s="1"/>
      <c r="AV259" s="1" t="s">
        <v>2536</v>
      </c>
      <c r="AW259" s="1"/>
      <c r="AX259" s="1"/>
    </row>
    <row r="260" spans="1:50" ht="14.5" hidden="1" customHeight="1" x14ac:dyDescent="0.35">
      <c r="A260" s="5" t="str">
        <f t="shared" si="6"/>
        <v>INSTRUMENTOFF_BLNC_SHT_AMNT_INSTRMNT_PRVS</v>
      </c>
      <c r="B260" s="1" t="s">
        <v>1107</v>
      </c>
      <c r="C260" s="1" t="s">
        <v>785</v>
      </c>
      <c r="D260" s="1" t="s">
        <v>271</v>
      </c>
      <c r="E260" s="1" t="s">
        <v>37</v>
      </c>
      <c r="F260" s="25" t="s">
        <v>1108</v>
      </c>
      <c r="G260" s="1" t="s">
        <v>1108</v>
      </c>
      <c r="H260" s="1" t="s">
        <v>37</v>
      </c>
      <c r="I260" s="1" t="s">
        <v>39</v>
      </c>
      <c r="J260" s="1" t="s">
        <v>39</v>
      </c>
      <c r="K260" s="1" t="s">
        <v>39</v>
      </c>
      <c r="L260" s="1" t="s">
        <v>39</v>
      </c>
      <c r="M260" s="1" t="s">
        <v>39</v>
      </c>
      <c r="N260" s="1" t="s">
        <v>39</v>
      </c>
      <c r="O260" s="1" t="s">
        <v>37</v>
      </c>
      <c r="P260" s="1" t="s">
        <v>37</v>
      </c>
      <c r="Q260" s="1" t="s">
        <v>37</v>
      </c>
      <c r="R260" s="1" t="s">
        <v>273</v>
      </c>
      <c r="S260" s="1" t="s">
        <v>274</v>
      </c>
      <c r="T260" s="1">
        <v>99999999999</v>
      </c>
      <c r="U260" s="1">
        <v>11111111111</v>
      </c>
      <c r="V260" s="1">
        <v>11111111111</v>
      </c>
      <c r="W260" s="1" t="s">
        <v>1109</v>
      </c>
      <c r="X260" s="1" t="s">
        <v>1110</v>
      </c>
      <c r="Y260" s="1" t="s">
        <v>45</v>
      </c>
      <c r="Z260" s="1" t="s">
        <v>46</v>
      </c>
      <c r="AA260" s="1" t="s">
        <v>47</v>
      </c>
      <c r="AB260" s="1" t="s">
        <v>39</v>
      </c>
      <c r="AC260" s="1" t="s">
        <v>37</v>
      </c>
      <c r="AD260" s="1" t="s">
        <v>37</v>
      </c>
      <c r="AE260" s="1" t="s">
        <v>37</v>
      </c>
      <c r="AF260" s="1" t="s">
        <v>37</v>
      </c>
      <c r="AG260" s="1" t="s">
        <v>37</v>
      </c>
      <c r="AH260" s="1" t="s">
        <v>37</v>
      </c>
      <c r="AI260" s="1" t="s">
        <v>37</v>
      </c>
      <c r="AJ260" s="1" t="s">
        <v>39</v>
      </c>
      <c r="AK260" s="1" t="str">
        <f t="shared" si="7"/>
        <v>Fora de âmbito</v>
      </c>
      <c r="AL260" s="1" t="str">
        <f>+IF(IFERROR(VLOOKUP(A260,Ficheiros!I:I,1,FALSE),"")=A260,"Sim","Não")</f>
        <v>Sim</v>
      </c>
      <c r="AM260" s="1" t="str">
        <f>+IF(IFERROR(VLOOKUP(A260,Ficheiros!E:E,1,FALSE),"")=A260,"Sim","Não")</f>
        <v>Não</v>
      </c>
      <c r="AN260" s="1" t="str">
        <f>+IF(IFERROR(VLOOKUP(A260,Ficheiros!O:O,1,FALSE),"")=A260,"Sim","Não")</f>
        <v>Não</v>
      </c>
      <c r="AO260" s="1" t="str">
        <f>+IF(IFERROR(VLOOKUP(A260,'Especificação Novos Req. LT (2'!A:A,1,FALSE),"")=A260,"Sim","Não")</f>
        <v>Não</v>
      </c>
      <c r="AP260" s="1" t="str">
        <f>+IF(IFERROR(VLOOKUP(A260,Ficheiros!T:T,1,FALSE),"")=A260,"Sim","Não")</f>
        <v>Sim</v>
      </c>
      <c r="AQ260" s="1" t="e">
        <f>+VLOOKUP(A260,Ficheiros!O:P,2,FALSE)</f>
        <v>#N/A</v>
      </c>
      <c r="AR260" s="1" t="str">
        <f>+VLOOKUP(A260,Ficheiros!T:U,2,FALSE)</f>
        <v>5.1 Em testes - Re-especificação</v>
      </c>
      <c r="AS260" s="1" t="str">
        <f>+VLOOKUP(A260,Ficheiros!T:V,3,FALSE)</f>
        <v>PM</v>
      </c>
      <c r="AT260" s="1"/>
      <c r="AU260" s="1"/>
      <c r="AV260" s="1"/>
      <c r="AW260" s="1"/>
      <c r="AX260" s="1"/>
    </row>
    <row r="261" spans="1:50" ht="14.5" hidden="1" customHeight="1" x14ac:dyDescent="0.35">
      <c r="A261" s="5" t="str">
        <f t="shared" si="6"/>
        <v>INSTRUMENTOTSTNDNG_NMNL_AMNT_INSTRMNT</v>
      </c>
      <c r="B261" s="1" t="s">
        <v>1111</v>
      </c>
      <c r="C261" s="1" t="s">
        <v>785</v>
      </c>
      <c r="D261" s="1" t="s">
        <v>271</v>
      </c>
      <c r="E261" s="1" t="s">
        <v>39</v>
      </c>
      <c r="F261" s="25" t="s">
        <v>1112</v>
      </c>
      <c r="G261" s="1" t="s">
        <v>1112</v>
      </c>
      <c r="H261" s="1" t="s">
        <v>39</v>
      </c>
      <c r="I261" s="1" t="s">
        <v>39</v>
      </c>
      <c r="J261" s="1" t="s">
        <v>39</v>
      </c>
      <c r="K261" s="1" t="s">
        <v>39</v>
      </c>
      <c r="L261" s="1" t="s">
        <v>39</v>
      </c>
      <c r="M261" s="1" t="s">
        <v>39</v>
      </c>
      <c r="N261" s="1" t="s">
        <v>39</v>
      </c>
      <c r="O261" s="1" t="s">
        <v>39</v>
      </c>
      <c r="P261" s="1" t="s">
        <v>37</v>
      </c>
      <c r="Q261" s="1" t="s">
        <v>37</v>
      </c>
      <c r="R261" s="1" t="s">
        <v>273</v>
      </c>
      <c r="S261" s="1" t="s">
        <v>274</v>
      </c>
      <c r="T261" s="1">
        <v>99999999999</v>
      </c>
      <c r="U261" s="1">
        <v>11111111111</v>
      </c>
      <c r="V261" s="1">
        <v>11111111111</v>
      </c>
      <c r="W261" s="1" t="s">
        <v>1113</v>
      </c>
      <c r="X261" s="1" t="s">
        <v>1114</v>
      </c>
      <c r="Y261" s="1" t="s">
        <v>45</v>
      </c>
      <c r="Z261" s="1" t="s">
        <v>46</v>
      </c>
      <c r="AA261" s="1" t="s">
        <v>47</v>
      </c>
      <c r="AB261" s="1" t="s">
        <v>39</v>
      </c>
      <c r="AC261" s="1" t="s">
        <v>37</v>
      </c>
      <c r="AD261" s="1" t="s">
        <v>37</v>
      </c>
      <c r="AE261" s="1" t="s">
        <v>37</v>
      </c>
      <c r="AF261" s="1" t="s">
        <v>37</v>
      </c>
      <c r="AG261" s="1" t="s">
        <v>39</v>
      </c>
      <c r="AH261" s="1" t="s">
        <v>37</v>
      </c>
      <c r="AI261" s="1" t="s">
        <v>37</v>
      </c>
      <c r="AJ261" s="1" t="s">
        <v>39</v>
      </c>
      <c r="AK261" s="1" t="str">
        <f t="shared" si="7"/>
        <v>Fora de âmbito</v>
      </c>
      <c r="AL261" s="1" t="str">
        <f>+IF(IFERROR(VLOOKUP(A261,Ficheiros!I:I,1,FALSE),"")=A261,"Sim","Não")</f>
        <v>Sim</v>
      </c>
      <c r="AM261" s="1" t="str">
        <f>+IF(IFERROR(VLOOKUP(A261,Ficheiros!E:E,1,FALSE),"")=A261,"Sim","Não")</f>
        <v>Não</v>
      </c>
      <c r="AN261" s="1" t="str">
        <f>+IF(IFERROR(VLOOKUP(A261,Ficheiros!O:O,1,FALSE),"")=A261,"Sim","Não")</f>
        <v>Não</v>
      </c>
      <c r="AO261" s="1" t="str">
        <f>+IF(IFERROR(VLOOKUP(A261,'Especificação Novos Req. LT (2'!A:A,1,FALSE),"")=A261,"Sim","Não")</f>
        <v>Não</v>
      </c>
      <c r="AP261" s="1" t="str">
        <f>+IF(IFERROR(VLOOKUP(A261,Ficheiros!T:T,1,FALSE),"")=A261,"Sim","Não")</f>
        <v>Sim</v>
      </c>
      <c r="AQ261" s="1" t="e">
        <f>+VLOOKUP(A261,Ficheiros!O:P,2,FALSE)</f>
        <v>#N/A</v>
      </c>
      <c r="AR261" s="1" t="str">
        <f>+VLOOKUP(A261,Ficheiros!T:U,2,FALSE)</f>
        <v>7. Analisar controlos e completude</v>
      </c>
      <c r="AS261" s="1" t="str">
        <f>+VLOOKUP(A261,Ficheiros!T:V,3,FALSE)</f>
        <v>LF</v>
      </c>
      <c r="AT261" s="1"/>
      <c r="AU261" s="1"/>
      <c r="AV261" s="1"/>
      <c r="AW261" s="1"/>
      <c r="AX261" s="1"/>
    </row>
    <row r="262" spans="1:50" ht="14.5" hidden="1" customHeight="1" x14ac:dyDescent="0.35">
      <c r="A262" s="5" t="str">
        <f t="shared" si="6"/>
        <v>INSTRUMENTOTSTNDNG_NMNL_AMNT_INSTRMNT_PRVS</v>
      </c>
      <c r="B262" s="1" t="s">
        <v>1115</v>
      </c>
      <c r="C262" s="1" t="s">
        <v>785</v>
      </c>
      <c r="D262" s="1" t="s">
        <v>271</v>
      </c>
      <c r="E262" s="1" t="s">
        <v>37</v>
      </c>
      <c r="F262" s="25" t="s">
        <v>1116</v>
      </c>
      <c r="G262" s="1" t="s">
        <v>1116</v>
      </c>
      <c r="H262" s="1" t="s">
        <v>39</v>
      </c>
      <c r="I262" s="1" t="s">
        <v>39</v>
      </c>
      <c r="J262" s="1" t="s">
        <v>39</v>
      </c>
      <c r="K262" s="1" t="s">
        <v>39</v>
      </c>
      <c r="L262" s="1" t="s">
        <v>39</v>
      </c>
      <c r="M262" s="1" t="s">
        <v>39</v>
      </c>
      <c r="N262" s="1" t="s">
        <v>39</v>
      </c>
      <c r="O262" s="1" t="s">
        <v>39</v>
      </c>
      <c r="P262" s="1" t="s">
        <v>37</v>
      </c>
      <c r="Q262" s="1" t="s">
        <v>37</v>
      </c>
      <c r="R262" s="1" t="s">
        <v>273</v>
      </c>
      <c r="S262" s="1" t="s">
        <v>274</v>
      </c>
      <c r="T262" s="1">
        <v>99999999999</v>
      </c>
      <c r="U262" s="1">
        <v>11111111111</v>
      </c>
      <c r="V262" s="1">
        <v>11111111111</v>
      </c>
      <c r="W262" s="1" t="s">
        <v>1117</v>
      </c>
      <c r="X262" s="1" t="s">
        <v>1118</v>
      </c>
      <c r="Y262" s="1" t="s">
        <v>45</v>
      </c>
      <c r="Z262" s="1" t="s">
        <v>46</v>
      </c>
      <c r="AA262" s="1" t="s">
        <v>47</v>
      </c>
      <c r="AB262" s="1" t="s">
        <v>39</v>
      </c>
      <c r="AC262" s="1" t="s">
        <v>37</v>
      </c>
      <c r="AD262" s="1" t="s">
        <v>37</v>
      </c>
      <c r="AE262" s="1" t="s">
        <v>37</v>
      </c>
      <c r="AF262" s="1" t="s">
        <v>37</v>
      </c>
      <c r="AG262" s="1" t="s">
        <v>37</v>
      </c>
      <c r="AH262" s="1" t="s">
        <v>37</v>
      </c>
      <c r="AI262" s="1" t="s">
        <v>37</v>
      </c>
      <c r="AJ262" s="1" t="s">
        <v>39</v>
      </c>
      <c r="AK262" s="1" t="str">
        <f t="shared" si="7"/>
        <v>Fora de âmbito</v>
      </c>
      <c r="AL262" s="1" t="str">
        <f>+IF(IFERROR(VLOOKUP(A262,Ficheiros!I:I,1,FALSE),"")=A262,"Sim","Não")</f>
        <v>Sim</v>
      </c>
      <c r="AM262" s="1" t="str">
        <f>+IF(IFERROR(VLOOKUP(A262,Ficheiros!E:E,1,FALSE),"")=A262,"Sim","Não")</f>
        <v>Não</v>
      </c>
      <c r="AN262" s="1" t="str">
        <f>+IF(IFERROR(VLOOKUP(A262,Ficheiros!O:O,1,FALSE),"")=A262,"Sim","Não")</f>
        <v>Não</v>
      </c>
      <c r="AO262" s="1" t="str">
        <f>+IF(IFERROR(VLOOKUP(A262,'Especificação Novos Req. LT (2'!A:A,1,FALSE),"")=A262,"Sim","Não")</f>
        <v>Não</v>
      </c>
      <c r="AP262" s="1" t="str">
        <f>+IF(IFERROR(VLOOKUP(A262,Ficheiros!T:T,1,FALSE),"")=A262,"Sim","Não")</f>
        <v>Sim</v>
      </c>
      <c r="AQ262" s="1" t="e">
        <f>+VLOOKUP(A262,Ficheiros!O:P,2,FALSE)</f>
        <v>#N/A</v>
      </c>
      <c r="AR262" s="1" t="str">
        <f>+VLOOKUP(A262,Ficheiros!T:U,2,FALSE)</f>
        <v>2. Alterar especificação</v>
      </c>
      <c r="AS262" s="1" t="str">
        <f>+VLOOKUP(A262,Ficheiros!T:V,3,FALSE)</f>
        <v>PM</v>
      </c>
      <c r="AT262" s="1"/>
      <c r="AU262" s="1"/>
      <c r="AV262" s="1"/>
      <c r="AW262" s="1"/>
      <c r="AX262" s="1"/>
    </row>
    <row r="263" spans="1:50" ht="14.5" hidden="1" customHeight="1" x14ac:dyDescent="0.35">
      <c r="A263" s="5" t="str">
        <f t="shared" si="6"/>
        <v>INSTRUMENTPRVSNS_OFF_BLNC_SHT</v>
      </c>
      <c r="B263" s="1" t="s">
        <v>1119</v>
      </c>
      <c r="C263" s="1" t="s">
        <v>785</v>
      </c>
      <c r="D263" s="1" t="s">
        <v>271</v>
      </c>
      <c r="E263" s="1" t="s">
        <v>39</v>
      </c>
      <c r="F263" s="25" t="s">
        <v>1120</v>
      </c>
      <c r="G263" s="1" t="s">
        <v>1120</v>
      </c>
      <c r="H263" s="1" t="s">
        <v>37</v>
      </c>
      <c r="I263" s="1" t="s">
        <v>39</v>
      </c>
      <c r="J263" s="1" t="s">
        <v>39</v>
      </c>
      <c r="K263" s="1" t="s">
        <v>39</v>
      </c>
      <c r="L263" s="1" t="s">
        <v>39</v>
      </c>
      <c r="M263" s="1" t="s">
        <v>39</v>
      </c>
      <c r="N263" s="1" t="s">
        <v>39</v>
      </c>
      <c r="O263" s="1" t="s">
        <v>37</v>
      </c>
      <c r="P263" s="1" t="s">
        <v>39</v>
      </c>
      <c r="Q263" s="1" t="s">
        <v>39</v>
      </c>
      <c r="R263" s="1" t="s">
        <v>273</v>
      </c>
      <c r="S263" s="1" t="s">
        <v>274</v>
      </c>
      <c r="T263" s="1">
        <v>99999999999</v>
      </c>
      <c r="U263" s="1">
        <v>11111111111</v>
      </c>
      <c r="V263" s="1">
        <v>11111111111</v>
      </c>
      <c r="W263" s="1" t="s">
        <v>1121</v>
      </c>
      <c r="X263" s="1" t="s">
        <v>1122</v>
      </c>
      <c r="Y263" s="1" t="s">
        <v>45</v>
      </c>
      <c r="Z263" s="1" t="s">
        <v>46</v>
      </c>
      <c r="AA263" s="1" t="s">
        <v>47</v>
      </c>
      <c r="AB263" s="1" t="s">
        <v>39</v>
      </c>
      <c r="AC263" s="1" t="s">
        <v>39</v>
      </c>
      <c r="AD263" s="1" t="s">
        <v>37</v>
      </c>
      <c r="AE263" s="1" t="s">
        <v>39</v>
      </c>
      <c r="AF263" s="1" t="s">
        <v>37</v>
      </c>
      <c r="AG263" s="1" t="s">
        <v>37</v>
      </c>
      <c r="AH263" s="1" t="s">
        <v>39</v>
      </c>
      <c r="AI263" s="1" t="s">
        <v>39</v>
      </c>
      <c r="AJ263" s="1" t="s">
        <v>39</v>
      </c>
      <c r="AK263" s="1" t="str">
        <f t="shared" si="7"/>
        <v>Fora de âmbito</v>
      </c>
      <c r="AL263" s="1" t="str">
        <f>+IF(IFERROR(VLOOKUP(A263,Ficheiros!I:I,1,FALSE),"")=A263,"Sim","Não")</f>
        <v>Sim</v>
      </c>
      <c r="AM263" s="1" t="str">
        <f>+IF(IFERROR(VLOOKUP(A263,Ficheiros!E:E,1,FALSE),"")=A263,"Sim","Não")</f>
        <v>Não</v>
      </c>
      <c r="AN263" s="1" t="str">
        <f>+IF(IFERROR(VLOOKUP(A263,Ficheiros!O:O,1,FALSE),"")=A263,"Sim","Não")</f>
        <v>Não</v>
      </c>
      <c r="AO263" s="1" t="str">
        <f>+IF(IFERROR(VLOOKUP(A263,'Especificação Novos Req. LT (2'!A:A,1,FALSE),"")=A263,"Sim","Não")</f>
        <v>Não</v>
      </c>
      <c r="AP263" s="1" t="str">
        <f>+IF(IFERROR(VLOOKUP(A263,Ficheiros!T:T,1,FALSE),"")=A263,"Sim","Não")</f>
        <v>Sim</v>
      </c>
      <c r="AQ263" s="1" t="e">
        <f>+VLOOKUP(A263,Ficheiros!O:P,2,FALSE)</f>
        <v>#N/A</v>
      </c>
      <c r="AR263" s="1" t="str">
        <f>+VLOOKUP(A263,Ficheiros!T:U,2,FALSE)</f>
        <v>9. Concluído</v>
      </c>
      <c r="AS263" s="1" t="str">
        <f>+VLOOKUP(A263,Ficheiros!T:V,3,FALSE)</f>
        <v>PM</v>
      </c>
      <c r="AT263" s="1"/>
      <c r="AU263" s="1"/>
      <c r="AV263" s="1"/>
      <c r="AW263" s="1"/>
      <c r="AX263" s="1"/>
    </row>
    <row r="264" spans="1:50" ht="14.5" hidden="1" customHeight="1" x14ac:dyDescent="0.35">
      <c r="A264" s="5" t="str">
        <f t="shared" si="6"/>
        <v>INSTRUMENTPYMNT_FRQNCY</v>
      </c>
      <c r="B264" s="1" t="s">
        <v>1123</v>
      </c>
      <c r="C264" s="1" t="s">
        <v>785</v>
      </c>
      <c r="D264" s="1" t="s">
        <v>271</v>
      </c>
      <c r="E264" s="1" t="s">
        <v>39</v>
      </c>
      <c r="F264" s="25" t="s">
        <v>1124</v>
      </c>
      <c r="G264" s="1" t="s">
        <v>1124</v>
      </c>
      <c r="H264" s="1" t="s">
        <v>37</v>
      </c>
      <c r="I264" s="1" t="s">
        <v>39</v>
      </c>
      <c r="J264" s="1" t="s">
        <v>39</v>
      </c>
      <c r="K264" s="1" t="s">
        <v>39</v>
      </c>
      <c r="L264" s="1" t="s">
        <v>39</v>
      </c>
      <c r="M264" s="1" t="s">
        <v>39</v>
      </c>
      <c r="N264" s="1" t="s">
        <v>39</v>
      </c>
      <c r="O264" s="1" t="s">
        <v>39</v>
      </c>
      <c r="P264" s="1" t="s">
        <v>37</v>
      </c>
      <c r="Q264" s="1" t="s">
        <v>37</v>
      </c>
      <c r="R264" s="1" t="s">
        <v>136</v>
      </c>
      <c r="S264" s="1" t="s">
        <v>52</v>
      </c>
      <c r="T264" s="1">
        <v>99999999999</v>
      </c>
      <c r="U264" s="1">
        <v>11111111111</v>
      </c>
      <c r="V264" s="1">
        <v>11111111111</v>
      </c>
      <c r="W264" s="1" t="s">
        <v>1125</v>
      </c>
      <c r="X264" s="1" t="s">
        <v>1126</v>
      </c>
      <c r="Y264" s="1" t="s">
        <v>56</v>
      </c>
      <c r="Z264" s="1" t="s">
        <v>57</v>
      </c>
      <c r="AA264" s="1" t="s">
        <v>47</v>
      </c>
      <c r="AB264" s="1" t="s">
        <v>39</v>
      </c>
      <c r="AC264" s="1" t="s">
        <v>37</v>
      </c>
      <c r="AD264" s="1" t="s">
        <v>37</v>
      </c>
      <c r="AE264" s="1" t="s">
        <v>37</v>
      </c>
      <c r="AF264" s="1" t="s">
        <v>37</v>
      </c>
      <c r="AG264" s="1" t="s">
        <v>37</v>
      </c>
      <c r="AH264" s="1" t="s">
        <v>37</v>
      </c>
      <c r="AI264" s="1" t="s">
        <v>37</v>
      </c>
      <c r="AJ264" s="1" t="s">
        <v>39</v>
      </c>
      <c r="AK264" s="1" t="str">
        <f t="shared" si="7"/>
        <v>Fora de âmbito</v>
      </c>
      <c r="AL264" s="1" t="str">
        <f>+IF(IFERROR(VLOOKUP(A264,Ficheiros!I:I,1,FALSE),"")=A264,"Sim","Não")</f>
        <v>Sim</v>
      </c>
      <c r="AM264" s="1" t="str">
        <f>+IF(IFERROR(VLOOKUP(A264,Ficheiros!E:E,1,FALSE),"")=A264,"Sim","Não")</f>
        <v>Não</v>
      </c>
      <c r="AN264" s="1" t="str">
        <f>+IF(IFERROR(VLOOKUP(A264,Ficheiros!O:O,1,FALSE),"")=A264,"Sim","Não")</f>
        <v>Não</v>
      </c>
      <c r="AO264" s="1" t="str">
        <f>+IF(IFERROR(VLOOKUP(A264,'Especificação Novos Req. LT (2'!A:A,1,FALSE),"")=A264,"Sim","Não")</f>
        <v>Não</v>
      </c>
      <c r="AP264" s="1" t="str">
        <f>+IF(IFERROR(VLOOKUP(A264,Ficheiros!T:T,1,FALSE),"")=A264,"Sim","Não")</f>
        <v>Sim</v>
      </c>
      <c r="AQ264" s="1" t="e">
        <f>+VLOOKUP(A264,Ficheiros!O:P,2,FALSE)</f>
        <v>#N/A</v>
      </c>
      <c r="AR264" s="1" t="str">
        <f>+VLOOKUP(A264,Ficheiros!T:U,2,FALSE)</f>
        <v>5.2 Em testes - Incidência</v>
      </c>
      <c r="AS264" s="1" t="str">
        <f>+VLOOKUP(A264,Ficheiros!T:V,3,FALSE)</f>
        <v>PM</v>
      </c>
      <c r="AT264" s="1"/>
      <c r="AU264" s="1"/>
      <c r="AV264" s="1"/>
      <c r="AW264" s="1"/>
      <c r="AX264" s="1"/>
    </row>
    <row r="265" spans="1:50" ht="14.5" hidden="1" customHeight="1" x14ac:dyDescent="0.35">
      <c r="A265" s="5" t="str">
        <f t="shared" si="6"/>
        <v>INSTRUMENTRTNTN_SHR</v>
      </c>
      <c r="B265" s="1" t="s">
        <v>1127</v>
      </c>
      <c r="C265" s="1" t="s">
        <v>785</v>
      </c>
      <c r="D265" s="1" t="s">
        <v>271</v>
      </c>
      <c r="E265" s="1" t="s">
        <v>37</v>
      </c>
      <c r="F265" s="25" t="s">
        <v>1128</v>
      </c>
      <c r="G265" s="1" t="s">
        <v>1128</v>
      </c>
      <c r="H265" s="1" t="s">
        <v>37</v>
      </c>
      <c r="I265" s="1" t="s">
        <v>37</v>
      </c>
      <c r="J265" s="1" t="s">
        <v>37</v>
      </c>
      <c r="K265" s="1" t="s">
        <v>37</v>
      </c>
      <c r="L265" s="1" t="s">
        <v>39</v>
      </c>
      <c r="M265" s="1" t="s">
        <v>39</v>
      </c>
      <c r="N265" s="1" t="s">
        <v>37</v>
      </c>
      <c r="O265" s="1" t="s">
        <v>37</v>
      </c>
      <c r="P265" s="1" t="s">
        <v>37</v>
      </c>
      <c r="Q265" s="1" t="s">
        <v>37</v>
      </c>
      <c r="R265" s="1" t="s">
        <v>342</v>
      </c>
      <c r="S265" s="1" t="s">
        <v>274</v>
      </c>
      <c r="T265" s="1">
        <v>99999999999</v>
      </c>
      <c r="U265" s="1">
        <v>11111111111</v>
      </c>
      <c r="V265" s="1">
        <v>11111111111</v>
      </c>
      <c r="W265" s="1" t="s">
        <v>1129</v>
      </c>
      <c r="X265" s="1" t="s">
        <v>1130</v>
      </c>
      <c r="Y265" s="1" t="s">
        <v>45</v>
      </c>
      <c r="Z265" s="1" t="s">
        <v>46</v>
      </c>
      <c r="AA265" s="1" t="s">
        <v>47</v>
      </c>
      <c r="AB265" s="1" t="s">
        <v>39</v>
      </c>
      <c r="AC265" s="1" t="s">
        <v>37</v>
      </c>
      <c r="AD265" s="1" t="s">
        <v>37</v>
      </c>
      <c r="AE265" s="1" t="s">
        <v>37</v>
      </c>
      <c r="AF265" s="1" t="s">
        <v>37</v>
      </c>
      <c r="AG265" s="1" t="s">
        <v>39</v>
      </c>
      <c r="AH265" s="1" t="s">
        <v>37</v>
      </c>
      <c r="AI265" s="1" t="s">
        <v>37</v>
      </c>
      <c r="AJ265" s="1" t="s">
        <v>39</v>
      </c>
      <c r="AK265" s="1" t="str">
        <f t="shared" si="7"/>
        <v>Fora de âmbito</v>
      </c>
      <c r="AL265" s="1" t="str">
        <f>+IF(IFERROR(VLOOKUP(A265,Ficheiros!I:I,1,FALSE),"")=A265,"Sim","Não")</f>
        <v>Sim</v>
      </c>
      <c r="AM265" s="1" t="str">
        <f>+IF(IFERROR(VLOOKUP(A265,Ficheiros!E:E,1,FALSE),"")=A265,"Sim","Não")</f>
        <v>Não</v>
      </c>
      <c r="AN265" s="1" t="str">
        <f>+IF(IFERROR(VLOOKUP(A265,Ficheiros!O:O,1,FALSE),"")=A265,"Sim","Não")</f>
        <v>Não</v>
      </c>
      <c r="AO265" s="1" t="str">
        <f>+IF(IFERROR(VLOOKUP(A265,'Especificação Novos Req. LT (2'!A:A,1,FALSE),"")=A265,"Sim","Não")</f>
        <v>Não</v>
      </c>
      <c r="AP265" s="1" t="str">
        <f>+IF(IFERROR(VLOOKUP(A265,Ficheiros!T:T,1,FALSE),"")=A265,"Sim","Não")</f>
        <v>Sim</v>
      </c>
      <c r="AQ265" s="1" t="e">
        <f>+VLOOKUP(A265,Ficheiros!O:P,2,FALSE)</f>
        <v>#N/A</v>
      </c>
      <c r="AR265" s="1" t="str">
        <f>+VLOOKUP(A265,Ficheiros!T:U,2,FALSE)</f>
        <v>6. Outros Desenvolvimentos</v>
      </c>
      <c r="AS265" s="1" t="str">
        <f>+VLOOKUP(A265,Ficheiros!T:V,3,FALSE)</f>
        <v>LF</v>
      </c>
      <c r="AT265" s="1"/>
      <c r="AU265" s="1"/>
      <c r="AV265" s="1"/>
      <c r="AW265" s="1"/>
      <c r="AX265" s="1"/>
    </row>
    <row r="266" spans="1:50" ht="14.5" hidden="1" customHeight="1" x14ac:dyDescent="0.35">
      <c r="A266" s="5" t="str">
        <f t="shared" ref="A266:A329" si="8">+C266&amp;G266</f>
        <v>INSTRUMENTRWA</v>
      </c>
      <c r="B266" s="1" t="s">
        <v>1131</v>
      </c>
      <c r="C266" s="1" t="s">
        <v>785</v>
      </c>
      <c r="D266" s="1" t="s">
        <v>271</v>
      </c>
      <c r="E266" s="1" t="s">
        <v>37</v>
      </c>
      <c r="F266" s="25" t="s">
        <v>1132</v>
      </c>
      <c r="G266" s="24" t="s">
        <v>1132</v>
      </c>
      <c r="H266" s="1" t="s">
        <v>39</v>
      </c>
      <c r="I266" s="1" t="s">
        <v>39</v>
      </c>
      <c r="J266" s="1" t="s">
        <v>39</v>
      </c>
      <c r="K266" s="1" t="s">
        <v>39</v>
      </c>
      <c r="L266" s="1" t="s">
        <v>39</v>
      </c>
      <c r="M266" s="1" t="s">
        <v>39</v>
      </c>
      <c r="N266" s="1" t="s">
        <v>39</v>
      </c>
      <c r="O266" s="1" t="s">
        <v>39</v>
      </c>
      <c r="P266" s="1" t="s">
        <v>37</v>
      </c>
      <c r="Q266" s="1" t="s">
        <v>39</v>
      </c>
      <c r="R266" s="1" t="s">
        <v>273</v>
      </c>
      <c r="S266" s="1" t="s">
        <v>274</v>
      </c>
      <c r="T266" s="1">
        <v>99999999999</v>
      </c>
      <c r="U266" s="1" t="s">
        <v>42</v>
      </c>
      <c r="V266" s="1">
        <v>11111111111</v>
      </c>
      <c r="W266" s="1" t="s">
        <v>1132</v>
      </c>
      <c r="X266" s="1" t="s">
        <v>1133</v>
      </c>
      <c r="Y266" s="1" t="s">
        <v>84</v>
      </c>
      <c r="Z266" s="1" t="s">
        <v>1134</v>
      </c>
      <c r="AA266" s="1" t="s">
        <v>47</v>
      </c>
      <c r="AB266" s="1" t="s">
        <v>39</v>
      </c>
      <c r="AC266" s="1" t="s">
        <v>39</v>
      </c>
      <c r="AD266" s="1" t="s">
        <v>39</v>
      </c>
      <c r="AE266" s="1" t="s">
        <v>39</v>
      </c>
      <c r="AF266" s="1" t="s">
        <v>37</v>
      </c>
      <c r="AG266" s="1" t="s">
        <v>39</v>
      </c>
      <c r="AH266" s="1" t="s">
        <v>39</v>
      </c>
      <c r="AI266" s="1" t="s">
        <v>39</v>
      </c>
      <c r="AJ266" s="1" t="s">
        <v>39</v>
      </c>
      <c r="AK266" s="1" t="str">
        <f t="shared" ref="AK266:AK329" si="9">+IF(AND(AD266="N",AF266="N"),"Fora de âmbito",
IF(AND(AD266="N",AF266="Y"),"Apenas ESG Risk",
IF(AND(AD266="Y",AF266="N"),"Apenas Pilar 3",
IF(AND(AD266="Y",AF266="Y"),"Comum",""))))</f>
        <v>Apenas Pilar 3</v>
      </c>
      <c r="AL266" s="1" t="str">
        <f>+IF(IFERROR(VLOOKUP(A266,Ficheiros!I:I,1,FALSE),"")=A266,"Sim","Não")</f>
        <v>Sim</v>
      </c>
      <c r="AM266" s="1" t="str">
        <f>+IF(IFERROR(VLOOKUP(A266,Ficheiros!E:E,1,FALSE),"")=A266,"Sim","Não")</f>
        <v>Não</v>
      </c>
      <c r="AN266" s="1" t="str">
        <f>+IF(IFERROR(VLOOKUP(A266,Ficheiros!O:O,1,FALSE),"")=A266,"Sim","Não")</f>
        <v>Não</v>
      </c>
      <c r="AO266" s="1" t="str">
        <f>+IF(IFERROR(VLOOKUP(A266,'Especificação Novos Req. LT (2'!A:A,1,FALSE),"")=A266,"Sim","Não")</f>
        <v>Não</v>
      </c>
      <c r="AP266" s="1" t="str">
        <f>+IF(IFERROR(VLOOKUP(A266,Ficheiros!T:T,1,FALSE),"")=A266,"Sim","Não")</f>
        <v>Sim</v>
      </c>
      <c r="AQ266" s="1" t="e">
        <f>+VLOOKUP(A266,Ficheiros!O:P,2,FALSE)</f>
        <v>#N/A</v>
      </c>
      <c r="AR266" s="1" t="str">
        <f>+VLOOKUP(A266,Ficheiros!T:U,2,FALSE)</f>
        <v>5.1 Em testes - Re-especificação</v>
      </c>
      <c r="AS266" s="1" t="str">
        <f>+VLOOKUP(A266,Ficheiros!T:V,3,FALSE)</f>
        <v>LF</v>
      </c>
      <c r="AT266" s="1" t="s">
        <v>2469</v>
      </c>
      <c r="AU266" s="1" t="s">
        <v>2465</v>
      </c>
      <c r="AV266" s="1" t="s">
        <v>2536</v>
      </c>
      <c r="AW266" s="1"/>
      <c r="AX266" s="1"/>
    </row>
    <row r="267" spans="1:50" ht="14.5" hidden="1" customHeight="1" x14ac:dyDescent="0.35">
      <c r="A267" s="5" t="str">
        <f t="shared" si="8"/>
        <v>INSTRUMENTRWA_MTHD</v>
      </c>
      <c r="B267" s="1" t="s">
        <v>1135</v>
      </c>
      <c r="C267" s="1" t="s">
        <v>785</v>
      </c>
      <c r="D267" s="1" t="s">
        <v>271</v>
      </c>
      <c r="E267" s="1" t="s">
        <v>37</v>
      </c>
      <c r="F267" s="25" t="s">
        <v>1136</v>
      </c>
      <c r="G267" s="1" t="s">
        <v>1136</v>
      </c>
      <c r="H267" s="1" t="s">
        <v>39</v>
      </c>
      <c r="I267" s="1" t="s">
        <v>39</v>
      </c>
      <c r="J267" s="1" t="s">
        <v>39</v>
      </c>
      <c r="K267" s="1" t="s">
        <v>39</v>
      </c>
      <c r="L267" s="1" t="s">
        <v>39</v>
      </c>
      <c r="M267" s="1" t="s">
        <v>39</v>
      </c>
      <c r="N267" s="1" t="s">
        <v>39</v>
      </c>
      <c r="O267" s="1" t="s">
        <v>39</v>
      </c>
      <c r="P267" s="1" t="s">
        <v>37</v>
      </c>
      <c r="Q267" s="1" t="s">
        <v>37</v>
      </c>
      <c r="R267" s="1" t="s">
        <v>136</v>
      </c>
      <c r="S267" s="1" t="s">
        <v>52</v>
      </c>
      <c r="T267" s="1">
        <v>99999999999</v>
      </c>
      <c r="U267" s="1">
        <v>11111111111</v>
      </c>
      <c r="V267" s="1">
        <v>11111111111</v>
      </c>
      <c r="W267" s="1" t="s">
        <v>1137</v>
      </c>
      <c r="X267" s="1" t="s">
        <v>1138</v>
      </c>
      <c r="Y267" s="1" t="s">
        <v>84</v>
      </c>
      <c r="Z267" s="1" t="s">
        <v>1139</v>
      </c>
      <c r="AA267" s="1" t="s">
        <v>47</v>
      </c>
      <c r="AB267" s="1" t="s">
        <v>39</v>
      </c>
      <c r="AC267" s="1" t="s">
        <v>37</v>
      </c>
      <c r="AD267" s="1" t="s">
        <v>37</v>
      </c>
      <c r="AE267" s="1" t="s">
        <v>37</v>
      </c>
      <c r="AF267" s="1" t="s">
        <v>37</v>
      </c>
      <c r="AG267" s="1" t="s">
        <v>39</v>
      </c>
      <c r="AH267" s="1" t="s">
        <v>37</v>
      </c>
      <c r="AI267" s="1" t="s">
        <v>37</v>
      </c>
      <c r="AJ267" s="1" t="s">
        <v>39</v>
      </c>
      <c r="AK267" s="1" t="str">
        <f t="shared" si="9"/>
        <v>Fora de âmbito</v>
      </c>
      <c r="AL267" s="1" t="str">
        <f>+IF(IFERROR(VLOOKUP(A267,Ficheiros!I:I,1,FALSE),"")=A267,"Sim","Não")</f>
        <v>Sim</v>
      </c>
      <c r="AM267" s="1" t="str">
        <f>+IF(IFERROR(VLOOKUP(A267,Ficheiros!E:E,1,FALSE),"")=A267,"Sim","Não")</f>
        <v>Não</v>
      </c>
      <c r="AN267" s="1" t="str">
        <f>+IF(IFERROR(VLOOKUP(A267,Ficheiros!O:O,1,FALSE),"")=A267,"Sim","Não")</f>
        <v>Não</v>
      </c>
      <c r="AO267" s="1" t="str">
        <f>+IF(IFERROR(VLOOKUP(A267,'Especificação Novos Req. LT (2'!A:A,1,FALSE),"")=A267,"Sim","Não")</f>
        <v>Não</v>
      </c>
      <c r="AP267" s="1" t="str">
        <f>+IF(IFERROR(VLOOKUP(A267,Ficheiros!T:T,1,FALSE),"")=A267,"Sim","Não")</f>
        <v>Sim</v>
      </c>
      <c r="AQ267" s="1" t="e">
        <f>+VLOOKUP(A267,Ficheiros!O:P,2,FALSE)</f>
        <v>#N/A</v>
      </c>
      <c r="AR267" s="1" t="str">
        <f>+VLOOKUP(A267,Ficheiros!T:U,2,FALSE)</f>
        <v>9. Concluído</v>
      </c>
      <c r="AS267" s="1" t="str">
        <f>+VLOOKUP(A267,Ficheiros!T:V,3,FALSE)</f>
        <v>PM</v>
      </c>
      <c r="AT267" s="1"/>
      <c r="AU267" s="1"/>
      <c r="AV267" s="1"/>
      <c r="AW267" s="1"/>
      <c r="AX267" s="1"/>
    </row>
    <row r="268" spans="1:50" ht="14.5" hidden="1" customHeight="1" x14ac:dyDescent="0.35">
      <c r="A268" s="5" t="str">
        <f t="shared" si="8"/>
        <v>INSTRUMENTSPNSR_NM</v>
      </c>
      <c r="B268" s="1" t="s">
        <v>1140</v>
      </c>
      <c r="C268" s="1" t="s">
        <v>785</v>
      </c>
      <c r="D268" s="1" t="s">
        <v>271</v>
      </c>
      <c r="E268" s="1" t="s">
        <v>37</v>
      </c>
      <c r="F268" s="25" t="s">
        <v>1141</v>
      </c>
      <c r="G268" s="1" t="s">
        <v>1141</v>
      </c>
      <c r="H268" s="1" t="s">
        <v>37</v>
      </c>
      <c r="I268" s="1" t="s">
        <v>37</v>
      </c>
      <c r="J268" s="1" t="s">
        <v>37</v>
      </c>
      <c r="K268" s="1" t="s">
        <v>37</v>
      </c>
      <c r="L268" s="1" t="s">
        <v>39</v>
      </c>
      <c r="M268" s="1" t="s">
        <v>39</v>
      </c>
      <c r="N268" s="1" t="s">
        <v>37</v>
      </c>
      <c r="O268" s="1" t="s">
        <v>37</v>
      </c>
      <c r="P268" s="1" t="s">
        <v>37</v>
      </c>
      <c r="Q268" s="1" t="s">
        <v>37</v>
      </c>
      <c r="R268" s="1" t="s">
        <v>96</v>
      </c>
      <c r="S268" s="1" t="s">
        <v>41</v>
      </c>
      <c r="T268" s="1" t="s">
        <v>53</v>
      </c>
      <c r="U268" s="1" t="s">
        <v>46</v>
      </c>
      <c r="V268" s="1" t="s">
        <v>46</v>
      </c>
      <c r="W268" s="1" t="s">
        <v>1142</v>
      </c>
      <c r="X268" s="1" t="s">
        <v>1143</v>
      </c>
      <c r="Y268" s="1" t="s">
        <v>45</v>
      </c>
      <c r="Z268" s="1" t="s">
        <v>46</v>
      </c>
      <c r="AA268" s="1" t="s">
        <v>47</v>
      </c>
      <c r="AB268" s="1" t="s">
        <v>39</v>
      </c>
      <c r="AC268" s="1" t="s">
        <v>37</v>
      </c>
      <c r="AD268" s="1" t="s">
        <v>37</v>
      </c>
      <c r="AE268" s="1" t="s">
        <v>37</v>
      </c>
      <c r="AF268" s="1" t="s">
        <v>37</v>
      </c>
      <c r="AG268" s="1" t="s">
        <v>39</v>
      </c>
      <c r="AH268" s="1" t="s">
        <v>37</v>
      </c>
      <c r="AI268" s="1" t="s">
        <v>37</v>
      </c>
      <c r="AJ268" s="1" t="s">
        <v>39</v>
      </c>
      <c r="AK268" s="1" t="str">
        <f t="shared" si="9"/>
        <v>Fora de âmbito</v>
      </c>
      <c r="AL268" s="1" t="str">
        <f>+IF(IFERROR(VLOOKUP(A268,Ficheiros!I:I,1,FALSE),"")=A268,"Sim","Não")</f>
        <v>Sim</v>
      </c>
      <c r="AM268" s="1" t="str">
        <f>+IF(IFERROR(VLOOKUP(A268,Ficheiros!E:E,1,FALSE),"")=A268,"Sim","Não")</f>
        <v>Não</v>
      </c>
      <c r="AN268" s="1" t="str">
        <f>+IF(IFERROR(VLOOKUP(A268,Ficheiros!O:O,1,FALSE),"")=A268,"Sim","Não")</f>
        <v>Não</v>
      </c>
      <c r="AO268" s="1" t="str">
        <f>+IF(IFERROR(VLOOKUP(A268,'Especificação Novos Req. LT (2'!A:A,1,FALSE),"")=A268,"Sim","Não")</f>
        <v>Não</v>
      </c>
      <c r="AP268" s="1" t="str">
        <f>+IF(IFERROR(VLOOKUP(A268,Ficheiros!T:T,1,FALSE),"")=A268,"Sim","Não")</f>
        <v>Sim</v>
      </c>
      <c r="AQ268" s="1" t="e">
        <f>+VLOOKUP(A268,Ficheiros!O:P,2,FALSE)</f>
        <v>#N/A</v>
      </c>
      <c r="AR268" s="1" t="str">
        <f>+VLOOKUP(A268,Ficheiros!T:U,2,FALSE)</f>
        <v>8. Concluído - sem dados</v>
      </c>
      <c r="AS268" s="1" t="str">
        <f>+VLOOKUP(A268,Ficheiros!T:V,3,FALSE)</f>
        <v>PM &amp; LF</v>
      </c>
      <c r="AT268" s="1"/>
      <c r="AU268" s="1"/>
      <c r="AV268" s="1"/>
      <c r="AW268" s="1"/>
      <c r="AX268" s="1"/>
    </row>
    <row r="269" spans="1:50" ht="14.5" hidden="1" customHeight="1" x14ac:dyDescent="0.35">
      <c r="A269" s="5" t="str">
        <f t="shared" si="8"/>
        <v>INSTRUMENTACCMLTD_IMPRMNT_INSTRMNT</v>
      </c>
      <c r="B269" s="1" t="s">
        <v>1144</v>
      </c>
      <c r="C269" s="1" t="s">
        <v>785</v>
      </c>
      <c r="D269" s="1" t="s">
        <v>1145</v>
      </c>
      <c r="E269" s="1" t="s">
        <v>39</v>
      </c>
      <c r="F269" s="25" t="s">
        <v>1146</v>
      </c>
      <c r="G269" s="1" t="s">
        <v>1146</v>
      </c>
      <c r="H269" s="1" t="s">
        <v>39</v>
      </c>
      <c r="I269" s="1" t="s">
        <v>39</v>
      </c>
      <c r="J269" s="1" t="s">
        <v>39</v>
      </c>
      <c r="K269" s="1" t="s">
        <v>39</v>
      </c>
      <c r="L269" s="1" t="s">
        <v>39</v>
      </c>
      <c r="M269" s="1" t="s">
        <v>39</v>
      </c>
      <c r="N269" s="1" t="s">
        <v>39</v>
      </c>
      <c r="O269" s="1" t="s">
        <v>39</v>
      </c>
      <c r="P269" s="1" t="s">
        <v>39</v>
      </c>
      <c r="Q269" s="1" t="s">
        <v>39</v>
      </c>
      <c r="R269" s="1" t="s">
        <v>273</v>
      </c>
      <c r="S269" s="1" t="s">
        <v>274</v>
      </c>
      <c r="T269" s="1">
        <v>99999999999</v>
      </c>
      <c r="U269" s="1">
        <v>11111111111</v>
      </c>
      <c r="V269" s="1">
        <v>11111111111</v>
      </c>
      <c r="W269" s="1" t="s">
        <v>1147</v>
      </c>
      <c r="X269" s="1" t="s">
        <v>1148</v>
      </c>
      <c r="Y269" s="1" t="s">
        <v>45</v>
      </c>
      <c r="Z269" s="1" t="s">
        <v>46</v>
      </c>
      <c r="AA269" s="1" t="s">
        <v>47</v>
      </c>
      <c r="AB269" s="1" t="s">
        <v>39</v>
      </c>
      <c r="AC269" s="1" t="s">
        <v>39</v>
      </c>
      <c r="AD269" s="1" t="s">
        <v>39</v>
      </c>
      <c r="AE269" s="1" t="s">
        <v>39</v>
      </c>
      <c r="AF269" s="1" t="s">
        <v>37</v>
      </c>
      <c r="AG269" s="1" t="s">
        <v>39</v>
      </c>
      <c r="AH269" s="1" t="s">
        <v>39</v>
      </c>
      <c r="AI269" s="1" t="s">
        <v>39</v>
      </c>
      <c r="AJ269" s="1" t="s">
        <v>39</v>
      </c>
      <c r="AK269" s="1" t="str">
        <f t="shared" si="9"/>
        <v>Apenas Pilar 3</v>
      </c>
      <c r="AL269" s="1" t="str">
        <f>+IF(IFERROR(VLOOKUP(A269,Ficheiros!I:I,1,FALSE),"")=A269,"Sim","Não")</f>
        <v>Sim</v>
      </c>
      <c r="AM269" s="1" t="str">
        <f>+IF(IFERROR(VLOOKUP(A269,Ficheiros!E:E,1,FALSE),"")=A269,"Sim","Não")</f>
        <v>Não</v>
      </c>
      <c r="AN269" s="1" t="str">
        <f>+IF(IFERROR(VLOOKUP(A269,Ficheiros!O:O,1,FALSE),"")=A269,"Sim","Não")</f>
        <v>Sim</v>
      </c>
      <c r="AO269" s="1" t="str">
        <f>+IF(IFERROR(VLOOKUP(A269,'Especificação Novos Req. LT (2'!A:A,1,FALSE),"")=A269,"Sim","Não")</f>
        <v>Não</v>
      </c>
      <c r="AP269" s="1" t="str">
        <f>+IF(IFERROR(VLOOKUP(A269,Ficheiros!T:T,1,FALSE),"")=A269,"Sim","Não")</f>
        <v>Sim</v>
      </c>
      <c r="AQ269" s="1" t="str">
        <f>+VLOOKUP(A269,Ficheiros!O:P,2,FALSE)</f>
        <v>1. Concluído</v>
      </c>
      <c r="AR269" s="1" t="str">
        <f>+VLOOKUP(A269,Ficheiros!T:U,2,FALSE)</f>
        <v>9. Concluído</v>
      </c>
      <c r="AS269" s="1" t="str">
        <f>+VLOOKUP(A269,Ficheiros!T:V,3,FALSE)</f>
        <v>PM</v>
      </c>
      <c r="AT269" s="1"/>
      <c r="AU269" s="1"/>
      <c r="AV269" s="1"/>
      <c r="AW269" s="1"/>
      <c r="AX269" s="1"/>
    </row>
    <row r="270" spans="1:50" ht="14.5" hidden="1" customHeight="1" x14ac:dyDescent="0.35">
      <c r="A270" s="5" t="str">
        <f t="shared" si="8"/>
        <v>INSTRUMENTACCMLTD_IMPRMNT_INSTRMNT_PRVS</v>
      </c>
      <c r="B270" s="1" t="s">
        <v>1149</v>
      </c>
      <c r="C270" s="1" t="s">
        <v>785</v>
      </c>
      <c r="D270" s="1" t="s">
        <v>1145</v>
      </c>
      <c r="E270" s="1" t="s">
        <v>37</v>
      </c>
      <c r="F270" s="25" t="s">
        <v>1150</v>
      </c>
      <c r="G270" s="1" t="s">
        <v>1150</v>
      </c>
      <c r="H270" s="1" t="s">
        <v>39</v>
      </c>
      <c r="I270" s="1" t="s">
        <v>39</v>
      </c>
      <c r="J270" s="1" t="s">
        <v>39</v>
      </c>
      <c r="K270" s="1" t="s">
        <v>39</v>
      </c>
      <c r="L270" s="1" t="s">
        <v>39</v>
      </c>
      <c r="M270" s="1" t="s">
        <v>39</v>
      </c>
      <c r="N270" s="1" t="s">
        <v>39</v>
      </c>
      <c r="O270" s="1" t="s">
        <v>39</v>
      </c>
      <c r="P270" s="1" t="s">
        <v>37</v>
      </c>
      <c r="Q270" s="1" t="s">
        <v>37</v>
      </c>
      <c r="R270" s="1" t="s">
        <v>273</v>
      </c>
      <c r="S270" s="1" t="s">
        <v>274</v>
      </c>
      <c r="T270" s="1">
        <v>99999999999</v>
      </c>
      <c r="U270" s="1">
        <v>11111111111</v>
      </c>
      <c r="V270" s="1">
        <v>11111111111</v>
      </c>
      <c r="W270" s="1" t="s">
        <v>1151</v>
      </c>
      <c r="X270" s="1" t="s">
        <v>1152</v>
      </c>
      <c r="Y270" s="1" t="s">
        <v>45</v>
      </c>
      <c r="Z270" s="1" t="s">
        <v>46</v>
      </c>
      <c r="AA270" s="1" t="s">
        <v>47</v>
      </c>
      <c r="AB270" s="1" t="s">
        <v>39</v>
      </c>
      <c r="AC270" s="1" t="s">
        <v>37</v>
      </c>
      <c r="AD270" s="1" t="s">
        <v>37</v>
      </c>
      <c r="AE270" s="1" t="s">
        <v>37</v>
      </c>
      <c r="AF270" s="1" t="s">
        <v>37</v>
      </c>
      <c r="AG270" s="1" t="s">
        <v>39</v>
      </c>
      <c r="AH270" s="1" t="s">
        <v>37</v>
      </c>
      <c r="AI270" s="1" t="s">
        <v>37</v>
      </c>
      <c r="AJ270" s="1" t="s">
        <v>39</v>
      </c>
      <c r="AK270" s="1" t="str">
        <f t="shared" si="9"/>
        <v>Fora de âmbito</v>
      </c>
      <c r="AL270" s="1" t="str">
        <f>+IF(IFERROR(VLOOKUP(A270,Ficheiros!I:I,1,FALSE),"")=A270,"Sim","Não")</f>
        <v>Sim</v>
      </c>
      <c r="AM270" s="1" t="str">
        <f>+IF(IFERROR(VLOOKUP(A270,Ficheiros!E:E,1,FALSE),"")=A270,"Sim","Não")</f>
        <v>Não</v>
      </c>
      <c r="AN270" s="1" t="str">
        <f>+IF(IFERROR(VLOOKUP(A270,Ficheiros!O:O,1,FALSE),"")=A270,"Sim","Não")</f>
        <v>Não</v>
      </c>
      <c r="AO270" s="1" t="str">
        <f>+IF(IFERROR(VLOOKUP(A270,'Especificação Novos Req. LT (2'!A:A,1,FALSE),"")=A270,"Sim","Não")</f>
        <v>Não</v>
      </c>
      <c r="AP270" s="1" t="str">
        <f>+IF(IFERROR(VLOOKUP(A270,Ficheiros!T:T,1,FALSE),"")=A270,"Sim","Não")</f>
        <v>Sim</v>
      </c>
      <c r="AQ270" s="1" t="e">
        <f>+VLOOKUP(A270,Ficheiros!O:P,2,FALSE)</f>
        <v>#N/A</v>
      </c>
      <c r="AR270" s="1" t="str">
        <f>+VLOOKUP(A270,Ficheiros!T:U,2,FALSE)</f>
        <v>5.2 Em testes - Incidência</v>
      </c>
      <c r="AS270" s="1" t="str">
        <f>+VLOOKUP(A270,Ficheiros!T:V,3,FALSE)</f>
        <v>LF</v>
      </c>
      <c r="AT270" s="1"/>
      <c r="AU270" s="1"/>
      <c r="AV270" s="1"/>
      <c r="AW270" s="1"/>
      <c r="AX270" s="1"/>
    </row>
    <row r="271" spans="1:50" ht="14.5" hidden="1" customHeight="1" x14ac:dyDescent="0.35">
      <c r="A271" s="5" t="str">
        <f t="shared" si="8"/>
        <v>INSTRUMENTACCMLTD_WRTFFS_INSTRMNT</v>
      </c>
      <c r="B271" s="1" t="s">
        <v>1153</v>
      </c>
      <c r="C271" s="1" t="s">
        <v>785</v>
      </c>
      <c r="D271" s="1" t="s">
        <v>1145</v>
      </c>
      <c r="E271" s="1" t="s">
        <v>39</v>
      </c>
      <c r="F271" s="25" t="s">
        <v>1154</v>
      </c>
      <c r="G271" s="1" t="s">
        <v>1154</v>
      </c>
      <c r="H271" s="1" t="s">
        <v>37</v>
      </c>
      <c r="I271" s="1" t="s">
        <v>39</v>
      </c>
      <c r="J271" s="1" t="s">
        <v>39</v>
      </c>
      <c r="K271" s="1" t="s">
        <v>39</v>
      </c>
      <c r="L271" s="1" t="s">
        <v>39</v>
      </c>
      <c r="M271" s="1" t="s">
        <v>39</v>
      </c>
      <c r="N271" s="1" t="s">
        <v>39</v>
      </c>
      <c r="O271" s="1" t="s">
        <v>39</v>
      </c>
      <c r="P271" s="1" t="s">
        <v>37</v>
      </c>
      <c r="Q271" s="1" t="s">
        <v>37</v>
      </c>
      <c r="R271" s="1" t="s">
        <v>273</v>
      </c>
      <c r="S271" s="1" t="s">
        <v>274</v>
      </c>
      <c r="T271" s="1">
        <v>99999999999</v>
      </c>
      <c r="U271" s="1">
        <v>11111111111</v>
      </c>
      <c r="V271" s="1">
        <v>11111111111</v>
      </c>
      <c r="W271" s="1" t="s">
        <v>1155</v>
      </c>
      <c r="X271" s="1" t="s">
        <v>1156</v>
      </c>
      <c r="Y271" s="1" t="s">
        <v>45</v>
      </c>
      <c r="Z271" s="1" t="s">
        <v>46</v>
      </c>
      <c r="AA271" s="1" t="s">
        <v>47</v>
      </c>
      <c r="AB271" s="1" t="s">
        <v>39</v>
      </c>
      <c r="AC271" s="1" t="s">
        <v>37</v>
      </c>
      <c r="AD271" s="1" t="s">
        <v>37</v>
      </c>
      <c r="AE271" s="1" t="s">
        <v>37</v>
      </c>
      <c r="AF271" s="1" t="s">
        <v>37</v>
      </c>
      <c r="AG271" s="1" t="s">
        <v>39</v>
      </c>
      <c r="AH271" s="1" t="s">
        <v>37</v>
      </c>
      <c r="AI271" s="1" t="s">
        <v>37</v>
      </c>
      <c r="AJ271" s="1" t="s">
        <v>39</v>
      </c>
      <c r="AK271" s="1" t="str">
        <f t="shared" si="9"/>
        <v>Fora de âmbito</v>
      </c>
      <c r="AL271" s="1" t="str">
        <f>+IF(IFERROR(VLOOKUP(A271,Ficheiros!I:I,1,FALSE),"")=A271,"Sim","Não")</f>
        <v>Sim</v>
      </c>
      <c r="AM271" s="1" t="str">
        <f>+IF(IFERROR(VLOOKUP(A271,Ficheiros!E:E,1,FALSE),"")=A271,"Sim","Não")</f>
        <v>Não</v>
      </c>
      <c r="AN271" s="1" t="str">
        <f>+IF(IFERROR(VLOOKUP(A271,Ficheiros!O:O,1,FALSE),"")=A271,"Sim","Não")</f>
        <v>Não</v>
      </c>
      <c r="AO271" s="1" t="str">
        <f>+IF(IFERROR(VLOOKUP(A271,'Especificação Novos Req. LT (2'!A:A,1,FALSE),"")=A271,"Sim","Não")</f>
        <v>Não</v>
      </c>
      <c r="AP271" s="1" t="str">
        <f>+IF(IFERROR(VLOOKUP(A271,Ficheiros!T:T,1,FALSE),"")=A271,"Sim","Não")</f>
        <v>Sim</v>
      </c>
      <c r="AQ271" s="1" t="e">
        <f>+VLOOKUP(A271,Ficheiros!O:P,2,FALSE)</f>
        <v>#N/A</v>
      </c>
      <c r="AR271" s="1" t="str">
        <f>+VLOOKUP(A271,Ficheiros!T:U,2,FALSE)</f>
        <v>9. Concluído</v>
      </c>
      <c r="AS271" s="1" t="str">
        <f>+VLOOKUP(A271,Ficheiros!T:V,3,FALSE)</f>
        <v>PM</v>
      </c>
      <c r="AT271" s="1"/>
      <c r="AU271" s="1"/>
      <c r="AV271" s="1"/>
      <c r="AW271" s="1"/>
      <c r="AX271" s="1"/>
    </row>
    <row r="272" spans="1:50" ht="14.5" hidden="1" customHeight="1" x14ac:dyDescent="0.35">
      <c r="A272" s="5" t="str">
        <f t="shared" si="8"/>
        <v>INSTRUMENTARRRS_INSTRMNT</v>
      </c>
      <c r="B272" s="1" t="s">
        <v>1157</v>
      </c>
      <c r="C272" s="1" t="s">
        <v>785</v>
      </c>
      <c r="D272" s="1" t="s">
        <v>1145</v>
      </c>
      <c r="E272" s="1" t="s">
        <v>39</v>
      </c>
      <c r="F272" s="25" t="s">
        <v>1158</v>
      </c>
      <c r="G272" s="1" t="s">
        <v>1158</v>
      </c>
      <c r="H272" s="1" t="s">
        <v>37</v>
      </c>
      <c r="I272" s="1" t="s">
        <v>39</v>
      </c>
      <c r="J272" s="1" t="s">
        <v>39</v>
      </c>
      <c r="K272" s="1" t="s">
        <v>39</v>
      </c>
      <c r="L272" s="1" t="s">
        <v>39</v>
      </c>
      <c r="M272" s="1" t="s">
        <v>39</v>
      </c>
      <c r="N272" s="1" t="s">
        <v>39</v>
      </c>
      <c r="O272" s="1" t="s">
        <v>39</v>
      </c>
      <c r="P272" s="1" t="s">
        <v>37</v>
      </c>
      <c r="Q272" s="1" t="s">
        <v>37</v>
      </c>
      <c r="R272" s="1" t="s">
        <v>273</v>
      </c>
      <c r="S272" s="1" t="s">
        <v>274</v>
      </c>
      <c r="T272" s="1">
        <v>99999999999</v>
      </c>
      <c r="U272" s="1">
        <v>11111111111</v>
      </c>
      <c r="V272" s="1">
        <v>11111111111</v>
      </c>
      <c r="W272" s="1" t="s">
        <v>1159</v>
      </c>
      <c r="X272" s="1" t="s">
        <v>1160</v>
      </c>
      <c r="Y272" s="1" t="s">
        <v>45</v>
      </c>
      <c r="Z272" s="1" t="s">
        <v>46</v>
      </c>
      <c r="AA272" s="1" t="s">
        <v>47</v>
      </c>
      <c r="AB272" s="1" t="s">
        <v>39</v>
      </c>
      <c r="AC272" s="1" t="s">
        <v>37</v>
      </c>
      <c r="AD272" s="1" t="s">
        <v>37</v>
      </c>
      <c r="AE272" s="1" t="s">
        <v>37</v>
      </c>
      <c r="AF272" s="1" t="s">
        <v>37</v>
      </c>
      <c r="AG272" s="1" t="s">
        <v>39</v>
      </c>
      <c r="AH272" s="1" t="s">
        <v>37</v>
      </c>
      <c r="AI272" s="1" t="s">
        <v>37</v>
      </c>
      <c r="AJ272" s="1" t="s">
        <v>39</v>
      </c>
      <c r="AK272" s="1" t="str">
        <f t="shared" si="9"/>
        <v>Fora de âmbito</v>
      </c>
      <c r="AL272" s="1" t="str">
        <f>+IF(IFERROR(VLOOKUP(A272,Ficheiros!I:I,1,FALSE),"")=A272,"Sim","Não")</f>
        <v>Sim</v>
      </c>
      <c r="AM272" s="1" t="str">
        <f>+IF(IFERROR(VLOOKUP(A272,Ficheiros!E:E,1,FALSE),"")=A272,"Sim","Não")</f>
        <v>Não</v>
      </c>
      <c r="AN272" s="1" t="str">
        <f>+IF(IFERROR(VLOOKUP(A272,Ficheiros!O:O,1,FALSE),"")=A272,"Sim","Não")</f>
        <v>Não</v>
      </c>
      <c r="AO272" s="1" t="str">
        <f>+IF(IFERROR(VLOOKUP(A272,'Especificação Novos Req. LT (2'!A:A,1,FALSE),"")=A272,"Sim","Não")</f>
        <v>Não</v>
      </c>
      <c r="AP272" s="1" t="str">
        <f>+IF(IFERROR(VLOOKUP(A272,Ficheiros!T:T,1,FALSE),"")=A272,"Sim","Não")</f>
        <v>Sim</v>
      </c>
      <c r="AQ272" s="1" t="e">
        <f>+VLOOKUP(A272,Ficheiros!O:P,2,FALSE)</f>
        <v>#N/A</v>
      </c>
      <c r="AR272" s="1" t="str">
        <f>+VLOOKUP(A272,Ficheiros!T:U,2,FALSE)</f>
        <v>7. Analisar controlos e completude</v>
      </c>
      <c r="AS272" s="1" t="str">
        <f>+VLOOKUP(A272,Ficheiros!T:V,3,FALSE)</f>
        <v>LF</v>
      </c>
      <c r="AT272" s="1"/>
      <c r="AU272" s="1"/>
      <c r="AV272" s="1"/>
      <c r="AW272" s="1"/>
      <c r="AX272" s="1"/>
    </row>
    <row r="273" spans="1:50" ht="14.5" hidden="1" customHeight="1" x14ac:dyDescent="0.35">
      <c r="A273" s="5" t="str">
        <f t="shared" si="8"/>
        <v>INSTRUMENTARRRS_INSTRMNT_12M</v>
      </c>
      <c r="B273" s="1" t="s">
        <v>1161</v>
      </c>
      <c r="C273" s="1" t="s">
        <v>785</v>
      </c>
      <c r="D273" s="1" t="s">
        <v>1145</v>
      </c>
      <c r="E273" s="1" t="s">
        <v>37</v>
      </c>
      <c r="F273" s="25" t="s">
        <v>1162</v>
      </c>
      <c r="G273" s="1" t="s">
        <v>1162</v>
      </c>
      <c r="H273" s="1" t="s">
        <v>37</v>
      </c>
      <c r="I273" s="1" t="s">
        <v>39</v>
      </c>
      <c r="J273" s="1" t="s">
        <v>39</v>
      </c>
      <c r="K273" s="1" t="s">
        <v>39</v>
      </c>
      <c r="L273" s="1" t="s">
        <v>39</v>
      </c>
      <c r="M273" s="1" t="s">
        <v>39</v>
      </c>
      <c r="N273" s="1" t="s">
        <v>39</v>
      </c>
      <c r="O273" s="1" t="s">
        <v>39</v>
      </c>
      <c r="P273" s="1" t="s">
        <v>37</v>
      </c>
      <c r="Q273" s="1" t="s">
        <v>37</v>
      </c>
      <c r="R273" s="1" t="s">
        <v>273</v>
      </c>
      <c r="S273" s="1" t="s">
        <v>274</v>
      </c>
      <c r="T273" s="1">
        <v>99999999999</v>
      </c>
      <c r="U273" s="1">
        <v>11111111111</v>
      </c>
      <c r="V273" s="1">
        <v>11111111111</v>
      </c>
      <c r="W273" s="1" t="s">
        <v>1163</v>
      </c>
      <c r="X273" s="1" t="s">
        <v>1164</v>
      </c>
      <c r="Y273" s="1" t="s">
        <v>45</v>
      </c>
      <c r="Z273" s="1" t="s">
        <v>46</v>
      </c>
      <c r="AA273" s="1" t="s">
        <v>47</v>
      </c>
      <c r="AB273" s="1" t="s">
        <v>39</v>
      </c>
      <c r="AC273" s="1" t="s">
        <v>37</v>
      </c>
      <c r="AD273" s="1" t="s">
        <v>37</v>
      </c>
      <c r="AE273" s="1" t="s">
        <v>37</v>
      </c>
      <c r="AF273" s="1" t="s">
        <v>37</v>
      </c>
      <c r="AG273" s="1" t="s">
        <v>37</v>
      </c>
      <c r="AH273" s="1" t="s">
        <v>37</v>
      </c>
      <c r="AI273" s="1" t="s">
        <v>37</v>
      </c>
      <c r="AJ273" s="1" t="s">
        <v>39</v>
      </c>
      <c r="AK273" s="1" t="str">
        <f t="shared" si="9"/>
        <v>Fora de âmbito</v>
      </c>
      <c r="AL273" s="1" t="str">
        <f>+IF(IFERROR(VLOOKUP(A273,Ficheiros!I:I,1,FALSE),"")=A273,"Sim","Não")</f>
        <v>Sim</v>
      </c>
      <c r="AM273" s="1" t="str">
        <f>+IF(IFERROR(VLOOKUP(A273,Ficheiros!E:E,1,FALSE),"")=A273,"Sim","Não")</f>
        <v>Não</v>
      </c>
      <c r="AN273" s="1" t="str">
        <f>+IF(IFERROR(VLOOKUP(A273,Ficheiros!O:O,1,FALSE),"")=A273,"Sim","Não")</f>
        <v>Não</v>
      </c>
      <c r="AO273" s="1" t="str">
        <f>+IF(IFERROR(VLOOKUP(A273,'Especificação Novos Req. LT (2'!A:A,1,FALSE),"")=A273,"Sim","Não")</f>
        <v>Não</v>
      </c>
      <c r="AP273" s="1" t="str">
        <f>+IF(IFERROR(VLOOKUP(A273,Ficheiros!T:T,1,FALSE),"")=A273,"Sim","Não")</f>
        <v>Sim</v>
      </c>
      <c r="AQ273" s="1" t="e">
        <f>+VLOOKUP(A273,Ficheiros!O:P,2,FALSE)</f>
        <v>#N/A</v>
      </c>
      <c r="AR273" s="1" t="str">
        <f>+VLOOKUP(A273,Ficheiros!T:U,2,FALSE)</f>
        <v>7. Analisar controlos e completude</v>
      </c>
      <c r="AS273" s="1" t="str">
        <f>+VLOOKUP(A273,Ficheiros!T:V,3,FALSE)</f>
        <v>PM</v>
      </c>
      <c r="AT273" s="1"/>
      <c r="AU273" s="1"/>
      <c r="AV273" s="1"/>
      <c r="AW273" s="1"/>
      <c r="AX273" s="1"/>
    </row>
    <row r="274" spans="1:50" ht="14.5" hidden="1" customHeight="1" x14ac:dyDescent="0.35">
      <c r="A274" s="5" t="str">
        <f t="shared" si="8"/>
        <v>INSTRUMENTCMLTV_RCVRS_SNC_DFLT_INSTRMNT</v>
      </c>
      <c r="B274" s="1" t="s">
        <v>1165</v>
      </c>
      <c r="C274" s="1" t="s">
        <v>785</v>
      </c>
      <c r="D274" s="1" t="s">
        <v>1145</v>
      </c>
      <c r="E274" s="1" t="s">
        <v>39</v>
      </c>
      <c r="F274" s="25" t="s">
        <v>1166</v>
      </c>
      <c r="G274" s="1" t="s">
        <v>1166</v>
      </c>
      <c r="H274" s="1" t="s">
        <v>37</v>
      </c>
      <c r="I274" s="1" t="s">
        <v>39</v>
      </c>
      <c r="J274" s="1" t="s">
        <v>39</v>
      </c>
      <c r="K274" s="1" t="s">
        <v>39</v>
      </c>
      <c r="L274" s="1" t="s">
        <v>39</v>
      </c>
      <c r="M274" s="1" t="s">
        <v>39</v>
      </c>
      <c r="N274" s="1" t="s">
        <v>39</v>
      </c>
      <c r="O274" s="1" t="s">
        <v>39</v>
      </c>
      <c r="P274" s="1" t="s">
        <v>37</v>
      </c>
      <c r="Q274" s="1" t="s">
        <v>37</v>
      </c>
      <c r="R274" s="1" t="s">
        <v>273</v>
      </c>
      <c r="S274" s="1" t="s">
        <v>274</v>
      </c>
      <c r="T274" s="1">
        <v>99999999999</v>
      </c>
      <c r="U274" s="1">
        <v>11111111111</v>
      </c>
      <c r="V274" s="1">
        <v>11111111111</v>
      </c>
      <c r="W274" s="1" t="s">
        <v>1167</v>
      </c>
      <c r="X274" s="1" t="s">
        <v>1168</v>
      </c>
      <c r="Y274" s="1" t="s">
        <v>45</v>
      </c>
      <c r="Z274" s="1" t="s">
        <v>46</v>
      </c>
      <c r="AA274" s="1" t="s">
        <v>47</v>
      </c>
      <c r="AB274" s="1" t="s">
        <v>39</v>
      </c>
      <c r="AC274" s="1" t="s">
        <v>37</v>
      </c>
      <c r="AD274" s="1" t="s">
        <v>37</v>
      </c>
      <c r="AE274" s="1" t="s">
        <v>37</v>
      </c>
      <c r="AF274" s="1" t="s">
        <v>37</v>
      </c>
      <c r="AG274" s="1" t="s">
        <v>37</v>
      </c>
      <c r="AH274" s="1" t="s">
        <v>37</v>
      </c>
      <c r="AI274" s="1" t="s">
        <v>37</v>
      </c>
      <c r="AJ274" s="1" t="s">
        <v>39</v>
      </c>
      <c r="AK274" s="1" t="str">
        <f t="shared" si="9"/>
        <v>Fora de âmbito</v>
      </c>
      <c r="AL274" s="1" t="str">
        <f>+IF(IFERROR(VLOOKUP(A274,Ficheiros!I:I,1,FALSE),"")=A274,"Sim","Não")</f>
        <v>Sim</v>
      </c>
      <c r="AM274" s="1" t="str">
        <f>+IF(IFERROR(VLOOKUP(A274,Ficheiros!E:E,1,FALSE),"")=A274,"Sim","Não")</f>
        <v>Não</v>
      </c>
      <c r="AN274" s="1" t="str">
        <f>+IF(IFERROR(VLOOKUP(A274,Ficheiros!O:O,1,FALSE),"")=A274,"Sim","Não")</f>
        <v>Não</v>
      </c>
      <c r="AO274" s="1" t="str">
        <f>+IF(IFERROR(VLOOKUP(A274,'Especificação Novos Req. LT (2'!A:A,1,FALSE),"")=A274,"Sim","Não")</f>
        <v>Não</v>
      </c>
      <c r="AP274" s="1" t="str">
        <f>+IF(IFERROR(VLOOKUP(A274,Ficheiros!T:T,1,FALSE),"")=A274,"Sim","Não")</f>
        <v>Sim</v>
      </c>
      <c r="AQ274" s="1" t="e">
        <f>+VLOOKUP(A274,Ficheiros!O:P,2,FALSE)</f>
        <v>#N/A</v>
      </c>
      <c r="AR274" s="1" t="str">
        <f>+VLOOKUP(A274,Ficheiros!T:U,2,FALSE)</f>
        <v>2. Alterar especificação</v>
      </c>
      <c r="AS274" s="1" t="str">
        <f>+VLOOKUP(A274,Ficheiros!T:V,3,FALSE)</f>
        <v>PM</v>
      </c>
      <c r="AT274" s="1"/>
      <c r="AU274" s="1"/>
      <c r="AV274" s="1"/>
      <c r="AW274" s="1"/>
      <c r="AX274" s="1"/>
    </row>
    <row r="275" spans="1:50" ht="14.5" hidden="1" customHeight="1" x14ac:dyDescent="0.35">
      <c r="A275" s="5" t="str">
        <f t="shared" si="8"/>
        <v>INSTRUMENTDPD</v>
      </c>
      <c r="B275" s="1" t="s">
        <v>1169</v>
      </c>
      <c r="C275" s="1" t="s">
        <v>785</v>
      </c>
      <c r="D275" s="1" t="s">
        <v>1145</v>
      </c>
      <c r="E275" s="1" t="s">
        <v>37</v>
      </c>
      <c r="F275" s="25" t="s">
        <v>1170</v>
      </c>
      <c r="G275" s="1" t="s">
        <v>1170</v>
      </c>
      <c r="H275" s="1" t="s">
        <v>37</v>
      </c>
      <c r="I275" s="1" t="s">
        <v>39</v>
      </c>
      <c r="J275" s="1" t="s">
        <v>39</v>
      </c>
      <c r="K275" s="1" t="s">
        <v>39</v>
      </c>
      <c r="L275" s="1" t="s">
        <v>39</v>
      </c>
      <c r="M275" s="1" t="s">
        <v>39</v>
      </c>
      <c r="N275" s="1" t="s">
        <v>39</v>
      </c>
      <c r="O275" s="1" t="s">
        <v>37</v>
      </c>
      <c r="P275" s="1" t="s">
        <v>37</v>
      </c>
      <c r="Q275" s="1" t="s">
        <v>37</v>
      </c>
      <c r="R275" s="1" t="s">
        <v>623</v>
      </c>
      <c r="S275" s="1" t="s">
        <v>624</v>
      </c>
      <c r="T275" s="1">
        <v>99999999999</v>
      </c>
      <c r="U275" s="1">
        <v>11111111111</v>
      </c>
      <c r="V275" s="1">
        <v>11111111111</v>
      </c>
      <c r="W275" s="1" t="s">
        <v>1171</v>
      </c>
      <c r="X275" s="1" t="s">
        <v>1172</v>
      </c>
      <c r="Y275" s="1" t="s">
        <v>66</v>
      </c>
      <c r="Z275" s="1" t="s">
        <v>1173</v>
      </c>
      <c r="AA275" s="1" t="s">
        <v>47</v>
      </c>
      <c r="AB275" s="1" t="s">
        <v>39</v>
      </c>
      <c r="AC275" s="1" t="s">
        <v>37</v>
      </c>
      <c r="AD275" s="1" t="s">
        <v>37</v>
      </c>
      <c r="AE275" s="1" t="s">
        <v>37</v>
      </c>
      <c r="AF275" s="1" t="s">
        <v>37</v>
      </c>
      <c r="AG275" s="1" t="s">
        <v>39</v>
      </c>
      <c r="AH275" s="1" t="s">
        <v>37</v>
      </c>
      <c r="AI275" s="1" t="s">
        <v>37</v>
      </c>
      <c r="AJ275" s="1" t="s">
        <v>39</v>
      </c>
      <c r="AK275" s="1" t="str">
        <f t="shared" si="9"/>
        <v>Fora de âmbito</v>
      </c>
      <c r="AL275" s="1" t="str">
        <f>+IF(IFERROR(VLOOKUP(A275,Ficheiros!I:I,1,FALSE),"")=A275,"Sim","Não")</f>
        <v>Sim</v>
      </c>
      <c r="AM275" s="1" t="str">
        <f>+IF(IFERROR(VLOOKUP(A275,Ficheiros!E:E,1,FALSE),"")=A275,"Sim","Não")</f>
        <v>Não</v>
      </c>
      <c r="AN275" s="1" t="str">
        <f>+IF(IFERROR(VLOOKUP(A275,Ficheiros!O:O,1,FALSE),"")=A275,"Sim","Não")</f>
        <v>Não</v>
      </c>
      <c r="AO275" s="1" t="str">
        <f>+IF(IFERROR(VLOOKUP(A275,'Especificação Novos Req. LT (2'!A:A,1,FALSE),"")=A275,"Sim","Não")</f>
        <v>Não</v>
      </c>
      <c r="AP275" s="1" t="str">
        <f>+IF(IFERROR(VLOOKUP(A275,Ficheiros!T:T,1,FALSE),"")=A275,"Sim","Não")</f>
        <v>Sim</v>
      </c>
      <c r="AQ275" s="1" t="e">
        <f>+VLOOKUP(A275,Ficheiros!O:P,2,FALSE)</f>
        <v>#N/A</v>
      </c>
      <c r="AR275" s="1" t="str">
        <f>+VLOOKUP(A275,Ficheiros!T:U,2,FALSE)</f>
        <v>7. Analisar controlos e completude</v>
      </c>
      <c r="AS275" s="1" t="str">
        <f>+VLOOKUP(A275,Ficheiros!T:V,3,FALSE)</f>
        <v>LF</v>
      </c>
      <c r="AT275" s="1"/>
      <c r="AU275" s="1"/>
      <c r="AV275" s="1"/>
      <c r="AW275" s="1"/>
      <c r="AX275" s="1"/>
    </row>
    <row r="276" spans="1:50" ht="14.5" hidden="1" customHeight="1" x14ac:dyDescent="0.35">
      <c r="A276" s="5" t="str">
        <f t="shared" si="8"/>
        <v>INSTRUMENTDPD_12M</v>
      </c>
      <c r="B276" s="1" t="s">
        <v>1174</v>
      </c>
      <c r="C276" s="1" t="s">
        <v>785</v>
      </c>
      <c r="D276" s="1" t="s">
        <v>1145</v>
      </c>
      <c r="E276" s="1" t="s">
        <v>37</v>
      </c>
      <c r="F276" s="25" t="s">
        <v>1175</v>
      </c>
      <c r="G276" s="1" t="s">
        <v>1175</v>
      </c>
      <c r="H276" s="1" t="s">
        <v>37</v>
      </c>
      <c r="I276" s="1" t="s">
        <v>39</v>
      </c>
      <c r="J276" s="1" t="s">
        <v>39</v>
      </c>
      <c r="K276" s="1" t="s">
        <v>39</v>
      </c>
      <c r="L276" s="1" t="s">
        <v>39</v>
      </c>
      <c r="M276" s="1" t="s">
        <v>39</v>
      </c>
      <c r="N276" s="1" t="s">
        <v>39</v>
      </c>
      <c r="O276" s="1" t="s">
        <v>37</v>
      </c>
      <c r="P276" s="1" t="s">
        <v>37</v>
      </c>
      <c r="Q276" s="1" t="s">
        <v>37</v>
      </c>
      <c r="R276" s="1" t="s">
        <v>623</v>
      </c>
      <c r="S276" s="1" t="s">
        <v>624</v>
      </c>
      <c r="T276" s="1">
        <v>99999999999</v>
      </c>
      <c r="U276" s="1">
        <v>11111111111</v>
      </c>
      <c r="V276" s="1">
        <v>11111111111</v>
      </c>
      <c r="W276" s="1" t="s">
        <v>1176</v>
      </c>
      <c r="X276" s="1" t="s">
        <v>1177</v>
      </c>
      <c r="Y276" s="1" t="s">
        <v>84</v>
      </c>
      <c r="Z276" s="1" t="s">
        <v>1178</v>
      </c>
      <c r="AA276" s="1" t="s">
        <v>47</v>
      </c>
      <c r="AB276" s="1" t="s">
        <v>39</v>
      </c>
      <c r="AC276" s="1" t="s">
        <v>37</v>
      </c>
      <c r="AD276" s="1" t="s">
        <v>37</v>
      </c>
      <c r="AE276" s="1" t="s">
        <v>37</v>
      </c>
      <c r="AF276" s="1" t="s">
        <v>37</v>
      </c>
      <c r="AG276" s="1" t="s">
        <v>37</v>
      </c>
      <c r="AH276" s="1" t="s">
        <v>37</v>
      </c>
      <c r="AI276" s="1" t="s">
        <v>37</v>
      </c>
      <c r="AJ276" s="1" t="s">
        <v>39</v>
      </c>
      <c r="AK276" s="1" t="str">
        <f t="shared" si="9"/>
        <v>Fora de âmbito</v>
      </c>
      <c r="AL276" s="1" t="str">
        <f>+IF(IFERROR(VLOOKUP(A276,Ficheiros!I:I,1,FALSE),"")=A276,"Sim","Não")</f>
        <v>Sim</v>
      </c>
      <c r="AM276" s="1" t="str">
        <f>+IF(IFERROR(VLOOKUP(A276,Ficheiros!E:E,1,FALSE),"")=A276,"Sim","Não")</f>
        <v>Não</v>
      </c>
      <c r="AN276" s="1" t="str">
        <f>+IF(IFERROR(VLOOKUP(A276,Ficheiros!O:O,1,FALSE),"")=A276,"Sim","Não")</f>
        <v>Não</v>
      </c>
      <c r="AO276" s="1" t="str">
        <f>+IF(IFERROR(VLOOKUP(A276,'Especificação Novos Req. LT (2'!A:A,1,FALSE),"")=A276,"Sim","Não")</f>
        <v>Não</v>
      </c>
      <c r="AP276" s="1" t="str">
        <f>+IF(IFERROR(VLOOKUP(A276,Ficheiros!T:T,1,FALSE),"")=A276,"Sim","Não")</f>
        <v>Sim</v>
      </c>
      <c r="AQ276" s="1" t="e">
        <f>+VLOOKUP(A276,Ficheiros!O:P,2,FALSE)</f>
        <v>#N/A</v>
      </c>
      <c r="AR276" s="1" t="str">
        <f>+VLOOKUP(A276,Ficheiros!T:U,2,FALSE)</f>
        <v>7. Analisar controlos e completude</v>
      </c>
      <c r="AS276" s="1" t="str">
        <f>+VLOOKUP(A276,Ficheiros!T:V,3,FALSE)</f>
        <v>PM</v>
      </c>
      <c r="AT276" s="1"/>
      <c r="AU276" s="1"/>
      <c r="AV276" s="1"/>
      <c r="AW276" s="1"/>
      <c r="AX276" s="1"/>
    </row>
    <row r="277" spans="1:50" ht="14.5" hidden="1" customHeight="1" x14ac:dyDescent="0.35">
      <c r="A277" s="5" t="str">
        <f t="shared" si="8"/>
        <v>INSTRUMENTDPD_12M_FRBRNC_STTS</v>
      </c>
      <c r="B277" s="1" t="s">
        <v>1179</v>
      </c>
      <c r="C277" s="1" t="s">
        <v>785</v>
      </c>
      <c r="D277" s="1" t="s">
        <v>1145</v>
      </c>
      <c r="E277" s="1" t="s">
        <v>37</v>
      </c>
      <c r="F277" s="25" t="s">
        <v>1180</v>
      </c>
      <c r="G277" s="1" t="s">
        <v>1180</v>
      </c>
      <c r="H277" s="1" t="s">
        <v>37</v>
      </c>
      <c r="I277" s="1" t="s">
        <v>39</v>
      </c>
      <c r="J277" s="1" t="s">
        <v>39</v>
      </c>
      <c r="K277" s="1" t="s">
        <v>39</v>
      </c>
      <c r="L277" s="1" t="s">
        <v>39</v>
      </c>
      <c r="M277" s="1" t="s">
        <v>39</v>
      </c>
      <c r="N277" s="1" t="s">
        <v>39</v>
      </c>
      <c r="O277" s="1" t="s">
        <v>37</v>
      </c>
      <c r="P277" s="1" t="s">
        <v>37</v>
      </c>
      <c r="Q277" s="1" t="s">
        <v>37</v>
      </c>
      <c r="R277" s="1" t="s">
        <v>623</v>
      </c>
      <c r="S277" s="1" t="s">
        <v>624</v>
      </c>
      <c r="T277" s="1">
        <v>99999999999</v>
      </c>
      <c r="U277" s="1">
        <v>11111111111</v>
      </c>
      <c r="V277" s="1">
        <v>11111111111</v>
      </c>
      <c r="W277" s="1" t="s">
        <v>1181</v>
      </c>
      <c r="X277" s="1" t="s">
        <v>1182</v>
      </c>
      <c r="Y277" s="1" t="s">
        <v>84</v>
      </c>
      <c r="Z277" s="1" t="s">
        <v>1183</v>
      </c>
      <c r="AA277" s="1" t="s">
        <v>47</v>
      </c>
      <c r="AB277" s="1" t="s">
        <v>39</v>
      </c>
      <c r="AC277" s="1" t="s">
        <v>37</v>
      </c>
      <c r="AD277" s="1" t="s">
        <v>37</v>
      </c>
      <c r="AE277" s="1" t="s">
        <v>37</v>
      </c>
      <c r="AF277" s="1" t="s">
        <v>37</v>
      </c>
      <c r="AG277" s="1" t="s">
        <v>37</v>
      </c>
      <c r="AH277" s="1" t="s">
        <v>37</v>
      </c>
      <c r="AI277" s="1" t="s">
        <v>37</v>
      </c>
      <c r="AJ277" s="1" t="s">
        <v>39</v>
      </c>
      <c r="AK277" s="1" t="str">
        <f t="shared" si="9"/>
        <v>Fora de âmbito</v>
      </c>
      <c r="AL277" s="1" t="str">
        <f>+IF(IFERROR(VLOOKUP(A277,Ficheiros!I:I,1,FALSE),"")=A277,"Sim","Não")</f>
        <v>Sim</v>
      </c>
      <c r="AM277" s="1" t="str">
        <f>+IF(IFERROR(VLOOKUP(A277,Ficheiros!E:E,1,FALSE),"")=A277,"Sim","Não")</f>
        <v>Não</v>
      </c>
      <c r="AN277" s="1" t="str">
        <f>+IF(IFERROR(VLOOKUP(A277,Ficheiros!O:O,1,FALSE),"")=A277,"Sim","Não")</f>
        <v>Não</v>
      </c>
      <c r="AO277" s="1" t="str">
        <f>+IF(IFERROR(VLOOKUP(A277,'Especificação Novos Req. LT (2'!A:A,1,FALSE),"")=A277,"Sim","Não")</f>
        <v>Não</v>
      </c>
      <c r="AP277" s="1" t="str">
        <f>+IF(IFERROR(VLOOKUP(A277,Ficheiros!T:T,1,FALSE),"")=A277,"Sim","Não")</f>
        <v>Sim</v>
      </c>
      <c r="AQ277" s="1" t="e">
        <f>+VLOOKUP(A277,Ficheiros!O:P,2,FALSE)</f>
        <v>#N/A</v>
      </c>
      <c r="AR277" s="1" t="str">
        <f>+VLOOKUP(A277,Ficheiros!T:U,2,FALSE)</f>
        <v>5.1 Em testes - Re-especificação</v>
      </c>
      <c r="AS277" s="1" t="str">
        <f>+VLOOKUP(A277,Ficheiros!T:V,3,FALSE)</f>
        <v>PM</v>
      </c>
      <c r="AT277" s="1"/>
      <c r="AU277" s="1"/>
      <c r="AV277" s="1"/>
      <c r="AW277" s="1"/>
      <c r="AX277" s="1"/>
    </row>
    <row r="278" spans="1:50" ht="14.5" hidden="1" customHeight="1" x14ac:dyDescent="0.35">
      <c r="A278" s="5" t="str">
        <f t="shared" si="8"/>
        <v>INSTRUMENTDPD_12M_PRFRMNG_STTS</v>
      </c>
      <c r="B278" s="1" t="s">
        <v>1184</v>
      </c>
      <c r="C278" s="1" t="s">
        <v>785</v>
      </c>
      <c r="D278" s="1" t="s">
        <v>1145</v>
      </c>
      <c r="E278" s="1" t="s">
        <v>37</v>
      </c>
      <c r="F278" s="25" t="s">
        <v>1185</v>
      </c>
      <c r="G278" s="1" t="s">
        <v>1185</v>
      </c>
      <c r="H278" s="1" t="s">
        <v>37</v>
      </c>
      <c r="I278" s="1" t="s">
        <v>39</v>
      </c>
      <c r="J278" s="1" t="s">
        <v>39</v>
      </c>
      <c r="K278" s="1" t="s">
        <v>39</v>
      </c>
      <c r="L278" s="1" t="s">
        <v>39</v>
      </c>
      <c r="M278" s="1" t="s">
        <v>39</v>
      </c>
      <c r="N278" s="1" t="s">
        <v>39</v>
      </c>
      <c r="O278" s="1" t="s">
        <v>37</v>
      </c>
      <c r="P278" s="1" t="s">
        <v>37</v>
      </c>
      <c r="Q278" s="1" t="s">
        <v>37</v>
      </c>
      <c r="R278" s="1" t="s">
        <v>623</v>
      </c>
      <c r="S278" s="1" t="s">
        <v>624</v>
      </c>
      <c r="T278" s="1">
        <v>99999999999</v>
      </c>
      <c r="U278" s="1">
        <v>11111111111</v>
      </c>
      <c r="V278" s="1">
        <v>11111111111</v>
      </c>
      <c r="W278" s="1" t="s">
        <v>1186</v>
      </c>
      <c r="X278" s="1" t="s">
        <v>1187</v>
      </c>
      <c r="Y278" s="1" t="s">
        <v>84</v>
      </c>
      <c r="Z278" s="1" t="s">
        <v>1188</v>
      </c>
      <c r="AA278" s="1" t="s">
        <v>47</v>
      </c>
      <c r="AB278" s="1" t="s">
        <v>39</v>
      </c>
      <c r="AC278" s="1" t="s">
        <v>37</v>
      </c>
      <c r="AD278" s="1" t="s">
        <v>37</v>
      </c>
      <c r="AE278" s="1" t="s">
        <v>37</v>
      </c>
      <c r="AF278" s="1" t="s">
        <v>37</v>
      </c>
      <c r="AG278" s="1" t="s">
        <v>37</v>
      </c>
      <c r="AH278" s="1" t="s">
        <v>37</v>
      </c>
      <c r="AI278" s="1" t="s">
        <v>37</v>
      </c>
      <c r="AJ278" s="1" t="s">
        <v>39</v>
      </c>
      <c r="AK278" s="1" t="str">
        <f t="shared" si="9"/>
        <v>Fora de âmbito</v>
      </c>
      <c r="AL278" s="1" t="str">
        <f>+IF(IFERROR(VLOOKUP(A278,Ficheiros!I:I,1,FALSE),"")=A278,"Sim","Não")</f>
        <v>Sim</v>
      </c>
      <c r="AM278" s="1" t="str">
        <f>+IF(IFERROR(VLOOKUP(A278,Ficheiros!E:E,1,FALSE),"")=A278,"Sim","Não")</f>
        <v>Não</v>
      </c>
      <c r="AN278" s="1" t="str">
        <f>+IF(IFERROR(VLOOKUP(A278,Ficheiros!O:O,1,FALSE),"")=A278,"Sim","Não")</f>
        <v>Não</v>
      </c>
      <c r="AO278" s="1" t="str">
        <f>+IF(IFERROR(VLOOKUP(A278,'Especificação Novos Req. LT (2'!A:A,1,FALSE),"")=A278,"Sim","Não")</f>
        <v>Não</v>
      </c>
      <c r="AP278" s="1" t="str">
        <f>+IF(IFERROR(VLOOKUP(A278,Ficheiros!T:T,1,FALSE),"")=A278,"Sim","Não")</f>
        <v>Sim</v>
      </c>
      <c r="AQ278" s="1" t="e">
        <f>+VLOOKUP(A278,Ficheiros!O:P,2,FALSE)</f>
        <v>#N/A</v>
      </c>
      <c r="AR278" s="1" t="str">
        <f>+VLOOKUP(A278,Ficheiros!T:U,2,FALSE)</f>
        <v>5.1 Em testes - Re-especificação</v>
      </c>
      <c r="AS278" s="1" t="str">
        <f>+VLOOKUP(A278,Ficheiros!T:V,3,FALSE)</f>
        <v>PM</v>
      </c>
      <c r="AT278" s="1"/>
      <c r="AU278" s="1"/>
      <c r="AV278" s="1"/>
      <c r="AW278" s="1"/>
      <c r="AX278" s="1"/>
    </row>
    <row r="279" spans="1:50" ht="14.5" hidden="1" customHeight="1" x14ac:dyDescent="0.35">
      <c r="A279" s="5" t="str">
        <f t="shared" si="8"/>
        <v>INSTRUMENTDPD_24M_FRBRNC_STTS</v>
      </c>
      <c r="B279" s="1" t="s">
        <v>1189</v>
      </c>
      <c r="C279" s="1" t="s">
        <v>785</v>
      </c>
      <c r="D279" s="1" t="s">
        <v>1145</v>
      </c>
      <c r="E279" s="1" t="s">
        <v>37</v>
      </c>
      <c r="F279" s="25" t="s">
        <v>1190</v>
      </c>
      <c r="G279" s="1" t="s">
        <v>1190</v>
      </c>
      <c r="H279" s="1" t="s">
        <v>37</v>
      </c>
      <c r="I279" s="1" t="s">
        <v>39</v>
      </c>
      <c r="J279" s="1" t="s">
        <v>39</v>
      </c>
      <c r="K279" s="1" t="s">
        <v>39</v>
      </c>
      <c r="L279" s="1" t="s">
        <v>39</v>
      </c>
      <c r="M279" s="1" t="s">
        <v>39</v>
      </c>
      <c r="N279" s="1" t="s">
        <v>39</v>
      </c>
      <c r="O279" s="1" t="s">
        <v>37</v>
      </c>
      <c r="P279" s="1" t="s">
        <v>37</v>
      </c>
      <c r="Q279" s="1" t="s">
        <v>37</v>
      </c>
      <c r="R279" s="1" t="s">
        <v>623</v>
      </c>
      <c r="S279" s="1" t="s">
        <v>624</v>
      </c>
      <c r="T279" s="1">
        <v>99999999999</v>
      </c>
      <c r="U279" s="1">
        <v>11111111111</v>
      </c>
      <c r="V279" s="1">
        <v>11111111111</v>
      </c>
      <c r="W279" s="1" t="s">
        <v>1191</v>
      </c>
      <c r="X279" s="1" t="s">
        <v>1192</v>
      </c>
      <c r="Y279" s="1" t="s">
        <v>84</v>
      </c>
      <c r="Z279" s="1" t="s">
        <v>1193</v>
      </c>
      <c r="AA279" s="1" t="s">
        <v>47</v>
      </c>
      <c r="AB279" s="1" t="s">
        <v>39</v>
      </c>
      <c r="AC279" s="1" t="s">
        <v>37</v>
      </c>
      <c r="AD279" s="1" t="s">
        <v>37</v>
      </c>
      <c r="AE279" s="1" t="s">
        <v>37</v>
      </c>
      <c r="AF279" s="1" t="s">
        <v>37</v>
      </c>
      <c r="AG279" s="1" t="s">
        <v>37</v>
      </c>
      <c r="AH279" s="1" t="s">
        <v>37</v>
      </c>
      <c r="AI279" s="1" t="s">
        <v>37</v>
      </c>
      <c r="AJ279" s="1" t="s">
        <v>39</v>
      </c>
      <c r="AK279" s="1" t="str">
        <f t="shared" si="9"/>
        <v>Fora de âmbito</v>
      </c>
      <c r="AL279" s="1" t="str">
        <f>+IF(IFERROR(VLOOKUP(A279,Ficheiros!I:I,1,FALSE),"")=A279,"Sim","Não")</f>
        <v>Sim</v>
      </c>
      <c r="AM279" s="1" t="str">
        <f>+IF(IFERROR(VLOOKUP(A279,Ficheiros!E:E,1,FALSE),"")=A279,"Sim","Não")</f>
        <v>Não</v>
      </c>
      <c r="AN279" s="1" t="str">
        <f>+IF(IFERROR(VLOOKUP(A279,Ficheiros!O:O,1,FALSE),"")=A279,"Sim","Não")</f>
        <v>Não</v>
      </c>
      <c r="AO279" s="1" t="str">
        <f>+IF(IFERROR(VLOOKUP(A279,'Especificação Novos Req. LT (2'!A:A,1,FALSE),"")=A279,"Sim","Não")</f>
        <v>Não</v>
      </c>
      <c r="AP279" s="1" t="str">
        <f>+IF(IFERROR(VLOOKUP(A279,Ficheiros!T:T,1,FALSE),"")=A279,"Sim","Não")</f>
        <v>Sim</v>
      </c>
      <c r="AQ279" s="1" t="e">
        <f>+VLOOKUP(A279,Ficheiros!O:P,2,FALSE)</f>
        <v>#N/A</v>
      </c>
      <c r="AR279" s="1" t="str">
        <f>+VLOOKUP(A279,Ficheiros!T:U,2,FALSE)</f>
        <v>7. Analisar controlos e completude</v>
      </c>
      <c r="AS279" s="1" t="str">
        <f>+VLOOKUP(A279,Ficheiros!T:V,3,FALSE)</f>
        <v>PM</v>
      </c>
      <c r="AT279" s="1"/>
      <c r="AU279" s="1"/>
      <c r="AV279" s="1"/>
      <c r="AW279" s="1"/>
      <c r="AX279" s="1"/>
    </row>
    <row r="280" spans="1:50" ht="14.5" hidden="1" customHeight="1" x14ac:dyDescent="0.35">
      <c r="A280" s="5" t="str">
        <f t="shared" si="8"/>
        <v>INSTRUMENTDPD_24M_PRFRMNG_STTS</v>
      </c>
      <c r="B280" s="1" t="s">
        <v>1194</v>
      </c>
      <c r="C280" s="1" t="s">
        <v>785</v>
      </c>
      <c r="D280" s="1" t="s">
        <v>1145</v>
      </c>
      <c r="E280" s="1" t="s">
        <v>37</v>
      </c>
      <c r="F280" s="25" t="s">
        <v>1195</v>
      </c>
      <c r="G280" s="1" t="s">
        <v>1195</v>
      </c>
      <c r="H280" s="1" t="s">
        <v>37</v>
      </c>
      <c r="I280" s="1" t="s">
        <v>39</v>
      </c>
      <c r="J280" s="1" t="s">
        <v>39</v>
      </c>
      <c r="K280" s="1" t="s">
        <v>39</v>
      </c>
      <c r="L280" s="1" t="s">
        <v>39</v>
      </c>
      <c r="M280" s="1" t="s">
        <v>39</v>
      </c>
      <c r="N280" s="1" t="s">
        <v>39</v>
      </c>
      <c r="O280" s="1" t="s">
        <v>37</v>
      </c>
      <c r="P280" s="1" t="s">
        <v>37</v>
      </c>
      <c r="Q280" s="1" t="s">
        <v>37</v>
      </c>
      <c r="R280" s="1" t="s">
        <v>623</v>
      </c>
      <c r="S280" s="1" t="s">
        <v>624</v>
      </c>
      <c r="T280" s="1">
        <v>99999999999</v>
      </c>
      <c r="U280" s="1">
        <v>11111111111</v>
      </c>
      <c r="V280" s="1">
        <v>11111111111</v>
      </c>
      <c r="W280" s="1" t="s">
        <v>1196</v>
      </c>
      <c r="X280" s="1" t="s">
        <v>1197</v>
      </c>
      <c r="Y280" s="1" t="s">
        <v>84</v>
      </c>
      <c r="Z280" s="1" t="s">
        <v>1198</v>
      </c>
      <c r="AA280" s="1" t="s">
        <v>47</v>
      </c>
      <c r="AB280" s="1" t="s">
        <v>39</v>
      </c>
      <c r="AC280" s="1" t="s">
        <v>37</v>
      </c>
      <c r="AD280" s="1" t="s">
        <v>37</v>
      </c>
      <c r="AE280" s="1" t="s">
        <v>37</v>
      </c>
      <c r="AF280" s="1" t="s">
        <v>37</v>
      </c>
      <c r="AG280" s="1" t="s">
        <v>37</v>
      </c>
      <c r="AH280" s="1" t="s">
        <v>37</v>
      </c>
      <c r="AI280" s="1" t="s">
        <v>37</v>
      </c>
      <c r="AJ280" s="1" t="s">
        <v>39</v>
      </c>
      <c r="AK280" s="1" t="str">
        <f t="shared" si="9"/>
        <v>Fora de âmbito</v>
      </c>
      <c r="AL280" s="1" t="str">
        <f>+IF(IFERROR(VLOOKUP(A280,Ficheiros!I:I,1,FALSE),"")=A280,"Sim","Não")</f>
        <v>Sim</v>
      </c>
      <c r="AM280" s="1" t="str">
        <f>+IF(IFERROR(VLOOKUP(A280,Ficheiros!E:E,1,FALSE),"")=A280,"Sim","Não")</f>
        <v>Não</v>
      </c>
      <c r="AN280" s="1" t="str">
        <f>+IF(IFERROR(VLOOKUP(A280,Ficheiros!O:O,1,FALSE),"")=A280,"Sim","Não")</f>
        <v>Não</v>
      </c>
      <c r="AO280" s="1" t="str">
        <f>+IF(IFERROR(VLOOKUP(A280,'Especificação Novos Req. LT (2'!A:A,1,FALSE),"")=A280,"Sim","Não")</f>
        <v>Não</v>
      </c>
      <c r="AP280" s="1" t="str">
        <f>+IF(IFERROR(VLOOKUP(A280,Ficheiros!T:T,1,FALSE),"")=A280,"Sim","Não")</f>
        <v>Sim</v>
      </c>
      <c r="AQ280" s="1" t="e">
        <f>+VLOOKUP(A280,Ficheiros!O:P,2,FALSE)</f>
        <v>#N/A</v>
      </c>
      <c r="AR280" s="1" t="str">
        <f>+VLOOKUP(A280,Ficheiros!T:U,2,FALSE)</f>
        <v>5.1 Em testes - Re-especificação</v>
      </c>
      <c r="AS280" s="1" t="str">
        <f>+VLOOKUP(A280,Ficheiros!T:V,3,FALSE)</f>
        <v>PM</v>
      </c>
      <c r="AT280" s="1"/>
      <c r="AU280" s="1"/>
      <c r="AV280" s="1"/>
      <c r="AW280" s="1"/>
      <c r="AX280" s="1"/>
    </row>
    <row r="281" spans="1:50" ht="14.5" hidden="1" customHeight="1" x14ac:dyDescent="0.35">
      <c r="A281" s="5" t="str">
        <f t="shared" si="8"/>
        <v>INSTRUMENTDPD_FRBRNC_STTS</v>
      </c>
      <c r="B281" s="1" t="s">
        <v>1199</v>
      </c>
      <c r="C281" s="1" t="s">
        <v>785</v>
      </c>
      <c r="D281" s="1" t="s">
        <v>1145</v>
      </c>
      <c r="E281" s="1" t="s">
        <v>37</v>
      </c>
      <c r="F281" s="25" t="s">
        <v>1200</v>
      </c>
      <c r="G281" s="1" t="s">
        <v>1200</v>
      </c>
      <c r="H281" s="1" t="s">
        <v>37</v>
      </c>
      <c r="I281" s="1" t="s">
        <v>39</v>
      </c>
      <c r="J281" s="1" t="s">
        <v>39</v>
      </c>
      <c r="K281" s="1" t="s">
        <v>39</v>
      </c>
      <c r="L281" s="1" t="s">
        <v>39</v>
      </c>
      <c r="M281" s="1" t="s">
        <v>39</v>
      </c>
      <c r="N281" s="1" t="s">
        <v>39</v>
      </c>
      <c r="O281" s="1" t="s">
        <v>37</v>
      </c>
      <c r="P281" s="1" t="s">
        <v>37</v>
      </c>
      <c r="Q281" s="1" t="s">
        <v>37</v>
      </c>
      <c r="R281" s="1" t="s">
        <v>623</v>
      </c>
      <c r="S281" s="1" t="s">
        <v>624</v>
      </c>
      <c r="T281" s="1">
        <v>99999999999</v>
      </c>
      <c r="U281" s="1">
        <v>11111111111</v>
      </c>
      <c r="V281" s="1">
        <v>11111111111</v>
      </c>
      <c r="W281" s="1" t="s">
        <v>1201</v>
      </c>
      <c r="X281" s="1" t="s">
        <v>1202</v>
      </c>
      <c r="Y281" s="1" t="s">
        <v>84</v>
      </c>
      <c r="Z281" s="1" t="s">
        <v>1203</v>
      </c>
      <c r="AA281" s="1" t="s">
        <v>47</v>
      </c>
      <c r="AB281" s="1" t="s">
        <v>39</v>
      </c>
      <c r="AC281" s="1" t="s">
        <v>37</v>
      </c>
      <c r="AD281" s="1" t="s">
        <v>37</v>
      </c>
      <c r="AE281" s="1" t="s">
        <v>37</v>
      </c>
      <c r="AF281" s="1" t="s">
        <v>37</v>
      </c>
      <c r="AG281" s="1" t="s">
        <v>37</v>
      </c>
      <c r="AH281" s="1" t="s">
        <v>37</v>
      </c>
      <c r="AI281" s="1" t="s">
        <v>37</v>
      </c>
      <c r="AJ281" s="1" t="s">
        <v>39</v>
      </c>
      <c r="AK281" s="1" t="str">
        <f t="shared" si="9"/>
        <v>Fora de âmbito</v>
      </c>
      <c r="AL281" s="1" t="str">
        <f>+IF(IFERROR(VLOOKUP(A281,Ficheiros!I:I,1,FALSE),"")=A281,"Sim","Não")</f>
        <v>Sim</v>
      </c>
      <c r="AM281" s="1" t="str">
        <f>+IF(IFERROR(VLOOKUP(A281,Ficheiros!E:E,1,FALSE),"")=A281,"Sim","Não")</f>
        <v>Não</v>
      </c>
      <c r="AN281" s="1" t="str">
        <f>+IF(IFERROR(VLOOKUP(A281,Ficheiros!O:O,1,FALSE),"")=A281,"Sim","Não")</f>
        <v>Não</v>
      </c>
      <c r="AO281" s="1" t="str">
        <f>+IF(IFERROR(VLOOKUP(A281,'Especificação Novos Req. LT (2'!A:A,1,FALSE),"")=A281,"Sim","Não")</f>
        <v>Não</v>
      </c>
      <c r="AP281" s="1" t="str">
        <f>+IF(IFERROR(VLOOKUP(A281,Ficheiros!T:T,1,FALSE),"")=A281,"Sim","Não")</f>
        <v>Sim</v>
      </c>
      <c r="AQ281" s="1" t="e">
        <f>+VLOOKUP(A281,Ficheiros!O:P,2,FALSE)</f>
        <v>#N/A</v>
      </c>
      <c r="AR281" s="1" t="str">
        <f>+VLOOKUP(A281,Ficheiros!T:U,2,FALSE)</f>
        <v>7. Analisar controlos e completude</v>
      </c>
      <c r="AS281" s="1" t="str">
        <f>+VLOOKUP(A281,Ficheiros!T:V,3,FALSE)</f>
        <v>PM</v>
      </c>
      <c r="AT281" s="1"/>
      <c r="AU281" s="1"/>
      <c r="AV281" s="1"/>
      <c r="AW281" s="1"/>
      <c r="AX281" s="1"/>
    </row>
    <row r="282" spans="1:50" ht="14.5" hidden="1" customHeight="1" x14ac:dyDescent="0.35">
      <c r="A282" s="5" t="str">
        <f t="shared" si="8"/>
        <v>INSTRUMENTDPD_PRFRMNG_STTS</v>
      </c>
      <c r="B282" s="1" t="s">
        <v>1204</v>
      </c>
      <c r="C282" s="1" t="s">
        <v>785</v>
      </c>
      <c r="D282" s="1" t="s">
        <v>1145</v>
      </c>
      <c r="E282" s="1" t="s">
        <v>37</v>
      </c>
      <c r="F282" s="25" t="s">
        <v>1205</v>
      </c>
      <c r="G282" s="1" t="s">
        <v>1205</v>
      </c>
      <c r="H282" s="1" t="s">
        <v>37</v>
      </c>
      <c r="I282" s="1" t="s">
        <v>39</v>
      </c>
      <c r="J282" s="1" t="s">
        <v>39</v>
      </c>
      <c r="K282" s="1" t="s">
        <v>39</v>
      </c>
      <c r="L282" s="1" t="s">
        <v>39</v>
      </c>
      <c r="M282" s="1" t="s">
        <v>39</v>
      </c>
      <c r="N282" s="1" t="s">
        <v>39</v>
      </c>
      <c r="O282" s="1" t="s">
        <v>37</v>
      </c>
      <c r="P282" s="1" t="s">
        <v>37</v>
      </c>
      <c r="Q282" s="1" t="s">
        <v>37</v>
      </c>
      <c r="R282" s="1" t="s">
        <v>623</v>
      </c>
      <c r="S282" s="1" t="s">
        <v>624</v>
      </c>
      <c r="T282" s="1">
        <v>99999999999</v>
      </c>
      <c r="U282" s="1">
        <v>11111111111</v>
      </c>
      <c r="V282" s="1">
        <v>11111111111</v>
      </c>
      <c r="W282" s="1" t="s">
        <v>1206</v>
      </c>
      <c r="X282" s="1" t="s">
        <v>1207</v>
      </c>
      <c r="Y282" s="1" t="s">
        <v>84</v>
      </c>
      <c r="Z282" s="1" t="s">
        <v>1208</v>
      </c>
      <c r="AA282" s="1" t="s">
        <v>47</v>
      </c>
      <c r="AB282" s="1" t="s">
        <v>39</v>
      </c>
      <c r="AC282" s="1" t="s">
        <v>37</v>
      </c>
      <c r="AD282" s="1" t="s">
        <v>37</v>
      </c>
      <c r="AE282" s="1" t="s">
        <v>37</v>
      </c>
      <c r="AF282" s="1" t="s">
        <v>37</v>
      </c>
      <c r="AG282" s="1" t="s">
        <v>37</v>
      </c>
      <c r="AH282" s="1" t="s">
        <v>37</v>
      </c>
      <c r="AI282" s="1" t="s">
        <v>37</v>
      </c>
      <c r="AJ282" s="1" t="s">
        <v>39</v>
      </c>
      <c r="AK282" s="1" t="str">
        <f t="shared" si="9"/>
        <v>Fora de âmbito</v>
      </c>
      <c r="AL282" s="1" t="str">
        <f>+IF(IFERROR(VLOOKUP(A282,Ficheiros!I:I,1,FALSE),"")=A282,"Sim","Não")</f>
        <v>Sim</v>
      </c>
      <c r="AM282" s="1" t="str">
        <f>+IF(IFERROR(VLOOKUP(A282,Ficheiros!E:E,1,FALSE),"")=A282,"Sim","Não")</f>
        <v>Não</v>
      </c>
      <c r="AN282" s="1" t="str">
        <f>+IF(IFERROR(VLOOKUP(A282,Ficheiros!O:O,1,FALSE),"")=A282,"Sim","Não")</f>
        <v>Não</v>
      </c>
      <c r="AO282" s="1" t="str">
        <f>+IF(IFERROR(VLOOKUP(A282,'Especificação Novos Req. LT (2'!A:A,1,FALSE),"")=A282,"Sim","Não")</f>
        <v>Não</v>
      </c>
      <c r="AP282" s="1" t="str">
        <f>+IF(IFERROR(VLOOKUP(A282,Ficheiros!T:T,1,FALSE),"")=A282,"Sim","Não")</f>
        <v>Sim</v>
      </c>
      <c r="AQ282" s="1" t="e">
        <f>+VLOOKUP(A282,Ficheiros!O:P,2,FALSE)</f>
        <v>#N/A</v>
      </c>
      <c r="AR282" s="1" t="str">
        <f>+VLOOKUP(A282,Ficheiros!T:U,2,FALSE)</f>
        <v>5.1 Em testes - Re-especificação</v>
      </c>
      <c r="AS282" s="1" t="str">
        <f>+VLOOKUP(A282,Ficheiros!T:V,3,FALSE)</f>
        <v>PM</v>
      </c>
      <c r="AT282" s="1"/>
      <c r="AU282" s="1"/>
      <c r="AV282" s="1"/>
      <c r="AW282" s="1"/>
      <c r="AX282" s="1"/>
    </row>
    <row r="283" spans="1:50" ht="14.5" hidden="1" customHeight="1" x14ac:dyDescent="0.35">
      <c r="A283" s="5" t="str">
        <f t="shared" si="8"/>
        <v>INSTRUMENTDT_IMPRMNT_STTS</v>
      </c>
      <c r="B283" s="1" t="s">
        <v>1209</v>
      </c>
      <c r="C283" s="1" t="s">
        <v>785</v>
      </c>
      <c r="D283" s="1" t="s">
        <v>1145</v>
      </c>
      <c r="E283" s="1" t="s">
        <v>39</v>
      </c>
      <c r="F283" s="25" t="s">
        <v>1210</v>
      </c>
      <c r="G283" s="1" t="s">
        <v>1210</v>
      </c>
      <c r="H283" s="1" t="s">
        <v>39</v>
      </c>
      <c r="I283" s="1" t="s">
        <v>39</v>
      </c>
      <c r="J283" s="1" t="s">
        <v>39</v>
      </c>
      <c r="K283" s="1" t="s">
        <v>39</v>
      </c>
      <c r="L283" s="1" t="s">
        <v>39</v>
      </c>
      <c r="M283" s="1" t="s">
        <v>39</v>
      </c>
      <c r="N283" s="1" t="s">
        <v>39</v>
      </c>
      <c r="O283" s="1" t="s">
        <v>39</v>
      </c>
      <c r="P283" s="1" t="s">
        <v>37</v>
      </c>
      <c r="Q283" s="1" t="s">
        <v>37</v>
      </c>
      <c r="R283" s="1" t="s">
        <v>60</v>
      </c>
      <c r="S283" s="1" t="s">
        <v>61</v>
      </c>
      <c r="T283" s="1" t="s">
        <v>62</v>
      </c>
      <c r="U283" s="1" t="s">
        <v>63</v>
      </c>
      <c r="V283" s="1" t="s">
        <v>63</v>
      </c>
      <c r="W283" s="1" t="s">
        <v>1211</v>
      </c>
      <c r="X283" s="1" t="s">
        <v>1212</v>
      </c>
      <c r="Y283" s="1" t="s">
        <v>45</v>
      </c>
      <c r="Z283" s="1" t="s">
        <v>46</v>
      </c>
      <c r="AA283" s="1" t="s">
        <v>47</v>
      </c>
      <c r="AB283" s="1" t="s">
        <v>39</v>
      </c>
      <c r="AC283" s="1" t="s">
        <v>37</v>
      </c>
      <c r="AD283" s="1" t="s">
        <v>37</v>
      </c>
      <c r="AE283" s="1" t="s">
        <v>37</v>
      </c>
      <c r="AF283" s="1" t="s">
        <v>37</v>
      </c>
      <c r="AG283" s="1" t="s">
        <v>39</v>
      </c>
      <c r="AH283" s="1" t="s">
        <v>37</v>
      </c>
      <c r="AI283" s="1" t="s">
        <v>37</v>
      </c>
      <c r="AJ283" s="1" t="s">
        <v>39</v>
      </c>
      <c r="AK283" s="1" t="str">
        <f t="shared" si="9"/>
        <v>Fora de âmbito</v>
      </c>
      <c r="AL283" s="1" t="str">
        <f>+IF(IFERROR(VLOOKUP(A283,Ficheiros!I:I,1,FALSE),"")=A283,"Sim","Não")</f>
        <v>Sim</v>
      </c>
      <c r="AM283" s="1" t="str">
        <f>+IF(IFERROR(VLOOKUP(A283,Ficheiros!E:E,1,FALSE),"")=A283,"Sim","Não")</f>
        <v>Não</v>
      </c>
      <c r="AN283" s="1" t="str">
        <f>+IF(IFERROR(VLOOKUP(A283,Ficheiros!O:O,1,FALSE),"")=A283,"Sim","Não")</f>
        <v>Não</v>
      </c>
      <c r="AO283" s="1" t="str">
        <f>+IF(IFERROR(VLOOKUP(A283,'Especificação Novos Req. LT (2'!A:A,1,FALSE),"")=A283,"Sim","Não")</f>
        <v>Não</v>
      </c>
      <c r="AP283" s="1" t="str">
        <f>+IF(IFERROR(VLOOKUP(A283,Ficheiros!T:T,1,FALSE),"")=A283,"Sim","Não")</f>
        <v>Sim</v>
      </c>
      <c r="AQ283" s="1" t="e">
        <f>+VLOOKUP(A283,Ficheiros!O:P,2,FALSE)</f>
        <v>#N/A</v>
      </c>
      <c r="AR283" s="1" t="str">
        <f>+VLOOKUP(A283,Ficheiros!T:U,2,FALSE)</f>
        <v>5.1 Em testes - Re-especificação</v>
      </c>
      <c r="AS283" s="1" t="str">
        <f>+VLOOKUP(A283,Ficheiros!T:V,3,FALSE)</f>
        <v>PM</v>
      </c>
      <c r="AT283" s="1"/>
      <c r="AU283" s="1"/>
      <c r="AV283" s="1"/>
      <c r="AW283" s="1"/>
      <c r="AX283" s="1"/>
    </row>
    <row r="284" spans="1:50" ht="14.5" hidden="1" customHeight="1" x14ac:dyDescent="0.35">
      <c r="A284" s="5" t="str">
        <f t="shared" si="8"/>
        <v>INSTRUMENTDT_IMPRMNT_STTS_PRVS</v>
      </c>
      <c r="B284" s="1" t="s">
        <v>1213</v>
      </c>
      <c r="C284" s="1" t="s">
        <v>785</v>
      </c>
      <c r="D284" s="1" t="s">
        <v>1145</v>
      </c>
      <c r="E284" s="1" t="s">
        <v>37</v>
      </c>
      <c r="F284" s="25" t="s">
        <v>1214</v>
      </c>
      <c r="G284" s="1" t="s">
        <v>1214</v>
      </c>
      <c r="H284" s="1" t="s">
        <v>39</v>
      </c>
      <c r="I284" s="1" t="s">
        <v>39</v>
      </c>
      <c r="J284" s="1" t="s">
        <v>39</v>
      </c>
      <c r="K284" s="1" t="s">
        <v>39</v>
      </c>
      <c r="L284" s="1" t="s">
        <v>39</v>
      </c>
      <c r="M284" s="1" t="s">
        <v>39</v>
      </c>
      <c r="N284" s="1" t="s">
        <v>39</v>
      </c>
      <c r="O284" s="1" t="s">
        <v>39</v>
      </c>
      <c r="P284" s="1" t="s">
        <v>37</v>
      </c>
      <c r="Q284" s="1" t="s">
        <v>37</v>
      </c>
      <c r="R284" s="1" t="s">
        <v>60</v>
      </c>
      <c r="S284" s="1" t="s">
        <v>61</v>
      </c>
      <c r="T284" s="1" t="s">
        <v>62</v>
      </c>
      <c r="U284" s="1" t="s">
        <v>63</v>
      </c>
      <c r="V284" s="1" t="s">
        <v>63</v>
      </c>
      <c r="W284" s="1" t="s">
        <v>1215</v>
      </c>
      <c r="X284" s="1" t="s">
        <v>1216</v>
      </c>
      <c r="Y284" s="1" t="s">
        <v>84</v>
      </c>
      <c r="Z284" s="1" t="s">
        <v>1217</v>
      </c>
      <c r="AA284" s="1" t="s">
        <v>47</v>
      </c>
      <c r="AB284" s="1" t="s">
        <v>39</v>
      </c>
      <c r="AC284" s="1" t="s">
        <v>37</v>
      </c>
      <c r="AD284" s="1" t="s">
        <v>37</v>
      </c>
      <c r="AE284" s="1" t="s">
        <v>37</v>
      </c>
      <c r="AF284" s="1" t="s">
        <v>37</v>
      </c>
      <c r="AG284" s="1" t="s">
        <v>37</v>
      </c>
      <c r="AH284" s="1" t="s">
        <v>37</v>
      </c>
      <c r="AI284" s="1" t="s">
        <v>37</v>
      </c>
      <c r="AJ284" s="1" t="s">
        <v>39</v>
      </c>
      <c r="AK284" s="1" t="str">
        <f t="shared" si="9"/>
        <v>Fora de âmbito</v>
      </c>
      <c r="AL284" s="1" t="str">
        <f>+IF(IFERROR(VLOOKUP(A284,Ficheiros!I:I,1,FALSE),"")=A284,"Sim","Não")</f>
        <v>Sim</v>
      </c>
      <c r="AM284" s="1" t="str">
        <f>+IF(IFERROR(VLOOKUP(A284,Ficheiros!E:E,1,FALSE),"")=A284,"Sim","Não")</f>
        <v>Não</v>
      </c>
      <c r="AN284" s="1" t="str">
        <f>+IF(IFERROR(VLOOKUP(A284,Ficheiros!O:O,1,FALSE),"")=A284,"Sim","Não")</f>
        <v>Não</v>
      </c>
      <c r="AO284" s="1" t="str">
        <f>+IF(IFERROR(VLOOKUP(A284,'Especificação Novos Req. LT (2'!A:A,1,FALSE),"")=A284,"Sim","Não")</f>
        <v>Não</v>
      </c>
      <c r="AP284" s="1" t="str">
        <f>+IF(IFERROR(VLOOKUP(A284,Ficheiros!T:T,1,FALSE),"")=A284,"Sim","Não")</f>
        <v>Sim</v>
      </c>
      <c r="AQ284" s="1" t="e">
        <f>+VLOOKUP(A284,Ficheiros!O:P,2,FALSE)</f>
        <v>#N/A</v>
      </c>
      <c r="AR284" s="1" t="str">
        <f>+VLOOKUP(A284,Ficheiros!T:U,2,FALSE)</f>
        <v>5.1 Em testes - Re-especificação</v>
      </c>
      <c r="AS284" s="1" t="str">
        <f>+VLOOKUP(A284,Ficheiros!T:V,3,FALSE)</f>
        <v>PM</v>
      </c>
      <c r="AT284" s="1"/>
      <c r="AU284" s="1"/>
      <c r="AV284" s="1"/>
      <c r="AW284" s="1"/>
      <c r="AX284" s="1"/>
    </row>
    <row r="285" spans="1:50" ht="14.5" hidden="1" customHeight="1" x14ac:dyDescent="0.35">
      <c r="A285" s="5" t="str">
        <f t="shared" si="8"/>
        <v>INSTRUMENTDT_PST_D</v>
      </c>
      <c r="B285" s="1" t="s">
        <v>1218</v>
      </c>
      <c r="C285" s="1" t="s">
        <v>785</v>
      </c>
      <c r="D285" s="1" t="s">
        <v>1145</v>
      </c>
      <c r="E285" s="1" t="s">
        <v>39</v>
      </c>
      <c r="F285" s="25" t="s">
        <v>1219</v>
      </c>
      <c r="G285" s="1" t="s">
        <v>1219</v>
      </c>
      <c r="H285" s="1" t="s">
        <v>37</v>
      </c>
      <c r="I285" s="1" t="s">
        <v>39</v>
      </c>
      <c r="J285" s="1" t="s">
        <v>39</v>
      </c>
      <c r="K285" s="1" t="s">
        <v>39</v>
      </c>
      <c r="L285" s="1" t="s">
        <v>39</v>
      </c>
      <c r="M285" s="1" t="s">
        <v>39</v>
      </c>
      <c r="N285" s="1" t="s">
        <v>39</v>
      </c>
      <c r="O285" s="1" t="s">
        <v>37</v>
      </c>
      <c r="P285" s="1" t="s">
        <v>37</v>
      </c>
      <c r="Q285" s="1" t="s">
        <v>37</v>
      </c>
      <c r="R285" s="1" t="s">
        <v>60</v>
      </c>
      <c r="S285" s="1" t="s">
        <v>61</v>
      </c>
      <c r="T285" s="1" t="s">
        <v>62</v>
      </c>
      <c r="U285" s="1" t="s">
        <v>63</v>
      </c>
      <c r="V285" s="1" t="s">
        <v>63</v>
      </c>
      <c r="W285" s="1" t="s">
        <v>1220</v>
      </c>
      <c r="X285" s="1" t="s">
        <v>1221</v>
      </c>
      <c r="Y285" s="1" t="s">
        <v>84</v>
      </c>
      <c r="Z285" s="1" t="s">
        <v>1222</v>
      </c>
      <c r="AA285" s="1" t="s">
        <v>47</v>
      </c>
      <c r="AB285" s="1" t="s">
        <v>39</v>
      </c>
      <c r="AC285" s="1" t="s">
        <v>37</v>
      </c>
      <c r="AD285" s="1" t="s">
        <v>37</v>
      </c>
      <c r="AE285" s="1" t="s">
        <v>37</v>
      </c>
      <c r="AF285" s="1" t="s">
        <v>37</v>
      </c>
      <c r="AG285" s="1" t="s">
        <v>39</v>
      </c>
      <c r="AH285" s="1" t="s">
        <v>37</v>
      </c>
      <c r="AI285" s="1" t="s">
        <v>37</v>
      </c>
      <c r="AJ285" s="1" t="s">
        <v>39</v>
      </c>
      <c r="AK285" s="1" t="str">
        <f t="shared" si="9"/>
        <v>Fora de âmbito</v>
      </c>
      <c r="AL285" s="1" t="str">
        <f>+IF(IFERROR(VLOOKUP(A285,Ficheiros!I:I,1,FALSE),"")=A285,"Sim","Não")</f>
        <v>Sim</v>
      </c>
      <c r="AM285" s="1" t="str">
        <f>+IF(IFERROR(VLOOKUP(A285,Ficheiros!E:E,1,FALSE),"")=A285,"Sim","Não")</f>
        <v>Não</v>
      </c>
      <c r="AN285" s="1" t="str">
        <f>+IF(IFERROR(VLOOKUP(A285,Ficheiros!O:O,1,FALSE),"")=A285,"Sim","Não")</f>
        <v>Não</v>
      </c>
      <c r="AO285" s="1" t="str">
        <f>+IF(IFERROR(VLOOKUP(A285,'Especificação Novos Req. LT (2'!A:A,1,FALSE),"")=A285,"Sim","Não")</f>
        <v>Não</v>
      </c>
      <c r="AP285" s="1" t="str">
        <f>+IF(IFERROR(VLOOKUP(A285,Ficheiros!T:T,1,FALSE),"")=A285,"Sim","Não")</f>
        <v>Sim</v>
      </c>
      <c r="AQ285" s="1" t="e">
        <f>+VLOOKUP(A285,Ficheiros!O:P,2,FALSE)</f>
        <v>#N/A</v>
      </c>
      <c r="AR285" s="1" t="str">
        <f>+VLOOKUP(A285,Ficheiros!T:U,2,FALSE)</f>
        <v>7. Analisar controlos e completude</v>
      </c>
      <c r="AS285" s="1" t="str">
        <f>+VLOOKUP(A285,Ficheiros!T:V,3,FALSE)</f>
        <v>LF</v>
      </c>
      <c r="AT285" s="1"/>
      <c r="AU285" s="1"/>
      <c r="AV285" s="1"/>
      <c r="AW285" s="1"/>
      <c r="AX285" s="1"/>
    </row>
    <row r="286" spans="1:50" ht="14.5" hidden="1" customHeight="1" x14ac:dyDescent="0.35">
      <c r="A286" s="5" t="str">
        <f t="shared" si="8"/>
        <v>INSTRUMENTIMPRMNT_ASSSSMNT_MTHD</v>
      </c>
      <c r="B286" s="1" t="s">
        <v>1223</v>
      </c>
      <c r="C286" s="1" t="s">
        <v>785</v>
      </c>
      <c r="D286" s="1" t="s">
        <v>1145</v>
      </c>
      <c r="E286" s="1" t="s">
        <v>39</v>
      </c>
      <c r="F286" s="25" t="s">
        <v>1224</v>
      </c>
      <c r="G286" s="1" t="s">
        <v>1224</v>
      </c>
      <c r="H286" s="1" t="s">
        <v>39</v>
      </c>
      <c r="I286" s="1" t="s">
        <v>39</v>
      </c>
      <c r="J286" s="1" t="s">
        <v>39</v>
      </c>
      <c r="K286" s="1" t="s">
        <v>39</v>
      </c>
      <c r="L286" s="1" t="s">
        <v>39</v>
      </c>
      <c r="M286" s="1" t="s">
        <v>39</v>
      </c>
      <c r="N286" s="1" t="s">
        <v>39</v>
      </c>
      <c r="O286" s="1" t="s">
        <v>39</v>
      </c>
      <c r="P286" s="1" t="s">
        <v>37</v>
      </c>
      <c r="Q286" s="1" t="s">
        <v>37</v>
      </c>
      <c r="R286" s="1" t="s">
        <v>136</v>
      </c>
      <c r="S286" s="1" t="s">
        <v>52</v>
      </c>
      <c r="T286" s="1">
        <v>99999999999</v>
      </c>
      <c r="U286" s="1">
        <v>11111111111</v>
      </c>
      <c r="V286" s="1">
        <v>11111111111</v>
      </c>
      <c r="W286" s="1" t="s">
        <v>1225</v>
      </c>
      <c r="X286" s="1" t="s">
        <v>1226</v>
      </c>
      <c r="Y286" s="1" t="s">
        <v>56</v>
      </c>
      <c r="Z286" s="1" t="s">
        <v>57</v>
      </c>
      <c r="AA286" s="1" t="s">
        <v>47</v>
      </c>
      <c r="AB286" s="1" t="s">
        <v>39</v>
      </c>
      <c r="AC286" s="1" t="s">
        <v>37</v>
      </c>
      <c r="AD286" s="1" t="s">
        <v>37</v>
      </c>
      <c r="AE286" s="1" t="s">
        <v>37</v>
      </c>
      <c r="AF286" s="1" t="s">
        <v>37</v>
      </c>
      <c r="AG286" s="1" t="s">
        <v>39</v>
      </c>
      <c r="AH286" s="1" t="s">
        <v>37</v>
      </c>
      <c r="AI286" s="1" t="s">
        <v>37</v>
      </c>
      <c r="AJ286" s="1" t="s">
        <v>39</v>
      </c>
      <c r="AK286" s="1" t="str">
        <f t="shared" si="9"/>
        <v>Fora de âmbito</v>
      </c>
      <c r="AL286" s="1" t="str">
        <f>+IF(IFERROR(VLOOKUP(A286,Ficheiros!I:I,1,FALSE),"")=A286,"Sim","Não")</f>
        <v>Sim</v>
      </c>
      <c r="AM286" s="1" t="str">
        <f>+IF(IFERROR(VLOOKUP(A286,Ficheiros!E:E,1,FALSE),"")=A286,"Sim","Não")</f>
        <v>Não</v>
      </c>
      <c r="AN286" s="1" t="str">
        <f>+IF(IFERROR(VLOOKUP(A286,Ficheiros!O:O,1,FALSE),"")=A286,"Sim","Não")</f>
        <v>Não</v>
      </c>
      <c r="AO286" s="1" t="str">
        <f>+IF(IFERROR(VLOOKUP(A286,'Especificação Novos Req. LT (2'!A:A,1,FALSE),"")=A286,"Sim","Não")</f>
        <v>Não</v>
      </c>
      <c r="AP286" s="1" t="str">
        <f>+IF(IFERROR(VLOOKUP(A286,Ficheiros!T:T,1,FALSE),"")=A286,"Sim","Não")</f>
        <v>Sim</v>
      </c>
      <c r="AQ286" s="1" t="e">
        <f>+VLOOKUP(A286,Ficheiros!O:P,2,FALSE)</f>
        <v>#N/A</v>
      </c>
      <c r="AR286" s="1" t="str">
        <f>+VLOOKUP(A286,Ficheiros!T:U,2,FALSE)</f>
        <v>9. Concluído</v>
      </c>
      <c r="AS286" s="1" t="str">
        <f>+VLOOKUP(A286,Ficheiros!T:V,3,FALSE)</f>
        <v>PM</v>
      </c>
      <c r="AT286" s="1"/>
      <c r="AU286" s="1"/>
      <c r="AV286" s="1"/>
      <c r="AW286" s="1"/>
      <c r="AX286" s="1"/>
    </row>
    <row r="287" spans="1:50" ht="14.5" hidden="1" customHeight="1" x14ac:dyDescent="0.35">
      <c r="A287" s="5" t="str">
        <f t="shared" si="8"/>
        <v>INSTRUMENTIMPRMNT_CLCLTN_MTHD</v>
      </c>
      <c r="B287" s="1" t="s">
        <v>1227</v>
      </c>
      <c r="C287" s="1" t="s">
        <v>785</v>
      </c>
      <c r="D287" s="1" t="s">
        <v>1145</v>
      </c>
      <c r="E287" s="1" t="s">
        <v>37</v>
      </c>
      <c r="F287" s="25" t="s">
        <v>1228</v>
      </c>
      <c r="G287" s="1" t="s">
        <v>1228</v>
      </c>
      <c r="H287" s="1" t="s">
        <v>39</v>
      </c>
      <c r="I287" s="1" t="s">
        <v>39</v>
      </c>
      <c r="J287" s="1" t="s">
        <v>39</v>
      </c>
      <c r="K287" s="1" t="s">
        <v>39</v>
      </c>
      <c r="L287" s="1" t="s">
        <v>39</v>
      </c>
      <c r="M287" s="1" t="s">
        <v>39</v>
      </c>
      <c r="N287" s="1" t="s">
        <v>37</v>
      </c>
      <c r="O287" s="1" t="s">
        <v>39</v>
      </c>
      <c r="P287" s="1" t="s">
        <v>37</v>
      </c>
      <c r="Q287" s="1" t="s">
        <v>37</v>
      </c>
      <c r="R287" s="1" t="s">
        <v>136</v>
      </c>
      <c r="S287" s="1" t="s">
        <v>52</v>
      </c>
      <c r="T287" s="1">
        <v>99999999999</v>
      </c>
      <c r="U287" s="1">
        <v>11111111111</v>
      </c>
      <c r="V287" s="1">
        <v>11111111111</v>
      </c>
      <c r="W287" s="1" t="s">
        <v>1229</v>
      </c>
      <c r="X287" s="1" t="s">
        <v>1230</v>
      </c>
      <c r="Y287" s="1" t="s">
        <v>45</v>
      </c>
      <c r="Z287" s="1" t="s">
        <v>46</v>
      </c>
      <c r="AA287" s="1" t="s">
        <v>47</v>
      </c>
      <c r="AB287" s="1" t="s">
        <v>39</v>
      </c>
      <c r="AC287" s="1" t="s">
        <v>37</v>
      </c>
      <c r="AD287" s="1" t="s">
        <v>37</v>
      </c>
      <c r="AE287" s="1" t="s">
        <v>37</v>
      </c>
      <c r="AF287" s="1" t="s">
        <v>37</v>
      </c>
      <c r="AG287" s="1" t="s">
        <v>37</v>
      </c>
      <c r="AH287" s="1" t="s">
        <v>37</v>
      </c>
      <c r="AI287" s="1" t="s">
        <v>37</v>
      </c>
      <c r="AJ287" s="1" t="s">
        <v>39</v>
      </c>
      <c r="AK287" s="1" t="str">
        <f t="shared" si="9"/>
        <v>Fora de âmbito</v>
      </c>
      <c r="AL287" s="1" t="str">
        <f>+IF(IFERROR(VLOOKUP(A287,Ficheiros!I:I,1,FALSE),"")=A287,"Sim","Não")</f>
        <v>Sim</v>
      </c>
      <c r="AM287" s="1" t="str">
        <f>+IF(IFERROR(VLOOKUP(A287,Ficheiros!E:E,1,FALSE),"")=A287,"Sim","Não")</f>
        <v>Não</v>
      </c>
      <c r="AN287" s="1" t="str">
        <f>+IF(IFERROR(VLOOKUP(A287,Ficheiros!O:O,1,FALSE),"")=A287,"Sim","Não")</f>
        <v>Não</v>
      </c>
      <c r="AO287" s="1" t="str">
        <f>+IF(IFERROR(VLOOKUP(A287,'Especificação Novos Req. LT (2'!A:A,1,FALSE),"")=A287,"Sim","Não")</f>
        <v>Não</v>
      </c>
      <c r="AP287" s="1" t="str">
        <f>+IF(IFERROR(VLOOKUP(A287,Ficheiros!T:T,1,FALSE),"")=A287,"Sim","Não")</f>
        <v>Sim</v>
      </c>
      <c r="AQ287" s="1" t="e">
        <f>+VLOOKUP(A287,Ficheiros!O:P,2,FALSE)</f>
        <v>#N/A</v>
      </c>
      <c r="AR287" s="1" t="str">
        <f>+VLOOKUP(A287,Ficheiros!T:U,2,FALSE)</f>
        <v>7. Analisar controlos e completude</v>
      </c>
      <c r="AS287" s="1" t="str">
        <f>+VLOOKUP(A287,Ficheiros!T:V,3,FALSE)</f>
        <v>PM</v>
      </c>
      <c r="AT287" s="1"/>
      <c r="AU287" s="1"/>
      <c r="AV287" s="1"/>
      <c r="AW287" s="1"/>
      <c r="AX287" s="1"/>
    </row>
    <row r="288" spans="1:50" ht="14.5" hidden="1" customHeight="1" x14ac:dyDescent="0.35">
      <c r="A288" s="5" t="str">
        <f t="shared" si="8"/>
        <v>INSTRUMENTNMBR_FRBRNC_MSRS</v>
      </c>
      <c r="B288" s="1" t="s">
        <v>1231</v>
      </c>
      <c r="C288" s="1" t="s">
        <v>785</v>
      </c>
      <c r="D288" s="1" t="s">
        <v>1145</v>
      </c>
      <c r="E288" s="1" t="s">
        <v>37</v>
      </c>
      <c r="F288" s="25" t="s">
        <v>1232</v>
      </c>
      <c r="G288" s="1" t="s">
        <v>1232</v>
      </c>
      <c r="H288" s="1" t="s">
        <v>39</v>
      </c>
      <c r="I288" s="1" t="s">
        <v>39</v>
      </c>
      <c r="J288" s="1" t="s">
        <v>39</v>
      </c>
      <c r="K288" s="1" t="s">
        <v>39</v>
      </c>
      <c r="L288" s="1" t="s">
        <v>39</v>
      </c>
      <c r="M288" s="1" t="s">
        <v>39</v>
      </c>
      <c r="N288" s="1" t="s">
        <v>39</v>
      </c>
      <c r="O288" s="1" t="s">
        <v>37</v>
      </c>
      <c r="P288" s="1" t="s">
        <v>37</v>
      </c>
      <c r="Q288" s="1" t="s">
        <v>37</v>
      </c>
      <c r="R288" s="1" t="s">
        <v>623</v>
      </c>
      <c r="S288" s="1" t="s">
        <v>624</v>
      </c>
      <c r="T288" s="1">
        <v>99999999999</v>
      </c>
      <c r="U288" s="1">
        <v>11111111111</v>
      </c>
      <c r="V288" s="1">
        <v>11111111111</v>
      </c>
      <c r="W288" s="1" t="s">
        <v>1233</v>
      </c>
      <c r="X288" s="1" t="s">
        <v>1234</v>
      </c>
      <c r="Y288" s="1" t="s">
        <v>84</v>
      </c>
      <c r="Z288" s="1" t="s">
        <v>1235</v>
      </c>
      <c r="AA288" s="1" t="s">
        <v>47</v>
      </c>
      <c r="AB288" s="1" t="s">
        <v>39</v>
      </c>
      <c r="AC288" s="1" t="s">
        <v>37</v>
      </c>
      <c r="AD288" s="1" t="s">
        <v>37</v>
      </c>
      <c r="AE288" s="1" t="s">
        <v>37</v>
      </c>
      <c r="AF288" s="1" t="s">
        <v>37</v>
      </c>
      <c r="AG288" s="1" t="s">
        <v>39</v>
      </c>
      <c r="AH288" s="1" t="s">
        <v>37</v>
      </c>
      <c r="AI288" s="1" t="s">
        <v>37</v>
      </c>
      <c r="AJ288" s="1" t="s">
        <v>39</v>
      </c>
      <c r="AK288" s="1" t="str">
        <f t="shared" si="9"/>
        <v>Fora de âmbito</v>
      </c>
      <c r="AL288" s="1" t="str">
        <f>+IF(IFERROR(VLOOKUP(A288,Ficheiros!I:I,1,FALSE),"")=A288,"Sim","Não")</f>
        <v>Sim</v>
      </c>
      <c r="AM288" s="1" t="str">
        <f>+IF(IFERROR(VLOOKUP(A288,Ficheiros!E:E,1,FALSE),"")=A288,"Sim","Não")</f>
        <v>Não</v>
      </c>
      <c r="AN288" s="1" t="str">
        <f>+IF(IFERROR(VLOOKUP(A288,Ficheiros!O:O,1,FALSE),"")=A288,"Sim","Não")</f>
        <v>Não</v>
      </c>
      <c r="AO288" s="1" t="str">
        <f>+IF(IFERROR(VLOOKUP(A288,'Especificação Novos Req. LT (2'!A:A,1,FALSE),"")=A288,"Sim","Não")</f>
        <v>Não</v>
      </c>
      <c r="AP288" s="1" t="str">
        <f>+IF(IFERROR(VLOOKUP(A288,Ficheiros!T:T,1,FALSE),"")=A288,"Sim","Não")</f>
        <v>Sim</v>
      </c>
      <c r="AQ288" s="1" t="e">
        <f>+VLOOKUP(A288,Ficheiros!O:P,2,FALSE)</f>
        <v>#N/A</v>
      </c>
      <c r="AR288" s="1" t="str">
        <f>+VLOOKUP(A288,Ficheiros!T:U,2,FALSE)</f>
        <v>9. Concluído</v>
      </c>
      <c r="AS288" s="1" t="str">
        <f>+VLOOKUP(A288,Ficheiros!T:V,3,FALSE)</f>
        <v>PM</v>
      </c>
      <c r="AT288" s="1"/>
      <c r="AU288" s="1"/>
      <c r="AV288" s="1"/>
      <c r="AW288" s="1"/>
      <c r="AX288" s="1"/>
    </row>
    <row r="289" spans="1:50" ht="14.5" hidden="1" customHeight="1" x14ac:dyDescent="0.35">
      <c r="A289" s="5" t="str">
        <f t="shared" si="8"/>
        <v>INSTRUMENTIFRS9_LGD</v>
      </c>
      <c r="B289" s="1" t="s">
        <v>1236</v>
      </c>
      <c r="C289" s="1" t="s">
        <v>785</v>
      </c>
      <c r="D289" s="1" t="s">
        <v>395</v>
      </c>
      <c r="E289" s="1" t="s">
        <v>37</v>
      </c>
      <c r="F289" s="25" t="s">
        <v>1237</v>
      </c>
      <c r="G289" s="1" t="s">
        <v>1237</v>
      </c>
      <c r="H289" s="1" t="s">
        <v>39</v>
      </c>
      <c r="I289" s="1" t="s">
        <v>39</v>
      </c>
      <c r="J289" s="1" t="s">
        <v>39</v>
      </c>
      <c r="K289" s="1" t="s">
        <v>39</v>
      </c>
      <c r="L289" s="1" t="s">
        <v>39</v>
      </c>
      <c r="M289" s="1" t="s">
        <v>39</v>
      </c>
      <c r="N289" s="1" t="s">
        <v>39</v>
      </c>
      <c r="O289" s="1" t="s">
        <v>39</v>
      </c>
      <c r="P289" s="1" t="s">
        <v>37</v>
      </c>
      <c r="Q289" s="1" t="s">
        <v>37</v>
      </c>
      <c r="R289" s="1" t="s">
        <v>342</v>
      </c>
      <c r="S289" s="1" t="s">
        <v>274</v>
      </c>
      <c r="T289" s="1">
        <v>99999999999</v>
      </c>
      <c r="U289" s="1">
        <v>11111111111</v>
      </c>
      <c r="V289" s="1">
        <v>11111111111</v>
      </c>
      <c r="W289" s="1" t="s">
        <v>1238</v>
      </c>
      <c r="X289" s="1" t="s">
        <v>1239</v>
      </c>
      <c r="Y289" s="1" t="s">
        <v>45</v>
      </c>
      <c r="Z289" s="1" t="s">
        <v>46</v>
      </c>
      <c r="AA289" s="1" t="s">
        <v>47</v>
      </c>
      <c r="AB289" s="1" t="s">
        <v>39</v>
      </c>
      <c r="AC289" s="1" t="s">
        <v>37</v>
      </c>
      <c r="AD289" s="1" t="s">
        <v>37</v>
      </c>
      <c r="AE289" s="1" t="s">
        <v>37</v>
      </c>
      <c r="AF289" s="1" t="s">
        <v>37</v>
      </c>
      <c r="AG289" s="1" t="s">
        <v>37</v>
      </c>
      <c r="AH289" s="1" t="s">
        <v>37</v>
      </c>
      <c r="AI289" s="1" t="s">
        <v>37</v>
      </c>
      <c r="AJ289" s="1" t="s">
        <v>39</v>
      </c>
      <c r="AK289" s="1" t="str">
        <f t="shared" si="9"/>
        <v>Fora de âmbito</v>
      </c>
      <c r="AL289" s="1" t="str">
        <f>+IF(IFERROR(VLOOKUP(A289,Ficheiros!I:I,1,FALSE),"")=A289,"Sim","Não")</f>
        <v>Sim</v>
      </c>
      <c r="AM289" s="1" t="str">
        <f>+IF(IFERROR(VLOOKUP(A289,Ficheiros!E:E,1,FALSE),"")=A289,"Sim","Não")</f>
        <v>Não</v>
      </c>
      <c r="AN289" s="1" t="str">
        <f>+IF(IFERROR(VLOOKUP(A289,Ficheiros!O:O,1,FALSE),"")=A289,"Sim","Não")</f>
        <v>Não</v>
      </c>
      <c r="AO289" s="1" t="str">
        <f>+IF(IFERROR(VLOOKUP(A289,'Especificação Novos Req. LT (2'!A:A,1,FALSE),"")=A289,"Sim","Não")</f>
        <v>Não</v>
      </c>
      <c r="AP289" s="1" t="str">
        <f>+IF(IFERROR(VLOOKUP(A289,Ficheiros!T:T,1,FALSE),"")=A289,"Sim","Não")</f>
        <v>Sim</v>
      </c>
      <c r="AQ289" s="1" t="e">
        <f>+VLOOKUP(A289,Ficheiros!O:P,2,FALSE)</f>
        <v>#N/A</v>
      </c>
      <c r="AR289" s="1" t="str">
        <f>+VLOOKUP(A289,Ficheiros!T:U,2,FALSE)</f>
        <v>9. Concluído</v>
      </c>
      <c r="AS289" s="1" t="str">
        <f>+VLOOKUP(A289,Ficheiros!T:V,3,FALSE)</f>
        <v>PM</v>
      </c>
      <c r="AT289" s="1"/>
      <c r="AU289" s="1"/>
      <c r="AV289" s="1"/>
      <c r="AW289" s="1"/>
      <c r="AX289" s="1"/>
    </row>
    <row r="290" spans="1:50" ht="14.5" hidden="1" customHeight="1" x14ac:dyDescent="0.35">
      <c r="A290" s="5" t="str">
        <f t="shared" si="8"/>
        <v>INSTRUMENTLGD</v>
      </c>
      <c r="B290" s="1" t="s">
        <v>1240</v>
      </c>
      <c r="C290" s="1" t="s">
        <v>785</v>
      </c>
      <c r="D290" s="1" t="s">
        <v>395</v>
      </c>
      <c r="E290" s="1" t="s">
        <v>37</v>
      </c>
      <c r="F290" s="25" t="s">
        <v>1241</v>
      </c>
      <c r="G290" s="1" t="s">
        <v>1241</v>
      </c>
      <c r="H290" s="1" t="s">
        <v>39</v>
      </c>
      <c r="I290" s="1" t="s">
        <v>39</v>
      </c>
      <c r="J290" s="1" t="s">
        <v>39</v>
      </c>
      <c r="K290" s="1" t="s">
        <v>39</v>
      </c>
      <c r="L290" s="1" t="s">
        <v>39</v>
      </c>
      <c r="M290" s="1" t="s">
        <v>39</v>
      </c>
      <c r="N290" s="1" t="s">
        <v>39</v>
      </c>
      <c r="O290" s="1" t="s">
        <v>39</v>
      </c>
      <c r="P290" s="1" t="s">
        <v>37</v>
      </c>
      <c r="Q290" s="1" t="s">
        <v>37</v>
      </c>
      <c r="R290" s="1" t="s">
        <v>342</v>
      </c>
      <c r="S290" s="1" t="s">
        <v>274</v>
      </c>
      <c r="T290" s="1">
        <v>99999999999</v>
      </c>
      <c r="U290" s="1">
        <v>11111111111</v>
      </c>
      <c r="V290" s="1">
        <v>11111111111</v>
      </c>
      <c r="W290" s="1" t="s">
        <v>1242</v>
      </c>
      <c r="X290" s="1" t="s">
        <v>1243</v>
      </c>
      <c r="Y290" s="1" t="s">
        <v>66</v>
      </c>
      <c r="Z290" s="1" t="s">
        <v>1244</v>
      </c>
      <c r="AA290" s="1" t="s">
        <v>47</v>
      </c>
      <c r="AB290" s="1" t="s">
        <v>39</v>
      </c>
      <c r="AC290" s="1" t="s">
        <v>37</v>
      </c>
      <c r="AD290" s="1" t="s">
        <v>37</v>
      </c>
      <c r="AE290" s="1" t="s">
        <v>37</v>
      </c>
      <c r="AF290" s="1" t="s">
        <v>37</v>
      </c>
      <c r="AG290" s="1" t="s">
        <v>39</v>
      </c>
      <c r="AH290" s="1" t="s">
        <v>37</v>
      </c>
      <c r="AI290" s="1" t="s">
        <v>37</v>
      </c>
      <c r="AJ290" s="1" t="s">
        <v>39</v>
      </c>
      <c r="AK290" s="1" t="str">
        <f t="shared" si="9"/>
        <v>Fora de âmbito</v>
      </c>
      <c r="AL290" s="1" t="str">
        <f>+IF(IFERROR(VLOOKUP(A290,Ficheiros!I:I,1,FALSE),"")=A290,"Sim","Não")</f>
        <v>Sim</v>
      </c>
      <c r="AM290" s="1" t="str">
        <f>+IF(IFERROR(VLOOKUP(A290,Ficheiros!E:E,1,FALSE),"")=A290,"Sim","Não")</f>
        <v>Não</v>
      </c>
      <c r="AN290" s="1" t="str">
        <f>+IF(IFERROR(VLOOKUP(A290,Ficheiros!O:O,1,FALSE),"")=A290,"Sim","Não")</f>
        <v>Não</v>
      </c>
      <c r="AO290" s="1" t="str">
        <f>+IF(IFERROR(VLOOKUP(A290,'Especificação Novos Req. LT (2'!A:A,1,FALSE),"")=A290,"Sim","Não")</f>
        <v>Não</v>
      </c>
      <c r="AP290" s="1" t="str">
        <f>+IF(IFERROR(VLOOKUP(A290,Ficheiros!T:T,1,FALSE),"")=A290,"Sim","Não")</f>
        <v>Sim</v>
      </c>
      <c r="AQ290" s="1" t="e">
        <f>+VLOOKUP(A290,Ficheiros!O:P,2,FALSE)</f>
        <v>#N/A</v>
      </c>
      <c r="AR290" s="1" t="str">
        <f>+VLOOKUP(A290,Ficheiros!T:U,2,FALSE)</f>
        <v>9. Concluído</v>
      </c>
      <c r="AS290" s="1" t="str">
        <f>+VLOOKUP(A290,Ficheiros!T:V,3,FALSE)</f>
        <v>PM</v>
      </c>
      <c r="AT290" s="1"/>
      <c r="AU290" s="1"/>
      <c r="AV290" s="1"/>
      <c r="AW290" s="1"/>
      <c r="AX290" s="1"/>
    </row>
    <row r="291" spans="1:50" ht="14.5" hidden="1" customHeight="1" x14ac:dyDescent="0.35">
      <c r="A291" s="5" t="str">
        <f t="shared" si="8"/>
        <v>INSTRUMENTLTV</v>
      </c>
      <c r="B291" s="1" t="s">
        <v>1245</v>
      </c>
      <c r="C291" s="1" t="s">
        <v>785</v>
      </c>
      <c r="D291" s="1" t="s">
        <v>395</v>
      </c>
      <c r="E291" s="1" t="s">
        <v>37</v>
      </c>
      <c r="F291" s="25" t="s">
        <v>1246</v>
      </c>
      <c r="G291" s="1" t="s">
        <v>1246</v>
      </c>
      <c r="H291" s="1" t="s">
        <v>37</v>
      </c>
      <c r="I291" s="1" t="s">
        <v>39</v>
      </c>
      <c r="J291" s="1" t="s">
        <v>39</v>
      </c>
      <c r="K291" s="1" t="s">
        <v>39</v>
      </c>
      <c r="L291" s="1" t="s">
        <v>39</v>
      </c>
      <c r="M291" s="1" t="s">
        <v>39</v>
      </c>
      <c r="N291" s="1" t="s">
        <v>39</v>
      </c>
      <c r="O291" s="1" t="s">
        <v>37</v>
      </c>
      <c r="P291" s="1" t="s">
        <v>37</v>
      </c>
      <c r="Q291" s="1" t="s">
        <v>37</v>
      </c>
      <c r="R291" s="1" t="s">
        <v>342</v>
      </c>
      <c r="S291" s="1" t="s">
        <v>274</v>
      </c>
      <c r="T291" s="1">
        <v>99999999999</v>
      </c>
      <c r="U291" s="1">
        <v>11111111111</v>
      </c>
      <c r="V291" s="1">
        <v>11111111111</v>
      </c>
      <c r="W291" s="1" t="s">
        <v>1247</v>
      </c>
      <c r="X291" s="1" t="s">
        <v>1248</v>
      </c>
      <c r="Y291" s="1" t="s">
        <v>45</v>
      </c>
      <c r="Z291" s="1" t="s">
        <v>46</v>
      </c>
      <c r="AA291" s="1" t="s">
        <v>47</v>
      </c>
      <c r="AB291" s="1" t="s">
        <v>39</v>
      </c>
      <c r="AC291" s="1" t="s">
        <v>37</v>
      </c>
      <c r="AD291" s="1" t="s">
        <v>39</v>
      </c>
      <c r="AE291" s="1" t="s">
        <v>37</v>
      </c>
      <c r="AF291" s="1" t="s">
        <v>37</v>
      </c>
      <c r="AG291" s="1" t="s">
        <v>37</v>
      </c>
      <c r="AH291" s="1" t="s">
        <v>37</v>
      </c>
      <c r="AI291" s="1" t="s">
        <v>39</v>
      </c>
      <c r="AJ291" s="1" t="s">
        <v>39</v>
      </c>
      <c r="AK291" s="1" t="str">
        <f t="shared" si="9"/>
        <v>Apenas Pilar 3</v>
      </c>
      <c r="AL291" s="1" t="str">
        <f>+IF(IFERROR(VLOOKUP(A291,Ficheiros!I:I,1,FALSE),"")=A291,"Sim","Não")</f>
        <v>Sim</v>
      </c>
      <c r="AM291" s="1" t="str">
        <f>+IF(IFERROR(VLOOKUP(A291,Ficheiros!E:E,1,FALSE),"")=A291,"Sim","Não")</f>
        <v>Não</v>
      </c>
      <c r="AN291" s="1" t="str">
        <f>+IF(IFERROR(VLOOKUP(A291,Ficheiros!O:O,1,FALSE),"")=A291,"Sim","Não")</f>
        <v>Não</v>
      </c>
      <c r="AO291" s="1" t="str">
        <f>+IF(IFERROR(VLOOKUP(A291,'Especificação Novos Req. LT (2'!A:A,1,FALSE),"")=A291,"Sim","Não")</f>
        <v>Sim</v>
      </c>
      <c r="AP291" s="1" t="str">
        <f>+IF(IFERROR(VLOOKUP(A291,Ficheiros!T:T,1,FALSE),"")=A291,"Sim","Não")</f>
        <v>Sim</v>
      </c>
      <c r="AQ291" s="1" t="e">
        <f>+VLOOKUP(A291,Ficheiros!O:P,2,FALSE)</f>
        <v>#N/A</v>
      </c>
      <c r="AR291" s="1" t="str">
        <f>+VLOOKUP(A291,Ficheiros!T:U,2,FALSE)</f>
        <v>7. Analisar controlos e completude</v>
      </c>
      <c r="AS291" s="1" t="str">
        <f>+VLOOKUP(A291,Ficheiros!T:V,3,FALSE)</f>
        <v>PM</v>
      </c>
      <c r="AT291" s="1"/>
      <c r="AU291" s="1"/>
      <c r="AV291" s="1" t="s">
        <v>2535</v>
      </c>
      <c r="AW291" s="1"/>
      <c r="AX291" s="1"/>
    </row>
    <row r="292" spans="1:50" ht="14.5" hidden="1" customHeight="1" x14ac:dyDescent="0.35">
      <c r="A292" s="5" t="str">
        <f t="shared" si="8"/>
        <v>INSTRUMENTLTV_INCPTN</v>
      </c>
      <c r="B292" s="1" t="s">
        <v>1249</v>
      </c>
      <c r="C292" s="1" t="s">
        <v>785</v>
      </c>
      <c r="D292" s="1" t="s">
        <v>395</v>
      </c>
      <c r="E292" s="1" t="s">
        <v>37</v>
      </c>
      <c r="F292" s="25" t="s">
        <v>1250</v>
      </c>
      <c r="G292" s="1" t="s">
        <v>1250</v>
      </c>
      <c r="H292" s="1" t="s">
        <v>37</v>
      </c>
      <c r="I292" s="1" t="s">
        <v>39</v>
      </c>
      <c r="J292" s="1" t="s">
        <v>39</v>
      </c>
      <c r="K292" s="1" t="s">
        <v>39</v>
      </c>
      <c r="L292" s="1" t="s">
        <v>39</v>
      </c>
      <c r="M292" s="1" t="s">
        <v>39</v>
      </c>
      <c r="N292" s="1" t="s">
        <v>39</v>
      </c>
      <c r="O292" s="1" t="s">
        <v>37</v>
      </c>
      <c r="P292" s="1" t="s">
        <v>37</v>
      </c>
      <c r="Q292" s="1" t="s">
        <v>37</v>
      </c>
      <c r="R292" s="1" t="s">
        <v>342</v>
      </c>
      <c r="S292" s="1" t="s">
        <v>274</v>
      </c>
      <c r="T292" s="1">
        <v>99999999999</v>
      </c>
      <c r="U292" s="1">
        <v>11111111111</v>
      </c>
      <c r="V292" s="1">
        <v>11111111111</v>
      </c>
      <c r="W292" s="1" t="s">
        <v>1251</v>
      </c>
      <c r="X292" s="1" t="s">
        <v>1252</v>
      </c>
      <c r="Y292" s="1" t="s">
        <v>45</v>
      </c>
      <c r="Z292" s="1" t="s">
        <v>46</v>
      </c>
      <c r="AA292" s="1" t="s">
        <v>47</v>
      </c>
      <c r="AB292" s="1" t="s">
        <v>39</v>
      </c>
      <c r="AC292" s="1" t="s">
        <v>37</v>
      </c>
      <c r="AD292" s="1" t="s">
        <v>39</v>
      </c>
      <c r="AE292" s="1" t="s">
        <v>37</v>
      </c>
      <c r="AF292" s="1" t="s">
        <v>37</v>
      </c>
      <c r="AG292" s="1" t="s">
        <v>37</v>
      </c>
      <c r="AH292" s="1" t="s">
        <v>37</v>
      </c>
      <c r="AI292" s="1" t="s">
        <v>39</v>
      </c>
      <c r="AJ292" s="1" t="s">
        <v>39</v>
      </c>
      <c r="AK292" s="1" t="str">
        <f t="shared" si="9"/>
        <v>Apenas Pilar 3</v>
      </c>
      <c r="AL292" s="1" t="str">
        <f>+IF(IFERROR(VLOOKUP(A292,Ficheiros!I:I,1,FALSE),"")=A292,"Sim","Não")</f>
        <v>Sim</v>
      </c>
      <c r="AM292" s="1" t="str">
        <f>+IF(IFERROR(VLOOKUP(A292,Ficheiros!E:E,1,FALSE),"")=A292,"Sim","Não")</f>
        <v>Não</v>
      </c>
      <c r="AN292" s="1" t="str">
        <f>+IF(IFERROR(VLOOKUP(A292,Ficheiros!O:O,1,FALSE),"")=A292,"Sim","Não")</f>
        <v>Não</v>
      </c>
      <c r="AO292" s="1" t="str">
        <f>+IF(IFERROR(VLOOKUP(A292,'Especificação Novos Req. LT (2'!A:A,1,FALSE),"")=A292,"Sim","Não")</f>
        <v>Sim</v>
      </c>
      <c r="AP292" s="1" t="str">
        <f>+IF(IFERROR(VLOOKUP(A292,Ficheiros!T:T,1,FALSE),"")=A292,"Sim","Não")</f>
        <v>Sim</v>
      </c>
      <c r="AQ292" s="1" t="e">
        <f>+VLOOKUP(A292,Ficheiros!O:P,2,FALSE)</f>
        <v>#N/A</v>
      </c>
      <c r="AR292" s="1" t="str">
        <f>+VLOOKUP(A292,Ficheiros!T:U,2,FALSE)</f>
        <v>9. Concluído</v>
      </c>
      <c r="AS292" s="1" t="str">
        <f>+VLOOKUP(A292,Ficheiros!T:V,3,FALSE)</f>
        <v>PM</v>
      </c>
      <c r="AT292" s="1"/>
      <c r="AU292" s="1"/>
      <c r="AV292" s="1" t="s">
        <v>2535</v>
      </c>
      <c r="AW292" s="1"/>
      <c r="AX292" s="1"/>
    </row>
    <row r="293" spans="1:50" ht="14.5" hidden="1" customHeight="1" x14ac:dyDescent="0.35">
      <c r="A293" s="5" t="str">
        <f t="shared" si="8"/>
        <v>INSTRUMENTLTV_NPE</v>
      </c>
      <c r="B293" s="1" t="s">
        <v>1253</v>
      </c>
      <c r="C293" s="1" t="s">
        <v>785</v>
      </c>
      <c r="D293" s="1" t="s">
        <v>395</v>
      </c>
      <c r="E293" s="1" t="s">
        <v>37</v>
      </c>
      <c r="F293" s="25" t="s">
        <v>1254</v>
      </c>
      <c r="G293" s="1" t="s">
        <v>1254</v>
      </c>
      <c r="H293" s="1" t="s">
        <v>37</v>
      </c>
      <c r="I293" s="1" t="s">
        <v>39</v>
      </c>
      <c r="J293" s="1" t="s">
        <v>39</v>
      </c>
      <c r="K293" s="1" t="s">
        <v>39</v>
      </c>
      <c r="L293" s="1" t="s">
        <v>39</v>
      </c>
      <c r="M293" s="1" t="s">
        <v>39</v>
      </c>
      <c r="N293" s="1" t="s">
        <v>39</v>
      </c>
      <c r="O293" s="1" t="s">
        <v>37</v>
      </c>
      <c r="P293" s="1" t="s">
        <v>37</v>
      </c>
      <c r="Q293" s="1" t="s">
        <v>37</v>
      </c>
      <c r="R293" s="1" t="s">
        <v>342</v>
      </c>
      <c r="S293" s="1" t="s">
        <v>274</v>
      </c>
      <c r="T293" s="1">
        <v>99999999999</v>
      </c>
      <c r="U293" s="1">
        <v>11111111111</v>
      </c>
      <c r="V293" s="1">
        <v>11111111111</v>
      </c>
      <c r="W293" s="1" t="s">
        <v>1255</v>
      </c>
      <c r="X293" s="1" t="s">
        <v>1256</v>
      </c>
      <c r="Y293" s="1" t="s">
        <v>45</v>
      </c>
      <c r="Z293" s="1" t="s">
        <v>46</v>
      </c>
      <c r="AA293" s="1" t="s">
        <v>47</v>
      </c>
      <c r="AB293" s="1" t="s">
        <v>39</v>
      </c>
      <c r="AC293" s="1" t="s">
        <v>37</v>
      </c>
      <c r="AD293" s="1" t="s">
        <v>37</v>
      </c>
      <c r="AE293" s="1" t="s">
        <v>37</v>
      </c>
      <c r="AF293" s="1" t="s">
        <v>37</v>
      </c>
      <c r="AG293" s="1" t="s">
        <v>37</v>
      </c>
      <c r="AH293" s="1" t="s">
        <v>37</v>
      </c>
      <c r="AI293" s="1" t="s">
        <v>37</v>
      </c>
      <c r="AJ293" s="1" t="s">
        <v>39</v>
      </c>
      <c r="AK293" s="1" t="str">
        <f t="shared" si="9"/>
        <v>Fora de âmbito</v>
      </c>
      <c r="AL293" s="1" t="str">
        <f>+IF(IFERROR(VLOOKUP(A293,Ficheiros!I:I,1,FALSE),"")=A293,"Sim","Não")</f>
        <v>Sim</v>
      </c>
      <c r="AM293" s="1" t="str">
        <f>+IF(IFERROR(VLOOKUP(A293,Ficheiros!E:E,1,FALSE),"")=A293,"Sim","Não")</f>
        <v>Não</v>
      </c>
      <c r="AN293" s="1" t="str">
        <f>+IF(IFERROR(VLOOKUP(A293,Ficheiros!O:O,1,FALSE),"")=A293,"Sim","Não")</f>
        <v>Não</v>
      </c>
      <c r="AO293" s="1" t="str">
        <f>+IF(IFERROR(VLOOKUP(A293,'Especificação Novos Req. LT (2'!A:A,1,FALSE),"")=A293,"Sim","Não")</f>
        <v>Não</v>
      </c>
      <c r="AP293" s="1" t="str">
        <f>+IF(IFERROR(VLOOKUP(A293,Ficheiros!T:T,1,FALSE),"")=A293,"Sim","Não")</f>
        <v>Sim</v>
      </c>
      <c r="AQ293" s="1" t="e">
        <f>+VLOOKUP(A293,Ficheiros!O:P,2,FALSE)</f>
        <v>#N/A</v>
      </c>
      <c r="AR293" s="1" t="str">
        <f>+VLOOKUP(A293,Ficheiros!T:U,2,FALSE)</f>
        <v>5.1 Em testes - Re-especificação</v>
      </c>
      <c r="AS293" s="1" t="str">
        <f>+VLOOKUP(A293,Ficheiros!T:V,3,FALSE)</f>
        <v>PM</v>
      </c>
      <c r="AT293" s="1"/>
      <c r="AU293" s="1"/>
      <c r="AV293" s="1"/>
      <c r="AW293" s="1"/>
      <c r="AX293" s="1"/>
    </row>
    <row r="294" spans="1:50" ht="14.5" hidden="1" customHeight="1" x14ac:dyDescent="0.35">
      <c r="A294" s="5" t="str">
        <f t="shared" si="8"/>
        <v>INSTRUMENTPD_CRR_INCPTN</v>
      </c>
      <c r="B294" s="1" t="s">
        <v>1257</v>
      </c>
      <c r="C294" s="1" t="s">
        <v>785</v>
      </c>
      <c r="D294" s="1" t="s">
        <v>395</v>
      </c>
      <c r="E294" s="1" t="s">
        <v>37</v>
      </c>
      <c r="F294" s="25" t="s">
        <v>1258</v>
      </c>
      <c r="G294" s="1" t="s">
        <v>1258</v>
      </c>
      <c r="H294" s="1" t="s">
        <v>39</v>
      </c>
      <c r="I294" s="1" t="s">
        <v>39</v>
      </c>
      <c r="J294" s="1" t="s">
        <v>39</v>
      </c>
      <c r="K294" s="1" t="s">
        <v>39</v>
      </c>
      <c r="L294" s="1" t="s">
        <v>39</v>
      </c>
      <c r="M294" s="1" t="s">
        <v>39</v>
      </c>
      <c r="N294" s="1" t="s">
        <v>39</v>
      </c>
      <c r="O294" s="1" t="s">
        <v>39</v>
      </c>
      <c r="P294" s="1" t="s">
        <v>37</v>
      </c>
      <c r="Q294" s="1" t="s">
        <v>37</v>
      </c>
      <c r="R294" s="1" t="s">
        <v>342</v>
      </c>
      <c r="S294" s="1" t="s">
        <v>274</v>
      </c>
      <c r="T294" s="1">
        <v>99999999999</v>
      </c>
      <c r="U294" s="1">
        <v>11111111111</v>
      </c>
      <c r="V294" s="1">
        <v>11111111111</v>
      </c>
      <c r="W294" s="1" t="s">
        <v>1259</v>
      </c>
      <c r="X294" s="1" t="s">
        <v>1260</v>
      </c>
      <c r="Y294" s="1" t="s">
        <v>84</v>
      </c>
      <c r="Z294" s="1" t="s">
        <v>1261</v>
      </c>
      <c r="AA294" s="1" t="s">
        <v>47</v>
      </c>
      <c r="AB294" s="1" t="s">
        <v>39</v>
      </c>
      <c r="AC294" s="1" t="s">
        <v>37</v>
      </c>
      <c r="AD294" s="1" t="s">
        <v>37</v>
      </c>
      <c r="AE294" s="1" t="s">
        <v>37</v>
      </c>
      <c r="AF294" s="1" t="s">
        <v>37</v>
      </c>
      <c r="AG294" s="1" t="s">
        <v>39</v>
      </c>
      <c r="AH294" s="1" t="s">
        <v>37</v>
      </c>
      <c r="AI294" s="1" t="s">
        <v>37</v>
      </c>
      <c r="AJ294" s="1" t="s">
        <v>39</v>
      </c>
      <c r="AK294" s="1" t="str">
        <f t="shared" si="9"/>
        <v>Fora de âmbito</v>
      </c>
      <c r="AL294" s="1" t="str">
        <f>+IF(IFERROR(VLOOKUP(A294,Ficheiros!I:I,1,FALSE),"")=A294,"Sim","Não")</f>
        <v>Sim</v>
      </c>
      <c r="AM294" s="1" t="str">
        <f>+IF(IFERROR(VLOOKUP(A294,Ficheiros!E:E,1,FALSE),"")=A294,"Sim","Não")</f>
        <v>Não</v>
      </c>
      <c r="AN294" s="1" t="str">
        <f>+IF(IFERROR(VLOOKUP(A294,Ficheiros!O:O,1,FALSE),"")=A294,"Sim","Não")</f>
        <v>Não</v>
      </c>
      <c r="AO294" s="1" t="str">
        <f>+IF(IFERROR(VLOOKUP(A294,'Especificação Novos Req. LT (2'!A:A,1,FALSE),"")=A294,"Sim","Não")</f>
        <v>Não</v>
      </c>
      <c r="AP294" s="1" t="str">
        <f>+IF(IFERROR(VLOOKUP(A294,Ficheiros!T:T,1,FALSE),"")=A294,"Sim","Não")</f>
        <v>Sim</v>
      </c>
      <c r="AQ294" s="1" t="e">
        <f>+VLOOKUP(A294,Ficheiros!O:P,2,FALSE)</f>
        <v>#N/A</v>
      </c>
      <c r="AR294" s="1" t="str">
        <f>+VLOOKUP(A294,Ficheiros!T:U,2,FALSE)</f>
        <v>5.2 Em testes - Incidência</v>
      </c>
      <c r="AS294" s="1" t="str">
        <f>+VLOOKUP(A294,Ficheiros!T:V,3,FALSE)</f>
        <v>LF</v>
      </c>
      <c r="AT294" s="1"/>
      <c r="AU294" s="1"/>
      <c r="AV294" s="1"/>
      <c r="AW294" s="1"/>
      <c r="AX294" s="1"/>
    </row>
    <row r="295" spans="1:50" ht="14.5" hidden="1" customHeight="1" x14ac:dyDescent="0.35">
      <c r="A295" s="5" t="str">
        <f t="shared" si="8"/>
        <v>INSTRUMENTPD_CRR_RD</v>
      </c>
      <c r="B295" s="1" t="s">
        <v>1262</v>
      </c>
      <c r="C295" s="1" t="s">
        <v>785</v>
      </c>
      <c r="D295" s="1" t="s">
        <v>395</v>
      </c>
      <c r="E295" s="1" t="s">
        <v>37</v>
      </c>
      <c r="F295" s="25" t="s">
        <v>411</v>
      </c>
      <c r="G295" s="1" t="s">
        <v>411</v>
      </c>
      <c r="H295" s="1" t="s">
        <v>39</v>
      </c>
      <c r="I295" s="1" t="s">
        <v>39</v>
      </c>
      <c r="J295" s="1" t="s">
        <v>39</v>
      </c>
      <c r="K295" s="1" t="s">
        <v>39</v>
      </c>
      <c r="L295" s="1" t="s">
        <v>39</v>
      </c>
      <c r="M295" s="1" t="s">
        <v>39</v>
      </c>
      <c r="N295" s="1" t="s">
        <v>39</v>
      </c>
      <c r="O295" s="1" t="s">
        <v>39</v>
      </c>
      <c r="P295" s="1" t="s">
        <v>37</v>
      </c>
      <c r="Q295" s="1" t="s">
        <v>37</v>
      </c>
      <c r="R295" s="1" t="s">
        <v>342</v>
      </c>
      <c r="S295" s="1" t="s">
        <v>274</v>
      </c>
      <c r="T295" s="1">
        <v>99999999999</v>
      </c>
      <c r="U295" s="1">
        <v>11111111111</v>
      </c>
      <c r="V295" s="1">
        <v>11111111111</v>
      </c>
      <c r="W295" s="1" t="s">
        <v>412</v>
      </c>
      <c r="X295" s="1" t="s">
        <v>1260</v>
      </c>
      <c r="Y295" s="1" t="s">
        <v>66</v>
      </c>
      <c r="Z295" s="1" t="s">
        <v>1263</v>
      </c>
      <c r="AA295" s="1" t="s">
        <v>47</v>
      </c>
      <c r="AB295" s="1" t="s">
        <v>39</v>
      </c>
      <c r="AC295" s="1" t="s">
        <v>37</v>
      </c>
      <c r="AD295" s="1" t="s">
        <v>37</v>
      </c>
      <c r="AE295" s="1" t="s">
        <v>37</v>
      </c>
      <c r="AF295" s="1" t="s">
        <v>37</v>
      </c>
      <c r="AG295" s="1" t="s">
        <v>39</v>
      </c>
      <c r="AH295" s="1" t="s">
        <v>37</v>
      </c>
      <c r="AI295" s="1" t="s">
        <v>37</v>
      </c>
      <c r="AJ295" s="1" t="s">
        <v>39</v>
      </c>
      <c r="AK295" s="1" t="str">
        <f t="shared" si="9"/>
        <v>Fora de âmbito</v>
      </c>
      <c r="AL295" s="1" t="str">
        <f>+IF(IFERROR(VLOOKUP(A295,Ficheiros!I:I,1,FALSE),"")=A295,"Sim","Não")</f>
        <v>Sim</v>
      </c>
      <c r="AM295" s="1" t="str">
        <f>+IF(IFERROR(VLOOKUP(A295,Ficheiros!E:E,1,FALSE),"")=A295,"Sim","Não")</f>
        <v>Não</v>
      </c>
      <c r="AN295" s="1" t="str">
        <f>+IF(IFERROR(VLOOKUP(A295,Ficheiros!O:O,1,FALSE),"")=A295,"Sim","Não")</f>
        <v>Não</v>
      </c>
      <c r="AO295" s="1" t="str">
        <f>+IF(IFERROR(VLOOKUP(A295,'Especificação Novos Req. LT (2'!A:A,1,FALSE),"")=A295,"Sim","Não")</f>
        <v>Não</v>
      </c>
      <c r="AP295" s="1" t="str">
        <f>+IF(IFERROR(VLOOKUP(A295,Ficheiros!T:T,1,FALSE),"")=A295,"Sim","Não")</f>
        <v>Sim</v>
      </c>
      <c r="AQ295" s="1" t="e">
        <f>+VLOOKUP(A295,Ficheiros!O:P,2,FALSE)</f>
        <v>#N/A</v>
      </c>
      <c r="AR295" s="1" t="str">
        <f>+VLOOKUP(A295,Ficheiros!T:U,2,FALSE)</f>
        <v>7. Analisar controlos e completude</v>
      </c>
      <c r="AS295" s="1" t="str">
        <f>+VLOOKUP(A295,Ficheiros!T:V,3,FALSE)</f>
        <v>LF</v>
      </c>
      <c r="AT295" s="1"/>
      <c r="AU295" s="1"/>
      <c r="AV295" s="1"/>
      <c r="AW295" s="1"/>
      <c r="AX295" s="1"/>
    </row>
    <row r="296" spans="1:50" ht="14.5" hidden="1" customHeight="1" x14ac:dyDescent="0.35">
      <c r="A296" s="5" t="str">
        <f t="shared" si="8"/>
        <v>INSTRUMENTPD_CRR_RD_T1</v>
      </c>
      <c r="B296" s="1" t="s">
        <v>1264</v>
      </c>
      <c r="C296" s="1" t="s">
        <v>785</v>
      </c>
      <c r="D296" s="1" t="s">
        <v>395</v>
      </c>
      <c r="E296" s="1" t="s">
        <v>37</v>
      </c>
      <c r="F296" s="25" t="s">
        <v>445</v>
      </c>
      <c r="G296" s="1" t="s">
        <v>445</v>
      </c>
      <c r="H296" s="1" t="s">
        <v>39</v>
      </c>
      <c r="I296" s="1" t="s">
        <v>39</v>
      </c>
      <c r="J296" s="1" t="s">
        <v>39</v>
      </c>
      <c r="K296" s="1" t="s">
        <v>39</v>
      </c>
      <c r="L296" s="1" t="s">
        <v>39</v>
      </c>
      <c r="M296" s="1" t="s">
        <v>39</v>
      </c>
      <c r="N296" s="1" t="s">
        <v>39</v>
      </c>
      <c r="O296" s="1" t="s">
        <v>39</v>
      </c>
      <c r="P296" s="1" t="s">
        <v>37</v>
      </c>
      <c r="Q296" s="1" t="s">
        <v>37</v>
      </c>
      <c r="R296" s="1" t="s">
        <v>342</v>
      </c>
      <c r="S296" s="1" t="s">
        <v>274</v>
      </c>
      <c r="T296" s="1">
        <v>99999999999</v>
      </c>
      <c r="U296" s="1">
        <v>11111111111</v>
      </c>
      <c r="V296" s="1">
        <v>11111111111</v>
      </c>
      <c r="W296" s="1" t="s">
        <v>446</v>
      </c>
      <c r="X296" s="1" t="s">
        <v>1260</v>
      </c>
      <c r="Y296" s="1" t="s">
        <v>66</v>
      </c>
      <c r="Z296" s="1" t="s">
        <v>1263</v>
      </c>
      <c r="AA296" s="1" t="s">
        <v>1265</v>
      </c>
      <c r="AB296" s="1" t="s">
        <v>39</v>
      </c>
      <c r="AC296" s="1" t="s">
        <v>37</v>
      </c>
      <c r="AD296" s="1" t="s">
        <v>37</v>
      </c>
      <c r="AE296" s="1" t="s">
        <v>37</v>
      </c>
      <c r="AF296" s="1" t="s">
        <v>37</v>
      </c>
      <c r="AG296" s="1" t="s">
        <v>37</v>
      </c>
      <c r="AH296" s="1" t="s">
        <v>37</v>
      </c>
      <c r="AI296" s="1" t="s">
        <v>37</v>
      </c>
      <c r="AJ296" s="1" t="s">
        <v>39</v>
      </c>
      <c r="AK296" s="1" t="str">
        <f t="shared" si="9"/>
        <v>Fora de âmbito</v>
      </c>
      <c r="AL296" s="1" t="str">
        <f>+IF(IFERROR(VLOOKUP(A296,Ficheiros!I:I,1,FALSE),"")=A296,"Sim","Não")</f>
        <v>Sim</v>
      </c>
      <c r="AM296" s="1" t="str">
        <f>+IF(IFERROR(VLOOKUP(A296,Ficheiros!E:E,1,FALSE),"")=A296,"Sim","Não")</f>
        <v>Não</v>
      </c>
      <c r="AN296" s="1" t="str">
        <f>+IF(IFERROR(VLOOKUP(A296,Ficheiros!O:O,1,FALSE),"")=A296,"Sim","Não")</f>
        <v>Não</v>
      </c>
      <c r="AO296" s="1" t="str">
        <f>+IF(IFERROR(VLOOKUP(A296,'Especificação Novos Req. LT (2'!A:A,1,FALSE),"")=A296,"Sim","Não")</f>
        <v>Não</v>
      </c>
      <c r="AP296" s="1" t="str">
        <f>+IF(IFERROR(VLOOKUP(A296,Ficheiros!T:T,1,FALSE),"")=A296,"Sim","Não")</f>
        <v>Sim</v>
      </c>
      <c r="AQ296" s="1" t="e">
        <f>+VLOOKUP(A296,Ficheiros!O:P,2,FALSE)</f>
        <v>#N/A</v>
      </c>
      <c r="AR296" s="1" t="str">
        <f>+VLOOKUP(A296,Ficheiros!T:U,2,FALSE)</f>
        <v>5.1 Em testes - Re-especificação</v>
      </c>
      <c r="AS296" s="1" t="str">
        <f>+VLOOKUP(A296,Ficheiros!T:V,3,FALSE)</f>
        <v>PM</v>
      </c>
      <c r="AT296" s="1"/>
      <c r="AU296" s="1"/>
      <c r="AV296" s="1"/>
      <c r="AW296" s="1"/>
      <c r="AX296" s="1"/>
    </row>
    <row r="297" spans="1:50" ht="14.5" hidden="1" customHeight="1" x14ac:dyDescent="0.35">
      <c r="A297" s="5" t="str">
        <f t="shared" si="8"/>
        <v>INSTRUMENTPD_IFRS9_12M_INCPTN</v>
      </c>
      <c r="B297" s="1" t="s">
        <v>1266</v>
      </c>
      <c r="C297" s="1" t="s">
        <v>785</v>
      </c>
      <c r="D297" s="1" t="s">
        <v>395</v>
      </c>
      <c r="E297" s="1" t="s">
        <v>37</v>
      </c>
      <c r="F297" s="25" t="s">
        <v>1267</v>
      </c>
      <c r="G297" s="1" t="s">
        <v>1267</v>
      </c>
      <c r="H297" s="1" t="s">
        <v>39</v>
      </c>
      <c r="I297" s="1" t="s">
        <v>39</v>
      </c>
      <c r="J297" s="1" t="s">
        <v>39</v>
      </c>
      <c r="K297" s="1" t="s">
        <v>39</v>
      </c>
      <c r="L297" s="1" t="s">
        <v>39</v>
      </c>
      <c r="M297" s="1" t="s">
        <v>39</v>
      </c>
      <c r="N297" s="1" t="s">
        <v>39</v>
      </c>
      <c r="O297" s="1" t="s">
        <v>39</v>
      </c>
      <c r="P297" s="1" t="s">
        <v>37</v>
      </c>
      <c r="Q297" s="1" t="s">
        <v>37</v>
      </c>
      <c r="R297" s="1" t="s">
        <v>342</v>
      </c>
      <c r="S297" s="1" t="s">
        <v>274</v>
      </c>
      <c r="T297" s="1">
        <v>99999999999</v>
      </c>
      <c r="U297" s="1">
        <v>11111111111</v>
      </c>
      <c r="V297" s="1">
        <v>11111111111</v>
      </c>
      <c r="W297" s="1" t="s">
        <v>1268</v>
      </c>
      <c r="X297" s="1" t="s">
        <v>1269</v>
      </c>
      <c r="Y297" s="1" t="s">
        <v>84</v>
      </c>
      <c r="Z297" s="1" t="s">
        <v>1270</v>
      </c>
      <c r="AA297" s="1" t="s">
        <v>47</v>
      </c>
      <c r="AB297" s="1" t="s">
        <v>39</v>
      </c>
      <c r="AC297" s="1" t="s">
        <v>37</v>
      </c>
      <c r="AD297" s="1" t="s">
        <v>37</v>
      </c>
      <c r="AE297" s="1" t="s">
        <v>37</v>
      </c>
      <c r="AF297" s="1" t="s">
        <v>37</v>
      </c>
      <c r="AG297" s="1" t="s">
        <v>39</v>
      </c>
      <c r="AH297" s="1" t="s">
        <v>37</v>
      </c>
      <c r="AI297" s="1" t="s">
        <v>37</v>
      </c>
      <c r="AJ297" s="1" t="s">
        <v>39</v>
      </c>
      <c r="AK297" s="1" t="str">
        <f t="shared" si="9"/>
        <v>Fora de âmbito</v>
      </c>
      <c r="AL297" s="1" t="str">
        <f>+IF(IFERROR(VLOOKUP(A297,Ficheiros!I:I,1,FALSE),"")=A297,"Sim","Não")</f>
        <v>Sim</v>
      </c>
      <c r="AM297" s="1" t="str">
        <f>+IF(IFERROR(VLOOKUP(A297,Ficheiros!E:E,1,FALSE),"")=A297,"Sim","Não")</f>
        <v>Não</v>
      </c>
      <c r="AN297" s="1" t="str">
        <f>+IF(IFERROR(VLOOKUP(A297,Ficheiros!O:O,1,FALSE),"")=A297,"Sim","Não")</f>
        <v>Não</v>
      </c>
      <c r="AO297" s="1" t="str">
        <f>+IF(IFERROR(VLOOKUP(A297,'Especificação Novos Req. LT (2'!A:A,1,FALSE),"")=A297,"Sim","Não")</f>
        <v>Não</v>
      </c>
      <c r="AP297" s="1" t="str">
        <f>+IF(IFERROR(VLOOKUP(A297,Ficheiros!T:T,1,FALSE),"")=A297,"Sim","Não")</f>
        <v>Sim</v>
      </c>
      <c r="AQ297" s="1" t="e">
        <f>+VLOOKUP(A297,Ficheiros!O:P,2,FALSE)</f>
        <v>#N/A</v>
      </c>
      <c r="AR297" s="1" t="str">
        <f>+VLOOKUP(A297,Ficheiros!T:U,2,FALSE)</f>
        <v>9. Concluído</v>
      </c>
      <c r="AS297" s="1" t="str">
        <f>+VLOOKUP(A297,Ficheiros!T:V,3,FALSE)</f>
        <v>PM</v>
      </c>
      <c r="AT297" s="1"/>
      <c r="AU297" s="1"/>
      <c r="AV297" s="1"/>
      <c r="AW297" s="1"/>
      <c r="AX297" s="1"/>
    </row>
    <row r="298" spans="1:50" ht="14.5" hidden="1" customHeight="1" x14ac:dyDescent="0.35">
      <c r="A298" s="5" t="str">
        <f t="shared" si="8"/>
        <v>INSTRUMENTPD_IFRS9_12M_RD</v>
      </c>
      <c r="B298" s="1" t="s">
        <v>1271</v>
      </c>
      <c r="C298" s="1" t="s">
        <v>785</v>
      </c>
      <c r="D298" s="1" t="s">
        <v>395</v>
      </c>
      <c r="E298" s="1" t="s">
        <v>37</v>
      </c>
      <c r="F298" s="25" t="s">
        <v>417</v>
      </c>
      <c r="G298" s="1" t="s">
        <v>417</v>
      </c>
      <c r="H298" s="1" t="s">
        <v>39</v>
      </c>
      <c r="I298" s="1" t="s">
        <v>39</v>
      </c>
      <c r="J298" s="1" t="s">
        <v>39</v>
      </c>
      <c r="K298" s="1" t="s">
        <v>39</v>
      </c>
      <c r="L298" s="1" t="s">
        <v>39</v>
      </c>
      <c r="M298" s="1" t="s">
        <v>39</v>
      </c>
      <c r="N298" s="1" t="s">
        <v>39</v>
      </c>
      <c r="O298" s="1" t="s">
        <v>39</v>
      </c>
      <c r="P298" s="1" t="s">
        <v>37</v>
      </c>
      <c r="Q298" s="1" t="s">
        <v>37</v>
      </c>
      <c r="R298" s="1" t="s">
        <v>342</v>
      </c>
      <c r="S298" s="1" t="s">
        <v>274</v>
      </c>
      <c r="T298" s="1">
        <v>99999999999</v>
      </c>
      <c r="U298" s="1">
        <v>11111111111</v>
      </c>
      <c r="V298" s="1">
        <v>11111111111</v>
      </c>
      <c r="W298" s="1" t="s">
        <v>418</v>
      </c>
      <c r="X298" s="1" t="s">
        <v>1272</v>
      </c>
      <c r="Y298" s="1" t="s">
        <v>66</v>
      </c>
      <c r="Z298" s="1" t="s">
        <v>1273</v>
      </c>
      <c r="AA298" s="1" t="s">
        <v>47</v>
      </c>
      <c r="AB298" s="1" t="s">
        <v>39</v>
      </c>
      <c r="AC298" s="1" t="s">
        <v>37</v>
      </c>
      <c r="AD298" s="1" t="s">
        <v>37</v>
      </c>
      <c r="AE298" s="1" t="s">
        <v>37</v>
      </c>
      <c r="AF298" s="1" t="s">
        <v>37</v>
      </c>
      <c r="AG298" s="1" t="s">
        <v>39</v>
      </c>
      <c r="AH298" s="1" t="s">
        <v>37</v>
      </c>
      <c r="AI298" s="1" t="s">
        <v>37</v>
      </c>
      <c r="AJ298" s="1" t="s">
        <v>39</v>
      </c>
      <c r="AK298" s="1" t="str">
        <f t="shared" si="9"/>
        <v>Fora de âmbito</v>
      </c>
      <c r="AL298" s="1" t="str">
        <f>+IF(IFERROR(VLOOKUP(A298,Ficheiros!I:I,1,FALSE),"")=A298,"Sim","Não")</f>
        <v>Sim</v>
      </c>
      <c r="AM298" s="1" t="str">
        <f>+IF(IFERROR(VLOOKUP(A298,Ficheiros!E:E,1,FALSE),"")=A298,"Sim","Não")</f>
        <v>Não</v>
      </c>
      <c r="AN298" s="1" t="str">
        <f>+IF(IFERROR(VLOOKUP(A298,Ficheiros!O:O,1,FALSE),"")=A298,"Sim","Não")</f>
        <v>Não</v>
      </c>
      <c r="AO298" s="1" t="str">
        <f>+IF(IFERROR(VLOOKUP(A298,'Especificação Novos Req. LT (2'!A:A,1,FALSE),"")=A298,"Sim","Não")</f>
        <v>Não</v>
      </c>
      <c r="AP298" s="1" t="str">
        <f>+IF(IFERROR(VLOOKUP(A298,Ficheiros!T:T,1,FALSE),"")=A298,"Sim","Não")</f>
        <v>Sim</v>
      </c>
      <c r="AQ298" s="1" t="e">
        <f>+VLOOKUP(A298,Ficheiros!O:P,2,FALSE)</f>
        <v>#N/A</v>
      </c>
      <c r="AR298" s="1" t="str">
        <f>+VLOOKUP(A298,Ficheiros!T:U,2,FALSE)</f>
        <v>7. Analisar controlos e completude</v>
      </c>
      <c r="AS298" s="1" t="str">
        <f>+VLOOKUP(A298,Ficheiros!T:V,3,FALSE)</f>
        <v>LF</v>
      </c>
      <c r="AT298" s="1"/>
      <c r="AU298" s="1"/>
      <c r="AV298" s="1"/>
      <c r="AW298" s="1"/>
      <c r="AX298" s="1"/>
    </row>
    <row r="299" spans="1:50" ht="14.5" hidden="1" customHeight="1" x14ac:dyDescent="0.35">
      <c r="A299" s="5" t="str">
        <f t="shared" si="8"/>
        <v>INSTRUMENTPD_IFRS9_12M_RD_T1</v>
      </c>
      <c r="B299" s="1" t="s">
        <v>1274</v>
      </c>
      <c r="C299" s="1" t="s">
        <v>785</v>
      </c>
      <c r="D299" s="1" t="s">
        <v>395</v>
      </c>
      <c r="E299" s="1" t="s">
        <v>37</v>
      </c>
      <c r="F299" s="25" t="s">
        <v>422</v>
      </c>
      <c r="G299" s="1" t="s">
        <v>422</v>
      </c>
      <c r="H299" s="1" t="s">
        <v>39</v>
      </c>
      <c r="I299" s="1" t="s">
        <v>39</v>
      </c>
      <c r="J299" s="1" t="s">
        <v>39</v>
      </c>
      <c r="K299" s="1" t="s">
        <v>39</v>
      </c>
      <c r="L299" s="1" t="s">
        <v>39</v>
      </c>
      <c r="M299" s="1" t="s">
        <v>39</v>
      </c>
      <c r="N299" s="1" t="s">
        <v>39</v>
      </c>
      <c r="O299" s="1" t="s">
        <v>39</v>
      </c>
      <c r="P299" s="1" t="s">
        <v>37</v>
      </c>
      <c r="Q299" s="1" t="s">
        <v>37</v>
      </c>
      <c r="R299" s="1" t="s">
        <v>342</v>
      </c>
      <c r="S299" s="1" t="s">
        <v>274</v>
      </c>
      <c r="T299" s="1">
        <v>99999999999</v>
      </c>
      <c r="U299" s="1">
        <v>11111111111</v>
      </c>
      <c r="V299" s="1">
        <v>11111111111</v>
      </c>
      <c r="W299" s="1" t="s">
        <v>423</v>
      </c>
      <c r="X299" s="1" t="s">
        <v>1275</v>
      </c>
      <c r="Y299" s="1" t="s">
        <v>66</v>
      </c>
      <c r="Z299" s="1" t="s">
        <v>1273</v>
      </c>
      <c r="AA299" s="1" t="s">
        <v>1265</v>
      </c>
      <c r="AB299" s="1" t="s">
        <v>39</v>
      </c>
      <c r="AC299" s="1" t="s">
        <v>37</v>
      </c>
      <c r="AD299" s="1" t="s">
        <v>37</v>
      </c>
      <c r="AE299" s="1" t="s">
        <v>37</v>
      </c>
      <c r="AF299" s="1" t="s">
        <v>37</v>
      </c>
      <c r="AG299" s="1" t="s">
        <v>37</v>
      </c>
      <c r="AH299" s="1" t="s">
        <v>37</v>
      </c>
      <c r="AI299" s="1" t="s">
        <v>37</v>
      </c>
      <c r="AJ299" s="1" t="s">
        <v>39</v>
      </c>
      <c r="AK299" s="1" t="str">
        <f t="shared" si="9"/>
        <v>Fora de âmbito</v>
      </c>
      <c r="AL299" s="1" t="str">
        <f>+IF(IFERROR(VLOOKUP(A299,Ficheiros!I:I,1,FALSE),"")=A299,"Sim","Não")</f>
        <v>Sim</v>
      </c>
      <c r="AM299" s="1" t="str">
        <f>+IF(IFERROR(VLOOKUP(A299,Ficheiros!E:E,1,FALSE),"")=A299,"Sim","Não")</f>
        <v>Não</v>
      </c>
      <c r="AN299" s="1" t="str">
        <f>+IF(IFERROR(VLOOKUP(A299,Ficheiros!O:O,1,FALSE),"")=A299,"Sim","Não")</f>
        <v>Não</v>
      </c>
      <c r="AO299" s="1" t="str">
        <f>+IF(IFERROR(VLOOKUP(A299,'Especificação Novos Req. LT (2'!A:A,1,FALSE),"")=A299,"Sim","Não")</f>
        <v>Não</v>
      </c>
      <c r="AP299" s="1" t="str">
        <f>+IF(IFERROR(VLOOKUP(A299,Ficheiros!T:T,1,FALSE),"")=A299,"Sim","Não")</f>
        <v>Sim</v>
      </c>
      <c r="AQ299" s="1" t="e">
        <f>+VLOOKUP(A299,Ficheiros!O:P,2,FALSE)</f>
        <v>#N/A</v>
      </c>
      <c r="AR299" s="1" t="str">
        <f>+VLOOKUP(A299,Ficheiros!T:U,2,FALSE)</f>
        <v>7. Analisar controlos e completude</v>
      </c>
      <c r="AS299" s="1" t="str">
        <f>+VLOOKUP(A299,Ficheiros!T:V,3,FALSE)</f>
        <v>PM</v>
      </c>
      <c r="AT299" s="1"/>
      <c r="AU299" s="1"/>
      <c r="AV299" s="1"/>
      <c r="AW299" s="1"/>
      <c r="AX299" s="1"/>
    </row>
    <row r="300" spans="1:50" ht="14.5" hidden="1" customHeight="1" x14ac:dyDescent="0.35">
      <c r="A300" s="5" t="str">
        <f t="shared" si="8"/>
        <v>INSTRUMENTPD_IFRS9_LFTM_INCPTN</v>
      </c>
      <c r="B300" s="1" t="s">
        <v>1276</v>
      </c>
      <c r="C300" s="1" t="s">
        <v>785</v>
      </c>
      <c r="D300" s="1" t="s">
        <v>395</v>
      </c>
      <c r="E300" s="1" t="s">
        <v>37</v>
      </c>
      <c r="F300" s="25" t="s">
        <v>1277</v>
      </c>
      <c r="G300" s="1" t="s">
        <v>1277</v>
      </c>
      <c r="H300" s="1" t="s">
        <v>39</v>
      </c>
      <c r="I300" s="1" t="s">
        <v>39</v>
      </c>
      <c r="J300" s="1" t="s">
        <v>39</v>
      </c>
      <c r="K300" s="1" t="s">
        <v>39</v>
      </c>
      <c r="L300" s="1" t="s">
        <v>39</v>
      </c>
      <c r="M300" s="1" t="s">
        <v>39</v>
      </c>
      <c r="N300" s="1" t="s">
        <v>39</v>
      </c>
      <c r="O300" s="1" t="s">
        <v>39</v>
      </c>
      <c r="P300" s="1" t="s">
        <v>37</v>
      </c>
      <c r="Q300" s="1" t="s">
        <v>37</v>
      </c>
      <c r="R300" s="1" t="s">
        <v>342</v>
      </c>
      <c r="S300" s="1" t="s">
        <v>274</v>
      </c>
      <c r="T300" s="1">
        <v>99999999999</v>
      </c>
      <c r="U300" s="1">
        <v>11111111111</v>
      </c>
      <c r="V300" s="1">
        <v>11111111111</v>
      </c>
      <c r="W300" s="1" t="s">
        <v>1278</v>
      </c>
      <c r="X300" s="1" t="s">
        <v>1279</v>
      </c>
      <c r="Y300" s="1" t="s">
        <v>84</v>
      </c>
      <c r="Z300" s="1" t="s">
        <v>1280</v>
      </c>
      <c r="AA300" s="1" t="s">
        <v>47</v>
      </c>
      <c r="AB300" s="1" t="s">
        <v>39</v>
      </c>
      <c r="AC300" s="1" t="s">
        <v>37</v>
      </c>
      <c r="AD300" s="1" t="s">
        <v>37</v>
      </c>
      <c r="AE300" s="1" t="s">
        <v>37</v>
      </c>
      <c r="AF300" s="1" t="s">
        <v>37</v>
      </c>
      <c r="AG300" s="1" t="s">
        <v>39</v>
      </c>
      <c r="AH300" s="1" t="s">
        <v>37</v>
      </c>
      <c r="AI300" s="1" t="s">
        <v>37</v>
      </c>
      <c r="AJ300" s="1" t="s">
        <v>39</v>
      </c>
      <c r="AK300" s="1" t="str">
        <f t="shared" si="9"/>
        <v>Fora de âmbito</v>
      </c>
      <c r="AL300" s="1" t="str">
        <f>+IF(IFERROR(VLOOKUP(A300,Ficheiros!I:I,1,FALSE),"")=A300,"Sim","Não")</f>
        <v>Sim</v>
      </c>
      <c r="AM300" s="1" t="str">
        <f>+IF(IFERROR(VLOOKUP(A300,Ficheiros!E:E,1,FALSE),"")=A300,"Sim","Não")</f>
        <v>Não</v>
      </c>
      <c r="AN300" s="1" t="str">
        <f>+IF(IFERROR(VLOOKUP(A300,Ficheiros!O:O,1,FALSE),"")=A300,"Sim","Não")</f>
        <v>Não</v>
      </c>
      <c r="AO300" s="1" t="str">
        <f>+IF(IFERROR(VLOOKUP(A300,'Especificação Novos Req. LT (2'!A:A,1,FALSE),"")=A300,"Sim","Não")</f>
        <v>Não</v>
      </c>
      <c r="AP300" s="1" t="str">
        <f>+IF(IFERROR(VLOOKUP(A300,Ficheiros!T:T,1,FALSE),"")=A300,"Sim","Não")</f>
        <v>Sim</v>
      </c>
      <c r="AQ300" s="1" t="e">
        <f>+VLOOKUP(A300,Ficheiros!O:P,2,FALSE)</f>
        <v>#N/A</v>
      </c>
      <c r="AR300" s="1" t="str">
        <f>+VLOOKUP(A300,Ficheiros!T:U,2,FALSE)</f>
        <v>9. Concluído</v>
      </c>
      <c r="AS300" s="1" t="str">
        <f>+VLOOKUP(A300,Ficheiros!T:V,3,FALSE)</f>
        <v>PM</v>
      </c>
      <c r="AT300" s="1"/>
      <c r="AU300" s="1"/>
      <c r="AV300" s="1"/>
      <c r="AW300" s="1"/>
      <c r="AX300" s="1"/>
    </row>
    <row r="301" spans="1:50" ht="14.5" hidden="1" customHeight="1" x14ac:dyDescent="0.35">
      <c r="A301" s="5" t="str">
        <f t="shared" si="8"/>
        <v>INSTRUMENTPD_IFRS9_RMNNG_LFTM_INCPTN</v>
      </c>
      <c r="B301" s="1" t="s">
        <v>1281</v>
      </c>
      <c r="C301" s="1" t="s">
        <v>785</v>
      </c>
      <c r="D301" s="1" t="s">
        <v>395</v>
      </c>
      <c r="E301" s="1" t="s">
        <v>37</v>
      </c>
      <c r="F301" s="25" t="s">
        <v>1282</v>
      </c>
      <c r="G301" s="1" t="s">
        <v>1282</v>
      </c>
      <c r="H301" s="1" t="s">
        <v>39</v>
      </c>
      <c r="I301" s="1" t="s">
        <v>39</v>
      </c>
      <c r="J301" s="1" t="s">
        <v>39</v>
      </c>
      <c r="K301" s="1" t="s">
        <v>39</v>
      </c>
      <c r="L301" s="1" t="s">
        <v>39</v>
      </c>
      <c r="M301" s="1" t="s">
        <v>39</v>
      </c>
      <c r="N301" s="1" t="s">
        <v>39</v>
      </c>
      <c r="O301" s="1" t="s">
        <v>39</v>
      </c>
      <c r="P301" s="1" t="s">
        <v>37</v>
      </c>
      <c r="Q301" s="1" t="s">
        <v>37</v>
      </c>
      <c r="R301" s="1" t="s">
        <v>342</v>
      </c>
      <c r="S301" s="1" t="s">
        <v>274</v>
      </c>
      <c r="T301" s="1">
        <v>99999999999</v>
      </c>
      <c r="U301" s="1">
        <v>11111111111</v>
      </c>
      <c r="V301" s="1">
        <v>11111111111</v>
      </c>
      <c r="W301" s="1" t="s">
        <v>1283</v>
      </c>
      <c r="X301" s="1" t="s">
        <v>1284</v>
      </c>
      <c r="Y301" s="1" t="s">
        <v>66</v>
      </c>
      <c r="Z301" s="1" t="s">
        <v>1285</v>
      </c>
      <c r="AA301" s="1" t="s">
        <v>47</v>
      </c>
      <c r="AB301" s="1" t="s">
        <v>39</v>
      </c>
      <c r="AC301" s="1" t="s">
        <v>37</v>
      </c>
      <c r="AD301" s="1" t="s">
        <v>37</v>
      </c>
      <c r="AE301" s="1" t="s">
        <v>37</v>
      </c>
      <c r="AF301" s="1" t="s">
        <v>37</v>
      </c>
      <c r="AG301" s="1" t="s">
        <v>39</v>
      </c>
      <c r="AH301" s="1" t="s">
        <v>37</v>
      </c>
      <c r="AI301" s="1" t="s">
        <v>37</v>
      </c>
      <c r="AJ301" s="1" t="s">
        <v>39</v>
      </c>
      <c r="AK301" s="1" t="str">
        <f t="shared" si="9"/>
        <v>Fora de âmbito</v>
      </c>
      <c r="AL301" s="1" t="str">
        <f>+IF(IFERROR(VLOOKUP(A301,Ficheiros!I:I,1,FALSE),"")=A301,"Sim","Não")</f>
        <v>Sim</v>
      </c>
      <c r="AM301" s="1" t="str">
        <f>+IF(IFERROR(VLOOKUP(A301,Ficheiros!E:E,1,FALSE),"")=A301,"Sim","Não")</f>
        <v>Não</v>
      </c>
      <c r="AN301" s="1" t="str">
        <f>+IF(IFERROR(VLOOKUP(A301,Ficheiros!O:O,1,FALSE),"")=A301,"Sim","Não")</f>
        <v>Não</v>
      </c>
      <c r="AO301" s="1" t="str">
        <f>+IF(IFERROR(VLOOKUP(A301,'Especificação Novos Req. LT (2'!A:A,1,FALSE),"")=A301,"Sim","Não")</f>
        <v>Não</v>
      </c>
      <c r="AP301" s="1" t="str">
        <f>+IF(IFERROR(VLOOKUP(A301,Ficheiros!T:T,1,FALSE),"")=A301,"Sim","Não")</f>
        <v>Sim</v>
      </c>
      <c r="AQ301" s="1" t="e">
        <f>+VLOOKUP(A301,Ficheiros!O:P,2,FALSE)</f>
        <v>#N/A</v>
      </c>
      <c r="AR301" s="1" t="str">
        <f>+VLOOKUP(A301,Ficheiros!T:U,2,FALSE)</f>
        <v>9. Concluído</v>
      </c>
      <c r="AS301" s="1" t="str">
        <f>+VLOOKUP(A301,Ficheiros!T:V,3,FALSE)</f>
        <v>PM</v>
      </c>
      <c r="AT301" s="1"/>
      <c r="AU301" s="1"/>
      <c r="AV301" s="1"/>
      <c r="AW301" s="1"/>
      <c r="AX301" s="1"/>
    </row>
    <row r="302" spans="1:50" ht="14.5" hidden="1" customHeight="1" x14ac:dyDescent="0.35">
      <c r="A302" s="5" t="str">
        <f t="shared" si="8"/>
        <v>INSTRUMENTPD_IFRS9_RMNNG_LFTM_RD</v>
      </c>
      <c r="B302" s="1" t="s">
        <v>1286</v>
      </c>
      <c r="C302" s="1" t="s">
        <v>785</v>
      </c>
      <c r="D302" s="1" t="s">
        <v>395</v>
      </c>
      <c r="E302" s="1" t="s">
        <v>37</v>
      </c>
      <c r="F302" s="25" t="s">
        <v>1287</v>
      </c>
      <c r="G302" s="1" t="s">
        <v>1287</v>
      </c>
      <c r="H302" s="1" t="s">
        <v>39</v>
      </c>
      <c r="I302" s="1" t="s">
        <v>39</v>
      </c>
      <c r="J302" s="1" t="s">
        <v>39</v>
      </c>
      <c r="K302" s="1" t="s">
        <v>39</v>
      </c>
      <c r="L302" s="1" t="s">
        <v>39</v>
      </c>
      <c r="M302" s="1" t="s">
        <v>39</v>
      </c>
      <c r="N302" s="1" t="s">
        <v>39</v>
      </c>
      <c r="O302" s="1" t="s">
        <v>39</v>
      </c>
      <c r="P302" s="1" t="s">
        <v>37</v>
      </c>
      <c r="Q302" s="1" t="s">
        <v>37</v>
      </c>
      <c r="R302" s="1" t="s">
        <v>342</v>
      </c>
      <c r="S302" s="1" t="s">
        <v>274</v>
      </c>
      <c r="T302" s="1">
        <v>99999999999</v>
      </c>
      <c r="U302" s="1">
        <v>11111111111</v>
      </c>
      <c r="V302" s="1">
        <v>11111111111</v>
      </c>
      <c r="W302" s="1" t="s">
        <v>1288</v>
      </c>
      <c r="X302" s="1" t="s">
        <v>1289</v>
      </c>
      <c r="Y302" s="1" t="s">
        <v>66</v>
      </c>
      <c r="Z302" s="1" t="s">
        <v>1290</v>
      </c>
      <c r="AA302" s="1" t="s">
        <v>47</v>
      </c>
      <c r="AB302" s="1" t="s">
        <v>39</v>
      </c>
      <c r="AC302" s="1" t="s">
        <v>37</v>
      </c>
      <c r="AD302" s="1" t="s">
        <v>37</v>
      </c>
      <c r="AE302" s="1" t="s">
        <v>37</v>
      </c>
      <c r="AF302" s="1" t="s">
        <v>37</v>
      </c>
      <c r="AG302" s="1" t="s">
        <v>39</v>
      </c>
      <c r="AH302" s="1" t="s">
        <v>37</v>
      </c>
      <c r="AI302" s="1" t="s">
        <v>37</v>
      </c>
      <c r="AJ302" s="1" t="s">
        <v>39</v>
      </c>
      <c r="AK302" s="1" t="str">
        <f t="shared" si="9"/>
        <v>Fora de âmbito</v>
      </c>
      <c r="AL302" s="1" t="str">
        <f>+IF(IFERROR(VLOOKUP(A302,Ficheiros!I:I,1,FALSE),"")=A302,"Sim","Não")</f>
        <v>Sim</v>
      </c>
      <c r="AM302" s="1" t="str">
        <f>+IF(IFERROR(VLOOKUP(A302,Ficheiros!E:E,1,FALSE),"")=A302,"Sim","Não")</f>
        <v>Não</v>
      </c>
      <c r="AN302" s="1" t="str">
        <f>+IF(IFERROR(VLOOKUP(A302,Ficheiros!O:O,1,FALSE),"")=A302,"Sim","Não")</f>
        <v>Não</v>
      </c>
      <c r="AO302" s="1" t="str">
        <f>+IF(IFERROR(VLOOKUP(A302,'Especificação Novos Req. LT (2'!A:A,1,FALSE),"")=A302,"Sim","Não")</f>
        <v>Não</v>
      </c>
      <c r="AP302" s="1" t="str">
        <f>+IF(IFERROR(VLOOKUP(A302,Ficheiros!T:T,1,FALSE),"")=A302,"Sim","Não")</f>
        <v>Sim</v>
      </c>
      <c r="AQ302" s="1" t="e">
        <f>+VLOOKUP(A302,Ficheiros!O:P,2,FALSE)</f>
        <v>#N/A</v>
      </c>
      <c r="AR302" s="1" t="str">
        <f>+VLOOKUP(A302,Ficheiros!T:U,2,FALSE)</f>
        <v>9. Concluído</v>
      </c>
      <c r="AS302" s="1" t="str">
        <f>+VLOOKUP(A302,Ficheiros!T:V,3,FALSE)</f>
        <v>PM</v>
      </c>
      <c r="AT302" s="1"/>
      <c r="AU302" s="1"/>
      <c r="AV302" s="1"/>
      <c r="AW302" s="1"/>
      <c r="AX302" s="1"/>
    </row>
    <row r="303" spans="1:50" ht="14.5" hidden="1" customHeight="1" x14ac:dyDescent="0.35">
      <c r="A303" s="5" t="str">
        <f t="shared" si="8"/>
        <v>INSTRUMENTRTNG_MTHD</v>
      </c>
      <c r="B303" s="1" t="s">
        <v>1291</v>
      </c>
      <c r="C303" s="1" t="s">
        <v>785</v>
      </c>
      <c r="D303" s="1" t="s">
        <v>395</v>
      </c>
      <c r="E303" s="1" t="s">
        <v>37</v>
      </c>
      <c r="F303" s="25" t="s">
        <v>252</v>
      </c>
      <c r="G303" s="1" t="s">
        <v>252</v>
      </c>
      <c r="H303" s="1" t="s">
        <v>39</v>
      </c>
      <c r="I303" s="1" t="s">
        <v>39</v>
      </c>
      <c r="J303" s="1" t="s">
        <v>39</v>
      </c>
      <c r="K303" s="1" t="s">
        <v>39</v>
      </c>
      <c r="L303" s="1" t="s">
        <v>39</v>
      </c>
      <c r="M303" s="1" t="s">
        <v>39</v>
      </c>
      <c r="N303" s="1" t="s">
        <v>39</v>
      </c>
      <c r="O303" s="1" t="s">
        <v>39</v>
      </c>
      <c r="P303" s="1" t="s">
        <v>37</v>
      </c>
      <c r="Q303" s="1" t="s">
        <v>37</v>
      </c>
      <c r="R303" s="1" t="s">
        <v>136</v>
      </c>
      <c r="S303" s="1" t="s">
        <v>52</v>
      </c>
      <c r="T303" s="1">
        <v>99999999999</v>
      </c>
      <c r="U303" s="1">
        <v>11111111111</v>
      </c>
      <c r="V303" s="1">
        <v>11111111111</v>
      </c>
      <c r="W303" s="1" t="s">
        <v>253</v>
      </c>
      <c r="X303" s="1" t="s">
        <v>1292</v>
      </c>
      <c r="Y303" s="1" t="s">
        <v>66</v>
      </c>
      <c r="Z303" s="1" t="s">
        <v>1293</v>
      </c>
      <c r="AA303" s="1" t="s">
        <v>47</v>
      </c>
      <c r="AB303" s="1" t="s">
        <v>39</v>
      </c>
      <c r="AC303" s="1" t="s">
        <v>37</v>
      </c>
      <c r="AD303" s="1" t="s">
        <v>37</v>
      </c>
      <c r="AE303" s="1" t="s">
        <v>37</v>
      </c>
      <c r="AF303" s="1" t="s">
        <v>37</v>
      </c>
      <c r="AG303" s="1" t="s">
        <v>39</v>
      </c>
      <c r="AH303" s="1" t="s">
        <v>37</v>
      </c>
      <c r="AI303" s="1" t="s">
        <v>37</v>
      </c>
      <c r="AJ303" s="1" t="s">
        <v>39</v>
      </c>
      <c r="AK303" s="1" t="str">
        <f t="shared" si="9"/>
        <v>Fora de âmbito</v>
      </c>
      <c r="AL303" s="1" t="str">
        <f>+IF(IFERROR(VLOOKUP(A303,Ficheiros!I:I,1,FALSE),"")=A303,"Sim","Não")</f>
        <v>Sim</v>
      </c>
      <c r="AM303" s="1" t="str">
        <f>+IF(IFERROR(VLOOKUP(A303,Ficheiros!E:E,1,FALSE),"")=A303,"Sim","Não")</f>
        <v>Não</v>
      </c>
      <c r="AN303" s="1" t="str">
        <f>+IF(IFERROR(VLOOKUP(A303,Ficheiros!O:O,1,FALSE),"")=A303,"Sim","Não")</f>
        <v>Não</v>
      </c>
      <c r="AO303" s="1" t="str">
        <f>+IF(IFERROR(VLOOKUP(A303,'Especificação Novos Req. LT (2'!A:A,1,FALSE),"")=A303,"Sim","Não")</f>
        <v>Não</v>
      </c>
      <c r="AP303" s="1" t="str">
        <f>+IF(IFERROR(VLOOKUP(A303,Ficheiros!T:T,1,FALSE),"")=A303,"Sim","Não")</f>
        <v>Sim</v>
      </c>
      <c r="AQ303" s="1" t="e">
        <f>+VLOOKUP(A303,Ficheiros!O:P,2,FALSE)</f>
        <v>#N/A</v>
      </c>
      <c r="AR303" s="1" t="str">
        <f>+VLOOKUP(A303,Ficheiros!T:U,2,FALSE)</f>
        <v>5.1 Em testes - Re-especificação</v>
      </c>
      <c r="AS303" s="1" t="str">
        <f>+VLOOKUP(A303,Ficheiros!T:V,3,FALSE)</f>
        <v>LF</v>
      </c>
      <c r="AT303" s="1"/>
      <c r="AU303" s="1"/>
      <c r="AV303" s="1"/>
      <c r="AW303" s="1"/>
      <c r="AX303" s="1"/>
    </row>
    <row r="304" spans="1:50" ht="14.5" hidden="1" customHeight="1" x14ac:dyDescent="0.35">
      <c r="A304" s="5" t="str">
        <f t="shared" si="8"/>
        <v>INSTRUMENTRTNG_SCL</v>
      </c>
      <c r="B304" s="1" t="s">
        <v>1294</v>
      </c>
      <c r="C304" s="1" t="s">
        <v>785</v>
      </c>
      <c r="D304" s="1" t="s">
        <v>395</v>
      </c>
      <c r="E304" s="1" t="s">
        <v>37</v>
      </c>
      <c r="F304" s="26" t="s">
        <v>257</v>
      </c>
      <c r="G304" s="1" t="s">
        <v>257</v>
      </c>
      <c r="H304" s="1" t="s">
        <v>258</v>
      </c>
      <c r="I304" s="1" t="s">
        <v>258</v>
      </c>
      <c r="J304" s="1" t="s">
        <v>258</v>
      </c>
      <c r="K304" s="1" t="s">
        <v>258</v>
      </c>
      <c r="L304" s="1" t="s">
        <v>258</v>
      </c>
      <c r="M304" s="1" t="s">
        <v>258</v>
      </c>
      <c r="N304" s="1" t="s">
        <v>258</v>
      </c>
      <c r="O304" s="1" t="s">
        <v>258</v>
      </c>
      <c r="P304" s="1" t="s">
        <v>37</v>
      </c>
      <c r="Q304" s="1" t="s">
        <v>37</v>
      </c>
      <c r="R304" s="1" t="s">
        <v>136</v>
      </c>
      <c r="S304" s="1" t="s">
        <v>52</v>
      </c>
      <c r="T304" s="1">
        <v>99999999999</v>
      </c>
      <c r="U304" s="1">
        <v>11111111111</v>
      </c>
      <c r="V304" s="1">
        <v>11111111111</v>
      </c>
      <c r="W304" s="1" t="s">
        <v>259</v>
      </c>
      <c r="X304" s="1" t="s">
        <v>260</v>
      </c>
      <c r="Y304" s="1" t="s">
        <v>45</v>
      </c>
      <c r="Z304" s="1" t="s">
        <v>46</v>
      </c>
      <c r="AA304" s="1" t="s">
        <v>47</v>
      </c>
      <c r="AB304" s="1" t="s">
        <v>39</v>
      </c>
      <c r="AC304" s="1" t="s">
        <v>37</v>
      </c>
      <c r="AD304" s="1" t="s">
        <v>37</v>
      </c>
      <c r="AE304" s="1" t="s">
        <v>37</v>
      </c>
      <c r="AF304" s="1" t="s">
        <v>37</v>
      </c>
      <c r="AG304" s="1" t="s">
        <v>39</v>
      </c>
      <c r="AH304" s="1" t="s">
        <v>37</v>
      </c>
      <c r="AI304" s="1" t="s">
        <v>37</v>
      </c>
      <c r="AJ304" s="1" t="s">
        <v>39</v>
      </c>
      <c r="AK304" s="1" t="str">
        <f t="shared" si="9"/>
        <v>Fora de âmbito</v>
      </c>
      <c r="AL304" s="1" t="str">
        <f>+IF(IFERROR(VLOOKUP(A304,Ficheiros!I:I,1,FALSE),"")=A304,"Sim","Não")</f>
        <v>Sim</v>
      </c>
      <c r="AM304" s="1" t="str">
        <f>+IF(IFERROR(VLOOKUP(A304,Ficheiros!E:E,1,FALSE),"")=A304,"Sim","Não")</f>
        <v>Não</v>
      </c>
      <c r="AN304" s="1" t="str">
        <f>+IF(IFERROR(VLOOKUP(A304,Ficheiros!O:O,1,FALSE),"")=A304,"Sim","Não")</f>
        <v>Não</v>
      </c>
      <c r="AO304" s="1" t="str">
        <f>+IF(IFERROR(VLOOKUP(A304,'Especificação Novos Req. LT (2'!A:A,1,FALSE),"")=A304,"Sim","Não")</f>
        <v>Não</v>
      </c>
      <c r="AP304" s="1" t="str">
        <f>+IF(IFERROR(VLOOKUP(A304,Ficheiros!T:T,1,FALSE),"")=A304,"Sim","Não")</f>
        <v>Sim</v>
      </c>
      <c r="AQ304" s="1" t="e">
        <f>+VLOOKUP(A304,Ficheiros!O:P,2,FALSE)</f>
        <v>#N/A</v>
      </c>
      <c r="AR304" s="1" t="str">
        <f>+VLOOKUP(A304,Ficheiros!T:U,2,FALSE)</f>
        <v>9. Concluído</v>
      </c>
      <c r="AS304" s="1" t="str">
        <f>+VLOOKUP(A304,Ficheiros!T:V,3,FALSE)</f>
        <v>PM</v>
      </c>
      <c r="AT304" s="1"/>
      <c r="AU304" s="1"/>
      <c r="AV304" s="1"/>
      <c r="AW304" s="1"/>
      <c r="AX304" s="1"/>
    </row>
    <row r="305" spans="1:50" ht="14.5" hidden="1" customHeight="1" x14ac:dyDescent="0.35">
      <c r="A305" s="5" t="str">
        <f t="shared" si="8"/>
        <v>INSTRUMENTSICR_ASSSSMNT_MTHD</v>
      </c>
      <c r="B305" s="1" t="s">
        <v>1295</v>
      </c>
      <c r="C305" s="1" t="s">
        <v>785</v>
      </c>
      <c r="D305" s="1" t="s">
        <v>395</v>
      </c>
      <c r="E305" s="1" t="s">
        <v>37</v>
      </c>
      <c r="F305" s="25" t="s">
        <v>1296</v>
      </c>
      <c r="G305" s="1" t="s">
        <v>1296</v>
      </c>
      <c r="H305" s="1" t="s">
        <v>39</v>
      </c>
      <c r="I305" s="1" t="s">
        <v>39</v>
      </c>
      <c r="J305" s="1" t="s">
        <v>39</v>
      </c>
      <c r="K305" s="1" t="s">
        <v>39</v>
      </c>
      <c r="L305" s="1" t="s">
        <v>39</v>
      </c>
      <c r="M305" s="1" t="s">
        <v>39</v>
      </c>
      <c r="N305" s="1" t="s">
        <v>39</v>
      </c>
      <c r="O305" s="1" t="s">
        <v>39</v>
      </c>
      <c r="P305" s="1" t="s">
        <v>37</v>
      </c>
      <c r="Q305" s="1" t="s">
        <v>37</v>
      </c>
      <c r="R305" s="1" t="s">
        <v>136</v>
      </c>
      <c r="S305" s="1" t="s">
        <v>52</v>
      </c>
      <c r="T305" s="1">
        <v>99999999999</v>
      </c>
      <c r="U305" s="1">
        <v>11111111111</v>
      </c>
      <c r="V305" s="1">
        <v>11111111111</v>
      </c>
      <c r="W305" s="1" t="s">
        <v>1297</v>
      </c>
      <c r="X305" s="1" t="s">
        <v>1298</v>
      </c>
      <c r="Y305" s="1" t="s">
        <v>45</v>
      </c>
      <c r="Z305" s="1" t="s">
        <v>46</v>
      </c>
      <c r="AA305" s="1" t="s">
        <v>47</v>
      </c>
      <c r="AB305" s="1" t="s">
        <v>39</v>
      </c>
      <c r="AC305" s="1" t="s">
        <v>37</v>
      </c>
      <c r="AD305" s="1" t="s">
        <v>37</v>
      </c>
      <c r="AE305" s="1" t="s">
        <v>37</v>
      </c>
      <c r="AF305" s="1" t="s">
        <v>37</v>
      </c>
      <c r="AG305" s="1" t="s">
        <v>39</v>
      </c>
      <c r="AH305" s="1" t="s">
        <v>37</v>
      </c>
      <c r="AI305" s="1" t="s">
        <v>37</v>
      </c>
      <c r="AJ305" s="1" t="s">
        <v>39</v>
      </c>
      <c r="AK305" s="1" t="str">
        <f t="shared" si="9"/>
        <v>Fora de âmbito</v>
      </c>
      <c r="AL305" s="1" t="str">
        <f>+IF(IFERROR(VLOOKUP(A305,Ficheiros!I:I,1,FALSE),"")=A305,"Sim","Não")</f>
        <v>Sim</v>
      </c>
      <c r="AM305" s="1" t="str">
        <f>+IF(IFERROR(VLOOKUP(A305,Ficheiros!E:E,1,FALSE),"")=A305,"Sim","Não")</f>
        <v>Não</v>
      </c>
      <c r="AN305" s="1" t="str">
        <f>+IF(IFERROR(VLOOKUP(A305,Ficheiros!O:O,1,FALSE),"")=A305,"Sim","Não")</f>
        <v>Não</v>
      </c>
      <c r="AO305" s="1" t="str">
        <f>+IF(IFERROR(VLOOKUP(A305,'Especificação Novos Req. LT (2'!A:A,1,FALSE),"")=A305,"Sim","Não")</f>
        <v>Não</v>
      </c>
      <c r="AP305" s="1" t="str">
        <f>+IF(IFERROR(VLOOKUP(A305,Ficheiros!T:T,1,FALSE),"")=A305,"Sim","Não")</f>
        <v>Sim</v>
      </c>
      <c r="AQ305" s="1" t="e">
        <f>+VLOOKUP(A305,Ficheiros!O:P,2,FALSE)</f>
        <v>#N/A</v>
      </c>
      <c r="AR305" s="1" t="str">
        <f>+VLOOKUP(A305,Ficheiros!T:U,2,FALSE)</f>
        <v>9. Concluído</v>
      </c>
      <c r="AS305" s="1" t="str">
        <f>+VLOOKUP(A305,Ficheiros!T:V,3,FALSE)</f>
        <v>PM</v>
      </c>
      <c r="AT305" s="1"/>
      <c r="AU305" s="1"/>
      <c r="AV305" s="1"/>
      <c r="AW305" s="1"/>
      <c r="AX305" s="1"/>
    </row>
    <row r="306" spans="1:50" ht="14.5" hidden="1" customHeight="1" x14ac:dyDescent="0.35">
      <c r="A306" s="5" t="str">
        <f t="shared" si="8"/>
        <v>INSTRUMENTANNLSD_AGRD_RT</v>
      </c>
      <c r="B306" s="1" t="s">
        <v>1299</v>
      </c>
      <c r="C306" s="1" t="s">
        <v>785</v>
      </c>
      <c r="D306" s="1" t="s">
        <v>1300</v>
      </c>
      <c r="E306" s="1" t="s">
        <v>39</v>
      </c>
      <c r="F306" s="25" t="s">
        <v>1301</v>
      </c>
      <c r="G306" s="38" t="s">
        <v>1301</v>
      </c>
      <c r="H306" s="1" t="s">
        <v>39</v>
      </c>
      <c r="I306" s="1" t="s">
        <v>39</v>
      </c>
      <c r="J306" s="1" t="s">
        <v>39</v>
      </c>
      <c r="K306" s="1" t="s">
        <v>39</v>
      </c>
      <c r="L306" s="1" t="s">
        <v>39</v>
      </c>
      <c r="M306" s="1" t="s">
        <v>39</v>
      </c>
      <c r="N306" s="1" t="s">
        <v>39</v>
      </c>
      <c r="O306" s="1" t="s">
        <v>39</v>
      </c>
      <c r="P306" s="1" t="s">
        <v>37</v>
      </c>
      <c r="Q306" s="1" t="s">
        <v>37</v>
      </c>
      <c r="R306" s="1" t="s">
        <v>342</v>
      </c>
      <c r="S306" s="1" t="s">
        <v>274</v>
      </c>
      <c r="T306" s="1">
        <v>99999999999</v>
      </c>
      <c r="U306" s="1">
        <v>11111111111</v>
      </c>
      <c r="V306" s="1">
        <v>11111111111</v>
      </c>
      <c r="W306" s="1" t="s">
        <v>1302</v>
      </c>
      <c r="X306" s="1" t="s">
        <v>1303</v>
      </c>
      <c r="Y306" s="1" t="s">
        <v>66</v>
      </c>
      <c r="Z306" s="1" t="s">
        <v>1304</v>
      </c>
      <c r="AA306" s="1" t="s">
        <v>47</v>
      </c>
      <c r="AB306" s="1" t="s">
        <v>39</v>
      </c>
      <c r="AC306" s="1" t="s">
        <v>37</v>
      </c>
      <c r="AD306" s="1" t="s">
        <v>37</v>
      </c>
      <c r="AE306" s="1" t="s">
        <v>39</v>
      </c>
      <c r="AF306" s="1" t="s">
        <v>37</v>
      </c>
      <c r="AG306" s="1" t="s">
        <v>37</v>
      </c>
      <c r="AH306" s="1" t="s">
        <v>37</v>
      </c>
      <c r="AI306" s="1" t="s">
        <v>39</v>
      </c>
      <c r="AJ306" s="1" t="s">
        <v>39</v>
      </c>
      <c r="AK306" s="1" t="str">
        <f t="shared" si="9"/>
        <v>Fora de âmbito</v>
      </c>
      <c r="AL306" s="1" t="str">
        <f>+IF(IFERROR(VLOOKUP(A306,Ficheiros!I:I,1,FALSE),"")=A306,"Sim","Não")</f>
        <v>Sim</v>
      </c>
      <c r="AM306" s="1" t="str">
        <f>+IF(IFERROR(VLOOKUP(A306,Ficheiros!E:E,1,FALSE),"")=A306,"Sim","Não")</f>
        <v>Não</v>
      </c>
      <c r="AN306" s="1" t="str">
        <f>+IF(IFERROR(VLOOKUP(A306,Ficheiros!O:O,1,FALSE),"")=A306,"Sim","Não")</f>
        <v>Não</v>
      </c>
      <c r="AO306" s="1" t="str">
        <f>+IF(IFERROR(VLOOKUP(A306,'Especificação Novos Req. LT (2'!A:A,1,FALSE),"")=A306,"Sim","Não")</f>
        <v>Sim</v>
      </c>
      <c r="AP306" s="1" t="str">
        <f>+IF(IFERROR(VLOOKUP(A306,Ficheiros!T:T,1,FALSE),"")=A306,"Sim","Não")</f>
        <v>Sim</v>
      </c>
      <c r="AQ306" s="1" t="e">
        <f>+VLOOKUP(A306,Ficheiros!O:P,2,FALSE)</f>
        <v>#N/A</v>
      </c>
      <c r="AR306" s="1" t="str">
        <f>+VLOOKUP(A306,Ficheiros!T:U,2,FALSE)</f>
        <v>3. Pendente de decisão</v>
      </c>
      <c r="AS306" s="1" t="str">
        <f>+VLOOKUP(A306,Ficheiros!T:V,3,FALSE)</f>
        <v>PM</v>
      </c>
      <c r="AT306" s="1"/>
      <c r="AU306" s="1"/>
      <c r="AV306" s="1"/>
      <c r="AW306" s="1"/>
      <c r="AX306" s="1"/>
    </row>
    <row r="307" spans="1:50" ht="14.5" hidden="1" customHeight="1" x14ac:dyDescent="0.35">
      <c r="A307" s="5" t="str">
        <f t="shared" si="8"/>
        <v>INSTRUMENTEIR</v>
      </c>
      <c r="B307" s="1" t="s">
        <v>1305</v>
      </c>
      <c r="C307" s="1" t="s">
        <v>785</v>
      </c>
      <c r="D307" s="1" t="s">
        <v>1300</v>
      </c>
      <c r="E307" s="1" t="s">
        <v>37</v>
      </c>
      <c r="F307" s="26" t="s">
        <v>1306</v>
      </c>
      <c r="G307" s="24" t="s">
        <v>1306</v>
      </c>
      <c r="H307" s="1" t="s">
        <v>37</v>
      </c>
      <c r="I307" s="1" t="s">
        <v>39</v>
      </c>
      <c r="J307" s="1" t="s">
        <v>39</v>
      </c>
      <c r="K307" s="1" t="s">
        <v>39</v>
      </c>
      <c r="L307" s="1" t="s">
        <v>39</v>
      </c>
      <c r="M307" s="1" t="s">
        <v>39</v>
      </c>
      <c r="N307" s="1" t="s">
        <v>39</v>
      </c>
      <c r="O307" s="1" t="s">
        <v>37</v>
      </c>
      <c r="P307" s="1" t="s">
        <v>37</v>
      </c>
      <c r="Q307" s="1" t="s">
        <v>37</v>
      </c>
      <c r="R307" s="1" t="s">
        <v>342</v>
      </c>
      <c r="S307" s="1" t="s">
        <v>274</v>
      </c>
      <c r="T307" s="1">
        <v>99999999999</v>
      </c>
      <c r="U307" s="1">
        <v>11111111111</v>
      </c>
      <c r="V307" s="1">
        <v>11111111111</v>
      </c>
      <c r="W307" s="1" t="s">
        <v>1307</v>
      </c>
      <c r="X307" s="1" t="s">
        <v>1308</v>
      </c>
      <c r="Y307" s="1" t="s">
        <v>45</v>
      </c>
      <c r="Z307" s="1" t="s">
        <v>46</v>
      </c>
      <c r="AA307" s="1" t="s">
        <v>47</v>
      </c>
      <c r="AB307" s="1" t="s">
        <v>39</v>
      </c>
      <c r="AC307" s="1" t="s">
        <v>37</v>
      </c>
      <c r="AD307" s="1" t="s">
        <v>39</v>
      </c>
      <c r="AE307" s="1" t="s">
        <v>37</v>
      </c>
      <c r="AF307" s="1" t="s">
        <v>37</v>
      </c>
      <c r="AG307" s="1" t="s">
        <v>39</v>
      </c>
      <c r="AH307" s="1" t="s">
        <v>37</v>
      </c>
      <c r="AI307" s="1" t="s">
        <v>39</v>
      </c>
      <c r="AJ307" s="1" t="s">
        <v>39</v>
      </c>
      <c r="AK307" s="1" t="str">
        <f t="shared" si="9"/>
        <v>Apenas Pilar 3</v>
      </c>
      <c r="AL307" s="1" t="str">
        <f>+IF(IFERROR(VLOOKUP(A307,Ficheiros!I:I,1,FALSE),"")=A307,"Sim","Não")</f>
        <v>Sim</v>
      </c>
      <c r="AM307" s="1" t="str">
        <f>+IF(IFERROR(VLOOKUP(A307,Ficheiros!E:E,1,FALSE),"")=A307,"Sim","Não")</f>
        <v>Não</v>
      </c>
      <c r="AN307" s="1" t="str">
        <f>+IF(IFERROR(VLOOKUP(A307,Ficheiros!O:O,1,FALSE),"")=A307,"Sim","Não")</f>
        <v>Não</v>
      </c>
      <c r="AO307" s="1" t="str">
        <f>+IF(IFERROR(VLOOKUP(A307,'Especificação Novos Req. LT (2'!A:A,1,FALSE),"")=A307,"Sim","Não")</f>
        <v>Não</v>
      </c>
      <c r="AP307" s="1" t="str">
        <f>+IF(IFERROR(VLOOKUP(A307,Ficheiros!T:T,1,FALSE),"")=A307,"Sim","Não")</f>
        <v>Sim</v>
      </c>
      <c r="AQ307" s="1" t="e">
        <f>+VLOOKUP(A307,Ficheiros!O:P,2,FALSE)</f>
        <v>#N/A</v>
      </c>
      <c r="AR307" s="1" t="str">
        <f>+VLOOKUP(A307,Ficheiros!T:U,2,FALSE)</f>
        <v>7. Analisar controlos e completude</v>
      </c>
      <c r="AS307" s="1" t="str">
        <f>+VLOOKUP(A307,Ficheiros!T:V,3,FALSE)</f>
        <v>LF</v>
      </c>
      <c r="AT307" s="1" t="s">
        <v>2464</v>
      </c>
      <c r="AU307" s="1" t="s">
        <v>2465</v>
      </c>
      <c r="AV307" s="1" t="s">
        <v>2536</v>
      </c>
      <c r="AW307" s="1"/>
      <c r="AX307" s="1"/>
    </row>
    <row r="308" spans="1:50" ht="14.5" hidden="1" customHeight="1" x14ac:dyDescent="0.35">
      <c r="A308" s="5" t="str">
        <f t="shared" si="8"/>
        <v>INSTRUMENTEIR_INCPTN</v>
      </c>
      <c r="B308" s="1" t="s">
        <v>1309</v>
      </c>
      <c r="C308" s="1" t="s">
        <v>785</v>
      </c>
      <c r="D308" s="1" t="s">
        <v>1300</v>
      </c>
      <c r="E308" s="1" t="s">
        <v>37</v>
      </c>
      <c r="F308" s="25" t="s">
        <v>1310</v>
      </c>
      <c r="G308" s="1" t="s">
        <v>1310</v>
      </c>
      <c r="H308" s="1" t="s">
        <v>37</v>
      </c>
      <c r="I308" s="1" t="s">
        <v>39</v>
      </c>
      <c r="J308" s="1" t="s">
        <v>39</v>
      </c>
      <c r="K308" s="1" t="s">
        <v>39</v>
      </c>
      <c r="L308" s="1" t="s">
        <v>39</v>
      </c>
      <c r="M308" s="1" t="s">
        <v>39</v>
      </c>
      <c r="N308" s="1" t="s">
        <v>39</v>
      </c>
      <c r="O308" s="1" t="s">
        <v>37</v>
      </c>
      <c r="P308" s="1" t="s">
        <v>37</v>
      </c>
      <c r="Q308" s="1" t="s">
        <v>37</v>
      </c>
      <c r="R308" s="1" t="s">
        <v>342</v>
      </c>
      <c r="S308" s="1" t="s">
        <v>274</v>
      </c>
      <c r="T308" s="1">
        <v>99999999999</v>
      </c>
      <c r="U308" s="1">
        <v>11111111111</v>
      </c>
      <c r="V308" s="1">
        <v>11111111111</v>
      </c>
      <c r="W308" s="1" t="s">
        <v>1311</v>
      </c>
      <c r="X308" s="1" t="s">
        <v>1312</v>
      </c>
      <c r="Y308" s="1" t="s">
        <v>45</v>
      </c>
      <c r="Z308" s="1" t="s">
        <v>46</v>
      </c>
      <c r="AA308" s="1" t="s">
        <v>47</v>
      </c>
      <c r="AB308" s="1" t="s">
        <v>39</v>
      </c>
      <c r="AC308" s="1" t="s">
        <v>37</v>
      </c>
      <c r="AD308" s="1" t="s">
        <v>39</v>
      </c>
      <c r="AE308" s="1" t="s">
        <v>37</v>
      </c>
      <c r="AF308" s="1" t="s">
        <v>37</v>
      </c>
      <c r="AG308" s="1" t="s">
        <v>37</v>
      </c>
      <c r="AH308" s="1" t="s">
        <v>37</v>
      </c>
      <c r="AI308" s="1" t="s">
        <v>39</v>
      </c>
      <c r="AJ308" s="1" t="s">
        <v>39</v>
      </c>
      <c r="AK308" s="1" t="str">
        <f t="shared" si="9"/>
        <v>Apenas Pilar 3</v>
      </c>
      <c r="AL308" s="1" t="str">
        <f>+IF(IFERROR(VLOOKUP(A308,Ficheiros!I:I,1,FALSE),"")=A308,"Sim","Não")</f>
        <v>Sim</v>
      </c>
      <c r="AM308" s="1" t="str">
        <f>+IF(IFERROR(VLOOKUP(A308,Ficheiros!E:E,1,FALSE),"")=A308,"Sim","Não")</f>
        <v>Não</v>
      </c>
      <c r="AN308" s="1" t="str">
        <f>+IF(IFERROR(VLOOKUP(A308,Ficheiros!O:O,1,FALSE),"")=A308,"Sim","Não")</f>
        <v>Não</v>
      </c>
      <c r="AO308" s="1" t="str">
        <f>+IF(IFERROR(VLOOKUP(A308,'Especificação Novos Req. LT (2'!A:A,1,FALSE),"")=A308,"Sim","Não")</f>
        <v>Sim</v>
      </c>
      <c r="AP308" s="1" t="str">
        <f>+IF(IFERROR(VLOOKUP(A308,Ficheiros!T:T,1,FALSE),"")=A308,"Sim","Não")</f>
        <v>Sim</v>
      </c>
      <c r="AQ308" s="1" t="e">
        <f>+VLOOKUP(A308,Ficheiros!O:P,2,FALSE)</f>
        <v>#N/A</v>
      </c>
      <c r="AR308" s="1" t="str">
        <f>+VLOOKUP(A308,Ficheiros!T:U,2,FALSE)</f>
        <v>7. Analisar controlos e completude</v>
      </c>
      <c r="AS308" s="1" t="str">
        <f>+VLOOKUP(A308,Ficheiros!T:V,3,FALSE)</f>
        <v>PM</v>
      </c>
      <c r="AT308" s="1"/>
      <c r="AU308" s="1"/>
      <c r="AV308" s="1" t="s">
        <v>2535</v>
      </c>
      <c r="AW308" s="1"/>
      <c r="AX308" s="1"/>
    </row>
    <row r="309" spans="1:50" ht="14.5" hidden="1" customHeight="1" x14ac:dyDescent="0.35">
      <c r="A309" s="5" t="str">
        <f t="shared" si="8"/>
        <v>INSTRUMENTINTRST_RT_RST_FRQNCY</v>
      </c>
      <c r="B309" s="1" t="s">
        <v>1313</v>
      </c>
      <c r="C309" s="1" t="s">
        <v>785</v>
      </c>
      <c r="D309" s="1" t="s">
        <v>1300</v>
      </c>
      <c r="E309" s="1" t="s">
        <v>39</v>
      </c>
      <c r="F309" s="25" t="s">
        <v>1314</v>
      </c>
      <c r="G309" s="1" t="s">
        <v>1314</v>
      </c>
      <c r="H309" s="1" t="s">
        <v>37</v>
      </c>
      <c r="I309" s="1" t="s">
        <v>39</v>
      </c>
      <c r="J309" s="1" t="s">
        <v>39</v>
      </c>
      <c r="K309" s="1" t="s">
        <v>39</v>
      </c>
      <c r="L309" s="1" t="s">
        <v>39</v>
      </c>
      <c r="M309" s="1" t="s">
        <v>39</v>
      </c>
      <c r="N309" s="1" t="s">
        <v>39</v>
      </c>
      <c r="O309" s="1" t="s">
        <v>39</v>
      </c>
      <c r="P309" s="1" t="s">
        <v>37</v>
      </c>
      <c r="Q309" s="1" t="s">
        <v>37</v>
      </c>
      <c r="R309" s="1" t="s">
        <v>136</v>
      </c>
      <c r="S309" s="1" t="s">
        <v>52</v>
      </c>
      <c r="T309" s="1">
        <v>99999999999</v>
      </c>
      <c r="U309" s="1">
        <v>11111111111</v>
      </c>
      <c r="V309" s="1">
        <v>11111111111</v>
      </c>
      <c r="W309" s="1" t="s">
        <v>1315</v>
      </c>
      <c r="X309" s="1" t="s">
        <v>1316</v>
      </c>
      <c r="Y309" s="1" t="s">
        <v>56</v>
      </c>
      <c r="Z309" s="1" t="s">
        <v>57</v>
      </c>
      <c r="AA309" s="1" t="s">
        <v>47</v>
      </c>
      <c r="AB309" s="1" t="s">
        <v>39</v>
      </c>
      <c r="AC309" s="1" t="s">
        <v>37</v>
      </c>
      <c r="AD309" s="1" t="s">
        <v>37</v>
      </c>
      <c r="AE309" s="1" t="s">
        <v>37</v>
      </c>
      <c r="AF309" s="1" t="s">
        <v>37</v>
      </c>
      <c r="AG309" s="1" t="s">
        <v>37</v>
      </c>
      <c r="AH309" s="1" t="s">
        <v>37</v>
      </c>
      <c r="AI309" s="1" t="s">
        <v>37</v>
      </c>
      <c r="AJ309" s="1" t="s">
        <v>39</v>
      </c>
      <c r="AK309" s="1" t="str">
        <f t="shared" si="9"/>
        <v>Fora de âmbito</v>
      </c>
      <c r="AL309" s="1" t="str">
        <f>+IF(IFERROR(VLOOKUP(A309,Ficheiros!I:I,1,FALSE),"")=A309,"Sim","Não")</f>
        <v>Sim</v>
      </c>
      <c r="AM309" s="1" t="str">
        <f>+IF(IFERROR(VLOOKUP(A309,Ficheiros!E:E,1,FALSE),"")=A309,"Sim","Não")</f>
        <v>Não</v>
      </c>
      <c r="AN309" s="1" t="str">
        <f>+IF(IFERROR(VLOOKUP(A309,Ficheiros!O:O,1,FALSE),"")=A309,"Sim","Não")</f>
        <v>Não</v>
      </c>
      <c r="AO309" s="1" t="str">
        <f>+IF(IFERROR(VLOOKUP(A309,'Especificação Novos Req. LT (2'!A:A,1,FALSE),"")=A309,"Sim","Não")</f>
        <v>Não</v>
      </c>
      <c r="AP309" s="1" t="str">
        <f>+IF(IFERROR(VLOOKUP(A309,Ficheiros!T:T,1,FALSE),"")=A309,"Sim","Não")</f>
        <v>Sim</v>
      </c>
      <c r="AQ309" s="1" t="e">
        <f>+VLOOKUP(A309,Ficheiros!O:P,2,FALSE)</f>
        <v>#N/A</v>
      </c>
      <c r="AR309" s="1" t="str">
        <f>+VLOOKUP(A309,Ficheiros!T:U,2,FALSE)</f>
        <v>9. Concluído</v>
      </c>
      <c r="AS309" s="1" t="str">
        <f>+VLOOKUP(A309,Ficheiros!T:V,3,FALSE)</f>
        <v>PM</v>
      </c>
      <c r="AT309" s="1"/>
      <c r="AU309" s="1"/>
      <c r="AV309" s="1"/>
      <c r="AW309" s="1"/>
      <c r="AX309" s="1"/>
    </row>
    <row r="310" spans="1:50" ht="14.5" hidden="1" customHeight="1" x14ac:dyDescent="0.35">
      <c r="A310" s="5" t="str">
        <f t="shared" si="8"/>
        <v>INSTRUMENTRCVD_AMRTSTN_12M</v>
      </c>
      <c r="B310" s="1" t="s">
        <v>1317</v>
      </c>
      <c r="C310" s="1" t="s">
        <v>785</v>
      </c>
      <c r="D310" s="1" t="s">
        <v>1318</v>
      </c>
      <c r="E310" s="1" t="s">
        <v>37</v>
      </c>
      <c r="F310" s="25" t="s">
        <v>1319</v>
      </c>
      <c r="G310" s="1" t="s">
        <v>1319</v>
      </c>
      <c r="H310" s="1" t="s">
        <v>37</v>
      </c>
      <c r="I310" s="1" t="s">
        <v>39</v>
      </c>
      <c r="J310" s="1" t="s">
        <v>39</v>
      </c>
      <c r="K310" s="1" t="s">
        <v>39</v>
      </c>
      <c r="L310" s="1" t="s">
        <v>39</v>
      </c>
      <c r="M310" s="1" t="s">
        <v>39</v>
      </c>
      <c r="N310" s="1" t="s">
        <v>39</v>
      </c>
      <c r="O310" s="1" t="s">
        <v>37</v>
      </c>
      <c r="P310" s="1" t="s">
        <v>37</v>
      </c>
      <c r="Q310" s="1" t="s">
        <v>37</v>
      </c>
      <c r="R310" s="1" t="s">
        <v>273</v>
      </c>
      <c r="S310" s="1" t="s">
        <v>274</v>
      </c>
      <c r="T310" s="1">
        <v>99999999999</v>
      </c>
      <c r="U310" s="1">
        <v>11111111111</v>
      </c>
      <c r="V310" s="1">
        <v>11111111111</v>
      </c>
      <c r="W310" s="1" t="s">
        <v>1320</v>
      </c>
      <c r="X310" s="1" t="s">
        <v>1321</v>
      </c>
      <c r="Y310" s="1" t="s">
        <v>45</v>
      </c>
      <c r="Z310" s="1" t="s">
        <v>46</v>
      </c>
      <c r="AA310" s="1" t="s">
        <v>47</v>
      </c>
      <c r="AB310" s="1" t="s">
        <v>39</v>
      </c>
      <c r="AC310" s="1" t="s">
        <v>37</v>
      </c>
      <c r="AD310" s="1" t="s">
        <v>37</v>
      </c>
      <c r="AE310" s="1" t="s">
        <v>37</v>
      </c>
      <c r="AF310" s="1" t="s">
        <v>37</v>
      </c>
      <c r="AG310" s="1" t="s">
        <v>39</v>
      </c>
      <c r="AH310" s="1" t="s">
        <v>37</v>
      </c>
      <c r="AI310" s="1" t="s">
        <v>37</v>
      </c>
      <c r="AJ310" s="1" t="s">
        <v>39</v>
      </c>
      <c r="AK310" s="1" t="str">
        <f t="shared" si="9"/>
        <v>Fora de âmbito</v>
      </c>
      <c r="AL310" s="1" t="str">
        <f>+IF(IFERROR(VLOOKUP(A310,Ficheiros!I:I,1,FALSE),"")=A310,"Sim","Não")</f>
        <v>Sim</v>
      </c>
      <c r="AM310" s="1" t="str">
        <f>+IF(IFERROR(VLOOKUP(A310,Ficheiros!E:E,1,FALSE),"")=A310,"Sim","Não")</f>
        <v>Não</v>
      </c>
      <c r="AN310" s="1" t="str">
        <f>+IF(IFERROR(VLOOKUP(A310,Ficheiros!O:O,1,FALSE),"")=A310,"Sim","Não")</f>
        <v>Não</v>
      </c>
      <c r="AO310" s="1" t="str">
        <f>+IF(IFERROR(VLOOKUP(A310,'Especificação Novos Req. LT (2'!A:A,1,FALSE),"")=A310,"Sim","Não")</f>
        <v>Não</v>
      </c>
      <c r="AP310" s="1" t="str">
        <f>+IF(IFERROR(VLOOKUP(A310,Ficheiros!T:T,1,FALSE),"")=A310,"Sim","Não")</f>
        <v>Sim</v>
      </c>
      <c r="AQ310" s="1" t="e">
        <f>+VLOOKUP(A310,Ficheiros!O:P,2,FALSE)</f>
        <v>#N/A</v>
      </c>
      <c r="AR310" s="1" t="str">
        <f>+VLOOKUP(A310,Ficheiros!T:U,2,FALSE)</f>
        <v>7. Analisar controlos e completude</v>
      </c>
      <c r="AS310" s="1" t="str">
        <f>+VLOOKUP(A310,Ficheiros!T:V,3,FALSE)</f>
        <v>LF</v>
      </c>
      <c r="AT310" s="1"/>
      <c r="AU310" s="1"/>
      <c r="AV310" s="1"/>
      <c r="AW310" s="1"/>
      <c r="AX310" s="1"/>
    </row>
    <row r="311" spans="1:50" ht="14.5" hidden="1" customHeight="1" x14ac:dyDescent="0.35">
      <c r="A311" s="5" t="str">
        <f t="shared" si="8"/>
        <v>INSTRUMENTRCVD_AMRTSTN_24M</v>
      </c>
      <c r="B311" s="1" t="s">
        <v>1322</v>
      </c>
      <c r="C311" s="1" t="s">
        <v>785</v>
      </c>
      <c r="D311" s="1" t="s">
        <v>1318</v>
      </c>
      <c r="E311" s="1" t="s">
        <v>37</v>
      </c>
      <c r="F311" s="25" t="s">
        <v>1323</v>
      </c>
      <c r="G311" s="1" t="s">
        <v>1323</v>
      </c>
      <c r="H311" s="1" t="s">
        <v>37</v>
      </c>
      <c r="I311" s="1" t="s">
        <v>39</v>
      </c>
      <c r="J311" s="1" t="s">
        <v>39</v>
      </c>
      <c r="K311" s="1" t="s">
        <v>39</v>
      </c>
      <c r="L311" s="1" t="s">
        <v>39</v>
      </c>
      <c r="M311" s="1" t="s">
        <v>39</v>
      </c>
      <c r="N311" s="1" t="s">
        <v>39</v>
      </c>
      <c r="O311" s="1" t="s">
        <v>37</v>
      </c>
      <c r="P311" s="1" t="s">
        <v>37</v>
      </c>
      <c r="Q311" s="1" t="s">
        <v>37</v>
      </c>
      <c r="R311" s="1" t="s">
        <v>273</v>
      </c>
      <c r="S311" s="1" t="s">
        <v>274</v>
      </c>
      <c r="T311" s="1">
        <v>99999999999</v>
      </c>
      <c r="U311" s="1">
        <v>11111111111</v>
      </c>
      <c r="V311" s="1">
        <v>11111111111</v>
      </c>
      <c r="W311" s="1" t="s">
        <v>1324</v>
      </c>
      <c r="X311" s="1" t="s">
        <v>1325</v>
      </c>
      <c r="Y311" s="1" t="s">
        <v>45</v>
      </c>
      <c r="Z311" s="1" t="s">
        <v>46</v>
      </c>
      <c r="AA311" s="1" t="s">
        <v>47</v>
      </c>
      <c r="AB311" s="1" t="s">
        <v>39</v>
      </c>
      <c r="AC311" s="1" t="s">
        <v>37</v>
      </c>
      <c r="AD311" s="1" t="s">
        <v>37</v>
      </c>
      <c r="AE311" s="1" t="s">
        <v>37</v>
      </c>
      <c r="AF311" s="1" t="s">
        <v>37</v>
      </c>
      <c r="AG311" s="1" t="s">
        <v>39</v>
      </c>
      <c r="AH311" s="1" t="s">
        <v>37</v>
      </c>
      <c r="AI311" s="1" t="s">
        <v>37</v>
      </c>
      <c r="AJ311" s="1" t="s">
        <v>39</v>
      </c>
      <c r="AK311" s="1" t="str">
        <f t="shared" si="9"/>
        <v>Fora de âmbito</v>
      </c>
      <c r="AL311" s="1" t="str">
        <f>+IF(IFERROR(VLOOKUP(A311,Ficheiros!I:I,1,FALSE),"")=A311,"Sim","Não")</f>
        <v>Sim</v>
      </c>
      <c r="AM311" s="1" t="str">
        <f>+IF(IFERROR(VLOOKUP(A311,Ficheiros!E:E,1,FALSE),"")=A311,"Sim","Não")</f>
        <v>Não</v>
      </c>
      <c r="AN311" s="1" t="str">
        <f>+IF(IFERROR(VLOOKUP(A311,Ficheiros!O:O,1,FALSE),"")=A311,"Sim","Não")</f>
        <v>Não</v>
      </c>
      <c r="AO311" s="1" t="str">
        <f>+IF(IFERROR(VLOOKUP(A311,'Especificação Novos Req. LT (2'!A:A,1,FALSE),"")=A311,"Sim","Não")</f>
        <v>Não</v>
      </c>
      <c r="AP311" s="1" t="str">
        <f>+IF(IFERROR(VLOOKUP(A311,Ficheiros!T:T,1,FALSE),"")=A311,"Sim","Não")</f>
        <v>Sim</v>
      </c>
      <c r="AQ311" s="1" t="e">
        <f>+VLOOKUP(A311,Ficheiros!O:P,2,FALSE)</f>
        <v>#N/A</v>
      </c>
      <c r="AR311" s="1" t="str">
        <f>+VLOOKUP(A311,Ficheiros!T:U,2,FALSE)</f>
        <v>9. Concluído</v>
      </c>
      <c r="AS311" s="1" t="str">
        <f>+VLOOKUP(A311,Ficheiros!T:V,3,FALSE)</f>
        <v>PM</v>
      </c>
      <c r="AT311" s="1"/>
      <c r="AU311" s="1"/>
      <c r="AV311" s="1"/>
      <c r="AW311" s="1"/>
      <c r="AX311" s="1"/>
    </row>
    <row r="312" spans="1:50" ht="14.5" hidden="1" customHeight="1" x14ac:dyDescent="0.35">
      <c r="A312" s="5" t="str">
        <f t="shared" si="8"/>
        <v>INSTRUMENTRCVD_INTRST_12M</v>
      </c>
      <c r="B312" s="1" t="s">
        <v>1326</v>
      </c>
      <c r="C312" s="1" t="s">
        <v>785</v>
      </c>
      <c r="D312" s="1" t="s">
        <v>1318</v>
      </c>
      <c r="E312" s="1" t="s">
        <v>37</v>
      </c>
      <c r="F312" s="25" t="s">
        <v>1327</v>
      </c>
      <c r="G312" s="1" t="s">
        <v>1327</v>
      </c>
      <c r="H312" s="1" t="s">
        <v>37</v>
      </c>
      <c r="I312" s="1" t="s">
        <v>39</v>
      </c>
      <c r="J312" s="1" t="s">
        <v>39</v>
      </c>
      <c r="K312" s="1" t="s">
        <v>39</v>
      </c>
      <c r="L312" s="1" t="s">
        <v>39</v>
      </c>
      <c r="M312" s="1" t="s">
        <v>39</v>
      </c>
      <c r="N312" s="1" t="s">
        <v>39</v>
      </c>
      <c r="O312" s="1" t="s">
        <v>39</v>
      </c>
      <c r="P312" s="1" t="s">
        <v>37</v>
      </c>
      <c r="Q312" s="1" t="s">
        <v>37</v>
      </c>
      <c r="R312" s="1" t="s">
        <v>273</v>
      </c>
      <c r="S312" s="1" t="s">
        <v>274</v>
      </c>
      <c r="T312" s="1">
        <v>99999999999</v>
      </c>
      <c r="U312" s="1">
        <v>11111111111</v>
      </c>
      <c r="V312" s="1">
        <v>11111111111</v>
      </c>
      <c r="W312" s="1" t="s">
        <v>1328</v>
      </c>
      <c r="X312" s="1" t="s">
        <v>1329</v>
      </c>
      <c r="Y312" s="1" t="s">
        <v>45</v>
      </c>
      <c r="Z312" s="1" t="s">
        <v>46</v>
      </c>
      <c r="AA312" s="1" t="s">
        <v>47</v>
      </c>
      <c r="AB312" s="1" t="s">
        <v>39</v>
      </c>
      <c r="AC312" s="1" t="s">
        <v>37</v>
      </c>
      <c r="AD312" s="1" t="s">
        <v>37</v>
      </c>
      <c r="AE312" s="1" t="s">
        <v>37</v>
      </c>
      <c r="AF312" s="1" t="s">
        <v>37</v>
      </c>
      <c r="AG312" s="1" t="s">
        <v>39</v>
      </c>
      <c r="AH312" s="1" t="s">
        <v>37</v>
      </c>
      <c r="AI312" s="1" t="s">
        <v>37</v>
      </c>
      <c r="AJ312" s="1" t="s">
        <v>39</v>
      </c>
      <c r="AK312" s="1" t="str">
        <f t="shared" si="9"/>
        <v>Fora de âmbito</v>
      </c>
      <c r="AL312" s="1" t="str">
        <f>+IF(IFERROR(VLOOKUP(A312,Ficheiros!I:I,1,FALSE),"")=A312,"Sim","Não")</f>
        <v>Sim</v>
      </c>
      <c r="AM312" s="1" t="str">
        <f>+IF(IFERROR(VLOOKUP(A312,Ficheiros!E:E,1,FALSE),"")=A312,"Sim","Não")</f>
        <v>Não</v>
      </c>
      <c r="AN312" s="1" t="str">
        <f>+IF(IFERROR(VLOOKUP(A312,Ficheiros!O:O,1,FALSE),"")=A312,"Sim","Não")</f>
        <v>Não</v>
      </c>
      <c r="AO312" s="1" t="str">
        <f>+IF(IFERROR(VLOOKUP(A312,'Especificação Novos Req. LT (2'!A:A,1,FALSE),"")=A312,"Sim","Não")</f>
        <v>Não</v>
      </c>
      <c r="AP312" s="1" t="str">
        <f>+IF(IFERROR(VLOOKUP(A312,Ficheiros!T:T,1,FALSE),"")=A312,"Sim","Não")</f>
        <v>Sim</v>
      </c>
      <c r="AQ312" s="1" t="e">
        <f>+VLOOKUP(A312,Ficheiros!O:P,2,FALSE)</f>
        <v>#N/A</v>
      </c>
      <c r="AR312" s="1" t="str">
        <f>+VLOOKUP(A312,Ficheiros!T:U,2,FALSE)</f>
        <v>2. Alterar especificação</v>
      </c>
      <c r="AS312" s="1" t="str">
        <f>+VLOOKUP(A312,Ficheiros!T:V,3,FALSE)</f>
        <v>LF</v>
      </c>
      <c r="AT312" s="1"/>
      <c r="AU312" s="1"/>
      <c r="AV312" s="1"/>
      <c r="AW312" s="1"/>
      <c r="AX312" s="1"/>
    </row>
    <row r="313" spans="1:50" ht="14.5" hidden="1" customHeight="1" x14ac:dyDescent="0.35">
      <c r="A313" s="5" t="str">
        <f t="shared" si="8"/>
        <v>INSTRUMENTRCVD_INTRST_24M</v>
      </c>
      <c r="B313" s="1" t="s">
        <v>1330</v>
      </c>
      <c r="C313" s="1" t="s">
        <v>785</v>
      </c>
      <c r="D313" s="1" t="s">
        <v>1318</v>
      </c>
      <c r="E313" s="1" t="s">
        <v>37</v>
      </c>
      <c r="F313" s="25" t="s">
        <v>1331</v>
      </c>
      <c r="G313" s="1" t="s">
        <v>1331</v>
      </c>
      <c r="H313" s="1" t="s">
        <v>37</v>
      </c>
      <c r="I313" s="1" t="s">
        <v>39</v>
      </c>
      <c r="J313" s="1" t="s">
        <v>39</v>
      </c>
      <c r="K313" s="1" t="s">
        <v>39</v>
      </c>
      <c r="L313" s="1" t="s">
        <v>39</v>
      </c>
      <c r="M313" s="1" t="s">
        <v>39</v>
      </c>
      <c r="N313" s="1" t="s">
        <v>39</v>
      </c>
      <c r="O313" s="1" t="s">
        <v>39</v>
      </c>
      <c r="P313" s="1" t="s">
        <v>37</v>
      </c>
      <c r="Q313" s="1" t="s">
        <v>37</v>
      </c>
      <c r="R313" s="1" t="s">
        <v>273</v>
      </c>
      <c r="S313" s="1" t="s">
        <v>274</v>
      </c>
      <c r="T313" s="1">
        <v>99999999999</v>
      </c>
      <c r="U313" s="1">
        <v>11111111111</v>
      </c>
      <c r="V313" s="1">
        <v>11111111111</v>
      </c>
      <c r="W313" s="1" t="s">
        <v>1332</v>
      </c>
      <c r="X313" s="1" t="s">
        <v>1329</v>
      </c>
      <c r="Y313" s="1" t="s">
        <v>45</v>
      </c>
      <c r="Z313" s="1" t="s">
        <v>46</v>
      </c>
      <c r="AA313" s="1" t="s">
        <v>47</v>
      </c>
      <c r="AB313" s="1" t="s">
        <v>39</v>
      </c>
      <c r="AC313" s="1" t="s">
        <v>37</v>
      </c>
      <c r="AD313" s="1" t="s">
        <v>37</v>
      </c>
      <c r="AE313" s="1" t="s">
        <v>37</v>
      </c>
      <c r="AF313" s="1" t="s">
        <v>37</v>
      </c>
      <c r="AG313" s="1" t="s">
        <v>39</v>
      </c>
      <c r="AH313" s="1" t="s">
        <v>37</v>
      </c>
      <c r="AI313" s="1" t="s">
        <v>37</v>
      </c>
      <c r="AJ313" s="1" t="s">
        <v>39</v>
      </c>
      <c r="AK313" s="1" t="str">
        <f t="shared" si="9"/>
        <v>Fora de âmbito</v>
      </c>
      <c r="AL313" s="1" t="str">
        <f>+IF(IFERROR(VLOOKUP(A313,Ficheiros!I:I,1,FALSE),"")=A313,"Sim","Não")</f>
        <v>Sim</v>
      </c>
      <c r="AM313" s="1" t="str">
        <f>+IF(IFERROR(VLOOKUP(A313,Ficheiros!E:E,1,FALSE),"")=A313,"Sim","Não")</f>
        <v>Não</v>
      </c>
      <c r="AN313" s="1" t="str">
        <f>+IF(IFERROR(VLOOKUP(A313,Ficheiros!O:O,1,FALSE),"")=A313,"Sim","Não")</f>
        <v>Não</v>
      </c>
      <c r="AO313" s="1" t="str">
        <f>+IF(IFERROR(VLOOKUP(A313,'Especificação Novos Req. LT (2'!A:A,1,FALSE),"")=A313,"Sim","Não")</f>
        <v>Não</v>
      </c>
      <c r="AP313" s="1" t="str">
        <f>+IF(IFERROR(VLOOKUP(A313,Ficheiros!T:T,1,FALSE),"")=A313,"Sim","Não")</f>
        <v>Sim</v>
      </c>
      <c r="AQ313" s="1" t="e">
        <f>+VLOOKUP(A313,Ficheiros!O:P,2,FALSE)</f>
        <v>#N/A</v>
      </c>
      <c r="AR313" s="1" t="str">
        <f>+VLOOKUP(A313,Ficheiros!T:U,2,FALSE)</f>
        <v>2. Alterar especificação</v>
      </c>
      <c r="AS313" s="1" t="str">
        <f>+VLOOKUP(A313,Ficheiros!T:V,3,FALSE)</f>
        <v>LF</v>
      </c>
      <c r="AT313" s="1"/>
      <c r="AU313" s="1"/>
      <c r="AV313" s="1"/>
      <c r="AW313" s="1"/>
      <c r="AX313" s="1"/>
    </row>
    <row r="314" spans="1:50" ht="14.5" hidden="1" customHeight="1" x14ac:dyDescent="0.35">
      <c r="A314" s="5" t="str">
        <f t="shared" si="8"/>
        <v>INSTRUMENTSYNDCT_RL</v>
      </c>
      <c r="B314" s="1" t="s">
        <v>1333</v>
      </c>
      <c r="C314" s="1" t="s">
        <v>785</v>
      </c>
      <c r="D314" s="1" t="s">
        <v>1334</v>
      </c>
      <c r="E314" s="1" t="s">
        <v>37</v>
      </c>
      <c r="F314" s="25" t="s">
        <v>1335</v>
      </c>
      <c r="G314" s="1" t="s">
        <v>1335</v>
      </c>
      <c r="H314" s="1" t="s">
        <v>37</v>
      </c>
      <c r="I314" s="1" t="s">
        <v>37</v>
      </c>
      <c r="J314" s="1" t="s">
        <v>37</v>
      </c>
      <c r="K314" s="1" t="s">
        <v>37</v>
      </c>
      <c r="L314" s="1" t="s">
        <v>39</v>
      </c>
      <c r="M314" s="1" t="s">
        <v>39</v>
      </c>
      <c r="N314" s="1" t="s">
        <v>37</v>
      </c>
      <c r="O314" s="1" t="s">
        <v>37</v>
      </c>
      <c r="P314" s="1" t="s">
        <v>37</v>
      </c>
      <c r="Q314" s="1" t="s">
        <v>37</v>
      </c>
      <c r="R314" s="1" t="s">
        <v>136</v>
      </c>
      <c r="S314" s="1" t="s">
        <v>52</v>
      </c>
      <c r="T314" s="1">
        <v>99999999999</v>
      </c>
      <c r="U314" s="1">
        <v>11111111111</v>
      </c>
      <c r="V314" s="1">
        <v>11111111111</v>
      </c>
      <c r="W314" s="1" t="s">
        <v>1336</v>
      </c>
      <c r="X314" s="1" t="s">
        <v>1337</v>
      </c>
      <c r="Y314" s="1" t="s">
        <v>45</v>
      </c>
      <c r="Z314" s="1" t="s">
        <v>46</v>
      </c>
      <c r="AA314" s="1" t="s">
        <v>47</v>
      </c>
      <c r="AB314" s="1" t="s">
        <v>39</v>
      </c>
      <c r="AC314" s="1" t="s">
        <v>37</v>
      </c>
      <c r="AD314" s="1" t="s">
        <v>37</v>
      </c>
      <c r="AE314" s="1" t="s">
        <v>37</v>
      </c>
      <c r="AF314" s="1" t="s">
        <v>37</v>
      </c>
      <c r="AG314" s="1" t="s">
        <v>39</v>
      </c>
      <c r="AH314" s="1" t="s">
        <v>37</v>
      </c>
      <c r="AI314" s="1" t="s">
        <v>37</v>
      </c>
      <c r="AJ314" s="1" t="s">
        <v>39</v>
      </c>
      <c r="AK314" s="1" t="str">
        <f t="shared" si="9"/>
        <v>Fora de âmbito</v>
      </c>
      <c r="AL314" s="1" t="str">
        <f>+IF(IFERROR(VLOOKUP(A314,Ficheiros!I:I,1,FALSE),"")=A314,"Sim","Não")</f>
        <v>Sim</v>
      </c>
      <c r="AM314" s="1" t="str">
        <f>+IF(IFERROR(VLOOKUP(A314,Ficheiros!E:E,1,FALSE),"")=A314,"Sim","Não")</f>
        <v>Não</v>
      </c>
      <c r="AN314" s="1" t="str">
        <f>+IF(IFERROR(VLOOKUP(A314,Ficheiros!O:O,1,FALSE),"")=A314,"Sim","Não")</f>
        <v>Não</v>
      </c>
      <c r="AO314" s="1" t="str">
        <f>+IF(IFERROR(VLOOKUP(A314,'Especificação Novos Req. LT (2'!A:A,1,FALSE),"")=A314,"Sim","Não")</f>
        <v>Não</v>
      </c>
      <c r="AP314" s="1" t="str">
        <f>+IF(IFERROR(VLOOKUP(A314,Ficheiros!T:T,1,FALSE),"")=A314,"Sim","Não")</f>
        <v>Sim</v>
      </c>
      <c r="AQ314" s="1" t="e">
        <f>+VLOOKUP(A314,Ficheiros!O:P,2,FALSE)</f>
        <v>#N/A</v>
      </c>
      <c r="AR314" s="1" t="str">
        <f>+VLOOKUP(A314,Ficheiros!T:U,2,FALSE)</f>
        <v>6. Outros Desenvolvimentos</v>
      </c>
      <c r="AS314" s="1" t="str">
        <f>+VLOOKUP(A314,Ficheiros!T:V,3,FALSE)</f>
        <v>LF</v>
      </c>
      <c r="AT314" s="1"/>
      <c r="AU314" s="1"/>
      <c r="AV314" s="1"/>
      <c r="AW314" s="1"/>
      <c r="AX314" s="1"/>
    </row>
    <row r="315" spans="1:50" ht="14.5" hidden="1" customHeight="1" x14ac:dyDescent="0.35">
      <c r="A315" s="5" t="str">
        <f t="shared" si="8"/>
        <v>INSTRUMENTSYNDCTD_AGNT</v>
      </c>
      <c r="B315" s="1" t="s">
        <v>1338</v>
      </c>
      <c r="C315" s="1" t="s">
        <v>785</v>
      </c>
      <c r="D315" s="1" t="s">
        <v>1334</v>
      </c>
      <c r="E315" s="1" t="s">
        <v>37</v>
      </c>
      <c r="F315" s="26" t="s">
        <v>1339</v>
      </c>
      <c r="G315" s="1" t="s">
        <v>1339</v>
      </c>
      <c r="H315" s="1" t="s">
        <v>37</v>
      </c>
      <c r="I315" s="1" t="s">
        <v>39</v>
      </c>
      <c r="J315" s="1" t="s">
        <v>39</v>
      </c>
      <c r="K315" s="1" t="s">
        <v>39</v>
      </c>
      <c r="L315" s="1" t="s">
        <v>39</v>
      </c>
      <c r="M315" s="1" t="s">
        <v>39</v>
      </c>
      <c r="N315" s="1" t="s">
        <v>37</v>
      </c>
      <c r="O315" s="1" t="s">
        <v>37</v>
      </c>
      <c r="P315" s="1" t="s">
        <v>37</v>
      </c>
      <c r="Q315" s="1" t="s">
        <v>37</v>
      </c>
      <c r="R315" s="1" t="s">
        <v>96</v>
      </c>
      <c r="S315" s="1" t="s">
        <v>41</v>
      </c>
      <c r="T315" s="1" t="s">
        <v>53</v>
      </c>
      <c r="U315" s="1" t="s">
        <v>46</v>
      </c>
      <c r="V315" s="1" t="s">
        <v>46</v>
      </c>
      <c r="W315" s="1" t="s">
        <v>1340</v>
      </c>
      <c r="X315" s="1" t="s">
        <v>1341</v>
      </c>
      <c r="Y315" s="1" t="s">
        <v>45</v>
      </c>
      <c r="Z315" s="1" t="s">
        <v>46</v>
      </c>
      <c r="AA315" s="1" t="s">
        <v>47</v>
      </c>
      <c r="AB315" s="1" t="s">
        <v>39</v>
      </c>
      <c r="AC315" s="1" t="s">
        <v>37</v>
      </c>
      <c r="AD315" s="1" t="s">
        <v>37</v>
      </c>
      <c r="AE315" s="1" t="s">
        <v>39</v>
      </c>
      <c r="AF315" s="1" t="s">
        <v>37</v>
      </c>
      <c r="AG315" s="1" t="s">
        <v>39</v>
      </c>
      <c r="AH315" s="1" t="s">
        <v>37</v>
      </c>
      <c r="AI315" s="1" t="s">
        <v>39</v>
      </c>
      <c r="AJ315" s="1" t="s">
        <v>39</v>
      </c>
      <c r="AK315" s="1" t="str">
        <f t="shared" si="9"/>
        <v>Fora de âmbito</v>
      </c>
      <c r="AL315" s="1" t="str">
        <f>+IF(IFERROR(VLOOKUP(A315,Ficheiros!I:I,1,FALSE),"")=A315,"Sim","Não")</f>
        <v>Sim</v>
      </c>
      <c r="AM315" s="1" t="str">
        <f>+IF(IFERROR(VLOOKUP(A315,Ficheiros!E:E,1,FALSE),"")=A315,"Sim","Não")</f>
        <v>Não</v>
      </c>
      <c r="AN315" s="1" t="str">
        <f>+IF(IFERROR(VLOOKUP(A315,Ficheiros!O:O,1,FALSE),"")=A315,"Sim","Não")</f>
        <v>Não</v>
      </c>
      <c r="AO315" s="1" t="str">
        <f>+IF(IFERROR(VLOOKUP(A315,'Especificação Novos Req. LT (2'!A:A,1,FALSE),"")=A315,"Sim","Não")</f>
        <v>Não</v>
      </c>
      <c r="AP315" s="1" t="str">
        <f>+IF(IFERROR(VLOOKUP(A315,Ficheiros!T:T,1,FALSE),"")=A315,"Sim","Não")</f>
        <v>Sim</v>
      </c>
      <c r="AQ315" s="1" t="e">
        <f>+VLOOKUP(A315,Ficheiros!O:P,2,FALSE)</f>
        <v>#N/A</v>
      </c>
      <c r="AR315" s="1" t="str">
        <f>+VLOOKUP(A315,Ficheiros!T:U,2,FALSE)</f>
        <v>6. Outros Desenvolvimentos</v>
      </c>
      <c r="AS315" s="1" t="str">
        <f>+VLOOKUP(A315,Ficheiros!T:V,3,FALSE)</f>
        <v>LF</v>
      </c>
      <c r="AT315" s="1"/>
      <c r="AU315" s="1"/>
      <c r="AV315" s="1"/>
      <c r="AW315" s="1"/>
      <c r="AX315" s="1"/>
    </row>
    <row r="316" spans="1:50" ht="14.5" hidden="1" customHeight="1" x14ac:dyDescent="0.35">
      <c r="A316" s="5" t="str">
        <f t="shared" si="8"/>
        <v>INSTRUMENTSYNDCTD_CNTRCT_ID</v>
      </c>
      <c r="B316" s="1" t="s">
        <v>1342</v>
      </c>
      <c r="C316" s="1" t="s">
        <v>785</v>
      </c>
      <c r="D316" s="1" t="s">
        <v>1334</v>
      </c>
      <c r="E316" s="1" t="s">
        <v>39</v>
      </c>
      <c r="F316" s="25" t="s">
        <v>1343</v>
      </c>
      <c r="G316" s="1" t="s">
        <v>1343</v>
      </c>
      <c r="H316" s="1" t="s">
        <v>37</v>
      </c>
      <c r="I316" s="1" t="s">
        <v>39</v>
      </c>
      <c r="J316" s="1" t="s">
        <v>39</v>
      </c>
      <c r="K316" s="1" t="s">
        <v>39</v>
      </c>
      <c r="L316" s="1" t="s">
        <v>39</v>
      </c>
      <c r="M316" s="1" t="s">
        <v>39</v>
      </c>
      <c r="N316" s="1" t="s">
        <v>37</v>
      </c>
      <c r="O316" s="1" t="s">
        <v>37</v>
      </c>
      <c r="P316" s="1" t="s">
        <v>37</v>
      </c>
      <c r="Q316" s="1" t="s">
        <v>37</v>
      </c>
      <c r="R316" s="1" t="s">
        <v>657</v>
      </c>
      <c r="S316" s="1" t="s">
        <v>41</v>
      </c>
      <c r="T316" s="1" t="s">
        <v>53</v>
      </c>
      <c r="U316" s="1" t="s">
        <v>46</v>
      </c>
      <c r="V316" s="1" t="s">
        <v>46</v>
      </c>
      <c r="W316" s="1" t="s">
        <v>1344</v>
      </c>
      <c r="X316" s="1" t="s">
        <v>1345</v>
      </c>
      <c r="Y316" s="1" t="s">
        <v>45</v>
      </c>
      <c r="Z316" s="1" t="s">
        <v>46</v>
      </c>
      <c r="AA316" s="1" t="s">
        <v>47</v>
      </c>
      <c r="AB316" s="1" t="s">
        <v>39</v>
      </c>
      <c r="AC316" s="1" t="s">
        <v>37</v>
      </c>
      <c r="AD316" s="1" t="s">
        <v>37</v>
      </c>
      <c r="AE316" s="1" t="s">
        <v>37</v>
      </c>
      <c r="AF316" s="1" t="s">
        <v>37</v>
      </c>
      <c r="AG316" s="1" t="s">
        <v>39</v>
      </c>
      <c r="AH316" s="1" t="s">
        <v>37</v>
      </c>
      <c r="AI316" s="1" t="s">
        <v>37</v>
      </c>
      <c r="AJ316" s="1" t="s">
        <v>39</v>
      </c>
      <c r="AK316" s="1" t="str">
        <f t="shared" si="9"/>
        <v>Fora de âmbito</v>
      </c>
      <c r="AL316" s="1" t="str">
        <f>+IF(IFERROR(VLOOKUP(A316,Ficheiros!I:I,1,FALSE),"")=A316,"Sim","Não")</f>
        <v>Sim</v>
      </c>
      <c r="AM316" s="1" t="str">
        <f>+IF(IFERROR(VLOOKUP(A316,Ficheiros!E:E,1,FALSE),"")=A316,"Sim","Não")</f>
        <v>Não</v>
      </c>
      <c r="AN316" s="1" t="str">
        <f>+IF(IFERROR(VLOOKUP(A316,Ficheiros!O:O,1,FALSE),"")=A316,"Sim","Não")</f>
        <v>Não</v>
      </c>
      <c r="AO316" s="1" t="str">
        <f>+IF(IFERROR(VLOOKUP(A316,'Especificação Novos Req. LT (2'!A:A,1,FALSE),"")=A316,"Sim","Não")</f>
        <v>Não</v>
      </c>
      <c r="AP316" s="1" t="str">
        <f>+IF(IFERROR(VLOOKUP(A316,Ficheiros!T:T,1,FALSE),"")=A316,"Sim","Não")</f>
        <v>Sim</v>
      </c>
      <c r="AQ316" s="1" t="e">
        <f>+VLOOKUP(A316,Ficheiros!O:P,2,FALSE)</f>
        <v>#N/A</v>
      </c>
      <c r="AR316" s="1" t="str">
        <f>+VLOOKUP(A316,Ficheiros!T:U,2,FALSE)</f>
        <v>6. Outros Desenvolvimentos</v>
      </c>
      <c r="AS316" s="1" t="str">
        <f>+VLOOKUP(A316,Ficheiros!T:V,3,FALSE)</f>
        <v>LF</v>
      </c>
      <c r="AT316" s="1"/>
      <c r="AU316" s="1"/>
      <c r="AV316" s="1"/>
      <c r="AW316" s="1"/>
      <c r="AX316" s="1"/>
    </row>
    <row r="317" spans="1:50" ht="14.5" hidden="1" customHeight="1" x14ac:dyDescent="0.35">
      <c r="A317" s="5" t="str">
        <f t="shared" si="8"/>
        <v>INSTRUMENTSYNDCTD_LNDRS</v>
      </c>
      <c r="B317" s="1" t="s">
        <v>1346</v>
      </c>
      <c r="C317" s="1" t="s">
        <v>785</v>
      </c>
      <c r="D317" s="1" t="s">
        <v>1334</v>
      </c>
      <c r="E317" s="1" t="s">
        <v>37</v>
      </c>
      <c r="F317" s="25" t="s">
        <v>1347</v>
      </c>
      <c r="G317" s="1" t="s">
        <v>1347</v>
      </c>
      <c r="H317" s="1" t="s">
        <v>37</v>
      </c>
      <c r="I317" s="1" t="s">
        <v>39</v>
      </c>
      <c r="J317" s="1" t="s">
        <v>39</v>
      </c>
      <c r="K317" s="1" t="s">
        <v>39</v>
      </c>
      <c r="L317" s="1" t="s">
        <v>39</v>
      </c>
      <c r="M317" s="1" t="s">
        <v>39</v>
      </c>
      <c r="N317" s="1" t="s">
        <v>37</v>
      </c>
      <c r="O317" s="1" t="s">
        <v>37</v>
      </c>
      <c r="P317" s="1" t="s">
        <v>37</v>
      </c>
      <c r="Q317" s="1" t="s">
        <v>37</v>
      </c>
      <c r="R317" s="1" t="s">
        <v>96</v>
      </c>
      <c r="S317" s="1" t="s">
        <v>41</v>
      </c>
      <c r="T317" s="1" t="s">
        <v>53</v>
      </c>
      <c r="U317" s="1" t="s">
        <v>46</v>
      </c>
      <c r="V317" s="1" t="s">
        <v>46</v>
      </c>
      <c r="W317" s="1" t="s">
        <v>1348</v>
      </c>
      <c r="X317" s="1" t="s">
        <v>1349</v>
      </c>
      <c r="Y317" s="1" t="s">
        <v>45</v>
      </c>
      <c r="Z317" s="1" t="s">
        <v>46</v>
      </c>
      <c r="AA317" s="1" t="s">
        <v>47</v>
      </c>
      <c r="AB317" s="1" t="s">
        <v>39</v>
      </c>
      <c r="AC317" s="1" t="s">
        <v>37</v>
      </c>
      <c r="AD317" s="1" t="s">
        <v>37</v>
      </c>
      <c r="AE317" s="1" t="s">
        <v>37</v>
      </c>
      <c r="AF317" s="1" t="s">
        <v>37</v>
      </c>
      <c r="AG317" s="1" t="s">
        <v>39</v>
      </c>
      <c r="AH317" s="1" t="s">
        <v>37</v>
      </c>
      <c r="AI317" s="1" t="s">
        <v>37</v>
      </c>
      <c r="AJ317" s="1" t="s">
        <v>39</v>
      </c>
      <c r="AK317" s="1" t="str">
        <f t="shared" si="9"/>
        <v>Fora de âmbito</v>
      </c>
      <c r="AL317" s="1" t="str">
        <f>+IF(IFERROR(VLOOKUP(A317,Ficheiros!I:I,1,FALSE),"")=A317,"Sim","Não")</f>
        <v>Sim</v>
      </c>
      <c r="AM317" s="1" t="str">
        <f>+IF(IFERROR(VLOOKUP(A317,Ficheiros!E:E,1,FALSE),"")=A317,"Sim","Não")</f>
        <v>Não</v>
      </c>
      <c r="AN317" s="1" t="str">
        <f>+IF(IFERROR(VLOOKUP(A317,Ficheiros!O:O,1,FALSE),"")=A317,"Sim","Não")</f>
        <v>Não</v>
      </c>
      <c r="AO317" s="1" t="str">
        <f>+IF(IFERROR(VLOOKUP(A317,'Especificação Novos Req. LT (2'!A:A,1,FALSE),"")=A317,"Sim","Não")</f>
        <v>Não</v>
      </c>
      <c r="AP317" s="1" t="str">
        <f>+IF(IFERROR(VLOOKUP(A317,Ficheiros!T:T,1,FALSE),"")=A317,"Sim","Não")</f>
        <v>Sim</v>
      </c>
      <c r="AQ317" s="1" t="e">
        <f>+VLOOKUP(A317,Ficheiros!O:P,2,FALSE)</f>
        <v>#N/A</v>
      </c>
      <c r="AR317" s="1" t="str">
        <f>+VLOOKUP(A317,Ficheiros!T:U,2,FALSE)</f>
        <v>6. Outros Desenvolvimentos</v>
      </c>
      <c r="AS317" s="1" t="str">
        <f>+VLOOKUP(A317,Ficheiros!T:V,3,FALSE)</f>
        <v>LF</v>
      </c>
      <c r="AT317" s="1"/>
      <c r="AU317" s="1"/>
      <c r="AV317" s="1"/>
      <c r="AW317" s="1"/>
      <c r="AX317" s="1"/>
    </row>
    <row r="318" spans="1:50" ht="14.5" hidden="1" customHeight="1" x14ac:dyDescent="0.35">
      <c r="A318" s="5" t="str">
        <f t="shared" si="8"/>
        <v>INSTRUMENTSYNDCTD_SHR</v>
      </c>
      <c r="B318" s="1" t="s">
        <v>1350</v>
      </c>
      <c r="C318" s="1" t="s">
        <v>785</v>
      </c>
      <c r="D318" s="1" t="s">
        <v>1334</v>
      </c>
      <c r="E318" s="1" t="s">
        <v>37</v>
      </c>
      <c r="F318" s="26" t="s">
        <v>1351</v>
      </c>
      <c r="G318" s="1" t="s">
        <v>1351</v>
      </c>
      <c r="H318" s="1" t="s">
        <v>37</v>
      </c>
      <c r="I318" s="1" t="s">
        <v>39</v>
      </c>
      <c r="J318" s="1" t="s">
        <v>39</v>
      </c>
      <c r="K318" s="1" t="s">
        <v>39</v>
      </c>
      <c r="L318" s="1" t="s">
        <v>39</v>
      </c>
      <c r="M318" s="1" t="s">
        <v>39</v>
      </c>
      <c r="N318" s="1" t="s">
        <v>37</v>
      </c>
      <c r="O318" s="1" t="s">
        <v>37</v>
      </c>
      <c r="P318" s="1" t="s">
        <v>37</v>
      </c>
      <c r="Q318" s="1" t="s">
        <v>37</v>
      </c>
      <c r="R318" s="1" t="s">
        <v>342</v>
      </c>
      <c r="S318" s="1" t="s">
        <v>274</v>
      </c>
      <c r="T318" s="1">
        <v>99999999999</v>
      </c>
      <c r="U318" s="1">
        <v>11111111111</v>
      </c>
      <c r="V318" s="1">
        <v>11111111111</v>
      </c>
      <c r="W318" s="1" t="s">
        <v>1352</v>
      </c>
      <c r="X318" s="1" t="s">
        <v>1353</v>
      </c>
      <c r="Y318" s="1" t="s">
        <v>45</v>
      </c>
      <c r="Z318" s="1" t="s">
        <v>46</v>
      </c>
      <c r="AA318" s="1" t="s">
        <v>47</v>
      </c>
      <c r="AB318" s="1" t="s">
        <v>39</v>
      </c>
      <c r="AC318" s="1" t="s">
        <v>37</v>
      </c>
      <c r="AD318" s="1" t="s">
        <v>37</v>
      </c>
      <c r="AE318" s="1" t="s">
        <v>39</v>
      </c>
      <c r="AF318" s="1" t="s">
        <v>37</v>
      </c>
      <c r="AG318" s="1" t="s">
        <v>39</v>
      </c>
      <c r="AH318" s="1" t="s">
        <v>37</v>
      </c>
      <c r="AI318" s="1" t="s">
        <v>39</v>
      </c>
      <c r="AJ318" s="1" t="s">
        <v>39</v>
      </c>
      <c r="AK318" s="1" t="str">
        <f t="shared" si="9"/>
        <v>Fora de âmbito</v>
      </c>
      <c r="AL318" s="1" t="str">
        <f>+IF(IFERROR(VLOOKUP(A318,Ficheiros!I:I,1,FALSE),"")=A318,"Sim","Não")</f>
        <v>Sim</v>
      </c>
      <c r="AM318" s="1" t="str">
        <f>+IF(IFERROR(VLOOKUP(A318,Ficheiros!E:E,1,FALSE),"")=A318,"Sim","Não")</f>
        <v>Não</v>
      </c>
      <c r="AN318" s="1" t="str">
        <f>+IF(IFERROR(VLOOKUP(A318,Ficheiros!O:O,1,FALSE),"")=A318,"Sim","Não")</f>
        <v>Não</v>
      </c>
      <c r="AO318" s="1" t="str">
        <f>+IF(IFERROR(VLOOKUP(A318,'Especificação Novos Req. LT (2'!A:A,1,FALSE),"")=A318,"Sim","Não")</f>
        <v>Não</v>
      </c>
      <c r="AP318" s="1" t="str">
        <f>+IF(IFERROR(VLOOKUP(A318,Ficheiros!T:T,1,FALSE),"")=A318,"Sim","Não")</f>
        <v>Sim</v>
      </c>
      <c r="AQ318" s="1" t="e">
        <f>+VLOOKUP(A318,Ficheiros!O:P,2,FALSE)</f>
        <v>#N/A</v>
      </c>
      <c r="AR318" s="1" t="str">
        <f>+VLOOKUP(A318,Ficheiros!T:U,2,FALSE)</f>
        <v>6. Outros Desenvolvimentos</v>
      </c>
      <c r="AS318" s="1" t="str">
        <f>+VLOOKUP(A318,Ficheiros!T:V,3,FALSE)</f>
        <v>LF</v>
      </c>
      <c r="AT318" s="1"/>
      <c r="AU318" s="1"/>
      <c r="AV318" s="1"/>
      <c r="AW318" s="1"/>
      <c r="AX318" s="1"/>
    </row>
    <row r="319" spans="1:50" ht="14.5" hidden="1" customHeight="1" x14ac:dyDescent="0.35">
      <c r="A319" s="5" t="str">
        <f t="shared" si="8"/>
        <v>INSTRUMENTSYNDCTN_TYP</v>
      </c>
      <c r="B319" s="1" t="s">
        <v>1354</v>
      </c>
      <c r="C319" s="1" t="s">
        <v>785</v>
      </c>
      <c r="D319" s="1" t="s">
        <v>1334</v>
      </c>
      <c r="E319" s="1" t="s">
        <v>39</v>
      </c>
      <c r="F319" s="26" t="s">
        <v>1355</v>
      </c>
      <c r="G319" s="1" t="s">
        <v>1355</v>
      </c>
      <c r="H319" s="1" t="s">
        <v>37</v>
      </c>
      <c r="I319" s="1" t="s">
        <v>39</v>
      </c>
      <c r="J319" s="1" t="s">
        <v>39</v>
      </c>
      <c r="K319" s="1" t="s">
        <v>39</v>
      </c>
      <c r="L319" s="1" t="s">
        <v>39</v>
      </c>
      <c r="M319" s="1" t="s">
        <v>39</v>
      </c>
      <c r="N319" s="1" t="s">
        <v>37</v>
      </c>
      <c r="O319" s="1" t="s">
        <v>37</v>
      </c>
      <c r="P319" s="1" t="s">
        <v>37</v>
      </c>
      <c r="Q319" s="1" t="s">
        <v>37</v>
      </c>
      <c r="R319" s="1" t="s">
        <v>136</v>
      </c>
      <c r="S319" s="1" t="s">
        <v>52</v>
      </c>
      <c r="T319" s="1">
        <v>99999999999</v>
      </c>
      <c r="U319" s="1">
        <v>11111111111</v>
      </c>
      <c r="V319" s="1">
        <v>11111111111</v>
      </c>
      <c r="W319" s="1" t="s">
        <v>1356</v>
      </c>
      <c r="X319" s="1" t="s">
        <v>1357</v>
      </c>
      <c r="Y319" s="1" t="s">
        <v>45</v>
      </c>
      <c r="Z319" s="1" t="s">
        <v>46</v>
      </c>
      <c r="AA319" s="1" t="s">
        <v>47</v>
      </c>
      <c r="AB319" s="1" t="s">
        <v>39</v>
      </c>
      <c r="AC319" s="1" t="s">
        <v>37</v>
      </c>
      <c r="AD319" s="1" t="s">
        <v>37</v>
      </c>
      <c r="AE319" s="1" t="s">
        <v>39</v>
      </c>
      <c r="AF319" s="1" t="s">
        <v>37</v>
      </c>
      <c r="AG319" s="1" t="s">
        <v>39</v>
      </c>
      <c r="AH319" s="1" t="s">
        <v>37</v>
      </c>
      <c r="AI319" s="1" t="s">
        <v>39</v>
      </c>
      <c r="AJ319" s="1" t="s">
        <v>39</v>
      </c>
      <c r="AK319" s="1" t="str">
        <f t="shared" si="9"/>
        <v>Fora de âmbito</v>
      </c>
      <c r="AL319" s="1" t="str">
        <f>+IF(IFERROR(VLOOKUP(A319,Ficheiros!I:I,1,FALSE),"")=A319,"Sim","Não")</f>
        <v>Sim</v>
      </c>
      <c r="AM319" s="1" t="str">
        <f>+IF(IFERROR(VLOOKUP(A319,Ficheiros!E:E,1,FALSE),"")=A319,"Sim","Não")</f>
        <v>Não</v>
      </c>
      <c r="AN319" s="1" t="str">
        <f>+IF(IFERROR(VLOOKUP(A319,Ficheiros!O:O,1,FALSE),"")=A319,"Sim","Não")</f>
        <v>Não</v>
      </c>
      <c r="AO319" s="1" t="str">
        <f>+IF(IFERROR(VLOOKUP(A319,'Especificação Novos Req. LT (2'!A:A,1,FALSE),"")=A319,"Sim","Não")</f>
        <v>Não</v>
      </c>
      <c r="AP319" s="1" t="str">
        <f>+IF(IFERROR(VLOOKUP(A319,Ficheiros!T:T,1,FALSE),"")=A319,"Sim","Não")</f>
        <v>Sim</v>
      </c>
      <c r="AQ319" s="1" t="e">
        <f>+VLOOKUP(A319,Ficheiros!O:P,2,FALSE)</f>
        <v>#N/A</v>
      </c>
      <c r="AR319" s="1" t="str">
        <f>+VLOOKUP(A319,Ficheiros!T:U,2,FALSE)</f>
        <v>6. Outros Desenvolvimentos</v>
      </c>
      <c r="AS319" s="1" t="str">
        <f>+VLOOKUP(A319,Ficheiros!T:V,3,FALSE)</f>
        <v>LF</v>
      </c>
      <c r="AT319" s="1"/>
      <c r="AU319" s="1"/>
      <c r="AV319" s="1"/>
      <c r="AW319" s="1"/>
      <c r="AX319" s="1"/>
    </row>
    <row r="320" spans="1:50" ht="14.5" hidden="1" customHeight="1" x14ac:dyDescent="0.35">
      <c r="A320" s="5" t="str">
        <f t="shared" si="8"/>
        <v>INSTRUMENTEBA_CMPLNT_MRTR_ST_C19</v>
      </c>
      <c r="B320" s="1" t="s">
        <v>1358</v>
      </c>
      <c r="C320" s="1" t="s">
        <v>785</v>
      </c>
      <c r="D320" s="1" t="s">
        <v>1359</v>
      </c>
      <c r="E320" s="1" t="s">
        <v>37</v>
      </c>
      <c r="F320" s="30" t="s">
        <v>1360</v>
      </c>
      <c r="G320" s="1" t="s">
        <v>1360</v>
      </c>
      <c r="H320" s="1" t="s">
        <v>37</v>
      </c>
      <c r="I320" s="1" t="s">
        <v>37</v>
      </c>
      <c r="J320" s="1" t="s">
        <v>37</v>
      </c>
      <c r="K320" s="1" t="s">
        <v>37</v>
      </c>
      <c r="L320" s="1" t="s">
        <v>37</v>
      </c>
      <c r="M320" s="1" t="s">
        <v>39</v>
      </c>
      <c r="N320" s="1" t="s">
        <v>39</v>
      </c>
      <c r="O320" s="1" t="s">
        <v>37</v>
      </c>
      <c r="P320" s="1" t="s">
        <v>37</v>
      </c>
      <c r="Q320" s="1" t="s">
        <v>37</v>
      </c>
      <c r="R320" s="1" t="s">
        <v>136</v>
      </c>
      <c r="S320" s="1" t="s">
        <v>52</v>
      </c>
      <c r="T320" s="1">
        <v>99999999999</v>
      </c>
      <c r="U320" s="1">
        <v>11111111111</v>
      </c>
      <c r="V320" s="1">
        <v>11111111111</v>
      </c>
      <c r="W320" s="1" t="s">
        <v>1361</v>
      </c>
      <c r="X320" s="1" t="s">
        <v>1362</v>
      </c>
      <c r="Y320" s="1" t="s">
        <v>84</v>
      </c>
      <c r="Z320" s="1" t="s">
        <v>1363</v>
      </c>
      <c r="AA320" s="1" t="s">
        <v>1364</v>
      </c>
      <c r="AB320" s="1" t="s">
        <v>39</v>
      </c>
      <c r="AC320" s="1" t="s">
        <v>37</v>
      </c>
      <c r="AD320" s="1" t="s">
        <v>37</v>
      </c>
      <c r="AE320" s="1" t="s">
        <v>37</v>
      </c>
      <c r="AF320" s="1" t="s">
        <v>37</v>
      </c>
      <c r="AG320" s="1" t="s">
        <v>37</v>
      </c>
      <c r="AH320" s="1" t="s">
        <v>37</v>
      </c>
      <c r="AI320" s="1" t="s">
        <v>37</v>
      </c>
      <c r="AJ320" s="1" t="s">
        <v>39</v>
      </c>
      <c r="AK320" s="1" t="str">
        <f t="shared" si="9"/>
        <v>Fora de âmbito</v>
      </c>
      <c r="AL320" s="1" t="str">
        <f>+IF(IFERROR(VLOOKUP(A320,Ficheiros!I:I,1,FALSE),"")=A320,"Sim","Não")</f>
        <v>Sim</v>
      </c>
      <c r="AM320" s="1" t="str">
        <f>+IF(IFERROR(VLOOKUP(A320,Ficheiros!E:E,1,FALSE),"")=A320,"Sim","Não")</f>
        <v>Não</v>
      </c>
      <c r="AN320" s="1" t="str">
        <f>+IF(IFERROR(VLOOKUP(A320,Ficheiros!O:O,1,FALSE),"")=A320,"Sim","Não")</f>
        <v>Não</v>
      </c>
      <c r="AO320" s="1" t="str">
        <f>+IF(IFERROR(VLOOKUP(A320,'Especificação Novos Req. LT (2'!A:A,1,FALSE),"")=A320,"Sim","Não")</f>
        <v>Não</v>
      </c>
      <c r="AP320" s="1" t="str">
        <f>+IF(IFERROR(VLOOKUP(A320,Ficheiros!T:T,1,FALSE),"")=A320,"Sim","Não")</f>
        <v>Sim</v>
      </c>
      <c r="AQ320" s="1" t="e">
        <f>+VLOOKUP(A320,Ficheiros!O:P,2,FALSE)</f>
        <v>#N/A</v>
      </c>
      <c r="AR320" s="1" t="str">
        <f>+VLOOKUP(A320,Ficheiros!T:U,2,FALSE)</f>
        <v>9. Concluído</v>
      </c>
      <c r="AS320" s="1" t="str">
        <f>+VLOOKUP(A320,Ficheiros!T:V,3,FALSE)</f>
        <v>PM</v>
      </c>
      <c r="AT320" s="1"/>
      <c r="AU320" s="1"/>
      <c r="AV320" s="1"/>
      <c r="AW320" s="1"/>
      <c r="AX320" s="1"/>
    </row>
    <row r="321" spans="1:50" ht="14.5" hidden="1" customHeight="1" x14ac:dyDescent="0.35">
      <c r="A321" s="5" t="str">
        <f t="shared" si="8"/>
        <v>INSTRUMENTDT_CMPLNT_MRTR_STTS_C19</v>
      </c>
      <c r="B321" s="1" t="s">
        <v>1365</v>
      </c>
      <c r="C321" s="1" t="s">
        <v>785</v>
      </c>
      <c r="D321" s="1" t="s">
        <v>1359</v>
      </c>
      <c r="E321" s="1" t="s">
        <v>37</v>
      </c>
      <c r="F321" s="30" t="s">
        <v>1366</v>
      </c>
      <c r="G321" s="1" t="s">
        <v>1366</v>
      </c>
      <c r="H321" s="1" t="s">
        <v>37</v>
      </c>
      <c r="I321" s="1" t="s">
        <v>37</v>
      </c>
      <c r="J321" s="1" t="s">
        <v>37</v>
      </c>
      <c r="K321" s="1" t="s">
        <v>37</v>
      </c>
      <c r="L321" s="1" t="s">
        <v>37</v>
      </c>
      <c r="M321" s="1" t="s">
        <v>39</v>
      </c>
      <c r="N321" s="1" t="s">
        <v>39</v>
      </c>
      <c r="O321" s="1" t="s">
        <v>37</v>
      </c>
      <c r="P321" s="1" t="s">
        <v>37</v>
      </c>
      <c r="Q321" s="1" t="s">
        <v>37</v>
      </c>
      <c r="R321" s="1" t="s">
        <v>60</v>
      </c>
      <c r="S321" s="1" t="s">
        <v>61</v>
      </c>
      <c r="T321" s="1" t="s">
        <v>62</v>
      </c>
      <c r="U321" s="1" t="s">
        <v>63</v>
      </c>
      <c r="V321" s="1" t="s">
        <v>63</v>
      </c>
      <c r="W321" s="1" t="s">
        <v>1367</v>
      </c>
      <c r="X321" s="1" t="s">
        <v>1368</v>
      </c>
      <c r="Y321" s="1" t="s">
        <v>84</v>
      </c>
      <c r="Z321" s="1" t="s">
        <v>1369</v>
      </c>
      <c r="AA321" s="1" t="s">
        <v>47</v>
      </c>
      <c r="AB321" s="1" t="s">
        <v>39</v>
      </c>
      <c r="AC321" s="1" t="s">
        <v>37</v>
      </c>
      <c r="AD321" s="1" t="s">
        <v>37</v>
      </c>
      <c r="AE321" s="1" t="s">
        <v>37</v>
      </c>
      <c r="AF321" s="1" t="s">
        <v>37</v>
      </c>
      <c r="AG321" s="1" t="s">
        <v>37</v>
      </c>
      <c r="AH321" s="1" t="s">
        <v>37</v>
      </c>
      <c r="AI321" s="1" t="s">
        <v>37</v>
      </c>
      <c r="AJ321" s="1" t="s">
        <v>39</v>
      </c>
      <c r="AK321" s="1" t="str">
        <f t="shared" si="9"/>
        <v>Fora de âmbito</v>
      </c>
      <c r="AL321" s="1" t="str">
        <f>+IF(IFERROR(VLOOKUP(A321,Ficheiros!I:I,1,FALSE),"")=A321,"Sim","Não")</f>
        <v>Sim</v>
      </c>
      <c r="AM321" s="1" t="str">
        <f>+IF(IFERROR(VLOOKUP(A321,Ficheiros!E:E,1,FALSE),"")=A321,"Sim","Não")</f>
        <v>Não</v>
      </c>
      <c r="AN321" s="1" t="str">
        <f>+IF(IFERROR(VLOOKUP(A321,Ficheiros!O:O,1,FALSE),"")=A321,"Sim","Não")</f>
        <v>Não</v>
      </c>
      <c r="AO321" s="1" t="str">
        <f>+IF(IFERROR(VLOOKUP(A321,'Especificação Novos Req. LT (2'!A:A,1,FALSE),"")=A321,"Sim","Não")</f>
        <v>Não</v>
      </c>
      <c r="AP321" s="1" t="str">
        <f>+IF(IFERROR(VLOOKUP(A321,Ficheiros!T:T,1,FALSE),"")=A321,"Sim","Não")</f>
        <v>Sim</v>
      </c>
      <c r="AQ321" s="1" t="e">
        <f>+VLOOKUP(A321,Ficheiros!O:P,2,FALSE)</f>
        <v>#N/A</v>
      </c>
      <c r="AR321" s="1" t="str">
        <f>+VLOOKUP(A321,Ficheiros!T:U,2,FALSE)</f>
        <v>9. Concluído</v>
      </c>
      <c r="AS321" s="1" t="str">
        <f>+VLOOKUP(A321,Ficheiros!T:V,3,FALSE)</f>
        <v>PM</v>
      </c>
      <c r="AT321" s="1"/>
      <c r="AU321" s="1"/>
      <c r="AV321" s="1"/>
      <c r="AW321" s="1"/>
      <c r="AX321" s="1"/>
    </row>
    <row r="322" spans="1:50" ht="14.5" hidden="1" customHeight="1" x14ac:dyDescent="0.35">
      <c r="A322" s="5" t="str">
        <f t="shared" si="8"/>
        <v>INSTRUMENTDT_CMPLNT_MRTR_STTS_PRVS_C19</v>
      </c>
      <c r="B322" s="1" t="s">
        <v>1370</v>
      </c>
      <c r="C322" s="1" t="s">
        <v>785</v>
      </c>
      <c r="D322" s="1" t="s">
        <v>1359</v>
      </c>
      <c r="E322" s="1" t="s">
        <v>37</v>
      </c>
      <c r="F322" s="30" t="s">
        <v>1371</v>
      </c>
      <c r="G322" s="1" t="s">
        <v>1371</v>
      </c>
      <c r="H322" s="1" t="s">
        <v>37</v>
      </c>
      <c r="I322" s="1" t="s">
        <v>37</v>
      </c>
      <c r="J322" s="1" t="s">
        <v>37</v>
      </c>
      <c r="K322" s="1" t="s">
        <v>37</v>
      </c>
      <c r="L322" s="1" t="s">
        <v>37</v>
      </c>
      <c r="M322" s="1" t="s">
        <v>39</v>
      </c>
      <c r="N322" s="1" t="s">
        <v>39</v>
      </c>
      <c r="O322" s="1" t="s">
        <v>37</v>
      </c>
      <c r="P322" s="1" t="s">
        <v>37</v>
      </c>
      <c r="Q322" s="1" t="s">
        <v>37</v>
      </c>
      <c r="R322" s="1" t="s">
        <v>60</v>
      </c>
      <c r="S322" s="1" t="s">
        <v>61</v>
      </c>
      <c r="T322" s="1" t="s">
        <v>62</v>
      </c>
      <c r="U322" s="1" t="s">
        <v>63</v>
      </c>
      <c r="V322" s="1" t="s">
        <v>63</v>
      </c>
      <c r="W322" s="1" t="s">
        <v>1372</v>
      </c>
      <c r="X322" s="1" t="s">
        <v>1373</v>
      </c>
      <c r="Y322" s="1" t="s">
        <v>84</v>
      </c>
      <c r="Z322" s="1" t="s">
        <v>1374</v>
      </c>
      <c r="AA322" s="1" t="s">
        <v>47</v>
      </c>
      <c r="AB322" s="1" t="s">
        <v>39</v>
      </c>
      <c r="AC322" s="1" t="s">
        <v>37</v>
      </c>
      <c r="AD322" s="1" t="s">
        <v>37</v>
      </c>
      <c r="AE322" s="1" t="s">
        <v>37</v>
      </c>
      <c r="AF322" s="1" t="s">
        <v>37</v>
      </c>
      <c r="AG322" s="1" t="s">
        <v>37</v>
      </c>
      <c r="AH322" s="1" t="s">
        <v>37</v>
      </c>
      <c r="AI322" s="1" t="s">
        <v>37</v>
      </c>
      <c r="AJ322" s="1" t="s">
        <v>39</v>
      </c>
      <c r="AK322" s="1" t="str">
        <f t="shared" si="9"/>
        <v>Fora de âmbito</v>
      </c>
      <c r="AL322" s="1" t="str">
        <f>+IF(IFERROR(VLOOKUP(A322,Ficheiros!I:I,1,FALSE),"")=A322,"Sim","Não")</f>
        <v>Sim</v>
      </c>
      <c r="AM322" s="1" t="str">
        <f>+IF(IFERROR(VLOOKUP(A322,Ficheiros!E:E,1,FALSE),"")=A322,"Sim","Não")</f>
        <v>Não</v>
      </c>
      <c r="AN322" s="1" t="str">
        <f>+IF(IFERROR(VLOOKUP(A322,Ficheiros!O:O,1,FALSE),"")=A322,"Sim","Não")</f>
        <v>Não</v>
      </c>
      <c r="AO322" s="1" t="str">
        <f>+IF(IFERROR(VLOOKUP(A322,'Especificação Novos Req. LT (2'!A:A,1,FALSE),"")=A322,"Sim","Não")</f>
        <v>Não</v>
      </c>
      <c r="AP322" s="1" t="str">
        <f>+IF(IFERROR(VLOOKUP(A322,Ficheiros!T:T,1,FALSE),"")=A322,"Sim","Não")</f>
        <v>Sim</v>
      </c>
      <c r="AQ322" s="1" t="e">
        <f>+VLOOKUP(A322,Ficheiros!O:P,2,FALSE)</f>
        <v>#N/A</v>
      </c>
      <c r="AR322" s="1" t="str">
        <f>+VLOOKUP(A322,Ficheiros!T:U,2,FALSE)</f>
        <v>9. Concluído</v>
      </c>
      <c r="AS322" s="1" t="str">
        <f>+VLOOKUP(A322,Ficheiros!T:V,3,FALSE)</f>
        <v>PM</v>
      </c>
      <c r="AT322" s="1"/>
      <c r="AU322" s="1"/>
      <c r="AV322" s="1"/>
      <c r="AW322" s="1"/>
      <c r="AX322" s="1"/>
    </row>
    <row r="323" spans="1:50" ht="14.5" hidden="1" customHeight="1" x14ac:dyDescent="0.35">
      <c r="A323" s="5" t="str">
        <f t="shared" si="8"/>
        <v>INSTRUMENTMTRTY_LTST_MRTR_C19</v>
      </c>
      <c r="B323" s="1" t="s">
        <v>1375</v>
      </c>
      <c r="C323" s="1" t="s">
        <v>785</v>
      </c>
      <c r="D323" s="1" t="s">
        <v>1359</v>
      </c>
      <c r="E323" s="1" t="s">
        <v>37</v>
      </c>
      <c r="F323" s="30" t="s">
        <v>1376</v>
      </c>
      <c r="G323" s="1" t="s">
        <v>1376</v>
      </c>
      <c r="H323" s="1" t="s">
        <v>37</v>
      </c>
      <c r="I323" s="1" t="s">
        <v>37</v>
      </c>
      <c r="J323" s="1" t="s">
        <v>37</v>
      </c>
      <c r="K323" s="1" t="s">
        <v>37</v>
      </c>
      <c r="L323" s="1" t="s">
        <v>37</v>
      </c>
      <c r="M323" s="1" t="s">
        <v>39</v>
      </c>
      <c r="N323" s="1" t="s">
        <v>39</v>
      </c>
      <c r="O323" s="1" t="s">
        <v>37</v>
      </c>
      <c r="P323" s="1" t="s">
        <v>37</v>
      </c>
      <c r="Q323" s="1" t="s">
        <v>37</v>
      </c>
      <c r="R323" s="1" t="s">
        <v>623</v>
      </c>
      <c r="S323" s="1" t="s">
        <v>624</v>
      </c>
      <c r="T323" s="1">
        <v>99999999999</v>
      </c>
      <c r="U323" s="1">
        <v>11111111111</v>
      </c>
      <c r="V323" s="1">
        <v>11111111111</v>
      </c>
      <c r="W323" s="1" t="s">
        <v>1377</v>
      </c>
      <c r="X323" s="1" t="s">
        <v>1378</v>
      </c>
      <c r="Y323" s="1" t="s">
        <v>84</v>
      </c>
      <c r="Z323" s="1" t="s">
        <v>1379</v>
      </c>
      <c r="AA323" s="1" t="s">
        <v>1380</v>
      </c>
      <c r="AB323" s="1" t="s">
        <v>39</v>
      </c>
      <c r="AC323" s="1" t="s">
        <v>37</v>
      </c>
      <c r="AD323" s="1" t="s">
        <v>37</v>
      </c>
      <c r="AE323" s="1" t="s">
        <v>37</v>
      </c>
      <c r="AF323" s="1" t="s">
        <v>37</v>
      </c>
      <c r="AG323" s="1" t="s">
        <v>37</v>
      </c>
      <c r="AH323" s="1" t="s">
        <v>37</v>
      </c>
      <c r="AI323" s="1" t="s">
        <v>37</v>
      </c>
      <c r="AJ323" s="1" t="s">
        <v>39</v>
      </c>
      <c r="AK323" s="1" t="str">
        <f t="shared" si="9"/>
        <v>Fora de âmbito</v>
      </c>
      <c r="AL323" s="1" t="str">
        <f>+IF(IFERROR(VLOOKUP(A323,Ficheiros!I:I,1,FALSE),"")=A323,"Sim","Não")</f>
        <v>Sim</v>
      </c>
      <c r="AM323" s="1" t="str">
        <f>+IF(IFERROR(VLOOKUP(A323,Ficheiros!E:E,1,FALSE),"")=A323,"Sim","Não")</f>
        <v>Não</v>
      </c>
      <c r="AN323" s="1" t="str">
        <f>+IF(IFERROR(VLOOKUP(A323,Ficheiros!O:O,1,FALSE),"")=A323,"Sim","Não")</f>
        <v>Não</v>
      </c>
      <c r="AO323" s="1" t="str">
        <f>+IF(IFERROR(VLOOKUP(A323,'Especificação Novos Req. LT (2'!A:A,1,FALSE),"")=A323,"Sim","Não")</f>
        <v>Não</v>
      </c>
      <c r="AP323" s="1" t="str">
        <f>+IF(IFERROR(VLOOKUP(A323,Ficheiros!T:T,1,FALSE),"")=A323,"Sim","Não")</f>
        <v>Sim</v>
      </c>
      <c r="AQ323" s="1" t="e">
        <f>+VLOOKUP(A323,Ficheiros!O:P,2,FALSE)</f>
        <v>#N/A</v>
      </c>
      <c r="AR323" s="1" t="str">
        <f>+VLOOKUP(A323,Ficheiros!T:U,2,FALSE)</f>
        <v>9. Concluído</v>
      </c>
      <c r="AS323" s="1" t="str">
        <f>+VLOOKUP(A323,Ficheiros!T:V,3,FALSE)</f>
        <v>PM</v>
      </c>
      <c r="AT323" s="1"/>
      <c r="AU323" s="1"/>
      <c r="AV323" s="1"/>
      <c r="AW323" s="1"/>
      <c r="AX323" s="1"/>
    </row>
    <row r="324" spans="1:50" ht="14.5" hidden="1" customHeight="1" x14ac:dyDescent="0.35">
      <c r="A324" s="5" t="str">
        <f t="shared" si="8"/>
        <v>INSTRUMENTTYP_CMPLNT_MRTR_C19</v>
      </c>
      <c r="B324" s="1" t="s">
        <v>1381</v>
      </c>
      <c r="C324" s="1" t="s">
        <v>785</v>
      </c>
      <c r="D324" s="1" t="s">
        <v>1359</v>
      </c>
      <c r="E324" s="1" t="s">
        <v>37</v>
      </c>
      <c r="F324" s="30" t="s">
        <v>1382</v>
      </c>
      <c r="G324" s="1" t="s">
        <v>1382</v>
      </c>
      <c r="H324" s="1" t="s">
        <v>37</v>
      </c>
      <c r="I324" s="1" t="s">
        <v>37</v>
      </c>
      <c r="J324" s="1" t="s">
        <v>37</v>
      </c>
      <c r="K324" s="1" t="s">
        <v>37</v>
      </c>
      <c r="L324" s="1" t="s">
        <v>37</v>
      </c>
      <c r="M324" s="1" t="s">
        <v>39</v>
      </c>
      <c r="N324" s="1" t="s">
        <v>39</v>
      </c>
      <c r="O324" s="1" t="s">
        <v>37</v>
      </c>
      <c r="P324" s="1" t="s">
        <v>37</v>
      </c>
      <c r="Q324" s="1" t="s">
        <v>37</v>
      </c>
      <c r="R324" s="1" t="s">
        <v>136</v>
      </c>
      <c r="S324" s="1" t="s">
        <v>52</v>
      </c>
      <c r="T324" s="1">
        <v>99999999999</v>
      </c>
      <c r="U324" s="1">
        <v>11111111111</v>
      </c>
      <c r="V324" s="1">
        <v>11111111111</v>
      </c>
      <c r="W324" s="1" t="s">
        <v>1383</v>
      </c>
      <c r="X324" s="1" t="s">
        <v>1384</v>
      </c>
      <c r="Y324" s="1" t="s">
        <v>84</v>
      </c>
      <c r="Z324" s="1" t="s">
        <v>1385</v>
      </c>
      <c r="AA324" s="1" t="s">
        <v>47</v>
      </c>
      <c r="AB324" s="1" t="s">
        <v>39</v>
      </c>
      <c r="AC324" s="1" t="s">
        <v>37</v>
      </c>
      <c r="AD324" s="1" t="s">
        <v>37</v>
      </c>
      <c r="AE324" s="1" t="s">
        <v>37</v>
      </c>
      <c r="AF324" s="1" t="s">
        <v>37</v>
      </c>
      <c r="AG324" s="1" t="s">
        <v>37</v>
      </c>
      <c r="AH324" s="1" t="s">
        <v>37</v>
      </c>
      <c r="AI324" s="1" t="s">
        <v>37</v>
      </c>
      <c r="AJ324" s="1" t="s">
        <v>39</v>
      </c>
      <c r="AK324" s="1" t="str">
        <f t="shared" si="9"/>
        <v>Fora de âmbito</v>
      </c>
      <c r="AL324" s="1" t="str">
        <f>+IF(IFERROR(VLOOKUP(A324,Ficheiros!I:I,1,FALSE),"")=A324,"Sim","Não")</f>
        <v>Sim</v>
      </c>
      <c r="AM324" s="1" t="str">
        <f>+IF(IFERROR(VLOOKUP(A324,Ficheiros!E:E,1,FALSE),"")=A324,"Sim","Não")</f>
        <v>Não</v>
      </c>
      <c r="AN324" s="1" t="str">
        <f>+IF(IFERROR(VLOOKUP(A324,Ficheiros!O:O,1,FALSE),"")=A324,"Sim","Não")</f>
        <v>Não</v>
      </c>
      <c r="AO324" s="1" t="str">
        <f>+IF(IFERROR(VLOOKUP(A324,'Especificação Novos Req. LT (2'!A:A,1,FALSE),"")=A324,"Sim","Não")</f>
        <v>Não</v>
      </c>
      <c r="AP324" s="1" t="str">
        <f>+IF(IFERROR(VLOOKUP(A324,Ficheiros!T:T,1,FALSE),"")=A324,"Sim","Não")</f>
        <v>Sim</v>
      </c>
      <c r="AQ324" s="1" t="e">
        <f>+VLOOKUP(A324,Ficheiros!O:P,2,FALSE)</f>
        <v>#N/A</v>
      </c>
      <c r="AR324" s="1" t="str">
        <f>+VLOOKUP(A324,Ficheiros!T:U,2,FALSE)</f>
        <v>9. Concluído</v>
      </c>
      <c r="AS324" s="1" t="str">
        <f>+VLOOKUP(A324,Ficheiros!T:V,3,FALSE)</f>
        <v>PM</v>
      </c>
      <c r="AT324" s="1"/>
      <c r="AU324" s="1"/>
      <c r="AV324" s="1"/>
      <c r="AW324" s="1"/>
      <c r="AX324" s="1"/>
    </row>
    <row r="325" spans="1:50" ht="14.5" hidden="1" customHeight="1" x14ac:dyDescent="0.35">
      <c r="A325" s="5" t="str">
        <f t="shared" si="8"/>
        <v>INSTRUMENTGRC_PRD_CPTL_INTRST_C19</v>
      </c>
      <c r="B325" s="1" t="s">
        <v>1386</v>
      </c>
      <c r="C325" s="1" t="s">
        <v>785</v>
      </c>
      <c r="D325" s="1" t="s">
        <v>1359</v>
      </c>
      <c r="E325" s="1" t="s">
        <v>37</v>
      </c>
      <c r="F325" s="30" t="s">
        <v>1387</v>
      </c>
      <c r="G325" s="1" t="s">
        <v>1387</v>
      </c>
      <c r="H325" s="1" t="s">
        <v>37</v>
      </c>
      <c r="I325" s="1" t="s">
        <v>37</v>
      </c>
      <c r="J325" s="1" t="s">
        <v>37</v>
      </c>
      <c r="K325" s="1" t="s">
        <v>37</v>
      </c>
      <c r="L325" s="1" t="s">
        <v>37</v>
      </c>
      <c r="M325" s="1" t="s">
        <v>39</v>
      </c>
      <c r="N325" s="1" t="s">
        <v>39</v>
      </c>
      <c r="O325" s="1" t="s">
        <v>37</v>
      </c>
      <c r="P325" s="1" t="s">
        <v>37</v>
      </c>
      <c r="Q325" s="1" t="s">
        <v>37</v>
      </c>
      <c r="R325" s="1" t="s">
        <v>141</v>
      </c>
      <c r="S325" s="1" t="s">
        <v>142</v>
      </c>
      <c r="T325" s="1" t="s">
        <v>53</v>
      </c>
      <c r="U325" s="1" t="s">
        <v>46</v>
      </c>
      <c r="V325" s="1" t="s">
        <v>46</v>
      </c>
      <c r="W325" s="1" t="s">
        <v>1388</v>
      </c>
      <c r="X325" s="1" t="s">
        <v>1389</v>
      </c>
      <c r="Y325" s="1" t="s">
        <v>84</v>
      </c>
      <c r="Z325" s="1" t="s">
        <v>1390</v>
      </c>
      <c r="AA325" s="1" t="s">
        <v>47</v>
      </c>
      <c r="AB325" s="1" t="s">
        <v>39</v>
      </c>
      <c r="AC325" s="1" t="s">
        <v>37</v>
      </c>
      <c r="AD325" s="1" t="s">
        <v>37</v>
      </c>
      <c r="AE325" s="1" t="s">
        <v>37</v>
      </c>
      <c r="AF325" s="1" t="s">
        <v>37</v>
      </c>
      <c r="AG325" s="1" t="s">
        <v>37</v>
      </c>
      <c r="AH325" s="1" t="s">
        <v>37</v>
      </c>
      <c r="AI325" s="1" t="s">
        <v>37</v>
      </c>
      <c r="AJ325" s="1" t="s">
        <v>39</v>
      </c>
      <c r="AK325" s="1" t="str">
        <f t="shared" si="9"/>
        <v>Fora de âmbito</v>
      </c>
      <c r="AL325" s="1" t="str">
        <f>+IF(IFERROR(VLOOKUP(A325,Ficheiros!I:I,1,FALSE),"")=A325,"Sim","Não")</f>
        <v>Sim</v>
      </c>
      <c r="AM325" s="1" t="str">
        <f>+IF(IFERROR(VLOOKUP(A325,Ficheiros!E:E,1,FALSE),"")=A325,"Sim","Não")</f>
        <v>Não</v>
      </c>
      <c r="AN325" s="1" t="str">
        <f>+IF(IFERROR(VLOOKUP(A325,Ficheiros!O:O,1,FALSE),"")=A325,"Sim","Não")</f>
        <v>Não</v>
      </c>
      <c r="AO325" s="1" t="str">
        <f>+IF(IFERROR(VLOOKUP(A325,'Especificação Novos Req. LT (2'!A:A,1,FALSE),"")=A325,"Sim","Não")</f>
        <v>Não</v>
      </c>
      <c r="AP325" s="1" t="str">
        <f>+IF(IFERROR(VLOOKUP(A325,Ficheiros!T:T,1,FALSE),"")=A325,"Sim","Não")</f>
        <v>Sim</v>
      </c>
      <c r="AQ325" s="1" t="e">
        <f>+VLOOKUP(A325,Ficheiros!O:P,2,FALSE)</f>
        <v>#N/A</v>
      </c>
      <c r="AR325" s="1" t="str">
        <f>+VLOOKUP(A325,Ficheiros!T:U,2,FALSE)</f>
        <v>9. Concluído</v>
      </c>
      <c r="AS325" s="1" t="str">
        <f>+VLOOKUP(A325,Ficheiros!T:V,3,FALSE)</f>
        <v>PM</v>
      </c>
      <c r="AT325" s="1"/>
      <c r="AU325" s="1"/>
      <c r="AV325" s="1"/>
      <c r="AW325" s="1"/>
      <c r="AX325" s="1"/>
    </row>
    <row r="326" spans="1:50" ht="14.5" hidden="1" customHeight="1" x14ac:dyDescent="0.35">
      <c r="A326" s="5" t="str">
        <f t="shared" si="8"/>
        <v>INSTRUMENTCMPLNT_MRTR_C19_NM</v>
      </c>
      <c r="B326" s="1" t="s">
        <v>1391</v>
      </c>
      <c r="C326" s="1" t="s">
        <v>785</v>
      </c>
      <c r="D326" s="1" t="s">
        <v>1359</v>
      </c>
      <c r="E326" s="1" t="s">
        <v>37</v>
      </c>
      <c r="F326" s="30" t="s">
        <v>1392</v>
      </c>
      <c r="G326" s="1" t="s">
        <v>1392</v>
      </c>
      <c r="H326" s="1" t="s">
        <v>37</v>
      </c>
      <c r="I326" s="1" t="s">
        <v>37</v>
      </c>
      <c r="J326" s="1" t="s">
        <v>37</v>
      </c>
      <c r="K326" s="1" t="s">
        <v>37</v>
      </c>
      <c r="L326" s="1" t="s">
        <v>37</v>
      </c>
      <c r="M326" s="1" t="s">
        <v>39</v>
      </c>
      <c r="N326" s="1" t="s">
        <v>39</v>
      </c>
      <c r="O326" s="1" t="s">
        <v>37</v>
      </c>
      <c r="P326" s="1" t="s">
        <v>37</v>
      </c>
      <c r="Q326" s="1" t="s">
        <v>37</v>
      </c>
      <c r="R326" s="1" t="s">
        <v>96</v>
      </c>
      <c r="S326" s="1" t="s">
        <v>41</v>
      </c>
      <c r="T326" s="1" t="s">
        <v>53</v>
      </c>
      <c r="U326" s="1" t="s">
        <v>46</v>
      </c>
      <c r="V326" s="1" t="s">
        <v>46</v>
      </c>
      <c r="W326" s="1" t="s">
        <v>1393</v>
      </c>
      <c r="X326" s="1" t="s">
        <v>1394</v>
      </c>
      <c r="Y326" s="1" t="s">
        <v>84</v>
      </c>
      <c r="Z326" s="1" t="s">
        <v>1395</v>
      </c>
      <c r="AA326" s="1" t="s">
        <v>1396</v>
      </c>
      <c r="AB326" s="1" t="s">
        <v>39</v>
      </c>
      <c r="AC326" s="1" t="s">
        <v>37</v>
      </c>
      <c r="AD326" s="1" t="s">
        <v>37</v>
      </c>
      <c r="AE326" s="1" t="s">
        <v>37</v>
      </c>
      <c r="AF326" s="1" t="s">
        <v>37</v>
      </c>
      <c r="AG326" s="1" t="s">
        <v>37</v>
      </c>
      <c r="AH326" s="1" t="s">
        <v>37</v>
      </c>
      <c r="AI326" s="1" t="s">
        <v>37</v>
      </c>
      <c r="AJ326" s="1" t="s">
        <v>39</v>
      </c>
      <c r="AK326" s="1" t="str">
        <f t="shared" si="9"/>
        <v>Fora de âmbito</v>
      </c>
      <c r="AL326" s="1" t="str">
        <f>+IF(IFERROR(VLOOKUP(A326,Ficheiros!I:I,1,FALSE),"")=A326,"Sim","Não")</f>
        <v>Sim</v>
      </c>
      <c r="AM326" s="1" t="str">
        <f>+IF(IFERROR(VLOOKUP(A326,Ficheiros!E:E,1,FALSE),"")=A326,"Sim","Não")</f>
        <v>Não</v>
      </c>
      <c r="AN326" s="1" t="str">
        <f>+IF(IFERROR(VLOOKUP(A326,Ficheiros!O:O,1,FALSE),"")=A326,"Sim","Não")</f>
        <v>Não</v>
      </c>
      <c r="AO326" s="1" t="str">
        <f>+IF(IFERROR(VLOOKUP(A326,'Especificação Novos Req. LT (2'!A:A,1,FALSE),"")=A326,"Sim","Não")</f>
        <v>Não</v>
      </c>
      <c r="AP326" s="1" t="str">
        <f>+IF(IFERROR(VLOOKUP(A326,Ficheiros!T:T,1,FALSE),"")=A326,"Sim","Não")</f>
        <v>Sim</v>
      </c>
      <c r="AQ326" s="1" t="e">
        <f>+VLOOKUP(A326,Ficheiros!O:P,2,FALSE)</f>
        <v>#N/A</v>
      </c>
      <c r="AR326" s="1" t="str">
        <f>+VLOOKUP(A326,Ficheiros!T:U,2,FALSE)</f>
        <v>9. Concluído</v>
      </c>
      <c r="AS326" s="1" t="str">
        <f>+VLOOKUP(A326,Ficheiros!T:V,3,FALSE)</f>
        <v>PM</v>
      </c>
      <c r="AT326" s="1"/>
      <c r="AU326" s="1"/>
      <c r="AV326" s="1"/>
      <c r="AW326" s="1"/>
      <c r="AX326" s="1"/>
    </row>
    <row r="327" spans="1:50" ht="14.5" hidden="1" customHeight="1" x14ac:dyDescent="0.35">
      <c r="A327" s="5" t="str">
        <f t="shared" si="8"/>
        <v>INSTRUMENTFRBRNC_STTS_C19</v>
      </c>
      <c r="B327" s="1" t="s">
        <v>1397</v>
      </c>
      <c r="C327" s="1" t="s">
        <v>785</v>
      </c>
      <c r="D327" s="1" t="s">
        <v>1359</v>
      </c>
      <c r="E327" s="1" t="s">
        <v>37</v>
      </c>
      <c r="F327" s="30" t="s">
        <v>1398</v>
      </c>
      <c r="G327" s="1" t="s">
        <v>1398</v>
      </c>
      <c r="H327" s="1" t="s">
        <v>37</v>
      </c>
      <c r="I327" s="1" t="s">
        <v>37</v>
      </c>
      <c r="J327" s="1" t="s">
        <v>37</v>
      </c>
      <c r="K327" s="1" t="s">
        <v>37</v>
      </c>
      <c r="L327" s="1" t="s">
        <v>37</v>
      </c>
      <c r="M327" s="1" t="s">
        <v>39</v>
      </c>
      <c r="N327" s="1" t="s">
        <v>39</v>
      </c>
      <c r="O327" s="1" t="s">
        <v>37</v>
      </c>
      <c r="P327" s="1" t="s">
        <v>37</v>
      </c>
      <c r="Q327" s="1" t="s">
        <v>37</v>
      </c>
      <c r="R327" s="1" t="s">
        <v>136</v>
      </c>
      <c r="S327" s="1" t="s">
        <v>52</v>
      </c>
      <c r="T327" s="1">
        <v>99999999999</v>
      </c>
      <c r="U327" s="1">
        <v>11111111111</v>
      </c>
      <c r="V327" s="1">
        <v>11111111111</v>
      </c>
      <c r="W327" s="1" t="s">
        <v>1399</v>
      </c>
      <c r="X327" s="1" t="s">
        <v>1400</v>
      </c>
      <c r="Y327" s="1" t="s">
        <v>84</v>
      </c>
      <c r="Z327" s="1" t="s">
        <v>1401</v>
      </c>
      <c r="AA327" s="1" t="s">
        <v>1364</v>
      </c>
      <c r="AB327" s="1" t="s">
        <v>39</v>
      </c>
      <c r="AC327" s="1" t="s">
        <v>37</v>
      </c>
      <c r="AD327" s="1" t="s">
        <v>37</v>
      </c>
      <c r="AE327" s="1" t="s">
        <v>37</v>
      </c>
      <c r="AF327" s="1" t="s">
        <v>37</v>
      </c>
      <c r="AG327" s="1" t="s">
        <v>37</v>
      </c>
      <c r="AH327" s="1" t="s">
        <v>37</v>
      </c>
      <c r="AI327" s="1" t="s">
        <v>37</v>
      </c>
      <c r="AJ327" s="1" t="s">
        <v>39</v>
      </c>
      <c r="AK327" s="1" t="str">
        <f t="shared" si="9"/>
        <v>Fora de âmbito</v>
      </c>
      <c r="AL327" s="1" t="str">
        <f>+IF(IFERROR(VLOOKUP(A327,Ficheiros!I:I,1,FALSE),"")=A327,"Sim","Não")</f>
        <v>Sim</v>
      </c>
      <c r="AM327" s="1" t="str">
        <f>+IF(IFERROR(VLOOKUP(A327,Ficheiros!E:E,1,FALSE),"")=A327,"Sim","Não")</f>
        <v>Não</v>
      </c>
      <c r="AN327" s="1" t="str">
        <f>+IF(IFERROR(VLOOKUP(A327,Ficheiros!O:O,1,FALSE),"")=A327,"Sim","Não")</f>
        <v>Não</v>
      </c>
      <c r="AO327" s="1" t="str">
        <f>+IF(IFERROR(VLOOKUP(A327,'Especificação Novos Req. LT (2'!A:A,1,FALSE),"")=A327,"Sim","Não")</f>
        <v>Não</v>
      </c>
      <c r="AP327" s="1" t="str">
        <f>+IF(IFERROR(VLOOKUP(A327,Ficheiros!T:T,1,FALSE),"")=A327,"Sim","Não")</f>
        <v>Sim</v>
      </c>
      <c r="AQ327" s="1" t="e">
        <f>+VLOOKUP(A327,Ficheiros!O:P,2,FALSE)</f>
        <v>#N/A</v>
      </c>
      <c r="AR327" s="1" t="str">
        <f>+VLOOKUP(A327,Ficheiros!T:U,2,FALSE)</f>
        <v>9. Concluído</v>
      </c>
      <c r="AS327" s="1" t="str">
        <f>+VLOOKUP(A327,Ficheiros!T:V,3,FALSE)</f>
        <v>PM</v>
      </c>
      <c r="AT327" s="1"/>
      <c r="AU327" s="1"/>
      <c r="AV327" s="1"/>
      <c r="AW327" s="1"/>
      <c r="AX327" s="1"/>
    </row>
    <row r="328" spans="1:50" ht="14.5" hidden="1" customHeight="1" x14ac:dyDescent="0.35">
      <c r="A328" s="5" t="str">
        <f t="shared" si="8"/>
        <v>INSTRUMENTDT_FRBRNC_STTS_C19</v>
      </c>
      <c r="B328" s="1" t="s">
        <v>1402</v>
      </c>
      <c r="C328" s="1" t="s">
        <v>785</v>
      </c>
      <c r="D328" s="1" t="s">
        <v>1359</v>
      </c>
      <c r="E328" s="1" t="s">
        <v>37</v>
      </c>
      <c r="F328" s="30" t="s">
        <v>1403</v>
      </c>
      <c r="G328" s="1" t="s">
        <v>1403</v>
      </c>
      <c r="H328" s="1" t="s">
        <v>37</v>
      </c>
      <c r="I328" s="1" t="s">
        <v>37</v>
      </c>
      <c r="J328" s="1" t="s">
        <v>37</v>
      </c>
      <c r="K328" s="1" t="s">
        <v>37</v>
      </c>
      <c r="L328" s="1" t="s">
        <v>37</v>
      </c>
      <c r="M328" s="1" t="s">
        <v>39</v>
      </c>
      <c r="N328" s="1" t="s">
        <v>39</v>
      </c>
      <c r="O328" s="1" t="s">
        <v>37</v>
      </c>
      <c r="P328" s="1" t="s">
        <v>37</v>
      </c>
      <c r="Q328" s="1" t="s">
        <v>37</v>
      </c>
      <c r="R328" s="1" t="s">
        <v>60</v>
      </c>
      <c r="S328" s="1" t="s">
        <v>61</v>
      </c>
      <c r="T328" s="1" t="s">
        <v>62</v>
      </c>
      <c r="U328" s="1" t="s">
        <v>63</v>
      </c>
      <c r="V328" s="1" t="s">
        <v>63</v>
      </c>
      <c r="W328" s="1" t="s">
        <v>1404</v>
      </c>
      <c r="X328" s="1" t="s">
        <v>1405</v>
      </c>
      <c r="Y328" s="1" t="s">
        <v>84</v>
      </c>
      <c r="Z328" s="1" t="s">
        <v>1406</v>
      </c>
      <c r="AA328" s="1" t="s">
        <v>47</v>
      </c>
      <c r="AB328" s="1" t="s">
        <v>39</v>
      </c>
      <c r="AC328" s="1" t="s">
        <v>37</v>
      </c>
      <c r="AD328" s="1" t="s">
        <v>37</v>
      </c>
      <c r="AE328" s="1" t="s">
        <v>37</v>
      </c>
      <c r="AF328" s="1" t="s">
        <v>37</v>
      </c>
      <c r="AG328" s="1" t="s">
        <v>37</v>
      </c>
      <c r="AH328" s="1" t="s">
        <v>37</v>
      </c>
      <c r="AI328" s="1" t="s">
        <v>37</v>
      </c>
      <c r="AJ328" s="1" t="s">
        <v>39</v>
      </c>
      <c r="AK328" s="1" t="str">
        <f t="shared" si="9"/>
        <v>Fora de âmbito</v>
      </c>
      <c r="AL328" s="1" t="str">
        <f>+IF(IFERROR(VLOOKUP(A328,Ficheiros!I:I,1,FALSE),"")=A328,"Sim","Não")</f>
        <v>Sim</v>
      </c>
      <c r="AM328" s="1" t="str">
        <f>+IF(IFERROR(VLOOKUP(A328,Ficheiros!E:E,1,FALSE),"")=A328,"Sim","Não")</f>
        <v>Não</v>
      </c>
      <c r="AN328" s="1" t="str">
        <f>+IF(IFERROR(VLOOKUP(A328,Ficheiros!O:O,1,FALSE),"")=A328,"Sim","Não")</f>
        <v>Não</v>
      </c>
      <c r="AO328" s="1" t="str">
        <f>+IF(IFERROR(VLOOKUP(A328,'Especificação Novos Req. LT (2'!A:A,1,FALSE),"")=A328,"Sim","Não")</f>
        <v>Não</v>
      </c>
      <c r="AP328" s="1" t="str">
        <f>+IF(IFERROR(VLOOKUP(A328,Ficheiros!T:T,1,FALSE),"")=A328,"Sim","Não")</f>
        <v>Sim</v>
      </c>
      <c r="AQ328" s="1" t="e">
        <f>+VLOOKUP(A328,Ficheiros!O:P,2,FALSE)</f>
        <v>#N/A</v>
      </c>
      <c r="AR328" s="1" t="str">
        <f>+VLOOKUP(A328,Ficheiros!T:U,2,FALSE)</f>
        <v>9. Concluído</v>
      </c>
      <c r="AS328" s="1" t="str">
        <f>+VLOOKUP(A328,Ficheiros!T:V,3,FALSE)</f>
        <v>PM</v>
      </c>
      <c r="AT328" s="1"/>
      <c r="AU328" s="1"/>
      <c r="AV328" s="1"/>
      <c r="AW328" s="1"/>
      <c r="AX328" s="1"/>
    </row>
    <row r="329" spans="1:50" ht="14.5" hidden="1" customHeight="1" x14ac:dyDescent="0.35">
      <c r="A329" s="5" t="str">
        <f t="shared" si="8"/>
        <v>INSTRUMENTDT_FRBRNC_STTS_PRVS_C19</v>
      </c>
      <c r="B329" s="1" t="s">
        <v>1407</v>
      </c>
      <c r="C329" s="1" t="s">
        <v>785</v>
      </c>
      <c r="D329" s="1" t="s">
        <v>1359</v>
      </c>
      <c r="E329" s="1" t="s">
        <v>37</v>
      </c>
      <c r="F329" s="30" t="s">
        <v>1408</v>
      </c>
      <c r="G329" s="1" t="s">
        <v>1408</v>
      </c>
      <c r="H329" s="1" t="s">
        <v>37</v>
      </c>
      <c r="I329" s="1" t="s">
        <v>37</v>
      </c>
      <c r="J329" s="1" t="s">
        <v>37</v>
      </c>
      <c r="K329" s="1" t="s">
        <v>37</v>
      </c>
      <c r="L329" s="1" t="s">
        <v>37</v>
      </c>
      <c r="M329" s="1" t="s">
        <v>39</v>
      </c>
      <c r="N329" s="1" t="s">
        <v>39</v>
      </c>
      <c r="O329" s="1" t="s">
        <v>37</v>
      </c>
      <c r="P329" s="1" t="s">
        <v>37</v>
      </c>
      <c r="Q329" s="1" t="s">
        <v>37</v>
      </c>
      <c r="R329" s="1" t="s">
        <v>60</v>
      </c>
      <c r="S329" s="1" t="s">
        <v>61</v>
      </c>
      <c r="T329" s="1" t="s">
        <v>62</v>
      </c>
      <c r="U329" s="1" t="s">
        <v>63</v>
      </c>
      <c r="V329" s="1" t="s">
        <v>63</v>
      </c>
      <c r="W329" s="1" t="s">
        <v>1409</v>
      </c>
      <c r="X329" s="1" t="s">
        <v>1410</v>
      </c>
      <c r="Y329" s="1" t="s">
        <v>84</v>
      </c>
      <c r="Z329" s="1" t="s">
        <v>1411</v>
      </c>
      <c r="AA329" s="1" t="s">
        <v>47</v>
      </c>
      <c r="AB329" s="1" t="s">
        <v>39</v>
      </c>
      <c r="AC329" s="1" t="s">
        <v>37</v>
      </c>
      <c r="AD329" s="1" t="s">
        <v>37</v>
      </c>
      <c r="AE329" s="1" t="s">
        <v>37</v>
      </c>
      <c r="AF329" s="1" t="s">
        <v>37</v>
      </c>
      <c r="AG329" s="1" t="s">
        <v>37</v>
      </c>
      <c r="AH329" s="1" t="s">
        <v>37</v>
      </c>
      <c r="AI329" s="1" t="s">
        <v>37</v>
      </c>
      <c r="AJ329" s="1" t="s">
        <v>39</v>
      </c>
      <c r="AK329" s="1" t="str">
        <f t="shared" si="9"/>
        <v>Fora de âmbito</v>
      </c>
      <c r="AL329" s="1" t="str">
        <f>+IF(IFERROR(VLOOKUP(A329,Ficheiros!I:I,1,FALSE),"")=A329,"Sim","Não")</f>
        <v>Sim</v>
      </c>
      <c r="AM329" s="1" t="str">
        <f>+IF(IFERROR(VLOOKUP(A329,Ficheiros!E:E,1,FALSE),"")=A329,"Sim","Não")</f>
        <v>Não</v>
      </c>
      <c r="AN329" s="1" t="str">
        <f>+IF(IFERROR(VLOOKUP(A329,Ficheiros!O:O,1,FALSE),"")=A329,"Sim","Não")</f>
        <v>Não</v>
      </c>
      <c r="AO329" s="1" t="str">
        <f>+IF(IFERROR(VLOOKUP(A329,'Especificação Novos Req. LT (2'!A:A,1,FALSE),"")=A329,"Sim","Não")</f>
        <v>Não</v>
      </c>
      <c r="AP329" s="1" t="str">
        <f>+IF(IFERROR(VLOOKUP(A329,Ficheiros!T:T,1,FALSE),"")=A329,"Sim","Não")</f>
        <v>Sim</v>
      </c>
      <c r="AQ329" s="1" t="e">
        <f>+VLOOKUP(A329,Ficheiros!O:P,2,FALSE)</f>
        <v>#N/A</v>
      </c>
      <c r="AR329" s="1" t="str">
        <f>+VLOOKUP(A329,Ficheiros!T:U,2,FALSE)</f>
        <v>9. Concluído</v>
      </c>
      <c r="AS329" s="1" t="str">
        <f>+VLOOKUP(A329,Ficheiros!T:V,3,FALSE)</f>
        <v>PM</v>
      </c>
      <c r="AT329" s="1"/>
      <c r="AU329" s="1"/>
      <c r="AV329" s="1"/>
      <c r="AW329" s="1"/>
      <c r="AX329" s="1"/>
    </row>
    <row r="330" spans="1:50" ht="14.5" hidden="1" customHeight="1" x14ac:dyDescent="0.35">
      <c r="A330" s="5" t="str">
        <f t="shared" ref="A330:A391" si="10">+C330&amp;G330</f>
        <v>INSTRUMENTMTRTY_LTST_FRBRNC_MSR_C19</v>
      </c>
      <c r="B330" s="1" t="s">
        <v>1412</v>
      </c>
      <c r="C330" s="1" t="s">
        <v>785</v>
      </c>
      <c r="D330" s="1" t="s">
        <v>1359</v>
      </c>
      <c r="E330" s="1" t="s">
        <v>37</v>
      </c>
      <c r="F330" s="30" t="s">
        <v>1413</v>
      </c>
      <c r="G330" s="1" t="s">
        <v>1413</v>
      </c>
      <c r="H330" s="1" t="s">
        <v>37</v>
      </c>
      <c r="I330" s="1" t="s">
        <v>37</v>
      </c>
      <c r="J330" s="1" t="s">
        <v>37</v>
      </c>
      <c r="K330" s="1" t="s">
        <v>37</v>
      </c>
      <c r="L330" s="1" t="s">
        <v>37</v>
      </c>
      <c r="M330" s="1" t="s">
        <v>39</v>
      </c>
      <c r="N330" s="1" t="s">
        <v>39</v>
      </c>
      <c r="O330" s="1" t="s">
        <v>37</v>
      </c>
      <c r="P330" s="1" t="s">
        <v>37</v>
      </c>
      <c r="Q330" s="1" t="s">
        <v>37</v>
      </c>
      <c r="R330" s="1" t="s">
        <v>623</v>
      </c>
      <c r="S330" s="1" t="s">
        <v>624</v>
      </c>
      <c r="T330" s="1">
        <v>99999999999</v>
      </c>
      <c r="U330" s="1">
        <v>11111111111</v>
      </c>
      <c r="V330" s="1">
        <v>11111111111</v>
      </c>
      <c r="W330" s="1" t="s">
        <v>1414</v>
      </c>
      <c r="X330" s="1" t="s">
        <v>1415</v>
      </c>
      <c r="Y330" s="1" t="s">
        <v>84</v>
      </c>
      <c r="Z330" s="1" t="s">
        <v>1416</v>
      </c>
      <c r="AA330" s="1" t="s">
        <v>47</v>
      </c>
      <c r="AB330" s="1" t="s">
        <v>39</v>
      </c>
      <c r="AC330" s="1" t="s">
        <v>37</v>
      </c>
      <c r="AD330" s="1" t="s">
        <v>37</v>
      </c>
      <c r="AE330" s="1" t="s">
        <v>37</v>
      </c>
      <c r="AF330" s="1" t="s">
        <v>37</v>
      </c>
      <c r="AG330" s="1" t="s">
        <v>37</v>
      </c>
      <c r="AH330" s="1" t="s">
        <v>37</v>
      </c>
      <c r="AI330" s="1" t="s">
        <v>37</v>
      </c>
      <c r="AJ330" s="1" t="s">
        <v>39</v>
      </c>
      <c r="AK330" s="1" t="str">
        <f t="shared" ref="AK330:AK391" si="11">+IF(AND(AD330="N",AF330="N"),"Fora de âmbito",
IF(AND(AD330="N",AF330="Y"),"Apenas ESG Risk",
IF(AND(AD330="Y",AF330="N"),"Apenas Pilar 3",
IF(AND(AD330="Y",AF330="Y"),"Comum",""))))</f>
        <v>Fora de âmbito</v>
      </c>
      <c r="AL330" s="1" t="str">
        <f>+IF(IFERROR(VLOOKUP(A330,Ficheiros!I:I,1,FALSE),"")=A330,"Sim","Não")</f>
        <v>Sim</v>
      </c>
      <c r="AM330" s="1" t="str">
        <f>+IF(IFERROR(VLOOKUP(A330,Ficheiros!E:E,1,FALSE),"")=A330,"Sim","Não")</f>
        <v>Não</v>
      </c>
      <c r="AN330" s="1" t="str">
        <f>+IF(IFERROR(VLOOKUP(A330,Ficheiros!O:O,1,FALSE),"")=A330,"Sim","Não")</f>
        <v>Não</v>
      </c>
      <c r="AO330" s="1" t="str">
        <f>+IF(IFERROR(VLOOKUP(A330,'Especificação Novos Req. LT (2'!A:A,1,FALSE),"")=A330,"Sim","Não")</f>
        <v>Não</v>
      </c>
      <c r="AP330" s="1" t="str">
        <f>+IF(IFERROR(VLOOKUP(A330,Ficheiros!T:T,1,FALSE),"")=A330,"Sim","Não")</f>
        <v>Sim</v>
      </c>
      <c r="AQ330" s="1" t="e">
        <f>+VLOOKUP(A330,Ficheiros!O:P,2,FALSE)</f>
        <v>#N/A</v>
      </c>
      <c r="AR330" s="1" t="str">
        <f>+VLOOKUP(A330,Ficheiros!T:U,2,FALSE)</f>
        <v>9. Concluído</v>
      </c>
      <c r="AS330" s="1" t="str">
        <f>+VLOOKUP(A330,Ficheiros!T:V,3,FALSE)</f>
        <v>PM</v>
      </c>
      <c r="AT330" s="1"/>
      <c r="AU330" s="1"/>
      <c r="AV330" s="1"/>
      <c r="AW330" s="1"/>
      <c r="AX330" s="1"/>
    </row>
    <row r="331" spans="1:50" ht="14.5" hidden="1" customHeight="1" x14ac:dyDescent="0.35">
      <c r="A331" s="5" t="str">
        <f t="shared" si="10"/>
        <v>INSTRUMENTDT_END_GP_PPAL_C19</v>
      </c>
      <c r="B331" s="1" t="s">
        <v>1417</v>
      </c>
      <c r="C331" s="1" t="s">
        <v>785</v>
      </c>
      <c r="D331" s="1" t="s">
        <v>1359</v>
      </c>
      <c r="E331" s="1" t="s">
        <v>37</v>
      </c>
      <c r="F331" s="30" t="s">
        <v>1418</v>
      </c>
      <c r="G331" s="1" t="s">
        <v>1418</v>
      </c>
      <c r="H331" s="1" t="s">
        <v>37</v>
      </c>
      <c r="I331" s="1" t="s">
        <v>37</v>
      </c>
      <c r="J331" s="1" t="s">
        <v>37</v>
      </c>
      <c r="K331" s="1" t="s">
        <v>37</v>
      </c>
      <c r="L331" s="1" t="s">
        <v>37</v>
      </c>
      <c r="M331" s="1" t="s">
        <v>39</v>
      </c>
      <c r="N331" s="1" t="s">
        <v>39</v>
      </c>
      <c r="O331" s="1" t="s">
        <v>37</v>
      </c>
      <c r="P331" s="1" t="s">
        <v>37</v>
      </c>
      <c r="Q331" s="1" t="s">
        <v>37</v>
      </c>
      <c r="R331" s="1" t="s">
        <v>60</v>
      </c>
      <c r="S331" s="1" t="s">
        <v>61</v>
      </c>
      <c r="T331" s="1" t="s">
        <v>62</v>
      </c>
      <c r="U331" s="1" t="s">
        <v>63</v>
      </c>
      <c r="V331" s="1" t="s">
        <v>63</v>
      </c>
      <c r="W331" s="1" t="s">
        <v>1419</v>
      </c>
      <c r="X331" s="1" t="s">
        <v>1420</v>
      </c>
      <c r="Y331" s="1" t="s">
        <v>84</v>
      </c>
      <c r="Z331" s="1" t="s">
        <v>1421</v>
      </c>
      <c r="AA331" s="1" t="s">
        <v>47</v>
      </c>
      <c r="AB331" s="1" t="s">
        <v>39</v>
      </c>
      <c r="AC331" s="1" t="s">
        <v>37</v>
      </c>
      <c r="AD331" s="1" t="s">
        <v>37</v>
      </c>
      <c r="AE331" s="1" t="s">
        <v>37</v>
      </c>
      <c r="AF331" s="1" t="s">
        <v>37</v>
      </c>
      <c r="AG331" s="1" t="s">
        <v>37</v>
      </c>
      <c r="AH331" s="1" t="s">
        <v>37</v>
      </c>
      <c r="AI331" s="1" t="s">
        <v>37</v>
      </c>
      <c r="AJ331" s="1" t="s">
        <v>39</v>
      </c>
      <c r="AK331" s="1" t="str">
        <f t="shared" si="11"/>
        <v>Fora de âmbito</v>
      </c>
      <c r="AL331" s="1" t="str">
        <f>+IF(IFERROR(VLOOKUP(A331,Ficheiros!I:I,1,FALSE),"")=A331,"Sim","Não")</f>
        <v>Sim</v>
      </c>
      <c r="AM331" s="1" t="str">
        <f>+IF(IFERROR(VLOOKUP(A331,Ficheiros!E:E,1,FALSE),"")=A331,"Sim","Não")</f>
        <v>Não</v>
      </c>
      <c r="AN331" s="1" t="str">
        <f>+IF(IFERROR(VLOOKUP(A331,Ficheiros!O:O,1,FALSE),"")=A331,"Sim","Não")</f>
        <v>Não</v>
      </c>
      <c r="AO331" s="1" t="str">
        <f>+IF(IFERROR(VLOOKUP(A331,'Especificação Novos Req. LT (2'!A:A,1,FALSE),"")=A331,"Sim","Não")</f>
        <v>Não</v>
      </c>
      <c r="AP331" s="1" t="str">
        <f>+IF(IFERROR(VLOOKUP(A331,Ficheiros!T:T,1,FALSE),"")=A331,"Sim","Não")</f>
        <v>Sim</v>
      </c>
      <c r="AQ331" s="1" t="e">
        <f>+VLOOKUP(A331,Ficheiros!O:P,2,FALSE)</f>
        <v>#N/A</v>
      </c>
      <c r="AR331" s="1" t="str">
        <f>+VLOOKUP(A331,Ficheiros!T:U,2,FALSE)</f>
        <v>9. Concluído</v>
      </c>
      <c r="AS331" s="1" t="str">
        <f>+VLOOKUP(A331,Ficheiros!T:V,3,FALSE)</f>
        <v>PM</v>
      </c>
      <c r="AT331" s="1"/>
      <c r="AU331" s="1"/>
      <c r="AV331" s="1"/>
      <c r="AW331" s="1"/>
      <c r="AX331" s="1"/>
    </row>
    <row r="332" spans="1:50" ht="14.5" hidden="1" customHeight="1" x14ac:dyDescent="0.35">
      <c r="A332" s="5" t="str">
        <f t="shared" si="10"/>
        <v>INSTRUMENTDT_END_INTRST_ONLY_C19</v>
      </c>
      <c r="B332" s="1" t="s">
        <v>1422</v>
      </c>
      <c r="C332" s="1" t="s">
        <v>785</v>
      </c>
      <c r="D332" s="1" t="s">
        <v>1359</v>
      </c>
      <c r="E332" s="1" t="s">
        <v>37</v>
      </c>
      <c r="F332" s="30" t="s">
        <v>1423</v>
      </c>
      <c r="G332" s="1" t="s">
        <v>1423</v>
      </c>
      <c r="H332" s="1" t="s">
        <v>37</v>
      </c>
      <c r="I332" s="1" t="s">
        <v>37</v>
      </c>
      <c r="J332" s="1" t="s">
        <v>37</v>
      </c>
      <c r="K332" s="1" t="s">
        <v>37</v>
      </c>
      <c r="L332" s="1" t="s">
        <v>37</v>
      </c>
      <c r="M332" s="1" t="s">
        <v>39</v>
      </c>
      <c r="N332" s="1" t="s">
        <v>39</v>
      </c>
      <c r="O332" s="1" t="s">
        <v>37</v>
      </c>
      <c r="P332" s="1" t="s">
        <v>37</v>
      </c>
      <c r="Q332" s="1" t="s">
        <v>37</v>
      </c>
      <c r="R332" s="1" t="s">
        <v>60</v>
      </c>
      <c r="S332" s="1" t="s">
        <v>61</v>
      </c>
      <c r="T332" s="1" t="s">
        <v>62</v>
      </c>
      <c r="U332" s="1" t="s">
        <v>63</v>
      </c>
      <c r="V332" s="1" t="s">
        <v>63</v>
      </c>
      <c r="W332" s="1" t="s">
        <v>1424</v>
      </c>
      <c r="X332" s="1" t="s">
        <v>1425</v>
      </c>
      <c r="Y332" s="1" t="s">
        <v>84</v>
      </c>
      <c r="Z332" s="1" t="s">
        <v>1426</v>
      </c>
      <c r="AA332" s="1" t="s">
        <v>47</v>
      </c>
      <c r="AB332" s="1" t="s">
        <v>39</v>
      </c>
      <c r="AC332" s="1" t="s">
        <v>37</v>
      </c>
      <c r="AD332" s="1" t="s">
        <v>37</v>
      </c>
      <c r="AE332" s="1" t="s">
        <v>37</v>
      </c>
      <c r="AF332" s="1" t="s">
        <v>37</v>
      </c>
      <c r="AG332" s="1" t="s">
        <v>37</v>
      </c>
      <c r="AH332" s="1" t="s">
        <v>37</v>
      </c>
      <c r="AI332" s="1" t="s">
        <v>37</v>
      </c>
      <c r="AJ332" s="1" t="s">
        <v>39</v>
      </c>
      <c r="AK332" s="1" t="str">
        <f t="shared" si="11"/>
        <v>Fora de âmbito</v>
      </c>
      <c r="AL332" s="1" t="str">
        <f>+IF(IFERROR(VLOOKUP(A332,Ficheiros!I:I,1,FALSE),"")=A332,"Sim","Não")</f>
        <v>Sim</v>
      </c>
      <c r="AM332" s="1" t="str">
        <f>+IF(IFERROR(VLOOKUP(A332,Ficheiros!E:E,1,FALSE),"")=A332,"Sim","Não")</f>
        <v>Não</v>
      </c>
      <c r="AN332" s="1" t="str">
        <f>+IF(IFERROR(VLOOKUP(A332,Ficheiros!O:O,1,FALSE),"")=A332,"Sim","Não")</f>
        <v>Não</v>
      </c>
      <c r="AO332" s="1" t="str">
        <f>+IF(IFERROR(VLOOKUP(A332,'Especificação Novos Req. LT (2'!A:A,1,FALSE),"")=A332,"Sim","Não")</f>
        <v>Não</v>
      </c>
      <c r="AP332" s="1" t="str">
        <f>+IF(IFERROR(VLOOKUP(A332,Ficheiros!T:T,1,FALSE),"")=A332,"Sim","Não")</f>
        <v>Sim</v>
      </c>
      <c r="AQ332" s="1" t="e">
        <f>+VLOOKUP(A332,Ficheiros!O:P,2,FALSE)</f>
        <v>#N/A</v>
      </c>
      <c r="AR332" s="1" t="str">
        <f>+VLOOKUP(A332,Ficheiros!T:U,2,FALSE)</f>
        <v>9. Concluído</v>
      </c>
      <c r="AS332" s="1" t="str">
        <f>+VLOOKUP(A332,Ficheiros!T:V,3,FALSE)</f>
        <v>PM</v>
      </c>
      <c r="AT332" s="1"/>
      <c r="AU332" s="1"/>
      <c r="AV332" s="1"/>
      <c r="AW332" s="1"/>
      <c r="AX332" s="1"/>
    </row>
    <row r="333" spans="1:50" ht="14.5" hidden="1" customHeight="1" x14ac:dyDescent="0.35">
      <c r="A333" s="5" t="str">
        <f t="shared" si="10"/>
        <v>INSTRUMENTSBJCT_PBLC_GRNT_SCHM_C19</v>
      </c>
      <c r="B333" s="1" t="s">
        <v>1427</v>
      </c>
      <c r="C333" s="1" t="s">
        <v>785</v>
      </c>
      <c r="D333" s="1" t="s">
        <v>1359</v>
      </c>
      <c r="E333" s="1" t="s">
        <v>37</v>
      </c>
      <c r="F333" s="30" t="s">
        <v>1428</v>
      </c>
      <c r="G333" s="1" t="s">
        <v>1428</v>
      </c>
      <c r="H333" s="1" t="s">
        <v>37</v>
      </c>
      <c r="I333" s="1" t="s">
        <v>37</v>
      </c>
      <c r="J333" s="1" t="s">
        <v>37</v>
      </c>
      <c r="K333" s="1" t="s">
        <v>37</v>
      </c>
      <c r="L333" s="1" t="s">
        <v>37</v>
      </c>
      <c r="M333" s="1" t="s">
        <v>39</v>
      </c>
      <c r="N333" s="1" t="s">
        <v>39</v>
      </c>
      <c r="O333" s="1" t="s">
        <v>37</v>
      </c>
      <c r="P333" s="1" t="s">
        <v>37</v>
      </c>
      <c r="Q333" s="1" t="s">
        <v>37</v>
      </c>
      <c r="R333" s="1" t="s">
        <v>136</v>
      </c>
      <c r="S333" s="1" t="s">
        <v>52</v>
      </c>
      <c r="T333" s="1">
        <v>99999999999</v>
      </c>
      <c r="U333" s="1">
        <v>11111111111</v>
      </c>
      <c r="V333" s="1">
        <v>11111111111</v>
      </c>
      <c r="W333" s="1" t="s">
        <v>1429</v>
      </c>
      <c r="X333" s="1" t="s">
        <v>1430</v>
      </c>
      <c r="Y333" s="1" t="s">
        <v>45</v>
      </c>
      <c r="Z333" s="1" t="s">
        <v>46</v>
      </c>
      <c r="AA333" s="1" t="s">
        <v>47</v>
      </c>
      <c r="AB333" s="1" t="s">
        <v>39</v>
      </c>
      <c r="AC333" s="1" t="s">
        <v>37</v>
      </c>
      <c r="AD333" s="1" t="s">
        <v>37</v>
      </c>
      <c r="AE333" s="1" t="s">
        <v>37</v>
      </c>
      <c r="AF333" s="1" t="s">
        <v>37</v>
      </c>
      <c r="AG333" s="1" t="s">
        <v>37</v>
      </c>
      <c r="AH333" s="1" t="s">
        <v>37</v>
      </c>
      <c r="AI333" s="1" t="s">
        <v>37</v>
      </c>
      <c r="AJ333" s="1" t="s">
        <v>39</v>
      </c>
      <c r="AK333" s="1" t="str">
        <f t="shared" si="11"/>
        <v>Fora de âmbito</v>
      </c>
      <c r="AL333" s="1" t="str">
        <f>+IF(IFERROR(VLOOKUP(A333,Ficheiros!I:I,1,FALSE),"")=A333,"Sim","Não")</f>
        <v>Sim</v>
      </c>
      <c r="AM333" s="1" t="str">
        <f>+IF(IFERROR(VLOOKUP(A333,Ficheiros!E:E,1,FALSE),"")=A333,"Sim","Não")</f>
        <v>Não</v>
      </c>
      <c r="AN333" s="1" t="str">
        <f>+IF(IFERROR(VLOOKUP(A333,Ficheiros!O:O,1,FALSE),"")=A333,"Sim","Não")</f>
        <v>Não</v>
      </c>
      <c r="AO333" s="1" t="str">
        <f>+IF(IFERROR(VLOOKUP(A333,'Especificação Novos Req. LT (2'!A:A,1,FALSE),"")=A333,"Sim","Não")</f>
        <v>Não</v>
      </c>
      <c r="AP333" s="1" t="str">
        <f>+IF(IFERROR(VLOOKUP(A333,Ficheiros!T:T,1,FALSE),"")=A333,"Sim","Não")</f>
        <v>Sim</v>
      </c>
      <c r="AQ333" s="1" t="e">
        <f>+VLOOKUP(A333,Ficheiros!O:P,2,FALSE)</f>
        <v>#N/A</v>
      </c>
      <c r="AR333" s="1" t="str">
        <f>+VLOOKUP(A333,Ficheiros!T:U,2,FALSE)</f>
        <v>9. Concluído</v>
      </c>
      <c r="AS333" s="1" t="str">
        <f>+VLOOKUP(A333,Ficheiros!T:V,3,FALSE)</f>
        <v>PM</v>
      </c>
      <c r="AT333" s="1"/>
      <c r="AU333" s="1"/>
      <c r="AV333" s="1"/>
      <c r="AW333" s="1"/>
      <c r="AX333" s="1"/>
    </row>
    <row r="334" spans="1:50" ht="14.5" hidden="1" customHeight="1" x14ac:dyDescent="0.35">
      <c r="A334" s="5" t="str">
        <f t="shared" si="10"/>
        <v>INSTRUMENTPBLC_GRNT_SCHM_C19_NM</v>
      </c>
      <c r="B334" s="1" t="s">
        <v>1431</v>
      </c>
      <c r="C334" s="1" t="s">
        <v>785</v>
      </c>
      <c r="D334" s="1" t="s">
        <v>1359</v>
      </c>
      <c r="E334" s="1" t="s">
        <v>37</v>
      </c>
      <c r="F334" s="30" t="s">
        <v>1432</v>
      </c>
      <c r="G334" s="1" t="s">
        <v>1432</v>
      </c>
      <c r="H334" s="1" t="s">
        <v>37</v>
      </c>
      <c r="I334" s="1" t="s">
        <v>37</v>
      </c>
      <c r="J334" s="1" t="s">
        <v>37</v>
      </c>
      <c r="K334" s="1" t="s">
        <v>37</v>
      </c>
      <c r="L334" s="1" t="s">
        <v>37</v>
      </c>
      <c r="M334" s="1" t="s">
        <v>39</v>
      </c>
      <c r="N334" s="1" t="s">
        <v>39</v>
      </c>
      <c r="O334" s="1" t="s">
        <v>37</v>
      </c>
      <c r="P334" s="1" t="s">
        <v>37</v>
      </c>
      <c r="Q334" s="1" t="s">
        <v>37</v>
      </c>
      <c r="R334" s="1" t="s">
        <v>96</v>
      </c>
      <c r="S334" s="1" t="s">
        <v>41</v>
      </c>
      <c r="T334" s="1" t="s">
        <v>53</v>
      </c>
      <c r="U334" s="1" t="s">
        <v>46</v>
      </c>
      <c r="V334" s="1" t="s">
        <v>46</v>
      </c>
      <c r="W334" s="1" t="s">
        <v>1433</v>
      </c>
      <c r="X334" s="1" t="s">
        <v>1434</v>
      </c>
      <c r="Y334" s="1" t="s">
        <v>84</v>
      </c>
      <c r="Z334" s="1" t="s">
        <v>1435</v>
      </c>
      <c r="AA334" s="1" t="s">
        <v>1396</v>
      </c>
      <c r="AB334" s="1" t="s">
        <v>39</v>
      </c>
      <c r="AC334" s="1" t="s">
        <v>37</v>
      </c>
      <c r="AD334" s="1" t="s">
        <v>37</v>
      </c>
      <c r="AE334" s="1" t="s">
        <v>37</v>
      </c>
      <c r="AF334" s="1" t="s">
        <v>37</v>
      </c>
      <c r="AG334" s="1" t="s">
        <v>37</v>
      </c>
      <c r="AH334" s="1" t="s">
        <v>37</v>
      </c>
      <c r="AI334" s="1" t="s">
        <v>37</v>
      </c>
      <c r="AJ334" s="1" t="s">
        <v>39</v>
      </c>
      <c r="AK334" s="1" t="str">
        <f t="shared" si="11"/>
        <v>Fora de âmbito</v>
      </c>
      <c r="AL334" s="1" t="str">
        <f>+IF(IFERROR(VLOOKUP(A334,Ficheiros!I:I,1,FALSE),"")=A334,"Sim","Não")</f>
        <v>Sim</v>
      </c>
      <c r="AM334" s="1" t="str">
        <f>+IF(IFERROR(VLOOKUP(A334,Ficheiros!E:E,1,FALSE),"")=A334,"Sim","Não")</f>
        <v>Não</v>
      </c>
      <c r="AN334" s="1" t="str">
        <f>+IF(IFERROR(VLOOKUP(A334,Ficheiros!O:O,1,FALSE),"")=A334,"Sim","Não")</f>
        <v>Não</v>
      </c>
      <c r="AO334" s="1" t="str">
        <f>+IF(IFERROR(VLOOKUP(A334,'Especificação Novos Req. LT (2'!A:A,1,FALSE),"")=A334,"Sim","Não")</f>
        <v>Não</v>
      </c>
      <c r="AP334" s="1" t="str">
        <f>+IF(IFERROR(VLOOKUP(A334,Ficheiros!T:T,1,FALSE),"")=A334,"Sim","Não")</f>
        <v>Sim</v>
      </c>
      <c r="AQ334" s="1" t="e">
        <f>+VLOOKUP(A334,Ficheiros!O:P,2,FALSE)</f>
        <v>#N/A</v>
      </c>
      <c r="AR334" s="1" t="str">
        <f>+VLOOKUP(A334,Ficheiros!T:U,2,FALSE)</f>
        <v>9. Concluído</v>
      </c>
      <c r="AS334" s="1" t="str">
        <f>+VLOOKUP(A334,Ficheiros!T:V,3,FALSE)</f>
        <v>PM</v>
      </c>
      <c r="AT334" s="1"/>
      <c r="AU334" s="1"/>
      <c r="AV334" s="1"/>
      <c r="AW334" s="1"/>
      <c r="AX334" s="1"/>
    </row>
    <row r="335" spans="1:50" ht="14.5" hidden="1" customHeight="1" x14ac:dyDescent="0.35">
      <c r="A335" s="5" t="str">
        <f t="shared" si="10"/>
        <v>INSTRUMENTPMNT_PBLC_GRNT_SCHM_C19</v>
      </c>
      <c r="B335" s="1" t="s">
        <v>1436</v>
      </c>
      <c r="C335" s="1" t="s">
        <v>785</v>
      </c>
      <c r="D335" s="1" t="s">
        <v>1359</v>
      </c>
      <c r="E335" s="1" t="s">
        <v>37</v>
      </c>
      <c r="F335" s="30" t="s">
        <v>1437</v>
      </c>
      <c r="G335" s="1" t="s">
        <v>1437</v>
      </c>
      <c r="H335" s="1" t="s">
        <v>37</v>
      </c>
      <c r="I335" s="1" t="s">
        <v>37</v>
      </c>
      <c r="J335" s="1" t="s">
        <v>37</v>
      </c>
      <c r="K335" s="1" t="s">
        <v>37</v>
      </c>
      <c r="L335" s="1" t="s">
        <v>37</v>
      </c>
      <c r="M335" s="1" t="s">
        <v>39</v>
      </c>
      <c r="N335" s="1" t="s">
        <v>39</v>
      </c>
      <c r="O335" s="1" t="s">
        <v>37</v>
      </c>
      <c r="P335" s="1" t="s">
        <v>37</v>
      </c>
      <c r="Q335" s="1" t="s">
        <v>37</v>
      </c>
      <c r="R335" s="1" t="s">
        <v>273</v>
      </c>
      <c r="S335" s="1" t="s">
        <v>274</v>
      </c>
      <c r="T335" s="1">
        <v>99999999999</v>
      </c>
      <c r="U335" s="1">
        <v>11111111111</v>
      </c>
      <c r="V335" s="1">
        <v>11111111111</v>
      </c>
      <c r="W335" s="1" t="s">
        <v>1438</v>
      </c>
      <c r="X335" s="1" t="s">
        <v>1439</v>
      </c>
      <c r="Y335" s="1" t="s">
        <v>84</v>
      </c>
      <c r="Z335" s="1" t="s">
        <v>1440</v>
      </c>
      <c r="AA335" s="1" t="s">
        <v>47</v>
      </c>
      <c r="AB335" s="1" t="s">
        <v>39</v>
      </c>
      <c r="AC335" s="1" t="s">
        <v>37</v>
      </c>
      <c r="AD335" s="1" t="s">
        <v>37</v>
      </c>
      <c r="AE335" s="1" t="s">
        <v>37</v>
      </c>
      <c r="AF335" s="1" t="s">
        <v>37</v>
      </c>
      <c r="AG335" s="1" t="s">
        <v>37</v>
      </c>
      <c r="AH335" s="1" t="s">
        <v>37</v>
      </c>
      <c r="AI335" s="1" t="s">
        <v>37</v>
      </c>
      <c r="AJ335" s="1" t="s">
        <v>39</v>
      </c>
      <c r="AK335" s="1" t="str">
        <f t="shared" si="11"/>
        <v>Fora de âmbito</v>
      </c>
      <c r="AL335" s="1" t="str">
        <f>+IF(IFERROR(VLOOKUP(A335,Ficheiros!I:I,1,FALSE),"")=A335,"Sim","Não")</f>
        <v>Sim</v>
      </c>
      <c r="AM335" s="1" t="str">
        <f>+IF(IFERROR(VLOOKUP(A335,Ficheiros!E:E,1,FALSE),"")=A335,"Sim","Não")</f>
        <v>Não</v>
      </c>
      <c r="AN335" s="1" t="str">
        <f>+IF(IFERROR(VLOOKUP(A335,Ficheiros!O:O,1,FALSE),"")=A335,"Sim","Não")</f>
        <v>Não</v>
      </c>
      <c r="AO335" s="1" t="str">
        <f>+IF(IFERROR(VLOOKUP(A335,'Especificação Novos Req. LT (2'!A:A,1,FALSE),"")=A335,"Sim","Não")</f>
        <v>Não</v>
      </c>
      <c r="AP335" s="1" t="str">
        <f>+IF(IFERROR(VLOOKUP(A335,Ficheiros!T:T,1,FALSE),"")=A335,"Sim","Não")</f>
        <v>Sim</v>
      </c>
      <c r="AQ335" s="1" t="e">
        <f>+VLOOKUP(A335,Ficheiros!O:P,2,FALSE)</f>
        <v>#N/A</v>
      </c>
      <c r="AR335" s="1" t="str">
        <f>+VLOOKUP(A335,Ficheiros!T:U,2,FALSE)</f>
        <v>9. Concluído</v>
      </c>
      <c r="AS335" s="1" t="str">
        <f>+VLOOKUP(A335,Ficheiros!T:V,3,FALSE)</f>
        <v>PM</v>
      </c>
      <c r="AT335" s="1"/>
      <c r="AU335" s="1"/>
      <c r="AV335" s="1"/>
      <c r="AW335" s="1"/>
      <c r="AX335" s="1"/>
    </row>
    <row r="336" spans="1:50" ht="14.5" hidden="1" customHeight="1" x14ac:dyDescent="0.35">
      <c r="A336" s="5" t="str">
        <f t="shared" si="10"/>
        <v>INSTRUMENTASST_SCRT_CLSS</v>
      </c>
      <c r="B336" s="1" t="s">
        <v>1441</v>
      </c>
      <c r="C336" s="1" t="s">
        <v>785</v>
      </c>
      <c r="D336" s="1" t="s">
        <v>1442</v>
      </c>
      <c r="E336" s="1" t="s">
        <v>39</v>
      </c>
      <c r="F336" s="26" t="s">
        <v>1443</v>
      </c>
      <c r="G336" s="1" t="s">
        <v>1443</v>
      </c>
      <c r="H336" s="1" t="s">
        <v>37</v>
      </c>
      <c r="I336" s="1" t="s">
        <v>37</v>
      </c>
      <c r="J336" s="1" t="s">
        <v>37</v>
      </c>
      <c r="K336" s="1" t="s">
        <v>37</v>
      </c>
      <c r="L336" s="1" t="s">
        <v>37</v>
      </c>
      <c r="M336" s="1" t="s">
        <v>37</v>
      </c>
      <c r="N336" s="1" t="s">
        <v>37</v>
      </c>
      <c r="O336" s="1" t="s">
        <v>39</v>
      </c>
      <c r="P336" s="1" t="s">
        <v>37</v>
      </c>
      <c r="Q336" s="1" t="s">
        <v>37</v>
      </c>
      <c r="R336" s="1" t="s">
        <v>136</v>
      </c>
      <c r="S336" s="1" t="s">
        <v>52</v>
      </c>
      <c r="T336" s="1">
        <v>99999999999</v>
      </c>
      <c r="U336" s="1">
        <v>11111111111</v>
      </c>
      <c r="V336" s="1">
        <v>11111111111</v>
      </c>
      <c r="W336" s="1" t="s">
        <v>1444</v>
      </c>
      <c r="X336" s="1" t="s">
        <v>1445</v>
      </c>
      <c r="Y336" s="1" t="s">
        <v>45</v>
      </c>
      <c r="Z336" s="1" t="s">
        <v>46</v>
      </c>
      <c r="AA336" s="1" t="s">
        <v>47</v>
      </c>
      <c r="AB336" s="1" t="s">
        <v>39</v>
      </c>
      <c r="AC336" s="1" t="s">
        <v>37</v>
      </c>
      <c r="AD336" s="1" t="s">
        <v>37</v>
      </c>
      <c r="AE336" s="1" t="s">
        <v>39</v>
      </c>
      <c r="AF336" s="1" t="s">
        <v>37</v>
      </c>
      <c r="AG336" s="1" t="s">
        <v>37</v>
      </c>
      <c r="AH336" s="1" t="s">
        <v>37</v>
      </c>
      <c r="AI336" s="1" t="s">
        <v>39</v>
      </c>
      <c r="AJ336" s="1" t="s">
        <v>39</v>
      </c>
      <c r="AK336" s="1" t="str">
        <f t="shared" si="11"/>
        <v>Fora de âmbito</v>
      </c>
      <c r="AL336" s="1" t="str">
        <f>+IF(IFERROR(VLOOKUP(A336,Ficheiros!I:I,1,FALSE),"")=A336,"Sim","Não")</f>
        <v>Sim</v>
      </c>
      <c r="AM336" s="1" t="str">
        <f>+IF(IFERROR(VLOOKUP(A336,Ficheiros!E:E,1,FALSE),"")=A336,"Sim","Não")</f>
        <v>Não</v>
      </c>
      <c r="AN336" s="1" t="str">
        <f>+IF(IFERROR(VLOOKUP(A336,Ficheiros!O:O,1,FALSE),"")=A336,"Sim","Não")</f>
        <v>Não</v>
      </c>
      <c r="AO336" s="1" t="str">
        <f>+IF(IFERROR(VLOOKUP(A336,'Especificação Novos Req. LT (2'!A:A,1,FALSE),"")=A336,"Sim","Não")</f>
        <v>Não</v>
      </c>
      <c r="AP336" s="1" t="str">
        <f>+IF(IFERROR(VLOOKUP(A336,Ficheiros!T:T,1,FALSE),"")=A336,"Sim","Não")</f>
        <v>Sim</v>
      </c>
      <c r="AQ336" s="1" t="e">
        <f>+VLOOKUP(A336,Ficheiros!O:P,2,FALSE)</f>
        <v>#N/A</v>
      </c>
      <c r="AR336" s="1" t="str">
        <f>+VLOOKUP(A336,Ficheiros!T:U,2,FALSE)</f>
        <v>9. Concluído</v>
      </c>
      <c r="AS336" s="1" t="str">
        <f>+VLOOKUP(A336,Ficheiros!T:V,3,FALSE)</f>
        <v>PM</v>
      </c>
      <c r="AT336" s="1"/>
      <c r="AU336" s="1"/>
      <c r="AV336" s="1"/>
      <c r="AW336" s="1"/>
      <c r="AX336" s="1"/>
    </row>
    <row r="337" spans="1:50" ht="14.5" hidden="1" customHeight="1" x14ac:dyDescent="0.35">
      <c r="A337" s="5" t="str">
        <f t="shared" si="10"/>
        <v>INSTRUMENTCPN_CRRNCY</v>
      </c>
      <c r="B337" s="1" t="s">
        <v>1446</v>
      </c>
      <c r="C337" s="1" t="s">
        <v>785</v>
      </c>
      <c r="D337" s="1" t="s">
        <v>1442</v>
      </c>
      <c r="E337" s="1" t="s">
        <v>37</v>
      </c>
      <c r="F337" s="25" t="s">
        <v>1447</v>
      </c>
      <c r="G337" s="1" t="s">
        <v>1447</v>
      </c>
      <c r="H337" s="1" t="s">
        <v>37</v>
      </c>
      <c r="I337" s="1" t="s">
        <v>37</v>
      </c>
      <c r="J337" s="1" t="s">
        <v>37</v>
      </c>
      <c r="K337" s="1" t="s">
        <v>37</v>
      </c>
      <c r="L337" s="1" t="s">
        <v>37</v>
      </c>
      <c r="M337" s="1" t="s">
        <v>37</v>
      </c>
      <c r="N337" s="1" t="s">
        <v>37</v>
      </c>
      <c r="O337" s="1" t="s">
        <v>39</v>
      </c>
      <c r="P337" s="1" t="s">
        <v>37</v>
      </c>
      <c r="Q337" s="1" t="s">
        <v>37</v>
      </c>
      <c r="R337" s="1" t="s">
        <v>136</v>
      </c>
      <c r="S337" s="1" t="s">
        <v>52</v>
      </c>
      <c r="T337" s="1" t="s">
        <v>53</v>
      </c>
      <c r="U337" s="1" t="s">
        <v>46</v>
      </c>
      <c r="V337" s="1" t="s">
        <v>46</v>
      </c>
      <c r="W337" s="1" t="s">
        <v>1448</v>
      </c>
      <c r="X337" s="1" t="s">
        <v>1449</v>
      </c>
      <c r="Y337" s="1" t="s">
        <v>66</v>
      </c>
      <c r="Z337" s="1" t="s">
        <v>818</v>
      </c>
      <c r="AA337" s="1" t="s">
        <v>47</v>
      </c>
      <c r="AB337" s="1" t="s">
        <v>39</v>
      </c>
      <c r="AC337" s="1" t="s">
        <v>37</v>
      </c>
      <c r="AD337" s="1" t="s">
        <v>37</v>
      </c>
      <c r="AE337" s="1" t="s">
        <v>37</v>
      </c>
      <c r="AF337" s="1" t="s">
        <v>37</v>
      </c>
      <c r="AG337" s="1" t="s">
        <v>37</v>
      </c>
      <c r="AH337" s="1" t="s">
        <v>37</v>
      </c>
      <c r="AI337" s="1" t="s">
        <v>37</v>
      </c>
      <c r="AJ337" s="1" t="s">
        <v>39</v>
      </c>
      <c r="AK337" s="1" t="str">
        <f t="shared" si="11"/>
        <v>Fora de âmbito</v>
      </c>
      <c r="AL337" s="1" t="str">
        <f>+IF(IFERROR(VLOOKUP(A337,Ficheiros!I:I,1,FALSE),"")=A337,"Sim","Não")</f>
        <v>Sim</v>
      </c>
      <c r="AM337" s="1" t="str">
        <f>+IF(IFERROR(VLOOKUP(A337,Ficheiros!E:E,1,FALSE),"")=A337,"Sim","Não")</f>
        <v>Não</v>
      </c>
      <c r="AN337" s="1" t="str">
        <f>+IF(IFERROR(VLOOKUP(A337,Ficheiros!O:O,1,FALSE),"")=A337,"Sim","Não")</f>
        <v>Não</v>
      </c>
      <c r="AO337" s="1" t="str">
        <f>+IF(IFERROR(VLOOKUP(A337,'Especificação Novos Req. LT (2'!A:A,1,FALSE),"")=A337,"Sim","Não")</f>
        <v>Não</v>
      </c>
      <c r="AP337" s="1" t="str">
        <f>+IF(IFERROR(VLOOKUP(A337,Ficheiros!T:T,1,FALSE),"")=A337,"Sim","Não")</f>
        <v>Sim</v>
      </c>
      <c r="AQ337" s="1" t="e">
        <f>+VLOOKUP(A337,Ficheiros!O:P,2,FALSE)</f>
        <v>#N/A</v>
      </c>
      <c r="AR337" s="1" t="str">
        <f>+VLOOKUP(A337,Ficheiros!T:U,2,FALSE)</f>
        <v>9. Concluído</v>
      </c>
      <c r="AS337" s="1" t="str">
        <f>+VLOOKUP(A337,Ficheiros!T:V,3,FALSE)</f>
        <v>PM</v>
      </c>
      <c r="AT337" s="1"/>
      <c r="AU337" s="1"/>
      <c r="AV337" s="1"/>
      <c r="AW337" s="1"/>
      <c r="AX337" s="1"/>
    </row>
    <row r="338" spans="1:50" ht="14.5" hidden="1" customHeight="1" x14ac:dyDescent="0.35">
      <c r="A338" s="5" t="str">
        <f t="shared" si="10"/>
        <v>INSTRUMENTCPN_RT_FXD</v>
      </c>
      <c r="B338" s="1" t="s">
        <v>1450</v>
      </c>
      <c r="C338" s="1" t="s">
        <v>785</v>
      </c>
      <c r="D338" s="1" t="s">
        <v>1442</v>
      </c>
      <c r="E338" s="1" t="s">
        <v>37</v>
      </c>
      <c r="F338" s="25" t="s">
        <v>1451</v>
      </c>
      <c r="G338" s="1" t="s">
        <v>1451</v>
      </c>
      <c r="H338" s="1" t="s">
        <v>37</v>
      </c>
      <c r="I338" s="1" t="s">
        <v>37</v>
      </c>
      <c r="J338" s="1" t="s">
        <v>37</v>
      </c>
      <c r="K338" s="1" t="s">
        <v>37</v>
      </c>
      <c r="L338" s="1" t="s">
        <v>37</v>
      </c>
      <c r="M338" s="1" t="s">
        <v>37</v>
      </c>
      <c r="N338" s="1" t="s">
        <v>37</v>
      </c>
      <c r="O338" s="1" t="s">
        <v>39</v>
      </c>
      <c r="P338" s="1" t="s">
        <v>37</v>
      </c>
      <c r="Q338" s="1" t="s">
        <v>37</v>
      </c>
      <c r="R338" s="1" t="s">
        <v>342</v>
      </c>
      <c r="S338" s="1" t="s">
        <v>274</v>
      </c>
      <c r="T338" s="1">
        <v>99999999999</v>
      </c>
      <c r="U338" s="1">
        <v>11111111111</v>
      </c>
      <c r="V338" s="1">
        <v>11111111111</v>
      </c>
      <c r="W338" s="1" t="s">
        <v>1452</v>
      </c>
      <c r="X338" s="1" t="s">
        <v>1452</v>
      </c>
      <c r="Y338" s="1" t="s">
        <v>66</v>
      </c>
      <c r="Z338" s="1" t="s">
        <v>1304</v>
      </c>
      <c r="AA338" s="1" t="s">
        <v>47</v>
      </c>
      <c r="AB338" s="1" t="s">
        <v>39</v>
      </c>
      <c r="AC338" s="1" t="s">
        <v>37</v>
      </c>
      <c r="AD338" s="1" t="s">
        <v>37</v>
      </c>
      <c r="AE338" s="1" t="s">
        <v>37</v>
      </c>
      <c r="AF338" s="1" t="s">
        <v>37</v>
      </c>
      <c r="AG338" s="1" t="s">
        <v>37</v>
      </c>
      <c r="AH338" s="1" t="s">
        <v>37</v>
      </c>
      <c r="AI338" s="1" t="s">
        <v>37</v>
      </c>
      <c r="AJ338" s="1" t="s">
        <v>39</v>
      </c>
      <c r="AK338" s="1" t="str">
        <f t="shared" si="11"/>
        <v>Fora de âmbito</v>
      </c>
      <c r="AL338" s="1" t="str">
        <f>+IF(IFERROR(VLOOKUP(A338,Ficheiros!I:I,1,FALSE),"")=A338,"Sim","Não")</f>
        <v>Não</v>
      </c>
      <c r="AM338" s="1" t="str">
        <f>+IF(IFERROR(VLOOKUP(A338,Ficheiros!E:E,1,FALSE),"")=A338,"Sim","Não")</f>
        <v>Não</v>
      </c>
      <c r="AN338" s="1" t="str">
        <f>+IF(IFERROR(VLOOKUP(A338,Ficheiros!O:O,1,FALSE),"")=A338,"Sim","Não")</f>
        <v>Não</v>
      </c>
      <c r="AO338" s="1" t="str">
        <f>+IF(IFERROR(VLOOKUP(A338,'Especificação Novos Req. LT (2'!A:A,1,FALSE),"")=A338,"Sim","Não")</f>
        <v>Não</v>
      </c>
      <c r="AP338" s="1" t="str">
        <f>+IF(IFERROR(VLOOKUP(A338,Ficheiros!T:T,1,FALSE),"")=A338,"Sim","Não")</f>
        <v>Sim</v>
      </c>
      <c r="AQ338" s="1" t="e">
        <f>+VLOOKUP(A338,Ficheiros!O:P,2,FALSE)</f>
        <v>#N/A</v>
      </c>
      <c r="AR338" s="1" t="str">
        <f>+VLOOKUP(A338,Ficheiros!T:U,2,FALSE)</f>
        <v>9. Concluído</v>
      </c>
      <c r="AS338" s="1" t="str">
        <f>+VLOOKUP(A338,Ficheiros!T:V,3,FALSE)</f>
        <v>PM</v>
      </c>
      <c r="AT338" s="1"/>
      <c r="AU338" s="1"/>
      <c r="AV338" s="1"/>
      <c r="AW338" s="1"/>
      <c r="AX338" s="1"/>
    </row>
    <row r="339" spans="1:50" ht="14.5" hidden="1" customHeight="1" x14ac:dyDescent="0.35">
      <c r="A339" s="5" t="str">
        <f t="shared" si="10"/>
        <v>INSTRUMENTDT_VLTN</v>
      </c>
      <c r="B339" s="1" t="s">
        <v>1453</v>
      </c>
      <c r="C339" s="1" t="s">
        <v>785</v>
      </c>
      <c r="D339" s="1" t="s">
        <v>1454</v>
      </c>
      <c r="E339" s="1" t="s">
        <v>39</v>
      </c>
      <c r="F339" s="25" t="s">
        <v>1455</v>
      </c>
      <c r="G339" s="1" t="s">
        <v>1455</v>
      </c>
      <c r="H339" s="1" t="s">
        <v>37</v>
      </c>
      <c r="I339" s="1" t="s">
        <v>37</v>
      </c>
      <c r="J339" s="1" t="s">
        <v>37</v>
      </c>
      <c r="K339" s="1" t="s">
        <v>37</v>
      </c>
      <c r="L339" s="1" t="s">
        <v>37</v>
      </c>
      <c r="M339" s="1" t="s">
        <v>37</v>
      </c>
      <c r="N339" s="1" t="s">
        <v>37</v>
      </c>
      <c r="O339" s="1" t="s">
        <v>39</v>
      </c>
      <c r="P339" s="1" t="s">
        <v>37</v>
      </c>
      <c r="Q339" s="1" t="s">
        <v>37</v>
      </c>
      <c r="R339" s="1" t="s">
        <v>60</v>
      </c>
      <c r="S339" s="1" t="s">
        <v>61</v>
      </c>
      <c r="T339" s="1" t="s">
        <v>62</v>
      </c>
      <c r="U339" s="1" t="s">
        <v>63</v>
      </c>
      <c r="V339" s="1" t="s">
        <v>63</v>
      </c>
      <c r="W339" s="1" t="s">
        <v>1456</v>
      </c>
      <c r="X339" s="1" t="s">
        <v>1457</v>
      </c>
      <c r="Y339" s="1" t="s">
        <v>45</v>
      </c>
      <c r="Z339" s="1" t="s">
        <v>46</v>
      </c>
      <c r="AA339" s="1" t="s">
        <v>47</v>
      </c>
      <c r="AB339" s="1" t="s">
        <v>39</v>
      </c>
      <c r="AC339" s="1" t="s">
        <v>37</v>
      </c>
      <c r="AD339" s="1" t="s">
        <v>37</v>
      </c>
      <c r="AE339" s="1" t="s">
        <v>37</v>
      </c>
      <c r="AF339" s="1" t="s">
        <v>37</v>
      </c>
      <c r="AG339" s="1" t="s">
        <v>37</v>
      </c>
      <c r="AH339" s="1" t="s">
        <v>37</v>
      </c>
      <c r="AI339" s="1" t="s">
        <v>37</v>
      </c>
      <c r="AJ339" s="1" t="s">
        <v>39</v>
      </c>
      <c r="AK339" s="1" t="str">
        <f t="shared" si="11"/>
        <v>Fora de âmbito</v>
      </c>
      <c r="AL339" s="1" t="str">
        <f>+IF(IFERROR(VLOOKUP(A339,Ficheiros!I:I,1,FALSE),"")=A339,"Sim","Não")</f>
        <v>Sim</v>
      </c>
      <c r="AM339" s="1" t="str">
        <f>+IF(IFERROR(VLOOKUP(A339,Ficheiros!E:E,1,FALSE),"")=A339,"Sim","Não")</f>
        <v>Não</v>
      </c>
      <c r="AN339" s="1" t="str">
        <f>+IF(IFERROR(VLOOKUP(A339,Ficheiros!O:O,1,FALSE),"")=A339,"Sim","Não")</f>
        <v>Não</v>
      </c>
      <c r="AO339" s="1" t="str">
        <f>+IF(IFERROR(VLOOKUP(A339,'Especificação Novos Req. LT (2'!A:A,1,FALSE),"")=A339,"Sim","Não")</f>
        <v>Não</v>
      </c>
      <c r="AP339" s="1" t="str">
        <f>+IF(IFERROR(VLOOKUP(A339,Ficheiros!T:T,1,FALSE),"")=A339,"Sim","Não")</f>
        <v>Sim</v>
      </c>
      <c r="AQ339" s="1" t="e">
        <f>+VLOOKUP(A339,Ficheiros!O:P,2,FALSE)</f>
        <v>#N/A</v>
      </c>
      <c r="AR339" s="1" t="str">
        <f>+VLOOKUP(A339,Ficheiros!T:U,2,FALSE)</f>
        <v>9. Concluído</v>
      </c>
      <c r="AS339" s="1" t="str">
        <f>+VLOOKUP(A339,Ficheiros!T:V,3,FALSE)</f>
        <v>PM</v>
      </c>
      <c r="AT339" s="1"/>
      <c r="AU339" s="1"/>
      <c r="AV339" s="1"/>
      <c r="AW339" s="1"/>
      <c r="AX339" s="1"/>
    </row>
    <row r="340" spans="1:50" ht="14.5" hidden="1" customHeight="1" x14ac:dyDescent="0.35">
      <c r="A340" s="5" t="str">
        <f t="shared" si="10"/>
        <v>INSTRUMENTELGBLTY_ECB</v>
      </c>
      <c r="B340" s="1" t="s">
        <v>1458</v>
      </c>
      <c r="C340" s="1" t="s">
        <v>785</v>
      </c>
      <c r="D340" s="1" t="s">
        <v>1459</v>
      </c>
      <c r="E340" s="1" t="s">
        <v>37</v>
      </c>
      <c r="F340" s="25" t="s">
        <v>1460</v>
      </c>
      <c r="G340" s="1" t="s">
        <v>1460</v>
      </c>
      <c r="H340" s="1" t="s">
        <v>37</v>
      </c>
      <c r="I340" s="1" t="s">
        <v>37</v>
      </c>
      <c r="J340" s="1" t="s">
        <v>37</v>
      </c>
      <c r="K340" s="1" t="s">
        <v>37</v>
      </c>
      <c r="L340" s="1" t="s">
        <v>37</v>
      </c>
      <c r="M340" s="1" t="s">
        <v>37</v>
      </c>
      <c r="N340" s="1" t="s">
        <v>37</v>
      </c>
      <c r="O340" s="1" t="s">
        <v>39</v>
      </c>
      <c r="P340" s="1" t="s">
        <v>37</v>
      </c>
      <c r="Q340" s="1" t="s">
        <v>37</v>
      </c>
      <c r="R340" s="1" t="s">
        <v>141</v>
      </c>
      <c r="S340" s="1" t="s">
        <v>142</v>
      </c>
      <c r="T340" s="1" t="s">
        <v>53</v>
      </c>
      <c r="U340" s="1" t="s">
        <v>46</v>
      </c>
      <c r="V340" s="1" t="s">
        <v>46</v>
      </c>
      <c r="W340" s="1" t="s">
        <v>1461</v>
      </c>
      <c r="X340" s="1" t="s">
        <v>1462</v>
      </c>
      <c r="Y340" s="1" t="s">
        <v>45</v>
      </c>
      <c r="Z340" s="1" t="s">
        <v>46</v>
      </c>
      <c r="AA340" s="1" t="s">
        <v>47</v>
      </c>
      <c r="AB340" s="1" t="s">
        <v>39</v>
      </c>
      <c r="AC340" s="1" t="s">
        <v>37</v>
      </c>
      <c r="AD340" s="1" t="s">
        <v>37</v>
      </c>
      <c r="AE340" s="1" t="s">
        <v>37</v>
      </c>
      <c r="AF340" s="1" t="s">
        <v>37</v>
      </c>
      <c r="AG340" s="1" t="s">
        <v>37</v>
      </c>
      <c r="AH340" s="1" t="s">
        <v>37</v>
      </c>
      <c r="AI340" s="1" t="s">
        <v>37</v>
      </c>
      <c r="AJ340" s="1" t="s">
        <v>39</v>
      </c>
      <c r="AK340" s="1" t="str">
        <f t="shared" si="11"/>
        <v>Fora de âmbito</v>
      </c>
      <c r="AL340" s="1" t="str">
        <f>+IF(IFERROR(VLOOKUP(A340,Ficheiros!I:I,1,FALSE),"")=A340,"Sim","Não")</f>
        <v>Sim</v>
      </c>
      <c r="AM340" s="1" t="str">
        <f>+IF(IFERROR(VLOOKUP(A340,Ficheiros!E:E,1,FALSE),"")=A340,"Sim","Não")</f>
        <v>Não</v>
      </c>
      <c r="AN340" s="1" t="str">
        <f>+IF(IFERROR(VLOOKUP(A340,Ficheiros!O:O,1,FALSE),"")=A340,"Sim","Não")</f>
        <v>Não</v>
      </c>
      <c r="AO340" s="1" t="str">
        <f>+IF(IFERROR(VLOOKUP(A340,'Especificação Novos Req. LT (2'!A:A,1,FALSE),"")=A340,"Sim","Não")</f>
        <v>Não</v>
      </c>
      <c r="AP340" s="1" t="str">
        <f>+IF(IFERROR(VLOOKUP(A340,Ficheiros!T:T,1,FALSE),"")=A340,"Sim","Não")</f>
        <v>Sim</v>
      </c>
      <c r="AQ340" s="1" t="e">
        <f>+VLOOKUP(A340,Ficheiros!O:P,2,FALSE)</f>
        <v>#N/A</v>
      </c>
      <c r="AR340" s="1" t="str">
        <f>+VLOOKUP(A340,Ficheiros!T:U,2,FALSE)</f>
        <v>9. Concluído</v>
      </c>
      <c r="AS340" s="1" t="str">
        <f>+VLOOKUP(A340,Ficheiros!T:V,3,FALSE)</f>
        <v>PM</v>
      </c>
      <c r="AT340" s="1"/>
      <c r="AU340" s="1"/>
      <c r="AV340" s="1"/>
      <c r="AW340" s="1"/>
      <c r="AX340" s="1"/>
    </row>
    <row r="341" spans="1:50" ht="14.5" hidden="1" customHeight="1" x14ac:dyDescent="0.35">
      <c r="A341" s="5" t="str">
        <f t="shared" si="10"/>
        <v>INSTRUMENTGRNTR_ID</v>
      </c>
      <c r="B341" s="1" t="s">
        <v>1463</v>
      </c>
      <c r="C341" s="1" t="s">
        <v>785</v>
      </c>
      <c r="D341" s="1" t="s">
        <v>1442</v>
      </c>
      <c r="E341" s="1" t="s">
        <v>37</v>
      </c>
      <c r="F341" s="25" t="s">
        <v>1464</v>
      </c>
      <c r="G341" s="1" t="s">
        <v>1464</v>
      </c>
      <c r="H341" s="1" t="s">
        <v>37</v>
      </c>
      <c r="I341" s="1" t="s">
        <v>37</v>
      </c>
      <c r="J341" s="1" t="s">
        <v>37</v>
      </c>
      <c r="K341" s="1" t="s">
        <v>37</v>
      </c>
      <c r="L341" s="1" t="s">
        <v>37</v>
      </c>
      <c r="M341" s="1" t="s">
        <v>37</v>
      </c>
      <c r="N341" s="1" t="s">
        <v>37</v>
      </c>
      <c r="O341" s="1" t="s">
        <v>39</v>
      </c>
      <c r="P341" s="1" t="s">
        <v>37</v>
      </c>
      <c r="Q341" s="1" t="s">
        <v>37</v>
      </c>
      <c r="R341" s="1" t="s">
        <v>1465</v>
      </c>
      <c r="S341" s="1" t="s">
        <v>41</v>
      </c>
      <c r="T341" s="1" t="s">
        <v>53</v>
      </c>
      <c r="U341" s="1" t="s">
        <v>46</v>
      </c>
      <c r="V341" s="1" t="s">
        <v>46</v>
      </c>
      <c r="W341" s="1" t="s">
        <v>1466</v>
      </c>
      <c r="X341" s="1" t="s">
        <v>1467</v>
      </c>
      <c r="Y341" s="1" t="s">
        <v>84</v>
      </c>
      <c r="Z341" s="1" t="s">
        <v>1468</v>
      </c>
      <c r="AA341" s="1" t="s">
        <v>47</v>
      </c>
      <c r="AB341" s="1" t="s">
        <v>39</v>
      </c>
      <c r="AC341" s="1" t="s">
        <v>37</v>
      </c>
      <c r="AD341" s="1" t="s">
        <v>37</v>
      </c>
      <c r="AE341" s="1" t="s">
        <v>37</v>
      </c>
      <c r="AF341" s="1" t="s">
        <v>37</v>
      </c>
      <c r="AG341" s="1" t="s">
        <v>37</v>
      </c>
      <c r="AH341" s="1" t="s">
        <v>37</v>
      </c>
      <c r="AI341" s="1" t="s">
        <v>37</v>
      </c>
      <c r="AJ341" s="1" t="s">
        <v>39</v>
      </c>
      <c r="AK341" s="1" t="str">
        <f t="shared" si="11"/>
        <v>Fora de âmbito</v>
      </c>
      <c r="AL341" s="1" t="str">
        <f>+IF(IFERROR(VLOOKUP(A341,Ficheiros!I:I,1,FALSE),"")=A341,"Sim","Não")</f>
        <v>Sim</v>
      </c>
      <c r="AM341" s="1" t="str">
        <f>+IF(IFERROR(VLOOKUP(A341,Ficheiros!E:E,1,FALSE),"")=A341,"Sim","Não")</f>
        <v>Não</v>
      </c>
      <c r="AN341" s="1" t="str">
        <f>+IF(IFERROR(VLOOKUP(A341,Ficheiros!O:O,1,FALSE),"")=A341,"Sim","Não")</f>
        <v>Não</v>
      </c>
      <c r="AO341" s="1" t="str">
        <f>+IF(IFERROR(VLOOKUP(A341,'Especificação Novos Req. LT (2'!A:A,1,FALSE),"")=A341,"Sim","Não")</f>
        <v>Não</v>
      </c>
      <c r="AP341" s="1" t="str">
        <f>+IF(IFERROR(VLOOKUP(A341,Ficheiros!T:T,1,FALSE),"")=A341,"Sim","Não")</f>
        <v>Sim</v>
      </c>
      <c r="AQ341" s="1" t="e">
        <f>+VLOOKUP(A341,Ficheiros!O:P,2,FALSE)</f>
        <v>#N/A</v>
      </c>
      <c r="AR341" s="1" t="str">
        <f>+VLOOKUP(A341,Ficheiros!T:U,2,FALSE)</f>
        <v>9. Concluído</v>
      </c>
      <c r="AS341" s="1" t="str">
        <f>+VLOOKUP(A341,Ficheiros!T:V,3,FALSE)</f>
        <v>PM</v>
      </c>
      <c r="AT341" s="1"/>
      <c r="AU341" s="1"/>
      <c r="AV341" s="1"/>
      <c r="AW341" s="1"/>
      <c r="AX341" s="1"/>
    </row>
    <row r="342" spans="1:50" ht="14.5" hidden="1" customHeight="1" x14ac:dyDescent="0.35">
      <c r="A342" s="5" t="str">
        <f t="shared" si="10"/>
        <v>INSTRUMENTGRNTR_ID_TYP</v>
      </c>
      <c r="B342" s="1" t="s">
        <v>1469</v>
      </c>
      <c r="C342" s="1" t="s">
        <v>785</v>
      </c>
      <c r="D342" s="1" t="s">
        <v>1442</v>
      </c>
      <c r="E342" s="1" t="s">
        <v>39</v>
      </c>
      <c r="F342" s="25" t="s">
        <v>1470</v>
      </c>
      <c r="G342" s="1" t="s">
        <v>1470</v>
      </c>
      <c r="H342" s="1" t="s">
        <v>37</v>
      </c>
      <c r="I342" s="1" t="s">
        <v>37</v>
      </c>
      <c r="J342" s="1" t="s">
        <v>37</v>
      </c>
      <c r="K342" s="1" t="s">
        <v>37</v>
      </c>
      <c r="L342" s="1" t="s">
        <v>37</v>
      </c>
      <c r="M342" s="1" t="s">
        <v>37</v>
      </c>
      <c r="N342" s="1" t="s">
        <v>37</v>
      </c>
      <c r="O342" s="1" t="s">
        <v>39</v>
      </c>
      <c r="P342" s="1" t="s">
        <v>37</v>
      </c>
      <c r="Q342" s="1" t="s">
        <v>37</v>
      </c>
      <c r="R342" s="1" t="s">
        <v>136</v>
      </c>
      <c r="S342" s="1" t="s">
        <v>52</v>
      </c>
      <c r="T342" s="1" t="s">
        <v>53</v>
      </c>
      <c r="U342" s="1" t="s">
        <v>46</v>
      </c>
      <c r="V342" s="1" t="s">
        <v>46</v>
      </c>
      <c r="W342" s="1" t="s">
        <v>1471</v>
      </c>
      <c r="X342" s="1" t="s">
        <v>1472</v>
      </c>
      <c r="Y342" s="1" t="s">
        <v>84</v>
      </c>
      <c r="Z342" s="1" t="s">
        <v>1473</v>
      </c>
      <c r="AA342" s="1" t="s">
        <v>1474</v>
      </c>
      <c r="AB342" s="1" t="s">
        <v>39</v>
      </c>
      <c r="AC342" s="1" t="s">
        <v>37</v>
      </c>
      <c r="AD342" s="1" t="s">
        <v>37</v>
      </c>
      <c r="AE342" s="1" t="s">
        <v>37</v>
      </c>
      <c r="AF342" s="1" t="s">
        <v>37</v>
      </c>
      <c r="AG342" s="1" t="s">
        <v>37</v>
      </c>
      <c r="AH342" s="1" t="s">
        <v>37</v>
      </c>
      <c r="AI342" s="1" t="s">
        <v>37</v>
      </c>
      <c r="AJ342" s="1" t="s">
        <v>39</v>
      </c>
      <c r="AK342" s="1" t="str">
        <f t="shared" si="11"/>
        <v>Fora de âmbito</v>
      </c>
      <c r="AL342" s="1" t="str">
        <f>+IF(IFERROR(VLOOKUP(A342,Ficheiros!I:I,1,FALSE),"")=A342,"Sim","Não")</f>
        <v>Sim</v>
      </c>
      <c r="AM342" s="1" t="str">
        <f>+IF(IFERROR(VLOOKUP(A342,Ficheiros!E:E,1,FALSE),"")=A342,"Sim","Não")</f>
        <v>Não</v>
      </c>
      <c r="AN342" s="1" t="str">
        <f>+IF(IFERROR(VLOOKUP(A342,Ficheiros!O:O,1,FALSE),"")=A342,"Sim","Não")</f>
        <v>Não</v>
      </c>
      <c r="AO342" s="1" t="str">
        <f>+IF(IFERROR(VLOOKUP(A342,'Especificação Novos Req. LT (2'!A:A,1,FALSE),"")=A342,"Sim","Não")</f>
        <v>Não</v>
      </c>
      <c r="AP342" s="1" t="str">
        <f>+IF(IFERROR(VLOOKUP(A342,Ficheiros!T:T,1,FALSE),"")=A342,"Sim","Não")</f>
        <v>Sim</v>
      </c>
      <c r="AQ342" s="1" t="e">
        <f>+VLOOKUP(A342,Ficheiros!O:P,2,FALSE)</f>
        <v>#N/A</v>
      </c>
      <c r="AR342" s="1" t="str">
        <f>+VLOOKUP(A342,Ficheiros!T:U,2,FALSE)</f>
        <v>9. Concluído</v>
      </c>
      <c r="AS342" s="1" t="str">
        <f>+VLOOKUP(A342,Ficheiros!T:V,3,FALSE)</f>
        <v>PM</v>
      </c>
      <c r="AT342" s="1"/>
      <c r="AU342" s="1"/>
      <c r="AV342" s="1"/>
      <c r="AW342" s="1"/>
      <c r="AX342" s="1"/>
    </row>
    <row r="343" spans="1:50" ht="14.5" hidden="1" customHeight="1" x14ac:dyDescent="0.35">
      <c r="A343" s="5" t="str">
        <f t="shared" si="10"/>
        <v>INSTRUMENTHEDGE_ID</v>
      </c>
      <c r="B343" s="1" t="s">
        <v>1475</v>
      </c>
      <c r="C343" s="1" t="s">
        <v>785</v>
      </c>
      <c r="D343" s="1" t="s">
        <v>1476</v>
      </c>
      <c r="E343" s="1" t="s">
        <v>37</v>
      </c>
      <c r="F343" s="25" t="s">
        <v>1477</v>
      </c>
      <c r="G343" s="1" t="s">
        <v>1477</v>
      </c>
      <c r="H343" s="1" t="s">
        <v>37</v>
      </c>
      <c r="I343" s="1" t="s">
        <v>37</v>
      </c>
      <c r="J343" s="1" t="s">
        <v>37</v>
      </c>
      <c r="K343" s="1" t="s">
        <v>37</v>
      </c>
      <c r="L343" s="1" t="s">
        <v>37</v>
      </c>
      <c r="M343" s="1" t="s">
        <v>37</v>
      </c>
      <c r="N343" s="1" t="s">
        <v>37</v>
      </c>
      <c r="O343" s="1" t="s">
        <v>39</v>
      </c>
      <c r="P343" s="1" t="s">
        <v>37</v>
      </c>
      <c r="Q343" s="1" t="s">
        <v>37</v>
      </c>
      <c r="R343" s="1" t="s">
        <v>1465</v>
      </c>
      <c r="S343" s="1" t="s">
        <v>41</v>
      </c>
      <c r="T343" s="1" t="s">
        <v>53</v>
      </c>
      <c r="U343" s="1" t="s">
        <v>46</v>
      </c>
      <c r="V343" s="1" t="s">
        <v>46</v>
      </c>
      <c r="W343" s="1" t="s">
        <v>1478</v>
      </c>
      <c r="X343" s="1" t="s">
        <v>1479</v>
      </c>
      <c r="Y343" s="1" t="s">
        <v>45</v>
      </c>
      <c r="Z343" s="1" t="s">
        <v>46</v>
      </c>
      <c r="AA343" s="1" t="s">
        <v>47</v>
      </c>
      <c r="AB343" s="1" t="s">
        <v>39</v>
      </c>
      <c r="AC343" s="1" t="s">
        <v>37</v>
      </c>
      <c r="AD343" s="1" t="s">
        <v>37</v>
      </c>
      <c r="AE343" s="1" t="s">
        <v>37</v>
      </c>
      <c r="AF343" s="1" t="s">
        <v>37</v>
      </c>
      <c r="AG343" s="1" t="s">
        <v>37</v>
      </c>
      <c r="AH343" s="1" t="s">
        <v>37</v>
      </c>
      <c r="AI343" s="1" t="s">
        <v>37</v>
      </c>
      <c r="AJ343" s="1" t="s">
        <v>39</v>
      </c>
      <c r="AK343" s="1" t="str">
        <f t="shared" si="11"/>
        <v>Fora de âmbito</v>
      </c>
      <c r="AL343" s="1" t="str">
        <f>+IF(IFERROR(VLOOKUP(A343,Ficheiros!I:I,1,FALSE),"")=A343,"Sim","Não")</f>
        <v>Sim</v>
      </c>
      <c r="AM343" s="1" t="str">
        <f>+IF(IFERROR(VLOOKUP(A343,Ficheiros!E:E,1,FALSE),"")=A343,"Sim","Não")</f>
        <v>Não</v>
      </c>
      <c r="AN343" s="1" t="str">
        <f>+IF(IFERROR(VLOOKUP(A343,Ficheiros!O:O,1,FALSE),"")=A343,"Sim","Não")</f>
        <v>Não</v>
      </c>
      <c r="AO343" s="1" t="str">
        <f>+IF(IFERROR(VLOOKUP(A343,'Especificação Novos Req. LT (2'!A:A,1,FALSE),"")=A343,"Sim","Não")</f>
        <v>Não</v>
      </c>
      <c r="AP343" s="1" t="str">
        <f>+IF(IFERROR(VLOOKUP(A343,Ficheiros!T:T,1,FALSE),"")=A343,"Sim","Não")</f>
        <v>Sim</v>
      </c>
      <c r="AQ343" s="1" t="e">
        <f>+VLOOKUP(A343,Ficheiros!O:P,2,FALSE)</f>
        <v>#N/A</v>
      </c>
      <c r="AR343" s="1" t="str">
        <f>+VLOOKUP(A343,Ficheiros!T:U,2,FALSE)</f>
        <v>9. Concluído</v>
      </c>
      <c r="AS343" s="1" t="str">
        <f>+VLOOKUP(A343,Ficheiros!T:V,3,FALSE)</f>
        <v>PM</v>
      </c>
      <c r="AT343" s="1"/>
      <c r="AU343" s="1"/>
      <c r="AV343" s="1"/>
      <c r="AW343" s="1"/>
      <c r="AX343" s="1"/>
    </row>
    <row r="344" spans="1:50" ht="14.5" hidden="1" customHeight="1" x14ac:dyDescent="0.35">
      <c r="A344" s="5" t="str">
        <f t="shared" si="10"/>
        <v>INSTRUMENTINSTR_SNRTY_CLSS</v>
      </c>
      <c r="B344" s="1" t="s">
        <v>1480</v>
      </c>
      <c r="C344" s="1" t="s">
        <v>785</v>
      </c>
      <c r="D344" s="1" t="s">
        <v>1442</v>
      </c>
      <c r="E344" s="1" t="s">
        <v>39</v>
      </c>
      <c r="F344" s="25" t="s">
        <v>1481</v>
      </c>
      <c r="G344" s="1" t="s">
        <v>1481</v>
      </c>
      <c r="H344" s="1" t="s">
        <v>37</v>
      </c>
      <c r="I344" s="1" t="s">
        <v>37</v>
      </c>
      <c r="J344" s="1" t="s">
        <v>37</v>
      </c>
      <c r="K344" s="1" t="s">
        <v>37</v>
      </c>
      <c r="L344" s="1" t="s">
        <v>39</v>
      </c>
      <c r="M344" s="1" t="s">
        <v>39</v>
      </c>
      <c r="N344" s="1" t="s">
        <v>37</v>
      </c>
      <c r="O344" s="1" t="s">
        <v>39</v>
      </c>
      <c r="P344" s="1" t="s">
        <v>37</v>
      </c>
      <c r="Q344" s="1" t="s">
        <v>37</v>
      </c>
      <c r="R344" s="1" t="s">
        <v>136</v>
      </c>
      <c r="S344" s="1" t="s">
        <v>52</v>
      </c>
      <c r="T344" s="1" t="s">
        <v>53</v>
      </c>
      <c r="U344" s="1" t="s">
        <v>46</v>
      </c>
      <c r="V344" s="1" t="s">
        <v>46</v>
      </c>
      <c r="W344" s="1" t="s">
        <v>1482</v>
      </c>
      <c r="X344" s="1" t="s">
        <v>1483</v>
      </c>
      <c r="Y344" s="1" t="s">
        <v>45</v>
      </c>
      <c r="Z344" s="1" t="s">
        <v>46</v>
      </c>
      <c r="AA344" s="1" t="s">
        <v>47</v>
      </c>
      <c r="AB344" s="1" t="s">
        <v>39</v>
      </c>
      <c r="AC344" s="1" t="s">
        <v>37</v>
      </c>
      <c r="AD344" s="1" t="s">
        <v>37</v>
      </c>
      <c r="AE344" s="1" t="s">
        <v>37</v>
      </c>
      <c r="AF344" s="1" t="s">
        <v>37</v>
      </c>
      <c r="AG344" s="1" t="s">
        <v>39</v>
      </c>
      <c r="AH344" s="1" t="s">
        <v>37</v>
      </c>
      <c r="AI344" s="1" t="s">
        <v>37</v>
      </c>
      <c r="AJ344" s="1" t="s">
        <v>39</v>
      </c>
      <c r="AK344" s="1" t="str">
        <f t="shared" si="11"/>
        <v>Fora de âmbito</v>
      </c>
      <c r="AL344" s="1" t="str">
        <f>+IF(IFERROR(VLOOKUP(A344,Ficheiros!I:I,1,FALSE),"")=A344,"Sim","Não")</f>
        <v>Sim</v>
      </c>
      <c r="AM344" s="1" t="str">
        <f>+IF(IFERROR(VLOOKUP(A344,Ficheiros!E:E,1,FALSE),"")=A344,"Sim","Não")</f>
        <v>Não</v>
      </c>
      <c r="AN344" s="1" t="str">
        <f>+IF(IFERROR(VLOOKUP(A344,Ficheiros!O:O,1,FALSE),"")=A344,"Sim","Não")</f>
        <v>Não</v>
      </c>
      <c r="AO344" s="1" t="str">
        <f>+IF(IFERROR(VLOOKUP(A344,'Especificação Novos Req. LT (2'!A:A,1,FALSE),"")=A344,"Sim","Não")</f>
        <v>Não</v>
      </c>
      <c r="AP344" s="1" t="str">
        <f>+IF(IFERROR(VLOOKUP(A344,Ficheiros!T:T,1,FALSE),"")=A344,"Sim","Não")</f>
        <v>Sim</v>
      </c>
      <c r="AQ344" s="1" t="e">
        <f>+VLOOKUP(A344,Ficheiros!O:P,2,FALSE)</f>
        <v>#N/A</v>
      </c>
      <c r="AR344" s="1" t="str">
        <f>+VLOOKUP(A344,Ficheiros!T:U,2,FALSE)</f>
        <v>9. Concluído</v>
      </c>
      <c r="AS344" s="1" t="str">
        <f>+VLOOKUP(A344,Ficheiros!T:V,3,FALSE)</f>
        <v>PM</v>
      </c>
      <c r="AT344" s="1"/>
      <c r="AU344" s="1"/>
      <c r="AV344" s="1"/>
      <c r="AW344" s="1"/>
      <c r="AX344" s="1"/>
    </row>
    <row r="345" spans="1:50" ht="14.5" hidden="1" customHeight="1" x14ac:dyDescent="0.35">
      <c r="A345" s="5" t="str">
        <f t="shared" si="10"/>
        <v>INSTRUMENTINSTRMNT_CLSS</v>
      </c>
      <c r="B345" s="1" t="s">
        <v>1484</v>
      </c>
      <c r="C345" s="1" t="s">
        <v>785</v>
      </c>
      <c r="D345" s="1" t="s">
        <v>1442</v>
      </c>
      <c r="E345" s="1" t="s">
        <v>39</v>
      </c>
      <c r="F345" s="25" t="s">
        <v>1485</v>
      </c>
      <c r="G345" s="1" t="s">
        <v>1485</v>
      </c>
      <c r="H345" s="1" t="s">
        <v>37</v>
      </c>
      <c r="I345" s="1" t="s">
        <v>37</v>
      </c>
      <c r="J345" s="1" t="s">
        <v>37</v>
      </c>
      <c r="K345" s="1" t="s">
        <v>37</v>
      </c>
      <c r="L345" s="1" t="s">
        <v>37</v>
      </c>
      <c r="M345" s="1" t="s">
        <v>37</v>
      </c>
      <c r="N345" s="1" t="s">
        <v>37</v>
      </c>
      <c r="O345" s="1" t="s">
        <v>39</v>
      </c>
      <c r="P345" s="1" t="s">
        <v>37</v>
      </c>
      <c r="Q345" s="1" t="s">
        <v>37</v>
      </c>
      <c r="R345" s="1" t="s">
        <v>136</v>
      </c>
      <c r="S345" s="1" t="s">
        <v>52</v>
      </c>
      <c r="T345" s="1" t="s">
        <v>53</v>
      </c>
      <c r="U345" s="1" t="s">
        <v>46</v>
      </c>
      <c r="V345" s="1" t="s">
        <v>46</v>
      </c>
      <c r="W345" s="1" t="s">
        <v>1486</v>
      </c>
      <c r="X345" s="1" t="s">
        <v>1487</v>
      </c>
      <c r="Y345" s="1" t="s">
        <v>84</v>
      </c>
      <c r="Z345" s="1" t="s">
        <v>1488</v>
      </c>
      <c r="AA345" s="1" t="s">
        <v>1489</v>
      </c>
      <c r="AB345" s="1" t="s">
        <v>39</v>
      </c>
      <c r="AC345" s="1" t="s">
        <v>37</v>
      </c>
      <c r="AD345" s="1" t="s">
        <v>37</v>
      </c>
      <c r="AE345" s="1" t="s">
        <v>37</v>
      </c>
      <c r="AF345" s="1" t="s">
        <v>37</v>
      </c>
      <c r="AG345" s="1" t="s">
        <v>37</v>
      </c>
      <c r="AH345" s="1" t="s">
        <v>37</v>
      </c>
      <c r="AI345" s="1" t="s">
        <v>37</v>
      </c>
      <c r="AJ345" s="1" t="s">
        <v>39</v>
      </c>
      <c r="AK345" s="1" t="str">
        <f t="shared" si="11"/>
        <v>Fora de âmbito</v>
      </c>
      <c r="AL345" s="1" t="str">
        <f>+IF(IFERROR(VLOOKUP(A345,Ficheiros!I:I,1,FALSE),"")=A345,"Sim","Não")</f>
        <v>Sim</v>
      </c>
      <c r="AM345" s="1" t="str">
        <f>+IF(IFERROR(VLOOKUP(A345,Ficheiros!E:E,1,FALSE),"")=A345,"Sim","Não")</f>
        <v>Não</v>
      </c>
      <c r="AN345" s="1" t="str">
        <f>+IF(IFERROR(VLOOKUP(A345,Ficheiros!O:O,1,FALSE),"")=A345,"Sim","Não")</f>
        <v>Não</v>
      </c>
      <c r="AO345" s="1" t="str">
        <f>+IF(IFERROR(VLOOKUP(A345,'Especificação Novos Req. LT (2'!A:A,1,FALSE),"")=A345,"Sim","Não")</f>
        <v>Não</v>
      </c>
      <c r="AP345" s="1" t="str">
        <f>+IF(IFERROR(VLOOKUP(A345,Ficheiros!T:T,1,FALSE),"")=A345,"Sim","Não")</f>
        <v>Sim</v>
      </c>
      <c r="AQ345" s="1" t="e">
        <f>+VLOOKUP(A345,Ficheiros!O:P,2,FALSE)</f>
        <v>#N/A</v>
      </c>
      <c r="AR345" s="1" t="str">
        <f>+VLOOKUP(A345,Ficheiros!T:U,2,FALSE)</f>
        <v>9. Concluído</v>
      </c>
      <c r="AS345" s="1" t="str">
        <f>+VLOOKUP(A345,Ficheiros!T:V,3,FALSE)</f>
        <v>PM</v>
      </c>
      <c r="AT345" s="1"/>
      <c r="AU345" s="1"/>
      <c r="AV345" s="1"/>
      <c r="AW345" s="1"/>
      <c r="AX345" s="1"/>
    </row>
    <row r="346" spans="1:50" ht="14.5" hidden="1" customHeight="1" x14ac:dyDescent="0.35">
      <c r="A346" s="5" t="str">
        <f t="shared" si="10"/>
        <v>INSTRUMENTISIN</v>
      </c>
      <c r="B346" s="1" t="s">
        <v>1490</v>
      </c>
      <c r="C346" s="1" t="s">
        <v>785</v>
      </c>
      <c r="D346" s="1" t="s">
        <v>537</v>
      </c>
      <c r="E346" s="1" t="s">
        <v>39</v>
      </c>
      <c r="F346" s="25" t="s">
        <v>538</v>
      </c>
      <c r="G346" s="1" t="s">
        <v>538</v>
      </c>
      <c r="H346" s="1" t="s">
        <v>37</v>
      </c>
      <c r="I346" s="1" t="s">
        <v>37</v>
      </c>
      <c r="J346" s="1" t="s">
        <v>37</v>
      </c>
      <c r="K346" s="1" t="s">
        <v>37</v>
      </c>
      <c r="L346" s="1" t="s">
        <v>37</v>
      </c>
      <c r="M346" s="1" t="s">
        <v>37</v>
      </c>
      <c r="N346" s="1" t="s">
        <v>37</v>
      </c>
      <c r="O346" s="1" t="s">
        <v>39</v>
      </c>
      <c r="P346" s="1" t="s">
        <v>37</v>
      </c>
      <c r="Q346" s="1" t="s">
        <v>37</v>
      </c>
      <c r="R346" s="1" t="s">
        <v>539</v>
      </c>
      <c r="S346" s="1" t="s">
        <v>41</v>
      </c>
      <c r="T346" s="1" t="s">
        <v>53</v>
      </c>
      <c r="U346" s="1" t="s">
        <v>46</v>
      </c>
      <c r="V346" s="1" t="s">
        <v>46</v>
      </c>
      <c r="W346" s="1" t="s">
        <v>538</v>
      </c>
      <c r="X346" s="1" t="s">
        <v>1491</v>
      </c>
      <c r="Y346" s="1" t="s">
        <v>84</v>
      </c>
      <c r="Z346" s="1" t="s">
        <v>1492</v>
      </c>
      <c r="AA346" s="1" t="s">
        <v>47</v>
      </c>
      <c r="AB346" s="1" t="s">
        <v>39</v>
      </c>
      <c r="AC346" s="1" t="s">
        <v>37</v>
      </c>
      <c r="AD346" s="1" t="s">
        <v>37</v>
      </c>
      <c r="AE346" s="1" t="s">
        <v>37</v>
      </c>
      <c r="AF346" s="1" t="s">
        <v>37</v>
      </c>
      <c r="AG346" s="1" t="s">
        <v>37</v>
      </c>
      <c r="AH346" s="1" t="s">
        <v>37</v>
      </c>
      <c r="AI346" s="1" t="s">
        <v>37</v>
      </c>
      <c r="AJ346" s="1" t="s">
        <v>39</v>
      </c>
      <c r="AK346" s="1" t="str">
        <f t="shared" si="11"/>
        <v>Fora de âmbito</v>
      </c>
      <c r="AL346" s="1" t="str">
        <f>+IF(IFERROR(VLOOKUP(A346,Ficheiros!I:I,1,FALSE),"")=A346,"Sim","Não")</f>
        <v>Sim</v>
      </c>
      <c r="AM346" s="1" t="str">
        <f>+IF(IFERROR(VLOOKUP(A346,Ficheiros!E:E,1,FALSE),"")=A346,"Sim","Não")</f>
        <v>Não</v>
      </c>
      <c r="AN346" s="1" t="str">
        <f>+IF(IFERROR(VLOOKUP(A346,Ficheiros!O:O,1,FALSE),"")=A346,"Sim","Não")</f>
        <v>Não</v>
      </c>
      <c r="AO346" s="1" t="str">
        <f>+IF(IFERROR(VLOOKUP(A346,'Especificação Novos Req. LT (2'!A:A,1,FALSE),"")=A346,"Sim","Não")</f>
        <v>Não</v>
      </c>
      <c r="AP346" s="1" t="str">
        <f>+IF(IFERROR(VLOOKUP(A346,Ficheiros!T:T,1,FALSE),"")=A346,"Sim","Não")</f>
        <v>Sim</v>
      </c>
      <c r="AQ346" s="1" t="e">
        <f>+VLOOKUP(A346,Ficheiros!O:P,2,FALSE)</f>
        <v>#N/A</v>
      </c>
      <c r="AR346" s="1" t="str">
        <f>+VLOOKUP(A346,Ficheiros!T:U,2,FALSE)</f>
        <v>9. Concluído</v>
      </c>
      <c r="AS346" s="1" t="str">
        <f>+VLOOKUP(A346,Ficheiros!T:V,3,FALSE)</f>
        <v>PM</v>
      </c>
      <c r="AT346" s="1"/>
      <c r="AU346" s="1"/>
      <c r="AV346" s="1"/>
      <c r="AW346" s="1"/>
      <c r="AX346" s="1"/>
    </row>
    <row r="347" spans="1:50" ht="14.5" hidden="1" customHeight="1" x14ac:dyDescent="0.35">
      <c r="A347" s="5" t="str">
        <f t="shared" si="10"/>
        <v>INSTRUMENTISSR_CNTRY</v>
      </c>
      <c r="B347" s="1" t="s">
        <v>1493</v>
      </c>
      <c r="C347" s="1" t="s">
        <v>785</v>
      </c>
      <c r="D347" s="1" t="s">
        <v>537</v>
      </c>
      <c r="E347" s="1" t="s">
        <v>39</v>
      </c>
      <c r="F347" s="25" t="s">
        <v>1494</v>
      </c>
      <c r="G347" s="1" t="s">
        <v>1494</v>
      </c>
      <c r="H347" s="1" t="s">
        <v>37</v>
      </c>
      <c r="I347" s="1" t="s">
        <v>37</v>
      </c>
      <c r="J347" s="1" t="s">
        <v>37</v>
      </c>
      <c r="K347" s="1" t="s">
        <v>37</v>
      </c>
      <c r="L347" s="1" t="s">
        <v>37</v>
      </c>
      <c r="M347" s="1" t="s">
        <v>37</v>
      </c>
      <c r="N347" s="1" t="s">
        <v>37</v>
      </c>
      <c r="O347" s="1" t="s">
        <v>39</v>
      </c>
      <c r="P347" s="1" t="s">
        <v>37</v>
      </c>
      <c r="Q347" s="1" t="s">
        <v>37</v>
      </c>
      <c r="R347" s="1" t="s">
        <v>136</v>
      </c>
      <c r="S347" s="1" t="s">
        <v>52</v>
      </c>
      <c r="T347" s="1" t="s">
        <v>53</v>
      </c>
      <c r="U347" s="1" t="s">
        <v>46</v>
      </c>
      <c r="V347" s="1" t="s">
        <v>46</v>
      </c>
      <c r="W347" s="1" t="s">
        <v>1495</v>
      </c>
      <c r="X347" s="1" t="s">
        <v>1496</v>
      </c>
      <c r="Y347" s="1" t="s">
        <v>56</v>
      </c>
      <c r="Z347" s="1" t="s">
        <v>57</v>
      </c>
      <c r="AA347" s="1" t="s">
        <v>47</v>
      </c>
      <c r="AB347" s="1" t="s">
        <v>39</v>
      </c>
      <c r="AC347" s="1" t="s">
        <v>37</v>
      </c>
      <c r="AD347" s="1" t="s">
        <v>39</v>
      </c>
      <c r="AE347" s="1" t="s">
        <v>37</v>
      </c>
      <c r="AF347" s="1" t="s">
        <v>37</v>
      </c>
      <c r="AG347" s="1" t="s">
        <v>37</v>
      </c>
      <c r="AH347" s="1" t="s">
        <v>37</v>
      </c>
      <c r="AI347" s="1" t="s">
        <v>39</v>
      </c>
      <c r="AJ347" s="1" t="s">
        <v>39</v>
      </c>
      <c r="AK347" s="1" t="str">
        <f t="shared" si="11"/>
        <v>Apenas Pilar 3</v>
      </c>
      <c r="AL347" s="1" t="str">
        <f>+IF(IFERROR(VLOOKUP(A347,Ficheiros!I:I,1,FALSE),"")=A347,"Sim","Não")</f>
        <v>Sim</v>
      </c>
      <c r="AM347" s="1" t="str">
        <f>+IF(IFERROR(VLOOKUP(A347,Ficheiros!E:E,1,FALSE),"")=A347,"Sim","Não")</f>
        <v>Não</v>
      </c>
      <c r="AN347" s="1" t="str">
        <f>+IF(IFERROR(VLOOKUP(A347,Ficheiros!O:O,1,FALSE),"")=A347,"Sim","Não")</f>
        <v>Sim</v>
      </c>
      <c r="AO347" s="1" t="str">
        <f>+IF(IFERROR(VLOOKUP(A347,'Especificação Novos Req. LT (2'!A:A,1,FALSE),"")=A347,"Sim","Não")</f>
        <v>Não</v>
      </c>
      <c r="AP347" s="1" t="str">
        <f>+IF(IFERROR(VLOOKUP(A347,Ficheiros!T:T,1,FALSE),"")=A347,"Sim","Não")</f>
        <v>Sim</v>
      </c>
      <c r="AQ347" s="1" t="str">
        <f>+VLOOKUP(A347,Ficheiros!O:P,2,FALSE)</f>
        <v>1. Concluído</v>
      </c>
      <c r="AR347" s="1" t="str">
        <f>+VLOOKUP(A347,Ficheiros!T:U,2,FALSE)</f>
        <v>9. Concluído</v>
      </c>
      <c r="AS347" s="1" t="str">
        <f>+VLOOKUP(A347,Ficheiros!T:V,3,FALSE)</f>
        <v>PM</v>
      </c>
      <c r="AT347" s="1"/>
      <c r="AU347" s="1"/>
      <c r="AV347" s="1"/>
      <c r="AW347" s="1"/>
      <c r="AX347" s="1"/>
    </row>
    <row r="348" spans="1:50" ht="14.5" hidden="1" customHeight="1" x14ac:dyDescent="0.35">
      <c r="A348" s="5" t="str">
        <f t="shared" si="10"/>
        <v>INSTRUMENTISSR_ESA_2010</v>
      </c>
      <c r="B348" s="1" t="s">
        <v>1497</v>
      </c>
      <c r="C348" s="1" t="s">
        <v>785</v>
      </c>
      <c r="D348" s="1" t="s">
        <v>537</v>
      </c>
      <c r="E348" s="1" t="s">
        <v>39</v>
      </c>
      <c r="F348" s="25" t="s">
        <v>1498</v>
      </c>
      <c r="G348" s="1" t="s">
        <v>1498</v>
      </c>
      <c r="H348" s="1" t="s">
        <v>39</v>
      </c>
      <c r="I348" s="1" t="s">
        <v>39</v>
      </c>
      <c r="J348" s="1" t="s">
        <v>39</v>
      </c>
      <c r="K348" s="1" t="s">
        <v>39</v>
      </c>
      <c r="L348" s="1" t="s">
        <v>39</v>
      </c>
      <c r="M348" s="1" t="s">
        <v>39</v>
      </c>
      <c r="N348" s="1" t="s">
        <v>37</v>
      </c>
      <c r="O348" s="1" t="s">
        <v>39</v>
      </c>
      <c r="P348" s="1" t="s">
        <v>37</v>
      </c>
      <c r="Q348" s="1" t="s">
        <v>37</v>
      </c>
      <c r="R348" s="1" t="s">
        <v>136</v>
      </c>
      <c r="S348" s="1" t="s">
        <v>52</v>
      </c>
      <c r="T348" s="1" t="s">
        <v>53</v>
      </c>
      <c r="U348" s="1" t="s">
        <v>46</v>
      </c>
      <c r="V348" s="1" t="s">
        <v>46</v>
      </c>
      <c r="W348" s="1" t="s">
        <v>1499</v>
      </c>
      <c r="X348" s="1" t="s">
        <v>1500</v>
      </c>
      <c r="Y348" s="1" t="s">
        <v>45</v>
      </c>
      <c r="Z348" s="1" t="s">
        <v>46</v>
      </c>
      <c r="AA348" s="1" t="s">
        <v>47</v>
      </c>
      <c r="AB348" s="1" t="s">
        <v>39</v>
      </c>
      <c r="AC348" s="1" t="s">
        <v>37</v>
      </c>
      <c r="AD348" s="1" t="s">
        <v>37</v>
      </c>
      <c r="AE348" s="1" t="s">
        <v>37</v>
      </c>
      <c r="AF348" s="1" t="s">
        <v>37</v>
      </c>
      <c r="AG348" s="1" t="s">
        <v>37</v>
      </c>
      <c r="AH348" s="1" t="s">
        <v>37</v>
      </c>
      <c r="AI348" s="1" t="s">
        <v>37</v>
      </c>
      <c r="AJ348" s="1" t="s">
        <v>39</v>
      </c>
      <c r="AK348" s="1" t="str">
        <f t="shared" si="11"/>
        <v>Fora de âmbito</v>
      </c>
      <c r="AL348" s="1" t="str">
        <f>+IF(IFERROR(VLOOKUP(A348,Ficheiros!I:I,1,FALSE),"")=A348,"Sim","Não")</f>
        <v>Sim</v>
      </c>
      <c r="AM348" s="1" t="str">
        <f>+IF(IFERROR(VLOOKUP(A348,Ficheiros!E:E,1,FALSE),"")=A348,"Sim","Não")</f>
        <v>Não</v>
      </c>
      <c r="AN348" s="1" t="str">
        <f>+IF(IFERROR(VLOOKUP(A348,Ficheiros!O:O,1,FALSE),"")=A348,"Sim","Não")</f>
        <v>Não</v>
      </c>
      <c r="AO348" s="1" t="str">
        <f>+IF(IFERROR(VLOOKUP(A348,'Especificação Novos Req. LT (2'!A:A,1,FALSE),"")=A348,"Sim","Não")</f>
        <v>Não</v>
      </c>
      <c r="AP348" s="1" t="str">
        <f>+IF(IFERROR(VLOOKUP(A348,Ficheiros!T:T,1,FALSE),"")=A348,"Sim","Não")</f>
        <v>Sim</v>
      </c>
      <c r="AQ348" s="1" t="e">
        <f>+VLOOKUP(A348,Ficheiros!O:P,2,FALSE)</f>
        <v>#N/A</v>
      </c>
      <c r="AR348" s="1" t="str">
        <f>+VLOOKUP(A348,Ficheiros!T:U,2,FALSE)</f>
        <v>7. Analisar controlos e completude</v>
      </c>
      <c r="AS348" s="1" t="str">
        <f>+VLOOKUP(A348,Ficheiros!T:V,3,FALSE)</f>
        <v>PM</v>
      </c>
      <c r="AT348" s="1"/>
      <c r="AU348" s="1"/>
      <c r="AV348" s="1"/>
      <c r="AW348" s="1"/>
      <c r="AX348" s="1"/>
    </row>
    <row r="349" spans="1:50" ht="14.5" hidden="1" customHeight="1" x14ac:dyDescent="0.35">
      <c r="A349" s="5" t="str">
        <f t="shared" si="10"/>
        <v>INSTRUMENTISSR_ID</v>
      </c>
      <c r="B349" s="1" t="s">
        <v>1501</v>
      </c>
      <c r="C349" s="1" t="s">
        <v>785</v>
      </c>
      <c r="D349" s="1" t="s">
        <v>537</v>
      </c>
      <c r="E349" s="1" t="s">
        <v>39</v>
      </c>
      <c r="F349" s="25" t="s">
        <v>1502</v>
      </c>
      <c r="G349" s="1" t="s">
        <v>1502</v>
      </c>
      <c r="H349" s="1" t="s">
        <v>37</v>
      </c>
      <c r="I349" s="1" t="s">
        <v>37</v>
      </c>
      <c r="J349" s="1" t="s">
        <v>37</v>
      </c>
      <c r="K349" s="1" t="s">
        <v>37</v>
      </c>
      <c r="L349" s="1" t="s">
        <v>37</v>
      </c>
      <c r="M349" s="1" t="s">
        <v>37</v>
      </c>
      <c r="N349" s="1" t="s">
        <v>37</v>
      </c>
      <c r="O349" s="1" t="s">
        <v>39</v>
      </c>
      <c r="P349" s="1" t="s">
        <v>37</v>
      </c>
      <c r="Q349" s="1" t="s">
        <v>37</v>
      </c>
      <c r="R349" s="1" t="s">
        <v>1465</v>
      </c>
      <c r="S349" s="1" t="s">
        <v>41</v>
      </c>
      <c r="T349" s="1" t="s">
        <v>53</v>
      </c>
      <c r="U349" s="1" t="s">
        <v>46</v>
      </c>
      <c r="V349" s="1" t="s">
        <v>46</v>
      </c>
      <c r="W349" s="1" t="s">
        <v>1503</v>
      </c>
      <c r="X349" s="1" t="s">
        <v>1504</v>
      </c>
      <c r="Y349" s="1" t="s">
        <v>66</v>
      </c>
      <c r="Z349" s="1" t="s">
        <v>430</v>
      </c>
      <c r="AA349" s="1" t="s">
        <v>47</v>
      </c>
      <c r="AB349" s="1" t="s">
        <v>39</v>
      </c>
      <c r="AC349" s="1" t="s">
        <v>37</v>
      </c>
      <c r="AD349" s="1" t="s">
        <v>37</v>
      </c>
      <c r="AE349" s="1" t="s">
        <v>37</v>
      </c>
      <c r="AF349" s="1" t="s">
        <v>37</v>
      </c>
      <c r="AG349" s="1" t="s">
        <v>37</v>
      </c>
      <c r="AH349" s="1" t="s">
        <v>37</v>
      </c>
      <c r="AI349" s="1" t="s">
        <v>37</v>
      </c>
      <c r="AJ349" s="1" t="s">
        <v>39</v>
      </c>
      <c r="AK349" s="1" t="str">
        <f t="shared" si="11"/>
        <v>Fora de âmbito</v>
      </c>
      <c r="AL349" s="1" t="str">
        <f>+IF(IFERROR(VLOOKUP(A349,Ficheiros!I:I,1,FALSE),"")=A349,"Sim","Não")</f>
        <v>Sim</v>
      </c>
      <c r="AM349" s="1" t="str">
        <f>+IF(IFERROR(VLOOKUP(A349,Ficheiros!E:E,1,FALSE),"")=A349,"Sim","Não")</f>
        <v>Não</v>
      </c>
      <c r="AN349" s="1" t="str">
        <f>+IF(IFERROR(VLOOKUP(A349,Ficheiros!O:O,1,FALSE),"")=A349,"Sim","Não")</f>
        <v>Não</v>
      </c>
      <c r="AO349" s="1" t="str">
        <f>+IF(IFERROR(VLOOKUP(A349,'Especificação Novos Req. LT (2'!A:A,1,FALSE),"")=A349,"Sim","Não")</f>
        <v>Não</v>
      </c>
      <c r="AP349" s="1" t="str">
        <f>+IF(IFERROR(VLOOKUP(A349,Ficheiros!T:T,1,FALSE),"")=A349,"Sim","Não")</f>
        <v>Sim</v>
      </c>
      <c r="AQ349" s="1" t="e">
        <f>+VLOOKUP(A349,Ficheiros!O:P,2,FALSE)</f>
        <v>#N/A</v>
      </c>
      <c r="AR349" s="1" t="str">
        <f>+VLOOKUP(A349,Ficheiros!T:U,2,FALSE)</f>
        <v>9. Concluído</v>
      </c>
      <c r="AS349" s="1" t="str">
        <f>+VLOOKUP(A349,Ficheiros!T:V,3,FALSE)</f>
        <v>PM</v>
      </c>
      <c r="AT349" s="1"/>
      <c r="AU349" s="1"/>
      <c r="AV349" s="1"/>
      <c r="AW349" s="1"/>
      <c r="AX349" s="1"/>
    </row>
    <row r="350" spans="1:50" ht="14.5" hidden="1" customHeight="1" x14ac:dyDescent="0.35">
      <c r="A350" s="5" t="str">
        <f t="shared" si="10"/>
        <v>INSTRUMENTISSR_ID_TYP</v>
      </c>
      <c r="B350" s="1" t="s">
        <v>1505</v>
      </c>
      <c r="C350" s="1" t="s">
        <v>785</v>
      </c>
      <c r="D350" s="1" t="s">
        <v>537</v>
      </c>
      <c r="E350" s="1" t="s">
        <v>37</v>
      </c>
      <c r="F350" s="25" t="s">
        <v>1506</v>
      </c>
      <c r="G350" s="1" t="s">
        <v>1506</v>
      </c>
      <c r="H350" s="1" t="s">
        <v>37</v>
      </c>
      <c r="I350" s="1" t="s">
        <v>37</v>
      </c>
      <c r="J350" s="1" t="s">
        <v>37</v>
      </c>
      <c r="K350" s="1" t="s">
        <v>37</v>
      </c>
      <c r="L350" s="1" t="s">
        <v>37</v>
      </c>
      <c r="M350" s="1" t="s">
        <v>37</v>
      </c>
      <c r="N350" s="1" t="s">
        <v>37</v>
      </c>
      <c r="O350" s="1" t="s">
        <v>39</v>
      </c>
      <c r="P350" s="1" t="s">
        <v>37</v>
      </c>
      <c r="Q350" s="1" t="s">
        <v>37</v>
      </c>
      <c r="R350" s="1" t="s">
        <v>136</v>
      </c>
      <c r="S350" s="1" t="s">
        <v>52</v>
      </c>
      <c r="T350" s="1" t="s">
        <v>53</v>
      </c>
      <c r="U350" s="1" t="s">
        <v>46</v>
      </c>
      <c r="V350" s="1" t="s">
        <v>46</v>
      </c>
      <c r="W350" s="1" t="s">
        <v>1507</v>
      </c>
      <c r="X350" s="1" t="s">
        <v>1508</v>
      </c>
      <c r="Y350" s="1" t="s">
        <v>66</v>
      </c>
      <c r="Z350" s="1" t="s">
        <v>1509</v>
      </c>
      <c r="AA350" s="1" t="s">
        <v>1510</v>
      </c>
      <c r="AB350" s="1" t="s">
        <v>39</v>
      </c>
      <c r="AC350" s="1" t="s">
        <v>37</v>
      </c>
      <c r="AD350" s="1" t="s">
        <v>37</v>
      </c>
      <c r="AE350" s="1" t="s">
        <v>37</v>
      </c>
      <c r="AF350" s="1" t="s">
        <v>37</v>
      </c>
      <c r="AG350" s="1" t="s">
        <v>37</v>
      </c>
      <c r="AH350" s="1" t="s">
        <v>37</v>
      </c>
      <c r="AI350" s="1" t="s">
        <v>37</v>
      </c>
      <c r="AJ350" s="1" t="s">
        <v>39</v>
      </c>
      <c r="AK350" s="1" t="str">
        <f t="shared" si="11"/>
        <v>Fora de âmbito</v>
      </c>
      <c r="AL350" s="1" t="str">
        <f>+IF(IFERROR(VLOOKUP(A350,Ficheiros!I:I,1,FALSE),"")=A350,"Sim","Não")</f>
        <v>Sim</v>
      </c>
      <c r="AM350" s="1" t="str">
        <f>+IF(IFERROR(VLOOKUP(A350,Ficheiros!E:E,1,FALSE),"")=A350,"Sim","Não")</f>
        <v>Não</v>
      </c>
      <c r="AN350" s="1" t="str">
        <f>+IF(IFERROR(VLOOKUP(A350,Ficheiros!O:O,1,FALSE),"")=A350,"Sim","Não")</f>
        <v>Não</v>
      </c>
      <c r="AO350" s="1" t="str">
        <f>+IF(IFERROR(VLOOKUP(A350,'Especificação Novos Req. LT (2'!A:A,1,FALSE),"")=A350,"Sim","Não")</f>
        <v>Não</v>
      </c>
      <c r="AP350" s="1" t="str">
        <f>+IF(IFERROR(VLOOKUP(A350,Ficheiros!T:T,1,FALSE),"")=A350,"Sim","Não")</f>
        <v>Sim</v>
      </c>
      <c r="AQ350" s="1" t="e">
        <f>+VLOOKUP(A350,Ficheiros!O:P,2,FALSE)</f>
        <v>#N/A</v>
      </c>
      <c r="AR350" s="1" t="str">
        <f>+VLOOKUP(A350,Ficheiros!T:U,2,FALSE)</f>
        <v>9. Concluído</v>
      </c>
      <c r="AS350" s="1" t="str">
        <f>+VLOOKUP(A350,Ficheiros!T:V,3,FALSE)</f>
        <v>PM</v>
      </c>
      <c r="AT350" s="1"/>
      <c r="AU350" s="1"/>
      <c r="AV350" s="1"/>
      <c r="AW350" s="1"/>
      <c r="AX350" s="1"/>
    </row>
    <row r="351" spans="1:50" ht="14.5" hidden="1" customHeight="1" x14ac:dyDescent="0.35">
      <c r="A351" s="5" t="str">
        <f t="shared" si="10"/>
        <v>INSTRUMENTISSR_NACE_SCTR</v>
      </c>
      <c r="B351" s="1" t="s">
        <v>1511</v>
      </c>
      <c r="C351" s="1" t="s">
        <v>785</v>
      </c>
      <c r="D351" s="1" t="s">
        <v>537</v>
      </c>
      <c r="E351" s="1" t="s">
        <v>39</v>
      </c>
      <c r="F351" s="25" t="s">
        <v>1512</v>
      </c>
      <c r="G351" s="1" t="s">
        <v>1512</v>
      </c>
      <c r="H351" s="1" t="s">
        <v>37</v>
      </c>
      <c r="I351" s="1" t="s">
        <v>37</v>
      </c>
      <c r="J351" s="1" t="s">
        <v>37</v>
      </c>
      <c r="K351" s="1" t="s">
        <v>37</v>
      </c>
      <c r="L351" s="1" t="s">
        <v>37</v>
      </c>
      <c r="M351" s="1" t="s">
        <v>37</v>
      </c>
      <c r="N351" s="1" t="s">
        <v>37</v>
      </c>
      <c r="O351" s="1" t="s">
        <v>39</v>
      </c>
      <c r="P351" s="1" t="s">
        <v>37</v>
      </c>
      <c r="Q351" s="1" t="s">
        <v>37</v>
      </c>
      <c r="R351" s="1" t="s">
        <v>136</v>
      </c>
      <c r="S351" s="1" t="s">
        <v>52</v>
      </c>
      <c r="T351" s="1" t="s">
        <v>53</v>
      </c>
      <c r="U351" s="1" t="s">
        <v>46</v>
      </c>
      <c r="V351" s="1" t="s">
        <v>46</v>
      </c>
      <c r="W351" s="1" t="s">
        <v>1513</v>
      </c>
      <c r="X351" s="1" t="s">
        <v>1514</v>
      </c>
      <c r="Y351" s="1" t="s">
        <v>45</v>
      </c>
      <c r="Z351" s="1" t="s">
        <v>46</v>
      </c>
      <c r="AA351" s="1" t="s">
        <v>47</v>
      </c>
      <c r="AB351" s="1" t="s">
        <v>39</v>
      </c>
      <c r="AC351" s="1" t="s">
        <v>37</v>
      </c>
      <c r="AD351" s="1" t="s">
        <v>39</v>
      </c>
      <c r="AE351" s="1" t="s">
        <v>37</v>
      </c>
      <c r="AF351" s="1" t="s">
        <v>37</v>
      </c>
      <c r="AG351" s="1" t="s">
        <v>37</v>
      </c>
      <c r="AH351" s="1" t="s">
        <v>37</v>
      </c>
      <c r="AI351" s="1" t="s">
        <v>39</v>
      </c>
      <c r="AJ351" s="1" t="s">
        <v>39</v>
      </c>
      <c r="AK351" s="1" t="str">
        <f t="shared" si="11"/>
        <v>Apenas Pilar 3</v>
      </c>
      <c r="AL351" s="1" t="str">
        <f>+IF(IFERROR(VLOOKUP(A351,Ficheiros!I:I,1,FALSE),"")=A351,"Sim","Não")</f>
        <v>Sim</v>
      </c>
      <c r="AM351" s="1" t="str">
        <f>+IF(IFERROR(VLOOKUP(A351,Ficheiros!E:E,1,FALSE),"")=A351,"Sim","Não")</f>
        <v>Não</v>
      </c>
      <c r="AN351" s="1" t="str">
        <f>+IF(IFERROR(VLOOKUP(A351,Ficheiros!O:O,1,FALSE),"")=A351,"Sim","Não")</f>
        <v>Sim</v>
      </c>
      <c r="AO351" s="1" t="str">
        <f>+IF(IFERROR(VLOOKUP(A351,'Especificação Novos Req. LT (2'!A:A,1,FALSE),"")=A351,"Sim","Não")</f>
        <v>Não</v>
      </c>
      <c r="AP351" s="1" t="str">
        <f>+IF(IFERROR(VLOOKUP(A351,Ficheiros!T:T,1,FALSE),"")=A351,"Sim","Não")</f>
        <v>Sim</v>
      </c>
      <c r="AQ351" s="1" t="str">
        <f>+VLOOKUP(A351,Ficheiros!O:P,2,FALSE)</f>
        <v>1. Concluído</v>
      </c>
      <c r="AR351" s="1" t="str">
        <f>+VLOOKUP(A351,Ficheiros!T:U,2,FALSE)</f>
        <v>9. Concluído</v>
      </c>
      <c r="AS351" s="1" t="str">
        <f>+VLOOKUP(A351,Ficheiros!T:V,3,FALSE)</f>
        <v>PM</v>
      </c>
      <c r="AT351" s="1"/>
      <c r="AU351" s="1"/>
      <c r="AV351" s="1"/>
      <c r="AW351" s="1"/>
      <c r="AX351" s="1"/>
    </row>
    <row r="352" spans="1:50" ht="14.5" hidden="1" customHeight="1" x14ac:dyDescent="0.35">
      <c r="A352" s="5" t="str">
        <f t="shared" si="10"/>
        <v>INSTRUMENTISSR_RTNG</v>
      </c>
      <c r="B352" s="1" t="s">
        <v>1515</v>
      </c>
      <c r="C352" s="1" t="s">
        <v>785</v>
      </c>
      <c r="D352" s="1" t="s">
        <v>1516</v>
      </c>
      <c r="E352" s="1" t="s">
        <v>37</v>
      </c>
      <c r="F352" s="25" t="s">
        <v>1517</v>
      </c>
      <c r="G352" s="1" t="s">
        <v>1517</v>
      </c>
      <c r="H352" s="1" t="s">
        <v>37</v>
      </c>
      <c r="I352" s="1" t="s">
        <v>37</v>
      </c>
      <c r="J352" s="1" t="s">
        <v>37</v>
      </c>
      <c r="K352" s="1" t="s">
        <v>37</v>
      </c>
      <c r="L352" s="1" t="s">
        <v>37</v>
      </c>
      <c r="M352" s="1" t="s">
        <v>37</v>
      </c>
      <c r="N352" s="1" t="s">
        <v>37</v>
      </c>
      <c r="O352" s="1" t="s">
        <v>39</v>
      </c>
      <c r="P352" s="1" t="s">
        <v>37</v>
      </c>
      <c r="Q352" s="1" t="s">
        <v>37</v>
      </c>
      <c r="R352" s="1" t="s">
        <v>136</v>
      </c>
      <c r="S352" s="1" t="s">
        <v>52</v>
      </c>
      <c r="T352" s="1" t="s">
        <v>53</v>
      </c>
      <c r="U352" s="1" t="s">
        <v>46</v>
      </c>
      <c r="V352" s="1" t="s">
        <v>46</v>
      </c>
      <c r="W352" s="1" t="s">
        <v>1518</v>
      </c>
      <c r="X352" s="1" t="s">
        <v>1519</v>
      </c>
      <c r="Y352" s="1" t="s">
        <v>84</v>
      </c>
      <c r="Z352" s="1" t="s">
        <v>185</v>
      </c>
      <c r="AA352" s="1" t="s">
        <v>47</v>
      </c>
      <c r="AB352" s="1" t="s">
        <v>39</v>
      </c>
      <c r="AC352" s="1" t="s">
        <v>37</v>
      </c>
      <c r="AD352" s="1" t="s">
        <v>37</v>
      </c>
      <c r="AE352" s="1" t="s">
        <v>37</v>
      </c>
      <c r="AF352" s="1" t="s">
        <v>37</v>
      </c>
      <c r="AG352" s="1" t="s">
        <v>37</v>
      </c>
      <c r="AH352" s="1" t="s">
        <v>37</v>
      </c>
      <c r="AI352" s="1" t="s">
        <v>37</v>
      </c>
      <c r="AJ352" s="1" t="s">
        <v>39</v>
      </c>
      <c r="AK352" s="1" t="str">
        <f t="shared" si="11"/>
        <v>Fora de âmbito</v>
      </c>
      <c r="AL352" s="1" t="str">
        <f>+IF(IFERROR(VLOOKUP(A352,Ficheiros!I:I,1,FALSE),"")=A352,"Sim","Não")</f>
        <v>Sim</v>
      </c>
      <c r="AM352" s="1" t="str">
        <f>+IF(IFERROR(VLOOKUP(A352,Ficheiros!E:E,1,FALSE),"")=A352,"Sim","Não")</f>
        <v>Não</v>
      </c>
      <c r="AN352" s="1" t="str">
        <f>+IF(IFERROR(VLOOKUP(A352,Ficheiros!O:O,1,FALSE),"")=A352,"Sim","Não")</f>
        <v>Não</v>
      </c>
      <c r="AO352" s="1" t="str">
        <f>+IF(IFERROR(VLOOKUP(A352,'Especificação Novos Req. LT (2'!A:A,1,FALSE),"")=A352,"Sim","Não")</f>
        <v>Não</v>
      </c>
      <c r="AP352" s="1" t="str">
        <f>+IF(IFERROR(VLOOKUP(A352,Ficheiros!T:T,1,FALSE),"")=A352,"Sim","Não")</f>
        <v>Sim</v>
      </c>
      <c r="AQ352" s="1" t="e">
        <f>+VLOOKUP(A352,Ficheiros!O:P,2,FALSE)</f>
        <v>#N/A</v>
      </c>
      <c r="AR352" s="1" t="str">
        <f>+VLOOKUP(A352,Ficheiros!T:U,2,FALSE)</f>
        <v>8. Concluído - sem dados</v>
      </c>
      <c r="AS352" s="1" t="str">
        <f>+VLOOKUP(A352,Ficheiros!T:V,3,FALSE)</f>
        <v>PM</v>
      </c>
      <c r="AT352" s="1"/>
      <c r="AU352" s="1"/>
      <c r="AV352" s="1"/>
      <c r="AW352" s="1"/>
      <c r="AX352" s="1"/>
    </row>
    <row r="353" spans="1:50" ht="14.5" hidden="1" customHeight="1" x14ac:dyDescent="0.35">
      <c r="A353" s="5" t="str">
        <f t="shared" si="10"/>
        <v>INSTRUMENTISSR_RTNG_SRC</v>
      </c>
      <c r="B353" s="1" t="s">
        <v>1520</v>
      </c>
      <c r="C353" s="1" t="s">
        <v>785</v>
      </c>
      <c r="D353" s="1" t="s">
        <v>1516</v>
      </c>
      <c r="E353" s="1" t="s">
        <v>37</v>
      </c>
      <c r="F353" s="25" t="s">
        <v>1521</v>
      </c>
      <c r="G353" s="1" t="s">
        <v>1521</v>
      </c>
      <c r="H353" s="1" t="s">
        <v>37</v>
      </c>
      <c r="I353" s="1" t="s">
        <v>37</v>
      </c>
      <c r="J353" s="1" t="s">
        <v>37</v>
      </c>
      <c r="K353" s="1" t="s">
        <v>37</v>
      </c>
      <c r="L353" s="1" t="s">
        <v>37</v>
      </c>
      <c r="M353" s="1" t="s">
        <v>37</v>
      </c>
      <c r="N353" s="1" t="s">
        <v>37</v>
      </c>
      <c r="O353" s="1" t="s">
        <v>39</v>
      </c>
      <c r="P353" s="1" t="s">
        <v>37</v>
      </c>
      <c r="Q353" s="1" t="s">
        <v>37</v>
      </c>
      <c r="R353" s="1" t="s">
        <v>1465</v>
      </c>
      <c r="S353" s="1" t="s">
        <v>41</v>
      </c>
      <c r="T353" s="1" t="s">
        <v>53</v>
      </c>
      <c r="U353" s="1" t="s">
        <v>46</v>
      </c>
      <c r="V353" s="1" t="s">
        <v>46</v>
      </c>
      <c r="W353" s="1" t="s">
        <v>1522</v>
      </c>
      <c r="X353" s="1" t="s">
        <v>1523</v>
      </c>
      <c r="Y353" s="1" t="s">
        <v>66</v>
      </c>
      <c r="Z353" s="1" t="s">
        <v>132</v>
      </c>
      <c r="AA353" s="1" t="s">
        <v>47</v>
      </c>
      <c r="AB353" s="1" t="s">
        <v>39</v>
      </c>
      <c r="AC353" s="1" t="s">
        <v>37</v>
      </c>
      <c r="AD353" s="1" t="s">
        <v>37</v>
      </c>
      <c r="AE353" s="1" t="s">
        <v>37</v>
      </c>
      <c r="AF353" s="1" t="s">
        <v>37</v>
      </c>
      <c r="AG353" s="1" t="s">
        <v>37</v>
      </c>
      <c r="AH353" s="1" t="s">
        <v>37</v>
      </c>
      <c r="AI353" s="1" t="s">
        <v>37</v>
      </c>
      <c r="AJ353" s="1" t="s">
        <v>39</v>
      </c>
      <c r="AK353" s="1" t="str">
        <f t="shared" si="11"/>
        <v>Fora de âmbito</v>
      </c>
      <c r="AL353" s="1" t="str">
        <f>+IF(IFERROR(VLOOKUP(A353,Ficheiros!I:I,1,FALSE),"")=A353,"Sim","Não")</f>
        <v>Sim</v>
      </c>
      <c r="AM353" s="1" t="str">
        <f>+IF(IFERROR(VLOOKUP(A353,Ficheiros!E:E,1,FALSE),"")=A353,"Sim","Não")</f>
        <v>Não</v>
      </c>
      <c r="AN353" s="1" t="str">
        <f>+IF(IFERROR(VLOOKUP(A353,Ficheiros!O:O,1,FALSE),"")=A353,"Sim","Não")</f>
        <v>Não</v>
      </c>
      <c r="AO353" s="1" t="str">
        <f>+IF(IFERROR(VLOOKUP(A353,'Especificação Novos Req. LT (2'!A:A,1,FALSE),"")=A353,"Sim","Não")</f>
        <v>Não</v>
      </c>
      <c r="AP353" s="1" t="str">
        <f>+IF(IFERROR(VLOOKUP(A353,Ficheiros!T:T,1,FALSE),"")=A353,"Sim","Não")</f>
        <v>Sim</v>
      </c>
      <c r="AQ353" s="1" t="e">
        <f>+VLOOKUP(A353,Ficheiros!O:P,2,FALSE)</f>
        <v>#N/A</v>
      </c>
      <c r="AR353" s="1" t="str">
        <f>+VLOOKUP(A353,Ficheiros!T:U,2,FALSE)</f>
        <v>8. Concluído - sem dados</v>
      </c>
      <c r="AS353" s="1" t="str">
        <f>+VLOOKUP(A353,Ficheiros!T:V,3,FALSE)</f>
        <v>PM</v>
      </c>
      <c r="AT353" s="1"/>
      <c r="AU353" s="1"/>
      <c r="AV353" s="1"/>
      <c r="AW353" s="1"/>
      <c r="AX353" s="1"/>
    </row>
    <row r="354" spans="1:50" ht="14.5" hidden="1" customHeight="1" x14ac:dyDescent="0.35">
      <c r="A354" s="5" t="str">
        <f t="shared" si="10"/>
        <v>INSTRUMENTISSR_TYP</v>
      </c>
      <c r="B354" s="1" t="s">
        <v>1524</v>
      </c>
      <c r="C354" s="1" t="s">
        <v>785</v>
      </c>
      <c r="D354" s="1" t="s">
        <v>1525</v>
      </c>
      <c r="E354" s="1" t="s">
        <v>37</v>
      </c>
      <c r="F354" s="25" t="s">
        <v>1526</v>
      </c>
      <c r="G354" s="1" t="s">
        <v>1526</v>
      </c>
      <c r="H354" s="1" t="s">
        <v>37</v>
      </c>
      <c r="I354" s="1" t="s">
        <v>37</v>
      </c>
      <c r="J354" s="1" t="s">
        <v>37</v>
      </c>
      <c r="K354" s="1" t="s">
        <v>37</v>
      </c>
      <c r="L354" s="1" t="s">
        <v>37</v>
      </c>
      <c r="M354" s="1" t="s">
        <v>37</v>
      </c>
      <c r="N354" s="1" t="s">
        <v>37</v>
      </c>
      <c r="O354" s="1" t="s">
        <v>39</v>
      </c>
      <c r="P354" s="1" t="s">
        <v>37</v>
      </c>
      <c r="Q354" s="1" t="s">
        <v>37</v>
      </c>
      <c r="R354" s="1" t="s">
        <v>136</v>
      </c>
      <c r="S354" s="1" t="s">
        <v>52</v>
      </c>
      <c r="T354" s="1">
        <v>99999999999</v>
      </c>
      <c r="U354" s="1">
        <v>11111111111</v>
      </c>
      <c r="V354" s="1">
        <v>11111111111</v>
      </c>
      <c r="W354" s="1" t="s">
        <v>1527</v>
      </c>
      <c r="X354" s="1" t="s">
        <v>1528</v>
      </c>
      <c r="Y354" s="1" t="s">
        <v>84</v>
      </c>
      <c r="Z354" s="1" t="s">
        <v>1529</v>
      </c>
      <c r="AA354" s="1" t="s">
        <v>47</v>
      </c>
      <c r="AB354" s="1" t="s">
        <v>39</v>
      </c>
      <c r="AC354" s="1" t="s">
        <v>37</v>
      </c>
      <c r="AD354" s="1" t="s">
        <v>37</v>
      </c>
      <c r="AE354" s="1" t="s">
        <v>37</v>
      </c>
      <c r="AF354" s="1" t="s">
        <v>37</v>
      </c>
      <c r="AG354" s="1" t="s">
        <v>37</v>
      </c>
      <c r="AH354" s="1" t="s">
        <v>37</v>
      </c>
      <c r="AI354" s="1" t="s">
        <v>37</v>
      </c>
      <c r="AJ354" s="1" t="s">
        <v>39</v>
      </c>
      <c r="AK354" s="1" t="str">
        <f t="shared" si="11"/>
        <v>Fora de âmbito</v>
      </c>
      <c r="AL354" s="1" t="str">
        <f>+IF(IFERROR(VLOOKUP(A354,Ficheiros!I:I,1,FALSE),"")=A354,"Sim","Não")</f>
        <v>Sim</v>
      </c>
      <c r="AM354" s="1" t="str">
        <f>+IF(IFERROR(VLOOKUP(A354,Ficheiros!E:E,1,FALSE),"")=A354,"Sim","Não")</f>
        <v>Não</v>
      </c>
      <c r="AN354" s="1" t="str">
        <f>+IF(IFERROR(VLOOKUP(A354,Ficheiros!O:O,1,FALSE),"")=A354,"Sim","Não")</f>
        <v>Não</v>
      </c>
      <c r="AO354" s="1" t="str">
        <f>+IF(IFERROR(VLOOKUP(A354,'Especificação Novos Req. LT (2'!A:A,1,FALSE),"")=A354,"Sim","Não")</f>
        <v>Não</v>
      </c>
      <c r="AP354" s="1" t="str">
        <f>+IF(IFERROR(VLOOKUP(A354,Ficheiros!T:T,1,FALSE),"")=A354,"Sim","Não")</f>
        <v>Sim</v>
      </c>
      <c r="AQ354" s="1" t="e">
        <f>+VLOOKUP(A354,Ficheiros!O:P,2,FALSE)</f>
        <v>#N/A</v>
      </c>
      <c r="AR354" s="1" t="str">
        <f>+VLOOKUP(A354,Ficheiros!T:U,2,FALSE)</f>
        <v>9. Concluído</v>
      </c>
      <c r="AS354" s="1" t="str">
        <f>+VLOOKUP(A354,Ficheiros!T:V,3,FALSE)</f>
        <v>PM</v>
      </c>
      <c r="AT354" s="1"/>
      <c r="AU354" s="1"/>
      <c r="AV354" s="1"/>
      <c r="AW354" s="1"/>
      <c r="AX354" s="1"/>
    </row>
    <row r="355" spans="1:50" ht="14.5" hidden="1" customHeight="1" x14ac:dyDescent="0.35">
      <c r="A355" s="5" t="str">
        <f t="shared" si="10"/>
        <v>INSTRUMENTLCR_BFFR_CTGRY</v>
      </c>
      <c r="B355" s="1" t="s">
        <v>1530</v>
      </c>
      <c r="C355" s="1" t="s">
        <v>785</v>
      </c>
      <c r="D355" s="1" t="s">
        <v>1459</v>
      </c>
      <c r="E355" s="1" t="s">
        <v>37</v>
      </c>
      <c r="F355" s="25" t="s">
        <v>1531</v>
      </c>
      <c r="G355" s="1" t="s">
        <v>1531</v>
      </c>
      <c r="H355" s="1" t="s">
        <v>37</v>
      </c>
      <c r="I355" s="1" t="s">
        <v>37</v>
      </c>
      <c r="J355" s="1" t="s">
        <v>37</v>
      </c>
      <c r="K355" s="1" t="s">
        <v>37</v>
      </c>
      <c r="L355" s="1" t="s">
        <v>37</v>
      </c>
      <c r="M355" s="1" t="s">
        <v>37</v>
      </c>
      <c r="N355" s="1" t="s">
        <v>37</v>
      </c>
      <c r="O355" s="1" t="s">
        <v>39</v>
      </c>
      <c r="P355" s="1" t="s">
        <v>37</v>
      </c>
      <c r="Q355" s="1" t="s">
        <v>37</v>
      </c>
      <c r="R355" s="1" t="s">
        <v>136</v>
      </c>
      <c r="S355" s="1" t="s">
        <v>52</v>
      </c>
      <c r="T355" s="1">
        <v>99999999999</v>
      </c>
      <c r="U355" s="1">
        <v>11111111111</v>
      </c>
      <c r="V355" s="1">
        <v>11111111111</v>
      </c>
      <c r="W355" s="1" t="s">
        <v>1532</v>
      </c>
      <c r="X355" s="1" t="s">
        <v>1533</v>
      </c>
      <c r="Y355" s="1" t="s">
        <v>45</v>
      </c>
      <c r="Z355" s="1" t="s">
        <v>46</v>
      </c>
      <c r="AA355" s="1" t="s">
        <v>47</v>
      </c>
      <c r="AB355" s="1" t="s">
        <v>39</v>
      </c>
      <c r="AC355" s="1" t="s">
        <v>37</v>
      </c>
      <c r="AD355" s="1" t="s">
        <v>37</v>
      </c>
      <c r="AE355" s="1" t="s">
        <v>37</v>
      </c>
      <c r="AF355" s="1" t="s">
        <v>37</v>
      </c>
      <c r="AG355" s="1" t="s">
        <v>37</v>
      </c>
      <c r="AH355" s="1" t="s">
        <v>37</v>
      </c>
      <c r="AI355" s="1" t="s">
        <v>37</v>
      </c>
      <c r="AJ355" s="1" t="s">
        <v>39</v>
      </c>
      <c r="AK355" s="1" t="str">
        <f t="shared" si="11"/>
        <v>Fora de âmbito</v>
      </c>
      <c r="AL355" s="1" t="str">
        <f>+IF(IFERROR(VLOOKUP(A355,Ficheiros!I:I,1,FALSE),"")=A355,"Sim","Não")</f>
        <v>Sim</v>
      </c>
      <c r="AM355" s="1" t="str">
        <f>+IF(IFERROR(VLOOKUP(A355,Ficheiros!E:E,1,FALSE),"")=A355,"Sim","Não")</f>
        <v>Não</v>
      </c>
      <c r="AN355" s="1" t="str">
        <f>+IF(IFERROR(VLOOKUP(A355,Ficheiros!O:O,1,FALSE),"")=A355,"Sim","Não")</f>
        <v>Não</v>
      </c>
      <c r="AO355" s="1" t="str">
        <f>+IF(IFERROR(VLOOKUP(A355,'Especificação Novos Req. LT (2'!A:A,1,FALSE),"")=A355,"Sim","Não")</f>
        <v>Não</v>
      </c>
      <c r="AP355" s="1" t="str">
        <f>+IF(IFERROR(VLOOKUP(A355,Ficheiros!T:T,1,FALSE),"")=A355,"Sim","Não")</f>
        <v>Sim</v>
      </c>
      <c r="AQ355" s="1" t="e">
        <f>+VLOOKUP(A355,Ficheiros!O:P,2,FALSE)</f>
        <v>#N/A</v>
      </c>
      <c r="AR355" s="1" t="str">
        <f>+VLOOKUP(A355,Ficheiros!T:U,2,FALSE)</f>
        <v>9. Concluído</v>
      </c>
      <c r="AS355" s="1" t="str">
        <f>+VLOOKUP(A355,Ficheiros!T:V,3,FALSE)</f>
        <v>PM</v>
      </c>
      <c r="AT355" s="1"/>
      <c r="AU355" s="1"/>
      <c r="AV355" s="1"/>
      <c r="AW355" s="1"/>
      <c r="AX355" s="1"/>
    </row>
    <row r="356" spans="1:50" ht="14.5" hidden="1" customHeight="1" x14ac:dyDescent="0.35">
      <c r="A356" s="5" t="str">
        <f t="shared" si="10"/>
        <v>INSTRUMENTPRCH_UNDR_RSL_AGR</v>
      </c>
      <c r="B356" s="1" t="s">
        <v>1534</v>
      </c>
      <c r="C356" s="1" t="s">
        <v>785</v>
      </c>
      <c r="D356" s="1" t="s">
        <v>1459</v>
      </c>
      <c r="E356" s="1" t="s">
        <v>37</v>
      </c>
      <c r="F356" s="25" t="s">
        <v>1535</v>
      </c>
      <c r="G356" s="1" t="s">
        <v>1535</v>
      </c>
      <c r="H356" s="1" t="s">
        <v>37</v>
      </c>
      <c r="I356" s="1" t="s">
        <v>37</v>
      </c>
      <c r="J356" s="1" t="s">
        <v>37</v>
      </c>
      <c r="K356" s="1" t="s">
        <v>37</v>
      </c>
      <c r="L356" s="1" t="s">
        <v>37</v>
      </c>
      <c r="M356" s="1" t="s">
        <v>37</v>
      </c>
      <c r="N356" s="1" t="s">
        <v>37</v>
      </c>
      <c r="O356" s="1" t="s">
        <v>39</v>
      </c>
      <c r="P356" s="1" t="s">
        <v>37</v>
      </c>
      <c r="Q356" s="1" t="s">
        <v>37</v>
      </c>
      <c r="R356" s="1" t="s">
        <v>141</v>
      </c>
      <c r="S356" s="1" t="s">
        <v>142</v>
      </c>
      <c r="T356" s="1" t="s">
        <v>53</v>
      </c>
      <c r="U356" s="1" t="s">
        <v>46</v>
      </c>
      <c r="V356" s="1" t="s">
        <v>46</v>
      </c>
      <c r="W356" s="1" t="s">
        <v>1536</v>
      </c>
      <c r="X356" s="1" t="s">
        <v>1537</v>
      </c>
      <c r="Y356" s="1" t="s">
        <v>45</v>
      </c>
      <c r="Z356" s="1" t="s">
        <v>46</v>
      </c>
      <c r="AA356" s="1" t="s">
        <v>47</v>
      </c>
      <c r="AB356" s="1" t="s">
        <v>39</v>
      </c>
      <c r="AC356" s="1" t="s">
        <v>37</v>
      </c>
      <c r="AD356" s="1" t="s">
        <v>37</v>
      </c>
      <c r="AE356" s="1" t="s">
        <v>37</v>
      </c>
      <c r="AF356" s="1" t="s">
        <v>37</v>
      </c>
      <c r="AG356" s="1" t="s">
        <v>37</v>
      </c>
      <c r="AH356" s="1" t="s">
        <v>37</v>
      </c>
      <c r="AI356" s="1" t="s">
        <v>37</v>
      </c>
      <c r="AJ356" s="1" t="s">
        <v>39</v>
      </c>
      <c r="AK356" s="1" t="str">
        <f t="shared" si="11"/>
        <v>Fora de âmbito</v>
      </c>
      <c r="AL356" s="1" t="str">
        <f>+IF(IFERROR(VLOOKUP(A356,Ficheiros!I:I,1,FALSE),"")=A356,"Sim","Não")</f>
        <v>Sim</v>
      </c>
      <c r="AM356" s="1" t="str">
        <f>+IF(IFERROR(VLOOKUP(A356,Ficheiros!E:E,1,FALSE),"")=A356,"Sim","Não")</f>
        <v>Não</v>
      </c>
      <c r="AN356" s="1" t="str">
        <f>+IF(IFERROR(VLOOKUP(A356,Ficheiros!O:O,1,FALSE),"")=A356,"Sim","Não")</f>
        <v>Não</v>
      </c>
      <c r="AO356" s="1" t="str">
        <f>+IF(IFERROR(VLOOKUP(A356,'Especificação Novos Req. LT (2'!A:A,1,FALSE),"")=A356,"Sim","Não")</f>
        <v>Não</v>
      </c>
      <c r="AP356" s="1" t="str">
        <f>+IF(IFERROR(VLOOKUP(A356,Ficheiros!T:T,1,FALSE),"")=A356,"Sim","Não")</f>
        <v>Sim</v>
      </c>
      <c r="AQ356" s="1" t="e">
        <f>+VLOOKUP(A356,Ficheiros!O:P,2,FALSE)</f>
        <v>#N/A</v>
      </c>
      <c r="AR356" s="1" t="str">
        <f>+VLOOKUP(A356,Ficheiros!T:U,2,FALSE)</f>
        <v>9. Concluído</v>
      </c>
      <c r="AS356" s="1" t="str">
        <f>+VLOOKUP(A356,Ficheiros!T:V,3,FALSE)</f>
        <v>PM</v>
      </c>
      <c r="AT356" s="1"/>
      <c r="AU356" s="1"/>
      <c r="AV356" s="1"/>
      <c r="AW356" s="1"/>
      <c r="AX356" s="1"/>
    </row>
    <row r="357" spans="1:50" ht="14.5" hidden="1" customHeight="1" x14ac:dyDescent="0.35">
      <c r="A357" s="5" t="str">
        <f t="shared" si="10"/>
        <v>INSTRUMENTPRDNTL_PRTFL</v>
      </c>
      <c r="B357" s="1" t="s">
        <v>1538</v>
      </c>
      <c r="C357" s="1" t="s">
        <v>785</v>
      </c>
      <c r="D357" s="1" t="s">
        <v>1539</v>
      </c>
      <c r="E357" s="1" t="s">
        <v>39</v>
      </c>
      <c r="F357" s="25" t="s">
        <v>1540</v>
      </c>
      <c r="G357" s="1" t="s">
        <v>1540</v>
      </c>
      <c r="H357" s="1" t="s">
        <v>39</v>
      </c>
      <c r="I357" s="1" t="s">
        <v>39</v>
      </c>
      <c r="J357" s="1" t="s">
        <v>39</v>
      </c>
      <c r="K357" s="1" t="s">
        <v>39</v>
      </c>
      <c r="L357" s="1" t="s">
        <v>39</v>
      </c>
      <c r="M357" s="1" t="s">
        <v>39</v>
      </c>
      <c r="N357" s="1" t="s">
        <v>39</v>
      </c>
      <c r="O357" s="1" t="s">
        <v>39</v>
      </c>
      <c r="P357" s="1" t="s">
        <v>37</v>
      </c>
      <c r="Q357" s="1" t="s">
        <v>37</v>
      </c>
      <c r="R357" s="1" t="s">
        <v>136</v>
      </c>
      <c r="S357" s="1" t="s">
        <v>52</v>
      </c>
      <c r="T357" s="1">
        <v>99999999999</v>
      </c>
      <c r="U357" s="1">
        <v>11111111111</v>
      </c>
      <c r="V357" s="1">
        <v>11111111111</v>
      </c>
      <c r="W357" s="1" t="s">
        <v>1541</v>
      </c>
      <c r="X357" s="1" t="s">
        <v>1542</v>
      </c>
      <c r="Y357" s="1" t="s">
        <v>56</v>
      </c>
      <c r="Z357" s="1" t="s">
        <v>57</v>
      </c>
      <c r="AA357" s="1" t="s">
        <v>47</v>
      </c>
      <c r="AB357" s="1" t="s">
        <v>39</v>
      </c>
      <c r="AC357" s="1" t="s">
        <v>37</v>
      </c>
      <c r="AD357" s="1" t="s">
        <v>37</v>
      </c>
      <c r="AE357" s="1" t="s">
        <v>37</v>
      </c>
      <c r="AF357" s="1" t="s">
        <v>37</v>
      </c>
      <c r="AG357" s="1" t="s">
        <v>39</v>
      </c>
      <c r="AH357" s="1" t="s">
        <v>37</v>
      </c>
      <c r="AI357" s="1" t="s">
        <v>37</v>
      </c>
      <c r="AJ357" s="1" t="s">
        <v>39</v>
      </c>
      <c r="AK357" s="1" t="str">
        <f t="shared" si="11"/>
        <v>Fora de âmbito</v>
      </c>
      <c r="AL357" s="1" t="str">
        <f>+IF(IFERROR(VLOOKUP(A357,Ficheiros!I:I,1,FALSE),"")=A357,"Sim","Não")</f>
        <v>Sim</v>
      </c>
      <c r="AM357" s="1" t="str">
        <f>+IF(IFERROR(VLOOKUP(A357,Ficheiros!E:E,1,FALSE),"")=A357,"Sim","Não")</f>
        <v>Não</v>
      </c>
      <c r="AN357" s="1" t="str">
        <f>+IF(IFERROR(VLOOKUP(A357,Ficheiros!O:O,1,FALSE),"")=A357,"Sim","Não")</f>
        <v>Não</v>
      </c>
      <c r="AO357" s="1" t="str">
        <f>+IF(IFERROR(VLOOKUP(A357,'Especificação Novos Req. LT (2'!A:A,1,FALSE),"")=A357,"Sim","Não")</f>
        <v>Não</v>
      </c>
      <c r="AP357" s="1" t="str">
        <f>+IF(IFERROR(VLOOKUP(A357,Ficheiros!T:T,1,FALSE),"")=A357,"Sim","Não")</f>
        <v>Sim</v>
      </c>
      <c r="AQ357" s="1" t="e">
        <f>+VLOOKUP(A357,Ficheiros!O:P,2,FALSE)</f>
        <v>#N/A</v>
      </c>
      <c r="AR357" s="1" t="str">
        <f>+VLOOKUP(A357,Ficheiros!T:U,2,FALSE)</f>
        <v>9. Concluído</v>
      </c>
      <c r="AS357" s="1" t="str">
        <f>+VLOOKUP(A357,Ficheiros!T:V,3,FALSE)</f>
        <v>PM</v>
      </c>
      <c r="AT357" s="1"/>
      <c r="AU357" s="1"/>
      <c r="AV357" s="1"/>
      <c r="AW357" s="1"/>
      <c r="AX357" s="1"/>
    </row>
    <row r="358" spans="1:50" ht="14.5" hidden="1" customHeight="1" x14ac:dyDescent="0.35">
      <c r="A358" s="5" t="str">
        <f t="shared" si="10"/>
        <v>INSTRUMENTPRMRY_ASST_CLSSF</v>
      </c>
      <c r="B358" s="1" t="s">
        <v>1543</v>
      </c>
      <c r="C358" s="1" t="s">
        <v>785</v>
      </c>
      <c r="D358" s="1" t="s">
        <v>1442</v>
      </c>
      <c r="E358" s="1" t="s">
        <v>37</v>
      </c>
      <c r="F358" s="25" t="s">
        <v>1544</v>
      </c>
      <c r="G358" s="1" t="s">
        <v>1544</v>
      </c>
      <c r="H358" s="1" t="s">
        <v>37</v>
      </c>
      <c r="I358" s="1" t="s">
        <v>37</v>
      </c>
      <c r="J358" s="1" t="s">
        <v>37</v>
      </c>
      <c r="K358" s="1" t="s">
        <v>37</v>
      </c>
      <c r="L358" s="1" t="s">
        <v>37</v>
      </c>
      <c r="M358" s="1" t="s">
        <v>37</v>
      </c>
      <c r="N358" s="1" t="s">
        <v>37</v>
      </c>
      <c r="O358" s="1" t="s">
        <v>39</v>
      </c>
      <c r="P358" s="1" t="s">
        <v>37</v>
      </c>
      <c r="Q358" s="1" t="s">
        <v>37</v>
      </c>
      <c r="R358" s="1" t="s">
        <v>136</v>
      </c>
      <c r="S358" s="1" t="s">
        <v>52</v>
      </c>
      <c r="T358" s="1" t="s">
        <v>53</v>
      </c>
      <c r="U358" s="1" t="s">
        <v>46</v>
      </c>
      <c r="V358" s="1" t="s">
        <v>46</v>
      </c>
      <c r="W358" s="1" t="s">
        <v>1545</v>
      </c>
      <c r="X358" s="1" t="s">
        <v>1546</v>
      </c>
      <c r="Y358" s="1" t="s">
        <v>45</v>
      </c>
      <c r="Z358" s="1" t="s">
        <v>46</v>
      </c>
      <c r="AA358" s="1" t="s">
        <v>47</v>
      </c>
      <c r="AB358" s="1" t="s">
        <v>39</v>
      </c>
      <c r="AC358" s="1" t="s">
        <v>37</v>
      </c>
      <c r="AD358" s="1" t="s">
        <v>39</v>
      </c>
      <c r="AE358" s="1" t="s">
        <v>37</v>
      </c>
      <c r="AF358" s="1" t="s">
        <v>37</v>
      </c>
      <c r="AG358" s="1" t="s">
        <v>37</v>
      </c>
      <c r="AH358" s="1" t="s">
        <v>37</v>
      </c>
      <c r="AI358" s="1" t="s">
        <v>39</v>
      </c>
      <c r="AJ358" s="1" t="s">
        <v>39</v>
      </c>
      <c r="AK358" s="1" t="str">
        <f t="shared" si="11"/>
        <v>Apenas Pilar 3</v>
      </c>
      <c r="AL358" s="1" t="str">
        <f>+IF(IFERROR(VLOOKUP(A358,Ficheiros!I:I,1,FALSE),"")=A358,"Sim","Não")</f>
        <v>Sim</v>
      </c>
      <c r="AM358" s="1" t="str">
        <f>+IF(IFERROR(VLOOKUP(A358,Ficheiros!E:E,1,FALSE),"")=A358,"Sim","Não")</f>
        <v>Não</v>
      </c>
      <c r="AN358" s="1" t="str">
        <f>+IF(IFERROR(VLOOKUP(A358,Ficheiros!O:O,1,FALSE),"")=A358,"Sim","Não")</f>
        <v>Sim</v>
      </c>
      <c r="AO358" s="1" t="str">
        <f>+IF(IFERROR(VLOOKUP(A358,'Especificação Novos Req. LT (2'!A:A,1,FALSE),"")=A358,"Sim","Não")</f>
        <v>Não</v>
      </c>
      <c r="AP358" s="1" t="str">
        <f>+IF(IFERROR(VLOOKUP(A358,Ficheiros!T:T,1,FALSE),"")=A358,"Sim","Não")</f>
        <v>Sim</v>
      </c>
      <c r="AQ358" s="1" t="str">
        <f>+VLOOKUP(A358,Ficheiros!O:P,2,FALSE)</f>
        <v>1. Concluído</v>
      </c>
      <c r="AR358" s="1" t="str">
        <f>+VLOOKUP(A358,Ficheiros!T:U,2,FALSE)</f>
        <v>9. Concluído</v>
      </c>
      <c r="AS358" s="1" t="str">
        <f>+VLOOKUP(A358,Ficheiros!T:V,3,FALSE)</f>
        <v>PM</v>
      </c>
      <c r="AT358" s="1"/>
      <c r="AU358" s="1"/>
      <c r="AV358" s="1"/>
      <c r="AW358" s="1"/>
      <c r="AX358" s="1"/>
    </row>
    <row r="359" spans="1:50" ht="14.5" hidden="1" customHeight="1" x14ac:dyDescent="0.35">
      <c r="A359" s="5" t="str">
        <f t="shared" si="10"/>
        <v>INSTRUMENTPRT_LCR_BFFR</v>
      </c>
      <c r="B359" s="1" t="s">
        <v>1547</v>
      </c>
      <c r="C359" s="1" t="s">
        <v>785</v>
      </c>
      <c r="D359" s="1" t="s">
        <v>1459</v>
      </c>
      <c r="E359" s="1" t="s">
        <v>37</v>
      </c>
      <c r="F359" s="25" t="s">
        <v>1548</v>
      </c>
      <c r="G359" s="1" t="s">
        <v>1548</v>
      </c>
      <c r="H359" s="1" t="s">
        <v>37</v>
      </c>
      <c r="I359" s="1" t="s">
        <v>37</v>
      </c>
      <c r="J359" s="1" t="s">
        <v>37</v>
      </c>
      <c r="K359" s="1" t="s">
        <v>37</v>
      </c>
      <c r="L359" s="1" t="s">
        <v>37</v>
      </c>
      <c r="M359" s="1" t="s">
        <v>37</v>
      </c>
      <c r="N359" s="1" t="s">
        <v>37</v>
      </c>
      <c r="O359" s="1" t="s">
        <v>39</v>
      </c>
      <c r="P359" s="1" t="s">
        <v>37</v>
      </c>
      <c r="Q359" s="1" t="s">
        <v>37</v>
      </c>
      <c r="R359" s="1" t="s">
        <v>141</v>
      </c>
      <c r="S359" s="1" t="s">
        <v>142</v>
      </c>
      <c r="T359" s="1" t="s">
        <v>53</v>
      </c>
      <c r="U359" s="1" t="s">
        <v>46</v>
      </c>
      <c r="V359" s="1" t="s">
        <v>46</v>
      </c>
      <c r="W359" s="1" t="s">
        <v>1549</v>
      </c>
      <c r="X359" s="1" t="s">
        <v>1550</v>
      </c>
      <c r="Y359" s="1" t="s">
        <v>45</v>
      </c>
      <c r="Z359" s="1" t="s">
        <v>46</v>
      </c>
      <c r="AA359" s="1" t="s">
        <v>47</v>
      </c>
      <c r="AB359" s="1" t="s">
        <v>39</v>
      </c>
      <c r="AC359" s="1" t="s">
        <v>37</v>
      </c>
      <c r="AD359" s="1" t="s">
        <v>37</v>
      </c>
      <c r="AE359" s="1" t="s">
        <v>37</v>
      </c>
      <c r="AF359" s="1" t="s">
        <v>37</v>
      </c>
      <c r="AG359" s="1" t="s">
        <v>37</v>
      </c>
      <c r="AH359" s="1" t="s">
        <v>37</v>
      </c>
      <c r="AI359" s="1" t="s">
        <v>37</v>
      </c>
      <c r="AJ359" s="1" t="s">
        <v>39</v>
      </c>
      <c r="AK359" s="1" t="str">
        <f t="shared" si="11"/>
        <v>Fora de âmbito</v>
      </c>
      <c r="AL359" s="1" t="str">
        <f>+IF(IFERROR(VLOOKUP(A359,Ficheiros!I:I,1,FALSE),"")=A359,"Sim","Não")</f>
        <v>Sim</v>
      </c>
      <c r="AM359" s="1" t="str">
        <f>+IF(IFERROR(VLOOKUP(A359,Ficheiros!E:E,1,FALSE),"")=A359,"Sim","Não")</f>
        <v>Não</v>
      </c>
      <c r="AN359" s="1" t="str">
        <f>+IF(IFERROR(VLOOKUP(A359,Ficheiros!O:O,1,FALSE),"")=A359,"Sim","Não")</f>
        <v>Não</v>
      </c>
      <c r="AO359" s="1" t="str">
        <f>+IF(IFERROR(VLOOKUP(A359,'Especificação Novos Req. LT (2'!A:A,1,FALSE),"")=A359,"Sim","Não")</f>
        <v>Não</v>
      </c>
      <c r="AP359" s="1" t="str">
        <f>+IF(IFERROR(VLOOKUP(A359,Ficheiros!T:T,1,FALSE),"")=A359,"Sim","Não")</f>
        <v>Sim</v>
      </c>
      <c r="AQ359" s="1" t="e">
        <f>+VLOOKUP(A359,Ficheiros!O:P,2,FALSE)</f>
        <v>#N/A</v>
      </c>
      <c r="AR359" s="1" t="str">
        <f>+VLOOKUP(A359,Ficheiros!T:U,2,FALSE)</f>
        <v>9. Concluído</v>
      </c>
      <c r="AS359" s="1" t="str">
        <f>+VLOOKUP(A359,Ficheiros!T:V,3,FALSE)</f>
        <v>PM</v>
      </c>
      <c r="AT359" s="1"/>
      <c r="AU359" s="1"/>
      <c r="AV359" s="1"/>
      <c r="AW359" s="1"/>
      <c r="AX359" s="1"/>
    </row>
    <row r="360" spans="1:50" ht="14.5" hidden="1" customHeight="1" x14ac:dyDescent="0.35">
      <c r="A360" s="5" t="str">
        <f t="shared" si="10"/>
        <v>INSTRUMENTCPN_RT_FLTNG</v>
      </c>
      <c r="B360" s="1" t="s">
        <v>1551</v>
      </c>
      <c r="C360" s="1" t="s">
        <v>785</v>
      </c>
      <c r="D360" s="1" t="s">
        <v>1442</v>
      </c>
      <c r="E360" s="1" t="s">
        <v>37</v>
      </c>
      <c r="F360" s="25" t="s">
        <v>1552</v>
      </c>
      <c r="G360" s="1" t="s">
        <v>1552</v>
      </c>
      <c r="H360" s="1" t="s">
        <v>37</v>
      </c>
      <c r="I360" s="1" t="s">
        <v>37</v>
      </c>
      <c r="J360" s="1" t="s">
        <v>37</v>
      </c>
      <c r="K360" s="1" t="s">
        <v>37</v>
      </c>
      <c r="L360" s="1" t="s">
        <v>37</v>
      </c>
      <c r="M360" s="1" t="s">
        <v>37</v>
      </c>
      <c r="N360" s="1" t="s">
        <v>37</v>
      </c>
      <c r="O360" s="1" t="s">
        <v>39</v>
      </c>
      <c r="P360" s="1" t="s">
        <v>37</v>
      </c>
      <c r="Q360" s="1" t="s">
        <v>37</v>
      </c>
      <c r="R360" s="1" t="s">
        <v>342</v>
      </c>
      <c r="S360" s="1" t="s">
        <v>274</v>
      </c>
      <c r="T360" s="1">
        <v>99999999999</v>
      </c>
      <c r="U360" s="1">
        <v>11111111111</v>
      </c>
      <c r="V360" s="1">
        <v>11111111111</v>
      </c>
      <c r="W360" s="1" t="s">
        <v>1553</v>
      </c>
      <c r="X360" s="1" t="s">
        <v>1553</v>
      </c>
      <c r="Y360" s="1" t="s">
        <v>66</v>
      </c>
      <c r="Z360" s="1" t="s">
        <v>1554</v>
      </c>
      <c r="AA360" s="1" t="s">
        <v>47</v>
      </c>
      <c r="AB360" s="1" t="s">
        <v>39</v>
      </c>
      <c r="AC360" s="1" t="s">
        <v>37</v>
      </c>
      <c r="AD360" s="1" t="s">
        <v>37</v>
      </c>
      <c r="AE360" s="1" t="s">
        <v>37</v>
      </c>
      <c r="AF360" s="1" t="s">
        <v>37</v>
      </c>
      <c r="AG360" s="1" t="s">
        <v>37</v>
      </c>
      <c r="AH360" s="1" t="s">
        <v>37</v>
      </c>
      <c r="AI360" s="1" t="s">
        <v>37</v>
      </c>
      <c r="AJ360" s="1" t="s">
        <v>39</v>
      </c>
      <c r="AK360" s="1" t="str">
        <f t="shared" si="11"/>
        <v>Fora de âmbito</v>
      </c>
      <c r="AL360" s="1" t="str">
        <f>+IF(IFERROR(VLOOKUP(A360,Ficheiros!I:I,1,FALSE),"")=A360,"Sim","Não")</f>
        <v>Não</v>
      </c>
      <c r="AM360" s="1" t="str">
        <f>+IF(IFERROR(VLOOKUP(A360,Ficheiros!E:E,1,FALSE),"")=A360,"Sim","Não")</f>
        <v>Não</v>
      </c>
      <c r="AN360" s="1" t="str">
        <f>+IF(IFERROR(VLOOKUP(A360,Ficheiros!O:O,1,FALSE),"")=A360,"Sim","Não")</f>
        <v>Não</v>
      </c>
      <c r="AO360" s="1" t="str">
        <f>+IF(IFERROR(VLOOKUP(A360,'Especificação Novos Req. LT (2'!A:A,1,FALSE),"")=A360,"Sim","Não")</f>
        <v>Não</v>
      </c>
      <c r="AP360" s="1" t="str">
        <f>+IF(IFERROR(VLOOKUP(A360,Ficheiros!T:T,1,FALSE),"")=A360,"Sim","Não")</f>
        <v>Sim</v>
      </c>
      <c r="AQ360" s="1" t="e">
        <f>+VLOOKUP(A360,Ficheiros!O:P,2,FALSE)</f>
        <v>#N/A</v>
      </c>
      <c r="AR360" s="1" t="str">
        <f>+VLOOKUP(A360,Ficheiros!T:U,2,FALSE)</f>
        <v>1. Especificar</v>
      </c>
      <c r="AS360" s="1" t="str">
        <f>+VLOOKUP(A360,Ficheiros!T:V,3,FALSE)</f>
        <v>PM - Novos Campos</v>
      </c>
      <c r="AT360" s="1"/>
      <c r="AU360" s="1"/>
      <c r="AV360" s="1"/>
      <c r="AW360" s="1"/>
      <c r="AX360" s="1"/>
    </row>
    <row r="361" spans="1:50" ht="14.5" hidden="1" customHeight="1" x14ac:dyDescent="0.35">
      <c r="A361" s="5" t="str">
        <f t="shared" si="10"/>
        <v>INSTRUMENTSPRD</v>
      </c>
      <c r="B361" s="1" t="s">
        <v>1555</v>
      </c>
      <c r="C361" s="1" t="s">
        <v>785</v>
      </c>
      <c r="D361" s="1" t="s">
        <v>49</v>
      </c>
      <c r="E361" s="1" t="s">
        <v>37</v>
      </c>
      <c r="F361" s="25" t="s">
        <v>1556</v>
      </c>
      <c r="G361" s="1" t="s">
        <v>1556</v>
      </c>
      <c r="H361" s="1" t="s">
        <v>39</v>
      </c>
      <c r="I361" s="1" t="s">
        <v>39</v>
      </c>
      <c r="J361" s="1" t="s">
        <v>39</v>
      </c>
      <c r="K361" s="1" t="s">
        <v>39</v>
      </c>
      <c r="L361" s="1" t="s">
        <v>39</v>
      </c>
      <c r="M361" s="1" t="s">
        <v>39</v>
      </c>
      <c r="N361" s="1" t="s">
        <v>39</v>
      </c>
      <c r="O361" s="1" t="s">
        <v>39</v>
      </c>
      <c r="P361" s="1" t="s">
        <v>37</v>
      </c>
      <c r="Q361" s="1" t="s">
        <v>37</v>
      </c>
      <c r="R361" s="1" t="s">
        <v>342</v>
      </c>
      <c r="S361" s="1" t="s">
        <v>274</v>
      </c>
      <c r="T361" s="1">
        <v>99999999999</v>
      </c>
      <c r="U361" s="1">
        <v>11111111111</v>
      </c>
      <c r="V361" s="1">
        <v>11111111111</v>
      </c>
      <c r="W361" s="1" t="s">
        <v>1557</v>
      </c>
      <c r="X361" s="1" t="s">
        <v>1558</v>
      </c>
      <c r="Y361" s="1" t="s">
        <v>66</v>
      </c>
      <c r="Z361" s="1" t="s">
        <v>1559</v>
      </c>
      <c r="AA361" s="1" t="s">
        <v>47</v>
      </c>
      <c r="AB361" s="1" t="s">
        <v>39</v>
      </c>
      <c r="AC361" s="1" t="s">
        <v>37</v>
      </c>
      <c r="AD361" s="1" t="s">
        <v>37</v>
      </c>
      <c r="AE361" s="1" t="s">
        <v>37</v>
      </c>
      <c r="AF361" s="1" t="s">
        <v>37</v>
      </c>
      <c r="AG361" s="1" t="s">
        <v>37</v>
      </c>
      <c r="AH361" s="1" t="s">
        <v>37</v>
      </c>
      <c r="AI361" s="1" t="s">
        <v>37</v>
      </c>
      <c r="AJ361" s="1" t="s">
        <v>39</v>
      </c>
      <c r="AK361" s="1" t="str">
        <f t="shared" si="11"/>
        <v>Fora de âmbito</v>
      </c>
      <c r="AL361" s="1" t="str">
        <f>+IF(IFERROR(VLOOKUP(A361,Ficheiros!I:I,1,FALSE),"")=A361,"Sim","Não")</f>
        <v>Sim</v>
      </c>
      <c r="AM361" s="1" t="str">
        <f>+IF(IFERROR(VLOOKUP(A361,Ficheiros!E:E,1,FALSE),"")=A361,"Sim","Não")</f>
        <v>Não</v>
      </c>
      <c r="AN361" s="1" t="str">
        <f>+IF(IFERROR(VLOOKUP(A361,Ficheiros!O:O,1,FALSE),"")=A361,"Sim","Não")</f>
        <v>Não</v>
      </c>
      <c r="AO361" s="1" t="str">
        <f>+IF(IFERROR(VLOOKUP(A361,'Especificação Novos Req. LT (2'!A:A,1,FALSE),"")=A361,"Sim","Não")</f>
        <v>Não</v>
      </c>
      <c r="AP361" s="1" t="str">
        <f>+IF(IFERROR(VLOOKUP(A361,Ficheiros!T:T,1,FALSE),"")=A361,"Sim","Não")</f>
        <v>Sim</v>
      </c>
      <c r="AQ361" s="1" t="e">
        <f>+VLOOKUP(A361,Ficheiros!O:P,2,FALSE)</f>
        <v>#N/A</v>
      </c>
      <c r="AR361" s="1" t="str">
        <f>+VLOOKUP(A361,Ficheiros!T:U,2,FALSE)</f>
        <v>9. Concluído</v>
      </c>
      <c r="AS361" s="1" t="str">
        <f>+VLOOKUP(A361,Ficheiros!T:V,3,FALSE)</f>
        <v>PM</v>
      </c>
      <c r="AT361" s="1"/>
      <c r="AU361" s="1"/>
      <c r="AV361" s="1"/>
      <c r="AW361" s="1"/>
      <c r="AX361" s="1"/>
    </row>
    <row r="362" spans="1:50" ht="14.5" hidden="1" customHeight="1" x14ac:dyDescent="0.35">
      <c r="A362" s="5" t="str">
        <f t="shared" si="10"/>
        <v>INSTRUMENTSRCS_ENCMBRNC</v>
      </c>
      <c r="B362" s="1" t="s">
        <v>1560</v>
      </c>
      <c r="C362" s="1" t="s">
        <v>785</v>
      </c>
      <c r="D362" s="1" t="s">
        <v>1459</v>
      </c>
      <c r="E362" s="1" t="s">
        <v>37</v>
      </c>
      <c r="F362" s="25" t="s">
        <v>1561</v>
      </c>
      <c r="G362" s="1" t="s">
        <v>1561</v>
      </c>
      <c r="H362" s="1" t="s">
        <v>39</v>
      </c>
      <c r="I362" s="1" t="s">
        <v>39</v>
      </c>
      <c r="J362" s="1" t="s">
        <v>39</v>
      </c>
      <c r="K362" s="1" t="s">
        <v>39</v>
      </c>
      <c r="L362" s="1" t="s">
        <v>39</v>
      </c>
      <c r="M362" s="1" t="s">
        <v>39</v>
      </c>
      <c r="N362" s="1" t="s">
        <v>39</v>
      </c>
      <c r="O362" s="1" t="s">
        <v>39</v>
      </c>
      <c r="P362" s="1" t="s">
        <v>37</v>
      </c>
      <c r="Q362" s="1" t="s">
        <v>37</v>
      </c>
      <c r="R362" s="1" t="s">
        <v>136</v>
      </c>
      <c r="S362" s="1" t="s">
        <v>52</v>
      </c>
      <c r="T362" s="1">
        <v>99999999999</v>
      </c>
      <c r="U362" s="1">
        <v>11111111111</v>
      </c>
      <c r="V362" s="1">
        <v>11111111111</v>
      </c>
      <c r="W362" s="1" t="s">
        <v>1562</v>
      </c>
      <c r="X362" s="1" t="s">
        <v>1563</v>
      </c>
      <c r="Y362" s="1" t="s">
        <v>45</v>
      </c>
      <c r="Z362" s="1" t="s">
        <v>46</v>
      </c>
      <c r="AA362" s="1" t="s">
        <v>47</v>
      </c>
      <c r="AB362" s="1" t="s">
        <v>39</v>
      </c>
      <c r="AC362" s="1" t="s">
        <v>37</v>
      </c>
      <c r="AD362" s="1" t="s">
        <v>37</v>
      </c>
      <c r="AE362" s="1" t="s">
        <v>37</v>
      </c>
      <c r="AF362" s="1" t="s">
        <v>37</v>
      </c>
      <c r="AG362" s="1" t="s">
        <v>37</v>
      </c>
      <c r="AH362" s="1" t="s">
        <v>37</v>
      </c>
      <c r="AI362" s="1" t="s">
        <v>37</v>
      </c>
      <c r="AJ362" s="1" t="s">
        <v>39</v>
      </c>
      <c r="AK362" s="1" t="str">
        <f t="shared" si="11"/>
        <v>Fora de âmbito</v>
      </c>
      <c r="AL362" s="1" t="str">
        <f>+IF(IFERROR(VLOOKUP(A362,Ficheiros!I:I,1,FALSE),"")=A362,"Sim","Não")</f>
        <v>Sim</v>
      </c>
      <c r="AM362" s="1" t="str">
        <f>+IF(IFERROR(VLOOKUP(A362,Ficheiros!E:E,1,FALSE),"")=A362,"Sim","Não")</f>
        <v>Não</v>
      </c>
      <c r="AN362" s="1" t="str">
        <f>+IF(IFERROR(VLOOKUP(A362,Ficheiros!O:O,1,FALSE),"")=A362,"Sim","Não")</f>
        <v>Não</v>
      </c>
      <c r="AO362" s="1" t="str">
        <f>+IF(IFERROR(VLOOKUP(A362,'Especificação Novos Req. LT (2'!A:A,1,FALSE),"")=A362,"Sim","Não")</f>
        <v>Não</v>
      </c>
      <c r="AP362" s="1" t="str">
        <f>+IF(IFERROR(VLOOKUP(A362,Ficheiros!T:T,1,FALSE),"")=A362,"Sim","Não")</f>
        <v>Sim</v>
      </c>
      <c r="AQ362" s="1" t="e">
        <f>+VLOOKUP(A362,Ficheiros!O:P,2,FALSE)</f>
        <v>#N/A</v>
      </c>
      <c r="AR362" s="1" t="str">
        <f>+VLOOKUP(A362,Ficheiros!T:U,2,FALSE)</f>
        <v>9. Concluído</v>
      </c>
      <c r="AS362" s="1" t="str">
        <f>+VLOOKUP(A362,Ficheiros!T:V,3,FALSE)</f>
        <v>PM</v>
      </c>
      <c r="AT362" s="1"/>
      <c r="AU362" s="1"/>
      <c r="AV362" s="1"/>
      <c r="AW362" s="1"/>
      <c r="AX362" s="1"/>
    </row>
    <row r="363" spans="1:50" ht="14.5" hidden="1" customHeight="1" x14ac:dyDescent="0.35">
      <c r="A363" s="5" t="str">
        <f t="shared" si="10"/>
        <v>INSTRUMENTTYPE_OF_PLCMNT</v>
      </c>
      <c r="B363" s="1" t="s">
        <v>1564</v>
      </c>
      <c r="C363" s="1" t="s">
        <v>785</v>
      </c>
      <c r="D363" s="1" t="s">
        <v>1442</v>
      </c>
      <c r="E363" s="1" t="s">
        <v>37</v>
      </c>
      <c r="F363" s="25" t="s">
        <v>1565</v>
      </c>
      <c r="G363" s="1" t="s">
        <v>1565</v>
      </c>
      <c r="H363" s="1" t="s">
        <v>37</v>
      </c>
      <c r="I363" s="1" t="s">
        <v>37</v>
      </c>
      <c r="J363" s="1" t="s">
        <v>37</v>
      </c>
      <c r="K363" s="1" t="s">
        <v>37</v>
      </c>
      <c r="L363" s="1" t="s">
        <v>37</v>
      </c>
      <c r="M363" s="1" t="s">
        <v>37</v>
      </c>
      <c r="N363" s="1" t="s">
        <v>37</v>
      </c>
      <c r="O363" s="1" t="s">
        <v>39</v>
      </c>
      <c r="P363" s="1" t="s">
        <v>37</v>
      </c>
      <c r="Q363" s="1" t="s">
        <v>37</v>
      </c>
      <c r="R363" s="1" t="s">
        <v>136</v>
      </c>
      <c r="S363" s="1" t="s">
        <v>52</v>
      </c>
      <c r="T363" s="1">
        <v>99999999999</v>
      </c>
      <c r="U363" s="1">
        <v>11111111111</v>
      </c>
      <c r="V363" s="1">
        <v>11111111111</v>
      </c>
      <c r="W363" s="1" t="s">
        <v>1566</v>
      </c>
      <c r="X363" s="1" t="s">
        <v>1567</v>
      </c>
      <c r="Y363" s="1" t="s">
        <v>84</v>
      </c>
      <c r="Z363" s="1" t="s">
        <v>1568</v>
      </c>
      <c r="AA363" s="1" t="s">
        <v>1569</v>
      </c>
      <c r="AB363" s="1" t="s">
        <v>39</v>
      </c>
      <c r="AC363" s="1" t="s">
        <v>37</v>
      </c>
      <c r="AD363" s="1" t="s">
        <v>37</v>
      </c>
      <c r="AE363" s="1" t="s">
        <v>37</v>
      </c>
      <c r="AF363" s="1" t="s">
        <v>37</v>
      </c>
      <c r="AG363" s="1" t="s">
        <v>37</v>
      </c>
      <c r="AH363" s="1" t="s">
        <v>37</v>
      </c>
      <c r="AI363" s="1" t="s">
        <v>37</v>
      </c>
      <c r="AJ363" s="1" t="s">
        <v>39</v>
      </c>
      <c r="AK363" s="1" t="str">
        <f t="shared" si="11"/>
        <v>Fora de âmbito</v>
      </c>
      <c r="AL363" s="1" t="str">
        <f>+IF(IFERROR(VLOOKUP(A363,Ficheiros!I:I,1,FALSE),"")=A363,"Sim","Não")</f>
        <v>Sim</v>
      </c>
      <c r="AM363" s="1" t="str">
        <f>+IF(IFERROR(VLOOKUP(A363,Ficheiros!E:E,1,FALSE),"")=A363,"Sim","Não")</f>
        <v>Não</v>
      </c>
      <c r="AN363" s="1" t="str">
        <f>+IF(IFERROR(VLOOKUP(A363,Ficheiros!O:O,1,FALSE),"")=A363,"Sim","Não")</f>
        <v>Não</v>
      </c>
      <c r="AO363" s="1" t="str">
        <f>+IF(IFERROR(VLOOKUP(A363,'Especificação Novos Req. LT (2'!A:A,1,FALSE),"")=A363,"Sim","Não")</f>
        <v>Não</v>
      </c>
      <c r="AP363" s="1" t="str">
        <f>+IF(IFERROR(VLOOKUP(A363,Ficheiros!T:T,1,FALSE),"")=A363,"Sim","Não")</f>
        <v>Sim</v>
      </c>
      <c r="AQ363" s="1" t="e">
        <f>+VLOOKUP(A363,Ficheiros!O:P,2,FALSE)</f>
        <v>#N/A</v>
      </c>
      <c r="AR363" s="1" t="str">
        <f>+VLOOKUP(A363,Ficheiros!T:U,2,FALSE)</f>
        <v>9. Concluído</v>
      </c>
      <c r="AS363" s="1" t="str">
        <f>+VLOOKUP(A363,Ficheiros!T:V,3,FALSE)</f>
        <v>PM</v>
      </c>
      <c r="AT363" s="1"/>
      <c r="AU363" s="1"/>
      <c r="AV363" s="1"/>
      <c r="AW363" s="1"/>
      <c r="AX363" s="1"/>
    </row>
    <row r="364" spans="1:50" ht="14.5" hidden="1" customHeight="1" x14ac:dyDescent="0.35">
      <c r="A364" s="5" t="str">
        <f t="shared" si="10"/>
        <v>INSTRUMENTVLTN_CRRNCY</v>
      </c>
      <c r="B364" s="1" t="s">
        <v>1570</v>
      </c>
      <c r="C364" s="1" t="s">
        <v>785</v>
      </c>
      <c r="D364" s="1" t="s">
        <v>1454</v>
      </c>
      <c r="E364" s="1" t="s">
        <v>39</v>
      </c>
      <c r="F364" s="25" t="s">
        <v>1571</v>
      </c>
      <c r="G364" s="1" t="s">
        <v>1571</v>
      </c>
      <c r="H364" s="1" t="s">
        <v>37</v>
      </c>
      <c r="I364" s="1" t="s">
        <v>37</v>
      </c>
      <c r="J364" s="1" t="s">
        <v>37</v>
      </c>
      <c r="K364" s="1" t="s">
        <v>37</v>
      </c>
      <c r="L364" s="1" t="s">
        <v>37</v>
      </c>
      <c r="M364" s="1" t="s">
        <v>37</v>
      </c>
      <c r="N364" s="1" t="s">
        <v>37</v>
      </c>
      <c r="O364" s="1" t="s">
        <v>39</v>
      </c>
      <c r="P364" s="1" t="s">
        <v>37</v>
      </c>
      <c r="Q364" s="1" t="s">
        <v>37</v>
      </c>
      <c r="R364" s="1" t="s">
        <v>136</v>
      </c>
      <c r="S364" s="1" t="s">
        <v>52</v>
      </c>
      <c r="T364" s="1" t="s">
        <v>53</v>
      </c>
      <c r="U364" s="1" t="s">
        <v>46</v>
      </c>
      <c r="V364" s="1" t="s">
        <v>46</v>
      </c>
      <c r="W364" s="1" t="s">
        <v>1572</v>
      </c>
      <c r="X364" s="1" t="s">
        <v>1573</v>
      </c>
      <c r="Y364" s="1" t="s">
        <v>45</v>
      </c>
      <c r="Z364" s="1" t="s">
        <v>46</v>
      </c>
      <c r="AA364" s="1" t="s">
        <v>47</v>
      </c>
      <c r="AB364" s="1" t="s">
        <v>39</v>
      </c>
      <c r="AC364" s="1" t="s">
        <v>37</v>
      </c>
      <c r="AD364" s="1" t="s">
        <v>37</v>
      </c>
      <c r="AE364" s="1" t="s">
        <v>37</v>
      </c>
      <c r="AF364" s="1" t="s">
        <v>37</v>
      </c>
      <c r="AG364" s="1" t="s">
        <v>37</v>
      </c>
      <c r="AH364" s="1" t="s">
        <v>37</v>
      </c>
      <c r="AI364" s="1" t="s">
        <v>37</v>
      </c>
      <c r="AJ364" s="1" t="s">
        <v>39</v>
      </c>
      <c r="AK364" s="1" t="str">
        <f t="shared" si="11"/>
        <v>Fora de âmbito</v>
      </c>
      <c r="AL364" s="1" t="str">
        <f>+IF(IFERROR(VLOOKUP(A364,Ficheiros!I:I,1,FALSE),"")=A364,"Sim","Não")</f>
        <v>Sim</v>
      </c>
      <c r="AM364" s="1" t="str">
        <f>+IF(IFERROR(VLOOKUP(A364,Ficheiros!E:E,1,FALSE),"")=A364,"Sim","Não")</f>
        <v>Não</v>
      </c>
      <c r="AN364" s="1" t="str">
        <f>+IF(IFERROR(VLOOKUP(A364,Ficheiros!O:O,1,FALSE),"")=A364,"Sim","Não")</f>
        <v>Não</v>
      </c>
      <c r="AO364" s="1" t="str">
        <f>+IF(IFERROR(VLOOKUP(A364,'Especificação Novos Req. LT (2'!A:A,1,FALSE),"")=A364,"Sim","Não")</f>
        <v>Não</v>
      </c>
      <c r="AP364" s="1" t="str">
        <f>+IF(IFERROR(VLOOKUP(A364,Ficheiros!T:T,1,FALSE),"")=A364,"Sim","Não")</f>
        <v>Sim</v>
      </c>
      <c r="AQ364" s="1" t="e">
        <f>+VLOOKUP(A364,Ficheiros!O:P,2,FALSE)</f>
        <v>#N/A</v>
      </c>
      <c r="AR364" s="1" t="str">
        <f>+VLOOKUP(A364,Ficheiros!T:U,2,FALSE)</f>
        <v>9. Concluído</v>
      </c>
      <c r="AS364" s="1" t="str">
        <f>+VLOOKUP(A364,Ficheiros!T:V,3,FALSE)</f>
        <v>PM</v>
      </c>
      <c r="AT364" s="1"/>
      <c r="AU364" s="1"/>
      <c r="AV364" s="1"/>
      <c r="AW364" s="1"/>
      <c r="AX364" s="1"/>
    </row>
    <row r="365" spans="1:50" ht="14.5" hidden="1" customHeight="1" x14ac:dyDescent="0.35">
      <c r="A365" s="5" t="str">
        <f t="shared" si="10"/>
        <v>INSTRUMENTVLTN_TYP</v>
      </c>
      <c r="B365" s="1" t="s">
        <v>1574</v>
      </c>
      <c r="C365" s="1" t="s">
        <v>785</v>
      </c>
      <c r="D365" s="1" t="s">
        <v>1454</v>
      </c>
      <c r="E365" s="1" t="s">
        <v>39</v>
      </c>
      <c r="F365" s="25" t="s">
        <v>1575</v>
      </c>
      <c r="G365" s="1" t="s">
        <v>1575</v>
      </c>
      <c r="H365" s="1" t="s">
        <v>37</v>
      </c>
      <c r="I365" s="1" t="s">
        <v>37</v>
      </c>
      <c r="J365" s="1" t="s">
        <v>37</v>
      </c>
      <c r="K365" s="1" t="s">
        <v>37</v>
      </c>
      <c r="L365" s="1" t="s">
        <v>37</v>
      </c>
      <c r="M365" s="1" t="s">
        <v>37</v>
      </c>
      <c r="N365" s="1" t="s">
        <v>37</v>
      </c>
      <c r="O365" s="1" t="s">
        <v>39</v>
      </c>
      <c r="P365" s="1" t="s">
        <v>37</v>
      </c>
      <c r="Q365" s="1" t="s">
        <v>37</v>
      </c>
      <c r="R365" s="1" t="s">
        <v>136</v>
      </c>
      <c r="S365" s="1" t="s">
        <v>52</v>
      </c>
      <c r="T365" s="1">
        <v>99999999999</v>
      </c>
      <c r="U365" s="1">
        <v>11111111111</v>
      </c>
      <c r="V365" s="1">
        <v>11111111111</v>
      </c>
      <c r="W365" s="1" t="s">
        <v>1576</v>
      </c>
      <c r="X365" s="1" t="s">
        <v>1577</v>
      </c>
      <c r="Y365" s="1" t="s">
        <v>84</v>
      </c>
      <c r="Z365" s="1" t="s">
        <v>1578</v>
      </c>
      <c r="AA365" s="1" t="s">
        <v>47</v>
      </c>
      <c r="AB365" s="1" t="s">
        <v>39</v>
      </c>
      <c r="AC365" s="1" t="s">
        <v>37</v>
      </c>
      <c r="AD365" s="1" t="s">
        <v>37</v>
      </c>
      <c r="AE365" s="1" t="s">
        <v>37</v>
      </c>
      <c r="AF365" s="1" t="s">
        <v>37</v>
      </c>
      <c r="AG365" s="1" t="s">
        <v>37</v>
      </c>
      <c r="AH365" s="1" t="s">
        <v>37</v>
      </c>
      <c r="AI365" s="1" t="s">
        <v>37</v>
      </c>
      <c r="AJ365" s="1" t="s">
        <v>39</v>
      </c>
      <c r="AK365" s="1" t="str">
        <f t="shared" si="11"/>
        <v>Fora de âmbito</v>
      </c>
      <c r="AL365" s="1" t="str">
        <f>+IF(IFERROR(VLOOKUP(A365,Ficheiros!I:I,1,FALSE),"")=A365,"Sim","Não")</f>
        <v>Sim</v>
      </c>
      <c r="AM365" s="1" t="str">
        <f>+IF(IFERROR(VLOOKUP(A365,Ficheiros!E:E,1,FALSE),"")=A365,"Sim","Não")</f>
        <v>Não</v>
      </c>
      <c r="AN365" s="1" t="str">
        <f>+IF(IFERROR(VLOOKUP(A365,Ficheiros!O:O,1,FALSE),"")=A365,"Sim","Não")</f>
        <v>Não</v>
      </c>
      <c r="AO365" s="1" t="str">
        <f>+IF(IFERROR(VLOOKUP(A365,'Especificação Novos Req. LT (2'!A:A,1,FALSE),"")=A365,"Sim","Não")</f>
        <v>Não</v>
      </c>
      <c r="AP365" s="1" t="str">
        <f>+IF(IFERROR(VLOOKUP(A365,Ficheiros!T:T,1,FALSE),"")=A365,"Sim","Não")</f>
        <v>Sim</v>
      </c>
      <c r="AQ365" s="1" t="e">
        <f>+VLOOKUP(A365,Ficheiros!O:P,2,FALSE)</f>
        <v>#N/A</v>
      </c>
      <c r="AR365" s="1" t="str">
        <f>+VLOOKUP(A365,Ficheiros!T:U,2,FALSE)</f>
        <v>9. Concluído</v>
      </c>
      <c r="AS365" s="1" t="str">
        <f>+VLOOKUP(A365,Ficheiros!T:V,3,FALSE)</f>
        <v>PM</v>
      </c>
      <c r="AT365" s="1"/>
      <c r="AU365" s="1"/>
      <c r="AV365" s="1"/>
      <c r="AW365" s="1"/>
      <c r="AX365" s="1"/>
    </row>
    <row r="366" spans="1:50" ht="14.5" hidden="1" customHeight="1" x14ac:dyDescent="0.35">
      <c r="A366" s="5" t="str">
        <f t="shared" si="10"/>
        <v>INSTRUMENTLVRG_FNNC_FLG</v>
      </c>
      <c r="B366" s="1" t="s">
        <v>1579</v>
      </c>
      <c r="C366" s="1" t="s">
        <v>785</v>
      </c>
      <c r="D366" s="1" t="s">
        <v>787</v>
      </c>
      <c r="E366" s="1" t="s">
        <v>37</v>
      </c>
      <c r="F366" s="26" t="s">
        <v>1580</v>
      </c>
      <c r="G366" s="1" t="s">
        <v>1580</v>
      </c>
      <c r="H366" s="1" t="s">
        <v>37</v>
      </c>
      <c r="I366" s="1" t="s">
        <v>37</v>
      </c>
      <c r="J366" s="1" t="s">
        <v>37</v>
      </c>
      <c r="K366" s="1" t="s">
        <v>37</v>
      </c>
      <c r="L366" s="1" t="s">
        <v>39</v>
      </c>
      <c r="M366" s="1" t="s">
        <v>39</v>
      </c>
      <c r="N366" s="1" t="s">
        <v>37</v>
      </c>
      <c r="O366" s="1" t="s">
        <v>39</v>
      </c>
      <c r="P366" s="1" t="s">
        <v>37</v>
      </c>
      <c r="Q366" s="1" t="s">
        <v>37</v>
      </c>
      <c r="R366" s="1" t="s">
        <v>136</v>
      </c>
      <c r="S366" s="1" t="s">
        <v>52</v>
      </c>
      <c r="T366" s="1" t="s">
        <v>53</v>
      </c>
      <c r="U366" s="1" t="s">
        <v>42</v>
      </c>
      <c r="V366" s="1" t="s">
        <v>46</v>
      </c>
      <c r="W366" s="1" t="s">
        <v>1581</v>
      </c>
      <c r="X366" s="1" t="s">
        <v>1582</v>
      </c>
      <c r="Y366" s="1" t="s">
        <v>45</v>
      </c>
      <c r="Z366" s="1" t="s">
        <v>46</v>
      </c>
      <c r="AA366" s="1" t="s">
        <v>47</v>
      </c>
      <c r="AB366" s="1" t="s">
        <v>39</v>
      </c>
      <c r="AC366" s="1" t="s">
        <v>37</v>
      </c>
      <c r="AD366" s="1" t="s">
        <v>37</v>
      </c>
      <c r="AE366" s="1" t="s">
        <v>37</v>
      </c>
      <c r="AF366" s="1" t="s">
        <v>37</v>
      </c>
      <c r="AG366" s="1" t="s">
        <v>39</v>
      </c>
      <c r="AH366" s="1" t="s">
        <v>37</v>
      </c>
      <c r="AI366" s="1" t="s">
        <v>37</v>
      </c>
      <c r="AJ366" s="1" t="s">
        <v>39</v>
      </c>
      <c r="AK366" s="1" t="str">
        <f t="shared" si="11"/>
        <v>Fora de âmbito</v>
      </c>
      <c r="AL366" s="1" t="str">
        <f>+IF(IFERROR(VLOOKUP(A366,Ficheiros!I:I,1,FALSE),"")=A366,"Sim","Não")</f>
        <v>Sim</v>
      </c>
      <c r="AM366" s="1" t="str">
        <f>+IF(IFERROR(VLOOKUP(A366,Ficheiros!E:E,1,FALSE),"")=A366,"Sim","Não")</f>
        <v>Não</v>
      </c>
      <c r="AN366" s="1" t="str">
        <f>+IF(IFERROR(VLOOKUP(A366,Ficheiros!O:O,1,FALSE),"")=A366,"Sim","Não")</f>
        <v>Não</v>
      </c>
      <c r="AO366" s="1" t="str">
        <f>+IF(IFERROR(VLOOKUP(A366,'Especificação Novos Req. LT (2'!A:A,1,FALSE),"")=A366,"Sim","Não")</f>
        <v>Não</v>
      </c>
      <c r="AP366" s="1" t="str">
        <f>+IF(IFERROR(VLOOKUP(A366,Ficheiros!T:T,1,FALSE),"")=A366,"Sim","Não")</f>
        <v>Sim</v>
      </c>
      <c r="AQ366" s="1" t="e">
        <f>+VLOOKUP(A366,Ficheiros!O:P,2,FALSE)</f>
        <v>#N/A</v>
      </c>
      <c r="AR366" s="1" t="str">
        <f>+VLOOKUP(A366,Ficheiros!T:U,2,FALSE)</f>
        <v>9. Concluído</v>
      </c>
      <c r="AS366" s="1" t="str">
        <f>+VLOOKUP(A366,Ficheiros!T:V,3,FALSE)</f>
        <v>PM &amp; LF</v>
      </c>
      <c r="AT366" s="1"/>
      <c r="AU366" s="1"/>
      <c r="AV366" s="1"/>
      <c r="AW366" s="1"/>
      <c r="AX366" s="1"/>
    </row>
    <row r="367" spans="1:50" ht="14.5" hidden="1" customHeight="1" x14ac:dyDescent="0.35">
      <c r="A367" s="5" t="str">
        <f t="shared" si="10"/>
        <v>INSTRUMENTINTRNL_SGMNT_IFRS9</v>
      </c>
      <c r="B367" s="1" t="s">
        <v>1583</v>
      </c>
      <c r="C367" s="1" t="s">
        <v>785</v>
      </c>
      <c r="D367" s="1" t="s">
        <v>134</v>
      </c>
      <c r="E367" s="1" t="s">
        <v>37</v>
      </c>
      <c r="F367" s="25" t="s">
        <v>1584</v>
      </c>
      <c r="G367" s="1" t="s">
        <v>1584</v>
      </c>
      <c r="H367" s="1" t="s">
        <v>39</v>
      </c>
      <c r="I367" s="1" t="s">
        <v>39</v>
      </c>
      <c r="J367" s="1" t="s">
        <v>39</v>
      </c>
      <c r="K367" s="1" t="s">
        <v>39</v>
      </c>
      <c r="L367" s="1" t="s">
        <v>39</v>
      </c>
      <c r="M367" s="1" t="s">
        <v>39</v>
      </c>
      <c r="N367" s="1" t="s">
        <v>39</v>
      </c>
      <c r="O367" s="1" t="s">
        <v>39</v>
      </c>
      <c r="P367" s="1" t="s">
        <v>37</v>
      </c>
      <c r="Q367" s="1" t="s">
        <v>37</v>
      </c>
      <c r="R367" s="1" t="s">
        <v>96</v>
      </c>
      <c r="S367" s="1" t="s">
        <v>41</v>
      </c>
      <c r="T367" s="1" t="s">
        <v>53</v>
      </c>
      <c r="U367" s="1" t="s">
        <v>46</v>
      </c>
      <c r="V367" s="1" t="s">
        <v>46</v>
      </c>
      <c r="W367" s="1" t="s">
        <v>1585</v>
      </c>
      <c r="X367" s="1" t="s">
        <v>1586</v>
      </c>
      <c r="Y367" s="1" t="s">
        <v>66</v>
      </c>
      <c r="Z367" s="1" t="s">
        <v>1587</v>
      </c>
      <c r="AA367" s="1" t="s">
        <v>47</v>
      </c>
      <c r="AB367" s="1" t="s">
        <v>39</v>
      </c>
      <c r="AC367" s="1" t="s">
        <v>37</v>
      </c>
      <c r="AD367" s="1" t="s">
        <v>37</v>
      </c>
      <c r="AE367" s="1" t="s">
        <v>37</v>
      </c>
      <c r="AF367" s="1" t="s">
        <v>37</v>
      </c>
      <c r="AG367" s="1" t="s">
        <v>37</v>
      </c>
      <c r="AH367" s="1" t="s">
        <v>37</v>
      </c>
      <c r="AI367" s="1" t="s">
        <v>37</v>
      </c>
      <c r="AJ367" s="1" t="s">
        <v>39</v>
      </c>
      <c r="AK367" s="1" t="str">
        <f t="shared" si="11"/>
        <v>Fora de âmbito</v>
      </c>
      <c r="AL367" s="1" t="str">
        <f>+IF(IFERROR(VLOOKUP(A367,Ficheiros!I:I,1,FALSE),"")=A367,"Sim","Não")</f>
        <v>Sim</v>
      </c>
      <c r="AM367" s="1" t="str">
        <f>+IF(IFERROR(VLOOKUP(A367,Ficheiros!E:E,1,FALSE),"")=A367,"Sim","Não")</f>
        <v>Não</v>
      </c>
      <c r="AN367" s="1" t="str">
        <f>+IF(IFERROR(VLOOKUP(A367,Ficheiros!O:O,1,FALSE),"")=A367,"Sim","Não")</f>
        <v>Não</v>
      </c>
      <c r="AO367" s="1" t="str">
        <f>+IF(IFERROR(VLOOKUP(A367,'Especificação Novos Req. LT (2'!A:A,1,FALSE),"")=A367,"Sim","Não")</f>
        <v>Não</v>
      </c>
      <c r="AP367" s="1" t="str">
        <f>+IF(IFERROR(VLOOKUP(A367,Ficheiros!T:T,1,FALSE),"")=A367,"Sim","Não")</f>
        <v>Sim</v>
      </c>
      <c r="AQ367" s="1" t="e">
        <f>+VLOOKUP(A367,Ficheiros!O:P,2,FALSE)</f>
        <v>#N/A</v>
      </c>
      <c r="AR367" s="1" t="str">
        <f>+VLOOKUP(A367,Ficheiros!T:U,2,FALSE)</f>
        <v>9. Concluído</v>
      </c>
      <c r="AS367" s="1" t="str">
        <f>+VLOOKUP(A367,Ficheiros!T:V,3,FALSE)</f>
        <v>PM</v>
      </c>
      <c r="AT367" s="1"/>
      <c r="AU367" s="1"/>
      <c r="AV367" s="1"/>
      <c r="AW367" s="1"/>
      <c r="AX367" s="1"/>
    </row>
    <row r="368" spans="1:50" ht="14.5" hidden="1" customHeight="1" x14ac:dyDescent="0.35">
      <c r="A368" s="5" t="str">
        <f t="shared" si="10"/>
        <v>INSTRUMENTINTRNL_SGMNT_CAT_MSTA</v>
      </c>
      <c r="B368" s="1" t="s">
        <v>1588</v>
      </c>
      <c r="C368" s="1" t="s">
        <v>785</v>
      </c>
      <c r="D368" s="1" t="s">
        <v>134</v>
      </c>
      <c r="E368" s="1" t="s">
        <v>37</v>
      </c>
      <c r="F368" s="25" t="s">
        <v>1589</v>
      </c>
      <c r="G368" s="1" t="s">
        <v>1589</v>
      </c>
      <c r="H368" s="1" t="s">
        <v>39</v>
      </c>
      <c r="I368" s="1" t="s">
        <v>39</v>
      </c>
      <c r="J368" s="1" t="s">
        <v>39</v>
      </c>
      <c r="K368" s="1" t="s">
        <v>39</v>
      </c>
      <c r="L368" s="1" t="s">
        <v>39</v>
      </c>
      <c r="M368" s="1" t="s">
        <v>39</v>
      </c>
      <c r="N368" s="1" t="s">
        <v>39</v>
      </c>
      <c r="O368" s="1" t="s">
        <v>39</v>
      </c>
      <c r="P368" s="1" t="s">
        <v>37</v>
      </c>
      <c r="Q368" s="1" t="s">
        <v>37</v>
      </c>
      <c r="R368" s="1" t="s">
        <v>136</v>
      </c>
      <c r="S368" s="1" t="s">
        <v>52</v>
      </c>
      <c r="T368" s="1">
        <v>99999999999</v>
      </c>
      <c r="U368" s="1">
        <v>11111111111</v>
      </c>
      <c r="V368" s="1">
        <v>11111111111</v>
      </c>
      <c r="W368" s="1" t="s">
        <v>1590</v>
      </c>
      <c r="X368" s="1" t="s">
        <v>1591</v>
      </c>
      <c r="Y368" s="1" t="s">
        <v>66</v>
      </c>
      <c r="Z368" s="1" t="s">
        <v>1592</v>
      </c>
      <c r="AA368" s="1" t="s">
        <v>47</v>
      </c>
      <c r="AB368" s="1" t="s">
        <v>39</v>
      </c>
      <c r="AC368" s="1" t="s">
        <v>37</v>
      </c>
      <c r="AD368" s="1" t="s">
        <v>37</v>
      </c>
      <c r="AE368" s="1" t="s">
        <v>37</v>
      </c>
      <c r="AF368" s="1" t="s">
        <v>39</v>
      </c>
      <c r="AG368" s="1" t="s">
        <v>37</v>
      </c>
      <c r="AH368" s="1" t="s">
        <v>37</v>
      </c>
      <c r="AI368" s="1" t="s">
        <v>37</v>
      </c>
      <c r="AJ368" s="1" t="s">
        <v>39</v>
      </c>
      <c r="AK368" s="1" t="str">
        <f t="shared" si="11"/>
        <v>Apenas ESG Risk</v>
      </c>
      <c r="AL368" s="1" t="str">
        <f>+IF(IFERROR(VLOOKUP(A368,Ficheiros!I:I,1,FALSE),"")=A368,"Sim","Não")</f>
        <v>Sim</v>
      </c>
      <c r="AM368" s="1" t="str">
        <f>+IF(IFERROR(VLOOKUP(A368,Ficheiros!E:E,1,FALSE),"")=A368,"Sim","Não")</f>
        <v>Não</v>
      </c>
      <c r="AN368" s="1" t="str">
        <f>+IF(IFERROR(VLOOKUP(A368,Ficheiros!O:O,1,FALSE),"")=A368,"Sim","Não")</f>
        <v>Não</v>
      </c>
      <c r="AO368" s="1" t="str">
        <f>+IF(IFERROR(VLOOKUP(A368,'Especificação Novos Req. LT (2'!A:A,1,FALSE),"")=A368,"Sim","Não")</f>
        <v>Sim</v>
      </c>
      <c r="AP368" s="1" t="str">
        <f>+IF(IFERROR(VLOOKUP(A368,Ficheiros!T:T,1,FALSE),"")=A368,"Sim","Não")</f>
        <v>Sim</v>
      </c>
      <c r="AQ368" s="1" t="e">
        <f>+VLOOKUP(A368,Ficheiros!O:P,2,FALSE)</f>
        <v>#N/A</v>
      </c>
      <c r="AR368" s="1" t="str">
        <f>+VLOOKUP(A368,Ficheiros!T:U,2,FALSE)</f>
        <v>9. Concluído</v>
      </c>
      <c r="AS368" s="1" t="str">
        <f>+VLOOKUP(A368,Ficheiros!T:V,3,FALSE)</f>
        <v>PM</v>
      </c>
      <c r="AT368" s="1"/>
      <c r="AU368" s="1"/>
      <c r="AV368" s="1" t="s">
        <v>2535</v>
      </c>
      <c r="AW368" s="1"/>
      <c r="AX368" s="1"/>
    </row>
    <row r="369" spans="1:50" ht="14.5" hidden="1" customHeight="1" x14ac:dyDescent="0.35">
      <c r="A369" s="5" t="str">
        <f t="shared" si="10"/>
        <v>INSTRUMENTINTRNL_SGMNT_CATGSUB</v>
      </c>
      <c r="B369" s="1" t="s">
        <v>1593</v>
      </c>
      <c r="C369" s="1" t="s">
        <v>785</v>
      </c>
      <c r="D369" s="1" t="s">
        <v>134</v>
      </c>
      <c r="E369" s="1" t="s">
        <v>37</v>
      </c>
      <c r="F369" s="25" t="s">
        <v>1594</v>
      </c>
      <c r="G369" s="1" t="s">
        <v>1594</v>
      </c>
      <c r="H369" s="1" t="s">
        <v>39</v>
      </c>
      <c r="I369" s="1" t="s">
        <v>39</v>
      </c>
      <c r="J369" s="1" t="s">
        <v>39</v>
      </c>
      <c r="K369" s="1" t="s">
        <v>39</v>
      </c>
      <c r="L369" s="1" t="s">
        <v>39</v>
      </c>
      <c r="M369" s="1" t="s">
        <v>39</v>
      </c>
      <c r="N369" s="1" t="s">
        <v>39</v>
      </c>
      <c r="O369" s="1" t="s">
        <v>39</v>
      </c>
      <c r="P369" s="1" t="s">
        <v>37</v>
      </c>
      <c r="Q369" s="1" t="s">
        <v>37</v>
      </c>
      <c r="R369" s="1" t="s">
        <v>136</v>
      </c>
      <c r="S369" s="1" t="s">
        <v>52</v>
      </c>
      <c r="T369" s="1">
        <v>99999999999</v>
      </c>
      <c r="U369" s="1">
        <v>11111111111</v>
      </c>
      <c r="V369" s="1">
        <v>11111111111</v>
      </c>
      <c r="W369" s="1" t="s">
        <v>1595</v>
      </c>
      <c r="X369" s="1" t="s">
        <v>1596</v>
      </c>
      <c r="Y369" s="1" t="s">
        <v>66</v>
      </c>
      <c r="Z369" s="1" t="s">
        <v>1597</v>
      </c>
      <c r="AA369" s="1" t="s">
        <v>47</v>
      </c>
      <c r="AB369" s="1" t="s">
        <v>39</v>
      </c>
      <c r="AC369" s="1" t="s">
        <v>37</v>
      </c>
      <c r="AD369" s="1" t="s">
        <v>37</v>
      </c>
      <c r="AE369" s="1" t="s">
        <v>37</v>
      </c>
      <c r="AF369" s="1" t="s">
        <v>39</v>
      </c>
      <c r="AG369" s="1" t="s">
        <v>37</v>
      </c>
      <c r="AH369" s="1" t="s">
        <v>37</v>
      </c>
      <c r="AI369" s="1" t="s">
        <v>37</v>
      </c>
      <c r="AJ369" s="1" t="s">
        <v>39</v>
      </c>
      <c r="AK369" s="1" t="str">
        <f t="shared" si="11"/>
        <v>Apenas ESG Risk</v>
      </c>
      <c r="AL369" s="1" t="str">
        <f>+IF(IFERROR(VLOOKUP(A369,Ficheiros!I:I,1,FALSE),"")=A369,"Sim","Não")</f>
        <v>Sim</v>
      </c>
      <c r="AM369" s="1" t="str">
        <f>+IF(IFERROR(VLOOKUP(A369,Ficheiros!E:E,1,FALSE),"")=A369,"Sim","Não")</f>
        <v>Não</v>
      </c>
      <c r="AN369" s="1" t="str">
        <f>+IF(IFERROR(VLOOKUP(A369,Ficheiros!O:O,1,FALSE),"")=A369,"Sim","Não")</f>
        <v>Não</v>
      </c>
      <c r="AO369" s="1" t="str">
        <f>+IF(IFERROR(VLOOKUP(A369,'Especificação Novos Req. LT (2'!A:A,1,FALSE),"")=A369,"Sim","Não")</f>
        <v>Sim</v>
      </c>
      <c r="AP369" s="1" t="str">
        <f>+IF(IFERROR(VLOOKUP(A369,Ficheiros!T:T,1,FALSE),"")=A369,"Sim","Não")</f>
        <v>Sim</v>
      </c>
      <c r="AQ369" s="1" t="e">
        <f>+VLOOKUP(A369,Ficheiros!O:P,2,FALSE)</f>
        <v>#N/A</v>
      </c>
      <c r="AR369" s="1" t="str">
        <f>+VLOOKUP(A369,Ficheiros!T:U,2,FALSE)</f>
        <v>9. Concluído</v>
      </c>
      <c r="AS369" s="1" t="str">
        <f>+VLOOKUP(A369,Ficheiros!T:V,3,FALSE)</f>
        <v>PM</v>
      </c>
      <c r="AT369" s="1"/>
      <c r="AU369" s="1"/>
      <c r="AV369" s="1" t="s">
        <v>2535</v>
      </c>
      <c r="AW369" s="1"/>
      <c r="AX369" s="1"/>
    </row>
    <row r="370" spans="1:50" ht="14.5" hidden="1" customHeight="1" x14ac:dyDescent="0.35">
      <c r="A370" s="5" t="str">
        <f t="shared" si="10"/>
        <v>INSTRUMENTCRRLTN_CFFCNT</v>
      </c>
      <c r="B370" s="1" t="s">
        <v>1598</v>
      </c>
      <c r="C370" s="1" t="s">
        <v>785</v>
      </c>
      <c r="D370" s="1" t="s">
        <v>395</v>
      </c>
      <c r="E370" s="1" t="s">
        <v>37</v>
      </c>
      <c r="F370" s="25" t="s">
        <v>1599</v>
      </c>
      <c r="G370" s="1" t="s">
        <v>1599</v>
      </c>
      <c r="H370" s="1" t="s">
        <v>39</v>
      </c>
      <c r="I370" s="1" t="s">
        <v>39</v>
      </c>
      <c r="J370" s="1" t="s">
        <v>39</v>
      </c>
      <c r="K370" s="1" t="s">
        <v>39</v>
      </c>
      <c r="L370" s="1" t="s">
        <v>39</v>
      </c>
      <c r="M370" s="1" t="s">
        <v>39</v>
      </c>
      <c r="N370" s="1" t="s">
        <v>39</v>
      </c>
      <c r="O370" s="1" t="s">
        <v>37</v>
      </c>
      <c r="P370" s="1" t="s">
        <v>37</v>
      </c>
      <c r="Q370" s="1" t="s">
        <v>37</v>
      </c>
      <c r="R370" s="1" t="s">
        <v>342</v>
      </c>
      <c r="S370" s="1" t="s">
        <v>274</v>
      </c>
      <c r="T370" s="1">
        <v>99999999999</v>
      </c>
      <c r="U370" s="1">
        <v>11111111111</v>
      </c>
      <c r="V370" s="1">
        <v>11111111111</v>
      </c>
      <c r="W370" s="1" t="s">
        <v>1600</v>
      </c>
      <c r="X370" s="1" t="s">
        <v>1601</v>
      </c>
      <c r="Y370" s="1" t="s">
        <v>1602</v>
      </c>
      <c r="Z370" s="1" t="s">
        <v>46</v>
      </c>
      <c r="AA370" s="1" t="s">
        <v>1603</v>
      </c>
      <c r="AB370" s="1" t="s">
        <v>39</v>
      </c>
      <c r="AC370" s="1" t="s">
        <v>37</v>
      </c>
      <c r="AD370" s="1" t="s">
        <v>37</v>
      </c>
      <c r="AE370" s="1" t="s">
        <v>37</v>
      </c>
      <c r="AF370" s="1" t="s">
        <v>37</v>
      </c>
      <c r="AG370" s="1" t="s">
        <v>37</v>
      </c>
      <c r="AH370" s="1" t="s">
        <v>37</v>
      </c>
      <c r="AI370" s="1" t="s">
        <v>37</v>
      </c>
      <c r="AJ370" s="1" t="s">
        <v>39</v>
      </c>
      <c r="AK370" s="1" t="str">
        <f t="shared" si="11"/>
        <v>Fora de âmbito</v>
      </c>
      <c r="AL370" s="1" t="str">
        <f>+IF(IFERROR(VLOOKUP(A370,Ficheiros!I:I,1,FALSE),"")=A370,"Sim","Não")</f>
        <v>Sim</v>
      </c>
      <c r="AM370" s="1" t="str">
        <f>+IF(IFERROR(VLOOKUP(A370,Ficheiros!E:E,1,FALSE),"")=A370,"Sim","Não")</f>
        <v>Não</v>
      </c>
      <c r="AN370" s="1" t="str">
        <f>+IF(IFERROR(VLOOKUP(A370,Ficheiros!O:O,1,FALSE),"")=A370,"Sim","Não")</f>
        <v>Não</v>
      </c>
      <c r="AO370" s="1" t="str">
        <f>+IF(IFERROR(VLOOKUP(A370,'Especificação Novos Req. LT (2'!A:A,1,FALSE),"")=A370,"Sim","Não")</f>
        <v>Não</v>
      </c>
      <c r="AP370" s="1" t="str">
        <f>+IF(IFERROR(VLOOKUP(A370,Ficheiros!T:T,1,FALSE),"")=A370,"Sim","Não")</f>
        <v>Sim</v>
      </c>
      <c r="AQ370" s="1" t="e">
        <f>+VLOOKUP(A370,Ficheiros!O:P,2,FALSE)</f>
        <v>#N/A</v>
      </c>
      <c r="AR370" s="1" t="str">
        <f>+VLOOKUP(A370,Ficheiros!T:U,2,FALSE)</f>
        <v>7. Analisar controlos e completude</v>
      </c>
      <c r="AS370" s="1" t="str">
        <f>+VLOOKUP(A370,Ficheiros!T:V,3,FALSE)</f>
        <v>PM</v>
      </c>
      <c r="AT370" s="1"/>
      <c r="AU370" s="1"/>
      <c r="AV370" s="1"/>
      <c r="AW370" s="1"/>
      <c r="AX370" s="1"/>
    </row>
    <row r="371" spans="1:50" ht="14.5" hidden="1" customHeight="1" x14ac:dyDescent="0.35">
      <c r="A371" s="5" t="str">
        <f t="shared" si="10"/>
        <v>INSTRUMENTISIN_SCRTSTN</v>
      </c>
      <c r="B371" s="1" t="s">
        <v>1604</v>
      </c>
      <c r="C371" s="1" t="s">
        <v>785</v>
      </c>
      <c r="D371" s="1" t="s">
        <v>395</v>
      </c>
      <c r="E371" s="1" t="s">
        <v>37</v>
      </c>
      <c r="F371" s="25" t="s">
        <v>1605</v>
      </c>
      <c r="G371" s="1" t="s">
        <v>1605</v>
      </c>
      <c r="H371" s="1" t="s">
        <v>37</v>
      </c>
      <c r="I371" s="1" t="s">
        <v>39</v>
      </c>
      <c r="J371" s="1" t="s">
        <v>39</v>
      </c>
      <c r="K371" s="1" t="s">
        <v>39</v>
      </c>
      <c r="L371" s="1" t="s">
        <v>39</v>
      </c>
      <c r="M371" s="1" t="s">
        <v>39</v>
      </c>
      <c r="N371" s="1" t="s">
        <v>39</v>
      </c>
      <c r="O371" s="1" t="s">
        <v>37</v>
      </c>
      <c r="P371" s="1" t="s">
        <v>37</v>
      </c>
      <c r="Q371" s="1" t="s">
        <v>37</v>
      </c>
      <c r="R371" s="1" t="s">
        <v>96</v>
      </c>
      <c r="S371" s="1" t="s">
        <v>41</v>
      </c>
      <c r="T371" s="1" t="s">
        <v>53</v>
      </c>
      <c r="U371" s="1" t="s">
        <v>46</v>
      </c>
      <c r="V371" s="1" t="s">
        <v>46</v>
      </c>
      <c r="W371" s="1" t="s">
        <v>1606</v>
      </c>
      <c r="X371" s="1" t="s">
        <v>1607</v>
      </c>
      <c r="Y371" s="1" t="s">
        <v>45</v>
      </c>
      <c r="Z371" s="1" t="s">
        <v>46</v>
      </c>
      <c r="AA371" s="1" t="s">
        <v>47</v>
      </c>
      <c r="AB371" s="1" t="s">
        <v>39</v>
      </c>
      <c r="AC371" s="1" t="s">
        <v>37</v>
      </c>
      <c r="AD371" s="1" t="s">
        <v>37</v>
      </c>
      <c r="AE371" s="1" t="s">
        <v>37</v>
      </c>
      <c r="AF371" s="1" t="s">
        <v>37</v>
      </c>
      <c r="AG371" s="1" t="s">
        <v>37</v>
      </c>
      <c r="AH371" s="1" t="s">
        <v>37</v>
      </c>
      <c r="AI371" s="1" t="s">
        <v>37</v>
      </c>
      <c r="AJ371" s="1" t="s">
        <v>39</v>
      </c>
      <c r="AK371" s="1" t="str">
        <f t="shared" si="11"/>
        <v>Fora de âmbito</v>
      </c>
      <c r="AL371" s="1" t="str">
        <f>+IF(IFERROR(VLOOKUP(A371,Ficheiros!I:I,1,FALSE),"")=A371,"Sim","Não")</f>
        <v>Sim</v>
      </c>
      <c r="AM371" s="1" t="str">
        <f>+IF(IFERROR(VLOOKUP(A371,Ficheiros!E:E,1,FALSE),"")=A371,"Sim","Não")</f>
        <v>Não</v>
      </c>
      <c r="AN371" s="1" t="str">
        <f>+IF(IFERROR(VLOOKUP(A371,Ficheiros!O:O,1,FALSE),"")=A371,"Sim","Não")</f>
        <v>Não</v>
      </c>
      <c r="AO371" s="1" t="str">
        <f>+IF(IFERROR(VLOOKUP(A371,'Especificação Novos Req. LT (2'!A:A,1,FALSE),"")=A371,"Sim","Não")</f>
        <v>Não</v>
      </c>
      <c r="AP371" s="1" t="str">
        <f>+IF(IFERROR(VLOOKUP(A371,Ficheiros!T:T,1,FALSE),"")=A371,"Sim","Não")</f>
        <v>Sim</v>
      </c>
      <c r="AQ371" s="1" t="e">
        <f>+VLOOKUP(A371,Ficheiros!O:P,2,FALSE)</f>
        <v>#N/A</v>
      </c>
      <c r="AR371" s="1" t="str">
        <f>+VLOOKUP(A371,Ficheiros!T:U,2,FALSE)</f>
        <v>9. Concluído</v>
      </c>
      <c r="AS371" s="1" t="str">
        <f>+VLOOKUP(A371,Ficheiros!T:V,3,FALSE)</f>
        <v>PM</v>
      </c>
      <c r="AT371" s="1"/>
      <c r="AU371" s="1"/>
      <c r="AV371" s="1"/>
      <c r="AW371" s="1"/>
      <c r="AX371" s="1"/>
    </row>
    <row r="372" spans="1:50" ht="14.5" hidden="1" customHeight="1" x14ac:dyDescent="0.35">
      <c r="A372" s="5" t="str">
        <f t="shared" si="10"/>
        <v>INSTRUMENTCNTRCT_ID_BDR</v>
      </c>
      <c r="B372" s="1" t="s">
        <v>1608</v>
      </c>
      <c r="C372" s="1" t="s">
        <v>785</v>
      </c>
      <c r="D372" s="1" t="s">
        <v>49</v>
      </c>
      <c r="E372" s="1" t="s">
        <v>37</v>
      </c>
      <c r="F372" s="26" t="s">
        <v>1609</v>
      </c>
      <c r="G372" s="1" t="s">
        <v>1609</v>
      </c>
      <c r="H372" s="1" t="s">
        <v>39</v>
      </c>
      <c r="I372" s="1" t="s">
        <v>39</v>
      </c>
      <c r="J372" s="1" t="s">
        <v>39</v>
      </c>
      <c r="K372" s="1" t="s">
        <v>39</v>
      </c>
      <c r="L372" s="1" t="s">
        <v>39</v>
      </c>
      <c r="M372" s="1" t="s">
        <v>39</v>
      </c>
      <c r="N372" s="1" t="s">
        <v>39</v>
      </c>
      <c r="O372" s="1" t="s">
        <v>39</v>
      </c>
      <c r="P372" s="1" t="s">
        <v>37</v>
      </c>
      <c r="Q372" s="1" t="s">
        <v>37</v>
      </c>
      <c r="R372" s="1" t="s">
        <v>657</v>
      </c>
      <c r="S372" s="1" t="s">
        <v>41</v>
      </c>
      <c r="T372" s="1" t="s">
        <v>53</v>
      </c>
      <c r="U372" s="1" t="s">
        <v>46</v>
      </c>
      <c r="V372" s="1" t="s">
        <v>46</v>
      </c>
      <c r="W372" s="1" t="s">
        <v>1610</v>
      </c>
      <c r="X372" s="1" t="s">
        <v>1611</v>
      </c>
      <c r="Y372" s="1" t="s">
        <v>66</v>
      </c>
      <c r="Z372" s="1" t="s">
        <v>1612</v>
      </c>
      <c r="AA372" s="1" t="s">
        <v>47</v>
      </c>
      <c r="AB372" s="1" t="s">
        <v>39</v>
      </c>
      <c r="AC372" s="1" t="s">
        <v>37</v>
      </c>
      <c r="AD372" s="1" t="s">
        <v>37</v>
      </c>
      <c r="AE372" s="1" t="s">
        <v>39</v>
      </c>
      <c r="AF372" s="1" t="s">
        <v>37</v>
      </c>
      <c r="AG372" s="1" t="s">
        <v>37</v>
      </c>
      <c r="AH372" s="1" t="s">
        <v>37</v>
      </c>
      <c r="AI372" s="1" t="s">
        <v>39</v>
      </c>
      <c r="AJ372" s="1" t="s">
        <v>39</v>
      </c>
      <c r="AK372" s="1" t="str">
        <f t="shared" si="11"/>
        <v>Fora de âmbito</v>
      </c>
      <c r="AL372" s="1" t="str">
        <f>+IF(IFERROR(VLOOKUP(A372,Ficheiros!I:I,1,FALSE),"")=A372,"Sim","Não")</f>
        <v>Sim</v>
      </c>
      <c r="AM372" s="1" t="str">
        <f>+IF(IFERROR(VLOOKUP(A372,Ficheiros!E:E,1,FALSE),"")=A372,"Sim","Não")</f>
        <v>Não</v>
      </c>
      <c r="AN372" s="1" t="str">
        <f>+IF(IFERROR(VLOOKUP(A372,Ficheiros!O:O,1,FALSE),"")=A372,"Sim","Não")</f>
        <v>Não</v>
      </c>
      <c r="AO372" s="1" t="str">
        <f>+IF(IFERROR(VLOOKUP(A372,'Especificação Novos Req. LT (2'!A:A,1,FALSE),"")=A372,"Sim","Não")</f>
        <v>Não</v>
      </c>
      <c r="AP372" s="1" t="str">
        <f>+IF(IFERROR(VLOOKUP(A372,Ficheiros!T:T,1,FALSE),"")=A372,"Sim","Não")</f>
        <v>Sim</v>
      </c>
      <c r="AQ372" s="1" t="e">
        <f>+VLOOKUP(A372,Ficheiros!O:P,2,FALSE)</f>
        <v>#N/A</v>
      </c>
      <c r="AR372" s="1" t="str">
        <f>+VLOOKUP(A372,Ficheiros!T:U,2,FALSE)</f>
        <v>9. Concluído</v>
      </c>
      <c r="AS372" s="1" t="str">
        <f>+VLOOKUP(A372,Ficheiros!T:V,3,FALSE)</f>
        <v>PM</v>
      </c>
      <c r="AT372" s="1"/>
      <c r="AU372" s="1"/>
      <c r="AV372" s="1"/>
      <c r="AW372" s="1"/>
      <c r="AX372" s="1"/>
    </row>
    <row r="373" spans="1:50" ht="14.5" hidden="1" customHeight="1" x14ac:dyDescent="0.35">
      <c r="A373" s="5" t="str">
        <f t="shared" si="10"/>
        <v>INSTRUMENTCOD_SOC_INTRGRP</v>
      </c>
      <c r="B373" s="1" t="s">
        <v>1613</v>
      </c>
      <c r="C373" s="1" t="s">
        <v>785</v>
      </c>
      <c r="D373" s="1" t="s">
        <v>36</v>
      </c>
      <c r="E373" s="1" t="s">
        <v>37</v>
      </c>
      <c r="F373" s="25" t="s">
        <v>1614</v>
      </c>
      <c r="G373" s="1" t="s">
        <v>1614</v>
      </c>
      <c r="H373" s="1" t="s">
        <v>39</v>
      </c>
      <c r="I373" s="1" t="s">
        <v>39</v>
      </c>
      <c r="J373" s="1" t="s">
        <v>39</v>
      </c>
      <c r="K373" s="1" t="s">
        <v>39</v>
      </c>
      <c r="L373" s="1" t="s">
        <v>39</v>
      </c>
      <c r="M373" s="1" t="s">
        <v>39</v>
      </c>
      <c r="N373" s="1" t="s">
        <v>39</v>
      </c>
      <c r="O373" s="1" t="s">
        <v>39</v>
      </c>
      <c r="P373" s="1" t="s">
        <v>39</v>
      </c>
      <c r="Q373" s="1" t="s">
        <v>39</v>
      </c>
      <c r="R373" s="1" t="s">
        <v>40</v>
      </c>
      <c r="S373" s="1" t="s">
        <v>41</v>
      </c>
      <c r="T373" s="1" t="s">
        <v>42</v>
      </c>
      <c r="U373" s="1" t="s">
        <v>1615</v>
      </c>
      <c r="V373" s="1" t="s">
        <v>1615</v>
      </c>
      <c r="W373" s="1" t="s">
        <v>1616</v>
      </c>
      <c r="X373" s="1" t="s">
        <v>1617</v>
      </c>
      <c r="Y373" s="1" t="s">
        <v>45</v>
      </c>
      <c r="Z373" s="1" t="s">
        <v>46</v>
      </c>
      <c r="AA373" s="1" t="s">
        <v>47</v>
      </c>
      <c r="AB373" s="1" t="s">
        <v>39</v>
      </c>
      <c r="AC373" s="1" t="s">
        <v>39</v>
      </c>
      <c r="AD373" s="1" t="s">
        <v>37</v>
      </c>
      <c r="AE373" s="1" t="s">
        <v>37</v>
      </c>
      <c r="AF373" s="1" t="s">
        <v>37</v>
      </c>
      <c r="AG373" s="1" t="s">
        <v>37</v>
      </c>
      <c r="AH373" s="1" t="s">
        <v>39</v>
      </c>
      <c r="AI373" s="1" t="s">
        <v>39</v>
      </c>
      <c r="AJ373" s="1" t="s">
        <v>39</v>
      </c>
      <c r="AK373" s="1" t="str">
        <f t="shared" si="11"/>
        <v>Fora de âmbito</v>
      </c>
      <c r="AL373" s="1" t="str">
        <f>+IF(IFERROR(VLOOKUP(A373,Ficheiros!I:I,1,FALSE),"")=A373,"Sim","Não")</f>
        <v>Sim</v>
      </c>
      <c r="AM373" s="1" t="str">
        <f>+IF(IFERROR(VLOOKUP(A373,Ficheiros!E:E,1,FALSE),"")=A373,"Sim","Não")</f>
        <v>Não</v>
      </c>
      <c r="AN373" s="1" t="str">
        <f>+IF(IFERROR(VLOOKUP(A373,Ficheiros!O:O,1,FALSE),"")=A373,"Sim","Não")</f>
        <v>Não</v>
      </c>
      <c r="AO373" s="1" t="str">
        <f>+IF(IFERROR(VLOOKUP(A373,'Especificação Novos Req. LT (2'!A:A,1,FALSE),"")=A373,"Sim","Não")</f>
        <v>Não</v>
      </c>
      <c r="AP373" s="1" t="str">
        <f>+IF(IFERROR(VLOOKUP(A373,Ficheiros!T:T,1,FALSE),"")=A373,"Sim","Não")</f>
        <v>Sim</v>
      </c>
      <c r="AQ373" s="1" t="e">
        <f>+VLOOKUP(A373,Ficheiros!O:P,2,FALSE)</f>
        <v>#N/A</v>
      </c>
      <c r="AR373" s="1" t="str">
        <f>+VLOOKUP(A373,Ficheiros!T:U,2,FALSE)</f>
        <v>5.1 Em testes - Re-especificação</v>
      </c>
      <c r="AS373" s="1" t="str">
        <f>+VLOOKUP(A373,Ficheiros!T:V,3,FALSE)</f>
        <v>PM</v>
      </c>
      <c r="AT373" s="1"/>
      <c r="AU373" s="1"/>
      <c r="AV373" s="1"/>
      <c r="AW373" s="1"/>
      <c r="AX373" s="1"/>
    </row>
    <row r="374" spans="1:50" ht="14.5" hidden="1" customHeight="1" x14ac:dyDescent="0.35">
      <c r="A374" s="5" t="str">
        <f t="shared" si="10"/>
        <v>INSTRUMENTLCL_INSTMRNT_ID</v>
      </c>
      <c r="B374" s="1" t="s">
        <v>1618</v>
      </c>
      <c r="C374" s="1" t="s">
        <v>785</v>
      </c>
      <c r="D374" s="1" t="s">
        <v>49</v>
      </c>
      <c r="E374" s="1" t="s">
        <v>37</v>
      </c>
      <c r="F374" s="25" t="s">
        <v>1619</v>
      </c>
      <c r="G374" s="1" t="s">
        <v>1619</v>
      </c>
      <c r="H374" s="1" t="s">
        <v>39</v>
      </c>
      <c r="I374" s="1" t="s">
        <v>39</v>
      </c>
      <c r="J374" s="1" t="s">
        <v>39</v>
      </c>
      <c r="K374" s="1" t="s">
        <v>39</v>
      </c>
      <c r="L374" s="1" t="s">
        <v>39</v>
      </c>
      <c r="M374" s="1" t="s">
        <v>39</v>
      </c>
      <c r="N374" s="1" t="s">
        <v>39</v>
      </c>
      <c r="O374" s="1" t="s">
        <v>39</v>
      </c>
      <c r="P374" s="1" t="s">
        <v>37</v>
      </c>
      <c r="Q374" s="1" t="s">
        <v>39</v>
      </c>
      <c r="R374" s="1" t="s">
        <v>657</v>
      </c>
      <c r="S374" s="1" t="s">
        <v>41</v>
      </c>
      <c r="T374" s="1" t="s">
        <v>42</v>
      </c>
      <c r="U374" s="1" t="s">
        <v>42</v>
      </c>
      <c r="V374" s="1" t="s">
        <v>46</v>
      </c>
      <c r="W374" s="1" t="s">
        <v>1620</v>
      </c>
      <c r="X374" s="1" t="s">
        <v>1621</v>
      </c>
      <c r="Y374" s="1" t="s">
        <v>45</v>
      </c>
      <c r="Z374" s="1" t="s">
        <v>46</v>
      </c>
      <c r="AA374" s="1" t="s">
        <v>47</v>
      </c>
      <c r="AB374" s="1" t="s">
        <v>39</v>
      </c>
      <c r="AC374" s="1" t="s">
        <v>39</v>
      </c>
      <c r="AD374" s="1" t="s">
        <v>39</v>
      </c>
      <c r="AE374" s="1" t="s">
        <v>37</v>
      </c>
      <c r="AF374" s="1" t="s">
        <v>37</v>
      </c>
      <c r="AG374" s="1" t="s">
        <v>37</v>
      </c>
      <c r="AH374" s="1" t="s">
        <v>39</v>
      </c>
      <c r="AI374" s="1" t="s">
        <v>39</v>
      </c>
      <c r="AJ374" s="1" t="s">
        <v>39</v>
      </c>
      <c r="AK374" s="1" t="str">
        <f t="shared" si="11"/>
        <v>Apenas Pilar 3</v>
      </c>
      <c r="AL374" s="1" t="str">
        <f>+IF(IFERROR(VLOOKUP(A374,Ficheiros!I:I,1,FALSE),"")=A374,"Sim","Não")</f>
        <v>Sim</v>
      </c>
      <c r="AM374" s="1" t="str">
        <f>+IF(IFERROR(VLOOKUP(A374,Ficheiros!E:E,1,FALSE),"")=A374,"Sim","Não")</f>
        <v>Não</v>
      </c>
      <c r="AN374" s="1" t="str">
        <f>+IF(IFERROR(VLOOKUP(A374,Ficheiros!O:O,1,FALSE),"")=A374,"Sim","Não")</f>
        <v>Sim</v>
      </c>
      <c r="AO374" s="1" t="str">
        <f>+IF(IFERROR(VLOOKUP(A374,'Especificação Novos Req. LT (2'!A:A,1,FALSE),"")=A374,"Sim","Não")</f>
        <v>Não</v>
      </c>
      <c r="AP374" s="1" t="str">
        <f>+IF(IFERROR(VLOOKUP(A374,Ficheiros!T:T,1,FALSE),"")=A374,"Sim","Não")</f>
        <v>Sim</v>
      </c>
      <c r="AQ374" s="1" t="str">
        <f>+VLOOKUP(A374,Ficheiros!O:P,2,FALSE)</f>
        <v>1. Concluído</v>
      </c>
      <c r="AR374" s="1" t="str">
        <f>+VLOOKUP(A374,Ficheiros!T:U,2,FALSE)</f>
        <v>7. Analisar controlos e completude</v>
      </c>
      <c r="AS374" s="1" t="str">
        <f>+VLOOKUP(A374,Ficheiros!T:V,3,FALSE)</f>
        <v>PM</v>
      </c>
      <c r="AT374" s="1"/>
      <c r="AU374" s="1"/>
      <c r="AV374" s="1"/>
      <c r="AW374" s="1"/>
      <c r="AX374" s="1"/>
    </row>
    <row r="375" spans="1:50" ht="14.5" hidden="1" customHeight="1" x14ac:dyDescent="0.35">
      <c r="A375" s="5" t="str">
        <f t="shared" si="10"/>
        <v>INSTRUMENTAVRG_BLNC</v>
      </c>
      <c r="B375" s="1" t="s">
        <v>1625</v>
      </c>
      <c r="C375" s="1" t="s">
        <v>785</v>
      </c>
      <c r="D375" s="1" t="s">
        <v>271</v>
      </c>
      <c r="E375" s="1" t="s">
        <v>37</v>
      </c>
      <c r="F375" s="26" t="s">
        <v>1626</v>
      </c>
      <c r="G375" s="1" t="s">
        <v>1626</v>
      </c>
      <c r="H375" s="1" t="s">
        <v>39</v>
      </c>
      <c r="I375" s="1" t="s">
        <v>39</v>
      </c>
      <c r="J375" s="1" t="s">
        <v>39</v>
      </c>
      <c r="K375" s="1" t="s">
        <v>39</v>
      </c>
      <c r="L375" s="1" t="s">
        <v>39</v>
      </c>
      <c r="M375" s="1" t="s">
        <v>39</v>
      </c>
      <c r="N375" s="1" t="s">
        <v>39</v>
      </c>
      <c r="O375" s="1" t="s">
        <v>39</v>
      </c>
      <c r="P375" s="1" t="s">
        <v>37</v>
      </c>
      <c r="Q375" s="1" t="s">
        <v>39</v>
      </c>
      <c r="R375" s="1" t="s">
        <v>273</v>
      </c>
      <c r="S375" s="1" t="s">
        <v>274</v>
      </c>
      <c r="T375" s="1">
        <v>99999999999</v>
      </c>
      <c r="U375" s="1">
        <v>11111111111</v>
      </c>
      <c r="V375" s="1">
        <v>11111111111</v>
      </c>
      <c r="W375" s="1" t="s">
        <v>1627</v>
      </c>
      <c r="X375" s="1" t="s">
        <v>1628</v>
      </c>
      <c r="Y375" s="1" t="s">
        <v>45</v>
      </c>
      <c r="Z375" s="1" t="s">
        <v>46</v>
      </c>
      <c r="AA375" s="1" t="s">
        <v>47</v>
      </c>
      <c r="AB375" s="1" t="s">
        <v>37</v>
      </c>
      <c r="AC375" s="1" t="s">
        <v>39</v>
      </c>
      <c r="AD375" s="1" t="s">
        <v>37</v>
      </c>
      <c r="AE375" s="1" t="s">
        <v>39</v>
      </c>
      <c r="AF375" s="1" t="s">
        <v>37</v>
      </c>
      <c r="AG375" s="1" t="s">
        <v>37</v>
      </c>
      <c r="AH375" s="1" t="s">
        <v>39</v>
      </c>
      <c r="AI375" s="1" t="s">
        <v>39</v>
      </c>
      <c r="AJ375" s="1" t="s">
        <v>39</v>
      </c>
      <c r="AK375" s="1" t="str">
        <f t="shared" si="11"/>
        <v>Fora de âmbito</v>
      </c>
      <c r="AL375" s="1" t="str">
        <f>+IF(IFERROR(VLOOKUP(A375,Ficheiros!I:I,1,FALSE),"")=A375,"Sim","Não")</f>
        <v>Não</v>
      </c>
      <c r="AM375" s="1" t="str">
        <f>+IF(IFERROR(VLOOKUP(A375,Ficheiros!E:E,1,FALSE),"")=A375,"Sim","Não")</f>
        <v>Não</v>
      </c>
      <c r="AN375" s="1" t="str">
        <f>+IF(IFERROR(VLOOKUP(A375,Ficheiros!O:O,1,FALSE),"")=A375,"Sim","Não")</f>
        <v>Não</v>
      </c>
      <c r="AO375" s="1" t="str">
        <f>+IF(IFERROR(VLOOKUP(A375,'Especificação Novos Req. LT (2'!A:A,1,FALSE),"")=A375,"Sim","Não")</f>
        <v>Não</v>
      </c>
      <c r="AP375" s="1" t="str">
        <f>+IF(IFERROR(VLOOKUP(A375,Ficheiros!T:T,1,FALSE),"")=A375,"Sim","Não")</f>
        <v>Não</v>
      </c>
      <c r="AQ375" s="1" t="e">
        <f>+VLOOKUP(A375,Ficheiros!O:P,2,FALSE)</f>
        <v>#N/A</v>
      </c>
      <c r="AR375" s="1" t="e">
        <f>+VLOOKUP(A375,Ficheiros!R:S,3,FALSE)</f>
        <v>#N/A</v>
      </c>
      <c r="AS375" s="1" t="e">
        <f>+VLOOKUP(A375,Ficheiros!T:V,3,FALSE)</f>
        <v>#N/A</v>
      </c>
      <c r="AT375" s="1"/>
      <c r="AU375" s="1"/>
      <c r="AV375" s="1"/>
      <c r="AW375" s="1"/>
      <c r="AX375" s="1"/>
    </row>
    <row r="376" spans="1:50" ht="14.5" hidden="1" customHeight="1" x14ac:dyDescent="0.35">
      <c r="A376" s="5" t="str">
        <f t="shared" si="10"/>
        <v>INSTRUMENTNW_BSNSS</v>
      </c>
      <c r="B376" s="1" t="s">
        <v>1629</v>
      </c>
      <c r="C376" s="1" t="s">
        <v>785</v>
      </c>
      <c r="D376" s="1" t="s">
        <v>271</v>
      </c>
      <c r="E376" s="1" t="s">
        <v>37</v>
      </c>
      <c r="F376" s="26" t="s">
        <v>1630</v>
      </c>
      <c r="G376" s="1" t="s">
        <v>1630</v>
      </c>
      <c r="H376" s="1" t="s">
        <v>39</v>
      </c>
      <c r="I376" s="1" t="s">
        <v>39</v>
      </c>
      <c r="J376" s="1" t="s">
        <v>39</v>
      </c>
      <c r="K376" s="1" t="s">
        <v>39</v>
      </c>
      <c r="L376" s="1" t="s">
        <v>39</v>
      </c>
      <c r="M376" s="1" t="s">
        <v>39</v>
      </c>
      <c r="N376" s="1" t="s">
        <v>39</v>
      </c>
      <c r="O376" s="1" t="s">
        <v>39</v>
      </c>
      <c r="P376" s="1" t="s">
        <v>37</v>
      </c>
      <c r="Q376" s="1" t="s">
        <v>39</v>
      </c>
      <c r="R376" s="1" t="s">
        <v>141</v>
      </c>
      <c r="S376" s="1" t="s">
        <v>142</v>
      </c>
      <c r="T376" s="1" t="s">
        <v>42</v>
      </c>
      <c r="U376" s="1" t="s">
        <v>42</v>
      </c>
      <c r="V376" s="1" t="s">
        <v>46</v>
      </c>
      <c r="W376" s="1" t="s">
        <v>1631</v>
      </c>
      <c r="X376" s="1" t="s">
        <v>1632</v>
      </c>
      <c r="Y376" s="1" t="s">
        <v>45</v>
      </c>
      <c r="Z376" s="1" t="s">
        <v>46</v>
      </c>
      <c r="AA376" s="1" t="s">
        <v>47</v>
      </c>
      <c r="AB376" s="1" t="s">
        <v>37</v>
      </c>
      <c r="AC376" s="1" t="s">
        <v>39</v>
      </c>
      <c r="AD376" s="1" t="s">
        <v>39</v>
      </c>
      <c r="AE376" s="1" t="s">
        <v>39</v>
      </c>
      <c r="AF376" s="1" t="s">
        <v>37</v>
      </c>
      <c r="AG376" s="1" t="s">
        <v>37</v>
      </c>
      <c r="AH376" s="1" t="s">
        <v>39</v>
      </c>
      <c r="AI376" s="1" t="s">
        <v>39</v>
      </c>
      <c r="AJ376" s="1" t="s">
        <v>39</v>
      </c>
      <c r="AK376" s="1" t="str">
        <f t="shared" si="11"/>
        <v>Apenas Pilar 3</v>
      </c>
      <c r="AL376" s="1" t="str">
        <f>+IF(IFERROR(VLOOKUP(A376,Ficheiros!I:I,1,FALSE),"")=A376,"Sim","Não")</f>
        <v>Não</v>
      </c>
      <c r="AM376" s="1" t="str">
        <f>+IF(IFERROR(VLOOKUP(A376,Ficheiros!E:E,1,FALSE),"")=A376,"Sim","Não")</f>
        <v>Não</v>
      </c>
      <c r="AN376" s="1" t="str">
        <f>+IF(IFERROR(VLOOKUP(A376,Ficheiros!O:O,1,FALSE),"")=A376,"Sim","Não")</f>
        <v>Não</v>
      </c>
      <c r="AO376" s="1" t="str">
        <f>+IF(IFERROR(VLOOKUP(A376,'Especificação Novos Req. LT (2'!A:A,1,FALSE),"")=A376,"Sim","Não")</f>
        <v>Sim</v>
      </c>
      <c r="AP376" s="1" t="str">
        <f>+IF(IFERROR(VLOOKUP(A376,Ficheiros!T:T,1,FALSE),"")=A376,"Sim","Não")</f>
        <v>Não</v>
      </c>
      <c r="AQ376" s="1" t="e">
        <f>+VLOOKUP(A376,Ficheiros!O:P,2,FALSE)</f>
        <v>#N/A</v>
      </c>
      <c r="AR376" s="1" t="e">
        <f>+VLOOKUP(A376,Ficheiros!R:S,3,FALSE)</f>
        <v>#N/A</v>
      </c>
      <c r="AS376" s="1" t="e">
        <f>+VLOOKUP(A376,Ficheiros!T:V,3,FALSE)</f>
        <v>#N/A</v>
      </c>
      <c r="AT376" s="1"/>
      <c r="AU376" s="1"/>
      <c r="AV376" s="1" t="s">
        <v>2538</v>
      </c>
      <c r="AW376" s="1"/>
      <c r="AX376" s="1"/>
    </row>
    <row r="377" spans="1:50" ht="14.5" hidden="1" customHeight="1" x14ac:dyDescent="0.35">
      <c r="A377" s="5" t="str">
        <f t="shared" si="10"/>
        <v>INSTRUMENTGRSS_INTRST_INCM</v>
      </c>
      <c r="B377" s="1" t="s">
        <v>1633</v>
      </c>
      <c r="C377" s="1" t="s">
        <v>785</v>
      </c>
      <c r="D377" s="1" t="s">
        <v>271</v>
      </c>
      <c r="E377" s="1" t="s">
        <v>37</v>
      </c>
      <c r="F377" s="26" t="s">
        <v>1634</v>
      </c>
      <c r="G377" s="1" t="s">
        <v>1634</v>
      </c>
      <c r="H377" s="1" t="s">
        <v>39</v>
      </c>
      <c r="I377" s="1" t="s">
        <v>39</v>
      </c>
      <c r="J377" s="1" t="s">
        <v>39</v>
      </c>
      <c r="K377" s="1" t="s">
        <v>39</v>
      </c>
      <c r="L377" s="1" t="s">
        <v>39</v>
      </c>
      <c r="M377" s="1" t="s">
        <v>39</v>
      </c>
      <c r="N377" s="1" t="s">
        <v>39</v>
      </c>
      <c r="O377" s="1" t="s">
        <v>39</v>
      </c>
      <c r="P377" s="1" t="s">
        <v>37</v>
      </c>
      <c r="Q377" s="1" t="s">
        <v>39</v>
      </c>
      <c r="R377" s="1" t="s">
        <v>273</v>
      </c>
      <c r="S377" s="1" t="s">
        <v>274</v>
      </c>
      <c r="T377" s="1">
        <v>99999999999</v>
      </c>
      <c r="U377" s="1">
        <v>11111111111</v>
      </c>
      <c r="V377" s="1">
        <v>11111111111</v>
      </c>
      <c r="W377" s="1" t="s">
        <v>1635</v>
      </c>
      <c r="X377" s="1" t="s">
        <v>1636</v>
      </c>
      <c r="Y377" s="1" t="s">
        <v>45</v>
      </c>
      <c r="Z377" s="1" t="s">
        <v>46</v>
      </c>
      <c r="AA377" s="1" t="s">
        <v>47</v>
      </c>
      <c r="AB377" s="1" t="s">
        <v>37</v>
      </c>
      <c r="AC377" s="1" t="s">
        <v>39</v>
      </c>
      <c r="AD377" s="1" t="s">
        <v>39</v>
      </c>
      <c r="AE377" s="1" t="s">
        <v>39</v>
      </c>
      <c r="AF377" s="1" t="s">
        <v>37</v>
      </c>
      <c r="AG377" s="1" t="s">
        <v>37</v>
      </c>
      <c r="AH377" s="1" t="s">
        <v>39</v>
      </c>
      <c r="AI377" s="1" t="s">
        <v>39</v>
      </c>
      <c r="AJ377" s="1" t="s">
        <v>39</v>
      </c>
      <c r="AK377" s="1" t="str">
        <f t="shared" si="11"/>
        <v>Apenas Pilar 3</v>
      </c>
      <c r="AL377" s="1" t="str">
        <f>+IF(IFERROR(VLOOKUP(A377,Ficheiros!I:I,1,FALSE),"")=A377,"Sim","Não")</f>
        <v>Não</v>
      </c>
      <c r="AM377" s="1" t="str">
        <f>+IF(IFERROR(VLOOKUP(A377,Ficheiros!E:E,1,FALSE),"")=A377,"Sim","Não")</f>
        <v>Não</v>
      </c>
      <c r="AN377" s="1" t="str">
        <f>+IF(IFERROR(VLOOKUP(A377,Ficheiros!O:O,1,FALSE),"")=A377,"Sim","Não")</f>
        <v>Sim</v>
      </c>
      <c r="AO377" s="1" t="str">
        <f>+IF(IFERROR(VLOOKUP(A377,'Especificação Novos Req. LT (2'!A:A,1,FALSE),"")=A377,"Sim","Não")</f>
        <v>Não</v>
      </c>
      <c r="AP377" s="1" t="str">
        <f>+IF(IFERROR(VLOOKUP(A377,Ficheiros!T:T,1,FALSE),"")=A377,"Sim","Não")</f>
        <v>Não</v>
      </c>
      <c r="AQ377" s="1" t="str">
        <f>+VLOOKUP(A377,Ficheiros!O:P,2,FALSE)</f>
        <v>2.1 Em Teste</v>
      </c>
      <c r="AR377" s="1" t="e">
        <f>+VLOOKUP(A377,Ficheiros!R:S,3,FALSE)</f>
        <v>#N/A</v>
      </c>
      <c r="AS377" s="1" t="e">
        <f>+VLOOKUP(A377,Ficheiros!T:V,3,FALSE)</f>
        <v>#N/A</v>
      </c>
      <c r="AT377" s="1"/>
      <c r="AU377" s="1"/>
      <c r="AV377" s="1"/>
      <c r="AW377" s="1"/>
      <c r="AX377" s="1"/>
    </row>
    <row r="378" spans="1:50" ht="14.5" hidden="1" customHeight="1" x14ac:dyDescent="0.35">
      <c r="A378" s="5" t="str">
        <f t="shared" si="10"/>
        <v>INSTRUMENTGRSS_CMMSSN_INCM</v>
      </c>
      <c r="B378" s="1" t="s">
        <v>1637</v>
      </c>
      <c r="C378" s="1" t="s">
        <v>785</v>
      </c>
      <c r="D378" s="1" t="s">
        <v>271</v>
      </c>
      <c r="E378" s="1" t="s">
        <v>37</v>
      </c>
      <c r="F378" s="26" t="s">
        <v>1638</v>
      </c>
      <c r="G378" s="1" t="s">
        <v>1638</v>
      </c>
      <c r="H378" s="1" t="s">
        <v>39</v>
      </c>
      <c r="I378" s="1" t="s">
        <v>39</v>
      </c>
      <c r="J378" s="1" t="s">
        <v>39</v>
      </c>
      <c r="K378" s="1" t="s">
        <v>39</v>
      </c>
      <c r="L378" s="1" t="s">
        <v>39</v>
      </c>
      <c r="M378" s="1" t="s">
        <v>39</v>
      </c>
      <c r="N378" s="1" t="s">
        <v>39</v>
      </c>
      <c r="O378" s="1" t="s">
        <v>39</v>
      </c>
      <c r="P378" s="1" t="s">
        <v>37</v>
      </c>
      <c r="Q378" s="1" t="s">
        <v>39</v>
      </c>
      <c r="R378" s="1" t="s">
        <v>273</v>
      </c>
      <c r="S378" s="1" t="s">
        <v>274</v>
      </c>
      <c r="T378" s="1">
        <v>99999999999</v>
      </c>
      <c r="U378" s="1">
        <v>11111111111</v>
      </c>
      <c r="V378" s="1">
        <v>11111111111</v>
      </c>
      <c r="W378" s="1" t="s">
        <v>1639</v>
      </c>
      <c r="X378" s="1" t="s">
        <v>1640</v>
      </c>
      <c r="Y378" s="1" t="s">
        <v>45</v>
      </c>
      <c r="Z378" s="1" t="s">
        <v>46</v>
      </c>
      <c r="AA378" s="1" t="s">
        <v>47</v>
      </c>
      <c r="AB378" s="1" t="s">
        <v>37</v>
      </c>
      <c r="AC378" s="1" t="s">
        <v>39</v>
      </c>
      <c r="AD378" s="1" t="s">
        <v>39</v>
      </c>
      <c r="AE378" s="1" t="s">
        <v>39</v>
      </c>
      <c r="AF378" s="1" t="s">
        <v>37</v>
      </c>
      <c r="AG378" s="1" t="s">
        <v>37</v>
      </c>
      <c r="AH378" s="1" t="s">
        <v>39</v>
      </c>
      <c r="AI378" s="1" t="s">
        <v>39</v>
      </c>
      <c r="AJ378" s="1" t="s">
        <v>39</v>
      </c>
      <c r="AK378" s="1" t="str">
        <f t="shared" si="11"/>
        <v>Apenas Pilar 3</v>
      </c>
      <c r="AL378" s="1" t="str">
        <f>+IF(IFERROR(VLOOKUP(A378,Ficheiros!I:I,1,FALSE),"")=A378,"Sim","Não")</f>
        <v>Não</v>
      </c>
      <c r="AM378" s="1" t="str">
        <f>+IF(IFERROR(VLOOKUP(A378,Ficheiros!E:E,1,FALSE),"")=A378,"Sim","Não")</f>
        <v>Não</v>
      </c>
      <c r="AN378" s="1" t="str">
        <f>+IF(IFERROR(VLOOKUP(A378,Ficheiros!O:O,1,FALSE),"")=A378,"Sim","Não")</f>
        <v>Sim</v>
      </c>
      <c r="AO378" s="1" t="str">
        <f>+IF(IFERROR(VLOOKUP(A378,'Especificação Novos Req. LT (2'!A:A,1,FALSE),"")=A378,"Sim","Não")</f>
        <v>Não</v>
      </c>
      <c r="AP378" s="1" t="str">
        <f>+IF(IFERROR(VLOOKUP(A378,Ficheiros!T:T,1,FALSE),"")=A378,"Sim","Não")</f>
        <v>Não</v>
      </c>
      <c r="AQ378" s="1" t="str">
        <f>+VLOOKUP(A378,Ficheiros!O:P,2,FALSE)</f>
        <v>2.1 Em Teste</v>
      </c>
      <c r="AR378" s="1" t="e">
        <f>+VLOOKUP(A378,Ficheiros!R:S,3,FALSE)</f>
        <v>#N/A</v>
      </c>
      <c r="AS378" s="1" t="e">
        <f>+VLOOKUP(A378,Ficheiros!T:V,3,FALSE)</f>
        <v>#N/A</v>
      </c>
      <c r="AT378" s="1"/>
      <c r="AU378" s="1"/>
      <c r="AV378" s="1"/>
      <c r="AW378" s="1"/>
      <c r="AX378" s="1"/>
    </row>
    <row r="379" spans="1:50" ht="14.5" hidden="1" customHeight="1" x14ac:dyDescent="0.35">
      <c r="A379" s="5" t="str">
        <f t="shared" si="10"/>
        <v>INSTRUMENTINTRNL_TRNSFR_RT</v>
      </c>
      <c r="B379" s="1" t="s">
        <v>1641</v>
      </c>
      <c r="C379" s="1" t="s">
        <v>785</v>
      </c>
      <c r="D379" s="1" t="s">
        <v>271</v>
      </c>
      <c r="E379" s="1" t="s">
        <v>37</v>
      </c>
      <c r="F379" s="26" t="s">
        <v>1642</v>
      </c>
      <c r="G379" s="1" t="s">
        <v>1642</v>
      </c>
      <c r="H379" s="1" t="s">
        <v>39</v>
      </c>
      <c r="I379" s="1" t="s">
        <v>39</v>
      </c>
      <c r="J379" s="1" t="s">
        <v>39</v>
      </c>
      <c r="K379" s="1" t="s">
        <v>39</v>
      </c>
      <c r="L379" s="1" t="s">
        <v>39</v>
      </c>
      <c r="M379" s="1" t="s">
        <v>39</v>
      </c>
      <c r="N379" s="1" t="s">
        <v>39</v>
      </c>
      <c r="O379" s="1" t="s">
        <v>39</v>
      </c>
      <c r="P379" s="1" t="s">
        <v>37</v>
      </c>
      <c r="Q379" s="1" t="s">
        <v>39</v>
      </c>
      <c r="R379" s="1" t="s">
        <v>273</v>
      </c>
      <c r="S379" s="1" t="s">
        <v>274</v>
      </c>
      <c r="T379" s="1">
        <v>99999999999</v>
      </c>
      <c r="U379" s="1">
        <v>11111111111</v>
      </c>
      <c r="V379" s="1">
        <v>11111111111</v>
      </c>
      <c r="W379" s="1" t="s">
        <v>1643</v>
      </c>
      <c r="X379" s="1" t="s">
        <v>1644</v>
      </c>
      <c r="Y379" s="1" t="s">
        <v>45</v>
      </c>
      <c r="Z379" s="1" t="s">
        <v>46</v>
      </c>
      <c r="AA379" s="1" t="s">
        <v>47</v>
      </c>
      <c r="AB379" s="1" t="s">
        <v>37</v>
      </c>
      <c r="AC379" s="1" t="s">
        <v>39</v>
      </c>
      <c r="AD379" s="1" t="s">
        <v>37</v>
      </c>
      <c r="AE379" s="1" t="s">
        <v>39</v>
      </c>
      <c r="AF379" s="1" t="s">
        <v>37</v>
      </c>
      <c r="AG379" s="1" t="s">
        <v>37</v>
      </c>
      <c r="AH379" s="1" t="s">
        <v>39</v>
      </c>
      <c r="AI379" s="1" t="s">
        <v>39</v>
      </c>
      <c r="AJ379" s="1" t="s">
        <v>39</v>
      </c>
      <c r="AK379" s="1" t="str">
        <f t="shared" si="11"/>
        <v>Fora de âmbito</v>
      </c>
      <c r="AL379" s="1" t="str">
        <f>+IF(IFERROR(VLOOKUP(A379,Ficheiros!I:I,1,FALSE),"")=A379,"Sim","Não")</f>
        <v>Não</v>
      </c>
      <c r="AM379" s="1" t="str">
        <f>+IF(IFERROR(VLOOKUP(A379,Ficheiros!E:E,1,FALSE),"")=A379,"Sim","Não")</f>
        <v>Não</v>
      </c>
      <c r="AN379" s="1" t="str">
        <f>+IF(IFERROR(VLOOKUP(A379,Ficheiros!O:O,1,FALSE),"")=A379,"Sim","Não")</f>
        <v>Não</v>
      </c>
      <c r="AO379" s="1" t="str">
        <f>+IF(IFERROR(VLOOKUP(A379,'Especificação Novos Req. LT (2'!A:A,1,FALSE),"")=A379,"Sim","Não")</f>
        <v>Não</v>
      </c>
      <c r="AP379" s="1" t="str">
        <f>+IF(IFERROR(VLOOKUP(A379,Ficheiros!T:T,1,FALSE),"")=A379,"Sim","Não")</f>
        <v>Não</v>
      </c>
      <c r="AQ379" s="1" t="e">
        <f>+VLOOKUP(A379,Ficheiros!O:P,2,FALSE)</f>
        <v>#N/A</v>
      </c>
      <c r="AR379" s="1" t="e">
        <f>+VLOOKUP(A379,Ficheiros!R:S,3,FALSE)</f>
        <v>#N/A</v>
      </c>
      <c r="AS379" s="1" t="e">
        <f>+VLOOKUP(A379,Ficheiros!T:V,3,FALSE)</f>
        <v>#N/A</v>
      </c>
      <c r="AT379" s="1"/>
      <c r="AU379" s="1"/>
      <c r="AV379" s="1"/>
      <c r="AW379" s="1"/>
      <c r="AX379" s="1"/>
    </row>
    <row r="380" spans="1:50" ht="14.5" hidden="1" customHeight="1" x14ac:dyDescent="0.35">
      <c r="A380" s="5" t="str">
        <f t="shared" si="10"/>
        <v>INSTRUMENTNT_LN_LSS_PRVSN</v>
      </c>
      <c r="B380" s="1" t="s">
        <v>1645</v>
      </c>
      <c r="C380" s="1" t="s">
        <v>785</v>
      </c>
      <c r="D380" s="1" t="s">
        <v>271</v>
      </c>
      <c r="E380" s="1" t="s">
        <v>37</v>
      </c>
      <c r="F380" s="26" t="s">
        <v>1646</v>
      </c>
      <c r="G380" s="1" t="s">
        <v>1646</v>
      </c>
      <c r="H380" s="1" t="s">
        <v>39</v>
      </c>
      <c r="I380" s="1" t="s">
        <v>39</v>
      </c>
      <c r="J380" s="1" t="s">
        <v>39</v>
      </c>
      <c r="K380" s="1" t="s">
        <v>39</v>
      </c>
      <c r="L380" s="1" t="s">
        <v>39</v>
      </c>
      <c r="M380" s="1" t="s">
        <v>39</v>
      </c>
      <c r="N380" s="1" t="s">
        <v>39</v>
      </c>
      <c r="O380" s="1" t="s">
        <v>39</v>
      </c>
      <c r="P380" s="1" t="s">
        <v>37</v>
      </c>
      <c r="Q380" s="1" t="s">
        <v>39</v>
      </c>
      <c r="R380" s="1" t="s">
        <v>273</v>
      </c>
      <c r="S380" s="1" t="s">
        <v>274</v>
      </c>
      <c r="T380" s="1">
        <v>99999999999</v>
      </c>
      <c r="U380" s="1">
        <v>11111111111</v>
      </c>
      <c r="V380" s="1">
        <v>11111111111</v>
      </c>
      <c r="W380" s="1" t="s">
        <v>1647</v>
      </c>
      <c r="X380" s="1" t="s">
        <v>1648</v>
      </c>
      <c r="Y380" s="1" t="s">
        <v>45</v>
      </c>
      <c r="Z380" s="1" t="s">
        <v>46</v>
      </c>
      <c r="AA380" s="1" t="s">
        <v>47</v>
      </c>
      <c r="AB380" s="1" t="s">
        <v>37</v>
      </c>
      <c r="AC380" s="1" t="s">
        <v>39</v>
      </c>
      <c r="AD380" s="1" t="s">
        <v>37</v>
      </c>
      <c r="AE380" s="1" t="s">
        <v>39</v>
      </c>
      <c r="AF380" s="1" t="s">
        <v>37</v>
      </c>
      <c r="AG380" s="1" t="s">
        <v>37</v>
      </c>
      <c r="AH380" s="1" t="s">
        <v>39</v>
      </c>
      <c r="AI380" s="1" t="s">
        <v>39</v>
      </c>
      <c r="AJ380" s="1" t="s">
        <v>39</v>
      </c>
      <c r="AK380" s="1" t="str">
        <f t="shared" si="11"/>
        <v>Fora de âmbito</v>
      </c>
      <c r="AL380" s="1" t="str">
        <f>+IF(IFERROR(VLOOKUP(A380,Ficheiros!I:I,1,FALSE),"")=A380,"Sim","Não")</f>
        <v>Não</v>
      </c>
      <c r="AM380" s="1" t="str">
        <f>+IF(IFERROR(VLOOKUP(A380,Ficheiros!E:E,1,FALSE),"")=A380,"Sim","Não")</f>
        <v>Não</v>
      </c>
      <c r="AN380" s="1" t="str">
        <f>+IF(IFERROR(VLOOKUP(A380,Ficheiros!O:O,1,FALSE),"")=A380,"Sim","Não")</f>
        <v>Não</v>
      </c>
      <c r="AO380" s="1" t="str">
        <f>+IF(IFERROR(VLOOKUP(A380,'Especificação Novos Req. LT (2'!A:A,1,FALSE),"")=A380,"Sim","Não")</f>
        <v>Não</v>
      </c>
      <c r="AP380" s="1" t="str">
        <f>+IF(IFERROR(VLOOKUP(A380,Ficheiros!T:T,1,FALSE),"")=A380,"Sim","Não")</f>
        <v>Não</v>
      </c>
      <c r="AQ380" s="1" t="e">
        <f>+VLOOKUP(A380,Ficheiros!O:P,2,FALSE)</f>
        <v>#N/A</v>
      </c>
      <c r="AR380" s="1" t="e">
        <f>+VLOOKUP(A380,Ficheiros!R:S,3,FALSE)</f>
        <v>#N/A</v>
      </c>
      <c r="AS380" s="1" t="e">
        <f>+VLOOKUP(A380,Ficheiros!T:V,3,FALSE)</f>
        <v>#N/A</v>
      </c>
      <c r="AT380" s="1"/>
      <c r="AU380" s="1"/>
      <c r="AV380" s="1"/>
      <c r="AW380" s="1"/>
      <c r="AX380" s="1"/>
    </row>
    <row r="381" spans="1:50" ht="14.5" hidden="1" customHeight="1" x14ac:dyDescent="0.35">
      <c r="A381" s="5" t="str">
        <f t="shared" si="10"/>
        <v>INSTRUMENTBSNSS_AREA</v>
      </c>
      <c r="B381" s="1" t="s">
        <v>1649</v>
      </c>
      <c r="C381" s="1" t="s">
        <v>785</v>
      </c>
      <c r="D381" s="1" t="s">
        <v>134</v>
      </c>
      <c r="E381" s="1" t="s">
        <v>37</v>
      </c>
      <c r="F381" s="26" t="s">
        <v>1650</v>
      </c>
      <c r="G381" s="1" t="s">
        <v>1650</v>
      </c>
      <c r="H381" s="1" t="s">
        <v>39</v>
      </c>
      <c r="I381" s="1" t="s">
        <v>39</v>
      </c>
      <c r="J381" s="1" t="s">
        <v>39</v>
      </c>
      <c r="K381" s="1" t="s">
        <v>39</v>
      </c>
      <c r="L381" s="1" t="s">
        <v>39</v>
      </c>
      <c r="M381" s="1" t="s">
        <v>39</v>
      </c>
      <c r="N381" s="1" t="s">
        <v>39</v>
      </c>
      <c r="O381" s="1" t="s">
        <v>39</v>
      </c>
      <c r="P381" s="1" t="s">
        <v>37</v>
      </c>
      <c r="Q381" s="1" t="s">
        <v>39</v>
      </c>
      <c r="R381" s="1" t="s">
        <v>136</v>
      </c>
      <c r="S381" s="1" t="s">
        <v>52</v>
      </c>
      <c r="T381" s="1" t="s">
        <v>53</v>
      </c>
      <c r="U381" s="1" t="s">
        <v>42</v>
      </c>
      <c r="V381" s="1" t="s">
        <v>46</v>
      </c>
      <c r="W381" s="1" t="s">
        <v>1651</v>
      </c>
      <c r="X381" s="1" t="s">
        <v>1652</v>
      </c>
      <c r="Y381" s="1" t="s">
        <v>45</v>
      </c>
      <c r="Z381" s="1" t="s">
        <v>46</v>
      </c>
      <c r="AA381" s="1" t="s">
        <v>47</v>
      </c>
      <c r="AB381" s="1" t="s">
        <v>37</v>
      </c>
      <c r="AC381" s="1" t="s">
        <v>39</v>
      </c>
      <c r="AD381" s="1" t="s">
        <v>37</v>
      </c>
      <c r="AE381" s="1" t="s">
        <v>39</v>
      </c>
      <c r="AF381" s="1" t="s">
        <v>37</v>
      </c>
      <c r="AG381" s="1" t="s">
        <v>37</v>
      </c>
      <c r="AH381" s="1" t="s">
        <v>39</v>
      </c>
      <c r="AI381" s="1" t="s">
        <v>39</v>
      </c>
      <c r="AJ381" s="1" t="s">
        <v>39</v>
      </c>
      <c r="AK381" s="1" t="str">
        <f t="shared" si="11"/>
        <v>Fora de âmbito</v>
      </c>
      <c r="AL381" s="1" t="str">
        <f>+IF(IFERROR(VLOOKUP(A381,Ficheiros!I:I,1,FALSE),"")=A381,"Sim","Não")</f>
        <v>Não</v>
      </c>
      <c r="AM381" s="1" t="str">
        <f>+IF(IFERROR(VLOOKUP(A381,Ficheiros!E:E,1,FALSE),"")=A381,"Sim","Não")</f>
        <v>Não</v>
      </c>
      <c r="AN381" s="1" t="str">
        <f>+IF(IFERROR(VLOOKUP(A381,Ficheiros!O:O,1,FALSE),"")=A381,"Sim","Não")</f>
        <v>Não</v>
      </c>
      <c r="AO381" s="1" t="str">
        <f>+IF(IFERROR(VLOOKUP(A381,'Especificação Novos Req. LT (2'!A:A,1,FALSE),"")=A381,"Sim","Não")</f>
        <v>Não</v>
      </c>
      <c r="AP381" s="1" t="str">
        <f>+IF(IFERROR(VLOOKUP(A381,Ficheiros!T:T,1,FALSE),"")=A381,"Sim","Não")</f>
        <v>Não</v>
      </c>
      <c r="AQ381" s="1" t="e">
        <f>+VLOOKUP(A381,Ficheiros!O:P,2,FALSE)</f>
        <v>#N/A</v>
      </c>
      <c r="AR381" s="1" t="e">
        <f>+VLOOKUP(A381,Ficheiros!R:S,3,FALSE)</f>
        <v>#N/A</v>
      </c>
      <c r="AS381" s="1" t="e">
        <f>+VLOOKUP(A381,Ficheiros!T:V,3,FALSE)</f>
        <v>#N/A</v>
      </c>
      <c r="AT381" s="1"/>
      <c r="AU381" s="1"/>
      <c r="AV381" s="1"/>
      <c r="AW381" s="1"/>
      <c r="AX381" s="1"/>
    </row>
    <row r="382" spans="1:50" ht="14.5" hidden="1" customHeight="1" x14ac:dyDescent="0.35">
      <c r="A382" s="5" t="str">
        <f t="shared" si="10"/>
        <v>INSTRUMENTMNGMNT_PRDCT</v>
      </c>
      <c r="B382" s="1" t="s">
        <v>1653</v>
      </c>
      <c r="C382" s="1" t="s">
        <v>785</v>
      </c>
      <c r="D382" s="1" t="s">
        <v>134</v>
      </c>
      <c r="E382" s="1" t="s">
        <v>37</v>
      </c>
      <c r="F382" s="28" t="s">
        <v>1654</v>
      </c>
      <c r="G382" s="1" t="s">
        <v>1654</v>
      </c>
      <c r="H382" s="1" t="s">
        <v>39</v>
      </c>
      <c r="I382" s="1" t="s">
        <v>39</v>
      </c>
      <c r="J382" s="1" t="s">
        <v>39</v>
      </c>
      <c r="K382" s="1" t="s">
        <v>39</v>
      </c>
      <c r="L382" s="1" t="s">
        <v>39</v>
      </c>
      <c r="M382" s="1" t="s">
        <v>39</v>
      </c>
      <c r="N382" s="1" t="s">
        <v>39</v>
      </c>
      <c r="O382" s="1" t="s">
        <v>39</v>
      </c>
      <c r="P382" s="1" t="s">
        <v>37</v>
      </c>
      <c r="Q382" s="1" t="s">
        <v>39</v>
      </c>
      <c r="R382" s="1" t="s">
        <v>136</v>
      </c>
      <c r="S382" s="1" t="s">
        <v>52</v>
      </c>
      <c r="T382" s="1" t="s">
        <v>53</v>
      </c>
      <c r="U382" s="1" t="s">
        <v>42</v>
      </c>
      <c r="V382" s="1" t="s">
        <v>46</v>
      </c>
      <c r="W382" s="1" t="s">
        <v>1655</v>
      </c>
      <c r="X382" s="1" t="s">
        <v>1656</v>
      </c>
      <c r="Y382" s="1" t="s">
        <v>45</v>
      </c>
      <c r="Z382" s="1" t="s">
        <v>46</v>
      </c>
      <c r="AA382" s="1" t="s">
        <v>47</v>
      </c>
      <c r="AB382" s="1" t="s">
        <v>37</v>
      </c>
      <c r="AC382" s="1" t="s">
        <v>39</v>
      </c>
      <c r="AD382" s="1" t="s">
        <v>37</v>
      </c>
      <c r="AE382" s="1" t="s">
        <v>39</v>
      </c>
      <c r="AF382" s="1" t="s">
        <v>37</v>
      </c>
      <c r="AG382" s="1" t="s">
        <v>37</v>
      </c>
      <c r="AH382" s="1" t="s">
        <v>39</v>
      </c>
      <c r="AI382" s="1" t="s">
        <v>39</v>
      </c>
      <c r="AJ382" s="1" t="s">
        <v>39</v>
      </c>
      <c r="AK382" s="1" t="str">
        <f t="shared" si="11"/>
        <v>Fora de âmbito</v>
      </c>
      <c r="AL382" s="1" t="str">
        <f>+IF(IFERROR(VLOOKUP(A382,Ficheiros!I:I,1,FALSE),"")=A382,"Sim","Não")</f>
        <v>Não</v>
      </c>
      <c r="AM382" s="1" t="str">
        <f>+IF(IFERROR(VLOOKUP(A382,Ficheiros!E:E,1,FALSE),"")=A382,"Sim","Não")</f>
        <v>Não</v>
      </c>
      <c r="AN382" s="1" t="str">
        <f>+IF(IFERROR(VLOOKUP(A382,Ficheiros!O:O,1,FALSE),"")=A382,"Sim","Não")</f>
        <v>Não</v>
      </c>
      <c r="AO382" s="1" t="str">
        <f>+IF(IFERROR(VLOOKUP(A382,'Especificação Novos Req. LT (2'!A:A,1,FALSE),"")=A382,"Sim","Não")</f>
        <v>Não</v>
      </c>
      <c r="AP382" s="1" t="str">
        <f>+IF(IFERROR(VLOOKUP(A382,Ficheiros!T:T,1,FALSE),"")=A382,"Sim","Não")</f>
        <v>Não</v>
      </c>
      <c r="AQ382" s="1" t="e">
        <f>+VLOOKUP(A382,Ficheiros!O:P,2,FALSE)</f>
        <v>#N/A</v>
      </c>
      <c r="AR382" s="1" t="e">
        <f>+VLOOKUP(A382,Ficheiros!R:S,3,FALSE)</f>
        <v>#N/A</v>
      </c>
      <c r="AS382" s="1" t="e">
        <f>+VLOOKUP(A382,Ficheiros!T:V,3,FALSE)</f>
        <v>#N/A</v>
      </c>
      <c r="AT382" s="1"/>
      <c r="AU382" s="1"/>
      <c r="AV382" s="1"/>
      <c r="AW382" s="1"/>
      <c r="AX382" s="1"/>
    </row>
    <row r="383" spans="1:50" ht="14.5" hidden="1" customHeight="1" x14ac:dyDescent="0.35">
      <c r="A383" s="5" t="str">
        <f t="shared" si="10"/>
        <v>INSTRUMENTGRSS_CMMSSN_EXPNS</v>
      </c>
      <c r="B383" s="1" t="s">
        <v>1657</v>
      </c>
      <c r="C383" s="1" t="s">
        <v>785</v>
      </c>
      <c r="D383" s="1" t="s">
        <v>271</v>
      </c>
      <c r="E383" s="1" t="s">
        <v>37</v>
      </c>
      <c r="F383" s="26" t="s">
        <v>1658</v>
      </c>
      <c r="G383" s="1" t="s">
        <v>1658</v>
      </c>
      <c r="H383" s="1" t="s">
        <v>39</v>
      </c>
      <c r="I383" s="1" t="s">
        <v>39</v>
      </c>
      <c r="J383" s="1" t="s">
        <v>39</v>
      </c>
      <c r="K383" s="1" t="s">
        <v>39</v>
      </c>
      <c r="L383" s="1" t="s">
        <v>39</v>
      </c>
      <c r="M383" s="1" t="s">
        <v>39</v>
      </c>
      <c r="N383" s="1" t="s">
        <v>39</v>
      </c>
      <c r="O383" s="1" t="s">
        <v>39</v>
      </c>
      <c r="P383" s="1" t="s">
        <v>37</v>
      </c>
      <c r="Q383" s="1" t="s">
        <v>39</v>
      </c>
      <c r="R383" s="1" t="s">
        <v>273</v>
      </c>
      <c r="S383" s="1" t="s">
        <v>274</v>
      </c>
      <c r="T383" s="1">
        <v>99999999999</v>
      </c>
      <c r="U383" s="1">
        <v>11111111111</v>
      </c>
      <c r="V383" s="1">
        <v>11111111111</v>
      </c>
      <c r="W383" s="1" t="s">
        <v>1659</v>
      </c>
      <c r="X383" s="1" t="s">
        <v>1660</v>
      </c>
      <c r="Y383" s="1" t="s">
        <v>45</v>
      </c>
      <c r="Z383" s="1" t="s">
        <v>46</v>
      </c>
      <c r="AA383" s="1" t="s">
        <v>47</v>
      </c>
      <c r="AB383" s="1" t="s">
        <v>37</v>
      </c>
      <c r="AC383" s="1" t="s">
        <v>39</v>
      </c>
      <c r="AD383" s="1" t="s">
        <v>37</v>
      </c>
      <c r="AE383" s="1" t="s">
        <v>39</v>
      </c>
      <c r="AF383" s="1" t="s">
        <v>37</v>
      </c>
      <c r="AG383" s="1" t="s">
        <v>37</v>
      </c>
      <c r="AH383" s="1" t="s">
        <v>39</v>
      </c>
      <c r="AI383" s="1" t="s">
        <v>39</v>
      </c>
      <c r="AJ383" s="1" t="s">
        <v>39</v>
      </c>
      <c r="AK383" s="1" t="str">
        <f t="shared" si="11"/>
        <v>Fora de âmbito</v>
      </c>
      <c r="AL383" s="1" t="str">
        <f>+IF(IFERROR(VLOOKUP(A383,Ficheiros!I:I,1,FALSE),"")=A383,"Sim","Não")</f>
        <v>Não</v>
      </c>
      <c r="AM383" s="1" t="str">
        <f>+IF(IFERROR(VLOOKUP(A383,Ficheiros!E:E,1,FALSE),"")=A383,"Sim","Não")</f>
        <v>Não</v>
      </c>
      <c r="AN383" s="1" t="str">
        <f>+IF(IFERROR(VLOOKUP(A383,Ficheiros!O:O,1,FALSE),"")=A383,"Sim","Não")</f>
        <v>Não</v>
      </c>
      <c r="AO383" s="1" t="str">
        <f>+IF(IFERROR(VLOOKUP(A383,'Especificação Novos Req. LT (2'!A:A,1,FALSE),"")=A383,"Sim","Não")</f>
        <v>Não</v>
      </c>
      <c r="AP383" s="1" t="str">
        <f>+IF(IFERROR(VLOOKUP(A383,Ficheiros!T:T,1,FALSE),"")=A383,"Sim","Não")</f>
        <v>Não</v>
      </c>
      <c r="AQ383" s="1" t="e">
        <f>+VLOOKUP(A383,Ficheiros!O:P,2,FALSE)</f>
        <v>#N/A</v>
      </c>
      <c r="AR383" s="1" t="e">
        <f>+VLOOKUP(A383,Ficheiros!R:S,3,FALSE)</f>
        <v>#N/A</v>
      </c>
      <c r="AS383" s="1" t="e">
        <f>+VLOOKUP(A383,Ficheiros!T:V,3,FALSE)</f>
        <v>#N/A</v>
      </c>
      <c r="AT383" s="1"/>
      <c r="AU383" s="1"/>
      <c r="AV383" s="1"/>
      <c r="AW383" s="1"/>
      <c r="AX383" s="1"/>
    </row>
    <row r="384" spans="1:50" ht="14.5" hidden="1" customHeight="1" x14ac:dyDescent="0.35">
      <c r="A384" s="5" t="str">
        <f t="shared" si="10"/>
        <v>INSTRUMENTGNS_FNNCL_TRNSCTN_EXCHNG_DFFRNCS</v>
      </c>
      <c r="B384" s="1" t="s">
        <v>1661</v>
      </c>
      <c r="C384" s="1" t="s">
        <v>785</v>
      </c>
      <c r="D384" s="1" t="s">
        <v>271</v>
      </c>
      <c r="E384" s="1" t="s">
        <v>37</v>
      </c>
      <c r="F384" s="26" t="s">
        <v>1662</v>
      </c>
      <c r="G384" s="1" t="s">
        <v>1662</v>
      </c>
      <c r="H384" s="1" t="s">
        <v>39</v>
      </c>
      <c r="I384" s="1" t="s">
        <v>39</v>
      </c>
      <c r="J384" s="1" t="s">
        <v>39</v>
      </c>
      <c r="K384" s="1" t="s">
        <v>39</v>
      </c>
      <c r="L384" s="1" t="s">
        <v>39</v>
      </c>
      <c r="M384" s="1" t="s">
        <v>39</v>
      </c>
      <c r="N384" s="1" t="s">
        <v>39</v>
      </c>
      <c r="O384" s="1" t="s">
        <v>39</v>
      </c>
      <c r="P384" s="1" t="s">
        <v>37</v>
      </c>
      <c r="Q384" s="1" t="s">
        <v>39</v>
      </c>
      <c r="R384" s="1" t="s">
        <v>273</v>
      </c>
      <c r="S384" s="1" t="s">
        <v>274</v>
      </c>
      <c r="T384" s="1">
        <v>99999999999</v>
      </c>
      <c r="U384" s="1">
        <v>11111111111</v>
      </c>
      <c r="V384" s="1">
        <v>11111111111</v>
      </c>
      <c r="W384" s="1" t="s">
        <v>1663</v>
      </c>
      <c r="X384" s="1" t="s">
        <v>1664</v>
      </c>
      <c r="Y384" s="1" t="s">
        <v>45</v>
      </c>
      <c r="Z384" s="1" t="s">
        <v>46</v>
      </c>
      <c r="AA384" s="1" t="s">
        <v>47</v>
      </c>
      <c r="AB384" s="1" t="s">
        <v>37</v>
      </c>
      <c r="AC384" s="1" t="s">
        <v>39</v>
      </c>
      <c r="AD384" s="1" t="s">
        <v>37</v>
      </c>
      <c r="AE384" s="1" t="s">
        <v>39</v>
      </c>
      <c r="AF384" s="1" t="s">
        <v>37</v>
      </c>
      <c r="AG384" s="1" t="s">
        <v>37</v>
      </c>
      <c r="AH384" s="1" t="s">
        <v>39</v>
      </c>
      <c r="AI384" s="1" t="s">
        <v>39</v>
      </c>
      <c r="AJ384" s="1" t="s">
        <v>39</v>
      </c>
      <c r="AK384" s="1" t="str">
        <f t="shared" si="11"/>
        <v>Fora de âmbito</v>
      </c>
      <c r="AL384" s="1" t="str">
        <f>+IF(IFERROR(VLOOKUP(A384,Ficheiros!I:I,1,FALSE),"")=A384,"Sim","Não")</f>
        <v>Não</v>
      </c>
      <c r="AM384" s="1" t="str">
        <f>+IF(IFERROR(VLOOKUP(A384,Ficheiros!E:E,1,FALSE),"")=A384,"Sim","Não")</f>
        <v>Não</v>
      </c>
      <c r="AN384" s="1" t="str">
        <f>+IF(IFERROR(VLOOKUP(A384,Ficheiros!O:O,1,FALSE),"")=A384,"Sim","Não")</f>
        <v>Não</v>
      </c>
      <c r="AO384" s="1" t="str">
        <f>+IF(IFERROR(VLOOKUP(A384,'Especificação Novos Req. LT (2'!A:A,1,FALSE),"")=A384,"Sim","Não")</f>
        <v>Não</v>
      </c>
      <c r="AP384" s="1" t="str">
        <f>+IF(IFERROR(VLOOKUP(A384,Ficheiros!T:T,1,FALSE),"")=A384,"Sim","Não")</f>
        <v>Não</v>
      </c>
      <c r="AQ384" s="1" t="e">
        <f>+VLOOKUP(A384,Ficheiros!O:P,2,FALSE)</f>
        <v>#N/A</v>
      </c>
      <c r="AR384" s="1" t="e">
        <f>+VLOOKUP(A384,Ficheiros!R:S,3,FALSE)</f>
        <v>#N/A</v>
      </c>
      <c r="AS384" s="1" t="e">
        <f>+VLOOKUP(A384,Ficheiros!T:V,3,FALSE)</f>
        <v>#N/A</v>
      </c>
      <c r="AT384" s="1"/>
      <c r="AU384" s="1"/>
      <c r="AV384" s="1"/>
      <c r="AW384" s="1"/>
      <c r="AX384" s="1"/>
    </row>
    <row r="385" spans="1:50" ht="14.5" hidden="1" customHeight="1" x14ac:dyDescent="0.35">
      <c r="A385" s="5" t="str">
        <f t="shared" si="10"/>
        <v>INSTRUMENTFLG_INTRBSNSS</v>
      </c>
      <c r="B385" s="1" t="s">
        <v>1665</v>
      </c>
      <c r="C385" s="1" t="s">
        <v>785</v>
      </c>
      <c r="D385" s="1" t="s">
        <v>271</v>
      </c>
      <c r="E385" s="1" t="s">
        <v>37</v>
      </c>
      <c r="F385" s="25" t="s">
        <v>1666</v>
      </c>
      <c r="G385" s="1" t="s">
        <v>1666</v>
      </c>
      <c r="H385" s="1" t="s">
        <v>39</v>
      </c>
      <c r="I385" s="1" t="s">
        <v>39</v>
      </c>
      <c r="J385" s="1" t="s">
        <v>39</v>
      </c>
      <c r="K385" s="1" t="s">
        <v>39</v>
      </c>
      <c r="L385" s="1" t="s">
        <v>39</v>
      </c>
      <c r="M385" s="1" t="s">
        <v>39</v>
      </c>
      <c r="N385" s="1" t="s">
        <v>39</v>
      </c>
      <c r="O385" s="1" t="s">
        <v>39</v>
      </c>
      <c r="P385" s="1" t="s">
        <v>37</v>
      </c>
      <c r="Q385" s="1" t="s">
        <v>39</v>
      </c>
      <c r="R385" s="1" t="s">
        <v>141</v>
      </c>
      <c r="S385" s="1" t="s">
        <v>142</v>
      </c>
      <c r="T385" s="1" t="s">
        <v>53</v>
      </c>
      <c r="U385" s="1" t="s">
        <v>42</v>
      </c>
      <c r="V385" s="1" t="s">
        <v>46</v>
      </c>
      <c r="W385" s="1" t="s">
        <v>1667</v>
      </c>
      <c r="X385" s="1" t="s">
        <v>1668</v>
      </c>
      <c r="Y385" s="1" t="s">
        <v>45</v>
      </c>
      <c r="Z385" s="1" t="s">
        <v>46</v>
      </c>
      <c r="AA385" s="1" t="s">
        <v>47</v>
      </c>
      <c r="AB385" s="1" t="s">
        <v>37</v>
      </c>
      <c r="AC385" s="1" t="s">
        <v>39</v>
      </c>
      <c r="AD385" s="1" t="s">
        <v>37</v>
      </c>
      <c r="AE385" s="1" t="s">
        <v>37</v>
      </c>
      <c r="AF385" s="1" t="s">
        <v>37</v>
      </c>
      <c r="AG385" s="1" t="s">
        <v>37</v>
      </c>
      <c r="AH385" s="1" t="s">
        <v>39</v>
      </c>
      <c r="AI385" s="1" t="s">
        <v>39</v>
      </c>
      <c r="AJ385" s="1" t="s">
        <v>39</v>
      </c>
      <c r="AK385" s="1" t="str">
        <f t="shared" si="11"/>
        <v>Fora de âmbito</v>
      </c>
      <c r="AL385" s="1" t="str">
        <f>+IF(IFERROR(VLOOKUP(A385,Ficheiros!I:I,1,FALSE),"")=A385,"Sim","Não")</f>
        <v>Não</v>
      </c>
      <c r="AM385" s="1" t="str">
        <f>+IF(IFERROR(VLOOKUP(A385,Ficheiros!E:E,1,FALSE),"")=A385,"Sim","Não")</f>
        <v>Não</v>
      </c>
      <c r="AN385" s="1" t="str">
        <f>+IF(IFERROR(VLOOKUP(A385,Ficheiros!O:O,1,FALSE),"")=A385,"Sim","Não")</f>
        <v>Não</v>
      </c>
      <c r="AO385" s="1" t="str">
        <f>+IF(IFERROR(VLOOKUP(A385,'Especificação Novos Req. LT (2'!A:A,1,FALSE),"")=A385,"Sim","Não")</f>
        <v>Não</v>
      </c>
      <c r="AP385" s="1" t="str">
        <f>+IF(IFERROR(VLOOKUP(A385,Ficheiros!T:T,1,FALSE),"")=A385,"Sim","Não")</f>
        <v>Não</v>
      </c>
      <c r="AQ385" s="1" t="e">
        <f>+VLOOKUP(A385,Ficheiros!O:P,2,FALSE)</f>
        <v>#N/A</v>
      </c>
      <c r="AR385" s="1" t="e">
        <f>+VLOOKUP(A385,Ficheiros!R:S,3,FALSE)</f>
        <v>#N/A</v>
      </c>
      <c r="AS385" s="1" t="e">
        <f>+VLOOKUP(A385,Ficheiros!T:V,3,FALSE)</f>
        <v>#N/A</v>
      </c>
      <c r="AT385" s="1"/>
      <c r="AU385" s="1"/>
      <c r="AV385" s="1"/>
      <c r="AW385" s="1"/>
      <c r="AX385" s="1"/>
    </row>
    <row r="386" spans="1:50" ht="14.5" hidden="1" customHeight="1" x14ac:dyDescent="0.35">
      <c r="A386" s="5" t="str">
        <f t="shared" si="10"/>
        <v>INSTRUMENTINTRBSNSS_ADJ_COD</v>
      </c>
      <c r="B386" s="1" t="s">
        <v>1669</v>
      </c>
      <c r="C386" s="1" t="s">
        <v>785</v>
      </c>
      <c r="D386" s="1" t="s">
        <v>271</v>
      </c>
      <c r="E386" s="1" t="s">
        <v>37</v>
      </c>
      <c r="F386" s="25" t="s">
        <v>1670</v>
      </c>
      <c r="G386" s="1" t="s">
        <v>1670</v>
      </c>
      <c r="H386" s="1" t="s">
        <v>39</v>
      </c>
      <c r="I386" s="1" t="s">
        <v>39</v>
      </c>
      <c r="J386" s="1" t="s">
        <v>39</v>
      </c>
      <c r="K386" s="1" t="s">
        <v>39</v>
      </c>
      <c r="L386" s="1" t="s">
        <v>39</v>
      </c>
      <c r="M386" s="1" t="s">
        <v>39</v>
      </c>
      <c r="N386" s="1" t="s">
        <v>39</v>
      </c>
      <c r="O386" s="1" t="s">
        <v>39</v>
      </c>
      <c r="P386" s="1" t="s">
        <v>37</v>
      </c>
      <c r="Q386" s="1" t="s">
        <v>39</v>
      </c>
      <c r="R386" s="1" t="s">
        <v>136</v>
      </c>
      <c r="S386" s="1" t="s">
        <v>52</v>
      </c>
      <c r="T386" s="1" t="s">
        <v>53</v>
      </c>
      <c r="U386" s="1" t="s">
        <v>46</v>
      </c>
      <c r="V386" s="1" t="s">
        <v>46</v>
      </c>
      <c r="W386" s="1" t="s">
        <v>1671</v>
      </c>
      <c r="X386" s="1" t="s">
        <v>1672</v>
      </c>
      <c r="Y386" s="1" t="s">
        <v>45</v>
      </c>
      <c r="Z386" s="1" t="s">
        <v>46</v>
      </c>
      <c r="AA386" s="1" t="s">
        <v>47</v>
      </c>
      <c r="AB386" s="1" t="s">
        <v>37</v>
      </c>
      <c r="AC386" s="1" t="s">
        <v>39</v>
      </c>
      <c r="AD386" s="1" t="s">
        <v>37</v>
      </c>
      <c r="AE386" s="1" t="s">
        <v>37</v>
      </c>
      <c r="AF386" s="1" t="s">
        <v>37</v>
      </c>
      <c r="AG386" s="1" t="s">
        <v>37</v>
      </c>
      <c r="AH386" s="1" t="s">
        <v>39</v>
      </c>
      <c r="AI386" s="1" t="s">
        <v>39</v>
      </c>
      <c r="AJ386" s="1" t="s">
        <v>39</v>
      </c>
      <c r="AK386" s="1" t="str">
        <f t="shared" si="11"/>
        <v>Fora de âmbito</v>
      </c>
      <c r="AL386" s="1" t="str">
        <f>+IF(IFERROR(VLOOKUP(A386,Ficheiros!I:I,1,FALSE),"")=A386,"Sim","Não")</f>
        <v>Não</v>
      </c>
      <c r="AM386" s="1" t="str">
        <f>+IF(IFERROR(VLOOKUP(A386,Ficheiros!E:E,1,FALSE),"")=A386,"Sim","Não")</f>
        <v>Não</v>
      </c>
      <c r="AN386" s="1" t="str">
        <f>+IF(IFERROR(VLOOKUP(A386,Ficheiros!O:O,1,FALSE),"")=A386,"Sim","Não")</f>
        <v>Não</v>
      </c>
      <c r="AO386" s="1" t="str">
        <f>+IF(IFERROR(VLOOKUP(A386,'Especificação Novos Req. LT (2'!A:A,1,FALSE),"")=A386,"Sim","Não")</f>
        <v>Não</v>
      </c>
      <c r="AP386" s="1" t="str">
        <f>+IF(IFERROR(VLOOKUP(A386,Ficheiros!T:T,1,FALSE),"")=A386,"Sim","Não")</f>
        <v>Não</v>
      </c>
      <c r="AQ386" s="1" t="e">
        <f>+VLOOKUP(A386,Ficheiros!O:P,2,FALSE)</f>
        <v>#N/A</v>
      </c>
      <c r="AR386" s="1" t="e">
        <f>+VLOOKUP(A386,Ficheiros!R:S,3,FALSE)</f>
        <v>#N/A</v>
      </c>
      <c r="AS386" s="1" t="e">
        <f>+VLOOKUP(A386,Ficheiros!T:V,3,FALSE)</f>
        <v>#N/A</v>
      </c>
      <c r="AT386" s="1"/>
      <c r="AU386" s="1"/>
      <c r="AV386" s="1"/>
      <c r="AW386" s="1"/>
      <c r="AX386" s="1"/>
    </row>
    <row r="387" spans="1:50" ht="14.5" hidden="1" customHeight="1" x14ac:dyDescent="0.35">
      <c r="A387" s="5" t="str">
        <f t="shared" si="10"/>
        <v>INSTRUMENTCOD_SOC_DSTNTN</v>
      </c>
      <c r="B387" s="1" t="s">
        <v>1673</v>
      </c>
      <c r="C387" s="1" t="s">
        <v>785</v>
      </c>
      <c r="D387" s="1" t="s">
        <v>36</v>
      </c>
      <c r="E387" s="1" t="s">
        <v>37</v>
      </c>
      <c r="F387" s="25" t="s">
        <v>1674</v>
      </c>
      <c r="G387" s="1" t="s">
        <v>1674</v>
      </c>
      <c r="H387" s="1" t="s">
        <v>39</v>
      </c>
      <c r="I387" s="1" t="s">
        <v>39</v>
      </c>
      <c r="J387" s="1" t="s">
        <v>39</v>
      </c>
      <c r="K387" s="1" t="s">
        <v>39</v>
      </c>
      <c r="L387" s="1" t="s">
        <v>39</v>
      </c>
      <c r="M387" s="1" t="s">
        <v>39</v>
      </c>
      <c r="N387" s="1" t="s">
        <v>39</v>
      </c>
      <c r="O387" s="1" t="s">
        <v>39</v>
      </c>
      <c r="P387" s="1" t="s">
        <v>37</v>
      </c>
      <c r="Q387" s="1" t="s">
        <v>39</v>
      </c>
      <c r="R387" s="1" t="s">
        <v>40</v>
      </c>
      <c r="S387" s="1" t="s">
        <v>41</v>
      </c>
      <c r="T387" s="1" t="s">
        <v>42</v>
      </c>
      <c r="U387" s="1" t="s">
        <v>1615</v>
      </c>
      <c r="V387" s="1" t="s">
        <v>1615</v>
      </c>
      <c r="W387" s="1" t="s">
        <v>1675</v>
      </c>
      <c r="X387" s="1" t="s">
        <v>1676</v>
      </c>
      <c r="Y387" s="1" t="s">
        <v>45</v>
      </c>
      <c r="Z387" s="1" t="s">
        <v>46</v>
      </c>
      <c r="AA387" s="1" t="s">
        <v>47</v>
      </c>
      <c r="AB387" s="1" t="s">
        <v>37</v>
      </c>
      <c r="AC387" s="1" t="s">
        <v>39</v>
      </c>
      <c r="AD387" s="1" t="s">
        <v>37</v>
      </c>
      <c r="AE387" s="1" t="s">
        <v>37</v>
      </c>
      <c r="AF387" s="1" t="s">
        <v>37</v>
      </c>
      <c r="AG387" s="1" t="s">
        <v>37</v>
      </c>
      <c r="AH387" s="1" t="s">
        <v>39</v>
      </c>
      <c r="AI387" s="1" t="s">
        <v>39</v>
      </c>
      <c r="AJ387" s="1" t="s">
        <v>39</v>
      </c>
      <c r="AK387" s="1" t="str">
        <f t="shared" si="11"/>
        <v>Fora de âmbito</v>
      </c>
      <c r="AL387" s="1" t="str">
        <f>+IF(IFERROR(VLOOKUP(A387,Ficheiros!I:I,1,FALSE),"")=A387,"Sim","Não")</f>
        <v>Não</v>
      </c>
      <c r="AM387" s="1" t="str">
        <f>+IF(IFERROR(VLOOKUP(A387,Ficheiros!E:E,1,FALSE),"")=A387,"Sim","Não")</f>
        <v>Não</v>
      </c>
      <c r="AN387" s="1" t="str">
        <f>+IF(IFERROR(VLOOKUP(A387,Ficheiros!O:O,1,FALSE),"")=A387,"Sim","Não")</f>
        <v>Não</v>
      </c>
      <c r="AO387" s="1" t="str">
        <f>+IF(IFERROR(VLOOKUP(A387,'Especificação Novos Req. LT (2'!A:A,1,FALSE),"")=A387,"Sim","Não")</f>
        <v>Não</v>
      </c>
      <c r="AP387" s="1" t="str">
        <f>+IF(IFERROR(VLOOKUP(A387,Ficheiros!T:T,1,FALSE),"")=A387,"Sim","Não")</f>
        <v>Não</v>
      </c>
      <c r="AQ387" s="1" t="e">
        <f>+VLOOKUP(A387,Ficheiros!O:P,2,FALSE)</f>
        <v>#N/A</v>
      </c>
      <c r="AR387" s="1" t="e">
        <f>+VLOOKUP(A387,Ficheiros!R:S,3,FALSE)</f>
        <v>#N/A</v>
      </c>
      <c r="AS387" s="1" t="e">
        <f>+VLOOKUP(A387,Ficheiros!T:V,3,FALSE)</f>
        <v>#N/A</v>
      </c>
      <c r="AT387" s="1"/>
      <c r="AU387" s="1"/>
      <c r="AV387" s="1"/>
      <c r="AW387" s="1"/>
      <c r="AX387" s="1"/>
    </row>
    <row r="388" spans="1:50" ht="14.5" hidden="1" customHeight="1" x14ac:dyDescent="0.35">
      <c r="A388" s="5" t="str">
        <f t="shared" si="10"/>
        <v>INSTRUMENTBSNSS_AREA_DSTNTN</v>
      </c>
      <c r="B388" s="1" t="s">
        <v>1677</v>
      </c>
      <c r="C388" s="1" t="s">
        <v>785</v>
      </c>
      <c r="D388" s="1" t="s">
        <v>134</v>
      </c>
      <c r="E388" s="1" t="s">
        <v>37</v>
      </c>
      <c r="F388" s="26" t="s">
        <v>1678</v>
      </c>
      <c r="G388" s="1" t="s">
        <v>1678</v>
      </c>
      <c r="H388" s="1" t="s">
        <v>39</v>
      </c>
      <c r="I388" s="1" t="s">
        <v>39</v>
      </c>
      <c r="J388" s="1" t="s">
        <v>39</v>
      </c>
      <c r="K388" s="1" t="s">
        <v>39</v>
      </c>
      <c r="L388" s="1" t="s">
        <v>39</v>
      </c>
      <c r="M388" s="1" t="s">
        <v>39</v>
      </c>
      <c r="N388" s="1" t="s">
        <v>39</v>
      </c>
      <c r="O388" s="1" t="s">
        <v>39</v>
      </c>
      <c r="P388" s="1" t="s">
        <v>37</v>
      </c>
      <c r="Q388" s="1" t="s">
        <v>39</v>
      </c>
      <c r="R388" s="1" t="s">
        <v>136</v>
      </c>
      <c r="S388" s="1" t="s">
        <v>52</v>
      </c>
      <c r="T388" s="1" t="s">
        <v>53</v>
      </c>
      <c r="U388" s="1" t="s">
        <v>46</v>
      </c>
      <c r="V388" s="1" t="s">
        <v>46</v>
      </c>
      <c r="W388" s="1" t="s">
        <v>1679</v>
      </c>
      <c r="X388" s="1" t="s">
        <v>1680</v>
      </c>
      <c r="Y388" s="1" t="s">
        <v>45</v>
      </c>
      <c r="Z388" s="1" t="s">
        <v>46</v>
      </c>
      <c r="AA388" s="1" t="s">
        <v>47</v>
      </c>
      <c r="AB388" s="1" t="s">
        <v>37</v>
      </c>
      <c r="AC388" s="1" t="s">
        <v>39</v>
      </c>
      <c r="AD388" s="1" t="s">
        <v>37</v>
      </c>
      <c r="AE388" s="1" t="s">
        <v>37</v>
      </c>
      <c r="AF388" s="1" t="s">
        <v>37</v>
      </c>
      <c r="AG388" s="1" t="s">
        <v>37</v>
      </c>
      <c r="AH388" s="1" t="s">
        <v>39</v>
      </c>
      <c r="AI388" s="1" t="s">
        <v>39</v>
      </c>
      <c r="AJ388" s="1" t="s">
        <v>39</v>
      </c>
      <c r="AK388" s="1" t="str">
        <f t="shared" si="11"/>
        <v>Fora de âmbito</v>
      </c>
      <c r="AL388" s="1" t="str">
        <f>+IF(IFERROR(VLOOKUP(A388,Ficheiros!I:I,1,FALSE),"")=A388,"Sim","Não")</f>
        <v>Não</v>
      </c>
      <c r="AM388" s="1" t="str">
        <f>+IF(IFERROR(VLOOKUP(A388,Ficheiros!E:E,1,FALSE),"")=A388,"Sim","Não")</f>
        <v>Não</v>
      </c>
      <c r="AN388" s="1" t="str">
        <f>+IF(IFERROR(VLOOKUP(A388,Ficheiros!O:O,1,FALSE),"")=A388,"Sim","Não")</f>
        <v>Não</v>
      </c>
      <c r="AO388" s="1" t="str">
        <f>+IF(IFERROR(VLOOKUP(A388,'Especificação Novos Req. LT (2'!A:A,1,FALSE),"")=A388,"Sim","Não")</f>
        <v>Não</v>
      </c>
      <c r="AP388" s="1" t="str">
        <f>+IF(IFERROR(VLOOKUP(A388,Ficheiros!T:T,1,FALSE),"")=A388,"Sim","Não")</f>
        <v>Não</v>
      </c>
      <c r="AQ388" s="1" t="e">
        <f>+VLOOKUP(A388,Ficheiros!O:P,2,FALSE)</f>
        <v>#N/A</v>
      </c>
      <c r="AR388" s="1" t="e">
        <f>+VLOOKUP(A388,Ficheiros!R:S,3,FALSE)</f>
        <v>#N/A</v>
      </c>
      <c r="AS388" s="1" t="e">
        <f>+VLOOKUP(A388,Ficheiros!T:V,3,FALSE)</f>
        <v>#N/A</v>
      </c>
      <c r="AT388" s="1"/>
      <c r="AU388" s="1"/>
      <c r="AV388" s="1"/>
      <c r="AW388" s="1"/>
      <c r="AX388" s="1"/>
    </row>
    <row r="389" spans="1:50" ht="14.5" hidden="1" customHeight="1" x14ac:dyDescent="0.35">
      <c r="A389" s="5" t="str">
        <f t="shared" si="10"/>
        <v>INSTRUMENTAVRG_BLNC_OFF_BLNC</v>
      </c>
      <c r="B389" s="1" t="s">
        <v>1681</v>
      </c>
      <c r="C389" s="1" t="s">
        <v>785</v>
      </c>
      <c r="D389" s="1" t="s">
        <v>271</v>
      </c>
      <c r="E389" s="1" t="s">
        <v>37</v>
      </c>
      <c r="F389" s="26" t="s">
        <v>1682</v>
      </c>
      <c r="G389" s="1" t="s">
        <v>1682</v>
      </c>
      <c r="H389" s="1" t="s">
        <v>39</v>
      </c>
      <c r="I389" s="1" t="s">
        <v>39</v>
      </c>
      <c r="J389" s="1" t="s">
        <v>39</v>
      </c>
      <c r="K389" s="1" t="s">
        <v>39</v>
      </c>
      <c r="L389" s="1" t="s">
        <v>39</v>
      </c>
      <c r="M389" s="1" t="s">
        <v>39</v>
      </c>
      <c r="N389" s="1" t="s">
        <v>39</v>
      </c>
      <c r="O389" s="1" t="s">
        <v>37</v>
      </c>
      <c r="P389" s="1" t="s">
        <v>37</v>
      </c>
      <c r="Q389" s="1" t="s">
        <v>39</v>
      </c>
      <c r="R389" s="1" t="s">
        <v>273</v>
      </c>
      <c r="S389" s="1" t="s">
        <v>274</v>
      </c>
      <c r="T389" s="1">
        <v>99999999999</v>
      </c>
      <c r="U389" s="1">
        <v>11111111111</v>
      </c>
      <c r="V389" s="1">
        <v>11111111111</v>
      </c>
      <c r="W389" s="1" t="s">
        <v>1683</v>
      </c>
      <c r="X389" s="1" t="s">
        <v>1684</v>
      </c>
      <c r="Y389" s="1" t="s">
        <v>45</v>
      </c>
      <c r="Z389" s="1" t="s">
        <v>46</v>
      </c>
      <c r="AA389" s="1" t="s">
        <v>47</v>
      </c>
      <c r="AB389" s="1" t="s">
        <v>37</v>
      </c>
      <c r="AC389" s="1" t="s">
        <v>39</v>
      </c>
      <c r="AD389" s="1" t="s">
        <v>37</v>
      </c>
      <c r="AE389" s="1" t="s">
        <v>37</v>
      </c>
      <c r="AF389" s="1" t="s">
        <v>37</v>
      </c>
      <c r="AG389" s="1" t="s">
        <v>37</v>
      </c>
      <c r="AH389" s="1" t="s">
        <v>39</v>
      </c>
      <c r="AI389" s="1" t="s">
        <v>39</v>
      </c>
      <c r="AJ389" s="1" t="s">
        <v>39</v>
      </c>
      <c r="AK389" s="1" t="str">
        <f t="shared" si="11"/>
        <v>Fora de âmbito</v>
      </c>
      <c r="AL389" s="1" t="str">
        <f>+IF(IFERROR(VLOOKUP(A389,Ficheiros!I:I,1,FALSE),"")=A389,"Sim","Não")</f>
        <v>Não</v>
      </c>
      <c r="AM389" s="1" t="str">
        <f>+IF(IFERROR(VLOOKUP(A389,Ficheiros!E:E,1,FALSE),"")=A389,"Sim","Não")</f>
        <v>Não</v>
      </c>
      <c r="AN389" s="1" t="str">
        <f>+IF(IFERROR(VLOOKUP(A389,Ficheiros!O:O,1,FALSE),"")=A389,"Sim","Não")</f>
        <v>Não</v>
      </c>
      <c r="AO389" s="1" t="str">
        <f>+IF(IFERROR(VLOOKUP(A389,'Especificação Novos Req. LT (2'!A:A,1,FALSE),"")=A389,"Sim","Não")</f>
        <v>Não</v>
      </c>
      <c r="AP389" s="1" t="str">
        <f>+IF(IFERROR(VLOOKUP(A389,Ficheiros!T:T,1,FALSE),"")=A389,"Sim","Não")</f>
        <v>Não</v>
      </c>
      <c r="AQ389" s="1" t="e">
        <f>+VLOOKUP(A389,Ficheiros!O:P,2,FALSE)</f>
        <v>#N/A</v>
      </c>
      <c r="AR389" s="1" t="e">
        <f>+VLOOKUP(A389,Ficheiros!R:S,3,FALSE)</f>
        <v>#N/A</v>
      </c>
      <c r="AS389" s="1" t="e">
        <f>+VLOOKUP(A389,Ficheiros!T:V,3,FALSE)</f>
        <v>#N/A</v>
      </c>
      <c r="AT389" s="1"/>
      <c r="AU389" s="1"/>
      <c r="AV389" s="1"/>
      <c r="AW389" s="1"/>
      <c r="AX389" s="1"/>
    </row>
    <row r="390" spans="1:50" ht="14.5" hidden="1" customHeight="1" x14ac:dyDescent="0.35">
      <c r="A390" s="5" t="str">
        <f t="shared" si="10"/>
        <v>INSTRUMENTINTRNL_TRNSFR_RT_OFF_BLNC</v>
      </c>
      <c r="B390" s="1" t="s">
        <v>1685</v>
      </c>
      <c r="C390" s="1" t="s">
        <v>785</v>
      </c>
      <c r="D390" s="1" t="s">
        <v>271</v>
      </c>
      <c r="E390" s="1" t="s">
        <v>37</v>
      </c>
      <c r="F390" s="26" t="s">
        <v>1686</v>
      </c>
      <c r="G390" s="1" t="s">
        <v>1686</v>
      </c>
      <c r="H390" s="1" t="s">
        <v>39</v>
      </c>
      <c r="I390" s="1" t="s">
        <v>39</v>
      </c>
      <c r="J390" s="1" t="s">
        <v>39</v>
      </c>
      <c r="K390" s="1" t="s">
        <v>39</v>
      </c>
      <c r="L390" s="1" t="s">
        <v>39</v>
      </c>
      <c r="M390" s="1" t="s">
        <v>39</v>
      </c>
      <c r="N390" s="1" t="s">
        <v>39</v>
      </c>
      <c r="O390" s="1" t="s">
        <v>37</v>
      </c>
      <c r="P390" s="1" t="s">
        <v>37</v>
      </c>
      <c r="Q390" s="1" t="s">
        <v>39</v>
      </c>
      <c r="R390" s="1" t="s">
        <v>273</v>
      </c>
      <c r="S390" s="1" t="s">
        <v>274</v>
      </c>
      <c r="T390" s="1">
        <v>99999999999</v>
      </c>
      <c r="U390" s="1">
        <v>11111111111</v>
      </c>
      <c r="V390" s="1">
        <v>11111111111</v>
      </c>
      <c r="W390" s="1" t="s">
        <v>1687</v>
      </c>
      <c r="X390" s="1" t="s">
        <v>1688</v>
      </c>
      <c r="Y390" s="1" t="s">
        <v>45</v>
      </c>
      <c r="Z390" s="1" t="s">
        <v>46</v>
      </c>
      <c r="AA390" s="1" t="s">
        <v>47</v>
      </c>
      <c r="AB390" s="1" t="s">
        <v>37</v>
      </c>
      <c r="AC390" s="1" t="s">
        <v>39</v>
      </c>
      <c r="AD390" s="1" t="s">
        <v>37</v>
      </c>
      <c r="AE390" s="1" t="s">
        <v>39</v>
      </c>
      <c r="AF390" s="1" t="s">
        <v>37</v>
      </c>
      <c r="AG390" s="1" t="s">
        <v>37</v>
      </c>
      <c r="AH390" s="1" t="s">
        <v>39</v>
      </c>
      <c r="AI390" s="1" t="s">
        <v>39</v>
      </c>
      <c r="AJ390" s="1" t="s">
        <v>39</v>
      </c>
      <c r="AK390" s="1" t="str">
        <f t="shared" si="11"/>
        <v>Fora de âmbito</v>
      </c>
      <c r="AL390" s="1" t="str">
        <f>+IF(IFERROR(VLOOKUP(A390,Ficheiros!I:I,1,FALSE),"")=A390,"Sim","Não")</f>
        <v>Não</v>
      </c>
      <c r="AM390" s="1" t="str">
        <f>+IF(IFERROR(VLOOKUP(A390,Ficheiros!E:E,1,FALSE),"")=A390,"Sim","Não")</f>
        <v>Não</v>
      </c>
      <c r="AN390" s="1" t="str">
        <f>+IF(IFERROR(VLOOKUP(A390,Ficheiros!O:O,1,FALSE),"")=A390,"Sim","Não")</f>
        <v>Não</v>
      </c>
      <c r="AO390" s="1" t="str">
        <f>+IF(IFERROR(VLOOKUP(A390,'Especificação Novos Req. LT (2'!A:A,1,FALSE),"")=A390,"Sim","Não")</f>
        <v>Não</v>
      </c>
      <c r="AP390" s="1" t="str">
        <f>+IF(IFERROR(VLOOKUP(A390,Ficheiros!T:T,1,FALSE),"")=A390,"Sim","Não")</f>
        <v>Não</v>
      </c>
      <c r="AQ390" s="1" t="e">
        <f>+VLOOKUP(A390,Ficheiros!O:P,2,FALSE)</f>
        <v>#N/A</v>
      </c>
      <c r="AR390" s="1" t="e">
        <f>+VLOOKUP(A390,Ficheiros!R:S,3,FALSE)</f>
        <v>#N/A</v>
      </c>
      <c r="AS390" s="1" t="e">
        <f>+VLOOKUP(A390,Ficheiros!T:V,3,FALSE)</f>
        <v>#N/A</v>
      </c>
      <c r="AT390" s="1"/>
      <c r="AU390" s="1"/>
      <c r="AV390" s="1"/>
      <c r="AW390" s="1"/>
      <c r="AX390" s="1"/>
    </row>
    <row r="391" spans="1:50" ht="14.5" hidden="1" customHeight="1" x14ac:dyDescent="0.35">
      <c r="A391" s="5" t="str">
        <f t="shared" si="10"/>
        <v>INSTRUMENTGRSS_CMMSSN_INCM_OFF_BLNC</v>
      </c>
      <c r="B391" s="1" t="s">
        <v>1689</v>
      </c>
      <c r="C391" s="1" t="s">
        <v>785</v>
      </c>
      <c r="D391" s="1" t="s">
        <v>271</v>
      </c>
      <c r="E391" s="1" t="s">
        <v>37</v>
      </c>
      <c r="F391" s="26" t="s">
        <v>1690</v>
      </c>
      <c r="G391" s="1" t="s">
        <v>1690</v>
      </c>
      <c r="H391" s="1" t="s">
        <v>39</v>
      </c>
      <c r="I391" s="1" t="s">
        <v>39</v>
      </c>
      <c r="J391" s="1" t="s">
        <v>39</v>
      </c>
      <c r="K391" s="1" t="s">
        <v>39</v>
      </c>
      <c r="L391" s="1" t="s">
        <v>39</v>
      </c>
      <c r="M391" s="1" t="s">
        <v>39</v>
      </c>
      <c r="N391" s="1" t="s">
        <v>39</v>
      </c>
      <c r="O391" s="1" t="s">
        <v>37</v>
      </c>
      <c r="P391" s="1" t="s">
        <v>37</v>
      </c>
      <c r="Q391" s="1" t="s">
        <v>39</v>
      </c>
      <c r="R391" s="1" t="s">
        <v>273</v>
      </c>
      <c r="S391" s="1" t="s">
        <v>274</v>
      </c>
      <c r="T391" s="1">
        <v>99999999999</v>
      </c>
      <c r="U391" s="1">
        <v>11111111111</v>
      </c>
      <c r="V391" s="1">
        <v>11111111111</v>
      </c>
      <c r="W391" s="1" t="s">
        <v>1691</v>
      </c>
      <c r="X391" s="1" t="s">
        <v>1692</v>
      </c>
      <c r="Y391" s="1" t="s">
        <v>45</v>
      </c>
      <c r="Z391" s="1" t="s">
        <v>46</v>
      </c>
      <c r="AA391" s="1" t="s">
        <v>47</v>
      </c>
      <c r="AB391" s="1" t="s">
        <v>37</v>
      </c>
      <c r="AC391" s="1" t="s">
        <v>39</v>
      </c>
      <c r="AD391" s="1" t="s">
        <v>39</v>
      </c>
      <c r="AE391" s="1" t="s">
        <v>39</v>
      </c>
      <c r="AF391" s="1" t="s">
        <v>37</v>
      </c>
      <c r="AG391" s="1" t="s">
        <v>37</v>
      </c>
      <c r="AH391" s="1" t="s">
        <v>39</v>
      </c>
      <c r="AI391" s="1" t="s">
        <v>39</v>
      </c>
      <c r="AJ391" s="1" t="s">
        <v>39</v>
      </c>
      <c r="AK391" s="1" t="str">
        <f t="shared" si="11"/>
        <v>Apenas Pilar 3</v>
      </c>
      <c r="AL391" s="1" t="str">
        <f>+IF(IFERROR(VLOOKUP(A391,Ficheiros!I:I,1,FALSE),"")=A391,"Sim","Não")</f>
        <v>Não</v>
      </c>
      <c r="AM391" s="1" t="str">
        <f>+IF(IFERROR(VLOOKUP(A391,Ficheiros!E:E,1,FALSE),"")=A391,"Sim","Não")</f>
        <v>Não</v>
      </c>
      <c r="AN391" s="1" t="str">
        <f>+IF(IFERROR(VLOOKUP(A391,Ficheiros!O:O,1,FALSE),"")=A391,"Sim","Não")</f>
        <v>Sim</v>
      </c>
      <c r="AO391" s="1" t="str">
        <f>+IF(IFERROR(VLOOKUP(A391,'Especificação Novos Req. LT (2'!A:A,1,FALSE),"")=A391,"Sim","Não")</f>
        <v>Não</v>
      </c>
      <c r="AP391" s="1" t="str">
        <f>+IF(IFERROR(VLOOKUP(A391,Ficheiros!T:T,1,FALSE),"")=A391,"Sim","Não")</f>
        <v>Não</v>
      </c>
      <c r="AQ391" s="1" t="str">
        <f>+VLOOKUP(A391,Ficheiros!O:P,2,FALSE)</f>
        <v>2.1 Em Teste</v>
      </c>
      <c r="AR391" s="1" t="e">
        <f>+VLOOKUP(A391,Ficheiros!R:S,3,FALSE)</f>
        <v>#N/A</v>
      </c>
      <c r="AS391" s="1" t="e">
        <f>+VLOOKUP(A391,Ficheiros!T:V,3,FALSE)</f>
        <v>#N/A</v>
      </c>
      <c r="AT391" s="1"/>
      <c r="AU391" s="1"/>
      <c r="AV391" s="1"/>
      <c r="AW391" s="1"/>
      <c r="AX391" s="1"/>
    </row>
    <row r="392" spans="1:50" ht="14.5" hidden="1" customHeight="1" x14ac:dyDescent="0.35">
      <c r="A392" s="5" t="str">
        <f t="shared" ref="A392:A453" si="12">+C392&amp;G392</f>
        <v>INSTRUMENTGRSS_CMMSSN_EXPNS_OFF_BLNC</v>
      </c>
      <c r="B392" s="1" t="s">
        <v>1693</v>
      </c>
      <c r="C392" s="1" t="s">
        <v>785</v>
      </c>
      <c r="D392" s="1" t="s">
        <v>271</v>
      </c>
      <c r="E392" s="1" t="s">
        <v>37</v>
      </c>
      <c r="F392" s="26" t="s">
        <v>1694</v>
      </c>
      <c r="G392" s="1" t="s">
        <v>1694</v>
      </c>
      <c r="H392" s="1" t="s">
        <v>39</v>
      </c>
      <c r="I392" s="1" t="s">
        <v>39</v>
      </c>
      <c r="J392" s="1" t="s">
        <v>39</v>
      </c>
      <c r="K392" s="1" t="s">
        <v>39</v>
      </c>
      <c r="L392" s="1" t="s">
        <v>39</v>
      </c>
      <c r="M392" s="1" t="s">
        <v>39</v>
      </c>
      <c r="N392" s="1" t="s">
        <v>39</v>
      </c>
      <c r="O392" s="1" t="s">
        <v>37</v>
      </c>
      <c r="P392" s="1" t="s">
        <v>37</v>
      </c>
      <c r="Q392" s="1" t="s">
        <v>39</v>
      </c>
      <c r="R392" s="1" t="s">
        <v>273</v>
      </c>
      <c r="S392" s="1" t="s">
        <v>274</v>
      </c>
      <c r="T392" s="1">
        <v>99999999999</v>
      </c>
      <c r="U392" s="1">
        <v>11111111111</v>
      </c>
      <c r="V392" s="1">
        <v>11111111111</v>
      </c>
      <c r="W392" s="1" t="s">
        <v>1695</v>
      </c>
      <c r="X392" s="1" t="s">
        <v>1696</v>
      </c>
      <c r="Y392" s="1" t="s">
        <v>45</v>
      </c>
      <c r="Z392" s="1" t="s">
        <v>46</v>
      </c>
      <c r="AA392" s="1" t="s">
        <v>47</v>
      </c>
      <c r="AB392" s="1" t="s">
        <v>37</v>
      </c>
      <c r="AC392" s="1" t="s">
        <v>39</v>
      </c>
      <c r="AD392" s="1" t="s">
        <v>37</v>
      </c>
      <c r="AE392" s="1" t="s">
        <v>39</v>
      </c>
      <c r="AF392" s="1" t="s">
        <v>37</v>
      </c>
      <c r="AG392" s="1" t="s">
        <v>37</v>
      </c>
      <c r="AH392" s="1" t="s">
        <v>39</v>
      </c>
      <c r="AI392" s="1" t="s">
        <v>39</v>
      </c>
      <c r="AJ392" s="1" t="s">
        <v>39</v>
      </c>
      <c r="AK392" s="1" t="str">
        <f t="shared" ref="AK392:AK453" si="13">+IF(AND(AD392="N",AF392="N"),"Fora de âmbito",
IF(AND(AD392="N",AF392="Y"),"Apenas ESG Risk",
IF(AND(AD392="Y",AF392="N"),"Apenas Pilar 3",
IF(AND(AD392="Y",AF392="Y"),"Comum",""))))</f>
        <v>Fora de âmbito</v>
      </c>
      <c r="AL392" s="1" t="str">
        <f>+IF(IFERROR(VLOOKUP(A392,Ficheiros!I:I,1,FALSE),"")=A392,"Sim","Não")</f>
        <v>Não</v>
      </c>
      <c r="AM392" s="1" t="str">
        <f>+IF(IFERROR(VLOOKUP(A392,Ficheiros!E:E,1,FALSE),"")=A392,"Sim","Não")</f>
        <v>Não</v>
      </c>
      <c r="AN392" s="1" t="str">
        <f>+IF(IFERROR(VLOOKUP(A392,Ficheiros!O:O,1,FALSE),"")=A392,"Sim","Não")</f>
        <v>Não</v>
      </c>
      <c r="AO392" s="1" t="str">
        <f>+IF(IFERROR(VLOOKUP(A392,'Especificação Novos Req. LT (2'!A:A,1,FALSE),"")=A392,"Sim","Não")</f>
        <v>Não</v>
      </c>
      <c r="AP392" s="1" t="str">
        <f>+IF(IFERROR(VLOOKUP(A392,Ficheiros!T:T,1,FALSE),"")=A392,"Sim","Não")</f>
        <v>Não</v>
      </c>
      <c r="AQ392" s="1" t="e">
        <f>+VLOOKUP(A392,Ficheiros!O:P,2,FALSE)</f>
        <v>#N/A</v>
      </c>
      <c r="AR392" s="1" t="e">
        <f>+VLOOKUP(A392,Ficheiros!R:S,3,FALSE)</f>
        <v>#N/A</v>
      </c>
      <c r="AS392" s="1" t="e">
        <f>+VLOOKUP(A392,Ficheiros!T:V,3,FALSE)</f>
        <v>#N/A</v>
      </c>
      <c r="AT392" s="1"/>
      <c r="AU392" s="1"/>
      <c r="AV392" s="1"/>
      <c r="AW392" s="1"/>
      <c r="AX392" s="1"/>
    </row>
    <row r="393" spans="1:50" ht="14.5" hidden="1" customHeight="1" x14ac:dyDescent="0.35">
      <c r="A393" s="5" t="str">
        <f t="shared" si="12"/>
        <v>INSTRUMENTRWA_OFF_BLNC</v>
      </c>
      <c r="B393" s="1" t="s">
        <v>1697</v>
      </c>
      <c r="C393" s="1" t="s">
        <v>785</v>
      </c>
      <c r="D393" s="1" t="s">
        <v>271</v>
      </c>
      <c r="E393" s="1" t="s">
        <v>37</v>
      </c>
      <c r="F393" s="25" t="s">
        <v>1698</v>
      </c>
      <c r="G393" s="1" t="s">
        <v>1698</v>
      </c>
      <c r="H393" s="1" t="s">
        <v>258</v>
      </c>
      <c r="I393" s="1" t="s">
        <v>258</v>
      </c>
      <c r="J393" s="1" t="s">
        <v>258</v>
      </c>
      <c r="K393" s="1" t="s">
        <v>258</v>
      </c>
      <c r="L393" s="1" t="s">
        <v>258</v>
      </c>
      <c r="M393" s="1" t="s">
        <v>258</v>
      </c>
      <c r="N393" s="1" t="s">
        <v>258</v>
      </c>
      <c r="O393" s="1" t="s">
        <v>258</v>
      </c>
      <c r="P393" s="1" t="s">
        <v>37</v>
      </c>
      <c r="Q393" s="1" t="s">
        <v>39</v>
      </c>
      <c r="R393" s="1" t="s">
        <v>273</v>
      </c>
      <c r="S393" s="1" t="s">
        <v>274</v>
      </c>
      <c r="T393" s="1">
        <v>99999999999</v>
      </c>
      <c r="U393" s="1" t="s">
        <v>42</v>
      </c>
      <c r="V393" s="1">
        <v>11111111111</v>
      </c>
      <c r="W393" s="1" t="s">
        <v>1699</v>
      </c>
      <c r="X393" s="1" t="s">
        <v>1700</v>
      </c>
      <c r="Y393" s="1" t="s">
        <v>45</v>
      </c>
      <c r="Z393" s="1" t="s">
        <v>46</v>
      </c>
      <c r="AA393" s="1" t="s">
        <v>47</v>
      </c>
      <c r="AB393" s="1" t="s">
        <v>37</v>
      </c>
      <c r="AC393" s="1" t="s">
        <v>39</v>
      </c>
      <c r="AD393" s="1" t="s">
        <v>37</v>
      </c>
      <c r="AE393" s="1" t="s">
        <v>37</v>
      </c>
      <c r="AF393" s="1" t="s">
        <v>37</v>
      </c>
      <c r="AG393" s="1" t="s">
        <v>37</v>
      </c>
      <c r="AH393" s="1" t="s">
        <v>39</v>
      </c>
      <c r="AI393" s="1" t="s">
        <v>39</v>
      </c>
      <c r="AJ393" s="1" t="s">
        <v>39</v>
      </c>
      <c r="AK393" s="1" t="str">
        <f t="shared" si="13"/>
        <v>Fora de âmbito</v>
      </c>
      <c r="AL393" s="1" t="str">
        <f>+IF(IFERROR(VLOOKUP(A393,Ficheiros!I:I,1,FALSE),"")=A393,"Sim","Não")</f>
        <v>Não</v>
      </c>
      <c r="AM393" s="1" t="str">
        <f>+IF(IFERROR(VLOOKUP(A393,Ficheiros!E:E,1,FALSE),"")=A393,"Sim","Não")</f>
        <v>Não</v>
      </c>
      <c r="AN393" s="1" t="str">
        <f>+IF(IFERROR(VLOOKUP(A393,Ficheiros!O:O,1,FALSE),"")=A393,"Sim","Não")</f>
        <v>Não</v>
      </c>
      <c r="AO393" s="1" t="str">
        <f>+IF(IFERROR(VLOOKUP(A393,'Especificação Novos Req. LT (2'!A:A,1,FALSE),"")=A393,"Sim","Não")</f>
        <v>Não</v>
      </c>
      <c r="AP393" s="1" t="str">
        <f>+IF(IFERROR(VLOOKUP(A393,Ficheiros!T:T,1,FALSE),"")=A393,"Sim","Não")</f>
        <v>Não</v>
      </c>
      <c r="AQ393" s="1" t="e">
        <f>+VLOOKUP(A393,Ficheiros!O:P,2,FALSE)</f>
        <v>#N/A</v>
      </c>
      <c r="AR393" s="1" t="e">
        <f>+VLOOKUP(A393,Ficheiros!R:S,3,FALSE)</f>
        <v>#N/A</v>
      </c>
      <c r="AS393" s="1" t="e">
        <f>+VLOOKUP(A393,Ficheiros!T:V,3,FALSE)</f>
        <v>#N/A</v>
      </c>
      <c r="AT393" s="1"/>
      <c r="AU393" s="1"/>
      <c r="AV393" s="1"/>
      <c r="AW393" s="1"/>
      <c r="AX393" s="1"/>
    </row>
    <row r="394" spans="1:50" ht="14.5" hidden="1" customHeight="1" x14ac:dyDescent="0.35">
      <c r="A394" s="5" t="str">
        <f t="shared" si="12"/>
        <v>INSTRUMENTGRSS_INTRST_EXPNS</v>
      </c>
      <c r="B394" s="1" t="s">
        <v>1701</v>
      </c>
      <c r="C394" s="1" t="s">
        <v>785</v>
      </c>
      <c r="D394" s="1" t="s">
        <v>271</v>
      </c>
      <c r="E394" s="1" t="s">
        <v>37</v>
      </c>
      <c r="F394" s="26" t="s">
        <v>1702</v>
      </c>
      <c r="G394" s="1" t="s">
        <v>1702</v>
      </c>
      <c r="H394" s="1" t="s">
        <v>39</v>
      </c>
      <c r="I394" s="1" t="s">
        <v>39</v>
      </c>
      <c r="J394" s="1" t="s">
        <v>39</v>
      </c>
      <c r="K394" s="1" t="s">
        <v>39</v>
      </c>
      <c r="L394" s="1" t="s">
        <v>39</v>
      </c>
      <c r="M394" s="1" t="s">
        <v>39</v>
      </c>
      <c r="N394" s="1" t="s">
        <v>39</v>
      </c>
      <c r="O394" s="1" t="s">
        <v>39</v>
      </c>
      <c r="P394" s="1" t="s">
        <v>37</v>
      </c>
      <c r="Q394" s="1" t="s">
        <v>39</v>
      </c>
      <c r="R394" s="1" t="s">
        <v>273</v>
      </c>
      <c r="S394" s="1" t="s">
        <v>274</v>
      </c>
      <c r="T394" s="1">
        <v>99999999999</v>
      </c>
      <c r="U394" s="1">
        <v>11111111111</v>
      </c>
      <c r="V394" s="1">
        <v>11111111111</v>
      </c>
      <c r="W394" s="1" t="s">
        <v>1703</v>
      </c>
      <c r="X394" s="1" t="s">
        <v>1704</v>
      </c>
      <c r="Y394" s="1" t="s">
        <v>45</v>
      </c>
      <c r="Z394" s="1" t="s">
        <v>46</v>
      </c>
      <c r="AA394" s="1" t="s">
        <v>47</v>
      </c>
      <c r="AB394" s="1" t="s">
        <v>37</v>
      </c>
      <c r="AC394" s="1" t="s">
        <v>39</v>
      </c>
      <c r="AD394" s="1" t="s">
        <v>37</v>
      </c>
      <c r="AE394" s="1" t="s">
        <v>39</v>
      </c>
      <c r="AF394" s="1" t="s">
        <v>37</v>
      </c>
      <c r="AG394" s="1" t="s">
        <v>37</v>
      </c>
      <c r="AH394" s="1" t="s">
        <v>39</v>
      </c>
      <c r="AI394" s="1" t="s">
        <v>39</v>
      </c>
      <c r="AJ394" s="1" t="s">
        <v>39</v>
      </c>
      <c r="AK394" s="1" t="str">
        <f t="shared" si="13"/>
        <v>Fora de âmbito</v>
      </c>
      <c r="AL394" s="1" t="str">
        <f>+IF(IFERROR(VLOOKUP(A394,Ficheiros!I:I,1,FALSE),"")=A394,"Sim","Não")</f>
        <v>Não</v>
      </c>
      <c r="AM394" s="1" t="str">
        <f>+IF(IFERROR(VLOOKUP(A394,Ficheiros!E:E,1,FALSE),"")=A394,"Sim","Não")</f>
        <v>Não</v>
      </c>
      <c r="AN394" s="1" t="str">
        <f>+IF(IFERROR(VLOOKUP(A394,Ficheiros!O:O,1,FALSE),"")=A394,"Sim","Não")</f>
        <v>Não</v>
      </c>
      <c r="AO394" s="1" t="str">
        <f>+IF(IFERROR(VLOOKUP(A394,'Especificação Novos Req. LT (2'!A:A,1,FALSE),"")=A394,"Sim","Não")</f>
        <v>Não</v>
      </c>
      <c r="AP394" s="1" t="str">
        <f>+IF(IFERROR(VLOOKUP(A394,Ficheiros!T:T,1,FALSE),"")=A394,"Sim","Não")</f>
        <v>Não</v>
      </c>
      <c r="AQ394" s="1" t="e">
        <f>+VLOOKUP(A394,Ficheiros!O:P,2,FALSE)</f>
        <v>#N/A</v>
      </c>
      <c r="AR394" s="1" t="e">
        <f>+VLOOKUP(A394,Ficheiros!R:S,3,FALSE)</f>
        <v>#N/A</v>
      </c>
      <c r="AS394" s="1" t="e">
        <f>+VLOOKUP(A394,Ficheiros!T:V,3,FALSE)</f>
        <v>#N/A</v>
      </c>
      <c r="AT394" s="1"/>
      <c r="AU394" s="1"/>
      <c r="AV394" s="1"/>
      <c r="AW394" s="1"/>
      <c r="AX394" s="1"/>
    </row>
    <row r="395" spans="1:50" ht="14.5" hidden="1" customHeight="1" x14ac:dyDescent="0.35">
      <c r="A395" s="5" t="str">
        <f t="shared" si="12"/>
        <v>INSTRUMENTNT_LN_LSS_PRVSN_OFF_BLNC</v>
      </c>
      <c r="B395" s="1" t="s">
        <v>1705</v>
      </c>
      <c r="C395" s="1" t="s">
        <v>785</v>
      </c>
      <c r="D395" s="1" t="s">
        <v>271</v>
      </c>
      <c r="E395" s="1" t="s">
        <v>37</v>
      </c>
      <c r="F395" s="26" t="s">
        <v>1706</v>
      </c>
      <c r="G395" s="1" t="s">
        <v>1706</v>
      </c>
      <c r="H395" s="1" t="s">
        <v>39</v>
      </c>
      <c r="I395" s="1" t="s">
        <v>39</v>
      </c>
      <c r="J395" s="1" t="s">
        <v>39</v>
      </c>
      <c r="K395" s="1" t="s">
        <v>39</v>
      </c>
      <c r="L395" s="1" t="s">
        <v>39</v>
      </c>
      <c r="M395" s="1" t="s">
        <v>39</v>
      </c>
      <c r="N395" s="1" t="s">
        <v>39</v>
      </c>
      <c r="O395" s="1" t="s">
        <v>39</v>
      </c>
      <c r="P395" s="1" t="s">
        <v>37</v>
      </c>
      <c r="Q395" s="1" t="s">
        <v>39</v>
      </c>
      <c r="R395" s="1" t="s">
        <v>273</v>
      </c>
      <c r="S395" s="1" t="s">
        <v>274</v>
      </c>
      <c r="T395" s="1">
        <v>99999999999</v>
      </c>
      <c r="U395" s="1">
        <v>11111111111</v>
      </c>
      <c r="V395" s="1">
        <v>11111111111</v>
      </c>
      <c r="W395" s="1" t="s">
        <v>1707</v>
      </c>
      <c r="X395" s="1" t="s">
        <v>1708</v>
      </c>
      <c r="Y395" s="1" t="s">
        <v>45</v>
      </c>
      <c r="Z395" s="1" t="s">
        <v>46</v>
      </c>
      <c r="AA395" s="1" t="s">
        <v>47</v>
      </c>
      <c r="AB395" s="1" t="s">
        <v>37</v>
      </c>
      <c r="AC395" s="1" t="s">
        <v>39</v>
      </c>
      <c r="AD395" s="1" t="s">
        <v>37</v>
      </c>
      <c r="AE395" s="1" t="s">
        <v>39</v>
      </c>
      <c r="AF395" s="1" t="s">
        <v>37</v>
      </c>
      <c r="AG395" s="1" t="s">
        <v>37</v>
      </c>
      <c r="AH395" s="1" t="s">
        <v>39</v>
      </c>
      <c r="AI395" s="1" t="s">
        <v>39</v>
      </c>
      <c r="AJ395" s="1" t="s">
        <v>39</v>
      </c>
      <c r="AK395" s="1" t="str">
        <f t="shared" si="13"/>
        <v>Fora de âmbito</v>
      </c>
      <c r="AL395" s="1" t="str">
        <f>+IF(IFERROR(VLOOKUP(A395,Ficheiros!I:I,1,FALSE),"")=A395,"Sim","Não")</f>
        <v>Não</v>
      </c>
      <c r="AM395" s="1" t="str">
        <f>+IF(IFERROR(VLOOKUP(A395,Ficheiros!E:E,1,FALSE),"")=A395,"Sim","Não")</f>
        <v>Não</v>
      </c>
      <c r="AN395" s="1" t="str">
        <f>+IF(IFERROR(VLOOKUP(A395,Ficheiros!O:O,1,FALSE),"")=A395,"Sim","Não")</f>
        <v>Não</v>
      </c>
      <c r="AO395" s="1" t="str">
        <f>+IF(IFERROR(VLOOKUP(A395,'Especificação Novos Req. LT (2'!A:A,1,FALSE),"")=A395,"Sim","Não")</f>
        <v>Não</v>
      </c>
      <c r="AP395" s="1" t="str">
        <f>+IF(IFERROR(VLOOKUP(A395,Ficheiros!T:T,1,FALSE),"")=A395,"Sim","Não")</f>
        <v>Não</v>
      </c>
      <c r="AQ395" s="1" t="e">
        <f>+VLOOKUP(A395,Ficheiros!O:P,2,FALSE)</f>
        <v>#N/A</v>
      </c>
      <c r="AR395" s="1" t="e">
        <f>+VLOOKUP(A395,Ficheiros!R:S,3,FALSE)</f>
        <v>#N/A</v>
      </c>
      <c r="AS395" s="1" t="e">
        <f>+VLOOKUP(A395,Ficheiros!T:V,3,FALSE)</f>
        <v>#N/A</v>
      </c>
      <c r="AT395" s="1"/>
      <c r="AU395" s="1"/>
      <c r="AV395" s="1"/>
      <c r="AW395" s="1"/>
      <c r="AX395" s="1"/>
    </row>
    <row r="396" spans="1:50" ht="14.5" hidden="1" customHeight="1" x14ac:dyDescent="0.35">
      <c r="A396" s="5" t="str">
        <f t="shared" si="12"/>
        <v>INSTRUMENTGRSS_INTRST_INCM_CCRR</v>
      </c>
      <c r="B396" s="1" t="s">
        <v>1709</v>
      </c>
      <c r="C396" s="1" t="s">
        <v>785</v>
      </c>
      <c r="D396" s="1" t="s">
        <v>271</v>
      </c>
      <c r="E396" s="1" t="s">
        <v>37</v>
      </c>
      <c r="F396" s="26" t="s">
        <v>1710</v>
      </c>
      <c r="G396" s="1" t="s">
        <v>1710</v>
      </c>
      <c r="H396" s="1" t="s">
        <v>39</v>
      </c>
      <c r="I396" s="1" t="s">
        <v>39</v>
      </c>
      <c r="J396" s="1" t="s">
        <v>39</v>
      </c>
      <c r="K396" s="1" t="s">
        <v>39</v>
      </c>
      <c r="L396" s="1" t="s">
        <v>39</v>
      </c>
      <c r="M396" s="1" t="s">
        <v>39</v>
      </c>
      <c r="N396" s="1" t="s">
        <v>39</v>
      </c>
      <c r="O396" s="1" t="s">
        <v>39</v>
      </c>
      <c r="P396" s="1" t="s">
        <v>37</v>
      </c>
      <c r="Q396" s="1" t="s">
        <v>39</v>
      </c>
      <c r="R396" s="1" t="s">
        <v>273</v>
      </c>
      <c r="S396" s="1" t="s">
        <v>274</v>
      </c>
      <c r="T396" s="1">
        <v>99999999999</v>
      </c>
      <c r="U396" s="1">
        <v>11111111111</v>
      </c>
      <c r="V396" s="1">
        <v>11111111111</v>
      </c>
      <c r="W396" s="1" t="s">
        <v>1711</v>
      </c>
      <c r="X396" s="1" t="s">
        <v>1712</v>
      </c>
      <c r="Y396" s="1" t="s">
        <v>45</v>
      </c>
      <c r="Z396" s="1" t="s">
        <v>46</v>
      </c>
      <c r="AA396" s="1" t="s">
        <v>47</v>
      </c>
      <c r="AB396" s="1" t="s">
        <v>37</v>
      </c>
      <c r="AC396" s="1" t="s">
        <v>39</v>
      </c>
      <c r="AD396" s="1" t="s">
        <v>37</v>
      </c>
      <c r="AE396" s="1" t="s">
        <v>39</v>
      </c>
      <c r="AF396" s="1" t="s">
        <v>37</v>
      </c>
      <c r="AG396" s="1" t="s">
        <v>37</v>
      </c>
      <c r="AH396" s="1" t="s">
        <v>39</v>
      </c>
      <c r="AI396" s="1" t="s">
        <v>39</v>
      </c>
      <c r="AJ396" s="1" t="s">
        <v>39</v>
      </c>
      <c r="AK396" s="1" t="str">
        <f t="shared" si="13"/>
        <v>Fora de âmbito</v>
      </c>
      <c r="AL396" s="1" t="str">
        <f>+IF(IFERROR(VLOOKUP(A396,Ficheiros!I:I,1,FALSE),"")=A396,"Sim","Não")</f>
        <v>Não</v>
      </c>
      <c r="AM396" s="1" t="str">
        <f>+IF(IFERROR(VLOOKUP(A396,Ficheiros!E:E,1,FALSE),"")=A396,"Sim","Não")</f>
        <v>Não</v>
      </c>
      <c r="AN396" s="1" t="str">
        <f>+IF(IFERROR(VLOOKUP(A396,Ficheiros!O:O,1,FALSE),"")=A396,"Sim","Não")</f>
        <v>Não</v>
      </c>
      <c r="AO396" s="1" t="str">
        <f>+IF(IFERROR(VLOOKUP(A396,'Especificação Novos Req. LT (2'!A:A,1,FALSE),"")=A396,"Sim","Não")</f>
        <v>Não</v>
      </c>
      <c r="AP396" s="1" t="str">
        <f>+IF(IFERROR(VLOOKUP(A396,Ficheiros!T:T,1,FALSE),"")=A396,"Sim","Não")</f>
        <v>Não</v>
      </c>
      <c r="AQ396" s="1" t="e">
        <f>+VLOOKUP(A396,Ficheiros!O:P,2,FALSE)</f>
        <v>#N/A</v>
      </c>
      <c r="AR396" s="1" t="e">
        <f>+VLOOKUP(A396,Ficheiros!R:S,3,FALSE)</f>
        <v>#N/A</v>
      </c>
      <c r="AS396" s="1" t="e">
        <f>+VLOOKUP(A396,Ficheiros!T:V,3,FALSE)</f>
        <v>#N/A</v>
      </c>
      <c r="AT396" s="1"/>
      <c r="AU396" s="1"/>
      <c r="AV396" s="1"/>
      <c r="AW396" s="1"/>
      <c r="AX396" s="1"/>
    </row>
    <row r="397" spans="1:50" ht="14.5" hidden="1" customHeight="1" x14ac:dyDescent="0.35">
      <c r="A397" s="5" t="str">
        <f t="shared" si="12"/>
        <v>INSTRUMENTGRSS_INTRST_EXPNS_CCRR</v>
      </c>
      <c r="B397" s="1" t="s">
        <v>1713</v>
      </c>
      <c r="C397" s="1" t="s">
        <v>785</v>
      </c>
      <c r="D397" s="1" t="s">
        <v>271</v>
      </c>
      <c r="E397" s="1" t="s">
        <v>37</v>
      </c>
      <c r="F397" s="26" t="s">
        <v>1714</v>
      </c>
      <c r="G397" s="1" t="s">
        <v>1714</v>
      </c>
      <c r="H397" s="1" t="s">
        <v>39</v>
      </c>
      <c r="I397" s="1" t="s">
        <v>39</v>
      </c>
      <c r="J397" s="1" t="s">
        <v>39</v>
      </c>
      <c r="K397" s="1" t="s">
        <v>39</v>
      </c>
      <c r="L397" s="1" t="s">
        <v>39</v>
      </c>
      <c r="M397" s="1" t="s">
        <v>39</v>
      </c>
      <c r="N397" s="1" t="s">
        <v>39</v>
      </c>
      <c r="O397" s="1" t="s">
        <v>39</v>
      </c>
      <c r="P397" s="1" t="s">
        <v>37</v>
      </c>
      <c r="Q397" s="1" t="s">
        <v>39</v>
      </c>
      <c r="R397" s="1" t="s">
        <v>273</v>
      </c>
      <c r="S397" s="1" t="s">
        <v>274</v>
      </c>
      <c r="T397" s="1">
        <v>99999999999</v>
      </c>
      <c r="U397" s="1">
        <v>11111111111</v>
      </c>
      <c r="V397" s="1">
        <v>11111111111</v>
      </c>
      <c r="W397" s="1" t="s">
        <v>1715</v>
      </c>
      <c r="X397" s="1" t="s">
        <v>1716</v>
      </c>
      <c r="Y397" s="1" t="s">
        <v>45</v>
      </c>
      <c r="Z397" s="1" t="s">
        <v>46</v>
      </c>
      <c r="AA397" s="1" t="s">
        <v>47</v>
      </c>
      <c r="AB397" s="1" t="s">
        <v>37</v>
      </c>
      <c r="AC397" s="1" t="s">
        <v>39</v>
      </c>
      <c r="AD397" s="1" t="s">
        <v>37</v>
      </c>
      <c r="AE397" s="1" t="s">
        <v>39</v>
      </c>
      <c r="AF397" s="1" t="s">
        <v>37</v>
      </c>
      <c r="AG397" s="1" t="s">
        <v>37</v>
      </c>
      <c r="AH397" s="1" t="s">
        <v>39</v>
      </c>
      <c r="AI397" s="1" t="s">
        <v>39</v>
      </c>
      <c r="AJ397" s="1" t="s">
        <v>39</v>
      </c>
      <c r="AK397" s="1" t="str">
        <f t="shared" si="13"/>
        <v>Fora de âmbito</v>
      </c>
      <c r="AL397" s="1" t="str">
        <f>+IF(IFERROR(VLOOKUP(A397,Ficheiros!I:I,1,FALSE),"")=A397,"Sim","Não")</f>
        <v>Não</v>
      </c>
      <c r="AM397" s="1" t="str">
        <f>+IF(IFERROR(VLOOKUP(A397,Ficheiros!E:E,1,FALSE),"")=A397,"Sim","Não")</f>
        <v>Não</v>
      </c>
      <c r="AN397" s="1" t="str">
        <f>+IF(IFERROR(VLOOKUP(A397,Ficheiros!O:O,1,FALSE),"")=A397,"Sim","Não")</f>
        <v>Não</v>
      </c>
      <c r="AO397" s="1" t="str">
        <f>+IF(IFERROR(VLOOKUP(A397,'Especificação Novos Req. LT (2'!A:A,1,FALSE),"")=A397,"Sim","Não")</f>
        <v>Não</v>
      </c>
      <c r="AP397" s="1" t="str">
        <f>+IF(IFERROR(VLOOKUP(A397,Ficheiros!T:T,1,FALSE),"")=A397,"Sim","Não")</f>
        <v>Não</v>
      </c>
      <c r="AQ397" s="1" t="e">
        <f>+VLOOKUP(A397,Ficheiros!O:P,2,FALSE)</f>
        <v>#N/A</v>
      </c>
      <c r="AR397" s="1" t="e">
        <f>+VLOOKUP(A397,Ficheiros!R:S,3,FALSE)</f>
        <v>#N/A</v>
      </c>
      <c r="AS397" s="1" t="e">
        <f>+VLOOKUP(A397,Ficheiros!T:V,3,FALSE)</f>
        <v>#N/A</v>
      </c>
      <c r="AT397" s="1"/>
      <c r="AU397" s="1"/>
      <c r="AV397" s="1"/>
      <c r="AW397" s="1"/>
      <c r="AX397" s="1"/>
    </row>
    <row r="398" spans="1:50" ht="14.5" hidden="1" customHeight="1" x14ac:dyDescent="0.35">
      <c r="A398" s="5" t="str">
        <f t="shared" si="12"/>
        <v>INSTRUMENTGRSS_CMMSSN_INCM_CCRR</v>
      </c>
      <c r="B398" s="1" t="s">
        <v>1717</v>
      </c>
      <c r="C398" s="1" t="s">
        <v>785</v>
      </c>
      <c r="D398" s="1" t="s">
        <v>271</v>
      </c>
      <c r="E398" s="1" t="s">
        <v>37</v>
      </c>
      <c r="F398" s="26" t="s">
        <v>1718</v>
      </c>
      <c r="G398" s="1" t="s">
        <v>1718</v>
      </c>
      <c r="H398" s="1" t="s">
        <v>39</v>
      </c>
      <c r="I398" s="1" t="s">
        <v>39</v>
      </c>
      <c r="J398" s="1" t="s">
        <v>39</v>
      </c>
      <c r="K398" s="1" t="s">
        <v>39</v>
      </c>
      <c r="L398" s="1" t="s">
        <v>39</v>
      </c>
      <c r="M398" s="1" t="s">
        <v>39</v>
      </c>
      <c r="N398" s="1" t="s">
        <v>39</v>
      </c>
      <c r="O398" s="1" t="s">
        <v>39</v>
      </c>
      <c r="P398" s="1" t="s">
        <v>37</v>
      </c>
      <c r="Q398" s="1" t="s">
        <v>39</v>
      </c>
      <c r="R398" s="1" t="s">
        <v>273</v>
      </c>
      <c r="S398" s="1" t="s">
        <v>274</v>
      </c>
      <c r="T398" s="1">
        <v>99999999999</v>
      </c>
      <c r="U398" s="1">
        <v>11111111111</v>
      </c>
      <c r="V398" s="1">
        <v>11111111111</v>
      </c>
      <c r="W398" s="1" t="s">
        <v>1719</v>
      </c>
      <c r="X398" s="1" t="s">
        <v>1720</v>
      </c>
      <c r="Y398" s="1" t="s">
        <v>45</v>
      </c>
      <c r="Z398" s="1" t="s">
        <v>46</v>
      </c>
      <c r="AA398" s="1" t="s">
        <v>47</v>
      </c>
      <c r="AB398" s="1" t="s">
        <v>37</v>
      </c>
      <c r="AC398" s="1" t="s">
        <v>39</v>
      </c>
      <c r="AD398" s="1" t="s">
        <v>37</v>
      </c>
      <c r="AE398" s="1" t="s">
        <v>39</v>
      </c>
      <c r="AF398" s="1" t="s">
        <v>37</v>
      </c>
      <c r="AG398" s="1" t="s">
        <v>37</v>
      </c>
      <c r="AH398" s="1" t="s">
        <v>39</v>
      </c>
      <c r="AI398" s="1" t="s">
        <v>39</v>
      </c>
      <c r="AJ398" s="1" t="s">
        <v>39</v>
      </c>
      <c r="AK398" s="1" t="str">
        <f t="shared" si="13"/>
        <v>Fora de âmbito</v>
      </c>
      <c r="AL398" s="1" t="str">
        <f>+IF(IFERROR(VLOOKUP(A398,Ficheiros!I:I,1,FALSE),"")=A398,"Sim","Não")</f>
        <v>Não</v>
      </c>
      <c r="AM398" s="1" t="str">
        <f>+IF(IFERROR(VLOOKUP(A398,Ficheiros!E:E,1,FALSE),"")=A398,"Sim","Não")</f>
        <v>Não</v>
      </c>
      <c r="AN398" s="1" t="str">
        <f>+IF(IFERROR(VLOOKUP(A398,Ficheiros!O:O,1,FALSE),"")=A398,"Sim","Não")</f>
        <v>Não</v>
      </c>
      <c r="AO398" s="1" t="str">
        <f>+IF(IFERROR(VLOOKUP(A398,'Especificação Novos Req. LT (2'!A:A,1,FALSE),"")=A398,"Sim","Não")</f>
        <v>Não</v>
      </c>
      <c r="AP398" s="1" t="str">
        <f>+IF(IFERROR(VLOOKUP(A398,Ficheiros!T:T,1,FALSE),"")=A398,"Sim","Não")</f>
        <v>Não</v>
      </c>
      <c r="AQ398" s="1" t="e">
        <f>+VLOOKUP(A398,Ficheiros!O:P,2,FALSE)</f>
        <v>#N/A</v>
      </c>
      <c r="AR398" s="1" t="e">
        <f>+VLOOKUP(A398,Ficheiros!R:S,3,FALSE)</f>
        <v>#N/A</v>
      </c>
      <c r="AS398" s="1" t="e">
        <f>+VLOOKUP(A398,Ficheiros!T:V,3,FALSE)</f>
        <v>#N/A</v>
      </c>
      <c r="AT398" s="1"/>
      <c r="AU398" s="1"/>
      <c r="AV398" s="1"/>
      <c r="AW398" s="1"/>
      <c r="AX398" s="1"/>
    </row>
    <row r="399" spans="1:50" ht="14.5" hidden="1" customHeight="1" x14ac:dyDescent="0.35">
      <c r="A399" s="5" t="str">
        <f t="shared" si="12"/>
        <v>INSTRUMENTGRSS_CMMSSN_EXPNS_CCRR</v>
      </c>
      <c r="B399" s="1" t="s">
        <v>1721</v>
      </c>
      <c r="C399" s="1" t="s">
        <v>785</v>
      </c>
      <c r="D399" s="1" t="s">
        <v>271</v>
      </c>
      <c r="E399" s="1" t="s">
        <v>37</v>
      </c>
      <c r="F399" s="26" t="s">
        <v>1722</v>
      </c>
      <c r="G399" s="1" t="s">
        <v>1722</v>
      </c>
      <c r="H399" s="1" t="s">
        <v>39</v>
      </c>
      <c r="I399" s="1" t="s">
        <v>39</v>
      </c>
      <c r="J399" s="1" t="s">
        <v>39</v>
      </c>
      <c r="K399" s="1" t="s">
        <v>39</v>
      </c>
      <c r="L399" s="1" t="s">
        <v>39</v>
      </c>
      <c r="M399" s="1" t="s">
        <v>39</v>
      </c>
      <c r="N399" s="1" t="s">
        <v>39</v>
      </c>
      <c r="O399" s="1" t="s">
        <v>39</v>
      </c>
      <c r="P399" s="1" t="s">
        <v>37</v>
      </c>
      <c r="Q399" s="1" t="s">
        <v>39</v>
      </c>
      <c r="R399" s="1" t="s">
        <v>273</v>
      </c>
      <c r="S399" s="1" t="s">
        <v>274</v>
      </c>
      <c r="T399" s="1">
        <v>99999999999</v>
      </c>
      <c r="U399" s="1">
        <v>11111111111</v>
      </c>
      <c r="V399" s="1">
        <v>11111111111</v>
      </c>
      <c r="W399" s="1" t="s">
        <v>1723</v>
      </c>
      <c r="X399" s="1" t="s">
        <v>1724</v>
      </c>
      <c r="Y399" s="1" t="s">
        <v>45</v>
      </c>
      <c r="Z399" s="1" t="s">
        <v>46</v>
      </c>
      <c r="AA399" s="1" t="s">
        <v>47</v>
      </c>
      <c r="AB399" s="1" t="s">
        <v>37</v>
      </c>
      <c r="AC399" s="1" t="s">
        <v>39</v>
      </c>
      <c r="AD399" s="1" t="s">
        <v>37</v>
      </c>
      <c r="AE399" s="1" t="s">
        <v>39</v>
      </c>
      <c r="AF399" s="1" t="s">
        <v>37</v>
      </c>
      <c r="AG399" s="1" t="s">
        <v>37</v>
      </c>
      <c r="AH399" s="1" t="s">
        <v>39</v>
      </c>
      <c r="AI399" s="1" t="s">
        <v>39</v>
      </c>
      <c r="AJ399" s="1" t="s">
        <v>39</v>
      </c>
      <c r="AK399" s="1" t="str">
        <f t="shared" si="13"/>
        <v>Fora de âmbito</v>
      </c>
      <c r="AL399" s="1" t="str">
        <f>+IF(IFERROR(VLOOKUP(A399,Ficheiros!I:I,1,FALSE),"")=A399,"Sim","Não")</f>
        <v>Não</v>
      </c>
      <c r="AM399" s="1" t="str">
        <f>+IF(IFERROR(VLOOKUP(A399,Ficheiros!E:E,1,FALSE),"")=A399,"Sim","Não")</f>
        <v>Não</v>
      </c>
      <c r="AN399" s="1" t="str">
        <f>+IF(IFERROR(VLOOKUP(A399,Ficheiros!O:O,1,FALSE),"")=A399,"Sim","Não")</f>
        <v>Não</v>
      </c>
      <c r="AO399" s="1" t="str">
        <f>+IF(IFERROR(VLOOKUP(A399,'Especificação Novos Req. LT (2'!A:A,1,FALSE),"")=A399,"Sim","Não")</f>
        <v>Não</v>
      </c>
      <c r="AP399" s="1" t="str">
        <f>+IF(IFERROR(VLOOKUP(A399,Ficheiros!T:T,1,FALSE),"")=A399,"Sim","Não")</f>
        <v>Não</v>
      </c>
      <c r="AQ399" s="1" t="e">
        <f>+VLOOKUP(A399,Ficheiros!O:P,2,FALSE)</f>
        <v>#N/A</v>
      </c>
      <c r="AR399" s="1" t="e">
        <f>+VLOOKUP(A399,Ficheiros!R:S,3,FALSE)</f>
        <v>#N/A</v>
      </c>
      <c r="AS399" s="1" t="e">
        <f>+VLOOKUP(A399,Ficheiros!T:V,3,FALSE)</f>
        <v>#N/A</v>
      </c>
      <c r="AT399" s="1"/>
      <c r="AU399" s="1"/>
      <c r="AV399" s="1"/>
      <c r="AW399" s="1"/>
      <c r="AX399" s="1"/>
    </row>
    <row r="400" spans="1:50" ht="14.5" hidden="1" customHeight="1" x14ac:dyDescent="0.35">
      <c r="A400" s="5" t="str">
        <f t="shared" si="12"/>
        <v>INSTRUMENTGNS_FNNCL_TRNSCTN_EXCHNG_CCRR</v>
      </c>
      <c r="B400" s="1" t="s">
        <v>1725</v>
      </c>
      <c r="C400" s="1" t="s">
        <v>785</v>
      </c>
      <c r="D400" s="1" t="s">
        <v>271</v>
      </c>
      <c r="E400" s="1" t="s">
        <v>37</v>
      </c>
      <c r="F400" s="26" t="s">
        <v>1726</v>
      </c>
      <c r="G400" s="1" t="s">
        <v>1726</v>
      </c>
      <c r="H400" s="1" t="s">
        <v>39</v>
      </c>
      <c r="I400" s="1" t="s">
        <v>39</v>
      </c>
      <c r="J400" s="1" t="s">
        <v>39</v>
      </c>
      <c r="K400" s="1" t="s">
        <v>39</v>
      </c>
      <c r="L400" s="1" t="s">
        <v>39</v>
      </c>
      <c r="M400" s="1" t="s">
        <v>39</v>
      </c>
      <c r="N400" s="1" t="s">
        <v>39</v>
      </c>
      <c r="O400" s="1" t="s">
        <v>39</v>
      </c>
      <c r="P400" s="1" t="s">
        <v>37</v>
      </c>
      <c r="Q400" s="1" t="s">
        <v>39</v>
      </c>
      <c r="R400" s="1" t="s">
        <v>273</v>
      </c>
      <c r="S400" s="1" t="s">
        <v>274</v>
      </c>
      <c r="T400" s="1">
        <v>99999999999</v>
      </c>
      <c r="U400" s="1">
        <v>11111111111</v>
      </c>
      <c r="V400" s="1">
        <v>11111111111</v>
      </c>
      <c r="W400" s="1" t="s">
        <v>1727</v>
      </c>
      <c r="X400" s="1" t="s">
        <v>1728</v>
      </c>
      <c r="Y400" s="1" t="s">
        <v>45</v>
      </c>
      <c r="Z400" s="1" t="s">
        <v>46</v>
      </c>
      <c r="AA400" s="1" t="s">
        <v>47</v>
      </c>
      <c r="AB400" s="1" t="s">
        <v>37</v>
      </c>
      <c r="AC400" s="1" t="s">
        <v>39</v>
      </c>
      <c r="AD400" s="1" t="s">
        <v>37</v>
      </c>
      <c r="AE400" s="1" t="s">
        <v>39</v>
      </c>
      <c r="AF400" s="1" t="s">
        <v>37</v>
      </c>
      <c r="AG400" s="1" t="s">
        <v>37</v>
      </c>
      <c r="AH400" s="1" t="s">
        <v>39</v>
      </c>
      <c r="AI400" s="1" t="s">
        <v>39</v>
      </c>
      <c r="AJ400" s="1" t="s">
        <v>39</v>
      </c>
      <c r="AK400" s="1" t="str">
        <f t="shared" si="13"/>
        <v>Fora de âmbito</v>
      </c>
      <c r="AL400" s="1" t="str">
        <f>+IF(IFERROR(VLOOKUP(A400,Ficheiros!I:I,1,FALSE),"")=A400,"Sim","Não")</f>
        <v>Não</v>
      </c>
      <c r="AM400" s="1" t="str">
        <f>+IF(IFERROR(VLOOKUP(A400,Ficheiros!E:E,1,FALSE),"")=A400,"Sim","Não")</f>
        <v>Não</v>
      </c>
      <c r="AN400" s="1" t="str">
        <f>+IF(IFERROR(VLOOKUP(A400,Ficheiros!O:O,1,FALSE),"")=A400,"Sim","Não")</f>
        <v>Não</v>
      </c>
      <c r="AO400" s="1" t="str">
        <f>+IF(IFERROR(VLOOKUP(A400,'Especificação Novos Req. LT (2'!A:A,1,FALSE),"")=A400,"Sim","Não")</f>
        <v>Não</v>
      </c>
      <c r="AP400" s="1" t="str">
        <f>+IF(IFERROR(VLOOKUP(A400,Ficheiros!T:T,1,FALSE),"")=A400,"Sim","Não")</f>
        <v>Não</v>
      </c>
      <c r="AQ400" s="1" t="e">
        <f>+VLOOKUP(A400,Ficheiros!O:P,2,FALSE)</f>
        <v>#N/A</v>
      </c>
      <c r="AR400" s="1" t="e">
        <f>+VLOOKUP(A400,Ficheiros!R:S,3,FALSE)</f>
        <v>#N/A</v>
      </c>
      <c r="AS400" s="1" t="e">
        <f>+VLOOKUP(A400,Ficheiros!T:V,3,FALSE)</f>
        <v>#N/A</v>
      </c>
      <c r="AT400" s="1"/>
      <c r="AU400" s="1"/>
      <c r="AV400" s="1"/>
      <c r="AW400" s="1"/>
      <c r="AX400" s="1"/>
    </row>
    <row r="401" spans="1:50" ht="14.5" hidden="1" customHeight="1" x14ac:dyDescent="0.35">
      <c r="A401" s="5" t="str">
        <f t="shared" si="12"/>
        <v>INSTRUMENTBSNSS_AREA_CCRR</v>
      </c>
      <c r="B401" s="1" t="s">
        <v>1729</v>
      </c>
      <c r="C401" s="1" t="s">
        <v>785</v>
      </c>
      <c r="D401" s="1" t="s">
        <v>134</v>
      </c>
      <c r="E401" s="1" t="s">
        <v>37</v>
      </c>
      <c r="F401" s="26" t="s">
        <v>1730</v>
      </c>
      <c r="G401" s="1" t="s">
        <v>1730</v>
      </c>
      <c r="H401" s="1" t="s">
        <v>39</v>
      </c>
      <c r="I401" s="1" t="s">
        <v>39</v>
      </c>
      <c r="J401" s="1" t="s">
        <v>39</v>
      </c>
      <c r="K401" s="1" t="s">
        <v>39</v>
      </c>
      <c r="L401" s="1" t="s">
        <v>39</v>
      </c>
      <c r="M401" s="1" t="s">
        <v>39</v>
      </c>
      <c r="N401" s="1" t="s">
        <v>39</v>
      </c>
      <c r="O401" s="1" t="s">
        <v>39</v>
      </c>
      <c r="P401" s="1" t="s">
        <v>37</v>
      </c>
      <c r="Q401" s="1" t="s">
        <v>39</v>
      </c>
      <c r="R401" s="1" t="s">
        <v>136</v>
      </c>
      <c r="S401" s="1" t="s">
        <v>52</v>
      </c>
      <c r="T401" s="1" t="s">
        <v>53</v>
      </c>
      <c r="U401" s="1" t="s">
        <v>42</v>
      </c>
      <c r="V401" s="1" t="s">
        <v>46</v>
      </c>
      <c r="W401" s="1" t="s">
        <v>1731</v>
      </c>
      <c r="X401" s="1" t="s">
        <v>1652</v>
      </c>
      <c r="Y401" s="1" t="s">
        <v>45</v>
      </c>
      <c r="Z401" s="1" t="s">
        <v>46</v>
      </c>
      <c r="AA401" s="1" t="s">
        <v>47</v>
      </c>
      <c r="AB401" s="1" t="s">
        <v>37</v>
      </c>
      <c r="AC401" s="1" t="s">
        <v>39</v>
      </c>
      <c r="AD401" s="1" t="s">
        <v>37</v>
      </c>
      <c r="AE401" s="1" t="s">
        <v>37</v>
      </c>
      <c r="AF401" s="1" t="s">
        <v>37</v>
      </c>
      <c r="AG401" s="1" t="s">
        <v>37</v>
      </c>
      <c r="AH401" s="1" t="s">
        <v>39</v>
      </c>
      <c r="AI401" s="1" t="s">
        <v>39</v>
      </c>
      <c r="AJ401" s="1" t="s">
        <v>39</v>
      </c>
      <c r="AK401" s="1" t="str">
        <f t="shared" si="13"/>
        <v>Fora de âmbito</v>
      </c>
      <c r="AL401" s="1" t="str">
        <f>+IF(IFERROR(VLOOKUP(A401,Ficheiros!I:I,1,FALSE),"")=A401,"Sim","Não")</f>
        <v>Não</v>
      </c>
      <c r="AM401" s="1" t="str">
        <f>+IF(IFERROR(VLOOKUP(A401,Ficheiros!E:E,1,FALSE),"")=A401,"Sim","Não")</f>
        <v>Não</v>
      </c>
      <c r="AN401" s="1" t="str">
        <f>+IF(IFERROR(VLOOKUP(A401,Ficheiros!O:O,1,FALSE),"")=A401,"Sim","Não")</f>
        <v>Não</v>
      </c>
      <c r="AO401" s="1" t="str">
        <f>+IF(IFERROR(VLOOKUP(A401,'Especificação Novos Req. LT (2'!A:A,1,FALSE),"")=A401,"Sim","Não")</f>
        <v>Não</v>
      </c>
      <c r="AP401" s="1" t="str">
        <f>+IF(IFERROR(VLOOKUP(A401,Ficheiros!T:T,1,FALSE),"")=A401,"Sim","Não")</f>
        <v>Não</v>
      </c>
      <c r="AQ401" s="1" t="e">
        <f>+VLOOKUP(A401,Ficheiros!O:P,2,FALSE)</f>
        <v>#N/A</v>
      </c>
      <c r="AR401" s="1" t="e">
        <f>+VLOOKUP(A401,Ficheiros!R:S,3,FALSE)</f>
        <v>#N/A</v>
      </c>
      <c r="AS401" s="1" t="e">
        <f>+VLOOKUP(A401,Ficheiros!T:V,3,FALSE)</f>
        <v>#N/A</v>
      </c>
      <c r="AT401" s="1"/>
      <c r="AU401" s="1"/>
      <c r="AV401" s="1"/>
      <c r="AW401" s="1"/>
      <c r="AX401" s="1"/>
    </row>
    <row r="402" spans="1:50" ht="14.5" hidden="1" customHeight="1" x14ac:dyDescent="0.35">
      <c r="A402" s="5" t="str">
        <f t="shared" si="12"/>
        <v>INSTRUMENTGRSS_CMMSSN_INCM_OFF_BLNC_CCRR</v>
      </c>
      <c r="B402" s="1" t="s">
        <v>1732</v>
      </c>
      <c r="C402" s="1" t="s">
        <v>785</v>
      </c>
      <c r="D402" s="1" t="s">
        <v>271</v>
      </c>
      <c r="E402" s="1" t="s">
        <v>37</v>
      </c>
      <c r="F402" s="26" t="s">
        <v>1733</v>
      </c>
      <c r="G402" s="1" t="s">
        <v>1733</v>
      </c>
      <c r="H402" s="1" t="s">
        <v>39</v>
      </c>
      <c r="I402" s="1" t="s">
        <v>39</v>
      </c>
      <c r="J402" s="1" t="s">
        <v>39</v>
      </c>
      <c r="K402" s="1" t="s">
        <v>39</v>
      </c>
      <c r="L402" s="1" t="s">
        <v>39</v>
      </c>
      <c r="M402" s="1" t="s">
        <v>39</v>
      </c>
      <c r="N402" s="1" t="s">
        <v>39</v>
      </c>
      <c r="O402" s="1" t="s">
        <v>37</v>
      </c>
      <c r="P402" s="1" t="s">
        <v>37</v>
      </c>
      <c r="Q402" s="1" t="s">
        <v>39</v>
      </c>
      <c r="R402" s="1" t="s">
        <v>273</v>
      </c>
      <c r="S402" s="1" t="s">
        <v>274</v>
      </c>
      <c r="T402" s="1">
        <v>99999999999</v>
      </c>
      <c r="U402" s="1">
        <v>11111111111</v>
      </c>
      <c r="V402" s="1">
        <v>11111111111</v>
      </c>
      <c r="W402" s="1" t="s">
        <v>1734</v>
      </c>
      <c r="X402" s="1" t="s">
        <v>1735</v>
      </c>
      <c r="Y402" s="1" t="s">
        <v>45</v>
      </c>
      <c r="Z402" s="1" t="s">
        <v>46</v>
      </c>
      <c r="AA402" s="1" t="s">
        <v>47</v>
      </c>
      <c r="AB402" s="1" t="s">
        <v>37</v>
      </c>
      <c r="AC402" s="1" t="s">
        <v>39</v>
      </c>
      <c r="AD402" s="1" t="s">
        <v>37</v>
      </c>
      <c r="AE402" s="1" t="s">
        <v>39</v>
      </c>
      <c r="AF402" s="1" t="s">
        <v>37</v>
      </c>
      <c r="AG402" s="1" t="s">
        <v>37</v>
      </c>
      <c r="AH402" s="1" t="s">
        <v>39</v>
      </c>
      <c r="AI402" s="1" t="s">
        <v>39</v>
      </c>
      <c r="AJ402" s="1" t="s">
        <v>39</v>
      </c>
      <c r="AK402" s="1" t="str">
        <f t="shared" si="13"/>
        <v>Fora de âmbito</v>
      </c>
      <c r="AL402" s="1" t="str">
        <f>+IF(IFERROR(VLOOKUP(A402,Ficheiros!I:I,1,FALSE),"")=A402,"Sim","Não")</f>
        <v>Não</v>
      </c>
      <c r="AM402" s="1" t="str">
        <f>+IF(IFERROR(VLOOKUP(A402,Ficheiros!E:E,1,FALSE),"")=A402,"Sim","Não")</f>
        <v>Não</v>
      </c>
      <c r="AN402" s="1" t="str">
        <f>+IF(IFERROR(VLOOKUP(A402,Ficheiros!O:O,1,FALSE),"")=A402,"Sim","Não")</f>
        <v>Não</v>
      </c>
      <c r="AO402" s="1" t="str">
        <f>+IF(IFERROR(VLOOKUP(A402,'Especificação Novos Req. LT (2'!A:A,1,FALSE),"")=A402,"Sim","Não")</f>
        <v>Não</v>
      </c>
      <c r="AP402" s="1" t="str">
        <f>+IF(IFERROR(VLOOKUP(A402,Ficheiros!T:T,1,FALSE),"")=A402,"Sim","Não")</f>
        <v>Não</v>
      </c>
      <c r="AQ402" s="1" t="e">
        <f>+VLOOKUP(A402,Ficheiros!O:P,2,FALSE)</f>
        <v>#N/A</v>
      </c>
      <c r="AR402" s="1" t="e">
        <f>+VLOOKUP(A402,Ficheiros!R:S,3,FALSE)</f>
        <v>#N/A</v>
      </c>
      <c r="AS402" s="1" t="e">
        <f>+VLOOKUP(A402,Ficheiros!T:V,3,FALSE)</f>
        <v>#N/A</v>
      </c>
      <c r="AT402" s="1"/>
      <c r="AU402" s="1"/>
      <c r="AV402" s="1"/>
      <c r="AW402" s="1"/>
      <c r="AX402" s="1"/>
    </row>
    <row r="403" spans="1:50" ht="14.5" hidden="1" customHeight="1" x14ac:dyDescent="0.35">
      <c r="A403" s="5" t="str">
        <f t="shared" si="12"/>
        <v>INSTRUMENTGRSS_CMMSSN_EXPNS_OFF_BLNC_CCRR</v>
      </c>
      <c r="B403" s="1" t="s">
        <v>1736</v>
      </c>
      <c r="C403" s="1" t="s">
        <v>785</v>
      </c>
      <c r="D403" s="1" t="s">
        <v>271</v>
      </c>
      <c r="E403" s="1" t="s">
        <v>37</v>
      </c>
      <c r="F403" s="26" t="s">
        <v>1737</v>
      </c>
      <c r="G403" s="1" t="s">
        <v>1737</v>
      </c>
      <c r="H403" s="1" t="s">
        <v>39</v>
      </c>
      <c r="I403" s="1" t="s">
        <v>39</v>
      </c>
      <c r="J403" s="1" t="s">
        <v>39</v>
      </c>
      <c r="K403" s="1" t="s">
        <v>39</v>
      </c>
      <c r="L403" s="1" t="s">
        <v>39</v>
      </c>
      <c r="M403" s="1" t="s">
        <v>39</v>
      </c>
      <c r="N403" s="1" t="s">
        <v>39</v>
      </c>
      <c r="O403" s="1" t="s">
        <v>37</v>
      </c>
      <c r="P403" s="1" t="s">
        <v>37</v>
      </c>
      <c r="Q403" s="1" t="s">
        <v>39</v>
      </c>
      <c r="R403" s="1" t="s">
        <v>273</v>
      </c>
      <c r="S403" s="1" t="s">
        <v>274</v>
      </c>
      <c r="T403" s="1">
        <v>99999999999</v>
      </c>
      <c r="U403" s="1">
        <v>11111111111</v>
      </c>
      <c r="V403" s="1">
        <v>11111111111</v>
      </c>
      <c r="W403" s="1" t="s">
        <v>1738</v>
      </c>
      <c r="X403" s="1" t="s">
        <v>1739</v>
      </c>
      <c r="Y403" s="1" t="s">
        <v>45</v>
      </c>
      <c r="Z403" s="1" t="s">
        <v>46</v>
      </c>
      <c r="AA403" s="1" t="s">
        <v>47</v>
      </c>
      <c r="AB403" s="1" t="s">
        <v>37</v>
      </c>
      <c r="AC403" s="1" t="s">
        <v>39</v>
      </c>
      <c r="AD403" s="1" t="s">
        <v>37</v>
      </c>
      <c r="AE403" s="1" t="s">
        <v>39</v>
      </c>
      <c r="AF403" s="1" t="s">
        <v>37</v>
      </c>
      <c r="AG403" s="1" t="s">
        <v>37</v>
      </c>
      <c r="AH403" s="1" t="s">
        <v>39</v>
      </c>
      <c r="AI403" s="1" t="s">
        <v>39</v>
      </c>
      <c r="AJ403" s="1" t="s">
        <v>39</v>
      </c>
      <c r="AK403" s="1" t="str">
        <f t="shared" si="13"/>
        <v>Fora de âmbito</v>
      </c>
      <c r="AL403" s="1" t="str">
        <f>+IF(IFERROR(VLOOKUP(A403,Ficheiros!I:I,1,FALSE),"")=A403,"Sim","Não")</f>
        <v>Não</v>
      </c>
      <c r="AM403" s="1" t="str">
        <f>+IF(IFERROR(VLOOKUP(A403,Ficheiros!E:E,1,FALSE),"")=A403,"Sim","Não")</f>
        <v>Não</v>
      </c>
      <c r="AN403" s="1" t="str">
        <f>+IF(IFERROR(VLOOKUP(A403,Ficheiros!O:O,1,FALSE),"")=A403,"Sim","Não")</f>
        <v>Não</v>
      </c>
      <c r="AO403" s="1" t="str">
        <f>+IF(IFERROR(VLOOKUP(A403,'Especificação Novos Req. LT (2'!A:A,1,FALSE),"")=A403,"Sim","Não")</f>
        <v>Não</v>
      </c>
      <c r="AP403" s="1" t="str">
        <f>+IF(IFERROR(VLOOKUP(A403,Ficheiros!T:T,1,FALSE),"")=A403,"Sim","Não")</f>
        <v>Não</v>
      </c>
      <c r="AQ403" s="1" t="e">
        <f>+VLOOKUP(A403,Ficheiros!O:P,2,FALSE)</f>
        <v>#N/A</v>
      </c>
      <c r="AR403" s="1" t="e">
        <f>+VLOOKUP(A403,Ficheiros!R:S,3,FALSE)</f>
        <v>#N/A</v>
      </c>
      <c r="AS403" s="1" t="e">
        <f>+VLOOKUP(A403,Ficheiros!T:V,3,FALSE)</f>
        <v>#N/A</v>
      </c>
      <c r="AT403" s="1"/>
      <c r="AU403" s="1"/>
      <c r="AV403" s="1"/>
      <c r="AW403" s="1"/>
      <c r="AX403" s="1"/>
    </row>
    <row r="404" spans="1:50" ht="14.5" hidden="1" customHeight="1" x14ac:dyDescent="0.35">
      <c r="A404" s="5" t="str">
        <f t="shared" si="12"/>
        <v>INSTRUMENTRSK_MTGTD_CCT</v>
      </c>
      <c r="B404" s="1" t="s">
        <v>1743</v>
      </c>
      <c r="C404" s="1" t="s">
        <v>785</v>
      </c>
      <c r="D404" s="1" t="s">
        <v>49</v>
      </c>
      <c r="E404" s="1" t="s">
        <v>37</v>
      </c>
      <c r="F404" s="25" t="s">
        <v>1744</v>
      </c>
      <c r="G404" s="1" t="s">
        <v>1744</v>
      </c>
      <c r="H404" s="1" t="s">
        <v>37</v>
      </c>
      <c r="I404" s="1" t="s">
        <v>39</v>
      </c>
      <c r="J404" s="1" t="s">
        <v>39</v>
      </c>
      <c r="K404" s="1" t="s">
        <v>39</v>
      </c>
      <c r="L404" s="1" t="s">
        <v>39</v>
      </c>
      <c r="M404" s="1" t="s">
        <v>39</v>
      </c>
      <c r="N404" s="1" t="s">
        <v>39</v>
      </c>
      <c r="O404" s="1" t="s">
        <v>39</v>
      </c>
      <c r="P404" s="1" t="s">
        <v>37</v>
      </c>
      <c r="Q404" s="1" t="s">
        <v>37</v>
      </c>
      <c r="R404" s="1" t="s">
        <v>136</v>
      </c>
      <c r="S404" s="1" t="s">
        <v>52</v>
      </c>
      <c r="T404" s="1" t="s">
        <v>53</v>
      </c>
      <c r="U404" s="1" t="s">
        <v>42</v>
      </c>
      <c r="V404" s="1" t="s">
        <v>46</v>
      </c>
      <c r="W404" s="1" t="s">
        <v>1745</v>
      </c>
      <c r="X404" s="1" t="s">
        <v>1746</v>
      </c>
      <c r="Y404" s="1" t="s">
        <v>45</v>
      </c>
      <c r="Z404" s="1" t="s">
        <v>46</v>
      </c>
      <c r="AA404" s="1" t="s">
        <v>47</v>
      </c>
      <c r="AB404" s="1" t="s">
        <v>37</v>
      </c>
      <c r="AC404" s="1" t="s">
        <v>37</v>
      </c>
      <c r="AD404" s="1" t="s">
        <v>39</v>
      </c>
      <c r="AE404" s="1" t="s">
        <v>37</v>
      </c>
      <c r="AF404" s="1" t="s">
        <v>37</v>
      </c>
      <c r="AG404" s="1" t="s">
        <v>37</v>
      </c>
      <c r="AH404" s="1" t="s">
        <v>37</v>
      </c>
      <c r="AI404" s="1" t="s">
        <v>39</v>
      </c>
      <c r="AJ404" s="1" t="s">
        <v>39</v>
      </c>
      <c r="AK404" s="1" t="str">
        <f t="shared" si="13"/>
        <v>Apenas Pilar 3</v>
      </c>
      <c r="AL404" s="1" t="str">
        <f>+IF(IFERROR(VLOOKUP(A404,Ficheiros!I:I,1,FALSE),"")=A404,"Sim","Não")</f>
        <v>Não</v>
      </c>
      <c r="AM404" s="1" t="str">
        <f>+IF(IFERROR(VLOOKUP(A404,Ficheiros!E:E,1,FALSE),"")=A404,"Sim","Não")</f>
        <v>Sim</v>
      </c>
      <c r="AN404" s="1" t="str">
        <f>+IF(IFERROR(VLOOKUP(A404,Ficheiros!O:O,1,FALSE),"")=A404,"Sim","Não")</f>
        <v>Sim</v>
      </c>
      <c r="AO404" s="1" t="str">
        <f>+IF(IFERROR(VLOOKUP(A404,'Especificação Novos Req. LT (2'!A:A,1,FALSE),"")=A404,"Sim","Não")</f>
        <v>Não</v>
      </c>
      <c r="AP404" s="1" t="str">
        <f>+IF(IFERROR(VLOOKUP(A404,Ficheiros!T:T,1,FALSE),"")=A404,"Sim","Não")</f>
        <v>Não</v>
      </c>
      <c r="AQ404" s="1" t="str">
        <f>+VLOOKUP(A404,Ficheiros!O:P,2,FALSE)</f>
        <v>1. Concluído</v>
      </c>
      <c r="AR404" s="1" t="e">
        <f>+VLOOKUP(A404,Ficheiros!R:S,3,FALSE)</f>
        <v>#N/A</v>
      </c>
      <c r="AS404" s="1" t="e">
        <f>+VLOOKUP(A404,Ficheiros!T:V,3,FALSE)</f>
        <v>#N/A</v>
      </c>
      <c r="AT404" s="1"/>
      <c r="AU404" s="1"/>
      <c r="AV404" s="1"/>
      <c r="AW404" s="1"/>
      <c r="AX404" s="1"/>
    </row>
    <row r="405" spans="1:50" ht="14.5" hidden="1" customHeight="1" x14ac:dyDescent="0.35">
      <c r="A405" s="5" t="str">
        <f t="shared" si="12"/>
        <v>INSTRUMENTRSK_MTGTD_CCP</v>
      </c>
      <c r="B405" s="1" t="s">
        <v>1747</v>
      </c>
      <c r="C405" s="1" t="s">
        <v>785</v>
      </c>
      <c r="D405" s="1" t="s">
        <v>49</v>
      </c>
      <c r="E405" s="1" t="s">
        <v>37</v>
      </c>
      <c r="F405" s="25" t="s">
        <v>1748</v>
      </c>
      <c r="G405" s="42" t="s">
        <v>1748</v>
      </c>
      <c r="H405" s="1" t="s">
        <v>37</v>
      </c>
      <c r="I405" s="1" t="s">
        <v>39</v>
      </c>
      <c r="J405" s="1" t="s">
        <v>39</v>
      </c>
      <c r="K405" s="1" t="s">
        <v>39</v>
      </c>
      <c r="L405" s="1" t="s">
        <v>39</v>
      </c>
      <c r="M405" s="1" t="s">
        <v>39</v>
      </c>
      <c r="N405" s="1" t="s">
        <v>39</v>
      </c>
      <c r="O405" s="1" t="s">
        <v>39</v>
      </c>
      <c r="P405" s="1" t="s">
        <v>37</v>
      </c>
      <c r="Q405" s="1" t="s">
        <v>37</v>
      </c>
      <c r="R405" s="1" t="s">
        <v>136</v>
      </c>
      <c r="S405" s="1" t="s">
        <v>52</v>
      </c>
      <c r="T405" s="1" t="s">
        <v>53</v>
      </c>
      <c r="U405" s="1" t="s">
        <v>42</v>
      </c>
      <c r="V405" s="1" t="s">
        <v>46</v>
      </c>
      <c r="W405" s="1" t="s">
        <v>1749</v>
      </c>
      <c r="X405" s="1" t="s">
        <v>1750</v>
      </c>
      <c r="Y405" s="1" t="s">
        <v>45</v>
      </c>
      <c r="Z405" s="1" t="s">
        <v>46</v>
      </c>
      <c r="AA405" s="1" t="s">
        <v>47</v>
      </c>
      <c r="AB405" s="1" t="s">
        <v>37</v>
      </c>
      <c r="AC405" s="1" t="s">
        <v>37</v>
      </c>
      <c r="AD405" s="1" t="s">
        <v>39</v>
      </c>
      <c r="AE405" s="1" t="s">
        <v>37</v>
      </c>
      <c r="AF405" s="1" t="s">
        <v>37</v>
      </c>
      <c r="AG405" s="1" t="s">
        <v>37</v>
      </c>
      <c r="AH405" s="1" t="s">
        <v>37</v>
      </c>
      <c r="AI405" s="1" t="s">
        <v>39</v>
      </c>
      <c r="AJ405" s="1" t="s">
        <v>39</v>
      </c>
      <c r="AK405" s="1" t="str">
        <f t="shared" si="13"/>
        <v>Apenas Pilar 3</v>
      </c>
      <c r="AL405" s="1" t="str">
        <f>+IF(IFERROR(VLOOKUP(A405,Ficheiros!I:I,1,FALSE),"")=A405,"Sim","Não")</f>
        <v>Não</v>
      </c>
      <c r="AM405" s="42" t="s">
        <v>2393</v>
      </c>
      <c r="AN405" s="42" t="s">
        <v>2393</v>
      </c>
      <c r="AO405" s="1" t="str">
        <f>+IF(IFERROR(VLOOKUP(A405,'Especificação Novos Req. LT (2'!A:A,1,FALSE),"")=A405,"Sim","Não")</f>
        <v>Não</v>
      </c>
      <c r="AP405" s="1" t="str">
        <f>+IF(IFERROR(VLOOKUP(A405,Ficheiros!T:T,1,FALSE),"")=A405,"Sim","Não")</f>
        <v>Não</v>
      </c>
      <c r="AQ405" s="1" t="str">
        <f>+VLOOKUP(A405,Ficheiros!O:P,2,FALSE)</f>
        <v>4. Validação EF</v>
      </c>
      <c r="AR405" s="1" t="e">
        <f>+VLOOKUP(A405,Ficheiros!R:S,3,FALSE)</f>
        <v>#N/A</v>
      </c>
      <c r="AS405" s="1" t="e">
        <f>+VLOOKUP(A405,Ficheiros!T:V,3,FALSE)</f>
        <v>#N/A</v>
      </c>
      <c r="AT405" s="1"/>
      <c r="AU405" s="1"/>
      <c r="AV405" s="1"/>
      <c r="AW405" s="1"/>
      <c r="AX405" s="1"/>
    </row>
    <row r="406" spans="1:50" ht="14.5" hidden="1" customHeight="1" x14ac:dyDescent="0.35">
      <c r="A406" s="5" t="str">
        <f t="shared" si="12"/>
        <v>INSTRUMENTLNS_CLLTRLZD_CLSSFCTN</v>
      </c>
      <c r="B406" s="1" t="s">
        <v>1754</v>
      </c>
      <c r="C406" s="1" t="s">
        <v>785</v>
      </c>
      <c r="D406" s="1" t="s">
        <v>787</v>
      </c>
      <c r="E406" s="1" t="s">
        <v>37</v>
      </c>
      <c r="F406" s="25" t="s">
        <v>1755</v>
      </c>
      <c r="G406" s="1" t="s">
        <v>1755</v>
      </c>
      <c r="H406" s="1" t="s">
        <v>37</v>
      </c>
      <c r="I406" s="1" t="s">
        <v>39</v>
      </c>
      <c r="J406" s="1" t="s">
        <v>39</v>
      </c>
      <c r="K406" s="1" t="s">
        <v>39</v>
      </c>
      <c r="L406" s="1" t="s">
        <v>39</v>
      </c>
      <c r="M406" s="1" t="s">
        <v>39</v>
      </c>
      <c r="N406" s="1" t="s">
        <v>39</v>
      </c>
      <c r="O406" s="1" t="s">
        <v>39</v>
      </c>
      <c r="P406" s="1" t="s">
        <v>39</v>
      </c>
      <c r="Q406" s="1" t="s">
        <v>37</v>
      </c>
      <c r="R406" s="1" t="s">
        <v>136</v>
      </c>
      <c r="S406" s="1" t="s">
        <v>52</v>
      </c>
      <c r="T406" s="1" t="s">
        <v>53</v>
      </c>
      <c r="U406" s="1" t="s">
        <v>42</v>
      </c>
      <c r="V406" s="1" t="s">
        <v>42</v>
      </c>
      <c r="W406" s="1" t="s">
        <v>1756</v>
      </c>
      <c r="X406" s="1" t="s">
        <v>1757</v>
      </c>
      <c r="Y406" s="1" t="s">
        <v>45</v>
      </c>
      <c r="Z406" s="1" t="s">
        <v>46</v>
      </c>
      <c r="AA406" s="1" t="s">
        <v>47</v>
      </c>
      <c r="AB406" s="1" t="s">
        <v>37</v>
      </c>
      <c r="AC406" s="1" t="s">
        <v>37</v>
      </c>
      <c r="AD406" s="1" t="s">
        <v>39</v>
      </c>
      <c r="AE406" s="1" t="s">
        <v>37</v>
      </c>
      <c r="AF406" s="1" t="s">
        <v>37</v>
      </c>
      <c r="AG406" s="1" t="s">
        <v>37</v>
      </c>
      <c r="AH406" s="1" t="s">
        <v>37</v>
      </c>
      <c r="AI406" s="1" t="s">
        <v>39</v>
      </c>
      <c r="AJ406" s="1" t="s">
        <v>39</v>
      </c>
      <c r="AK406" s="1" t="str">
        <f t="shared" si="13"/>
        <v>Apenas Pilar 3</v>
      </c>
      <c r="AL406" s="1" t="str">
        <f>+IF(IFERROR(VLOOKUP(A406,Ficheiros!I:I,1,FALSE),"")=A406,"Sim","Não")</f>
        <v>Não</v>
      </c>
      <c r="AM406" s="1" t="str">
        <f>+IF(IFERROR(VLOOKUP(A406,Ficheiros!E:E,1,FALSE),"")=A406,"Sim","Não")</f>
        <v>Sim</v>
      </c>
      <c r="AN406" s="1" t="str">
        <f>+IF(IFERROR(VLOOKUP(A406,Ficheiros!O:O,1,FALSE),"")=A406,"Sim","Não")</f>
        <v>Sim</v>
      </c>
      <c r="AO406" s="1" t="str">
        <f>+IF(IFERROR(VLOOKUP(A406,'Especificação Novos Req. LT (2'!A:A,1,FALSE),"")=A406,"Sim","Não")</f>
        <v>Não</v>
      </c>
      <c r="AP406" s="1" t="str">
        <f>+IF(IFERROR(VLOOKUP(A406,Ficheiros!T:T,1,FALSE),"")=A406,"Sim","Não")</f>
        <v>Não</v>
      </c>
      <c r="AQ406" s="1" t="str">
        <f>+VLOOKUP(A406,Ficheiros!O:P,2,FALSE)</f>
        <v>1. Concluído</v>
      </c>
      <c r="AR406" s="1" t="e">
        <f>+VLOOKUP(A406,Ficheiros!R:S,3,FALSE)</f>
        <v>#N/A</v>
      </c>
      <c r="AS406" s="1" t="e">
        <f>+VLOOKUP(A406,Ficheiros!T:V,3,FALSE)</f>
        <v>#N/A</v>
      </c>
      <c r="AT406" s="1"/>
      <c r="AU406" s="1"/>
      <c r="AV406" s="1"/>
      <c r="AW406" s="1"/>
      <c r="AX406" s="1"/>
    </row>
    <row r="407" spans="1:50" ht="14.5" hidden="1" customHeight="1" x14ac:dyDescent="0.35">
      <c r="A407" s="5" t="str">
        <f t="shared" si="12"/>
        <v>INSTRUMENTMTHD_USD_INSTRMNT_SCP_1</v>
      </c>
      <c r="B407" s="1" t="s">
        <v>1758</v>
      </c>
      <c r="C407" s="1" t="s">
        <v>785</v>
      </c>
      <c r="D407" s="1" t="s">
        <v>134</v>
      </c>
      <c r="E407" s="1" t="s">
        <v>37</v>
      </c>
      <c r="F407" s="25" t="s">
        <v>1759</v>
      </c>
      <c r="G407" s="42" t="s">
        <v>1759</v>
      </c>
      <c r="H407" s="1" t="s">
        <v>37</v>
      </c>
      <c r="I407" s="1" t="s">
        <v>37</v>
      </c>
      <c r="J407" s="1" t="s">
        <v>37</v>
      </c>
      <c r="K407" s="1" t="s">
        <v>37</v>
      </c>
      <c r="L407" s="1" t="s">
        <v>37</v>
      </c>
      <c r="M407" s="1" t="s">
        <v>39</v>
      </c>
      <c r="N407" s="1" t="s">
        <v>37</v>
      </c>
      <c r="O407" s="1" t="s">
        <v>39</v>
      </c>
      <c r="P407" s="1" t="s">
        <v>37</v>
      </c>
      <c r="Q407" s="1" t="s">
        <v>37</v>
      </c>
      <c r="R407" s="1" t="s">
        <v>136</v>
      </c>
      <c r="S407" s="1" t="s">
        <v>52</v>
      </c>
      <c r="T407" s="1" t="s">
        <v>53</v>
      </c>
      <c r="U407" s="1" t="s">
        <v>46</v>
      </c>
      <c r="V407" s="1" t="s">
        <v>46</v>
      </c>
      <c r="W407" s="1" t="s">
        <v>1760</v>
      </c>
      <c r="X407" s="1" t="s">
        <v>1760</v>
      </c>
      <c r="Y407" s="1" t="s">
        <v>45</v>
      </c>
      <c r="Z407" s="1" t="s">
        <v>46</v>
      </c>
      <c r="AA407" s="1" t="s">
        <v>47</v>
      </c>
      <c r="AB407" s="1" t="s">
        <v>37</v>
      </c>
      <c r="AC407" s="1" t="s">
        <v>37</v>
      </c>
      <c r="AD407" s="1" t="s">
        <v>39</v>
      </c>
      <c r="AE407" s="1" t="s">
        <v>37</v>
      </c>
      <c r="AF407" s="1" t="s">
        <v>37</v>
      </c>
      <c r="AG407" s="1" t="s">
        <v>37</v>
      </c>
      <c r="AH407" s="1" t="s">
        <v>37</v>
      </c>
      <c r="AI407" s="1" t="s">
        <v>39</v>
      </c>
      <c r="AJ407" s="1" t="s">
        <v>39</v>
      </c>
      <c r="AK407" s="1" t="str">
        <f t="shared" si="13"/>
        <v>Apenas Pilar 3</v>
      </c>
      <c r="AL407" s="1" t="str">
        <f>+IF(IFERROR(VLOOKUP(A407,Ficheiros!I:I,1,FALSE),"")=A407,"Sim","Não")</f>
        <v>Não</v>
      </c>
      <c r="AM407" s="42" t="s">
        <v>2393</v>
      </c>
      <c r="AN407" s="42" t="s">
        <v>2393</v>
      </c>
      <c r="AO407" s="1" t="str">
        <f>+IF(IFERROR(VLOOKUP(A407,'Especificação Novos Req. LT (2'!A:A,1,FALSE),"")=A407,"Sim","Não")</f>
        <v>Não</v>
      </c>
      <c r="AP407" s="1" t="str">
        <f>+IF(IFERROR(VLOOKUP(A407,Ficheiros!T:T,1,FALSE),"")=A407,"Sim","Não")</f>
        <v>Não</v>
      </c>
      <c r="AQ407" s="1" t="str">
        <f>+VLOOKUP(A407,Ficheiros!O:P,2,FALSE)</f>
        <v>3. Pendente de outros desenvolvimentos</v>
      </c>
      <c r="AR407" s="1" t="e">
        <f>+VLOOKUP(A407,Ficheiros!R:S,3,FALSE)</f>
        <v>#N/A</v>
      </c>
      <c r="AS407" s="1" t="e">
        <f>+VLOOKUP(A407,Ficheiros!T:V,3,FALSE)</f>
        <v>#N/A</v>
      </c>
      <c r="AT407" s="1"/>
      <c r="AU407" s="1"/>
      <c r="AV407" s="1"/>
      <c r="AW407" s="1"/>
      <c r="AX407" s="1" t="s">
        <v>2524</v>
      </c>
    </row>
    <row r="408" spans="1:50" ht="14.5" hidden="1" customHeight="1" x14ac:dyDescent="0.35">
      <c r="A408" s="5" t="str">
        <f t="shared" si="12"/>
        <v>INSTRUMENTMTHD_USD_INSTRMNT_SCP_2</v>
      </c>
      <c r="B408" s="1" t="s">
        <v>1761</v>
      </c>
      <c r="C408" s="1" t="s">
        <v>785</v>
      </c>
      <c r="D408" s="1" t="s">
        <v>134</v>
      </c>
      <c r="E408" s="1" t="s">
        <v>37</v>
      </c>
      <c r="F408" s="25" t="s">
        <v>1762</v>
      </c>
      <c r="G408" s="42" t="s">
        <v>1762</v>
      </c>
      <c r="H408" s="1" t="s">
        <v>37</v>
      </c>
      <c r="I408" s="1" t="s">
        <v>37</v>
      </c>
      <c r="J408" s="1" t="s">
        <v>37</v>
      </c>
      <c r="K408" s="1" t="s">
        <v>37</v>
      </c>
      <c r="L408" s="1" t="s">
        <v>37</v>
      </c>
      <c r="M408" s="1" t="s">
        <v>39</v>
      </c>
      <c r="N408" s="1" t="s">
        <v>37</v>
      </c>
      <c r="O408" s="1" t="s">
        <v>39</v>
      </c>
      <c r="P408" s="1" t="s">
        <v>37</v>
      </c>
      <c r="Q408" s="1" t="s">
        <v>37</v>
      </c>
      <c r="R408" s="1" t="s">
        <v>136</v>
      </c>
      <c r="S408" s="1" t="s">
        <v>52</v>
      </c>
      <c r="T408" s="1" t="s">
        <v>53</v>
      </c>
      <c r="U408" s="1" t="s">
        <v>46</v>
      </c>
      <c r="V408" s="1" t="s">
        <v>46</v>
      </c>
      <c r="W408" s="1" t="s">
        <v>1763</v>
      </c>
      <c r="X408" s="1" t="s">
        <v>1763</v>
      </c>
      <c r="Y408" s="1" t="s">
        <v>45</v>
      </c>
      <c r="Z408" s="1" t="s">
        <v>46</v>
      </c>
      <c r="AA408" s="1" t="s">
        <v>47</v>
      </c>
      <c r="AB408" s="1" t="s">
        <v>37</v>
      </c>
      <c r="AC408" s="1" t="s">
        <v>37</v>
      </c>
      <c r="AD408" s="1" t="s">
        <v>39</v>
      </c>
      <c r="AE408" s="1" t="s">
        <v>37</v>
      </c>
      <c r="AF408" s="1" t="s">
        <v>37</v>
      </c>
      <c r="AG408" s="1" t="s">
        <v>37</v>
      </c>
      <c r="AH408" s="1" t="s">
        <v>37</v>
      </c>
      <c r="AI408" s="1" t="s">
        <v>39</v>
      </c>
      <c r="AJ408" s="1" t="s">
        <v>39</v>
      </c>
      <c r="AK408" s="1" t="str">
        <f t="shared" si="13"/>
        <v>Apenas Pilar 3</v>
      </c>
      <c r="AL408" s="1" t="str">
        <f>+IF(IFERROR(VLOOKUP(A408,Ficheiros!I:I,1,FALSE),"")=A408,"Sim","Não")</f>
        <v>Não</v>
      </c>
      <c r="AM408" s="42" t="s">
        <v>2393</v>
      </c>
      <c r="AN408" s="42" t="s">
        <v>2393</v>
      </c>
      <c r="AO408" s="1" t="str">
        <f>+IF(IFERROR(VLOOKUP(A408,'Especificação Novos Req. LT (2'!A:A,1,FALSE),"")=A408,"Sim","Não")</f>
        <v>Não</v>
      </c>
      <c r="AP408" s="1" t="str">
        <f>+IF(IFERROR(VLOOKUP(A408,Ficheiros!T:T,1,FALSE),"")=A408,"Sim","Não")</f>
        <v>Não</v>
      </c>
      <c r="AQ408" s="1" t="str">
        <f>+VLOOKUP(A408,Ficheiros!O:P,2,FALSE)</f>
        <v>3. Pendente de outros desenvolvimentos</v>
      </c>
      <c r="AR408" s="1" t="e">
        <f>+VLOOKUP(A408,Ficheiros!R:S,3,FALSE)</f>
        <v>#N/A</v>
      </c>
      <c r="AS408" s="1" t="e">
        <f>+VLOOKUP(A408,Ficheiros!T:V,3,FALSE)</f>
        <v>#N/A</v>
      </c>
      <c r="AT408" s="1"/>
      <c r="AU408" s="1"/>
      <c r="AV408" s="1"/>
      <c r="AW408" s="1"/>
      <c r="AX408" s="1" t="s">
        <v>2524</v>
      </c>
    </row>
    <row r="409" spans="1:50" ht="14.5" hidden="1" customHeight="1" x14ac:dyDescent="0.35">
      <c r="A409" s="5" t="str">
        <f t="shared" si="12"/>
        <v>INSTRUMENTMTHD_USD_INSTRMNT_SCP_3</v>
      </c>
      <c r="B409" s="1" t="s">
        <v>1764</v>
      </c>
      <c r="C409" s="1" t="s">
        <v>785</v>
      </c>
      <c r="D409" s="1" t="s">
        <v>134</v>
      </c>
      <c r="E409" s="1" t="s">
        <v>37</v>
      </c>
      <c r="F409" s="25" t="s">
        <v>1765</v>
      </c>
      <c r="G409" s="42" t="s">
        <v>1765</v>
      </c>
      <c r="H409" s="1" t="s">
        <v>37</v>
      </c>
      <c r="I409" s="1" t="s">
        <v>37</v>
      </c>
      <c r="J409" s="1" t="s">
        <v>37</v>
      </c>
      <c r="K409" s="1" t="s">
        <v>37</v>
      </c>
      <c r="L409" s="1" t="s">
        <v>37</v>
      </c>
      <c r="M409" s="1" t="s">
        <v>39</v>
      </c>
      <c r="N409" s="1" t="s">
        <v>37</v>
      </c>
      <c r="O409" s="1" t="s">
        <v>39</v>
      </c>
      <c r="P409" s="1" t="s">
        <v>37</v>
      </c>
      <c r="Q409" s="1" t="s">
        <v>37</v>
      </c>
      <c r="R409" s="1" t="s">
        <v>136</v>
      </c>
      <c r="S409" s="1" t="s">
        <v>52</v>
      </c>
      <c r="T409" s="1" t="s">
        <v>53</v>
      </c>
      <c r="U409" s="1" t="s">
        <v>46</v>
      </c>
      <c r="V409" s="1" t="s">
        <v>46</v>
      </c>
      <c r="W409" s="1" t="s">
        <v>1766</v>
      </c>
      <c r="X409" s="1" t="s">
        <v>1766</v>
      </c>
      <c r="Y409" s="1" t="s">
        <v>45</v>
      </c>
      <c r="Z409" s="1" t="s">
        <v>46</v>
      </c>
      <c r="AA409" s="1" t="s">
        <v>47</v>
      </c>
      <c r="AB409" s="1" t="s">
        <v>37</v>
      </c>
      <c r="AC409" s="1" t="s">
        <v>37</v>
      </c>
      <c r="AD409" s="1" t="s">
        <v>39</v>
      </c>
      <c r="AE409" s="1" t="s">
        <v>37</v>
      </c>
      <c r="AF409" s="1" t="s">
        <v>37</v>
      </c>
      <c r="AG409" s="1" t="s">
        <v>37</v>
      </c>
      <c r="AH409" s="1" t="s">
        <v>37</v>
      </c>
      <c r="AI409" s="1" t="s">
        <v>39</v>
      </c>
      <c r="AJ409" s="1" t="s">
        <v>39</v>
      </c>
      <c r="AK409" s="1" t="str">
        <f t="shared" si="13"/>
        <v>Apenas Pilar 3</v>
      </c>
      <c r="AL409" s="1" t="str">
        <f>+IF(IFERROR(VLOOKUP(A409,Ficheiros!I:I,1,FALSE),"")=A409,"Sim","Não")</f>
        <v>Não</v>
      </c>
      <c r="AM409" s="42" t="s">
        <v>2393</v>
      </c>
      <c r="AN409" s="42" t="s">
        <v>2393</v>
      </c>
      <c r="AO409" s="1" t="str">
        <f>+IF(IFERROR(VLOOKUP(A409,'Especificação Novos Req. LT (2'!A:A,1,FALSE),"")=A409,"Sim","Não")</f>
        <v>Não</v>
      </c>
      <c r="AP409" s="1" t="str">
        <f>+IF(IFERROR(VLOOKUP(A409,Ficheiros!T:T,1,FALSE),"")=A409,"Sim","Não")</f>
        <v>Não</v>
      </c>
      <c r="AQ409" s="1" t="str">
        <f>+VLOOKUP(A409,Ficheiros!O:P,2,FALSE)</f>
        <v>3. Pendente de outros desenvolvimentos</v>
      </c>
      <c r="AR409" s="1" t="e">
        <f>+VLOOKUP(A409,Ficheiros!R:S,3,FALSE)</f>
        <v>#N/A</v>
      </c>
      <c r="AS409" s="1" t="e">
        <f>+VLOOKUP(A409,Ficheiros!T:V,3,FALSE)</f>
        <v>#N/A</v>
      </c>
      <c r="AT409" s="1"/>
      <c r="AU409" s="1"/>
      <c r="AV409" s="1"/>
      <c r="AW409" s="1"/>
      <c r="AX409" s="1" t="s">
        <v>2524</v>
      </c>
    </row>
    <row r="410" spans="1:50" ht="14.5" hidden="1" customHeight="1" x14ac:dyDescent="0.35">
      <c r="A410" s="5" t="str">
        <f t="shared" si="12"/>
        <v>INSTRUMENTCNCLLD_INSTRMNT_STTS</v>
      </c>
      <c r="B410" s="1" t="s">
        <v>1767</v>
      </c>
      <c r="C410" s="1" t="s">
        <v>785</v>
      </c>
      <c r="D410" s="1" t="s">
        <v>49</v>
      </c>
      <c r="E410" s="1" t="s">
        <v>37</v>
      </c>
      <c r="F410" s="26" t="s">
        <v>1768</v>
      </c>
      <c r="G410" s="24" t="s">
        <v>1768</v>
      </c>
      <c r="H410" s="1" t="s">
        <v>39</v>
      </c>
      <c r="I410" s="1" t="s">
        <v>39</v>
      </c>
      <c r="J410" s="1" t="s">
        <v>39</v>
      </c>
      <c r="K410" s="1" t="s">
        <v>39</v>
      </c>
      <c r="L410" s="1" t="s">
        <v>39</v>
      </c>
      <c r="M410" s="1" t="s">
        <v>39</v>
      </c>
      <c r="N410" s="1" t="s">
        <v>39</v>
      </c>
      <c r="O410" s="1" t="s">
        <v>39</v>
      </c>
      <c r="P410" s="1" t="s">
        <v>39</v>
      </c>
      <c r="Q410" s="1" t="s">
        <v>39</v>
      </c>
      <c r="R410" s="1" t="s">
        <v>136</v>
      </c>
      <c r="S410" s="1" t="s">
        <v>52</v>
      </c>
      <c r="T410" s="1" t="s">
        <v>53</v>
      </c>
      <c r="U410" s="1" t="s">
        <v>42</v>
      </c>
      <c r="V410" s="1" t="s">
        <v>42</v>
      </c>
      <c r="W410" s="1" t="s">
        <v>1769</v>
      </c>
      <c r="X410" s="1" t="s">
        <v>1770</v>
      </c>
      <c r="Y410" s="1" t="s">
        <v>45</v>
      </c>
      <c r="Z410" s="1" t="s">
        <v>46</v>
      </c>
      <c r="AA410" s="1" t="s">
        <v>47</v>
      </c>
      <c r="AB410" s="1" t="s">
        <v>37</v>
      </c>
      <c r="AC410" s="1" t="s">
        <v>39</v>
      </c>
      <c r="AD410" s="1" t="s">
        <v>39</v>
      </c>
      <c r="AE410" s="1" t="s">
        <v>39</v>
      </c>
      <c r="AF410" s="1" t="s">
        <v>37</v>
      </c>
      <c r="AG410" s="1" t="s">
        <v>37</v>
      </c>
      <c r="AH410" s="1" t="s">
        <v>39</v>
      </c>
      <c r="AI410" s="1" t="s">
        <v>39</v>
      </c>
      <c r="AJ410" s="1" t="s">
        <v>39</v>
      </c>
      <c r="AK410" s="1" t="str">
        <f t="shared" si="13"/>
        <v>Apenas Pilar 3</v>
      </c>
      <c r="AL410" s="1" t="str">
        <f>+IF(IFERROR(VLOOKUP(A410,Ficheiros!I:I,1,FALSE),"")=A410,"Sim","Não")</f>
        <v>Não</v>
      </c>
      <c r="AM410" s="1" t="str">
        <f>+IF(IFERROR(VLOOKUP(A410,Ficheiros!E:E,1,FALSE),"")=A410,"Sim","Não")</f>
        <v>Não</v>
      </c>
      <c r="AN410" s="1" t="str">
        <f>+IF(IFERROR(VLOOKUP(A410,Ficheiros!O:O,1,FALSE),"")=A410,"Sim","Não")</f>
        <v>Não</v>
      </c>
      <c r="AO410" s="1" t="str">
        <f>+IF(IFERROR(VLOOKUP(A410,'Especificação Novos Req. LT (2'!A:A,1,FALSE),"")=A410,"Sim","Não")</f>
        <v>Não</v>
      </c>
      <c r="AP410" s="1" t="str">
        <f>+IF(IFERROR(VLOOKUP(A410,Ficheiros!T:T,1,FALSE),"")=A410,"Sim","Não")</f>
        <v>Não</v>
      </c>
      <c r="AQ410" s="1" t="e">
        <f>+VLOOKUP(A410,Ficheiros!O:P,2,FALSE)</f>
        <v>#N/A</v>
      </c>
      <c r="AR410" s="1" t="e">
        <f>+VLOOKUP(A410,Ficheiros!R:S,3,FALSE)</f>
        <v>#N/A</v>
      </c>
      <c r="AS410" s="1" t="e">
        <f>+VLOOKUP(A410,Ficheiros!T:V,3,FALSE)</f>
        <v>#N/A</v>
      </c>
      <c r="AT410" s="1" t="s">
        <v>2468</v>
      </c>
      <c r="AU410" s="1" t="s">
        <v>2465</v>
      </c>
      <c r="AV410" s="1" t="s">
        <v>2538</v>
      </c>
      <c r="AW410" s="1"/>
      <c r="AX410" s="1"/>
    </row>
    <row r="411" spans="1:50" ht="14.5" hidden="1" customHeight="1" x14ac:dyDescent="0.35">
      <c r="A411" s="5" t="str">
        <f t="shared" si="12"/>
        <v>INSTRUMENTIDCMB</v>
      </c>
      <c r="B411" s="1" t="s">
        <v>1771</v>
      </c>
      <c r="C411" s="1" t="s">
        <v>785</v>
      </c>
      <c r="D411" s="1" t="s">
        <v>787</v>
      </c>
      <c r="E411" s="1" t="s">
        <v>37</v>
      </c>
      <c r="F411" s="26" t="s">
        <v>1772</v>
      </c>
      <c r="G411" s="1" t="s">
        <v>1772</v>
      </c>
      <c r="H411" s="1" t="s">
        <v>39</v>
      </c>
      <c r="I411" s="1" t="s">
        <v>39</v>
      </c>
      <c r="J411" s="1" t="s">
        <v>39</v>
      </c>
      <c r="K411" s="1" t="s">
        <v>39</v>
      </c>
      <c r="L411" s="1" t="s">
        <v>39</v>
      </c>
      <c r="M411" s="1" t="s">
        <v>39</v>
      </c>
      <c r="N411" s="1" t="s">
        <v>39</v>
      </c>
      <c r="O411" s="1" t="s">
        <v>39</v>
      </c>
      <c r="P411" s="1" t="s">
        <v>39</v>
      </c>
      <c r="Q411" s="1" t="s">
        <v>39</v>
      </c>
      <c r="R411" s="1" t="s">
        <v>96</v>
      </c>
      <c r="S411" s="1" t="s">
        <v>41</v>
      </c>
      <c r="T411" s="1" t="s">
        <v>42</v>
      </c>
      <c r="U411" s="1" t="s">
        <v>42</v>
      </c>
      <c r="V411" s="1" t="s">
        <v>42</v>
      </c>
      <c r="W411" s="1" t="s">
        <v>1773</v>
      </c>
      <c r="X411" s="1" t="s">
        <v>1774</v>
      </c>
      <c r="Y411" s="1" t="s">
        <v>45</v>
      </c>
      <c r="Z411" s="1" t="s">
        <v>46</v>
      </c>
      <c r="AA411" s="1" t="s">
        <v>47</v>
      </c>
      <c r="AB411" s="1" t="s">
        <v>39</v>
      </c>
      <c r="AC411" s="1" t="s">
        <v>39</v>
      </c>
      <c r="AD411" s="1" t="s">
        <v>39</v>
      </c>
      <c r="AE411" s="1" t="s">
        <v>37</v>
      </c>
      <c r="AF411" s="1" t="s">
        <v>39</v>
      </c>
      <c r="AG411" s="1" t="s">
        <v>39</v>
      </c>
      <c r="AH411" s="1" t="s">
        <v>39</v>
      </c>
      <c r="AI411" s="1" t="s">
        <v>39</v>
      </c>
      <c r="AJ411" s="1" t="s">
        <v>39</v>
      </c>
      <c r="AK411" s="1" t="str">
        <f t="shared" si="13"/>
        <v>Comum</v>
      </c>
      <c r="AL411" s="1" t="str">
        <f>+IF(IFERROR(VLOOKUP(A411,Ficheiros!I:I,1,FALSE),"")=A411,"Sim","Não")</f>
        <v>Sim</v>
      </c>
      <c r="AM411" s="1" t="str">
        <f>+IF(IFERROR(VLOOKUP(A411,Ficheiros!E:E,1,FALSE),"")=A411,"Sim","Não")</f>
        <v>Não</v>
      </c>
      <c r="AN411" s="1" t="str">
        <f>+IF(IFERROR(VLOOKUP(A411,Ficheiros!O:O,1,FALSE),"")=A411,"Sim","Não")</f>
        <v>Sim</v>
      </c>
      <c r="AO411" s="1" t="str">
        <f>+IF(IFERROR(VLOOKUP(A411,'Especificação Novos Req. LT (2'!A:A,1,FALSE),"")=A411,"Sim","Não")</f>
        <v>Não</v>
      </c>
      <c r="AP411" s="1" t="str">
        <f>+IF(IFERROR(VLOOKUP(A411,Ficheiros!T:T,1,FALSE),"")=A411,"Sim","Não")</f>
        <v>Sim</v>
      </c>
      <c r="AQ411" s="1" t="str">
        <f>+VLOOKUP(A411,Ficheiros!O:P,2,FALSE)</f>
        <v>1. Concluído</v>
      </c>
      <c r="AR411" s="1" t="str">
        <f>+VLOOKUP(A411,Ficheiros!T:U,2,FALSE)</f>
        <v>5.1 Em testes - Re-especificação</v>
      </c>
      <c r="AS411" s="1" t="str">
        <f>+VLOOKUP(A411,Ficheiros!T:V,3,FALSE)</f>
        <v>LF</v>
      </c>
      <c r="AT411" s="1"/>
      <c r="AU411" s="1"/>
      <c r="AV411" s="1"/>
      <c r="AW411" s="1"/>
      <c r="AX411" s="1" t="s">
        <v>2540</v>
      </c>
    </row>
    <row r="412" spans="1:50" ht="14.5" hidden="1" customHeight="1" x14ac:dyDescent="0.35">
      <c r="A412" s="5" t="str">
        <f t="shared" si="12"/>
        <v>INSTRUMENTEXPCTD_LSS_CRR</v>
      </c>
      <c r="B412" s="1" t="s">
        <v>1775</v>
      </c>
      <c r="C412" s="1" t="s">
        <v>785</v>
      </c>
      <c r="D412" s="1" t="s">
        <v>271</v>
      </c>
      <c r="E412" s="1" t="s">
        <v>37</v>
      </c>
      <c r="F412" s="25" t="s">
        <v>1776</v>
      </c>
      <c r="G412" s="1" t="s">
        <v>1776</v>
      </c>
      <c r="H412" s="1" t="s">
        <v>39</v>
      </c>
      <c r="I412" s="1" t="s">
        <v>39</v>
      </c>
      <c r="J412" s="1" t="s">
        <v>39</v>
      </c>
      <c r="K412" s="1" t="s">
        <v>39</v>
      </c>
      <c r="L412" s="1" t="s">
        <v>39</v>
      </c>
      <c r="M412" s="1" t="s">
        <v>39</v>
      </c>
      <c r="N412" s="1" t="s">
        <v>39</v>
      </c>
      <c r="O412" s="1" t="s">
        <v>39</v>
      </c>
      <c r="P412" s="1" t="s">
        <v>37</v>
      </c>
      <c r="Q412" s="1" t="s">
        <v>37</v>
      </c>
      <c r="R412" s="1" t="s">
        <v>273</v>
      </c>
      <c r="S412" s="1" t="s">
        <v>274</v>
      </c>
      <c r="T412" s="1">
        <v>99999999999</v>
      </c>
      <c r="U412" s="1">
        <v>11111111111</v>
      </c>
      <c r="V412" s="1">
        <v>11111111111</v>
      </c>
      <c r="W412" s="1" t="s">
        <v>1777</v>
      </c>
      <c r="X412" s="1" t="s">
        <v>1778</v>
      </c>
      <c r="Y412" s="1" t="s">
        <v>45</v>
      </c>
      <c r="Z412" s="1" t="s">
        <v>46</v>
      </c>
      <c r="AA412" s="1" t="s">
        <v>47</v>
      </c>
      <c r="AB412" s="1" t="s">
        <v>39</v>
      </c>
      <c r="AC412" s="1" t="s">
        <v>37</v>
      </c>
      <c r="AD412" s="1" t="s">
        <v>37</v>
      </c>
      <c r="AE412" s="1" t="s">
        <v>37</v>
      </c>
      <c r="AF412" s="1" t="s">
        <v>37</v>
      </c>
      <c r="AG412" s="1" t="s">
        <v>37</v>
      </c>
      <c r="AH412" s="1" t="s">
        <v>37</v>
      </c>
      <c r="AI412" s="1" t="s">
        <v>37</v>
      </c>
      <c r="AJ412" s="1" t="s">
        <v>39</v>
      </c>
      <c r="AK412" s="1" t="str">
        <f t="shared" si="13"/>
        <v>Fora de âmbito</v>
      </c>
      <c r="AL412" s="1" t="str">
        <f>+IF(IFERROR(VLOOKUP(A412,Ficheiros!I:I,1,FALSE),"")=A412,"Sim","Não")</f>
        <v>Sim</v>
      </c>
      <c r="AM412" s="1" t="str">
        <f>+IF(IFERROR(VLOOKUP(A412,Ficheiros!E:E,1,FALSE),"")=A412,"Sim","Não")</f>
        <v>Não</v>
      </c>
      <c r="AN412" s="1" t="str">
        <f>+IF(IFERROR(VLOOKUP(A412,Ficheiros!O:O,1,FALSE),"")=A412,"Sim","Não")</f>
        <v>Não</v>
      </c>
      <c r="AO412" s="1" t="str">
        <f>+IF(IFERROR(VLOOKUP(A412,'Especificação Novos Req. LT (2'!A:A,1,FALSE),"")=A412,"Sim","Não")</f>
        <v>Não</v>
      </c>
      <c r="AP412" s="1" t="str">
        <f>+IF(IFERROR(VLOOKUP(A412,Ficheiros!T:T,1,FALSE),"")=A412,"Sim","Não")</f>
        <v>Sim</v>
      </c>
      <c r="AQ412" s="1" t="e">
        <f>+VLOOKUP(A412,Ficheiros!O:P,2,FALSE)</f>
        <v>#N/A</v>
      </c>
      <c r="AR412" s="1" t="str">
        <f>+VLOOKUP(A412,Ficheiros!T:U,2,FALSE)</f>
        <v>5.1 Em testes - Re-especificação</v>
      </c>
      <c r="AS412" s="1" t="str">
        <f>+VLOOKUP(A412,Ficheiros!T:V,3,FALSE)</f>
        <v>PM</v>
      </c>
      <c r="AT412" s="1"/>
      <c r="AU412" s="1"/>
      <c r="AV412" s="1"/>
      <c r="AW412" s="1"/>
      <c r="AX412" s="1"/>
    </row>
    <row r="413" spans="1:50" ht="14.5" hidden="1" customHeight="1" x14ac:dyDescent="0.35">
      <c r="A413" s="5" t="str">
        <f t="shared" si="12"/>
        <v>INSTRUMENTLSTI</v>
      </c>
      <c r="B413" s="1" t="s">
        <v>1779</v>
      </c>
      <c r="C413" s="1" t="s">
        <v>785</v>
      </c>
      <c r="D413" s="1" t="s">
        <v>271</v>
      </c>
      <c r="E413" s="1" t="s">
        <v>37</v>
      </c>
      <c r="F413" s="25" t="s">
        <v>1780</v>
      </c>
      <c r="G413" s="1" t="s">
        <v>1780</v>
      </c>
      <c r="H413" s="1" t="s">
        <v>37</v>
      </c>
      <c r="I413" s="1" t="s">
        <v>37</v>
      </c>
      <c r="J413" s="1" t="s">
        <v>37</v>
      </c>
      <c r="K413" s="1" t="s">
        <v>37</v>
      </c>
      <c r="L413" s="1" t="s">
        <v>37</v>
      </c>
      <c r="M413" s="1" t="s">
        <v>37</v>
      </c>
      <c r="N413" s="1" t="s">
        <v>39</v>
      </c>
      <c r="O413" s="1" t="s">
        <v>37</v>
      </c>
      <c r="P413" s="1" t="s">
        <v>37</v>
      </c>
      <c r="Q413" s="1" t="s">
        <v>37</v>
      </c>
      <c r="R413" s="1" t="s">
        <v>342</v>
      </c>
      <c r="S413" s="1" t="s">
        <v>274</v>
      </c>
      <c r="T413" s="1">
        <v>99999999999</v>
      </c>
      <c r="U413" s="1">
        <v>11111111111</v>
      </c>
      <c r="V413" s="1">
        <v>11111111111</v>
      </c>
      <c r="W413" s="1" t="s">
        <v>1781</v>
      </c>
      <c r="X413" s="1" t="s">
        <v>1782</v>
      </c>
      <c r="Y413" s="1" t="s">
        <v>45</v>
      </c>
      <c r="Z413" s="1" t="s">
        <v>46</v>
      </c>
      <c r="AA413" s="1" t="s">
        <v>47</v>
      </c>
      <c r="AB413" s="1" t="s">
        <v>39</v>
      </c>
      <c r="AC413" s="1" t="s">
        <v>37</v>
      </c>
      <c r="AD413" s="1" t="s">
        <v>37</v>
      </c>
      <c r="AE413" s="1" t="s">
        <v>37</v>
      </c>
      <c r="AF413" s="1" t="s">
        <v>37</v>
      </c>
      <c r="AG413" s="1" t="s">
        <v>37</v>
      </c>
      <c r="AH413" s="1" t="s">
        <v>37</v>
      </c>
      <c r="AI413" s="1" t="s">
        <v>37</v>
      </c>
      <c r="AJ413" s="1" t="s">
        <v>39</v>
      </c>
      <c r="AK413" s="1" t="str">
        <f t="shared" si="13"/>
        <v>Fora de âmbito</v>
      </c>
      <c r="AL413" s="1" t="str">
        <f>+IF(IFERROR(VLOOKUP(A413,Ficheiros!I:I,1,FALSE),"")=A413,"Sim","Não")</f>
        <v>Sim</v>
      </c>
      <c r="AM413" s="1" t="str">
        <f>+IF(IFERROR(VLOOKUP(A413,Ficheiros!E:E,1,FALSE),"")=A413,"Sim","Não")</f>
        <v>Não</v>
      </c>
      <c r="AN413" s="1" t="str">
        <f>+IF(IFERROR(VLOOKUP(A413,Ficheiros!O:O,1,FALSE),"")=A413,"Sim","Não")</f>
        <v>Não</v>
      </c>
      <c r="AO413" s="1" t="str">
        <f>+IF(IFERROR(VLOOKUP(A413,'Especificação Novos Req. LT (2'!A:A,1,FALSE),"")=A413,"Sim","Não")</f>
        <v>Não</v>
      </c>
      <c r="AP413" s="1" t="str">
        <f>+IF(IFERROR(VLOOKUP(A413,Ficheiros!T:T,1,FALSE),"")=A413,"Sim","Não")</f>
        <v>Sim</v>
      </c>
      <c r="AQ413" s="1" t="e">
        <f>+VLOOKUP(A413,Ficheiros!O:P,2,FALSE)</f>
        <v>#N/A</v>
      </c>
      <c r="AR413" s="1" t="str">
        <f>+VLOOKUP(A413,Ficheiros!T:U,2,FALSE)</f>
        <v>1. Especificar</v>
      </c>
      <c r="AS413" s="1" t="str">
        <f>+VLOOKUP(A413,Ficheiros!T:V,3,FALSE)</f>
        <v>PM</v>
      </c>
      <c r="AT413" s="1"/>
      <c r="AU413" s="1"/>
      <c r="AV413" s="1"/>
      <c r="AW413" s="1"/>
      <c r="AX413" s="1"/>
    </row>
    <row r="414" spans="1:50" ht="14.5" hidden="1" customHeight="1" x14ac:dyDescent="0.35">
      <c r="A414" s="5" t="str">
        <f t="shared" si="12"/>
        <v>INSTRUMENTDSTI</v>
      </c>
      <c r="B414" s="1" t="s">
        <v>1783</v>
      </c>
      <c r="C414" s="1" t="s">
        <v>785</v>
      </c>
      <c r="D414" s="1" t="s">
        <v>271</v>
      </c>
      <c r="E414" s="1" t="s">
        <v>37</v>
      </c>
      <c r="F414" s="25" t="s">
        <v>1784</v>
      </c>
      <c r="G414" s="1" t="s">
        <v>1784</v>
      </c>
      <c r="H414" s="1" t="s">
        <v>37</v>
      </c>
      <c r="I414" s="1" t="s">
        <v>37</v>
      </c>
      <c r="J414" s="1" t="s">
        <v>37</v>
      </c>
      <c r="K414" s="1" t="s">
        <v>37</v>
      </c>
      <c r="L414" s="1" t="s">
        <v>37</v>
      </c>
      <c r="M414" s="1" t="s">
        <v>37</v>
      </c>
      <c r="N414" s="1" t="s">
        <v>39</v>
      </c>
      <c r="O414" s="1" t="s">
        <v>37</v>
      </c>
      <c r="P414" s="1" t="s">
        <v>37</v>
      </c>
      <c r="Q414" s="1" t="s">
        <v>37</v>
      </c>
      <c r="R414" s="1" t="s">
        <v>342</v>
      </c>
      <c r="S414" s="1" t="s">
        <v>274</v>
      </c>
      <c r="T414" s="1">
        <v>99999999999</v>
      </c>
      <c r="U414" s="1">
        <v>11111111111</v>
      </c>
      <c r="V414" s="1">
        <v>11111111111</v>
      </c>
      <c r="W414" s="1" t="s">
        <v>1785</v>
      </c>
      <c r="X414" s="1" t="s">
        <v>1786</v>
      </c>
      <c r="Y414" s="1" t="s">
        <v>45</v>
      </c>
      <c r="Z414" s="1" t="s">
        <v>46</v>
      </c>
      <c r="AA414" s="1" t="s">
        <v>47</v>
      </c>
      <c r="AB414" s="1" t="s">
        <v>39</v>
      </c>
      <c r="AC414" s="1" t="s">
        <v>37</v>
      </c>
      <c r="AD414" s="1" t="s">
        <v>37</v>
      </c>
      <c r="AE414" s="1" t="s">
        <v>37</v>
      </c>
      <c r="AF414" s="1" t="s">
        <v>37</v>
      </c>
      <c r="AG414" s="1" t="s">
        <v>37</v>
      </c>
      <c r="AH414" s="1" t="s">
        <v>37</v>
      </c>
      <c r="AI414" s="1" t="s">
        <v>37</v>
      </c>
      <c r="AJ414" s="1" t="s">
        <v>39</v>
      </c>
      <c r="AK414" s="1" t="str">
        <f t="shared" si="13"/>
        <v>Fora de âmbito</v>
      </c>
      <c r="AL414" s="1" t="str">
        <f>+IF(IFERROR(VLOOKUP(A414,Ficheiros!I:I,1,FALSE),"")=A414,"Sim","Não")</f>
        <v>Sim</v>
      </c>
      <c r="AM414" s="1" t="str">
        <f>+IF(IFERROR(VLOOKUP(A414,Ficheiros!E:E,1,FALSE),"")=A414,"Sim","Não")</f>
        <v>Não</v>
      </c>
      <c r="AN414" s="1" t="str">
        <f>+IF(IFERROR(VLOOKUP(A414,Ficheiros!O:O,1,FALSE),"")=A414,"Sim","Não")</f>
        <v>Não</v>
      </c>
      <c r="AO414" s="1" t="str">
        <f>+IF(IFERROR(VLOOKUP(A414,'Especificação Novos Req. LT (2'!A:A,1,FALSE),"")=A414,"Sim","Não")</f>
        <v>Não</v>
      </c>
      <c r="AP414" s="1" t="str">
        <f>+IF(IFERROR(VLOOKUP(A414,Ficheiros!T:T,1,FALSE),"")=A414,"Sim","Não")</f>
        <v>Sim</v>
      </c>
      <c r="AQ414" s="1" t="e">
        <f>+VLOOKUP(A414,Ficheiros!O:P,2,FALSE)</f>
        <v>#N/A</v>
      </c>
      <c r="AR414" s="1" t="str">
        <f>+VLOOKUP(A414,Ficheiros!T:U,2,FALSE)</f>
        <v>1. Especificar</v>
      </c>
      <c r="AS414" s="1" t="str">
        <f>+VLOOKUP(A414,Ficheiros!T:V,3,FALSE)</f>
        <v>PM</v>
      </c>
      <c r="AT414" s="1"/>
      <c r="AU414" s="1"/>
      <c r="AV414" s="1"/>
      <c r="AW414" s="1"/>
      <c r="AX414" s="1"/>
    </row>
    <row r="415" spans="1:50" ht="14.5" hidden="1" customHeight="1" x14ac:dyDescent="0.35">
      <c r="A415" s="5" t="str">
        <f t="shared" si="12"/>
        <v>INSTRUMENTLTI_INSTRMNT</v>
      </c>
      <c r="B415" s="1" t="s">
        <v>1787</v>
      </c>
      <c r="C415" s="1" t="s">
        <v>785</v>
      </c>
      <c r="D415" s="1" t="s">
        <v>271</v>
      </c>
      <c r="E415" s="1" t="s">
        <v>37</v>
      </c>
      <c r="F415" s="25" t="s">
        <v>1788</v>
      </c>
      <c r="G415" s="1" t="s">
        <v>1788</v>
      </c>
      <c r="H415" s="1" t="s">
        <v>37</v>
      </c>
      <c r="I415" s="1" t="s">
        <v>37</v>
      </c>
      <c r="J415" s="1" t="s">
        <v>37</v>
      </c>
      <c r="K415" s="1" t="s">
        <v>37</v>
      </c>
      <c r="L415" s="1" t="s">
        <v>37</v>
      </c>
      <c r="M415" s="1" t="s">
        <v>37</v>
      </c>
      <c r="N415" s="1" t="s">
        <v>39</v>
      </c>
      <c r="O415" s="1" t="s">
        <v>37</v>
      </c>
      <c r="P415" s="1" t="s">
        <v>37</v>
      </c>
      <c r="Q415" s="1" t="s">
        <v>37</v>
      </c>
      <c r="R415" s="1" t="s">
        <v>342</v>
      </c>
      <c r="S415" s="1" t="s">
        <v>274</v>
      </c>
      <c r="T415" s="1">
        <v>99999999999</v>
      </c>
      <c r="U415" s="1">
        <v>11111111111</v>
      </c>
      <c r="V415" s="1">
        <v>11111111111</v>
      </c>
      <c r="W415" s="1" t="s">
        <v>343</v>
      </c>
      <c r="X415" s="1" t="s">
        <v>1789</v>
      </c>
      <c r="Y415" s="1" t="s">
        <v>45</v>
      </c>
      <c r="Z415" s="1" t="s">
        <v>46</v>
      </c>
      <c r="AA415" s="1" t="s">
        <v>47</v>
      </c>
      <c r="AB415" s="1" t="s">
        <v>39</v>
      </c>
      <c r="AC415" s="1" t="s">
        <v>37</v>
      </c>
      <c r="AD415" s="1" t="s">
        <v>37</v>
      </c>
      <c r="AE415" s="1" t="s">
        <v>37</v>
      </c>
      <c r="AF415" s="1" t="s">
        <v>37</v>
      </c>
      <c r="AG415" s="1" t="s">
        <v>37</v>
      </c>
      <c r="AH415" s="1" t="s">
        <v>37</v>
      </c>
      <c r="AI415" s="1" t="s">
        <v>37</v>
      </c>
      <c r="AJ415" s="1" t="s">
        <v>39</v>
      </c>
      <c r="AK415" s="1" t="str">
        <f t="shared" si="13"/>
        <v>Fora de âmbito</v>
      </c>
      <c r="AL415" s="1" t="str">
        <f>+IF(IFERROR(VLOOKUP(A415,Ficheiros!I:I,1,FALSE),"")=A415,"Sim","Não")</f>
        <v>Sim</v>
      </c>
      <c r="AM415" s="1" t="str">
        <f>+IF(IFERROR(VLOOKUP(A415,Ficheiros!E:E,1,FALSE),"")=A415,"Sim","Não")</f>
        <v>Não</v>
      </c>
      <c r="AN415" s="1" t="str">
        <f>+IF(IFERROR(VLOOKUP(A415,Ficheiros!O:O,1,FALSE),"")=A415,"Sim","Não")</f>
        <v>Não</v>
      </c>
      <c r="AO415" s="1" t="str">
        <f>+IF(IFERROR(VLOOKUP(A415,'Especificação Novos Req. LT (2'!A:A,1,FALSE),"")=A415,"Sim","Não")</f>
        <v>Não</v>
      </c>
      <c r="AP415" s="1" t="str">
        <f>+IF(IFERROR(VLOOKUP(A415,Ficheiros!T:T,1,FALSE),"")=A415,"Sim","Não")</f>
        <v>Sim</v>
      </c>
      <c r="AQ415" s="1" t="e">
        <f>+VLOOKUP(A415,Ficheiros!O:P,2,FALSE)</f>
        <v>#N/A</v>
      </c>
      <c r="AR415" s="1" t="str">
        <f>+VLOOKUP(A415,Ficheiros!T:U,2,FALSE)</f>
        <v>1. Especificar</v>
      </c>
      <c r="AS415" s="1" t="str">
        <f>+VLOOKUP(A415,Ficheiros!T:V,3,FALSE)</f>
        <v>PM</v>
      </c>
      <c r="AT415" s="1"/>
      <c r="AU415" s="1"/>
      <c r="AV415" s="1"/>
      <c r="AW415" s="1"/>
      <c r="AX415" s="1"/>
    </row>
    <row r="416" spans="1:50" ht="14.5" hidden="1" customHeight="1" x14ac:dyDescent="0.35">
      <c r="A416" s="5" t="str">
        <f t="shared" si="12"/>
        <v>INSTRUMENTSSTNBL_CTGRY_TXNMY</v>
      </c>
      <c r="B416" s="1" t="s">
        <v>1790</v>
      </c>
      <c r="C416" s="1" t="s">
        <v>785</v>
      </c>
      <c r="D416" s="1" t="s">
        <v>49</v>
      </c>
      <c r="E416" s="1" t="s">
        <v>37</v>
      </c>
      <c r="F416" s="30" t="s">
        <v>1791</v>
      </c>
      <c r="G416" s="1" t="s">
        <v>1791</v>
      </c>
      <c r="H416" s="1" t="s">
        <v>37</v>
      </c>
      <c r="I416" s="1" t="s">
        <v>37</v>
      </c>
      <c r="J416" s="1" t="s">
        <v>39</v>
      </c>
      <c r="K416" s="1" t="s">
        <v>39</v>
      </c>
      <c r="L416" s="1" t="s">
        <v>39</v>
      </c>
      <c r="M416" s="1" t="s">
        <v>39</v>
      </c>
      <c r="N416" s="1" t="s">
        <v>39</v>
      </c>
      <c r="O416" s="1" t="s">
        <v>39</v>
      </c>
      <c r="P416" s="1" t="s">
        <v>37</v>
      </c>
      <c r="Q416" s="1" t="s">
        <v>39</v>
      </c>
      <c r="R416" s="1" t="s">
        <v>136</v>
      </c>
      <c r="S416" s="1" t="s">
        <v>52</v>
      </c>
      <c r="T416" s="1" t="s">
        <v>53</v>
      </c>
      <c r="U416" s="1" t="s">
        <v>42</v>
      </c>
      <c r="V416" s="1" t="s">
        <v>46</v>
      </c>
      <c r="W416" s="1" t="s">
        <v>1792</v>
      </c>
      <c r="X416" s="1" t="s">
        <v>1793</v>
      </c>
      <c r="Y416" s="1" t="s">
        <v>45</v>
      </c>
      <c r="Z416" s="1" t="s">
        <v>46</v>
      </c>
      <c r="AA416" s="1" t="s">
        <v>47</v>
      </c>
      <c r="AB416" s="1" t="s">
        <v>37</v>
      </c>
      <c r="AC416" s="1" t="s">
        <v>37</v>
      </c>
      <c r="AD416" s="1" t="s">
        <v>39</v>
      </c>
      <c r="AE416" s="1" t="s">
        <v>37</v>
      </c>
      <c r="AF416" s="1" t="s">
        <v>37</v>
      </c>
      <c r="AG416" s="1" t="s">
        <v>37</v>
      </c>
      <c r="AH416" s="1" t="s">
        <v>37</v>
      </c>
      <c r="AI416" s="1" t="s">
        <v>39</v>
      </c>
      <c r="AJ416" s="1" t="s">
        <v>39</v>
      </c>
      <c r="AK416" s="1" t="str">
        <f t="shared" si="13"/>
        <v>Apenas Pilar 3</v>
      </c>
      <c r="AL416" s="1" t="str">
        <f>+IF(IFERROR(VLOOKUP(A416,Ficheiros!I:I,1,FALSE),"")=A416,"Sim","Não")</f>
        <v>Não</v>
      </c>
      <c r="AM416" s="1" t="str">
        <f>+IF(IFERROR(VLOOKUP(A416,Ficheiros!E:E,1,FALSE),"")=A416,"Sim","Não")</f>
        <v>Sim</v>
      </c>
      <c r="AN416" s="1" t="str">
        <f>+IF(IFERROR(VLOOKUP(A416,Ficheiros!O:O,1,FALSE),"")=A416,"Sim","Não")</f>
        <v>Sim</v>
      </c>
      <c r="AO416" s="1" t="str">
        <f>+IF(IFERROR(VLOOKUP(A416,'Especificação Novos Req. LT (2'!A:A,1,FALSE),"")=A416,"Sim","Não")</f>
        <v>Não</v>
      </c>
      <c r="AP416" s="1" t="str">
        <f>+IF(IFERROR(VLOOKUP(A416,Ficheiros!T:T,1,FALSE),"")=A416,"Sim","Não")</f>
        <v>Não</v>
      </c>
      <c r="AQ416" s="1" t="str">
        <f>+VLOOKUP(A416,Ficheiros!O:P,2,FALSE)</f>
        <v>1. Concluído</v>
      </c>
      <c r="AR416" s="1" t="e">
        <f>+VLOOKUP(A416,Ficheiros!R:S,3,FALSE)</f>
        <v>#N/A</v>
      </c>
      <c r="AS416" s="1" t="e">
        <f>+VLOOKUP(A416,Ficheiros!T:V,3,FALSE)</f>
        <v>#N/A</v>
      </c>
      <c r="AT416" s="1"/>
      <c r="AU416" s="1"/>
      <c r="AV416" s="1"/>
      <c r="AW416" s="1"/>
      <c r="AX416" s="1"/>
    </row>
    <row r="417" spans="1:50" ht="14.5" hidden="1" customHeight="1" x14ac:dyDescent="0.35">
      <c r="A417" s="5" t="str">
        <f t="shared" si="12"/>
        <v>INSTRUMENTINTRST_RT_CP</v>
      </c>
      <c r="B417" s="1" t="s">
        <v>1794</v>
      </c>
      <c r="C417" s="1" t="s">
        <v>785</v>
      </c>
      <c r="D417" s="1" t="s">
        <v>1300</v>
      </c>
      <c r="E417" s="1" t="s">
        <v>39</v>
      </c>
      <c r="F417" s="25" t="s">
        <v>1795</v>
      </c>
      <c r="G417" s="1" t="s">
        <v>1795</v>
      </c>
      <c r="H417" s="1" t="s">
        <v>39</v>
      </c>
      <c r="I417" s="1" t="s">
        <v>39</v>
      </c>
      <c r="J417" s="1" t="s">
        <v>39</v>
      </c>
      <c r="K417" s="1" t="s">
        <v>39</v>
      </c>
      <c r="L417" s="1" t="s">
        <v>39</v>
      </c>
      <c r="M417" s="1" t="s">
        <v>39</v>
      </c>
      <c r="N417" s="1" t="s">
        <v>39</v>
      </c>
      <c r="O417" s="1" t="s">
        <v>39</v>
      </c>
      <c r="P417" s="1" t="s">
        <v>37</v>
      </c>
      <c r="Q417" s="1" t="s">
        <v>37</v>
      </c>
      <c r="R417" s="1" t="s">
        <v>342</v>
      </c>
      <c r="S417" s="1" t="s">
        <v>274</v>
      </c>
      <c r="T417" s="1">
        <v>99999999999</v>
      </c>
      <c r="U417" s="1">
        <v>11111111111</v>
      </c>
      <c r="V417" s="1">
        <v>11111111111</v>
      </c>
      <c r="W417" s="1" t="s">
        <v>1796</v>
      </c>
      <c r="X417" s="1" t="s">
        <v>1797</v>
      </c>
      <c r="Y417" s="1" t="s">
        <v>45</v>
      </c>
      <c r="Z417" s="1" t="s">
        <v>46</v>
      </c>
      <c r="AA417" s="1" t="s">
        <v>47</v>
      </c>
      <c r="AB417" s="1" t="s">
        <v>39</v>
      </c>
      <c r="AC417" s="1" t="s">
        <v>37</v>
      </c>
      <c r="AD417" s="1" t="s">
        <v>37</v>
      </c>
      <c r="AE417" s="1" t="s">
        <v>37</v>
      </c>
      <c r="AF417" s="1" t="s">
        <v>37</v>
      </c>
      <c r="AG417" s="1" t="s">
        <v>37</v>
      </c>
      <c r="AH417" s="1" t="s">
        <v>37</v>
      </c>
      <c r="AI417" s="1" t="s">
        <v>37</v>
      </c>
      <c r="AJ417" s="1" t="s">
        <v>39</v>
      </c>
      <c r="AK417" s="1" t="str">
        <f t="shared" si="13"/>
        <v>Fora de âmbito</v>
      </c>
      <c r="AL417" s="1" t="str">
        <f>+IF(IFERROR(VLOOKUP(A417,Ficheiros!I:I,1,FALSE),"")=A417,"Sim","Não")</f>
        <v>Não</v>
      </c>
      <c r="AM417" s="1" t="str">
        <f>+IF(IFERROR(VLOOKUP(A417,Ficheiros!E:E,1,FALSE),"")=A417,"Sim","Não")</f>
        <v>Não</v>
      </c>
      <c r="AN417" s="1" t="str">
        <f>+IF(IFERROR(VLOOKUP(A417,Ficheiros!O:O,1,FALSE),"")=A417,"Sim","Não")</f>
        <v>Não</v>
      </c>
      <c r="AO417" s="1" t="str">
        <f>+IF(IFERROR(VLOOKUP(A417,'Especificação Novos Req. LT (2'!A:A,1,FALSE),"")=A417,"Sim","Não")</f>
        <v>Não</v>
      </c>
      <c r="AP417" s="1" t="str">
        <f>+IF(IFERROR(VLOOKUP(A417,Ficheiros!T:T,1,FALSE),"")=A417,"Sim","Não")</f>
        <v>Sim</v>
      </c>
      <c r="AQ417" s="1" t="e">
        <f>+VLOOKUP(A417,Ficheiros!O:P,2,FALSE)</f>
        <v>#N/A</v>
      </c>
      <c r="AR417" s="1" t="str">
        <f>+VLOOKUP(A417,Ficheiros!T:U,2,FALSE)</f>
        <v>1. Especificar</v>
      </c>
      <c r="AS417" s="1" t="str">
        <f>+VLOOKUP(A417,Ficheiros!T:V,3,FALSE)</f>
        <v>PM - Novos Campos</v>
      </c>
      <c r="AT417" s="1"/>
      <c r="AU417" s="1"/>
      <c r="AV417" s="1"/>
      <c r="AW417" s="1"/>
      <c r="AX417" s="1"/>
    </row>
    <row r="418" spans="1:50" ht="14.5" hidden="1" customHeight="1" x14ac:dyDescent="0.35">
      <c r="A418" s="5" t="str">
        <f t="shared" si="12"/>
        <v>INSTRUMENTINTRST_RT_FLR</v>
      </c>
      <c r="B418" s="1" t="s">
        <v>1798</v>
      </c>
      <c r="C418" s="1" t="s">
        <v>785</v>
      </c>
      <c r="D418" s="1" t="s">
        <v>1300</v>
      </c>
      <c r="E418" s="1" t="s">
        <v>39</v>
      </c>
      <c r="F418" s="25" t="s">
        <v>1799</v>
      </c>
      <c r="G418" s="1" t="s">
        <v>1799</v>
      </c>
      <c r="H418" s="1" t="s">
        <v>39</v>
      </c>
      <c r="I418" s="1" t="s">
        <v>39</v>
      </c>
      <c r="J418" s="1" t="s">
        <v>39</v>
      </c>
      <c r="K418" s="1" t="s">
        <v>39</v>
      </c>
      <c r="L418" s="1" t="s">
        <v>39</v>
      </c>
      <c r="M418" s="1" t="s">
        <v>39</v>
      </c>
      <c r="N418" s="1" t="s">
        <v>39</v>
      </c>
      <c r="O418" s="1" t="s">
        <v>39</v>
      </c>
      <c r="P418" s="1" t="s">
        <v>37</v>
      </c>
      <c r="Q418" s="1" t="s">
        <v>37</v>
      </c>
      <c r="R418" s="1" t="s">
        <v>342</v>
      </c>
      <c r="S418" s="1" t="s">
        <v>274</v>
      </c>
      <c r="T418" s="1">
        <v>99999999999</v>
      </c>
      <c r="U418" s="1">
        <v>11111111111</v>
      </c>
      <c r="V418" s="1">
        <v>11111111111</v>
      </c>
      <c r="W418" s="1" t="s">
        <v>1800</v>
      </c>
      <c r="X418" s="1" t="s">
        <v>1801</v>
      </c>
      <c r="Y418" s="1" t="s">
        <v>45</v>
      </c>
      <c r="Z418" s="1" t="s">
        <v>46</v>
      </c>
      <c r="AA418" s="1" t="s">
        <v>47</v>
      </c>
      <c r="AB418" s="1" t="s">
        <v>39</v>
      </c>
      <c r="AC418" s="1" t="s">
        <v>37</v>
      </c>
      <c r="AD418" s="1" t="s">
        <v>37</v>
      </c>
      <c r="AE418" s="1" t="s">
        <v>37</v>
      </c>
      <c r="AF418" s="1" t="s">
        <v>37</v>
      </c>
      <c r="AG418" s="1" t="s">
        <v>37</v>
      </c>
      <c r="AH418" s="1" t="s">
        <v>37</v>
      </c>
      <c r="AI418" s="1" t="s">
        <v>37</v>
      </c>
      <c r="AJ418" s="1" t="s">
        <v>39</v>
      </c>
      <c r="AK418" s="1" t="str">
        <f t="shared" si="13"/>
        <v>Fora de âmbito</v>
      </c>
      <c r="AL418" s="1" t="str">
        <f>+IF(IFERROR(VLOOKUP(A418,Ficheiros!I:I,1,FALSE),"")=A418,"Sim","Não")</f>
        <v>Não</v>
      </c>
      <c r="AM418" s="1" t="str">
        <f>+IF(IFERROR(VLOOKUP(A418,Ficheiros!E:E,1,FALSE),"")=A418,"Sim","Não")</f>
        <v>Não</v>
      </c>
      <c r="AN418" s="1" t="str">
        <f>+IF(IFERROR(VLOOKUP(A418,Ficheiros!O:O,1,FALSE),"")=A418,"Sim","Não")</f>
        <v>Não</v>
      </c>
      <c r="AO418" s="1" t="str">
        <f>+IF(IFERROR(VLOOKUP(A418,'Especificação Novos Req. LT (2'!A:A,1,FALSE),"")=A418,"Sim","Não")</f>
        <v>Não</v>
      </c>
      <c r="AP418" s="1" t="str">
        <f>+IF(IFERROR(VLOOKUP(A418,Ficheiros!T:T,1,FALSE),"")=A418,"Sim","Não")</f>
        <v>Sim</v>
      </c>
      <c r="AQ418" s="1" t="e">
        <f>+VLOOKUP(A418,Ficheiros!O:P,2,FALSE)</f>
        <v>#N/A</v>
      </c>
      <c r="AR418" s="1" t="str">
        <f>+VLOOKUP(A418,Ficheiros!T:U,2,FALSE)</f>
        <v>1. Especificar</v>
      </c>
      <c r="AS418" s="1" t="str">
        <f>+VLOOKUP(A418,Ficheiros!T:V,3,FALSE)</f>
        <v>PM - Novos Campos</v>
      </c>
      <c r="AT418" s="1"/>
      <c r="AU418" s="1"/>
      <c r="AV418" s="1"/>
      <c r="AW418" s="1"/>
      <c r="AX418" s="1"/>
    </row>
    <row r="419" spans="1:50" ht="14.5" hidden="1" customHeight="1" x14ac:dyDescent="0.35">
      <c r="A419" s="5" t="str">
        <f t="shared" si="12"/>
        <v>INSTRUMENTNMNL_INTRST_RT_FEE</v>
      </c>
      <c r="B419" s="1" t="s">
        <v>1802</v>
      </c>
      <c r="C419" s="1" t="s">
        <v>785</v>
      </c>
      <c r="D419" s="1" t="s">
        <v>1300</v>
      </c>
      <c r="E419" s="1" t="s">
        <v>37</v>
      </c>
      <c r="F419" s="25" t="s">
        <v>1803</v>
      </c>
      <c r="G419" s="1" t="s">
        <v>1803</v>
      </c>
      <c r="H419" s="1" t="s">
        <v>39</v>
      </c>
      <c r="I419" s="1" t="s">
        <v>39</v>
      </c>
      <c r="J419" s="1" t="s">
        <v>39</v>
      </c>
      <c r="K419" s="1" t="s">
        <v>39</v>
      </c>
      <c r="L419" s="1" t="s">
        <v>39</v>
      </c>
      <c r="M419" s="1" t="s">
        <v>39</v>
      </c>
      <c r="N419" s="1" t="s">
        <v>39</v>
      </c>
      <c r="O419" s="1" t="s">
        <v>39</v>
      </c>
      <c r="P419" s="1" t="s">
        <v>37</v>
      </c>
      <c r="Q419" s="1" t="s">
        <v>37</v>
      </c>
      <c r="R419" s="1" t="s">
        <v>342</v>
      </c>
      <c r="S419" s="1" t="s">
        <v>274</v>
      </c>
      <c r="T419" s="1">
        <v>99999999999</v>
      </c>
      <c r="U419" s="1">
        <v>11111111111</v>
      </c>
      <c r="V419" s="1">
        <v>11111111111</v>
      </c>
      <c r="W419" s="1" t="s">
        <v>1804</v>
      </c>
      <c r="X419" s="1" t="s">
        <v>1805</v>
      </c>
      <c r="Y419" s="1" t="s">
        <v>45</v>
      </c>
      <c r="Z419" s="1" t="s">
        <v>46</v>
      </c>
      <c r="AA419" s="1" t="s">
        <v>47</v>
      </c>
      <c r="AB419" s="1" t="s">
        <v>39</v>
      </c>
      <c r="AC419" s="1" t="s">
        <v>37</v>
      </c>
      <c r="AD419" s="1" t="s">
        <v>37</v>
      </c>
      <c r="AE419" s="1" t="s">
        <v>37</v>
      </c>
      <c r="AF419" s="1" t="s">
        <v>37</v>
      </c>
      <c r="AG419" s="1" t="s">
        <v>37</v>
      </c>
      <c r="AH419" s="1" t="s">
        <v>37</v>
      </c>
      <c r="AI419" s="1" t="s">
        <v>37</v>
      </c>
      <c r="AJ419" s="1" t="s">
        <v>39</v>
      </c>
      <c r="AK419" s="1" t="str">
        <f t="shared" si="13"/>
        <v>Fora de âmbito</v>
      </c>
      <c r="AL419" s="1" t="str">
        <f>+IF(IFERROR(VLOOKUP(A419,Ficheiros!I:I,1,FALSE),"")=A419,"Sim","Não")</f>
        <v>Não</v>
      </c>
      <c r="AM419" s="1" t="str">
        <f>+IF(IFERROR(VLOOKUP(A419,Ficheiros!E:E,1,FALSE),"")=A419,"Sim","Não")</f>
        <v>Não</v>
      </c>
      <c r="AN419" s="1" t="str">
        <f>+IF(IFERROR(VLOOKUP(A419,Ficheiros!O:O,1,FALSE),"")=A419,"Sim","Não")</f>
        <v>Não</v>
      </c>
      <c r="AO419" s="1" t="str">
        <f>+IF(IFERROR(VLOOKUP(A419,'Especificação Novos Req. LT (2'!A:A,1,FALSE),"")=A419,"Sim","Não")</f>
        <v>Não</v>
      </c>
      <c r="AP419" s="1" t="str">
        <f>+IF(IFERROR(VLOOKUP(A419,Ficheiros!T:T,1,FALSE),"")=A419,"Sim","Não")</f>
        <v>Sim</v>
      </c>
      <c r="AQ419" s="1" t="e">
        <f>+VLOOKUP(A419,Ficheiros!O:P,2,FALSE)</f>
        <v>#N/A</v>
      </c>
      <c r="AR419" s="1" t="str">
        <f>+VLOOKUP(A419,Ficheiros!T:U,2,FALSE)</f>
        <v>1. Especificar</v>
      </c>
      <c r="AS419" s="1" t="str">
        <f>+VLOOKUP(A419,Ficheiros!T:V,3,FALSE)</f>
        <v>PM - Novos Campos</v>
      </c>
      <c r="AT419" s="1"/>
      <c r="AU419" s="1"/>
      <c r="AV419" s="1"/>
      <c r="AW419" s="1"/>
      <c r="AX419" s="1"/>
    </row>
    <row r="420" spans="1:50" ht="14.5" hidden="1" customHeight="1" x14ac:dyDescent="0.35">
      <c r="A420" s="5" t="str">
        <f t="shared" si="12"/>
        <v>INSTRUMENTRFRNC_RT</v>
      </c>
      <c r="B420" s="1" t="s">
        <v>1806</v>
      </c>
      <c r="C420" s="1" t="s">
        <v>785</v>
      </c>
      <c r="D420" s="1" t="s">
        <v>1300</v>
      </c>
      <c r="E420" s="1" t="s">
        <v>39</v>
      </c>
      <c r="F420" s="25" t="s">
        <v>1807</v>
      </c>
      <c r="G420" s="1" t="s">
        <v>1807</v>
      </c>
      <c r="H420" s="1" t="s">
        <v>39</v>
      </c>
      <c r="I420" s="1" t="s">
        <v>39</v>
      </c>
      <c r="J420" s="1" t="s">
        <v>39</v>
      </c>
      <c r="K420" s="1" t="s">
        <v>39</v>
      </c>
      <c r="L420" s="1" t="s">
        <v>39</v>
      </c>
      <c r="M420" s="1" t="s">
        <v>39</v>
      </c>
      <c r="N420" s="1" t="s">
        <v>39</v>
      </c>
      <c r="O420" s="1" t="s">
        <v>39</v>
      </c>
      <c r="P420" s="1" t="s">
        <v>37</v>
      </c>
      <c r="Q420" s="1" t="s">
        <v>37</v>
      </c>
      <c r="R420" s="1" t="s">
        <v>136</v>
      </c>
      <c r="S420" s="1" t="s">
        <v>52</v>
      </c>
      <c r="T420" s="1" t="s">
        <v>53</v>
      </c>
      <c r="U420" s="1" t="s">
        <v>46</v>
      </c>
      <c r="V420" s="1" t="s">
        <v>46</v>
      </c>
      <c r="W420" s="1" t="s">
        <v>1808</v>
      </c>
      <c r="X420" s="1" t="s">
        <v>1809</v>
      </c>
      <c r="Y420" s="1" t="s">
        <v>45</v>
      </c>
      <c r="Z420" s="1" t="s">
        <v>46</v>
      </c>
      <c r="AA420" s="1" t="s">
        <v>47</v>
      </c>
      <c r="AB420" s="1" t="s">
        <v>39</v>
      </c>
      <c r="AC420" s="1" t="s">
        <v>37</v>
      </c>
      <c r="AD420" s="1" t="s">
        <v>37</v>
      </c>
      <c r="AE420" s="1" t="s">
        <v>37</v>
      </c>
      <c r="AF420" s="1" t="s">
        <v>37</v>
      </c>
      <c r="AG420" s="1" t="s">
        <v>37</v>
      </c>
      <c r="AH420" s="1" t="s">
        <v>37</v>
      </c>
      <c r="AI420" s="1" t="s">
        <v>37</v>
      </c>
      <c r="AJ420" s="1" t="s">
        <v>39</v>
      </c>
      <c r="AK420" s="1" t="str">
        <f t="shared" si="13"/>
        <v>Fora de âmbito</v>
      </c>
      <c r="AL420" s="1" t="str">
        <f>+IF(IFERROR(VLOOKUP(A420,Ficheiros!I:I,1,FALSE),"")=A420,"Sim","Não")</f>
        <v>Sim</v>
      </c>
      <c r="AM420" s="1" t="str">
        <f>+IF(IFERROR(VLOOKUP(A420,Ficheiros!E:E,1,FALSE),"")=A420,"Sim","Não")</f>
        <v>Não</v>
      </c>
      <c r="AN420" s="1" t="str">
        <f>+IF(IFERROR(VLOOKUP(A420,Ficheiros!O:O,1,FALSE),"")=A420,"Sim","Não")</f>
        <v>Não</v>
      </c>
      <c r="AO420" s="1" t="str">
        <f>+IF(IFERROR(VLOOKUP(A420,'Especificação Novos Req. LT (2'!A:A,1,FALSE),"")=A420,"Sim","Não")</f>
        <v>Não</v>
      </c>
      <c r="AP420" s="1" t="str">
        <f>+IF(IFERROR(VLOOKUP(A420,Ficheiros!T:T,1,FALSE),"")=A420,"Sim","Não")</f>
        <v>Sim</v>
      </c>
      <c r="AQ420" s="1" t="e">
        <f>+VLOOKUP(A420,Ficheiros!O:P,2,FALSE)</f>
        <v>#N/A</v>
      </c>
      <c r="AR420" s="1" t="str">
        <f>+VLOOKUP(A420,Ficheiros!T:U,2,FALSE)</f>
        <v>9. Concluído</v>
      </c>
      <c r="AS420" s="1" t="str">
        <f>+VLOOKUP(A420,Ficheiros!T:V,3,FALSE)</f>
        <v>PM</v>
      </c>
      <c r="AT420" s="1"/>
      <c r="AU420" s="1"/>
      <c r="AV420" s="1"/>
      <c r="AW420" s="1"/>
      <c r="AX420" s="1"/>
    </row>
    <row r="421" spans="1:50" ht="14.5" hidden="1" customHeight="1" x14ac:dyDescent="0.35">
      <c r="A421" s="5" t="str">
        <f t="shared" si="12"/>
        <v>INSTRUMENTDT_STTLMNT</v>
      </c>
      <c r="B421" s="1" t="s">
        <v>1810</v>
      </c>
      <c r="C421" s="1" t="s">
        <v>785</v>
      </c>
      <c r="D421" s="1" t="s">
        <v>49</v>
      </c>
      <c r="E421" s="1" t="s">
        <v>39</v>
      </c>
      <c r="F421" s="25" t="s">
        <v>1811</v>
      </c>
      <c r="G421" s="1" t="s">
        <v>1811</v>
      </c>
      <c r="H421" s="1" t="s">
        <v>39</v>
      </c>
      <c r="I421" s="1" t="s">
        <v>39</v>
      </c>
      <c r="J421" s="1" t="s">
        <v>39</v>
      </c>
      <c r="K421" s="1" t="s">
        <v>39</v>
      </c>
      <c r="L421" s="1" t="s">
        <v>39</v>
      </c>
      <c r="M421" s="1" t="s">
        <v>39</v>
      </c>
      <c r="N421" s="1" t="s">
        <v>39</v>
      </c>
      <c r="O421" s="1" t="s">
        <v>39</v>
      </c>
      <c r="P421" s="1" t="s">
        <v>37</v>
      </c>
      <c r="Q421" s="1" t="s">
        <v>37</v>
      </c>
      <c r="R421" s="1" t="s">
        <v>60</v>
      </c>
      <c r="S421" s="1" t="s">
        <v>61</v>
      </c>
      <c r="T421" s="1" t="s">
        <v>62</v>
      </c>
      <c r="U421" s="1" t="s">
        <v>63</v>
      </c>
      <c r="V421" s="1" t="s">
        <v>63</v>
      </c>
      <c r="W421" s="1" t="s">
        <v>1812</v>
      </c>
      <c r="X421" s="1" t="s">
        <v>1813</v>
      </c>
      <c r="Y421" s="1" t="s">
        <v>45</v>
      </c>
      <c r="Z421" s="1" t="s">
        <v>46</v>
      </c>
      <c r="AA421" s="1" t="s">
        <v>47</v>
      </c>
      <c r="AB421" s="1" t="s">
        <v>39</v>
      </c>
      <c r="AC421" s="1" t="s">
        <v>37</v>
      </c>
      <c r="AD421" s="1" t="s">
        <v>37</v>
      </c>
      <c r="AE421" s="1" t="s">
        <v>37</v>
      </c>
      <c r="AF421" s="1" t="s">
        <v>37</v>
      </c>
      <c r="AG421" s="1" t="s">
        <v>37</v>
      </c>
      <c r="AH421" s="1" t="s">
        <v>37</v>
      </c>
      <c r="AI421" s="1" t="s">
        <v>37</v>
      </c>
      <c r="AJ421" s="1" t="s">
        <v>39</v>
      </c>
      <c r="AK421" s="1" t="str">
        <f t="shared" si="13"/>
        <v>Fora de âmbito</v>
      </c>
      <c r="AL421" s="1" t="str">
        <f>+IF(IFERROR(VLOOKUP(A421,Ficheiros!I:I,1,FALSE),"")=A421,"Sim","Não")</f>
        <v>Não</v>
      </c>
      <c r="AM421" s="1" t="str">
        <f>+IF(IFERROR(VLOOKUP(A421,Ficheiros!E:E,1,FALSE),"")=A421,"Sim","Não")</f>
        <v>Não</v>
      </c>
      <c r="AN421" s="1" t="str">
        <f>+IF(IFERROR(VLOOKUP(A421,Ficheiros!O:O,1,FALSE),"")=A421,"Sim","Não")</f>
        <v>Não</v>
      </c>
      <c r="AO421" s="1" t="str">
        <f>+IF(IFERROR(VLOOKUP(A421,'Especificação Novos Req. LT (2'!A:A,1,FALSE),"")=A421,"Sim","Não")</f>
        <v>Não</v>
      </c>
      <c r="AP421" s="1" t="str">
        <f>+IF(IFERROR(VLOOKUP(A421,Ficheiros!T:T,1,FALSE),"")=A421,"Sim","Não")</f>
        <v>Sim</v>
      </c>
      <c r="AQ421" s="1" t="e">
        <f>+VLOOKUP(A421,Ficheiros!O:P,2,FALSE)</f>
        <v>#N/A</v>
      </c>
      <c r="AR421" s="1" t="str">
        <f>+VLOOKUP(A421,Ficheiros!T:U,2,FALSE)</f>
        <v>1. Especificar</v>
      </c>
      <c r="AS421" s="1" t="str">
        <f>+VLOOKUP(A421,Ficheiros!T:V,3,FALSE)</f>
        <v>PM - Novos Campos</v>
      </c>
      <c r="AT421" s="1"/>
      <c r="AU421" s="1"/>
      <c r="AV421" s="1"/>
      <c r="AW421" s="1"/>
      <c r="AX421" s="1"/>
    </row>
    <row r="422" spans="1:50" ht="14.5" hidden="1" customHeight="1" x14ac:dyDescent="0.35">
      <c r="A422" s="5" t="str">
        <f t="shared" si="12"/>
        <v>INSTRUMENTTRNSFRRD_AMNT</v>
      </c>
      <c r="B422" s="1" t="s">
        <v>1814</v>
      </c>
      <c r="C422" s="1" t="s">
        <v>785</v>
      </c>
      <c r="D422" s="1" t="s">
        <v>49</v>
      </c>
      <c r="E422" s="1" t="s">
        <v>39</v>
      </c>
      <c r="F422" s="25" t="s">
        <v>1815</v>
      </c>
      <c r="G422" s="1" t="s">
        <v>1815</v>
      </c>
      <c r="H422" s="1" t="s">
        <v>39</v>
      </c>
      <c r="I422" s="1" t="s">
        <v>39</v>
      </c>
      <c r="J422" s="1" t="s">
        <v>39</v>
      </c>
      <c r="K422" s="1" t="s">
        <v>39</v>
      </c>
      <c r="L422" s="1" t="s">
        <v>39</v>
      </c>
      <c r="M422" s="1" t="s">
        <v>39</v>
      </c>
      <c r="N422" s="1" t="s">
        <v>39</v>
      </c>
      <c r="O422" s="1" t="s">
        <v>39</v>
      </c>
      <c r="P422" s="1" t="s">
        <v>37</v>
      </c>
      <c r="Q422" s="1" t="s">
        <v>37</v>
      </c>
      <c r="R422" s="1" t="s">
        <v>273</v>
      </c>
      <c r="S422" s="1" t="s">
        <v>274</v>
      </c>
      <c r="T422" s="1">
        <v>99999999999</v>
      </c>
      <c r="U422" s="1" t="s">
        <v>42</v>
      </c>
      <c r="V422" s="1">
        <v>11111111111</v>
      </c>
      <c r="W422" s="1" t="s">
        <v>1816</v>
      </c>
      <c r="X422" s="1" t="s">
        <v>1817</v>
      </c>
      <c r="Y422" s="1" t="s">
        <v>45</v>
      </c>
      <c r="Z422" s="1" t="s">
        <v>46</v>
      </c>
      <c r="AA422" s="1" t="s">
        <v>47</v>
      </c>
      <c r="AB422" s="1" t="s">
        <v>39</v>
      </c>
      <c r="AC422" s="1" t="s">
        <v>37</v>
      </c>
      <c r="AD422" s="1" t="s">
        <v>37</v>
      </c>
      <c r="AE422" s="1" t="s">
        <v>37</v>
      </c>
      <c r="AF422" s="1" t="s">
        <v>37</v>
      </c>
      <c r="AG422" s="1" t="s">
        <v>37</v>
      </c>
      <c r="AH422" s="1" t="s">
        <v>37</v>
      </c>
      <c r="AI422" s="1" t="s">
        <v>37</v>
      </c>
      <c r="AJ422" s="1" t="s">
        <v>39</v>
      </c>
      <c r="AK422" s="1" t="str">
        <f t="shared" si="13"/>
        <v>Fora de âmbito</v>
      </c>
      <c r="AL422" s="1" t="str">
        <f>+IF(IFERROR(VLOOKUP(A422,Ficheiros!I:I,1,FALSE),"")=A422,"Sim","Não")</f>
        <v>Não</v>
      </c>
      <c r="AM422" s="1" t="str">
        <f>+IF(IFERROR(VLOOKUP(A422,Ficheiros!E:E,1,FALSE),"")=A422,"Sim","Não")</f>
        <v>Não</v>
      </c>
      <c r="AN422" s="1" t="str">
        <f>+IF(IFERROR(VLOOKUP(A422,Ficheiros!O:O,1,FALSE),"")=A422,"Sim","Não")</f>
        <v>Não</v>
      </c>
      <c r="AO422" s="1" t="str">
        <f>+IF(IFERROR(VLOOKUP(A422,'Especificação Novos Req. LT (2'!A:A,1,FALSE),"")=A422,"Sim","Não")</f>
        <v>Não</v>
      </c>
      <c r="AP422" s="1" t="str">
        <f>+IF(IFERROR(VLOOKUP(A422,Ficheiros!T:T,1,FALSE),"")=A422,"Sim","Não")</f>
        <v>Sim</v>
      </c>
      <c r="AQ422" s="1" t="e">
        <f>+VLOOKUP(A422,Ficheiros!O:P,2,FALSE)</f>
        <v>#N/A</v>
      </c>
      <c r="AR422" s="1" t="str">
        <f>+VLOOKUP(A422,Ficheiros!T:U,2,FALSE)</f>
        <v>1. Especificar</v>
      </c>
      <c r="AS422" s="1" t="str">
        <f>+VLOOKUP(A422,Ficheiros!T:V,3,FALSE)</f>
        <v>PM - Novos Campos</v>
      </c>
      <c r="AT422" s="1"/>
      <c r="AU422" s="1"/>
      <c r="AV422" s="1"/>
      <c r="AW422" s="1"/>
      <c r="AX422" s="1"/>
    </row>
    <row r="423" spans="1:50" ht="14.5" hidden="1" customHeight="1" x14ac:dyDescent="0.35">
      <c r="A423" s="5" t="str">
        <f t="shared" si="12"/>
        <v>INSTRUMENTTYP_SCRTZTN</v>
      </c>
      <c r="B423" s="1" t="s">
        <v>1818</v>
      </c>
      <c r="C423" s="1" t="s">
        <v>785</v>
      </c>
      <c r="D423" s="1" t="s">
        <v>49</v>
      </c>
      <c r="E423" s="1" t="s">
        <v>39</v>
      </c>
      <c r="F423" s="26" t="s">
        <v>1819</v>
      </c>
      <c r="G423" s="1" t="s">
        <v>1819</v>
      </c>
      <c r="H423" s="1" t="s">
        <v>37</v>
      </c>
      <c r="I423" s="1" t="s">
        <v>39</v>
      </c>
      <c r="J423" s="1" t="s">
        <v>39</v>
      </c>
      <c r="K423" s="1" t="s">
        <v>39</v>
      </c>
      <c r="L423" s="1" t="s">
        <v>39</v>
      </c>
      <c r="M423" s="1" t="s">
        <v>39</v>
      </c>
      <c r="N423" s="1" t="s">
        <v>39</v>
      </c>
      <c r="O423" s="1" t="s">
        <v>39</v>
      </c>
      <c r="P423" s="1" t="s">
        <v>37</v>
      </c>
      <c r="Q423" s="1" t="s">
        <v>37</v>
      </c>
      <c r="R423" s="1" t="s">
        <v>136</v>
      </c>
      <c r="S423" s="1" t="s">
        <v>52</v>
      </c>
      <c r="T423" s="1" t="s">
        <v>53</v>
      </c>
      <c r="U423" s="1" t="s">
        <v>42</v>
      </c>
      <c r="V423" s="1" t="s">
        <v>46</v>
      </c>
      <c r="W423" s="1" t="s">
        <v>1820</v>
      </c>
      <c r="X423" s="1" t="s">
        <v>1821</v>
      </c>
      <c r="Y423" s="1" t="s">
        <v>45</v>
      </c>
      <c r="Z423" s="1" t="s">
        <v>46</v>
      </c>
      <c r="AA423" s="1" t="s">
        <v>47</v>
      </c>
      <c r="AB423" s="1" t="s">
        <v>39</v>
      </c>
      <c r="AC423" s="1" t="s">
        <v>37</v>
      </c>
      <c r="AD423" s="1" t="s">
        <v>37</v>
      </c>
      <c r="AE423" s="1" t="s">
        <v>39</v>
      </c>
      <c r="AF423" s="1" t="s">
        <v>37</v>
      </c>
      <c r="AG423" s="1" t="s">
        <v>37</v>
      </c>
      <c r="AH423" s="1" t="s">
        <v>37</v>
      </c>
      <c r="AI423" s="1" t="s">
        <v>39</v>
      </c>
      <c r="AJ423" s="1" t="s">
        <v>39</v>
      </c>
      <c r="AK423" s="1" t="str">
        <f t="shared" si="13"/>
        <v>Fora de âmbito</v>
      </c>
      <c r="AL423" s="1" t="str">
        <f>+IF(IFERROR(VLOOKUP(A423,Ficheiros!I:I,1,FALSE),"")=A423,"Sim","Não")</f>
        <v>Não</v>
      </c>
      <c r="AM423" s="1" t="str">
        <f>+IF(IFERROR(VLOOKUP(A423,Ficheiros!E:E,1,FALSE),"")=A423,"Sim","Não")</f>
        <v>Não</v>
      </c>
      <c r="AN423" s="1" t="str">
        <f>+IF(IFERROR(VLOOKUP(A423,Ficheiros!O:O,1,FALSE),"")=A423,"Sim","Não")</f>
        <v>Não</v>
      </c>
      <c r="AO423" s="1" t="str">
        <f>+IF(IFERROR(VLOOKUP(A423,'Especificação Novos Req. LT (2'!A:A,1,FALSE),"")=A423,"Sim","Não")</f>
        <v>Não</v>
      </c>
      <c r="AP423" s="1" t="str">
        <f>+IF(IFERROR(VLOOKUP(A423,Ficheiros!T:T,1,FALSE),"")=A423,"Sim","Não")</f>
        <v>Sim</v>
      </c>
      <c r="AQ423" s="1" t="e">
        <f>+VLOOKUP(A423,Ficheiros!O:P,2,FALSE)</f>
        <v>#N/A</v>
      </c>
      <c r="AR423" s="1" t="str">
        <f>+VLOOKUP(A423,Ficheiros!T:U,2,FALSE)</f>
        <v>1. Especificar</v>
      </c>
      <c r="AS423" s="1" t="str">
        <f>+VLOOKUP(A423,Ficheiros!T:V,3,FALSE)</f>
        <v>PM - Novos Campos</v>
      </c>
      <c r="AT423" s="1"/>
      <c r="AU423" s="1"/>
      <c r="AV423" s="1"/>
      <c r="AW423" s="1"/>
      <c r="AX423" s="1"/>
    </row>
    <row r="424" spans="1:50" ht="14.5" hidden="1" customHeight="1" x14ac:dyDescent="0.35">
      <c r="A424" s="5" t="str">
        <f t="shared" si="12"/>
        <v>INSTRUMENTTYP_OFF_BLNC_PRDCT</v>
      </c>
      <c r="B424" s="1" t="s">
        <v>1822</v>
      </c>
      <c r="C424" s="1" t="s">
        <v>785</v>
      </c>
      <c r="D424" s="1" t="s">
        <v>49</v>
      </c>
      <c r="E424" s="1" t="s">
        <v>37</v>
      </c>
      <c r="F424" s="25" t="s">
        <v>1823</v>
      </c>
      <c r="G424" s="1" t="s">
        <v>1823</v>
      </c>
      <c r="H424" s="1" t="s">
        <v>39</v>
      </c>
      <c r="I424" s="1" t="s">
        <v>39</v>
      </c>
      <c r="J424" s="1" t="s">
        <v>39</v>
      </c>
      <c r="K424" s="1" t="s">
        <v>39</v>
      </c>
      <c r="L424" s="1" t="s">
        <v>39</v>
      </c>
      <c r="M424" s="1" t="s">
        <v>39</v>
      </c>
      <c r="N424" s="1" t="s">
        <v>39</v>
      </c>
      <c r="O424" s="1" t="s">
        <v>39</v>
      </c>
      <c r="P424" s="1" t="s">
        <v>39</v>
      </c>
      <c r="Q424" s="1" t="s">
        <v>39</v>
      </c>
      <c r="R424" s="1" t="s">
        <v>136</v>
      </c>
      <c r="S424" s="1" t="s">
        <v>52</v>
      </c>
      <c r="T424" s="1" t="s">
        <v>53</v>
      </c>
      <c r="U424" s="1" t="s">
        <v>46</v>
      </c>
      <c r="V424" s="1" t="s">
        <v>46</v>
      </c>
      <c r="W424" s="1" t="s">
        <v>1824</v>
      </c>
      <c r="X424" s="1" t="s">
        <v>1825</v>
      </c>
      <c r="Y424" s="1" t="s">
        <v>45</v>
      </c>
      <c r="Z424" s="1" t="s">
        <v>46</v>
      </c>
      <c r="AA424" s="1" t="s">
        <v>47</v>
      </c>
      <c r="AB424" s="1" t="s">
        <v>39</v>
      </c>
      <c r="AC424" s="1" t="s">
        <v>39</v>
      </c>
      <c r="AD424" s="1" t="s">
        <v>39</v>
      </c>
      <c r="AE424" s="1" t="s">
        <v>37</v>
      </c>
      <c r="AF424" s="1" t="s">
        <v>37</v>
      </c>
      <c r="AG424" s="1" t="s">
        <v>39</v>
      </c>
      <c r="AH424" s="1" t="s">
        <v>39</v>
      </c>
      <c r="AI424" s="1" t="s">
        <v>39</v>
      </c>
      <c r="AJ424" s="1" t="s">
        <v>39</v>
      </c>
      <c r="AK424" s="1" t="str">
        <f t="shared" si="13"/>
        <v>Apenas Pilar 3</v>
      </c>
      <c r="AL424" s="1" t="str">
        <f>+IF(IFERROR(VLOOKUP(A424,Ficheiros!I:I,1,FALSE),"")=A424,"Sim","Não")</f>
        <v>Não</v>
      </c>
      <c r="AM424" s="1" t="str">
        <f>+IF(IFERROR(VLOOKUP(A424,Ficheiros!E:E,1,FALSE),"")=A424,"Sim","Não")</f>
        <v>Não</v>
      </c>
      <c r="AN424" s="1" t="str">
        <f>+IF(IFERROR(VLOOKUP(A424,Ficheiros!O:O,1,FALSE),"")=A424,"Sim","Não")</f>
        <v>Não</v>
      </c>
      <c r="AO424" s="1" t="str">
        <f>+IF(IFERROR(VLOOKUP(A424,'Especificação Novos Req. LT (2'!A:A,1,FALSE),"")=A424,"Sim","Não")</f>
        <v>Sim</v>
      </c>
      <c r="AP424" s="1" t="str">
        <f>+IF(IFERROR(VLOOKUP(A424,Ficheiros!T:T,1,FALSE),"")=A424,"Sim","Não")</f>
        <v>Sim</v>
      </c>
      <c r="AQ424" s="1" t="e">
        <f>+VLOOKUP(A424,Ficheiros!O:P,2,FALSE)</f>
        <v>#N/A</v>
      </c>
      <c r="AR424" s="1" t="str">
        <f>+VLOOKUP(A424,Ficheiros!T:U,2,FALSE)</f>
        <v>1. Especificar</v>
      </c>
      <c r="AS424" s="1" t="str">
        <f>+VLOOKUP(A424,Ficheiros!T:V,3,FALSE)</f>
        <v>LF</v>
      </c>
      <c r="AT424" s="1"/>
      <c r="AU424" s="1"/>
      <c r="AV424" s="1" t="s">
        <v>2538</v>
      </c>
      <c r="AW424" s="1"/>
      <c r="AX424" s="1"/>
    </row>
    <row r="425" spans="1:50" ht="14.5" hidden="1" customHeight="1" x14ac:dyDescent="0.35">
      <c r="A425" s="5" t="str">
        <f t="shared" si="12"/>
        <v>INSTRUMENTBLNC_SHT_RCGNTN</v>
      </c>
      <c r="B425" s="1" t="s">
        <v>1826</v>
      </c>
      <c r="C425" s="1" t="s">
        <v>785</v>
      </c>
      <c r="D425" s="1" t="s">
        <v>1539</v>
      </c>
      <c r="E425" s="1" t="s">
        <v>39</v>
      </c>
      <c r="F425" s="25" t="s">
        <v>1827</v>
      </c>
      <c r="G425" s="1" t="s">
        <v>1827</v>
      </c>
      <c r="H425" s="1" t="s">
        <v>39</v>
      </c>
      <c r="I425" s="1" t="s">
        <v>39</v>
      </c>
      <c r="J425" s="1" t="s">
        <v>39</v>
      </c>
      <c r="K425" s="1" t="s">
        <v>39</v>
      </c>
      <c r="L425" s="1" t="s">
        <v>39</v>
      </c>
      <c r="M425" s="1" t="s">
        <v>39</v>
      </c>
      <c r="N425" s="1" t="s">
        <v>39</v>
      </c>
      <c r="O425" s="1" t="s">
        <v>39</v>
      </c>
      <c r="P425" s="1" t="s">
        <v>37</v>
      </c>
      <c r="Q425" s="1" t="s">
        <v>37</v>
      </c>
      <c r="R425" s="1" t="s">
        <v>136</v>
      </c>
      <c r="S425" s="1" t="s">
        <v>52</v>
      </c>
      <c r="T425" s="1" t="s">
        <v>53</v>
      </c>
      <c r="U425" s="1" t="s">
        <v>46</v>
      </c>
      <c r="V425" s="1" t="s">
        <v>46</v>
      </c>
      <c r="W425" s="1" t="s">
        <v>1828</v>
      </c>
      <c r="X425" s="1" t="s">
        <v>1829</v>
      </c>
      <c r="Y425" s="1" t="s">
        <v>45</v>
      </c>
      <c r="Z425" s="1" t="s">
        <v>46</v>
      </c>
      <c r="AA425" s="1" t="s">
        <v>47</v>
      </c>
      <c r="AB425" s="1" t="s">
        <v>39</v>
      </c>
      <c r="AC425" s="1" t="s">
        <v>37</v>
      </c>
      <c r="AD425" s="1" t="s">
        <v>37</v>
      </c>
      <c r="AE425" s="1" t="s">
        <v>37</v>
      </c>
      <c r="AF425" s="1" t="s">
        <v>37</v>
      </c>
      <c r="AG425" s="1" t="s">
        <v>37</v>
      </c>
      <c r="AH425" s="1" t="s">
        <v>37</v>
      </c>
      <c r="AI425" s="1" t="s">
        <v>37</v>
      </c>
      <c r="AJ425" s="1" t="s">
        <v>39</v>
      </c>
      <c r="AK425" s="1" t="str">
        <f t="shared" si="13"/>
        <v>Fora de âmbito</v>
      </c>
      <c r="AL425" s="1" t="str">
        <f>+IF(IFERROR(VLOOKUP(A425,Ficheiros!I:I,1,FALSE),"")=A425,"Sim","Não")</f>
        <v>Não</v>
      </c>
      <c r="AM425" s="1" t="str">
        <f>+IF(IFERROR(VLOOKUP(A425,Ficheiros!E:E,1,FALSE),"")=A425,"Sim","Não")</f>
        <v>Não</v>
      </c>
      <c r="AN425" s="1" t="str">
        <f>+IF(IFERROR(VLOOKUP(A425,Ficheiros!O:O,1,FALSE),"")=A425,"Sim","Não")</f>
        <v>Não</v>
      </c>
      <c r="AO425" s="1" t="str">
        <f>+IF(IFERROR(VLOOKUP(A425,'Especificação Novos Req. LT (2'!A:A,1,FALSE),"")=A425,"Sim","Não")</f>
        <v>Não</v>
      </c>
      <c r="AP425" s="1" t="str">
        <f>+IF(IFERROR(VLOOKUP(A425,Ficheiros!T:T,1,FALSE),"")=A425,"Sim","Não")</f>
        <v>Sim</v>
      </c>
      <c r="AQ425" s="1" t="e">
        <f>+VLOOKUP(A425,Ficheiros!O:P,2,FALSE)</f>
        <v>#N/A</v>
      </c>
      <c r="AR425" s="1" t="str">
        <f>+VLOOKUP(A425,Ficheiros!T:U,2,FALSE)</f>
        <v>1. Especificar</v>
      </c>
      <c r="AS425" s="1" t="str">
        <f>+VLOOKUP(A425,Ficheiros!T:V,3,FALSE)</f>
        <v>PM - Novos Campos</v>
      </c>
      <c r="AT425" s="1"/>
      <c r="AU425" s="1"/>
      <c r="AV425" s="1"/>
      <c r="AW425" s="1"/>
      <c r="AX425" s="1"/>
    </row>
    <row r="426" spans="1:50" ht="14.5" hidden="1" customHeight="1" x14ac:dyDescent="0.35">
      <c r="A426" s="5" t="str">
        <f t="shared" si="12"/>
        <v>INSTRUMENTFLG_DFLT</v>
      </c>
      <c r="B426" s="1" t="s">
        <v>1830</v>
      </c>
      <c r="C426" s="1" t="s">
        <v>785</v>
      </c>
      <c r="D426" s="1" t="s">
        <v>787</v>
      </c>
      <c r="E426" s="1" t="s">
        <v>37</v>
      </c>
      <c r="F426" s="25" t="s">
        <v>1831</v>
      </c>
      <c r="G426" s="1" t="s">
        <v>1831</v>
      </c>
      <c r="H426" s="1" t="s">
        <v>39</v>
      </c>
      <c r="I426" s="1" t="s">
        <v>39</v>
      </c>
      <c r="J426" s="1" t="s">
        <v>39</v>
      </c>
      <c r="K426" s="1" t="s">
        <v>39</v>
      </c>
      <c r="L426" s="1" t="s">
        <v>39</v>
      </c>
      <c r="M426" s="1" t="s">
        <v>39</v>
      </c>
      <c r="N426" s="1" t="s">
        <v>39</v>
      </c>
      <c r="O426" s="1" t="s">
        <v>39</v>
      </c>
      <c r="P426" s="1" t="s">
        <v>37</v>
      </c>
      <c r="Q426" s="1" t="s">
        <v>37</v>
      </c>
      <c r="R426" s="1" t="s">
        <v>141</v>
      </c>
      <c r="S426" s="1" t="s">
        <v>142</v>
      </c>
      <c r="T426" s="1" t="s">
        <v>53</v>
      </c>
      <c r="U426" s="1" t="s">
        <v>42</v>
      </c>
      <c r="V426" s="1" t="s">
        <v>46</v>
      </c>
      <c r="W426" s="1" t="s">
        <v>1832</v>
      </c>
      <c r="X426" s="1" t="s">
        <v>1833</v>
      </c>
      <c r="Y426" s="1" t="s">
        <v>45</v>
      </c>
      <c r="Z426" s="1" t="s">
        <v>46</v>
      </c>
      <c r="AA426" s="1" t="s">
        <v>47</v>
      </c>
      <c r="AB426" s="1" t="s">
        <v>39</v>
      </c>
      <c r="AC426" s="1" t="s">
        <v>37</v>
      </c>
      <c r="AD426" s="1" t="s">
        <v>37</v>
      </c>
      <c r="AE426" s="1" t="s">
        <v>37</v>
      </c>
      <c r="AF426" s="1" t="s">
        <v>37</v>
      </c>
      <c r="AG426" s="1" t="s">
        <v>37</v>
      </c>
      <c r="AH426" s="1" t="s">
        <v>37</v>
      </c>
      <c r="AI426" s="1" t="s">
        <v>37</v>
      </c>
      <c r="AJ426" s="1" t="s">
        <v>39</v>
      </c>
      <c r="AK426" s="1" t="str">
        <f t="shared" si="13"/>
        <v>Fora de âmbito</v>
      </c>
      <c r="AL426" s="1" t="str">
        <f>+IF(IFERROR(VLOOKUP(A426,Ficheiros!I:I,1,FALSE),"")=A426,"Sim","Não")</f>
        <v>Não</v>
      </c>
      <c r="AM426" s="1" t="str">
        <f>+IF(IFERROR(VLOOKUP(A426,Ficheiros!E:E,1,FALSE),"")=A426,"Sim","Não")</f>
        <v>Não</v>
      </c>
      <c r="AN426" s="1" t="str">
        <f>+IF(IFERROR(VLOOKUP(A426,Ficheiros!O:O,1,FALSE),"")=A426,"Sim","Não")</f>
        <v>Não</v>
      </c>
      <c r="AO426" s="1" t="str">
        <f>+IF(IFERROR(VLOOKUP(A426,'Especificação Novos Req. LT (2'!A:A,1,FALSE),"")=A426,"Sim","Não")</f>
        <v>Não</v>
      </c>
      <c r="AP426" s="1" t="str">
        <f>+IF(IFERROR(VLOOKUP(A426,Ficheiros!T:T,1,FALSE),"")=A426,"Sim","Não")</f>
        <v>Sim</v>
      </c>
      <c r="AQ426" s="1" t="e">
        <f>+VLOOKUP(A426,Ficheiros!O:P,2,FALSE)</f>
        <v>#N/A</v>
      </c>
      <c r="AR426" s="1" t="str">
        <f>+VLOOKUP(A426,Ficheiros!T:U,2,FALSE)</f>
        <v>1. Especificar</v>
      </c>
      <c r="AS426" s="1" t="str">
        <f>+VLOOKUP(A426,Ficheiros!T:V,3,FALSE)</f>
        <v>PM - Novos Campos</v>
      </c>
      <c r="AT426" s="1"/>
      <c r="AU426" s="1"/>
      <c r="AV426" s="1"/>
      <c r="AW426" s="1"/>
      <c r="AX426" s="1"/>
    </row>
    <row r="427" spans="1:50" ht="14.5" hidden="1" customHeight="1" x14ac:dyDescent="0.35">
      <c r="A427" s="5" t="str">
        <f t="shared" si="12"/>
        <v>INSTRUMENTFLG_HGH_RSK</v>
      </c>
      <c r="B427" s="1" t="s">
        <v>1834</v>
      </c>
      <c r="C427" s="1" t="s">
        <v>785</v>
      </c>
      <c r="D427" s="1" t="s">
        <v>787</v>
      </c>
      <c r="E427" s="1" t="s">
        <v>37</v>
      </c>
      <c r="F427" s="25" t="s">
        <v>1835</v>
      </c>
      <c r="G427" s="1" t="s">
        <v>1835</v>
      </c>
      <c r="H427" s="1" t="s">
        <v>39</v>
      </c>
      <c r="I427" s="1" t="s">
        <v>39</v>
      </c>
      <c r="J427" s="1" t="s">
        <v>39</v>
      </c>
      <c r="K427" s="1" t="s">
        <v>39</v>
      </c>
      <c r="L427" s="1" t="s">
        <v>39</v>
      </c>
      <c r="M427" s="1" t="s">
        <v>39</v>
      </c>
      <c r="N427" s="1" t="s">
        <v>39</v>
      </c>
      <c r="O427" s="1" t="s">
        <v>39</v>
      </c>
      <c r="P427" s="1" t="s">
        <v>37</v>
      </c>
      <c r="Q427" s="1" t="s">
        <v>37</v>
      </c>
      <c r="R427" s="1" t="s">
        <v>141</v>
      </c>
      <c r="S427" s="1" t="s">
        <v>142</v>
      </c>
      <c r="T427" s="1" t="s">
        <v>53</v>
      </c>
      <c r="U427" s="1" t="s">
        <v>42</v>
      </c>
      <c r="V427" s="1" t="s">
        <v>46</v>
      </c>
      <c r="W427" s="1" t="s">
        <v>1836</v>
      </c>
      <c r="X427" s="1" t="s">
        <v>1837</v>
      </c>
      <c r="Y427" s="1" t="s">
        <v>45</v>
      </c>
      <c r="Z427" s="1" t="s">
        <v>46</v>
      </c>
      <c r="AA427" s="1" t="s">
        <v>47</v>
      </c>
      <c r="AB427" s="1" t="s">
        <v>39</v>
      </c>
      <c r="AC427" s="1" t="s">
        <v>37</v>
      </c>
      <c r="AD427" s="1" t="s">
        <v>37</v>
      </c>
      <c r="AE427" s="1" t="s">
        <v>37</v>
      </c>
      <c r="AF427" s="1" t="s">
        <v>37</v>
      </c>
      <c r="AG427" s="1" t="s">
        <v>37</v>
      </c>
      <c r="AH427" s="1" t="s">
        <v>37</v>
      </c>
      <c r="AI427" s="1" t="s">
        <v>37</v>
      </c>
      <c r="AJ427" s="1" t="s">
        <v>39</v>
      </c>
      <c r="AK427" s="1" t="str">
        <f t="shared" si="13"/>
        <v>Fora de âmbito</v>
      </c>
      <c r="AL427" s="1" t="str">
        <f>+IF(IFERROR(VLOOKUP(A427,Ficheiros!I:I,1,FALSE),"")=A427,"Sim","Não")</f>
        <v>Não</v>
      </c>
      <c r="AM427" s="1" t="str">
        <f>+IF(IFERROR(VLOOKUP(A427,Ficheiros!E:E,1,FALSE),"")=A427,"Sim","Não")</f>
        <v>Não</v>
      </c>
      <c r="AN427" s="1" t="str">
        <f>+IF(IFERROR(VLOOKUP(A427,Ficheiros!O:O,1,FALSE),"")=A427,"Sim","Não")</f>
        <v>Não</v>
      </c>
      <c r="AO427" s="1" t="str">
        <f>+IF(IFERROR(VLOOKUP(A427,'Especificação Novos Req. LT (2'!A:A,1,FALSE),"")=A427,"Sim","Não")</f>
        <v>Não</v>
      </c>
      <c r="AP427" s="1" t="str">
        <f>+IF(IFERROR(VLOOKUP(A427,Ficheiros!T:T,1,FALSE),"")=A427,"Sim","Não")</f>
        <v>Sim</v>
      </c>
      <c r="AQ427" s="1" t="e">
        <f>+VLOOKUP(A427,Ficheiros!O:P,2,FALSE)</f>
        <v>#N/A</v>
      </c>
      <c r="AR427" s="1" t="str">
        <f>+VLOOKUP(A427,Ficheiros!T:U,2,FALSE)</f>
        <v>1. Especificar</v>
      </c>
      <c r="AS427" s="1" t="str">
        <f>+VLOOKUP(A427,Ficheiros!T:V,3,FALSE)</f>
        <v>PM - Novos Campos</v>
      </c>
      <c r="AT427" s="1"/>
      <c r="AU427" s="1"/>
      <c r="AV427" s="1"/>
      <c r="AW427" s="1"/>
      <c r="AX427" s="1"/>
    </row>
    <row r="428" spans="1:50" ht="14.5" hidden="1" customHeight="1" x14ac:dyDescent="0.35">
      <c r="A428" s="5" t="str">
        <f t="shared" si="12"/>
        <v>INSTRUMENTEXCLDD_LF</v>
      </c>
      <c r="B428" s="1" t="s">
        <v>1838</v>
      </c>
      <c r="C428" s="1" t="s">
        <v>785</v>
      </c>
      <c r="D428" s="1" t="s">
        <v>787</v>
      </c>
      <c r="E428" s="1" t="s">
        <v>37</v>
      </c>
      <c r="F428" s="26" t="s">
        <v>1839</v>
      </c>
      <c r="G428" s="1" t="s">
        <v>1839</v>
      </c>
      <c r="H428" s="1" t="s">
        <v>37</v>
      </c>
      <c r="I428" s="1" t="s">
        <v>37</v>
      </c>
      <c r="J428" s="1" t="s">
        <v>37</v>
      </c>
      <c r="K428" s="1" t="s">
        <v>37</v>
      </c>
      <c r="L428" s="1" t="s">
        <v>39</v>
      </c>
      <c r="M428" s="1" t="s">
        <v>39</v>
      </c>
      <c r="N428" s="1" t="s">
        <v>37</v>
      </c>
      <c r="O428" s="1" t="s">
        <v>39</v>
      </c>
      <c r="P428" s="1" t="s">
        <v>37</v>
      </c>
      <c r="Q428" s="1" t="s">
        <v>37</v>
      </c>
      <c r="R428" s="1" t="s">
        <v>136</v>
      </c>
      <c r="S428" s="1" t="s">
        <v>52</v>
      </c>
      <c r="T428" s="1" t="s">
        <v>53</v>
      </c>
      <c r="U428" s="1" t="s">
        <v>46</v>
      </c>
      <c r="V428" s="1" t="s">
        <v>46</v>
      </c>
      <c r="W428" s="1" t="s">
        <v>1840</v>
      </c>
      <c r="X428" s="1" t="s">
        <v>1841</v>
      </c>
      <c r="Y428" s="1" t="s">
        <v>45</v>
      </c>
      <c r="Z428" s="1" t="s">
        <v>46</v>
      </c>
      <c r="AA428" s="1" t="s">
        <v>47</v>
      </c>
      <c r="AB428" s="1" t="s">
        <v>37</v>
      </c>
      <c r="AC428" s="1" t="s">
        <v>37</v>
      </c>
      <c r="AD428" s="1" t="s">
        <v>37</v>
      </c>
      <c r="AE428" s="1" t="s">
        <v>37</v>
      </c>
      <c r="AF428" s="1" t="s">
        <v>37</v>
      </c>
      <c r="AG428" s="1" t="s">
        <v>39</v>
      </c>
      <c r="AH428" s="1" t="s">
        <v>37</v>
      </c>
      <c r="AI428" s="1" t="s">
        <v>37</v>
      </c>
      <c r="AJ428" s="1" t="s">
        <v>39</v>
      </c>
      <c r="AK428" s="1" t="str">
        <f t="shared" si="13"/>
        <v>Fora de âmbito</v>
      </c>
      <c r="AL428" s="1" t="str">
        <f>+IF(IFERROR(VLOOKUP(A428,Ficheiros!I:I,1,FALSE),"")=A428,"Sim","Não")</f>
        <v>Não</v>
      </c>
      <c r="AM428" s="1" t="str">
        <f>+IF(IFERROR(VLOOKUP(A428,Ficheiros!E:E,1,FALSE),"")=A428,"Sim","Não")</f>
        <v>Não</v>
      </c>
      <c r="AN428" s="1" t="str">
        <f>+IF(IFERROR(VLOOKUP(A428,Ficheiros!O:O,1,FALSE),"")=A428,"Sim","Não")</f>
        <v>Não</v>
      </c>
      <c r="AO428" s="1" t="str">
        <f>+IF(IFERROR(VLOOKUP(A428,'Especificação Novos Req. LT (2'!A:A,1,FALSE),"")=A428,"Sim","Não")</f>
        <v>Não</v>
      </c>
      <c r="AP428" s="1" t="str">
        <f>+IF(IFERROR(VLOOKUP(A428,Ficheiros!T:T,1,FALSE),"")=A428,"Sim","Não")</f>
        <v>Não</v>
      </c>
      <c r="AQ428" s="1" t="e">
        <f>+VLOOKUP(A428,Ficheiros!O:P,2,FALSE)</f>
        <v>#N/A</v>
      </c>
      <c r="AR428" s="1" t="e">
        <f>+VLOOKUP(A428,Ficheiros!R:S,3,FALSE)</f>
        <v>#N/A</v>
      </c>
      <c r="AS428" s="1" t="e">
        <f>+VLOOKUP(A428,Ficheiros!T:V,3,FALSE)</f>
        <v>#N/A</v>
      </c>
      <c r="AT428" s="1"/>
      <c r="AU428" s="1"/>
      <c r="AV428" s="1"/>
      <c r="AW428" s="1"/>
      <c r="AX428" s="1"/>
    </row>
    <row r="429" spans="1:50" ht="14.5" hidden="1" customHeight="1" x14ac:dyDescent="0.35">
      <c r="A429" s="5" t="str">
        <f t="shared" si="12"/>
        <v>INSTRUMENTRWA_MTGTN</v>
      </c>
      <c r="B429" s="1" t="s">
        <v>1842</v>
      </c>
      <c r="C429" s="1" t="s">
        <v>785</v>
      </c>
      <c r="D429" s="1" t="s">
        <v>49</v>
      </c>
      <c r="E429" s="1" t="s">
        <v>37</v>
      </c>
      <c r="F429" s="25" t="s">
        <v>1843</v>
      </c>
      <c r="G429" s="1" t="s">
        <v>1843</v>
      </c>
      <c r="H429" s="1" t="s">
        <v>37</v>
      </c>
      <c r="I429" s="1" t="s">
        <v>37</v>
      </c>
      <c r="J429" s="1" t="s">
        <v>37</v>
      </c>
      <c r="K429" s="1" t="s">
        <v>37</v>
      </c>
      <c r="L429" s="1" t="s">
        <v>39</v>
      </c>
      <c r="M429" s="1" t="s">
        <v>39</v>
      </c>
      <c r="N429" s="1" t="s">
        <v>37</v>
      </c>
      <c r="O429" s="1" t="s">
        <v>39</v>
      </c>
      <c r="P429" s="1" t="s">
        <v>37</v>
      </c>
      <c r="Q429" s="1" t="s">
        <v>37</v>
      </c>
      <c r="R429" s="1" t="s">
        <v>273</v>
      </c>
      <c r="S429" s="1" t="s">
        <v>274</v>
      </c>
      <c r="T429" s="1">
        <v>99999999999</v>
      </c>
      <c r="U429" s="1" t="s">
        <v>42</v>
      </c>
      <c r="V429" s="1">
        <v>11111111111</v>
      </c>
      <c r="W429" s="1" t="s">
        <v>1844</v>
      </c>
      <c r="X429" s="1" t="s">
        <v>1845</v>
      </c>
      <c r="Y429" s="1" t="s">
        <v>45</v>
      </c>
      <c r="Z429" s="1" t="s">
        <v>46</v>
      </c>
      <c r="AA429" s="1" t="s">
        <v>47</v>
      </c>
      <c r="AB429" s="1" t="s">
        <v>37</v>
      </c>
      <c r="AC429" s="1" t="s">
        <v>37</v>
      </c>
      <c r="AD429" s="1" t="s">
        <v>37</v>
      </c>
      <c r="AE429" s="1" t="s">
        <v>37</v>
      </c>
      <c r="AF429" s="1" t="s">
        <v>37</v>
      </c>
      <c r="AG429" s="1" t="s">
        <v>39</v>
      </c>
      <c r="AH429" s="1" t="s">
        <v>37</v>
      </c>
      <c r="AI429" s="1" t="s">
        <v>37</v>
      </c>
      <c r="AJ429" s="1" t="s">
        <v>39</v>
      </c>
      <c r="AK429" s="1" t="str">
        <f t="shared" si="13"/>
        <v>Fora de âmbito</v>
      </c>
      <c r="AL429" s="1" t="str">
        <f>+IF(IFERROR(VLOOKUP(A429,Ficheiros!I:I,1,FALSE),"")=A429,"Sim","Não")</f>
        <v>Não</v>
      </c>
      <c r="AM429" s="1" t="str">
        <f>+IF(IFERROR(VLOOKUP(A429,Ficheiros!E:E,1,FALSE),"")=A429,"Sim","Não")</f>
        <v>Não</v>
      </c>
      <c r="AN429" s="1" t="str">
        <f>+IF(IFERROR(VLOOKUP(A429,Ficheiros!O:O,1,FALSE),"")=A429,"Sim","Não")</f>
        <v>Não</v>
      </c>
      <c r="AO429" s="1" t="str">
        <f>+IF(IFERROR(VLOOKUP(A429,'Especificação Novos Req. LT (2'!A:A,1,FALSE),"")=A429,"Sim","Não")</f>
        <v>Não</v>
      </c>
      <c r="AP429" s="1" t="str">
        <f>+IF(IFERROR(VLOOKUP(A429,Ficheiros!T:T,1,FALSE),"")=A429,"Sim","Não")</f>
        <v>Não</v>
      </c>
      <c r="AQ429" s="1" t="e">
        <f>+VLOOKUP(A429,Ficheiros!O:P,2,FALSE)</f>
        <v>#N/A</v>
      </c>
      <c r="AR429" s="1" t="e">
        <f>+VLOOKUP(A429,Ficheiros!R:S,3,FALSE)</f>
        <v>#N/A</v>
      </c>
      <c r="AS429" s="1" t="e">
        <f>+VLOOKUP(A429,Ficheiros!T:V,3,FALSE)</f>
        <v>#N/A</v>
      </c>
      <c r="AT429" s="1"/>
      <c r="AU429" s="1"/>
      <c r="AV429" s="1"/>
      <c r="AW429" s="1"/>
      <c r="AX429" s="1"/>
    </row>
    <row r="430" spans="1:50" ht="14.5" hidden="1" customHeight="1" x14ac:dyDescent="0.35">
      <c r="A430" s="5" t="str">
        <f t="shared" si="12"/>
        <v>INSTRUMENTRWA_PRMTGTN</v>
      </c>
      <c r="B430" s="1" t="s">
        <v>1846</v>
      </c>
      <c r="C430" s="1" t="s">
        <v>785</v>
      </c>
      <c r="D430" s="1" t="s">
        <v>49</v>
      </c>
      <c r="E430" s="1" t="s">
        <v>37</v>
      </c>
      <c r="F430" s="25" t="s">
        <v>1847</v>
      </c>
      <c r="G430" s="1" t="s">
        <v>1847</v>
      </c>
      <c r="H430" s="1" t="s">
        <v>37</v>
      </c>
      <c r="I430" s="1" t="s">
        <v>37</v>
      </c>
      <c r="J430" s="1" t="s">
        <v>37</v>
      </c>
      <c r="K430" s="1" t="s">
        <v>37</v>
      </c>
      <c r="L430" s="1" t="s">
        <v>39</v>
      </c>
      <c r="M430" s="1" t="s">
        <v>39</v>
      </c>
      <c r="N430" s="1" t="s">
        <v>37</v>
      </c>
      <c r="O430" s="1" t="s">
        <v>39</v>
      </c>
      <c r="P430" s="1" t="s">
        <v>37</v>
      </c>
      <c r="Q430" s="1" t="s">
        <v>37</v>
      </c>
      <c r="R430" s="1" t="s">
        <v>273</v>
      </c>
      <c r="S430" s="1" t="s">
        <v>274</v>
      </c>
      <c r="T430" s="1">
        <v>99999999999</v>
      </c>
      <c r="U430" s="1" t="s">
        <v>42</v>
      </c>
      <c r="V430" s="1">
        <v>11111111111</v>
      </c>
      <c r="W430" s="1" t="s">
        <v>1848</v>
      </c>
      <c r="X430" s="1" t="s">
        <v>1849</v>
      </c>
      <c r="Y430" s="1" t="s">
        <v>45</v>
      </c>
      <c r="Z430" s="1" t="s">
        <v>46</v>
      </c>
      <c r="AA430" s="1" t="s">
        <v>47</v>
      </c>
      <c r="AB430" s="1" t="s">
        <v>37</v>
      </c>
      <c r="AC430" s="1" t="s">
        <v>37</v>
      </c>
      <c r="AD430" s="1" t="s">
        <v>37</v>
      </c>
      <c r="AE430" s="1" t="s">
        <v>37</v>
      </c>
      <c r="AF430" s="1" t="s">
        <v>37</v>
      </c>
      <c r="AG430" s="1" t="s">
        <v>39</v>
      </c>
      <c r="AH430" s="1" t="s">
        <v>37</v>
      </c>
      <c r="AI430" s="1" t="s">
        <v>37</v>
      </c>
      <c r="AJ430" s="1" t="s">
        <v>39</v>
      </c>
      <c r="AK430" s="1" t="str">
        <f t="shared" si="13"/>
        <v>Fora de âmbito</v>
      </c>
      <c r="AL430" s="1" t="str">
        <f>+IF(IFERROR(VLOOKUP(A430,Ficheiros!I:I,1,FALSE),"")=A430,"Sim","Não")</f>
        <v>Não</v>
      </c>
      <c r="AM430" s="1" t="str">
        <f>+IF(IFERROR(VLOOKUP(A430,Ficheiros!E:E,1,FALSE),"")=A430,"Sim","Não")</f>
        <v>Não</v>
      </c>
      <c r="AN430" s="1" t="str">
        <f>+IF(IFERROR(VLOOKUP(A430,Ficheiros!O:O,1,FALSE),"")=A430,"Sim","Não")</f>
        <v>Não</v>
      </c>
      <c r="AO430" s="1" t="str">
        <f>+IF(IFERROR(VLOOKUP(A430,'Especificação Novos Req. LT (2'!A:A,1,FALSE),"")=A430,"Sim","Não")</f>
        <v>Não</v>
      </c>
      <c r="AP430" s="1" t="str">
        <f>+IF(IFERROR(VLOOKUP(A430,Ficheiros!T:T,1,FALSE),"")=A430,"Sim","Não")</f>
        <v>Não</v>
      </c>
      <c r="AQ430" s="1" t="e">
        <f>+VLOOKUP(A430,Ficheiros!O:P,2,FALSE)</f>
        <v>#N/A</v>
      </c>
      <c r="AR430" s="1" t="e">
        <f>+VLOOKUP(A430,Ficheiros!R:S,3,FALSE)</f>
        <v>#N/A</v>
      </c>
      <c r="AS430" s="1" t="e">
        <f>+VLOOKUP(A430,Ficheiros!T:V,3,FALSE)</f>
        <v>#N/A</v>
      </c>
      <c r="AT430" s="1"/>
      <c r="AU430" s="1"/>
      <c r="AV430" s="1"/>
      <c r="AW430" s="1"/>
      <c r="AX430" s="1"/>
    </row>
    <row r="431" spans="1:50" ht="14.5" hidden="1" customHeight="1" x14ac:dyDescent="0.35">
      <c r="A431" s="5" t="str">
        <f t="shared" si="12"/>
        <v>INSTRUMENTUS_PRCDS</v>
      </c>
      <c r="B431" s="1" t="s">
        <v>1850</v>
      </c>
      <c r="C431" s="1" t="s">
        <v>785</v>
      </c>
      <c r="D431" s="1" t="s">
        <v>49</v>
      </c>
      <c r="E431" s="1" t="s">
        <v>37</v>
      </c>
      <c r="F431" s="31" t="s">
        <v>1851</v>
      </c>
      <c r="G431" s="1" t="s">
        <v>1851</v>
      </c>
      <c r="H431" s="1" t="s">
        <v>37</v>
      </c>
      <c r="I431" s="1" t="s">
        <v>37</v>
      </c>
      <c r="J431" s="1" t="s">
        <v>37</v>
      </c>
      <c r="K431" s="1" t="s">
        <v>37</v>
      </c>
      <c r="L431" s="1" t="s">
        <v>39</v>
      </c>
      <c r="M431" s="1" t="s">
        <v>39</v>
      </c>
      <c r="N431" s="1" t="s">
        <v>37</v>
      </c>
      <c r="O431" s="1" t="s">
        <v>39</v>
      </c>
      <c r="P431" s="1" t="s">
        <v>37</v>
      </c>
      <c r="Q431" s="1" t="s">
        <v>37</v>
      </c>
      <c r="R431" s="1" t="s">
        <v>136</v>
      </c>
      <c r="S431" s="1" t="s">
        <v>52</v>
      </c>
      <c r="T431" s="1" t="s">
        <v>53</v>
      </c>
      <c r="U431" s="1" t="s">
        <v>42</v>
      </c>
      <c r="V431" s="1" t="s">
        <v>46</v>
      </c>
      <c r="W431" s="1" t="s">
        <v>1852</v>
      </c>
      <c r="X431" s="1" t="s">
        <v>1853</v>
      </c>
      <c r="Y431" s="1" t="s">
        <v>45</v>
      </c>
      <c r="Z431" s="1" t="s">
        <v>46</v>
      </c>
      <c r="AA431" s="1" t="s">
        <v>47</v>
      </c>
      <c r="AB431" s="1" t="s">
        <v>37</v>
      </c>
      <c r="AC431" s="1" t="s">
        <v>37</v>
      </c>
      <c r="AD431" s="1" t="s">
        <v>37</v>
      </c>
      <c r="AE431" s="1" t="s">
        <v>37</v>
      </c>
      <c r="AF431" s="1" t="s">
        <v>37</v>
      </c>
      <c r="AG431" s="1" t="s">
        <v>39</v>
      </c>
      <c r="AH431" s="1" t="s">
        <v>37</v>
      </c>
      <c r="AI431" s="1" t="s">
        <v>37</v>
      </c>
      <c r="AJ431" s="1" t="s">
        <v>39</v>
      </c>
      <c r="AK431" s="1" t="str">
        <f t="shared" si="13"/>
        <v>Fora de âmbito</v>
      </c>
      <c r="AL431" s="1" t="str">
        <f>+IF(IFERROR(VLOOKUP(A431,Ficheiros!I:I,1,FALSE),"")=A431,"Sim","Não")</f>
        <v>Não</v>
      </c>
      <c r="AM431" s="1" t="str">
        <f>+IF(IFERROR(VLOOKUP(A431,Ficheiros!E:E,1,FALSE),"")=A431,"Sim","Não")</f>
        <v>Não</v>
      </c>
      <c r="AN431" s="1" t="str">
        <f>+IF(IFERROR(VLOOKUP(A431,Ficheiros!O:O,1,FALSE),"")=A431,"Sim","Não")</f>
        <v>Não</v>
      </c>
      <c r="AO431" s="1" t="str">
        <f>+IF(IFERROR(VLOOKUP(A431,'Especificação Novos Req. LT (2'!A:A,1,FALSE),"")=A431,"Sim","Não")</f>
        <v>Não</v>
      </c>
      <c r="AP431" s="1" t="str">
        <f>+IF(IFERROR(VLOOKUP(A431,Ficheiros!T:T,1,FALSE),"")=A431,"Sim","Não")</f>
        <v>Não</v>
      </c>
      <c r="AQ431" s="1" t="e">
        <f>+VLOOKUP(A431,Ficheiros!O:P,2,FALSE)</f>
        <v>#N/A</v>
      </c>
      <c r="AR431" s="1" t="e">
        <f>+VLOOKUP(A431,Ficheiros!R:S,3,FALSE)</f>
        <v>#N/A</v>
      </c>
      <c r="AS431" s="1" t="e">
        <f>+VLOOKUP(A431,Ficheiros!T:V,3,FALSE)</f>
        <v>#N/A</v>
      </c>
      <c r="AT431" s="1"/>
      <c r="AU431" s="1"/>
      <c r="AV431" s="1"/>
      <c r="AW431" s="1"/>
      <c r="AX431" s="1"/>
    </row>
    <row r="432" spans="1:50" ht="14.5" hidden="1" customHeight="1" x14ac:dyDescent="0.35">
      <c r="A432" s="5" t="str">
        <f t="shared" si="12"/>
        <v>INSTRUMENTTTL_LVRG_RT_INCPTN</v>
      </c>
      <c r="B432" s="1" t="s">
        <v>1854</v>
      </c>
      <c r="C432" s="1" t="s">
        <v>785</v>
      </c>
      <c r="D432" s="1" t="s">
        <v>49</v>
      </c>
      <c r="E432" s="1" t="s">
        <v>37</v>
      </c>
      <c r="F432" s="25" t="s">
        <v>1855</v>
      </c>
      <c r="G432" s="1" t="s">
        <v>1855</v>
      </c>
      <c r="H432" s="1" t="s">
        <v>37</v>
      </c>
      <c r="I432" s="1" t="s">
        <v>37</v>
      </c>
      <c r="J432" s="1" t="s">
        <v>37</v>
      </c>
      <c r="K432" s="1" t="s">
        <v>37</v>
      </c>
      <c r="L432" s="1" t="s">
        <v>39</v>
      </c>
      <c r="M432" s="1" t="s">
        <v>39</v>
      </c>
      <c r="N432" s="1" t="s">
        <v>37</v>
      </c>
      <c r="O432" s="1" t="s">
        <v>39</v>
      </c>
      <c r="P432" s="1" t="s">
        <v>37</v>
      </c>
      <c r="Q432" s="1" t="s">
        <v>37</v>
      </c>
      <c r="R432" s="1" t="s">
        <v>342</v>
      </c>
      <c r="S432" s="1" t="s">
        <v>274</v>
      </c>
      <c r="T432" s="1">
        <v>99999999999</v>
      </c>
      <c r="U432" s="1">
        <v>11111111111</v>
      </c>
      <c r="V432" s="1">
        <v>11111111111</v>
      </c>
      <c r="W432" s="1" t="s">
        <v>1856</v>
      </c>
      <c r="X432" s="1" t="s">
        <v>1857</v>
      </c>
      <c r="Y432" s="1" t="s">
        <v>45</v>
      </c>
      <c r="Z432" s="1" t="s">
        <v>46</v>
      </c>
      <c r="AA432" s="1" t="s">
        <v>47</v>
      </c>
      <c r="AB432" s="1" t="s">
        <v>37</v>
      </c>
      <c r="AC432" s="1" t="s">
        <v>37</v>
      </c>
      <c r="AD432" s="1" t="s">
        <v>37</v>
      </c>
      <c r="AE432" s="1" t="s">
        <v>37</v>
      </c>
      <c r="AF432" s="1" t="s">
        <v>37</v>
      </c>
      <c r="AG432" s="1" t="s">
        <v>39</v>
      </c>
      <c r="AH432" s="1" t="s">
        <v>37</v>
      </c>
      <c r="AI432" s="1" t="s">
        <v>37</v>
      </c>
      <c r="AJ432" s="1" t="s">
        <v>39</v>
      </c>
      <c r="AK432" s="1" t="str">
        <f t="shared" si="13"/>
        <v>Fora de âmbito</v>
      </c>
      <c r="AL432" s="1" t="str">
        <f>+IF(IFERROR(VLOOKUP(A432,Ficheiros!I:I,1,FALSE),"")=A432,"Sim","Não")</f>
        <v>Não</v>
      </c>
      <c r="AM432" s="1" t="str">
        <f>+IF(IFERROR(VLOOKUP(A432,Ficheiros!E:E,1,FALSE),"")=A432,"Sim","Não")</f>
        <v>Não</v>
      </c>
      <c r="AN432" s="1" t="str">
        <f>+IF(IFERROR(VLOOKUP(A432,Ficheiros!O:O,1,FALSE),"")=A432,"Sim","Não")</f>
        <v>Não</v>
      </c>
      <c r="AO432" s="1" t="str">
        <f>+IF(IFERROR(VLOOKUP(A432,'Especificação Novos Req. LT (2'!A:A,1,FALSE),"")=A432,"Sim","Não")</f>
        <v>Não</v>
      </c>
      <c r="AP432" s="1" t="str">
        <f>+IF(IFERROR(VLOOKUP(A432,Ficheiros!T:T,1,FALSE),"")=A432,"Sim","Não")</f>
        <v>Não</v>
      </c>
      <c r="AQ432" s="1" t="e">
        <f>+VLOOKUP(A432,Ficheiros!O:P,2,FALSE)</f>
        <v>#N/A</v>
      </c>
      <c r="AR432" s="1" t="e">
        <f>+VLOOKUP(A432,Ficheiros!R:S,3,FALSE)</f>
        <v>#N/A</v>
      </c>
      <c r="AS432" s="1" t="e">
        <f>+VLOOKUP(A432,Ficheiros!T:V,3,FALSE)</f>
        <v>#N/A</v>
      </c>
      <c r="AT432" s="1"/>
      <c r="AU432" s="1"/>
      <c r="AV432" s="1"/>
      <c r="AW432" s="1"/>
      <c r="AX432" s="1"/>
    </row>
    <row r="433" spans="1:50" ht="14.5" hidden="1" customHeight="1" x14ac:dyDescent="0.35">
      <c r="A433" s="5" t="str">
        <f t="shared" si="12"/>
        <v>INSTRUMENTTYP_FCLTY</v>
      </c>
      <c r="B433" s="1" t="s">
        <v>1858</v>
      </c>
      <c r="C433" s="1" t="s">
        <v>785</v>
      </c>
      <c r="D433" s="1" t="s">
        <v>49</v>
      </c>
      <c r="E433" s="1" t="s">
        <v>37</v>
      </c>
      <c r="F433" s="25" t="s">
        <v>1859</v>
      </c>
      <c r="G433" s="1" t="s">
        <v>1859</v>
      </c>
      <c r="H433" s="1" t="s">
        <v>37</v>
      </c>
      <c r="I433" s="1" t="s">
        <v>37</v>
      </c>
      <c r="J433" s="1" t="s">
        <v>37</v>
      </c>
      <c r="K433" s="1" t="s">
        <v>37</v>
      </c>
      <c r="L433" s="1" t="s">
        <v>39</v>
      </c>
      <c r="M433" s="1" t="s">
        <v>39</v>
      </c>
      <c r="N433" s="1" t="s">
        <v>37</v>
      </c>
      <c r="O433" s="1" t="s">
        <v>39</v>
      </c>
      <c r="P433" s="1" t="s">
        <v>37</v>
      </c>
      <c r="Q433" s="1" t="s">
        <v>37</v>
      </c>
      <c r="R433" s="1" t="s">
        <v>136</v>
      </c>
      <c r="S433" s="1" t="s">
        <v>52</v>
      </c>
      <c r="T433" s="1" t="s">
        <v>53</v>
      </c>
      <c r="U433" s="1" t="s">
        <v>46</v>
      </c>
      <c r="V433" s="1" t="s">
        <v>46</v>
      </c>
      <c r="W433" s="1" t="s">
        <v>1860</v>
      </c>
      <c r="X433" s="1" t="s">
        <v>1861</v>
      </c>
      <c r="Y433" s="1" t="s">
        <v>45</v>
      </c>
      <c r="Z433" s="1" t="s">
        <v>46</v>
      </c>
      <c r="AA433" s="1" t="s">
        <v>47</v>
      </c>
      <c r="AB433" s="1" t="s">
        <v>37</v>
      </c>
      <c r="AC433" s="1" t="s">
        <v>37</v>
      </c>
      <c r="AD433" s="1" t="s">
        <v>37</v>
      </c>
      <c r="AE433" s="1" t="s">
        <v>37</v>
      </c>
      <c r="AF433" s="1" t="s">
        <v>37</v>
      </c>
      <c r="AG433" s="1" t="s">
        <v>39</v>
      </c>
      <c r="AH433" s="1" t="s">
        <v>37</v>
      </c>
      <c r="AI433" s="1" t="s">
        <v>37</v>
      </c>
      <c r="AJ433" s="1" t="s">
        <v>39</v>
      </c>
      <c r="AK433" s="1" t="str">
        <f t="shared" si="13"/>
        <v>Fora de âmbito</v>
      </c>
      <c r="AL433" s="1" t="str">
        <f>+IF(IFERROR(VLOOKUP(A433,Ficheiros!I:I,1,FALSE),"")=A433,"Sim","Não")</f>
        <v>Não</v>
      </c>
      <c r="AM433" s="1" t="str">
        <f>+IF(IFERROR(VLOOKUP(A433,Ficheiros!E:E,1,FALSE),"")=A433,"Sim","Não")</f>
        <v>Não</v>
      </c>
      <c r="AN433" s="1" t="str">
        <f>+IF(IFERROR(VLOOKUP(A433,Ficheiros!O:O,1,FALSE),"")=A433,"Sim","Não")</f>
        <v>Não</v>
      </c>
      <c r="AO433" s="1" t="str">
        <f>+IF(IFERROR(VLOOKUP(A433,'Especificação Novos Req. LT (2'!A:A,1,FALSE),"")=A433,"Sim","Não")</f>
        <v>Não</v>
      </c>
      <c r="AP433" s="1" t="str">
        <f>+IF(IFERROR(VLOOKUP(A433,Ficheiros!T:T,1,FALSE),"")=A433,"Sim","Não")</f>
        <v>Não</v>
      </c>
      <c r="AQ433" s="1" t="e">
        <f>+VLOOKUP(A433,Ficheiros!O:P,2,FALSE)</f>
        <v>#N/A</v>
      </c>
      <c r="AR433" s="1" t="e">
        <f>+VLOOKUP(A433,Ficheiros!R:S,3,FALSE)</f>
        <v>#N/A</v>
      </c>
      <c r="AS433" s="1" t="e">
        <f>+VLOOKUP(A433,Ficheiros!T:V,3,FALSE)</f>
        <v>#N/A</v>
      </c>
      <c r="AT433" s="1"/>
      <c r="AU433" s="1"/>
      <c r="AV433" s="1"/>
      <c r="AW433" s="1"/>
      <c r="AX433" s="1"/>
    </row>
    <row r="434" spans="1:50" ht="14.5" hidden="1" customHeight="1" x14ac:dyDescent="0.35">
      <c r="A434" s="5" t="str">
        <f t="shared" si="12"/>
        <v>INSTRUMENTTYP_CL</v>
      </c>
      <c r="B434" s="1" t="s">
        <v>1862</v>
      </c>
      <c r="C434" s="1" t="s">
        <v>785</v>
      </c>
      <c r="D434" s="1" t="s">
        <v>49</v>
      </c>
      <c r="E434" s="1" t="s">
        <v>37</v>
      </c>
      <c r="F434" s="25" t="s">
        <v>1863</v>
      </c>
      <c r="G434" s="1" t="s">
        <v>1863</v>
      </c>
      <c r="H434" s="1" t="s">
        <v>37</v>
      </c>
      <c r="I434" s="1" t="s">
        <v>37</v>
      </c>
      <c r="J434" s="1" t="s">
        <v>37</v>
      </c>
      <c r="K434" s="1" t="s">
        <v>37</v>
      </c>
      <c r="L434" s="1" t="s">
        <v>39</v>
      </c>
      <c r="M434" s="1" t="s">
        <v>39</v>
      </c>
      <c r="N434" s="1" t="s">
        <v>37</v>
      </c>
      <c r="O434" s="1" t="s">
        <v>39</v>
      </c>
      <c r="P434" s="1" t="s">
        <v>37</v>
      </c>
      <c r="Q434" s="1" t="s">
        <v>37</v>
      </c>
      <c r="R434" s="1" t="s">
        <v>136</v>
      </c>
      <c r="S434" s="1" t="s">
        <v>52</v>
      </c>
      <c r="T434" s="1" t="s">
        <v>53</v>
      </c>
      <c r="U434" s="1" t="s">
        <v>46</v>
      </c>
      <c r="V434" s="1" t="s">
        <v>46</v>
      </c>
      <c r="W434" s="1" t="s">
        <v>1864</v>
      </c>
      <c r="X434" s="1" t="s">
        <v>1865</v>
      </c>
      <c r="Y434" s="1" t="s">
        <v>45</v>
      </c>
      <c r="Z434" s="1" t="s">
        <v>46</v>
      </c>
      <c r="AA434" s="1" t="s">
        <v>47</v>
      </c>
      <c r="AB434" s="1" t="s">
        <v>37</v>
      </c>
      <c r="AC434" s="1" t="s">
        <v>37</v>
      </c>
      <c r="AD434" s="1" t="s">
        <v>37</v>
      </c>
      <c r="AE434" s="1" t="s">
        <v>37</v>
      </c>
      <c r="AF434" s="1" t="s">
        <v>37</v>
      </c>
      <c r="AG434" s="1" t="s">
        <v>39</v>
      </c>
      <c r="AH434" s="1" t="s">
        <v>37</v>
      </c>
      <c r="AI434" s="1" t="s">
        <v>37</v>
      </c>
      <c r="AJ434" s="1" t="s">
        <v>39</v>
      </c>
      <c r="AK434" s="1" t="str">
        <f t="shared" si="13"/>
        <v>Fora de âmbito</v>
      </c>
      <c r="AL434" s="1" t="str">
        <f>+IF(IFERROR(VLOOKUP(A434,Ficheiros!I:I,1,FALSE),"")=A434,"Sim","Não")</f>
        <v>Não</v>
      </c>
      <c r="AM434" s="1" t="str">
        <f>+IF(IFERROR(VLOOKUP(A434,Ficheiros!E:E,1,FALSE),"")=A434,"Sim","Não")</f>
        <v>Não</v>
      </c>
      <c r="AN434" s="1" t="str">
        <f>+IF(IFERROR(VLOOKUP(A434,Ficheiros!O:O,1,FALSE),"")=A434,"Sim","Não")</f>
        <v>Não</v>
      </c>
      <c r="AO434" s="1" t="str">
        <f>+IF(IFERROR(VLOOKUP(A434,'Especificação Novos Req. LT (2'!A:A,1,FALSE),"")=A434,"Sim","Não")</f>
        <v>Não</v>
      </c>
      <c r="AP434" s="1" t="str">
        <f>+IF(IFERROR(VLOOKUP(A434,Ficheiros!T:T,1,FALSE),"")=A434,"Sim","Não")</f>
        <v>Não</v>
      </c>
      <c r="AQ434" s="1" t="e">
        <f>+VLOOKUP(A434,Ficheiros!O:P,2,FALSE)</f>
        <v>#N/A</v>
      </c>
      <c r="AR434" s="1" t="e">
        <f>+VLOOKUP(A434,Ficheiros!R:S,3,FALSE)</f>
        <v>#N/A</v>
      </c>
      <c r="AS434" s="1" t="e">
        <f>+VLOOKUP(A434,Ficheiros!T:V,3,FALSE)</f>
        <v>#N/A</v>
      </c>
      <c r="AT434" s="1"/>
      <c r="AU434" s="1"/>
      <c r="AV434" s="1"/>
      <c r="AW434" s="1"/>
      <c r="AX434" s="1"/>
    </row>
    <row r="435" spans="1:50" ht="14.5" customHeight="1" x14ac:dyDescent="0.35">
      <c r="A435" s="5" t="str">
        <f t="shared" si="12"/>
        <v>INSTRUMENTFLG_MNMM_SFGRDS</v>
      </c>
      <c r="B435" s="1" t="s">
        <v>1866</v>
      </c>
      <c r="C435" s="1" t="s">
        <v>785</v>
      </c>
      <c r="D435" s="1" t="s">
        <v>49</v>
      </c>
      <c r="E435" s="1" t="s">
        <v>37</v>
      </c>
      <c r="F435" s="25" t="s">
        <v>1867</v>
      </c>
      <c r="G435" s="1" t="s">
        <v>1867</v>
      </c>
      <c r="H435" s="24" t="s">
        <v>37</v>
      </c>
      <c r="I435" s="24" t="s">
        <v>37</v>
      </c>
      <c r="J435" s="24" t="s">
        <v>37</v>
      </c>
      <c r="K435" s="24" t="s">
        <v>39</v>
      </c>
      <c r="L435" s="24" t="s">
        <v>39</v>
      </c>
      <c r="M435" s="24" t="s">
        <v>39</v>
      </c>
      <c r="N435" s="24" t="s">
        <v>37</v>
      </c>
      <c r="O435" s="1" t="s">
        <v>39</v>
      </c>
      <c r="P435" s="1" t="s">
        <v>37</v>
      </c>
      <c r="Q435" s="1" t="s">
        <v>37</v>
      </c>
      <c r="R435" s="1" t="s">
        <v>141</v>
      </c>
      <c r="S435" s="1" t="s">
        <v>142</v>
      </c>
      <c r="T435" s="1" t="s">
        <v>53</v>
      </c>
      <c r="U435" s="1" t="s">
        <v>42</v>
      </c>
      <c r="V435" s="1" t="s">
        <v>46</v>
      </c>
      <c r="W435" s="1" t="s">
        <v>1868</v>
      </c>
      <c r="X435" s="1" t="s">
        <v>1869</v>
      </c>
      <c r="Y435" s="1" t="s">
        <v>45</v>
      </c>
      <c r="Z435" s="1" t="s">
        <v>46</v>
      </c>
      <c r="AA435" s="1" t="s">
        <v>47</v>
      </c>
      <c r="AB435" s="1" t="s">
        <v>37</v>
      </c>
      <c r="AC435" s="1" t="s">
        <v>37</v>
      </c>
      <c r="AD435" s="1" t="s">
        <v>39</v>
      </c>
      <c r="AE435" s="1" t="s">
        <v>37</v>
      </c>
      <c r="AF435" s="1" t="s">
        <v>39</v>
      </c>
      <c r="AG435" s="1" t="s">
        <v>37</v>
      </c>
      <c r="AH435" s="1" t="s">
        <v>37</v>
      </c>
      <c r="AI435" s="1" t="s">
        <v>39</v>
      </c>
      <c r="AJ435" s="1" t="s">
        <v>39</v>
      </c>
      <c r="AK435" s="1" t="str">
        <f t="shared" si="13"/>
        <v>Comum</v>
      </c>
      <c r="AL435" s="1" t="str">
        <f>+IF(IFERROR(VLOOKUP(A435,Ficheiros!I:I,1,FALSE),"")=A435,"Sim","Não")</f>
        <v>Não</v>
      </c>
      <c r="AM435" s="1" t="str">
        <f>+IF(IFERROR(VLOOKUP(A435,Ficheiros!E:E,1,FALSE),"")=A435,"Sim","Não")</f>
        <v>Não</v>
      </c>
      <c r="AN435" s="1" t="str">
        <f>+IF(IFERROR(VLOOKUP(A435,Ficheiros!O:O,1,FALSE),"")=A435,"Sim","Não")</f>
        <v>Não</v>
      </c>
      <c r="AO435" s="1" t="str">
        <f>+IF(IFERROR(VLOOKUP(A435,'Especificação Novos Req. LT (2'!A:A,1,FALSE),"")=A435,"Sim","Não")</f>
        <v>Sim</v>
      </c>
      <c r="AP435" s="1" t="str">
        <f>+IF(IFERROR(VLOOKUP(A435,Ficheiros!T:T,1,FALSE),"")=A435,"Sim","Não")</f>
        <v>Não</v>
      </c>
      <c r="AQ435" s="1" t="e">
        <f>+VLOOKUP(A435,Ficheiros!O:P,2,FALSE)</f>
        <v>#N/A</v>
      </c>
      <c r="AR435" s="1" t="e">
        <f>+VLOOKUP(A435,Ficheiros!R:S,3,FALSE)</f>
        <v>#N/A</v>
      </c>
      <c r="AS435" s="1" t="e">
        <f>+VLOOKUP(A435,Ficheiros!T:V,3,FALSE)</f>
        <v>#N/A</v>
      </c>
      <c r="AT435" s="1"/>
      <c r="AU435" s="1"/>
      <c r="AV435" s="1" t="s">
        <v>2534</v>
      </c>
      <c r="AW435" s="1" t="s">
        <v>2542</v>
      </c>
      <c r="AX435" s="1"/>
    </row>
    <row r="436" spans="1:50" ht="14.5" hidden="1" customHeight="1" x14ac:dyDescent="0.35">
      <c r="A436" s="5" t="str">
        <f t="shared" si="12"/>
        <v>INSTRUMENTRORAC</v>
      </c>
      <c r="B436" s="1" t="s">
        <v>1870</v>
      </c>
      <c r="C436" s="1" t="s">
        <v>785</v>
      </c>
      <c r="D436" s="1" t="s">
        <v>49</v>
      </c>
      <c r="E436" s="1" t="s">
        <v>37</v>
      </c>
      <c r="F436" s="25" t="s">
        <v>742</v>
      </c>
      <c r="G436" s="1" t="s">
        <v>742</v>
      </c>
      <c r="H436" s="1" t="s">
        <v>37</v>
      </c>
      <c r="I436" s="1" t="s">
        <v>37</v>
      </c>
      <c r="J436" s="1" t="s">
        <v>37</v>
      </c>
      <c r="K436" s="1" t="s">
        <v>37</v>
      </c>
      <c r="L436" s="1" t="s">
        <v>39</v>
      </c>
      <c r="M436" s="1" t="s">
        <v>39</v>
      </c>
      <c r="N436" s="1" t="s">
        <v>37</v>
      </c>
      <c r="O436" s="1" t="s">
        <v>39</v>
      </c>
      <c r="P436" s="1" t="s">
        <v>37</v>
      </c>
      <c r="Q436" s="1" t="s">
        <v>37</v>
      </c>
      <c r="R436" s="1" t="s">
        <v>342</v>
      </c>
      <c r="S436" s="1" t="s">
        <v>274</v>
      </c>
      <c r="T436" s="1">
        <v>99999999999</v>
      </c>
      <c r="U436" s="1">
        <v>11111111111</v>
      </c>
      <c r="V436" s="1">
        <v>11111111111</v>
      </c>
      <c r="W436" s="1" t="s">
        <v>743</v>
      </c>
      <c r="X436" s="1" t="s">
        <v>1871</v>
      </c>
      <c r="Y436" s="1" t="s">
        <v>45</v>
      </c>
      <c r="Z436" s="1" t="s">
        <v>46</v>
      </c>
      <c r="AA436" s="1" t="s">
        <v>47</v>
      </c>
      <c r="AB436" s="1" t="s">
        <v>37</v>
      </c>
      <c r="AC436" s="1" t="s">
        <v>37</v>
      </c>
      <c r="AD436" s="1" t="s">
        <v>37</v>
      </c>
      <c r="AE436" s="1" t="s">
        <v>37</v>
      </c>
      <c r="AF436" s="1" t="s">
        <v>37</v>
      </c>
      <c r="AG436" s="1" t="s">
        <v>39</v>
      </c>
      <c r="AH436" s="1" t="s">
        <v>37</v>
      </c>
      <c r="AI436" s="1" t="s">
        <v>37</v>
      </c>
      <c r="AJ436" s="1" t="s">
        <v>39</v>
      </c>
      <c r="AK436" s="1" t="str">
        <f t="shared" si="13"/>
        <v>Fora de âmbito</v>
      </c>
      <c r="AL436" s="1" t="str">
        <f>+IF(IFERROR(VLOOKUP(A436,Ficheiros!I:I,1,FALSE),"")=A436,"Sim","Não")</f>
        <v>Não</v>
      </c>
      <c r="AM436" s="1" t="str">
        <f>+IF(IFERROR(VLOOKUP(A436,Ficheiros!E:E,1,FALSE),"")=A436,"Sim","Não")</f>
        <v>Não</v>
      </c>
      <c r="AN436" s="1" t="str">
        <f>+IF(IFERROR(VLOOKUP(A436,Ficheiros!O:O,1,FALSE),"")=A436,"Sim","Não")</f>
        <v>Não</v>
      </c>
      <c r="AO436" s="1" t="str">
        <f>+IF(IFERROR(VLOOKUP(A436,'Especificação Novos Req. LT (2'!A:A,1,FALSE),"")=A436,"Sim","Não")</f>
        <v>Não</v>
      </c>
      <c r="AP436" s="1" t="str">
        <f>+IF(IFERROR(VLOOKUP(A436,Ficheiros!T:T,1,FALSE),"")=A436,"Sim","Não")</f>
        <v>Não</v>
      </c>
      <c r="AQ436" s="1" t="e">
        <f>+VLOOKUP(A436,Ficheiros!O:P,2,FALSE)</f>
        <v>#N/A</v>
      </c>
      <c r="AR436" s="1" t="e">
        <f>+VLOOKUP(A436,Ficheiros!R:S,3,FALSE)</f>
        <v>#N/A</v>
      </c>
      <c r="AS436" s="1" t="e">
        <f>+VLOOKUP(A436,Ficheiros!T:V,3,FALSE)</f>
        <v>#N/A</v>
      </c>
      <c r="AT436" s="1"/>
      <c r="AU436" s="1"/>
      <c r="AV436" s="1"/>
      <c r="AW436" s="1"/>
      <c r="AX436" s="1"/>
    </row>
    <row r="437" spans="1:50" ht="14.5" hidden="1" customHeight="1" x14ac:dyDescent="0.35">
      <c r="A437" s="5" t="str">
        <f t="shared" si="12"/>
        <v>INSTRUMENTRORWA</v>
      </c>
      <c r="B437" s="1" t="s">
        <v>1872</v>
      </c>
      <c r="C437" s="1" t="s">
        <v>785</v>
      </c>
      <c r="D437" s="1" t="s">
        <v>49</v>
      </c>
      <c r="E437" s="1" t="s">
        <v>37</v>
      </c>
      <c r="F437" s="26" t="s">
        <v>750</v>
      </c>
      <c r="G437" s="1" t="s">
        <v>750</v>
      </c>
      <c r="H437" s="1" t="s">
        <v>39</v>
      </c>
      <c r="I437" s="1" t="s">
        <v>39</v>
      </c>
      <c r="J437" s="1" t="s">
        <v>39</v>
      </c>
      <c r="K437" s="1" t="s">
        <v>39</v>
      </c>
      <c r="L437" s="1" t="s">
        <v>39</v>
      </c>
      <c r="M437" s="1" t="s">
        <v>39</v>
      </c>
      <c r="N437" s="1" t="s">
        <v>39</v>
      </c>
      <c r="O437" s="1" t="s">
        <v>39</v>
      </c>
      <c r="P437" s="1" t="s">
        <v>37</v>
      </c>
      <c r="Q437" s="1" t="s">
        <v>37</v>
      </c>
      <c r="R437" s="1" t="s">
        <v>342</v>
      </c>
      <c r="S437" s="1" t="s">
        <v>274</v>
      </c>
      <c r="T437" s="1">
        <v>99999999999</v>
      </c>
      <c r="U437" s="1">
        <v>11111111111</v>
      </c>
      <c r="V437" s="1">
        <v>11111111111</v>
      </c>
      <c r="W437" s="1" t="s">
        <v>751</v>
      </c>
      <c r="X437" s="1" t="s">
        <v>1873</v>
      </c>
      <c r="Y437" s="1" t="s">
        <v>45</v>
      </c>
      <c r="Z437" s="1" t="s">
        <v>46</v>
      </c>
      <c r="AA437" s="1" t="s">
        <v>47</v>
      </c>
      <c r="AB437" s="1" t="s">
        <v>37</v>
      </c>
      <c r="AC437" s="1" t="s">
        <v>37</v>
      </c>
      <c r="AD437" s="1" t="s">
        <v>37</v>
      </c>
      <c r="AE437" s="1" t="s">
        <v>39</v>
      </c>
      <c r="AF437" s="1" t="s">
        <v>37</v>
      </c>
      <c r="AG437" s="1" t="s">
        <v>39</v>
      </c>
      <c r="AH437" s="1" t="s">
        <v>37</v>
      </c>
      <c r="AI437" s="1" t="s">
        <v>39</v>
      </c>
      <c r="AJ437" s="1" t="s">
        <v>39</v>
      </c>
      <c r="AK437" s="1" t="str">
        <f t="shared" si="13"/>
        <v>Fora de âmbito</v>
      </c>
      <c r="AL437" s="1" t="str">
        <f>+IF(IFERROR(VLOOKUP(A437,Ficheiros!I:I,1,FALSE),"")=A437,"Sim","Não")</f>
        <v>Não</v>
      </c>
      <c r="AM437" s="1" t="str">
        <f>+IF(IFERROR(VLOOKUP(A437,Ficheiros!E:E,1,FALSE),"")=A437,"Sim","Não")</f>
        <v>Não</v>
      </c>
      <c r="AN437" s="1" t="str">
        <f>+IF(IFERROR(VLOOKUP(A437,Ficheiros!O:O,1,FALSE),"")=A437,"Sim","Não")</f>
        <v>Não</v>
      </c>
      <c r="AO437" s="1" t="str">
        <f>+IF(IFERROR(VLOOKUP(A437,'Especificação Novos Req. LT (2'!A:A,1,FALSE),"")=A437,"Sim","Não")</f>
        <v>Não</v>
      </c>
      <c r="AP437" s="1" t="str">
        <f>+IF(IFERROR(VLOOKUP(A437,Ficheiros!T:T,1,FALSE),"")=A437,"Sim","Não")</f>
        <v>Não</v>
      </c>
      <c r="AQ437" s="1" t="e">
        <f>+VLOOKUP(A437,Ficheiros!O:P,2,FALSE)</f>
        <v>#N/A</v>
      </c>
      <c r="AR437" s="1" t="e">
        <f>+VLOOKUP(A437,Ficheiros!R:S,3,FALSE)</f>
        <v>#N/A</v>
      </c>
      <c r="AS437" s="1" t="e">
        <f>+VLOOKUP(A437,Ficheiros!T:V,3,FALSE)</f>
        <v>#N/A</v>
      </c>
      <c r="AT437" s="1"/>
      <c r="AU437" s="1"/>
      <c r="AV437" s="1"/>
      <c r="AW437" s="1"/>
      <c r="AX437" s="1"/>
    </row>
    <row r="438" spans="1:50" ht="14.5" hidden="1" customHeight="1" x14ac:dyDescent="0.35">
      <c r="A438" s="5" t="str">
        <f t="shared" si="12"/>
        <v>INSTRUMENTTYP_DL</v>
      </c>
      <c r="B438" s="1" t="s">
        <v>1874</v>
      </c>
      <c r="C438" s="1" t="s">
        <v>785</v>
      </c>
      <c r="D438" s="1" t="s">
        <v>49</v>
      </c>
      <c r="E438" s="1" t="s">
        <v>37</v>
      </c>
      <c r="F438" s="25" t="s">
        <v>1875</v>
      </c>
      <c r="G438" s="1" t="s">
        <v>1875</v>
      </c>
      <c r="H438" s="1" t="s">
        <v>37</v>
      </c>
      <c r="I438" s="1" t="s">
        <v>37</v>
      </c>
      <c r="J438" s="1" t="s">
        <v>37</v>
      </c>
      <c r="K438" s="1" t="s">
        <v>37</v>
      </c>
      <c r="L438" s="1" t="s">
        <v>39</v>
      </c>
      <c r="M438" s="1" t="s">
        <v>39</v>
      </c>
      <c r="N438" s="1" t="s">
        <v>37</v>
      </c>
      <c r="O438" s="1" t="s">
        <v>39</v>
      </c>
      <c r="P438" s="1" t="s">
        <v>37</v>
      </c>
      <c r="Q438" s="1" t="s">
        <v>37</v>
      </c>
      <c r="R438" s="1" t="s">
        <v>136</v>
      </c>
      <c r="S438" s="1" t="s">
        <v>52</v>
      </c>
      <c r="T438" s="1" t="s">
        <v>53</v>
      </c>
      <c r="U438" s="1" t="s">
        <v>46</v>
      </c>
      <c r="V438" s="1" t="s">
        <v>46</v>
      </c>
      <c r="W438" s="1" t="s">
        <v>1876</v>
      </c>
      <c r="X438" s="1" t="s">
        <v>1877</v>
      </c>
      <c r="Y438" s="1" t="s">
        <v>45</v>
      </c>
      <c r="Z438" s="1" t="s">
        <v>46</v>
      </c>
      <c r="AA438" s="1" t="s">
        <v>47</v>
      </c>
      <c r="AB438" s="1" t="s">
        <v>37</v>
      </c>
      <c r="AC438" s="1" t="s">
        <v>37</v>
      </c>
      <c r="AD438" s="1" t="s">
        <v>37</v>
      </c>
      <c r="AE438" s="1" t="s">
        <v>37</v>
      </c>
      <c r="AF438" s="1" t="s">
        <v>37</v>
      </c>
      <c r="AG438" s="1" t="s">
        <v>39</v>
      </c>
      <c r="AH438" s="1" t="s">
        <v>37</v>
      </c>
      <c r="AI438" s="1" t="s">
        <v>37</v>
      </c>
      <c r="AJ438" s="1" t="s">
        <v>39</v>
      </c>
      <c r="AK438" s="1" t="str">
        <f t="shared" si="13"/>
        <v>Fora de âmbito</v>
      </c>
      <c r="AL438" s="1" t="str">
        <f>+IF(IFERROR(VLOOKUP(A438,Ficheiros!I:I,1,FALSE),"")=A438,"Sim","Não")</f>
        <v>Não</v>
      </c>
      <c r="AM438" s="1" t="str">
        <f>+IF(IFERROR(VLOOKUP(A438,Ficheiros!E:E,1,FALSE),"")=A438,"Sim","Não")</f>
        <v>Não</v>
      </c>
      <c r="AN438" s="1" t="str">
        <f>+IF(IFERROR(VLOOKUP(A438,Ficheiros!O:O,1,FALSE),"")=A438,"Sim","Não")</f>
        <v>Não</v>
      </c>
      <c r="AO438" s="1" t="str">
        <f>+IF(IFERROR(VLOOKUP(A438,'Especificação Novos Req. LT (2'!A:A,1,FALSE),"")=A438,"Sim","Não")</f>
        <v>Não</v>
      </c>
      <c r="AP438" s="1" t="str">
        <f>+IF(IFERROR(VLOOKUP(A438,Ficheiros!T:T,1,FALSE),"")=A438,"Sim","Não")</f>
        <v>Não</v>
      </c>
      <c r="AQ438" s="1" t="e">
        <f>+VLOOKUP(A438,Ficheiros!O:P,2,FALSE)</f>
        <v>#N/A</v>
      </c>
      <c r="AR438" s="1" t="e">
        <f>+VLOOKUP(A438,Ficheiros!R:S,3,FALSE)</f>
        <v>#N/A</v>
      </c>
      <c r="AS438" s="1" t="e">
        <f>+VLOOKUP(A438,Ficheiros!T:V,3,FALSE)</f>
        <v>#N/A</v>
      </c>
      <c r="AT438" s="1"/>
      <c r="AU438" s="1"/>
      <c r="AV438" s="1"/>
      <c r="AW438" s="1"/>
      <c r="AX438" s="1"/>
    </row>
    <row r="439" spans="1:50" ht="14.5" hidden="1" customHeight="1" x14ac:dyDescent="0.35">
      <c r="A439" s="5" t="str">
        <f t="shared" si="12"/>
        <v>INSTRUMENTDSTNTN_FNDS</v>
      </c>
      <c r="B439" s="1" t="s">
        <v>1878</v>
      </c>
      <c r="C439" s="1" t="s">
        <v>785</v>
      </c>
      <c r="D439" s="1" t="s">
        <v>49</v>
      </c>
      <c r="E439" s="1" t="s">
        <v>37</v>
      </c>
      <c r="F439" s="26" t="s">
        <v>1879</v>
      </c>
      <c r="G439" s="1" t="s">
        <v>1879</v>
      </c>
      <c r="H439" s="1" t="s">
        <v>37</v>
      </c>
      <c r="I439" s="1" t="s">
        <v>37</v>
      </c>
      <c r="J439" s="1" t="s">
        <v>37</v>
      </c>
      <c r="K439" s="1" t="s">
        <v>37</v>
      </c>
      <c r="L439" s="1" t="s">
        <v>39</v>
      </c>
      <c r="M439" s="1" t="s">
        <v>39</v>
      </c>
      <c r="N439" s="1" t="s">
        <v>37</v>
      </c>
      <c r="O439" s="1" t="s">
        <v>39</v>
      </c>
      <c r="P439" s="1" t="s">
        <v>37</v>
      </c>
      <c r="Q439" s="1" t="s">
        <v>37</v>
      </c>
      <c r="R439" s="1" t="s">
        <v>136</v>
      </c>
      <c r="S439" s="1" t="s">
        <v>52</v>
      </c>
      <c r="T439" s="1" t="s">
        <v>53</v>
      </c>
      <c r="U439" s="1" t="s">
        <v>46</v>
      </c>
      <c r="V439" s="1" t="s">
        <v>46</v>
      </c>
      <c r="W439" s="1" t="s">
        <v>1880</v>
      </c>
      <c r="X439" s="1" t="s">
        <v>1881</v>
      </c>
      <c r="Y439" s="1" t="s">
        <v>45</v>
      </c>
      <c r="Z439" s="1" t="s">
        <v>46</v>
      </c>
      <c r="AA439" s="1" t="s">
        <v>47</v>
      </c>
      <c r="AB439" s="1" t="s">
        <v>37</v>
      </c>
      <c r="AC439" s="1" t="s">
        <v>37</v>
      </c>
      <c r="AD439" s="1" t="s">
        <v>37</v>
      </c>
      <c r="AE439" s="1" t="s">
        <v>37</v>
      </c>
      <c r="AF439" s="1" t="s">
        <v>37</v>
      </c>
      <c r="AG439" s="1" t="s">
        <v>39</v>
      </c>
      <c r="AH439" s="1" t="s">
        <v>37</v>
      </c>
      <c r="AI439" s="1" t="s">
        <v>37</v>
      </c>
      <c r="AJ439" s="1" t="s">
        <v>39</v>
      </c>
      <c r="AK439" s="1" t="str">
        <f t="shared" si="13"/>
        <v>Fora de âmbito</v>
      </c>
      <c r="AL439" s="1" t="str">
        <f>+IF(IFERROR(VLOOKUP(A439,Ficheiros!I:I,1,FALSE),"")=A439,"Sim","Não")</f>
        <v>Não</v>
      </c>
      <c r="AM439" s="1" t="str">
        <f>+IF(IFERROR(VLOOKUP(A439,Ficheiros!E:E,1,FALSE),"")=A439,"Sim","Não")</f>
        <v>Não</v>
      </c>
      <c r="AN439" s="1" t="str">
        <f>+IF(IFERROR(VLOOKUP(A439,Ficheiros!O:O,1,FALSE),"")=A439,"Sim","Não")</f>
        <v>Não</v>
      </c>
      <c r="AO439" s="1" t="str">
        <f>+IF(IFERROR(VLOOKUP(A439,'Especificação Novos Req. LT (2'!A:A,1,FALSE),"")=A439,"Sim","Não")</f>
        <v>Não</v>
      </c>
      <c r="AP439" s="1" t="str">
        <f>+IF(IFERROR(VLOOKUP(A439,Ficheiros!T:T,1,FALSE),"")=A439,"Sim","Não")</f>
        <v>Não</v>
      </c>
      <c r="AQ439" s="1" t="e">
        <f>+VLOOKUP(A439,Ficheiros!O:P,2,FALSE)</f>
        <v>#N/A</v>
      </c>
      <c r="AR439" s="1" t="e">
        <f>+VLOOKUP(A439,Ficheiros!R:S,3,FALSE)</f>
        <v>#N/A</v>
      </c>
      <c r="AS439" s="1" t="e">
        <f>+VLOOKUP(A439,Ficheiros!T:V,3,FALSE)</f>
        <v>#N/A</v>
      </c>
      <c r="AT439" s="1"/>
      <c r="AU439" s="1"/>
      <c r="AV439" s="1"/>
      <c r="AW439" s="1"/>
      <c r="AX439" s="1"/>
    </row>
    <row r="440" spans="1:50" ht="14.5" hidden="1" customHeight="1" x14ac:dyDescent="0.35">
      <c r="A440" s="5" t="str">
        <f t="shared" si="12"/>
        <v>INSTRUMENTPRTNR</v>
      </c>
      <c r="B440" s="1" t="s">
        <v>1882</v>
      </c>
      <c r="C440" s="1" t="s">
        <v>785</v>
      </c>
      <c r="D440" s="1" t="s">
        <v>49</v>
      </c>
      <c r="E440" s="1" t="s">
        <v>37</v>
      </c>
      <c r="F440" s="26" t="s">
        <v>1883</v>
      </c>
      <c r="G440" s="1" t="s">
        <v>1883</v>
      </c>
      <c r="H440" s="1" t="s">
        <v>39</v>
      </c>
      <c r="I440" s="1" t="s">
        <v>39</v>
      </c>
      <c r="J440" s="1" t="s">
        <v>39</v>
      </c>
      <c r="K440" s="1" t="s">
        <v>39</v>
      </c>
      <c r="L440" s="1" t="s">
        <v>39</v>
      </c>
      <c r="M440" s="1" t="s">
        <v>39</v>
      </c>
      <c r="N440" s="1" t="s">
        <v>39</v>
      </c>
      <c r="O440" s="1" t="s">
        <v>39</v>
      </c>
      <c r="P440" s="1" t="s">
        <v>37</v>
      </c>
      <c r="Q440" s="1" t="s">
        <v>37</v>
      </c>
      <c r="R440" s="1" t="s">
        <v>96</v>
      </c>
      <c r="S440" s="1" t="s">
        <v>41</v>
      </c>
      <c r="T440" s="1" t="s">
        <v>53</v>
      </c>
      <c r="U440" s="1" t="s">
        <v>46</v>
      </c>
      <c r="V440" s="1" t="s">
        <v>46</v>
      </c>
      <c r="W440" s="1" t="s">
        <v>1884</v>
      </c>
      <c r="X440" s="1" t="s">
        <v>1885</v>
      </c>
      <c r="Y440" s="1" t="s">
        <v>45</v>
      </c>
      <c r="Z440" s="1" t="s">
        <v>46</v>
      </c>
      <c r="AA440" s="1" t="s">
        <v>47</v>
      </c>
      <c r="AB440" s="1" t="s">
        <v>37</v>
      </c>
      <c r="AC440" s="1" t="s">
        <v>37</v>
      </c>
      <c r="AD440" s="1" t="s">
        <v>37</v>
      </c>
      <c r="AE440" s="1" t="s">
        <v>39</v>
      </c>
      <c r="AF440" s="1" t="s">
        <v>37</v>
      </c>
      <c r="AG440" s="1" t="s">
        <v>37</v>
      </c>
      <c r="AH440" s="1" t="s">
        <v>37</v>
      </c>
      <c r="AI440" s="1" t="s">
        <v>39</v>
      </c>
      <c r="AJ440" s="1" t="s">
        <v>39</v>
      </c>
      <c r="AK440" s="1" t="str">
        <f t="shared" si="13"/>
        <v>Fora de âmbito</v>
      </c>
      <c r="AL440" s="1" t="str">
        <f>+IF(IFERROR(VLOOKUP(A440,Ficheiros!I:I,1,FALSE),"")=A440,"Sim","Não")</f>
        <v>Não</v>
      </c>
      <c r="AM440" s="1" t="str">
        <f>+IF(IFERROR(VLOOKUP(A440,Ficheiros!E:E,1,FALSE),"")=A440,"Sim","Não")</f>
        <v>Não</v>
      </c>
      <c r="AN440" s="1" t="str">
        <f>+IF(IFERROR(VLOOKUP(A440,Ficheiros!O:O,1,FALSE),"")=A440,"Sim","Não")</f>
        <v>Não</v>
      </c>
      <c r="AO440" s="1" t="str">
        <f>+IF(IFERROR(VLOOKUP(A440,'Especificação Novos Req. LT (2'!A:A,1,FALSE),"")=A440,"Sim","Não")</f>
        <v>Não</v>
      </c>
      <c r="AP440" s="1" t="str">
        <f>+IF(IFERROR(VLOOKUP(A440,Ficheiros!T:T,1,FALSE),"")=A440,"Sim","Não")</f>
        <v>Sim</v>
      </c>
      <c r="AQ440" s="1" t="e">
        <f>+VLOOKUP(A440,Ficheiros!O:P,2,FALSE)</f>
        <v>#N/A</v>
      </c>
      <c r="AR440" s="1" t="str">
        <f>+VLOOKUP(A440,Ficheiros!T:U,2,FALSE)</f>
        <v>1. Especificar</v>
      </c>
      <c r="AS440" s="1" t="str">
        <f>+VLOOKUP(A440,Ficheiros!T:V,3,FALSE)</f>
        <v>PM - Novos Campos</v>
      </c>
      <c r="AT440" s="1"/>
      <c r="AU440" s="1"/>
      <c r="AV440" s="1"/>
      <c r="AW440" s="1"/>
      <c r="AX440" s="1"/>
    </row>
    <row r="441" spans="1:50" ht="14.5" hidden="1" customHeight="1" x14ac:dyDescent="0.35">
      <c r="A441" s="5" t="str">
        <f t="shared" si="12"/>
        <v>INSTRUMENTINCNTVS</v>
      </c>
      <c r="B441" s="1" t="s">
        <v>1886</v>
      </c>
      <c r="C441" s="1" t="s">
        <v>785</v>
      </c>
      <c r="D441" s="1" t="s">
        <v>271</v>
      </c>
      <c r="E441" s="1" t="s">
        <v>37</v>
      </c>
      <c r="F441" s="26" t="s">
        <v>1887</v>
      </c>
      <c r="G441" s="1" t="s">
        <v>1887</v>
      </c>
      <c r="H441" s="1" t="s">
        <v>39</v>
      </c>
      <c r="I441" s="1" t="s">
        <v>39</v>
      </c>
      <c r="J441" s="1" t="s">
        <v>39</v>
      </c>
      <c r="K441" s="1" t="s">
        <v>39</v>
      </c>
      <c r="L441" s="1" t="s">
        <v>39</v>
      </c>
      <c r="M441" s="1" t="s">
        <v>39</v>
      </c>
      <c r="N441" s="1" t="s">
        <v>39</v>
      </c>
      <c r="O441" s="1" t="s">
        <v>39</v>
      </c>
      <c r="P441" s="1" t="s">
        <v>37</v>
      </c>
      <c r="Q441" s="1" t="s">
        <v>37</v>
      </c>
      <c r="R441" s="1" t="s">
        <v>273</v>
      </c>
      <c r="S441" s="1" t="s">
        <v>274</v>
      </c>
      <c r="T441" s="1">
        <v>99999999999</v>
      </c>
      <c r="U441" s="1">
        <v>11111111111</v>
      </c>
      <c r="V441" s="1">
        <v>11111111111</v>
      </c>
      <c r="W441" s="1" t="s">
        <v>1888</v>
      </c>
      <c r="X441" s="1" t="s">
        <v>1889</v>
      </c>
      <c r="Y441" s="1" t="s">
        <v>45</v>
      </c>
      <c r="Z441" s="1" t="s">
        <v>46</v>
      </c>
      <c r="AA441" s="1" t="s">
        <v>47</v>
      </c>
      <c r="AB441" s="1" t="s">
        <v>37</v>
      </c>
      <c r="AC441" s="1" t="s">
        <v>37</v>
      </c>
      <c r="AD441" s="1" t="s">
        <v>37</v>
      </c>
      <c r="AE441" s="1" t="s">
        <v>39</v>
      </c>
      <c r="AF441" s="1" t="s">
        <v>37</v>
      </c>
      <c r="AG441" s="1" t="s">
        <v>37</v>
      </c>
      <c r="AH441" s="1" t="s">
        <v>37</v>
      </c>
      <c r="AI441" s="1" t="s">
        <v>39</v>
      </c>
      <c r="AJ441" s="1" t="s">
        <v>39</v>
      </c>
      <c r="AK441" s="1" t="str">
        <f t="shared" si="13"/>
        <v>Fora de âmbito</v>
      </c>
      <c r="AL441" s="1" t="str">
        <f>+IF(IFERROR(VLOOKUP(A441,Ficheiros!I:I,1,FALSE),"")=A441,"Sim","Não")</f>
        <v>Não</v>
      </c>
      <c r="AM441" s="1" t="str">
        <f>+IF(IFERROR(VLOOKUP(A441,Ficheiros!E:E,1,FALSE),"")=A441,"Sim","Não")</f>
        <v>Não</v>
      </c>
      <c r="AN441" s="1" t="str">
        <f>+IF(IFERROR(VLOOKUP(A441,Ficheiros!O:O,1,FALSE),"")=A441,"Sim","Não")</f>
        <v>Não</v>
      </c>
      <c r="AO441" s="1" t="str">
        <f>+IF(IFERROR(VLOOKUP(A441,'Especificação Novos Req. LT (2'!A:A,1,FALSE),"")=A441,"Sim","Não")</f>
        <v>Não</v>
      </c>
      <c r="AP441" s="1" t="str">
        <f>+IF(IFERROR(VLOOKUP(A441,Ficheiros!T:T,1,FALSE),"")=A441,"Sim","Não")</f>
        <v>Sim</v>
      </c>
      <c r="AQ441" s="1" t="e">
        <f>+VLOOKUP(A441,Ficheiros!O:P,2,FALSE)</f>
        <v>#N/A</v>
      </c>
      <c r="AR441" s="1" t="str">
        <f>+VLOOKUP(A441,Ficheiros!T:U,2,FALSE)</f>
        <v>1. Especificar</v>
      </c>
      <c r="AS441" s="1" t="str">
        <f>+VLOOKUP(A441,Ficheiros!T:V,3,FALSE)</f>
        <v>PM - Novos Campos</v>
      </c>
      <c r="AT441" s="1"/>
      <c r="AU441" s="1"/>
      <c r="AV441" s="1"/>
      <c r="AW441" s="1"/>
      <c r="AX441" s="1"/>
    </row>
    <row r="442" spans="1:50" ht="14.5" hidden="1" customHeight="1" x14ac:dyDescent="0.35">
      <c r="A442" s="5" t="str">
        <f t="shared" si="12"/>
        <v>INSTRUMENTOTHR_OPRTNG_INCM</v>
      </c>
      <c r="B442" s="1" t="s">
        <v>1890</v>
      </c>
      <c r="C442" s="1" t="s">
        <v>785</v>
      </c>
      <c r="D442" s="1" t="s">
        <v>271</v>
      </c>
      <c r="E442" s="1" t="s">
        <v>37</v>
      </c>
      <c r="F442" s="26" t="s">
        <v>1891</v>
      </c>
      <c r="G442" s="1" t="s">
        <v>1891</v>
      </c>
      <c r="H442" s="1" t="s">
        <v>39</v>
      </c>
      <c r="I442" s="1" t="s">
        <v>39</v>
      </c>
      <c r="J442" s="1" t="s">
        <v>39</v>
      </c>
      <c r="K442" s="1" t="s">
        <v>39</v>
      </c>
      <c r="L442" s="1" t="s">
        <v>39</v>
      </c>
      <c r="M442" s="1" t="s">
        <v>39</v>
      </c>
      <c r="N442" s="1" t="s">
        <v>39</v>
      </c>
      <c r="O442" s="1" t="s">
        <v>39</v>
      </c>
      <c r="P442" s="1" t="s">
        <v>37</v>
      </c>
      <c r="Q442" s="1" t="s">
        <v>39</v>
      </c>
      <c r="R442" s="1" t="s">
        <v>273</v>
      </c>
      <c r="S442" s="1" t="s">
        <v>274</v>
      </c>
      <c r="T442" s="1">
        <v>99999999999</v>
      </c>
      <c r="U442" s="1">
        <v>11111111111</v>
      </c>
      <c r="V442" s="1">
        <v>11111111111</v>
      </c>
      <c r="W442" s="1" t="s">
        <v>1892</v>
      </c>
      <c r="X442" s="1" t="s">
        <v>1893</v>
      </c>
      <c r="Y442" s="1" t="s">
        <v>45</v>
      </c>
      <c r="Z442" s="1" t="s">
        <v>46</v>
      </c>
      <c r="AA442" s="1" t="s">
        <v>47</v>
      </c>
      <c r="AB442" s="1" t="s">
        <v>37</v>
      </c>
      <c r="AC442" s="1" t="s">
        <v>37</v>
      </c>
      <c r="AD442" s="1" t="s">
        <v>37</v>
      </c>
      <c r="AE442" s="1" t="s">
        <v>39</v>
      </c>
      <c r="AF442" s="1" t="s">
        <v>37</v>
      </c>
      <c r="AG442" s="1" t="s">
        <v>37</v>
      </c>
      <c r="AH442" s="1" t="s">
        <v>37</v>
      </c>
      <c r="AI442" s="1" t="s">
        <v>39</v>
      </c>
      <c r="AJ442" s="1" t="s">
        <v>39</v>
      </c>
      <c r="AK442" s="1" t="str">
        <f t="shared" si="13"/>
        <v>Fora de âmbito</v>
      </c>
      <c r="AL442" s="1" t="str">
        <f>+IF(IFERROR(VLOOKUP(A442,Ficheiros!I:I,1,FALSE),"")=A442,"Sim","Não")</f>
        <v>Não</v>
      </c>
      <c r="AM442" s="1" t="str">
        <f>+IF(IFERROR(VLOOKUP(A442,Ficheiros!E:E,1,FALSE),"")=A442,"Sim","Não")</f>
        <v>Não</v>
      </c>
      <c r="AN442" s="1" t="str">
        <f>+IF(IFERROR(VLOOKUP(A442,Ficheiros!O:O,1,FALSE),"")=A442,"Sim","Não")</f>
        <v>Não</v>
      </c>
      <c r="AO442" s="1" t="str">
        <f>+IF(IFERROR(VLOOKUP(A442,'Especificação Novos Req. LT (2'!A:A,1,FALSE),"")=A442,"Sim","Não")</f>
        <v>Não</v>
      </c>
      <c r="AP442" s="1" t="str">
        <f>+IF(IFERROR(VLOOKUP(A442,Ficheiros!T:T,1,FALSE),"")=A442,"Sim","Não")</f>
        <v>Sim</v>
      </c>
      <c r="AQ442" s="1" t="e">
        <f>+VLOOKUP(A442,Ficheiros!O:P,2,FALSE)</f>
        <v>#N/A</v>
      </c>
      <c r="AR442" s="1" t="str">
        <f>+VLOOKUP(A442,Ficheiros!T:U,2,FALSE)</f>
        <v>1. Especificar</v>
      </c>
      <c r="AS442" s="1" t="str">
        <f>+VLOOKUP(A442,Ficheiros!T:V,3,FALSE)</f>
        <v>PM - Novos Campos</v>
      </c>
      <c r="AT442" s="1"/>
      <c r="AU442" s="1"/>
      <c r="AV442" s="1"/>
      <c r="AW442" s="1"/>
      <c r="AX442" s="1"/>
    </row>
    <row r="443" spans="1:50" ht="14.5" hidden="1" customHeight="1" x14ac:dyDescent="0.35">
      <c r="A443" s="5" t="str">
        <f t="shared" si="12"/>
        <v>INSTRUMENTRFRRL_FS</v>
      </c>
      <c r="B443" s="1" t="s">
        <v>1894</v>
      </c>
      <c r="C443" s="1" t="s">
        <v>785</v>
      </c>
      <c r="D443" s="1" t="s">
        <v>271</v>
      </c>
      <c r="E443" s="1" t="s">
        <v>37</v>
      </c>
      <c r="F443" s="26" t="s">
        <v>1895</v>
      </c>
      <c r="G443" s="1" t="s">
        <v>1895</v>
      </c>
      <c r="H443" s="1" t="s">
        <v>39</v>
      </c>
      <c r="I443" s="1" t="s">
        <v>39</v>
      </c>
      <c r="J443" s="1" t="s">
        <v>39</v>
      </c>
      <c r="K443" s="1" t="s">
        <v>39</v>
      </c>
      <c r="L443" s="1" t="s">
        <v>39</v>
      </c>
      <c r="M443" s="1" t="s">
        <v>39</v>
      </c>
      <c r="N443" s="1" t="s">
        <v>39</v>
      </c>
      <c r="O443" s="1" t="s">
        <v>39</v>
      </c>
      <c r="P443" s="1" t="s">
        <v>37</v>
      </c>
      <c r="Q443" s="1" t="s">
        <v>39</v>
      </c>
      <c r="R443" s="1" t="s">
        <v>273</v>
      </c>
      <c r="S443" s="1" t="s">
        <v>274</v>
      </c>
      <c r="T443" s="1">
        <v>99999999999</v>
      </c>
      <c r="U443" s="1">
        <v>11111111111</v>
      </c>
      <c r="V443" s="1">
        <v>11111111111</v>
      </c>
      <c r="W443" s="1" t="s">
        <v>1896</v>
      </c>
      <c r="X443" s="1" t="s">
        <v>1897</v>
      </c>
      <c r="Y443" s="1" t="s">
        <v>45</v>
      </c>
      <c r="Z443" s="1" t="s">
        <v>46</v>
      </c>
      <c r="AA443" s="1" t="s">
        <v>47</v>
      </c>
      <c r="AB443" s="1" t="s">
        <v>37</v>
      </c>
      <c r="AC443" s="1" t="s">
        <v>37</v>
      </c>
      <c r="AD443" s="1" t="s">
        <v>37</v>
      </c>
      <c r="AE443" s="1" t="s">
        <v>39</v>
      </c>
      <c r="AF443" s="1" t="s">
        <v>37</v>
      </c>
      <c r="AG443" s="1" t="s">
        <v>37</v>
      </c>
      <c r="AH443" s="1" t="s">
        <v>37</v>
      </c>
      <c r="AI443" s="1" t="s">
        <v>39</v>
      </c>
      <c r="AJ443" s="1" t="s">
        <v>39</v>
      </c>
      <c r="AK443" s="1" t="str">
        <f t="shared" si="13"/>
        <v>Fora de âmbito</v>
      </c>
      <c r="AL443" s="1" t="str">
        <f>+IF(IFERROR(VLOOKUP(A443,Ficheiros!I:I,1,FALSE),"")=A443,"Sim","Não")</f>
        <v>Não</v>
      </c>
      <c r="AM443" s="1" t="str">
        <f>+IF(IFERROR(VLOOKUP(A443,Ficheiros!E:E,1,FALSE),"")=A443,"Sim","Não")</f>
        <v>Não</v>
      </c>
      <c r="AN443" s="1" t="str">
        <f>+IF(IFERROR(VLOOKUP(A443,Ficheiros!O:O,1,FALSE),"")=A443,"Sim","Não")</f>
        <v>Não</v>
      </c>
      <c r="AO443" s="1" t="str">
        <f>+IF(IFERROR(VLOOKUP(A443,'Especificação Novos Req. LT (2'!A:A,1,FALSE),"")=A443,"Sim","Não")</f>
        <v>Não</v>
      </c>
      <c r="AP443" s="1" t="str">
        <f>+IF(IFERROR(VLOOKUP(A443,Ficheiros!T:T,1,FALSE),"")=A443,"Sim","Não")</f>
        <v>Sim</v>
      </c>
      <c r="AQ443" s="1" t="e">
        <f>+VLOOKUP(A443,Ficheiros!O:P,2,FALSE)</f>
        <v>#N/A</v>
      </c>
      <c r="AR443" s="1" t="str">
        <f>+VLOOKUP(A443,Ficheiros!T:U,2,FALSE)</f>
        <v>1. Especificar</v>
      </c>
      <c r="AS443" s="1" t="str">
        <f>+VLOOKUP(A443,Ficheiros!T:V,3,FALSE)</f>
        <v>PM - Novos Campos</v>
      </c>
      <c r="AT443" s="1"/>
      <c r="AU443" s="1"/>
      <c r="AV443" s="1"/>
      <c r="AW443" s="1"/>
      <c r="AX443" s="1"/>
    </row>
    <row r="444" spans="1:50" ht="14.5" hidden="1" customHeight="1" x14ac:dyDescent="0.35">
      <c r="A444" s="5" t="str">
        <f t="shared" si="12"/>
        <v>INSTRUMENTINSRNC_CMSSNS</v>
      </c>
      <c r="B444" s="1" t="s">
        <v>1898</v>
      </c>
      <c r="C444" s="1" t="s">
        <v>785</v>
      </c>
      <c r="D444" s="1" t="s">
        <v>271</v>
      </c>
      <c r="E444" s="1" t="s">
        <v>37</v>
      </c>
      <c r="F444" s="26" t="s">
        <v>1899</v>
      </c>
      <c r="G444" s="1" t="s">
        <v>1899</v>
      </c>
      <c r="H444" s="1" t="s">
        <v>39</v>
      </c>
      <c r="I444" s="1" t="s">
        <v>39</v>
      </c>
      <c r="J444" s="1" t="s">
        <v>39</v>
      </c>
      <c r="K444" s="1" t="s">
        <v>39</v>
      </c>
      <c r="L444" s="1" t="s">
        <v>39</v>
      </c>
      <c r="M444" s="1" t="s">
        <v>39</v>
      </c>
      <c r="N444" s="1" t="s">
        <v>39</v>
      </c>
      <c r="O444" s="1" t="s">
        <v>39</v>
      </c>
      <c r="P444" s="1" t="s">
        <v>37</v>
      </c>
      <c r="Q444" s="1" t="s">
        <v>39</v>
      </c>
      <c r="R444" s="1" t="s">
        <v>273</v>
      </c>
      <c r="S444" s="1" t="s">
        <v>274</v>
      </c>
      <c r="T444" s="1">
        <v>99999999999</v>
      </c>
      <c r="U444" s="1">
        <v>11111111111</v>
      </c>
      <c r="V444" s="1">
        <v>11111111111</v>
      </c>
      <c r="W444" s="1" t="s">
        <v>1900</v>
      </c>
      <c r="X444" s="1" t="s">
        <v>1901</v>
      </c>
      <c r="Y444" s="1" t="s">
        <v>45</v>
      </c>
      <c r="Z444" s="1" t="s">
        <v>46</v>
      </c>
      <c r="AA444" s="1" t="s">
        <v>47</v>
      </c>
      <c r="AB444" s="1" t="s">
        <v>37</v>
      </c>
      <c r="AC444" s="1" t="s">
        <v>37</v>
      </c>
      <c r="AD444" s="1" t="s">
        <v>37</v>
      </c>
      <c r="AE444" s="1" t="s">
        <v>39</v>
      </c>
      <c r="AF444" s="1" t="s">
        <v>37</v>
      </c>
      <c r="AG444" s="1" t="s">
        <v>37</v>
      </c>
      <c r="AH444" s="1" t="s">
        <v>37</v>
      </c>
      <c r="AI444" s="1" t="s">
        <v>39</v>
      </c>
      <c r="AJ444" s="1" t="s">
        <v>39</v>
      </c>
      <c r="AK444" s="1" t="str">
        <f t="shared" si="13"/>
        <v>Fora de âmbito</v>
      </c>
      <c r="AL444" s="1" t="str">
        <f>+IF(IFERROR(VLOOKUP(A444,Ficheiros!I:I,1,FALSE),"")=A444,"Sim","Não")</f>
        <v>Não</v>
      </c>
      <c r="AM444" s="1" t="str">
        <f>+IF(IFERROR(VLOOKUP(A444,Ficheiros!E:E,1,FALSE),"")=A444,"Sim","Não")</f>
        <v>Não</v>
      </c>
      <c r="AN444" s="1" t="str">
        <f>+IF(IFERROR(VLOOKUP(A444,Ficheiros!O:O,1,FALSE),"")=A444,"Sim","Não")</f>
        <v>Não</v>
      </c>
      <c r="AO444" s="1" t="str">
        <f>+IF(IFERROR(VLOOKUP(A444,'Especificação Novos Req. LT (2'!A:A,1,FALSE),"")=A444,"Sim","Não")</f>
        <v>Não</v>
      </c>
      <c r="AP444" s="1" t="str">
        <f>+IF(IFERROR(VLOOKUP(A444,Ficheiros!T:T,1,FALSE),"")=A444,"Sim","Não")</f>
        <v>Sim</v>
      </c>
      <c r="AQ444" s="1" t="e">
        <f>+VLOOKUP(A444,Ficheiros!O:P,2,FALSE)</f>
        <v>#N/A</v>
      </c>
      <c r="AR444" s="1" t="str">
        <f>+VLOOKUP(A444,Ficheiros!T:U,2,FALSE)</f>
        <v>1. Especificar</v>
      </c>
      <c r="AS444" s="1" t="str">
        <f>+VLOOKUP(A444,Ficheiros!T:V,3,FALSE)</f>
        <v>PM - Novos Campos</v>
      </c>
      <c r="AT444" s="1"/>
      <c r="AU444" s="1"/>
      <c r="AV444" s="1"/>
      <c r="AW444" s="1"/>
      <c r="AX444" s="1"/>
    </row>
    <row r="445" spans="1:50" ht="14.5" hidden="1" customHeight="1" x14ac:dyDescent="0.35">
      <c r="A445" s="5" t="str">
        <f t="shared" si="12"/>
        <v>INSTRUMENTOTHR_INCM_AND_CHRGS</v>
      </c>
      <c r="B445" s="1" t="s">
        <v>1902</v>
      </c>
      <c r="C445" s="1" t="s">
        <v>785</v>
      </c>
      <c r="D445" s="1" t="s">
        <v>271</v>
      </c>
      <c r="E445" s="1" t="s">
        <v>37</v>
      </c>
      <c r="F445" s="26" t="s">
        <v>1903</v>
      </c>
      <c r="G445" s="1" t="s">
        <v>1903</v>
      </c>
      <c r="H445" s="1" t="s">
        <v>39</v>
      </c>
      <c r="I445" s="1" t="s">
        <v>39</v>
      </c>
      <c r="J445" s="1" t="s">
        <v>39</v>
      </c>
      <c r="K445" s="1" t="s">
        <v>39</v>
      </c>
      <c r="L445" s="1" t="s">
        <v>39</v>
      </c>
      <c r="M445" s="1" t="s">
        <v>39</v>
      </c>
      <c r="N445" s="1" t="s">
        <v>39</v>
      </c>
      <c r="O445" s="1" t="s">
        <v>39</v>
      </c>
      <c r="P445" s="1" t="s">
        <v>37</v>
      </c>
      <c r="Q445" s="1" t="s">
        <v>39</v>
      </c>
      <c r="R445" s="1" t="s">
        <v>273</v>
      </c>
      <c r="S445" s="1" t="s">
        <v>274</v>
      </c>
      <c r="T445" s="1">
        <v>99999999999</v>
      </c>
      <c r="U445" s="1">
        <v>11111111111</v>
      </c>
      <c r="V445" s="1">
        <v>11111111111</v>
      </c>
      <c r="W445" s="1" t="s">
        <v>1904</v>
      </c>
      <c r="X445" s="1" t="s">
        <v>1905</v>
      </c>
      <c r="Y445" s="1" t="s">
        <v>45</v>
      </c>
      <c r="Z445" s="1" t="s">
        <v>46</v>
      </c>
      <c r="AA445" s="1" t="s">
        <v>47</v>
      </c>
      <c r="AB445" s="1" t="s">
        <v>37</v>
      </c>
      <c r="AC445" s="1" t="s">
        <v>37</v>
      </c>
      <c r="AD445" s="1" t="s">
        <v>37</v>
      </c>
      <c r="AE445" s="1" t="s">
        <v>39</v>
      </c>
      <c r="AF445" s="1" t="s">
        <v>37</v>
      </c>
      <c r="AG445" s="1" t="s">
        <v>37</v>
      </c>
      <c r="AH445" s="1" t="s">
        <v>37</v>
      </c>
      <c r="AI445" s="1" t="s">
        <v>39</v>
      </c>
      <c r="AJ445" s="1" t="s">
        <v>39</v>
      </c>
      <c r="AK445" s="1" t="str">
        <f t="shared" si="13"/>
        <v>Fora de âmbito</v>
      </c>
      <c r="AL445" s="1" t="str">
        <f>+IF(IFERROR(VLOOKUP(A445,Ficheiros!I:I,1,FALSE),"")=A445,"Sim","Não")</f>
        <v>Não</v>
      </c>
      <c r="AM445" s="1" t="str">
        <f>+IF(IFERROR(VLOOKUP(A445,Ficheiros!E:E,1,FALSE),"")=A445,"Sim","Não")</f>
        <v>Não</v>
      </c>
      <c r="AN445" s="1" t="str">
        <f>+IF(IFERROR(VLOOKUP(A445,Ficheiros!O:O,1,FALSE),"")=A445,"Sim","Não")</f>
        <v>Não</v>
      </c>
      <c r="AO445" s="1" t="str">
        <f>+IF(IFERROR(VLOOKUP(A445,'Especificação Novos Req. LT (2'!A:A,1,FALSE),"")=A445,"Sim","Não")</f>
        <v>Não</v>
      </c>
      <c r="AP445" s="1" t="str">
        <f>+IF(IFERROR(VLOOKUP(A445,Ficheiros!T:T,1,FALSE),"")=A445,"Sim","Não")</f>
        <v>Sim</v>
      </c>
      <c r="AQ445" s="1" t="e">
        <f>+VLOOKUP(A445,Ficheiros!O:P,2,FALSE)</f>
        <v>#N/A</v>
      </c>
      <c r="AR445" s="1" t="str">
        <f>+VLOOKUP(A445,Ficheiros!T:U,2,FALSE)</f>
        <v>1. Especificar</v>
      </c>
      <c r="AS445" s="1" t="str">
        <f>+VLOOKUP(A445,Ficheiros!T:V,3,FALSE)</f>
        <v>PM - Novos Campos</v>
      </c>
      <c r="AT445" s="1"/>
      <c r="AU445" s="1"/>
      <c r="AV445" s="1"/>
      <c r="AW445" s="1"/>
      <c r="AX445" s="1"/>
    </row>
    <row r="446" spans="1:50" ht="14.5" hidden="1" customHeight="1" x14ac:dyDescent="0.35">
      <c r="A446" s="5" t="str">
        <f t="shared" si="12"/>
        <v>INSTRUMENTTX_ON_PRFT</v>
      </c>
      <c r="B446" s="1" t="s">
        <v>1906</v>
      </c>
      <c r="C446" s="1" t="s">
        <v>785</v>
      </c>
      <c r="D446" s="1" t="s">
        <v>271</v>
      </c>
      <c r="E446" s="1" t="s">
        <v>37</v>
      </c>
      <c r="F446" s="26" t="s">
        <v>1907</v>
      </c>
      <c r="G446" s="1" t="s">
        <v>1907</v>
      </c>
      <c r="H446" s="1" t="s">
        <v>39</v>
      </c>
      <c r="I446" s="1" t="s">
        <v>39</v>
      </c>
      <c r="J446" s="1" t="s">
        <v>39</v>
      </c>
      <c r="K446" s="1" t="s">
        <v>39</v>
      </c>
      <c r="L446" s="1" t="s">
        <v>39</v>
      </c>
      <c r="M446" s="1" t="s">
        <v>39</v>
      </c>
      <c r="N446" s="1" t="s">
        <v>39</v>
      </c>
      <c r="O446" s="1" t="s">
        <v>39</v>
      </c>
      <c r="P446" s="1" t="s">
        <v>37</v>
      </c>
      <c r="Q446" s="1" t="s">
        <v>39</v>
      </c>
      <c r="R446" s="1" t="s">
        <v>273</v>
      </c>
      <c r="S446" s="1" t="s">
        <v>274</v>
      </c>
      <c r="T446" s="1">
        <v>99999999999</v>
      </c>
      <c r="U446" s="1">
        <v>11111111111</v>
      </c>
      <c r="V446" s="1">
        <v>11111111111</v>
      </c>
      <c r="W446" s="1" t="s">
        <v>1908</v>
      </c>
      <c r="X446" s="1" t="s">
        <v>1909</v>
      </c>
      <c r="Y446" s="1" t="s">
        <v>45</v>
      </c>
      <c r="Z446" s="1" t="s">
        <v>46</v>
      </c>
      <c r="AA446" s="1" t="s">
        <v>47</v>
      </c>
      <c r="AB446" s="1" t="s">
        <v>37</v>
      </c>
      <c r="AC446" s="1" t="s">
        <v>37</v>
      </c>
      <c r="AD446" s="1" t="s">
        <v>37</v>
      </c>
      <c r="AE446" s="1" t="s">
        <v>39</v>
      </c>
      <c r="AF446" s="1" t="s">
        <v>37</v>
      </c>
      <c r="AG446" s="1" t="s">
        <v>37</v>
      </c>
      <c r="AH446" s="1" t="s">
        <v>37</v>
      </c>
      <c r="AI446" s="1" t="s">
        <v>39</v>
      </c>
      <c r="AJ446" s="1" t="s">
        <v>39</v>
      </c>
      <c r="AK446" s="1" t="str">
        <f t="shared" si="13"/>
        <v>Fora de âmbito</v>
      </c>
      <c r="AL446" s="1" t="str">
        <f>+IF(IFERROR(VLOOKUP(A446,Ficheiros!I:I,1,FALSE),"")=A446,"Sim","Não")</f>
        <v>Não</v>
      </c>
      <c r="AM446" s="1" t="str">
        <f>+IF(IFERROR(VLOOKUP(A446,Ficheiros!E:E,1,FALSE),"")=A446,"Sim","Não")</f>
        <v>Não</v>
      </c>
      <c r="AN446" s="1" t="str">
        <f>+IF(IFERROR(VLOOKUP(A446,Ficheiros!O:O,1,FALSE),"")=A446,"Sim","Não")</f>
        <v>Não</v>
      </c>
      <c r="AO446" s="1" t="str">
        <f>+IF(IFERROR(VLOOKUP(A446,'Especificação Novos Req. LT (2'!A:A,1,FALSE),"")=A446,"Sim","Não")</f>
        <v>Não</v>
      </c>
      <c r="AP446" s="1" t="str">
        <f>+IF(IFERROR(VLOOKUP(A446,Ficheiros!T:T,1,FALSE),"")=A446,"Sim","Não")</f>
        <v>Sim</v>
      </c>
      <c r="AQ446" s="1" t="e">
        <f>+VLOOKUP(A446,Ficheiros!O:P,2,FALSE)</f>
        <v>#N/A</v>
      </c>
      <c r="AR446" s="1" t="str">
        <f>+VLOOKUP(A446,Ficheiros!T:U,2,FALSE)</f>
        <v>1. Especificar</v>
      </c>
      <c r="AS446" s="1" t="str">
        <f>+VLOOKUP(A446,Ficheiros!T:V,3,FALSE)</f>
        <v>PM - Novos Campos</v>
      </c>
      <c r="AT446" s="1"/>
      <c r="AU446" s="1"/>
      <c r="AV446" s="1"/>
      <c r="AW446" s="1"/>
      <c r="AX446" s="1"/>
    </row>
    <row r="447" spans="1:50" ht="14.5" hidden="1" customHeight="1" x14ac:dyDescent="0.35">
      <c r="A447" s="5" t="str">
        <f t="shared" si="12"/>
        <v>INSTRUMENTPD_EC_INCPTN</v>
      </c>
      <c r="B447" s="1" t="s">
        <v>1910</v>
      </c>
      <c r="C447" s="1" t="s">
        <v>785</v>
      </c>
      <c r="D447" s="1" t="s">
        <v>395</v>
      </c>
      <c r="E447" s="1" t="s">
        <v>37</v>
      </c>
      <c r="F447" s="26" t="s">
        <v>1911</v>
      </c>
      <c r="G447" s="1" t="s">
        <v>1911</v>
      </c>
      <c r="H447" s="1" t="s">
        <v>39</v>
      </c>
      <c r="I447" s="1" t="s">
        <v>39</v>
      </c>
      <c r="J447" s="1" t="s">
        <v>39</v>
      </c>
      <c r="K447" s="1" t="s">
        <v>39</v>
      </c>
      <c r="L447" s="1" t="s">
        <v>39</v>
      </c>
      <c r="M447" s="1" t="s">
        <v>39</v>
      </c>
      <c r="N447" s="1" t="s">
        <v>39</v>
      </c>
      <c r="O447" s="1" t="s">
        <v>39</v>
      </c>
      <c r="P447" s="1" t="s">
        <v>37</v>
      </c>
      <c r="Q447" s="1" t="s">
        <v>37</v>
      </c>
      <c r="R447" s="1" t="s">
        <v>342</v>
      </c>
      <c r="S447" s="1" t="s">
        <v>274</v>
      </c>
      <c r="T447" s="1">
        <v>99999999999</v>
      </c>
      <c r="U447" s="1">
        <v>11111111111</v>
      </c>
      <c r="V447" s="1">
        <v>11111111111</v>
      </c>
      <c r="W447" s="1" t="s">
        <v>1912</v>
      </c>
      <c r="X447" s="1" t="s">
        <v>1913</v>
      </c>
      <c r="Y447" s="1" t="s">
        <v>45</v>
      </c>
      <c r="Z447" s="1" t="s">
        <v>46</v>
      </c>
      <c r="AA447" s="1" t="s">
        <v>47</v>
      </c>
      <c r="AB447" s="1" t="s">
        <v>39</v>
      </c>
      <c r="AC447" s="1" t="s">
        <v>37</v>
      </c>
      <c r="AD447" s="1" t="s">
        <v>37</v>
      </c>
      <c r="AE447" s="1" t="s">
        <v>37</v>
      </c>
      <c r="AF447" s="1" t="s">
        <v>37</v>
      </c>
      <c r="AG447" s="1" t="s">
        <v>39</v>
      </c>
      <c r="AH447" s="1" t="s">
        <v>37</v>
      </c>
      <c r="AI447" s="1" t="s">
        <v>37</v>
      </c>
      <c r="AJ447" s="1" t="s">
        <v>39</v>
      </c>
      <c r="AK447" s="1" t="str">
        <f t="shared" si="13"/>
        <v>Fora de âmbito</v>
      </c>
      <c r="AL447" s="1" t="str">
        <f>+IF(IFERROR(VLOOKUP(A447,Ficheiros!I:I,1,FALSE),"")=A447,"Sim","Não")</f>
        <v>Não</v>
      </c>
      <c r="AM447" s="1" t="str">
        <f>+IF(IFERROR(VLOOKUP(A447,Ficheiros!E:E,1,FALSE),"")=A447,"Sim","Não")</f>
        <v>Não</v>
      </c>
      <c r="AN447" s="1" t="str">
        <f>+IF(IFERROR(VLOOKUP(A447,Ficheiros!O:O,1,FALSE),"")=A447,"Sim","Não")</f>
        <v>Não</v>
      </c>
      <c r="AO447" s="1" t="str">
        <f>+IF(IFERROR(VLOOKUP(A447,'Especificação Novos Req. LT (2'!A:A,1,FALSE),"")=A447,"Sim","Não")</f>
        <v>Não</v>
      </c>
      <c r="AP447" s="1" t="str">
        <f>+IF(IFERROR(VLOOKUP(A447,Ficheiros!T:T,1,FALSE),"")=A447,"Sim","Não")</f>
        <v>Não</v>
      </c>
      <c r="AQ447" s="1" t="e">
        <f>+VLOOKUP(A447,Ficheiros!O:P,2,FALSE)</f>
        <v>#N/A</v>
      </c>
      <c r="AR447" s="1" t="e">
        <f>+VLOOKUP(A447,Ficheiros!R:S,3,FALSE)</f>
        <v>#N/A</v>
      </c>
      <c r="AS447" s="1" t="e">
        <f>+VLOOKUP(A447,Ficheiros!T:V,3,FALSE)</f>
        <v>#N/A</v>
      </c>
      <c r="AT447" s="1"/>
      <c r="AU447" s="1"/>
      <c r="AV447" s="1"/>
      <c r="AW447" s="1"/>
      <c r="AX447" s="1"/>
    </row>
    <row r="448" spans="1:50" ht="14.5" hidden="1" customHeight="1" x14ac:dyDescent="0.35">
      <c r="A448" s="5" t="str">
        <f t="shared" si="12"/>
        <v>INSTRUMENTPD_EC_RD</v>
      </c>
      <c r="B448" s="1" t="s">
        <v>1914</v>
      </c>
      <c r="C448" s="1" t="s">
        <v>785</v>
      </c>
      <c r="D448" s="1" t="s">
        <v>395</v>
      </c>
      <c r="E448" s="1" t="s">
        <v>37</v>
      </c>
      <c r="F448" s="26" t="s">
        <v>1915</v>
      </c>
      <c r="G448" s="1" t="s">
        <v>1915</v>
      </c>
      <c r="H448" s="1" t="s">
        <v>39</v>
      </c>
      <c r="I448" s="1" t="s">
        <v>39</v>
      </c>
      <c r="J448" s="1" t="s">
        <v>39</v>
      </c>
      <c r="K448" s="1" t="s">
        <v>39</v>
      </c>
      <c r="L448" s="1" t="s">
        <v>39</v>
      </c>
      <c r="M448" s="1" t="s">
        <v>39</v>
      </c>
      <c r="N448" s="1" t="s">
        <v>39</v>
      </c>
      <c r="O448" s="1" t="s">
        <v>39</v>
      </c>
      <c r="P448" s="1" t="s">
        <v>37</v>
      </c>
      <c r="Q448" s="1" t="s">
        <v>37</v>
      </c>
      <c r="R448" s="1" t="s">
        <v>342</v>
      </c>
      <c r="S448" s="1" t="s">
        <v>274</v>
      </c>
      <c r="T448" s="1">
        <v>99999999999</v>
      </c>
      <c r="U448" s="1">
        <v>11111111111</v>
      </c>
      <c r="V448" s="1">
        <v>11111111111</v>
      </c>
      <c r="W448" s="1" t="s">
        <v>1916</v>
      </c>
      <c r="X448" s="1" t="s">
        <v>1917</v>
      </c>
      <c r="Y448" s="1" t="s">
        <v>45</v>
      </c>
      <c r="Z448" s="1" t="s">
        <v>46</v>
      </c>
      <c r="AA448" s="1" t="s">
        <v>47</v>
      </c>
      <c r="AB448" s="1" t="s">
        <v>39</v>
      </c>
      <c r="AC448" s="1" t="s">
        <v>37</v>
      </c>
      <c r="AD448" s="1" t="s">
        <v>37</v>
      </c>
      <c r="AE448" s="1" t="s">
        <v>37</v>
      </c>
      <c r="AF448" s="1" t="s">
        <v>37</v>
      </c>
      <c r="AG448" s="1" t="s">
        <v>39</v>
      </c>
      <c r="AH448" s="1" t="s">
        <v>37</v>
      </c>
      <c r="AI448" s="1" t="s">
        <v>37</v>
      </c>
      <c r="AJ448" s="1" t="s">
        <v>39</v>
      </c>
      <c r="AK448" s="1" t="str">
        <f t="shared" si="13"/>
        <v>Fora de âmbito</v>
      </c>
      <c r="AL448" s="1" t="str">
        <f>+IF(IFERROR(VLOOKUP(A448,Ficheiros!I:I,1,FALSE),"")=A448,"Sim","Não")</f>
        <v>Não</v>
      </c>
      <c r="AM448" s="1" t="str">
        <f>+IF(IFERROR(VLOOKUP(A448,Ficheiros!E:E,1,FALSE),"")=A448,"Sim","Não")</f>
        <v>Não</v>
      </c>
      <c r="AN448" s="1" t="str">
        <f>+IF(IFERROR(VLOOKUP(A448,Ficheiros!O:O,1,FALSE),"")=A448,"Sim","Não")</f>
        <v>Não</v>
      </c>
      <c r="AO448" s="1" t="str">
        <f>+IF(IFERROR(VLOOKUP(A448,'Especificação Novos Req. LT (2'!A:A,1,FALSE),"")=A448,"Sim","Não")</f>
        <v>Não</v>
      </c>
      <c r="AP448" s="1" t="str">
        <f>+IF(IFERROR(VLOOKUP(A448,Ficheiros!T:T,1,FALSE),"")=A448,"Sim","Não")</f>
        <v>Não</v>
      </c>
      <c r="AQ448" s="1" t="e">
        <f>+VLOOKUP(A448,Ficheiros!O:P,2,FALSE)</f>
        <v>#N/A</v>
      </c>
      <c r="AR448" s="1" t="e">
        <f>+VLOOKUP(A448,Ficheiros!R:S,3,FALSE)</f>
        <v>#N/A</v>
      </c>
      <c r="AS448" s="1" t="e">
        <f>+VLOOKUP(A448,Ficheiros!T:V,3,FALSE)</f>
        <v>#N/A</v>
      </c>
      <c r="AT448" s="1"/>
      <c r="AU448" s="1"/>
      <c r="AV448" s="1"/>
      <c r="AW448" s="1"/>
      <c r="AX448" s="1"/>
    </row>
    <row r="449" spans="1:50" ht="14.5" hidden="1" customHeight="1" x14ac:dyDescent="0.35">
      <c r="A449" s="5" t="str">
        <f t="shared" si="12"/>
        <v>INSTRUMENTTTL_LVRG_RT_INCPTN_HLT</v>
      </c>
      <c r="B449" s="1" t="s">
        <v>1918</v>
      </c>
      <c r="C449" s="1" t="s">
        <v>785</v>
      </c>
      <c r="D449" s="1" t="s">
        <v>49</v>
      </c>
      <c r="E449" s="1" t="s">
        <v>37</v>
      </c>
      <c r="F449" s="26" t="s">
        <v>1919</v>
      </c>
      <c r="G449" s="1" t="s">
        <v>1919</v>
      </c>
      <c r="H449" s="1" t="s">
        <v>37</v>
      </c>
      <c r="I449" s="1" t="s">
        <v>37</v>
      </c>
      <c r="J449" s="1" t="s">
        <v>37</v>
      </c>
      <c r="K449" s="1" t="s">
        <v>37</v>
      </c>
      <c r="L449" s="1" t="s">
        <v>39</v>
      </c>
      <c r="M449" s="1" t="s">
        <v>39</v>
      </c>
      <c r="N449" s="1" t="s">
        <v>37</v>
      </c>
      <c r="O449" s="1" t="s">
        <v>39</v>
      </c>
      <c r="P449" s="1" t="s">
        <v>37</v>
      </c>
      <c r="Q449" s="1" t="s">
        <v>37</v>
      </c>
      <c r="R449" s="1" t="s">
        <v>342</v>
      </c>
      <c r="S449" s="1" t="s">
        <v>274</v>
      </c>
      <c r="T449" s="1">
        <v>99999999999</v>
      </c>
      <c r="U449" s="1">
        <v>11111111111</v>
      </c>
      <c r="V449" s="1">
        <v>11111111111</v>
      </c>
      <c r="W449" s="1" t="s">
        <v>1920</v>
      </c>
      <c r="X449" s="1" t="s">
        <v>1921</v>
      </c>
      <c r="Y449" s="1" t="s">
        <v>45</v>
      </c>
      <c r="Z449" s="1" t="s">
        <v>46</v>
      </c>
      <c r="AA449" s="1" t="s">
        <v>47</v>
      </c>
      <c r="AB449" s="1" t="s">
        <v>39</v>
      </c>
      <c r="AC449" s="1" t="s">
        <v>37</v>
      </c>
      <c r="AD449" s="1" t="s">
        <v>37</v>
      </c>
      <c r="AE449" s="1" t="s">
        <v>37</v>
      </c>
      <c r="AF449" s="1" t="s">
        <v>37</v>
      </c>
      <c r="AG449" s="1" t="s">
        <v>39</v>
      </c>
      <c r="AH449" s="1" t="s">
        <v>37</v>
      </c>
      <c r="AI449" s="1" t="s">
        <v>37</v>
      </c>
      <c r="AJ449" s="1" t="s">
        <v>39</v>
      </c>
      <c r="AK449" s="1" t="str">
        <f t="shared" si="13"/>
        <v>Fora de âmbito</v>
      </c>
      <c r="AL449" s="1" t="str">
        <f>+IF(IFERROR(VLOOKUP(A449,Ficheiros!I:I,1,FALSE),"")=A449,"Sim","Não")</f>
        <v>Não</v>
      </c>
      <c r="AM449" s="1" t="str">
        <f>+IF(IFERROR(VLOOKUP(A449,Ficheiros!E:E,1,FALSE),"")=A449,"Sim","Não")</f>
        <v>Não</v>
      </c>
      <c r="AN449" s="1" t="str">
        <f>+IF(IFERROR(VLOOKUP(A449,Ficheiros!O:O,1,FALSE),"")=A449,"Sim","Não")</f>
        <v>Não</v>
      </c>
      <c r="AO449" s="1" t="str">
        <f>+IF(IFERROR(VLOOKUP(A449,'Especificação Novos Req. LT (2'!A:A,1,FALSE),"")=A449,"Sim","Não")</f>
        <v>Não</v>
      </c>
      <c r="AP449" s="1" t="str">
        <f>+IF(IFERROR(VLOOKUP(A449,Ficheiros!T:T,1,FALSE),"")=A449,"Sim","Não")</f>
        <v>Não</v>
      </c>
      <c r="AQ449" s="1" t="e">
        <f>+VLOOKUP(A449,Ficheiros!O:P,2,FALSE)</f>
        <v>#N/A</v>
      </c>
      <c r="AR449" s="1" t="e">
        <f>+VLOOKUP(A449,Ficheiros!R:S,3,FALSE)</f>
        <v>#N/A</v>
      </c>
      <c r="AS449" s="1" t="e">
        <f>+VLOOKUP(A449,Ficheiros!T:V,3,FALSE)</f>
        <v>#N/A</v>
      </c>
      <c r="AT449" s="1"/>
      <c r="AU449" s="1"/>
      <c r="AV449" s="1"/>
      <c r="AW449" s="1"/>
      <c r="AX449" s="1"/>
    </row>
    <row r="450" spans="1:50" ht="14.5" hidden="1" customHeight="1" x14ac:dyDescent="0.35">
      <c r="A450" s="5" t="str">
        <f t="shared" si="12"/>
        <v>INSTRUMENTDT_MDFCTN</v>
      </c>
      <c r="B450" s="1" t="s">
        <v>1922</v>
      </c>
      <c r="C450" s="1" t="s">
        <v>785</v>
      </c>
      <c r="D450" s="1" t="s">
        <v>49</v>
      </c>
      <c r="E450" s="1" t="s">
        <v>37</v>
      </c>
      <c r="F450" s="26" t="s">
        <v>1923</v>
      </c>
      <c r="G450" s="1" t="s">
        <v>1923</v>
      </c>
      <c r="H450" s="1" t="s">
        <v>37</v>
      </c>
      <c r="I450" s="1" t="s">
        <v>37</v>
      </c>
      <c r="J450" s="1" t="s">
        <v>37</v>
      </c>
      <c r="K450" s="1" t="s">
        <v>37</v>
      </c>
      <c r="L450" s="1" t="s">
        <v>39</v>
      </c>
      <c r="M450" s="1" t="s">
        <v>39</v>
      </c>
      <c r="N450" s="1" t="s">
        <v>37</v>
      </c>
      <c r="O450" s="1" t="s">
        <v>39</v>
      </c>
      <c r="P450" s="1" t="s">
        <v>37</v>
      </c>
      <c r="Q450" s="1" t="s">
        <v>37</v>
      </c>
      <c r="R450" s="1" t="s">
        <v>60</v>
      </c>
      <c r="S450" s="1" t="s">
        <v>61</v>
      </c>
      <c r="T450" s="1" t="s">
        <v>62</v>
      </c>
      <c r="U450" s="1" t="s">
        <v>63</v>
      </c>
      <c r="V450" s="1" t="s">
        <v>63</v>
      </c>
      <c r="W450" s="1" t="s">
        <v>1924</v>
      </c>
      <c r="X450" s="1" t="s">
        <v>1925</v>
      </c>
      <c r="Y450" s="1" t="s">
        <v>45</v>
      </c>
      <c r="Z450" s="1" t="s">
        <v>46</v>
      </c>
      <c r="AA450" s="1"/>
      <c r="AB450" s="1" t="s">
        <v>39</v>
      </c>
      <c r="AC450" s="1" t="s">
        <v>37</v>
      </c>
      <c r="AD450" s="1" t="s">
        <v>37</v>
      </c>
      <c r="AE450" s="1" t="s">
        <v>37</v>
      </c>
      <c r="AF450" s="1" t="s">
        <v>37</v>
      </c>
      <c r="AG450" s="1" t="s">
        <v>39</v>
      </c>
      <c r="AH450" s="1" t="s">
        <v>37</v>
      </c>
      <c r="AI450" s="1" t="s">
        <v>37</v>
      </c>
      <c r="AJ450" s="1" t="s">
        <v>39</v>
      </c>
      <c r="AK450" s="1" t="str">
        <f t="shared" si="13"/>
        <v>Fora de âmbito</v>
      </c>
      <c r="AL450" s="1" t="str">
        <f>+IF(IFERROR(VLOOKUP(A450,Ficheiros!I:I,1,FALSE),"")=A450,"Sim","Não")</f>
        <v>Não</v>
      </c>
      <c r="AM450" s="1" t="str">
        <f>+IF(IFERROR(VLOOKUP(A450,Ficheiros!E:E,1,FALSE),"")=A450,"Sim","Não")</f>
        <v>Não</v>
      </c>
      <c r="AN450" s="1" t="str">
        <f>+IF(IFERROR(VLOOKUP(A450,Ficheiros!O:O,1,FALSE),"")=A450,"Sim","Não")</f>
        <v>Não</v>
      </c>
      <c r="AO450" s="1" t="str">
        <f>+IF(IFERROR(VLOOKUP(A450,'Especificação Novos Req. LT (2'!A:A,1,FALSE),"")=A450,"Sim","Não")</f>
        <v>Não</v>
      </c>
      <c r="AP450" s="1" t="str">
        <f>+IF(IFERROR(VLOOKUP(A450,Ficheiros!T:T,1,FALSE),"")=A450,"Sim","Não")</f>
        <v>Não</v>
      </c>
      <c r="AQ450" s="1" t="e">
        <f>+VLOOKUP(A450,Ficheiros!O:P,2,FALSE)</f>
        <v>#N/A</v>
      </c>
      <c r="AR450" s="1" t="e">
        <f>+VLOOKUP(A450,Ficheiros!R:S,3,FALSE)</f>
        <v>#N/A</v>
      </c>
      <c r="AS450" s="1" t="e">
        <f>+VLOOKUP(A450,Ficheiros!T:V,3,FALSE)</f>
        <v>#N/A</v>
      </c>
      <c r="AT450" s="1"/>
      <c r="AU450" s="1"/>
      <c r="AV450" s="1"/>
      <c r="AW450" s="1"/>
      <c r="AX450" s="1"/>
    </row>
    <row r="451" spans="1:50" ht="14.5" hidden="1" customHeight="1" x14ac:dyDescent="0.35">
      <c r="A451" s="5" t="str">
        <f t="shared" si="12"/>
        <v>INSTR_PROTECTIONCOD_SOC</v>
      </c>
      <c r="B451" s="1" t="s">
        <v>1926</v>
      </c>
      <c r="C451" s="1" t="s">
        <v>1927</v>
      </c>
      <c r="D451" s="1" t="s">
        <v>49</v>
      </c>
      <c r="E451" s="1" t="s">
        <v>37</v>
      </c>
      <c r="F451" s="25" t="s">
        <v>38</v>
      </c>
      <c r="G451" s="50" t="s">
        <v>38</v>
      </c>
      <c r="H451" s="1" t="s">
        <v>37</v>
      </c>
      <c r="I451" s="1" t="s">
        <v>39</v>
      </c>
      <c r="J451" s="1" t="s">
        <v>39</v>
      </c>
      <c r="K451" s="1" t="s">
        <v>39</v>
      </c>
      <c r="L451" s="1" t="s">
        <v>39</v>
      </c>
      <c r="M451" s="1" t="s">
        <v>39</v>
      </c>
      <c r="N451" s="1" t="s">
        <v>39</v>
      </c>
      <c r="O451" s="1"/>
      <c r="P451" s="1"/>
      <c r="Q451" s="1"/>
      <c r="R451" s="1" t="s">
        <v>40</v>
      </c>
      <c r="S451" s="1" t="s">
        <v>41</v>
      </c>
      <c r="T451" s="1" t="s">
        <v>42</v>
      </c>
      <c r="U451" s="1" t="s">
        <v>42</v>
      </c>
      <c r="V451" s="1" t="s">
        <v>42</v>
      </c>
      <c r="W451" s="1" t="s">
        <v>43</v>
      </c>
      <c r="X451" s="1" t="s">
        <v>44</v>
      </c>
      <c r="Y451" s="1" t="s">
        <v>45</v>
      </c>
      <c r="Z451" s="1" t="s">
        <v>46</v>
      </c>
      <c r="AA451" s="1" t="s">
        <v>47</v>
      </c>
      <c r="AB451" s="1" t="s">
        <v>39</v>
      </c>
      <c r="AC451" s="1" t="s">
        <v>39</v>
      </c>
      <c r="AD451" s="1" t="s">
        <v>39</v>
      </c>
      <c r="AE451" s="1" t="s">
        <v>37</v>
      </c>
      <c r="AF451" s="1" t="s">
        <v>37</v>
      </c>
      <c r="AG451" s="1" t="s">
        <v>37</v>
      </c>
      <c r="AH451" s="1" t="s">
        <v>39</v>
      </c>
      <c r="AI451" s="1" t="s">
        <v>39</v>
      </c>
      <c r="AJ451" s="1" t="s">
        <v>39</v>
      </c>
      <c r="AK451" s="1" t="str">
        <f t="shared" si="13"/>
        <v>Apenas Pilar 3</v>
      </c>
      <c r="AL451" s="1" t="str">
        <f>+IF(IFERROR(VLOOKUP(A451,Ficheiros!I:I,1,FALSE),"")=A451,"Sim","Não")</f>
        <v>Sim</v>
      </c>
      <c r="AM451" s="1" t="str">
        <f>+IF(IFERROR(VLOOKUP(A451,Ficheiros!E:E,1,FALSE),"")=A451,"Sim","Não")</f>
        <v>Não</v>
      </c>
      <c r="AN451" s="41" t="s">
        <v>2393</v>
      </c>
      <c r="AO451" s="1" t="str">
        <f>+IF(IFERROR(VLOOKUP(A451,'Especificação Novos Req. LT (2'!A:A,1,FALSE),"")=A451,"Sim","Não")</f>
        <v>Não</v>
      </c>
      <c r="AP451" s="1" t="str">
        <f>+IF(IFERROR(VLOOKUP(A451,Ficheiros!T:T,1,FALSE),"")=A451,"Sim","Não")</f>
        <v>Sim</v>
      </c>
      <c r="AQ451" s="1" t="str">
        <f>+VLOOKUP(A451,Ficheiros!O:P,2,FALSE)</f>
        <v>1. Concluído</v>
      </c>
      <c r="AR451" s="1" t="str">
        <f>+VLOOKUP(A451,Ficheiros!T:U,2,FALSE)</f>
        <v>9. Concluído</v>
      </c>
      <c r="AS451" s="1" t="str">
        <f>+VLOOKUP(A451,Ficheiros!T:V,3,FALSE)</f>
        <v>PM</v>
      </c>
      <c r="AT451" s="1" t="s">
        <v>2470</v>
      </c>
      <c r="AU451" s="1"/>
      <c r="AV451" s="1"/>
      <c r="AW451" s="1"/>
      <c r="AX451" s="33"/>
    </row>
    <row r="452" spans="1:50" ht="14.5" hidden="1" customHeight="1" x14ac:dyDescent="0.35">
      <c r="A452" s="5" t="str">
        <f t="shared" si="12"/>
        <v>INSTR_PROTECTIONDT_RFRNC</v>
      </c>
      <c r="B452" s="1" t="s">
        <v>1928</v>
      </c>
      <c r="C452" s="1" t="s">
        <v>1927</v>
      </c>
      <c r="D452" s="1" t="s">
        <v>49</v>
      </c>
      <c r="E452" s="1" t="s">
        <v>39</v>
      </c>
      <c r="F452" s="25" t="s">
        <v>91</v>
      </c>
      <c r="G452" s="37" t="s">
        <v>91</v>
      </c>
      <c r="H452" s="1" t="s">
        <v>37</v>
      </c>
      <c r="I452" s="1" t="s">
        <v>39</v>
      </c>
      <c r="J452" s="1" t="s">
        <v>39</v>
      </c>
      <c r="K452" s="1" t="s">
        <v>39</v>
      </c>
      <c r="L452" s="1" t="s">
        <v>39</v>
      </c>
      <c r="M452" s="1" t="s">
        <v>39</v>
      </c>
      <c r="N452" s="1" t="s">
        <v>39</v>
      </c>
      <c r="O452" s="1"/>
      <c r="P452" s="1"/>
      <c r="Q452" s="1"/>
      <c r="R452" s="1" t="s">
        <v>60</v>
      </c>
      <c r="S452" s="1" t="s">
        <v>61</v>
      </c>
      <c r="T452" s="1" t="s">
        <v>42</v>
      </c>
      <c r="U452" s="1" t="s">
        <v>42</v>
      </c>
      <c r="V452" s="1" t="s">
        <v>42</v>
      </c>
      <c r="W452" s="1" t="s">
        <v>768</v>
      </c>
      <c r="X452" s="1" t="s">
        <v>93</v>
      </c>
      <c r="Y452" s="1" t="s">
        <v>45</v>
      </c>
      <c r="Z452" s="1" t="s">
        <v>46</v>
      </c>
      <c r="AA452" s="1" t="s">
        <v>47</v>
      </c>
      <c r="AB452" s="1" t="s">
        <v>39</v>
      </c>
      <c r="AC452" s="1" t="s">
        <v>39</v>
      </c>
      <c r="AD452" s="1" t="s">
        <v>39</v>
      </c>
      <c r="AE452" s="1" t="s">
        <v>37</v>
      </c>
      <c r="AF452" s="1" t="s">
        <v>37</v>
      </c>
      <c r="AG452" s="1" t="s">
        <v>37</v>
      </c>
      <c r="AH452" s="1" t="s">
        <v>39</v>
      </c>
      <c r="AI452" s="1" t="s">
        <v>39</v>
      </c>
      <c r="AJ452" s="1" t="s">
        <v>39</v>
      </c>
      <c r="AK452" s="1" t="str">
        <f t="shared" si="13"/>
        <v>Apenas Pilar 3</v>
      </c>
      <c r="AL452" s="1" t="str">
        <f>+IF(IFERROR(VLOOKUP(A452,Ficheiros!I:I,1,FALSE),"")=A452,"Sim","Não")</f>
        <v>Sim</v>
      </c>
      <c r="AM452" s="1" t="str">
        <f>+IF(IFERROR(VLOOKUP(A452,Ficheiros!E:E,1,FALSE),"")=A452,"Sim","Não")</f>
        <v>Não</v>
      </c>
      <c r="AN452" s="1" t="str">
        <f>+IF(IFERROR(VLOOKUP(A452,Ficheiros!O:O,1,FALSE),"")=A452,"Sim","Não")</f>
        <v>Sim</v>
      </c>
      <c r="AO452" s="1" t="str">
        <f>+IF(IFERROR(VLOOKUP(A452,'Especificação Novos Req. LT (2'!A:A,1,FALSE),"")=A452,"Sim","Não")</f>
        <v>Não</v>
      </c>
      <c r="AP452" s="1" t="str">
        <f>+IF(IFERROR(VLOOKUP(A452,Ficheiros!T:T,1,FALSE),"")=A452,"Sim","Não")</f>
        <v>Sim</v>
      </c>
      <c r="AQ452" s="1" t="str">
        <f>+VLOOKUP(A452,Ficheiros!O:P,2,FALSE)</f>
        <v>1. Concluído</v>
      </c>
      <c r="AR452" s="1" t="str">
        <f>+VLOOKUP(A452,Ficheiros!T:U,2,FALSE)</f>
        <v>9. Concluído</v>
      </c>
      <c r="AS452" s="1" t="str">
        <f>+VLOOKUP(A452,Ficheiros!T:V,3,FALSE)</f>
        <v>PM</v>
      </c>
      <c r="AT452" s="1" t="s">
        <v>2464</v>
      </c>
      <c r="AU452" s="1"/>
      <c r="AV452" s="1"/>
      <c r="AW452" s="1"/>
      <c r="AX452" s="1"/>
    </row>
    <row r="453" spans="1:50" ht="14.5" hidden="1" customHeight="1" x14ac:dyDescent="0.35">
      <c r="A453" s="5" t="str">
        <f t="shared" si="12"/>
        <v>INSTR_PROTECTIONINSTRMNT_ID</v>
      </c>
      <c r="B453" s="1" t="s">
        <v>1929</v>
      </c>
      <c r="C453" s="1" t="s">
        <v>1927</v>
      </c>
      <c r="D453" s="1" t="s">
        <v>49</v>
      </c>
      <c r="E453" s="1" t="s">
        <v>39</v>
      </c>
      <c r="F453" s="25" t="s">
        <v>772</v>
      </c>
      <c r="G453" s="50" t="s">
        <v>772</v>
      </c>
      <c r="H453" s="1" t="s">
        <v>37</v>
      </c>
      <c r="I453" s="1" t="s">
        <v>39</v>
      </c>
      <c r="J453" s="1" t="s">
        <v>39</v>
      </c>
      <c r="K453" s="1" t="s">
        <v>39</v>
      </c>
      <c r="L453" s="1" t="s">
        <v>39</v>
      </c>
      <c r="M453" s="1" t="s">
        <v>39</v>
      </c>
      <c r="N453" s="1" t="s">
        <v>39</v>
      </c>
      <c r="O453" s="1"/>
      <c r="P453" s="1"/>
      <c r="Q453" s="1"/>
      <c r="R453" s="1" t="s">
        <v>657</v>
      </c>
      <c r="S453" s="1" t="s">
        <v>41</v>
      </c>
      <c r="T453" s="1" t="s">
        <v>42</v>
      </c>
      <c r="U453" s="1" t="s">
        <v>42</v>
      </c>
      <c r="V453" s="1" t="s">
        <v>42</v>
      </c>
      <c r="W453" s="1" t="s">
        <v>773</v>
      </c>
      <c r="X453" s="1" t="s">
        <v>774</v>
      </c>
      <c r="Y453" s="1" t="s">
        <v>45</v>
      </c>
      <c r="Z453" s="1" t="s">
        <v>46</v>
      </c>
      <c r="AA453" s="1" t="s">
        <v>47</v>
      </c>
      <c r="AB453" s="1" t="s">
        <v>39</v>
      </c>
      <c r="AC453" s="1" t="s">
        <v>39</v>
      </c>
      <c r="AD453" s="1" t="s">
        <v>39</v>
      </c>
      <c r="AE453" s="1" t="s">
        <v>37</v>
      </c>
      <c r="AF453" s="1" t="s">
        <v>37</v>
      </c>
      <c r="AG453" s="1" t="s">
        <v>37</v>
      </c>
      <c r="AH453" s="1" t="s">
        <v>39</v>
      </c>
      <c r="AI453" s="1" t="s">
        <v>39</v>
      </c>
      <c r="AJ453" s="1" t="s">
        <v>39</v>
      </c>
      <c r="AK453" s="1" t="str">
        <f t="shared" si="13"/>
        <v>Apenas Pilar 3</v>
      </c>
      <c r="AL453" s="1" t="str">
        <f>+IF(IFERROR(VLOOKUP(A453,Ficheiros!I:I,1,FALSE),"")=A453,"Sim","Não")</f>
        <v>Sim</v>
      </c>
      <c r="AM453" s="1" t="str">
        <f>+IF(IFERROR(VLOOKUP(A453,Ficheiros!E:E,1,FALSE),"")=A453,"Sim","Não")</f>
        <v>Não</v>
      </c>
      <c r="AN453" s="41" t="s">
        <v>2393</v>
      </c>
      <c r="AO453" s="1" t="str">
        <f>+IF(IFERROR(VLOOKUP(A453,'Especificação Novos Req. LT (2'!A:A,1,FALSE),"")=A453,"Sim","Não")</f>
        <v>Não</v>
      </c>
      <c r="AP453" s="1" t="str">
        <f>+IF(IFERROR(VLOOKUP(A453,Ficheiros!T:T,1,FALSE),"")=A453,"Sim","Não")</f>
        <v>Sim</v>
      </c>
      <c r="AQ453" s="1" t="str">
        <f>+VLOOKUP(A453,Ficheiros!O:P,2,FALSE)</f>
        <v>1. Concluído</v>
      </c>
      <c r="AR453" s="1" t="str">
        <f>+VLOOKUP(A453,Ficheiros!T:U,2,FALSE)</f>
        <v>9. Concluído</v>
      </c>
      <c r="AS453" s="1" t="str">
        <f>+VLOOKUP(A453,Ficheiros!T:V,3,FALSE)</f>
        <v>PM</v>
      </c>
      <c r="AT453" s="1" t="s">
        <v>2394</v>
      </c>
      <c r="AU453" s="1"/>
      <c r="AV453" s="1"/>
      <c r="AW453" s="1"/>
      <c r="AX453" s="33"/>
    </row>
    <row r="454" spans="1:50" ht="14.5" hidden="1" customHeight="1" x14ac:dyDescent="0.35">
      <c r="A454" s="5" t="str">
        <f t="shared" ref="A454:A517" si="14">+C454&amp;G454</f>
        <v>INSTR_PROTECTIONPRTCTN_ID</v>
      </c>
      <c r="B454" s="1" t="s">
        <v>1930</v>
      </c>
      <c r="C454" s="1" t="s">
        <v>1927</v>
      </c>
      <c r="D454" s="1" t="s">
        <v>49</v>
      </c>
      <c r="E454" s="1" t="s">
        <v>39</v>
      </c>
      <c r="F454" s="25" t="s">
        <v>1931</v>
      </c>
      <c r="G454" s="50" t="s">
        <v>1931</v>
      </c>
      <c r="H454" s="1" t="s">
        <v>37</v>
      </c>
      <c r="I454" s="1" t="s">
        <v>39</v>
      </c>
      <c r="J454" s="1" t="s">
        <v>39</v>
      </c>
      <c r="K454" s="1" t="s">
        <v>39</v>
      </c>
      <c r="L454" s="1" t="s">
        <v>39</v>
      </c>
      <c r="M454" s="1" t="s">
        <v>39</v>
      </c>
      <c r="N454" s="1" t="s">
        <v>39</v>
      </c>
      <c r="O454" s="1"/>
      <c r="P454" s="1"/>
      <c r="Q454" s="1"/>
      <c r="R454" s="1" t="s">
        <v>657</v>
      </c>
      <c r="S454" s="1" t="s">
        <v>41</v>
      </c>
      <c r="T454" s="1" t="s">
        <v>42</v>
      </c>
      <c r="U454" s="1" t="s">
        <v>42</v>
      </c>
      <c r="V454" s="1" t="s">
        <v>42</v>
      </c>
      <c r="W454" s="1" t="s">
        <v>1932</v>
      </c>
      <c r="X454" s="1" t="s">
        <v>1933</v>
      </c>
      <c r="Y454" s="1" t="s">
        <v>45</v>
      </c>
      <c r="Z454" s="1" t="s">
        <v>46</v>
      </c>
      <c r="AA454" s="1" t="s">
        <v>47</v>
      </c>
      <c r="AB454" s="1" t="s">
        <v>39</v>
      </c>
      <c r="AC454" s="1" t="s">
        <v>39</v>
      </c>
      <c r="AD454" s="1" t="s">
        <v>39</v>
      </c>
      <c r="AE454" s="1" t="s">
        <v>37</v>
      </c>
      <c r="AF454" s="1" t="s">
        <v>37</v>
      </c>
      <c r="AG454" s="1" t="s">
        <v>37</v>
      </c>
      <c r="AH454" s="1" t="s">
        <v>39</v>
      </c>
      <c r="AI454" s="1" t="s">
        <v>39</v>
      </c>
      <c r="AJ454" s="1" t="s">
        <v>39</v>
      </c>
      <c r="AK454" s="1" t="str">
        <f t="shared" ref="AK454:AK517" si="15">+IF(AND(AD454="N",AF454="N"),"Fora de âmbito",
IF(AND(AD454="N",AF454="Y"),"Apenas ESG Risk",
IF(AND(AD454="Y",AF454="N"),"Apenas Pilar 3",
IF(AND(AD454="Y",AF454="Y"),"Comum",""))))</f>
        <v>Apenas Pilar 3</v>
      </c>
      <c r="AL454" s="1" t="str">
        <f>+IF(IFERROR(VLOOKUP(A454,Ficheiros!I:I,1,FALSE),"")=A454,"Sim","Não")</f>
        <v>Sim</v>
      </c>
      <c r="AM454" s="1" t="str">
        <f>+IF(IFERROR(VLOOKUP(A454,Ficheiros!E:E,1,FALSE),"")=A454,"Sim","Não")</f>
        <v>Não</v>
      </c>
      <c r="AN454" s="41" t="s">
        <v>2393</v>
      </c>
      <c r="AO454" s="1" t="str">
        <f>+IF(IFERROR(VLOOKUP(A454,'Especificação Novos Req. LT (2'!A:A,1,FALSE),"")=A454,"Sim","Não")</f>
        <v>Não</v>
      </c>
      <c r="AP454" s="1" t="str">
        <f>+IF(IFERROR(VLOOKUP(A454,Ficheiros!T:T,1,FALSE),"")=A454,"Sim","Não")</f>
        <v>Sim</v>
      </c>
      <c r="AQ454" s="1" t="str">
        <f>+VLOOKUP(A454,Ficheiros!O:P,2,FALSE)</f>
        <v>1. Concluído</v>
      </c>
      <c r="AR454" s="1" t="str">
        <f>+VLOOKUP(A454,Ficheiros!T:U,2,FALSE)</f>
        <v>7. Analisar controlos e completude</v>
      </c>
      <c r="AS454" s="1" t="str">
        <f>+VLOOKUP(A454,Ficheiros!T:V,3,FALSE)</f>
        <v>PM</v>
      </c>
      <c r="AT454" s="1" t="s">
        <v>2394</v>
      </c>
      <c r="AU454" s="1"/>
      <c r="AV454" s="1"/>
      <c r="AW454" s="1"/>
      <c r="AX454" s="33"/>
    </row>
    <row r="455" spans="1:50" ht="14.5" customHeight="1" x14ac:dyDescent="0.35">
      <c r="A455" s="5" t="str">
        <f t="shared" si="14"/>
        <v>INSTR_PROTECTIONPRTCTN_ALLCTD_VL</v>
      </c>
      <c r="B455" s="1" t="s">
        <v>1934</v>
      </c>
      <c r="C455" s="1" t="s">
        <v>1927</v>
      </c>
      <c r="D455" s="1" t="s">
        <v>271</v>
      </c>
      <c r="E455" s="1" t="s">
        <v>39</v>
      </c>
      <c r="F455" s="25" t="s">
        <v>1935</v>
      </c>
      <c r="G455" s="42" t="s">
        <v>1935</v>
      </c>
      <c r="H455" s="1" t="s">
        <v>37</v>
      </c>
      <c r="I455" s="1" t="s">
        <v>39</v>
      </c>
      <c r="J455" s="1" t="s">
        <v>39</v>
      </c>
      <c r="K455" s="1" t="s">
        <v>39</v>
      </c>
      <c r="L455" s="1" t="s">
        <v>39</v>
      </c>
      <c r="M455" s="1" t="s">
        <v>39</v>
      </c>
      <c r="N455" s="1" t="s">
        <v>39</v>
      </c>
      <c r="O455" s="1"/>
      <c r="P455" s="1"/>
      <c r="Q455" s="1"/>
      <c r="R455" s="1" t="s">
        <v>273</v>
      </c>
      <c r="S455" s="1" t="s">
        <v>274</v>
      </c>
      <c r="T455" s="1">
        <v>99999999999</v>
      </c>
      <c r="U455" s="1" t="s">
        <v>42</v>
      </c>
      <c r="V455" s="1">
        <v>11111111111</v>
      </c>
      <c r="W455" s="1" t="s">
        <v>1936</v>
      </c>
      <c r="X455" s="1" t="s">
        <v>1937</v>
      </c>
      <c r="Y455" s="1" t="s">
        <v>66</v>
      </c>
      <c r="Z455" s="1" t="s">
        <v>1938</v>
      </c>
      <c r="AA455" s="1" t="s">
        <v>47</v>
      </c>
      <c r="AB455" s="1" t="s">
        <v>39</v>
      </c>
      <c r="AC455" s="1" t="s">
        <v>37</v>
      </c>
      <c r="AD455" s="1" t="s">
        <v>39</v>
      </c>
      <c r="AE455" s="1" t="s">
        <v>37</v>
      </c>
      <c r="AF455" s="1" t="s">
        <v>37</v>
      </c>
      <c r="AG455" s="1" t="s">
        <v>37</v>
      </c>
      <c r="AH455" s="1" t="s">
        <v>37</v>
      </c>
      <c r="AI455" s="1" t="s">
        <v>39</v>
      </c>
      <c r="AJ455" s="1" t="s">
        <v>39</v>
      </c>
      <c r="AK455" s="1" t="str">
        <f t="shared" si="15"/>
        <v>Apenas Pilar 3</v>
      </c>
      <c r="AL455" s="1" t="str">
        <f>+IF(IFERROR(VLOOKUP(A455,Ficheiros!I:I,1,FALSE),"")=A455,"Sim","Não")</f>
        <v>Sim</v>
      </c>
      <c r="AM455" s="1" t="str">
        <f>+IF(IFERROR(VLOOKUP(A455,Ficheiros!E:E,1,FALSE),"")=A455,"Sim","Não")</f>
        <v>Não</v>
      </c>
      <c r="AN455" s="41" t="s">
        <v>2393</v>
      </c>
      <c r="AO455" s="1" t="str">
        <f>+IF(IFERROR(VLOOKUP(A455,'Especificação Novos Req. LT (2'!A:A,1,FALSE),"")=A455,"Sim","Não")</f>
        <v>Não</v>
      </c>
      <c r="AP455" s="1" t="str">
        <f>+IF(IFERROR(VLOOKUP(A455,Ficheiros!T:T,1,FALSE),"")=A455,"Sim","Não")</f>
        <v>Sim</v>
      </c>
      <c r="AQ455" s="1" t="str">
        <f>+VLOOKUP(A455,Ficheiros!O:P,2,FALSE)</f>
        <v>1. Concluído</v>
      </c>
      <c r="AR455" s="1" t="str">
        <f>+VLOOKUP(A455,Ficheiros!T:U,2,FALSE)</f>
        <v>9. Concluído</v>
      </c>
      <c r="AS455" s="1" t="str">
        <f>+VLOOKUP(A455,Ficheiros!T:V,3,FALSE)</f>
        <v>PM</v>
      </c>
      <c r="AT455" s="1" t="s">
        <v>2394</v>
      </c>
      <c r="AU455" s="1"/>
      <c r="AV455" s="1" t="s">
        <v>2534</v>
      </c>
      <c r="AW455" s="1" t="s">
        <v>2542</v>
      </c>
      <c r="AX455" s="33" t="s">
        <v>2543</v>
      </c>
    </row>
    <row r="456" spans="1:50" ht="14.5" hidden="1" customHeight="1" x14ac:dyDescent="0.35">
      <c r="A456" s="5" t="str">
        <f t="shared" si="14"/>
        <v>INSTR_PROTECTIONTHRD_PRTY_PRRTY_CLMS</v>
      </c>
      <c r="B456" s="1" t="s">
        <v>1939</v>
      </c>
      <c r="C456" s="1" t="s">
        <v>1927</v>
      </c>
      <c r="D456" s="1" t="s">
        <v>271</v>
      </c>
      <c r="E456" s="1" t="s">
        <v>39</v>
      </c>
      <c r="F456" s="25" t="s">
        <v>1940</v>
      </c>
      <c r="G456" s="1" t="s">
        <v>1940</v>
      </c>
      <c r="H456" s="1" t="s">
        <v>37</v>
      </c>
      <c r="I456" s="1" t="s">
        <v>39</v>
      </c>
      <c r="J456" s="1" t="s">
        <v>39</v>
      </c>
      <c r="K456" s="1" t="s">
        <v>39</v>
      </c>
      <c r="L456" s="1" t="s">
        <v>39</v>
      </c>
      <c r="M456" s="1" t="s">
        <v>39</v>
      </c>
      <c r="N456" s="1" t="s">
        <v>39</v>
      </c>
      <c r="O456" s="1"/>
      <c r="P456" s="1"/>
      <c r="Q456" s="1"/>
      <c r="R456" s="1" t="s">
        <v>273</v>
      </c>
      <c r="S456" s="1" t="s">
        <v>274</v>
      </c>
      <c r="T456" s="1">
        <v>99999999999</v>
      </c>
      <c r="U456" s="1">
        <v>11111111111</v>
      </c>
      <c r="V456" s="1">
        <v>11111111111</v>
      </c>
      <c r="W456" s="1" t="s">
        <v>1941</v>
      </c>
      <c r="X456" s="1" t="s">
        <v>1942</v>
      </c>
      <c r="Y456" s="1" t="s">
        <v>45</v>
      </c>
      <c r="Z456" s="1" t="s">
        <v>46</v>
      </c>
      <c r="AA456" s="1" t="s">
        <v>47</v>
      </c>
      <c r="AB456" s="1" t="s">
        <v>39</v>
      </c>
      <c r="AC456" s="1" t="s">
        <v>37</v>
      </c>
      <c r="AD456" s="1" t="s">
        <v>37</v>
      </c>
      <c r="AE456" s="1" t="s">
        <v>37</v>
      </c>
      <c r="AF456" s="1" t="s">
        <v>37</v>
      </c>
      <c r="AG456" s="1" t="s">
        <v>37</v>
      </c>
      <c r="AH456" s="1" t="s">
        <v>37</v>
      </c>
      <c r="AI456" s="1" t="s">
        <v>37</v>
      </c>
      <c r="AJ456" s="1" t="s">
        <v>39</v>
      </c>
      <c r="AK456" s="1" t="str">
        <f t="shared" si="15"/>
        <v>Fora de âmbito</v>
      </c>
      <c r="AL456" s="1" t="str">
        <f>+IF(IFERROR(VLOOKUP(A456,Ficheiros!I:I,1,FALSE),"")=A456,"Sim","Não")</f>
        <v>Sim</v>
      </c>
      <c r="AM456" s="1" t="str">
        <f>+IF(IFERROR(VLOOKUP(A456,Ficheiros!E:E,1,FALSE),"")=A456,"Sim","Não")</f>
        <v>Não</v>
      </c>
      <c r="AN456" s="1" t="str">
        <f>+IF(IFERROR(VLOOKUP(A456,Ficheiros!O:O,1,FALSE),"")=A456,"Sim","Não")</f>
        <v>Não</v>
      </c>
      <c r="AO456" s="1" t="str">
        <f>+IF(IFERROR(VLOOKUP(A456,'Especificação Novos Req. LT (2'!A:A,1,FALSE),"")=A456,"Sim","Não")</f>
        <v>Não</v>
      </c>
      <c r="AP456" s="1" t="str">
        <f>+IF(IFERROR(VLOOKUP(A456,Ficheiros!T:T,1,FALSE),"")=A456,"Sim","Não")</f>
        <v>Sim</v>
      </c>
      <c r="AQ456" s="1" t="e">
        <f>+VLOOKUP(A456,Ficheiros!O:P,2,FALSE)</f>
        <v>#N/A</v>
      </c>
      <c r="AR456" s="1" t="str">
        <f>+VLOOKUP(A456,Ficheiros!T:U,2,FALSE)</f>
        <v>9. Concluído</v>
      </c>
      <c r="AS456" s="1" t="str">
        <f>+VLOOKUP(A456,Ficheiros!T:V,3,FALSE)</f>
        <v>PM</v>
      </c>
      <c r="AT456" s="1"/>
      <c r="AU456" s="1"/>
      <c r="AV456" s="1"/>
      <c r="AW456" s="1"/>
      <c r="AX456" s="1"/>
    </row>
    <row r="457" spans="1:50" ht="14.5" hidden="1" customHeight="1" x14ac:dyDescent="0.35">
      <c r="A457" s="5" t="str">
        <f t="shared" si="14"/>
        <v>INSTR_PROTECTIONTYP_RLTN</v>
      </c>
      <c r="B457" s="1" t="s">
        <v>1943</v>
      </c>
      <c r="C457" s="1" t="s">
        <v>1927</v>
      </c>
      <c r="D457" s="1" t="s">
        <v>49</v>
      </c>
      <c r="E457" s="1" t="s">
        <v>37</v>
      </c>
      <c r="F457" s="25" t="s">
        <v>1944</v>
      </c>
      <c r="G457" s="1" t="s">
        <v>1944</v>
      </c>
      <c r="H457" s="1" t="s">
        <v>37</v>
      </c>
      <c r="I457" s="1" t="s">
        <v>39</v>
      </c>
      <c r="J457" s="1" t="s">
        <v>39</v>
      </c>
      <c r="K457" s="1" t="s">
        <v>39</v>
      </c>
      <c r="L457" s="1" t="s">
        <v>39</v>
      </c>
      <c r="M457" s="1" t="s">
        <v>39</v>
      </c>
      <c r="N457" s="1" t="s">
        <v>39</v>
      </c>
      <c r="O457" s="1"/>
      <c r="P457" s="1"/>
      <c r="Q457" s="1"/>
      <c r="R457" s="1" t="s">
        <v>136</v>
      </c>
      <c r="S457" s="1" t="s">
        <v>52</v>
      </c>
      <c r="T457" s="1" t="s">
        <v>53</v>
      </c>
      <c r="U457" s="1" t="s">
        <v>42</v>
      </c>
      <c r="V457" s="1" t="s">
        <v>46</v>
      </c>
      <c r="W457" s="1" t="s">
        <v>1945</v>
      </c>
      <c r="X457" s="1" t="s">
        <v>1946</v>
      </c>
      <c r="Y457" s="1" t="s">
        <v>45</v>
      </c>
      <c r="Z457" s="1" t="s">
        <v>46</v>
      </c>
      <c r="AA457" s="1" t="s">
        <v>47</v>
      </c>
      <c r="AB457" s="1" t="s">
        <v>37</v>
      </c>
      <c r="AC457" s="1" t="s">
        <v>39</v>
      </c>
      <c r="AD457" s="1" t="s">
        <v>39</v>
      </c>
      <c r="AE457" s="1" t="s">
        <v>37</v>
      </c>
      <c r="AF457" s="1" t="s">
        <v>37</v>
      </c>
      <c r="AG457" s="1" t="s">
        <v>37</v>
      </c>
      <c r="AH457" s="1" t="s">
        <v>39</v>
      </c>
      <c r="AI457" s="1" t="s">
        <v>39</v>
      </c>
      <c r="AJ457" s="1" t="s">
        <v>39</v>
      </c>
      <c r="AK457" s="1" t="str">
        <f t="shared" si="15"/>
        <v>Apenas Pilar 3</v>
      </c>
      <c r="AL457" s="1" t="str">
        <f>+IF(IFERROR(VLOOKUP(A457,Ficheiros!I:I,1,FALSE),"")=A457,"Sim","Não")</f>
        <v>Não</v>
      </c>
      <c r="AM457" s="1" t="str">
        <f>+IF(IFERROR(VLOOKUP(A457,Ficheiros!E:E,1,FALSE),"")=A457,"Sim","Não")</f>
        <v>Não</v>
      </c>
      <c r="AN457" s="1" t="str">
        <f>+IF(IFERROR(VLOOKUP(A457,Ficheiros!O:O,1,FALSE),"")=A457,"Sim","Não")</f>
        <v>Não</v>
      </c>
      <c r="AO457" s="1" t="str">
        <f>+IF(IFERROR(VLOOKUP(A457,'Especificação Novos Req. LT (2'!A:A,1,FALSE),"")=A457,"Sim","Não")</f>
        <v>Sim</v>
      </c>
      <c r="AP457" s="1" t="str">
        <f>+IF(IFERROR(VLOOKUP(A457,Ficheiros!T:T,1,FALSE),"")=A457,"Sim","Não")</f>
        <v>Não</v>
      </c>
      <c r="AQ457" s="1" t="e">
        <f>+VLOOKUP(A457,Ficheiros!O:P,2,FALSE)</f>
        <v>#N/A</v>
      </c>
      <c r="AR457" s="1" t="e">
        <f>+VLOOKUP(A457,Ficheiros!R:S,3,FALSE)</f>
        <v>#N/A</v>
      </c>
      <c r="AS457" s="1" t="e">
        <f>+VLOOKUP(A457,Ficheiros!T:V,3,FALSE)</f>
        <v>#N/A</v>
      </c>
      <c r="AT457" s="1"/>
      <c r="AU457" s="1"/>
      <c r="AV457" s="1" t="s">
        <v>2536</v>
      </c>
      <c r="AW457" s="1"/>
      <c r="AX457" s="1"/>
    </row>
    <row r="458" spans="1:50" ht="14.5" hidden="1" customHeight="1" x14ac:dyDescent="0.35">
      <c r="A458" s="5" t="str">
        <f t="shared" si="14"/>
        <v>INSTR_PROTECTIONGRP_SPPRT</v>
      </c>
      <c r="B458" s="1" t="s">
        <v>1947</v>
      </c>
      <c r="C458" s="1" t="s">
        <v>1927</v>
      </c>
      <c r="D458" s="1" t="s">
        <v>49</v>
      </c>
      <c r="E458" s="1" t="s">
        <v>37</v>
      </c>
      <c r="F458" s="26" t="s">
        <v>1948</v>
      </c>
      <c r="G458" s="1" t="s">
        <v>1948</v>
      </c>
      <c r="H458" s="1" t="s">
        <v>37</v>
      </c>
      <c r="I458" s="1" t="s">
        <v>37</v>
      </c>
      <c r="J458" s="1" t="s">
        <v>37</v>
      </c>
      <c r="K458" s="1" t="s">
        <v>37</v>
      </c>
      <c r="L458" s="1" t="s">
        <v>39</v>
      </c>
      <c r="M458" s="1" t="s">
        <v>39</v>
      </c>
      <c r="N458" s="1" t="s">
        <v>37</v>
      </c>
      <c r="O458" s="1"/>
      <c r="P458" s="1"/>
      <c r="Q458" s="1"/>
      <c r="R458" s="1" t="s">
        <v>141</v>
      </c>
      <c r="S458" s="1" t="s">
        <v>142</v>
      </c>
      <c r="T458" s="1" t="s">
        <v>53</v>
      </c>
      <c r="U458" s="1" t="s">
        <v>42</v>
      </c>
      <c r="V458" s="1" t="s">
        <v>46</v>
      </c>
      <c r="W458" s="1" t="s">
        <v>1949</v>
      </c>
      <c r="X458" s="1" t="s">
        <v>1950</v>
      </c>
      <c r="Y458" s="1" t="s">
        <v>45</v>
      </c>
      <c r="Z458" s="1" t="s">
        <v>46</v>
      </c>
      <c r="AA458" s="1"/>
      <c r="AB458" s="1" t="s">
        <v>39</v>
      </c>
      <c r="AC458" s="1" t="s">
        <v>37</v>
      </c>
      <c r="AD458" s="1" t="s">
        <v>37</v>
      </c>
      <c r="AE458" s="1" t="s">
        <v>37</v>
      </c>
      <c r="AF458" s="1" t="s">
        <v>37</v>
      </c>
      <c r="AG458" s="1" t="s">
        <v>39</v>
      </c>
      <c r="AH458" s="1" t="s">
        <v>37</v>
      </c>
      <c r="AI458" s="1" t="s">
        <v>37</v>
      </c>
      <c r="AJ458" s="1" t="s">
        <v>39</v>
      </c>
      <c r="AK458" s="1" t="str">
        <f t="shared" si="15"/>
        <v>Fora de âmbito</v>
      </c>
      <c r="AL458" s="1" t="str">
        <f>+IF(IFERROR(VLOOKUP(A458,Ficheiros!I:I,1,FALSE),"")=A458,"Sim","Não")</f>
        <v>Não</v>
      </c>
      <c r="AM458" s="1" t="str">
        <f>+IF(IFERROR(VLOOKUP(A458,Ficheiros!E:E,1,FALSE),"")=A458,"Sim","Não")</f>
        <v>Não</v>
      </c>
      <c r="AN458" s="1" t="str">
        <f>+IF(IFERROR(VLOOKUP(A458,Ficheiros!O:O,1,FALSE),"")=A458,"Sim","Não")</f>
        <v>Não</v>
      </c>
      <c r="AO458" s="1" t="str">
        <f>+IF(IFERROR(VLOOKUP(A458,'Especificação Novos Req. LT (2'!A:A,1,FALSE),"")=A458,"Sim","Não")</f>
        <v>Não</v>
      </c>
      <c r="AP458" s="1" t="str">
        <f>+IF(IFERROR(VLOOKUP(A458,Ficheiros!T:T,1,FALSE),"")=A458,"Sim","Não")</f>
        <v>Não</v>
      </c>
      <c r="AQ458" s="1" t="e">
        <f>+VLOOKUP(A458,Ficheiros!O:P,2,FALSE)</f>
        <v>#N/A</v>
      </c>
      <c r="AR458" s="1" t="e">
        <f>+VLOOKUP(A458,Ficheiros!R:S,3,FALSE)</f>
        <v>#N/A</v>
      </c>
      <c r="AS458" s="1" t="e">
        <f>+VLOOKUP(A458,Ficheiros!T:V,3,FALSE)</f>
        <v>#N/A</v>
      </c>
      <c r="AT458" s="1"/>
      <c r="AU458" s="1"/>
      <c r="AV458" s="1"/>
      <c r="AW458" s="1"/>
      <c r="AX458" s="1"/>
    </row>
    <row r="459" spans="1:50" hidden="1" x14ac:dyDescent="0.35">
      <c r="A459" s="5" t="str">
        <f t="shared" si="14"/>
        <v>PROTECTIONCOD_SOC</v>
      </c>
      <c r="B459" s="1" t="s">
        <v>1951</v>
      </c>
      <c r="C459" s="1" t="s">
        <v>1952</v>
      </c>
      <c r="D459" s="1" t="s">
        <v>36</v>
      </c>
      <c r="E459" s="1" t="s">
        <v>37</v>
      </c>
      <c r="F459" s="25" t="s">
        <v>38</v>
      </c>
      <c r="G459" s="1" t="s">
        <v>38</v>
      </c>
      <c r="H459" s="1" t="s">
        <v>37</v>
      </c>
      <c r="I459" s="1" t="s">
        <v>39</v>
      </c>
      <c r="J459" s="1" t="s">
        <v>39</v>
      </c>
      <c r="K459" s="1" t="s">
        <v>39</v>
      </c>
      <c r="L459" s="1" t="s">
        <v>39</v>
      </c>
      <c r="M459" s="1" t="s">
        <v>39</v>
      </c>
      <c r="N459" s="1" t="s">
        <v>39</v>
      </c>
      <c r="O459" s="1"/>
      <c r="P459" s="1"/>
      <c r="Q459" s="1"/>
      <c r="R459" s="1" t="s">
        <v>40</v>
      </c>
      <c r="S459" s="1" t="s">
        <v>41</v>
      </c>
      <c r="T459" s="1" t="s">
        <v>42</v>
      </c>
      <c r="U459" s="1" t="s">
        <v>42</v>
      </c>
      <c r="V459" s="1" t="s">
        <v>42</v>
      </c>
      <c r="W459" s="1" t="s">
        <v>43</v>
      </c>
      <c r="X459" s="1" t="s">
        <v>44</v>
      </c>
      <c r="Y459" s="1" t="s">
        <v>45</v>
      </c>
      <c r="Z459" s="1" t="s">
        <v>46</v>
      </c>
      <c r="AA459" s="1" t="s">
        <v>47</v>
      </c>
      <c r="AB459" s="1" t="s">
        <v>39</v>
      </c>
      <c r="AC459" s="1" t="s">
        <v>39</v>
      </c>
      <c r="AD459" s="1" t="s">
        <v>39</v>
      </c>
      <c r="AE459" s="1" t="s">
        <v>37</v>
      </c>
      <c r="AF459" s="1" t="s">
        <v>39</v>
      </c>
      <c r="AG459" s="1" t="s">
        <v>37</v>
      </c>
      <c r="AH459" s="1" t="s">
        <v>39</v>
      </c>
      <c r="AI459" s="1" t="s">
        <v>39</v>
      </c>
      <c r="AJ459" s="1" t="s">
        <v>39</v>
      </c>
      <c r="AK459" s="1" t="str">
        <f t="shared" si="15"/>
        <v>Comum</v>
      </c>
      <c r="AL459" s="1" t="str">
        <f>+IF(IFERROR(VLOOKUP(A459,Ficheiros!I:I,1,FALSE),"")=A459,"Sim","Não")</f>
        <v>Sim</v>
      </c>
      <c r="AM459" s="1" t="str">
        <f>+IF(IFERROR(VLOOKUP(A459,Ficheiros!E:E,1,FALSE),"")=A459,"Sim","Não")</f>
        <v>Não</v>
      </c>
      <c r="AN459" s="1" t="str">
        <f>+IF(IFERROR(VLOOKUP(A459,Ficheiros!O:O,1,FALSE),"")=A459,"Sim","Não")</f>
        <v>Sim</v>
      </c>
      <c r="AO459" s="1" t="str">
        <f>+IF(IFERROR(VLOOKUP(A459,'Especificação Novos Req. LT (2'!A:A,1,FALSE),"")=A459,"Sim","Não")</f>
        <v>Não</v>
      </c>
      <c r="AP459" s="1" t="str">
        <f>+IF(IFERROR(VLOOKUP(A459,Ficheiros!T:T,1,FALSE),"")=A459,"Sim","Não")</f>
        <v>Sim</v>
      </c>
      <c r="AQ459" s="1" t="str">
        <f>+VLOOKUP(A459,Ficheiros!O:P,2,FALSE)</f>
        <v>1. Concluído</v>
      </c>
      <c r="AR459" s="1" t="str">
        <f>+VLOOKUP(A459,Ficheiros!T:U,2,FALSE)</f>
        <v>9. Concluído</v>
      </c>
      <c r="AS459" s="1" t="str">
        <f>+VLOOKUP(A459,Ficheiros!T:V,3,FALSE)</f>
        <v>PM</v>
      </c>
      <c r="AT459" s="1"/>
      <c r="AU459" s="1"/>
      <c r="AV459" s="1"/>
      <c r="AW459" s="1"/>
      <c r="AX459" s="1"/>
    </row>
    <row r="460" spans="1:50" ht="14.5" hidden="1" customHeight="1" x14ac:dyDescent="0.35">
      <c r="A460" s="5" t="str">
        <f t="shared" si="14"/>
        <v>PROTECTIONDT_MTRTY_PRTCTN</v>
      </c>
      <c r="B460" s="1" t="s">
        <v>1953</v>
      </c>
      <c r="C460" s="1" t="s">
        <v>1952</v>
      </c>
      <c r="D460" s="1" t="s">
        <v>49</v>
      </c>
      <c r="E460" s="1" t="s">
        <v>39</v>
      </c>
      <c r="F460" s="25" t="s">
        <v>1954</v>
      </c>
      <c r="G460" s="1" t="s">
        <v>1954</v>
      </c>
      <c r="H460" s="1" t="s">
        <v>37</v>
      </c>
      <c r="I460" s="1" t="s">
        <v>39</v>
      </c>
      <c r="J460" s="1" t="s">
        <v>39</v>
      </c>
      <c r="K460" s="1" t="s">
        <v>39</v>
      </c>
      <c r="L460" s="1" t="s">
        <v>39</v>
      </c>
      <c r="M460" s="1" t="s">
        <v>39</v>
      </c>
      <c r="N460" s="1" t="s">
        <v>39</v>
      </c>
      <c r="O460" s="1"/>
      <c r="P460" s="1"/>
      <c r="Q460" s="1"/>
      <c r="R460" s="1" t="s">
        <v>60</v>
      </c>
      <c r="S460" s="1" t="s">
        <v>61</v>
      </c>
      <c r="T460" s="1" t="s">
        <v>62</v>
      </c>
      <c r="U460" s="1" t="s">
        <v>63</v>
      </c>
      <c r="V460" s="1" t="s">
        <v>63</v>
      </c>
      <c r="W460" s="1" t="s">
        <v>1955</v>
      </c>
      <c r="X460" s="1" t="s">
        <v>1956</v>
      </c>
      <c r="Y460" s="1" t="s">
        <v>66</v>
      </c>
      <c r="Z460" s="1" t="s">
        <v>1957</v>
      </c>
      <c r="AA460" s="1" t="s">
        <v>47</v>
      </c>
      <c r="AB460" s="1" t="s">
        <v>39</v>
      </c>
      <c r="AC460" s="1" t="s">
        <v>37</v>
      </c>
      <c r="AD460" s="1" t="s">
        <v>37</v>
      </c>
      <c r="AE460" s="1" t="s">
        <v>37</v>
      </c>
      <c r="AF460" s="1" t="s">
        <v>37</v>
      </c>
      <c r="AG460" s="1" t="s">
        <v>37</v>
      </c>
      <c r="AH460" s="1" t="s">
        <v>37</v>
      </c>
      <c r="AI460" s="1" t="s">
        <v>37</v>
      </c>
      <c r="AJ460" s="1" t="s">
        <v>39</v>
      </c>
      <c r="AK460" s="1" t="str">
        <f t="shared" si="15"/>
        <v>Fora de âmbito</v>
      </c>
      <c r="AL460" s="1" t="str">
        <f>+IF(IFERROR(VLOOKUP(A460,Ficheiros!I:I,1,FALSE),"")=A460,"Sim","Não")</f>
        <v>Sim</v>
      </c>
      <c r="AM460" s="1" t="str">
        <f>+IF(IFERROR(VLOOKUP(A460,Ficheiros!E:E,1,FALSE),"")=A460,"Sim","Não")</f>
        <v>Não</v>
      </c>
      <c r="AN460" s="1" t="str">
        <f>+IF(IFERROR(VLOOKUP(A460,Ficheiros!O:O,1,FALSE),"")=A460,"Sim","Não")</f>
        <v>Não</v>
      </c>
      <c r="AO460" s="1" t="str">
        <f>+IF(IFERROR(VLOOKUP(A460,'Especificação Novos Req. LT (2'!A:A,1,FALSE),"")=A460,"Sim","Não")</f>
        <v>Não</v>
      </c>
      <c r="AP460" s="1" t="str">
        <f>+IF(IFERROR(VLOOKUP(A460,Ficheiros!T:T,1,FALSE),"")=A460,"Sim","Não")</f>
        <v>Sim</v>
      </c>
      <c r="AQ460" s="1" t="e">
        <f>+VLOOKUP(A460,Ficheiros!O:P,2,FALSE)</f>
        <v>#N/A</v>
      </c>
      <c r="AR460" s="1" t="str">
        <f>+VLOOKUP(A460,Ficheiros!T:U,2,FALSE)</f>
        <v>7. Analisar controlos e completude</v>
      </c>
      <c r="AS460" s="1" t="str">
        <f>+VLOOKUP(A460,Ficheiros!T:V,3,FALSE)</f>
        <v>PM</v>
      </c>
      <c r="AT460" s="1"/>
      <c r="AU460" s="1"/>
      <c r="AV460" s="1"/>
      <c r="AW460" s="1"/>
      <c r="AX460" s="1"/>
    </row>
    <row r="461" spans="1:50" hidden="1" x14ac:dyDescent="0.35">
      <c r="A461" s="5" t="str">
        <f t="shared" si="14"/>
        <v>PROTECTIONDT_RFRNC</v>
      </c>
      <c r="B461" s="1" t="s">
        <v>1958</v>
      </c>
      <c r="C461" s="1" t="s">
        <v>1952</v>
      </c>
      <c r="D461" s="1" t="s">
        <v>49</v>
      </c>
      <c r="E461" s="1" t="s">
        <v>39</v>
      </c>
      <c r="F461" s="25" t="s">
        <v>91</v>
      </c>
      <c r="G461" s="1" t="s">
        <v>91</v>
      </c>
      <c r="H461" s="1" t="s">
        <v>37</v>
      </c>
      <c r="I461" s="1" t="s">
        <v>39</v>
      </c>
      <c r="J461" s="1" t="s">
        <v>39</v>
      </c>
      <c r="K461" s="1" t="s">
        <v>39</v>
      </c>
      <c r="L461" s="1" t="s">
        <v>39</v>
      </c>
      <c r="M461" s="1" t="s">
        <v>39</v>
      </c>
      <c r="N461" s="1" t="s">
        <v>39</v>
      </c>
      <c r="O461" s="1"/>
      <c r="P461" s="1"/>
      <c r="Q461" s="1"/>
      <c r="R461" s="1" t="s">
        <v>60</v>
      </c>
      <c r="S461" s="1" t="s">
        <v>61</v>
      </c>
      <c r="T461" s="1" t="s">
        <v>42</v>
      </c>
      <c r="U461" s="1" t="s">
        <v>42</v>
      </c>
      <c r="V461" s="1" t="s">
        <v>42</v>
      </c>
      <c r="W461" s="1" t="s">
        <v>768</v>
      </c>
      <c r="X461" s="1" t="s">
        <v>93</v>
      </c>
      <c r="Y461" s="1" t="s">
        <v>45</v>
      </c>
      <c r="Z461" s="1" t="s">
        <v>46</v>
      </c>
      <c r="AA461" s="1" t="s">
        <v>47</v>
      </c>
      <c r="AB461" s="1" t="s">
        <v>39</v>
      </c>
      <c r="AC461" s="1" t="s">
        <v>39</v>
      </c>
      <c r="AD461" s="1" t="s">
        <v>39</v>
      </c>
      <c r="AE461" s="1" t="s">
        <v>37</v>
      </c>
      <c r="AF461" s="1" t="s">
        <v>39</v>
      </c>
      <c r="AG461" s="1" t="s">
        <v>37</v>
      </c>
      <c r="AH461" s="1" t="s">
        <v>39</v>
      </c>
      <c r="AI461" s="1" t="s">
        <v>39</v>
      </c>
      <c r="AJ461" s="1" t="s">
        <v>39</v>
      </c>
      <c r="AK461" s="1" t="str">
        <f t="shared" si="15"/>
        <v>Comum</v>
      </c>
      <c r="AL461" s="1" t="str">
        <f>+IF(IFERROR(VLOOKUP(A461,Ficheiros!I:I,1,FALSE),"")=A461,"Sim","Não")</f>
        <v>Sim</v>
      </c>
      <c r="AM461" s="1" t="str">
        <f>+IF(IFERROR(VLOOKUP(A461,Ficheiros!E:E,1,FALSE),"")=A461,"Sim","Não")</f>
        <v>Não</v>
      </c>
      <c r="AN461" s="1" t="str">
        <f>+IF(IFERROR(VLOOKUP(A461,Ficheiros!O:O,1,FALSE),"")=A461,"Sim","Não")</f>
        <v>Sim</v>
      </c>
      <c r="AO461" s="1" t="str">
        <f>+IF(IFERROR(VLOOKUP(A461,'Especificação Novos Req. LT (2'!A:A,1,FALSE),"")=A461,"Sim","Não")</f>
        <v>Não</v>
      </c>
      <c r="AP461" s="1" t="str">
        <f>+IF(IFERROR(VLOOKUP(A461,Ficheiros!T:T,1,FALSE),"")=A461,"Sim","Não")</f>
        <v>Sim</v>
      </c>
      <c r="AQ461" s="1" t="str">
        <f>+VLOOKUP(A461,Ficheiros!O:P,2,FALSE)</f>
        <v>1. Concluído</v>
      </c>
      <c r="AR461" s="1" t="str">
        <f>+VLOOKUP(A461,Ficheiros!T:U,2,FALSE)</f>
        <v>9. Concluído</v>
      </c>
      <c r="AS461" s="1" t="str">
        <f>+VLOOKUP(A461,Ficheiros!T:V,3,FALSE)</f>
        <v>PM</v>
      </c>
      <c r="AT461" s="1"/>
      <c r="AU461" s="1"/>
      <c r="AV461" s="1"/>
      <c r="AW461" s="1"/>
      <c r="AX461" s="1"/>
    </row>
    <row r="462" spans="1:50" ht="14.5" hidden="1" customHeight="1" x14ac:dyDescent="0.35">
      <c r="A462" s="5" t="str">
        <f t="shared" si="14"/>
        <v>PROTECTIONNTNL_ID</v>
      </c>
      <c r="B462" s="1" t="s">
        <v>1959</v>
      </c>
      <c r="C462" s="1" t="s">
        <v>1952</v>
      </c>
      <c r="D462" s="1" t="s">
        <v>49</v>
      </c>
      <c r="E462" s="1" t="s">
        <v>37</v>
      </c>
      <c r="F462" s="25" t="s">
        <v>1960</v>
      </c>
      <c r="G462" s="1" t="s">
        <v>1960</v>
      </c>
      <c r="H462" s="1" t="s">
        <v>37</v>
      </c>
      <c r="I462" s="1" t="s">
        <v>39</v>
      </c>
      <c r="J462" s="1" t="s">
        <v>39</v>
      </c>
      <c r="K462" s="1" t="s">
        <v>39</v>
      </c>
      <c r="L462" s="1" t="s">
        <v>39</v>
      </c>
      <c r="M462" s="1" t="s">
        <v>39</v>
      </c>
      <c r="N462" s="1" t="s">
        <v>39</v>
      </c>
      <c r="O462" s="1"/>
      <c r="P462" s="1"/>
      <c r="Q462" s="1"/>
      <c r="R462" s="1" t="s">
        <v>96</v>
      </c>
      <c r="S462" s="1" t="s">
        <v>41</v>
      </c>
      <c r="T462" s="1" t="s">
        <v>53</v>
      </c>
      <c r="U462" s="1" t="s">
        <v>46</v>
      </c>
      <c r="V462" s="1" t="s">
        <v>46</v>
      </c>
      <c r="W462" s="1" t="s">
        <v>1961</v>
      </c>
      <c r="X462" s="1" t="s">
        <v>1962</v>
      </c>
      <c r="Y462" s="1" t="s">
        <v>66</v>
      </c>
      <c r="Z462" s="1" t="s">
        <v>1963</v>
      </c>
      <c r="AA462" s="1" t="s">
        <v>47</v>
      </c>
      <c r="AB462" s="1" t="s">
        <v>39</v>
      </c>
      <c r="AC462" s="1" t="s">
        <v>37</v>
      </c>
      <c r="AD462" s="1" t="s">
        <v>37</v>
      </c>
      <c r="AE462" s="1" t="s">
        <v>37</v>
      </c>
      <c r="AF462" s="1" t="s">
        <v>37</v>
      </c>
      <c r="AG462" s="1" t="s">
        <v>37</v>
      </c>
      <c r="AH462" s="1" t="s">
        <v>37</v>
      </c>
      <c r="AI462" s="1" t="s">
        <v>37</v>
      </c>
      <c r="AJ462" s="1" t="s">
        <v>39</v>
      </c>
      <c r="AK462" s="1" t="str">
        <f t="shared" si="15"/>
        <v>Fora de âmbito</v>
      </c>
      <c r="AL462" s="1" t="str">
        <f>+IF(IFERROR(VLOOKUP(A462,Ficheiros!I:I,1,FALSE),"")=A462,"Sim","Não")</f>
        <v>Sim</v>
      </c>
      <c r="AM462" s="1" t="str">
        <f>+IF(IFERROR(VLOOKUP(A462,Ficheiros!E:E,1,FALSE),"")=A462,"Sim","Não")</f>
        <v>Não</v>
      </c>
      <c r="AN462" s="1" t="str">
        <f>+IF(IFERROR(VLOOKUP(A462,Ficheiros!O:O,1,FALSE),"")=A462,"Sim","Não")</f>
        <v>Não</v>
      </c>
      <c r="AO462" s="1" t="str">
        <f>+IF(IFERROR(VLOOKUP(A462,'Especificação Novos Req. LT (2'!A:A,1,FALSE),"")=A462,"Sim","Não")</f>
        <v>Não</v>
      </c>
      <c r="AP462" s="1" t="str">
        <f>+IF(IFERROR(VLOOKUP(A462,Ficheiros!T:T,1,FALSE),"")=A462,"Sim","Não")</f>
        <v>Sim</v>
      </c>
      <c r="AQ462" s="1" t="e">
        <f>+VLOOKUP(A462,Ficheiros!O:P,2,FALSE)</f>
        <v>#N/A</v>
      </c>
      <c r="AR462" s="1" t="str">
        <f>+VLOOKUP(A462,Ficheiros!T:U,2,FALSE)</f>
        <v>9. Concluído</v>
      </c>
      <c r="AS462" s="1" t="str">
        <f>+VLOOKUP(A462,Ficheiros!T:V,3,FALSE)</f>
        <v>PM</v>
      </c>
      <c r="AT462" s="1"/>
      <c r="AU462" s="1"/>
      <c r="AV462" s="1"/>
      <c r="AW462" s="1"/>
      <c r="AX462" s="1"/>
    </row>
    <row r="463" spans="1:50" hidden="1" x14ac:dyDescent="0.35">
      <c r="A463" s="5" t="str">
        <f t="shared" si="14"/>
        <v>PROTECTIONPRTCTN_ID</v>
      </c>
      <c r="B463" s="1" t="s">
        <v>1964</v>
      </c>
      <c r="C463" s="1" t="s">
        <v>1952</v>
      </c>
      <c r="D463" s="1" t="s">
        <v>49</v>
      </c>
      <c r="E463" s="1" t="s">
        <v>39</v>
      </c>
      <c r="F463" s="25" t="s">
        <v>1931</v>
      </c>
      <c r="G463" s="1" t="s">
        <v>1931</v>
      </c>
      <c r="H463" s="1" t="s">
        <v>37</v>
      </c>
      <c r="I463" s="1" t="s">
        <v>39</v>
      </c>
      <c r="J463" s="1" t="s">
        <v>39</v>
      </c>
      <c r="K463" s="1" t="s">
        <v>39</v>
      </c>
      <c r="L463" s="1" t="s">
        <v>39</v>
      </c>
      <c r="M463" s="1" t="s">
        <v>39</v>
      </c>
      <c r="N463" s="1" t="s">
        <v>39</v>
      </c>
      <c r="O463" s="1"/>
      <c r="P463" s="1"/>
      <c r="Q463" s="1"/>
      <c r="R463" s="1" t="s">
        <v>657</v>
      </c>
      <c r="S463" s="1" t="s">
        <v>41</v>
      </c>
      <c r="T463" s="1" t="s">
        <v>42</v>
      </c>
      <c r="U463" s="1" t="s">
        <v>42</v>
      </c>
      <c r="V463" s="1" t="s">
        <v>42</v>
      </c>
      <c r="W463" s="1" t="s">
        <v>1932</v>
      </c>
      <c r="X463" s="1" t="s">
        <v>1965</v>
      </c>
      <c r="Y463" s="1" t="s">
        <v>45</v>
      </c>
      <c r="Z463" s="1" t="s">
        <v>46</v>
      </c>
      <c r="AA463" s="1" t="s">
        <v>47</v>
      </c>
      <c r="AB463" s="1" t="s">
        <v>39</v>
      </c>
      <c r="AC463" s="1" t="s">
        <v>39</v>
      </c>
      <c r="AD463" s="1" t="s">
        <v>39</v>
      </c>
      <c r="AE463" s="1" t="s">
        <v>37</v>
      </c>
      <c r="AF463" s="1" t="s">
        <v>39</v>
      </c>
      <c r="AG463" s="1" t="s">
        <v>37</v>
      </c>
      <c r="AH463" s="1" t="s">
        <v>39</v>
      </c>
      <c r="AI463" s="1" t="s">
        <v>39</v>
      </c>
      <c r="AJ463" s="1" t="s">
        <v>39</v>
      </c>
      <c r="AK463" s="1" t="str">
        <f t="shared" si="15"/>
        <v>Comum</v>
      </c>
      <c r="AL463" s="1" t="str">
        <f>+IF(IFERROR(VLOOKUP(A463,Ficheiros!I:I,1,FALSE),"")=A463,"Sim","Não")</f>
        <v>Sim</v>
      </c>
      <c r="AM463" s="1" t="str">
        <f>+IF(IFERROR(VLOOKUP(A463,Ficheiros!E:E,1,FALSE),"")=A463,"Sim","Não")</f>
        <v>Sim</v>
      </c>
      <c r="AN463" s="1" t="str">
        <f>+IF(IFERROR(VLOOKUP(A463,Ficheiros!O:O,1,FALSE),"")=A463,"Sim","Não")</f>
        <v>Sim</v>
      </c>
      <c r="AO463" s="1" t="str">
        <f>+IF(IFERROR(VLOOKUP(A463,'Especificação Novos Req. LT (2'!A:A,1,FALSE),"")=A463,"Sim","Não")</f>
        <v>Não</v>
      </c>
      <c r="AP463" s="1" t="str">
        <f>+IF(IFERROR(VLOOKUP(A463,Ficheiros!T:T,1,FALSE),"")=A463,"Sim","Não")</f>
        <v>Sim</v>
      </c>
      <c r="AQ463" s="1" t="str">
        <f>+VLOOKUP(A463,Ficheiros!O:P,2,FALSE)</f>
        <v>1. Concluído</v>
      </c>
      <c r="AR463" s="1" t="str">
        <f>+VLOOKUP(A463,Ficheiros!T:U,2,FALSE)</f>
        <v>7. Analisar controlos e completude</v>
      </c>
      <c r="AS463" s="1" t="str">
        <f>+VLOOKUP(A463,Ficheiros!T:V,3,FALSE)</f>
        <v>PM</v>
      </c>
      <c r="AT463" s="1"/>
      <c r="AU463" s="1"/>
      <c r="AV463" s="1"/>
      <c r="AW463" s="1"/>
      <c r="AX463" s="1"/>
    </row>
    <row r="464" spans="1:50" ht="14.5" hidden="1" customHeight="1" x14ac:dyDescent="0.35">
      <c r="A464" s="5" t="str">
        <f t="shared" si="14"/>
        <v>PROTECTIONPRTCTN_PRVDR_ID</v>
      </c>
      <c r="B464" s="1" t="s">
        <v>1966</v>
      </c>
      <c r="C464" s="1" t="s">
        <v>1952</v>
      </c>
      <c r="D464" s="1" t="s">
        <v>49</v>
      </c>
      <c r="E464" s="1" t="s">
        <v>39</v>
      </c>
      <c r="F464" s="25" t="s">
        <v>1967</v>
      </c>
      <c r="G464" s="1" t="s">
        <v>1967</v>
      </c>
      <c r="H464" s="1" t="s">
        <v>37</v>
      </c>
      <c r="I464" s="1" t="s">
        <v>39</v>
      </c>
      <c r="J464" s="1" t="s">
        <v>39</v>
      </c>
      <c r="K464" s="1" t="s">
        <v>39</v>
      </c>
      <c r="L464" s="1" t="s">
        <v>39</v>
      </c>
      <c r="M464" s="1" t="s">
        <v>39</v>
      </c>
      <c r="N464" s="1" t="s">
        <v>39</v>
      </c>
      <c r="O464" s="1"/>
      <c r="P464" s="1"/>
      <c r="Q464" s="1"/>
      <c r="R464" s="1" t="s">
        <v>826</v>
      </c>
      <c r="S464" s="1" t="s">
        <v>41</v>
      </c>
      <c r="T464" s="1" t="s">
        <v>53</v>
      </c>
      <c r="U464" s="1" t="s">
        <v>46</v>
      </c>
      <c r="V464" s="1" t="s">
        <v>46</v>
      </c>
      <c r="W464" s="1" t="s">
        <v>1968</v>
      </c>
      <c r="X464" s="1" t="s">
        <v>1969</v>
      </c>
      <c r="Y464" s="1" t="s">
        <v>84</v>
      </c>
      <c r="Z464" s="1" t="s">
        <v>1970</v>
      </c>
      <c r="AA464" s="1" t="s">
        <v>47</v>
      </c>
      <c r="AB464" s="1" t="s">
        <v>39</v>
      </c>
      <c r="AC464" s="1" t="s">
        <v>37</v>
      </c>
      <c r="AD464" s="1" t="s">
        <v>37</v>
      </c>
      <c r="AE464" s="1" t="s">
        <v>37</v>
      </c>
      <c r="AF464" s="1" t="s">
        <v>37</v>
      </c>
      <c r="AG464" s="1" t="s">
        <v>37</v>
      </c>
      <c r="AH464" s="1" t="s">
        <v>37</v>
      </c>
      <c r="AI464" s="1" t="s">
        <v>37</v>
      </c>
      <c r="AJ464" s="1" t="s">
        <v>39</v>
      </c>
      <c r="AK464" s="1" t="str">
        <f t="shared" si="15"/>
        <v>Fora de âmbito</v>
      </c>
      <c r="AL464" s="1" t="str">
        <f>+IF(IFERROR(VLOOKUP(A464,Ficheiros!I:I,1,FALSE),"")=A464,"Sim","Não")</f>
        <v>Sim</v>
      </c>
      <c r="AM464" s="1" t="str">
        <f>+IF(IFERROR(VLOOKUP(A464,Ficheiros!E:E,1,FALSE),"")=A464,"Sim","Não")</f>
        <v>Não</v>
      </c>
      <c r="AN464" s="1" t="str">
        <f>+IF(IFERROR(VLOOKUP(A464,Ficheiros!O:O,1,FALSE),"")=A464,"Sim","Não")</f>
        <v>Não</v>
      </c>
      <c r="AO464" s="1" t="str">
        <f>+IF(IFERROR(VLOOKUP(A464,'Especificação Novos Req. LT (2'!A:A,1,FALSE),"")=A464,"Sim","Não")</f>
        <v>Não</v>
      </c>
      <c r="AP464" s="1" t="str">
        <f>+IF(IFERROR(VLOOKUP(A464,Ficheiros!T:T,1,FALSE),"")=A464,"Sim","Não")</f>
        <v>Sim</v>
      </c>
      <c r="AQ464" s="1" t="e">
        <f>+VLOOKUP(A464,Ficheiros!O:P,2,FALSE)</f>
        <v>#N/A</v>
      </c>
      <c r="AR464" s="1" t="str">
        <f>+VLOOKUP(A464,Ficheiros!T:U,2,FALSE)</f>
        <v>7. Analisar controlos e completude</v>
      </c>
      <c r="AS464" s="1" t="str">
        <f>+VLOOKUP(A464,Ficheiros!T:V,3,FALSE)</f>
        <v>PM</v>
      </c>
      <c r="AT464" s="1"/>
      <c r="AU464" s="1"/>
      <c r="AV464" s="1"/>
      <c r="AW464" s="1"/>
      <c r="AX464" s="1"/>
    </row>
    <row r="465" spans="1:50" ht="14.5" hidden="1" customHeight="1" x14ac:dyDescent="0.35">
      <c r="A465" s="5" t="str">
        <f t="shared" si="14"/>
        <v>PROTECTIONRL_ESTT_ADDRSS</v>
      </c>
      <c r="B465" s="1" t="s">
        <v>1971</v>
      </c>
      <c r="C465" s="1" t="s">
        <v>1952</v>
      </c>
      <c r="D465" s="1" t="s">
        <v>49</v>
      </c>
      <c r="E465" s="1" t="s">
        <v>37</v>
      </c>
      <c r="F465" s="25" t="s">
        <v>1972</v>
      </c>
      <c r="G465" s="1" t="s">
        <v>1972</v>
      </c>
      <c r="H465" s="1" t="s">
        <v>37</v>
      </c>
      <c r="I465" s="1" t="s">
        <v>39</v>
      </c>
      <c r="J465" s="1" t="s">
        <v>39</v>
      </c>
      <c r="K465" s="1" t="s">
        <v>39</v>
      </c>
      <c r="L465" s="1" t="s">
        <v>39</v>
      </c>
      <c r="M465" s="1" t="s">
        <v>39</v>
      </c>
      <c r="N465" s="1" t="s">
        <v>39</v>
      </c>
      <c r="O465" s="1"/>
      <c r="P465" s="1"/>
      <c r="Q465" s="1"/>
      <c r="R465" s="1" t="s">
        <v>96</v>
      </c>
      <c r="S465" s="1" t="s">
        <v>41</v>
      </c>
      <c r="T465" s="1" t="s">
        <v>53</v>
      </c>
      <c r="U465" s="1" t="s">
        <v>46</v>
      </c>
      <c r="V465" s="1" t="s">
        <v>46</v>
      </c>
      <c r="W465" s="1" t="s">
        <v>1973</v>
      </c>
      <c r="X465" s="1" t="s">
        <v>1973</v>
      </c>
      <c r="Y465" s="1" t="s">
        <v>45</v>
      </c>
      <c r="Z465" s="1" t="s">
        <v>46</v>
      </c>
      <c r="AA465" s="1" t="s">
        <v>47</v>
      </c>
      <c r="AB465" s="1" t="s">
        <v>39</v>
      </c>
      <c r="AC465" s="1" t="s">
        <v>37</v>
      </c>
      <c r="AD465" s="1" t="s">
        <v>37</v>
      </c>
      <c r="AE465" s="1" t="s">
        <v>37</v>
      </c>
      <c r="AF465" s="1" t="s">
        <v>39</v>
      </c>
      <c r="AG465" s="1" t="s">
        <v>37</v>
      </c>
      <c r="AH465" s="1" t="s">
        <v>37</v>
      </c>
      <c r="AI465" s="1" t="s">
        <v>37</v>
      </c>
      <c r="AJ465" s="1" t="s">
        <v>39</v>
      </c>
      <c r="AK465" s="1" t="str">
        <f t="shared" si="15"/>
        <v>Apenas ESG Risk</v>
      </c>
      <c r="AL465" s="1" t="str">
        <f>+IF(IFERROR(VLOOKUP(A465,Ficheiros!I:I,1,FALSE),"")=A465,"Sim","Não")</f>
        <v>Sim</v>
      </c>
      <c r="AM465" s="1" t="str">
        <f>+IF(IFERROR(VLOOKUP(A465,Ficheiros!E:E,1,FALSE),"")=A465,"Sim","Não")</f>
        <v>Não</v>
      </c>
      <c r="AN465" s="1" t="str">
        <f>+IF(IFERROR(VLOOKUP(A465,Ficheiros!O:O,1,FALSE),"")=A465,"Sim","Não")</f>
        <v>Não</v>
      </c>
      <c r="AO465" s="1" t="str">
        <f>+IF(IFERROR(VLOOKUP(A465,'Especificação Novos Req. LT (2'!A:A,1,FALSE),"")=A465,"Sim","Não")</f>
        <v>Sim</v>
      </c>
      <c r="AP465" s="1" t="str">
        <f>+IF(IFERROR(VLOOKUP(A465,Ficheiros!T:T,1,FALSE),"")=A465,"Sim","Não")</f>
        <v>Sim</v>
      </c>
      <c r="AQ465" s="1" t="e">
        <f>+VLOOKUP(A465,Ficheiros!O:P,2,FALSE)</f>
        <v>#N/A</v>
      </c>
      <c r="AR465" s="1" t="str">
        <f>+VLOOKUP(A465,Ficheiros!T:U,2,FALSE)</f>
        <v>7. Analisar controlos e completude</v>
      </c>
      <c r="AS465" s="1" t="str">
        <f>+VLOOKUP(A465,Ficheiros!T:V,3,FALSE)</f>
        <v>PM</v>
      </c>
      <c r="AT465" s="1"/>
      <c r="AU465" s="1"/>
      <c r="AV465" s="1" t="s">
        <v>2535</v>
      </c>
      <c r="AW465" s="1"/>
      <c r="AX465" s="1"/>
    </row>
    <row r="466" spans="1:50" hidden="1" x14ac:dyDescent="0.35">
      <c r="A466" s="5" t="str">
        <f t="shared" si="14"/>
        <v>PROTECTIONRL_ESTT_CLLTRL_LCTN</v>
      </c>
      <c r="B466" s="1" t="s">
        <v>1974</v>
      </c>
      <c r="C466" s="1" t="s">
        <v>1952</v>
      </c>
      <c r="D466" s="1" t="s">
        <v>49</v>
      </c>
      <c r="E466" s="1" t="s">
        <v>39</v>
      </c>
      <c r="F466" s="26" t="s">
        <v>1975</v>
      </c>
      <c r="G466" s="1" t="s">
        <v>1975</v>
      </c>
      <c r="H466" s="1" t="s">
        <v>37</v>
      </c>
      <c r="I466" s="1" t="s">
        <v>39</v>
      </c>
      <c r="J466" s="1" t="s">
        <v>39</v>
      </c>
      <c r="K466" s="1" t="s">
        <v>39</v>
      </c>
      <c r="L466" s="1" t="s">
        <v>39</v>
      </c>
      <c r="M466" s="1" t="s">
        <v>39</v>
      </c>
      <c r="N466" s="1" t="s">
        <v>39</v>
      </c>
      <c r="O466" s="1"/>
      <c r="P466" s="1"/>
      <c r="Q466" s="1"/>
      <c r="R466" s="1" t="s">
        <v>51</v>
      </c>
      <c r="S466" s="1" t="s">
        <v>52</v>
      </c>
      <c r="T466" s="1" t="s">
        <v>53</v>
      </c>
      <c r="U466" s="1" t="s">
        <v>46</v>
      </c>
      <c r="V466" s="1" t="s">
        <v>46</v>
      </c>
      <c r="W466" s="1" t="s">
        <v>1976</v>
      </c>
      <c r="X466" s="1" t="s">
        <v>1977</v>
      </c>
      <c r="Y466" s="1" t="s">
        <v>66</v>
      </c>
      <c r="Z466" s="1" t="s">
        <v>1978</v>
      </c>
      <c r="AA466" s="1" t="s">
        <v>47</v>
      </c>
      <c r="AB466" s="1" t="s">
        <v>39</v>
      </c>
      <c r="AC466" s="1" t="s">
        <v>37</v>
      </c>
      <c r="AD466" s="1" t="s">
        <v>39</v>
      </c>
      <c r="AE466" s="1" t="s">
        <v>37</v>
      </c>
      <c r="AF466" s="1" t="s">
        <v>39</v>
      </c>
      <c r="AG466" s="1" t="s">
        <v>37</v>
      </c>
      <c r="AH466" s="1" t="s">
        <v>37</v>
      </c>
      <c r="AI466" s="1" t="s">
        <v>39</v>
      </c>
      <c r="AJ466" s="1" t="s">
        <v>39</v>
      </c>
      <c r="AK466" s="1" t="str">
        <f t="shared" si="15"/>
        <v>Comum</v>
      </c>
      <c r="AL466" s="1" t="str">
        <f>+IF(IFERROR(VLOOKUP(A466,Ficheiros!I:I,1,FALSE),"")=A466,"Sim","Não")</f>
        <v>Sim</v>
      </c>
      <c r="AM466" s="1" t="str">
        <f>+IF(IFERROR(VLOOKUP(A466,Ficheiros!E:E,1,FALSE),"")=A466,"Sim","Não")</f>
        <v>Sim</v>
      </c>
      <c r="AN466" s="1" t="str">
        <f>+IF(IFERROR(VLOOKUP(A466,Ficheiros!O:O,1,FALSE),"")=A466,"Sim","Não")</f>
        <v>Sim</v>
      </c>
      <c r="AO466" s="1" t="str">
        <f>+IF(IFERROR(VLOOKUP(A466,'Especificação Novos Req. LT (2'!A:A,1,FALSE),"")=A466,"Sim","Não")</f>
        <v>Não</v>
      </c>
      <c r="AP466" s="1" t="str">
        <f>+IF(IFERROR(VLOOKUP(A466,Ficheiros!T:T,1,FALSE),"")=A466,"Sim","Não")</f>
        <v>Sim</v>
      </c>
      <c r="AQ466" s="1" t="str">
        <f>+VLOOKUP(A466,Ficheiros!O:P,2,FALSE)</f>
        <v>1. Concluído</v>
      </c>
      <c r="AR466" s="1" t="str">
        <f>+VLOOKUP(A466,Ficheiros!T:U,2,FALSE)</f>
        <v>2. Alterar especificação</v>
      </c>
      <c r="AS466" s="1" t="str">
        <f>+VLOOKUP(A466,Ficheiros!T:V,3,FALSE)</f>
        <v>PM</v>
      </c>
      <c r="AT466" s="1"/>
      <c r="AU466" s="1"/>
      <c r="AV466" s="1"/>
      <c r="AW466" s="1"/>
      <c r="AX466" s="1"/>
    </row>
    <row r="467" spans="1:50" ht="14.5" hidden="1" customHeight="1" x14ac:dyDescent="0.35">
      <c r="A467" s="5" t="str">
        <f t="shared" si="14"/>
        <v>PROTECTIONRL_ESTT_CLLTRL_LCTN_INT</v>
      </c>
      <c r="B467" s="1" t="s">
        <v>1979</v>
      </c>
      <c r="C467" s="1" t="s">
        <v>1952</v>
      </c>
      <c r="D467" s="1" t="s">
        <v>49</v>
      </c>
      <c r="E467" s="1" t="s">
        <v>37</v>
      </c>
      <c r="F467" s="25" t="s">
        <v>1980</v>
      </c>
      <c r="G467" s="1" t="s">
        <v>1980</v>
      </c>
      <c r="H467" s="1" t="s">
        <v>37</v>
      </c>
      <c r="I467" s="1" t="s">
        <v>39</v>
      </c>
      <c r="J467" s="1" t="s">
        <v>39</v>
      </c>
      <c r="K467" s="1" t="s">
        <v>39</v>
      </c>
      <c r="L467" s="1" t="s">
        <v>39</v>
      </c>
      <c r="M467" s="1" t="s">
        <v>39</v>
      </c>
      <c r="N467" s="1" t="s">
        <v>39</v>
      </c>
      <c r="O467" s="1"/>
      <c r="P467" s="1"/>
      <c r="Q467" s="1"/>
      <c r="R467" s="1" t="s">
        <v>96</v>
      </c>
      <c r="S467" s="1" t="s">
        <v>41</v>
      </c>
      <c r="T467" s="1" t="s">
        <v>53</v>
      </c>
      <c r="U467" s="1" t="s">
        <v>46</v>
      </c>
      <c r="V467" s="1" t="s">
        <v>46</v>
      </c>
      <c r="W467" s="1" t="s">
        <v>1981</v>
      </c>
      <c r="X467" s="1" t="s">
        <v>1982</v>
      </c>
      <c r="Y467" s="1" t="s">
        <v>66</v>
      </c>
      <c r="Z467" s="1" t="s">
        <v>1983</v>
      </c>
      <c r="AA467" s="1" t="s">
        <v>47</v>
      </c>
      <c r="AB467" s="1" t="s">
        <v>39</v>
      </c>
      <c r="AC467" s="1" t="s">
        <v>37</v>
      </c>
      <c r="AD467" s="1" t="s">
        <v>37</v>
      </c>
      <c r="AE467" s="1" t="s">
        <v>37</v>
      </c>
      <c r="AF467" s="1" t="s">
        <v>39</v>
      </c>
      <c r="AG467" s="1" t="s">
        <v>37</v>
      </c>
      <c r="AH467" s="1" t="s">
        <v>37</v>
      </c>
      <c r="AI467" s="1" t="s">
        <v>37</v>
      </c>
      <c r="AJ467" s="1" t="s">
        <v>39</v>
      </c>
      <c r="AK467" s="1" t="str">
        <f t="shared" si="15"/>
        <v>Apenas ESG Risk</v>
      </c>
      <c r="AL467" s="1" t="str">
        <f>+IF(IFERROR(VLOOKUP(A467,Ficheiros!I:I,1,FALSE),"")=A467,"Sim","Não")</f>
        <v>Sim</v>
      </c>
      <c r="AM467" s="1" t="str">
        <f>+IF(IFERROR(VLOOKUP(A467,Ficheiros!E:E,1,FALSE),"")=A467,"Sim","Não")</f>
        <v>Não</v>
      </c>
      <c r="AN467" s="1" t="str">
        <f>+IF(IFERROR(VLOOKUP(A467,Ficheiros!O:O,1,FALSE),"")=A467,"Sim","Não")</f>
        <v>Não</v>
      </c>
      <c r="AO467" s="1" t="str">
        <f>+IF(IFERROR(VLOOKUP(A467,'Especificação Novos Req. LT (2'!A:A,1,FALSE),"")=A467,"Sim","Não")</f>
        <v>Sim</v>
      </c>
      <c r="AP467" s="1" t="str">
        <f>+IF(IFERROR(VLOOKUP(A467,Ficheiros!T:T,1,FALSE),"")=A467,"Sim","Não")</f>
        <v>Sim</v>
      </c>
      <c r="AQ467" s="1" t="e">
        <f>+VLOOKUP(A467,Ficheiros!O:P,2,FALSE)</f>
        <v>#N/A</v>
      </c>
      <c r="AR467" s="1" t="str">
        <f>+VLOOKUP(A467,Ficheiros!T:U,2,FALSE)</f>
        <v>7. Analisar controlos e completude</v>
      </c>
      <c r="AS467" s="1" t="str">
        <f>+VLOOKUP(A467,Ficheiros!T:V,3,FALSE)</f>
        <v>PM</v>
      </c>
      <c r="AT467" s="1"/>
      <c r="AU467" s="1"/>
      <c r="AV467" s="1" t="s">
        <v>2535</v>
      </c>
      <c r="AW467" s="1"/>
      <c r="AX467" s="1"/>
    </row>
    <row r="468" spans="1:50" ht="14.5" hidden="1" customHeight="1" x14ac:dyDescent="0.35">
      <c r="A468" s="5" t="str">
        <f t="shared" si="14"/>
        <v>PROTECTIONRL_ESTT_CTY</v>
      </c>
      <c r="B468" s="1" t="s">
        <v>1984</v>
      </c>
      <c r="C468" s="1" t="s">
        <v>1952</v>
      </c>
      <c r="D468" s="1" t="s">
        <v>49</v>
      </c>
      <c r="E468" s="1" t="s">
        <v>37</v>
      </c>
      <c r="F468" s="25" t="s">
        <v>1985</v>
      </c>
      <c r="G468" s="1" t="s">
        <v>1985</v>
      </c>
      <c r="H468" s="1" t="s">
        <v>37</v>
      </c>
      <c r="I468" s="1" t="s">
        <v>39</v>
      </c>
      <c r="J468" s="1" t="s">
        <v>39</v>
      </c>
      <c r="K468" s="1" t="s">
        <v>39</v>
      </c>
      <c r="L468" s="1" t="s">
        <v>39</v>
      </c>
      <c r="M468" s="1" t="s">
        <v>39</v>
      </c>
      <c r="N468" s="1" t="s">
        <v>39</v>
      </c>
      <c r="O468" s="1"/>
      <c r="P468" s="1"/>
      <c r="Q468" s="1"/>
      <c r="R468" s="1" t="s">
        <v>96</v>
      </c>
      <c r="S468" s="1" t="s">
        <v>41</v>
      </c>
      <c r="T468" s="1" t="s">
        <v>53</v>
      </c>
      <c r="U468" s="1" t="s">
        <v>46</v>
      </c>
      <c r="V468" s="1" t="s">
        <v>46</v>
      </c>
      <c r="W468" s="1" t="s">
        <v>1986</v>
      </c>
      <c r="X468" s="1" t="s">
        <v>1987</v>
      </c>
      <c r="Y468" s="1" t="s">
        <v>45</v>
      </c>
      <c r="Z468" s="1" t="s">
        <v>46</v>
      </c>
      <c r="AA468" s="1" t="s">
        <v>47</v>
      </c>
      <c r="AB468" s="1" t="s">
        <v>39</v>
      </c>
      <c r="AC468" s="1" t="s">
        <v>37</v>
      </c>
      <c r="AD468" s="1" t="s">
        <v>37</v>
      </c>
      <c r="AE468" s="1" t="s">
        <v>37</v>
      </c>
      <c r="AF468" s="1" t="s">
        <v>39</v>
      </c>
      <c r="AG468" s="1" t="s">
        <v>37</v>
      </c>
      <c r="AH468" s="1" t="s">
        <v>37</v>
      </c>
      <c r="AI468" s="1" t="s">
        <v>37</v>
      </c>
      <c r="AJ468" s="1" t="s">
        <v>39</v>
      </c>
      <c r="AK468" s="1" t="str">
        <f t="shared" si="15"/>
        <v>Apenas ESG Risk</v>
      </c>
      <c r="AL468" s="1" t="str">
        <f>+IF(IFERROR(VLOOKUP(A468,Ficheiros!I:I,1,FALSE),"")=A468,"Sim","Não")</f>
        <v>Sim</v>
      </c>
      <c r="AM468" s="1" t="str">
        <f>+IF(IFERROR(VLOOKUP(A468,Ficheiros!E:E,1,FALSE),"")=A468,"Sim","Não")</f>
        <v>Não</v>
      </c>
      <c r="AN468" s="1" t="str">
        <f>+IF(IFERROR(VLOOKUP(A468,Ficheiros!O:O,1,FALSE),"")=A468,"Sim","Não")</f>
        <v>Não</v>
      </c>
      <c r="AO468" s="1" t="str">
        <f>+IF(IFERROR(VLOOKUP(A468,'Especificação Novos Req. LT (2'!A:A,1,FALSE),"")=A468,"Sim","Não")</f>
        <v>Sim</v>
      </c>
      <c r="AP468" s="1" t="str">
        <f>+IF(IFERROR(VLOOKUP(A468,Ficheiros!T:T,1,FALSE),"")=A468,"Sim","Não")</f>
        <v>Sim</v>
      </c>
      <c r="AQ468" s="1" t="e">
        <f>+VLOOKUP(A468,Ficheiros!O:P,2,FALSE)</f>
        <v>#N/A</v>
      </c>
      <c r="AR468" s="1" t="str">
        <f>+VLOOKUP(A468,Ficheiros!T:U,2,FALSE)</f>
        <v>7. Analisar controlos e completude</v>
      </c>
      <c r="AS468" s="1" t="str">
        <f>+VLOOKUP(A468,Ficheiros!T:V,3,FALSE)</f>
        <v>PM</v>
      </c>
      <c r="AT468" s="1"/>
      <c r="AU468" s="1"/>
      <c r="AV468" s="1" t="s">
        <v>2535</v>
      </c>
      <c r="AW468" s="1"/>
      <c r="AX468" s="1"/>
    </row>
    <row r="469" spans="1:50" hidden="1" x14ac:dyDescent="0.35">
      <c r="A469" s="5" t="str">
        <f t="shared" si="14"/>
        <v>PROTECTIONRL_ESTT_PST_CD</v>
      </c>
      <c r="B469" s="1" t="s">
        <v>1988</v>
      </c>
      <c r="C469" s="1" t="s">
        <v>1952</v>
      </c>
      <c r="D469" s="1" t="s">
        <v>49</v>
      </c>
      <c r="E469" s="1" t="s">
        <v>37</v>
      </c>
      <c r="F469" s="25" t="s">
        <v>1989</v>
      </c>
      <c r="G469" s="1" t="s">
        <v>1989</v>
      </c>
      <c r="H469" s="1" t="s">
        <v>37</v>
      </c>
      <c r="I469" s="1" t="s">
        <v>39</v>
      </c>
      <c r="J469" s="1" t="s">
        <v>39</v>
      </c>
      <c r="K469" s="1" t="s">
        <v>39</v>
      </c>
      <c r="L469" s="1" t="s">
        <v>39</v>
      </c>
      <c r="M469" s="1" t="s">
        <v>39</v>
      </c>
      <c r="N469" s="1" t="s">
        <v>39</v>
      </c>
      <c r="O469" s="1"/>
      <c r="P469" s="1"/>
      <c r="Q469" s="1"/>
      <c r="R469" s="1" t="s">
        <v>96</v>
      </c>
      <c r="S469" s="1" t="s">
        <v>41</v>
      </c>
      <c r="T469" s="1" t="s">
        <v>53</v>
      </c>
      <c r="U469" s="1" t="s">
        <v>46</v>
      </c>
      <c r="V469" s="1" t="s">
        <v>46</v>
      </c>
      <c r="W469" s="1" t="s">
        <v>458</v>
      </c>
      <c r="X469" s="1" t="s">
        <v>459</v>
      </c>
      <c r="Y469" s="1" t="s">
        <v>66</v>
      </c>
      <c r="Z469" s="1" t="s">
        <v>1990</v>
      </c>
      <c r="AA469" s="1" t="s">
        <v>47</v>
      </c>
      <c r="AB469" s="1" t="s">
        <v>39</v>
      </c>
      <c r="AC469" s="1" t="s">
        <v>37</v>
      </c>
      <c r="AD469" s="1" t="s">
        <v>39</v>
      </c>
      <c r="AE469" s="1" t="s">
        <v>37</v>
      </c>
      <c r="AF469" s="1" t="s">
        <v>39</v>
      </c>
      <c r="AG469" s="1" t="s">
        <v>37</v>
      </c>
      <c r="AH469" s="1" t="s">
        <v>37</v>
      </c>
      <c r="AI469" s="1" t="s">
        <v>39</v>
      </c>
      <c r="AJ469" s="1" t="s">
        <v>39</v>
      </c>
      <c r="AK469" s="1" t="str">
        <f t="shared" si="15"/>
        <v>Comum</v>
      </c>
      <c r="AL469" s="1" t="str">
        <f>+IF(IFERROR(VLOOKUP(A469,Ficheiros!I:I,1,FALSE),"")=A469,"Sim","Não")</f>
        <v>Sim</v>
      </c>
      <c r="AM469" s="1" t="str">
        <f>+IF(IFERROR(VLOOKUP(A469,Ficheiros!E:E,1,FALSE),"")=A469,"Sim","Não")</f>
        <v>Sim</v>
      </c>
      <c r="AN469" s="1" t="str">
        <f>+IF(IFERROR(VLOOKUP(A469,Ficheiros!O:O,1,FALSE),"")=A469,"Sim","Não")</f>
        <v>Sim</v>
      </c>
      <c r="AO469" s="1" t="str">
        <f>+IF(IFERROR(VLOOKUP(A469,'Especificação Novos Req. LT (2'!A:A,1,FALSE),"")=A469,"Sim","Não")</f>
        <v>Não</v>
      </c>
      <c r="AP469" s="1" t="str">
        <f>+IF(IFERROR(VLOOKUP(A469,Ficheiros!T:T,1,FALSE),"")=A469,"Sim","Não")</f>
        <v>Sim</v>
      </c>
      <c r="AQ469" s="1" t="str">
        <f>+VLOOKUP(A469,Ficheiros!O:P,2,FALSE)</f>
        <v>1. Concluído</v>
      </c>
      <c r="AR469" s="1" t="str">
        <f>+VLOOKUP(A469,Ficheiros!T:U,2,FALSE)</f>
        <v>7. Analisar controlos e completude</v>
      </c>
      <c r="AS469" s="1" t="str">
        <f>+VLOOKUP(A469,Ficheiros!T:V,3,FALSE)</f>
        <v>PM</v>
      </c>
      <c r="AT469" s="1"/>
      <c r="AU469" s="1"/>
      <c r="AV469" s="1"/>
      <c r="AW469" s="1"/>
      <c r="AX469" s="1"/>
    </row>
    <row r="470" spans="1:50" ht="14.5" hidden="1" customHeight="1" x14ac:dyDescent="0.35">
      <c r="A470" s="5" t="str">
        <f t="shared" si="14"/>
        <v>PROTECTIONHRCT_MV</v>
      </c>
      <c r="B470" s="1" t="s">
        <v>1991</v>
      </c>
      <c r="C470" s="1" t="s">
        <v>1952</v>
      </c>
      <c r="D470" s="1" t="s">
        <v>134</v>
      </c>
      <c r="E470" s="1" t="s">
        <v>37</v>
      </c>
      <c r="F470" s="25" t="s">
        <v>1992</v>
      </c>
      <c r="G470" s="1" t="s">
        <v>1992</v>
      </c>
      <c r="H470" s="1" t="s">
        <v>37</v>
      </c>
      <c r="I470" s="1" t="s">
        <v>39</v>
      </c>
      <c r="J470" s="1" t="s">
        <v>39</v>
      </c>
      <c r="K470" s="1" t="s">
        <v>39</v>
      </c>
      <c r="L470" s="1" t="s">
        <v>39</v>
      </c>
      <c r="M470" s="1" t="s">
        <v>39</v>
      </c>
      <c r="N470" s="1" t="s">
        <v>39</v>
      </c>
      <c r="O470" s="1"/>
      <c r="P470" s="1"/>
      <c r="Q470" s="1"/>
      <c r="R470" s="1" t="s">
        <v>342</v>
      </c>
      <c r="S470" s="1" t="s">
        <v>274</v>
      </c>
      <c r="T470" s="1">
        <v>99999999999</v>
      </c>
      <c r="U470" s="1">
        <v>11111111111</v>
      </c>
      <c r="V470" s="1">
        <v>11111111111</v>
      </c>
      <c r="W470" s="1" t="s">
        <v>1993</v>
      </c>
      <c r="X470" s="1" t="s">
        <v>1994</v>
      </c>
      <c r="Y470" s="1" t="s">
        <v>45</v>
      </c>
      <c r="Z470" s="1" t="s">
        <v>46</v>
      </c>
      <c r="AA470" s="1" t="s">
        <v>47</v>
      </c>
      <c r="AB470" s="1" t="s">
        <v>39</v>
      </c>
      <c r="AC470" s="1" t="s">
        <v>37</v>
      </c>
      <c r="AD470" s="1" t="s">
        <v>37</v>
      </c>
      <c r="AE470" s="1" t="s">
        <v>37</v>
      </c>
      <c r="AF470" s="1" t="s">
        <v>37</v>
      </c>
      <c r="AG470" s="1" t="s">
        <v>37</v>
      </c>
      <c r="AH470" s="1" t="s">
        <v>37</v>
      </c>
      <c r="AI470" s="1" t="s">
        <v>37</v>
      </c>
      <c r="AJ470" s="1" t="s">
        <v>39</v>
      </c>
      <c r="AK470" s="1" t="str">
        <f t="shared" si="15"/>
        <v>Fora de âmbito</v>
      </c>
      <c r="AL470" s="1" t="str">
        <f>+IF(IFERROR(VLOOKUP(A470,Ficheiros!I:I,1,FALSE),"")=A470,"Sim","Não")</f>
        <v>Sim</v>
      </c>
      <c r="AM470" s="1" t="str">
        <f>+IF(IFERROR(VLOOKUP(A470,Ficheiros!E:E,1,FALSE),"")=A470,"Sim","Não")</f>
        <v>Não</v>
      </c>
      <c r="AN470" s="1" t="str">
        <f>+IF(IFERROR(VLOOKUP(A470,Ficheiros!O:O,1,FALSE),"")=A470,"Sim","Não")</f>
        <v>Não</v>
      </c>
      <c r="AO470" s="1" t="str">
        <f>+IF(IFERROR(VLOOKUP(A470,'Especificação Novos Req. LT (2'!A:A,1,FALSE),"")=A470,"Sim","Não")</f>
        <v>Não</v>
      </c>
      <c r="AP470" s="1" t="str">
        <f>+IF(IFERROR(VLOOKUP(A470,Ficheiros!T:T,1,FALSE),"")=A470,"Sim","Não")</f>
        <v>Sim</v>
      </c>
      <c r="AQ470" s="1" t="e">
        <f>+VLOOKUP(A470,Ficheiros!O:P,2,FALSE)</f>
        <v>#N/A</v>
      </c>
      <c r="AR470" s="1" t="str">
        <f>+VLOOKUP(A470,Ficheiros!T:U,2,FALSE)</f>
        <v>9. Concluído</v>
      </c>
      <c r="AS470" s="1" t="str">
        <f>+VLOOKUP(A470,Ficheiros!T:V,3,FALSE)</f>
        <v>PM</v>
      </c>
      <c r="AT470" s="1"/>
      <c r="AU470" s="1"/>
      <c r="AV470" s="1"/>
      <c r="AW470" s="1"/>
      <c r="AX470" s="1"/>
    </row>
    <row r="471" spans="1:50" ht="14.5" hidden="1" customHeight="1" x14ac:dyDescent="0.35">
      <c r="A471" s="5" t="str">
        <f t="shared" si="14"/>
        <v>PROTECTIONPRTCTN_CLLD</v>
      </c>
      <c r="B471" s="1" t="s">
        <v>1995</v>
      </c>
      <c r="C471" s="1" t="s">
        <v>1952</v>
      </c>
      <c r="D471" s="1" t="s">
        <v>134</v>
      </c>
      <c r="E471" s="1" t="s">
        <v>37</v>
      </c>
      <c r="F471" s="25" t="s">
        <v>1996</v>
      </c>
      <c r="G471" s="1" t="s">
        <v>1996</v>
      </c>
      <c r="H471" s="1" t="s">
        <v>37</v>
      </c>
      <c r="I471" s="1" t="s">
        <v>39</v>
      </c>
      <c r="J471" s="1" t="s">
        <v>39</v>
      </c>
      <c r="K471" s="1" t="s">
        <v>39</v>
      </c>
      <c r="L471" s="1" t="s">
        <v>39</v>
      </c>
      <c r="M471" s="1" t="s">
        <v>39</v>
      </c>
      <c r="N471" s="1" t="s">
        <v>39</v>
      </c>
      <c r="O471" s="1"/>
      <c r="P471" s="1"/>
      <c r="Q471" s="1"/>
      <c r="R471" s="1" t="s">
        <v>141</v>
      </c>
      <c r="S471" s="1" t="s">
        <v>142</v>
      </c>
      <c r="T471" s="1" t="s">
        <v>53</v>
      </c>
      <c r="U471" s="1" t="s">
        <v>46</v>
      </c>
      <c r="V471" s="1" t="s">
        <v>46</v>
      </c>
      <c r="W471" s="1" t="s">
        <v>1997</v>
      </c>
      <c r="X471" s="1" t="s">
        <v>1998</v>
      </c>
      <c r="Y471" s="1" t="s">
        <v>84</v>
      </c>
      <c r="Z471" s="1" t="s">
        <v>1999</v>
      </c>
      <c r="AA471" s="1" t="s">
        <v>47</v>
      </c>
      <c r="AB471" s="1" t="s">
        <v>39</v>
      </c>
      <c r="AC471" s="1" t="s">
        <v>37</v>
      </c>
      <c r="AD471" s="1" t="s">
        <v>37</v>
      </c>
      <c r="AE471" s="1" t="s">
        <v>37</v>
      </c>
      <c r="AF471" s="1" t="s">
        <v>37</v>
      </c>
      <c r="AG471" s="1" t="s">
        <v>37</v>
      </c>
      <c r="AH471" s="1" t="s">
        <v>37</v>
      </c>
      <c r="AI471" s="1" t="s">
        <v>37</v>
      </c>
      <c r="AJ471" s="1" t="s">
        <v>39</v>
      </c>
      <c r="AK471" s="1" t="str">
        <f t="shared" si="15"/>
        <v>Fora de âmbito</v>
      </c>
      <c r="AL471" s="1" t="str">
        <f>+IF(IFERROR(VLOOKUP(A471,Ficheiros!I:I,1,FALSE),"")=A471,"Sim","Não")</f>
        <v>Sim</v>
      </c>
      <c r="AM471" s="1" t="str">
        <f>+IF(IFERROR(VLOOKUP(A471,Ficheiros!E:E,1,FALSE),"")=A471,"Sim","Não")</f>
        <v>Não</v>
      </c>
      <c r="AN471" s="1" t="str">
        <f>+IF(IFERROR(VLOOKUP(A471,Ficheiros!O:O,1,FALSE),"")=A471,"Sim","Não")</f>
        <v>Não</v>
      </c>
      <c r="AO471" s="1" t="str">
        <f>+IF(IFERROR(VLOOKUP(A471,'Especificação Novos Req. LT (2'!A:A,1,FALSE),"")=A471,"Sim","Não")</f>
        <v>Não</v>
      </c>
      <c r="AP471" s="1" t="str">
        <f>+IF(IFERROR(VLOOKUP(A471,Ficheiros!T:T,1,FALSE),"")=A471,"Sim","Não")</f>
        <v>Sim</v>
      </c>
      <c r="AQ471" s="1" t="e">
        <f>+VLOOKUP(A471,Ficheiros!O:P,2,FALSE)</f>
        <v>#N/A</v>
      </c>
      <c r="AR471" s="1" t="str">
        <f>+VLOOKUP(A471,Ficheiros!T:U,2,FALSE)</f>
        <v>7. Analisar controlos e completude</v>
      </c>
      <c r="AS471" s="1" t="str">
        <f>+VLOOKUP(A471,Ficheiros!T:V,3,FALSE)</f>
        <v>PM</v>
      </c>
      <c r="AT471" s="1"/>
      <c r="AU471" s="1"/>
      <c r="AV471" s="1"/>
      <c r="AW471" s="1"/>
      <c r="AX471" s="1"/>
    </row>
    <row r="472" spans="1:50" hidden="1" x14ac:dyDescent="0.35">
      <c r="A472" s="5" t="str">
        <f t="shared" si="14"/>
        <v>PROTECTIONTYP_PRTCTN</v>
      </c>
      <c r="B472" s="1" t="s">
        <v>2000</v>
      </c>
      <c r="C472" s="1" t="s">
        <v>1952</v>
      </c>
      <c r="D472" s="1" t="s">
        <v>134</v>
      </c>
      <c r="E472" s="1" t="s">
        <v>39</v>
      </c>
      <c r="F472" s="29" t="s">
        <v>2001</v>
      </c>
      <c r="G472" s="1" t="s">
        <v>2001</v>
      </c>
      <c r="H472" s="1" t="s">
        <v>37</v>
      </c>
      <c r="I472" s="1" t="s">
        <v>39</v>
      </c>
      <c r="J472" s="1" t="s">
        <v>39</v>
      </c>
      <c r="K472" s="1" t="s">
        <v>39</v>
      </c>
      <c r="L472" s="1" t="s">
        <v>39</v>
      </c>
      <c r="M472" s="1" t="s">
        <v>39</v>
      </c>
      <c r="N472" s="1" t="s">
        <v>39</v>
      </c>
      <c r="O472" s="1"/>
      <c r="P472" s="1"/>
      <c r="Q472" s="1"/>
      <c r="R472" s="1" t="s">
        <v>136</v>
      </c>
      <c r="S472" s="1" t="s">
        <v>52</v>
      </c>
      <c r="T472" s="1">
        <v>99999999999</v>
      </c>
      <c r="U472" s="1" t="s">
        <v>42</v>
      </c>
      <c r="V472" s="1">
        <v>11111111111</v>
      </c>
      <c r="W472" s="1" t="s">
        <v>2002</v>
      </c>
      <c r="X472" s="1" t="s">
        <v>2003</v>
      </c>
      <c r="Y472" s="1" t="s">
        <v>45</v>
      </c>
      <c r="Z472" s="1" t="s">
        <v>46</v>
      </c>
      <c r="AA472" s="1" t="s">
        <v>47</v>
      </c>
      <c r="AB472" s="1" t="s">
        <v>39</v>
      </c>
      <c r="AC472" s="1" t="s">
        <v>39</v>
      </c>
      <c r="AD472" s="1" t="s">
        <v>39</v>
      </c>
      <c r="AE472" s="1" t="s">
        <v>37</v>
      </c>
      <c r="AF472" s="1" t="s">
        <v>39</v>
      </c>
      <c r="AG472" s="1" t="s">
        <v>37</v>
      </c>
      <c r="AH472" s="1" t="s">
        <v>39</v>
      </c>
      <c r="AI472" s="1" t="s">
        <v>39</v>
      </c>
      <c r="AJ472" s="1" t="s">
        <v>39</v>
      </c>
      <c r="AK472" s="1" t="str">
        <f t="shared" si="15"/>
        <v>Comum</v>
      </c>
      <c r="AL472" s="1" t="str">
        <f>+IF(IFERROR(VLOOKUP(A472,Ficheiros!I:I,1,FALSE),"")=A472,"Sim","Não")</f>
        <v>Sim</v>
      </c>
      <c r="AM472" s="1" t="str">
        <f>+IF(IFERROR(VLOOKUP(A472,Ficheiros!E:E,1,FALSE),"")=A472,"Sim","Não")</f>
        <v>Sim</v>
      </c>
      <c r="AN472" s="1" t="str">
        <f>+IF(IFERROR(VLOOKUP(A472,Ficheiros!O:O,1,FALSE),"")=A472,"Sim","Não")</f>
        <v>Sim</v>
      </c>
      <c r="AO472" s="1" t="str">
        <f>+IF(IFERROR(VLOOKUP(A472,'Especificação Novos Req. LT (2'!A:A,1,FALSE),"")=A472,"Sim","Não")</f>
        <v>Não</v>
      </c>
      <c r="AP472" s="1" t="str">
        <f>+IF(IFERROR(VLOOKUP(A472,Ficheiros!T:T,1,FALSE),"")=A472,"Sim","Não")</f>
        <v>Sim</v>
      </c>
      <c r="AQ472" s="1" t="str">
        <f>+VLOOKUP(A472,Ficheiros!O:P,2,FALSE)</f>
        <v>1. Concluído</v>
      </c>
      <c r="AR472" s="1" t="str">
        <f>+VLOOKUP(A472,Ficheiros!T:U,2,FALSE)</f>
        <v>9. Concluído</v>
      </c>
      <c r="AS472" s="1" t="str">
        <f>+VLOOKUP(A472,Ficheiros!T:V,3,FALSE)</f>
        <v>PM</v>
      </c>
      <c r="AT472" s="1"/>
      <c r="AU472" s="1"/>
      <c r="AV472" s="1"/>
      <c r="AW472" s="1"/>
      <c r="AX472" s="1"/>
    </row>
    <row r="473" spans="1:50" ht="14.5" hidden="1" customHeight="1" x14ac:dyDescent="0.35">
      <c r="A473" s="5" t="str">
        <f t="shared" si="14"/>
        <v>PROTECTIONTYP_PRTCTN_INTRNL</v>
      </c>
      <c r="B473" s="1" t="s">
        <v>2004</v>
      </c>
      <c r="C473" s="1" t="s">
        <v>1952</v>
      </c>
      <c r="D473" s="1" t="s">
        <v>134</v>
      </c>
      <c r="E473" s="1" t="s">
        <v>37</v>
      </c>
      <c r="F473" s="25" t="s">
        <v>2005</v>
      </c>
      <c r="G473" s="1" t="s">
        <v>2005</v>
      </c>
      <c r="H473" s="1" t="s">
        <v>37</v>
      </c>
      <c r="I473" s="1" t="s">
        <v>39</v>
      </c>
      <c r="J473" s="1" t="s">
        <v>39</v>
      </c>
      <c r="K473" s="1" t="s">
        <v>39</v>
      </c>
      <c r="L473" s="1" t="s">
        <v>39</v>
      </c>
      <c r="M473" s="1" t="s">
        <v>39</v>
      </c>
      <c r="N473" s="1" t="s">
        <v>39</v>
      </c>
      <c r="O473" s="1"/>
      <c r="P473" s="1"/>
      <c r="Q473" s="1"/>
      <c r="R473" s="1" t="s">
        <v>96</v>
      </c>
      <c r="S473" s="1" t="s">
        <v>41</v>
      </c>
      <c r="T473" s="1" t="s">
        <v>53</v>
      </c>
      <c r="U473" s="1" t="s">
        <v>46</v>
      </c>
      <c r="V473" s="1" t="s">
        <v>46</v>
      </c>
      <c r="W473" s="1" t="s">
        <v>2006</v>
      </c>
      <c r="X473" s="1" t="s">
        <v>2007</v>
      </c>
      <c r="Y473" s="1" t="s">
        <v>84</v>
      </c>
      <c r="Z473" s="1" t="s">
        <v>2008</v>
      </c>
      <c r="AA473" s="1" t="s">
        <v>47</v>
      </c>
      <c r="AB473" s="1" t="s">
        <v>39</v>
      </c>
      <c r="AC473" s="1" t="s">
        <v>37</v>
      </c>
      <c r="AD473" s="1" t="s">
        <v>37</v>
      </c>
      <c r="AE473" s="1" t="s">
        <v>37</v>
      </c>
      <c r="AF473" s="1" t="s">
        <v>37</v>
      </c>
      <c r="AG473" s="1" t="s">
        <v>37</v>
      </c>
      <c r="AH473" s="1" t="s">
        <v>37</v>
      </c>
      <c r="AI473" s="1" t="s">
        <v>37</v>
      </c>
      <c r="AJ473" s="1" t="s">
        <v>39</v>
      </c>
      <c r="AK473" s="1" t="str">
        <f t="shared" si="15"/>
        <v>Fora de âmbito</v>
      </c>
      <c r="AL473" s="1" t="str">
        <f>+IF(IFERROR(VLOOKUP(A473,Ficheiros!I:I,1,FALSE),"")=A473,"Sim","Não")</f>
        <v>Sim</v>
      </c>
      <c r="AM473" s="1" t="str">
        <f>+IF(IFERROR(VLOOKUP(A473,Ficheiros!E:E,1,FALSE),"")=A473,"Sim","Não")</f>
        <v>Não</v>
      </c>
      <c r="AN473" s="1" t="str">
        <f>+IF(IFERROR(VLOOKUP(A473,Ficheiros!O:O,1,FALSE),"")=A473,"Sim","Não")</f>
        <v>Não</v>
      </c>
      <c r="AO473" s="1" t="str">
        <f>+IF(IFERROR(VLOOKUP(A473,'Especificação Novos Req. LT (2'!A:A,1,FALSE),"")=A473,"Sim","Não")</f>
        <v>Não</v>
      </c>
      <c r="AP473" s="1" t="str">
        <f>+IF(IFERROR(VLOOKUP(A473,Ficheiros!T:T,1,FALSE),"")=A473,"Sim","Não")</f>
        <v>Sim</v>
      </c>
      <c r="AQ473" s="1" t="e">
        <f>+VLOOKUP(A473,Ficheiros!O:P,2,FALSE)</f>
        <v>#N/A</v>
      </c>
      <c r="AR473" s="1" t="str">
        <f>+VLOOKUP(A473,Ficheiros!T:U,2,FALSE)</f>
        <v>7. Analisar controlos e completude</v>
      </c>
      <c r="AS473" s="1" t="str">
        <f>+VLOOKUP(A473,Ficheiros!T:V,3,FALSE)</f>
        <v>PM</v>
      </c>
      <c r="AT473" s="1"/>
      <c r="AU473" s="1"/>
      <c r="AV473" s="1"/>
      <c r="AW473" s="1"/>
      <c r="AX473" s="1"/>
    </row>
    <row r="474" spans="1:50" ht="14.5" hidden="1" customHeight="1" x14ac:dyDescent="0.35">
      <c r="A474" s="5" t="str">
        <f t="shared" si="14"/>
        <v>PROTECTIONTYP_PRTCTN_VL</v>
      </c>
      <c r="B474" s="1" t="s">
        <v>2009</v>
      </c>
      <c r="C474" s="1" t="s">
        <v>1952</v>
      </c>
      <c r="D474" s="1" t="s">
        <v>134</v>
      </c>
      <c r="E474" s="1" t="s">
        <v>39</v>
      </c>
      <c r="F474" s="25" t="s">
        <v>2010</v>
      </c>
      <c r="G474" s="1" t="s">
        <v>2010</v>
      </c>
      <c r="H474" s="1" t="s">
        <v>37</v>
      </c>
      <c r="I474" s="1" t="s">
        <v>39</v>
      </c>
      <c r="J474" s="1" t="s">
        <v>39</v>
      </c>
      <c r="K474" s="1" t="s">
        <v>39</v>
      </c>
      <c r="L474" s="1" t="s">
        <v>39</v>
      </c>
      <c r="M474" s="1" t="s">
        <v>39</v>
      </c>
      <c r="N474" s="1" t="s">
        <v>37</v>
      </c>
      <c r="O474" s="1"/>
      <c r="P474" s="1"/>
      <c r="Q474" s="1"/>
      <c r="R474" s="1" t="s">
        <v>136</v>
      </c>
      <c r="S474" s="1" t="s">
        <v>52</v>
      </c>
      <c r="T474" s="1">
        <v>99999999999</v>
      </c>
      <c r="U474" s="1">
        <v>11111111111</v>
      </c>
      <c r="V474" s="1">
        <v>11111111111</v>
      </c>
      <c r="W474" s="1" t="s">
        <v>2011</v>
      </c>
      <c r="X474" s="1" t="s">
        <v>2012</v>
      </c>
      <c r="Y474" s="1" t="s">
        <v>45</v>
      </c>
      <c r="Z474" s="1" t="s">
        <v>46</v>
      </c>
      <c r="AA474" s="1" t="s">
        <v>47</v>
      </c>
      <c r="AB474" s="1" t="s">
        <v>39</v>
      </c>
      <c r="AC474" s="1" t="s">
        <v>37</v>
      </c>
      <c r="AD474" s="1" t="s">
        <v>37</v>
      </c>
      <c r="AE474" s="1" t="s">
        <v>37</v>
      </c>
      <c r="AF474" s="1" t="s">
        <v>37</v>
      </c>
      <c r="AG474" s="1" t="s">
        <v>37</v>
      </c>
      <c r="AH474" s="1" t="s">
        <v>37</v>
      </c>
      <c r="AI474" s="1" t="s">
        <v>37</v>
      </c>
      <c r="AJ474" s="1" t="s">
        <v>39</v>
      </c>
      <c r="AK474" s="1" t="str">
        <f t="shared" si="15"/>
        <v>Fora de âmbito</v>
      </c>
      <c r="AL474" s="1" t="str">
        <f>+IF(IFERROR(VLOOKUP(A474,Ficheiros!I:I,1,FALSE),"")=A474,"Sim","Não")</f>
        <v>Sim</v>
      </c>
      <c r="AM474" s="1" t="str">
        <f>+IF(IFERROR(VLOOKUP(A474,Ficheiros!E:E,1,FALSE),"")=A474,"Sim","Não")</f>
        <v>Não</v>
      </c>
      <c r="AN474" s="1" t="str">
        <f>+IF(IFERROR(VLOOKUP(A474,Ficheiros!O:O,1,FALSE),"")=A474,"Sim","Não")</f>
        <v>Não</v>
      </c>
      <c r="AO474" s="1" t="str">
        <f>+IF(IFERROR(VLOOKUP(A474,'Especificação Novos Req. LT (2'!A:A,1,FALSE),"")=A474,"Sim","Não")</f>
        <v>Não</v>
      </c>
      <c r="AP474" s="1" t="str">
        <f>+IF(IFERROR(VLOOKUP(A474,Ficheiros!T:T,1,FALSE),"")=A474,"Sim","Não")</f>
        <v>Sim</v>
      </c>
      <c r="AQ474" s="1" t="e">
        <f>+VLOOKUP(A474,Ficheiros!O:P,2,FALSE)</f>
        <v>#N/A</v>
      </c>
      <c r="AR474" s="1" t="str">
        <f>+VLOOKUP(A474,Ficheiros!T:U,2,FALSE)</f>
        <v>7. Analisar controlos e completude</v>
      </c>
      <c r="AS474" s="1" t="str">
        <f>+VLOOKUP(A474,Ficheiros!T:V,3,FALSE)</f>
        <v>PM</v>
      </c>
      <c r="AT474" s="1"/>
      <c r="AU474" s="1"/>
      <c r="AV474" s="1"/>
      <c r="AW474" s="1"/>
      <c r="AX474" s="1"/>
    </row>
    <row r="475" spans="1:50" ht="14.5" hidden="1" customHeight="1" x14ac:dyDescent="0.35">
      <c r="A475" s="5" t="str">
        <f t="shared" si="14"/>
        <v>PROTECTIONAPPRSL_CRRNCY</v>
      </c>
      <c r="B475" s="1" t="s">
        <v>2013</v>
      </c>
      <c r="C475" s="1" t="s">
        <v>1952</v>
      </c>
      <c r="D475" s="1" t="s">
        <v>2014</v>
      </c>
      <c r="E475" s="1" t="s">
        <v>37</v>
      </c>
      <c r="F475" s="25" t="s">
        <v>2015</v>
      </c>
      <c r="G475" s="1" t="s">
        <v>2015</v>
      </c>
      <c r="H475" s="1" t="s">
        <v>37</v>
      </c>
      <c r="I475" s="1" t="s">
        <v>39</v>
      </c>
      <c r="J475" s="1" t="s">
        <v>39</v>
      </c>
      <c r="K475" s="1" t="s">
        <v>39</v>
      </c>
      <c r="L475" s="1" t="s">
        <v>39</v>
      </c>
      <c r="M475" s="1" t="s">
        <v>39</v>
      </c>
      <c r="N475" s="1" t="s">
        <v>39</v>
      </c>
      <c r="O475" s="1"/>
      <c r="P475" s="1"/>
      <c r="Q475" s="1"/>
      <c r="R475" s="1" t="s">
        <v>136</v>
      </c>
      <c r="S475" s="1" t="s">
        <v>52</v>
      </c>
      <c r="T475" s="1" t="s">
        <v>53</v>
      </c>
      <c r="U475" s="1" t="s">
        <v>46</v>
      </c>
      <c r="V475" s="1" t="s">
        <v>46</v>
      </c>
      <c r="W475" s="1" t="s">
        <v>2016</v>
      </c>
      <c r="X475" s="1" t="s">
        <v>2017</v>
      </c>
      <c r="Y475" s="1" t="s">
        <v>66</v>
      </c>
      <c r="Z475" s="1" t="s">
        <v>2018</v>
      </c>
      <c r="AA475" s="1" t="s">
        <v>47</v>
      </c>
      <c r="AB475" s="1" t="s">
        <v>39</v>
      </c>
      <c r="AC475" s="1" t="s">
        <v>37</v>
      </c>
      <c r="AD475" s="1" t="s">
        <v>37</v>
      </c>
      <c r="AE475" s="1" t="s">
        <v>37</v>
      </c>
      <c r="AF475" s="1" t="s">
        <v>37</v>
      </c>
      <c r="AG475" s="1" t="s">
        <v>37</v>
      </c>
      <c r="AH475" s="1" t="s">
        <v>37</v>
      </c>
      <c r="AI475" s="1" t="s">
        <v>37</v>
      </c>
      <c r="AJ475" s="1" t="s">
        <v>39</v>
      </c>
      <c r="AK475" s="1" t="str">
        <f t="shared" si="15"/>
        <v>Fora de âmbito</v>
      </c>
      <c r="AL475" s="1" t="str">
        <f>+IF(IFERROR(VLOOKUP(A475,Ficheiros!I:I,1,FALSE),"")=A475,"Sim","Não")</f>
        <v>Sim</v>
      </c>
      <c r="AM475" s="1" t="str">
        <f>+IF(IFERROR(VLOOKUP(A475,Ficheiros!E:E,1,FALSE),"")=A475,"Sim","Não")</f>
        <v>Não</v>
      </c>
      <c r="AN475" s="1" t="str">
        <f>+IF(IFERROR(VLOOKUP(A475,Ficheiros!O:O,1,FALSE),"")=A475,"Sim","Não")</f>
        <v>Não</v>
      </c>
      <c r="AO475" s="1" t="str">
        <f>+IF(IFERROR(VLOOKUP(A475,'Especificação Novos Req. LT (2'!A:A,1,FALSE),"")=A475,"Sim","Não")</f>
        <v>Não</v>
      </c>
      <c r="AP475" s="1" t="str">
        <f>+IF(IFERROR(VLOOKUP(A475,Ficheiros!T:T,1,FALSE),"")=A475,"Sim","Não")</f>
        <v>Sim</v>
      </c>
      <c r="AQ475" s="1" t="e">
        <f>+VLOOKUP(A475,Ficheiros!O:P,2,FALSE)</f>
        <v>#N/A</v>
      </c>
      <c r="AR475" s="1" t="str">
        <f>+VLOOKUP(A475,Ficheiros!T:U,2,FALSE)</f>
        <v>7. Analisar controlos e completude</v>
      </c>
      <c r="AS475" s="1" t="str">
        <f>+VLOOKUP(A475,Ficheiros!T:V,3,FALSE)</f>
        <v>PM</v>
      </c>
      <c r="AT475" s="1"/>
      <c r="AU475" s="1"/>
      <c r="AV475" s="1"/>
      <c r="AW475" s="1"/>
      <c r="AX475" s="1"/>
    </row>
    <row r="476" spans="1:50" ht="14.5" hidden="1" customHeight="1" x14ac:dyDescent="0.35">
      <c r="A476" s="5" t="str">
        <f t="shared" si="14"/>
        <v>PROTECTIONAPPRSR</v>
      </c>
      <c r="B476" s="1" t="s">
        <v>2019</v>
      </c>
      <c r="C476" s="1" t="s">
        <v>1952</v>
      </c>
      <c r="D476" s="1" t="s">
        <v>2014</v>
      </c>
      <c r="E476" s="1" t="s">
        <v>37</v>
      </c>
      <c r="F476" s="25" t="s">
        <v>2020</v>
      </c>
      <c r="G476" s="1" t="s">
        <v>2020</v>
      </c>
      <c r="H476" s="1" t="s">
        <v>37</v>
      </c>
      <c r="I476" s="1" t="s">
        <v>39</v>
      </c>
      <c r="J476" s="1" t="s">
        <v>39</v>
      </c>
      <c r="K476" s="1" t="s">
        <v>39</v>
      </c>
      <c r="L476" s="1" t="s">
        <v>39</v>
      </c>
      <c r="M476" s="1" t="s">
        <v>39</v>
      </c>
      <c r="N476" s="1" t="s">
        <v>39</v>
      </c>
      <c r="O476" s="1"/>
      <c r="P476" s="1"/>
      <c r="Q476" s="1"/>
      <c r="R476" s="1" t="s">
        <v>96</v>
      </c>
      <c r="S476" s="1" t="s">
        <v>41</v>
      </c>
      <c r="T476" s="1" t="s">
        <v>53</v>
      </c>
      <c r="U476" s="1" t="s">
        <v>46</v>
      </c>
      <c r="V476" s="1" t="s">
        <v>46</v>
      </c>
      <c r="W476" s="1" t="s">
        <v>2021</v>
      </c>
      <c r="X476" s="1" t="s">
        <v>2022</v>
      </c>
      <c r="Y476" s="1" t="s">
        <v>66</v>
      </c>
      <c r="Z476" s="1" t="s">
        <v>2023</v>
      </c>
      <c r="AA476" s="1" t="s">
        <v>47</v>
      </c>
      <c r="AB476" s="1" t="s">
        <v>39</v>
      </c>
      <c r="AC476" s="1" t="s">
        <v>37</v>
      </c>
      <c r="AD476" s="1" t="s">
        <v>37</v>
      </c>
      <c r="AE476" s="1" t="s">
        <v>37</v>
      </c>
      <c r="AF476" s="1" t="s">
        <v>37</v>
      </c>
      <c r="AG476" s="1" t="s">
        <v>37</v>
      </c>
      <c r="AH476" s="1" t="s">
        <v>37</v>
      </c>
      <c r="AI476" s="1" t="s">
        <v>37</v>
      </c>
      <c r="AJ476" s="1" t="s">
        <v>39</v>
      </c>
      <c r="AK476" s="1" t="str">
        <f t="shared" si="15"/>
        <v>Fora de âmbito</v>
      </c>
      <c r="AL476" s="1" t="str">
        <f>+IF(IFERROR(VLOOKUP(A476,Ficheiros!I:I,1,FALSE),"")=A476,"Sim","Não")</f>
        <v>Sim</v>
      </c>
      <c r="AM476" s="1" t="str">
        <f>+IF(IFERROR(VLOOKUP(A476,Ficheiros!E:E,1,FALSE),"")=A476,"Sim","Não")</f>
        <v>Não</v>
      </c>
      <c r="AN476" s="1" t="str">
        <f>+IF(IFERROR(VLOOKUP(A476,Ficheiros!O:O,1,FALSE),"")=A476,"Sim","Não")</f>
        <v>Não</v>
      </c>
      <c r="AO476" s="1" t="str">
        <f>+IF(IFERROR(VLOOKUP(A476,'Especificação Novos Req. LT (2'!A:A,1,FALSE),"")=A476,"Sim","Não")</f>
        <v>Não</v>
      </c>
      <c r="AP476" s="1" t="str">
        <f>+IF(IFERROR(VLOOKUP(A476,Ficheiros!T:T,1,FALSE),"")=A476,"Sim","Não")</f>
        <v>Sim</v>
      </c>
      <c r="AQ476" s="1" t="e">
        <f>+VLOOKUP(A476,Ficheiros!O:P,2,FALSE)</f>
        <v>#N/A</v>
      </c>
      <c r="AR476" s="1" t="str">
        <f>+VLOOKUP(A476,Ficheiros!T:U,2,FALSE)</f>
        <v>7. Analisar controlos e completude</v>
      </c>
      <c r="AS476" s="1" t="str">
        <f>+VLOOKUP(A476,Ficheiros!T:V,3,FALSE)</f>
        <v>PM</v>
      </c>
      <c r="AT476" s="1"/>
      <c r="AU476" s="1"/>
      <c r="AV476" s="1"/>
      <c r="AW476" s="1"/>
      <c r="AX476" s="1"/>
    </row>
    <row r="477" spans="1:50" ht="14.5" hidden="1" customHeight="1" x14ac:dyDescent="0.35">
      <c r="A477" s="5" t="str">
        <f t="shared" si="14"/>
        <v>PROTECTIONDT_LST_FLL_APPRSL</v>
      </c>
      <c r="B477" s="1" t="s">
        <v>2024</v>
      </c>
      <c r="C477" s="1" t="s">
        <v>1952</v>
      </c>
      <c r="D477" s="1" t="s">
        <v>2014</v>
      </c>
      <c r="E477" s="1" t="s">
        <v>37</v>
      </c>
      <c r="F477" s="25" t="s">
        <v>2025</v>
      </c>
      <c r="G477" s="1" t="s">
        <v>2025</v>
      </c>
      <c r="H477" s="1" t="s">
        <v>37</v>
      </c>
      <c r="I477" s="1" t="s">
        <v>39</v>
      </c>
      <c r="J477" s="1" t="s">
        <v>39</v>
      </c>
      <c r="K477" s="1" t="s">
        <v>39</v>
      </c>
      <c r="L477" s="1" t="s">
        <v>39</v>
      </c>
      <c r="M477" s="1" t="s">
        <v>39</v>
      </c>
      <c r="N477" s="1" t="s">
        <v>39</v>
      </c>
      <c r="O477" s="1"/>
      <c r="P477" s="1"/>
      <c r="Q477" s="1"/>
      <c r="R477" s="1" t="s">
        <v>60</v>
      </c>
      <c r="S477" s="1" t="s">
        <v>61</v>
      </c>
      <c r="T477" s="1" t="s">
        <v>62</v>
      </c>
      <c r="U477" s="1" t="s">
        <v>63</v>
      </c>
      <c r="V477" s="1" t="s">
        <v>63</v>
      </c>
      <c r="W477" s="1" t="s">
        <v>2026</v>
      </c>
      <c r="X477" s="1" t="s">
        <v>2027</v>
      </c>
      <c r="Y477" s="1" t="s">
        <v>45</v>
      </c>
      <c r="Z477" s="1" t="s">
        <v>46</v>
      </c>
      <c r="AA477" s="1" t="s">
        <v>47</v>
      </c>
      <c r="AB477" s="1" t="s">
        <v>39</v>
      </c>
      <c r="AC477" s="1" t="s">
        <v>37</v>
      </c>
      <c r="AD477" s="1" t="s">
        <v>37</v>
      </c>
      <c r="AE477" s="1" t="s">
        <v>37</v>
      </c>
      <c r="AF477" s="1" t="s">
        <v>37</v>
      </c>
      <c r="AG477" s="1" t="s">
        <v>37</v>
      </c>
      <c r="AH477" s="1" t="s">
        <v>37</v>
      </c>
      <c r="AI477" s="1" t="s">
        <v>37</v>
      </c>
      <c r="AJ477" s="1" t="s">
        <v>39</v>
      </c>
      <c r="AK477" s="1" t="str">
        <f t="shared" si="15"/>
        <v>Fora de âmbito</v>
      </c>
      <c r="AL477" s="1" t="str">
        <f>+IF(IFERROR(VLOOKUP(A477,Ficheiros!I:I,1,FALSE),"")=A477,"Sim","Não")</f>
        <v>Sim</v>
      </c>
      <c r="AM477" s="1" t="str">
        <f>+IF(IFERROR(VLOOKUP(A477,Ficheiros!E:E,1,FALSE),"")=A477,"Sim","Não")</f>
        <v>Não</v>
      </c>
      <c r="AN477" s="1" t="str">
        <f>+IF(IFERROR(VLOOKUP(A477,Ficheiros!O:O,1,FALSE),"")=A477,"Sim","Não")</f>
        <v>Não</v>
      </c>
      <c r="AO477" s="1" t="str">
        <f>+IF(IFERROR(VLOOKUP(A477,'Especificação Novos Req. LT (2'!A:A,1,FALSE),"")=A477,"Sim","Não")</f>
        <v>Não</v>
      </c>
      <c r="AP477" s="1" t="str">
        <f>+IF(IFERROR(VLOOKUP(A477,Ficheiros!T:T,1,FALSE),"")=A477,"Sim","Não")</f>
        <v>Sim</v>
      </c>
      <c r="AQ477" s="1" t="e">
        <f>+VLOOKUP(A477,Ficheiros!O:P,2,FALSE)</f>
        <v>#N/A</v>
      </c>
      <c r="AR477" s="1" t="str">
        <f>+VLOOKUP(A477,Ficheiros!T:U,2,FALSE)</f>
        <v>9. Concluído</v>
      </c>
      <c r="AS477" s="1" t="str">
        <f>+VLOOKUP(A477,Ficheiros!T:V,3,FALSE)</f>
        <v>PM</v>
      </c>
      <c r="AT477" s="1"/>
      <c r="AU477" s="1"/>
      <c r="AV477" s="1"/>
      <c r="AW477" s="1"/>
      <c r="AX477" s="1"/>
    </row>
    <row r="478" spans="1:50" ht="14.5" hidden="1" customHeight="1" x14ac:dyDescent="0.35">
      <c r="A478" s="5" t="str">
        <f t="shared" si="14"/>
        <v>PROTECTIONDT_ORGNL_PRTCTN_VL</v>
      </c>
      <c r="B478" s="1" t="s">
        <v>2028</v>
      </c>
      <c r="C478" s="1" t="s">
        <v>1952</v>
      </c>
      <c r="D478" s="1" t="s">
        <v>2014</v>
      </c>
      <c r="E478" s="1" t="s">
        <v>39</v>
      </c>
      <c r="F478" s="25" t="s">
        <v>2029</v>
      </c>
      <c r="G478" s="1" t="s">
        <v>2029</v>
      </c>
      <c r="H478" s="1" t="s">
        <v>37</v>
      </c>
      <c r="I478" s="1" t="s">
        <v>39</v>
      </c>
      <c r="J478" s="1" t="s">
        <v>39</v>
      </c>
      <c r="K478" s="1" t="s">
        <v>39</v>
      </c>
      <c r="L478" s="1" t="s">
        <v>39</v>
      </c>
      <c r="M478" s="1" t="s">
        <v>39</v>
      </c>
      <c r="N478" s="1" t="s">
        <v>39</v>
      </c>
      <c r="O478" s="1"/>
      <c r="P478" s="1"/>
      <c r="Q478" s="1"/>
      <c r="R478" s="1" t="s">
        <v>60</v>
      </c>
      <c r="S478" s="1" t="s">
        <v>61</v>
      </c>
      <c r="T478" s="1" t="s">
        <v>62</v>
      </c>
      <c r="U478" s="1" t="s">
        <v>63</v>
      </c>
      <c r="V478" s="1" t="s">
        <v>63</v>
      </c>
      <c r="W478" s="1" t="s">
        <v>2030</v>
      </c>
      <c r="X478" s="1" t="s">
        <v>2031</v>
      </c>
      <c r="Y478" s="1" t="s">
        <v>84</v>
      </c>
      <c r="Z478" s="1" t="s">
        <v>2032</v>
      </c>
      <c r="AA478" s="1" t="s">
        <v>47</v>
      </c>
      <c r="AB478" s="1" t="s">
        <v>39</v>
      </c>
      <c r="AC478" s="1" t="s">
        <v>37</v>
      </c>
      <c r="AD478" s="1" t="s">
        <v>37</v>
      </c>
      <c r="AE478" s="1" t="s">
        <v>37</v>
      </c>
      <c r="AF478" s="1" t="s">
        <v>37</v>
      </c>
      <c r="AG478" s="1" t="s">
        <v>37</v>
      </c>
      <c r="AH478" s="1" t="s">
        <v>37</v>
      </c>
      <c r="AI478" s="1" t="s">
        <v>37</v>
      </c>
      <c r="AJ478" s="1" t="s">
        <v>39</v>
      </c>
      <c r="AK478" s="1" t="str">
        <f t="shared" si="15"/>
        <v>Fora de âmbito</v>
      </c>
      <c r="AL478" s="1" t="str">
        <f>+IF(IFERROR(VLOOKUP(A478,Ficheiros!I:I,1,FALSE),"")=A478,"Sim","Não")</f>
        <v>Sim</v>
      </c>
      <c r="AM478" s="1" t="str">
        <f>+IF(IFERROR(VLOOKUP(A478,Ficheiros!E:E,1,FALSE),"")=A478,"Sim","Não")</f>
        <v>Não</v>
      </c>
      <c r="AN478" s="1" t="str">
        <f>+IF(IFERROR(VLOOKUP(A478,Ficheiros!O:O,1,FALSE),"")=A478,"Sim","Não")</f>
        <v>Não</v>
      </c>
      <c r="AO478" s="1" t="str">
        <f>+IF(IFERROR(VLOOKUP(A478,'Especificação Novos Req. LT (2'!A:A,1,FALSE),"")=A478,"Sim","Não")</f>
        <v>Não</v>
      </c>
      <c r="AP478" s="1" t="str">
        <f>+IF(IFERROR(VLOOKUP(A478,Ficheiros!T:T,1,FALSE),"")=A478,"Sim","Não")</f>
        <v>Sim</v>
      </c>
      <c r="AQ478" s="1" t="e">
        <f>+VLOOKUP(A478,Ficheiros!O:P,2,FALSE)</f>
        <v>#N/A</v>
      </c>
      <c r="AR478" s="1" t="str">
        <f>+VLOOKUP(A478,Ficheiros!T:U,2,FALSE)</f>
        <v>9. Concluído</v>
      </c>
      <c r="AS478" s="1" t="str">
        <f>+VLOOKUP(A478,Ficheiros!T:V,3,FALSE)</f>
        <v>PM</v>
      </c>
      <c r="AT478" s="1"/>
      <c r="AU478" s="1"/>
      <c r="AV478" s="1"/>
      <c r="AW478" s="1"/>
      <c r="AX478" s="1"/>
    </row>
    <row r="479" spans="1:50" ht="14.5" hidden="1" customHeight="1" x14ac:dyDescent="0.35">
      <c r="A479" s="5" t="str">
        <f t="shared" si="14"/>
        <v>PROTECTIONDT_PRTCTN_VL</v>
      </c>
      <c r="B479" s="1" t="s">
        <v>2033</v>
      </c>
      <c r="C479" s="1" t="s">
        <v>1952</v>
      </c>
      <c r="D479" s="1" t="s">
        <v>2014</v>
      </c>
      <c r="E479" s="1" t="s">
        <v>39</v>
      </c>
      <c r="F479" s="25" t="s">
        <v>2034</v>
      </c>
      <c r="G479" s="1" t="s">
        <v>2034</v>
      </c>
      <c r="H479" s="1" t="s">
        <v>37</v>
      </c>
      <c r="I479" s="1" t="s">
        <v>39</v>
      </c>
      <c r="J479" s="1" t="s">
        <v>39</v>
      </c>
      <c r="K479" s="1" t="s">
        <v>39</v>
      </c>
      <c r="L479" s="1" t="s">
        <v>39</v>
      </c>
      <c r="M479" s="1" t="s">
        <v>39</v>
      </c>
      <c r="N479" s="1" t="s">
        <v>39</v>
      </c>
      <c r="O479" s="1"/>
      <c r="P479" s="1"/>
      <c r="Q479" s="1"/>
      <c r="R479" s="1" t="s">
        <v>60</v>
      </c>
      <c r="S479" s="1" t="s">
        <v>61</v>
      </c>
      <c r="T479" s="1" t="s">
        <v>62</v>
      </c>
      <c r="U479" s="1" t="s">
        <v>63</v>
      </c>
      <c r="V479" s="1" t="s">
        <v>63</v>
      </c>
      <c r="W479" s="1" t="s">
        <v>2035</v>
      </c>
      <c r="X479" s="1" t="s">
        <v>2036</v>
      </c>
      <c r="Y479" s="1" t="s">
        <v>66</v>
      </c>
      <c r="Z479" s="1" t="s">
        <v>2037</v>
      </c>
      <c r="AA479" s="1" t="s">
        <v>47</v>
      </c>
      <c r="AB479" s="1" t="s">
        <v>39</v>
      </c>
      <c r="AC479" s="1" t="s">
        <v>37</v>
      </c>
      <c r="AD479" s="1" t="s">
        <v>37</v>
      </c>
      <c r="AE479" s="1" t="s">
        <v>37</v>
      </c>
      <c r="AF479" s="1" t="s">
        <v>37</v>
      </c>
      <c r="AG479" s="1" t="s">
        <v>37</v>
      </c>
      <c r="AH479" s="1" t="s">
        <v>37</v>
      </c>
      <c r="AI479" s="1" t="s">
        <v>37</v>
      </c>
      <c r="AJ479" s="1" t="s">
        <v>39</v>
      </c>
      <c r="AK479" s="1" t="str">
        <f t="shared" si="15"/>
        <v>Fora de âmbito</v>
      </c>
      <c r="AL479" s="1" t="str">
        <f>+IF(IFERROR(VLOOKUP(A479,Ficheiros!I:I,1,FALSE),"")=A479,"Sim","Não")</f>
        <v>Sim</v>
      </c>
      <c r="AM479" s="1" t="str">
        <f>+IF(IFERROR(VLOOKUP(A479,Ficheiros!E:E,1,FALSE),"")=A479,"Sim","Não")</f>
        <v>Não</v>
      </c>
      <c r="AN479" s="1" t="str">
        <f>+IF(IFERROR(VLOOKUP(A479,Ficheiros!O:O,1,FALSE),"")=A479,"Sim","Não")</f>
        <v>Não</v>
      </c>
      <c r="AO479" s="1" t="str">
        <f>+IF(IFERROR(VLOOKUP(A479,'Especificação Novos Req. LT (2'!A:A,1,FALSE),"")=A479,"Sim","Não")</f>
        <v>Não</v>
      </c>
      <c r="AP479" s="1" t="str">
        <f>+IF(IFERROR(VLOOKUP(A479,Ficheiros!T:T,1,FALSE),"")=A479,"Sim","Não")</f>
        <v>Sim</v>
      </c>
      <c r="AQ479" s="1" t="e">
        <f>+VLOOKUP(A479,Ficheiros!O:P,2,FALSE)</f>
        <v>#N/A</v>
      </c>
      <c r="AR479" s="1" t="str">
        <f>+VLOOKUP(A479,Ficheiros!T:U,2,FALSE)</f>
        <v>9. Concluído</v>
      </c>
      <c r="AS479" s="1" t="str">
        <f>+VLOOKUP(A479,Ficheiros!T:V,3,FALSE)</f>
        <v>PM</v>
      </c>
      <c r="AT479" s="1"/>
      <c r="AU479" s="1"/>
      <c r="AV479" s="1"/>
      <c r="AW479" s="1"/>
      <c r="AX479" s="1"/>
    </row>
    <row r="480" spans="1:50" ht="14.5" hidden="1" customHeight="1" x14ac:dyDescent="0.35">
      <c r="A480" s="5" t="str">
        <f t="shared" si="14"/>
        <v>PROTECTIONORGNL_PRTCTN_VL</v>
      </c>
      <c r="B480" s="1" t="s">
        <v>2038</v>
      </c>
      <c r="C480" s="1" t="s">
        <v>1952</v>
      </c>
      <c r="D480" s="1" t="s">
        <v>2014</v>
      </c>
      <c r="E480" s="1" t="s">
        <v>39</v>
      </c>
      <c r="F480" s="25" t="s">
        <v>2039</v>
      </c>
      <c r="G480" s="1" t="s">
        <v>2039</v>
      </c>
      <c r="H480" s="1" t="s">
        <v>37</v>
      </c>
      <c r="I480" s="1" t="s">
        <v>39</v>
      </c>
      <c r="J480" s="1" t="s">
        <v>39</v>
      </c>
      <c r="K480" s="1" t="s">
        <v>39</v>
      </c>
      <c r="L480" s="1" t="s">
        <v>39</v>
      </c>
      <c r="M480" s="1" t="s">
        <v>39</v>
      </c>
      <c r="N480" s="1" t="s">
        <v>39</v>
      </c>
      <c r="O480" s="1"/>
      <c r="P480" s="1"/>
      <c r="Q480" s="1"/>
      <c r="R480" s="1" t="s">
        <v>273</v>
      </c>
      <c r="S480" s="1" t="s">
        <v>274</v>
      </c>
      <c r="T480" s="1">
        <v>99999999999</v>
      </c>
      <c r="U480" s="1">
        <v>11111111111</v>
      </c>
      <c r="V480" s="1">
        <v>11111111111</v>
      </c>
      <c r="W480" s="1" t="s">
        <v>2040</v>
      </c>
      <c r="X480" s="1" t="s">
        <v>2041</v>
      </c>
      <c r="Y480" s="1" t="s">
        <v>84</v>
      </c>
      <c r="Z480" s="1" t="s">
        <v>2042</v>
      </c>
      <c r="AA480" s="1" t="s">
        <v>47</v>
      </c>
      <c r="AB480" s="1" t="s">
        <v>39</v>
      </c>
      <c r="AC480" s="1" t="s">
        <v>37</v>
      </c>
      <c r="AD480" s="1" t="s">
        <v>39</v>
      </c>
      <c r="AE480" s="1" t="s">
        <v>37</v>
      </c>
      <c r="AF480" s="1" t="s">
        <v>37</v>
      </c>
      <c r="AG480" s="1" t="s">
        <v>37</v>
      </c>
      <c r="AH480" s="1" t="s">
        <v>37</v>
      </c>
      <c r="AI480" s="1" t="s">
        <v>39</v>
      </c>
      <c r="AJ480" s="1" t="s">
        <v>39</v>
      </c>
      <c r="AK480" s="1" t="str">
        <f t="shared" si="15"/>
        <v>Apenas Pilar 3</v>
      </c>
      <c r="AL480" s="1" t="str">
        <f>+IF(IFERROR(VLOOKUP(A480,Ficheiros!I:I,1,FALSE),"")=A480,"Sim","Não")</f>
        <v>Sim</v>
      </c>
      <c r="AM480" s="1" t="str">
        <f>+IF(IFERROR(VLOOKUP(A480,Ficheiros!E:E,1,FALSE),"")=A480,"Sim","Não")</f>
        <v>Sim</v>
      </c>
      <c r="AN480" s="1" t="str">
        <f>+IF(IFERROR(VLOOKUP(A480,Ficheiros!O:O,1,FALSE),"")=A480,"Sim","Não")</f>
        <v>Sim</v>
      </c>
      <c r="AO480" s="1" t="str">
        <f>+IF(IFERROR(VLOOKUP(A480,'Especificação Novos Req. LT (2'!A:A,1,FALSE),"")=A480,"Sim","Não")</f>
        <v>Não</v>
      </c>
      <c r="AP480" s="1" t="str">
        <f>+IF(IFERROR(VLOOKUP(A480,Ficheiros!T:T,1,FALSE),"")=A480,"Sim","Não")</f>
        <v>Sim</v>
      </c>
      <c r="AQ480" s="1" t="str">
        <f>+VLOOKUP(A480,Ficheiros!O:P,2,FALSE)</f>
        <v>1. Concluído</v>
      </c>
      <c r="AR480" s="1" t="str">
        <f>+VLOOKUP(A480,Ficheiros!T:U,2,FALSE)</f>
        <v>5.1 Em testes - Re-especificação</v>
      </c>
      <c r="AS480" s="1" t="str">
        <f>+VLOOKUP(A480,Ficheiros!T:V,3,FALSE)</f>
        <v>PM</v>
      </c>
      <c r="AT480" s="1"/>
      <c r="AU480" s="1"/>
      <c r="AV480" s="1"/>
      <c r="AW480" s="1"/>
      <c r="AX480" s="1"/>
    </row>
    <row r="481" spans="1:50" ht="14.5" hidden="1" customHeight="1" x14ac:dyDescent="0.35">
      <c r="A481" s="5" t="str">
        <f t="shared" si="14"/>
        <v>PROTECTIONPRTCTN_FRCD_SL_VL</v>
      </c>
      <c r="B481" s="1" t="s">
        <v>2043</v>
      </c>
      <c r="C481" s="1" t="s">
        <v>1952</v>
      </c>
      <c r="D481" s="1" t="s">
        <v>2014</v>
      </c>
      <c r="E481" s="1" t="s">
        <v>37</v>
      </c>
      <c r="F481" s="25" t="s">
        <v>2044</v>
      </c>
      <c r="G481" s="1" t="s">
        <v>2044</v>
      </c>
      <c r="H481" s="1" t="s">
        <v>37</v>
      </c>
      <c r="I481" s="1" t="s">
        <v>39</v>
      </c>
      <c r="J481" s="1" t="s">
        <v>39</v>
      </c>
      <c r="K481" s="1" t="s">
        <v>39</v>
      </c>
      <c r="L481" s="1" t="s">
        <v>39</v>
      </c>
      <c r="M481" s="1" t="s">
        <v>39</v>
      </c>
      <c r="N481" s="1" t="s">
        <v>39</v>
      </c>
      <c r="O481" s="1"/>
      <c r="P481" s="1"/>
      <c r="Q481" s="1"/>
      <c r="R481" s="1" t="s">
        <v>273</v>
      </c>
      <c r="S481" s="1" t="s">
        <v>274</v>
      </c>
      <c r="T481" s="1">
        <v>99999999999</v>
      </c>
      <c r="U481" s="1">
        <v>11111111111</v>
      </c>
      <c r="V481" s="1">
        <v>11111111111</v>
      </c>
      <c r="W481" s="1" t="s">
        <v>2045</v>
      </c>
      <c r="X481" s="1" t="s">
        <v>2046</v>
      </c>
      <c r="Y481" s="1" t="s">
        <v>45</v>
      </c>
      <c r="Z481" s="1" t="s">
        <v>46</v>
      </c>
      <c r="AA481" s="1" t="s">
        <v>47</v>
      </c>
      <c r="AB481" s="1" t="s">
        <v>39</v>
      </c>
      <c r="AC481" s="1" t="s">
        <v>37</v>
      </c>
      <c r="AD481" s="1" t="s">
        <v>37</v>
      </c>
      <c r="AE481" s="1" t="s">
        <v>37</v>
      </c>
      <c r="AF481" s="1" t="s">
        <v>37</v>
      </c>
      <c r="AG481" s="1" t="s">
        <v>37</v>
      </c>
      <c r="AH481" s="1" t="s">
        <v>37</v>
      </c>
      <c r="AI481" s="1" t="s">
        <v>37</v>
      </c>
      <c r="AJ481" s="1" t="s">
        <v>39</v>
      </c>
      <c r="AK481" s="1" t="str">
        <f t="shared" si="15"/>
        <v>Fora de âmbito</v>
      </c>
      <c r="AL481" s="1" t="str">
        <f>+IF(IFERROR(VLOOKUP(A481,Ficheiros!I:I,1,FALSE),"")=A481,"Sim","Não")</f>
        <v>Sim</v>
      </c>
      <c r="AM481" s="1" t="str">
        <f>+IF(IFERROR(VLOOKUP(A481,Ficheiros!E:E,1,FALSE),"")=A481,"Sim","Não")</f>
        <v>Não</v>
      </c>
      <c r="AN481" s="1" t="str">
        <f>+IF(IFERROR(VLOOKUP(A481,Ficheiros!O:O,1,FALSE),"")=A481,"Sim","Não")</f>
        <v>Não</v>
      </c>
      <c r="AO481" s="1" t="str">
        <f>+IF(IFERROR(VLOOKUP(A481,'Especificação Novos Req. LT (2'!A:A,1,FALSE),"")=A481,"Sim","Não")</f>
        <v>Não</v>
      </c>
      <c r="AP481" s="1" t="str">
        <f>+IF(IFERROR(VLOOKUP(A481,Ficheiros!T:T,1,FALSE),"")=A481,"Sim","Não")</f>
        <v>Sim</v>
      </c>
      <c r="AQ481" s="1" t="e">
        <f>+VLOOKUP(A481,Ficheiros!O:P,2,FALSE)</f>
        <v>#N/A</v>
      </c>
      <c r="AR481" s="1" t="str">
        <f>+VLOOKUP(A481,Ficheiros!T:U,2,FALSE)</f>
        <v>9. Concluído</v>
      </c>
      <c r="AS481" s="1" t="str">
        <f>+VLOOKUP(A481,Ficheiros!T:V,3,FALSE)</f>
        <v>PM</v>
      </c>
      <c r="AT481" s="1"/>
      <c r="AU481" s="1"/>
      <c r="AV481" s="1"/>
      <c r="AW481" s="1"/>
      <c r="AX481" s="1"/>
    </row>
    <row r="482" spans="1:50" ht="14.5" hidden="1" customHeight="1" x14ac:dyDescent="0.35">
      <c r="A482" s="5" t="str">
        <f t="shared" si="14"/>
        <v>PROTECTIONPRTCTN_VL</v>
      </c>
      <c r="B482" s="1" t="s">
        <v>2047</v>
      </c>
      <c r="C482" s="1" t="s">
        <v>1952</v>
      </c>
      <c r="D482" s="1" t="s">
        <v>2014</v>
      </c>
      <c r="E482" s="1" t="s">
        <v>39</v>
      </c>
      <c r="F482" s="25" t="s">
        <v>2048</v>
      </c>
      <c r="G482" s="1" t="s">
        <v>2048</v>
      </c>
      <c r="H482" s="1" t="s">
        <v>37</v>
      </c>
      <c r="I482" s="1" t="s">
        <v>39</v>
      </c>
      <c r="J482" s="1" t="s">
        <v>39</v>
      </c>
      <c r="K482" s="1" t="s">
        <v>39</v>
      </c>
      <c r="L482" s="1" t="s">
        <v>39</v>
      </c>
      <c r="M482" s="1" t="s">
        <v>39</v>
      </c>
      <c r="N482" s="1" t="s">
        <v>39</v>
      </c>
      <c r="O482" s="1"/>
      <c r="P482" s="1"/>
      <c r="Q482" s="1"/>
      <c r="R482" s="1" t="s">
        <v>273</v>
      </c>
      <c r="S482" s="1" t="s">
        <v>274</v>
      </c>
      <c r="T482" s="1">
        <v>99999999999</v>
      </c>
      <c r="U482" s="1">
        <v>11111111111</v>
      </c>
      <c r="V482" s="1">
        <v>11111111111</v>
      </c>
      <c r="W482" s="1" t="s">
        <v>2049</v>
      </c>
      <c r="X482" s="1" t="s">
        <v>2050</v>
      </c>
      <c r="Y482" s="1" t="s">
        <v>66</v>
      </c>
      <c r="Z482" s="1" t="s">
        <v>2051</v>
      </c>
      <c r="AA482" s="1" t="s">
        <v>47</v>
      </c>
      <c r="AB482" s="1" t="s">
        <v>39</v>
      </c>
      <c r="AC482" s="1" t="s">
        <v>39</v>
      </c>
      <c r="AD482" s="1" t="s">
        <v>39</v>
      </c>
      <c r="AE482" s="1" t="s">
        <v>37</v>
      </c>
      <c r="AF482" s="1" t="s">
        <v>37</v>
      </c>
      <c r="AG482" s="1" t="s">
        <v>37</v>
      </c>
      <c r="AH482" s="1" t="s">
        <v>39</v>
      </c>
      <c r="AI482" s="1" t="s">
        <v>39</v>
      </c>
      <c r="AJ482" s="1" t="s">
        <v>39</v>
      </c>
      <c r="AK482" s="1" t="str">
        <f t="shared" si="15"/>
        <v>Apenas Pilar 3</v>
      </c>
      <c r="AL482" s="1" t="str">
        <f>+IF(IFERROR(VLOOKUP(A482,Ficheiros!I:I,1,FALSE),"")=A482,"Sim","Não")</f>
        <v>Sim</v>
      </c>
      <c r="AM482" s="1" t="str">
        <f>+IF(IFERROR(VLOOKUP(A482,Ficheiros!E:E,1,FALSE),"")=A482,"Sim","Não")</f>
        <v>Sim</v>
      </c>
      <c r="AN482" s="1" t="str">
        <f>+IF(IFERROR(VLOOKUP(A482,Ficheiros!O:O,1,FALSE),"")=A482,"Sim","Não")</f>
        <v>Sim</v>
      </c>
      <c r="AO482" s="1" t="str">
        <f>+IF(IFERROR(VLOOKUP(A482,'Especificação Novos Req. LT (2'!A:A,1,FALSE),"")=A482,"Sim","Não")</f>
        <v>Não</v>
      </c>
      <c r="AP482" s="1" t="str">
        <f>+IF(IFERROR(VLOOKUP(A482,Ficheiros!T:T,1,FALSE),"")=A482,"Sim","Não")</f>
        <v>Sim</v>
      </c>
      <c r="AQ482" s="1" t="str">
        <f>+VLOOKUP(A482,Ficheiros!O:P,2,FALSE)</f>
        <v>1. Concluído</v>
      </c>
      <c r="AR482" s="1" t="str">
        <f>+VLOOKUP(A482,Ficheiros!T:U,2,FALSE)</f>
        <v>5.2 Em testes - Incidência</v>
      </c>
      <c r="AS482" s="1" t="str">
        <f>+VLOOKUP(A482,Ficheiros!T:V,3,FALSE)</f>
        <v>PM</v>
      </c>
      <c r="AT482" s="1"/>
      <c r="AU482" s="1"/>
      <c r="AV482" s="1"/>
      <c r="AW482" s="1"/>
      <c r="AX482" s="1"/>
    </row>
    <row r="483" spans="1:50" ht="14.5" hidden="1" customHeight="1" x14ac:dyDescent="0.35">
      <c r="A483" s="5" t="str">
        <f t="shared" si="14"/>
        <v>PROTECTIONPRTCTN_VL_NPE</v>
      </c>
      <c r="B483" s="1" t="s">
        <v>2052</v>
      </c>
      <c r="C483" s="1" t="s">
        <v>1952</v>
      </c>
      <c r="D483" s="1" t="s">
        <v>2014</v>
      </c>
      <c r="E483" s="1" t="s">
        <v>37</v>
      </c>
      <c r="F483" s="25" t="s">
        <v>2053</v>
      </c>
      <c r="G483" s="1" t="s">
        <v>2053</v>
      </c>
      <c r="H483" s="1" t="s">
        <v>37</v>
      </c>
      <c r="I483" s="1" t="s">
        <v>39</v>
      </c>
      <c r="J483" s="1" t="s">
        <v>39</v>
      </c>
      <c r="K483" s="1" t="s">
        <v>39</v>
      </c>
      <c r="L483" s="1" t="s">
        <v>39</v>
      </c>
      <c r="M483" s="1" t="s">
        <v>39</v>
      </c>
      <c r="N483" s="1" t="s">
        <v>39</v>
      </c>
      <c r="O483" s="1"/>
      <c r="P483" s="1"/>
      <c r="Q483" s="1"/>
      <c r="R483" s="1" t="s">
        <v>273</v>
      </c>
      <c r="S483" s="1" t="s">
        <v>274</v>
      </c>
      <c r="T483" s="1">
        <v>99999999999</v>
      </c>
      <c r="U483" s="1">
        <v>11111111111</v>
      </c>
      <c r="V483" s="1">
        <v>11111111111</v>
      </c>
      <c r="W483" s="1" t="s">
        <v>2054</v>
      </c>
      <c r="X483" s="1" t="s">
        <v>2055</v>
      </c>
      <c r="Y483" s="1" t="s">
        <v>84</v>
      </c>
      <c r="Z483" s="1" t="s">
        <v>2056</v>
      </c>
      <c r="AA483" s="1" t="s">
        <v>47</v>
      </c>
      <c r="AB483" s="1" t="s">
        <v>39</v>
      </c>
      <c r="AC483" s="1" t="s">
        <v>37</v>
      </c>
      <c r="AD483" s="1" t="s">
        <v>37</v>
      </c>
      <c r="AE483" s="1" t="s">
        <v>37</v>
      </c>
      <c r="AF483" s="1" t="s">
        <v>37</v>
      </c>
      <c r="AG483" s="1" t="s">
        <v>37</v>
      </c>
      <c r="AH483" s="1" t="s">
        <v>37</v>
      </c>
      <c r="AI483" s="1" t="s">
        <v>37</v>
      </c>
      <c r="AJ483" s="1" t="s">
        <v>39</v>
      </c>
      <c r="AK483" s="1" t="str">
        <f t="shared" si="15"/>
        <v>Fora de âmbito</v>
      </c>
      <c r="AL483" s="1" t="str">
        <f>+IF(IFERROR(VLOOKUP(A483,Ficheiros!I:I,1,FALSE),"")=A483,"Sim","Não")</f>
        <v>Sim</v>
      </c>
      <c r="AM483" s="1" t="str">
        <f>+IF(IFERROR(VLOOKUP(A483,Ficheiros!E:E,1,FALSE),"")=A483,"Sim","Não")</f>
        <v>Não</v>
      </c>
      <c r="AN483" s="1" t="str">
        <f>+IF(IFERROR(VLOOKUP(A483,Ficheiros!O:O,1,FALSE),"")=A483,"Sim","Não")</f>
        <v>Não</v>
      </c>
      <c r="AO483" s="1" t="str">
        <f>+IF(IFERROR(VLOOKUP(A483,'Especificação Novos Req. LT (2'!A:A,1,FALSE),"")=A483,"Sim","Não")</f>
        <v>Não</v>
      </c>
      <c r="AP483" s="1" t="str">
        <f>+IF(IFERROR(VLOOKUP(A483,Ficheiros!T:T,1,FALSE),"")=A483,"Sim","Não")</f>
        <v>Sim</v>
      </c>
      <c r="AQ483" s="1" t="e">
        <f>+VLOOKUP(A483,Ficheiros!O:P,2,FALSE)</f>
        <v>#N/A</v>
      </c>
      <c r="AR483" s="1" t="str">
        <f>+VLOOKUP(A483,Ficheiros!T:U,2,FALSE)</f>
        <v>5.1 Em testes - Re-especificação</v>
      </c>
      <c r="AS483" s="1" t="str">
        <f>+VLOOKUP(A483,Ficheiros!T:V,3,FALSE)</f>
        <v>PM</v>
      </c>
      <c r="AT483" s="1"/>
      <c r="AU483" s="1"/>
      <c r="AV483" s="1"/>
      <c r="AW483" s="1"/>
      <c r="AX483" s="1"/>
    </row>
    <row r="484" spans="1:50" ht="14.5" hidden="1" customHeight="1" x14ac:dyDescent="0.35">
      <c r="A484" s="5" t="str">
        <f t="shared" si="14"/>
        <v>PROTECTIONPRTCTN_VLTN_APPRCH</v>
      </c>
      <c r="B484" s="1" t="s">
        <v>2057</v>
      </c>
      <c r="C484" s="1" t="s">
        <v>1952</v>
      </c>
      <c r="D484" s="1" t="s">
        <v>2014</v>
      </c>
      <c r="E484" s="1" t="s">
        <v>39</v>
      </c>
      <c r="F484" s="25" t="s">
        <v>2058</v>
      </c>
      <c r="G484" s="1" t="s">
        <v>2058</v>
      </c>
      <c r="H484" s="1" t="s">
        <v>37</v>
      </c>
      <c r="I484" s="1" t="s">
        <v>39</v>
      </c>
      <c r="J484" s="1" t="s">
        <v>39</v>
      </c>
      <c r="K484" s="1" t="s">
        <v>39</v>
      </c>
      <c r="L484" s="1" t="s">
        <v>39</v>
      </c>
      <c r="M484" s="1" t="s">
        <v>39</v>
      </c>
      <c r="N484" s="1" t="s">
        <v>39</v>
      </c>
      <c r="O484" s="1"/>
      <c r="P484" s="1"/>
      <c r="Q484" s="1"/>
      <c r="R484" s="1" t="s">
        <v>136</v>
      </c>
      <c r="S484" s="1" t="s">
        <v>52</v>
      </c>
      <c r="T484" s="1">
        <v>99999999999</v>
      </c>
      <c r="U484" s="1">
        <v>11111111111</v>
      </c>
      <c r="V484" s="1">
        <v>11111111111</v>
      </c>
      <c r="W484" s="1" t="s">
        <v>2059</v>
      </c>
      <c r="X484" s="1" t="s">
        <v>2060</v>
      </c>
      <c r="Y484" s="1" t="s">
        <v>45</v>
      </c>
      <c r="Z484" s="1" t="s">
        <v>46</v>
      </c>
      <c r="AA484" s="1" t="s">
        <v>47</v>
      </c>
      <c r="AB484" s="1" t="s">
        <v>39</v>
      </c>
      <c r="AC484" s="1" t="s">
        <v>37</v>
      </c>
      <c r="AD484" s="1" t="s">
        <v>37</v>
      </c>
      <c r="AE484" s="1" t="s">
        <v>37</v>
      </c>
      <c r="AF484" s="1" t="s">
        <v>37</v>
      </c>
      <c r="AG484" s="1" t="s">
        <v>37</v>
      </c>
      <c r="AH484" s="1" t="s">
        <v>37</v>
      </c>
      <c r="AI484" s="1" t="s">
        <v>37</v>
      </c>
      <c r="AJ484" s="1" t="s">
        <v>39</v>
      </c>
      <c r="AK484" s="1" t="str">
        <f t="shared" si="15"/>
        <v>Fora de âmbito</v>
      </c>
      <c r="AL484" s="1" t="str">
        <f>+IF(IFERROR(VLOOKUP(A484,Ficheiros!I:I,1,FALSE),"")=A484,"Sim","Não")</f>
        <v>Sim</v>
      </c>
      <c r="AM484" s="1" t="str">
        <f>+IF(IFERROR(VLOOKUP(A484,Ficheiros!E:E,1,FALSE),"")=A484,"Sim","Não")</f>
        <v>Não</v>
      </c>
      <c r="AN484" s="1" t="str">
        <f>+IF(IFERROR(VLOOKUP(A484,Ficheiros!O:O,1,FALSE),"")=A484,"Sim","Não")</f>
        <v>Não</v>
      </c>
      <c r="AO484" s="1" t="str">
        <f>+IF(IFERROR(VLOOKUP(A484,'Especificação Novos Req. LT (2'!A:A,1,FALSE),"")=A484,"Sim","Não")</f>
        <v>Não</v>
      </c>
      <c r="AP484" s="1" t="str">
        <f>+IF(IFERROR(VLOOKUP(A484,Ficheiros!T:T,1,FALSE),"")=A484,"Sim","Não")</f>
        <v>Sim</v>
      </c>
      <c r="AQ484" s="1" t="e">
        <f>+VLOOKUP(A484,Ficheiros!O:P,2,FALSE)</f>
        <v>#N/A</v>
      </c>
      <c r="AR484" s="1" t="str">
        <f>+VLOOKUP(A484,Ficheiros!T:U,2,FALSE)</f>
        <v>7. Analisar controlos e completude</v>
      </c>
      <c r="AS484" s="1" t="str">
        <f>+VLOOKUP(A484,Ficheiros!T:V,3,FALSE)</f>
        <v>PM</v>
      </c>
      <c r="AT484" s="1"/>
      <c r="AU484" s="1"/>
      <c r="AV484" s="1"/>
      <c r="AW484" s="1"/>
      <c r="AX484" s="1"/>
    </row>
    <row r="485" spans="1:50" ht="14.5" hidden="1" customHeight="1" x14ac:dyDescent="0.35">
      <c r="A485" s="5" t="str">
        <f t="shared" si="14"/>
        <v>PROTECTIONDT_APPRSL_PRVS</v>
      </c>
      <c r="B485" s="1" t="s">
        <v>2061</v>
      </c>
      <c r="C485" s="1" t="s">
        <v>1952</v>
      </c>
      <c r="D485" s="1" t="s">
        <v>2014</v>
      </c>
      <c r="E485" s="1" t="s">
        <v>37</v>
      </c>
      <c r="F485" s="25" t="s">
        <v>2062</v>
      </c>
      <c r="G485" s="1" t="s">
        <v>2062</v>
      </c>
      <c r="H485" s="1" t="s">
        <v>37</v>
      </c>
      <c r="I485" s="1" t="s">
        <v>39</v>
      </c>
      <c r="J485" s="1" t="s">
        <v>39</v>
      </c>
      <c r="K485" s="1" t="s">
        <v>39</v>
      </c>
      <c r="L485" s="1" t="s">
        <v>39</v>
      </c>
      <c r="M485" s="1" t="s">
        <v>39</v>
      </c>
      <c r="N485" s="1" t="s">
        <v>39</v>
      </c>
      <c r="O485" s="1"/>
      <c r="P485" s="1"/>
      <c r="Q485" s="1"/>
      <c r="R485" s="1" t="s">
        <v>60</v>
      </c>
      <c r="S485" s="1" t="s">
        <v>61</v>
      </c>
      <c r="T485" s="1" t="s">
        <v>62</v>
      </c>
      <c r="U485" s="1" t="s">
        <v>63</v>
      </c>
      <c r="V485" s="1" t="s">
        <v>63</v>
      </c>
      <c r="W485" s="1" t="s">
        <v>2063</v>
      </c>
      <c r="X485" s="1" t="s">
        <v>2064</v>
      </c>
      <c r="Y485" s="1" t="s">
        <v>84</v>
      </c>
      <c r="Z485" s="1" t="s">
        <v>2065</v>
      </c>
      <c r="AA485" s="1" t="s">
        <v>47</v>
      </c>
      <c r="AB485" s="1" t="s">
        <v>39</v>
      </c>
      <c r="AC485" s="1" t="s">
        <v>37</v>
      </c>
      <c r="AD485" s="1" t="s">
        <v>37</v>
      </c>
      <c r="AE485" s="1" t="s">
        <v>37</v>
      </c>
      <c r="AF485" s="1" t="s">
        <v>37</v>
      </c>
      <c r="AG485" s="1" t="s">
        <v>37</v>
      </c>
      <c r="AH485" s="1" t="s">
        <v>37</v>
      </c>
      <c r="AI485" s="1" t="s">
        <v>37</v>
      </c>
      <c r="AJ485" s="1" t="s">
        <v>39</v>
      </c>
      <c r="AK485" s="1" t="str">
        <f t="shared" si="15"/>
        <v>Fora de âmbito</v>
      </c>
      <c r="AL485" s="1" t="str">
        <f>+IF(IFERROR(VLOOKUP(A485,Ficheiros!I:I,1,FALSE),"")=A485,"Sim","Não")</f>
        <v>Sim</v>
      </c>
      <c r="AM485" s="1" t="str">
        <f>+IF(IFERROR(VLOOKUP(A485,Ficheiros!E:E,1,FALSE),"")=A485,"Sim","Não")</f>
        <v>Não</v>
      </c>
      <c r="AN485" s="1" t="str">
        <f>+IF(IFERROR(VLOOKUP(A485,Ficheiros!O:O,1,FALSE),"")=A485,"Sim","Não")</f>
        <v>Não</v>
      </c>
      <c r="AO485" s="1" t="str">
        <f>+IF(IFERROR(VLOOKUP(A485,'Especificação Novos Req. LT (2'!A:A,1,FALSE),"")=A485,"Sim","Não")</f>
        <v>Não</v>
      </c>
      <c r="AP485" s="1" t="str">
        <f>+IF(IFERROR(VLOOKUP(A485,Ficheiros!T:T,1,FALSE),"")=A485,"Sim","Não")</f>
        <v>Sim</v>
      </c>
      <c r="AQ485" s="1" t="e">
        <f>+VLOOKUP(A485,Ficheiros!O:P,2,FALSE)</f>
        <v>#N/A</v>
      </c>
      <c r="AR485" s="1" t="str">
        <f>+VLOOKUP(A485,Ficheiros!T:U,2,FALSE)</f>
        <v>9. Concluído</v>
      </c>
      <c r="AS485" s="1" t="str">
        <f>+VLOOKUP(A485,Ficheiros!T:V,3,FALSE)</f>
        <v>PM</v>
      </c>
      <c r="AT485" s="1"/>
      <c r="AU485" s="1"/>
      <c r="AV485" s="1"/>
      <c r="AW485" s="1"/>
      <c r="AX485" s="1"/>
    </row>
    <row r="486" spans="1:50" ht="14.5" hidden="1" customHeight="1" x14ac:dyDescent="0.35">
      <c r="A486" s="5" t="str">
        <f t="shared" si="14"/>
        <v>PROTECTIONPRTCTN_VL_PRVS</v>
      </c>
      <c r="B486" s="1" t="s">
        <v>2066</v>
      </c>
      <c r="C486" s="1" t="s">
        <v>1952</v>
      </c>
      <c r="D486" s="1" t="s">
        <v>2014</v>
      </c>
      <c r="E486" s="1" t="s">
        <v>37</v>
      </c>
      <c r="F486" s="25" t="s">
        <v>2067</v>
      </c>
      <c r="G486" s="1" t="s">
        <v>2067</v>
      </c>
      <c r="H486" s="1" t="s">
        <v>37</v>
      </c>
      <c r="I486" s="1" t="s">
        <v>39</v>
      </c>
      <c r="J486" s="1" t="s">
        <v>39</v>
      </c>
      <c r="K486" s="1" t="s">
        <v>39</v>
      </c>
      <c r="L486" s="1" t="s">
        <v>39</v>
      </c>
      <c r="M486" s="1" t="s">
        <v>39</v>
      </c>
      <c r="N486" s="1" t="s">
        <v>39</v>
      </c>
      <c r="O486" s="1"/>
      <c r="P486" s="1"/>
      <c r="Q486" s="1"/>
      <c r="R486" s="1" t="s">
        <v>273</v>
      </c>
      <c r="S486" s="1" t="s">
        <v>274</v>
      </c>
      <c r="T486" s="1">
        <v>99999999999</v>
      </c>
      <c r="U486" s="1">
        <v>11111111111</v>
      </c>
      <c r="V486" s="1">
        <v>11111111111</v>
      </c>
      <c r="W486" s="1" t="s">
        <v>2068</v>
      </c>
      <c r="X486" s="1" t="s">
        <v>2069</v>
      </c>
      <c r="Y486" s="1" t="s">
        <v>84</v>
      </c>
      <c r="Z486" s="1" t="s">
        <v>2070</v>
      </c>
      <c r="AA486" s="1" t="s">
        <v>47</v>
      </c>
      <c r="AB486" s="1" t="s">
        <v>39</v>
      </c>
      <c r="AC486" s="1" t="s">
        <v>37</v>
      </c>
      <c r="AD486" s="1" t="s">
        <v>37</v>
      </c>
      <c r="AE486" s="1" t="s">
        <v>37</v>
      </c>
      <c r="AF486" s="1" t="s">
        <v>37</v>
      </c>
      <c r="AG486" s="1" t="s">
        <v>37</v>
      </c>
      <c r="AH486" s="1" t="s">
        <v>37</v>
      </c>
      <c r="AI486" s="1" t="s">
        <v>37</v>
      </c>
      <c r="AJ486" s="1" t="s">
        <v>39</v>
      </c>
      <c r="AK486" s="1" t="str">
        <f t="shared" si="15"/>
        <v>Fora de âmbito</v>
      </c>
      <c r="AL486" s="1" t="str">
        <f>+IF(IFERROR(VLOOKUP(A486,Ficheiros!I:I,1,FALSE),"")=A486,"Sim","Não")</f>
        <v>Sim</v>
      </c>
      <c r="AM486" s="1" t="str">
        <f>+IF(IFERROR(VLOOKUP(A486,Ficheiros!E:E,1,FALSE),"")=A486,"Sim","Não")</f>
        <v>Não</v>
      </c>
      <c r="AN486" s="1" t="str">
        <f>+IF(IFERROR(VLOOKUP(A486,Ficheiros!O:O,1,FALSE),"")=A486,"Sim","Não")</f>
        <v>Não</v>
      </c>
      <c r="AO486" s="1" t="str">
        <f>+IF(IFERROR(VLOOKUP(A486,'Especificação Novos Req. LT (2'!A:A,1,FALSE),"")=A486,"Sim","Não")</f>
        <v>Não</v>
      </c>
      <c r="AP486" s="1" t="str">
        <f>+IF(IFERROR(VLOOKUP(A486,Ficheiros!T:T,1,FALSE),"")=A486,"Sim","Não")</f>
        <v>Sim</v>
      </c>
      <c r="AQ486" s="1" t="e">
        <f>+VLOOKUP(A486,Ficheiros!O:P,2,FALSE)</f>
        <v>#N/A</v>
      </c>
      <c r="AR486" s="1" t="str">
        <f>+VLOOKUP(A486,Ficheiros!T:U,2,FALSE)</f>
        <v>9. Concluído</v>
      </c>
      <c r="AS486" s="1" t="str">
        <f>+VLOOKUP(A486,Ficheiros!T:V,3,FALSE)</f>
        <v>PM</v>
      </c>
      <c r="AT486" s="1"/>
      <c r="AU486" s="1"/>
      <c r="AV486" s="1"/>
      <c r="AW486" s="1"/>
      <c r="AX486" s="1"/>
    </row>
    <row r="487" spans="1:50" ht="14.5" hidden="1" customHeight="1" x14ac:dyDescent="0.35">
      <c r="A487" s="5" t="str">
        <f t="shared" si="14"/>
        <v>PROTECTIONCNSTRCTN_STTS</v>
      </c>
      <c r="B487" s="1" t="s">
        <v>2071</v>
      </c>
      <c r="C487" s="1" t="s">
        <v>1952</v>
      </c>
      <c r="D487" s="1" t="s">
        <v>2072</v>
      </c>
      <c r="E487" s="1" t="s">
        <v>37</v>
      </c>
      <c r="F487" s="25" t="s">
        <v>2073</v>
      </c>
      <c r="G487" s="1" t="s">
        <v>2073</v>
      </c>
      <c r="H487" s="1" t="s">
        <v>37</v>
      </c>
      <c r="I487" s="1" t="s">
        <v>37</v>
      </c>
      <c r="J487" s="1" t="s">
        <v>37</v>
      </c>
      <c r="K487" s="1" t="s">
        <v>37</v>
      </c>
      <c r="L487" s="1" t="s">
        <v>37</v>
      </c>
      <c r="M487" s="1" t="s">
        <v>39</v>
      </c>
      <c r="N487" s="1" t="s">
        <v>39</v>
      </c>
      <c r="O487" s="1"/>
      <c r="P487" s="1"/>
      <c r="Q487" s="1"/>
      <c r="R487" s="1" t="s">
        <v>136</v>
      </c>
      <c r="S487" s="1" t="s">
        <v>52</v>
      </c>
      <c r="T487" s="1">
        <v>99999999999</v>
      </c>
      <c r="U487" s="1">
        <v>11111111111</v>
      </c>
      <c r="V487" s="1">
        <v>11111111111</v>
      </c>
      <c r="W487" s="1" t="s">
        <v>2074</v>
      </c>
      <c r="X487" s="1" t="s">
        <v>2075</v>
      </c>
      <c r="Y487" s="1" t="s">
        <v>56</v>
      </c>
      <c r="Z487" s="1" t="s">
        <v>57</v>
      </c>
      <c r="AA487" s="1" t="s">
        <v>47</v>
      </c>
      <c r="AB487" s="1" t="s">
        <v>39</v>
      </c>
      <c r="AC487" s="1" t="s">
        <v>37</v>
      </c>
      <c r="AD487" s="1" t="s">
        <v>37</v>
      </c>
      <c r="AE487" s="1" t="s">
        <v>37</v>
      </c>
      <c r="AF487" s="1" t="s">
        <v>37</v>
      </c>
      <c r="AG487" s="1" t="s">
        <v>37</v>
      </c>
      <c r="AH487" s="1" t="s">
        <v>37</v>
      </c>
      <c r="AI487" s="1" t="s">
        <v>37</v>
      </c>
      <c r="AJ487" s="1" t="s">
        <v>39</v>
      </c>
      <c r="AK487" s="1" t="str">
        <f t="shared" si="15"/>
        <v>Fora de âmbito</v>
      </c>
      <c r="AL487" s="1" t="str">
        <f>+IF(IFERROR(VLOOKUP(A487,Ficheiros!I:I,1,FALSE),"")=A487,"Sim","Não")</f>
        <v>Sim</v>
      </c>
      <c r="AM487" s="1" t="str">
        <f>+IF(IFERROR(VLOOKUP(A487,Ficheiros!E:E,1,FALSE),"")=A487,"Sim","Não")</f>
        <v>Não</v>
      </c>
      <c r="AN487" s="1" t="str">
        <f>+IF(IFERROR(VLOOKUP(A487,Ficheiros!O:O,1,FALSE),"")=A487,"Sim","Não")</f>
        <v>Não</v>
      </c>
      <c r="AO487" s="1" t="str">
        <f>+IF(IFERROR(VLOOKUP(A487,'Especificação Novos Req. LT (2'!A:A,1,FALSE),"")=A487,"Sim","Não")</f>
        <v>Não</v>
      </c>
      <c r="AP487" s="1" t="str">
        <f>+IF(IFERROR(VLOOKUP(A487,Ficheiros!T:T,1,FALSE),"")=A487,"Sim","Não")</f>
        <v>Sim</v>
      </c>
      <c r="AQ487" s="1" t="e">
        <f>+VLOOKUP(A487,Ficheiros!O:P,2,FALSE)</f>
        <v>#N/A</v>
      </c>
      <c r="AR487" s="1" t="str">
        <f>+VLOOKUP(A487,Ficheiros!T:U,2,FALSE)</f>
        <v>9. Concluído</v>
      </c>
      <c r="AS487" s="1" t="str">
        <f>+VLOOKUP(A487,Ficheiros!T:V,3,FALSE)</f>
        <v>PM</v>
      </c>
      <c r="AT487" s="1"/>
      <c r="AU487" s="1"/>
      <c r="AV487" s="1"/>
      <c r="AW487" s="1"/>
      <c r="AX487" s="1"/>
    </row>
    <row r="488" spans="1:50" ht="14.5" hidden="1" customHeight="1" x14ac:dyDescent="0.35">
      <c r="A488" s="5" t="str">
        <f t="shared" si="14"/>
        <v>PROTECTIONDT_CNSTRCTN_STTS</v>
      </c>
      <c r="B488" s="1" t="s">
        <v>2076</v>
      </c>
      <c r="C488" s="1" t="s">
        <v>1952</v>
      </c>
      <c r="D488" s="1" t="s">
        <v>2072</v>
      </c>
      <c r="E488" s="1" t="s">
        <v>37</v>
      </c>
      <c r="F488" s="25" t="s">
        <v>2077</v>
      </c>
      <c r="G488" s="1" t="s">
        <v>2077</v>
      </c>
      <c r="H488" s="1" t="s">
        <v>37</v>
      </c>
      <c r="I488" s="1" t="s">
        <v>37</v>
      </c>
      <c r="J488" s="1" t="s">
        <v>37</v>
      </c>
      <c r="K488" s="1" t="s">
        <v>37</v>
      </c>
      <c r="L488" s="1" t="s">
        <v>37</v>
      </c>
      <c r="M488" s="1" t="s">
        <v>39</v>
      </c>
      <c r="N488" s="1" t="s">
        <v>39</v>
      </c>
      <c r="O488" s="1"/>
      <c r="P488" s="1"/>
      <c r="Q488" s="1"/>
      <c r="R488" s="1" t="s">
        <v>60</v>
      </c>
      <c r="S488" s="1" t="s">
        <v>61</v>
      </c>
      <c r="T488" s="1" t="s">
        <v>62</v>
      </c>
      <c r="U488" s="1" t="s">
        <v>63</v>
      </c>
      <c r="V488" s="1" t="s">
        <v>63</v>
      </c>
      <c r="W488" s="1" t="s">
        <v>2078</v>
      </c>
      <c r="X488" s="1" t="s">
        <v>2079</v>
      </c>
      <c r="Y488" s="1" t="s">
        <v>66</v>
      </c>
      <c r="Z488" s="1" t="s">
        <v>2080</v>
      </c>
      <c r="AA488" s="1" t="s">
        <v>47</v>
      </c>
      <c r="AB488" s="1" t="s">
        <v>39</v>
      </c>
      <c r="AC488" s="1" t="s">
        <v>37</v>
      </c>
      <c r="AD488" s="1" t="s">
        <v>37</v>
      </c>
      <c r="AE488" s="1" t="s">
        <v>37</v>
      </c>
      <c r="AF488" s="1" t="s">
        <v>37</v>
      </c>
      <c r="AG488" s="1" t="s">
        <v>37</v>
      </c>
      <c r="AH488" s="1" t="s">
        <v>37</v>
      </c>
      <c r="AI488" s="1" t="s">
        <v>37</v>
      </c>
      <c r="AJ488" s="1" t="s">
        <v>39</v>
      </c>
      <c r="AK488" s="1" t="str">
        <f t="shared" si="15"/>
        <v>Fora de âmbito</v>
      </c>
      <c r="AL488" s="1" t="str">
        <f>+IF(IFERROR(VLOOKUP(A488,Ficheiros!I:I,1,FALSE),"")=A488,"Sim","Não")</f>
        <v>Sim</v>
      </c>
      <c r="AM488" s="1" t="str">
        <f>+IF(IFERROR(VLOOKUP(A488,Ficheiros!E:E,1,FALSE),"")=A488,"Sim","Não")</f>
        <v>Não</v>
      </c>
      <c r="AN488" s="1" t="str">
        <f>+IF(IFERROR(VLOOKUP(A488,Ficheiros!O:O,1,FALSE),"")=A488,"Sim","Não")</f>
        <v>Não</v>
      </c>
      <c r="AO488" s="1" t="str">
        <f>+IF(IFERROR(VLOOKUP(A488,'Especificação Novos Req. LT (2'!A:A,1,FALSE),"")=A488,"Sim","Não")</f>
        <v>Não</v>
      </c>
      <c r="AP488" s="1" t="str">
        <f>+IF(IFERROR(VLOOKUP(A488,Ficheiros!T:T,1,FALSE),"")=A488,"Sim","Não")</f>
        <v>Sim</v>
      </c>
      <c r="AQ488" s="1" t="e">
        <f>+VLOOKUP(A488,Ficheiros!O:P,2,FALSE)</f>
        <v>#N/A</v>
      </c>
      <c r="AR488" s="1" t="str">
        <f>+VLOOKUP(A488,Ficheiros!T:U,2,FALSE)</f>
        <v>2. Alterar especificação</v>
      </c>
      <c r="AS488" s="1" t="str">
        <f>+VLOOKUP(A488,Ficheiros!T:V,3,FALSE)</f>
        <v>PM</v>
      </c>
      <c r="AT488" s="1"/>
      <c r="AU488" s="1"/>
      <c r="AV488" s="1"/>
      <c r="AW488" s="1"/>
      <c r="AX488" s="1"/>
    </row>
    <row r="489" spans="1:50" ht="14.5" hidden="1" customHeight="1" x14ac:dyDescent="0.35">
      <c r="A489" s="5" t="str">
        <f t="shared" si="14"/>
        <v>PROTECTIONDT_FRST_USG</v>
      </c>
      <c r="B489" s="1" t="s">
        <v>2081</v>
      </c>
      <c r="C489" s="1" t="s">
        <v>1952</v>
      </c>
      <c r="D489" s="1" t="s">
        <v>2072</v>
      </c>
      <c r="E489" s="1" t="s">
        <v>37</v>
      </c>
      <c r="F489" s="25" t="s">
        <v>2082</v>
      </c>
      <c r="G489" s="1" t="s">
        <v>2082</v>
      </c>
      <c r="H489" s="1" t="s">
        <v>37</v>
      </c>
      <c r="I489" s="1" t="s">
        <v>37</v>
      </c>
      <c r="J489" s="1" t="s">
        <v>37</v>
      </c>
      <c r="K489" s="1" t="s">
        <v>37</v>
      </c>
      <c r="L489" s="1" t="s">
        <v>37</v>
      </c>
      <c r="M489" s="1" t="s">
        <v>39</v>
      </c>
      <c r="N489" s="1" t="s">
        <v>37</v>
      </c>
      <c r="O489" s="1"/>
      <c r="P489" s="1"/>
      <c r="Q489" s="1"/>
      <c r="R489" s="1" t="s">
        <v>60</v>
      </c>
      <c r="S489" s="1" t="s">
        <v>61</v>
      </c>
      <c r="T489" s="1" t="s">
        <v>62</v>
      </c>
      <c r="U489" s="1" t="s">
        <v>63</v>
      </c>
      <c r="V489" s="1" t="s">
        <v>63</v>
      </c>
      <c r="W489" s="1" t="s">
        <v>2083</v>
      </c>
      <c r="X489" s="1" t="s">
        <v>2084</v>
      </c>
      <c r="Y489" s="1" t="s">
        <v>45</v>
      </c>
      <c r="Z489" s="1" t="s">
        <v>46</v>
      </c>
      <c r="AA489" s="1" t="s">
        <v>47</v>
      </c>
      <c r="AB489" s="1" t="s">
        <v>39</v>
      </c>
      <c r="AC489" s="1" t="s">
        <v>37</v>
      </c>
      <c r="AD489" s="1" t="s">
        <v>37</v>
      </c>
      <c r="AE489" s="1" t="s">
        <v>37</v>
      </c>
      <c r="AF489" s="1" t="s">
        <v>37</v>
      </c>
      <c r="AG489" s="1" t="s">
        <v>37</v>
      </c>
      <c r="AH489" s="1" t="s">
        <v>37</v>
      </c>
      <c r="AI489" s="1" t="s">
        <v>37</v>
      </c>
      <c r="AJ489" s="1" t="s">
        <v>39</v>
      </c>
      <c r="AK489" s="1" t="str">
        <f t="shared" si="15"/>
        <v>Fora de âmbito</v>
      </c>
      <c r="AL489" s="1" t="str">
        <f>+IF(IFERROR(VLOOKUP(A489,Ficheiros!I:I,1,FALSE),"")=A489,"Sim","Não")</f>
        <v>Sim</v>
      </c>
      <c r="AM489" s="1" t="str">
        <f>+IF(IFERROR(VLOOKUP(A489,Ficheiros!E:E,1,FALSE),"")=A489,"Sim","Não")</f>
        <v>Não</v>
      </c>
      <c r="AN489" s="1" t="str">
        <f>+IF(IFERROR(VLOOKUP(A489,Ficheiros!O:O,1,FALSE),"")=A489,"Sim","Não")</f>
        <v>Não</v>
      </c>
      <c r="AO489" s="1" t="str">
        <f>+IF(IFERROR(VLOOKUP(A489,'Especificação Novos Req. LT (2'!A:A,1,FALSE),"")=A489,"Sim","Não")</f>
        <v>Não</v>
      </c>
      <c r="AP489" s="1" t="str">
        <f>+IF(IFERROR(VLOOKUP(A489,Ficheiros!T:T,1,FALSE),"")=A489,"Sim","Não")</f>
        <v>Sim</v>
      </c>
      <c r="AQ489" s="1" t="e">
        <f>+VLOOKUP(A489,Ficheiros!O:P,2,FALSE)</f>
        <v>#N/A</v>
      </c>
      <c r="AR489" s="1" t="str">
        <f>+VLOOKUP(A489,Ficheiros!T:U,2,FALSE)</f>
        <v>7. Analisar controlos e completude</v>
      </c>
      <c r="AS489" s="1" t="str">
        <f>+VLOOKUP(A489,Ficheiros!T:V,3,FALSE)</f>
        <v>PM</v>
      </c>
      <c r="AT489" s="1"/>
      <c r="AU489" s="1"/>
      <c r="AV489" s="1"/>
      <c r="AW489" s="1"/>
      <c r="AX489" s="1"/>
    </row>
    <row r="490" spans="1:50" ht="14.5" hidden="1" customHeight="1" x14ac:dyDescent="0.35">
      <c r="A490" s="5" t="str">
        <f t="shared" si="14"/>
        <v>PROTECTIONDVLPMNT_STTS</v>
      </c>
      <c r="B490" s="1" t="s">
        <v>2085</v>
      </c>
      <c r="C490" s="1" t="s">
        <v>1952</v>
      </c>
      <c r="D490" s="1" t="s">
        <v>2072</v>
      </c>
      <c r="E490" s="1" t="s">
        <v>37</v>
      </c>
      <c r="F490" s="25" t="s">
        <v>2086</v>
      </c>
      <c r="G490" s="1" t="s">
        <v>2086</v>
      </c>
      <c r="H490" s="1" t="s">
        <v>37</v>
      </c>
      <c r="I490" s="1" t="s">
        <v>39</v>
      </c>
      <c r="J490" s="1" t="s">
        <v>39</v>
      </c>
      <c r="K490" s="1" t="s">
        <v>39</v>
      </c>
      <c r="L490" s="1" t="s">
        <v>39</v>
      </c>
      <c r="M490" s="1" t="s">
        <v>39</v>
      </c>
      <c r="N490" s="1" t="s">
        <v>39</v>
      </c>
      <c r="O490" s="1"/>
      <c r="P490" s="1"/>
      <c r="Q490" s="1"/>
      <c r="R490" s="1" t="s">
        <v>136</v>
      </c>
      <c r="S490" s="1" t="s">
        <v>52</v>
      </c>
      <c r="T490" s="1">
        <v>99999999999</v>
      </c>
      <c r="U490" s="1">
        <v>11111111111</v>
      </c>
      <c r="V490" s="1">
        <v>11111111111</v>
      </c>
      <c r="W490" s="1" t="s">
        <v>2087</v>
      </c>
      <c r="X490" s="1" t="s">
        <v>2088</v>
      </c>
      <c r="Y490" s="1" t="s">
        <v>56</v>
      </c>
      <c r="Z490" s="1" t="s">
        <v>57</v>
      </c>
      <c r="AA490" s="1" t="s">
        <v>47</v>
      </c>
      <c r="AB490" s="1" t="s">
        <v>39</v>
      </c>
      <c r="AC490" s="1" t="s">
        <v>37</v>
      </c>
      <c r="AD490" s="1" t="s">
        <v>37</v>
      </c>
      <c r="AE490" s="1" t="s">
        <v>37</v>
      </c>
      <c r="AF490" s="1" t="s">
        <v>37</v>
      </c>
      <c r="AG490" s="1" t="s">
        <v>37</v>
      </c>
      <c r="AH490" s="1" t="s">
        <v>37</v>
      </c>
      <c r="AI490" s="1" t="s">
        <v>37</v>
      </c>
      <c r="AJ490" s="1" t="s">
        <v>39</v>
      </c>
      <c r="AK490" s="1" t="str">
        <f t="shared" si="15"/>
        <v>Fora de âmbito</v>
      </c>
      <c r="AL490" s="1" t="str">
        <f>+IF(IFERROR(VLOOKUP(A490,Ficheiros!I:I,1,FALSE),"")=A490,"Sim","Não")</f>
        <v>Sim</v>
      </c>
      <c r="AM490" s="1" t="str">
        <f>+IF(IFERROR(VLOOKUP(A490,Ficheiros!E:E,1,FALSE),"")=A490,"Sim","Não")</f>
        <v>Não</v>
      </c>
      <c r="AN490" s="1" t="str">
        <f>+IF(IFERROR(VLOOKUP(A490,Ficheiros!O:O,1,FALSE),"")=A490,"Sim","Não")</f>
        <v>Não</v>
      </c>
      <c r="AO490" s="1" t="str">
        <f>+IF(IFERROR(VLOOKUP(A490,'Especificação Novos Req. LT (2'!A:A,1,FALSE),"")=A490,"Sim","Não")</f>
        <v>Não</v>
      </c>
      <c r="AP490" s="1" t="str">
        <f>+IF(IFERROR(VLOOKUP(A490,Ficheiros!T:T,1,FALSE),"")=A490,"Sim","Não")</f>
        <v>Sim</v>
      </c>
      <c r="AQ490" s="1" t="e">
        <f>+VLOOKUP(A490,Ficheiros!O:P,2,FALSE)</f>
        <v>#N/A</v>
      </c>
      <c r="AR490" s="1" t="str">
        <f>+VLOOKUP(A490,Ficheiros!T:U,2,FALSE)</f>
        <v>9. Concluído</v>
      </c>
      <c r="AS490" s="1" t="str">
        <f>+VLOOKUP(A490,Ficheiros!T:V,3,FALSE)</f>
        <v>PM</v>
      </c>
      <c r="AT490" s="1"/>
      <c r="AU490" s="1"/>
      <c r="AV490" s="1"/>
      <c r="AW490" s="1"/>
      <c r="AX490" s="1"/>
    </row>
    <row r="491" spans="1:50" ht="14.5" hidden="1" customHeight="1" x14ac:dyDescent="0.35">
      <c r="A491" s="5" t="str">
        <f t="shared" si="14"/>
        <v>PROTECTIONMN_PRPS</v>
      </c>
      <c r="B491" s="1" t="s">
        <v>2089</v>
      </c>
      <c r="C491" s="1" t="s">
        <v>1952</v>
      </c>
      <c r="D491" s="1" t="s">
        <v>2072</v>
      </c>
      <c r="E491" s="1" t="s">
        <v>37</v>
      </c>
      <c r="F491" s="25" t="s">
        <v>2090</v>
      </c>
      <c r="G491" s="1" t="s">
        <v>2090</v>
      </c>
      <c r="H491" s="1" t="s">
        <v>37</v>
      </c>
      <c r="I491" s="1" t="s">
        <v>37</v>
      </c>
      <c r="J491" s="1" t="s">
        <v>37</v>
      </c>
      <c r="K491" s="1" t="s">
        <v>37</v>
      </c>
      <c r="L491" s="1" t="s">
        <v>37</v>
      </c>
      <c r="M491" s="1" t="s">
        <v>39</v>
      </c>
      <c r="N491" s="1" t="s">
        <v>37</v>
      </c>
      <c r="O491" s="1"/>
      <c r="P491" s="1"/>
      <c r="Q491" s="1"/>
      <c r="R491" s="1" t="s">
        <v>136</v>
      </c>
      <c r="S491" s="1" t="s">
        <v>52</v>
      </c>
      <c r="T491" s="1">
        <v>99999999999</v>
      </c>
      <c r="U491" s="1">
        <v>11111111111</v>
      </c>
      <c r="V491" s="1">
        <v>11111111111</v>
      </c>
      <c r="W491" s="1" t="s">
        <v>2091</v>
      </c>
      <c r="X491" s="1" t="s">
        <v>2092</v>
      </c>
      <c r="Y491" s="1" t="s">
        <v>56</v>
      </c>
      <c r="Z491" s="1" t="s">
        <v>57</v>
      </c>
      <c r="AA491" s="1" t="s">
        <v>47</v>
      </c>
      <c r="AB491" s="1" t="s">
        <v>39</v>
      </c>
      <c r="AC491" s="1" t="s">
        <v>37</v>
      </c>
      <c r="AD491" s="1" t="s">
        <v>37</v>
      </c>
      <c r="AE491" s="1" t="s">
        <v>37</v>
      </c>
      <c r="AF491" s="1" t="s">
        <v>37</v>
      </c>
      <c r="AG491" s="1" t="s">
        <v>37</v>
      </c>
      <c r="AH491" s="1" t="s">
        <v>37</v>
      </c>
      <c r="AI491" s="1" t="s">
        <v>37</v>
      </c>
      <c r="AJ491" s="1" t="s">
        <v>39</v>
      </c>
      <c r="AK491" s="1" t="str">
        <f t="shared" si="15"/>
        <v>Fora de âmbito</v>
      </c>
      <c r="AL491" s="1" t="str">
        <f>+IF(IFERROR(VLOOKUP(A491,Ficheiros!I:I,1,FALSE),"")=A491,"Sim","Não")</f>
        <v>Sim</v>
      </c>
      <c r="AM491" s="1" t="str">
        <f>+IF(IFERROR(VLOOKUP(A491,Ficheiros!E:E,1,FALSE),"")=A491,"Sim","Não")</f>
        <v>Não</v>
      </c>
      <c r="AN491" s="1" t="str">
        <f>+IF(IFERROR(VLOOKUP(A491,Ficheiros!O:O,1,FALSE),"")=A491,"Sim","Não")</f>
        <v>Não</v>
      </c>
      <c r="AO491" s="1" t="str">
        <f>+IF(IFERROR(VLOOKUP(A491,'Especificação Novos Req. LT (2'!A:A,1,FALSE),"")=A491,"Sim","Não")</f>
        <v>Não</v>
      </c>
      <c r="AP491" s="1" t="str">
        <f>+IF(IFERROR(VLOOKUP(A491,Ficheiros!T:T,1,FALSE),"")=A491,"Sim","Não")</f>
        <v>Sim</v>
      </c>
      <c r="AQ491" s="1" t="e">
        <f>+VLOOKUP(A491,Ficheiros!O:P,2,FALSE)</f>
        <v>#N/A</v>
      </c>
      <c r="AR491" s="1" t="str">
        <f>+VLOOKUP(A491,Ficheiros!T:U,2,FALSE)</f>
        <v>7. Analisar controlos e completude</v>
      </c>
      <c r="AS491" s="1" t="str">
        <f>+VLOOKUP(A491,Ficheiros!T:V,3,FALSE)</f>
        <v>PM</v>
      </c>
      <c r="AT491" s="1"/>
      <c r="AU491" s="1"/>
      <c r="AV491" s="1"/>
      <c r="AW491" s="1"/>
      <c r="AX491" s="1"/>
    </row>
    <row r="492" spans="1:50" ht="14.5" hidden="1" customHeight="1" x14ac:dyDescent="0.35">
      <c r="A492" s="5" t="str">
        <f t="shared" si="14"/>
        <v>PROTECTIONPRM_LCTN</v>
      </c>
      <c r="B492" s="1" t="s">
        <v>2093</v>
      </c>
      <c r="C492" s="1" t="s">
        <v>1952</v>
      </c>
      <c r="D492" s="1" t="s">
        <v>2072</v>
      </c>
      <c r="E492" s="1" t="s">
        <v>37</v>
      </c>
      <c r="F492" s="25" t="s">
        <v>2094</v>
      </c>
      <c r="G492" s="1" t="s">
        <v>2094</v>
      </c>
      <c r="H492" s="1" t="s">
        <v>37</v>
      </c>
      <c r="I492" s="1" t="s">
        <v>37</v>
      </c>
      <c r="J492" s="1" t="s">
        <v>37</v>
      </c>
      <c r="K492" s="1" t="s">
        <v>37</v>
      </c>
      <c r="L492" s="1" t="s">
        <v>37</v>
      </c>
      <c r="M492" s="1" t="s">
        <v>39</v>
      </c>
      <c r="N492" s="1" t="s">
        <v>37</v>
      </c>
      <c r="O492" s="1"/>
      <c r="P492" s="1"/>
      <c r="Q492" s="1"/>
      <c r="R492" s="1" t="s">
        <v>141</v>
      </c>
      <c r="S492" s="1" t="s">
        <v>142</v>
      </c>
      <c r="T492" s="1" t="s">
        <v>53</v>
      </c>
      <c r="U492" s="1" t="s">
        <v>46</v>
      </c>
      <c r="V492" s="1" t="s">
        <v>46</v>
      </c>
      <c r="W492" s="1" t="s">
        <v>2095</v>
      </c>
      <c r="X492" s="1" t="s">
        <v>2096</v>
      </c>
      <c r="Y492" s="1" t="s">
        <v>84</v>
      </c>
      <c r="Z492" s="1" t="s">
        <v>2097</v>
      </c>
      <c r="AA492" s="1" t="s">
        <v>47</v>
      </c>
      <c r="AB492" s="1" t="s">
        <v>39</v>
      </c>
      <c r="AC492" s="1" t="s">
        <v>37</v>
      </c>
      <c r="AD492" s="1" t="s">
        <v>37</v>
      </c>
      <c r="AE492" s="1" t="s">
        <v>37</v>
      </c>
      <c r="AF492" s="1" t="s">
        <v>37</v>
      </c>
      <c r="AG492" s="1" t="s">
        <v>37</v>
      </c>
      <c r="AH492" s="1" t="s">
        <v>37</v>
      </c>
      <c r="AI492" s="1" t="s">
        <v>37</v>
      </c>
      <c r="AJ492" s="1" t="s">
        <v>39</v>
      </c>
      <c r="AK492" s="1" t="str">
        <f t="shared" si="15"/>
        <v>Fora de âmbito</v>
      </c>
      <c r="AL492" s="1" t="str">
        <f>+IF(IFERROR(VLOOKUP(A492,Ficheiros!I:I,1,FALSE),"")=A492,"Sim","Não")</f>
        <v>Sim</v>
      </c>
      <c r="AM492" s="1" t="str">
        <f>+IF(IFERROR(VLOOKUP(A492,Ficheiros!E:E,1,FALSE),"")=A492,"Sim","Não")</f>
        <v>Não</v>
      </c>
      <c r="AN492" s="1" t="str">
        <f>+IF(IFERROR(VLOOKUP(A492,Ficheiros!O:O,1,FALSE),"")=A492,"Sim","Não")</f>
        <v>Não</v>
      </c>
      <c r="AO492" s="1" t="str">
        <f>+IF(IFERROR(VLOOKUP(A492,'Especificação Novos Req. LT (2'!A:A,1,FALSE),"")=A492,"Sim","Não")</f>
        <v>Não</v>
      </c>
      <c r="AP492" s="1" t="str">
        <f>+IF(IFERROR(VLOOKUP(A492,Ficheiros!T:T,1,FALSE),"")=A492,"Sim","Não")</f>
        <v>Sim</v>
      </c>
      <c r="AQ492" s="1" t="e">
        <f>+VLOOKUP(A492,Ficheiros!O:P,2,FALSE)</f>
        <v>#N/A</v>
      </c>
      <c r="AR492" s="1" t="str">
        <f>+VLOOKUP(A492,Ficheiros!T:U,2,FALSE)</f>
        <v>9. Concluído</v>
      </c>
      <c r="AS492" s="1" t="str">
        <f>+VLOOKUP(A492,Ficheiros!T:V,3,FALSE)</f>
        <v>PM</v>
      </c>
      <c r="AT492" s="1"/>
      <c r="AU492" s="1"/>
      <c r="AV492" s="1"/>
      <c r="AW492" s="1"/>
      <c r="AX492" s="1"/>
    </row>
    <row r="493" spans="1:50" ht="14.5" hidden="1" customHeight="1" x14ac:dyDescent="0.35">
      <c r="A493" s="5" t="str">
        <f t="shared" si="14"/>
        <v>PROTECTIONCRE_INCM_CRRNCY</v>
      </c>
      <c r="B493" s="1" t="s">
        <v>2098</v>
      </c>
      <c r="C493" s="1" t="s">
        <v>1952</v>
      </c>
      <c r="D493" s="1" t="s">
        <v>271</v>
      </c>
      <c r="E493" s="1" t="s">
        <v>37</v>
      </c>
      <c r="F493" s="25" t="s">
        <v>2099</v>
      </c>
      <c r="G493" s="1" t="s">
        <v>2099</v>
      </c>
      <c r="H493" s="1" t="s">
        <v>37</v>
      </c>
      <c r="I493" s="1" t="s">
        <v>37</v>
      </c>
      <c r="J493" s="1" t="s">
        <v>37</v>
      </c>
      <c r="K493" s="1" t="s">
        <v>37</v>
      </c>
      <c r="L493" s="1" t="s">
        <v>37</v>
      </c>
      <c r="M493" s="1" t="s">
        <v>39</v>
      </c>
      <c r="N493" s="1" t="s">
        <v>37</v>
      </c>
      <c r="O493" s="1"/>
      <c r="P493" s="1"/>
      <c r="Q493" s="1"/>
      <c r="R493" s="1" t="s">
        <v>136</v>
      </c>
      <c r="S493" s="1" t="s">
        <v>52</v>
      </c>
      <c r="T493" s="1" t="s">
        <v>53</v>
      </c>
      <c r="U493" s="1" t="s">
        <v>46</v>
      </c>
      <c r="V493" s="1" t="s">
        <v>46</v>
      </c>
      <c r="W493" s="1" t="s">
        <v>2100</v>
      </c>
      <c r="X493" s="1" t="s">
        <v>2101</v>
      </c>
      <c r="Y493" s="1" t="s">
        <v>45</v>
      </c>
      <c r="Z493" s="1" t="s">
        <v>46</v>
      </c>
      <c r="AA493" s="1" t="s">
        <v>47</v>
      </c>
      <c r="AB493" s="1" t="s">
        <v>39</v>
      </c>
      <c r="AC493" s="1" t="s">
        <v>37</v>
      </c>
      <c r="AD493" s="1" t="s">
        <v>37</v>
      </c>
      <c r="AE493" s="1" t="s">
        <v>37</v>
      </c>
      <c r="AF493" s="1" t="s">
        <v>37</v>
      </c>
      <c r="AG493" s="1" t="s">
        <v>37</v>
      </c>
      <c r="AH493" s="1" t="s">
        <v>37</v>
      </c>
      <c r="AI493" s="1" t="s">
        <v>37</v>
      </c>
      <c r="AJ493" s="1" t="s">
        <v>39</v>
      </c>
      <c r="AK493" s="1" t="str">
        <f t="shared" si="15"/>
        <v>Fora de âmbito</v>
      </c>
      <c r="AL493" s="1" t="str">
        <f>+IF(IFERROR(VLOOKUP(A493,Ficheiros!I:I,1,FALSE),"")=A493,"Sim","Não")</f>
        <v>Sim</v>
      </c>
      <c r="AM493" s="1" t="str">
        <f>+IF(IFERROR(VLOOKUP(A493,Ficheiros!E:E,1,FALSE),"")=A493,"Sim","Não")</f>
        <v>Não</v>
      </c>
      <c r="AN493" s="1" t="str">
        <f>+IF(IFERROR(VLOOKUP(A493,Ficheiros!O:O,1,FALSE),"")=A493,"Sim","Não")</f>
        <v>Não</v>
      </c>
      <c r="AO493" s="1" t="str">
        <f>+IF(IFERROR(VLOOKUP(A493,'Especificação Novos Req. LT (2'!A:A,1,FALSE),"")=A493,"Sim","Não")</f>
        <v>Não</v>
      </c>
      <c r="AP493" s="1" t="str">
        <f>+IF(IFERROR(VLOOKUP(A493,Ficheiros!T:T,1,FALSE),"")=A493,"Sim","Não")</f>
        <v>Sim</v>
      </c>
      <c r="AQ493" s="1" t="e">
        <f>+VLOOKUP(A493,Ficheiros!O:P,2,FALSE)</f>
        <v>#N/A</v>
      </c>
      <c r="AR493" s="1" t="str">
        <f>+VLOOKUP(A493,Ficheiros!T:U,2,FALSE)</f>
        <v>8. Concluído - sem dados</v>
      </c>
      <c r="AS493" s="1" t="str">
        <f>+VLOOKUP(A493,Ficheiros!T:V,3,FALSE)</f>
        <v>PM</v>
      </c>
      <c r="AT493" s="1"/>
      <c r="AU493" s="1"/>
      <c r="AV493" s="1"/>
      <c r="AW493" s="1"/>
      <c r="AX493" s="1"/>
    </row>
    <row r="494" spans="1:50" ht="14.5" hidden="1" customHeight="1" x14ac:dyDescent="0.35">
      <c r="A494" s="5" t="str">
        <f t="shared" si="14"/>
        <v>PROTECTIONCRE_YRLY_EXPNSS</v>
      </c>
      <c r="B494" s="1" t="s">
        <v>2102</v>
      </c>
      <c r="C494" s="1" t="s">
        <v>1952</v>
      </c>
      <c r="D494" s="1" t="s">
        <v>271</v>
      </c>
      <c r="E494" s="1" t="s">
        <v>37</v>
      </c>
      <c r="F494" s="25" t="s">
        <v>2103</v>
      </c>
      <c r="G494" s="1" t="s">
        <v>2103</v>
      </c>
      <c r="H494" s="1" t="s">
        <v>37</v>
      </c>
      <c r="I494" s="1" t="s">
        <v>37</v>
      </c>
      <c r="J494" s="1" t="s">
        <v>37</v>
      </c>
      <c r="K494" s="1" t="s">
        <v>37</v>
      </c>
      <c r="L494" s="1" t="s">
        <v>37</v>
      </c>
      <c r="M494" s="1" t="s">
        <v>39</v>
      </c>
      <c r="N494" s="1" t="s">
        <v>37</v>
      </c>
      <c r="O494" s="1"/>
      <c r="P494" s="1"/>
      <c r="Q494" s="1"/>
      <c r="R494" s="1" t="s">
        <v>273</v>
      </c>
      <c r="S494" s="1" t="s">
        <v>274</v>
      </c>
      <c r="T494" s="1">
        <v>99999999999</v>
      </c>
      <c r="U494" s="1">
        <v>11111111111</v>
      </c>
      <c r="V494" s="1">
        <v>11111111111</v>
      </c>
      <c r="W494" s="1" t="s">
        <v>2104</v>
      </c>
      <c r="X494" s="1" t="s">
        <v>2105</v>
      </c>
      <c r="Y494" s="1" t="s">
        <v>45</v>
      </c>
      <c r="Z494" s="1" t="s">
        <v>46</v>
      </c>
      <c r="AA494" s="1" t="s">
        <v>47</v>
      </c>
      <c r="AB494" s="1" t="s">
        <v>39</v>
      </c>
      <c r="AC494" s="1" t="s">
        <v>37</v>
      </c>
      <c r="AD494" s="1" t="s">
        <v>37</v>
      </c>
      <c r="AE494" s="1" t="s">
        <v>37</v>
      </c>
      <c r="AF494" s="1" t="s">
        <v>37</v>
      </c>
      <c r="AG494" s="1" t="s">
        <v>37</v>
      </c>
      <c r="AH494" s="1" t="s">
        <v>37</v>
      </c>
      <c r="AI494" s="1" t="s">
        <v>37</v>
      </c>
      <c r="AJ494" s="1" t="s">
        <v>39</v>
      </c>
      <c r="AK494" s="1" t="str">
        <f t="shared" si="15"/>
        <v>Fora de âmbito</v>
      </c>
      <c r="AL494" s="1" t="str">
        <f>+IF(IFERROR(VLOOKUP(A494,Ficheiros!I:I,1,FALSE),"")=A494,"Sim","Não")</f>
        <v>Sim</v>
      </c>
      <c r="AM494" s="1" t="str">
        <f>+IF(IFERROR(VLOOKUP(A494,Ficheiros!E:E,1,FALSE),"")=A494,"Sim","Não")</f>
        <v>Não</v>
      </c>
      <c r="AN494" s="1" t="str">
        <f>+IF(IFERROR(VLOOKUP(A494,Ficheiros!O:O,1,FALSE),"")=A494,"Sim","Não")</f>
        <v>Não</v>
      </c>
      <c r="AO494" s="1" t="str">
        <f>+IF(IFERROR(VLOOKUP(A494,'Especificação Novos Req. LT (2'!A:A,1,FALSE),"")=A494,"Sim","Não")</f>
        <v>Não</v>
      </c>
      <c r="AP494" s="1" t="str">
        <f>+IF(IFERROR(VLOOKUP(A494,Ficheiros!T:T,1,FALSE),"")=A494,"Sim","Não")</f>
        <v>Sim</v>
      </c>
      <c r="AQ494" s="1" t="e">
        <f>+VLOOKUP(A494,Ficheiros!O:P,2,FALSE)</f>
        <v>#N/A</v>
      </c>
      <c r="AR494" s="1" t="str">
        <f>+VLOOKUP(A494,Ficheiros!T:U,2,FALSE)</f>
        <v>8. Concluído - sem dados</v>
      </c>
      <c r="AS494" s="1" t="str">
        <f>+VLOOKUP(A494,Ficheiros!T:V,3,FALSE)</f>
        <v>PM</v>
      </c>
      <c r="AT494" s="1"/>
      <c r="AU494" s="1"/>
      <c r="AV494" s="1"/>
      <c r="AW494" s="1"/>
      <c r="AX494" s="1"/>
    </row>
    <row r="495" spans="1:50" ht="14.5" hidden="1" customHeight="1" x14ac:dyDescent="0.35">
      <c r="A495" s="5" t="str">
        <f t="shared" si="14"/>
        <v>PROTECTIONCRE_YRLY_INCM</v>
      </c>
      <c r="B495" s="1" t="s">
        <v>2106</v>
      </c>
      <c r="C495" s="1" t="s">
        <v>1952</v>
      </c>
      <c r="D495" s="1" t="s">
        <v>271</v>
      </c>
      <c r="E495" s="1" t="s">
        <v>37</v>
      </c>
      <c r="F495" s="25" t="s">
        <v>2107</v>
      </c>
      <c r="G495" s="1" t="s">
        <v>2107</v>
      </c>
      <c r="H495" s="1" t="s">
        <v>37</v>
      </c>
      <c r="I495" s="1" t="s">
        <v>37</v>
      </c>
      <c r="J495" s="1" t="s">
        <v>37</v>
      </c>
      <c r="K495" s="1" t="s">
        <v>37</v>
      </c>
      <c r="L495" s="1" t="s">
        <v>37</v>
      </c>
      <c r="M495" s="1" t="s">
        <v>39</v>
      </c>
      <c r="N495" s="1" t="s">
        <v>37</v>
      </c>
      <c r="O495" s="1"/>
      <c r="P495" s="1"/>
      <c r="Q495" s="1"/>
      <c r="R495" s="1" t="s">
        <v>273</v>
      </c>
      <c r="S495" s="1" t="s">
        <v>274</v>
      </c>
      <c r="T495" s="1">
        <v>99999999999</v>
      </c>
      <c r="U495" s="1">
        <v>11111111111</v>
      </c>
      <c r="V495" s="1">
        <v>11111111111</v>
      </c>
      <c r="W495" s="1" t="s">
        <v>2108</v>
      </c>
      <c r="X495" s="1" t="s">
        <v>2109</v>
      </c>
      <c r="Y495" s="1" t="s">
        <v>45</v>
      </c>
      <c r="Z495" s="1" t="s">
        <v>46</v>
      </c>
      <c r="AA495" s="1" t="s">
        <v>47</v>
      </c>
      <c r="AB495" s="1" t="s">
        <v>39</v>
      </c>
      <c r="AC495" s="1" t="s">
        <v>37</v>
      </c>
      <c r="AD495" s="1" t="s">
        <v>37</v>
      </c>
      <c r="AE495" s="1" t="s">
        <v>37</v>
      </c>
      <c r="AF495" s="1" t="s">
        <v>37</v>
      </c>
      <c r="AG495" s="1" t="s">
        <v>37</v>
      </c>
      <c r="AH495" s="1" t="s">
        <v>37</v>
      </c>
      <c r="AI495" s="1" t="s">
        <v>37</v>
      </c>
      <c r="AJ495" s="1" t="s">
        <v>39</v>
      </c>
      <c r="AK495" s="1" t="str">
        <f t="shared" si="15"/>
        <v>Fora de âmbito</v>
      </c>
      <c r="AL495" s="1" t="str">
        <f>+IF(IFERROR(VLOOKUP(A495,Ficheiros!I:I,1,FALSE),"")=A495,"Sim","Não")</f>
        <v>Sim</v>
      </c>
      <c r="AM495" s="1" t="str">
        <f>+IF(IFERROR(VLOOKUP(A495,Ficheiros!E:E,1,FALSE),"")=A495,"Sim","Não")</f>
        <v>Não</v>
      </c>
      <c r="AN495" s="1" t="str">
        <f>+IF(IFERROR(VLOOKUP(A495,Ficheiros!O:O,1,FALSE),"")=A495,"Sim","Não")</f>
        <v>Não</v>
      </c>
      <c r="AO495" s="1" t="str">
        <f>+IF(IFERROR(VLOOKUP(A495,'Especificação Novos Req. LT (2'!A:A,1,FALSE),"")=A495,"Sim","Não")</f>
        <v>Não</v>
      </c>
      <c r="AP495" s="1" t="str">
        <f>+IF(IFERROR(VLOOKUP(A495,Ficheiros!T:T,1,FALSE),"")=A495,"Sim","Não")</f>
        <v>Sim</v>
      </c>
      <c r="AQ495" s="1" t="e">
        <f>+VLOOKUP(A495,Ficheiros!O:P,2,FALSE)</f>
        <v>#N/A</v>
      </c>
      <c r="AR495" s="1" t="str">
        <f>+VLOOKUP(A495,Ficheiros!T:U,2,FALSE)</f>
        <v>8. Concluído - sem dados</v>
      </c>
      <c r="AS495" s="1" t="str">
        <f>+VLOOKUP(A495,Ficheiros!T:V,3,FALSE)</f>
        <v>PM</v>
      </c>
      <c r="AT495" s="1"/>
      <c r="AU495" s="1"/>
      <c r="AV495" s="1"/>
      <c r="AW495" s="1"/>
      <c r="AX495" s="1"/>
    </row>
    <row r="496" spans="1:50" ht="14.5" hidden="1" customHeight="1" x14ac:dyDescent="0.35">
      <c r="A496" s="5" t="str">
        <f t="shared" si="14"/>
        <v>PROTECTIONPRTCTN_TYP_PBLC_GRNT_SCHM_C19</v>
      </c>
      <c r="B496" s="1" t="s">
        <v>2110</v>
      </c>
      <c r="C496" s="1" t="s">
        <v>1952</v>
      </c>
      <c r="D496" s="1" t="s">
        <v>1359</v>
      </c>
      <c r="E496" s="1" t="s">
        <v>37</v>
      </c>
      <c r="F496" s="30" t="s">
        <v>2111</v>
      </c>
      <c r="G496" s="1" t="s">
        <v>2111</v>
      </c>
      <c r="H496" s="1" t="s">
        <v>37</v>
      </c>
      <c r="I496" s="1" t="s">
        <v>37</v>
      </c>
      <c r="J496" s="1" t="s">
        <v>37</v>
      </c>
      <c r="K496" s="1" t="s">
        <v>37</v>
      </c>
      <c r="L496" s="1" t="s">
        <v>37</v>
      </c>
      <c r="M496" s="1" t="s">
        <v>39</v>
      </c>
      <c r="N496" s="1" t="s">
        <v>39</v>
      </c>
      <c r="O496" s="1"/>
      <c r="P496" s="1"/>
      <c r="Q496" s="1"/>
      <c r="R496" s="1" t="s">
        <v>141</v>
      </c>
      <c r="S496" s="1" t="s">
        <v>142</v>
      </c>
      <c r="T496" s="1" t="s">
        <v>53</v>
      </c>
      <c r="U496" s="1" t="s">
        <v>46</v>
      </c>
      <c r="V496" s="1" t="s">
        <v>46</v>
      </c>
      <c r="W496" s="1" t="s">
        <v>2112</v>
      </c>
      <c r="X496" s="1" t="s">
        <v>2113</v>
      </c>
      <c r="Y496" s="1" t="s">
        <v>84</v>
      </c>
      <c r="Z496" s="1" t="s">
        <v>2114</v>
      </c>
      <c r="AA496" s="1" t="s">
        <v>47</v>
      </c>
      <c r="AB496" s="1" t="s">
        <v>39</v>
      </c>
      <c r="AC496" s="1" t="s">
        <v>37</v>
      </c>
      <c r="AD496" s="1" t="s">
        <v>37</v>
      </c>
      <c r="AE496" s="1" t="s">
        <v>37</v>
      </c>
      <c r="AF496" s="1" t="s">
        <v>37</v>
      </c>
      <c r="AG496" s="1" t="s">
        <v>37</v>
      </c>
      <c r="AH496" s="1" t="s">
        <v>37</v>
      </c>
      <c r="AI496" s="1" t="s">
        <v>37</v>
      </c>
      <c r="AJ496" s="1" t="s">
        <v>39</v>
      </c>
      <c r="AK496" s="1" t="str">
        <f t="shared" si="15"/>
        <v>Fora de âmbito</v>
      </c>
      <c r="AL496" s="1" t="str">
        <f>+IF(IFERROR(VLOOKUP(A496,Ficheiros!I:I,1,FALSE),"")=A496,"Sim","Não")</f>
        <v>Sim</v>
      </c>
      <c r="AM496" s="1" t="str">
        <f>+IF(IFERROR(VLOOKUP(A496,Ficheiros!E:E,1,FALSE),"")=A496,"Sim","Não")</f>
        <v>Não</v>
      </c>
      <c r="AN496" s="1" t="str">
        <f>+IF(IFERROR(VLOOKUP(A496,Ficheiros!O:O,1,FALSE),"")=A496,"Sim","Não")</f>
        <v>Não</v>
      </c>
      <c r="AO496" s="1" t="str">
        <f>+IF(IFERROR(VLOOKUP(A496,'Especificação Novos Req. LT (2'!A:A,1,FALSE),"")=A496,"Sim","Não")</f>
        <v>Não</v>
      </c>
      <c r="AP496" s="1" t="str">
        <f>+IF(IFERROR(VLOOKUP(A496,Ficheiros!T:T,1,FALSE),"")=A496,"Sim","Não")</f>
        <v>Sim</v>
      </c>
      <c r="AQ496" s="1" t="e">
        <f>+VLOOKUP(A496,Ficheiros!O:P,2,FALSE)</f>
        <v>#N/A</v>
      </c>
      <c r="AR496" s="1" t="str">
        <f>+VLOOKUP(A496,Ficheiros!T:U,2,FALSE)</f>
        <v>7. Analisar controlos e completude</v>
      </c>
      <c r="AS496" s="1" t="str">
        <f>+VLOOKUP(A496,Ficheiros!T:V,3,FALSE)</f>
        <v>PM</v>
      </c>
      <c r="AT496" s="1"/>
      <c r="AU496" s="1"/>
      <c r="AV496" s="1"/>
      <c r="AW496" s="1"/>
      <c r="AX496" s="1"/>
    </row>
    <row r="497" spans="1:50" ht="14.5" hidden="1" customHeight="1" x14ac:dyDescent="0.35">
      <c r="A497" s="5" t="str">
        <f t="shared" si="14"/>
        <v>PROTECTIONTAX_ID</v>
      </c>
      <c r="B497" s="1" t="s">
        <v>2115</v>
      </c>
      <c r="C497" s="1" t="s">
        <v>1952</v>
      </c>
      <c r="D497" s="1" t="s">
        <v>49</v>
      </c>
      <c r="E497" s="1" t="s">
        <v>37</v>
      </c>
      <c r="F497" s="25" t="s">
        <v>427</v>
      </c>
      <c r="G497" s="1" t="s">
        <v>427</v>
      </c>
      <c r="H497" s="1" t="s">
        <v>37</v>
      </c>
      <c r="I497" s="1" t="s">
        <v>39</v>
      </c>
      <c r="J497" s="1" t="s">
        <v>39</v>
      </c>
      <c r="K497" s="1" t="s">
        <v>39</v>
      </c>
      <c r="L497" s="1" t="s">
        <v>39</v>
      </c>
      <c r="M497" s="1" t="s">
        <v>39</v>
      </c>
      <c r="N497" s="1" t="s">
        <v>39</v>
      </c>
      <c r="O497" s="1"/>
      <c r="P497" s="1"/>
      <c r="Q497" s="1"/>
      <c r="R497" s="1" t="s">
        <v>96</v>
      </c>
      <c r="S497" s="1" t="s">
        <v>41</v>
      </c>
      <c r="T497" s="1" t="s">
        <v>53</v>
      </c>
      <c r="U497" s="1" t="s">
        <v>46</v>
      </c>
      <c r="V497" s="1" t="s">
        <v>46</v>
      </c>
      <c r="W497" s="1" t="s">
        <v>428</v>
      </c>
      <c r="X497" s="1" t="s">
        <v>429</v>
      </c>
      <c r="Y497" s="1" t="s">
        <v>45</v>
      </c>
      <c r="Z497" s="1" t="s">
        <v>46</v>
      </c>
      <c r="AA497" s="1" t="s">
        <v>47</v>
      </c>
      <c r="AB497" s="1" t="s">
        <v>39</v>
      </c>
      <c r="AC497" s="1" t="s">
        <v>37</v>
      </c>
      <c r="AD497" s="1" t="s">
        <v>37</v>
      </c>
      <c r="AE497" s="1" t="s">
        <v>37</v>
      </c>
      <c r="AF497" s="1" t="s">
        <v>37</v>
      </c>
      <c r="AG497" s="1" t="s">
        <v>37</v>
      </c>
      <c r="AH497" s="1" t="s">
        <v>37</v>
      </c>
      <c r="AI497" s="1" t="s">
        <v>37</v>
      </c>
      <c r="AJ497" s="1" t="s">
        <v>39</v>
      </c>
      <c r="AK497" s="1" t="str">
        <f t="shared" si="15"/>
        <v>Fora de âmbito</v>
      </c>
      <c r="AL497" s="1" t="str">
        <f>+IF(IFERROR(VLOOKUP(A497,Ficheiros!I:I,1,FALSE),"")=A497,"Sim","Não")</f>
        <v>Sim</v>
      </c>
      <c r="AM497" s="1" t="str">
        <f>+IF(IFERROR(VLOOKUP(A497,Ficheiros!E:E,1,FALSE),"")=A497,"Sim","Não")</f>
        <v>Não</v>
      </c>
      <c r="AN497" s="1" t="str">
        <f>+IF(IFERROR(VLOOKUP(A497,Ficheiros!O:O,1,FALSE),"")=A497,"Sim","Não")</f>
        <v>Não</v>
      </c>
      <c r="AO497" s="1" t="str">
        <f>+IF(IFERROR(VLOOKUP(A497,'Especificação Novos Req. LT (2'!A:A,1,FALSE),"")=A497,"Sim","Não")</f>
        <v>Não</v>
      </c>
      <c r="AP497" s="1" t="str">
        <f>+IF(IFERROR(VLOOKUP(A497,Ficheiros!T:T,1,FALSE),"")=A497,"Sim","Não")</f>
        <v>Sim</v>
      </c>
      <c r="AQ497" s="1" t="e">
        <f>+VLOOKUP(A497,Ficheiros!O:P,2,FALSE)</f>
        <v>#N/A</v>
      </c>
      <c r="AR497" s="1" t="str">
        <f>+VLOOKUP(A497,Ficheiros!T:U,2,FALSE)</f>
        <v>7. Analisar controlos e completude</v>
      </c>
      <c r="AS497" s="1" t="str">
        <f>+VLOOKUP(A497,Ficheiros!T:V,3,FALSE)</f>
        <v>PM</v>
      </c>
      <c r="AT497" s="1"/>
      <c r="AU497" s="1"/>
      <c r="AV497" s="1"/>
      <c r="AW497" s="1"/>
      <c r="AX497" s="1"/>
    </row>
    <row r="498" spans="1:50" hidden="1" x14ac:dyDescent="0.35">
      <c r="A498" s="5" t="str">
        <f t="shared" si="14"/>
        <v>PROTECTIONTYP_EP_SCR</v>
      </c>
      <c r="B498" s="1" t="s">
        <v>2116</v>
      </c>
      <c r="C498" s="1" t="s">
        <v>1952</v>
      </c>
      <c r="D498" s="1" t="s">
        <v>2117</v>
      </c>
      <c r="E498" s="1" t="s">
        <v>37</v>
      </c>
      <c r="F498" s="25" t="s">
        <v>2118</v>
      </c>
      <c r="G498" s="1" t="s">
        <v>2118</v>
      </c>
      <c r="H498" s="1" t="s">
        <v>37</v>
      </c>
      <c r="I498" s="1" t="s">
        <v>39</v>
      </c>
      <c r="J498" s="1" t="s">
        <v>39</v>
      </c>
      <c r="K498" s="1" t="s">
        <v>39</v>
      </c>
      <c r="L498" s="1" t="s">
        <v>39</v>
      </c>
      <c r="M498" s="1" t="s">
        <v>39</v>
      </c>
      <c r="N498" s="1" t="s">
        <v>39</v>
      </c>
      <c r="O498" s="1"/>
      <c r="P498" s="1"/>
      <c r="Q498" s="1"/>
      <c r="R498" s="1" t="s">
        <v>136</v>
      </c>
      <c r="S498" s="1" t="s">
        <v>52</v>
      </c>
      <c r="T498" s="1" t="s">
        <v>53</v>
      </c>
      <c r="U498" s="1" t="s">
        <v>46</v>
      </c>
      <c r="V498" s="1" t="s">
        <v>46</v>
      </c>
      <c r="W498" s="1" t="s">
        <v>2119</v>
      </c>
      <c r="X498" s="1" t="s">
        <v>2120</v>
      </c>
      <c r="Y498" s="1" t="s">
        <v>45</v>
      </c>
      <c r="Z498" s="1" t="s">
        <v>46</v>
      </c>
      <c r="AA498" s="1" t="s">
        <v>47</v>
      </c>
      <c r="AB498" s="1" t="s">
        <v>37</v>
      </c>
      <c r="AC498" s="1" t="s">
        <v>37</v>
      </c>
      <c r="AD498" s="1" t="s">
        <v>39</v>
      </c>
      <c r="AE498" s="1" t="s">
        <v>37</v>
      </c>
      <c r="AF498" s="1" t="s">
        <v>39</v>
      </c>
      <c r="AG498" s="1" t="s">
        <v>37</v>
      </c>
      <c r="AH498" s="1" t="s">
        <v>37</v>
      </c>
      <c r="AI498" s="1" t="s">
        <v>39</v>
      </c>
      <c r="AJ498" s="1" t="s">
        <v>39</v>
      </c>
      <c r="AK498" s="1" t="str">
        <f t="shared" si="15"/>
        <v>Comum</v>
      </c>
      <c r="AL498" s="1" t="str">
        <f>+IF(IFERROR(VLOOKUP(A498,Ficheiros!I:I,1,FALSE),"")=A498,"Sim","Não")</f>
        <v>Não</v>
      </c>
      <c r="AM498" s="1" t="str">
        <f>+IF(IFERROR(VLOOKUP(A498,Ficheiros!E:E,1,FALSE),"")=A498,"Sim","Não")</f>
        <v>Sim</v>
      </c>
      <c r="AN498" s="1" t="str">
        <f>+IF(IFERROR(VLOOKUP(A498,Ficheiros!O:O,1,FALSE),"")=A498,"Sim","Não")</f>
        <v>Sim</v>
      </c>
      <c r="AO498" s="1" t="str">
        <f>+IF(IFERROR(VLOOKUP(A498,'Especificação Novos Req. LT (2'!A:A,1,FALSE),"")=A498,"Sim","Não")</f>
        <v>Não</v>
      </c>
      <c r="AP498" s="1" t="str">
        <f>+IF(IFERROR(VLOOKUP(A498,Ficheiros!T:T,1,FALSE),"")=A498,"Sim","Não")</f>
        <v>Não</v>
      </c>
      <c r="AQ498" s="1" t="str">
        <f>+VLOOKUP(A498,Ficheiros!O:P,2,FALSE)</f>
        <v>1. Concluído</v>
      </c>
      <c r="AR498" s="1" t="e">
        <f>+VLOOKUP(A498,Ficheiros!R:S,3,FALSE)</f>
        <v>#N/A</v>
      </c>
      <c r="AS498" s="1" t="e">
        <f>+VLOOKUP(A498,Ficheiros!T:V,3,FALSE)</f>
        <v>#N/A</v>
      </c>
      <c r="AT498" s="1"/>
      <c r="AU498" s="1"/>
      <c r="AV498" s="1"/>
      <c r="AW498" s="1"/>
      <c r="AX498" s="1"/>
    </row>
    <row r="499" spans="1:50" hidden="1" x14ac:dyDescent="0.35">
      <c r="A499" s="5" t="str">
        <f t="shared" si="14"/>
        <v>PROTECTIONEP_SCR</v>
      </c>
      <c r="B499" s="1" t="s">
        <v>2121</v>
      </c>
      <c r="C499" s="1" t="s">
        <v>1952</v>
      </c>
      <c r="D499" s="1" t="s">
        <v>2117</v>
      </c>
      <c r="E499" s="1" t="s">
        <v>37</v>
      </c>
      <c r="F499" s="25" t="s">
        <v>2122</v>
      </c>
      <c r="G499" s="1" t="s">
        <v>2122</v>
      </c>
      <c r="H499" s="1" t="s">
        <v>37</v>
      </c>
      <c r="I499" s="1" t="s">
        <v>39</v>
      </c>
      <c r="J499" s="1" t="s">
        <v>39</v>
      </c>
      <c r="K499" s="1" t="s">
        <v>39</v>
      </c>
      <c r="L499" s="1" t="s">
        <v>39</v>
      </c>
      <c r="M499" s="1" t="s">
        <v>39</v>
      </c>
      <c r="N499" s="1" t="s">
        <v>39</v>
      </c>
      <c r="O499" s="1"/>
      <c r="P499" s="1"/>
      <c r="Q499" s="1"/>
      <c r="R499" s="1" t="s">
        <v>136</v>
      </c>
      <c r="S499" s="1" t="s">
        <v>52</v>
      </c>
      <c r="T499" s="1" t="s">
        <v>53</v>
      </c>
      <c r="U499" s="1" t="s">
        <v>46</v>
      </c>
      <c r="V499" s="1" t="s">
        <v>46</v>
      </c>
      <c r="W499" s="1" t="s">
        <v>2123</v>
      </c>
      <c r="X499" s="1" t="s">
        <v>2124</v>
      </c>
      <c r="Y499" s="1" t="s">
        <v>45</v>
      </c>
      <c r="Z499" s="1" t="s">
        <v>46</v>
      </c>
      <c r="AA499" s="1" t="s">
        <v>47</v>
      </c>
      <c r="AB499" s="1" t="s">
        <v>37</v>
      </c>
      <c r="AC499" s="1" t="s">
        <v>37</v>
      </c>
      <c r="AD499" s="1" t="s">
        <v>39</v>
      </c>
      <c r="AE499" s="1" t="s">
        <v>37</v>
      </c>
      <c r="AF499" s="1" t="s">
        <v>39</v>
      </c>
      <c r="AG499" s="1" t="s">
        <v>37</v>
      </c>
      <c r="AH499" s="1" t="s">
        <v>37</v>
      </c>
      <c r="AI499" s="1" t="s">
        <v>39</v>
      </c>
      <c r="AJ499" s="1" t="s">
        <v>39</v>
      </c>
      <c r="AK499" s="1" t="str">
        <f t="shared" si="15"/>
        <v>Comum</v>
      </c>
      <c r="AL499" s="1" t="str">
        <f>+IF(IFERROR(VLOOKUP(A499,Ficheiros!I:I,1,FALSE),"")=A499,"Sim","Não")</f>
        <v>Não</v>
      </c>
      <c r="AM499" s="1" t="str">
        <f>+IF(IFERROR(VLOOKUP(A499,Ficheiros!E:E,1,FALSE),"")=A499,"Sim","Não")</f>
        <v>Sim</v>
      </c>
      <c r="AN499" s="1" t="str">
        <f>+IF(IFERROR(VLOOKUP(A499,Ficheiros!O:O,1,FALSE),"")=A499,"Sim","Não")</f>
        <v>Sim</v>
      </c>
      <c r="AO499" s="1" t="str">
        <f>+IF(IFERROR(VLOOKUP(A499,'Especificação Novos Req. LT (2'!A:A,1,FALSE),"")=A499,"Sim","Não")</f>
        <v>Não</v>
      </c>
      <c r="AP499" s="1" t="str">
        <f>+IF(IFERROR(VLOOKUP(A499,Ficheiros!T:T,1,FALSE),"")=A499,"Sim","Não")</f>
        <v>Não</v>
      </c>
      <c r="AQ499" s="1" t="str">
        <f>+VLOOKUP(A499,Ficheiros!O:P,2,FALSE)</f>
        <v>1. Concluído</v>
      </c>
      <c r="AR499" s="1" t="e">
        <f>+VLOOKUP(A499,Ficheiros!R:S,3,FALSE)</f>
        <v>#N/A</v>
      </c>
      <c r="AS499" s="1" t="e">
        <f>+VLOOKUP(A499,Ficheiros!T:V,3,FALSE)</f>
        <v>#N/A</v>
      </c>
      <c r="AT499" s="1"/>
      <c r="AU499" s="1"/>
      <c r="AV499" s="1"/>
      <c r="AW499" s="1"/>
      <c r="AX499" s="1"/>
    </row>
    <row r="500" spans="1:50" hidden="1" x14ac:dyDescent="0.35">
      <c r="A500" s="5" t="str">
        <f t="shared" si="14"/>
        <v>PROTECTIONTYP_EPC_LBL</v>
      </c>
      <c r="B500" s="1" t="s">
        <v>2125</v>
      </c>
      <c r="C500" s="1" t="s">
        <v>1952</v>
      </c>
      <c r="D500" s="1" t="s">
        <v>2117</v>
      </c>
      <c r="E500" s="1" t="s">
        <v>37</v>
      </c>
      <c r="F500" s="25" t="s">
        <v>2126</v>
      </c>
      <c r="G500" s="42" t="s">
        <v>2126</v>
      </c>
      <c r="H500" s="1" t="s">
        <v>37</v>
      </c>
      <c r="I500" s="1" t="s">
        <v>39</v>
      </c>
      <c r="J500" s="1" t="s">
        <v>39</v>
      </c>
      <c r="K500" s="1" t="s">
        <v>39</v>
      </c>
      <c r="L500" s="1" t="s">
        <v>39</v>
      </c>
      <c r="M500" s="1" t="s">
        <v>39</v>
      </c>
      <c r="N500" s="1" t="s">
        <v>39</v>
      </c>
      <c r="O500" s="1"/>
      <c r="P500" s="1"/>
      <c r="Q500" s="1"/>
      <c r="R500" s="1" t="s">
        <v>136</v>
      </c>
      <c r="S500" s="1" t="s">
        <v>52</v>
      </c>
      <c r="T500" s="1" t="s">
        <v>53</v>
      </c>
      <c r="U500" s="1" t="s">
        <v>46</v>
      </c>
      <c r="V500" s="1" t="s">
        <v>46</v>
      </c>
      <c r="W500" s="1" t="s">
        <v>2127</v>
      </c>
      <c r="X500" s="1" t="s">
        <v>2128</v>
      </c>
      <c r="Y500" s="1" t="s">
        <v>45</v>
      </c>
      <c r="Z500" s="1" t="s">
        <v>46</v>
      </c>
      <c r="AA500" s="1" t="s">
        <v>47</v>
      </c>
      <c r="AB500" s="1" t="s">
        <v>37</v>
      </c>
      <c r="AC500" s="1" t="s">
        <v>37</v>
      </c>
      <c r="AD500" s="1" t="s">
        <v>39</v>
      </c>
      <c r="AE500" s="1" t="s">
        <v>37</v>
      </c>
      <c r="AF500" s="1" t="s">
        <v>39</v>
      </c>
      <c r="AG500" s="1" t="s">
        <v>37</v>
      </c>
      <c r="AH500" s="1" t="s">
        <v>37</v>
      </c>
      <c r="AI500" s="1" t="s">
        <v>39</v>
      </c>
      <c r="AJ500" s="1" t="s">
        <v>39</v>
      </c>
      <c r="AK500" s="1" t="str">
        <f t="shared" si="15"/>
        <v>Comum</v>
      </c>
      <c r="AL500" s="1" t="str">
        <f>+IF(IFERROR(VLOOKUP(A500,Ficheiros!I:I,1,FALSE),"")=A500,"Sim","Não")</f>
        <v>Não</v>
      </c>
      <c r="AM500" s="42" t="s">
        <v>2393</v>
      </c>
      <c r="AN500" s="42" t="s">
        <v>2393</v>
      </c>
      <c r="AO500" s="1" t="str">
        <f>+IF(IFERROR(VLOOKUP(A500,'Especificação Novos Req. LT (2'!A:A,1,FALSE),"")=A500,"Sim","Não")</f>
        <v>Não</v>
      </c>
      <c r="AP500" s="1" t="str">
        <f>+IF(IFERROR(VLOOKUP(A500,Ficheiros!T:T,1,FALSE),"")=A500,"Sim","Não")</f>
        <v>Não</v>
      </c>
      <c r="AQ500" s="1" t="str">
        <f>+VLOOKUP(A500,Ficheiros!O:P,2,FALSE)</f>
        <v>1. Concluído</v>
      </c>
      <c r="AR500" s="1" t="e">
        <f>+VLOOKUP(A500,Ficheiros!R:S,3,FALSE)</f>
        <v>#N/A</v>
      </c>
      <c r="AS500" s="1" t="e">
        <f>+VLOOKUP(A500,Ficheiros!T:V,3,FALSE)</f>
        <v>#N/A</v>
      </c>
      <c r="AT500" s="1"/>
      <c r="AU500" s="1"/>
      <c r="AV500" s="1"/>
      <c r="AW500" s="1"/>
      <c r="AX500" s="1"/>
    </row>
    <row r="501" spans="1:50" hidden="1" x14ac:dyDescent="0.35">
      <c r="A501" s="5" t="str">
        <f t="shared" si="14"/>
        <v>PROTECTIONEPC_LBL</v>
      </c>
      <c r="B501" s="1" t="s">
        <v>2129</v>
      </c>
      <c r="C501" s="1" t="s">
        <v>1952</v>
      </c>
      <c r="D501" s="1" t="s">
        <v>2117</v>
      </c>
      <c r="E501" s="1" t="s">
        <v>37</v>
      </c>
      <c r="F501" s="25" t="s">
        <v>2130</v>
      </c>
      <c r="G501" s="42" t="s">
        <v>2130</v>
      </c>
      <c r="H501" s="1" t="s">
        <v>37</v>
      </c>
      <c r="I501" s="1" t="s">
        <v>39</v>
      </c>
      <c r="J501" s="1" t="s">
        <v>39</v>
      </c>
      <c r="K501" s="1" t="s">
        <v>39</v>
      </c>
      <c r="L501" s="1" t="s">
        <v>39</v>
      </c>
      <c r="M501" s="1" t="s">
        <v>39</v>
      </c>
      <c r="N501" s="1" t="s">
        <v>39</v>
      </c>
      <c r="O501" s="1"/>
      <c r="P501" s="1"/>
      <c r="Q501" s="1"/>
      <c r="R501" s="1" t="s">
        <v>136</v>
      </c>
      <c r="S501" s="1" t="s">
        <v>52</v>
      </c>
      <c r="T501" s="1" t="s">
        <v>53</v>
      </c>
      <c r="U501" s="1" t="s">
        <v>46</v>
      </c>
      <c r="V501" s="1" t="s">
        <v>46</v>
      </c>
      <c r="W501" s="1" t="s">
        <v>2131</v>
      </c>
      <c r="X501" s="1" t="s">
        <v>2132</v>
      </c>
      <c r="Y501" s="1" t="s">
        <v>45</v>
      </c>
      <c r="Z501" s="1" t="s">
        <v>46</v>
      </c>
      <c r="AA501" s="1" t="s">
        <v>47</v>
      </c>
      <c r="AB501" s="1" t="s">
        <v>37</v>
      </c>
      <c r="AC501" s="1" t="s">
        <v>37</v>
      </c>
      <c r="AD501" s="1" t="s">
        <v>39</v>
      </c>
      <c r="AE501" s="1" t="s">
        <v>37</v>
      </c>
      <c r="AF501" s="1" t="s">
        <v>39</v>
      </c>
      <c r="AG501" s="1" t="s">
        <v>37</v>
      </c>
      <c r="AH501" s="1" t="s">
        <v>37</v>
      </c>
      <c r="AI501" s="1" t="s">
        <v>39</v>
      </c>
      <c r="AJ501" s="1" t="s">
        <v>39</v>
      </c>
      <c r="AK501" s="1" t="str">
        <f t="shared" si="15"/>
        <v>Comum</v>
      </c>
      <c r="AL501" s="1" t="str">
        <f>+IF(IFERROR(VLOOKUP(A501,Ficheiros!I:I,1,FALSE),"")=A501,"Sim","Não")</f>
        <v>Não</v>
      </c>
      <c r="AM501" s="42" t="s">
        <v>2393</v>
      </c>
      <c r="AN501" s="42" t="s">
        <v>2393</v>
      </c>
      <c r="AO501" s="1" t="str">
        <f>+IF(IFERROR(VLOOKUP(A501,'Especificação Novos Req. LT (2'!A:A,1,FALSE),"")=A501,"Sim","Não")</f>
        <v>Não</v>
      </c>
      <c r="AP501" s="1" t="str">
        <f>+IF(IFERROR(VLOOKUP(A501,Ficheiros!T:T,1,FALSE),"")=A501,"Sim","Não")</f>
        <v>Não</v>
      </c>
      <c r="AQ501" s="1" t="str">
        <f>+VLOOKUP(A501,Ficheiros!O:P,2,FALSE)</f>
        <v>1. Concluído</v>
      </c>
      <c r="AR501" s="1" t="e">
        <f>+VLOOKUP(A501,Ficheiros!R:S,3,FALSE)</f>
        <v>#N/A</v>
      </c>
      <c r="AS501" s="1" t="e">
        <f>+VLOOKUP(A501,Ficheiros!T:V,3,FALSE)</f>
        <v>#N/A</v>
      </c>
      <c r="AT501" s="1"/>
      <c r="AU501" s="1"/>
      <c r="AV501" s="1"/>
      <c r="AW501" s="1"/>
      <c r="AX501" s="1"/>
    </row>
    <row r="502" spans="1:50" ht="14.5" customHeight="1" x14ac:dyDescent="0.35">
      <c r="A502" s="5" t="str">
        <f t="shared" si="14"/>
        <v>PROTECTIONTYP_EMSSNS_LBL</v>
      </c>
      <c r="B502" s="1" t="s">
        <v>2133</v>
      </c>
      <c r="C502" s="1" t="s">
        <v>1952</v>
      </c>
      <c r="D502" s="1" t="s">
        <v>2117</v>
      </c>
      <c r="E502" s="1" t="s">
        <v>37</v>
      </c>
      <c r="F502" s="25" t="s">
        <v>2134</v>
      </c>
      <c r="G502" s="1" t="s">
        <v>2134</v>
      </c>
      <c r="H502" s="1" t="s">
        <v>37</v>
      </c>
      <c r="I502" s="1" t="s">
        <v>39</v>
      </c>
      <c r="J502" s="1" t="s">
        <v>39</v>
      </c>
      <c r="K502" s="1" t="s">
        <v>39</v>
      </c>
      <c r="L502" s="1" t="s">
        <v>39</v>
      </c>
      <c r="M502" s="1" t="s">
        <v>39</v>
      </c>
      <c r="N502" s="1" t="s">
        <v>39</v>
      </c>
      <c r="O502" s="1"/>
      <c r="P502" s="1"/>
      <c r="Q502" s="1"/>
      <c r="R502" s="1" t="s">
        <v>136</v>
      </c>
      <c r="S502" s="1" t="s">
        <v>52</v>
      </c>
      <c r="T502" s="1" t="s">
        <v>53</v>
      </c>
      <c r="U502" s="1" t="s">
        <v>46</v>
      </c>
      <c r="V502" s="1" t="s">
        <v>46</v>
      </c>
      <c r="W502" s="1" t="s">
        <v>2135</v>
      </c>
      <c r="X502" s="1" t="s">
        <v>2136</v>
      </c>
      <c r="Y502" s="1" t="s">
        <v>45</v>
      </c>
      <c r="Z502" s="1" t="s">
        <v>46</v>
      </c>
      <c r="AA502" s="1" t="s">
        <v>47</v>
      </c>
      <c r="AB502" s="1" t="s">
        <v>37</v>
      </c>
      <c r="AC502" s="1" t="s">
        <v>37</v>
      </c>
      <c r="AD502" s="1" t="s">
        <v>37</v>
      </c>
      <c r="AE502" s="1" t="s">
        <v>37</v>
      </c>
      <c r="AF502" s="1" t="s">
        <v>39</v>
      </c>
      <c r="AG502" s="1" t="s">
        <v>37</v>
      </c>
      <c r="AH502" s="1" t="s">
        <v>37</v>
      </c>
      <c r="AI502" s="1" t="s">
        <v>37</v>
      </c>
      <c r="AJ502" s="1" t="s">
        <v>39</v>
      </c>
      <c r="AK502" s="1" t="str">
        <f t="shared" si="15"/>
        <v>Apenas ESG Risk</v>
      </c>
      <c r="AL502" s="1" t="str">
        <f>+IF(IFERROR(VLOOKUP(A502,Ficheiros!I:I,1,FALSE),"")=A502,"Sim","Não")</f>
        <v>Não</v>
      </c>
      <c r="AM502" s="1" t="str">
        <f>+IF(IFERROR(VLOOKUP(A502,Ficheiros!E:E,1,FALSE),"")=A502,"Sim","Não")</f>
        <v>Não</v>
      </c>
      <c r="AN502" s="1" t="str">
        <f>+IF(IFERROR(VLOOKUP(A502,Ficheiros!O:O,1,FALSE),"")=A502,"Sim","Não")</f>
        <v>Não</v>
      </c>
      <c r="AO502" s="1" t="str">
        <f>+IF(IFERROR(VLOOKUP(A502,'Especificação Novos Req. LT (2'!A:A,1,FALSE),"")=A502,"Sim","Não")</f>
        <v>Sim</v>
      </c>
      <c r="AP502" s="1" t="str">
        <f>+IF(IFERROR(VLOOKUP(A502,Ficheiros!T:T,1,FALSE),"")=A502,"Sim","Não")</f>
        <v>Não</v>
      </c>
      <c r="AQ502" s="1" t="e">
        <f>+VLOOKUP(A502,Ficheiros!O:P,2,FALSE)</f>
        <v>#N/A</v>
      </c>
      <c r="AR502" s="1" t="e">
        <f>+VLOOKUP(A502,Ficheiros!R:S,3,FALSE)</f>
        <v>#N/A</v>
      </c>
      <c r="AS502" s="1" t="e">
        <f>+VLOOKUP(A502,Ficheiros!T:V,3,FALSE)</f>
        <v>#N/A</v>
      </c>
      <c r="AT502" s="1"/>
      <c r="AU502" s="1"/>
      <c r="AV502" s="1" t="s">
        <v>2534</v>
      </c>
      <c r="AW502" s="1" t="s">
        <v>2542</v>
      </c>
      <c r="AX502" s="1"/>
    </row>
    <row r="503" spans="1:50" ht="14.5" hidden="1" customHeight="1" x14ac:dyDescent="0.35">
      <c r="A503" s="5" t="str">
        <f t="shared" si="14"/>
        <v>PROTECTIONEPC_EMSSNS_LBL</v>
      </c>
      <c r="B503" s="1" t="s">
        <v>2137</v>
      </c>
      <c r="C503" s="1" t="s">
        <v>1952</v>
      </c>
      <c r="D503" s="1" t="s">
        <v>2117</v>
      </c>
      <c r="E503" s="1" t="s">
        <v>37</v>
      </c>
      <c r="F503" s="25" t="s">
        <v>2138</v>
      </c>
      <c r="G503" s="1" t="s">
        <v>2138</v>
      </c>
      <c r="H503" s="1" t="s">
        <v>37</v>
      </c>
      <c r="I503" s="1" t="s">
        <v>39</v>
      </c>
      <c r="J503" s="1" t="s">
        <v>39</v>
      </c>
      <c r="K503" s="1" t="s">
        <v>39</v>
      </c>
      <c r="L503" s="1" t="s">
        <v>39</v>
      </c>
      <c r="M503" s="1" t="s">
        <v>39</v>
      </c>
      <c r="N503" s="1" t="s">
        <v>39</v>
      </c>
      <c r="O503" s="1"/>
      <c r="P503" s="1"/>
      <c r="Q503" s="1"/>
      <c r="R503" s="1" t="s">
        <v>136</v>
      </c>
      <c r="S503" s="1" t="s">
        <v>52</v>
      </c>
      <c r="T503" s="1" t="s">
        <v>53</v>
      </c>
      <c r="U503" s="1" t="s">
        <v>46</v>
      </c>
      <c r="V503" s="1" t="s">
        <v>46</v>
      </c>
      <c r="W503" s="1" t="s">
        <v>2139</v>
      </c>
      <c r="X503" s="1" t="s">
        <v>2140</v>
      </c>
      <c r="Y503" s="1" t="s">
        <v>45</v>
      </c>
      <c r="Z503" s="1" t="s">
        <v>46</v>
      </c>
      <c r="AA503" s="1" t="s">
        <v>47</v>
      </c>
      <c r="AB503" s="1" t="s">
        <v>37</v>
      </c>
      <c r="AC503" s="1" t="s">
        <v>37</v>
      </c>
      <c r="AD503" s="1" t="s">
        <v>37</v>
      </c>
      <c r="AE503" s="1" t="s">
        <v>37</v>
      </c>
      <c r="AF503" s="1" t="s">
        <v>39</v>
      </c>
      <c r="AG503" s="1" t="s">
        <v>37</v>
      </c>
      <c r="AH503" s="1" t="s">
        <v>37</v>
      </c>
      <c r="AI503" s="1" t="s">
        <v>37</v>
      </c>
      <c r="AJ503" s="1" t="s">
        <v>39</v>
      </c>
      <c r="AK503" s="1" t="str">
        <f t="shared" si="15"/>
        <v>Apenas ESG Risk</v>
      </c>
      <c r="AL503" s="1" t="str">
        <f>+IF(IFERROR(VLOOKUP(A503,Ficheiros!I:I,1,FALSE),"")=A503,"Sim","Não")</f>
        <v>Não</v>
      </c>
      <c r="AM503" s="1" t="str">
        <f>+IF(IFERROR(VLOOKUP(A503,Ficheiros!E:E,1,FALSE),"")=A503,"Sim","Não")</f>
        <v>Não</v>
      </c>
      <c r="AN503" s="1" t="str">
        <f>+IF(IFERROR(VLOOKUP(A503,Ficheiros!O:O,1,FALSE),"")=A503,"Sim","Não")</f>
        <v>Não</v>
      </c>
      <c r="AO503" s="1" t="str">
        <f>+IF(IFERROR(VLOOKUP(A503,'Especificação Novos Req. LT (2'!A:A,1,FALSE),"")=A503,"Sim","Não")</f>
        <v>Sim</v>
      </c>
      <c r="AP503" s="1" t="str">
        <f>+IF(IFERROR(VLOOKUP(A503,Ficheiros!T:T,1,FALSE),"")=A503,"Sim","Não")</f>
        <v>Não</v>
      </c>
      <c r="AQ503" s="1" t="e">
        <f>+VLOOKUP(A503,Ficheiros!O:P,2,FALSE)</f>
        <v>#N/A</v>
      </c>
      <c r="AR503" s="1" t="e">
        <f>+VLOOKUP(A503,Ficheiros!R:S,3,FALSE)</f>
        <v>#N/A</v>
      </c>
      <c r="AS503" s="1" t="e">
        <f>+VLOOKUP(A503,Ficheiros!T:V,3,FALSE)</f>
        <v>#N/A</v>
      </c>
      <c r="AT503" s="1"/>
      <c r="AU503" s="1"/>
      <c r="AV503" s="1" t="s">
        <v>2536</v>
      </c>
      <c r="AW503" s="1"/>
      <c r="AX503" s="1"/>
    </row>
    <row r="504" spans="1:50" ht="14.5" customHeight="1" x14ac:dyDescent="0.35">
      <c r="A504" s="5" t="str">
        <f t="shared" si="14"/>
        <v>PROTECTIONVHCL_EMSSNS_LBL</v>
      </c>
      <c r="B504" s="1" t="s">
        <v>2141</v>
      </c>
      <c r="C504" s="1" t="s">
        <v>1952</v>
      </c>
      <c r="D504" s="1" t="s">
        <v>2117</v>
      </c>
      <c r="E504" s="1" t="s">
        <v>37</v>
      </c>
      <c r="F504" s="25" t="s">
        <v>2142</v>
      </c>
      <c r="G504" s="1" t="s">
        <v>2142</v>
      </c>
      <c r="H504" s="1" t="s">
        <v>37</v>
      </c>
      <c r="I504" s="1" t="s">
        <v>39</v>
      </c>
      <c r="J504" s="1" t="s">
        <v>39</v>
      </c>
      <c r="K504" s="1" t="s">
        <v>39</v>
      </c>
      <c r="L504" s="1" t="s">
        <v>39</v>
      </c>
      <c r="M504" s="1" t="s">
        <v>39</v>
      </c>
      <c r="N504" s="1" t="s">
        <v>39</v>
      </c>
      <c r="O504" s="1"/>
      <c r="P504" s="1"/>
      <c r="Q504" s="1"/>
      <c r="R504" s="1" t="s">
        <v>136</v>
      </c>
      <c r="S504" s="1" t="s">
        <v>52</v>
      </c>
      <c r="T504" s="1" t="s">
        <v>53</v>
      </c>
      <c r="U504" s="1" t="s">
        <v>46</v>
      </c>
      <c r="V504" s="1" t="s">
        <v>46</v>
      </c>
      <c r="W504" s="1" t="s">
        <v>2143</v>
      </c>
      <c r="X504" s="1" t="s">
        <v>2144</v>
      </c>
      <c r="Y504" s="1" t="s">
        <v>45</v>
      </c>
      <c r="Z504" s="1" t="s">
        <v>46</v>
      </c>
      <c r="AA504" s="1" t="s">
        <v>47</v>
      </c>
      <c r="AB504" s="1" t="s">
        <v>37</v>
      </c>
      <c r="AC504" s="1" t="s">
        <v>37</v>
      </c>
      <c r="AD504" s="1" t="s">
        <v>37</v>
      </c>
      <c r="AE504" s="1" t="s">
        <v>37</v>
      </c>
      <c r="AF504" s="1" t="s">
        <v>39</v>
      </c>
      <c r="AG504" s="1" t="s">
        <v>37</v>
      </c>
      <c r="AH504" s="1" t="s">
        <v>37</v>
      </c>
      <c r="AI504" s="1" t="s">
        <v>37</v>
      </c>
      <c r="AJ504" s="1" t="s">
        <v>39</v>
      </c>
      <c r="AK504" s="1" t="str">
        <f t="shared" si="15"/>
        <v>Apenas ESG Risk</v>
      </c>
      <c r="AL504" s="1" t="str">
        <f>+IF(IFERROR(VLOOKUP(A504,Ficheiros!I:I,1,FALSE),"")=A504,"Sim","Não")</f>
        <v>Não</v>
      </c>
      <c r="AM504" s="1" t="str">
        <f>+IF(IFERROR(VLOOKUP(A504,Ficheiros!E:E,1,FALSE),"")=A504,"Sim","Não")</f>
        <v>Não</v>
      </c>
      <c r="AN504" s="1" t="str">
        <f>+IF(IFERROR(VLOOKUP(A504,Ficheiros!O:O,1,FALSE),"")=A504,"Sim","Não")</f>
        <v>Não</v>
      </c>
      <c r="AO504" s="1" t="str">
        <f>+IF(IFERROR(VLOOKUP(A504,'Especificação Novos Req. LT (2'!A:A,1,FALSE),"")=A504,"Sim","Não")</f>
        <v>Sim</v>
      </c>
      <c r="AP504" s="1" t="str">
        <f>+IF(IFERROR(VLOOKUP(A504,Ficheiros!T:T,1,FALSE),"")=A504,"Sim","Não")</f>
        <v>Não</v>
      </c>
      <c r="AQ504" s="1" t="e">
        <f>+VLOOKUP(A504,Ficheiros!O:P,2,FALSE)</f>
        <v>#N/A</v>
      </c>
      <c r="AR504" s="1" t="e">
        <f>+VLOOKUP(A504,Ficheiros!R:S,3,FALSE)</f>
        <v>#N/A</v>
      </c>
      <c r="AS504" s="1" t="e">
        <f>+VLOOKUP(A504,Ficheiros!T:V,3,FALSE)</f>
        <v>#N/A</v>
      </c>
      <c r="AT504" s="1"/>
      <c r="AU504" s="1"/>
      <c r="AV504" s="1" t="s">
        <v>2534</v>
      </c>
      <c r="AW504" s="1" t="s">
        <v>2542</v>
      </c>
      <c r="AX504" s="1"/>
    </row>
    <row r="505" spans="1:50" ht="14.5" hidden="1" customHeight="1" x14ac:dyDescent="0.35">
      <c r="A505" s="5" t="str">
        <f t="shared" si="14"/>
        <v>PROTECTIONTYP_EMSSNS_SCR</v>
      </c>
      <c r="B505" s="1" t="s">
        <v>2145</v>
      </c>
      <c r="C505" s="1" t="s">
        <v>1952</v>
      </c>
      <c r="D505" s="1" t="s">
        <v>2117</v>
      </c>
      <c r="E505" s="1" t="s">
        <v>37</v>
      </c>
      <c r="F505" s="25" t="s">
        <v>2146</v>
      </c>
      <c r="G505" s="1" t="s">
        <v>2146</v>
      </c>
      <c r="H505" s="1" t="s">
        <v>37</v>
      </c>
      <c r="I505" s="1" t="s">
        <v>39</v>
      </c>
      <c r="J505" s="1" t="s">
        <v>39</v>
      </c>
      <c r="K505" s="1" t="s">
        <v>39</v>
      </c>
      <c r="L505" s="1" t="s">
        <v>39</v>
      </c>
      <c r="M505" s="1" t="s">
        <v>39</v>
      </c>
      <c r="N505" s="1" t="s">
        <v>39</v>
      </c>
      <c r="O505" s="1"/>
      <c r="P505" s="1"/>
      <c r="Q505" s="1"/>
      <c r="R505" s="1" t="s">
        <v>136</v>
      </c>
      <c r="S505" s="1" t="s">
        <v>52</v>
      </c>
      <c r="T505" s="1" t="s">
        <v>53</v>
      </c>
      <c r="U505" s="1" t="s">
        <v>46</v>
      </c>
      <c r="V505" s="1" t="s">
        <v>46</v>
      </c>
      <c r="W505" s="1" t="s">
        <v>2147</v>
      </c>
      <c r="X505" s="1" t="s">
        <v>2148</v>
      </c>
      <c r="Y505" s="1" t="s">
        <v>45</v>
      </c>
      <c r="Z505" s="1" t="s">
        <v>46</v>
      </c>
      <c r="AA505" s="1" t="s">
        <v>47</v>
      </c>
      <c r="AB505" s="1" t="s">
        <v>37</v>
      </c>
      <c r="AC505" s="1" t="s">
        <v>37</v>
      </c>
      <c r="AD505" s="1" t="s">
        <v>37</v>
      </c>
      <c r="AE505" s="1" t="s">
        <v>37</v>
      </c>
      <c r="AF505" s="1" t="s">
        <v>39</v>
      </c>
      <c r="AG505" s="1" t="s">
        <v>37</v>
      </c>
      <c r="AH505" s="1" t="s">
        <v>37</v>
      </c>
      <c r="AI505" s="1" t="s">
        <v>37</v>
      </c>
      <c r="AJ505" s="1" t="s">
        <v>39</v>
      </c>
      <c r="AK505" s="1" t="str">
        <f t="shared" si="15"/>
        <v>Apenas ESG Risk</v>
      </c>
      <c r="AL505" s="1" t="str">
        <f>+IF(IFERROR(VLOOKUP(A505,Ficheiros!I:I,1,FALSE),"")=A505,"Sim","Não")</f>
        <v>Não</v>
      </c>
      <c r="AM505" s="1" t="str">
        <f>+IF(IFERROR(VLOOKUP(A505,Ficheiros!E:E,1,FALSE),"")=A505,"Sim","Não")</f>
        <v>Não</v>
      </c>
      <c r="AN505" s="1" t="str">
        <f>+IF(IFERROR(VLOOKUP(A505,Ficheiros!O:O,1,FALSE),"")=A505,"Sim","Não")</f>
        <v>Não</v>
      </c>
      <c r="AO505" s="1" t="str">
        <f>+IF(IFERROR(VLOOKUP(A505,'Especificação Novos Req. LT (2'!A:A,1,FALSE),"")=A505,"Sim","Não")</f>
        <v>Sim</v>
      </c>
      <c r="AP505" s="1" t="str">
        <f>+IF(IFERROR(VLOOKUP(A505,Ficheiros!T:T,1,FALSE),"")=A505,"Sim","Não")</f>
        <v>Não</v>
      </c>
      <c r="AQ505" s="1" t="e">
        <f>+VLOOKUP(A505,Ficheiros!O:P,2,FALSE)</f>
        <v>#N/A</v>
      </c>
      <c r="AR505" s="1" t="e">
        <f>+VLOOKUP(A505,Ficheiros!R:S,3,FALSE)</f>
        <v>#N/A</v>
      </c>
      <c r="AS505" s="1" t="e">
        <f>+VLOOKUP(A505,Ficheiros!T:V,3,FALSE)</f>
        <v>#N/A</v>
      </c>
      <c r="AT505" s="1"/>
      <c r="AU505" s="1"/>
      <c r="AV505" s="1" t="s">
        <v>2536</v>
      </c>
      <c r="AW505" s="1"/>
      <c r="AX505" s="1"/>
    </row>
    <row r="506" spans="1:50" ht="14.5" hidden="1" customHeight="1" x14ac:dyDescent="0.35">
      <c r="A506" s="5" t="str">
        <f t="shared" si="14"/>
        <v>PROTECTIONEPC_EMSSNS_SCR</v>
      </c>
      <c r="B506" s="1" t="s">
        <v>2149</v>
      </c>
      <c r="C506" s="1" t="s">
        <v>1952</v>
      </c>
      <c r="D506" s="1" t="s">
        <v>2117</v>
      </c>
      <c r="E506" s="1" t="s">
        <v>37</v>
      </c>
      <c r="F506" s="25" t="s">
        <v>2150</v>
      </c>
      <c r="G506" s="1" t="s">
        <v>2150</v>
      </c>
      <c r="H506" s="1" t="s">
        <v>37</v>
      </c>
      <c r="I506" s="1" t="s">
        <v>39</v>
      </c>
      <c r="J506" s="1" t="s">
        <v>39</v>
      </c>
      <c r="K506" s="1" t="s">
        <v>39</v>
      </c>
      <c r="L506" s="1" t="s">
        <v>39</v>
      </c>
      <c r="M506" s="1" t="s">
        <v>39</v>
      </c>
      <c r="N506" s="1" t="s">
        <v>39</v>
      </c>
      <c r="O506" s="1"/>
      <c r="P506" s="1"/>
      <c r="Q506" s="1"/>
      <c r="R506" s="1" t="s">
        <v>342</v>
      </c>
      <c r="S506" s="1" t="s">
        <v>274</v>
      </c>
      <c r="T506" s="1">
        <v>99999999999</v>
      </c>
      <c r="U506" s="1">
        <v>11111111111</v>
      </c>
      <c r="V506" s="1">
        <v>11111111111</v>
      </c>
      <c r="W506" s="1" t="s">
        <v>2151</v>
      </c>
      <c r="X506" s="1" t="s">
        <v>2152</v>
      </c>
      <c r="Y506" s="1" t="s">
        <v>45</v>
      </c>
      <c r="Z506" s="1" t="s">
        <v>46</v>
      </c>
      <c r="AA506" s="1" t="s">
        <v>47</v>
      </c>
      <c r="AB506" s="1" t="s">
        <v>37</v>
      </c>
      <c r="AC506" s="1" t="s">
        <v>37</v>
      </c>
      <c r="AD506" s="1" t="s">
        <v>37</v>
      </c>
      <c r="AE506" s="1" t="s">
        <v>37</v>
      </c>
      <c r="AF506" s="1" t="s">
        <v>39</v>
      </c>
      <c r="AG506" s="1" t="s">
        <v>37</v>
      </c>
      <c r="AH506" s="1" t="s">
        <v>37</v>
      </c>
      <c r="AI506" s="1" t="s">
        <v>37</v>
      </c>
      <c r="AJ506" s="1" t="s">
        <v>39</v>
      </c>
      <c r="AK506" s="1" t="str">
        <f t="shared" si="15"/>
        <v>Apenas ESG Risk</v>
      </c>
      <c r="AL506" s="1" t="str">
        <f>+IF(IFERROR(VLOOKUP(A506,Ficheiros!I:I,1,FALSE),"")=A506,"Sim","Não")</f>
        <v>Não</v>
      </c>
      <c r="AM506" s="1" t="str">
        <f>+IF(IFERROR(VLOOKUP(A506,Ficheiros!E:E,1,FALSE),"")=A506,"Sim","Não")</f>
        <v>Não</v>
      </c>
      <c r="AN506" s="1" t="str">
        <f>+IF(IFERROR(VLOOKUP(A506,Ficheiros!O:O,1,FALSE),"")=A506,"Sim","Não")</f>
        <v>Não</v>
      </c>
      <c r="AO506" s="1" t="str">
        <f>+IF(IFERROR(VLOOKUP(A506,'Especificação Novos Req. LT (2'!A:A,1,FALSE),"")=A506,"Sim","Não")</f>
        <v>Sim</v>
      </c>
      <c r="AP506" s="1" t="str">
        <f>+IF(IFERROR(VLOOKUP(A506,Ficheiros!T:T,1,FALSE),"")=A506,"Sim","Não")</f>
        <v>Não</v>
      </c>
      <c r="AQ506" s="1" t="e">
        <f>+VLOOKUP(A506,Ficheiros!O:P,2,FALSE)</f>
        <v>#N/A</v>
      </c>
      <c r="AR506" s="1" t="e">
        <f>+VLOOKUP(A506,Ficheiros!R:S,3,FALSE)</f>
        <v>#N/A</v>
      </c>
      <c r="AS506" s="1" t="e">
        <f>+VLOOKUP(A506,Ficheiros!T:V,3,FALSE)</f>
        <v>#N/A</v>
      </c>
      <c r="AT506" s="1"/>
      <c r="AU506" s="1"/>
      <c r="AV506" s="1" t="s">
        <v>2536</v>
      </c>
      <c r="AW506" s="1"/>
      <c r="AX506" s="1"/>
    </row>
    <row r="507" spans="1:50" ht="14.5" customHeight="1" x14ac:dyDescent="0.35">
      <c r="A507" s="5" t="str">
        <f t="shared" si="14"/>
        <v>PROTECTIONVHCL_EMSSNS_SCR</v>
      </c>
      <c r="B507" s="1" t="s">
        <v>2153</v>
      </c>
      <c r="C507" s="1" t="s">
        <v>1952</v>
      </c>
      <c r="D507" s="1" t="s">
        <v>2117</v>
      </c>
      <c r="E507" s="1" t="s">
        <v>37</v>
      </c>
      <c r="F507" s="25" t="s">
        <v>2154</v>
      </c>
      <c r="G507" s="1" t="s">
        <v>2154</v>
      </c>
      <c r="H507" s="1" t="s">
        <v>37</v>
      </c>
      <c r="I507" s="1" t="s">
        <v>39</v>
      </c>
      <c r="J507" s="1" t="s">
        <v>39</v>
      </c>
      <c r="K507" s="1" t="s">
        <v>39</v>
      </c>
      <c r="L507" s="1" t="s">
        <v>39</v>
      </c>
      <c r="M507" s="1" t="s">
        <v>39</v>
      </c>
      <c r="N507" s="1" t="s">
        <v>39</v>
      </c>
      <c r="O507" s="1"/>
      <c r="P507" s="1"/>
      <c r="Q507" s="1"/>
      <c r="R507" s="1" t="s">
        <v>342</v>
      </c>
      <c r="S507" s="1" t="s">
        <v>274</v>
      </c>
      <c r="T507" s="1">
        <v>99999999999</v>
      </c>
      <c r="U507" s="1">
        <v>11111111111</v>
      </c>
      <c r="V507" s="1">
        <v>11111111111</v>
      </c>
      <c r="W507" s="1" t="s">
        <v>2155</v>
      </c>
      <c r="X507" s="1" t="s">
        <v>2156</v>
      </c>
      <c r="Y507" s="1" t="s">
        <v>45</v>
      </c>
      <c r="Z507" s="1" t="s">
        <v>46</v>
      </c>
      <c r="AA507" s="1" t="s">
        <v>47</v>
      </c>
      <c r="AB507" s="1" t="s">
        <v>37</v>
      </c>
      <c r="AC507" s="1" t="s">
        <v>37</v>
      </c>
      <c r="AD507" s="1" t="s">
        <v>37</v>
      </c>
      <c r="AE507" s="1" t="s">
        <v>37</v>
      </c>
      <c r="AF507" s="1" t="s">
        <v>39</v>
      </c>
      <c r="AG507" s="1" t="s">
        <v>37</v>
      </c>
      <c r="AH507" s="1" t="s">
        <v>37</v>
      </c>
      <c r="AI507" s="1" t="s">
        <v>37</v>
      </c>
      <c r="AJ507" s="1" t="s">
        <v>39</v>
      </c>
      <c r="AK507" s="1" t="str">
        <f t="shared" si="15"/>
        <v>Apenas ESG Risk</v>
      </c>
      <c r="AL507" s="1" t="str">
        <f>+IF(IFERROR(VLOOKUP(A507,Ficheiros!I:I,1,FALSE),"")=A507,"Sim","Não")</f>
        <v>Não</v>
      </c>
      <c r="AM507" s="1" t="str">
        <f>+IF(IFERROR(VLOOKUP(A507,Ficheiros!E:E,1,FALSE),"")=A507,"Sim","Não")</f>
        <v>Não</v>
      </c>
      <c r="AN507" s="1" t="str">
        <f>+IF(IFERROR(VLOOKUP(A507,Ficheiros!O:O,1,FALSE),"")=A507,"Sim","Não")</f>
        <v>Não</v>
      </c>
      <c r="AO507" s="1" t="str">
        <f>+IF(IFERROR(VLOOKUP(A507,'Especificação Novos Req. LT (2'!A:A,1,FALSE),"")=A507,"Sim","Não")</f>
        <v>Sim</v>
      </c>
      <c r="AP507" s="1" t="str">
        <f>+IF(IFERROR(VLOOKUP(A507,Ficheiros!T:T,1,FALSE),"")=A507,"Sim","Não")</f>
        <v>Não</v>
      </c>
      <c r="AQ507" s="1" t="e">
        <f>+VLOOKUP(A507,Ficheiros!O:P,2,FALSE)</f>
        <v>#N/A</v>
      </c>
      <c r="AR507" s="1" t="e">
        <f>+VLOOKUP(A507,Ficheiros!R:S,3,FALSE)</f>
        <v>#N/A</v>
      </c>
      <c r="AS507" s="1" t="e">
        <f>+VLOOKUP(A507,Ficheiros!T:V,3,FALSE)</f>
        <v>#N/A</v>
      </c>
      <c r="AT507" s="1"/>
      <c r="AU507" s="1"/>
      <c r="AV507" s="1" t="s">
        <v>2534</v>
      </c>
      <c r="AW507" s="1" t="s">
        <v>2542</v>
      </c>
      <c r="AX507" s="1"/>
    </row>
    <row r="508" spans="1:50" hidden="1" x14ac:dyDescent="0.35">
      <c r="A508" s="5" t="str">
        <f t="shared" si="14"/>
        <v>PROTECTIONEMSSNS_SCP1_PRTCTN</v>
      </c>
      <c r="B508" s="1" t="s">
        <v>2157</v>
      </c>
      <c r="C508" s="1" t="s">
        <v>1952</v>
      </c>
      <c r="D508" s="1" t="s">
        <v>2117</v>
      </c>
      <c r="E508" s="1" t="s">
        <v>37</v>
      </c>
      <c r="F508" s="25" t="s">
        <v>2158</v>
      </c>
      <c r="G508" s="42" t="s">
        <v>2158</v>
      </c>
      <c r="H508" s="1" t="s">
        <v>37</v>
      </c>
      <c r="I508" s="1" t="s">
        <v>37</v>
      </c>
      <c r="J508" s="1" t="s">
        <v>37</v>
      </c>
      <c r="K508" s="1" t="s">
        <v>37</v>
      </c>
      <c r="L508" s="1" t="s">
        <v>37</v>
      </c>
      <c r="M508" s="1" t="s">
        <v>39</v>
      </c>
      <c r="N508" s="1" t="s">
        <v>37</v>
      </c>
      <c r="O508" s="1"/>
      <c r="P508" s="1"/>
      <c r="Q508" s="1"/>
      <c r="R508" s="1" t="s">
        <v>342</v>
      </c>
      <c r="S508" s="1" t="s">
        <v>274</v>
      </c>
      <c r="T508" s="1">
        <v>99999999999</v>
      </c>
      <c r="U508" s="1">
        <v>11111111111</v>
      </c>
      <c r="V508" s="1">
        <v>11111111111</v>
      </c>
      <c r="W508" s="1" t="s">
        <v>2159</v>
      </c>
      <c r="X508" s="1" t="s">
        <v>2159</v>
      </c>
      <c r="Y508" s="1" t="s">
        <v>45</v>
      </c>
      <c r="Z508" s="1" t="s">
        <v>46</v>
      </c>
      <c r="AA508" s="1" t="s">
        <v>47</v>
      </c>
      <c r="AB508" s="1" t="s">
        <v>37</v>
      </c>
      <c r="AC508" s="1" t="s">
        <v>37</v>
      </c>
      <c r="AD508" s="1" t="s">
        <v>39</v>
      </c>
      <c r="AE508" s="1" t="s">
        <v>37</v>
      </c>
      <c r="AF508" s="1" t="s">
        <v>39</v>
      </c>
      <c r="AG508" s="1" t="s">
        <v>37</v>
      </c>
      <c r="AH508" s="1" t="s">
        <v>37</v>
      </c>
      <c r="AI508" s="1" t="s">
        <v>39</v>
      </c>
      <c r="AJ508" s="1" t="s">
        <v>39</v>
      </c>
      <c r="AK508" s="1" t="str">
        <f t="shared" si="15"/>
        <v>Comum</v>
      </c>
      <c r="AL508" s="1" t="str">
        <f>+IF(IFERROR(VLOOKUP(A508,Ficheiros!I:I,1,FALSE),"")=A508,"Sim","Não")</f>
        <v>Não</v>
      </c>
      <c r="AM508" s="42" t="s">
        <v>2393</v>
      </c>
      <c r="AN508" s="42" t="s">
        <v>2393</v>
      </c>
      <c r="AO508" s="1" t="str">
        <f>+IF(IFERROR(VLOOKUP(A508,'Especificação Novos Req. LT (2'!A:A,1,FALSE),"")=A508,"Sim","Não")</f>
        <v>Não</v>
      </c>
      <c r="AP508" s="1" t="str">
        <f>+IF(IFERROR(VLOOKUP(A508,Ficheiros!T:T,1,FALSE),"")=A508,"Sim","Não")</f>
        <v>Não</v>
      </c>
      <c r="AQ508" s="1" t="str">
        <f>+VLOOKUP(A508,Ficheiros!O:P,2,FALSE)</f>
        <v>1. Concluído</v>
      </c>
      <c r="AR508" s="1" t="e">
        <f>+VLOOKUP(A508,Ficheiros!R:S,3,FALSE)</f>
        <v>#N/A</v>
      </c>
      <c r="AS508" s="1" t="e">
        <f>+VLOOKUP(A508,Ficheiros!T:V,3,FALSE)</f>
        <v>#N/A</v>
      </c>
      <c r="AT508" s="1"/>
      <c r="AU508" s="1"/>
      <c r="AV508" s="1"/>
      <c r="AW508" s="1"/>
      <c r="AX508" s="1"/>
    </row>
    <row r="509" spans="1:50" hidden="1" x14ac:dyDescent="0.35">
      <c r="A509" s="5" t="str">
        <f t="shared" si="14"/>
        <v>PROTECTIONEMSSNS_SCP2_PRTCTN</v>
      </c>
      <c r="B509" s="1" t="s">
        <v>2160</v>
      </c>
      <c r="C509" s="1" t="s">
        <v>1952</v>
      </c>
      <c r="D509" s="1" t="s">
        <v>2117</v>
      </c>
      <c r="E509" s="1" t="s">
        <v>37</v>
      </c>
      <c r="F509" s="25" t="s">
        <v>2161</v>
      </c>
      <c r="G509" s="42" t="s">
        <v>2161</v>
      </c>
      <c r="H509" s="1" t="s">
        <v>37</v>
      </c>
      <c r="I509" s="1" t="s">
        <v>37</v>
      </c>
      <c r="J509" s="1" t="s">
        <v>37</v>
      </c>
      <c r="K509" s="1" t="s">
        <v>37</v>
      </c>
      <c r="L509" s="1" t="s">
        <v>37</v>
      </c>
      <c r="M509" s="1" t="s">
        <v>39</v>
      </c>
      <c r="N509" s="1" t="s">
        <v>37</v>
      </c>
      <c r="O509" s="1"/>
      <c r="P509" s="1"/>
      <c r="Q509" s="1"/>
      <c r="R509" s="1" t="s">
        <v>342</v>
      </c>
      <c r="S509" s="1" t="s">
        <v>274</v>
      </c>
      <c r="T509" s="1">
        <v>99999999999</v>
      </c>
      <c r="U509" s="1">
        <v>11111111111</v>
      </c>
      <c r="V509" s="1">
        <v>11111111111</v>
      </c>
      <c r="W509" s="1" t="s">
        <v>2162</v>
      </c>
      <c r="X509" s="1" t="s">
        <v>2162</v>
      </c>
      <c r="Y509" s="1" t="s">
        <v>45</v>
      </c>
      <c r="Z509" s="1" t="s">
        <v>46</v>
      </c>
      <c r="AA509" s="1" t="s">
        <v>47</v>
      </c>
      <c r="AB509" s="1" t="s">
        <v>37</v>
      </c>
      <c r="AC509" s="1" t="s">
        <v>37</v>
      </c>
      <c r="AD509" s="1" t="s">
        <v>39</v>
      </c>
      <c r="AE509" s="1" t="s">
        <v>37</v>
      </c>
      <c r="AF509" s="1" t="s">
        <v>39</v>
      </c>
      <c r="AG509" s="1" t="s">
        <v>37</v>
      </c>
      <c r="AH509" s="1" t="s">
        <v>37</v>
      </c>
      <c r="AI509" s="1" t="s">
        <v>39</v>
      </c>
      <c r="AJ509" s="1" t="s">
        <v>39</v>
      </c>
      <c r="AK509" s="1" t="str">
        <f t="shared" si="15"/>
        <v>Comum</v>
      </c>
      <c r="AL509" s="1" t="str">
        <f>+IF(IFERROR(VLOOKUP(A509,Ficheiros!I:I,1,FALSE),"")=A509,"Sim","Não")</f>
        <v>Não</v>
      </c>
      <c r="AM509" s="42" t="s">
        <v>2393</v>
      </c>
      <c r="AN509" s="42" t="s">
        <v>2393</v>
      </c>
      <c r="AO509" s="1" t="str">
        <f>+IF(IFERROR(VLOOKUP(A509,'Especificação Novos Req. LT (2'!A:A,1,FALSE),"")=A509,"Sim","Não")</f>
        <v>Não</v>
      </c>
      <c r="AP509" s="1" t="str">
        <f>+IF(IFERROR(VLOOKUP(A509,Ficheiros!T:T,1,FALSE),"")=A509,"Sim","Não")</f>
        <v>Não</v>
      </c>
      <c r="AQ509" s="1" t="str">
        <f>+VLOOKUP(A509,Ficheiros!O:P,2,FALSE)</f>
        <v>1. Concluído</v>
      </c>
      <c r="AR509" s="1" t="e">
        <f>+VLOOKUP(A509,Ficheiros!R:S,3,FALSE)</f>
        <v>#N/A</v>
      </c>
      <c r="AS509" s="1" t="e">
        <f>+VLOOKUP(A509,Ficheiros!T:V,3,FALSE)</f>
        <v>#N/A</v>
      </c>
      <c r="AT509" s="1"/>
      <c r="AU509" s="1"/>
      <c r="AV509" s="1"/>
      <c r="AW509" s="1"/>
      <c r="AX509" s="1"/>
    </row>
    <row r="510" spans="1:50" hidden="1" x14ac:dyDescent="0.35">
      <c r="A510" s="5" t="str">
        <f t="shared" si="14"/>
        <v>PROTECTIONEMSSNS_SCP3_PRTCTN</v>
      </c>
      <c r="B510" s="1" t="s">
        <v>2163</v>
      </c>
      <c r="C510" s="1" t="s">
        <v>1952</v>
      </c>
      <c r="D510" s="1" t="s">
        <v>2117</v>
      </c>
      <c r="E510" s="1" t="s">
        <v>37</v>
      </c>
      <c r="F510" s="25" t="s">
        <v>2164</v>
      </c>
      <c r="G510" s="42" t="s">
        <v>2164</v>
      </c>
      <c r="H510" s="1" t="s">
        <v>37</v>
      </c>
      <c r="I510" s="1" t="s">
        <v>37</v>
      </c>
      <c r="J510" s="1" t="s">
        <v>37</v>
      </c>
      <c r="K510" s="1" t="s">
        <v>37</v>
      </c>
      <c r="L510" s="1" t="s">
        <v>37</v>
      </c>
      <c r="M510" s="1" t="s">
        <v>39</v>
      </c>
      <c r="N510" s="1" t="s">
        <v>37</v>
      </c>
      <c r="O510" s="1"/>
      <c r="P510" s="1"/>
      <c r="Q510" s="1"/>
      <c r="R510" s="1" t="s">
        <v>342</v>
      </c>
      <c r="S510" s="1" t="s">
        <v>274</v>
      </c>
      <c r="T510" s="1">
        <v>99999999999</v>
      </c>
      <c r="U510" s="1">
        <v>11111111111</v>
      </c>
      <c r="V510" s="1">
        <v>11111111111</v>
      </c>
      <c r="W510" s="1" t="s">
        <v>2165</v>
      </c>
      <c r="X510" s="1" t="s">
        <v>2165</v>
      </c>
      <c r="Y510" s="1" t="s">
        <v>45</v>
      </c>
      <c r="Z510" s="1" t="s">
        <v>46</v>
      </c>
      <c r="AA510" s="1" t="s">
        <v>47</v>
      </c>
      <c r="AB510" s="1" t="s">
        <v>37</v>
      </c>
      <c r="AC510" s="1" t="s">
        <v>37</v>
      </c>
      <c r="AD510" s="1" t="s">
        <v>39</v>
      </c>
      <c r="AE510" s="1" t="s">
        <v>37</v>
      </c>
      <c r="AF510" s="1" t="s">
        <v>39</v>
      </c>
      <c r="AG510" s="1" t="s">
        <v>37</v>
      </c>
      <c r="AH510" s="1" t="s">
        <v>37</v>
      </c>
      <c r="AI510" s="1" t="s">
        <v>39</v>
      </c>
      <c r="AJ510" s="1" t="s">
        <v>39</v>
      </c>
      <c r="AK510" s="1" t="str">
        <f t="shared" si="15"/>
        <v>Comum</v>
      </c>
      <c r="AL510" s="1" t="str">
        <f>+IF(IFERROR(VLOOKUP(A510,Ficheiros!I:I,1,FALSE),"")=A510,"Sim","Não")</f>
        <v>Não</v>
      </c>
      <c r="AM510" s="42" t="s">
        <v>2393</v>
      </c>
      <c r="AN510" s="42" t="s">
        <v>2393</v>
      </c>
      <c r="AO510" s="1" t="str">
        <f>+IF(IFERROR(VLOOKUP(A510,'Especificação Novos Req. LT (2'!A:A,1,FALSE),"")=A510,"Sim","Não")</f>
        <v>Não</v>
      </c>
      <c r="AP510" s="1" t="str">
        <f>+IF(IFERROR(VLOOKUP(A510,Ficheiros!T:T,1,FALSE),"")=A510,"Sim","Não")</f>
        <v>Não</v>
      </c>
      <c r="AQ510" s="1" t="str">
        <f>+VLOOKUP(A510,Ficheiros!O:P,2,FALSE)</f>
        <v>1. Concluído</v>
      </c>
      <c r="AR510" s="1" t="e">
        <f>+VLOOKUP(A510,Ficheiros!R:S,3,FALSE)</f>
        <v>#N/A</v>
      </c>
      <c r="AS510" s="1" t="e">
        <f>+VLOOKUP(A510,Ficheiros!T:V,3,FALSE)</f>
        <v>#N/A</v>
      </c>
      <c r="AT510" s="1"/>
      <c r="AU510" s="1"/>
      <c r="AV510" s="1"/>
      <c r="AW510" s="1"/>
      <c r="AX510" s="1"/>
    </row>
    <row r="511" spans="1:50" hidden="1" x14ac:dyDescent="0.35">
      <c r="A511" s="5" t="str">
        <f t="shared" si="14"/>
        <v>PROTECTIONMTHD_USD_PRTCTN_SCP_1</v>
      </c>
      <c r="B511" s="1" t="s">
        <v>2166</v>
      </c>
      <c r="C511" s="1" t="s">
        <v>1952</v>
      </c>
      <c r="D511" s="1" t="s">
        <v>2117</v>
      </c>
      <c r="E511" s="1" t="s">
        <v>37</v>
      </c>
      <c r="F511" s="25" t="s">
        <v>2167</v>
      </c>
      <c r="G511" s="42" t="s">
        <v>2167</v>
      </c>
      <c r="H511" s="1" t="s">
        <v>37</v>
      </c>
      <c r="I511" s="1" t="s">
        <v>37</v>
      </c>
      <c r="J511" s="1" t="s">
        <v>37</v>
      </c>
      <c r="K511" s="1" t="s">
        <v>37</v>
      </c>
      <c r="L511" s="1" t="s">
        <v>37</v>
      </c>
      <c r="M511" s="1" t="s">
        <v>39</v>
      </c>
      <c r="N511" s="1" t="s">
        <v>37</v>
      </c>
      <c r="O511" s="1"/>
      <c r="P511" s="1"/>
      <c r="Q511" s="1"/>
      <c r="R511" s="1" t="s">
        <v>136</v>
      </c>
      <c r="S511" s="1" t="s">
        <v>52</v>
      </c>
      <c r="T511" s="1" t="s">
        <v>53</v>
      </c>
      <c r="U511" s="1" t="s">
        <v>46</v>
      </c>
      <c r="V511" s="1" t="s">
        <v>46</v>
      </c>
      <c r="W511" s="1" t="s">
        <v>2168</v>
      </c>
      <c r="X511" s="1" t="s">
        <v>2168</v>
      </c>
      <c r="Y511" s="1" t="s">
        <v>45</v>
      </c>
      <c r="Z511" s="1" t="s">
        <v>46</v>
      </c>
      <c r="AA511" s="1" t="s">
        <v>47</v>
      </c>
      <c r="AB511" s="1" t="s">
        <v>37</v>
      </c>
      <c r="AC511" s="1" t="s">
        <v>37</v>
      </c>
      <c r="AD511" s="1" t="s">
        <v>39</v>
      </c>
      <c r="AE511" s="1" t="s">
        <v>37</v>
      </c>
      <c r="AF511" s="1" t="s">
        <v>39</v>
      </c>
      <c r="AG511" s="1" t="s">
        <v>37</v>
      </c>
      <c r="AH511" s="1" t="s">
        <v>37</v>
      </c>
      <c r="AI511" s="1" t="s">
        <v>39</v>
      </c>
      <c r="AJ511" s="1" t="s">
        <v>39</v>
      </c>
      <c r="AK511" s="1" t="str">
        <f t="shared" si="15"/>
        <v>Comum</v>
      </c>
      <c r="AL511" s="1" t="str">
        <f>+IF(IFERROR(VLOOKUP(A511,Ficheiros!I:I,1,FALSE),"")=A511,"Sim","Não")</f>
        <v>Não</v>
      </c>
      <c r="AM511" s="42" t="s">
        <v>2393</v>
      </c>
      <c r="AN511" s="42" t="s">
        <v>2393</v>
      </c>
      <c r="AO511" s="1" t="str">
        <f>+IF(IFERROR(VLOOKUP(A511,'Especificação Novos Req. LT (2'!A:A,1,FALSE),"")=A511,"Sim","Não")</f>
        <v>Não</v>
      </c>
      <c r="AP511" s="1" t="str">
        <f>+IF(IFERROR(VLOOKUP(A511,Ficheiros!T:T,1,FALSE),"")=A511,"Sim","Não")</f>
        <v>Não</v>
      </c>
      <c r="AQ511" s="1" t="str">
        <f>+VLOOKUP(A511,Ficheiros!O:P,2,FALSE)</f>
        <v>1. Concluído</v>
      </c>
      <c r="AR511" s="1" t="e">
        <f>+VLOOKUP(A511,Ficheiros!R:S,3,FALSE)</f>
        <v>#N/A</v>
      </c>
      <c r="AS511" s="1" t="e">
        <f>+VLOOKUP(A511,Ficheiros!T:V,3,FALSE)</f>
        <v>#N/A</v>
      </c>
      <c r="AT511" s="1"/>
      <c r="AU511" s="1"/>
      <c r="AV511" s="1"/>
      <c r="AW511" s="1"/>
      <c r="AX511" s="1"/>
    </row>
    <row r="512" spans="1:50" hidden="1" x14ac:dyDescent="0.35">
      <c r="A512" s="5" t="str">
        <f t="shared" si="14"/>
        <v>PROTECTIONMTHD_USD_PRTCTN_SCP_2</v>
      </c>
      <c r="B512" s="1" t="s">
        <v>2169</v>
      </c>
      <c r="C512" s="1" t="s">
        <v>1952</v>
      </c>
      <c r="D512" s="1" t="s">
        <v>2117</v>
      </c>
      <c r="E512" s="1" t="s">
        <v>37</v>
      </c>
      <c r="F512" s="25" t="s">
        <v>2170</v>
      </c>
      <c r="G512" s="42" t="s">
        <v>2170</v>
      </c>
      <c r="H512" s="1" t="s">
        <v>37</v>
      </c>
      <c r="I512" s="1" t="s">
        <v>37</v>
      </c>
      <c r="J512" s="1" t="s">
        <v>37</v>
      </c>
      <c r="K512" s="1" t="s">
        <v>37</v>
      </c>
      <c r="L512" s="1" t="s">
        <v>37</v>
      </c>
      <c r="M512" s="1" t="s">
        <v>39</v>
      </c>
      <c r="N512" s="1" t="s">
        <v>37</v>
      </c>
      <c r="O512" s="1"/>
      <c r="P512" s="1"/>
      <c r="Q512" s="1"/>
      <c r="R512" s="1" t="s">
        <v>136</v>
      </c>
      <c r="S512" s="1" t="s">
        <v>52</v>
      </c>
      <c r="T512" s="1" t="s">
        <v>53</v>
      </c>
      <c r="U512" s="1" t="s">
        <v>46</v>
      </c>
      <c r="V512" s="1" t="s">
        <v>46</v>
      </c>
      <c r="W512" s="1" t="s">
        <v>2171</v>
      </c>
      <c r="X512" s="1" t="s">
        <v>2171</v>
      </c>
      <c r="Y512" s="1" t="s">
        <v>45</v>
      </c>
      <c r="Z512" s="1" t="s">
        <v>46</v>
      </c>
      <c r="AA512" s="1" t="s">
        <v>47</v>
      </c>
      <c r="AB512" s="1" t="s">
        <v>37</v>
      </c>
      <c r="AC512" s="1" t="s">
        <v>37</v>
      </c>
      <c r="AD512" s="1" t="s">
        <v>39</v>
      </c>
      <c r="AE512" s="1" t="s">
        <v>37</v>
      </c>
      <c r="AF512" s="1" t="s">
        <v>39</v>
      </c>
      <c r="AG512" s="1" t="s">
        <v>37</v>
      </c>
      <c r="AH512" s="1" t="s">
        <v>37</v>
      </c>
      <c r="AI512" s="1" t="s">
        <v>39</v>
      </c>
      <c r="AJ512" s="1" t="s">
        <v>39</v>
      </c>
      <c r="AK512" s="1" t="str">
        <f t="shared" si="15"/>
        <v>Comum</v>
      </c>
      <c r="AL512" s="1" t="str">
        <f>+IF(IFERROR(VLOOKUP(A512,Ficheiros!I:I,1,FALSE),"")=A512,"Sim","Não")</f>
        <v>Não</v>
      </c>
      <c r="AM512" s="42" t="s">
        <v>2393</v>
      </c>
      <c r="AN512" s="42" t="s">
        <v>2393</v>
      </c>
      <c r="AO512" s="1" t="str">
        <f>+IF(IFERROR(VLOOKUP(A512,'Especificação Novos Req. LT (2'!A:A,1,FALSE),"")=A512,"Sim","Não")</f>
        <v>Não</v>
      </c>
      <c r="AP512" s="1" t="str">
        <f>+IF(IFERROR(VLOOKUP(A512,Ficheiros!T:T,1,FALSE),"")=A512,"Sim","Não")</f>
        <v>Não</v>
      </c>
      <c r="AQ512" s="1" t="str">
        <f>+VLOOKUP(A512,Ficheiros!O:P,2,FALSE)</f>
        <v>1. Concluído</v>
      </c>
      <c r="AR512" s="1" t="e">
        <f>+VLOOKUP(A512,Ficheiros!R:S,3,FALSE)</f>
        <v>#N/A</v>
      </c>
      <c r="AS512" s="1" t="e">
        <f>+VLOOKUP(A512,Ficheiros!T:V,3,FALSE)</f>
        <v>#N/A</v>
      </c>
      <c r="AT512" s="1"/>
      <c r="AU512" s="1"/>
      <c r="AV512" s="1"/>
      <c r="AW512" s="1"/>
      <c r="AX512" s="1"/>
    </row>
    <row r="513" spans="1:50" hidden="1" x14ac:dyDescent="0.35">
      <c r="A513" s="5" t="str">
        <f t="shared" si="14"/>
        <v>PROTECTIONMTHD_USD_PRTCTN_SCP_3</v>
      </c>
      <c r="B513" s="1" t="s">
        <v>2172</v>
      </c>
      <c r="C513" s="1" t="s">
        <v>1952</v>
      </c>
      <c r="D513" s="1" t="s">
        <v>2117</v>
      </c>
      <c r="E513" s="1" t="s">
        <v>37</v>
      </c>
      <c r="F513" s="25" t="s">
        <v>2173</v>
      </c>
      <c r="G513" s="42" t="s">
        <v>2173</v>
      </c>
      <c r="H513" s="1" t="s">
        <v>37</v>
      </c>
      <c r="I513" s="1" t="s">
        <v>37</v>
      </c>
      <c r="J513" s="1" t="s">
        <v>37</v>
      </c>
      <c r="K513" s="1" t="s">
        <v>37</v>
      </c>
      <c r="L513" s="1" t="s">
        <v>37</v>
      </c>
      <c r="M513" s="1" t="s">
        <v>39</v>
      </c>
      <c r="N513" s="1" t="s">
        <v>37</v>
      </c>
      <c r="O513" s="1"/>
      <c r="P513" s="1"/>
      <c r="Q513" s="1"/>
      <c r="R513" s="1" t="s">
        <v>136</v>
      </c>
      <c r="S513" s="1" t="s">
        <v>52</v>
      </c>
      <c r="T513" s="1" t="s">
        <v>53</v>
      </c>
      <c r="U513" s="1" t="s">
        <v>46</v>
      </c>
      <c r="V513" s="1" t="s">
        <v>46</v>
      </c>
      <c r="W513" s="1" t="s">
        <v>2174</v>
      </c>
      <c r="X513" s="1" t="s">
        <v>2174</v>
      </c>
      <c r="Y513" s="1" t="s">
        <v>45</v>
      </c>
      <c r="Z513" s="1" t="s">
        <v>46</v>
      </c>
      <c r="AA513" s="1" t="s">
        <v>47</v>
      </c>
      <c r="AB513" s="1" t="s">
        <v>37</v>
      </c>
      <c r="AC513" s="1" t="s">
        <v>37</v>
      </c>
      <c r="AD513" s="1" t="s">
        <v>39</v>
      </c>
      <c r="AE513" s="1" t="s">
        <v>37</v>
      </c>
      <c r="AF513" s="1" t="s">
        <v>39</v>
      </c>
      <c r="AG513" s="1" t="s">
        <v>37</v>
      </c>
      <c r="AH513" s="1" t="s">
        <v>37</v>
      </c>
      <c r="AI513" s="1" t="s">
        <v>39</v>
      </c>
      <c r="AJ513" s="1" t="s">
        <v>39</v>
      </c>
      <c r="AK513" s="1" t="str">
        <f t="shared" si="15"/>
        <v>Comum</v>
      </c>
      <c r="AL513" s="1" t="str">
        <f>+IF(IFERROR(VLOOKUP(A513,Ficheiros!I:I,1,FALSE),"")=A513,"Sim","Não")</f>
        <v>Não</v>
      </c>
      <c r="AM513" s="42" t="s">
        <v>2393</v>
      </c>
      <c r="AN513" s="42" t="s">
        <v>2393</v>
      </c>
      <c r="AO513" s="1" t="str">
        <f>+IF(IFERROR(VLOOKUP(A513,'Especificação Novos Req. LT (2'!A:A,1,FALSE),"")=A513,"Sim","Não")</f>
        <v>Não</v>
      </c>
      <c r="AP513" s="1" t="str">
        <f>+IF(IFERROR(VLOOKUP(A513,Ficheiros!T:T,1,FALSE),"")=A513,"Sim","Não")</f>
        <v>Não</v>
      </c>
      <c r="AQ513" s="1" t="str">
        <f>+VLOOKUP(A513,Ficheiros!O:P,2,FALSE)</f>
        <v>1. Concluído</v>
      </c>
      <c r="AR513" s="1" t="e">
        <f>+VLOOKUP(A513,Ficheiros!R:S,3,FALSE)</f>
        <v>#N/A</v>
      </c>
      <c r="AS513" s="1" t="e">
        <f>+VLOOKUP(A513,Ficheiros!T:V,3,FALSE)</f>
        <v>#N/A</v>
      </c>
      <c r="AT513" s="1"/>
      <c r="AU513" s="1"/>
      <c r="AV513" s="1"/>
      <c r="AW513" s="1"/>
      <c r="AX513" s="1"/>
    </row>
    <row r="514" spans="1:50" ht="14.5" hidden="1" customHeight="1" x14ac:dyDescent="0.35">
      <c r="A514" s="5" t="str">
        <f t="shared" si="14"/>
        <v>PROTECTIONFLG_ACT_PHYSCL_RSK</v>
      </c>
      <c r="B514" s="1" t="s">
        <v>2175</v>
      </c>
      <c r="C514" s="1" t="s">
        <v>1952</v>
      </c>
      <c r="D514" s="1" t="s">
        <v>2117</v>
      </c>
      <c r="E514" s="1" t="s">
        <v>37</v>
      </c>
      <c r="F514" s="25" t="s">
        <v>578</v>
      </c>
      <c r="G514" s="42" t="s">
        <v>578</v>
      </c>
      <c r="H514" s="1" t="s">
        <v>37</v>
      </c>
      <c r="I514" s="1" t="s">
        <v>39</v>
      </c>
      <c r="J514" s="1" t="s">
        <v>39</v>
      </c>
      <c r="K514" s="1" t="s">
        <v>39</v>
      </c>
      <c r="L514" s="1" t="s">
        <v>39</v>
      </c>
      <c r="M514" s="1" t="s">
        <v>39</v>
      </c>
      <c r="N514" s="1" t="s">
        <v>39</v>
      </c>
      <c r="O514" s="1"/>
      <c r="P514" s="1"/>
      <c r="Q514" s="1"/>
      <c r="R514" s="1" t="s">
        <v>141</v>
      </c>
      <c r="S514" s="1" t="s">
        <v>142</v>
      </c>
      <c r="T514" s="1" t="s">
        <v>42</v>
      </c>
      <c r="U514" s="1" t="s">
        <v>42</v>
      </c>
      <c r="V514" s="1" t="s">
        <v>46</v>
      </c>
      <c r="W514" s="1" t="s">
        <v>2176</v>
      </c>
      <c r="X514" s="1" t="s">
        <v>2177</v>
      </c>
      <c r="Y514" s="1" t="s">
        <v>45</v>
      </c>
      <c r="Z514" s="1" t="s">
        <v>46</v>
      </c>
      <c r="AA514" s="1" t="s">
        <v>47</v>
      </c>
      <c r="AB514" s="1" t="s">
        <v>37</v>
      </c>
      <c r="AC514" s="1" t="s">
        <v>37</v>
      </c>
      <c r="AD514" s="1" t="s">
        <v>39</v>
      </c>
      <c r="AE514" s="1" t="s">
        <v>37</v>
      </c>
      <c r="AF514" s="1" t="s">
        <v>37</v>
      </c>
      <c r="AG514" s="1" t="s">
        <v>37</v>
      </c>
      <c r="AH514" s="1" t="s">
        <v>37</v>
      </c>
      <c r="AI514" s="1" t="s">
        <v>39</v>
      </c>
      <c r="AJ514" s="1" t="s">
        <v>39</v>
      </c>
      <c r="AK514" s="1" t="str">
        <f t="shared" si="15"/>
        <v>Apenas Pilar 3</v>
      </c>
      <c r="AL514" s="1" t="str">
        <f>+IF(IFERROR(VLOOKUP(A514,Ficheiros!I:I,1,FALSE),"")=A514,"Sim","Não")</f>
        <v>Não</v>
      </c>
      <c r="AM514" s="42" t="s">
        <v>2393</v>
      </c>
      <c r="AN514" s="42" t="s">
        <v>2393</v>
      </c>
      <c r="AO514" s="1" t="str">
        <f>+IF(IFERROR(VLOOKUP(A514,'Especificação Novos Req. LT (2'!A:A,1,FALSE),"")=A514,"Sim","Não")</f>
        <v>Não</v>
      </c>
      <c r="AP514" s="1" t="str">
        <f>+IF(IFERROR(VLOOKUP(A514,Ficheiros!T:T,1,FALSE),"")=A514,"Sim","Não")</f>
        <v>Não</v>
      </c>
      <c r="AQ514" s="1" t="str">
        <f>+VLOOKUP(A514,Ficheiros!O:P,2,FALSE)</f>
        <v>1. Concluído</v>
      </c>
      <c r="AR514" s="1" t="e">
        <f>+VLOOKUP(A514,Ficheiros!R:S,3,FALSE)</f>
        <v>#N/A</v>
      </c>
      <c r="AS514" s="1" t="e">
        <f>+VLOOKUP(A514,Ficheiros!T:V,3,FALSE)</f>
        <v>#N/A</v>
      </c>
      <c r="AT514" s="1"/>
      <c r="AU514" s="1"/>
      <c r="AV514" s="1"/>
      <c r="AW514" s="1"/>
      <c r="AX514" s="1"/>
    </row>
    <row r="515" spans="1:50" ht="14.5" hidden="1" customHeight="1" x14ac:dyDescent="0.35">
      <c r="A515" s="5" t="str">
        <f t="shared" si="14"/>
        <v>PROTECTIONFLG_CHRNC_PHYSCL_RSK</v>
      </c>
      <c r="B515" s="1" t="s">
        <v>2178</v>
      </c>
      <c r="C515" s="1" t="s">
        <v>1952</v>
      </c>
      <c r="D515" s="1" t="s">
        <v>2117</v>
      </c>
      <c r="E515" s="1" t="s">
        <v>37</v>
      </c>
      <c r="F515" s="25" t="s">
        <v>582</v>
      </c>
      <c r="G515" s="42" t="s">
        <v>582</v>
      </c>
      <c r="H515" s="1" t="s">
        <v>37</v>
      </c>
      <c r="I515" s="1" t="s">
        <v>39</v>
      </c>
      <c r="J515" s="1" t="s">
        <v>39</v>
      </c>
      <c r="K515" s="1" t="s">
        <v>39</v>
      </c>
      <c r="L515" s="1" t="s">
        <v>39</v>
      </c>
      <c r="M515" s="1" t="s">
        <v>39</v>
      </c>
      <c r="N515" s="1" t="s">
        <v>39</v>
      </c>
      <c r="O515" s="1"/>
      <c r="P515" s="1"/>
      <c r="Q515" s="1"/>
      <c r="R515" s="1" t="s">
        <v>141</v>
      </c>
      <c r="S515" s="1" t="s">
        <v>142</v>
      </c>
      <c r="T515" s="1" t="s">
        <v>42</v>
      </c>
      <c r="U515" s="1" t="s">
        <v>42</v>
      </c>
      <c r="V515" s="1" t="s">
        <v>46</v>
      </c>
      <c r="W515" s="1" t="s">
        <v>2179</v>
      </c>
      <c r="X515" s="1" t="s">
        <v>2180</v>
      </c>
      <c r="Y515" s="1" t="s">
        <v>45</v>
      </c>
      <c r="Z515" s="1" t="s">
        <v>46</v>
      </c>
      <c r="AA515" s="1" t="s">
        <v>47</v>
      </c>
      <c r="AB515" s="1" t="s">
        <v>37</v>
      </c>
      <c r="AC515" s="1" t="s">
        <v>37</v>
      </c>
      <c r="AD515" s="1" t="s">
        <v>39</v>
      </c>
      <c r="AE515" s="1" t="s">
        <v>37</v>
      </c>
      <c r="AF515" s="1" t="s">
        <v>37</v>
      </c>
      <c r="AG515" s="1" t="s">
        <v>37</v>
      </c>
      <c r="AH515" s="1" t="s">
        <v>37</v>
      </c>
      <c r="AI515" s="1" t="s">
        <v>39</v>
      </c>
      <c r="AJ515" s="1" t="s">
        <v>39</v>
      </c>
      <c r="AK515" s="1" t="str">
        <f t="shared" si="15"/>
        <v>Apenas Pilar 3</v>
      </c>
      <c r="AL515" s="1" t="str">
        <f>+IF(IFERROR(VLOOKUP(A515,Ficheiros!I:I,1,FALSE),"")=A515,"Sim","Não")</f>
        <v>Não</v>
      </c>
      <c r="AM515" s="42" t="s">
        <v>2393</v>
      </c>
      <c r="AN515" s="42" t="s">
        <v>2393</v>
      </c>
      <c r="AO515" s="1" t="str">
        <f>+IF(IFERROR(VLOOKUP(A515,'Especificação Novos Req. LT (2'!A:A,1,FALSE),"")=A515,"Sim","Não")</f>
        <v>Não</v>
      </c>
      <c r="AP515" s="1" t="str">
        <f>+IF(IFERROR(VLOOKUP(A515,Ficheiros!T:T,1,FALSE),"")=A515,"Sim","Não")</f>
        <v>Não</v>
      </c>
      <c r="AQ515" s="1" t="str">
        <f>+VLOOKUP(A515,Ficheiros!O:P,2,FALSE)</f>
        <v>1. Concluído</v>
      </c>
      <c r="AR515" s="1" t="e">
        <f>+VLOOKUP(A515,Ficheiros!R:S,3,FALSE)</f>
        <v>#N/A</v>
      </c>
      <c r="AS515" s="1" t="e">
        <f>+VLOOKUP(A515,Ficheiros!T:V,3,FALSE)</f>
        <v>#N/A</v>
      </c>
      <c r="AT515" s="1"/>
      <c r="AU515" s="1"/>
      <c r="AV515" s="1"/>
      <c r="AW515" s="1"/>
      <c r="AX515" s="1"/>
    </row>
    <row r="516" spans="1:50" ht="14.5" customHeight="1" x14ac:dyDescent="0.35">
      <c r="A516" s="5" t="str">
        <f t="shared" si="14"/>
        <v>PROTECTIONINSRNC_ID</v>
      </c>
      <c r="B516" s="1" t="s">
        <v>2181</v>
      </c>
      <c r="C516" s="1" t="s">
        <v>1952</v>
      </c>
      <c r="D516" s="1" t="s">
        <v>2182</v>
      </c>
      <c r="E516" s="1" t="s">
        <v>37</v>
      </c>
      <c r="F516" s="25" t="s">
        <v>2183</v>
      </c>
      <c r="G516" s="1" t="s">
        <v>2183</v>
      </c>
      <c r="H516" s="1" t="s">
        <v>37</v>
      </c>
      <c r="I516" s="1" t="s">
        <v>39</v>
      </c>
      <c r="J516" s="1" t="s">
        <v>39</v>
      </c>
      <c r="K516" s="1" t="s">
        <v>39</v>
      </c>
      <c r="L516" s="1" t="s">
        <v>39</v>
      </c>
      <c r="M516" s="1" t="s">
        <v>39</v>
      </c>
      <c r="N516" s="1" t="s">
        <v>39</v>
      </c>
      <c r="O516" s="1"/>
      <c r="P516" s="1"/>
      <c r="Q516" s="1"/>
      <c r="R516" s="1" t="s">
        <v>657</v>
      </c>
      <c r="S516" s="1" t="s">
        <v>41</v>
      </c>
      <c r="T516" s="1" t="s">
        <v>53</v>
      </c>
      <c r="U516" s="1" t="s">
        <v>46</v>
      </c>
      <c r="V516" s="1" t="s">
        <v>46</v>
      </c>
      <c r="W516" s="1" t="s">
        <v>2184</v>
      </c>
      <c r="X516" s="1" t="s">
        <v>2185</v>
      </c>
      <c r="Y516" s="1" t="s">
        <v>45</v>
      </c>
      <c r="Z516" s="1" t="s">
        <v>46</v>
      </c>
      <c r="AA516" s="1" t="s">
        <v>47</v>
      </c>
      <c r="AB516" s="1" t="s">
        <v>37</v>
      </c>
      <c r="AC516" s="1" t="s">
        <v>37</v>
      </c>
      <c r="AD516" s="1" t="s">
        <v>37</v>
      </c>
      <c r="AE516" s="1" t="s">
        <v>37</v>
      </c>
      <c r="AF516" s="1" t="s">
        <v>39</v>
      </c>
      <c r="AG516" s="1" t="s">
        <v>37</v>
      </c>
      <c r="AH516" s="1" t="s">
        <v>37</v>
      </c>
      <c r="AI516" s="1" t="s">
        <v>37</v>
      </c>
      <c r="AJ516" s="1" t="s">
        <v>39</v>
      </c>
      <c r="AK516" s="1" t="str">
        <f t="shared" si="15"/>
        <v>Apenas ESG Risk</v>
      </c>
      <c r="AL516" s="1" t="str">
        <f>+IF(IFERROR(VLOOKUP(A516,Ficheiros!I:I,1,FALSE),"")=A516,"Sim","Não")</f>
        <v>Não</v>
      </c>
      <c r="AM516" s="1" t="str">
        <f>+IF(IFERROR(VLOOKUP(A516,Ficheiros!E:E,1,FALSE),"")=A516,"Sim","Não")</f>
        <v>Não</v>
      </c>
      <c r="AN516" s="1" t="str">
        <f>+IF(IFERROR(VLOOKUP(A516,Ficheiros!O:O,1,FALSE),"")=A516,"Sim","Não")</f>
        <v>Não</v>
      </c>
      <c r="AO516" s="1" t="str">
        <f>+IF(IFERROR(VLOOKUP(A516,'Especificação Novos Req. LT (2'!A:A,1,FALSE),"")=A516,"Sim","Não")</f>
        <v>Sim</v>
      </c>
      <c r="AP516" s="1" t="str">
        <f>+IF(IFERROR(VLOOKUP(A516,Ficheiros!T:T,1,FALSE),"")=A516,"Sim","Não")</f>
        <v>Não</v>
      </c>
      <c r="AQ516" s="1" t="e">
        <f>+VLOOKUP(A516,Ficheiros!O:P,2,FALSE)</f>
        <v>#N/A</v>
      </c>
      <c r="AR516" s="1" t="e">
        <f>+VLOOKUP(A516,Ficheiros!R:S,3,FALSE)</f>
        <v>#N/A</v>
      </c>
      <c r="AS516" s="1" t="e">
        <f>+VLOOKUP(A516,Ficheiros!T:V,3,FALSE)</f>
        <v>#N/A</v>
      </c>
      <c r="AT516" s="1"/>
      <c r="AU516" s="1"/>
      <c r="AV516" s="1" t="s">
        <v>2534</v>
      </c>
      <c r="AW516" s="1" t="s">
        <v>2542</v>
      </c>
      <c r="AX516" s="1"/>
    </row>
    <row r="517" spans="1:50" ht="14.5" customHeight="1" x14ac:dyDescent="0.35">
      <c r="A517" s="5" t="str">
        <f t="shared" si="14"/>
        <v>PROTECTIONTYP_HZRDS_INSRD</v>
      </c>
      <c r="B517" s="1" t="s">
        <v>2186</v>
      </c>
      <c r="C517" s="1" t="s">
        <v>1952</v>
      </c>
      <c r="D517" s="1" t="s">
        <v>2182</v>
      </c>
      <c r="E517" s="1" t="s">
        <v>37</v>
      </c>
      <c r="F517" s="25" t="s">
        <v>2187</v>
      </c>
      <c r="G517" s="1" t="s">
        <v>2187</v>
      </c>
      <c r="H517" s="1" t="s">
        <v>37</v>
      </c>
      <c r="I517" s="1" t="s">
        <v>39</v>
      </c>
      <c r="J517" s="1" t="s">
        <v>39</v>
      </c>
      <c r="K517" s="1" t="s">
        <v>39</v>
      </c>
      <c r="L517" s="1" t="s">
        <v>39</v>
      </c>
      <c r="M517" s="1" t="s">
        <v>39</v>
      </c>
      <c r="N517" s="1" t="s">
        <v>39</v>
      </c>
      <c r="O517" s="1"/>
      <c r="P517" s="1"/>
      <c r="Q517" s="1"/>
      <c r="R517" s="1" t="s">
        <v>136</v>
      </c>
      <c r="S517" s="1" t="s">
        <v>52</v>
      </c>
      <c r="T517" s="1" t="s">
        <v>53</v>
      </c>
      <c r="U517" s="1" t="s">
        <v>46</v>
      </c>
      <c r="V517" s="1" t="s">
        <v>46</v>
      </c>
      <c r="W517" s="1" t="s">
        <v>2188</v>
      </c>
      <c r="X517" s="1" t="s">
        <v>2189</v>
      </c>
      <c r="Y517" s="1" t="s">
        <v>45</v>
      </c>
      <c r="Z517" s="1" t="s">
        <v>46</v>
      </c>
      <c r="AA517" s="1" t="s">
        <v>47</v>
      </c>
      <c r="AB517" s="1" t="s">
        <v>37</v>
      </c>
      <c r="AC517" s="1" t="s">
        <v>37</v>
      </c>
      <c r="AD517" s="1" t="s">
        <v>37</v>
      </c>
      <c r="AE517" s="1" t="s">
        <v>37</v>
      </c>
      <c r="AF517" s="1" t="s">
        <v>39</v>
      </c>
      <c r="AG517" s="1" t="s">
        <v>37</v>
      </c>
      <c r="AH517" s="1" t="s">
        <v>37</v>
      </c>
      <c r="AI517" s="1" t="s">
        <v>37</v>
      </c>
      <c r="AJ517" s="1" t="s">
        <v>39</v>
      </c>
      <c r="AK517" s="1" t="str">
        <f t="shared" si="15"/>
        <v>Apenas ESG Risk</v>
      </c>
      <c r="AL517" s="1" t="str">
        <f>+IF(IFERROR(VLOOKUP(A517,Ficheiros!I:I,1,FALSE),"")=A517,"Sim","Não")</f>
        <v>Não</v>
      </c>
      <c r="AM517" s="1" t="str">
        <f>+IF(IFERROR(VLOOKUP(A517,Ficheiros!E:E,1,FALSE),"")=A517,"Sim","Não")</f>
        <v>Não</v>
      </c>
      <c r="AN517" s="1" t="str">
        <f>+IF(IFERROR(VLOOKUP(A517,Ficheiros!O:O,1,FALSE),"")=A517,"Sim","Não")</f>
        <v>Não</v>
      </c>
      <c r="AO517" s="1" t="str">
        <f>+IF(IFERROR(VLOOKUP(A517,'Especificação Novos Req. LT (2'!A:A,1,FALSE),"")=A517,"Sim","Não")</f>
        <v>Sim</v>
      </c>
      <c r="AP517" s="1" t="str">
        <f>+IF(IFERROR(VLOOKUP(A517,Ficheiros!T:T,1,FALSE),"")=A517,"Sim","Não")</f>
        <v>Não</v>
      </c>
      <c r="AQ517" s="1" t="e">
        <f>+VLOOKUP(A517,Ficheiros!O:P,2,FALSE)</f>
        <v>#N/A</v>
      </c>
      <c r="AR517" s="1" t="e">
        <f>+VLOOKUP(A517,Ficheiros!R:S,3,FALSE)</f>
        <v>#N/A</v>
      </c>
      <c r="AS517" s="1" t="e">
        <f>+VLOOKUP(A517,Ficheiros!T:V,3,FALSE)</f>
        <v>#N/A</v>
      </c>
      <c r="AT517" s="1"/>
      <c r="AU517" s="1"/>
      <c r="AV517" s="1" t="s">
        <v>2534</v>
      </c>
      <c r="AW517" s="1" t="s">
        <v>2542</v>
      </c>
      <c r="AX517" s="1"/>
    </row>
    <row r="518" spans="1:50" ht="14.5" customHeight="1" x14ac:dyDescent="0.35">
      <c r="A518" s="5" t="str">
        <f t="shared" ref="A518:A545" si="16">+C518&amp;G518</f>
        <v>PROTECTIONAMNT_CVRD_INSRNC</v>
      </c>
      <c r="B518" s="1" t="s">
        <v>2190</v>
      </c>
      <c r="C518" s="1" t="s">
        <v>1952</v>
      </c>
      <c r="D518" s="1" t="s">
        <v>2182</v>
      </c>
      <c r="E518" s="1" t="s">
        <v>37</v>
      </c>
      <c r="F518" s="25" t="s">
        <v>2191</v>
      </c>
      <c r="G518" s="1" t="s">
        <v>2191</v>
      </c>
      <c r="H518" s="1" t="s">
        <v>37</v>
      </c>
      <c r="I518" s="1" t="s">
        <v>39</v>
      </c>
      <c r="J518" s="1" t="s">
        <v>39</v>
      </c>
      <c r="K518" s="1" t="s">
        <v>39</v>
      </c>
      <c r="L518" s="1" t="s">
        <v>39</v>
      </c>
      <c r="M518" s="1" t="s">
        <v>39</v>
      </c>
      <c r="N518" s="1" t="s">
        <v>39</v>
      </c>
      <c r="O518" s="1"/>
      <c r="P518" s="1"/>
      <c r="Q518" s="1"/>
      <c r="R518" s="1" t="s">
        <v>273</v>
      </c>
      <c r="S518" s="1" t="s">
        <v>274</v>
      </c>
      <c r="T518" s="1">
        <v>99999999999</v>
      </c>
      <c r="U518" s="1">
        <v>11111111111</v>
      </c>
      <c r="V518" s="1">
        <v>11111111111</v>
      </c>
      <c r="W518" s="1" t="s">
        <v>2192</v>
      </c>
      <c r="X518" s="1" t="s">
        <v>2193</v>
      </c>
      <c r="Y518" s="1" t="s">
        <v>45</v>
      </c>
      <c r="Z518" s="1" t="s">
        <v>46</v>
      </c>
      <c r="AA518" s="1" t="s">
        <v>47</v>
      </c>
      <c r="AB518" s="1" t="s">
        <v>37</v>
      </c>
      <c r="AC518" s="1" t="s">
        <v>37</v>
      </c>
      <c r="AD518" s="1" t="s">
        <v>37</v>
      </c>
      <c r="AE518" s="1" t="s">
        <v>37</v>
      </c>
      <c r="AF518" s="1" t="s">
        <v>39</v>
      </c>
      <c r="AG518" s="1" t="s">
        <v>37</v>
      </c>
      <c r="AH518" s="1" t="s">
        <v>37</v>
      </c>
      <c r="AI518" s="1" t="s">
        <v>37</v>
      </c>
      <c r="AJ518" s="1" t="s">
        <v>39</v>
      </c>
      <c r="AK518" s="1" t="str">
        <f t="shared" ref="AK518:AK545" si="17">+IF(AND(AD518="N",AF518="N"),"Fora de âmbito",
IF(AND(AD518="N",AF518="Y"),"Apenas ESG Risk",
IF(AND(AD518="Y",AF518="N"),"Apenas Pilar 3",
IF(AND(AD518="Y",AF518="Y"),"Comum",""))))</f>
        <v>Apenas ESG Risk</v>
      </c>
      <c r="AL518" s="1" t="str">
        <f>+IF(IFERROR(VLOOKUP(A518,Ficheiros!I:I,1,FALSE),"")=A518,"Sim","Não")</f>
        <v>Não</v>
      </c>
      <c r="AM518" s="1" t="str">
        <f>+IF(IFERROR(VLOOKUP(A518,Ficheiros!E:E,1,FALSE),"")=A518,"Sim","Não")</f>
        <v>Não</v>
      </c>
      <c r="AN518" s="1" t="str">
        <f>+IF(IFERROR(VLOOKUP(A518,Ficheiros!O:O,1,FALSE),"")=A518,"Sim","Não")</f>
        <v>Não</v>
      </c>
      <c r="AO518" s="1" t="str">
        <f>+IF(IFERROR(VLOOKUP(A518,'Especificação Novos Req. LT (2'!A:A,1,FALSE),"")=A518,"Sim","Não")</f>
        <v>Sim</v>
      </c>
      <c r="AP518" s="1" t="str">
        <f>+IF(IFERROR(VLOOKUP(A518,Ficheiros!T:T,1,FALSE),"")=A518,"Sim","Não")</f>
        <v>Não</v>
      </c>
      <c r="AQ518" s="1" t="e">
        <f>+VLOOKUP(A518,Ficheiros!O:P,2,FALSE)</f>
        <v>#N/A</v>
      </c>
      <c r="AR518" s="1" t="e">
        <f>+VLOOKUP(A518,Ficheiros!R:S,3,FALSE)</f>
        <v>#N/A</v>
      </c>
      <c r="AS518" s="1" t="e">
        <f>+VLOOKUP(A518,Ficheiros!T:V,3,FALSE)</f>
        <v>#N/A</v>
      </c>
      <c r="AT518" s="1"/>
      <c r="AU518" s="1"/>
      <c r="AV518" s="1" t="s">
        <v>2534</v>
      </c>
      <c r="AW518" s="1" t="s">
        <v>2542</v>
      </c>
      <c r="AX518" s="1"/>
    </row>
    <row r="519" spans="1:50" ht="14.5" customHeight="1" x14ac:dyDescent="0.35">
      <c r="A519" s="5" t="str">
        <f t="shared" si="16"/>
        <v>PROTECTIONDT_MTRTY_INSRNC</v>
      </c>
      <c r="B519" s="1" t="s">
        <v>2194</v>
      </c>
      <c r="C519" s="1" t="s">
        <v>1952</v>
      </c>
      <c r="D519" s="1" t="s">
        <v>2182</v>
      </c>
      <c r="E519" s="1" t="s">
        <v>37</v>
      </c>
      <c r="F519" s="25" t="s">
        <v>2195</v>
      </c>
      <c r="G519" s="1" t="s">
        <v>2195</v>
      </c>
      <c r="H519" s="1" t="s">
        <v>37</v>
      </c>
      <c r="I519" s="1" t="s">
        <v>39</v>
      </c>
      <c r="J519" s="1" t="s">
        <v>39</v>
      </c>
      <c r="K519" s="1" t="s">
        <v>39</v>
      </c>
      <c r="L519" s="1" t="s">
        <v>39</v>
      </c>
      <c r="M519" s="1" t="s">
        <v>39</v>
      </c>
      <c r="N519" s="1" t="s">
        <v>39</v>
      </c>
      <c r="O519" s="1"/>
      <c r="P519" s="1"/>
      <c r="Q519" s="1"/>
      <c r="R519" s="1" t="s">
        <v>60</v>
      </c>
      <c r="S519" s="1" t="s">
        <v>61</v>
      </c>
      <c r="T519" s="1" t="s">
        <v>62</v>
      </c>
      <c r="U519" s="1" t="s">
        <v>63</v>
      </c>
      <c r="V519" s="1" t="s">
        <v>63</v>
      </c>
      <c r="W519" s="1" t="s">
        <v>2196</v>
      </c>
      <c r="X519" s="1" t="s">
        <v>2197</v>
      </c>
      <c r="Y519" s="1" t="s">
        <v>45</v>
      </c>
      <c r="Z519" s="1" t="s">
        <v>46</v>
      </c>
      <c r="AA519" s="1" t="s">
        <v>47</v>
      </c>
      <c r="AB519" s="1" t="s">
        <v>37</v>
      </c>
      <c r="AC519" s="1" t="s">
        <v>37</v>
      </c>
      <c r="AD519" s="1" t="s">
        <v>37</v>
      </c>
      <c r="AE519" s="1" t="s">
        <v>37</v>
      </c>
      <c r="AF519" s="1" t="s">
        <v>39</v>
      </c>
      <c r="AG519" s="1" t="s">
        <v>37</v>
      </c>
      <c r="AH519" s="1" t="s">
        <v>37</v>
      </c>
      <c r="AI519" s="1" t="s">
        <v>37</v>
      </c>
      <c r="AJ519" s="1" t="s">
        <v>39</v>
      </c>
      <c r="AK519" s="1" t="str">
        <f t="shared" si="17"/>
        <v>Apenas ESG Risk</v>
      </c>
      <c r="AL519" s="1" t="str">
        <f>+IF(IFERROR(VLOOKUP(A519,Ficheiros!I:I,1,FALSE),"")=A519,"Sim","Não")</f>
        <v>Não</v>
      </c>
      <c r="AM519" s="1" t="str">
        <f>+IF(IFERROR(VLOOKUP(A519,Ficheiros!E:E,1,FALSE),"")=A519,"Sim","Não")</f>
        <v>Não</v>
      </c>
      <c r="AN519" s="1" t="str">
        <f>+IF(IFERROR(VLOOKUP(A519,Ficheiros!O:O,1,FALSE),"")=A519,"Sim","Não")</f>
        <v>Não</v>
      </c>
      <c r="AO519" s="1" t="str">
        <f>+IF(IFERROR(VLOOKUP(A519,'Especificação Novos Req. LT (2'!A:A,1,FALSE),"")=A519,"Sim","Não")</f>
        <v>Sim</v>
      </c>
      <c r="AP519" s="1" t="str">
        <f>+IF(IFERROR(VLOOKUP(A519,Ficheiros!T:T,1,FALSE),"")=A519,"Sim","Não")</f>
        <v>Não</v>
      </c>
      <c r="AQ519" s="1" t="e">
        <f>+VLOOKUP(A519,Ficheiros!O:P,2,FALSE)</f>
        <v>#N/A</v>
      </c>
      <c r="AR519" s="1" t="e">
        <f>+VLOOKUP(A519,Ficheiros!R:S,3,FALSE)</f>
        <v>#N/A</v>
      </c>
      <c r="AS519" s="1" t="e">
        <f>+VLOOKUP(A519,Ficheiros!T:V,3,FALSE)</f>
        <v>#N/A</v>
      </c>
      <c r="AT519" s="1"/>
      <c r="AU519" s="1"/>
      <c r="AV519" s="1" t="s">
        <v>2534</v>
      </c>
      <c r="AW519" s="1" t="s">
        <v>2542</v>
      </c>
      <c r="AX519" s="1"/>
    </row>
    <row r="520" spans="1:50" ht="14.5" customHeight="1" x14ac:dyDescent="0.35">
      <c r="A520" s="5" t="str">
        <f t="shared" si="16"/>
        <v>PROTECTIONFLG_FRST_HM</v>
      </c>
      <c r="B520" s="1" t="s">
        <v>2198</v>
      </c>
      <c r="C520" s="1" t="s">
        <v>1952</v>
      </c>
      <c r="D520" s="1" t="s">
        <v>2182</v>
      </c>
      <c r="E520" s="1" t="s">
        <v>37</v>
      </c>
      <c r="F520" s="25" t="s">
        <v>2199</v>
      </c>
      <c r="G520" s="1" t="s">
        <v>2199</v>
      </c>
      <c r="H520" s="1" t="s">
        <v>37</v>
      </c>
      <c r="I520" s="1" t="s">
        <v>37</v>
      </c>
      <c r="J520" s="1" t="s">
        <v>37</v>
      </c>
      <c r="K520" s="1" t="s">
        <v>37</v>
      </c>
      <c r="L520" s="1" t="s">
        <v>37</v>
      </c>
      <c r="M520" s="1" t="s">
        <v>37</v>
      </c>
      <c r="N520" s="1" t="s">
        <v>39</v>
      </c>
      <c r="O520" s="1"/>
      <c r="P520" s="1"/>
      <c r="Q520" s="1"/>
      <c r="R520" s="1" t="s">
        <v>141</v>
      </c>
      <c r="S520" s="1" t="s">
        <v>142</v>
      </c>
      <c r="T520" s="1" t="s">
        <v>53</v>
      </c>
      <c r="U520" s="1" t="s">
        <v>42</v>
      </c>
      <c r="V520" s="1" t="s">
        <v>46</v>
      </c>
      <c r="W520" s="1" t="s">
        <v>2200</v>
      </c>
      <c r="X520" s="1" t="s">
        <v>2201</v>
      </c>
      <c r="Y520" s="1" t="s">
        <v>45</v>
      </c>
      <c r="Z520" s="1" t="s">
        <v>46</v>
      </c>
      <c r="AA520" s="1" t="s">
        <v>47</v>
      </c>
      <c r="AB520" s="1" t="s">
        <v>37</v>
      </c>
      <c r="AC520" s="1" t="s">
        <v>37</v>
      </c>
      <c r="AD520" s="1" t="s">
        <v>37</v>
      </c>
      <c r="AE520" s="1" t="s">
        <v>37</v>
      </c>
      <c r="AF520" s="1" t="s">
        <v>39</v>
      </c>
      <c r="AG520" s="1" t="s">
        <v>37</v>
      </c>
      <c r="AH520" s="1" t="s">
        <v>37</v>
      </c>
      <c r="AI520" s="1" t="s">
        <v>37</v>
      </c>
      <c r="AJ520" s="1" t="s">
        <v>39</v>
      </c>
      <c r="AK520" s="1" t="str">
        <f t="shared" si="17"/>
        <v>Apenas ESG Risk</v>
      </c>
      <c r="AL520" s="1" t="str">
        <f>+IF(IFERROR(VLOOKUP(A520,Ficheiros!I:I,1,FALSE),"")=A520,"Sim","Não")</f>
        <v>Não</v>
      </c>
      <c r="AM520" s="1" t="str">
        <f>+IF(IFERROR(VLOOKUP(A520,Ficheiros!E:E,1,FALSE),"")=A520,"Sim","Não")</f>
        <v>Não</v>
      </c>
      <c r="AN520" s="1" t="str">
        <f>+IF(IFERROR(VLOOKUP(A520,Ficheiros!O:O,1,FALSE),"")=A520,"Sim","Não")</f>
        <v>Não</v>
      </c>
      <c r="AO520" s="1" t="str">
        <f>+IF(IFERROR(VLOOKUP(A520,'Especificação Novos Req. LT (2'!A:A,1,FALSE),"")=A520,"Sim","Não")</f>
        <v>Sim</v>
      </c>
      <c r="AP520" s="1" t="str">
        <f>+IF(IFERROR(VLOOKUP(A520,Ficheiros!T:T,1,FALSE),"")=A520,"Sim","Não")</f>
        <v>Não</v>
      </c>
      <c r="AQ520" s="1" t="e">
        <f>+VLOOKUP(A520,Ficheiros!O:P,2,FALSE)</f>
        <v>#N/A</v>
      </c>
      <c r="AR520" s="1" t="e">
        <f>+VLOOKUP(A520,Ficheiros!R:S,3,FALSE)</f>
        <v>#N/A</v>
      </c>
      <c r="AS520" s="1" t="e">
        <f>+VLOOKUP(A520,Ficheiros!T:V,3,FALSE)</f>
        <v>#N/A</v>
      </c>
      <c r="AT520" s="1"/>
      <c r="AU520" s="1"/>
      <c r="AV520" s="1" t="s">
        <v>2534</v>
      </c>
      <c r="AW520" s="1" t="s">
        <v>2542</v>
      </c>
      <c r="AX520" s="1"/>
    </row>
    <row r="521" spans="1:50" ht="14.5" hidden="1" customHeight="1" x14ac:dyDescent="0.35">
      <c r="A521" s="5" t="str">
        <f t="shared" si="16"/>
        <v>PROTECTIONYR_CNSTRCTN</v>
      </c>
      <c r="B521" s="1" t="s">
        <v>2202</v>
      </c>
      <c r="C521" s="1" t="s">
        <v>1952</v>
      </c>
      <c r="D521" s="1" t="s">
        <v>2072</v>
      </c>
      <c r="E521" s="1" t="s">
        <v>37</v>
      </c>
      <c r="F521" s="25" t="s">
        <v>2203</v>
      </c>
      <c r="G521" s="1" t="s">
        <v>2203</v>
      </c>
      <c r="H521" s="1" t="s">
        <v>37</v>
      </c>
      <c r="I521" s="1" t="s">
        <v>39</v>
      </c>
      <c r="J521" s="1" t="s">
        <v>39</v>
      </c>
      <c r="K521" s="1" t="s">
        <v>39</v>
      </c>
      <c r="L521" s="1" t="s">
        <v>39</v>
      </c>
      <c r="M521" s="1" t="s">
        <v>39</v>
      </c>
      <c r="N521" s="1" t="s">
        <v>39</v>
      </c>
      <c r="O521" s="1"/>
      <c r="P521" s="1"/>
      <c r="Q521" s="1"/>
      <c r="R521" s="1" t="s">
        <v>623</v>
      </c>
      <c r="S521" s="1" t="s">
        <v>624</v>
      </c>
      <c r="T521" s="1">
        <v>99999999999</v>
      </c>
      <c r="U521" s="1">
        <v>11111111111</v>
      </c>
      <c r="V521" s="1">
        <v>11111111111</v>
      </c>
      <c r="W521" s="1" t="s">
        <v>2204</v>
      </c>
      <c r="X521" s="1" t="s">
        <v>2205</v>
      </c>
      <c r="Y521" s="1" t="s">
        <v>45</v>
      </c>
      <c r="Z521" s="1" t="s">
        <v>46</v>
      </c>
      <c r="AA521" s="1" t="s">
        <v>47</v>
      </c>
      <c r="AB521" s="1" t="s">
        <v>39</v>
      </c>
      <c r="AC521" s="1" t="s">
        <v>37</v>
      </c>
      <c r="AD521" s="1" t="s">
        <v>39</v>
      </c>
      <c r="AE521" s="1" t="s">
        <v>37</v>
      </c>
      <c r="AF521" s="1" t="s">
        <v>39</v>
      </c>
      <c r="AG521" s="1" t="s">
        <v>37</v>
      </c>
      <c r="AH521" s="1" t="s">
        <v>37</v>
      </c>
      <c r="AI521" s="1" t="s">
        <v>39</v>
      </c>
      <c r="AJ521" s="1" t="s">
        <v>39</v>
      </c>
      <c r="AK521" s="1" t="str">
        <f t="shared" si="17"/>
        <v>Comum</v>
      </c>
      <c r="AL521" s="1" t="str">
        <f>+IF(IFERROR(VLOOKUP(A521,Ficheiros!I:I,1,FALSE),"")=A521,"Sim","Não")</f>
        <v>Sim</v>
      </c>
      <c r="AM521" s="1" t="str">
        <f>+IF(IFERROR(VLOOKUP(A521,Ficheiros!E:E,1,FALSE),"")=A521,"Sim","Não")</f>
        <v>Não</v>
      </c>
      <c r="AN521" s="1" t="str">
        <f>+IF(IFERROR(VLOOKUP(A521,Ficheiros!O:O,1,FALSE),"")=A521,"Sim","Não")</f>
        <v>Não</v>
      </c>
      <c r="AO521" s="1" t="str">
        <f>+IF(IFERROR(VLOOKUP(A521,'Especificação Novos Req. LT (2'!A:A,1,FALSE),"")=A521,"Sim","Não")</f>
        <v>Sim</v>
      </c>
      <c r="AP521" s="1" t="str">
        <f>+IF(IFERROR(VLOOKUP(A521,Ficheiros!T:T,1,FALSE),"")=A521,"Sim","Não")</f>
        <v>Sim</v>
      </c>
      <c r="AQ521" s="1" t="e">
        <f>+VLOOKUP(A521,Ficheiros!O:P,2,FALSE)</f>
        <v>#N/A</v>
      </c>
      <c r="AR521" s="1" t="str">
        <f>+VLOOKUP(A521,Ficheiros!T:U,2,FALSE)</f>
        <v>1. Especificar</v>
      </c>
      <c r="AS521" s="1" t="str">
        <f>+VLOOKUP(A521,Ficheiros!T:V,3,FALSE)</f>
        <v>PM</v>
      </c>
      <c r="AT521" s="1"/>
      <c r="AU521" s="1"/>
      <c r="AV521" s="1" t="s">
        <v>2535</v>
      </c>
      <c r="AW521" s="1"/>
      <c r="AX521" s="1"/>
    </row>
    <row r="522" spans="1:50" ht="14.5" hidden="1" customHeight="1" x14ac:dyDescent="0.35">
      <c r="A522" s="5" t="str">
        <f t="shared" si="16"/>
        <v>PROTECTIONBLDNG_AR</v>
      </c>
      <c r="B522" s="1" t="s">
        <v>2206</v>
      </c>
      <c r="C522" s="1" t="s">
        <v>1952</v>
      </c>
      <c r="D522" s="1" t="s">
        <v>2072</v>
      </c>
      <c r="E522" s="1" t="s">
        <v>37</v>
      </c>
      <c r="F522" s="25" t="s">
        <v>2207</v>
      </c>
      <c r="G522" s="1" t="s">
        <v>2207</v>
      </c>
      <c r="H522" s="1" t="s">
        <v>37</v>
      </c>
      <c r="I522" s="1" t="s">
        <v>39</v>
      </c>
      <c r="J522" s="1" t="s">
        <v>39</v>
      </c>
      <c r="K522" s="1" t="s">
        <v>39</v>
      </c>
      <c r="L522" s="1" t="s">
        <v>39</v>
      </c>
      <c r="M522" s="1" t="s">
        <v>39</v>
      </c>
      <c r="N522" s="1" t="s">
        <v>39</v>
      </c>
      <c r="O522" s="1"/>
      <c r="P522" s="1"/>
      <c r="Q522" s="1"/>
      <c r="R522" s="1" t="s">
        <v>342</v>
      </c>
      <c r="S522" s="1" t="s">
        <v>274</v>
      </c>
      <c r="T522" s="1">
        <v>99999999999</v>
      </c>
      <c r="U522" s="1">
        <v>11111111111</v>
      </c>
      <c r="V522" s="1">
        <v>11111111111</v>
      </c>
      <c r="W522" s="1" t="s">
        <v>2208</v>
      </c>
      <c r="X522" s="1" t="s">
        <v>2209</v>
      </c>
      <c r="Y522" s="1" t="s">
        <v>45</v>
      </c>
      <c r="Z522" s="1" t="s">
        <v>46</v>
      </c>
      <c r="AA522" s="1" t="s">
        <v>47</v>
      </c>
      <c r="AB522" s="1" t="s">
        <v>37</v>
      </c>
      <c r="AC522" s="1" t="s">
        <v>37</v>
      </c>
      <c r="AD522" s="1" t="s">
        <v>39</v>
      </c>
      <c r="AE522" s="1" t="s">
        <v>37</v>
      </c>
      <c r="AF522" s="1" t="s">
        <v>39</v>
      </c>
      <c r="AG522" s="1" t="s">
        <v>37</v>
      </c>
      <c r="AH522" s="1" t="s">
        <v>37</v>
      </c>
      <c r="AI522" s="1" t="s">
        <v>39</v>
      </c>
      <c r="AJ522" s="1" t="s">
        <v>39</v>
      </c>
      <c r="AK522" s="1" t="str">
        <f t="shared" si="17"/>
        <v>Comum</v>
      </c>
      <c r="AL522" s="1" t="str">
        <f>+IF(IFERROR(VLOOKUP(A522,Ficheiros!I:I,1,FALSE),"")=A522,"Sim","Não")</f>
        <v>Não</v>
      </c>
      <c r="AM522" s="1" t="str">
        <f>+IF(IFERROR(VLOOKUP(A522,Ficheiros!E:E,1,FALSE),"")=A522,"Sim","Não")</f>
        <v>Não</v>
      </c>
      <c r="AN522" s="1" t="str">
        <f>+IF(IFERROR(VLOOKUP(A522,Ficheiros!O:O,1,FALSE),"")=A522,"Sim","Não")</f>
        <v>Não</v>
      </c>
      <c r="AO522" s="1" t="str">
        <f>+IF(IFERROR(VLOOKUP(A522,'Especificação Novos Req. LT (2'!A:A,1,FALSE),"")=A522,"Sim","Não")</f>
        <v>Sim</v>
      </c>
      <c r="AP522" s="1" t="str">
        <f>+IF(IFERROR(VLOOKUP(A522,Ficheiros!T:T,1,FALSE),"")=A522,"Sim","Não")</f>
        <v>Não</v>
      </c>
      <c r="AQ522" s="1" t="e">
        <f>+VLOOKUP(A522,Ficheiros!O:P,2,FALSE)</f>
        <v>#N/A</v>
      </c>
      <c r="AR522" s="1" t="e">
        <f>+VLOOKUP(A522,Ficheiros!R:S,3,FALSE)</f>
        <v>#N/A</v>
      </c>
      <c r="AS522" s="1" t="e">
        <f>+VLOOKUP(A522,Ficheiros!T:V,3,FALSE)</f>
        <v>#N/A</v>
      </c>
      <c r="AT522" s="1"/>
      <c r="AU522" s="1"/>
      <c r="AV522" s="1" t="s">
        <v>2535</v>
      </c>
      <c r="AW522" s="1"/>
      <c r="AX522" s="1"/>
    </row>
    <row r="523" spans="1:50" ht="14.5" hidden="1" customHeight="1" x14ac:dyDescent="0.35">
      <c r="A523" s="5" t="str">
        <f t="shared" si="16"/>
        <v>PROTECTIONLND_AR</v>
      </c>
      <c r="B523" s="1" t="s">
        <v>2210</v>
      </c>
      <c r="C523" s="1" t="s">
        <v>1952</v>
      </c>
      <c r="D523" s="1" t="s">
        <v>2072</v>
      </c>
      <c r="E523" s="1" t="s">
        <v>37</v>
      </c>
      <c r="F523" s="25" t="s">
        <v>2211</v>
      </c>
      <c r="G523" s="1" t="s">
        <v>2211</v>
      </c>
      <c r="H523" s="1" t="s">
        <v>37</v>
      </c>
      <c r="I523" s="1" t="s">
        <v>39</v>
      </c>
      <c r="J523" s="1" t="s">
        <v>39</v>
      </c>
      <c r="K523" s="1" t="s">
        <v>39</v>
      </c>
      <c r="L523" s="1" t="s">
        <v>39</v>
      </c>
      <c r="M523" s="1" t="s">
        <v>39</v>
      </c>
      <c r="N523" s="1" t="s">
        <v>39</v>
      </c>
      <c r="O523" s="1"/>
      <c r="P523" s="1"/>
      <c r="Q523" s="1"/>
      <c r="R523" s="1" t="s">
        <v>342</v>
      </c>
      <c r="S523" s="1" t="s">
        <v>274</v>
      </c>
      <c r="T523" s="1">
        <v>99999999999</v>
      </c>
      <c r="U523" s="1">
        <v>11111111111</v>
      </c>
      <c r="V523" s="1">
        <v>11111111111</v>
      </c>
      <c r="W523" s="1" t="s">
        <v>2212</v>
      </c>
      <c r="X523" s="1" t="s">
        <v>2213</v>
      </c>
      <c r="Y523" s="1" t="s">
        <v>45</v>
      </c>
      <c r="Z523" s="1" t="s">
        <v>46</v>
      </c>
      <c r="AA523" s="1" t="s">
        <v>47</v>
      </c>
      <c r="AB523" s="1" t="s">
        <v>39</v>
      </c>
      <c r="AC523" s="1" t="s">
        <v>37</v>
      </c>
      <c r="AD523" s="1" t="s">
        <v>37</v>
      </c>
      <c r="AE523" s="1" t="s">
        <v>37</v>
      </c>
      <c r="AF523" s="1" t="s">
        <v>37</v>
      </c>
      <c r="AG523" s="1" t="s">
        <v>37</v>
      </c>
      <c r="AH523" s="1" t="s">
        <v>37</v>
      </c>
      <c r="AI523" s="1" t="s">
        <v>37</v>
      </c>
      <c r="AJ523" s="1" t="s">
        <v>39</v>
      </c>
      <c r="AK523" s="1" t="str">
        <f t="shared" si="17"/>
        <v>Fora de âmbito</v>
      </c>
      <c r="AL523" s="1" t="str">
        <f>+IF(IFERROR(VLOOKUP(A523,Ficheiros!I:I,1,FALSE),"")=A523,"Sim","Não")</f>
        <v>Não</v>
      </c>
      <c r="AM523" s="1" t="str">
        <f>+IF(IFERROR(VLOOKUP(A523,Ficheiros!E:E,1,FALSE),"")=A523,"Sim","Não")</f>
        <v>Não</v>
      </c>
      <c r="AN523" s="1" t="str">
        <f>+IF(IFERROR(VLOOKUP(A523,Ficheiros!O:O,1,FALSE),"")=A523,"Sim","Não")</f>
        <v>Não</v>
      </c>
      <c r="AO523" s="1" t="str">
        <f>+IF(IFERROR(VLOOKUP(A523,'Especificação Novos Req. LT (2'!A:A,1,FALSE),"")=A523,"Sim","Não")</f>
        <v>Não</v>
      </c>
      <c r="AP523" s="1" t="str">
        <f>+IF(IFERROR(VLOOKUP(A523,Ficheiros!T:T,1,FALSE),"")=A523,"Sim","Não")</f>
        <v>Sim</v>
      </c>
      <c r="AQ523" s="1" t="e">
        <f>+VLOOKUP(A523,Ficheiros!O:P,2,FALSE)</f>
        <v>#N/A</v>
      </c>
      <c r="AR523" s="1" t="str">
        <f>+VLOOKUP(A523,Ficheiros!T:U,2,FALSE)</f>
        <v>1. Especificar</v>
      </c>
      <c r="AS523" s="1" t="str">
        <f>+VLOOKUP(A523,Ficheiros!T:V,3,FALSE)</f>
        <v>PM - Novos Campos</v>
      </c>
      <c r="AT523" s="1"/>
      <c r="AU523" s="1"/>
      <c r="AV523" s="1"/>
      <c r="AW523" s="1"/>
      <c r="AX523" s="1"/>
    </row>
    <row r="524" spans="1:50" ht="14.5" hidden="1" customHeight="1" x14ac:dyDescent="0.35">
      <c r="A524" s="5" t="str">
        <f t="shared" si="16"/>
        <v>PROTECTIONLN_PSTN</v>
      </c>
      <c r="B524" s="1" t="s">
        <v>2214</v>
      </c>
      <c r="C524" s="1" t="s">
        <v>1952</v>
      </c>
      <c r="D524" s="1" t="s">
        <v>2072</v>
      </c>
      <c r="E524" s="1" t="s">
        <v>37</v>
      </c>
      <c r="F524" s="25" t="s">
        <v>2215</v>
      </c>
      <c r="G524" s="1" t="s">
        <v>2215</v>
      </c>
      <c r="H524" s="1" t="s">
        <v>37</v>
      </c>
      <c r="I524" s="1" t="s">
        <v>37</v>
      </c>
      <c r="J524" s="1" t="s">
        <v>37</v>
      </c>
      <c r="K524" s="1" t="s">
        <v>37</v>
      </c>
      <c r="L524" s="1" t="s">
        <v>37</v>
      </c>
      <c r="M524" s="1" t="s">
        <v>39</v>
      </c>
      <c r="N524" s="1" t="s">
        <v>39</v>
      </c>
      <c r="O524" s="1"/>
      <c r="P524" s="1"/>
      <c r="Q524" s="1"/>
      <c r="R524" s="1" t="s">
        <v>623</v>
      </c>
      <c r="S524" s="1" t="s">
        <v>624</v>
      </c>
      <c r="T524" s="1">
        <v>99999999999</v>
      </c>
      <c r="U524" s="1">
        <v>11111111111</v>
      </c>
      <c r="V524" s="1">
        <v>11111111111</v>
      </c>
      <c r="W524" s="1" t="s">
        <v>2216</v>
      </c>
      <c r="X524" s="1" t="s">
        <v>2217</v>
      </c>
      <c r="Y524" s="1" t="s">
        <v>45</v>
      </c>
      <c r="Z524" s="1" t="s">
        <v>46</v>
      </c>
      <c r="AA524" s="1" t="s">
        <v>47</v>
      </c>
      <c r="AB524" s="1" t="s">
        <v>39</v>
      </c>
      <c r="AC524" s="1" t="s">
        <v>37</v>
      </c>
      <c r="AD524" s="1" t="s">
        <v>37</v>
      </c>
      <c r="AE524" s="1" t="s">
        <v>37</v>
      </c>
      <c r="AF524" s="1" t="s">
        <v>37</v>
      </c>
      <c r="AG524" s="1" t="s">
        <v>37</v>
      </c>
      <c r="AH524" s="1" t="s">
        <v>37</v>
      </c>
      <c r="AI524" s="1" t="s">
        <v>37</v>
      </c>
      <c r="AJ524" s="1" t="s">
        <v>39</v>
      </c>
      <c r="AK524" s="1" t="str">
        <f t="shared" si="17"/>
        <v>Fora de âmbito</v>
      </c>
      <c r="AL524" s="1" t="str">
        <f>+IF(IFERROR(VLOOKUP(A524,Ficheiros!I:I,1,FALSE),"")=A524,"Sim","Não")</f>
        <v>Não</v>
      </c>
      <c r="AM524" s="1" t="str">
        <f>+IF(IFERROR(VLOOKUP(A524,Ficheiros!E:E,1,FALSE),"")=A524,"Sim","Não")</f>
        <v>Não</v>
      </c>
      <c r="AN524" s="1" t="str">
        <f>+IF(IFERROR(VLOOKUP(A524,Ficheiros!O:O,1,FALSE),"")=A524,"Sim","Não")</f>
        <v>Não</v>
      </c>
      <c r="AO524" s="1" t="str">
        <f>+IF(IFERROR(VLOOKUP(A524,'Especificação Novos Req. LT (2'!A:A,1,FALSE),"")=A524,"Sim","Não")</f>
        <v>Não</v>
      </c>
      <c r="AP524" s="1" t="str">
        <f>+IF(IFERROR(VLOOKUP(A524,Ficheiros!T:T,1,FALSE),"")=A524,"Sim","Não")</f>
        <v>Sim</v>
      </c>
      <c r="AQ524" s="1" t="e">
        <f>+VLOOKUP(A524,Ficheiros!O:P,2,FALSE)</f>
        <v>#N/A</v>
      </c>
      <c r="AR524" s="1" t="str">
        <f>+VLOOKUP(A524,Ficheiros!T:U,2,FALSE)</f>
        <v>1. Especificar</v>
      </c>
      <c r="AS524" s="1" t="str">
        <f>+VLOOKUP(A524,Ficheiros!T:V,3,FALSE)</f>
        <v>PM - Novos Campos</v>
      </c>
      <c r="AT524" s="1"/>
      <c r="AU524" s="1"/>
      <c r="AV524" s="1"/>
      <c r="AW524" s="1"/>
      <c r="AX524" s="1"/>
    </row>
    <row r="525" spans="1:50" ht="14.5" customHeight="1" x14ac:dyDescent="0.35">
      <c r="A525" s="5" t="str">
        <f t="shared" si="16"/>
        <v>PROTECTIONRL_ESTT_CRTFCTN</v>
      </c>
      <c r="B525" s="1" t="s">
        <v>2218</v>
      </c>
      <c r="C525" s="1" t="s">
        <v>1952</v>
      </c>
      <c r="D525" s="1" t="s">
        <v>2117</v>
      </c>
      <c r="E525" s="1" t="s">
        <v>37</v>
      </c>
      <c r="F525" s="26" t="s">
        <v>2219</v>
      </c>
      <c r="G525" s="1" t="s">
        <v>2219</v>
      </c>
      <c r="H525" s="1" t="s">
        <v>37</v>
      </c>
      <c r="I525" s="1" t="s">
        <v>39</v>
      </c>
      <c r="J525" s="1" t="s">
        <v>39</v>
      </c>
      <c r="K525" s="1" t="s">
        <v>39</v>
      </c>
      <c r="L525" s="1" t="s">
        <v>39</v>
      </c>
      <c r="M525" s="1" t="s">
        <v>39</v>
      </c>
      <c r="N525" s="1" t="s">
        <v>39</v>
      </c>
      <c r="O525" s="1"/>
      <c r="P525" s="1"/>
      <c r="Q525" s="1"/>
      <c r="R525" s="1" t="s">
        <v>136</v>
      </c>
      <c r="S525" s="1" t="s">
        <v>52</v>
      </c>
      <c r="T525" s="1" t="s">
        <v>53</v>
      </c>
      <c r="U525" s="1" t="s">
        <v>46</v>
      </c>
      <c r="V525" s="1" t="s">
        <v>46</v>
      </c>
      <c r="W525" s="1" t="s">
        <v>2220</v>
      </c>
      <c r="X525" s="1" t="s">
        <v>2221</v>
      </c>
      <c r="Y525" s="1" t="s">
        <v>45</v>
      </c>
      <c r="Z525" s="1" t="s">
        <v>46</v>
      </c>
      <c r="AA525" s="1" t="s">
        <v>47</v>
      </c>
      <c r="AB525" s="1" t="s">
        <v>37</v>
      </c>
      <c r="AC525" s="1" t="s">
        <v>37</v>
      </c>
      <c r="AD525" s="1" t="s">
        <v>39</v>
      </c>
      <c r="AE525" s="1" t="s">
        <v>37</v>
      </c>
      <c r="AF525" s="1" t="s">
        <v>39</v>
      </c>
      <c r="AG525" s="1" t="s">
        <v>37</v>
      </c>
      <c r="AH525" s="1" t="s">
        <v>37</v>
      </c>
      <c r="AI525" s="1" t="s">
        <v>39</v>
      </c>
      <c r="AJ525" s="1" t="s">
        <v>39</v>
      </c>
      <c r="AK525" s="1" t="str">
        <f t="shared" si="17"/>
        <v>Comum</v>
      </c>
      <c r="AL525" s="1" t="str">
        <f>+IF(IFERROR(VLOOKUP(A525,Ficheiros!I:I,1,FALSE),"")=A525,"Sim","Não")</f>
        <v>Não</v>
      </c>
      <c r="AM525" s="1" t="str">
        <f>+IF(IFERROR(VLOOKUP(A525,Ficheiros!E:E,1,FALSE),"")=A525,"Sim","Não")</f>
        <v>Não</v>
      </c>
      <c r="AN525" s="1" t="str">
        <f>+IF(IFERROR(VLOOKUP(A525,Ficheiros!O:O,1,FALSE),"")=A525,"Sim","Não")</f>
        <v>Não</v>
      </c>
      <c r="AO525" s="1" t="str">
        <f>+IF(IFERROR(VLOOKUP(A525,'Especificação Novos Req. LT (2'!A:A,1,FALSE),"")=A525,"Sim","Não")</f>
        <v>Sim</v>
      </c>
      <c r="AP525" s="1" t="str">
        <f>+IF(IFERROR(VLOOKUP(A525,Ficheiros!T:T,1,FALSE),"")=A525,"Sim","Não")</f>
        <v>Não</v>
      </c>
      <c r="AQ525" s="1" t="e">
        <f>+VLOOKUP(A525,Ficheiros!O:P,2,FALSE)</f>
        <v>#N/A</v>
      </c>
      <c r="AR525" s="1" t="e">
        <f>+VLOOKUP(A525,Ficheiros!R:S,3,FALSE)</f>
        <v>#N/A</v>
      </c>
      <c r="AS525" s="1" t="e">
        <f>+VLOOKUP(A525,Ficheiros!T:V,3,FALSE)</f>
        <v>#N/A</v>
      </c>
      <c r="AT525" s="1"/>
      <c r="AU525" s="1"/>
      <c r="AV525" s="1" t="s">
        <v>2534</v>
      </c>
      <c r="AW525" s="1" t="s">
        <v>2542</v>
      </c>
      <c r="AX525" s="1"/>
    </row>
    <row r="526" spans="1:50" ht="14.5" hidden="1" customHeight="1" x14ac:dyDescent="0.35">
      <c r="A526" s="5" t="str">
        <f t="shared" si="16"/>
        <v>PROTECTIONTYP_VHCL</v>
      </c>
      <c r="B526" s="1" t="s">
        <v>2222</v>
      </c>
      <c r="C526" s="1" t="s">
        <v>1952</v>
      </c>
      <c r="D526" s="1" t="s">
        <v>2072</v>
      </c>
      <c r="E526" s="1" t="s">
        <v>37</v>
      </c>
      <c r="F526" s="26" t="s">
        <v>2223</v>
      </c>
      <c r="G526" s="1" t="s">
        <v>2223</v>
      </c>
      <c r="H526" s="1" t="s">
        <v>37</v>
      </c>
      <c r="I526" s="1" t="s">
        <v>39</v>
      </c>
      <c r="J526" s="1" t="s">
        <v>39</v>
      </c>
      <c r="K526" s="1" t="s">
        <v>39</v>
      </c>
      <c r="L526" s="1" t="s">
        <v>39</v>
      </c>
      <c r="M526" s="1" t="s">
        <v>39</v>
      </c>
      <c r="N526" s="1" t="s">
        <v>39</v>
      </c>
      <c r="O526" s="1"/>
      <c r="P526" s="1"/>
      <c r="Q526" s="1"/>
      <c r="R526" s="1" t="s">
        <v>136</v>
      </c>
      <c r="S526" s="1" t="s">
        <v>52</v>
      </c>
      <c r="T526" s="1" t="s">
        <v>53</v>
      </c>
      <c r="U526" s="1" t="s">
        <v>46</v>
      </c>
      <c r="V526" s="1" t="s">
        <v>46</v>
      </c>
      <c r="W526" s="1" t="s">
        <v>2224</v>
      </c>
      <c r="X526" s="1" t="s">
        <v>2224</v>
      </c>
      <c r="Y526" s="1" t="s">
        <v>45</v>
      </c>
      <c r="Z526" s="1" t="s">
        <v>46</v>
      </c>
      <c r="AA526" s="1" t="s">
        <v>47</v>
      </c>
      <c r="AB526" s="1" t="s">
        <v>37</v>
      </c>
      <c r="AC526" s="1" t="s">
        <v>39</v>
      </c>
      <c r="AD526" s="1" t="s">
        <v>39</v>
      </c>
      <c r="AE526" s="1" t="s">
        <v>37</v>
      </c>
      <c r="AF526" s="1" t="s">
        <v>39</v>
      </c>
      <c r="AG526" s="1" t="s">
        <v>37</v>
      </c>
      <c r="AH526" s="1" t="s">
        <v>39</v>
      </c>
      <c r="AI526" s="1" t="s">
        <v>39</v>
      </c>
      <c r="AJ526" s="1" t="s">
        <v>39</v>
      </c>
      <c r="AK526" s="1" t="str">
        <f t="shared" si="17"/>
        <v>Comum</v>
      </c>
      <c r="AL526" s="1" t="str">
        <f>+IF(IFERROR(VLOOKUP(A526,Ficheiros!I:I,1,FALSE),"")=A526,"Sim","Não")</f>
        <v>Não</v>
      </c>
      <c r="AM526" s="1" t="str">
        <f>+IF(IFERROR(VLOOKUP(A526,Ficheiros!E:E,1,FALSE),"")=A526,"Sim","Não")</f>
        <v>Não</v>
      </c>
      <c r="AN526" s="1" t="str">
        <f>+IF(IFERROR(VLOOKUP(A526,Ficheiros!O:O,1,FALSE),"")=A526,"Sim","Não")</f>
        <v>Não</v>
      </c>
      <c r="AO526" s="1" t="str">
        <f>+IF(IFERROR(VLOOKUP(A526,'Especificação Novos Req. LT (2'!A:A,1,FALSE),"")=A526,"Sim","Não")</f>
        <v>Sim</v>
      </c>
      <c r="AP526" s="1" t="str">
        <f>+IF(IFERROR(VLOOKUP(A526,Ficheiros!T:T,1,FALSE),"")=A526,"Sim","Não")</f>
        <v>Não</v>
      </c>
      <c r="AQ526" s="1" t="e">
        <f>+VLOOKUP(A526,Ficheiros!O:P,2,FALSE)</f>
        <v>#N/A</v>
      </c>
      <c r="AR526" s="1" t="e">
        <f>+VLOOKUP(A526,Ficheiros!R:S,3,FALSE)</f>
        <v>#N/A</v>
      </c>
      <c r="AS526" s="1" t="e">
        <f>+VLOOKUP(A526,Ficheiros!T:V,3,FALSE)</f>
        <v>#N/A</v>
      </c>
      <c r="AT526" s="1"/>
      <c r="AU526" s="1"/>
      <c r="AV526" s="1" t="s">
        <v>2536</v>
      </c>
      <c r="AW526" s="1"/>
      <c r="AX526" s="1"/>
    </row>
    <row r="527" spans="1:50" ht="14.5" customHeight="1" x14ac:dyDescent="0.35">
      <c r="A527" s="5" t="str">
        <f t="shared" si="16"/>
        <v>PROTECTIONDT_RGSTRTN</v>
      </c>
      <c r="B527" s="1" t="s">
        <v>2225</v>
      </c>
      <c r="C527" s="1" t="s">
        <v>1952</v>
      </c>
      <c r="D527" s="1" t="s">
        <v>2072</v>
      </c>
      <c r="E527" s="1" t="s">
        <v>37</v>
      </c>
      <c r="F527" s="25" t="s">
        <v>2226</v>
      </c>
      <c r="G527" s="1" t="s">
        <v>2226</v>
      </c>
      <c r="H527" s="1" t="s">
        <v>37</v>
      </c>
      <c r="I527" s="1" t="s">
        <v>39</v>
      </c>
      <c r="J527" s="1" t="s">
        <v>39</v>
      </c>
      <c r="K527" s="1" t="s">
        <v>39</v>
      </c>
      <c r="L527" s="1" t="s">
        <v>39</v>
      </c>
      <c r="M527" s="1" t="s">
        <v>39</v>
      </c>
      <c r="N527" s="1" t="s">
        <v>39</v>
      </c>
      <c r="O527" s="1"/>
      <c r="P527" s="1"/>
      <c r="Q527" s="1"/>
      <c r="R527" s="1" t="s">
        <v>60</v>
      </c>
      <c r="S527" s="1" t="s">
        <v>61</v>
      </c>
      <c r="T527" s="1" t="s">
        <v>62</v>
      </c>
      <c r="U527" s="1" t="s">
        <v>63</v>
      </c>
      <c r="V527" s="1" t="s">
        <v>63</v>
      </c>
      <c r="W527" s="1" t="s">
        <v>2227</v>
      </c>
      <c r="X527" s="1" t="s">
        <v>2228</v>
      </c>
      <c r="Y527" s="1" t="s">
        <v>45</v>
      </c>
      <c r="Z527" s="1" t="s">
        <v>46</v>
      </c>
      <c r="AA527" s="1" t="s">
        <v>47</v>
      </c>
      <c r="AB527" s="1" t="s">
        <v>37</v>
      </c>
      <c r="AC527" s="1" t="s">
        <v>37</v>
      </c>
      <c r="AD527" s="1" t="s">
        <v>39</v>
      </c>
      <c r="AE527" s="1" t="s">
        <v>37</v>
      </c>
      <c r="AF527" s="1" t="s">
        <v>39</v>
      </c>
      <c r="AG527" s="1" t="s">
        <v>37</v>
      </c>
      <c r="AH527" s="1" t="s">
        <v>37</v>
      </c>
      <c r="AI527" s="1" t="s">
        <v>39</v>
      </c>
      <c r="AJ527" s="1" t="s">
        <v>39</v>
      </c>
      <c r="AK527" s="1" t="str">
        <f t="shared" si="17"/>
        <v>Comum</v>
      </c>
      <c r="AL527" s="1" t="str">
        <f>+IF(IFERROR(VLOOKUP(A527,Ficheiros!I:I,1,FALSE),"")=A527,"Sim","Não")</f>
        <v>Não</v>
      </c>
      <c r="AM527" s="1" t="str">
        <f>+IF(IFERROR(VLOOKUP(A527,Ficheiros!E:E,1,FALSE),"")=A527,"Sim","Não")</f>
        <v>Não</v>
      </c>
      <c r="AN527" s="1" t="str">
        <f>+IF(IFERROR(VLOOKUP(A527,Ficheiros!O:O,1,FALSE),"")=A527,"Sim","Não")</f>
        <v>Não</v>
      </c>
      <c r="AO527" s="1" t="str">
        <f>+IF(IFERROR(VLOOKUP(A527,'Especificação Novos Req. LT (2'!A:A,1,FALSE),"")=A527,"Sim","Não")</f>
        <v>Sim</v>
      </c>
      <c r="AP527" s="1" t="str">
        <f>+IF(IFERROR(VLOOKUP(A527,Ficheiros!T:T,1,FALSE),"")=A527,"Sim","Não")</f>
        <v>Não</v>
      </c>
      <c r="AQ527" s="1" t="e">
        <f>+VLOOKUP(A527,Ficheiros!O:P,2,FALSE)</f>
        <v>#N/A</v>
      </c>
      <c r="AR527" s="1" t="e">
        <f>+VLOOKUP(A527,Ficheiros!R:S,3,FALSE)</f>
        <v>#N/A</v>
      </c>
      <c r="AS527" s="1" t="e">
        <f>+VLOOKUP(A527,Ficheiros!T:V,3,FALSE)</f>
        <v>#N/A</v>
      </c>
      <c r="AT527" s="1"/>
      <c r="AU527" s="1"/>
      <c r="AV527" s="1" t="s">
        <v>2534</v>
      </c>
      <c r="AW527" s="1" t="s">
        <v>2542</v>
      </c>
      <c r="AX527" s="1"/>
    </row>
    <row r="528" spans="1:50" ht="14.5" hidden="1" customHeight="1" x14ac:dyDescent="0.35">
      <c r="A528" s="5" t="str">
        <f t="shared" si="16"/>
        <v>PROTECTIONPRMRY_ENRGY_DMND_NN_RNWBL</v>
      </c>
      <c r="B528" s="1" t="s">
        <v>2229</v>
      </c>
      <c r="C528" s="1" t="s">
        <v>1952</v>
      </c>
      <c r="D528" s="1" t="s">
        <v>2117</v>
      </c>
      <c r="E528" s="1" t="s">
        <v>37</v>
      </c>
      <c r="F528" s="25" t="s">
        <v>2230</v>
      </c>
      <c r="G528" s="1" t="s">
        <v>2230</v>
      </c>
      <c r="H528" s="1" t="s">
        <v>37</v>
      </c>
      <c r="I528" s="1" t="s">
        <v>39</v>
      </c>
      <c r="J528" s="1" t="s">
        <v>39</v>
      </c>
      <c r="K528" s="1" t="s">
        <v>39</v>
      </c>
      <c r="L528" s="1" t="s">
        <v>39</v>
      </c>
      <c r="M528" s="1" t="s">
        <v>39</v>
      </c>
      <c r="N528" s="1" t="s">
        <v>39</v>
      </c>
      <c r="O528" s="1"/>
      <c r="P528" s="1"/>
      <c r="Q528" s="1"/>
      <c r="R528" s="1" t="s">
        <v>342</v>
      </c>
      <c r="S528" s="1" t="s">
        <v>274</v>
      </c>
      <c r="T528" s="1">
        <v>99999999999</v>
      </c>
      <c r="U528" s="1">
        <v>11111111111</v>
      </c>
      <c r="V528" s="1">
        <v>11111111111</v>
      </c>
      <c r="W528" s="1" t="s">
        <v>2231</v>
      </c>
      <c r="X528" s="1" t="s">
        <v>2232</v>
      </c>
      <c r="Y528" s="1" t="s">
        <v>45</v>
      </c>
      <c r="Z528" s="1" t="s">
        <v>46</v>
      </c>
      <c r="AA528" s="1" t="s">
        <v>47</v>
      </c>
      <c r="AB528" s="1" t="s">
        <v>37</v>
      </c>
      <c r="AC528" s="1" t="s">
        <v>37</v>
      </c>
      <c r="AD528" s="1" t="s">
        <v>39</v>
      </c>
      <c r="AE528" s="1" t="s">
        <v>37</v>
      </c>
      <c r="AF528" s="1" t="s">
        <v>39</v>
      </c>
      <c r="AG528" s="1" t="s">
        <v>37</v>
      </c>
      <c r="AH528" s="1" t="s">
        <v>37</v>
      </c>
      <c r="AI528" s="1" t="s">
        <v>39</v>
      </c>
      <c r="AJ528" s="1" t="s">
        <v>39</v>
      </c>
      <c r="AK528" s="1" t="str">
        <f t="shared" si="17"/>
        <v>Comum</v>
      </c>
      <c r="AL528" s="1" t="str">
        <f>+IF(IFERROR(VLOOKUP(A528,Ficheiros!I:I,1,FALSE),"")=A528,"Sim","Não")</f>
        <v>Não</v>
      </c>
      <c r="AM528" s="1" t="str">
        <f>+IF(IFERROR(VLOOKUP(A528,Ficheiros!E:E,1,FALSE),"")=A528,"Sim","Não")</f>
        <v>Não</v>
      </c>
      <c r="AN528" s="1" t="str">
        <f>+IF(IFERROR(VLOOKUP(A528,Ficheiros!O:O,1,FALSE),"")=A528,"Sim","Não")</f>
        <v>Não</v>
      </c>
      <c r="AO528" s="1" t="str">
        <f>+IF(IFERROR(VLOOKUP(A528,'Especificação Novos Req. LT (2'!A:A,1,FALSE),"")=A528,"Sim","Não")</f>
        <v>Sim</v>
      </c>
      <c r="AP528" s="1" t="str">
        <f>+IF(IFERROR(VLOOKUP(A528,Ficheiros!T:T,1,FALSE),"")=A528,"Sim","Não")</f>
        <v>Não</v>
      </c>
      <c r="AQ528" s="1" t="e">
        <f>+VLOOKUP(A528,Ficheiros!O:P,2,FALSE)</f>
        <v>#N/A</v>
      </c>
      <c r="AR528" s="1" t="e">
        <f>+VLOOKUP(A528,Ficheiros!R:S,3,FALSE)</f>
        <v>#N/A</v>
      </c>
      <c r="AS528" s="1" t="e">
        <f>+VLOOKUP(A528,Ficheiros!T:V,3,FALSE)</f>
        <v>#N/A</v>
      </c>
      <c r="AT528" s="1"/>
      <c r="AU528" s="1"/>
      <c r="AV528" s="1" t="s">
        <v>2535</v>
      </c>
      <c r="AW528" s="1"/>
      <c r="AX528" s="1"/>
    </row>
    <row r="529" spans="1:50" ht="14.5" hidden="1" customHeight="1" x14ac:dyDescent="0.35">
      <c r="A529" s="5" t="str">
        <f t="shared" si="16"/>
        <v>PROTECTIONPRMRY_ENRGY_DMND_TTL</v>
      </c>
      <c r="B529" s="1" t="s">
        <v>2233</v>
      </c>
      <c r="C529" s="1" t="s">
        <v>1952</v>
      </c>
      <c r="D529" s="1" t="s">
        <v>2117</v>
      </c>
      <c r="E529" s="1" t="s">
        <v>37</v>
      </c>
      <c r="F529" s="25" t="s">
        <v>2234</v>
      </c>
      <c r="G529" s="1" t="s">
        <v>2234</v>
      </c>
      <c r="H529" s="1" t="s">
        <v>37</v>
      </c>
      <c r="I529" s="1" t="s">
        <v>39</v>
      </c>
      <c r="J529" s="1" t="s">
        <v>39</v>
      </c>
      <c r="K529" s="1" t="s">
        <v>39</v>
      </c>
      <c r="L529" s="1" t="s">
        <v>39</v>
      </c>
      <c r="M529" s="1" t="s">
        <v>39</v>
      </c>
      <c r="N529" s="1" t="s">
        <v>39</v>
      </c>
      <c r="O529" s="1"/>
      <c r="P529" s="1"/>
      <c r="Q529" s="1"/>
      <c r="R529" s="1" t="s">
        <v>342</v>
      </c>
      <c r="S529" s="1" t="s">
        <v>274</v>
      </c>
      <c r="T529" s="1">
        <v>99999999999</v>
      </c>
      <c r="U529" s="1">
        <v>11111111111</v>
      </c>
      <c r="V529" s="1">
        <v>11111111111</v>
      </c>
      <c r="W529" s="1" t="s">
        <v>2235</v>
      </c>
      <c r="X529" s="1" t="s">
        <v>2236</v>
      </c>
      <c r="Y529" s="1" t="s">
        <v>45</v>
      </c>
      <c r="Z529" s="1" t="s">
        <v>46</v>
      </c>
      <c r="AA529" s="1" t="s">
        <v>47</v>
      </c>
      <c r="AB529" s="1" t="s">
        <v>37</v>
      </c>
      <c r="AC529" s="1" t="s">
        <v>37</v>
      </c>
      <c r="AD529" s="1" t="s">
        <v>39</v>
      </c>
      <c r="AE529" s="1" t="s">
        <v>37</v>
      </c>
      <c r="AF529" s="1" t="s">
        <v>39</v>
      </c>
      <c r="AG529" s="1" t="s">
        <v>37</v>
      </c>
      <c r="AH529" s="1" t="s">
        <v>37</v>
      </c>
      <c r="AI529" s="1" t="s">
        <v>39</v>
      </c>
      <c r="AJ529" s="1" t="s">
        <v>39</v>
      </c>
      <c r="AK529" s="1" t="str">
        <f t="shared" si="17"/>
        <v>Comum</v>
      </c>
      <c r="AL529" s="1" t="str">
        <f>+IF(IFERROR(VLOOKUP(A529,Ficheiros!I:I,1,FALSE),"")=A529,"Sim","Não")</f>
        <v>Não</v>
      </c>
      <c r="AM529" s="1" t="str">
        <f>+IF(IFERROR(VLOOKUP(A529,Ficheiros!E:E,1,FALSE),"")=A529,"Sim","Não")</f>
        <v>Não</v>
      </c>
      <c r="AN529" s="1" t="str">
        <f>+IF(IFERROR(VLOOKUP(A529,Ficheiros!O:O,1,FALSE),"")=A529,"Sim","Não")</f>
        <v>Não</v>
      </c>
      <c r="AO529" s="1" t="str">
        <f>+IF(IFERROR(VLOOKUP(A529,'Especificação Novos Req. LT (2'!A:A,1,FALSE),"")=A529,"Sim","Não")</f>
        <v>Sim</v>
      </c>
      <c r="AP529" s="1" t="str">
        <f>+IF(IFERROR(VLOOKUP(A529,Ficheiros!T:T,1,FALSE),"")=A529,"Sim","Não")</f>
        <v>Não</v>
      </c>
      <c r="AQ529" s="1" t="e">
        <f>+VLOOKUP(A529,Ficheiros!O:P,2,FALSE)</f>
        <v>#N/A</v>
      </c>
      <c r="AR529" s="1" t="e">
        <f>+VLOOKUP(A529,Ficheiros!R:S,3,FALSE)</f>
        <v>#N/A</v>
      </c>
      <c r="AS529" s="1" t="e">
        <f>+VLOOKUP(A529,Ficheiros!T:V,3,FALSE)</f>
        <v>#N/A</v>
      </c>
      <c r="AT529" s="1"/>
      <c r="AU529" s="1"/>
      <c r="AV529" s="1" t="s">
        <v>2536</v>
      </c>
      <c r="AW529" s="1"/>
      <c r="AX529" s="1"/>
    </row>
    <row r="530" spans="1:50" ht="14.5" hidden="1" customHeight="1" x14ac:dyDescent="0.35">
      <c r="A530" s="5" t="str">
        <f t="shared" si="16"/>
        <v>PROTECTIONPRMRY_ENRGY_DMND_RFRNC_VL</v>
      </c>
      <c r="B530" s="1" t="s">
        <v>2237</v>
      </c>
      <c r="C530" s="1" t="s">
        <v>1952</v>
      </c>
      <c r="D530" s="1" t="s">
        <v>2117</v>
      </c>
      <c r="E530" s="1" t="s">
        <v>37</v>
      </c>
      <c r="F530" s="25" t="s">
        <v>2238</v>
      </c>
      <c r="G530" s="1" t="s">
        <v>2238</v>
      </c>
      <c r="H530" s="1" t="s">
        <v>37</v>
      </c>
      <c r="I530" s="1" t="s">
        <v>39</v>
      </c>
      <c r="J530" s="1" t="s">
        <v>39</v>
      </c>
      <c r="K530" s="1" t="s">
        <v>39</v>
      </c>
      <c r="L530" s="1" t="s">
        <v>39</v>
      </c>
      <c r="M530" s="1" t="s">
        <v>39</v>
      </c>
      <c r="N530" s="1" t="s">
        <v>39</v>
      </c>
      <c r="O530" s="1"/>
      <c r="P530" s="1"/>
      <c r="Q530" s="1"/>
      <c r="R530" s="1" t="s">
        <v>342</v>
      </c>
      <c r="S530" s="1" t="s">
        <v>274</v>
      </c>
      <c r="T530" s="1">
        <v>99999999999</v>
      </c>
      <c r="U530" s="1">
        <v>11111111111</v>
      </c>
      <c r="V530" s="1">
        <v>11111111111</v>
      </c>
      <c r="W530" s="1" t="s">
        <v>2239</v>
      </c>
      <c r="X530" s="1" t="s">
        <v>2240</v>
      </c>
      <c r="Y530" s="1" t="s">
        <v>45</v>
      </c>
      <c r="Z530" s="1" t="s">
        <v>46</v>
      </c>
      <c r="AA530" s="1" t="s">
        <v>47</v>
      </c>
      <c r="AB530" s="1" t="s">
        <v>37</v>
      </c>
      <c r="AC530" s="1" t="s">
        <v>37</v>
      </c>
      <c r="AD530" s="1" t="s">
        <v>39</v>
      </c>
      <c r="AE530" s="1" t="s">
        <v>37</v>
      </c>
      <c r="AF530" s="1" t="s">
        <v>39</v>
      </c>
      <c r="AG530" s="1" t="s">
        <v>37</v>
      </c>
      <c r="AH530" s="1" t="s">
        <v>37</v>
      </c>
      <c r="AI530" s="1" t="s">
        <v>39</v>
      </c>
      <c r="AJ530" s="1" t="s">
        <v>39</v>
      </c>
      <c r="AK530" s="1" t="str">
        <f t="shared" si="17"/>
        <v>Comum</v>
      </c>
      <c r="AL530" s="1" t="str">
        <f>+IF(IFERROR(VLOOKUP(A530,Ficheiros!I:I,1,FALSE),"")=A530,"Sim","Não")</f>
        <v>Não</v>
      </c>
      <c r="AM530" s="1" t="str">
        <f>+IF(IFERROR(VLOOKUP(A530,Ficheiros!E:E,1,FALSE),"")=A530,"Sim","Não")</f>
        <v>Não</v>
      </c>
      <c r="AN530" s="1" t="str">
        <f>+IF(IFERROR(VLOOKUP(A530,Ficheiros!O:O,1,FALSE),"")=A530,"Sim","Não")</f>
        <v>Não</v>
      </c>
      <c r="AO530" s="1" t="str">
        <f>+IF(IFERROR(VLOOKUP(A530,'Especificação Novos Req. LT (2'!A:A,1,FALSE),"")=A530,"Sim","Não")</f>
        <v>Sim</v>
      </c>
      <c r="AP530" s="1" t="str">
        <f>+IF(IFERROR(VLOOKUP(A530,Ficheiros!T:T,1,FALSE),"")=A530,"Sim","Não")</f>
        <v>Não</v>
      </c>
      <c r="AQ530" s="1" t="e">
        <f>+VLOOKUP(A530,Ficheiros!O:P,2,FALSE)</f>
        <v>#N/A</v>
      </c>
      <c r="AR530" s="1" t="e">
        <f>+VLOOKUP(A530,Ficheiros!R:S,3,FALSE)</f>
        <v>#N/A</v>
      </c>
      <c r="AS530" s="1" t="e">
        <f>+VLOOKUP(A530,Ficheiros!T:V,3,FALSE)</f>
        <v>#N/A</v>
      </c>
      <c r="AT530" s="1"/>
      <c r="AU530" s="1"/>
      <c r="AV530" s="1" t="s">
        <v>2536</v>
      </c>
      <c r="AW530" s="1"/>
      <c r="AX530" s="1"/>
    </row>
    <row r="531" spans="1:50" ht="14.5" hidden="1" customHeight="1" x14ac:dyDescent="0.35">
      <c r="A531" s="5" t="str">
        <f t="shared" si="16"/>
        <v>PROTECTIONRL_ESTT_CLMT_ZN</v>
      </c>
      <c r="B531" s="1" t="s">
        <v>2241</v>
      </c>
      <c r="C531" s="1" t="s">
        <v>1952</v>
      </c>
      <c r="D531" s="1" t="s">
        <v>2117</v>
      </c>
      <c r="E531" s="1" t="s">
        <v>37</v>
      </c>
      <c r="F531" s="25" t="s">
        <v>2242</v>
      </c>
      <c r="G531" s="1" t="s">
        <v>2242</v>
      </c>
      <c r="H531" s="1" t="s">
        <v>37</v>
      </c>
      <c r="I531" s="1" t="s">
        <v>39</v>
      </c>
      <c r="J531" s="1" t="s">
        <v>39</v>
      </c>
      <c r="K531" s="1" t="s">
        <v>39</v>
      </c>
      <c r="L531" s="1" t="s">
        <v>39</v>
      </c>
      <c r="M531" s="1" t="s">
        <v>39</v>
      </c>
      <c r="N531" s="1" t="s">
        <v>39</v>
      </c>
      <c r="O531" s="1"/>
      <c r="P531" s="1"/>
      <c r="Q531" s="1"/>
      <c r="R531" s="1" t="s">
        <v>136</v>
      </c>
      <c r="S531" s="1" t="s">
        <v>52</v>
      </c>
      <c r="T531" s="1" t="s">
        <v>53</v>
      </c>
      <c r="U531" s="1" t="s">
        <v>46</v>
      </c>
      <c r="V531" s="1" t="s">
        <v>46</v>
      </c>
      <c r="W531" s="1" t="s">
        <v>2243</v>
      </c>
      <c r="X531" s="1" t="s">
        <v>2244</v>
      </c>
      <c r="Y531" s="1" t="s">
        <v>45</v>
      </c>
      <c r="Z531" s="1" t="s">
        <v>46</v>
      </c>
      <c r="AA531" s="1" t="s">
        <v>47</v>
      </c>
      <c r="AB531" s="1" t="s">
        <v>37</v>
      </c>
      <c r="AC531" s="1" t="s">
        <v>37</v>
      </c>
      <c r="AD531" s="1" t="s">
        <v>39</v>
      </c>
      <c r="AE531" s="1" t="s">
        <v>37</v>
      </c>
      <c r="AF531" s="1" t="s">
        <v>39</v>
      </c>
      <c r="AG531" s="1" t="s">
        <v>37</v>
      </c>
      <c r="AH531" s="1" t="s">
        <v>37</v>
      </c>
      <c r="AI531" s="1" t="s">
        <v>39</v>
      </c>
      <c r="AJ531" s="1" t="s">
        <v>39</v>
      </c>
      <c r="AK531" s="1" t="str">
        <f t="shared" si="17"/>
        <v>Comum</v>
      </c>
      <c r="AL531" s="1" t="str">
        <f>+IF(IFERROR(VLOOKUP(A531,Ficheiros!I:I,1,FALSE),"")=A531,"Sim","Não")</f>
        <v>Não</v>
      </c>
      <c r="AM531" s="1" t="str">
        <f>+IF(IFERROR(VLOOKUP(A531,Ficheiros!E:E,1,FALSE),"")=A531,"Sim","Não")</f>
        <v>Não</v>
      </c>
      <c r="AN531" s="1" t="str">
        <f>+IF(IFERROR(VLOOKUP(A531,Ficheiros!O:O,1,FALSE),"")=A531,"Sim","Não")</f>
        <v>Não</v>
      </c>
      <c r="AO531" s="1" t="str">
        <f>+IF(IFERROR(VLOOKUP(A531,'Especificação Novos Req. LT (2'!A:A,1,FALSE),"")=A531,"Sim","Não")</f>
        <v>Sim</v>
      </c>
      <c r="AP531" s="1" t="str">
        <f>+IF(IFERROR(VLOOKUP(A531,Ficheiros!T:T,1,FALSE),"")=A531,"Sim","Não")</f>
        <v>Não</v>
      </c>
      <c r="AQ531" s="1" t="e">
        <f>+VLOOKUP(A531,Ficheiros!O:P,2,FALSE)</f>
        <v>#N/A</v>
      </c>
      <c r="AR531" s="1" t="e">
        <f>+VLOOKUP(A531,Ficheiros!R:S,3,FALSE)</f>
        <v>#N/A</v>
      </c>
      <c r="AS531" s="1" t="e">
        <f>+VLOOKUP(A531,Ficheiros!T:V,3,FALSE)</f>
        <v>#N/A</v>
      </c>
      <c r="AT531" s="1"/>
      <c r="AU531" s="1"/>
      <c r="AV531" s="1" t="s">
        <v>2538</v>
      </c>
      <c r="AW531" s="1"/>
      <c r="AX531" s="1"/>
    </row>
    <row r="532" spans="1:50" ht="14.5" hidden="1" customHeight="1" x14ac:dyDescent="0.35">
      <c r="A532" s="5" t="str">
        <f t="shared" si="16"/>
        <v>PROTECTIONRL_ESTT_LNGTD</v>
      </c>
      <c r="B532" s="1" t="s">
        <v>2245</v>
      </c>
      <c r="C532" s="1" t="s">
        <v>1952</v>
      </c>
      <c r="D532" s="1" t="s">
        <v>2117</v>
      </c>
      <c r="E532" s="1" t="s">
        <v>37</v>
      </c>
      <c r="F532" s="25" t="s">
        <v>2246</v>
      </c>
      <c r="G532" s="1" t="s">
        <v>2246</v>
      </c>
      <c r="H532" s="1" t="s">
        <v>37</v>
      </c>
      <c r="I532" s="1" t="s">
        <v>39</v>
      </c>
      <c r="J532" s="1" t="s">
        <v>39</v>
      </c>
      <c r="K532" s="1" t="s">
        <v>39</v>
      </c>
      <c r="L532" s="1" t="s">
        <v>39</v>
      </c>
      <c r="M532" s="1" t="s">
        <v>39</v>
      </c>
      <c r="N532" s="1" t="s">
        <v>39</v>
      </c>
      <c r="O532" s="1"/>
      <c r="P532" s="1"/>
      <c r="Q532" s="1"/>
      <c r="R532" s="1" t="s">
        <v>2247</v>
      </c>
      <c r="S532" s="1" t="s">
        <v>274</v>
      </c>
      <c r="T532" s="1">
        <v>99999999999</v>
      </c>
      <c r="U532" s="1">
        <v>11111111111</v>
      </c>
      <c r="V532" s="1">
        <v>11111111111</v>
      </c>
      <c r="W532" s="1" t="s">
        <v>2248</v>
      </c>
      <c r="X532" s="1" t="s">
        <v>2249</v>
      </c>
      <c r="Y532" s="1" t="s">
        <v>45</v>
      </c>
      <c r="Z532" s="1" t="s">
        <v>46</v>
      </c>
      <c r="AA532" s="1" t="s">
        <v>47</v>
      </c>
      <c r="AB532" s="1" t="s">
        <v>39</v>
      </c>
      <c r="AC532" s="1" t="s">
        <v>37</v>
      </c>
      <c r="AD532" s="1" t="s">
        <v>37</v>
      </c>
      <c r="AE532" s="1" t="s">
        <v>37</v>
      </c>
      <c r="AF532" s="1" t="s">
        <v>37</v>
      </c>
      <c r="AG532" s="1" t="s">
        <v>37</v>
      </c>
      <c r="AH532" s="1" t="s">
        <v>37</v>
      </c>
      <c r="AI532" s="1" t="s">
        <v>37</v>
      </c>
      <c r="AJ532" s="1" t="s">
        <v>39</v>
      </c>
      <c r="AK532" s="1" t="str">
        <f t="shared" si="17"/>
        <v>Fora de âmbito</v>
      </c>
      <c r="AL532" s="1" t="str">
        <f>+IF(IFERROR(VLOOKUP(A532,Ficheiros!I:I,1,FALSE),"")=A532,"Sim","Não")</f>
        <v>Não</v>
      </c>
      <c r="AM532" s="1" t="str">
        <f>+IF(IFERROR(VLOOKUP(A532,Ficheiros!E:E,1,FALSE),"")=A532,"Sim","Não")</f>
        <v>Não</v>
      </c>
      <c r="AN532" s="1" t="str">
        <f>+IF(IFERROR(VLOOKUP(A532,Ficheiros!O:O,1,FALSE),"")=A532,"Sim","Não")</f>
        <v>Não</v>
      </c>
      <c r="AO532" s="1" t="str">
        <f>+IF(IFERROR(VLOOKUP(A532,'Especificação Novos Req. LT (2'!A:A,1,FALSE),"")=A532,"Sim","Não")</f>
        <v>Não</v>
      </c>
      <c r="AP532" s="1" t="str">
        <f>+IF(IFERROR(VLOOKUP(A532,Ficheiros!T:T,1,FALSE),"")=A532,"Sim","Não")</f>
        <v>Sim</v>
      </c>
      <c r="AQ532" s="1" t="e">
        <f>+VLOOKUP(A532,Ficheiros!O:P,2,FALSE)</f>
        <v>#N/A</v>
      </c>
      <c r="AR532" s="1" t="str">
        <f>+VLOOKUP(A532,Ficheiros!T:U,2,FALSE)</f>
        <v>1. Especificar</v>
      </c>
      <c r="AS532" s="1" t="str">
        <f>+VLOOKUP(A532,Ficheiros!T:V,3,FALSE)</f>
        <v>PM - Novos Campos</v>
      </c>
      <c r="AT532" s="1"/>
      <c r="AU532" s="1"/>
      <c r="AV532" s="1"/>
      <c r="AW532" s="1"/>
      <c r="AX532" s="1"/>
    </row>
    <row r="533" spans="1:50" ht="14.5" hidden="1" customHeight="1" x14ac:dyDescent="0.35">
      <c r="A533" s="5" t="str">
        <f t="shared" si="16"/>
        <v>PROTECTIONRL_ESTT_LTTD</v>
      </c>
      <c r="B533" s="1" t="s">
        <v>2250</v>
      </c>
      <c r="C533" s="1" t="s">
        <v>1952</v>
      </c>
      <c r="D533" s="1" t="s">
        <v>2117</v>
      </c>
      <c r="E533" s="1" t="s">
        <v>37</v>
      </c>
      <c r="F533" s="25" t="s">
        <v>2251</v>
      </c>
      <c r="G533" s="1" t="s">
        <v>2251</v>
      </c>
      <c r="H533" s="1" t="s">
        <v>37</v>
      </c>
      <c r="I533" s="1" t="s">
        <v>39</v>
      </c>
      <c r="J533" s="1" t="s">
        <v>39</v>
      </c>
      <c r="K533" s="1" t="s">
        <v>39</v>
      </c>
      <c r="L533" s="1" t="s">
        <v>39</v>
      </c>
      <c r="M533" s="1" t="s">
        <v>39</v>
      </c>
      <c r="N533" s="1" t="s">
        <v>39</v>
      </c>
      <c r="O533" s="1"/>
      <c r="P533" s="1"/>
      <c r="Q533" s="1"/>
      <c r="R533" s="1" t="s">
        <v>2247</v>
      </c>
      <c r="S533" s="1" t="s">
        <v>274</v>
      </c>
      <c r="T533" s="1">
        <v>99999999999</v>
      </c>
      <c r="U533" s="1">
        <v>11111111111</v>
      </c>
      <c r="V533" s="1">
        <v>11111111111</v>
      </c>
      <c r="W533" s="1" t="s">
        <v>2252</v>
      </c>
      <c r="X533" s="1" t="s">
        <v>2253</v>
      </c>
      <c r="Y533" s="1" t="s">
        <v>45</v>
      </c>
      <c r="Z533" s="1" t="s">
        <v>46</v>
      </c>
      <c r="AA533" s="1" t="s">
        <v>47</v>
      </c>
      <c r="AB533" s="1" t="s">
        <v>39</v>
      </c>
      <c r="AC533" s="1" t="s">
        <v>37</v>
      </c>
      <c r="AD533" s="1" t="s">
        <v>37</v>
      </c>
      <c r="AE533" s="1" t="s">
        <v>37</v>
      </c>
      <c r="AF533" s="1" t="s">
        <v>37</v>
      </c>
      <c r="AG533" s="1" t="s">
        <v>37</v>
      </c>
      <c r="AH533" s="1" t="s">
        <v>37</v>
      </c>
      <c r="AI533" s="1" t="s">
        <v>37</v>
      </c>
      <c r="AJ533" s="1" t="s">
        <v>39</v>
      </c>
      <c r="AK533" s="1" t="str">
        <f t="shared" si="17"/>
        <v>Fora de âmbito</v>
      </c>
      <c r="AL533" s="1" t="str">
        <f>+IF(IFERROR(VLOOKUP(A533,Ficheiros!I:I,1,FALSE),"")=A533,"Sim","Não")</f>
        <v>Não</v>
      </c>
      <c r="AM533" s="1" t="str">
        <f>+IF(IFERROR(VLOOKUP(A533,Ficheiros!E:E,1,FALSE),"")=A533,"Sim","Não")</f>
        <v>Não</v>
      </c>
      <c r="AN533" s="1" t="str">
        <f>+IF(IFERROR(VLOOKUP(A533,Ficheiros!O:O,1,FALSE),"")=A533,"Sim","Não")</f>
        <v>Não</v>
      </c>
      <c r="AO533" s="1" t="str">
        <f>+IF(IFERROR(VLOOKUP(A533,'Especificação Novos Req. LT (2'!A:A,1,FALSE),"")=A533,"Sim","Não")</f>
        <v>Não</v>
      </c>
      <c r="AP533" s="1" t="str">
        <f>+IF(IFERROR(VLOOKUP(A533,Ficheiros!T:T,1,FALSE),"")=A533,"Sim","Não")</f>
        <v>Sim</v>
      </c>
      <c r="AQ533" s="1" t="e">
        <f>+VLOOKUP(A533,Ficheiros!O:P,2,FALSE)</f>
        <v>#N/A</v>
      </c>
      <c r="AR533" s="1" t="str">
        <f>+VLOOKUP(A533,Ficheiros!T:U,2,FALSE)</f>
        <v>1. Especificar</v>
      </c>
      <c r="AS533" s="1" t="str">
        <f>+VLOOKUP(A533,Ficheiros!T:V,3,FALSE)</f>
        <v>PM - Novos Campos</v>
      </c>
      <c r="AT533" s="1"/>
      <c r="AU533" s="1"/>
      <c r="AV533" s="1"/>
      <c r="AW533" s="1"/>
      <c r="AX533" s="1"/>
    </row>
    <row r="534" spans="1:50" ht="14.5" hidden="1" customHeight="1" x14ac:dyDescent="0.35">
      <c r="A534" s="5" t="str">
        <f t="shared" si="16"/>
        <v>PROTECTIONFLG_ELCTRC_VHCL</v>
      </c>
      <c r="B534" s="1" t="s">
        <v>2254</v>
      </c>
      <c r="C534" s="1" t="s">
        <v>1952</v>
      </c>
      <c r="D534" s="1" t="s">
        <v>2117</v>
      </c>
      <c r="E534" s="1" t="s">
        <v>37</v>
      </c>
      <c r="F534" s="25" t="s">
        <v>2255</v>
      </c>
      <c r="G534" s="1" t="s">
        <v>2255</v>
      </c>
      <c r="H534" s="1" t="s">
        <v>37</v>
      </c>
      <c r="I534" s="1" t="s">
        <v>39</v>
      </c>
      <c r="J534" s="1" t="s">
        <v>39</v>
      </c>
      <c r="K534" s="1" t="s">
        <v>39</v>
      </c>
      <c r="L534" s="1" t="s">
        <v>39</v>
      </c>
      <c r="M534" s="1" t="s">
        <v>39</v>
      </c>
      <c r="N534" s="1" t="s">
        <v>39</v>
      </c>
      <c r="O534" s="1"/>
      <c r="P534" s="1"/>
      <c r="Q534" s="1"/>
      <c r="R534" s="1" t="s">
        <v>141</v>
      </c>
      <c r="S534" s="1" t="s">
        <v>142</v>
      </c>
      <c r="T534" s="1" t="s">
        <v>53</v>
      </c>
      <c r="U534" s="1" t="s">
        <v>42</v>
      </c>
      <c r="V534" s="1" t="s">
        <v>46</v>
      </c>
      <c r="W534" s="1" t="s">
        <v>2256</v>
      </c>
      <c r="X534" s="1" t="s">
        <v>2257</v>
      </c>
      <c r="Y534" s="1" t="s">
        <v>45</v>
      </c>
      <c r="Z534" s="1" t="s">
        <v>46</v>
      </c>
      <c r="AA534" s="1" t="s">
        <v>47</v>
      </c>
      <c r="AB534" s="1" t="s">
        <v>37</v>
      </c>
      <c r="AC534" s="1" t="s">
        <v>39</v>
      </c>
      <c r="AD534" s="1" t="s">
        <v>37</v>
      </c>
      <c r="AE534" s="1" t="s">
        <v>37</v>
      </c>
      <c r="AF534" s="1" t="s">
        <v>37</v>
      </c>
      <c r="AG534" s="1" t="s">
        <v>37</v>
      </c>
      <c r="AH534" s="1" t="s">
        <v>39</v>
      </c>
      <c r="AI534" s="1" t="s">
        <v>39</v>
      </c>
      <c r="AJ534" s="1" t="s">
        <v>39</v>
      </c>
      <c r="AK534" s="1" t="str">
        <f t="shared" si="17"/>
        <v>Fora de âmbito</v>
      </c>
      <c r="AL534" s="1" t="str">
        <f>+IF(IFERROR(VLOOKUP(A534,Ficheiros!I:I,1,FALSE),"")=A534,"Sim","Não")</f>
        <v>Não</v>
      </c>
      <c r="AM534" s="1" t="str">
        <f>+IF(IFERROR(VLOOKUP(A534,Ficheiros!E:E,1,FALSE),"")=A534,"Sim","Não")</f>
        <v>Não</v>
      </c>
      <c r="AN534" s="1" t="str">
        <f>+IF(IFERROR(VLOOKUP(A534,Ficheiros!O:O,1,FALSE),"")=A534,"Sim","Não")</f>
        <v>Não</v>
      </c>
      <c r="AO534" s="1" t="str">
        <f>+IF(IFERROR(VLOOKUP(A534,'Especificação Novos Req. LT (2'!A:A,1,FALSE),"")=A534,"Sim","Não")</f>
        <v>Não</v>
      </c>
      <c r="AP534" s="1" t="str">
        <f>+IF(IFERROR(VLOOKUP(A534,Ficheiros!T:T,1,FALSE),"")=A534,"Sim","Não")</f>
        <v>Não</v>
      </c>
      <c r="AQ534" s="1" t="e">
        <f>+VLOOKUP(A534,Ficheiros!O:P,2,FALSE)</f>
        <v>#N/A</v>
      </c>
      <c r="AR534" s="1" t="e">
        <f>+VLOOKUP(A534,Ficheiros!R:S,3,FALSE)</f>
        <v>#N/A</v>
      </c>
      <c r="AS534" s="1" t="e">
        <f>+VLOOKUP(A534,Ficheiros!T:V,3,FALSE)</f>
        <v>#N/A</v>
      </c>
      <c r="AT534" s="1"/>
      <c r="AU534" s="1"/>
      <c r="AV534" s="1"/>
      <c r="AW534" s="1"/>
      <c r="AX534" s="1"/>
    </row>
    <row r="535" spans="1:50" ht="14.5" hidden="1" customHeight="1" x14ac:dyDescent="0.35">
      <c r="A535" s="5" t="str">
        <f t="shared" si="16"/>
        <v>INSTR_ACTIVITYCOD_SOC</v>
      </c>
      <c r="B535" s="1" t="s">
        <v>2258</v>
      </c>
      <c r="C535" s="1" t="s">
        <v>2259</v>
      </c>
      <c r="D535" s="1" t="s">
        <v>36</v>
      </c>
      <c r="E535" s="1" t="s">
        <v>37</v>
      </c>
      <c r="F535" s="25" t="s">
        <v>38</v>
      </c>
      <c r="G535" s="1" t="s">
        <v>38</v>
      </c>
      <c r="H535" s="1" t="s">
        <v>37</v>
      </c>
      <c r="I535" s="1" t="s">
        <v>39</v>
      </c>
      <c r="J535" s="1" t="s">
        <v>39</v>
      </c>
      <c r="K535" s="1" t="s">
        <v>39</v>
      </c>
      <c r="L535" s="1" t="s">
        <v>39</v>
      </c>
      <c r="M535" s="1" t="s">
        <v>39</v>
      </c>
      <c r="N535" s="1" t="s">
        <v>39</v>
      </c>
      <c r="O535" s="1"/>
      <c r="P535" s="1"/>
      <c r="Q535" s="1" t="s">
        <v>39</v>
      </c>
      <c r="R535" s="1" t="s">
        <v>40</v>
      </c>
      <c r="S535" s="1" t="s">
        <v>41</v>
      </c>
      <c r="T535" s="1" t="s">
        <v>42</v>
      </c>
      <c r="U535" s="1" t="s">
        <v>42</v>
      </c>
      <c r="V535" s="1" t="s">
        <v>42</v>
      </c>
      <c r="W535" s="1" t="s">
        <v>43</v>
      </c>
      <c r="X535" s="1" t="s">
        <v>44</v>
      </c>
      <c r="Y535" s="1" t="s">
        <v>45</v>
      </c>
      <c r="Z535" s="1" t="s">
        <v>46</v>
      </c>
      <c r="AA535" s="1" t="s">
        <v>47</v>
      </c>
      <c r="AB535" s="1" t="s">
        <v>37</v>
      </c>
      <c r="AC535" s="1" t="s">
        <v>39</v>
      </c>
      <c r="AD535" s="1" t="s">
        <v>39</v>
      </c>
      <c r="AE535" s="1" t="s">
        <v>39</v>
      </c>
      <c r="AF535" s="1" t="s">
        <v>37</v>
      </c>
      <c r="AG535" s="1" t="s">
        <v>37</v>
      </c>
      <c r="AH535" s="1" t="s">
        <v>39</v>
      </c>
      <c r="AI535" s="1" t="s">
        <v>39</v>
      </c>
      <c r="AJ535" s="1" t="s">
        <v>39</v>
      </c>
      <c r="AK535" s="1" t="str">
        <f t="shared" si="17"/>
        <v>Apenas Pilar 3</v>
      </c>
      <c r="AL535" s="1" t="str">
        <f>+IF(IFERROR(VLOOKUP(A535,Ficheiros!I:I,1,FALSE),"")=A535,"Sim","Não")</f>
        <v>Não</v>
      </c>
      <c r="AM535" s="1" t="str">
        <f>+IF(IFERROR(VLOOKUP(A535,Ficheiros!E:E,1,FALSE),"")=A535,"Sim","Não")</f>
        <v>Não</v>
      </c>
      <c r="AN535" s="1" t="str">
        <f>+IF(IFERROR(VLOOKUP(A535,Ficheiros!O:O,1,FALSE),"")=A535,"Sim","Não")</f>
        <v>Não</v>
      </c>
      <c r="AO535" s="1" t="str">
        <f>+IF(IFERROR(VLOOKUP(A535,'Especificação Novos Req. LT (2'!A:A,1,FALSE),"")=A535,"Sim","Não")</f>
        <v>Sim</v>
      </c>
      <c r="AP535" s="1" t="str">
        <f>+IF(IFERROR(VLOOKUP(A535,Ficheiros!T:T,1,FALSE),"")=A535,"Sim","Não")</f>
        <v>Não</v>
      </c>
      <c r="AQ535" s="1" t="e">
        <f>+VLOOKUP(A535,Ficheiros!O:P,2,FALSE)</f>
        <v>#N/A</v>
      </c>
      <c r="AR535" s="1" t="e">
        <f>+VLOOKUP(A535,Ficheiros!R:S,3,FALSE)</f>
        <v>#N/A</v>
      </c>
      <c r="AS535" s="1" t="e">
        <f>+VLOOKUP(A535,Ficheiros!T:V,3,FALSE)</f>
        <v>#N/A</v>
      </c>
      <c r="AT535" s="1"/>
      <c r="AU535" s="1"/>
      <c r="AV535" s="1" t="s">
        <v>2536</v>
      </c>
      <c r="AW535" s="1"/>
      <c r="AX535" s="1"/>
    </row>
    <row r="536" spans="1:50" ht="14.5" hidden="1" customHeight="1" x14ac:dyDescent="0.35">
      <c r="A536" s="5" t="str">
        <f t="shared" si="16"/>
        <v>INSTR_ACTIVITYDT_RFRNC</v>
      </c>
      <c r="B536" s="1" t="s">
        <v>2260</v>
      </c>
      <c r="C536" s="1" t="s">
        <v>2259</v>
      </c>
      <c r="D536" s="1" t="s">
        <v>49</v>
      </c>
      <c r="E536" s="1" t="s">
        <v>39</v>
      </c>
      <c r="F536" s="25" t="s">
        <v>91</v>
      </c>
      <c r="G536" s="1" t="s">
        <v>91</v>
      </c>
      <c r="H536" s="1" t="s">
        <v>37</v>
      </c>
      <c r="I536" s="1" t="s">
        <v>39</v>
      </c>
      <c r="J536" s="1" t="s">
        <v>39</v>
      </c>
      <c r="K536" s="1" t="s">
        <v>39</v>
      </c>
      <c r="L536" s="1" t="s">
        <v>39</v>
      </c>
      <c r="M536" s="1" t="s">
        <v>39</v>
      </c>
      <c r="N536" s="1" t="s">
        <v>39</v>
      </c>
      <c r="O536" s="1"/>
      <c r="P536" s="1"/>
      <c r="Q536" s="1" t="s">
        <v>39</v>
      </c>
      <c r="R536" s="1" t="s">
        <v>60</v>
      </c>
      <c r="S536" s="1" t="s">
        <v>61</v>
      </c>
      <c r="T536" s="1" t="s">
        <v>42</v>
      </c>
      <c r="U536" s="1" t="s">
        <v>42</v>
      </c>
      <c r="V536" s="1" t="s">
        <v>42</v>
      </c>
      <c r="W536" s="1" t="s">
        <v>768</v>
      </c>
      <c r="X536" s="1" t="s">
        <v>93</v>
      </c>
      <c r="Y536" s="1" t="s">
        <v>45</v>
      </c>
      <c r="Z536" s="1" t="s">
        <v>46</v>
      </c>
      <c r="AA536" s="1" t="s">
        <v>47</v>
      </c>
      <c r="AB536" s="1" t="s">
        <v>37</v>
      </c>
      <c r="AC536" s="1" t="s">
        <v>39</v>
      </c>
      <c r="AD536" s="1" t="s">
        <v>39</v>
      </c>
      <c r="AE536" s="1" t="s">
        <v>39</v>
      </c>
      <c r="AF536" s="1" t="s">
        <v>37</v>
      </c>
      <c r="AG536" s="1" t="s">
        <v>37</v>
      </c>
      <c r="AH536" s="1" t="s">
        <v>39</v>
      </c>
      <c r="AI536" s="1" t="s">
        <v>39</v>
      </c>
      <c r="AJ536" s="1" t="s">
        <v>39</v>
      </c>
      <c r="AK536" s="1" t="str">
        <f t="shared" si="17"/>
        <v>Apenas Pilar 3</v>
      </c>
      <c r="AL536" s="1" t="str">
        <f>+IF(IFERROR(VLOOKUP(A536,Ficheiros!I:I,1,FALSE),"")=A536,"Sim","Não")</f>
        <v>Não</v>
      </c>
      <c r="AM536" s="1" t="str">
        <f>+IF(IFERROR(VLOOKUP(A536,Ficheiros!E:E,1,FALSE),"")=A536,"Sim","Não")</f>
        <v>Não</v>
      </c>
      <c r="AN536" s="1" t="str">
        <f>+IF(IFERROR(VLOOKUP(A536,Ficheiros!O:O,1,FALSE),"")=A536,"Sim","Não")</f>
        <v>Não</v>
      </c>
      <c r="AO536" s="1" t="str">
        <f>+IF(IFERROR(VLOOKUP(A536,'Especificação Novos Req. LT (2'!A:A,1,FALSE),"")=A536,"Sim","Não")</f>
        <v>Sim</v>
      </c>
      <c r="AP536" s="1" t="str">
        <f>+IF(IFERROR(VLOOKUP(A536,Ficheiros!T:T,1,FALSE),"")=A536,"Sim","Não")</f>
        <v>Não</v>
      </c>
      <c r="AQ536" s="1" t="e">
        <f>+VLOOKUP(A536,Ficheiros!O:P,2,FALSE)</f>
        <v>#N/A</v>
      </c>
      <c r="AR536" s="1" t="e">
        <f>+VLOOKUP(A536,Ficheiros!R:S,3,FALSE)</f>
        <v>#N/A</v>
      </c>
      <c r="AS536" s="1" t="e">
        <f>+VLOOKUP(A536,Ficheiros!T:V,3,FALSE)</f>
        <v>#N/A</v>
      </c>
      <c r="AT536" s="1"/>
      <c r="AU536" s="1"/>
      <c r="AV536" s="1" t="s">
        <v>2535</v>
      </c>
      <c r="AW536" s="1"/>
      <c r="AX536" s="1"/>
    </row>
    <row r="537" spans="1:50" ht="14.5" hidden="1" customHeight="1" x14ac:dyDescent="0.35">
      <c r="A537" s="5" t="str">
        <f t="shared" si="16"/>
        <v>INSTR_ACTIVITYINSTRMNT_ID</v>
      </c>
      <c r="B537" s="1" t="s">
        <v>2261</v>
      </c>
      <c r="C537" s="1" t="s">
        <v>2259</v>
      </c>
      <c r="D537" s="1" t="s">
        <v>49</v>
      </c>
      <c r="E537" s="1" t="s">
        <v>39</v>
      </c>
      <c r="F537" s="25" t="s">
        <v>772</v>
      </c>
      <c r="G537" s="1" t="s">
        <v>772</v>
      </c>
      <c r="H537" s="1" t="s">
        <v>37</v>
      </c>
      <c r="I537" s="1" t="s">
        <v>39</v>
      </c>
      <c r="J537" s="1" t="s">
        <v>39</v>
      </c>
      <c r="K537" s="1" t="s">
        <v>39</v>
      </c>
      <c r="L537" s="1" t="s">
        <v>39</v>
      </c>
      <c r="M537" s="1" t="s">
        <v>39</v>
      </c>
      <c r="N537" s="1" t="s">
        <v>39</v>
      </c>
      <c r="O537" s="1"/>
      <c r="P537" s="1"/>
      <c r="Q537" s="1" t="s">
        <v>39</v>
      </c>
      <c r="R537" s="1" t="s">
        <v>657</v>
      </c>
      <c r="S537" s="1" t="s">
        <v>41</v>
      </c>
      <c r="T537" s="1" t="s">
        <v>42</v>
      </c>
      <c r="U537" s="1" t="s">
        <v>42</v>
      </c>
      <c r="V537" s="1" t="s">
        <v>42</v>
      </c>
      <c r="W537" s="1" t="s">
        <v>773</v>
      </c>
      <c r="X537" s="1" t="s">
        <v>809</v>
      </c>
      <c r="Y537" s="1" t="s">
        <v>45</v>
      </c>
      <c r="Z537" s="1" t="s">
        <v>46</v>
      </c>
      <c r="AA537" s="1" t="s">
        <v>47</v>
      </c>
      <c r="AB537" s="1" t="s">
        <v>37</v>
      </c>
      <c r="AC537" s="1" t="s">
        <v>39</v>
      </c>
      <c r="AD537" s="1" t="s">
        <v>39</v>
      </c>
      <c r="AE537" s="1" t="s">
        <v>39</v>
      </c>
      <c r="AF537" s="1" t="s">
        <v>37</v>
      </c>
      <c r="AG537" s="1" t="s">
        <v>37</v>
      </c>
      <c r="AH537" s="1" t="s">
        <v>39</v>
      </c>
      <c r="AI537" s="1" t="s">
        <v>39</v>
      </c>
      <c r="AJ537" s="1" t="s">
        <v>39</v>
      </c>
      <c r="AK537" s="1" t="str">
        <f t="shared" si="17"/>
        <v>Apenas Pilar 3</v>
      </c>
      <c r="AL537" s="1" t="str">
        <f>+IF(IFERROR(VLOOKUP(A537,Ficheiros!I:I,1,FALSE),"")=A537,"Sim","Não")</f>
        <v>Não</v>
      </c>
      <c r="AM537" s="1" t="str">
        <f>+IF(IFERROR(VLOOKUP(A537,Ficheiros!E:E,1,FALSE),"")=A537,"Sim","Não")</f>
        <v>Não</v>
      </c>
      <c r="AN537" s="1" t="str">
        <f>+IF(IFERROR(VLOOKUP(A537,Ficheiros!O:O,1,FALSE),"")=A537,"Sim","Não")</f>
        <v>Não</v>
      </c>
      <c r="AO537" s="1" t="str">
        <f>+IF(IFERROR(VLOOKUP(A537,'Especificação Novos Req. LT (2'!A:A,1,FALSE),"")=A537,"Sim","Não")</f>
        <v>Sim</v>
      </c>
      <c r="AP537" s="1" t="str">
        <f>+IF(IFERROR(VLOOKUP(A537,Ficheiros!T:T,1,FALSE),"")=A537,"Sim","Não")</f>
        <v>Não</v>
      </c>
      <c r="AQ537" s="1" t="e">
        <f>+VLOOKUP(A537,Ficheiros!O:P,2,FALSE)</f>
        <v>#N/A</v>
      </c>
      <c r="AR537" s="1" t="e">
        <f>+VLOOKUP(A537,Ficheiros!R:S,3,FALSE)</f>
        <v>#N/A</v>
      </c>
      <c r="AS537" s="1" t="e">
        <f>+VLOOKUP(A537,Ficheiros!T:V,3,FALSE)</f>
        <v>#N/A</v>
      </c>
      <c r="AT537" s="1"/>
      <c r="AU537" s="1"/>
      <c r="AV537" s="1" t="s">
        <v>2536</v>
      </c>
      <c r="AW537" s="1"/>
      <c r="AX537" s="1"/>
    </row>
    <row r="538" spans="1:50" ht="14.5" hidden="1" customHeight="1" x14ac:dyDescent="0.35">
      <c r="A538" s="5" t="str">
        <f t="shared" si="16"/>
        <v>INSTR_ACTIVITYSSTNBL_CTGRY</v>
      </c>
      <c r="B538" s="1" t="s">
        <v>2262</v>
      </c>
      <c r="C538" s="1" t="s">
        <v>2259</v>
      </c>
      <c r="D538" s="1" t="s">
        <v>49</v>
      </c>
      <c r="E538" s="1" t="s">
        <v>37</v>
      </c>
      <c r="F538" s="26" t="s">
        <v>1624</v>
      </c>
      <c r="G538" s="41" t="s">
        <v>1624</v>
      </c>
      <c r="H538" s="1" t="s">
        <v>37</v>
      </c>
      <c r="I538" s="1" t="s">
        <v>39</v>
      </c>
      <c r="J538" s="1" t="s">
        <v>39</v>
      </c>
      <c r="K538" s="1" t="s">
        <v>39</v>
      </c>
      <c r="L538" s="1" t="s">
        <v>39</v>
      </c>
      <c r="M538" s="1" t="s">
        <v>39</v>
      </c>
      <c r="N538" s="1" t="s">
        <v>39</v>
      </c>
      <c r="O538" s="1"/>
      <c r="P538" s="1"/>
      <c r="Q538" s="1" t="s">
        <v>39</v>
      </c>
      <c r="R538" s="1" t="s">
        <v>136</v>
      </c>
      <c r="S538" s="1" t="s">
        <v>52</v>
      </c>
      <c r="T538" s="1" t="s">
        <v>42</v>
      </c>
      <c r="U538" s="1" t="s">
        <v>42</v>
      </c>
      <c r="V538" s="1" t="s">
        <v>42</v>
      </c>
      <c r="W538" s="1" t="s">
        <v>2263</v>
      </c>
      <c r="X538" s="1" t="s">
        <v>2264</v>
      </c>
      <c r="Y538" s="1" t="s">
        <v>45</v>
      </c>
      <c r="Z538" s="1" t="s">
        <v>46</v>
      </c>
      <c r="AA538" s="1" t="s">
        <v>47</v>
      </c>
      <c r="AB538" s="1" t="s">
        <v>37</v>
      </c>
      <c r="AC538" s="1" t="s">
        <v>39</v>
      </c>
      <c r="AD538" s="1" t="s">
        <v>39</v>
      </c>
      <c r="AE538" s="1" t="s">
        <v>39</v>
      </c>
      <c r="AF538" s="1" t="s">
        <v>37</v>
      </c>
      <c r="AG538" s="1" t="s">
        <v>37</v>
      </c>
      <c r="AH538" s="1" t="s">
        <v>39</v>
      </c>
      <c r="AI538" s="1" t="s">
        <v>39</v>
      </c>
      <c r="AJ538" s="1" t="s">
        <v>39</v>
      </c>
      <c r="AK538" s="1" t="str">
        <f t="shared" si="17"/>
        <v>Apenas Pilar 3</v>
      </c>
      <c r="AL538" s="1" t="str">
        <f>+IF(IFERROR(VLOOKUP(A538,Ficheiros!I:I,1,FALSE),"")=A538,"Sim","Não")</f>
        <v>Não</v>
      </c>
      <c r="AM538" s="41" t="s">
        <v>2393</v>
      </c>
      <c r="AN538" s="41" t="s">
        <v>2393</v>
      </c>
      <c r="AO538" s="1" t="str">
        <f>+IF(IFERROR(VLOOKUP(A538,'Especificação Novos Req. LT (2'!A:A,1,FALSE),"")=A538,"Sim","Não")</f>
        <v>Não</v>
      </c>
      <c r="AP538" s="1" t="str">
        <f>+IF(IFERROR(VLOOKUP(A538,Ficheiros!T:T,1,FALSE),"")=A538,"Sim","Não")</f>
        <v>Não</v>
      </c>
      <c r="AQ538" s="1" t="str">
        <f>+VLOOKUP(A538,Ficheiros!O:P,2,FALSE)</f>
        <v>4. Validação EF</v>
      </c>
      <c r="AR538" s="1" t="e">
        <f>+VLOOKUP(A538,Ficheiros!R:S,3,FALSE)</f>
        <v>#N/A</v>
      </c>
      <c r="AS538" s="1" t="e">
        <f>+VLOOKUP(A538,Ficheiros!T:V,3,FALSE)</f>
        <v>#N/A</v>
      </c>
      <c r="AT538" s="1"/>
      <c r="AU538" s="1"/>
      <c r="AV538" s="1" t="s">
        <v>2538</v>
      </c>
      <c r="AW538" s="1"/>
      <c r="AX538" s="1" t="s">
        <v>2481</v>
      </c>
    </row>
    <row r="539" spans="1:50" ht="14.5" hidden="1" customHeight="1" x14ac:dyDescent="0.35">
      <c r="A539" s="5" t="str">
        <f t="shared" si="16"/>
        <v>INSTR_ACTIVITYPRCNTG_ACTVTY</v>
      </c>
      <c r="B539" s="1" t="s">
        <v>2265</v>
      </c>
      <c r="C539" s="1" t="s">
        <v>2259</v>
      </c>
      <c r="D539" s="1" t="s">
        <v>49</v>
      </c>
      <c r="E539" s="1" t="s">
        <v>37</v>
      </c>
      <c r="F539" s="25" t="s">
        <v>2266</v>
      </c>
      <c r="G539" s="1" t="s">
        <v>2266</v>
      </c>
      <c r="H539" s="1" t="s">
        <v>37</v>
      </c>
      <c r="I539" s="1" t="s">
        <v>39</v>
      </c>
      <c r="J539" s="1" t="s">
        <v>39</v>
      </c>
      <c r="K539" s="1" t="s">
        <v>39</v>
      </c>
      <c r="L539" s="1" t="s">
        <v>39</v>
      </c>
      <c r="M539" s="1" t="s">
        <v>39</v>
      </c>
      <c r="N539" s="1" t="s">
        <v>39</v>
      </c>
      <c r="O539" s="1"/>
      <c r="P539" s="1"/>
      <c r="Q539" s="1" t="s">
        <v>39</v>
      </c>
      <c r="R539" s="1" t="s">
        <v>342</v>
      </c>
      <c r="S539" s="1" t="s">
        <v>274</v>
      </c>
      <c r="T539" s="1">
        <v>99999999999</v>
      </c>
      <c r="U539" s="1" t="s">
        <v>42</v>
      </c>
      <c r="V539" s="1">
        <v>11111111111</v>
      </c>
      <c r="W539" s="1" t="s">
        <v>2267</v>
      </c>
      <c r="X539" s="1" t="s">
        <v>2268</v>
      </c>
      <c r="Y539" s="1" t="s">
        <v>45</v>
      </c>
      <c r="Z539" s="1" t="s">
        <v>46</v>
      </c>
      <c r="AA539" s="1" t="s">
        <v>47</v>
      </c>
      <c r="AB539" s="1" t="s">
        <v>37</v>
      </c>
      <c r="AC539" s="1" t="s">
        <v>39</v>
      </c>
      <c r="AD539" s="1" t="s">
        <v>39</v>
      </c>
      <c r="AE539" s="1" t="s">
        <v>39</v>
      </c>
      <c r="AF539" s="1" t="s">
        <v>37</v>
      </c>
      <c r="AG539" s="1" t="s">
        <v>37</v>
      </c>
      <c r="AH539" s="1" t="s">
        <v>39</v>
      </c>
      <c r="AI539" s="1" t="s">
        <v>39</v>
      </c>
      <c r="AJ539" s="1" t="s">
        <v>39</v>
      </c>
      <c r="AK539" s="1" t="str">
        <f t="shared" si="17"/>
        <v>Apenas Pilar 3</v>
      </c>
      <c r="AL539" s="1" t="str">
        <f>+IF(IFERROR(VLOOKUP(A539,Ficheiros!I:I,1,FALSE),"")=A539,"Sim","Não")</f>
        <v>Não</v>
      </c>
      <c r="AM539" s="1" t="str">
        <f>+IF(IFERROR(VLOOKUP(A539,Ficheiros!E:E,1,FALSE),"")=A539,"Sim","Não")</f>
        <v>Não</v>
      </c>
      <c r="AN539" s="1" t="str">
        <f>+IF(IFERROR(VLOOKUP(A539,Ficheiros!O:O,1,FALSE),"")=A539,"Sim","Não")</f>
        <v>Não</v>
      </c>
      <c r="AO539" s="1" t="str">
        <f>+IF(IFERROR(VLOOKUP(A539,'Especificação Novos Req. LT (2'!A:A,1,FALSE),"")=A539,"Sim","Não")</f>
        <v>Sim</v>
      </c>
      <c r="AP539" s="1" t="str">
        <f>+IF(IFERROR(VLOOKUP(A539,Ficheiros!T:T,1,FALSE),"")=A539,"Sim","Não")</f>
        <v>Sim</v>
      </c>
      <c r="AQ539" s="1" t="e">
        <f>+VLOOKUP(A539,Ficheiros!O:P,2,FALSE)</f>
        <v>#N/A</v>
      </c>
      <c r="AR539" s="1" t="str">
        <f>+VLOOKUP(A539,Ficheiros!T:U,2,FALSE)</f>
        <v>1. Especificar</v>
      </c>
      <c r="AS539" s="1" t="str">
        <f>+VLOOKUP(A539,Ficheiros!T:V,3,FALSE)</f>
        <v>PM - Novos Campos</v>
      </c>
      <c r="AT539" s="1"/>
      <c r="AU539" s="1"/>
      <c r="AV539" s="1" t="s">
        <v>2535</v>
      </c>
      <c r="AW539" s="1"/>
      <c r="AX539" s="1"/>
    </row>
    <row r="540" spans="1:50" ht="14.5" hidden="1" customHeight="1" x14ac:dyDescent="0.35">
      <c r="A540" s="5" t="str">
        <f t="shared" si="16"/>
        <v>INSTR_ACTIVITYENVRNMNTL_OBJCTV</v>
      </c>
      <c r="B540" s="1" t="s">
        <v>2269</v>
      </c>
      <c r="C540" s="1" t="s">
        <v>2259</v>
      </c>
      <c r="D540" s="1" t="s">
        <v>49</v>
      </c>
      <c r="E540" s="1" t="s">
        <v>37</v>
      </c>
      <c r="F540" s="25" t="s">
        <v>1740</v>
      </c>
      <c r="G540" s="1" t="s">
        <v>1740</v>
      </c>
      <c r="H540" s="1" t="s">
        <v>37</v>
      </c>
      <c r="I540" s="1" t="s">
        <v>37</v>
      </c>
      <c r="J540" s="1" t="s">
        <v>39</v>
      </c>
      <c r="K540" s="1" t="s">
        <v>39</v>
      </c>
      <c r="L540" s="1" t="s">
        <v>39</v>
      </c>
      <c r="M540" s="1" t="s">
        <v>39</v>
      </c>
      <c r="N540" s="1" t="s">
        <v>39</v>
      </c>
      <c r="O540" s="1"/>
      <c r="P540" s="1"/>
      <c r="Q540" s="1" t="s">
        <v>37</v>
      </c>
      <c r="R540" s="1" t="s">
        <v>136</v>
      </c>
      <c r="S540" s="1" t="s">
        <v>52</v>
      </c>
      <c r="T540" s="1">
        <v>99999999999</v>
      </c>
      <c r="U540" s="1" t="s">
        <v>42</v>
      </c>
      <c r="V540" s="1">
        <v>11111111111</v>
      </c>
      <c r="W540" s="1" t="s">
        <v>1741</v>
      </c>
      <c r="X540" s="1" t="s">
        <v>1742</v>
      </c>
      <c r="Y540" s="1" t="s">
        <v>45</v>
      </c>
      <c r="Z540" s="1" t="s">
        <v>46</v>
      </c>
      <c r="AA540" s="1" t="s">
        <v>47</v>
      </c>
      <c r="AB540" s="1" t="s">
        <v>37</v>
      </c>
      <c r="AC540" s="1" t="s">
        <v>37</v>
      </c>
      <c r="AD540" s="1" t="s">
        <v>39</v>
      </c>
      <c r="AE540" s="1" t="s">
        <v>37</v>
      </c>
      <c r="AF540" s="1" t="s">
        <v>37</v>
      </c>
      <c r="AG540" s="1" t="s">
        <v>37</v>
      </c>
      <c r="AH540" s="1" t="s">
        <v>37</v>
      </c>
      <c r="AI540" s="1" t="s">
        <v>39</v>
      </c>
      <c r="AJ540" s="1" t="s">
        <v>39</v>
      </c>
      <c r="AK540" s="1" t="str">
        <f t="shared" si="17"/>
        <v>Apenas Pilar 3</v>
      </c>
      <c r="AL540" s="1" t="str">
        <f>+IF(IFERROR(VLOOKUP(A540,Ficheiros!I:I,1,FALSE),"")=A540,"Sim","Não")</f>
        <v>Não</v>
      </c>
      <c r="AM540" s="1" t="str">
        <f>+IF(IFERROR(VLOOKUP(A540,Ficheiros!E:E,1,FALSE),"")=A540,"Sim","Não")</f>
        <v>Sim</v>
      </c>
      <c r="AN540" s="1" t="str">
        <f>+IF(IFERROR(VLOOKUP(A540,Ficheiros!O:O,1,FALSE),"")=A540,"Sim","Não")</f>
        <v>Sim</v>
      </c>
      <c r="AO540" s="1" t="str">
        <f>+IF(IFERROR(VLOOKUP(A540,'Especificação Novos Req. LT (2'!A:A,1,FALSE),"")=A540,"Sim","Não")</f>
        <v>Não</v>
      </c>
      <c r="AP540" s="1" t="str">
        <f>+IF(IFERROR(VLOOKUP(A540,Ficheiros!T:T,1,FALSE),"")=A540,"Sim","Não")</f>
        <v>Não</v>
      </c>
      <c r="AQ540" s="1" t="str">
        <f>+VLOOKUP(A540,Ficheiros!O:P,2,FALSE)</f>
        <v>1. Concluído</v>
      </c>
      <c r="AR540" s="1" t="e">
        <f>+VLOOKUP(A540,Ficheiros!R:S,3,FALSE)</f>
        <v>#N/A</v>
      </c>
      <c r="AS540" s="1" t="e">
        <f>+VLOOKUP(A540,Ficheiros!T:V,3,FALSE)</f>
        <v>#N/A</v>
      </c>
      <c r="AT540" s="1"/>
      <c r="AU540" s="1"/>
      <c r="AV540" s="1"/>
      <c r="AW540" s="1"/>
      <c r="AX540" s="1"/>
    </row>
    <row r="541" spans="1:50" ht="14.5" hidden="1" customHeight="1" x14ac:dyDescent="0.35">
      <c r="A541" s="5" t="str">
        <f t="shared" si="16"/>
        <v>INSTR_ACTIVITYTYP_ACTVTY</v>
      </c>
      <c r="B541" s="1" t="s">
        <v>2270</v>
      </c>
      <c r="C541" s="1" t="s">
        <v>2259</v>
      </c>
      <c r="D541" s="1" t="s">
        <v>49</v>
      </c>
      <c r="E541" s="1" t="s">
        <v>37</v>
      </c>
      <c r="F541" s="25" t="s">
        <v>1751</v>
      </c>
      <c r="G541" s="1" t="s">
        <v>1751</v>
      </c>
      <c r="H541" s="1" t="s">
        <v>37</v>
      </c>
      <c r="I541" s="1" t="s">
        <v>37</v>
      </c>
      <c r="J541" s="1" t="s">
        <v>39</v>
      </c>
      <c r="K541" s="1" t="s">
        <v>39</v>
      </c>
      <c r="L541" s="1" t="s">
        <v>39</v>
      </c>
      <c r="M541" s="1" t="s">
        <v>39</v>
      </c>
      <c r="N541" s="1" t="s">
        <v>39</v>
      </c>
      <c r="O541" s="1"/>
      <c r="P541" s="1"/>
      <c r="Q541" s="1" t="s">
        <v>37</v>
      </c>
      <c r="R541" s="1" t="s">
        <v>136</v>
      </c>
      <c r="S541" s="1" t="s">
        <v>52</v>
      </c>
      <c r="T541" s="1">
        <v>99999999999</v>
      </c>
      <c r="U541" s="1">
        <v>11111111111</v>
      </c>
      <c r="V541" s="1">
        <v>11111111111</v>
      </c>
      <c r="W541" s="1" t="s">
        <v>1752</v>
      </c>
      <c r="X541" s="1" t="s">
        <v>1753</v>
      </c>
      <c r="Y541" s="1" t="s">
        <v>45</v>
      </c>
      <c r="Z541" s="1" t="s">
        <v>46</v>
      </c>
      <c r="AA541" s="1" t="s">
        <v>47</v>
      </c>
      <c r="AB541" s="1" t="s">
        <v>37</v>
      </c>
      <c r="AC541" s="1" t="s">
        <v>37</v>
      </c>
      <c r="AD541" s="1" t="s">
        <v>39</v>
      </c>
      <c r="AE541" s="1" t="s">
        <v>37</v>
      </c>
      <c r="AF541" s="1" t="s">
        <v>37</v>
      </c>
      <c r="AG541" s="1" t="s">
        <v>37</v>
      </c>
      <c r="AH541" s="1" t="s">
        <v>37</v>
      </c>
      <c r="AI541" s="1" t="s">
        <v>39</v>
      </c>
      <c r="AJ541" s="1" t="s">
        <v>39</v>
      </c>
      <c r="AK541" s="1" t="str">
        <f t="shared" si="17"/>
        <v>Apenas Pilar 3</v>
      </c>
      <c r="AL541" s="1" t="str">
        <f>+IF(IFERROR(VLOOKUP(A541,Ficheiros!I:I,1,FALSE),"")=A541,"Sim","Não")</f>
        <v>Não</v>
      </c>
      <c r="AM541" s="1" t="str">
        <f>+IF(IFERROR(VLOOKUP(A541,Ficheiros!E:E,1,FALSE),"")=A541,"Sim","Não")</f>
        <v>Sim</v>
      </c>
      <c r="AN541" s="1" t="str">
        <f>+IF(IFERROR(VLOOKUP(A541,Ficheiros!O:O,1,FALSE),"")=A541,"Sim","Não")</f>
        <v>Sim</v>
      </c>
      <c r="AO541" s="1" t="str">
        <f>+IF(IFERROR(VLOOKUP(A541,'Especificação Novos Req. LT (2'!A:A,1,FALSE),"")=A541,"Sim","Não")</f>
        <v>Não</v>
      </c>
      <c r="AP541" s="1" t="str">
        <f>+IF(IFERROR(VLOOKUP(A541,Ficheiros!T:T,1,FALSE),"")=A541,"Sim","Não")</f>
        <v>Não</v>
      </c>
      <c r="AQ541" s="1" t="str">
        <f>+VLOOKUP(A541,Ficheiros!O:P,2,FALSE)</f>
        <v>1. Concluído</v>
      </c>
      <c r="AR541" s="1" t="e">
        <f>+VLOOKUP(A541,Ficheiros!R:S,3,FALSE)</f>
        <v>#N/A</v>
      </c>
      <c r="AS541" s="1" t="e">
        <f>+VLOOKUP(A541,Ficheiros!T:V,3,FALSE)</f>
        <v>#N/A</v>
      </c>
      <c r="AT541" s="1"/>
      <c r="AU541" s="1"/>
      <c r="AV541" s="1"/>
      <c r="AW541" s="1"/>
      <c r="AX541" s="1"/>
    </row>
    <row r="542" spans="1:50" ht="14.5" hidden="1" customHeight="1" x14ac:dyDescent="0.35">
      <c r="A542" s="5" t="str">
        <f t="shared" si="16"/>
        <v>INSTR_ACTIVITYSSTNBL_INDCTR</v>
      </c>
      <c r="B542" s="1" t="s">
        <v>2271</v>
      </c>
      <c r="C542" s="1" t="s">
        <v>2259</v>
      </c>
      <c r="D542" s="1" t="s">
        <v>49</v>
      </c>
      <c r="E542" s="1" t="s">
        <v>37</v>
      </c>
      <c r="F542" s="25" t="s">
        <v>1622</v>
      </c>
      <c r="G542" s="41" t="s">
        <v>1622</v>
      </c>
      <c r="H542" s="1" t="s">
        <v>37</v>
      </c>
      <c r="I542" s="1" t="s">
        <v>39</v>
      </c>
      <c r="J542" s="1" t="s">
        <v>39</v>
      </c>
      <c r="K542" s="1" t="s">
        <v>39</v>
      </c>
      <c r="L542" s="1" t="s">
        <v>39</v>
      </c>
      <c r="M542" s="1" t="s">
        <v>39</v>
      </c>
      <c r="N542" s="1" t="s">
        <v>39</v>
      </c>
      <c r="O542" s="1"/>
      <c r="P542" s="1"/>
      <c r="Q542" s="1" t="s">
        <v>39</v>
      </c>
      <c r="R542" s="1" t="s">
        <v>136</v>
      </c>
      <c r="S542" s="1" t="s">
        <v>52</v>
      </c>
      <c r="T542" s="1" t="s">
        <v>53</v>
      </c>
      <c r="U542" s="1" t="s">
        <v>42</v>
      </c>
      <c r="V542" s="1" t="s">
        <v>46</v>
      </c>
      <c r="W542" s="1" t="s">
        <v>1623</v>
      </c>
      <c r="X542" s="1" t="s">
        <v>2272</v>
      </c>
      <c r="Y542" s="1" t="s">
        <v>45</v>
      </c>
      <c r="Z542" s="1" t="s">
        <v>46</v>
      </c>
      <c r="AA542" s="1" t="s">
        <v>47</v>
      </c>
      <c r="AB542" s="1" t="s">
        <v>37</v>
      </c>
      <c r="AC542" s="1" t="s">
        <v>39</v>
      </c>
      <c r="AD542" s="1" t="s">
        <v>39</v>
      </c>
      <c r="AE542" s="1" t="s">
        <v>39</v>
      </c>
      <c r="AF542" s="1" t="s">
        <v>37</v>
      </c>
      <c r="AG542" s="1" t="s">
        <v>37</v>
      </c>
      <c r="AH542" s="1" t="s">
        <v>39</v>
      </c>
      <c r="AI542" s="1" t="s">
        <v>39</v>
      </c>
      <c r="AJ542" s="1" t="s">
        <v>39</v>
      </c>
      <c r="AK542" s="1" t="str">
        <f t="shared" si="17"/>
        <v>Apenas Pilar 3</v>
      </c>
      <c r="AL542" s="1" t="str">
        <f>+IF(IFERROR(VLOOKUP(A542,Ficheiros!I:I,1,FALSE),"")=A542,"Sim","Não")</f>
        <v>Não</v>
      </c>
      <c r="AM542" s="41" t="s">
        <v>2393</v>
      </c>
      <c r="AN542" s="41" t="s">
        <v>2393</v>
      </c>
      <c r="AO542" s="1" t="str">
        <f>+IF(IFERROR(VLOOKUP(A542,'Especificação Novos Req. LT (2'!A:A,1,FALSE),"")=A542,"Sim","Não")</f>
        <v>Não</v>
      </c>
      <c r="AP542" s="1" t="str">
        <f>+IF(IFERROR(VLOOKUP(A542,Ficheiros!T:T,1,FALSE),"")=A542,"Sim","Não")</f>
        <v>Não</v>
      </c>
      <c r="AQ542" s="1" t="str">
        <f>+VLOOKUP(A542,Ficheiros!O:P,2,FALSE)</f>
        <v>1. Concluído</v>
      </c>
      <c r="AR542" s="1" t="e">
        <f>+VLOOKUP(A542,Ficheiros!R:S,3,FALSE)</f>
        <v>#N/A</v>
      </c>
      <c r="AS542" s="1" t="e">
        <f>+VLOOKUP(A542,Ficheiros!T:V,3,FALSE)</f>
        <v>#N/A</v>
      </c>
      <c r="AT542" s="1"/>
      <c r="AU542" s="1"/>
      <c r="AV542" s="1" t="s">
        <v>2538</v>
      </c>
      <c r="AW542" s="1"/>
      <c r="AX542" s="1" t="s">
        <v>2481</v>
      </c>
    </row>
    <row r="543" spans="1:50" ht="14.5" hidden="1" customHeight="1" x14ac:dyDescent="0.35">
      <c r="A543" s="5" t="str">
        <f t="shared" si="16"/>
        <v>INSTR_ACTIVITYFLG_SBSTNTL_CNTRBTN</v>
      </c>
      <c r="B543" s="1" t="s">
        <v>2273</v>
      </c>
      <c r="C543" s="1" t="s">
        <v>2259</v>
      </c>
      <c r="D543" s="1" t="s">
        <v>49</v>
      </c>
      <c r="E543" s="1" t="s">
        <v>37</v>
      </c>
      <c r="F543" s="25" t="s">
        <v>2274</v>
      </c>
      <c r="G543" s="1" t="s">
        <v>2274</v>
      </c>
      <c r="H543" s="1" t="s">
        <v>37</v>
      </c>
      <c r="I543" s="1" t="s">
        <v>37</v>
      </c>
      <c r="J543" s="1" t="s">
        <v>39</v>
      </c>
      <c r="K543" s="1" t="s">
        <v>39</v>
      </c>
      <c r="L543" s="1" t="s">
        <v>39</v>
      </c>
      <c r="M543" s="1" t="s">
        <v>39</v>
      </c>
      <c r="N543" s="1" t="s">
        <v>39</v>
      </c>
      <c r="O543" s="1"/>
      <c r="P543" s="1"/>
      <c r="Q543" s="1" t="s">
        <v>37</v>
      </c>
      <c r="R543" s="1" t="s">
        <v>141</v>
      </c>
      <c r="S543" s="1" t="s">
        <v>142</v>
      </c>
      <c r="T543" s="1" t="s">
        <v>53</v>
      </c>
      <c r="U543" s="1" t="s">
        <v>42</v>
      </c>
      <c r="V543" s="1" t="s">
        <v>46</v>
      </c>
      <c r="W543" s="1" t="s">
        <v>2275</v>
      </c>
      <c r="X543" s="1" t="s">
        <v>2276</v>
      </c>
      <c r="Y543" s="1" t="s">
        <v>45</v>
      </c>
      <c r="Z543" s="1" t="s">
        <v>46</v>
      </c>
      <c r="AA543" s="1" t="s">
        <v>47</v>
      </c>
      <c r="AB543" s="1" t="s">
        <v>37</v>
      </c>
      <c r="AC543" s="1" t="s">
        <v>37</v>
      </c>
      <c r="AD543" s="1" t="s">
        <v>39</v>
      </c>
      <c r="AE543" s="1" t="s">
        <v>37</v>
      </c>
      <c r="AF543" s="1" t="s">
        <v>37</v>
      </c>
      <c r="AG543" s="1" t="s">
        <v>37</v>
      </c>
      <c r="AH543" s="1" t="s">
        <v>37</v>
      </c>
      <c r="AI543" s="1" t="s">
        <v>39</v>
      </c>
      <c r="AJ543" s="1" t="s">
        <v>39</v>
      </c>
      <c r="AK543" s="1" t="str">
        <f t="shared" si="17"/>
        <v>Apenas Pilar 3</v>
      </c>
      <c r="AL543" s="1" t="str">
        <f>+IF(IFERROR(VLOOKUP(A543,Ficheiros!I:I,1,FALSE),"")=A543,"Sim","Não")</f>
        <v>Não</v>
      </c>
      <c r="AM543" s="1" t="str">
        <f>+IF(IFERROR(VLOOKUP(A543,Ficheiros!E:E,1,FALSE),"")=A543,"Sim","Não")</f>
        <v>Não</v>
      </c>
      <c r="AN543" s="1" t="str">
        <f>+IF(IFERROR(VLOOKUP(A543,Ficheiros!O:O,1,FALSE),"")=A543,"Sim","Não")</f>
        <v>Não</v>
      </c>
      <c r="AO543" s="1" t="str">
        <f>+IF(IFERROR(VLOOKUP(A543,'Especificação Novos Req. LT (2'!A:A,1,FALSE),"")=A543,"Sim","Não")</f>
        <v>Sim</v>
      </c>
      <c r="AP543" s="1" t="str">
        <f>+IF(IFERROR(VLOOKUP(A543,Ficheiros!T:T,1,FALSE),"")=A543,"Sim","Não")</f>
        <v>Não</v>
      </c>
      <c r="AQ543" s="1" t="e">
        <f>+VLOOKUP(A543,Ficheiros!O:P,2,FALSE)</f>
        <v>#N/A</v>
      </c>
      <c r="AR543" s="1" t="e">
        <f>+VLOOKUP(A543,Ficheiros!R:S,3,FALSE)</f>
        <v>#N/A</v>
      </c>
      <c r="AS543" s="1" t="e">
        <f>+VLOOKUP(A543,Ficheiros!T:V,3,FALSE)</f>
        <v>#N/A</v>
      </c>
      <c r="AT543" s="1"/>
      <c r="AU543" s="1"/>
      <c r="AV543" s="1" t="s">
        <v>2538</v>
      </c>
      <c r="AW543" s="1"/>
      <c r="AX543" s="1"/>
    </row>
    <row r="544" spans="1:50" ht="14.5" customHeight="1" x14ac:dyDescent="0.35">
      <c r="A544" s="5" t="str">
        <f t="shared" si="16"/>
        <v>INSTR_ACTIVITYFLG_DNSH_CMPLNC</v>
      </c>
      <c r="B544" s="1" t="s">
        <v>2277</v>
      </c>
      <c r="C544" s="1" t="s">
        <v>2259</v>
      </c>
      <c r="D544" s="1" t="s">
        <v>49</v>
      </c>
      <c r="E544" s="1" t="s">
        <v>37</v>
      </c>
      <c r="F544" s="25" t="s">
        <v>2278</v>
      </c>
      <c r="G544" s="1" t="s">
        <v>2278</v>
      </c>
      <c r="H544" s="1" t="s">
        <v>37</v>
      </c>
      <c r="I544" s="1" t="s">
        <v>37</v>
      </c>
      <c r="J544" s="1" t="s">
        <v>39</v>
      </c>
      <c r="K544" s="1" t="s">
        <v>39</v>
      </c>
      <c r="L544" s="1" t="s">
        <v>39</v>
      </c>
      <c r="M544" s="1" t="s">
        <v>39</v>
      </c>
      <c r="N544" s="1" t="s">
        <v>39</v>
      </c>
      <c r="O544" s="1"/>
      <c r="P544" s="1"/>
      <c r="Q544" s="1" t="s">
        <v>37</v>
      </c>
      <c r="R544" s="1" t="s">
        <v>141</v>
      </c>
      <c r="S544" s="1" t="s">
        <v>142</v>
      </c>
      <c r="T544" s="1" t="s">
        <v>53</v>
      </c>
      <c r="U544" s="1" t="s">
        <v>42</v>
      </c>
      <c r="V544" s="1" t="s">
        <v>46</v>
      </c>
      <c r="W544" s="1" t="s">
        <v>2279</v>
      </c>
      <c r="X544" s="1" t="s">
        <v>2280</v>
      </c>
      <c r="Y544" s="1" t="s">
        <v>45</v>
      </c>
      <c r="Z544" s="1" t="s">
        <v>46</v>
      </c>
      <c r="AA544" s="1" t="s">
        <v>47</v>
      </c>
      <c r="AB544" s="1" t="s">
        <v>37</v>
      </c>
      <c r="AC544" s="1" t="s">
        <v>37</v>
      </c>
      <c r="AD544" s="1" t="s">
        <v>39</v>
      </c>
      <c r="AE544" s="1" t="s">
        <v>37</v>
      </c>
      <c r="AF544" s="1" t="s">
        <v>37</v>
      </c>
      <c r="AG544" s="1" t="s">
        <v>37</v>
      </c>
      <c r="AH544" s="1" t="s">
        <v>37</v>
      </c>
      <c r="AI544" s="1" t="s">
        <v>39</v>
      </c>
      <c r="AJ544" s="1" t="s">
        <v>39</v>
      </c>
      <c r="AK544" s="1" t="str">
        <f t="shared" si="17"/>
        <v>Apenas Pilar 3</v>
      </c>
      <c r="AL544" s="1" t="str">
        <f>+IF(IFERROR(VLOOKUP(A544,Ficheiros!I:I,1,FALSE),"")=A544,"Sim","Não")</f>
        <v>Não</v>
      </c>
      <c r="AM544" s="1" t="str">
        <f>+IF(IFERROR(VLOOKUP(A544,Ficheiros!E:E,1,FALSE),"")=A544,"Sim","Não")</f>
        <v>Não</v>
      </c>
      <c r="AN544" s="1" t="str">
        <f>+IF(IFERROR(VLOOKUP(A544,Ficheiros!O:O,1,FALSE),"")=A544,"Sim","Não")</f>
        <v>Não</v>
      </c>
      <c r="AO544" s="1" t="str">
        <f>+IF(IFERROR(VLOOKUP(A544,'Especificação Novos Req. LT (2'!A:A,1,FALSE),"")=A544,"Sim","Não")</f>
        <v>Sim</v>
      </c>
      <c r="AP544" s="1" t="str">
        <f>+IF(IFERROR(VLOOKUP(A544,Ficheiros!T:T,1,FALSE),"")=A544,"Sim","Não")</f>
        <v>Não</v>
      </c>
      <c r="AQ544" s="1" t="e">
        <f>+VLOOKUP(A544,Ficheiros!O:P,2,FALSE)</f>
        <v>#N/A</v>
      </c>
      <c r="AR544" s="1" t="e">
        <f>+VLOOKUP(A544,Ficheiros!R:S,3,FALSE)</f>
        <v>#N/A</v>
      </c>
      <c r="AS544" s="1" t="e">
        <f>+VLOOKUP(A544,Ficheiros!T:V,3,FALSE)</f>
        <v>#N/A</v>
      </c>
      <c r="AT544" s="1"/>
      <c r="AU544" s="1"/>
      <c r="AV544" s="1" t="s">
        <v>2534</v>
      </c>
      <c r="AW544" s="1" t="s">
        <v>2542</v>
      </c>
      <c r="AX544" s="1"/>
    </row>
    <row r="545" spans="1:50" ht="14.5" customHeight="1" x14ac:dyDescent="0.35">
      <c r="A545" s="5" t="str">
        <f t="shared" si="16"/>
        <v>INSTR_ACTIVITYDNSH_DTL</v>
      </c>
      <c r="B545" s="1" t="s">
        <v>2281</v>
      </c>
      <c r="C545" s="44" t="s">
        <v>2259</v>
      </c>
      <c r="D545" s="44" t="s">
        <v>49</v>
      </c>
      <c r="E545" s="44" t="s">
        <v>37</v>
      </c>
      <c r="F545" s="45" t="s">
        <v>2282</v>
      </c>
      <c r="G545" s="44" t="s">
        <v>2282</v>
      </c>
      <c r="H545" s="44" t="s">
        <v>37</v>
      </c>
      <c r="I545" s="44" t="s">
        <v>37</v>
      </c>
      <c r="J545" s="44" t="s">
        <v>39</v>
      </c>
      <c r="K545" s="44" t="s">
        <v>39</v>
      </c>
      <c r="L545" s="44" t="s">
        <v>39</v>
      </c>
      <c r="M545" s="44" t="s">
        <v>39</v>
      </c>
      <c r="N545" s="44" t="s">
        <v>39</v>
      </c>
      <c r="O545" s="44"/>
      <c r="P545" s="44"/>
      <c r="Q545" s="44" t="s">
        <v>37</v>
      </c>
      <c r="R545" s="44" t="s">
        <v>136</v>
      </c>
      <c r="S545" s="44" t="s">
        <v>52</v>
      </c>
      <c r="T545" s="44" t="s">
        <v>53</v>
      </c>
      <c r="U545" s="44" t="s">
        <v>46</v>
      </c>
      <c r="V545" s="44" t="s">
        <v>46</v>
      </c>
      <c r="W545" s="44" t="s">
        <v>2283</v>
      </c>
      <c r="X545" s="44" t="s">
        <v>2284</v>
      </c>
      <c r="Y545" s="44" t="s">
        <v>45</v>
      </c>
      <c r="Z545" s="44" t="s">
        <v>46</v>
      </c>
      <c r="AA545" s="44" t="s">
        <v>47</v>
      </c>
      <c r="AB545" s="44" t="s">
        <v>37</v>
      </c>
      <c r="AC545" s="44" t="s">
        <v>37</v>
      </c>
      <c r="AD545" s="44" t="s">
        <v>39</v>
      </c>
      <c r="AE545" s="44" t="s">
        <v>37</v>
      </c>
      <c r="AF545" s="44" t="s">
        <v>37</v>
      </c>
      <c r="AG545" s="44" t="s">
        <v>37</v>
      </c>
      <c r="AH545" s="44" t="s">
        <v>37</v>
      </c>
      <c r="AI545" s="44" t="s">
        <v>39</v>
      </c>
      <c r="AJ545" s="44" t="s">
        <v>39</v>
      </c>
      <c r="AK545" s="44" t="str">
        <f t="shared" si="17"/>
        <v>Apenas Pilar 3</v>
      </c>
      <c r="AL545" s="44" t="str">
        <f>+IF(IFERROR(VLOOKUP(A545,Ficheiros!I:I,1,FALSE),"")=A545,"Sim","Não")</f>
        <v>Não</v>
      </c>
      <c r="AM545" s="44" t="str">
        <f>+IF(IFERROR(VLOOKUP(A545,Ficheiros!E:E,1,FALSE),"")=A545,"Sim","Não")</f>
        <v>Não</v>
      </c>
      <c r="AN545" s="44" t="str">
        <f>+IF(IFERROR(VLOOKUP(A545,Ficheiros!O:O,1,FALSE),"")=A545,"Sim","Não")</f>
        <v>Não</v>
      </c>
      <c r="AO545" s="44" t="str">
        <f>+IF(IFERROR(VLOOKUP(A545,'Especificação Novos Req. LT (2'!A:A,1,FALSE),"")=A545,"Sim","Não")</f>
        <v>Sim</v>
      </c>
      <c r="AP545" s="44" t="str">
        <f>+IF(IFERROR(VLOOKUP(A545,Ficheiros!T:T,1,FALSE),"")=A545,"Sim","Não")</f>
        <v>Não</v>
      </c>
      <c r="AQ545" s="44" t="e">
        <f>+VLOOKUP(A545,Ficheiros!O:P,2,FALSE)</f>
        <v>#N/A</v>
      </c>
      <c r="AR545" s="44" t="e">
        <f>+VLOOKUP(A545,Ficheiros!R:S,3,FALSE)</f>
        <v>#N/A</v>
      </c>
      <c r="AS545" s="1" t="e">
        <f>+VLOOKUP(A545,Ficheiros!T:V,3,FALSE)</f>
        <v>#N/A</v>
      </c>
      <c r="AT545" s="44"/>
      <c r="AU545" s="44"/>
      <c r="AV545" s="1" t="s">
        <v>2534</v>
      </c>
      <c r="AW545" s="1" t="s">
        <v>2542</v>
      </c>
      <c r="AX545" s="44"/>
    </row>
    <row r="546" spans="1:50" ht="14.5" hidden="1" customHeight="1" x14ac:dyDescent="0.35">
      <c r="A546" s="5"/>
      <c r="C546" s="37" t="s">
        <v>2483</v>
      </c>
      <c r="D546" s="1"/>
      <c r="E546" s="1"/>
      <c r="F546" s="1"/>
      <c r="G546" s="42" t="s">
        <v>2484</v>
      </c>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42" t="s">
        <v>2393</v>
      </c>
      <c r="AN546" s="42" t="s">
        <v>2393</v>
      </c>
      <c r="AO546" s="1" t="s">
        <v>2393</v>
      </c>
      <c r="AP546" s="1"/>
      <c r="AQ546" s="1"/>
      <c r="AR546" s="1"/>
      <c r="AS546" s="1"/>
      <c r="AT546" s="1"/>
      <c r="AU546" s="1"/>
      <c r="AV546" s="1"/>
      <c r="AW546" s="1"/>
      <c r="AX546" s="1"/>
    </row>
    <row r="547" spans="1:50" ht="14.5" hidden="1" customHeight="1" x14ac:dyDescent="0.35">
      <c r="C547" s="37" t="s">
        <v>2483</v>
      </c>
      <c r="D547" s="1"/>
      <c r="E547" s="1"/>
      <c r="F547" s="1"/>
      <c r="G547" s="41" t="s">
        <v>2485</v>
      </c>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41" t="s">
        <v>2393</v>
      </c>
      <c r="AN547" s="41" t="s">
        <v>2393</v>
      </c>
      <c r="AO547" s="1" t="s">
        <v>2393</v>
      </c>
      <c r="AP547" s="1"/>
      <c r="AQ547" s="1"/>
      <c r="AR547" s="1"/>
      <c r="AS547" s="1"/>
      <c r="AT547" s="1"/>
      <c r="AU547" s="1"/>
      <c r="AV547" s="1"/>
      <c r="AW547" s="1"/>
      <c r="AX547" s="1"/>
    </row>
    <row r="548" spans="1:50" ht="14.5" hidden="1" customHeight="1" x14ac:dyDescent="0.35">
      <c r="C548" s="37" t="s">
        <v>2483</v>
      </c>
      <c r="D548" s="1"/>
      <c r="E548" s="1"/>
      <c r="F548" s="1"/>
      <c r="G548" s="41" t="s">
        <v>2486</v>
      </c>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41" t="s">
        <v>2393</v>
      </c>
      <c r="AN548" s="41" t="s">
        <v>2393</v>
      </c>
      <c r="AO548" s="1" t="s">
        <v>2393</v>
      </c>
      <c r="AP548" s="1"/>
      <c r="AQ548" s="1"/>
      <c r="AR548" s="1"/>
      <c r="AS548" s="1"/>
      <c r="AT548" s="1"/>
      <c r="AU548" s="1"/>
      <c r="AV548" s="1"/>
      <c r="AW548" s="1"/>
      <c r="AX548" s="1"/>
    </row>
    <row r="549" spans="1:50" ht="14.5" hidden="1" customHeight="1" x14ac:dyDescent="0.35">
      <c r="C549" s="37" t="s">
        <v>2483</v>
      </c>
      <c r="D549" s="1"/>
      <c r="E549" s="1"/>
      <c r="F549" s="1"/>
      <c r="G549" s="42" t="s">
        <v>2511</v>
      </c>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42" t="s">
        <v>2393</v>
      </c>
      <c r="AN549" s="42" t="s">
        <v>2393</v>
      </c>
      <c r="AO549" s="1" t="s">
        <v>2393</v>
      </c>
      <c r="AP549" s="1"/>
      <c r="AQ549" s="1"/>
      <c r="AR549" s="1"/>
      <c r="AS549" s="1"/>
      <c r="AT549" s="1"/>
      <c r="AU549" s="1"/>
      <c r="AV549" s="1"/>
      <c r="AW549" s="1"/>
      <c r="AX549" s="1" t="s">
        <v>2487</v>
      </c>
    </row>
    <row r="550" spans="1:50" ht="14.5" hidden="1" customHeight="1" x14ac:dyDescent="0.35">
      <c r="C550" s="37" t="s">
        <v>2483</v>
      </c>
      <c r="D550" s="1"/>
      <c r="E550" s="1"/>
      <c r="F550" s="1"/>
      <c r="G550" s="42" t="s">
        <v>2488</v>
      </c>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42" t="s">
        <v>2393</v>
      </c>
      <c r="AN550" s="42" t="s">
        <v>2393</v>
      </c>
      <c r="AO550" s="1" t="s">
        <v>2532</v>
      </c>
      <c r="AP550" s="1"/>
      <c r="AQ550" s="1"/>
      <c r="AR550" s="1"/>
      <c r="AS550" s="1"/>
      <c r="AT550" s="1"/>
      <c r="AU550" s="1"/>
      <c r="AV550" s="1"/>
      <c r="AW550" s="1"/>
      <c r="AX550" s="1" t="s">
        <v>2489</v>
      </c>
    </row>
    <row r="551" spans="1:50" ht="14.5" hidden="1" customHeight="1" x14ac:dyDescent="0.35">
      <c r="C551" s="37" t="s">
        <v>2483</v>
      </c>
      <c r="D551" s="1"/>
      <c r="E551" s="1"/>
      <c r="F551" s="1"/>
      <c r="G551" s="42" t="s">
        <v>2490</v>
      </c>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42" t="s">
        <v>2393</v>
      </c>
      <c r="AN551" s="42" t="s">
        <v>2393</v>
      </c>
      <c r="AO551" s="1" t="s">
        <v>2393</v>
      </c>
      <c r="AP551" s="1"/>
      <c r="AQ551" s="1"/>
      <c r="AR551" s="1"/>
      <c r="AS551" s="1"/>
      <c r="AT551" s="1"/>
      <c r="AU551" s="1"/>
      <c r="AV551" s="1"/>
      <c r="AW551" s="1"/>
      <c r="AX551" s="1"/>
    </row>
    <row r="552" spans="1:50" ht="14.5" hidden="1" customHeight="1" x14ac:dyDescent="0.35">
      <c r="C552" s="37" t="s">
        <v>2483</v>
      </c>
      <c r="D552" s="1"/>
      <c r="E552" s="1"/>
      <c r="F552" s="1"/>
      <c r="G552" s="42" t="s">
        <v>2491</v>
      </c>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42" t="s">
        <v>2393</v>
      </c>
      <c r="AN552" s="42" t="s">
        <v>2393</v>
      </c>
      <c r="AO552" s="1" t="s">
        <v>2393</v>
      </c>
      <c r="AP552" s="1"/>
      <c r="AQ552" s="1"/>
      <c r="AR552" s="1"/>
      <c r="AS552" s="1"/>
      <c r="AT552" s="1"/>
      <c r="AU552" s="1"/>
      <c r="AV552" s="1"/>
      <c r="AW552" s="1"/>
      <c r="AX552" s="1"/>
    </row>
    <row r="553" spans="1:50" ht="14.5" hidden="1" customHeight="1" x14ac:dyDescent="0.35">
      <c r="C553" s="37" t="s">
        <v>2483</v>
      </c>
      <c r="D553" s="1"/>
      <c r="E553" s="1"/>
      <c r="F553" s="1"/>
      <c r="G553" s="41" t="s">
        <v>2492</v>
      </c>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41" t="s">
        <v>2393</v>
      </c>
      <c r="AN553" s="41" t="s">
        <v>2393</v>
      </c>
      <c r="AO553" s="1" t="s">
        <v>2394</v>
      </c>
      <c r="AP553" s="1"/>
      <c r="AQ553" s="1"/>
      <c r="AR553" s="1"/>
      <c r="AS553" s="1"/>
      <c r="AT553" s="1"/>
      <c r="AU553" s="1"/>
      <c r="AV553" s="1" t="s">
        <v>2534</v>
      </c>
      <c r="AW553" s="1"/>
      <c r="AX553" s="1"/>
    </row>
    <row r="554" spans="1:50" ht="14.5" hidden="1" customHeight="1" x14ac:dyDescent="0.35">
      <c r="C554" s="37" t="s">
        <v>2483</v>
      </c>
      <c r="D554" s="1"/>
      <c r="E554" s="1"/>
      <c r="F554" s="1"/>
      <c r="G554" s="41" t="s">
        <v>2512</v>
      </c>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41" t="s">
        <v>2393</v>
      </c>
      <c r="AN554" s="41" t="s">
        <v>2393</v>
      </c>
      <c r="AO554" s="1" t="s">
        <v>2394</v>
      </c>
      <c r="AP554" s="1"/>
      <c r="AQ554" s="1"/>
      <c r="AR554" s="1"/>
      <c r="AS554" s="1"/>
      <c r="AT554" s="1"/>
      <c r="AU554" s="1"/>
      <c r="AV554" s="1" t="s">
        <v>2534</v>
      </c>
      <c r="AW554" s="1"/>
      <c r="AX554" s="1"/>
    </row>
    <row r="555" spans="1:50" ht="14.5" hidden="1" customHeight="1" x14ac:dyDescent="0.35">
      <c r="C555" s="37" t="s">
        <v>2483</v>
      </c>
      <c r="D555" s="1"/>
      <c r="E555" s="1"/>
      <c r="F555" s="1"/>
      <c r="G555" s="41" t="s">
        <v>2513</v>
      </c>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41" t="s">
        <v>2393</v>
      </c>
      <c r="AN555" s="41" t="s">
        <v>2393</v>
      </c>
      <c r="AO555" s="1" t="s">
        <v>2393</v>
      </c>
      <c r="AP555" s="1"/>
      <c r="AQ555" s="1"/>
      <c r="AR555" s="1"/>
      <c r="AS555" s="1"/>
      <c r="AT555" s="1"/>
      <c r="AU555" s="1"/>
      <c r="AV555" s="1" t="s">
        <v>2534</v>
      </c>
      <c r="AW555" s="1"/>
      <c r="AX555" s="1"/>
    </row>
    <row r="556" spans="1:50" ht="14.5" hidden="1" customHeight="1" x14ac:dyDescent="0.35">
      <c r="C556" s="37" t="s">
        <v>2493</v>
      </c>
      <c r="D556" s="1"/>
      <c r="E556" s="1"/>
      <c r="F556" s="1"/>
      <c r="G556" s="42" t="s">
        <v>2494</v>
      </c>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42" t="s">
        <v>2393</v>
      </c>
      <c r="AN556" s="42" t="s">
        <v>2393</v>
      </c>
      <c r="AO556" s="1" t="s">
        <v>2394</v>
      </c>
      <c r="AP556" s="1"/>
      <c r="AQ556" s="1"/>
      <c r="AR556" s="1"/>
      <c r="AS556" s="1"/>
      <c r="AT556" s="1"/>
      <c r="AU556" s="1"/>
      <c r="AV556" s="1"/>
      <c r="AW556" s="1"/>
      <c r="AX556" s="1"/>
    </row>
    <row r="557" spans="1:50" ht="14.5" hidden="1" customHeight="1" x14ac:dyDescent="0.35">
      <c r="C557" s="37" t="s">
        <v>2493</v>
      </c>
      <c r="D557" s="1"/>
      <c r="E557" s="1"/>
      <c r="F557" s="1"/>
      <c r="G557" s="42" t="s">
        <v>2495</v>
      </c>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42" t="s">
        <v>2393</v>
      </c>
      <c r="AN557" s="42" t="s">
        <v>2393</v>
      </c>
      <c r="AO557" s="1" t="s">
        <v>2394</v>
      </c>
      <c r="AP557" s="1"/>
      <c r="AQ557" s="1"/>
      <c r="AR557" s="1"/>
      <c r="AS557" s="1"/>
      <c r="AT557" s="1"/>
      <c r="AU557" s="1"/>
      <c r="AV557" s="1"/>
      <c r="AW557" s="1"/>
      <c r="AX557" s="1"/>
    </row>
    <row r="558" spans="1:50" x14ac:dyDescent="0.35">
      <c r="C558" s="43"/>
      <c r="G558" s="43"/>
    </row>
    <row r="559" spans="1:50" hidden="1" x14ac:dyDescent="0.35">
      <c r="C559" s="43"/>
      <c r="G559" s="43"/>
    </row>
    <row r="560" spans="1:50" hidden="1" x14ac:dyDescent="0.35">
      <c r="C560" s="43"/>
      <c r="G560" s="43"/>
    </row>
    <row r="561" spans="3:7" hidden="1" x14ac:dyDescent="0.35">
      <c r="C561" s="43"/>
      <c r="G561" s="43"/>
    </row>
    <row r="562" spans="3:7" hidden="1" x14ac:dyDescent="0.35">
      <c r="C562" s="43"/>
      <c r="G562" s="43"/>
    </row>
    <row r="563" spans="3:7" hidden="1" x14ac:dyDescent="0.35">
      <c r="C563" s="43"/>
      <c r="G563" s="43"/>
    </row>
    <row r="564" spans="3:7" hidden="1" x14ac:dyDescent="0.35"/>
  </sheetData>
  <autoFilter ref="A8:AX557">
    <filterColumn colId="48">
      <customFilters>
        <customFilter operator="notEqual" val=" "/>
      </customFilters>
    </filterColumn>
  </autoFilter>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F26"/>
  <sheetViews>
    <sheetView showGridLines="0" zoomScale="80" zoomScaleNormal="80" workbookViewId="0">
      <selection activeCell="D14" sqref="D14"/>
    </sheetView>
  </sheetViews>
  <sheetFormatPr defaultRowHeight="14.5" x14ac:dyDescent="0.35"/>
  <cols>
    <col min="1" max="1" width="3.7265625" customWidth="1"/>
    <col min="2" max="2" width="23.1796875" bestFit="1" customWidth="1"/>
    <col min="3" max="3" width="11.7265625" bestFit="1" customWidth="1"/>
    <col min="4" max="4" width="96.1796875" bestFit="1" customWidth="1"/>
    <col min="5" max="5" width="20.54296875" bestFit="1" customWidth="1"/>
    <col min="6" max="6" width="9.81640625" bestFit="1" customWidth="1"/>
  </cols>
  <sheetData>
    <row r="2" spans="2:6" x14ac:dyDescent="0.35">
      <c r="B2" s="7" t="s">
        <v>2285</v>
      </c>
      <c r="C2" s="7" t="s">
        <v>2378</v>
      </c>
      <c r="D2" s="7" t="s">
        <v>2396</v>
      </c>
      <c r="E2" s="7" t="s">
        <v>2498</v>
      </c>
      <c r="F2" s="7" t="s">
        <v>2499</v>
      </c>
    </row>
    <row r="3" spans="2:6" x14ac:dyDescent="0.35">
      <c r="B3" t="s">
        <v>2496</v>
      </c>
      <c r="C3" t="s">
        <v>2497</v>
      </c>
      <c r="D3" s="46" t="s">
        <v>2502</v>
      </c>
      <c r="E3" t="s">
        <v>2394</v>
      </c>
      <c r="F3" s="36" t="s">
        <v>2500</v>
      </c>
    </row>
    <row r="4" spans="2:6" x14ac:dyDescent="0.35">
      <c r="B4" t="s">
        <v>2496</v>
      </c>
      <c r="C4" t="s">
        <v>2501</v>
      </c>
      <c r="D4" s="46" t="s">
        <v>2503</v>
      </c>
      <c r="E4" t="s">
        <v>2394</v>
      </c>
      <c r="F4" s="36" t="s">
        <v>2500</v>
      </c>
    </row>
    <row r="5" spans="2:6" x14ac:dyDescent="0.35">
      <c r="B5" t="s">
        <v>2496</v>
      </c>
      <c r="C5" t="s">
        <v>2497</v>
      </c>
      <c r="D5" t="s">
        <v>2504</v>
      </c>
      <c r="E5" t="s">
        <v>2394</v>
      </c>
      <c r="F5" t="s">
        <v>2465</v>
      </c>
    </row>
    <row r="6" spans="2:6" x14ac:dyDescent="0.35">
      <c r="B6" t="s">
        <v>2496</v>
      </c>
      <c r="C6" t="s">
        <v>2497</v>
      </c>
      <c r="D6" t="s">
        <v>2505</v>
      </c>
      <c r="E6" t="s">
        <v>2393</v>
      </c>
      <c r="F6" t="s">
        <v>2465</v>
      </c>
    </row>
    <row r="8" spans="2:6" x14ac:dyDescent="0.35">
      <c r="B8" t="s">
        <v>2506</v>
      </c>
      <c r="C8" t="s">
        <v>2508</v>
      </c>
      <c r="D8" t="s">
        <v>2507</v>
      </c>
      <c r="E8" t="s">
        <v>2393</v>
      </c>
      <c r="F8" t="s">
        <v>2465</v>
      </c>
    </row>
    <row r="9" spans="2:6" x14ac:dyDescent="0.35">
      <c r="B9" t="s">
        <v>2506</v>
      </c>
      <c r="C9" t="s">
        <v>2509</v>
      </c>
      <c r="D9" t="s">
        <v>2507</v>
      </c>
      <c r="E9" t="s">
        <v>2393</v>
      </c>
      <c r="F9" t="s">
        <v>2465</v>
      </c>
    </row>
    <row r="10" spans="2:6" x14ac:dyDescent="0.35">
      <c r="B10" t="s">
        <v>2506</v>
      </c>
      <c r="C10" t="s">
        <v>2510</v>
      </c>
      <c r="D10" t="s">
        <v>2515</v>
      </c>
      <c r="E10" t="s">
        <v>2394</v>
      </c>
      <c r="F10" t="s">
        <v>2465</v>
      </c>
    </row>
    <row r="11" spans="2:6" x14ac:dyDescent="0.35">
      <c r="B11" t="s">
        <v>2506</v>
      </c>
      <c r="C11" t="s">
        <v>2509</v>
      </c>
      <c r="D11" t="s">
        <v>2514</v>
      </c>
      <c r="E11" t="s">
        <v>2394</v>
      </c>
      <c r="F11" t="s">
        <v>2465</v>
      </c>
    </row>
    <row r="13" spans="2:6" x14ac:dyDescent="0.35">
      <c r="B13" t="s">
        <v>2516</v>
      </c>
      <c r="C13" t="s">
        <v>2517</v>
      </c>
      <c r="D13" t="s">
        <v>2518</v>
      </c>
      <c r="E13" t="s">
        <v>2393</v>
      </c>
      <c r="F13" s="36" t="s">
        <v>2500</v>
      </c>
    </row>
    <row r="14" spans="2:6" x14ac:dyDescent="0.35">
      <c r="B14" t="s">
        <v>2516</v>
      </c>
      <c r="C14" t="s">
        <v>2517</v>
      </c>
      <c r="D14" t="s">
        <v>2521</v>
      </c>
      <c r="E14" t="s">
        <v>2393</v>
      </c>
      <c r="F14" t="s">
        <v>2465</v>
      </c>
    </row>
    <row r="15" spans="2:6" x14ac:dyDescent="0.35">
      <c r="B15" t="s">
        <v>2516</v>
      </c>
      <c r="C15" t="s">
        <v>2522</v>
      </c>
      <c r="D15" t="s">
        <v>2523</v>
      </c>
      <c r="E15" t="s">
        <v>2393</v>
      </c>
      <c r="F15" t="s">
        <v>2465</v>
      </c>
    </row>
    <row r="16" spans="2:6" x14ac:dyDescent="0.35">
      <c r="B16" t="s">
        <v>2516</v>
      </c>
      <c r="C16" t="s">
        <v>2519</v>
      </c>
      <c r="D16" t="s">
        <v>2520</v>
      </c>
      <c r="E16" t="s">
        <v>2541</v>
      </c>
      <c r="F16" s="36" t="s">
        <v>2500</v>
      </c>
    </row>
    <row r="18" spans="2:6" x14ac:dyDescent="0.35">
      <c r="B18" t="s">
        <v>2395</v>
      </c>
      <c r="C18" t="s">
        <v>2528</v>
      </c>
      <c r="D18" t="s">
        <v>2529</v>
      </c>
      <c r="E18" t="s">
        <v>2394</v>
      </c>
      <c r="F18" s="36" t="s">
        <v>2500</v>
      </c>
    </row>
    <row r="19" spans="2:6" x14ac:dyDescent="0.35">
      <c r="B19" t="s">
        <v>2395</v>
      </c>
      <c r="C19" t="s">
        <v>2506</v>
      </c>
      <c r="D19" t="s">
        <v>2529</v>
      </c>
      <c r="E19" t="s">
        <v>2394</v>
      </c>
      <c r="F19" s="36" t="s">
        <v>2500</v>
      </c>
    </row>
    <row r="21" spans="2:6" x14ac:dyDescent="0.35">
      <c r="B21" t="s">
        <v>2530</v>
      </c>
      <c r="D21" t="s">
        <v>2531</v>
      </c>
    </row>
    <row r="23" spans="2:6" x14ac:dyDescent="0.35">
      <c r="B23" s="7" t="s">
        <v>2525</v>
      </c>
    </row>
    <row r="24" spans="2:6" x14ac:dyDescent="0.35">
      <c r="B24" s="47" t="s">
        <v>2526</v>
      </c>
    </row>
    <row r="25" spans="2:6" x14ac:dyDescent="0.35">
      <c r="B25" s="47" t="s">
        <v>2527</v>
      </c>
    </row>
    <row r="26" spans="2:6" x14ac:dyDescent="0.35">
      <c r="B26" s="47" t="s">
        <v>2537</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workbookViewId="0"/>
  </sheetViews>
  <sheetFormatPr defaultRowHeight="14.5" x14ac:dyDescent="0.35"/>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382"/>
  <sheetViews>
    <sheetView showGridLines="0" topLeftCell="P1" workbookViewId="0">
      <selection activeCell="V1" sqref="V1"/>
    </sheetView>
  </sheetViews>
  <sheetFormatPr defaultRowHeight="14.5" x14ac:dyDescent="0.35"/>
  <cols>
    <col min="1" max="1" width="3.7265625" style="36" customWidth="1"/>
    <col min="2" max="2" width="24.1796875" bestFit="1" customWidth="1"/>
    <col min="3" max="3" width="32.453125" bestFit="1" customWidth="1"/>
    <col min="4" max="4" width="21.54296875" bestFit="1" customWidth="1"/>
    <col min="5" max="5" width="48.81640625" bestFit="1" customWidth="1"/>
    <col min="6" max="6" width="3.7265625" style="36" customWidth="1"/>
    <col min="7" max="7" width="18.7265625" bestFit="1" customWidth="1"/>
    <col min="8" max="8" width="40.54296875" bestFit="1" customWidth="1"/>
    <col min="9" max="9" width="52.54296875" bestFit="1" customWidth="1"/>
    <col min="10" max="10" width="3.7265625" style="36" customWidth="1"/>
    <col min="11" max="11" width="24.1796875" bestFit="1" customWidth="1"/>
    <col min="12" max="12" width="32.453125" bestFit="1" customWidth="1"/>
    <col min="13" max="13" width="38.453125" bestFit="1" customWidth="1"/>
    <col min="14" max="14" width="21.54296875" bestFit="1" customWidth="1"/>
    <col min="15" max="15" width="48.81640625" bestFit="1" customWidth="1"/>
    <col min="16" max="16" width="48.81640625" customWidth="1"/>
    <col min="17" max="17" width="3.7265625" style="36" customWidth="1"/>
    <col min="18" max="18" width="18.7265625" bestFit="1" customWidth="1"/>
    <col min="19" max="19" width="40.54296875" bestFit="1" customWidth="1"/>
    <col min="20" max="20" width="52.54296875" bestFit="1" customWidth="1"/>
    <col min="21" max="21" width="38.453125" bestFit="1" customWidth="1"/>
  </cols>
  <sheetData>
    <row r="1" spans="1:22" x14ac:dyDescent="0.35">
      <c r="A1"/>
      <c r="F1"/>
      <c r="J1"/>
      <c r="Q1"/>
    </row>
    <row r="2" spans="1:22" x14ac:dyDescent="0.35">
      <c r="A2"/>
      <c r="B2" s="8" t="s">
        <v>2372</v>
      </c>
      <c r="F2"/>
      <c r="G2" s="8" t="s">
        <v>2374</v>
      </c>
      <c r="J2"/>
      <c r="K2" s="8" t="s">
        <v>2439</v>
      </c>
      <c r="Q2"/>
      <c r="R2" s="8" t="s">
        <v>2473</v>
      </c>
    </row>
    <row r="3" spans="1:22" x14ac:dyDescent="0.35">
      <c r="B3" s="7" t="s">
        <v>2286</v>
      </c>
      <c r="C3" s="7" t="s">
        <v>2287</v>
      </c>
      <c r="D3" s="7" t="s">
        <v>2370</v>
      </c>
      <c r="E3" s="7" t="s">
        <v>2371</v>
      </c>
      <c r="G3" s="7" t="s">
        <v>2286</v>
      </c>
      <c r="H3" s="7" t="s">
        <v>2287</v>
      </c>
      <c r="I3" s="7" t="s">
        <v>2371</v>
      </c>
      <c r="K3" s="7" t="s">
        <v>2286</v>
      </c>
      <c r="L3" s="7" t="s">
        <v>2287</v>
      </c>
      <c r="M3" s="7" t="s">
        <v>2438</v>
      </c>
      <c r="N3" s="7" t="s">
        <v>2370</v>
      </c>
      <c r="O3" s="7" t="s">
        <v>2371</v>
      </c>
      <c r="P3" s="7" t="s">
        <v>2438</v>
      </c>
      <c r="R3" s="7" t="s">
        <v>2286</v>
      </c>
      <c r="S3" s="7" t="s">
        <v>2287</v>
      </c>
      <c r="T3" s="7" t="s">
        <v>2371</v>
      </c>
      <c r="U3" s="7" t="s">
        <v>2438</v>
      </c>
    </row>
    <row r="4" spans="1:22" x14ac:dyDescent="0.35">
      <c r="B4" t="s">
        <v>2288</v>
      </c>
      <c r="C4" t="s">
        <v>2289</v>
      </c>
      <c r="D4" t="str">
        <f>+UPPER(MID(B4,FIND("_",B4,1)+1,LEN(B4)))</f>
        <v>PROTECTION</v>
      </c>
      <c r="E4" t="str">
        <f>+D4&amp;UPPER(C4)</f>
        <v>PROTECTIONORGNL_PRTCTN_VL</v>
      </c>
      <c r="G4" t="s">
        <v>785</v>
      </c>
      <c r="H4" t="s">
        <v>1026</v>
      </c>
      <c r="I4" t="str">
        <f>+G4&amp;H4</f>
        <v>INSTRUMENTACCMLTD_CHNGS_FV_CR_INSTRMNT</v>
      </c>
      <c r="K4" t="s">
        <v>2291</v>
      </c>
      <c r="L4" t="s">
        <v>2292</v>
      </c>
      <c r="M4" t="s">
        <v>2397</v>
      </c>
      <c r="N4" t="str">
        <f>+UPPER(MID(K4,FIND("_",K4,1)+1,LEN(K4)))</f>
        <v>ENTITY</v>
      </c>
      <c r="O4" t="str">
        <f>+N4&amp;UPPER(L4)</f>
        <v>ENTITYNACE_ESG</v>
      </c>
      <c r="P4" t="s">
        <v>2397</v>
      </c>
      <c r="R4" t="s">
        <v>785</v>
      </c>
      <c r="S4" t="s">
        <v>1026</v>
      </c>
      <c r="T4" t="str">
        <f>+R4&amp;S4</f>
        <v>INSTRUMENTACCMLTD_CHNGS_FV_CR_INSTRMNT</v>
      </c>
      <c r="U4" t="s">
        <v>2448</v>
      </c>
      <c r="V4" t="s">
        <v>2375</v>
      </c>
    </row>
    <row r="5" spans="1:22" x14ac:dyDescent="0.35">
      <c r="B5" t="s">
        <v>2288</v>
      </c>
      <c r="C5" t="s">
        <v>2290</v>
      </c>
      <c r="D5" t="str">
        <f t="shared" ref="D5:D68" si="0">+UPPER(MID(B5,FIND("_",B5,1)+1,LEN(B5)))</f>
        <v>PROTECTION</v>
      </c>
      <c r="E5" t="str">
        <f t="shared" ref="E5:E68" si="1">+D5&amp;UPPER(C5)</f>
        <v>PROTECTIONTYP_PRTCTN</v>
      </c>
      <c r="G5" t="s">
        <v>785</v>
      </c>
      <c r="H5" t="s">
        <v>1146</v>
      </c>
      <c r="I5" t="str">
        <f t="shared" ref="I5:I68" si="2">+G5&amp;H5</f>
        <v>INSTRUMENTACCMLTD_IMPRMNT_INSTRMNT</v>
      </c>
      <c r="K5" t="s">
        <v>2291</v>
      </c>
      <c r="L5" t="s">
        <v>2293</v>
      </c>
      <c r="M5" t="s">
        <v>2397</v>
      </c>
      <c r="N5" t="str">
        <f t="shared" ref="N5:N68" si="3">+UPPER(MID(K5,FIND("_",K5,1)+1,LEN(K5)))</f>
        <v>ENTITY</v>
      </c>
      <c r="O5" t="str">
        <f t="shared" ref="O5:O68" si="4">+N5&amp;UPPER(L5)</f>
        <v>ENTITYTXNMY_ELGBL_CAPEX_CCM</v>
      </c>
      <c r="P5" t="s">
        <v>2397</v>
      </c>
      <c r="R5" t="s">
        <v>785</v>
      </c>
      <c r="S5" t="s">
        <v>1146</v>
      </c>
      <c r="T5" t="str">
        <f t="shared" ref="T5:T68" si="5">+R5&amp;S5</f>
        <v>INSTRUMENTACCMLTD_IMPRMNT_INSTRMNT</v>
      </c>
      <c r="U5" t="s">
        <v>2448</v>
      </c>
      <c r="V5" t="s">
        <v>2375</v>
      </c>
    </row>
    <row r="6" spans="1:22" x14ac:dyDescent="0.35">
      <c r="B6" t="s">
        <v>2291</v>
      </c>
      <c r="C6" t="s">
        <v>2292</v>
      </c>
      <c r="D6" t="str">
        <f t="shared" si="0"/>
        <v>ENTITY</v>
      </c>
      <c r="E6" t="str">
        <f t="shared" si="1"/>
        <v>ENTITYNACE_ESG</v>
      </c>
      <c r="G6" t="s">
        <v>785</v>
      </c>
      <c r="H6" t="s">
        <v>1150</v>
      </c>
      <c r="I6" t="str">
        <f t="shared" si="2"/>
        <v>INSTRUMENTACCMLTD_IMPRMNT_INSTRMNT_PRVS</v>
      </c>
      <c r="K6" t="s">
        <v>2291</v>
      </c>
      <c r="L6" t="s">
        <v>2294</v>
      </c>
      <c r="M6" t="s">
        <v>2397</v>
      </c>
      <c r="N6" t="str">
        <f t="shared" si="3"/>
        <v>ENTITY</v>
      </c>
      <c r="O6" t="str">
        <f t="shared" si="4"/>
        <v>ENTITYTXNMY_ELGBL_TRNVR_CCM</v>
      </c>
      <c r="P6" t="s">
        <v>2397</v>
      </c>
      <c r="R6" t="s">
        <v>785</v>
      </c>
      <c r="S6" t="s">
        <v>1150</v>
      </c>
      <c r="T6" t="str">
        <f t="shared" si="5"/>
        <v>INSTRUMENTACCMLTD_IMPRMNT_INSTRMNT_PRVS</v>
      </c>
      <c r="U6" t="s">
        <v>2449</v>
      </c>
      <c r="V6" t="s">
        <v>2458</v>
      </c>
    </row>
    <row r="7" spans="1:22" x14ac:dyDescent="0.35">
      <c r="B7" t="s">
        <v>2291</v>
      </c>
      <c r="C7" t="s">
        <v>2293</v>
      </c>
      <c r="D7" t="str">
        <f t="shared" si="0"/>
        <v>ENTITY</v>
      </c>
      <c r="E7" t="str">
        <f t="shared" si="1"/>
        <v>ENTITYTXNMY_ELGBL_CAPEX_CCM</v>
      </c>
      <c r="G7" t="s">
        <v>785</v>
      </c>
      <c r="H7" t="s">
        <v>1154</v>
      </c>
      <c r="I7" t="str">
        <f t="shared" si="2"/>
        <v>INSTRUMENTACCMLTD_WRTFFS_INSTRMNT</v>
      </c>
      <c r="K7" t="s">
        <v>2291</v>
      </c>
      <c r="L7" t="s">
        <v>2295</v>
      </c>
      <c r="M7" t="s">
        <v>2397</v>
      </c>
      <c r="N7" t="str">
        <f t="shared" si="3"/>
        <v>ENTITY</v>
      </c>
      <c r="O7" t="str">
        <f t="shared" si="4"/>
        <v>ENTITYTXNMY_ELGBL_CAPEX_CCA</v>
      </c>
      <c r="P7" t="s">
        <v>2397</v>
      </c>
      <c r="R7" t="s">
        <v>785</v>
      </c>
      <c r="S7" t="s">
        <v>1154</v>
      </c>
      <c r="T7" t="str">
        <f t="shared" si="5"/>
        <v>INSTRUMENTACCMLTD_WRTFFS_INSTRMNT</v>
      </c>
      <c r="U7" t="s">
        <v>2448</v>
      </c>
      <c r="V7" t="s">
        <v>2375</v>
      </c>
    </row>
    <row r="8" spans="1:22" x14ac:dyDescent="0.35">
      <c r="B8" t="s">
        <v>2291</v>
      </c>
      <c r="C8" t="s">
        <v>2294</v>
      </c>
      <c r="D8" t="str">
        <f t="shared" si="0"/>
        <v>ENTITY</v>
      </c>
      <c r="E8" t="str">
        <f t="shared" si="1"/>
        <v>ENTITYTXNMY_ELGBL_TRNVR_CCM</v>
      </c>
      <c r="G8" t="s">
        <v>785</v>
      </c>
      <c r="H8" t="s">
        <v>1030</v>
      </c>
      <c r="I8" t="str">
        <f t="shared" si="2"/>
        <v>INSTRUMENTACCNTNG_CLSSFCTN</v>
      </c>
      <c r="K8" t="s">
        <v>2291</v>
      </c>
      <c r="L8" t="s">
        <v>2296</v>
      </c>
      <c r="M8" t="s">
        <v>2397</v>
      </c>
      <c r="N8" t="str">
        <f t="shared" si="3"/>
        <v>ENTITY</v>
      </c>
      <c r="O8" t="str">
        <f t="shared" si="4"/>
        <v>ENTITYTXNMY_ELGBL_TRNVR_CCA</v>
      </c>
      <c r="P8" t="s">
        <v>2397</v>
      </c>
      <c r="R8" t="s">
        <v>785</v>
      </c>
      <c r="S8" t="s">
        <v>1030</v>
      </c>
      <c r="T8" t="str">
        <f t="shared" si="5"/>
        <v>INSTRUMENTACCNTNG_CLSSFCTN</v>
      </c>
      <c r="U8" t="s">
        <v>2448</v>
      </c>
      <c r="V8" t="s">
        <v>2375</v>
      </c>
    </row>
    <row r="9" spans="1:22" x14ac:dyDescent="0.35">
      <c r="B9" t="s">
        <v>2291</v>
      </c>
      <c r="C9" t="s">
        <v>2295</v>
      </c>
      <c r="D9" t="str">
        <f t="shared" si="0"/>
        <v>ENTITY</v>
      </c>
      <c r="E9" t="str">
        <f t="shared" si="1"/>
        <v>ENTITYTXNMY_ELGBL_CAPEX_CCA</v>
      </c>
      <c r="G9" t="s">
        <v>785</v>
      </c>
      <c r="H9" t="s">
        <v>1034</v>
      </c>
      <c r="I9" t="str">
        <f t="shared" si="2"/>
        <v>INSTRUMENTACCRD_INTRST_INSTRMNT</v>
      </c>
      <c r="K9" t="s">
        <v>2291</v>
      </c>
      <c r="L9" t="s">
        <v>2297</v>
      </c>
      <c r="M9" t="s">
        <v>2397</v>
      </c>
      <c r="N9" t="str">
        <f t="shared" si="3"/>
        <v>ENTITY</v>
      </c>
      <c r="O9" t="str">
        <f t="shared" si="4"/>
        <v>ENTITYENBLNG_CAPEX_CCM</v>
      </c>
      <c r="P9" t="s">
        <v>2397</v>
      </c>
      <c r="R9" t="s">
        <v>35</v>
      </c>
      <c r="S9" t="s">
        <v>135</v>
      </c>
      <c r="T9" t="str">
        <f t="shared" si="5"/>
        <v>ENTITYACCNTNG_FRMWRK_SL</v>
      </c>
      <c r="U9" t="s">
        <v>2450</v>
      </c>
      <c r="V9" t="s">
        <v>2459</v>
      </c>
    </row>
    <row r="10" spans="1:22" x14ac:dyDescent="0.35">
      <c r="B10" t="s">
        <v>2291</v>
      </c>
      <c r="C10" t="s">
        <v>2296</v>
      </c>
      <c r="D10" t="str">
        <f t="shared" si="0"/>
        <v>ENTITY</v>
      </c>
      <c r="E10" t="str">
        <f t="shared" si="1"/>
        <v>ENTITYTXNMY_ELGBL_TRNVR_CCA</v>
      </c>
      <c r="G10" t="s">
        <v>785</v>
      </c>
      <c r="H10" t="s">
        <v>1039</v>
      </c>
      <c r="I10" t="str">
        <f t="shared" si="2"/>
        <v>INSTRUMENTAMNT_D_AT_MTRTY</v>
      </c>
      <c r="K10" t="s">
        <v>2291</v>
      </c>
      <c r="L10" t="s">
        <v>2298</v>
      </c>
      <c r="M10" t="s">
        <v>2397</v>
      </c>
      <c r="N10" t="str">
        <f t="shared" si="3"/>
        <v>ENTITY</v>
      </c>
      <c r="O10" t="str">
        <f t="shared" si="4"/>
        <v>ENTITYENBLNG_CAPEX_CCA</v>
      </c>
      <c r="P10" t="s">
        <v>2397</v>
      </c>
      <c r="R10" t="s">
        <v>785</v>
      </c>
      <c r="S10" t="s">
        <v>1009</v>
      </c>
      <c r="T10" t="str">
        <f t="shared" si="5"/>
        <v>INSTRUMENTTYP_MRTGG</v>
      </c>
      <c r="U10" t="s">
        <v>2450</v>
      </c>
      <c r="V10" t="s">
        <v>2375</v>
      </c>
    </row>
    <row r="11" spans="1:22" x14ac:dyDescent="0.35">
      <c r="B11" t="s">
        <v>2291</v>
      </c>
      <c r="C11" t="s">
        <v>2297</v>
      </c>
      <c r="D11" t="str">
        <f t="shared" si="0"/>
        <v>ENTITY</v>
      </c>
      <c r="E11" t="str">
        <f t="shared" si="1"/>
        <v>ENTITYENBLNG_CAPEX_CCM</v>
      </c>
      <c r="G11" t="s">
        <v>785</v>
      </c>
      <c r="H11" t="s">
        <v>1301</v>
      </c>
      <c r="I11" t="str">
        <f t="shared" si="2"/>
        <v>INSTRUMENTANNLSD_AGRD_RT</v>
      </c>
      <c r="K11" t="s">
        <v>2291</v>
      </c>
      <c r="L11" t="s">
        <v>2299</v>
      </c>
      <c r="M11" t="s">
        <v>2397</v>
      </c>
      <c r="N11" t="str">
        <f t="shared" si="3"/>
        <v>ENTITY</v>
      </c>
      <c r="O11" t="str">
        <f t="shared" si="4"/>
        <v>ENTITYTRNSTNL_CAPEX</v>
      </c>
      <c r="P11" t="s">
        <v>2397</v>
      </c>
      <c r="R11" t="s">
        <v>785</v>
      </c>
      <c r="S11" t="s">
        <v>1039</v>
      </c>
      <c r="T11" t="str">
        <f t="shared" si="5"/>
        <v>INSTRUMENTAMNT_D_AT_MTRTY</v>
      </c>
      <c r="U11" t="s">
        <v>2451</v>
      </c>
      <c r="V11" t="s">
        <v>2458</v>
      </c>
    </row>
    <row r="12" spans="1:22" x14ac:dyDescent="0.35">
      <c r="B12" t="s">
        <v>2291</v>
      </c>
      <c r="C12" t="s">
        <v>2298</v>
      </c>
      <c r="D12" t="str">
        <f t="shared" si="0"/>
        <v>ENTITY</v>
      </c>
      <c r="E12" t="str">
        <f t="shared" si="1"/>
        <v>ENTITYENBLNG_CAPEX_CCA</v>
      </c>
      <c r="G12" t="s">
        <v>785</v>
      </c>
      <c r="H12" t="s">
        <v>1158</v>
      </c>
      <c r="I12" t="str">
        <f t="shared" si="2"/>
        <v>INSTRUMENTARRRS_INSTRMNT</v>
      </c>
      <c r="K12" t="s">
        <v>2291</v>
      </c>
      <c r="L12" t="s">
        <v>2300</v>
      </c>
      <c r="M12" t="s">
        <v>2397</v>
      </c>
      <c r="N12" t="str">
        <f t="shared" si="3"/>
        <v>ENTITY</v>
      </c>
      <c r="O12" t="str">
        <f t="shared" si="4"/>
        <v>ENTITYPURE_CAPEX_CCM</v>
      </c>
      <c r="P12" t="s">
        <v>2397</v>
      </c>
      <c r="R12" t="s">
        <v>35</v>
      </c>
      <c r="S12" t="s">
        <v>286</v>
      </c>
      <c r="T12" t="str">
        <f t="shared" si="5"/>
        <v>ENTITYANNL_TRNVR_LE</v>
      </c>
      <c r="U12" t="s">
        <v>2450</v>
      </c>
      <c r="V12" t="s">
        <v>2459</v>
      </c>
    </row>
    <row r="13" spans="1:22" x14ac:dyDescent="0.35">
      <c r="B13" t="s">
        <v>2291</v>
      </c>
      <c r="C13" t="s">
        <v>2299</v>
      </c>
      <c r="D13" t="str">
        <f t="shared" si="0"/>
        <v>ENTITY</v>
      </c>
      <c r="E13" t="str">
        <f t="shared" si="1"/>
        <v>ENTITYTRNSTNL_CAPEX</v>
      </c>
      <c r="G13" t="s">
        <v>785</v>
      </c>
      <c r="H13" t="s">
        <v>1162</v>
      </c>
      <c r="I13" t="str">
        <f t="shared" si="2"/>
        <v>INSTRUMENTARRRS_INSTRMNT_12M</v>
      </c>
      <c r="K13" t="s">
        <v>2291</v>
      </c>
      <c r="L13" t="s">
        <v>2301</v>
      </c>
      <c r="M13" t="s">
        <v>2397</v>
      </c>
      <c r="N13" t="str">
        <f t="shared" si="3"/>
        <v>ENTITY</v>
      </c>
      <c r="O13" t="str">
        <f t="shared" si="4"/>
        <v>ENTITYPURE_CAPEX_CCA</v>
      </c>
      <c r="P13" t="s">
        <v>2397</v>
      </c>
      <c r="R13" t="s">
        <v>35</v>
      </c>
      <c r="S13" t="s">
        <v>432</v>
      </c>
      <c r="T13" t="str">
        <f t="shared" si="5"/>
        <v>ENTITYANNL_TRNVR_LE_BDR</v>
      </c>
      <c r="U13" t="s">
        <v>2448</v>
      </c>
      <c r="V13" t="s">
        <v>2375</v>
      </c>
    </row>
    <row r="14" spans="1:22" x14ac:dyDescent="0.35">
      <c r="B14" t="s">
        <v>2291</v>
      </c>
      <c r="C14" t="s">
        <v>2300</v>
      </c>
      <c r="D14" t="str">
        <f t="shared" si="0"/>
        <v>ENTITY</v>
      </c>
      <c r="E14" t="str">
        <f t="shared" si="1"/>
        <v>ENTITYPURE_CAPEX_CCM</v>
      </c>
      <c r="G14" t="s">
        <v>785</v>
      </c>
      <c r="H14" t="s">
        <v>1443</v>
      </c>
      <c r="I14" t="str">
        <f t="shared" si="2"/>
        <v>INSTRUMENTASST_SCRT_CLSS</v>
      </c>
      <c r="K14" t="s">
        <v>2291</v>
      </c>
      <c r="L14" t="s">
        <v>2302</v>
      </c>
      <c r="M14" t="s">
        <v>2397</v>
      </c>
      <c r="N14" t="str">
        <f t="shared" si="3"/>
        <v>ENTITY</v>
      </c>
      <c r="O14" t="str">
        <f t="shared" si="4"/>
        <v>ENTITYENBLNG_TRNVR_CCM</v>
      </c>
      <c r="P14" t="s">
        <v>2397</v>
      </c>
      <c r="R14" t="s">
        <v>35</v>
      </c>
      <c r="S14" t="s">
        <v>290</v>
      </c>
      <c r="T14" t="str">
        <f t="shared" si="5"/>
        <v>ENTITYANNL_TRNVR_PRVS</v>
      </c>
      <c r="U14" t="s">
        <v>2450</v>
      </c>
      <c r="V14" t="s">
        <v>2459</v>
      </c>
    </row>
    <row r="15" spans="1:22" x14ac:dyDescent="0.35">
      <c r="B15" t="s">
        <v>2291</v>
      </c>
      <c r="C15" t="s">
        <v>2301</v>
      </c>
      <c r="D15" t="str">
        <f t="shared" si="0"/>
        <v>ENTITY</v>
      </c>
      <c r="E15" t="str">
        <f t="shared" si="1"/>
        <v>ENTITYPURE_CAPEX_CCA</v>
      </c>
      <c r="G15" t="s">
        <v>785</v>
      </c>
      <c r="H15" t="s">
        <v>839</v>
      </c>
      <c r="I15" t="str">
        <f t="shared" si="2"/>
        <v>INSTRUMENTBRCHD_CVNNTS</v>
      </c>
      <c r="K15" t="s">
        <v>2291</v>
      </c>
      <c r="L15" t="s">
        <v>2303</v>
      </c>
      <c r="M15" t="s">
        <v>2397</v>
      </c>
      <c r="N15" t="str">
        <f t="shared" si="3"/>
        <v>ENTITY</v>
      </c>
      <c r="O15" t="str">
        <f t="shared" si="4"/>
        <v>ENTITYENBLNG_TRNVR_CCA</v>
      </c>
      <c r="P15" t="s">
        <v>2397</v>
      </c>
      <c r="R15" t="s">
        <v>35</v>
      </c>
      <c r="S15" t="s">
        <v>437</v>
      </c>
      <c r="T15" t="str">
        <f t="shared" si="5"/>
        <v>ENTITYANNL_TRNVR_PRVS_BDR</v>
      </c>
      <c r="U15" t="s">
        <v>2448</v>
      </c>
      <c r="V15" t="s">
        <v>2375</v>
      </c>
    </row>
    <row r="16" spans="1:22" x14ac:dyDescent="0.35">
      <c r="B16" t="s">
        <v>2291</v>
      </c>
      <c r="C16" t="s">
        <v>2302</v>
      </c>
      <c r="D16" t="str">
        <f t="shared" si="0"/>
        <v>ENTITY</v>
      </c>
      <c r="E16" t="str">
        <f t="shared" si="1"/>
        <v>ENTITYENBLNG_TRNVR_CCM</v>
      </c>
      <c r="G16" t="s">
        <v>785</v>
      </c>
      <c r="H16" t="s">
        <v>1043</v>
      </c>
      <c r="I16" t="str">
        <f t="shared" si="2"/>
        <v>INSTRUMENTCCF</v>
      </c>
      <c r="K16" t="s">
        <v>2291</v>
      </c>
      <c r="L16" t="s">
        <v>2304</v>
      </c>
      <c r="M16" t="s">
        <v>2397</v>
      </c>
      <c r="N16" t="str">
        <f t="shared" si="3"/>
        <v>ENTITY</v>
      </c>
      <c r="O16" t="str">
        <f t="shared" si="4"/>
        <v>ENTITYTRNSTNL_TRNVR</v>
      </c>
      <c r="P16" t="s">
        <v>2397</v>
      </c>
      <c r="R16" t="s">
        <v>785</v>
      </c>
      <c r="S16" t="s">
        <v>1301</v>
      </c>
      <c r="T16" t="str">
        <f t="shared" si="5"/>
        <v>INSTRUMENTANNLSD_AGRD_RT</v>
      </c>
      <c r="U16" t="s">
        <v>2452</v>
      </c>
      <c r="V16" t="s">
        <v>2375</v>
      </c>
    </row>
    <row r="17" spans="2:22" x14ac:dyDescent="0.35">
      <c r="B17" t="s">
        <v>2291</v>
      </c>
      <c r="C17" t="s">
        <v>2303</v>
      </c>
      <c r="D17" t="str">
        <f t="shared" si="0"/>
        <v>ENTITY</v>
      </c>
      <c r="E17" t="str">
        <f t="shared" si="1"/>
        <v>ENTITYENBLNG_TRNVR_CCA</v>
      </c>
      <c r="G17" t="s">
        <v>785</v>
      </c>
      <c r="H17" t="s">
        <v>843</v>
      </c>
      <c r="I17" t="str">
        <f t="shared" si="2"/>
        <v>INSTRUMENTCHNNL_ORGNTN</v>
      </c>
      <c r="K17" t="s">
        <v>2291</v>
      </c>
      <c r="L17" t="s">
        <v>2305</v>
      </c>
      <c r="M17" t="s">
        <v>2397</v>
      </c>
      <c r="N17" t="str">
        <f t="shared" si="3"/>
        <v>ENTITY</v>
      </c>
      <c r="O17" t="str">
        <f t="shared" si="4"/>
        <v>ENTITYPURE_TRNVR_CCM</v>
      </c>
      <c r="P17" t="s">
        <v>2397</v>
      </c>
      <c r="R17" t="s">
        <v>1952</v>
      </c>
      <c r="S17" t="s">
        <v>2015</v>
      </c>
      <c r="T17" t="str">
        <f t="shared" si="5"/>
        <v>PROTECTIONAPPRSL_CRRNCY</v>
      </c>
      <c r="U17" t="s">
        <v>2453</v>
      </c>
      <c r="V17" t="s">
        <v>2375</v>
      </c>
    </row>
    <row r="18" spans="2:22" x14ac:dyDescent="0.35">
      <c r="B18" t="s">
        <v>2291</v>
      </c>
      <c r="C18" t="s">
        <v>2304</v>
      </c>
      <c r="D18" t="str">
        <f t="shared" si="0"/>
        <v>ENTITY</v>
      </c>
      <c r="E18" t="str">
        <f t="shared" si="1"/>
        <v>ENTITYTRNSTNL_TRNVR</v>
      </c>
      <c r="G18" t="s">
        <v>785</v>
      </c>
      <c r="H18" t="s">
        <v>1166</v>
      </c>
      <c r="I18" t="str">
        <f t="shared" si="2"/>
        <v>INSTRUMENTCMLTV_RCVRS_SNC_DFLT_INSTRMNT</v>
      </c>
      <c r="K18" t="s">
        <v>2291</v>
      </c>
      <c r="L18" t="s">
        <v>2306</v>
      </c>
      <c r="M18" t="s">
        <v>2397</v>
      </c>
      <c r="N18" t="str">
        <f t="shared" si="3"/>
        <v>ENTITY</v>
      </c>
      <c r="O18" t="str">
        <f t="shared" si="4"/>
        <v>ENTITYPURE_TRNVR_CCA</v>
      </c>
      <c r="P18" t="s">
        <v>2397</v>
      </c>
      <c r="R18" t="s">
        <v>1952</v>
      </c>
      <c r="S18" t="s">
        <v>2020</v>
      </c>
      <c r="T18" t="str">
        <f t="shared" si="5"/>
        <v>PROTECTIONAPPRSR</v>
      </c>
      <c r="U18" t="s">
        <v>2453</v>
      </c>
      <c r="V18" t="s">
        <v>2375</v>
      </c>
    </row>
    <row r="19" spans="2:22" x14ac:dyDescent="0.35">
      <c r="B19" t="s">
        <v>2291</v>
      </c>
      <c r="C19" t="s">
        <v>2305</v>
      </c>
      <c r="D19" t="str">
        <f t="shared" si="0"/>
        <v>ENTITY</v>
      </c>
      <c r="E19" t="str">
        <f t="shared" si="1"/>
        <v>ENTITYPURE_TRNVR_CCM</v>
      </c>
      <c r="G19" t="s">
        <v>785</v>
      </c>
      <c r="H19" t="s">
        <v>1048</v>
      </c>
      <c r="I19" t="str">
        <f t="shared" si="2"/>
        <v>INSTRUMENTCMMTMNT_INCPTN_INSTRMNT</v>
      </c>
      <c r="K19" t="s">
        <v>2291</v>
      </c>
      <c r="L19" t="s">
        <v>2307</v>
      </c>
      <c r="M19" t="s">
        <v>2397</v>
      </c>
      <c r="N19" t="str">
        <f t="shared" si="3"/>
        <v>ENTITY</v>
      </c>
      <c r="O19" t="str">
        <f t="shared" si="4"/>
        <v>ENTITYFLG_NFRD_APPLCBLTY</v>
      </c>
      <c r="P19" t="s">
        <v>2397</v>
      </c>
      <c r="R19" t="s">
        <v>785</v>
      </c>
      <c r="S19" t="s">
        <v>1158</v>
      </c>
      <c r="T19" t="str">
        <f t="shared" si="5"/>
        <v>INSTRUMENTARRRS_INSTRMNT</v>
      </c>
      <c r="U19" t="s">
        <v>2453</v>
      </c>
      <c r="V19" t="s">
        <v>2458</v>
      </c>
    </row>
    <row r="20" spans="2:22" x14ac:dyDescent="0.35">
      <c r="B20" t="s">
        <v>2291</v>
      </c>
      <c r="C20" t="s">
        <v>2306</v>
      </c>
      <c r="D20" t="str">
        <f t="shared" si="0"/>
        <v>ENTITY</v>
      </c>
      <c r="E20" t="str">
        <f t="shared" si="1"/>
        <v>ENTITYPURE_TRNVR_CCA</v>
      </c>
      <c r="G20" t="s">
        <v>785</v>
      </c>
      <c r="H20" t="s">
        <v>1053</v>
      </c>
      <c r="I20" t="str">
        <f t="shared" si="2"/>
        <v>INSTRUMENTCMMTMNT_INSTRMNT</v>
      </c>
      <c r="K20" t="s">
        <v>2291</v>
      </c>
      <c r="L20" t="s">
        <v>2308</v>
      </c>
      <c r="M20" t="s">
        <v>2397</v>
      </c>
      <c r="N20" t="str">
        <f t="shared" si="3"/>
        <v>ENTITY</v>
      </c>
      <c r="O20" t="str">
        <f t="shared" si="4"/>
        <v>ENTITYCNTRPRTY_EMSSNS_SCP1</v>
      </c>
      <c r="P20" t="s">
        <v>2397</v>
      </c>
      <c r="R20" t="s">
        <v>785</v>
      </c>
      <c r="S20" t="s">
        <v>1162</v>
      </c>
      <c r="T20" t="str">
        <f t="shared" si="5"/>
        <v>INSTRUMENTARRRS_INSTRMNT_12M</v>
      </c>
      <c r="U20" t="s">
        <v>2453</v>
      </c>
      <c r="V20" t="s">
        <v>2375</v>
      </c>
    </row>
    <row r="21" spans="2:22" x14ac:dyDescent="0.35">
      <c r="B21" t="s">
        <v>2291</v>
      </c>
      <c r="C21" t="s">
        <v>2307</v>
      </c>
      <c r="D21" t="str">
        <f t="shared" si="0"/>
        <v>ENTITY</v>
      </c>
      <c r="E21" t="str">
        <f t="shared" si="1"/>
        <v>ENTITYFLG_NFRD_APPLCBLTY</v>
      </c>
      <c r="G21" t="s">
        <v>785</v>
      </c>
      <c r="H21" t="s">
        <v>1392</v>
      </c>
      <c r="I21" t="str">
        <f t="shared" si="2"/>
        <v>INSTRUMENTCMPLNT_MRTR_C19_NM</v>
      </c>
      <c r="K21" t="s">
        <v>2291</v>
      </c>
      <c r="L21" t="s">
        <v>2309</v>
      </c>
      <c r="M21" t="s">
        <v>2397</v>
      </c>
      <c r="N21" t="str">
        <f t="shared" si="3"/>
        <v>ENTITY</v>
      </c>
      <c r="O21" t="str">
        <f t="shared" si="4"/>
        <v>ENTITYCNTRPRTY_EMSSNS_SCP2</v>
      </c>
      <c r="P21" t="s">
        <v>2397</v>
      </c>
      <c r="R21" t="s">
        <v>785</v>
      </c>
      <c r="S21" t="s">
        <v>1443</v>
      </c>
      <c r="T21" t="str">
        <f t="shared" si="5"/>
        <v>INSTRUMENTASST_SCRT_CLSS</v>
      </c>
      <c r="U21" t="s">
        <v>2448</v>
      </c>
      <c r="V21" t="s">
        <v>2375</v>
      </c>
    </row>
    <row r="22" spans="2:22" x14ac:dyDescent="0.35">
      <c r="B22" t="s">
        <v>2291</v>
      </c>
      <c r="C22" t="s">
        <v>2308</v>
      </c>
      <c r="D22" t="str">
        <f t="shared" si="0"/>
        <v>ENTITY</v>
      </c>
      <c r="E22" t="str">
        <f t="shared" si="1"/>
        <v>ENTITYCNTRPRTY_EMSSNS_SCP1</v>
      </c>
      <c r="G22" t="s">
        <v>785</v>
      </c>
      <c r="H22" t="s">
        <v>804</v>
      </c>
      <c r="I22" t="str">
        <f t="shared" si="2"/>
        <v>INSTRUMENTCNSMPTN_FNRP18</v>
      </c>
      <c r="K22" t="s">
        <v>2291</v>
      </c>
      <c r="L22" t="s">
        <v>2310</v>
      </c>
      <c r="M22" t="s">
        <v>2397</v>
      </c>
      <c r="N22" t="str">
        <f t="shared" si="3"/>
        <v>ENTITY</v>
      </c>
      <c r="O22" t="str">
        <f t="shared" si="4"/>
        <v>ENTITYCNTRPRTY_EMSSNS_SCP3</v>
      </c>
      <c r="P22" t="s">
        <v>2397</v>
      </c>
      <c r="R22" t="s">
        <v>785</v>
      </c>
      <c r="S22" t="s">
        <v>839</v>
      </c>
      <c r="T22" t="str">
        <f t="shared" si="5"/>
        <v>INSTRUMENTBRCHD_CVNNTS</v>
      </c>
      <c r="U22" t="s">
        <v>2454</v>
      </c>
      <c r="V22" t="s">
        <v>2375</v>
      </c>
    </row>
    <row r="23" spans="2:22" x14ac:dyDescent="0.35">
      <c r="B23" t="s">
        <v>2291</v>
      </c>
      <c r="C23" t="s">
        <v>2309</v>
      </c>
      <c r="D23" t="str">
        <f t="shared" si="0"/>
        <v>ENTITY</v>
      </c>
      <c r="E23" t="str">
        <f t="shared" si="1"/>
        <v>ENTITYCNTRPRTY_EMSSNS_SCP2</v>
      </c>
      <c r="G23" t="s">
        <v>785</v>
      </c>
      <c r="H23" t="s">
        <v>811</v>
      </c>
      <c r="I23" t="str">
        <f t="shared" si="2"/>
        <v>INSTRUMENTCNTRCT_ID</v>
      </c>
      <c r="K23" t="s">
        <v>2291</v>
      </c>
      <c r="L23" t="s">
        <v>2311</v>
      </c>
      <c r="M23" t="s">
        <v>2397</v>
      </c>
      <c r="N23" t="str">
        <f t="shared" si="3"/>
        <v>ENTITY</v>
      </c>
      <c r="O23" t="str">
        <f t="shared" si="4"/>
        <v>ENTITYFLG_EXCLDD_EU_PRS_ALGND_BNCHMRK</v>
      </c>
      <c r="P23" t="s">
        <v>2397</v>
      </c>
      <c r="R23" t="s">
        <v>35</v>
      </c>
      <c r="S23" t="s">
        <v>293</v>
      </c>
      <c r="T23" t="str">
        <f t="shared" si="5"/>
        <v>ENTITYCAPEX</v>
      </c>
      <c r="U23" t="s">
        <v>2450</v>
      </c>
      <c r="V23" t="s">
        <v>2375</v>
      </c>
    </row>
    <row r="24" spans="2:22" x14ac:dyDescent="0.35">
      <c r="B24" t="s">
        <v>2291</v>
      </c>
      <c r="C24" t="s">
        <v>2310</v>
      </c>
      <c r="D24" t="str">
        <f t="shared" si="0"/>
        <v>ENTITY</v>
      </c>
      <c r="E24" t="str">
        <f t="shared" si="1"/>
        <v>ENTITYCNTRPRTY_EMSSNS_SCP3</v>
      </c>
      <c r="G24" t="s">
        <v>785</v>
      </c>
      <c r="H24" t="s">
        <v>1609</v>
      </c>
      <c r="I24" t="str">
        <f t="shared" si="2"/>
        <v>INSTRUMENTCNTRCT_ID_BDR</v>
      </c>
      <c r="K24" t="s">
        <v>2291</v>
      </c>
      <c r="L24" t="s">
        <v>2312</v>
      </c>
      <c r="M24" t="s">
        <v>2397</v>
      </c>
      <c r="N24" t="str">
        <f t="shared" si="3"/>
        <v>ENTITY</v>
      </c>
      <c r="O24" t="str">
        <f t="shared" si="4"/>
        <v>ENTITYFLG_ACT_PHYSCL_RSK</v>
      </c>
      <c r="P24" t="s">
        <v>2397</v>
      </c>
      <c r="R24" t="s">
        <v>35</v>
      </c>
      <c r="S24" t="s">
        <v>297</v>
      </c>
      <c r="T24" t="str">
        <f t="shared" si="5"/>
        <v>ENTITYCAPEX_PRVS</v>
      </c>
      <c r="U24" t="s">
        <v>2450</v>
      </c>
      <c r="V24" t="s">
        <v>2375</v>
      </c>
    </row>
    <row r="25" spans="2:22" x14ac:dyDescent="0.35">
      <c r="B25" t="s">
        <v>2291</v>
      </c>
      <c r="C25" t="s">
        <v>2311</v>
      </c>
      <c r="D25" t="str">
        <f t="shared" si="0"/>
        <v>ENTITY</v>
      </c>
      <c r="E25" t="str">
        <f t="shared" si="1"/>
        <v>ENTITYFLG_EXCLDD_EU_PRS_ALGND_BNCHMRK</v>
      </c>
      <c r="G25" t="s">
        <v>785</v>
      </c>
      <c r="H25" t="s">
        <v>38</v>
      </c>
      <c r="I25" t="str">
        <f t="shared" si="2"/>
        <v>INSTRUMENTCOD_SOC</v>
      </c>
      <c r="K25" t="s">
        <v>2291</v>
      </c>
      <c r="L25" t="s">
        <v>2313</v>
      </c>
      <c r="M25" t="s">
        <v>2397</v>
      </c>
      <c r="N25" t="str">
        <f t="shared" si="3"/>
        <v>ENTITY</v>
      </c>
      <c r="O25" t="str">
        <f t="shared" si="4"/>
        <v>ENTITYFLG_CHRNC_PHYSCL_RSK</v>
      </c>
      <c r="P25" t="s">
        <v>2397</v>
      </c>
      <c r="R25" t="s">
        <v>785</v>
      </c>
      <c r="S25" t="s">
        <v>1043</v>
      </c>
      <c r="T25" t="str">
        <f t="shared" si="5"/>
        <v>INSTRUMENTCCF</v>
      </c>
      <c r="U25" t="s">
        <v>2448</v>
      </c>
      <c r="V25" t="s">
        <v>2375</v>
      </c>
    </row>
    <row r="26" spans="2:22" x14ac:dyDescent="0.35">
      <c r="B26" t="s">
        <v>2291</v>
      </c>
      <c r="C26" t="s">
        <v>2312</v>
      </c>
      <c r="D26" t="str">
        <f t="shared" si="0"/>
        <v>ENTITY</v>
      </c>
      <c r="E26" t="str">
        <f t="shared" si="1"/>
        <v>ENTITYFLG_ACT_PHYSCL_RSK</v>
      </c>
      <c r="G26" t="s">
        <v>785</v>
      </c>
      <c r="H26" t="s">
        <v>1614</v>
      </c>
      <c r="I26" t="str">
        <f t="shared" si="2"/>
        <v>INSTRUMENTCOD_SOC_INTRGRP</v>
      </c>
      <c r="K26" t="s">
        <v>2291</v>
      </c>
      <c r="L26" t="s">
        <v>2314</v>
      </c>
      <c r="M26" t="s">
        <v>2397</v>
      </c>
      <c r="N26" t="str">
        <f t="shared" si="3"/>
        <v>ENTITY</v>
      </c>
      <c r="O26" t="str">
        <f t="shared" si="4"/>
        <v>ENTITYPST_CD</v>
      </c>
      <c r="P26" t="s">
        <v>2397</v>
      </c>
      <c r="R26" t="s">
        <v>785</v>
      </c>
      <c r="S26" t="s">
        <v>843</v>
      </c>
      <c r="T26" t="str">
        <f t="shared" si="5"/>
        <v>INSTRUMENTCHNNL_ORGNTN</v>
      </c>
      <c r="U26" t="s">
        <v>2455</v>
      </c>
      <c r="V26" t="s">
        <v>2375</v>
      </c>
    </row>
    <row r="27" spans="2:22" x14ac:dyDescent="0.35">
      <c r="B27" t="s">
        <v>2291</v>
      </c>
      <c r="C27" t="s">
        <v>2313</v>
      </c>
      <c r="D27" t="str">
        <f t="shared" si="0"/>
        <v>ENTITY</v>
      </c>
      <c r="E27" t="str">
        <f t="shared" si="1"/>
        <v>ENTITYFLG_CHRNC_PHYSCL_RSK</v>
      </c>
      <c r="G27" t="s">
        <v>785</v>
      </c>
      <c r="H27" t="s">
        <v>1447</v>
      </c>
      <c r="I27" t="str">
        <f t="shared" si="2"/>
        <v>INSTRUMENTCPN_CRRNCY</v>
      </c>
      <c r="K27" t="s">
        <v>2291</v>
      </c>
      <c r="L27" t="s">
        <v>2315</v>
      </c>
      <c r="M27" t="s">
        <v>2397</v>
      </c>
      <c r="N27" t="str">
        <f t="shared" si="3"/>
        <v>ENTITY</v>
      </c>
      <c r="O27" t="str">
        <f t="shared" si="4"/>
        <v>ENTITYESG_SBSCTR</v>
      </c>
      <c r="P27" t="s">
        <v>2397</v>
      </c>
      <c r="R27" t="s">
        <v>35</v>
      </c>
      <c r="S27" t="s">
        <v>301</v>
      </c>
      <c r="T27" t="str">
        <f t="shared" si="5"/>
        <v>ENTITYCLLCTN_MD</v>
      </c>
      <c r="U27" t="s">
        <v>2448</v>
      </c>
      <c r="V27" t="s">
        <v>2375</v>
      </c>
    </row>
    <row r="28" spans="2:22" x14ac:dyDescent="0.35">
      <c r="B28" t="s">
        <v>2291</v>
      </c>
      <c r="C28" t="s">
        <v>2314</v>
      </c>
      <c r="D28" t="str">
        <f t="shared" si="0"/>
        <v>ENTITY</v>
      </c>
      <c r="E28" t="str">
        <f t="shared" si="1"/>
        <v>ENTITYPST_CD</v>
      </c>
      <c r="G28" t="s">
        <v>785</v>
      </c>
      <c r="H28" t="s">
        <v>2373</v>
      </c>
      <c r="I28" t="str">
        <f t="shared" si="2"/>
        <v>INSTRUMENTCPN_RT</v>
      </c>
      <c r="K28" t="s">
        <v>2291</v>
      </c>
      <c r="L28" t="s">
        <v>2316</v>
      </c>
      <c r="M28" t="s">
        <v>2397</v>
      </c>
      <c r="N28" t="str">
        <f t="shared" si="3"/>
        <v>ENTITY</v>
      </c>
      <c r="O28" t="str">
        <f t="shared" si="4"/>
        <v>ENTITYTTL_LBLTY</v>
      </c>
      <c r="P28" t="s">
        <v>2397</v>
      </c>
      <c r="R28" t="s">
        <v>35</v>
      </c>
      <c r="S28" t="s">
        <v>383</v>
      </c>
      <c r="T28" t="str">
        <f t="shared" si="5"/>
        <v>ENTITYTTL_INTRST_PD</v>
      </c>
      <c r="U28" t="s">
        <v>2450</v>
      </c>
      <c r="V28" t="s">
        <v>2458</v>
      </c>
    </row>
    <row r="29" spans="2:22" x14ac:dyDescent="0.35">
      <c r="B29" t="s">
        <v>2291</v>
      </c>
      <c r="C29" t="s">
        <v>2315</v>
      </c>
      <c r="D29" t="str">
        <f t="shared" si="0"/>
        <v>ENTITY</v>
      </c>
      <c r="E29" t="str">
        <f t="shared" si="1"/>
        <v>ENTITYESG_SBSCTR</v>
      </c>
      <c r="G29" t="s">
        <v>785</v>
      </c>
      <c r="H29" t="s">
        <v>792</v>
      </c>
      <c r="I29" t="str">
        <f t="shared" si="2"/>
        <v>INSTRUMENTCRE_FNRP18</v>
      </c>
      <c r="K29" t="s">
        <v>2291</v>
      </c>
      <c r="L29" t="s">
        <v>2317</v>
      </c>
      <c r="M29" t="s">
        <v>2397</v>
      </c>
      <c r="N29" t="str">
        <f t="shared" si="3"/>
        <v>ENTITY</v>
      </c>
      <c r="O29" t="str">
        <f t="shared" si="4"/>
        <v>ENTITYISIN</v>
      </c>
      <c r="P29" t="s">
        <v>2397</v>
      </c>
      <c r="R29" t="s">
        <v>785</v>
      </c>
      <c r="S29" t="s">
        <v>1048</v>
      </c>
      <c r="T29" t="str">
        <f t="shared" si="5"/>
        <v>INSTRUMENTCMMTMNT_INCPTN_INSTRMNT</v>
      </c>
      <c r="U29" t="s">
        <v>2453</v>
      </c>
      <c r="V29" t="s">
        <v>2375</v>
      </c>
    </row>
    <row r="30" spans="2:22" x14ac:dyDescent="0.35">
      <c r="B30" t="s">
        <v>2291</v>
      </c>
      <c r="C30" t="s">
        <v>2316</v>
      </c>
      <c r="D30" t="str">
        <f t="shared" si="0"/>
        <v>ENTITY</v>
      </c>
      <c r="E30" t="str">
        <f t="shared" si="1"/>
        <v>ENTITYTTL_LBLTY</v>
      </c>
      <c r="G30" t="s">
        <v>785</v>
      </c>
      <c r="H30" t="s">
        <v>1599</v>
      </c>
      <c r="I30" t="str">
        <f t="shared" si="2"/>
        <v>INSTRUMENTCRRLTN_CFFCNT</v>
      </c>
      <c r="K30" t="s">
        <v>2291</v>
      </c>
      <c r="L30" t="s">
        <v>2318</v>
      </c>
      <c r="M30" t="s">
        <v>2397</v>
      </c>
      <c r="N30" t="str">
        <f t="shared" si="3"/>
        <v>ENTITY</v>
      </c>
      <c r="O30" t="str">
        <f t="shared" si="4"/>
        <v>ENTITYGRP_ANNL_TRNVR_LE</v>
      </c>
      <c r="P30" t="s">
        <v>2397</v>
      </c>
      <c r="R30" t="s">
        <v>1952</v>
      </c>
      <c r="S30" t="s">
        <v>1975</v>
      </c>
      <c r="T30" t="str">
        <f t="shared" si="5"/>
        <v>PROTECTIONRL_ESTT_CLLTRL_LCTN</v>
      </c>
      <c r="U30" t="s">
        <v>2450</v>
      </c>
      <c r="V30" t="s">
        <v>2375</v>
      </c>
    </row>
    <row r="31" spans="2:22" x14ac:dyDescent="0.35">
      <c r="B31" t="s">
        <v>2291</v>
      </c>
      <c r="C31" t="s">
        <v>2317</v>
      </c>
      <c r="D31" t="str">
        <f t="shared" si="0"/>
        <v>ENTITY</v>
      </c>
      <c r="E31" t="str">
        <f t="shared" si="1"/>
        <v>ENTITYISIN</v>
      </c>
      <c r="G31" t="s">
        <v>785</v>
      </c>
      <c r="H31" t="s">
        <v>815</v>
      </c>
      <c r="I31" t="str">
        <f t="shared" si="2"/>
        <v>INSTRUMENTCRRNCY_DNMNTN</v>
      </c>
      <c r="K31" t="s">
        <v>2291</v>
      </c>
      <c r="L31" t="s">
        <v>2319</v>
      </c>
      <c r="M31" t="s">
        <v>2397</v>
      </c>
      <c r="N31" t="str">
        <f t="shared" si="3"/>
        <v>ENTITY</v>
      </c>
      <c r="O31" t="str">
        <f t="shared" si="4"/>
        <v>ENTITYGRP_TTL_LBLTY</v>
      </c>
      <c r="P31" t="s">
        <v>2397</v>
      </c>
      <c r="R31" t="s">
        <v>785</v>
      </c>
      <c r="S31" t="s">
        <v>1392</v>
      </c>
      <c r="T31" t="str">
        <f t="shared" si="5"/>
        <v>INSTRUMENTCMPLNT_MRTR_C19_NM</v>
      </c>
      <c r="U31" t="s">
        <v>2448</v>
      </c>
      <c r="V31" t="s">
        <v>2375</v>
      </c>
    </row>
    <row r="32" spans="2:22" x14ac:dyDescent="0.35">
      <c r="B32" t="s">
        <v>2291</v>
      </c>
      <c r="C32" t="s">
        <v>2318</v>
      </c>
      <c r="D32" t="str">
        <f t="shared" si="0"/>
        <v>ENTITY</v>
      </c>
      <c r="E32" t="str">
        <f t="shared" si="1"/>
        <v>ENTITYGRP_ANNL_TRNVR_LE</v>
      </c>
      <c r="G32" t="s">
        <v>785</v>
      </c>
      <c r="H32" t="s">
        <v>1057</v>
      </c>
      <c r="I32" t="str">
        <f t="shared" si="2"/>
        <v>INSTRUMENTCRRYNG_AMNT_INSTRMNT</v>
      </c>
      <c r="K32" t="s">
        <v>2291</v>
      </c>
      <c r="L32" t="s">
        <v>2320</v>
      </c>
      <c r="M32" t="s">
        <v>2397</v>
      </c>
      <c r="N32" t="str">
        <f t="shared" si="3"/>
        <v>ENTITY</v>
      </c>
      <c r="O32" t="str">
        <f t="shared" si="4"/>
        <v>ENTITYFLG_GRP_NFRD_APPLCBLTY</v>
      </c>
      <c r="P32" t="s">
        <v>2397</v>
      </c>
      <c r="R32" t="s">
        <v>785</v>
      </c>
      <c r="S32" t="s">
        <v>804</v>
      </c>
      <c r="T32" t="str">
        <f t="shared" si="5"/>
        <v>INSTRUMENTCNSMPTN_FNRP18</v>
      </c>
      <c r="U32" t="s">
        <v>2448</v>
      </c>
      <c r="V32" t="s">
        <v>2375</v>
      </c>
    </row>
    <row r="33" spans="2:22" x14ac:dyDescent="0.35">
      <c r="B33" t="s">
        <v>2291</v>
      </c>
      <c r="C33" t="s">
        <v>2319</v>
      </c>
      <c r="D33" t="str">
        <f t="shared" si="0"/>
        <v>ENTITY</v>
      </c>
      <c r="E33" t="str">
        <f t="shared" si="1"/>
        <v>ENTITYGRP_TTL_LBLTY</v>
      </c>
      <c r="G33" t="s">
        <v>785</v>
      </c>
      <c r="H33" t="s">
        <v>847</v>
      </c>
      <c r="I33" t="str">
        <f t="shared" si="2"/>
        <v>INSTRUMENTCSH_SWP_TRP</v>
      </c>
      <c r="K33" t="s">
        <v>2291</v>
      </c>
      <c r="L33" t="s">
        <v>2321</v>
      </c>
      <c r="M33" t="s">
        <v>2397</v>
      </c>
      <c r="N33" t="str">
        <f t="shared" si="3"/>
        <v>ENTITY</v>
      </c>
      <c r="O33" t="str">
        <f t="shared" si="4"/>
        <v>ENTITYGRP_EMSSNS_SCP1</v>
      </c>
      <c r="P33" t="s">
        <v>2397</v>
      </c>
      <c r="R33" t="s">
        <v>1952</v>
      </c>
      <c r="S33" t="s">
        <v>2062</v>
      </c>
      <c r="T33" t="str">
        <f t="shared" si="5"/>
        <v>PROTECTIONDT_APPRSL_PRVS</v>
      </c>
      <c r="U33" t="s">
        <v>2448</v>
      </c>
      <c r="V33" t="s">
        <v>2375</v>
      </c>
    </row>
    <row r="34" spans="2:22" x14ac:dyDescent="0.35">
      <c r="B34" t="s">
        <v>2291</v>
      </c>
      <c r="C34" t="s">
        <v>2320</v>
      </c>
      <c r="D34" t="str">
        <f t="shared" si="0"/>
        <v>ENTITY</v>
      </c>
      <c r="E34" t="str">
        <f t="shared" si="1"/>
        <v>ENTITYFLG_GRP_NFRD_APPLCBLTY</v>
      </c>
      <c r="G34" t="s">
        <v>785</v>
      </c>
      <c r="H34" t="s">
        <v>851</v>
      </c>
      <c r="I34" t="str">
        <f t="shared" si="2"/>
        <v>INSTRUMENTCVNNT_STTS</v>
      </c>
      <c r="K34" t="s">
        <v>2291</v>
      </c>
      <c r="L34" t="s">
        <v>2322</v>
      </c>
      <c r="M34" t="s">
        <v>2397</v>
      </c>
      <c r="N34" t="str">
        <f t="shared" si="3"/>
        <v>ENTITY</v>
      </c>
      <c r="O34" t="str">
        <f t="shared" si="4"/>
        <v>ENTITYGRP_EMSSNS_SCP2</v>
      </c>
      <c r="P34" t="s">
        <v>2397</v>
      </c>
      <c r="R34" t="s">
        <v>785</v>
      </c>
      <c r="S34" t="s">
        <v>811</v>
      </c>
      <c r="T34" t="str">
        <f t="shared" si="5"/>
        <v>INSTRUMENTCNTRCT_ID</v>
      </c>
      <c r="U34" t="s">
        <v>2448</v>
      </c>
      <c r="V34" t="s">
        <v>2375</v>
      </c>
    </row>
    <row r="35" spans="2:22" x14ac:dyDescent="0.35">
      <c r="B35" t="s">
        <v>2291</v>
      </c>
      <c r="C35" t="s">
        <v>2321</v>
      </c>
      <c r="D35" t="str">
        <f t="shared" si="0"/>
        <v>ENTITY</v>
      </c>
      <c r="E35" t="str">
        <f t="shared" si="1"/>
        <v>ENTITYGRP_EMSSNS_SCP1</v>
      </c>
      <c r="G35" t="s">
        <v>785</v>
      </c>
      <c r="H35" t="s">
        <v>855</v>
      </c>
      <c r="I35" t="str">
        <f t="shared" si="2"/>
        <v>INSTRUMENTCVNNT_TYP</v>
      </c>
      <c r="K35" t="s">
        <v>2291</v>
      </c>
      <c r="L35" t="s">
        <v>2323</v>
      </c>
      <c r="M35" t="s">
        <v>2397</v>
      </c>
      <c r="N35" t="str">
        <f t="shared" si="3"/>
        <v>ENTITY</v>
      </c>
      <c r="O35" t="str">
        <f t="shared" si="4"/>
        <v>ENTITYGRP_EMSSNS_SCP3</v>
      </c>
      <c r="P35" t="s">
        <v>2397</v>
      </c>
      <c r="R35" t="s">
        <v>785</v>
      </c>
      <c r="S35" t="s">
        <v>1609</v>
      </c>
      <c r="T35" t="str">
        <f t="shared" si="5"/>
        <v>INSTRUMENTCNTRCT_ID_BDR</v>
      </c>
      <c r="U35" t="s">
        <v>2448</v>
      </c>
      <c r="V35" t="s">
        <v>2375</v>
      </c>
    </row>
    <row r="36" spans="2:22" x14ac:dyDescent="0.35">
      <c r="B36" t="s">
        <v>2291</v>
      </c>
      <c r="C36" t="s">
        <v>2322</v>
      </c>
      <c r="D36" t="str">
        <f t="shared" si="0"/>
        <v>ENTITY</v>
      </c>
      <c r="E36" t="str">
        <f t="shared" si="1"/>
        <v>ENTITYGRP_EMSSNS_SCP2</v>
      </c>
      <c r="G36" t="s">
        <v>785</v>
      </c>
      <c r="H36" t="s">
        <v>1061</v>
      </c>
      <c r="I36" t="str">
        <f t="shared" si="2"/>
        <v>INSTRUMENTDBT_YLD</v>
      </c>
      <c r="K36" t="s">
        <v>2288</v>
      </c>
      <c r="L36" t="s">
        <v>2324</v>
      </c>
      <c r="M36" t="s">
        <v>2397</v>
      </c>
      <c r="N36" t="str">
        <f t="shared" si="3"/>
        <v>PROTECTION</v>
      </c>
      <c r="O36" t="str">
        <f t="shared" si="4"/>
        <v>PROTECTIONTYP_EP_SCR</v>
      </c>
      <c r="P36" t="s">
        <v>2397</v>
      </c>
      <c r="R36" t="s">
        <v>35</v>
      </c>
      <c r="S36" t="s">
        <v>50</v>
      </c>
      <c r="T36" t="str">
        <f t="shared" si="5"/>
        <v>ENTITYCNTRY</v>
      </c>
      <c r="U36" t="s">
        <v>2448</v>
      </c>
      <c r="V36" t="s">
        <v>2375</v>
      </c>
    </row>
    <row r="37" spans="2:22" x14ac:dyDescent="0.35">
      <c r="B37" t="s">
        <v>2291</v>
      </c>
      <c r="C37" t="s">
        <v>2323</v>
      </c>
      <c r="D37" t="str">
        <f t="shared" si="0"/>
        <v>ENTITY</v>
      </c>
      <c r="E37" t="str">
        <f t="shared" si="1"/>
        <v>ENTITYGRP_EMSSNS_SCP3</v>
      </c>
      <c r="G37" t="s">
        <v>785</v>
      </c>
      <c r="H37" t="s">
        <v>859</v>
      </c>
      <c r="I37" t="str">
        <f t="shared" si="2"/>
        <v>INSTRUMENTDFLT_STTS_INSTRMNT</v>
      </c>
      <c r="K37" t="s">
        <v>2288</v>
      </c>
      <c r="L37" t="s">
        <v>2325</v>
      </c>
      <c r="M37" t="s">
        <v>2397</v>
      </c>
      <c r="N37" t="str">
        <f t="shared" si="3"/>
        <v>PROTECTION</v>
      </c>
      <c r="O37" t="str">
        <f t="shared" si="4"/>
        <v>PROTECTIONEP_SCR</v>
      </c>
      <c r="P37" t="s">
        <v>2397</v>
      </c>
      <c r="R37" t="s">
        <v>35</v>
      </c>
      <c r="S37" t="s">
        <v>38</v>
      </c>
      <c r="T37" t="str">
        <f t="shared" si="5"/>
        <v>ENTITYCOD_SOC</v>
      </c>
      <c r="U37" t="s">
        <v>2448</v>
      </c>
      <c r="V37" t="s">
        <v>2375</v>
      </c>
    </row>
    <row r="38" spans="2:22" x14ac:dyDescent="0.35">
      <c r="B38" t="s">
        <v>2288</v>
      </c>
      <c r="C38" t="s">
        <v>2324</v>
      </c>
      <c r="D38" t="str">
        <f t="shared" si="0"/>
        <v>PROTECTION</v>
      </c>
      <c r="E38" t="str">
        <f t="shared" si="1"/>
        <v>PROTECTIONTYP_EP_SCR</v>
      </c>
      <c r="G38" t="s">
        <v>785</v>
      </c>
      <c r="H38" t="s">
        <v>1170</v>
      </c>
      <c r="I38" t="str">
        <f t="shared" si="2"/>
        <v>INSTRUMENTDPD</v>
      </c>
      <c r="K38" t="s">
        <v>2288</v>
      </c>
      <c r="L38" t="s">
        <v>2326</v>
      </c>
      <c r="M38" t="s">
        <v>2397</v>
      </c>
      <c r="N38" t="str">
        <f t="shared" si="3"/>
        <v>PROTECTION</v>
      </c>
      <c r="O38" t="str">
        <f t="shared" si="4"/>
        <v>PROTECTIONTYP_EPC_LBL</v>
      </c>
      <c r="P38" t="s">
        <v>2397</v>
      </c>
      <c r="R38" t="s">
        <v>765</v>
      </c>
      <c r="S38" t="s">
        <v>38</v>
      </c>
      <c r="T38" t="str">
        <f t="shared" si="5"/>
        <v>INSTR_ENTITYCOD_SOC</v>
      </c>
      <c r="U38" t="s">
        <v>2448</v>
      </c>
      <c r="V38" t="s">
        <v>2375</v>
      </c>
    </row>
    <row r="39" spans="2:22" x14ac:dyDescent="0.35">
      <c r="B39" t="s">
        <v>2288</v>
      </c>
      <c r="C39" t="s">
        <v>2325</v>
      </c>
      <c r="D39" t="str">
        <f t="shared" si="0"/>
        <v>PROTECTION</v>
      </c>
      <c r="E39" t="str">
        <f t="shared" si="1"/>
        <v>PROTECTIONEP_SCR</v>
      </c>
      <c r="G39" t="s">
        <v>785</v>
      </c>
      <c r="H39" t="s">
        <v>1175</v>
      </c>
      <c r="I39" t="str">
        <f t="shared" si="2"/>
        <v>INSTRUMENTDPD_12M</v>
      </c>
      <c r="K39" t="s">
        <v>2288</v>
      </c>
      <c r="L39" t="s">
        <v>2327</v>
      </c>
      <c r="M39" t="s">
        <v>2397</v>
      </c>
      <c r="N39" t="str">
        <f t="shared" si="3"/>
        <v>PROTECTION</v>
      </c>
      <c r="O39" t="str">
        <f t="shared" si="4"/>
        <v>PROTECTIONEPC_LBL</v>
      </c>
      <c r="P39" t="s">
        <v>2397</v>
      </c>
      <c r="R39" t="s">
        <v>1927</v>
      </c>
      <c r="S39" t="s">
        <v>38</v>
      </c>
      <c r="T39" t="str">
        <f t="shared" si="5"/>
        <v>INSTR_PROTECTIONCOD_SOC</v>
      </c>
      <c r="U39" t="s">
        <v>2448</v>
      </c>
      <c r="V39" t="s">
        <v>2375</v>
      </c>
    </row>
    <row r="40" spans="2:22" x14ac:dyDescent="0.35">
      <c r="B40" t="s">
        <v>2288</v>
      </c>
      <c r="C40" t="s">
        <v>2326</v>
      </c>
      <c r="D40" t="str">
        <f t="shared" si="0"/>
        <v>PROTECTION</v>
      </c>
      <c r="E40" t="str">
        <f t="shared" si="1"/>
        <v>PROTECTIONTYP_EPC_LBL</v>
      </c>
      <c r="G40" t="s">
        <v>785</v>
      </c>
      <c r="H40" t="s">
        <v>1180</v>
      </c>
      <c r="I40" t="str">
        <f t="shared" si="2"/>
        <v>INSTRUMENTDPD_12M_FRBRNC_STTS</v>
      </c>
      <c r="K40" t="s">
        <v>2288</v>
      </c>
      <c r="L40" t="s">
        <v>2328</v>
      </c>
      <c r="M40" t="s">
        <v>2397</v>
      </c>
      <c r="N40" t="str">
        <f t="shared" si="3"/>
        <v>PROTECTION</v>
      </c>
      <c r="O40" t="str">
        <f t="shared" si="4"/>
        <v>PROTECTIONEMSSNS_SCP1_PRTCTN</v>
      </c>
      <c r="P40" t="s">
        <v>2397</v>
      </c>
      <c r="R40" t="s">
        <v>785</v>
      </c>
      <c r="S40" t="s">
        <v>38</v>
      </c>
      <c r="T40" t="str">
        <f t="shared" si="5"/>
        <v>INSTRUMENTCOD_SOC</v>
      </c>
      <c r="U40" t="s">
        <v>2448</v>
      </c>
      <c r="V40" t="s">
        <v>2375</v>
      </c>
    </row>
    <row r="41" spans="2:22" x14ac:dyDescent="0.35">
      <c r="B41" t="s">
        <v>2288</v>
      </c>
      <c r="C41" t="s">
        <v>2327</v>
      </c>
      <c r="D41" t="str">
        <f t="shared" si="0"/>
        <v>PROTECTION</v>
      </c>
      <c r="E41" t="str">
        <f t="shared" si="1"/>
        <v>PROTECTIONEPC_LBL</v>
      </c>
      <c r="G41" t="s">
        <v>785</v>
      </c>
      <c r="H41" t="s">
        <v>1185</v>
      </c>
      <c r="I41" t="str">
        <f t="shared" si="2"/>
        <v>INSTRUMENTDPD_12M_PRFRMNG_STTS</v>
      </c>
      <c r="K41" t="s">
        <v>2288</v>
      </c>
      <c r="L41" t="s">
        <v>2329</v>
      </c>
      <c r="M41" t="s">
        <v>2397</v>
      </c>
      <c r="N41" t="str">
        <f t="shared" si="3"/>
        <v>PROTECTION</v>
      </c>
      <c r="O41" t="str">
        <f t="shared" si="4"/>
        <v>PROTECTIONEMSSNS_SCP2_PRTCTN</v>
      </c>
      <c r="P41" t="s">
        <v>2397</v>
      </c>
      <c r="R41" t="s">
        <v>1952</v>
      </c>
      <c r="S41" t="s">
        <v>38</v>
      </c>
      <c r="T41" t="str">
        <f t="shared" si="5"/>
        <v>PROTECTIONCOD_SOC</v>
      </c>
      <c r="U41" t="s">
        <v>2448</v>
      </c>
      <c r="V41" t="s">
        <v>2375</v>
      </c>
    </row>
    <row r="42" spans="2:22" x14ac:dyDescent="0.35">
      <c r="B42" t="s">
        <v>2288</v>
      </c>
      <c r="C42" t="s">
        <v>2328</v>
      </c>
      <c r="D42" t="str">
        <f t="shared" si="0"/>
        <v>PROTECTION</v>
      </c>
      <c r="E42" t="str">
        <f t="shared" si="1"/>
        <v>PROTECTIONEMSSNS_SCP1_PRTCTN</v>
      </c>
      <c r="G42" t="s">
        <v>785</v>
      </c>
      <c r="H42" t="s">
        <v>1190</v>
      </c>
      <c r="I42" t="str">
        <f t="shared" si="2"/>
        <v>INSTRUMENTDPD_24M_FRBRNC_STTS</v>
      </c>
      <c r="K42" t="s">
        <v>2288</v>
      </c>
      <c r="L42" t="s">
        <v>2330</v>
      </c>
      <c r="M42" t="s">
        <v>2397</v>
      </c>
      <c r="N42" t="str">
        <f t="shared" si="3"/>
        <v>PROTECTION</v>
      </c>
      <c r="O42" t="str">
        <f t="shared" si="4"/>
        <v>PROTECTIONEMSSNS_SCP3_PRTCTN</v>
      </c>
      <c r="P42" t="s">
        <v>2397</v>
      </c>
      <c r="R42" t="s">
        <v>785</v>
      </c>
      <c r="S42" t="s">
        <v>1614</v>
      </c>
      <c r="T42" t="str">
        <f t="shared" si="5"/>
        <v>INSTRUMENTCOD_SOC_INTRGRP</v>
      </c>
      <c r="U42" t="s">
        <v>2456</v>
      </c>
      <c r="V42" t="s">
        <v>2375</v>
      </c>
    </row>
    <row r="43" spans="2:22" x14ac:dyDescent="0.35">
      <c r="B43" t="s">
        <v>2288</v>
      </c>
      <c r="C43" t="s">
        <v>2329</v>
      </c>
      <c r="D43" t="str">
        <f t="shared" si="0"/>
        <v>PROTECTION</v>
      </c>
      <c r="E43" t="str">
        <f t="shared" si="1"/>
        <v>PROTECTIONEMSSNS_SCP2_PRTCTN</v>
      </c>
      <c r="G43" t="s">
        <v>785</v>
      </c>
      <c r="H43" t="s">
        <v>1195</v>
      </c>
      <c r="I43" t="str">
        <f t="shared" si="2"/>
        <v>INSTRUMENTDPD_24M_PRFRMNG_STTS</v>
      </c>
      <c r="K43" t="s">
        <v>2288</v>
      </c>
      <c r="L43" t="s">
        <v>2331</v>
      </c>
      <c r="M43" t="s">
        <v>2397</v>
      </c>
      <c r="N43" t="str">
        <f t="shared" si="3"/>
        <v>PROTECTION</v>
      </c>
      <c r="O43" t="str">
        <f t="shared" si="4"/>
        <v>PROTECTIONMTHD_USD_PRTCTN_SCP_1</v>
      </c>
      <c r="P43" t="s">
        <v>2397</v>
      </c>
      <c r="R43" t="s">
        <v>785</v>
      </c>
      <c r="S43" t="s">
        <v>1447</v>
      </c>
      <c r="T43" t="str">
        <f t="shared" si="5"/>
        <v>INSTRUMENTCPN_CRRNCY</v>
      </c>
      <c r="U43" t="s">
        <v>2448</v>
      </c>
      <c r="V43" t="s">
        <v>2375</v>
      </c>
    </row>
    <row r="44" spans="2:22" x14ac:dyDescent="0.35">
      <c r="B44" t="s">
        <v>2288</v>
      </c>
      <c r="C44" t="s">
        <v>2330</v>
      </c>
      <c r="D44" t="str">
        <f t="shared" si="0"/>
        <v>PROTECTION</v>
      </c>
      <c r="E44" t="str">
        <f t="shared" si="1"/>
        <v>PROTECTIONEMSSNS_SCP3_PRTCTN</v>
      </c>
      <c r="G44" t="s">
        <v>785</v>
      </c>
      <c r="H44" t="s">
        <v>1200</v>
      </c>
      <c r="I44" t="str">
        <f t="shared" si="2"/>
        <v>INSTRUMENTDPD_FRBRNC_STTS</v>
      </c>
      <c r="K44" t="s">
        <v>2288</v>
      </c>
      <c r="L44" t="s">
        <v>2332</v>
      </c>
      <c r="M44" t="s">
        <v>2397</v>
      </c>
      <c r="N44" t="str">
        <f t="shared" si="3"/>
        <v>PROTECTION</v>
      </c>
      <c r="O44" t="str">
        <f t="shared" si="4"/>
        <v>PROTECTIONMTHD_USD_PRTCTN_SCP_2</v>
      </c>
      <c r="P44" t="s">
        <v>2397</v>
      </c>
      <c r="R44" t="s">
        <v>785</v>
      </c>
      <c r="S44" t="s">
        <v>1451</v>
      </c>
      <c r="T44" t="str">
        <f t="shared" si="5"/>
        <v>INSTRUMENTCPN_RT_FXD</v>
      </c>
      <c r="U44" t="s">
        <v>2448</v>
      </c>
      <c r="V44" t="s">
        <v>2375</v>
      </c>
    </row>
    <row r="45" spans="2:22" x14ac:dyDescent="0.35">
      <c r="B45" t="s">
        <v>2288</v>
      </c>
      <c r="C45" t="s">
        <v>2331</v>
      </c>
      <c r="D45" t="str">
        <f t="shared" si="0"/>
        <v>PROTECTION</v>
      </c>
      <c r="E45" t="str">
        <f t="shared" si="1"/>
        <v>PROTECTIONMTHD_USD_PRTCTN_SCP_1</v>
      </c>
      <c r="G45" t="s">
        <v>785</v>
      </c>
      <c r="H45" t="s">
        <v>1205</v>
      </c>
      <c r="I45" t="str">
        <f t="shared" si="2"/>
        <v>INSTRUMENTDPD_PRFRMNG_STTS</v>
      </c>
      <c r="K45" t="s">
        <v>2288</v>
      </c>
      <c r="L45" t="s">
        <v>2333</v>
      </c>
      <c r="M45" t="s">
        <v>2397</v>
      </c>
      <c r="N45" t="str">
        <f t="shared" si="3"/>
        <v>PROTECTION</v>
      </c>
      <c r="O45" t="str">
        <f t="shared" si="4"/>
        <v>PROTECTIONMTHD_USD_PRTCTN_SCP_3</v>
      </c>
      <c r="P45" t="s">
        <v>2397</v>
      </c>
      <c r="R45" t="s">
        <v>35</v>
      </c>
      <c r="S45" t="s">
        <v>140</v>
      </c>
      <c r="T45" t="str">
        <f t="shared" si="5"/>
        <v>ENTITYCR_FLG</v>
      </c>
      <c r="U45" t="s">
        <v>2453</v>
      </c>
      <c r="V45" t="s">
        <v>2375</v>
      </c>
    </row>
    <row r="46" spans="2:22" x14ac:dyDescent="0.35">
      <c r="B46" t="s">
        <v>2288</v>
      </c>
      <c r="C46" t="s">
        <v>2332</v>
      </c>
      <c r="D46" t="str">
        <f t="shared" si="0"/>
        <v>PROTECTION</v>
      </c>
      <c r="E46" t="str">
        <f t="shared" si="1"/>
        <v>PROTECTIONMTHD_USD_PRTCTN_SCP_2</v>
      </c>
      <c r="G46" t="s">
        <v>785</v>
      </c>
      <c r="H46" t="s">
        <v>1784</v>
      </c>
      <c r="I46" t="str">
        <f t="shared" si="2"/>
        <v>INSTRUMENTDSTI</v>
      </c>
      <c r="K46" t="s">
        <v>2288</v>
      </c>
      <c r="L46" t="s">
        <v>2312</v>
      </c>
      <c r="M46" t="s">
        <v>2397</v>
      </c>
      <c r="N46" t="str">
        <f t="shared" si="3"/>
        <v>PROTECTION</v>
      </c>
      <c r="O46" t="str">
        <f t="shared" si="4"/>
        <v>PROTECTIONFLG_ACT_PHYSCL_RSK</v>
      </c>
      <c r="P46" t="s">
        <v>2397</v>
      </c>
      <c r="R46" t="s">
        <v>785</v>
      </c>
      <c r="S46" t="s">
        <v>792</v>
      </c>
      <c r="T46" t="str">
        <f t="shared" si="5"/>
        <v>INSTRUMENTCRE_FNRP18</v>
      </c>
      <c r="U46" t="s">
        <v>2448</v>
      </c>
      <c r="V46" t="s">
        <v>2375</v>
      </c>
    </row>
    <row r="47" spans="2:22" x14ac:dyDescent="0.35">
      <c r="B47" t="s">
        <v>2288</v>
      </c>
      <c r="C47" t="s">
        <v>2333</v>
      </c>
      <c r="D47" t="str">
        <f t="shared" si="0"/>
        <v>PROTECTION</v>
      </c>
      <c r="E47" t="str">
        <f t="shared" si="1"/>
        <v>PROTECTIONMTHD_USD_PRTCTN_SCP_3</v>
      </c>
      <c r="G47" t="s">
        <v>785</v>
      </c>
      <c r="H47" t="s">
        <v>1366</v>
      </c>
      <c r="I47" t="str">
        <f t="shared" si="2"/>
        <v>INSTRUMENTDT_CMPLNT_MRTR_STTS_C19</v>
      </c>
      <c r="K47" t="s">
        <v>2288</v>
      </c>
      <c r="L47" t="s">
        <v>2313</v>
      </c>
      <c r="M47" t="s">
        <v>2397</v>
      </c>
      <c r="N47" t="str">
        <f t="shared" si="3"/>
        <v>PROTECTION</v>
      </c>
      <c r="O47" t="str">
        <f t="shared" si="4"/>
        <v>PROTECTIONFLG_CHRNC_PHYSCL_RSK</v>
      </c>
      <c r="P47" t="s">
        <v>2397</v>
      </c>
      <c r="R47" t="s">
        <v>1952</v>
      </c>
      <c r="S47" t="s">
        <v>2099</v>
      </c>
      <c r="T47" t="str">
        <f t="shared" si="5"/>
        <v>PROTECTIONCRE_INCM_CRRNCY</v>
      </c>
      <c r="U47" t="s">
        <v>2454</v>
      </c>
      <c r="V47" t="s">
        <v>2375</v>
      </c>
    </row>
    <row r="48" spans="2:22" x14ac:dyDescent="0.35">
      <c r="B48" t="s">
        <v>2288</v>
      </c>
      <c r="C48" t="s">
        <v>2312</v>
      </c>
      <c r="D48" t="str">
        <f t="shared" si="0"/>
        <v>PROTECTION</v>
      </c>
      <c r="E48" t="str">
        <f t="shared" si="1"/>
        <v>PROTECTIONFLG_ACT_PHYSCL_RSK</v>
      </c>
      <c r="G48" t="s">
        <v>785</v>
      </c>
      <c r="H48" t="s">
        <v>1371</v>
      </c>
      <c r="I48" t="str">
        <f t="shared" si="2"/>
        <v>INSTRUMENTDT_CMPLNT_MRTR_STTS_PRVS_C19</v>
      </c>
      <c r="K48" t="s">
        <v>2342</v>
      </c>
      <c r="L48" t="s">
        <v>2343</v>
      </c>
      <c r="M48" t="s">
        <v>2397</v>
      </c>
      <c r="N48" t="str">
        <f t="shared" si="3"/>
        <v>INSTRUMENT</v>
      </c>
      <c r="O48" t="str">
        <f t="shared" si="4"/>
        <v>INSTRUMENTRSK_MTGTD_CCT</v>
      </c>
      <c r="P48" t="s">
        <v>2397</v>
      </c>
      <c r="R48" t="s">
        <v>1952</v>
      </c>
      <c r="S48" t="s">
        <v>2103</v>
      </c>
      <c r="T48" t="str">
        <f t="shared" si="5"/>
        <v>PROTECTIONCRE_YRLY_EXPNSS</v>
      </c>
      <c r="U48" t="s">
        <v>2454</v>
      </c>
      <c r="V48" t="s">
        <v>2375</v>
      </c>
    </row>
    <row r="49" spans="2:22" x14ac:dyDescent="0.35">
      <c r="B49" t="s">
        <v>2288</v>
      </c>
      <c r="C49" t="s">
        <v>2313</v>
      </c>
      <c r="D49" t="str">
        <f t="shared" si="0"/>
        <v>PROTECTION</v>
      </c>
      <c r="E49" t="str">
        <f t="shared" si="1"/>
        <v>PROTECTIONFLG_CHRNC_PHYSCL_RSK</v>
      </c>
      <c r="G49" t="s">
        <v>785</v>
      </c>
      <c r="H49" t="s">
        <v>863</v>
      </c>
      <c r="I49" t="str">
        <f t="shared" si="2"/>
        <v>INSTRUMENTDT_DFLT_STTS_INSTRMNT</v>
      </c>
      <c r="K49" t="s">
        <v>2342</v>
      </c>
      <c r="L49" t="s">
        <v>2344</v>
      </c>
      <c r="M49" t="s">
        <v>2399</v>
      </c>
      <c r="N49" t="str">
        <f t="shared" si="3"/>
        <v>INSTRUMENT</v>
      </c>
      <c r="O49" t="str">
        <f t="shared" si="4"/>
        <v>INSTRUMENTRSK_MTGTD_CCP</v>
      </c>
      <c r="P49" t="s">
        <v>2399</v>
      </c>
      <c r="R49" t="s">
        <v>1952</v>
      </c>
      <c r="S49" t="s">
        <v>2107</v>
      </c>
      <c r="T49" t="str">
        <f t="shared" si="5"/>
        <v>PROTECTIONCRE_YRLY_INCM</v>
      </c>
      <c r="U49" t="s">
        <v>2454</v>
      </c>
      <c r="V49" t="s">
        <v>2375</v>
      </c>
    </row>
    <row r="50" spans="2:22" x14ac:dyDescent="0.35">
      <c r="B50" t="s">
        <v>2288</v>
      </c>
      <c r="C50" t="s">
        <v>2334</v>
      </c>
      <c r="D50" t="str">
        <f t="shared" si="0"/>
        <v>PROTECTION</v>
      </c>
      <c r="E50" t="str">
        <f t="shared" si="1"/>
        <v>PROTECTIONFLG_FIN</v>
      </c>
      <c r="G50" t="s">
        <v>785</v>
      </c>
      <c r="H50" t="s">
        <v>866</v>
      </c>
      <c r="I50" t="str">
        <f t="shared" si="2"/>
        <v>INSTRUMENTDT_END_GP_PPAL</v>
      </c>
      <c r="K50" t="s">
        <v>2345</v>
      </c>
      <c r="L50" t="s">
        <v>2346</v>
      </c>
      <c r="M50" t="s">
        <v>2397</v>
      </c>
      <c r="N50" t="str">
        <f t="shared" si="3"/>
        <v>INSTR_ACTIVITY</v>
      </c>
      <c r="O50" t="str">
        <f t="shared" si="4"/>
        <v>INSTR_ACTIVITYENVRNMNTL_OBJCTV</v>
      </c>
      <c r="P50" t="s">
        <v>2397</v>
      </c>
      <c r="R50" t="s">
        <v>785</v>
      </c>
      <c r="S50" t="s">
        <v>1599</v>
      </c>
      <c r="T50" t="str">
        <f t="shared" si="5"/>
        <v>INSTRUMENTCRRLTN_CFFCNT</v>
      </c>
      <c r="U50" t="s">
        <v>2453</v>
      </c>
      <c r="V50" t="s">
        <v>2375</v>
      </c>
    </row>
    <row r="51" spans="2:22" x14ac:dyDescent="0.35">
      <c r="B51" t="s">
        <v>2288</v>
      </c>
      <c r="C51" t="s">
        <v>2335</v>
      </c>
      <c r="D51" t="str">
        <f t="shared" si="0"/>
        <v>PROTECTION</v>
      </c>
      <c r="E51" t="str">
        <f t="shared" si="1"/>
        <v>PROTECTIONFLG_EXEC</v>
      </c>
      <c r="G51" t="s">
        <v>785</v>
      </c>
      <c r="H51" t="s">
        <v>1418</v>
      </c>
      <c r="I51" t="str">
        <f t="shared" si="2"/>
        <v>INSTRUMENTDT_END_GP_PPAL_C19</v>
      </c>
      <c r="K51" t="s">
        <v>2345</v>
      </c>
      <c r="L51" t="s">
        <v>2347</v>
      </c>
      <c r="M51" t="s">
        <v>2397</v>
      </c>
      <c r="N51" t="str">
        <f t="shared" si="3"/>
        <v>INSTR_ACTIVITY</v>
      </c>
      <c r="O51" t="str">
        <f t="shared" si="4"/>
        <v>INSTR_ACTIVITYTYP_ACTVTY</v>
      </c>
      <c r="P51" t="s">
        <v>2397</v>
      </c>
      <c r="R51" t="s">
        <v>785</v>
      </c>
      <c r="S51" t="s">
        <v>815</v>
      </c>
      <c r="T51" t="str">
        <f t="shared" si="5"/>
        <v>INSTRUMENTCRRNCY_DNMNTN</v>
      </c>
      <c r="U51" t="s">
        <v>2448</v>
      </c>
      <c r="V51" t="s">
        <v>2375</v>
      </c>
    </row>
    <row r="52" spans="2:22" x14ac:dyDescent="0.35">
      <c r="B52" t="s">
        <v>2288</v>
      </c>
      <c r="C52" t="s">
        <v>2336</v>
      </c>
      <c r="D52" t="str">
        <f t="shared" si="0"/>
        <v>PROTECTION</v>
      </c>
      <c r="E52" t="str">
        <f t="shared" si="1"/>
        <v>PROTECTIONFLG_COL</v>
      </c>
      <c r="G52" t="s">
        <v>785</v>
      </c>
      <c r="H52" t="s">
        <v>871</v>
      </c>
      <c r="I52" t="str">
        <f t="shared" si="2"/>
        <v>INSTRUMENTDT_END_INTRST_ONLY</v>
      </c>
      <c r="K52" t="s">
        <v>2342</v>
      </c>
      <c r="L52" t="s">
        <v>2348</v>
      </c>
      <c r="M52" t="s">
        <v>2397</v>
      </c>
      <c r="N52" t="str">
        <f t="shared" si="3"/>
        <v>INSTRUMENT</v>
      </c>
      <c r="O52" t="str">
        <f t="shared" si="4"/>
        <v>INSTRUMENTLNS_CLLTRLZD_CLSSFCTN</v>
      </c>
      <c r="P52" t="s">
        <v>2397</v>
      </c>
      <c r="R52" t="s">
        <v>785</v>
      </c>
      <c r="S52" t="s">
        <v>1057</v>
      </c>
      <c r="T52" t="str">
        <f t="shared" si="5"/>
        <v>INSTRUMENTCRRYNG_AMNT_INSTRMNT</v>
      </c>
      <c r="U52" t="s">
        <v>2448</v>
      </c>
      <c r="V52" t="s">
        <v>2375</v>
      </c>
    </row>
    <row r="53" spans="2:22" x14ac:dyDescent="0.35">
      <c r="B53" t="s">
        <v>2288</v>
      </c>
      <c r="C53" t="s">
        <v>2337</v>
      </c>
      <c r="D53" t="str">
        <f t="shared" si="0"/>
        <v>PROTECTION</v>
      </c>
      <c r="E53" t="str">
        <f t="shared" si="1"/>
        <v>PROTECTIONFLG_PRO</v>
      </c>
      <c r="G53" t="s">
        <v>785</v>
      </c>
      <c r="H53" t="s">
        <v>1423</v>
      </c>
      <c r="I53" t="str">
        <f t="shared" si="2"/>
        <v>INSTRUMENTDT_END_INTRST_ONLY_C19</v>
      </c>
      <c r="K53" t="s">
        <v>2342</v>
      </c>
      <c r="L53" t="s">
        <v>2349</v>
      </c>
      <c r="M53" t="s">
        <v>2400</v>
      </c>
      <c r="N53" t="str">
        <f t="shared" si="3"/>
        <v>INSTRUMENT</v>
      </c>
      <c r="O53" t="str">
        <f t="shared" si="4"/>
        <v>INSTRUMENTMTHD_USD_INSTRMNT_SCP_1</v>
      </c>
      <c r="P53" t="s">
        <v>2400</v>
      </c>
      <c r="R53" t="s">
        <v>35</v>
      </c>
      <c r="S53" t="s">
        <v>305</v>
      </c>
      <c r="T53" t="str">
        <f t="shared" si="5"/>
        <v>ENTITYCSH</v>
      </c>
      <c r="U53" t="s">
        <v>2450</v>
      </c>
      <c r="V53" t="s">
        <v>2375</v>
      </c>
    </row>
    <row r="54" spans="2:22" x14ac:dyDescent="0.35">
      <c r="B54" t="s">
        <v>2288</v>
      </c>
      <c r="C54" t="s">
        <v>2338</v>
      </c>
      <c r="D54" t="str">
        <f t="shared" si="0"/>
        <v>PROTECTION</v>
      </c>
      <c r="E54" t="str">
        <f t="shared" si="1"/>
        <v>PROTECTIONRL_ESTT_CLLTRL_LCTN</v>
      </c>
      <c r="G54" t="s">
        <v>785</v>
      </c>
      <c r="H54" t="s">
        <v>876</v>
      </c>
      <c r="I54" t="str">
        <f t="shared" si="2"/>
        <v>INSTRUMENTDT_FRBRNC_STTS</v>
      </c>
      <c r="K54" t="s">
        <v>2342</v>
      </c>
      <c r="L54" t="s">
        <v>2350</v>
      </c>
      <c r="M54" t="s">
        <v>2400</v>
      </c>
      <c r="N54" t="str">
        <f t="shared" si="3"/>
        <v>INSTRUMENT</v>
      </c>
      <c r="O54" t="str">
        <f t="shared" si="4"/>
        <v>INSTRUMENTMTHD_USD_INSTRMNT_SCP_2</v>
      </c>
      <c r="P54" t="s">
        <v>2400</v>
      </c>
      <c r="R54" t="s">
        <v>35</v>
      </c>
      <c r="S54" t="s">
        <v>309</v>
      </c>
      <c r="T54" t="str">
        <f t="shared" si="5"/>
        <v>ENTITYCSH_PRVS</v>
      </c>
      <c r="U54" t="s">
        <v>2450</v>
      </c>
      <c r="V54" t="s">
        <v>2375</v>
      </c>
    </row>
    <row r="55" spans="2:22" x14ac:dyDescent="0.35">
      <c r="B55" t="s">
        <v>2288</v>
      </c>
      <c r="C55" t="s">
        <v>2339</v>
      </c>
      <c r="D55" t="str">
        <f t="shared" si="0"/>
        <v>PROTECTION</v>
      </c>
      <c r="E55" t="str">
        <f t="shared" si="1"/>
        <v>PROTECTIONRL_ESTT_PST_CD</v>
      </c>
      <c r="G55" t="s">
        <v>785</v>
      </c>
      <c r="H55" t="s">
        <v>1403</v>
      </c>
      <c r="I55" t="str">
        <f t="shared" si="2"/>
        <v>INSTRUMENTDT_FRBRNC_STTS_C19</v>
      </c>
      <c r="K55" t="s">
        <v>2342</v>
      </c>
      <c r="L55" t="s">
        <v>2351</v>
      </c>
      <c r="M55" t="s">
        <v>2400</v>
      </c>
      <c r="N55" t="str">
        <f t="shared" si="3"/>
        <v>INSTRUMENT</v>
      </c>
      <c r="O55" t="str">
        <f t="shared" si="4"/>
        <v>INSTRUMENTMTHD_USD_INSTRMNT_SCP_3</v>
      </c>
      <c r="P55" t="s">
        <v>2400</v>
      </c>
      <c r="R55" t="s">
        <v>785</v>
      </c>
      <c r="S55" t="s">
        <v>847</v>
      </c>
      <c r="T55" t="str">
        <f t="shared" si="5"/>
        <v>INSTRUMENTCSH_SWP_TRP</v>
      </c>
      <c r="U55" t="s">
        <v>2448</v>
      </c>
      <c r="V55" t="s">
        <v>2375</v>
      </c>
    </row>
    <row r="56" spans="2:22" x14ac:dyDescent="0.35">
      <c r="B56" t="s">
        <v>2288</v>
      </c>
      <c r="C56" t="s">
        <v>2340</v>
      </c>
      <c r="D56" t="str">
        <f t="shared" si="0"/>
        <v>PROTECTION</v>
      </c>
      <c r="E56" t="str">
        <f t="shared" si="1"/>
        <v>PROTECTIONPRTCTN_VL</v>
      </c>
      <c r="G56" t="s">
        <v>785</v>
      </c>
      <c r="H56" t="s">
        <v>881</v>
      </c>
      <c r="I56" t="str">
        <f t="shared" si="2"/>
        <v>INSTRUMENTDT_FRBRNC_STTS_PRVS</v>
      </c>
      <c r="K56" t="s">
        <v>2342</v>
      </c>
      <c r="L56" t="s">
        <v>2352</v>
      </c>
      <c r="M56" t="s">
        <v>2397</v>
      </c>
      <c r="N56" t="str">
        <f t="shared" si="3"/>
        <v>INSTRUMENT</v>
      </c>
      <c r="O56" t="str">
        <f t="shared" si="4"/>
        <v>INSTRUMENTSSTNBL_CTGRY_TXNMY</v>
      </c>
      <c r="P56" t="s">
        <v>2397</v>
      </c>
      <c r="R56" t="s">
        <v>785</v>
      </c>
      <c r="S56" t="s">
        <v>851</v>
      </c>
      <c r="T56" t="str">
        <f t="shared" si="5"/>
        <v>INSTRUMENTCVNNT_STTS</v>
      </c>
      <c r="U56" t="s">
        <v>2454</v>
      </c>
      <c r="V56" t="s">
        <v>2459</v>
      </c>
    </row>
    <row r="57" spans="2:22" x14ac:dyDescent="0.35">
      <c r="B57" t="s">
        <v>2288</v>
      </c>
      <c r="C57" t="s">
        <v>2341</v>
      </c>
      <c r="D57" t="str">
        <f t="shared" si="0"/>
        <v>PROTECTION</v>
      </c>
      <c r="E57" t="str">
        <f t="shared" si="1"/>
        <v>PROTECTIONPRTCTN_ID</v>
      </c>
      <c r="G57" t="s">
        <v>785</v>
      </c>
      <c r="H57" t="s">
        <v>1408</v>
      </c>
      <c r="I57" t="str">
        <f t="shared" si="2"/>
        <v>INSTRUMENTDT_FRBRNC_STTS_PRVS_C19</v>
      </c>
      <c r="K57" t="s">
        <v>2354</v>
      </c>
      <c r="L57" t="s">
        <v>2363</v>
      </c>
      <c r="M57" t="s">
        <v>2397</v>
      </c>
      <c r="N57" t="str">
        <f t="shared" si="3"/>
        <v>MTHD_USD_INSTRMNT</v>
      </c>
      <c r="O57" t="str">
        <f t="shared" si="4"/>
        <v>MTHD_USD_INSTRMNTAMBITO</v>
      </c>
      <c r="P57" t="s">
        <v>2397</v>
      </c>
      <c r="R57" t="s">
        <v>785</v>
      </c>
      <c r="S57" t="s">
        <v>855</v>
      </c>
      <c r="T57" t="str">
        <f t="shared" si="5"/>
        <v>INSTRUMENTCVNNT_TYP</v>
      </c>
      <c r="U57" t="s">
        <v>2448</v>
      </c>
      <c r="V57" t="s">
        <v>2459</v>
      </c>
    </row>
    <row r="58" spans="2:22" x14ac:dyDescent="0.35">
      <c r="B58" t="s">
        <v>2342</v>
      </c>
      <c r="C58" t="s">
        <v>2343</v>
      </c>
      <c r="D58" t="str">
        <f t="shared" si="0"/>
        <v>INSTRUMENT</v>
      </c>
      <c r="E58" t="str">
        <f t="shared" si="1"/>
        <v>INSTRUMENTRSK_MTGTD_CCT</v>
      </c>
      <c r="G58" t="s">
        <v>785</v>
      </c>
      <c r="H58" t="s">
        <v>1210</v>
      </c>
      <c r="I58" t="str">
        <f t="shared" si="2"/>
        <v>INSTRUMENTDT_IMPRMNT_STTS</v>
      </c>
      <c r="K58" t="s">
        <v>2354</v>
      </c>
      <c r="L58" t="s">
        <v>2355</v>
      </c>
      <c r="M58" t="s">
        <v>2397</v>
      </c>
      <c r="N58" t="str">
        <f t="shared" si="3"/>
        <v>MTHD_USD_INSTRMNT</v>
      </c>
      <c r="O58" t="str">
        <f t="shared" si="4"/>
        <v>MTHD_USD_INSTRMNTREF_DATE</v>
      </c>
      <c r="P58" t="s">
        <v>2397</v>
      </c>
      <c r="R58" t="s">
        <v>35</v>
      </c>
      <c r="S58" t="s">
        <v>396</v>
      </c>
      <c r="T58" t="str">
        <f t="shared" si="5"/>
        <v>ENTITYDBT_RPYMNT_CPCTY_SNR_DBT</v>
      </c>
      <c r="U58" t="s">
        <v>2454</v>
      </c>
      <c r="V58" t="s">
        <v>2459</v>
      </c>
    </row>
    <row r="59" spans="2:22" x14ac:dyDescent="0.35">
      <c r="B59" t="s">
        <v>2342</v>
      </c>
      <c r="C59" t="s">
        <v>2344</v>
      </c>
      <c r="D59" t="str">
        <f t="shared" si="0"/>
        <v>INSTRUMENT</v>
      </c>
      <c r="E59" t="str">
        <f t="shared" si="1"/>
        <v>INSTRUMENTRSK_MTGTD_CCP</v>
      </c>
      <c r="G59" t="s">
        <v>785</v>
      </c>
      <c r="H59" t="s">
        <v>1214</v>
      </c>
      <c r="I59" t="str">
        <f t="shared" si="2"/>
        <v>INSTRUMENTDT_IMPRMNT_STTS_PRVS</v>
      </c>
      <c r="K59" t="s">
        <v>2354</v>
      </c>
      <c r="L59" t="s">
        <v>2356</v>
      </c>
      <c r="M59" t="s">
        <v>2397</v>
      </c>
      <c r="N59" t="str">
        <f t="shared" si="3"/>
        <v>MTHD_USD_INSTRMNT</v>
      </c>
      <c r="O59" t="str">
        <f t="shared" si="4"/>
        <v>MTHD_USD_INSTRMNTORDEM</v>
      </c>
      <c r="P59" t="s">
        <v>2397</v>
      </c>
      <c r="R59" t="s">
        <v>35</v>
      </c>
      <c r="S59" t="s">
        <v>400</v>
      </c>
      <c r="T59" t="str">
        <f t="shared" si="5"/>
        <v>ENTITYDBT_RPYMNT_CPCTY_TTL</v>
      </c>
      <c r="U59" t="s">
        <v>2448</v>
      </c>
      <c r="V59" t="s">
        <v>2375</v>
      </c>
    </row>
    <row r="60" spans="2:22" x14ac:dyDescent="0.35">
      <c r="B60" t="s">
        <v>2345</v>
      </c>
      <c r="C60" t="s">
        <v>2346</v>
      </c>
      <c r="D60" t="str">
        <f t="shared" si="0"/>
        <v>INSTR_ACTIVITY</v>
      </c>
      <c r="E60" t="str">
        <f t="shared" si="1"/>
        <v>INSTR_ACTIVITYENVRNMNTL_OBJCTV</v>
      </c>
      <c r="G60" t="s">
        <v>785</v>
      </c>
      <c r="H60" t="s">
        <v>820</v>
      </c>
      <c r="I60" t="str">
        <f t="shared" si="2"/>
        <v>INSTRUMENTDT_INCPTN</v>
      </c>
      <c r="K60" t="s">
        <v>2354</v>
      </c>
      <c r="L60" t="s">
        <v>2358</v>
      </c>
      <c r="M60" t="s">
        <v>2397</v>
      </c>
      <c r="N60" t="str">
        <f t="shared" si="3"/>
        <v>MTHD_USD_INSTRMNT</v>
      </c>
      <c r="O60" t="str">
        <f t="shared" si="4"/>
        <v>MTHD_USD_INSTRMNTTABELA</v>
      </c>
      <c r="P60" t="s">
        <v>2397</v>
      </c>
      <c r="R60" t="s">
        <v>35</v>
      </c>
      <c r="S60" t="s">
        <v>403</v>
      </c>
      <c r="T60" t="str">
        <f t="shared" si="5"/>
        <v>ENTITYDBT_SRVC_RT</v>
      </c>
      <c r="U60" t="s">
        <v>2450</v>
      </c>
      <c r="V60" t="s">
        <v>2375</v>
      </c>
    </row>
    <row r="61" spans="2:22" x14ac:dyDescent="0.35">
      <c r="B61" t="s">
        <v>2345</v>
      </c>
      <c r="C61" t="s">
        <v>2347</v>
      </c>
      <c r="D61" t="str">
        <f t="shared" si="0"/>
        <v>INSTR_ACTIVITY</v>
      </c>
      <c r="E61" t="str">
        <f t="shared" si="1"/>
        <v>INSTR_ACTIVITYTYP_ACTVTY</v>
      </c>
      <c r="G61" t="s">
        <v>785</v>
      </c>
      <c r="H61" t="s">
        <v>160</v>
      </c>
      <c r="I61" t="str">
        <f t="shared" si="2"/>
        <v>INSTRUMENTDT_INTRNL_RTNG</v>
      </c>
      <c r="K61" t="s">
        <v>2354</v>
      </c>
      <c r="L61" t="s">
        <v>2359</v>
      </c>
      <c r="M61" t="s">
        <v>2397</v>
      </c>
      <c r="N61" t="str">
        <f t="shared" si="3"/>
        <v>MTHD_USD_INSTRMNT</v>
      </c>
      <c r="O61" t="str">
        <f t="shared" si="4"/>
        <v>MTHD_USD_INSTRMNTORIGEM_SCP1_EMSS</v>
      </c>
      <c r="P61" t="s">
        <v>2397</v>
      </c>
      <c r="R61" t="s">
        <v>35</v>
      </c>
      <c r="S61" t="s">
        <v>407</v>
      </c>
      <c r="T61" t="str">
        <f t="shared" si="5"/>
        <v>ENTITYDBT_SRVC_RT_12M</v>
      </c>
      <c r="U61" t="s">
        <v>2450</v>
      </c>
      <c r="V61" t="s">
        <v>2375</v>
      </c>
    </row>
    <row r="62" spans="2:22" x14ac:dyDescent="0.35">
      <c r="B62" t="s">
        <v>2342</v>
      </c>
      <c r="C62" t="s">
        <v>2348</v>
      </c>
      <c r="D62" t="str">
        <f t="shared" si="0"/>
        <v>INSTRUMENT</v>
      </c>
      <c r="E62" t="str">
        <f t="shared" si="1"/>
        <v>INSTRUMENTLNS_CLLTRLZD_CLSSFCTN</v>
      </c>
      <c r="G62" t="s">
        <v>785</v>
      </c>
      <c r="H62" t="s">
        <v>1065</v>
      </c>
      <c r="I62" t="str">
        <f t="shared" si="2"/>
        <v>INSTRUMENTDT_LGL_FNL_MTRTY</v>
      </c>
      <c r="K62" t="s">
        <v>2354</v>
      </c>
      <c r="L62" t="s">
        <v>2360</v>
      </c>
      <c r="M62" t="s">
        <v>2397</v>
      </c>
      <c r="N62" t="str">
        <f t="shared" si="3"/>
        <v>MTHD_USD_INSTRMNT</v>
      </c>
      <c r="O62" t="str">
        <f t="shared" si="4"/>
        <v>MTHD_USD_INSTRMNTORIGEM_SCP2_EMSS</v>
      </c>
      <c r="P62" t="s">
        <v>2397</v>
      </c>
      <c r="R62" t="s">
        <v>785</v>
      </c>
      <c r="S62" t="s">
        <v>1061</v>
      </c>
      <c r="T62" t="str">
        <f t="shared" si="5"/>
        <v>INSTRUMENTDBT_YLD</v>
      </c>
      <c r="U62" t="s">
        <v>2454</v>
      </c>
      <c r="V62" t="s">
        <v>2375</v>
      </c>
    </row>
    <row r="63" spans="2:22" x14ac:dyDescent="0.35">
      <c r="B63" t="s">
        <v>2342</v>
      </c>
      <c r="C63" t="s">
        <v>2349</v>
      </c>
      <c r="D63" t="str">
        <f t="shared" si="0"/>
        <v>INSTRUMENT</v>
      </c>
      <c r="E63" t="str">
        <f t="shared" si="1"/>
        <v>INSTRUMENTMTHD_USD_INSTRMNT_SCP_1</v>
      </c>
      <c r="G63" t="s">
        <v>785</v>
      </c>
      <c r="H63" t="s">
        <v>1070</v>
      </c>
      <c r="I63" t="str">
        <f t="shared" si="2"/>
        <v>INSTRUMENTDT_NXT_INTRST_RT_RST</v>
      </c>
      <c r="K63" t="s">
        <v>2354</v>
      </c>
      <c r="L63" t="s">
        <v>2361</v>
      </c>
      <c r="M63" t="s">
        <v>2397</v>
      </c>
      <c r="N63" t="str">
        <f t="shared" si="3"/>
        <v>MTHD_USD_INSTRMNT</v>
      </c>
      <c r="O63" t="str">
        <f t="shared" si="4"/>
        <v>MTHD_USD_INSTRMNTORIGEM_SCP3_EMSS</v>
      </c>
      <c r="P63" t="s">
        <v>2397</v>
      </c>
      <c r="R63" t="s">
        <v>35</v>
      </c>
      <c r="S63" t="s">
        <v>147</v>
      </c>
      <c r="T63" t="str">
        <f t="shared" si="5"/>
        <v>ENTITYDCSD</v>
      </c>
      <c r="U63" t="s">
        <v>2448</v>
      </c>
      <c r="V63" t="s">
        <v>2375</v>
      </c>
    </row>
    <row r="64" spans="2:22" x14ac:dyDescent="0.35">
      <c r="B64" t="s">
        <v>2342</v>
      </c>
      <c r="C64" t="s">
        <v>2350</v>
      </c>
      <c r="D64" t="str">
        <f t="shared" si="0"/>
        <v>INSTRUMENT</v>
      </c>
      <c r="E64" t="str">
        <f t="shared" si="1"/>
        <v>INSTRUMENTMTHD_USD_INSTRMNT_SCP_2</v>
      </c>
      <c r="G64" t="s">
        <v>785</v>
      </c>
      <c r="H64" t="s">
        <v>1074</v>
      </c>
      <c r="I64" t="str">
        <f t="shared" si="2"/>
        <v>INSTRUMENTDT_ORGNL_MTRTY</v>
      </c>
      <c r="K64" t="s">
        <v>2354</v>
      </c>
      <c r="L64" t="s">
        <v>2349</v>
      </c>
      <c r="M64" t="s">
        <v>2397</v>
      </c>
      <c r="N64" t="str">
        <f t="shared" si="3"/>
        <v>MTHD_USD_INSTRMNT</v>
      </c>
      <c r="O64" t="str">
        <f t="shared" si="4"/>
        <v>MTHD_USD_INSTRMNTMTHD_USD_INSTRMNT_SCP_1</v>
      </c>
      <c r="P64" t="s">
        <v>2397</v>
      </c>
      <c r="R64" t="s">
        <v>35</v>
      </c>
      <c r="S64" t="s">
        <v>151</v>
      </c>
      <c r="T64" t="str">
        <f t="shared" si="5"/>
        <v>ENTITYDFLT_STTS</v>
      </c>
      <c r="U64" t="s">
        <v>2452</v>
      </c>
      <c r="V64" t="s">
        <v>2458</v>
      </c>
    </row>
    <row r="65" spans="2:22" x14ac:dyDescent="0.35">
      <c r="B65" t="s">
        <v>2342</v>
      </c>
      <c r="C65" t="s">
        <v>2351</v>
      </c>
      <c r="D65" t="str">
        <f t="shared" si="0"/>
        <v>INSTRUMENT</v>
      </c>
      <c r="E65" t="str">
        <f t="shared" si="1"/>
        <v>INSTRUMENTMTHD_USD_INSTRMNT_SCP_3</v>
      </c>
      <c r="G65" t="s">
        <v>785</v>
      </c>
      <c r="H65" t="s">
        <v>889</v>
      </c>
      <c r="I65" t="str">
        <f t="shared" si="2"/>
        <v>INSTRUMENTDT_PRFRMNG_STTS</v>
      </c>
      <c r="K65" t="s">
        <v>2354</v>
      </c>
      <c r="L65" t="s">
        <v>2350</v>
      </c>
      <c r="M65" t="s">
        <v>2397</v>
      </c>
      <c r="N65" t="str">
        <f t="shared" si="3"/>
        <v>MTHD_USD_INSTRMNT</v>
      </c>
      <c r="O65" t="str">
        <f t="shared" si="4"/>
        <v>MTHD_USD_INSTRMNTMTHD_USD_INSTRMNT_SCP_2</v>
      </c>
      <c r="P65" t="s">
        <v>2397</v>
      </c>
      <c r="R65" t="s">
        <v>785</v>
      </c>
      <c r="S65" t="s">
        <v>979</v>
      </c>
      <c r="T65" t="str">
        <f t="shared" si="5"/>
        <v>INSTRUMENTRFNNC_PRPS</v>
      </c>
      <c r="U65" t="s">
        <v>2450</v>
      </c>
      <c r="V65" t="s">
        <v>2375</v>
      </c>
    </row>
    <row r="66" spans="2:22" x14ac:dyDescent="0.35">
      <c r="B66" t="s">
        <v>2342</v>
      </c>
      <c r="C66" t="s">
        <v>2352</v>
      </c>
      <c r="D66" t="str">
        <f t="shared" si="0"/>
        <v>INSTRUMENT</v>
      </c>
      <c r="E66" t="str">
        <f t="shared" si="1"/>
        <v>INSTRUMENTSSTNBL_CTGRY_TXNMY</v>
      </c>
      <c r="G66" t="s">
        <v>785</v>
      </c>
      <c r="H66" t="s">
        <v>892</v>
      </c>
      <c r="I66" t="str">
        <f t="shared" si="2"/>
        <v>INSTRUMENTDT_PRFRMNG_STTS_PRVS</v>
      </c>
      <c r="K66" t="s">
        <v>2354</v>
      </c>
      <c r="L66" t="s">
        <v>2351</v>
      </c>
      <c r="M66" t="s">
        <v>2397</v>
      </c>
      <c r="N66" t="str">
        <f t="shared" si="3"/>
        <v>MTHD_USD_INSTRMNT</v>
      </c>
      <c r="O66" t="str">
        <f t="shared" si="4"/>
        <v>MTHD_USD_INSTRMNTMTHD_USD_INSTRMNT_SCP_3</v>
      </c>
      <c r="P66" t="s">
        <v>2397</v>
      </c>
      <c r="R66" t="s">
        <v>785</v>
      </c>
      <c r="S66" t="s">
        <v>1170</v>
      </c>
      <c r="T66" t="str">
        <f t="shared" si="5"/>
        <v>INSTRUMENTDPD</v>
      </c>
      <c r="U66" t="s">
        <v>2453</v>
      </c>
      <c r="V66" t="s">
        <v>2458</v>
      </c>
    </row>
    <row r="67" spans="2:22" x14ac:dyDescent="0.35">
      <c r="B67" t="s">
        <v>2345</v>
      </c>
      <c r="C67" t="s">
        <v>2353</v>
      </c>
      <c r="D67" t="str">
        <f t="shared" si="0"/>
        <v>INSTR_ACTIVITY</v>
      </c>
      <c r="E67" t="str">
        <f t="shared" si="1"/>
        <v>INSTR_ACTIVITYSSTNBL_INDCTR</v>
      </c>
      <c r="G67" t="s">
        <v>785</v>
      </c>
      <c r="H67" t="s">
        <v>1219</v>
      </c>
      <c r="I67" t="str">
        <f t="shared" si="2"/>
        <v>INSTRUMENTDT_PST_D</v>
      </c>
      <c r="K67" t="s">
        <v>2354</v>
      </c>
      <c r="L67" t="s">
        <v>2357</v>
      </c>
      <c r="M67" t="s">
        <v>2397</v>
      </c>
      <c r="N67" t="str">
        <f t="shared" si="3"/>
        <v>MTHD_USD_INSTRMNT</v>
      </c>
      <c r="O67" t="str">
        <f t="shared" si="4"/>
        <v>MTHD_USD_INSTRMNTPURPOSE_CODE</v>
      </c>
      <c r="P67" t="s">
        <v>2397</v>
      </c>
      <c r="R67" t="s">
        <v>785</v>
      </c>
      <c r="S67" t="s">
        <v>1175</v>
      </c>
      <c r="T67" t="str">
        <f t="shared" si="5"/>
        <v>INSTRUMENTDPD_12M</v>
      </c>
      <c r="U67" t="s">
        <v>2453</v>
      </c>
      <c r="V67" t="s">
        <v>2375</v>
      </c>
    </row>
    <row r="68" spans="2:22" x14ac:dyDescent="0.35">
      <c r="B68" t="s">
        <v>2354</v>
      </c>
      <c r="C68" t="s">
        <v>2355</v>
      </c>
      <c r="D68" t="str">
        <f t="shared" si="0"/>
        <v>MTHD_USD_INSTRMNT</v>
      </c>
      <c r="E68" t="str">
        <f t="shared" si="1"/>
        <v>MTHD_USD_INSTRMNTREF_DATE</v>
      </c>
      <c r="G68" t="s">
        <v>785</v>
      </c>
      <c r="H68" t="s">
        <v>91</v>
      </c>
      <c r="I68" t="str">
        <f t="shared" si="2"/>
        <v>INSTRUMENTDT_RFRNC</v>
      </c>
      <c r="K68" t="s">
        <v>2354</v>
      </c>
      <c r="L68" t="s">
        <v>2334</v>
      </c>
      <c r="M68" t="s">
        <v>2397</v>
      </c>
      <c r="N68" t="str">
        <f t="shared" si="3"/>
        <v>MTHD_USD_INSTRMNT</v>
      </c>
      <c r="O68" t="str">
        <f t="shared" si="4"/>
        <v>MTHD_USD_INSTRMNTFLG_FIN</v>
      </c>
      <c r="P68" t="s">
        <v>2397</v>
      </c>
      <c r="R68" t="s">
        <v>785</v>
      </c>
      <c r="S68" t="s">
        <v>1180</v>
      </c>
      <c r="T68" t="str">
        <f t="shared" si="5"/>
        <v>INSTRUMENTDPD_12M_FRBRNC_STTS</v>
      </c>
      <c r="U68" t="s">
        <v>2456</v>
      </c>
      <c r="V68" t="s">
        <v>2375</v>
      </c>
    </row>
    <row r="69" spans="2:22" x14ac:dyDescent="0.35">
      <c r="B69" t="s">
        <v>2354</v>
      </c>
      <c r="C69" t="s">
        <v>2356</v>
      </c>
      <c r="D69" t="str">
        <f t="shared" ref="D69:D91" si="6">+UPPER(MID(B69,FIND("_",B69,1)+1,LEN(B69)))</f>
        <v>MTHD_USD_INSTRMNT</v>
      </c>
      <c r="E69" t="str">
        <f t="shared" ref="E69:E91" si="7">+D69&amp;UPPER(C69)</f>
        <v>MTHD_USD_INSTRMNTORDEM</v>
      </c>
      <c r="G69" t="s">
        <v>785</v>
      </c>
      <c r="H69" t="s">
        <v>1017</v>
      </c>
      <c r="I69" t="str">
        <f t="shared" ref="I69:I132" si="8">+G69&amp;H69</f>
        <v>INSTRUMENTDT_STRT_GP_PPAL</v>
      </c>
      <c r="K69" t="s">
        <v>2354</v>
      </c>
      <c r="L69" t="s">
        <v>2335</v>
      </c>
      <c r="M69" t="s">
        <v>2397</v>
      </c>
      <c r="N69" t="str">
        <f t="shared" ref="N69:N124" si="9">+UPPER(MID(K69,FIND("_",K69,1)+1,LEN(K69)))</f>
        <v>MTHD_USD_INSTRMNT</v>
      </c>
      <c r="O69" t="str">
        <f t="shared" ref="O69:O132" si="10">+N69&amp;UPPER(L69)</f>
        <v>MTHD_USD_INSTRMNTFLG_EXEC</v>
      </c>
      <c r="P69" t="s">
        <v>2397</v>
      </c>
      <c r="R69" t="s">
        <v>785</v>
      </c>
      <c r="S69" t="s">
        <v>1185</v>
      </c>
      <c r="T69" t="str">
        <f t="shared" ref="T69:T132" si="11">+R69&amp;S69</f>
        <v>INSTRUMENTDPD_12M_PRFRMNG_STTS</v>
      </c>
      <c r="U69" t="s">
        <v>2456</v>
      </c>
      <c r="V69" t="s">
        <v>2375</v>
      </c>
    </row>
    <row r="70" spans="2:22" x14ac:dyDescent="0.35">
      <c r="B70" t="s">
        <v>2354</v>
      </c>
      <c r="C70" t="s">
        <v>2357</v>
      </c>
      <c r="D70" t="str">
        <f t="shared" si="6"/>
        <v>MTHD_USD_INSTRMNT</v>
      </c>
      <c r="E70" t="str">
        <f t="shared" si="7"/>
        <v>MTHD_USD_INSTRMNTPURPOSE_CODE</v>
      </c>
      <c r="G70" t="s">
        <v>785</v>
      </c>
      <c r="H70" t="s">
        <v>897</v>
      </c>
      <c r="I70" t="str">
        <f t="shared" si="8"/>
        <v>INSTRUMENTDT_STRT_INTRST_ONLY</v>
      </c>
      <c r="K70" t="s">
        <v>2354</v>
      </c>
      <c r="L70" t="s">
        <v>2336</v>
      </c>
      <c r="M70" t="s">
        <v>2397</v>
      </c>
      <c r="N70" t="str">
        <f t="shared" si="9"/>
        <v>MTHD_USD_INSTRMNT</v>
      </c>
      <c r="O70" t="str">
        <f t="shared" si="10"/>
        <v>MTHD_USD_INSTRMNTFLG_COL</v>
      </c>
      <c r="P70" t="s">
        <v>2397</v>
      </c>
      <c r="R70" t="s">
        <v>785</v>
      </c>
      <c r="S70" t="s">
        <v>1190</v>
      </c>
      <c r="T70" t="str">
        <f t="shared" si="11"/>
        <v>INSTRUMENTDPD_24M_FRBRNC_STTS</v>
      </c>
      <c r="U70" t="s">
        <v>2453</v>
      </c>
      <c r="V70" t="s">
        <v>2375</v>
      </c>
    </row>
    <row r="71" spans="2:22" x14ac:dyDescent="0.35">
      <c r="B71" t="s">
        <v>2354</v>
      </c>
      <c r="C71" t="s">
        <v>2334</v>
      </c>
      <c r="D71" t="str">
        <f t="shared" si="6"/>
        <v>MTHD_USD_INSTRMNT</v>
      </c>
      <c r="E71" t="str">
        <f t="shared" si="7"/>
        <v>MTHD_USD_INSTRMNTFLG_FIN</v>
      </c>
      <c r="G71" t="s">
        <v>785</v>
      </c>
      <c r="H71" t="s">
        <v>1455</v>
      </c>
      <c r="I71" t="str">
        <f t="shared" si="8"/>
        <v>INSTRUMENTDT_VLTN</v>
      </c>
      <c r="K71" t="s">
        <v>2354</v>
      </c>
      <c r="L71" t="s">
        <v>2337</v>
      </c>
      <c r="M71" t="s">
        <v>2397</v>
      </c>
      <c r="N71" t="str">
        <f t="shared" si="9"/>
        <v>MTHD_USD_INSTRMNT</v>
      </c>
      <c r="O71" t="str">
        <f t="shared" si="10"/>
        <v>MTHD_USD_INSTRMNTFLG_PRO</v>
      </c>
      <c r="P71" t="s">
        <v>2397</v>
      </c>
      <c r="R71" t="s">
        <v>785</v>
      </c>
      <c r="S71" t="s">
        <v>1195</v>
      </c>
      <c r="T71" t="str">
        <f t="shared" si="11"/>
        <v>INSTRUMENTDPD_24M_PRFRMNG_STTS</v>
      </c>
      <c r="U71" t="s">
        <v>2456</v>
      </c>
      <c r="V71" t="s">
        <v>2375</v>
      </c>
    </row>
    <row r="72" spans="2:22" x14ac:dyDescent="0.35">
      <c r="B72" t="s">
        <v>2354</v>
      </c>
      <c r="C72" t="s">
        <v>2335</v>
      </c>
      <c r="D72" t="str">
        <f t="shared" si="6"/>
        <v>MTHD_USD_INSTRMNT</v>
      </c>
      <c r="E72" t="str">
        <f t="shared" si="7"/>
        <v>MTHD_USD_INSTRMNTFLG_EXEC</v>
      </c>
      <c r="G72" t="s">
        <v>785</v>
      </c>
      <c r="H72" t="s">
        <v>1084</v>
      </c>
      <c r="I72" t="str">
        <f t="shared" si="8"/>
        <v>INSTRUMENTEAD</v>
      </c>
      <c r="K72" t="s">
        <v>2362</v>
      </c>
      <c r="L72" t="s">
        <v>2363</v>
      </c>
      <c r="M72" t="s">
        <v>2397</v>
      </c>
      <c r="N72" t="str">
        <f t="shared" si="9"/>
        <v>ESG_SBSCTR</v>
      </c>
      <c r="O72" t="str">
        <f t="shared" si="10"/>
        <v>ESG_SBSCTRAMBITO</v>
      </c>
      <c r="P72" t="s">
        <v>2397</v>
      </c>
      <c r="R72" t="s">
        <v>785</v>
      </c>
      <c r="S72" t="s">
        <v>1200</v>
      </c>
      <c r="T72" t="str">
        <f t="shared" si="11"/>
        <v>INSTRUMENTDPD_FRBRNC_STTS</v>
      </c>
      <c r="U72" t="s">
        <v>2453</v>
      </c>
      <c r="V72" t="s">
        <v>2375</v>
      </c>
    </row>
    <row r="73" spans="2:22" x14ac:dyDescent="0.35">
      <c r="B73" t="s">
        <v>2354</v>
      </c>
      <c r="C73" t="s">
        <v>2336</v>
      </c>
      <c r="D73" t="str">
        <f t="shared" si="6"/>
        <v>MTHD_USD_INSTRMNT</v>
      </c>
      <c r="E73" t="str">
        <f t="shared" si="7"/>
        <v>MTHD_USD_INSTRMNTFLG_COL</v>
      </c>
      <c r="G73" t="s">
        <v>785</v>
      </c>
      <c r="H73" t="s">
        <v>1360</v>
      </c>
      <c r="I73" t="str">
        <f t="shared" si="8"/>
        <v>INSTRUMENTEBA_CMPLNT_MRTR_ST_C19</v>
      </c>
      <c r="K73" t="s">
        <v>2362</v>
      </c>
      <c r="L73" t="s">
        <v>2355</v>
      </c>
      <c r="M73" t="s">
        <v>2397</v>
      </c>
      <c r="N73" t="str">
        <f t="shared" si="9"/>
        <v>ESG_SBSCTR</v>
      </c>
      <c r="O73" t="str">
        <f t="shared" si="10"/>
        <v>ESG_SBSCTRREF_DATE</v>
      </c>
      <c r="P73" t="s">
        <v>2397</v>
      </c>
      <c r="R73" t="s">
        <v>785</v>
      </c>
      <c r="S73" t="s">
        <v>1205</v>
      </c>
      <c r="T73" t="str">
        <f t="shared" si="11"/>
        <v>INSTRUMENTDPD_PRFRMNG_STTS</v>
      </c>
      <c r="U73" t="s">
        <v>2456</v>
      </c>
      <c r="V73" t="s">
        <v>2375</v>
      </c>
    </row>
    <row r="74" spans="2:22" x14ac:dyDescent="0.35">
      <c r="B74" t="s">
        <v>2354</v>
      </c>
      <c r="C74" t="s">
        <v>2337</v>
      </c>
      <c r="D74" t="str">
        <f t="shared" si="6"/>
        <v>MTHD_USD_INSTRMNT</v>
      </c>
      <c r="E74" t="str">
        <f t="shared" si="7"/>
        <v>MTHD_USD_INSTRMNTFLG_PRO</v>
      </c>
      <c r="G74" t="s">
        <v>785</v>
      </c>
      <c r="H74" t="s">
        <v>1306</v>
      </c>
      <c r="I74" t="str">
        <f t="shared" si="8"/>
        <v>INSTRUMENTEIR</v>
      </c>
      <c r="K74" t="s">
        <v>2362</v>
      </c>
      <c r="L74" t="s">
        <v>2356</v>
      </c>
      <c r="M74" t="s">
        <v>2397</v>
      </c>
      <c r="N74" t="str">
        <f t="shared" si="9"/>
        <v>ESG_SBSCTR</v>
      </c>
      <c r="O74" t="str">
        <f t="shared" si="10"/>
        <v>ESG_SBSCTRORDEM</v>
      </c>
      <c r="P74" t="s">
        <v>2397</v>
      </c>
      <c r="R74" t="s">
        <v>785</v>
      </c>
      <c r="S74" t="s">
        <v>1784</v>
      </c>
      <c r="T74" t="str">
        <f t="shared" si="11"/>
        <v>INSTRUMENTDSTI</v>
      </c>
      <c r="U74" t="s">
        <v>2451</v>
      </c>
      <c r="V74" t="s">
        <v>2375</v>
      </c>
    </row>
    <row r="75" spans="2:22" x14ac:dyDescent="0.35">
      <c r="B75" t="s">
        <v>2354</v>
      </c>
      <c r="C75" t="s">
        <v>2358</v>
      </c>
      <c r="D75" t="str">
        <f t="shared" si="6"/>
        <v>MTHD_USD_INSTRMNT</v>
      </c>
      <c r="E75" t="str">
        <f t="shared" si="7"/>
        <v>MTHD_USD_INSTRMNTTABELA</v>
      </c>
      <c r="G75" t="s">
        <v>785</v>
      </c>
      <c r="H75" t="s">
        <v>1310</v>
      </c>
      <c r="I75" t="str">
        <f t="shared" si="8"/>
        <v>INSTRUMENTEIR_INCPTN</v>
      </c>
      <c r="K75" t="s">
        <v>2362</v>
      </c>
      <c r="L75" t="s">
        <v>2364</v>
      </c>
      <c r="M75" t="s">
        <v>2397</v>
      </c>
      <c r="N75" t="str">
        <f t="shared" si="9"/>
        <v>ESG_SBSCTR</v>
      </c>
      <c r="O75" t="str">
        <f t="shared" si="10"/>
        <v>ESG_SBSCTRNACE_CODE</v>
      </c>
      <c r="P75" t="s">
        <v>2397</v>
      </c>
      <c r="R75" t="s">
        <v>1952</v>
      </c>
      <c r="S75" t="s">
        <v>2001</v>
      </c>
      <c r="T75" t="str">
        <f t="shared" si="11"/>
        <v>PROTECTIONTYP_PRTCTN</v>
      </c>
      <c r="U75" t="s">
        <v>2448</v>
      </c>
      <c r="V75" t="s">
        <v>2375</v>
      </c>
    </row>
    <row r="76" spans="2:22" x14ac:dyDescent="0.35">
      <c r="B76" t="s">
        <v>2354</v>
      </c>
      <c r="C76" t="s">
        <v>2359</v>
      </c>
      <c r="D76" t="str">
        <f t="shared" si="6"/>
        <v>MTHD_USD_INSTRMNT</v>
      </c>
      <c r="E76" t="str">
        <f t="shared" si="7"/>
        <v>MTHD_USD_INSTRMNTORIGEM_SCP1_EMSS</v>
      </c>
      <c r="G76" t="s">
        <v>785</v>
      </c>
      <c r="H76" t="s">
        <v>1460</v>
      </c>
      <c r="I76" t="str">
        <f t="shared" si="8"/>
        <v>INSTRUMENTELGBLTY_ECB</v>
      </c>
      <c r="K76" t="s">
        <v>2362</v>
      </c>
      <c r="L76" t="s">
        <v>2365</v>
      </c>
      <c r="M76" t="s">
        <v>2397</v>
      </c>
      <c r="N76" t="str">
        <f t="shared" si="9"/>
        <v>ESG_SBSCTR</v>
      </c>
      <c r="O76" t="str">
        <f t="shared" si="10"/>
        <v>ESG_SBSCTRCONTRAPARTE</v>
      </c>
      <c r="P76" t="s">
        <v>2397</v>
      </c>
      <c r="R76" t="s">
        <v>35</v>
      </c>
      <c r="S76" t="s">
        <v>59</v>
      </c>
      <c r="T76" t="str">
        <f t="shared" si="11"/>
        <v>ENTITYDT_BRTH</v>
      </c>
      <c r="U76" t="s">
        <v>2453</v>
      </c>
      <c r="V76" t="s">
        <v>2375</v>
      </c>
    </row>
    <row r="77" spans="2:22" x14ac:dyDescent="0.35">
      <c r="B77" t="s">
        <v>2354</v>
      </c>
      <c r="C77" t="s">
        <v>2360</v>
      </c>
      <c r="D77" t="str">
        <f t="shared" si="6"/>
        <v>MTHD_USD_INSTRMNT</v>
      </c>
      <c r="E77" t="str">
        <f t="shared" si="7"/>
        <v>MTHD_USD_INSTRMNTORIGEM_SCP2_EMSS</v>
      </c>
      <c r="G77" t="s">
        <v>785</v>
      </c>
      <c r="H77" t="s">
        <v>1776</v>
      </c>
      <c r="I77" t="str">
        <f t="shared" si="8"/>
        <v>INSTRUMENTEXPCTD_LSS_CRR</v>
      </c>
      <c r="K77" t="s">
        <v>2362</v>
      </c>
      <c r="L77" t="s">
        <v>2366</v>
      </c>
      <c r="M77" t="s">
        <v>2397</v>
      </c>
      <c r="N77" t="str">
        <f t="shared" si="9"/>
        <v>ESG_SBSCTR</v>
      </c>
      <c r="O77" t="str">
        <f t="shared" si="10"/>
        <v>ESG_SBSCTRCNATUREZA_JURI</v>
      </c>
      <c r="P77" t="s">
        <v>2397</v>
      </c>
      <c r="R77" t="s">
        <v>785</v>
      </c>
      <c r="S77" t="s">
        <v>1366</v>
      </c>
      <c r="T77" t="str">
        <f t="shared" si="11"/>
        <v>INSTRUMENTDT_CMPLNT_MRTR_STTS_C19</v>
      </c>
      <c r="U77" t="s">
        <v>2448</v>
      </c>
      <c r="V77" t="s">
        <v>2375</v>
      </c>
    </row>
    <row r="78" spans="2:22" x14ac:dyDescent="0.35">
      <c r="B78" t="s">
        <v>2354</v>
      </c>
      <c r="C78" t="s">
        <v>2361</v>
      </c>
      <c r="D78" t="str">
        <f t="shared" si="6"/>
        <v>MTHD_USD_INSTRMNT</v>
      </c>
      <c r="E78" t="str">
        <f t="shared" si="7"/>
        <v>MTHD_USD_INSTRMNTORIGEM_SCP3_EMSS</v>
      </c>
      <c r="G78" t="s">
        <v>785</v>
      </c>
      <c r="H78" t="s">
        <v>902</v>
      </c>
      <c r="I78" t="str">
        <f t="shared" si="8"/>
        <v>INSTRUMENTEXPSR_IN_SCP</v>
      </c>
      <c r="K78" t="s">
        <v>2362</v>
      </c>
      <c r="L78" t="s">
        <v>2367</v>
      </c>
      <c r="M78" t="s">
        <v>2397</v>
      </c>
      <c r="N78" t="str">
        <f t="shared" si="9"/>
        <v>ESG_SBSCTR</v>
      </c>
      <c r="O78" t="str">
        <f t="shared" si="10"/>
        <v>ESG_SBSCTRIDCOMB</v>
      </c>
      <c r="P78" t="s">
        <v>2397</v>
      </c>
      <c r="R78" t="s">
        <v>785</v>
      </c>
      <c r="S78" t="s">
        <v>1371</v>
      </c>
      <c r="T78" t="str">
        <f t="shared" si="11"/>
        <v>INSTRUMENTDT_CMPLNT_MRTR_STTS_PRVS_C19</v>
      </c>
      <c r="U78" t="s">
        <v>2448</v>
      </c>
      <c r="V78" t="s">
        <v>2375</v>
      </c>
    </row>
    <row r="79" spans="2:22" x14ac:dyDescent="0.35">
      <c r="B79" t="s">
        <v>2354</v>
      </c>
      <c r="C79" t="s">
        <v>2349</v>
      </c>
      <c r="D79" t="str">
        <f t="shared" si="6"/>
        <v>MTHD_USD_INSTRMNT</v>
      </c>
      <c r="E79" t="str">
        <f t="shared" si="7"/>
        <v>MTHD_USD_INSTRMNTMTHD_USD_INSTRMNT_SCP_1</v>
      </c>
      <c r="G79" t="s">
        <v>785</v>
      </c>
      <c r="H79" t="s">
        <v>907</v>
      </c>
      <c r="I79" t="str">
        <f t="shared" si="8"/>
        <v>INSTRUMENTFLD_SYNDCTN</v>
      </c>
      <c r="K79" t="s">
        <v>2362</v>
      </c>
      <c r="L79" t="s">
        <v>2315</v>
      </c>
      <c r="M79" t="s">
        <v>2397</v>
      </c>
      <c r="N79" t="str">
        <f t="shared" si="9"/>
        <v>ESG_SBSCTR</v>
      </c>
      <c r="O79" t="str">
        <f t="shared" si="10"/>
        <v>ESG_SBSCTRESG_SBSCTR</v>
      </c>
      <c r="P79" t="s">
        <v>2397</v>
      </c>
      <c r="R79" t="s">
        <v>1952</v>
      </c>
      <c r="S79" t="s">
        <v>2034</v>
      </c>
      <c r="T79" t="str">
        <f t="shared" si="11"/>
        <v>PROTECTIONDT_PRTCTN_VL</v>
      </c>
      <c r="U79" t="s">
        <v>2448</v>
      </c>
      <c r="V79" t="s">
        <v>2375</v>
      </c>
    </row>
    <row r="80" spans="2:22" x14ac:dyDescent="0.35">
      <c r="B80" t="s">
        <v>2354</v>
      </c>
      <c r="C80" t="s">
        <v>2350</v>
      </c>
      <c r="D80" t="str">
        <f t="shared" si="6"/>
        <v>MTHD_USD_INSTRMNT</v>
      </c>
      <c r="E80" t="str">
        <f t="shared" si="7"/>
        <v>MTHD_USD_INSTRMNTMTHD_USD_INSTRMNT_SCP_2</v>
      </c>
      <c r="G80" t="s">
        <v>785</v>
      </c>
      <c r="H80" t="s">
        <v>911</v>
      </c>
      <c r="I80" t="str">
        <f t="shared" si="8"/>
        <v>INSTRUMENTFLG_LBO</v>
      </c>
      <c r="K80" t="s">
        <v>2362</v>
      </c>
      <c r="L80" t="s">
        <v>2368</v>
      </c>
      <c r="M80" t="s">
        <v>2397</v>
      </c>
      <c r="N80" t="str">
        <f t="shared" si="9"/>
        <v>ESG_SBSCTR</v>
      </c>
      <c r="O80" t="str">
        <f t="shared" si="10"/>
        <v>ESG_SBSCTRDESCRIÇÃO</v>
      </c>
      <c r="P80" t="s">
        <v>2397</v>
      </c>
      <c r="R80" t="s">
        <v>35</v>
      </c>
      <c r="S80" t="s">
        <v>69</v>
      </c>
      <c r="T80" t="str">
        <f t="shared" si="11"/>
        <v>ENTITYDT_DFLT_STTS</v>
      </c>
      <c r="U80" t="s">
        <v>2452</v>
      </c>
      <c r="V80" t="s">
        <v>2458</v>
      </c>
    </row>
    <row r="81" spans="2:22" x14ac:dyDescent="0.35">
      <c r="B81" t="s">
        <v>2354</v>
      </c>
      <c r="C81" t="s">
        <v>2351</v>
      </c>
      <c r="D81" t="str">
        <f t="shared" si="6"/>
        <v>MTHD_USD_INSTRMNT</v>
      </c>
      <c r="E81" t="str">
        <f t="shared" si="7"/>
        <v>MTHD_USD_INSTRMNTMTHD_USD_INSTRMNT_SCP_3</v>
      </c>
      <c r="G81" t="s">
        <v>785</v>
      </c>
      <c r="H81" t="s">
        <v>1398</v>
      </c>
      <c r="I81" t="str">
        <f t="shared" si="8"/>
        <v>INSTRUMENTFRBRNC_STTS_C19</v>
      </c>
      <c r="K81" t="s">
        <v>2342</v>
      </c>
      <c r="L81" t="s">
        <v>2401</v>
      </c>
      <c r="M81" t="s">
        <v>2397</v>
      </c>
      <c r="N81" t="str">
        <f t="shared" si="9"/>
        <v>INSTRUMENT</v>
      </c>
      <c r="O81" t="str">
        <f t="shared" si="10"/>
        <v>INSTRUMENTDT_RFRNC</v>
      </c>
      <c r="P81" t="s">
        <v>2397</v>
      </c>
      <c r="R81" t="s">
        <v>785</v>
      </c>
      <c r="S81" t="s">
        <v>863</v>
      </c>
      <c r="T81" t="str">
        <f t="shared" si="11"/>
        <v>INSTRUMENTDT_DFLT_STTS_INSTRMNT</v>
      </c>
      <c r="U81" t="s">
        <v>2449</v>
      </c>
      <c r="V81" t="s">
        <v>2458</v>
      </c>
    </row>
    <row r="82" spans="2:22" x14ac:dyDescent="0.35">
      <c r="B82" t="s">
        <v>2362</v>
      </c>
      <c r="C82" t="s">
        <v>2363</v>
      </c>
      <c r="D82" t="str">
        <f t="shared" si="6"/>
        <v>ESG_SBSCTR</v>
      </c>
      <c r="E82" t="str">
        <f t="shared" si="7"/>
        <v>ESG_SBSCTRAMBITO</v>
      </c>
      <c r="G82" t="s">
        <v>785</v>
      </c>
      <c r="H82" t="s">
        <v>915</v>
      </c>
      <c r="I82" t="str">
        <f t="shared" si="8"/>
        <v>INSTRUMENTFRBRNC_STTS_INSTRMNT</v>
      </c>
      <c r="K82" t="s">
        <v>2342</v>
      </c>
      <c r="L82" t="s">
        <v>2402</v>
      </c>
      <c r="M82" t="s">
        <v>2397</v>
      </c>
      <c r="N82" t="str">
        <f t="shared" si="9"/>
        <v>INSTRUMENT</v>
      </c>
      <c r="O82" t="str">
        <f t="shared" si="10"/>
        <v>INSTRUMENTINSTRMNT_ID</v>
      </c>
      <c r="P82" t="s">
        <v>2397</v>
      </c>
      <c r="R82" t="s">
        <v>785</v>
      </c>
      <c r="S82" t="s">
        <v>866</v>
      </c>
      <c r="T82" t="str">
        <f t="shared" si="11"/>
        <v>INSTRUMENTDT_END_GP_PPAL</v>
      </c>
      <c r="U82" t="s">
        <v>2453</v>
      </c>
      <c r="V82" t="s">
        <v>2375</v>
      </c>
    </row>
    <row r="83" spans="2:22" x14ac:dyDescent="0.35">
      <c r="B83" t="s">
        <v>2362</v>
      </c>
      <c r="C83" t="s">
        <v>2355</v>
      </c>
      <c r="D83" t="str">
        <f t="shared" si="6"/>
        <v>ESG_SBSCTR</v>
      </c>
      <c r="E83" t="str">
        <f t="shared" si="7"/>
        <v>ESG_SBSCTRREF_DATE</v>
      </c>
      <c r="G83" t="s">
        <v>785</v>
      </c>
      <c r="H83" t="s">
        <v>1387</v>
      </c>
      <c r="I83" t="str">
        <f t="shared" si="8"/>
        <v>INSTRUMENTGRC_PRD_CPTL_INTRST_C19</v>
      </c>
      <c r="K83" t="s">
        <v>2342</v>
      </c>
      <c r="L83" t="s">
        <v>2403</v>
      </c>
      <c r="M83" t="s">
        <v>2397</v>
      </c>
      <c r="N83" t="str">
        <f t="shared" si="9"/>
        <v>INSTRUMENT</v>
      </c>
      <c r="O83" t="str">
        <f t="shared" si="10"/>
        <v>INSTRUMENTDT_INCPTN</v>
      </c>
      <c r="P83" t="s">
        <v>2397</v>
      </c>
      <c r="R83" t="s">
        <v>785</v>
      </c>
      <c r="S83" t="s">
        <v>1418</v>
      </c>
      <c r="T83" t="str">
        <f t="shared" si="11"/>
        <v>INSTRUMENTDT_END_GP_PPAL_C19</v>
      </c>
      <c r="U83" t="s">
        <v>2448</v>
      </c>
      <c r="V83" t="s">
        <v>2375</v>
      </c>
    </row>
    <row r="84" spans="2:22" x14ac:dyDescent="0.35">
      <c r="B84" t="s">
        <v>2362</v>
      </c>
      <c r="C84" t="s">
        <v>2356</v>
      </c>
      <c r="D84" t="str">
        <f t="shared" si="6"/>
        <v>ESG_SBSCTR</v>
      </c>
      <c r="E84" t="str">
        <f t="shared" si="7"/>
        <v>ESG_SBSCTRORDEM</v>
      </c>
      <c r="G84" t="s">
        <v>785</v>
      </c>
      <c r="H84" t="s">
        <v>1464</v>
      </c>
      <c r="I84" t="str">
        <f t="shared" si="8"/>
        <v>INSTRUMENTGRNTR_ID</v>
      </c>
      <c r="K84" t="s">
        <v>2342</v>
      </c>
      <c r="L84" t="s">
        <v>2404</v>
      </c>
      <c r="M84" t="s">
        <v>2397</v>
      </c>
      <c r="N84" t="str">
        <f t="shared" si="9"/>
        <v>INSTRUMENT</v>
      </c>
      <c r="O84" t="str">
        <f t="shared" si="10"/>
        <v>INSTRUMENTDFLT_STTS_INSTRMNT</v>
      </c>
      <c r="P84" t="s">
        <v>2397</v>
      </c>
      <c r="R84" t="s">
        <v>785</v>
      </c>
      <c r="S84" t="s">
        <v>871</v>
      </c>
      <c r="T84" t="str">
        <f t="shared" si="11"/>
        <v>INSTRUMENTDT_END_INTRST_ONLY</v>
      </c>
      <c r="U84" t="s">
        <v>2453</v>
      </c>
      <c r="V84" t="s">
        <v>2375</v>
      </c>
    </row>
    <row r="85" spans="2:22" x14ac:dyDescent="0.35">
      <c r="B85" t="s">
        <v>2362</v>
      </c>
      <c r="C85" t="s">
        <v>2364</v>
      </c>
      <c r="D85" t="str">
        <f t="shared" si="6"/>
        <v>ESG_SBSCTR</v>
      </c>
      <c r="E85" t="str">
        <f t="shared" si="7"/>
        <v>ESG_SBSCTRNACE_CODE</v>
      </c>
      <c r="G85" t="s">
        <v>785</v>
      </c>
      <c r="H85" t="s">
        <v>1470</v>
      </c>
      <c r="I85" t="str">
        <f t="shared" si="8"/>
        <v>INSTRUMENTGRNTR_ID_TYP</v>
      </c>
      <c r="K85" t="s">
        <v>2342</v>
      </c>
      <c r="L85" t="s">
        <v>2405</v>
      </c>
      <c r="M85" t="s">
        <v>2397</v>
      </c>
      <c r="N85" t="str">
        <f t="shared" si="9"/>
        <v>INSTRUMENT</v>
      </c>
      <c r="O85" t="str">
        <f t="shared" si="10"/>
        <v>INSTRUMENTIMPRMNT_STTS</v>
      </c>
      <c r="P85" t="s">
        <v>2397</v>
      </c>
      <c r="R85" t="s">
        <v>785</v>
      </c>
      <c r="S85" t="s">
        <v>1423</v>
      </c>
      <c r="T85" t="str">
        <f t="shared" si="11"/>
        <v>INSTRUMENTDT_END_INTRST_ONLY_C19</v>
      </c>
      <c r="U85" t="s">
        <v>2448</v>
      </c>
      <c r="V85" t="s">
        <v>2375</v>
      </c>
    </row>
    <row r="86" spans="2:22" x14ac:dyDescent="0.35">
      <c r="B86" t="s">
        <v>2362</v>
      </c>
      <c r="C86" t="s">
        <v>2365</v>
      </c>
      <c r="D86" t="str">
        <f t="shared" si="6"/>
        <v>ESG_SBSCTR</v>
      </c>
      <c r="E86" t="str">
        <f t="shared" si="7"/>
        <v>ESG_SBSCTRCONTRAPARTE</v>
      </c>
      <c r="G86" t="s">
        <v>785</v>
      </c>
      <c r="H86" t="s">
        <v>1022</v>
      </c>
      <c r="I86" t="str">
        <f t="shared" si="8"/>
        <v>INSTRUMENTGRSS_CRRYNG_AMNT_INSTRMNT</v>
      </c>
      <c r="K86" t="s">
        <v>2342</v>
      </c>
      <c r="L86" t="s">
        <v>2406</v>
      </c>
      <c r="M86" t="s">
        <v>2397</v>
      </c>
      <c r="N86" t="str">
        <f t="shared" si="9"/>
        <v>INSTRUMENT</v>
      </c>
      <c r="O86" t="str">
        <f t="shared" si="10"/>
        <v>INSTRUMENTPRFRMNG_STTS</v>
      </c>
      <c r="P86" t="s">
        <v>2397</v>
      </c>
      <c r="R86" t="s">
        <v>1952</v>
      </c>
      <c r="S86" t="s">
        <v>2073</v>
      </c>
      <c r="T86" t="str">
        <f t="shared" si="11"/>
        <v>PROTECTIONCNSTRCTN_STTS</v>
      </c>
      <c r="U86" t="s">
        <v>2448</v>
      </c>
      <c r="V86" t="s">
        <v>2375</v>
      </c>
    </row>
    <row r="87" spans="2:22" x14ac:dyDescent="0.35">
      <c r="B87" t="s">
        <v>2362</v>
      </c>
      <c r="C87" t="s">
        <v>2366</v>
      </c>
      <c r="D87" t="str">
        <f t="shared" si="6"/>
        <v>ESG_SBSCTR</v>
      </c>
      <c r="E87" t="str">
        <f t="shared" si="7"/>
        <v>ESG_SBSCTRCNATUREZA_JURI</v>
      </c>
      <c r="G87" t="s">
        <v>785</v>
      </c>
      <c r="H87" t="s">
        <v>1477</v>
      </c>
      <c r="I87" t="str">
        <f t="shared" si="8"/>
        <v>INSTRUMENTHEDGE_ID</v>
      </c>
      <c r="K87" t="s">
        <v>2342</v>
      </c>
      <c r="L87" t="s">
        <v>2407</v>
      </c>
      <c r="M87" t="s">
        <v>2397</v>
      </c>
      <c r="N87" t="str">
        <f t="shared" si="9"/>
        <v>INSTRUMENT</v>
      </c>
      <c r="O87" t="str">
        <f t="shared" si="10"/>
        <v>INSTRUMENTPRJCT_FNNC_LN</v>
      </c>
      <c r="P87" t="s">
        <v>2397</v>
      </c>
      <c r="R87" t="s">
        <v>35</v>
      </c>
      <c r="S87" t="s">
        <v>73</v>
      </c>
      <c r="T87" t="str">
        <f t="shared" si="11"/>
        <v>ENTITYDT_FNNCL_STTMTS</v>
      </c>
      <c r="U87" t="s">
        <v>2450</v>
      </c>
      <c r="V87" t="s">
        <v>2459</v>
      </c>
    </row>
    <row r="88" spans="2:22" x14ac:dyDescent="0.35">
      <c r="B88" t="s">
        <v>2362</v>
      </c>
      <c r="C88" t="s">
        <v>2367</v>
      </c>
      <c r="D88" t="str">
        <f t="shared" si="6"/>
        <v>ESG_SBSCTR</v>
      </c>
      <c r="E88" t="str">
        <f t="shared" si="7"/>
        <v>ESG_SBSCTRIDCOMB</v>
      </c>
      <c r="G88" t="s">
        <v>785</v>
      </c>
      <c r="H88" t="s">
        <v>1772</v>
      </c>
      <c r="I88" t="str">
        <f t="shared" si="8"/>
        <v>INSTRUMENTIDCMB</v>
      </c>
      <c r="K88" t="s">
        <v>2342</v>
      </c>
      <c r="L88" t="s">
        <v>2408</v>
      </c>
      <c r="M88" t="s">
        <v>2397</v>
      </c>
      <c r="N88" t="str">
        <f t="shared" si="9"/>
        <v>INSTRUMENT</v>
      </c>
      <c r="O88" t="str">
        <f t="shared" si="10"/>
        <v>INSTRUMENTTYP_INSTRMNT</v>
      </c>
      <c r="P88" t="s">
        <v>2397</v>
      </c>
      <c r="R88" t="s">
        <v>35</v>
      </c>
      <c r="S88" t="s">
        <v>77</v>
      </c>
      <c r="T88" t="str">
        <f t="shared" si="11"/>
        <v>ENTITYDT_FNNCL_STTMTS_PRVS</v>
      </c>
      <c r="U88" t="s">
        <v>2450</v>
      </c>
      <c r="V88" t="s">
        <v>2459</v>
      </c>
    </row>
    <row r="89" spans="2:22" x14ac:dyDescent="0.35">
      <c r="B89" t="s">
        <v>2362</v>
      </c>
      <c r="C89" t="s">
        <v>2315</v>
      </c>
      <c r="D89" t="str">
        <f t="shared" si="6"/>
        <v>ESG_SBSCTR</v>
      </c>
      <c r="E89" t="str">
        <f t="shared" si="7"/>
        <v>ESG_SBSCTRESG_SBSCTR</v>
      </c>
      <c r="G89" t="s">
        <v>785</v>
      </c>
      <c r="H89" t="s">
        <v>1079</v>
      </c>
      <c r="I89" t="str">
        <f t="shared" si="8"/>
        <v>INSTRUMENTIFRS9_BHVRL_MTRTY</v>
      </c>
      <c r="K89" t="s">
        <v>2342</v>
      </c>
      <c r="L89" t="s">
        <v>2409</v>
      </c>
      <c r="M89" t="s">
        <v>2397</v>
      </c>
      <c r="N89" t="str">
        <f t="shared" si="9"/>
        <v>INSTRUMENT</v>
      </c>
      <c r="O89" t="str">
        <f t="shared" si="10"/>
        <v>INSTRUMENTGRSS_CRRYNG_AMNT_INSTRMNT</v>
      </c>
      <c r="P89" t="s">
        <v>2397</v>
      </c>
      <c r="R89" t="s">
        <v>785</v>
      </c>
      <c r="S89" t="s">
        <v>1331</v>
      </c>
      <c r="T89" t="str">
        <f t="shared" si="11"/>
        <v>INSTRUMENTRCVD_INTRST_24M</v>
      </c>
      <c r="U89" t="s">
        <v>2450</v>
      </c>
      <c r="V89" t="s">
        <v>2458</v>
      </c>
    </row>
    <row r="90" spans="2:22" x14ac:dyDescent="0.35">
      <c r="B90" t="s">
        <v>2362</v>
      </c>
      <c r="C90" t="s">
        <v>2368</v>
      </c>
      <c r="D90" t="str">
        <f t="shared" si="6"/>
        <v>ESG_SBSCTR</v>
      </c>
      <c r="E90" t="str">
        <f t="shared" si="7"/>
        <v>ESG_SBSCTRDESCRIÇÃO</v>
      </c>
      <c r="G90" t="s">
        <v>785</v>
      </c>
      <c r="H90" t="s">
        <v>1089</v>
      </c>
      <c r="I90" t="str">
        <f t="shared" si="8"/>
        <v>INSTRUMENTIFRS9_CCF</v>
      </c>
      <c r="K90" t="s">
        <v>2342</v>
      </c>
      <c r="L90" t="s">
        <v>2410</v>
      </c>
      <c r="M90" t="s">
        <v>2397</v>
      </c>
      <c r="N90" t="str">
        <f t="shared" si="9"/>
        <v>INSTRUMENT</v>
      </c>
      <c r="O90" t="str">
        <f t="shared" si="10"/>
        <v>INSTRUMENTACCMLTD_CHNGS_FV_CR_INSTRMNT</v>
      </c>
      <c r="P90" t="s">
        <v>2397</v>
      </c>
      <c r="R90" t="s">
        <v>785</v>
      </c>
      <c r="S90" t="s">
        <v>1403</v>
      </c>
      <c r="T90" t="str">
        <f t="shared" si="11"/>
        <v>INSTRUMENTDT_FRBRNC_STTS_C19</v>
      </c>
      <c r="U90" t="s">
        <v>2448</v>
      </c>
      <c r="V90" t="s">
        <v>2375</v>
      </c>
    </row>
    <row r="91" spans="2:22" x14ac:dyDescent="0.35">
      <c r="B91" t="s">
        <v>2345</v>
      </c>
      <c r="C91" t="s">
        <v>2369</v>
      </c>
      <c r="D91" t="str">
        <f t="shared" si="6"/>
        <v>INSTR_ACTIVITY</v>
      </c>
      <c r="E91" t="str">
        <f t="shared" si="7"/>
        <v>INSTR_ACTIVITYSSTNBL_CTGRY</v>
      </c>
      <c r="G91" t="s">
        <v>785</v>
      </c>
      <c r="H91" t="s">
        <v>1094</v>
      </c>
      <c r="I91" t="str">
        <f t="shared" si="8"/>
        <v>INSTRUMENTIFRS9_EAD</v>
      </c>
      <c r="K91" t="s">
        <v>2342</v>
      </c>
      <c r="L91" t="s">
        <v>2411</v>
      </c>
      <c r="M91" t="s">
        <v>2397</v>
      </c>
      <c r="N91" t="str">
        <f t="shared" si="9"/>
        <v>INSTRUMENT</v>
      </c>
      <c r="O91" t="str">
        <f t="shared" si="10"/>
        <v>INSTRUMENTACCNTNG_CLSSFCTN</v>
      </c>
      <c r="P91" t="s">
        <v>2397</v>
      </c>
      <c r="R91" t="s">
        <v>785</v>
      </c>
      <c r="S91" t="s">
        <v>1327</v>
      </c>
      <c r="T91" t="str">
        <f t="shared" si="11"/>
        <v>INSTRUMENTRCVD_INTRST_12M</v>
      </c>
      <c r="U91" t="s">
        <v>2450</v>
      </c>
      <c r="V91" t="s">
        <v>2458</v>
      </c>
    </row>
    <row r="92" spans="2:22" x14ac:dyDescent="0.35">
      <c r="G92" t="s">
        <v>785</v>
      </c>
      <c r="H92" t="s">
        <v>1237</v>
      </c>
      <c r="I92" t="str">
        <f t="shared" si="8"/>
        <v>INSTRUMENTIFRS9_LGD</v>
      </c>
      <c r="K92" t="s">
        <v>2342</v>
      </c>
      <c r="L92" t="s">
        <v>2412</v>
      </c>
      <c r="M92" t="s">
        <v>2397</v>
      </c>
      <c r="N92" t="str">
        <f t="shared" si="9"/>
        <v>INSTRUMENT</v>
      </c>
      <c r="O92" t="str">
        <f t="shared" si="10"/>
        <v>INSTRUMENTDT_LGL_FNL_MTRTY</v>
      </c>
      <c r="P92" t="s">
        <v>2397</v>
      </c>
      <c r="R92" t="s">
        <v>785</v>
      </c>
      <c r="S92" t="s">
        <v>1408</v>
      </c>
      <c r="T92" t="str">
        <f t="shared" si="11"/>
        <v>INSTRUMENTDT_FRBRNC_STTS_PRVS_C19</v>
      </c>
      <c r="U92" t="s">
        <v>2448</v>
      </c>
      <c r="V92" t="s">
        <v>2375</v>
      </c>
    </row>
    <row r="93" spans="2:22" x14ac:dyDescent="0.35">
      <c r="G93" t="s">
        <v>785</v>
      </c>
      <c r="H93" t="s">
        <v>1224</v>
      </c>
      <c r="I93" t="str">
        <f t="shared" si="8"/>
        <v>INSTRUMENTIMPRMNT_ASSSSMNT_MTHD</v>
      </c>
      <c r="K93" t="s">
        <v>2342</v>
      </c>
      <c r="L93" t="s">
        <v>2413</v>
      </c>
      <c r="M93" t="s">
        <v>2397</v>
      </c>
      <c r="N93" t="str">
        <f t="shared" si="9"/>
        <v>INSTRUMENT</v>
      </c>
      <c r="O93" t="str">
        <f t="shared" si="10"/>
        <v>INSTRUMENTACCMLTD_IMPRMNT_INSTRMNT</v>
      </c>
      <c r="P93" t="s">
        <v>2397</v>
      </c>
      <c r="R93" t="s">
        <v>1952</v>
      </c>
      <c r="S93" t="s">
        <v>2082</v>
      </c>
      <c r="T93" t="str">
        <f t="shared" si="11"/>
        <v>PROTECTIONDT_FRST_USG</v>
      </c>
      <c r="U93" t="s">
        <v>2453</v>
      </c>
      <c r="V93" t="s">
        <v>2375</v>
      </c>
    </row>
    <row r="94" spans="2:22" x14ac:dyDescent="0.35">
      <c r="G94" t="s">
        <v>785</v>
      </c>
      <c r="H94" t="s">
        <v>1228</v>
      </c>
      <c r="I94" t="str">
        <f t="shared" si="8"/>
        <v>INSTRUMENTIMPRMNT_CLCLTN_MTHD</v>
      </c>
      <c r="K94" t="s">
        <v>2342</v>
      </c>
      <c r="L94" t="s">
        <v>2414</v>
      </c>
      <c r="M94" t="s">
        <v>2397</v>
      </c>
      <c r="N94" t="str">
        <f t="shared" si="9"/>
        <v>INSTRUMENT</v>
      </c>
      <c r="O94" t="str">
        <f t="shared" si="10"/>
        <v>INSTRUMENTISSR_CNTRY</v>
      </c>
      <c r="P94" t="s">
        <v>2397</v>
      </c>
      <c r="R94" t="s">
        <v>785</v>
      </c>
      <c r="S94" t="s">
        <v>1210</v>
      </c>
      <c r="T94" t="str">
        <f t="shared" si="11"/>
        <v>INSTRUMENTDT_IMPRMNT_STTS</v>
      </c>
      <c r="U94" t="s">
        <v>2456</v>
      </c>
      <c r="V94" t="s">
        <v>2375</v>
      </c>
    </row>
    <row r="95" spans="2:22" x14ac:dyDescent="0.35">
      <c r="G95" t="s">
        <v>785</v>
      </c>
      <c r="H95" t="s">
        <v>919</v>
      </c>
      <c r="I95" t="str">
        <f t="shared" si="8"/>
        <v>INSTRUMENTIMPRMNT_STTS</v>
      </c>
      <c r="K95" t="s">
        <v>2342</v>
      </c>
      <c r="L95" t="s">
        <v>2415</v>
      </c>
      <c r="M95" t="s">
        <v>2397</v>
      </c>
      <c r="N95" t="str">
        <f t="shared" si="9"/>
        <v>INSTRUMENT</v>
      </c>
      <c r="O95" t="str">
        <f t="shared" si="10"/>
        <v>INSTRUMENTISSR_NACE_SCTR</v>
      </c>
      <c r="P95" t="s">
        <v>2397</v>
      </c>
      <c r="R95" t="s">
        <v>785</v>
      </c>
      <c r="S95" t="s">
        <v>1214</v>
      </c>
      <c r="T95" t="str">
        <f t="shared" si="11"/>
        <v>INSTRUMENTDT_IMPRMNT_STTS_PRVS</v>
      </c>
      <c r="U95" t="s">
        <v>2456</v>
      </c>
      <c r="V95" t="s">
        <v>2375</v>
      </c>
    </row>
    <row r="96" spans="2:22" x14ac:dyDescent="0.35">
      <c r="G96" t="s">
        <v>785</v>
      </c>
      <c r="H96" t="s">
        <v>923</v>
      </c>
      <c r="I96" t="str">
        <f t="shared" si="8"/>
        <v>INSTRUMENTIMPRMNT_STTS_PRVS</v>
      </c>
      <c r="K96" t="s">
        <v>2342</v>
      </c>
      <c r="L96" t="s">
        <v>2416</v>
      </c>
      <c r="M96" t="s">
        <v>2397</v>
      </c>
      <c r="N96" t="str">
        <f t="shared" si="9"/>
        <v>INSTRUMENT</v>
      </c>
      <c r="O96" t="str">
        <f t="shared" si="10"/>
        <v>INSTRUMENTPRMRY_ASST_CLSSF</v>
      </c>
      <c r="P96" t="s">
        <v>2397</v>
      </c>
      <c r="R96" t="s">
        <v>785</v>
      </c>
      <c r="S96" t="s">
        <v>820</v>
      </c>
      <c r="T96" t="str">
        <f t="shared" si="11"/>
        <v>INSTRUMENTDT_INCPTN</v>
      </c>
      <c r="U96" t="s">
        <v>2453</v>
      </c>
      <c r="V96" t="s">
        <v>2458</v>
      </c>
    </row>
    <row r="97" spans="7:22" x14ac:dyDescent="0.35">
      <c r="G97" t="s">
        <v>785</v>
      </c>
      <c r="H97" t="s">
        <v>1099</v>
      </c>
      <c r="I97" t="str">
        <f t="shared" si="8"/>
        <v>INSTRUMENTINSTLMNT_PAY</v>
      </c>
      <c r="K97" t="s">
        <v>2342</v>
      </c>
      <c r="L97" t="s">
        <v>2417</v>
      </c>
      <c r="M97" t="s">
        <v>2397</v>
      </c>
      <c r="N97" t="str">
        <f t="shared" si="9"/>
        <v>INSTRUMENT</v>
      </c>
      <c r="O97" t="str">
        <f t="shared" si="10"/>
        <v>INSTRUMENTSUBPORTFOLIO_ID</v>
      </c>
      <c r="P97" t="s">
        <v>2397</v>
      </c>
      <c r="R97" t="s">
        <v>35</v>
      </c>
      <c r="S97" t="s">
        <v>160</v>
      </c>
      <c r="T97" t="str">
        <f t="shared" si="11"/>
        <v>ENTITYDT_INTRNL_RTNG</v>
      </c>
      <c r="U97" t="s">
        <v>2456</v>
      </c>
      <c r="V97" t="s">
        <v>2458</v>
      </c>
    </row>
    <row r="98" spans="7:22" x14ac:dyDescent="0.35">
      <c r="G98" t="s">
        <v>785</v>
      </c>
      <c r="H98" t="s">
        <v>1481</v>
      </c>
      <c r="I98" t="str">
        <f t="shared" si="8"/>
        <v>INSTRUMENTINSTR_SNRTY_CLSS</v>
      </c>
      <c r="K98" t="s">
        <v>2342</v>
      </c>
      <c r="L98" t="s">
        <v>2418</v>
      </c>
      <c r="M98" t="s">
        <v>2397</v>
      </c>
      <c r="N98" t="str">
        <f t="shared" si="9"/>
        <v>INSTRUMENT</v>
      </c>
      <c r="O98" t="str">
        <f t="shared" si="10"/>
        <v>INSTRUMENTCOD_SOC</v>
      </c>
      <c r="P98" t="s">
        <v>2397</v>
      </c>
      <c r="R98" t="s">
        <v>785</v>
      </c>
      <c r="S98" t="s">
        <v>160</v>
      </c>
      <c r="T98" t="str">
        <f t="shared" si="11"/>
        <v>INSTRUMENTDT_INTRNL_RTNG</v>
      </c>
      <c r="U98" t="s">
        <v>2456</v>
      </c>
      <c r="V98" t="s">
        <v>2458</v>
      </c>
    </row>
    <row r="99" spans="7:22" x14ac:dyDescent="0.35">
      <c r="G99" t="s">
        <v>785</v>
      </c>
      <c r="H99" t="s">
        <v>1485</v>
      </c>
      <c r="I99" t="str">
        <f t="shared" si="8"/>
        <v>INSTRUMENTINSTRMNT_CLSS</v>
      </c>
      <c r="K99" t="s">
        <v>2342</v>
      </c>
      <c r="L99" t="s">
        <v>2419</v>
      </c>
      <c r="M99" t="s">
        <v>2397</v>
      </c>
      <c r="N99" t="str">
        <f t="shared" si="9"/>
        <v>INSTRUMENT</v>
      </c>
      <c r="O99" t="str">
        <f t="shared" si="10"/>
        <v>INSTRUMENTLCL_INSTMRNT_ID</v>
      </c>
      <c r="P99" t="s">
        <v>2397</v>
      </c>
      <c r="R99" t="s">
        <v>35</v>
      </c>
      <c r="S99" t="s">
        <v>81</v>
      </c>
      <c r="T99" t="str">
        <f t="shared" si="11"/>
        <v>ENTITYDT_INTTN_LGL_PRCDNGS_LE</v>
      </c>
      <c r="U99" t="s">
        <v>2448</v>
      </c>
      <c r="V99" t="s">
        <v>2375</v>
      </c>
    </row>
    <row r="100" spans="7:22" x14ac:dyDescent="0.35">
      <c r="G100" t="s">
        <v>785</v>
      </c>
      <c r="H100" t="s">
        <v>772</v>
      </c>
      <c r="I100" t="str">
        <f t="shared" si="8"/>
        <v>INSTRUMENTINSTRMNT_ID</v>
      </c>
      <c r="K100" t="s">
        <v>2345</v>
      </c>
      <c r="L100" t="s">
        <v>2353</v>
      </c>
      <c r="M100" t="s">
        <v>2397</v>
      </c>
      <c r="N100" t="str">
        <f t="shared" si="9"/>
        <v>INSTR_ACTIVITY</v>
      </c>
      <c r="O100" t="str">
        <f t="shared" si="10"/>
        <v>INSTR_ACTIVITYSSTNBL_INDCTR</v>
      </c>
      <c r="P100" t="s">
        <v>2397</v>
      </c>
      <c r="R100" t="s">
        <v>1952</v>
      </c>
      <c r="S100" t="s">
        <v>2086</v>
      </c>
      <c r="T100" t="str">
        <f t="shared" si="11"/>
        <v>PROTECTIONDVLPMNT_STTS</v>
      </c>
      <c r="U100" t="s">
        <v>2448</v>
      </c>
      <c r="V100" t="s">
        <v>2375</v>
      </c>
    </row>
    <row r="101" spans="7:22" x14ac:dyDescent="0.35">
      <c r="G101" t="s">
        <v>785</v>
      </c>
      <c r="H101" t="s">
        <v>231</v>
      </c>
      <c r="I101" t="str">
        <f t="shared" si="8"/>
        <v>INSTRUMENTINTRNL_RTNG</v>
      </c>
      <c r="K101" t="s">
        <v>2345</v>
      </c>
      <c r="L101" t="s">
        <v>2369</v>
      </c>
      <c r="M101" t="s">
        <v>2399</v>
      </c>
      <c r="N101" t="str">
        <f t="shared" si="9"/>
        <v>INSTR_ACTIVITY</v>
      </c>
      <c r="O101" t="str">
        <f t="shared" si="10"/>
        <v>INSTR_ACTIVITYSSTNBL_CTGRY</v>
      </c>
      <c r="P101" t="s">
        <v>2399</v>
      </c>
      <c r="R101" t="s">
        <v>1952</v>
      </c>
      <c r="S101" t="s">
        <v>2025</v>
      </c>
      <c r="T101" t="str">
        <f t="shared" si="11"/>
        <v>PROTECTIONDT_LST_FLL_APPRSL</v>
      </c>
      <c r="U101" t="s">
        <v>2448</v>
      </c>
      <c r="V101" t="s">
        <v>2375</v>
      </c>
    </row>
    <row r="102" spans="7:22" x14ac:dyDescent="0.35">
      <c r="G102" t="s">
        <v>785</v>
      </c>
      <c r="H102" t="s">
        <v>929</v>
      </c>
      <c r="I102" t="str">
        <f t="shared" si="8"/>
        <v>INSTRUMENTINTRNL_RTNG_INCPTN</v>
      </c>
      <c r="K102" t="s">
        <v>2342</v>
      </c>
      <c r="L102" t="s">
        <v>2420</v>
      </c>
      <c r="M102" t="s">
        <v>2421</v>
      </c>
      <c r="N102" t="str">
        <f t="shared" si="9"/>
        <v>INSTRUMENT</v>
      </c>
      <c r="O102" t="str">
        <f t="shared" si="10"/>
        <v>INSTRUMENTGRSS_INTRST_INCM</v>
      </c>
      <c r="P102" t="s">
        <v>2421</v>
      </c>
      <c r="R102" t="s">
        <v>1952</v>
      </c>
      <c r="S102" t="s">
        <v>1954</v>
      </c>
      <c r="T102" t="str">
        <f t="shared" si="11"/>
        <v>PROTECTIONDT_MTRTY_PRTCTN</v>
      </c>
      <c r="U102" t="s">
        <v>2453</v>
      </c>
      <c r="V102" t="s">
        <v>2375</v>
      </c>
    </row>
    <row r="103" spans="7:22" x14ac:dyDescent="0.35">
      <c r="G103" t="s">
        <v>785</v>
      </c>
      <c r="H103" t="s">
        <v>111</v>
      </c>
      <c r="I103" t="str">
        <f t="shared" si="8"/>
        <v>INSTRUMENTINTRNL_SGMNT</v>
      </c>
      <c r="K103" t="s">
        <v>2342</v>
      </c>
      <c r="L103" t="s">
        <v>2422</v>
      </c>
      <c r="M103" t="s">
        <v>2421</v>
      </c>
      <c r="N103" t="str">
        <f t="shared" si="9"/>
        <v>INSTRUMENT</v>
      </c>
      <c r="O103" t="str">
        <f t="shared" si="10"/>
        <v>INSTRUMENTGRSS_CMMSSN_INCM</v>
      </c>
      <c r="P103" t="s">
        <v>2421</v>
      </c>
      <c r="R103" t="s">
        <v>785</v>
      </c>
      <c r="S103" t="s">
        <v>1296</v>
      </c>
      <c r="T103" t="str">
        <f t="shared" si="11"/>
        <v>INSTRUMENTSICR_ASSSSMNT_MTHD</v>
      </c>
      <c r="U103" t="s">
        <v>2448</v>
      </c>
      <c r="V103" t="s">
        <v>2375</v>
      </c>
    </row>
    <row r="104" spans="7:22" x14ac:dyDescent="0.35">
      <c r="G104" t="s">
        <v>785</v>
      </c>
      <c r="H104" t="s">
        <v>1589</v>
      </c>
      <c r="I104" t="str">
        <f t="shared" si="8"/>
        <v>INSTRUMENTINTRNL_SGMNT_CAT_MSTA</v>
      </c>
      <c r="K104" t="s">
        <v>2342</v>
      </c>
      <c r="L104" t="s">
        <v>2423</v>
      </c>
      <c r="M104" t="s">
        <v>2421</v>
      </c>
      <c r="N104" t="str">
        <f t="shared" si="9"/>
        <v>INSTRUMENT</v>
      </c>
      <c r="O104" t="str">
        <f t="shared" si="10"/>
        <v>INSTRUMENTGRSS_CMMSSN_INCM_OFF_BLNC</v>
      </c>
      <c r="P104" t="s">
        <v>2421</v>
      </c>
      <c r="R104" t="s">
        <v>785</v>
      </c>
      <c r="S104" t="s">
        <v>1074</v>
      </c>
      <c r="T104" t="str">
        <f t="shared" si="11"/>
        <v>INSTRUMENTDT_ORGNL_MTRTY</v>
      </c>
      <c r="U104" t="s">
        <v>2453</v>
      </c>
      <c r="V104" t="s">
        <v>2458</v>
      </c>
    </row>
    <row r="105" spans="7:22" x14ac:dyDescent="0.35">
      <c r="G105" t="s">
        <v>785</v>
      </c>
      <c r="H105" t="s">
        <v>1594</v>
      </c>
      <c r="I105" t="str">
        <f t="shared" si="8"/>
        <v>INSTRUMENTINTRNL_SGMNT_CATGSUB</v>
      </c>
      <c r="K105" t="s">
        <v>2342</v>
      </c>
      <c r="L105" t="s">
        <v>2424</v>
      </c>
      <c r="M105" t="s">
        <v>2397</v>
      </c>
      <c r="N105" t="str">
        <f t="shared" si="9"/>
        <v>INSTRUMENT</v>
      </c>
      <c r="O105" t="str">
        <f t="shared" si="10"/>
        <v>INSTRUMENTIDCMB</v>
      </c>
      <c r="P105" t="s">
        <v>2397</v>
      </c>
      <c r="R105" t="s">
        <v>1952</v>
      </c>
      <c r="S105" t="s">
        <v>1960</v>
      </c>
      <c r="T105" t="str">
        <f t="shared" si="11"/>
        <v>PROTECTIONNTNL_ID</v>
      </c>
      <c r="U105" t="s">
        <v>2448</v>
      </c>
      <c r="V105" t="s">
        <v>2375</v>
      </c>
    </row>
    <row r="106" spans="7:22" x14ac:dyDescent="0.35">
      <c r="G106" t="s">
        <v>785</v>
      </c>
      <c r="H106" t="s">
        <v>1584</v>
      </c>
      <c r="I106" t="str">
        <f t="shared" si="8"/>
        <v>INSTRUMENTINTRNL_SGMNT_IFRS9</v>
      </c>
      <c r="K106" t="s">
        <v>2291</v>
      </c>
      <c r="L106" t="s">
        <v>2425</v>
      </c>
      <c r="M106" t="s">
        <v>2397</v>
      </c>
      <c r="N106" t="str">
        <f t="shared" si="9"/>
        <v>ENTITY</v>
      </c>
      <c r="O106" t="str">
        <f t="shared" si="10"/>
        <v>ENTITYCNTRY</v>
      </c>
      <c r="P106" t="s">
        <v>2397</v>
      </c>
      <c r="R106" t="s">
        <v>785</v>
      </c>
      <c r="S106" t="s">
        <v>889</v>
      </c>
      <c r="T106" t="str">
        <f t="shared" si="11"/>
        <v>INSTRUMENTDT_PRFRMNG_STTS</v>
      </c>
      <c r="U106" t="s">
        <v>2456</v>
      </c>
      <c r="V106" t="s">
        <v>2375</v>
      </c>
    </row>
    <row r="107" spans="7:22" x14ac:dyDescent="0.35">
      <c r="G107" t="s">
        <v>785</v>
      </c>
      <c r="H107" t="s">
        <v>116</v>
      </c>
      <c r="I107" t="str">
        <f t="shared" si="8"/>
        <v>INSTRUMENTINTRNL_UNT</v>
      </c>
      <c r="K107" t="s">
        <v>2291</v>
      </c>
      <c r="L107" t="s">
        <v>2401</v>
      </c>
      <c r="M107" t="s">
        <v>2397</v>
      </c>
      <c r="N107" t="str">
        <f t="shared" si="9"/>
        <v>ENTITY</v>
      </c>
      <c r="O107" t="str">
        <f t="shared" si="10"/>
        <v>ENTITYDT_RFRNC</v>
      </c>
      <c r="P107" t="s">
        <v>2397</v>
      </c>
      <c r="R107" t="s">
        <v>35</v>
      </c>
      <c r="S107" t="s">
        <v>87</v>
      </c>
      <c r="T107" t="str">
        <f t="shared" si="11"/>
        <v>ENTITYDT_PRFRMNG_STTS_LE</v>
      </c>
      <c r="U107" t="s">
        <v>2452</v>
      </c>
      <c r="V107" t="s">
        <v>2458</v>
      </c>
    </row>
    <row r="108" spans="7:22" x14ac:dyDescent="0.35">
      <c r="G108" t="s">
        <v>785</v>
      </c>
      <c r="H108" t="s">
        <v>1314</v>
      </c>
      <c r="I108" t="str">
        <f t="shared" si="8"/>
        <v>INSTRUMENTINTRST_RT_RST_FRQNCY</v>
      </c>
      <c r="K108" t="s">
        <v>2291</v>
      </c>
      <c r="L108" t="s">
        <v>2426</v>
      </c>
      <c r="M108" t="s">
        <v>2397</v>
      </c>
      <c r="N108" t="str">
        <f t="shared" si="9"/>
        <v>ENTITY</v>
      </c>
      <c r="O108" t="str">
        <f t="shared" si="10"/>
        <v>ENTITYENTTY_ID</v>
      </c>
      <c r="P108" t="s">
        <v>2397</v>
      </c>
      <c r="R108" t="s">
        <v>785</v>
      </c>
      <c r="S108" t="s">
        <v>892</v>
      </c>
      <c r="T108" t="str">
        <f t="shared" si="11"/>
        <v>INSTRUMENTDT_PRFRMNG_STTS_PRVS</v>
      </c>
      <c r="U108" t="s">
        <v>2456</v>
      </c>
      <c r="V108" t="s">
        <v>2375</v>
      </c>
    </row>
    <row r="109" spans="7:22" x14ac:dyDescent="0.35">
      <c r="G109" t="s">
        <v>785</v>
      </c>
      <c r="H109" t="s">
        <v>538</v>
      </c>
      <c r="I109" t="str">
        <f t="shared" si="8"/>
        <v>INSTRUMENTISIN</v>
      </c>
      <c r="K109" t="s">
        <v>2291</v>
      </c>
      <c r="L109" t="s">
        <v>2427</v>
      </c>
      <c r="M109" t="s">
        <v>2397</v>
      </c>
      <c r="N109" t="str">
        <f t="shared" si="9"/>
        <v>ENTITY</v>
      </c>
      <c r="O109" t="str">
        <f t="shared" si="10"/>
        <v>ENTITYLEI</v>
      </c>
      <c r="P109" t="s">
        <v>2397</v>
      </c>
      <c r="R109" t="s">
        <v>785</v>
      </c>
      <c r="S109" t="s">
        <v>1079</v>
      </c>
      <c r="T109" t="str">
        <f t="shared" si="11"/>
        <v>INSTRUMENTIFRS9_BHVRL_MTRTY</v>
      </c>
      <c r="U109" t="s">
        <v>2456</v>
      </c>
      <c r="V109" t="s">
        <v>2375</v>
      </c>
    </row>
    <row r="110" spans="7:22" x14ac:dyDescent="0.35">
      <c r="G110" t="s">
        <v>785</v>
      </c>
      <c r="H110" t="s">
        <v>1605</v>
      </c>
      <c r="I110" t="str">
        <f t="shared" si="8"/>
        <v>INSTRUMENTISIN_SCRTSTN</v>
      </c>
      <c r="K110" t="s">
        <v>2291</v>
      </c>
      <c r="L110" t="s">
        <v>2428</v>
      </c>
      <c r="M110" t="s">
        <v>2397</v>
      </c>
      <c r="N110" t="str">
        <f t="shared" si="9"/>
        <v>ENTITY</v>
      </c>
      <c r="O110" t="str">
        <f t="shared" si="10"/>
        <v>ENTITYECNMC_ACTVTY</v>
      </c>
      <c r="P110" t="s">
        <v>2397</v>
      </c>
      <c r="R110" t="s">
        <v>785</v>
      </c>
      <c r="S110" t="s">
        <v>1219</v>
      </c>
      <c r="T110" t="str">
        <f t="shared" si="11"/>
        <v>INSTRUMENTDT_PST_D</v>
      </c>
      <c r="U110" t="s">
        <v>2453</v>
      </c>
      <c r="V110" t="s">
        <v>2458</v>
      </c>
    </row>
    <row r="111" spans="7:22" x14ac:dyDescent="0.35">
      <c r="G111" t="s">
        <v>785</v>
      </c>
      <c r="H111" t="s">
        <v>1494</v>
      </c>
      <c r="I111" t="str">
        <f t="shared" si="8"/>
        <v>INSTRUMENTISSR_CNTRY</v>
      </c>
      <c r="K111" t="s">
        <v>2291</v>
      </c>
      <c r="L111" t="s">
        <v>2429</v>
      </c>
      <c r="M111" t="s">
        <v>2397</v>
      </c>
      <c r="N111" t="str">
        <f t="shared" si="9"/>
        <v>ENTITY</v>
      </c>
      <c r="O111" t="str">
        <f t="shared" si="10"/>
        <v>ENTITYGRP_EQTY</v>
      </c>
      <c r="P111" t="s">
        <v>2397</v>
      </c>
      <c r="R111" t="s">
        <v>35</v>
      </c>
      <c r="S111" t="s">
        <v>91</v>
      </c>
      <c r="T111" t="str">
        <f t="shared" si="11"/>
        <v>ENTITYDT_RFRNC</v>
      </c>
      <c r="U111" t="s">
        <v>2448</v>
      </c>
      <c r="V111" t="s">
        <v>2375</v>
      </c>
    </row>
    <row r="112" spans="7:22" x14ac:dyDescent="0.35">
      <c r="G112" t="s">
        <v>785</v>
      </c>
      <c r="H112" t="s">
        <v>1498</v>
      </c>
      <c r="I112" t="str">
        <f t="shared" si="8"/>
        <v>INSTRUMENTISSR_ESA_2010</v>
      </c>
      <c r="K112" t="s">
        <v>2291</v>
      </c>
      <c r="L112" t="s">
        <v>2430</v>
      </c>
      <c r="M112" t="s">
        <v>2397</v>
      </c>
      <c r="N112" t="str">
        <f t="shared" si="9"/>
        <v>ENTITY</v>
      </c>
      <c r="O112" t="str">
        <f t="shared" si="10"/>
        <v>ENTITYANNL_TRNVR_LE</v>
      </c>
      <c r="P112" t="s">
        <v>2397</v>
      </c>
      <c r="R112" t="s">
        <v>765</v>
      </c>
      <c r="S112" t="s">
        <v>91</v>
      </c>
      <c r="T112" t="str">
        <f t="shared" si="11"/>
        <v>INSTR_ENTITYDT_RFRNC</v>
      </c>
      <c r="U112" t="s">
        <v>2448</v>
      </c>
      <c r="V112" t="s">
        <v>2375</v>
      </c>
    </row>
    <row r="113" spans="7:22" x14ac:dyDescent="0.35">
      <c r="G113" t="s">
        <v>785</v>
      </c>
      <c r="H113" t="s">
        <v>1502</v>
      </c>
      <c r="I113" t="str">
        <f t="shared" si="8"/>
        <v>INSTRUMENTISSR_ID</v>
      </c>
      <c r="K113" t="s">
        <v>2291</v>
      </c>
      <c r="L113" t="s">
        <v>2431</v>
      </c>
      <c r="M113" t="s">
        <v>2397</v>
      </c>
      <c r="N113" t="str">
        <f t="shared" si="9"/>
        <v>ENTITY</v>
      </c>
      <c r="O113" t="str">
        <f t="shared" si="10"/>
        <v>ENTITYEQTY</v>
      </c>
      <c r="P113" t="s">
        <v>2397</v>
      </c>
      <c r="R113" t="s">
        <v>1927</v>
      </c>
      <c r="S113" t="s">
        <v>91</v>
      </c>
      <c r="T113" t="str">
        <f t="shared" si="11"/>
        <v>INSTR_PROTECTIONDT_RFRNC</v>
      </c>
      <c r="U113" t="s">
        <v>2448</v>
      </c>
      <c r="V113" t="s">
        <v>2375</v>
      </c>
    </row>
    <row r="114" spans="7:22" x14ac:dyDescent="0.35">
      <c r="G114" t="s">
        <v>785</v>
      </c>
      <c r="H114" t="s">
        <v>1506</v>
      </c>
      <c r="I114" t="str">
        <f t="shared" si="8"/>
        <v>INSTRUMENTISSR_ID_TYP</v>
      </c>
      <c r="K114" t="s">
        <v>2291</v>
      </c>
      <c r="L114" t="s">
        <v>2432</v>
      </c>
      <c r="M114" t="s">
        <v>2397</v>
      </c>
      <c r="N114" t="str">
        <f t="shared" si="9"/>
        <v>ENTITY</v>
      </c>
      <c r="O114" t="str">
        <f t="shared" si="10"/>
        <v>ENTITYGRP_TTL_DBT</v>
      </c>
      <c r="P114" t="s">
        <v>2397</v>
      </c>
      <c r="R114" t="s">
        <v>785</v>
      </c>
      <c r="S114" t="s">
        <v>91</v>
      </c>
      <c r="T114" t="str">
        <f t="shared" si="11"/>
        <v>INSTRUMENTDT_RFRNC</v>
      </c>
      <c r="U114" t="s">
        <v>2448</v>
      </c>
      <c r="V114" t="s">
        <v>2375</v>
      </c>
    </row>
    <row r="115" spans="7:22" x14ac:dyDescent="0.35">
      <c r="G115" t="s">
        <v>785</v>
      </c>
      <c r="H115" t="s">
        <v>1512</v>
      </c>
      <c r="I115" t="str">
        <f t="shared" si="8"/>
        <v>INSTRUMENTISSR_NACE_SCTR</v>
      </c>
      <c r="K115" t="s">
        <v>2291</v>
      </c>
      <c r="L115" t="s">
        <v>2433</v>
      </c>
      <c r="M115" t="s">
        <v>2397</v>
      </c>
      <c r="N115" t="str">
        <f t="shared" si="9"/>
        <v>ENTITY</v>
      </c>
      <c r="O115" t="str">
        <f t="shared" si="10"/>
        <v>ENTITYTTL_DBT</v>
      </c>
      <c r="P115" t="s">
        <v>2397</v>
      </c>
      <c r="R115" t="s">
        <v>1952</v>
      </c>
      <c r="S115" t="s">
        <v>91</v>
      </c>
      <c r="T115" t="str">
        <f t="shared" si="11"/>
        <v>PROTECTIONDT_RFRNC</v>
      </c>
      <c r="U115" t="s">
        <v>2448</v>
      </c>
      <c r="V115" t="s">
        <v>2375</v>
      </c>
    </row>
    <row r="116" spans="7:22" x14ac:dyDescent="0.35">
      <c r="G116" t="s">
        <v>785</v>
      </c>
      <c r="H116" t="s">
        <v>1517</v>
      </c>
      <c r="I116" t="str">
        <f t="shared" si="8"/>
        <v>INSTRUMENTISSR_RTNG</v>
      </c>
      <c r="K116" t="s">
        <v>2291</v>
      </c>
      <c r="L116" t="s">
        <v>2418</v>
      </c>
      <c r="M116" t="s">
        <v>2397</v>
      </c>
      <c r="N116" t="str">
        <f t="shared" si="9"/>
        <v>ENTITY</v>
      </c>
      <c r="O116" t="str">
        <f t="shared" si="10"/>
        <v>ENTITYCOD_SOC</v>
      </c>
      <c r="P116" t="s">
        <v>2397</v>
      </c>
      <c r="R116" t="s">
        <v>785</v>
      </c>
      <c r="S116" t="s">
        <v>1017</v>
      </c>
      <c r="T116" t="str">
        <f t="shared" si="11"/>
        <v>INSTRUMENTDT_STRT_GP_PPAL</v>
      </c>
      <c r="U116" t="s">
        <v>2453</v>
      </c>
      <c r="V116" t="s">
        <v>2375</v>
      </c>
    </row>
    <row r="117" spans="7:22" x14ac:dyDescent="0.35">
      <c r="G117" t="s">
        <v>785</v>
      </c>
      <c r="H117" t="s">
        <v>1521</v>
      </c>
      <c r="I117" t="str">
        <f t="shared" si="8"/>
        <v>INSTRUMENTISSR_RTNG_SRC</v>
      </c>
      <c r="K117" t="s">
        <v>2288</v>
      </c>
      <c r="L117" t="s">
        <v>2401</v>
      </c>
      <c r="M117" t="s">
        <v>2397</v>
      </c>
      <c r="N117" t="str">
        <f t="shared" si="9"/>
        <v>PROTECTION</v>
      </c>
      <c r="O117" t="str">
        <f t="shared" si="10"/>
        <v>PROTECTIONDT_RFRNC</v>
      </c>
      <c r="P117" t="s">
        <v>2397</v>
      </c>
      <c r="R117" t="s">
        <v>785</v>
      </c>
      <c r="S117" t="s">
        <v>897</v>
      </c>
      <c r="T117" t="str">
        <f t="shared" si="11"/>
        <v>INSTRUMENTDT_STRT_INTRST_ONLY</v>
      </c>
      <c r="U117" t="s">
        <v>2453</v>
      </c>
      <c r="V117" t="s">
        <v>2375</v>
      </c>
    </row>
    <row r="118" spans="7:22" x14ac:dyDescent="0.35">
      <c r="G118" t="s">
        <v>785</v>
      </c>
      <c r="H118" t="s">
        <v>1526</v>
      </c>
      <c r="I118" t="str">
        <f t="shared" si="8"/>
        <v>INSTRUMENTISSR_TYP</v>
      </c>
      <c r="K118" t="s">
        <v>2288</v>
      </c>
      <c r="L118" t="s">
        <v>2341</v>
      </c>
      <c r="M118" t="s">
        <v>2397</v>
      </c>
      <c r="N118" t="str">
        <f t="shared" si="9"/>
        <v>PROTECTION</v>
      </c>
      <c r="O118" t="str">
        <f t="shared" si="10"/>
        <v>PROTECTIONPRTCTN_ID</v>
      </c>
      <c r="P118" t="s">
        <v>2397</v>
      </c>
      <c r="R118" t="s">
        <v>785</v>
      </c>
      <c r="S118" t="s">
        <v>1455</v>
      </c>
      <c r="T118" t="str">
        <f t="shared" si="11"/>
        <v>INSTRUMENTDT_VLTN</v>
      </c>
      <c r="U118" t="s">
        <v>2448</v>
      </c>
      <c r="V118" t="s">
        <v>2375</v>
      </c>
    </row>
    <row r="119" spans="7:22" x14ac:dyDescent="0.35">
      <c r="G119" t="s">
        <v>785</v>
      </c>
      <c r="H119" t="s">
        <v>1619</v>
      </c>
      <c r="I119" t="str">
        <f t="shared" si="8"/>
        <v>INSTRUMENTLCL_INSTMRNT_ID</v>
      </c>
      <c r="K119" t="s">
        <v>2288</v>
      </c>
      <c r="L119" t="s">
        <v>2338</v>
      </c>
      <c r="M119" t="s">
        <v>2397</v>
      </c>
      <c r="N119" t="str">
        <f t="shared" si="9"/>
        <v>PROTECTION</v>
      </c>
      <c r="O119" t="str">
        <f t="shared" si="10"/>
        <v>PROTECTIONRL_ESTT_CLLTRL_LCTN</v>
      </c>
      <c r="P119" t="s">
        <v>2397</v>
      </c>
      <c r="R119" t="s">
        <v>785</v>
      </c>
      <c r="S119" t="s">
        <v>950</v>
      </c>
      <c r="T119" t="str">
        <f t="shared" si="11"/>
        <v>INSTRUMENTPOCI</v>
      </c>
      <c r="U119" t="s">
        <v>2450</v>
      </c>
      <c r="V119" t="s">
        <v>2375</v>
      </c>
    </row>
    <row r="120" spans="7:22" x14ac:dyDescent="0.35">
      <c r="G120" t="s">
        <v>785</v>
      </c>
      <c r="H120" t="s">
        <v>1531</v>
      </c>
      <c r="I120" t="str">
        <f t="shared" si="8"/>
        <v>INSTRUMENTLCR_BFFR_CTGRY</v>
      </c>
      <c r="K120" t="s">
        <v>2288</v>
      </c>
      <c r="L120" t="s">
        <v>2339</v>
      </c>
      <c r="M120" t="s">
        <v>2397</v>
      </c>
      <c r="N120" t="str">
        <f t="shared" si="9"/>
        <v>PROTECTION</v>
      </c>
      <c r="O120" t="str">
        <f t="shared" si="10"/>
        <v>PROTECTIONRL_ESTT_PST_CD</v>
      </c>
      <c r="P120" t="s">
        <v>2397</v>
      </c>
      <c r="R120" t="s">
        <v>785</v>
      </c>
      <c r="S120" t="s">
        <v>1084</v>
      </c>
      <c r="T120" t="str">
        <f t="shared" si="11"/>
        <v>INSTRUMENTEAD</v>
      </c>
      <c r="U120" t="s">
        <v>2456</v>
      </c>
      <c r="V120" t="s">
        <v>2458</v>
      </c>
    </row>
    <row r="121" spans="7:22" x14ac:dyDescent="0.35">
      <c r="G121" t="s">
        <v>785</v>
      </c>
      <c r="H121" t="s">
        <v>937</v>
      </c>
      <c r="I121" t="str">
        <f t="shared" si="8"/>
        <v>INSTRUMENTLCRE</v>
      </c>
      <c r="K121" t="s">
        <v>2288</v>
      </c>
      <c r="L121" t="s">
        <v>2290</v>
      </c>
      <c r="M121" t="s">
        <v>2397</v>
      </c>
      <c r="N121" t="str">
        <f t="shared" si="9"/>
        <v>PROTECTION</v>
      </c>
      <c r="O121" t="str">
        <f t="shared" si="10"/>
        <v>PROTECTIONTYP_PRTCTN</v>
      </c>
      <c r="P121" t="s">
        <v>2397</v>
      </c>
      <c r="R121" t="s">
        <v>785</v>
      </c>
      <c r="S121" t="s">
        <v>1360</v>
      </c>
      <c r="T121" t="str">
        <f t="shared" si="11"/>
        <v>INSTRUMENTEBA_CMPLNT_MRTR_ST_C19</v>
      </c>
      <c r="U121" t="s">
        <v>2448</v>
      </c>
      <c r="V121" t="s">
        <v>2375</v>
      </c>
    </row>
    <row r="122" spans="7:22" x14ac:dyDescent="0.35">
      <c r="G122" t="s">
        <v>785</v>
      </c>
      <c r="H122" t="s">
        <v>1241</v>
      </c>
      <c r="I122" t="str">
        <f t="shared" si="8"/>
        <v>INSTRUMENTLGD</v>
      </c>
      <c r="K122" t="s">
        <v>2288</v>
      </c>
      <c r="L122" t="s">
        <v>2289</v>
      </c>
      <c r="M122" t="s">
        <v>2397</v>
      </c>
      <c r="N122" t="str">
        <f t="shared" si="9"/>
        <v>PROTECTION</v>
      </c>
      <c r="O122" t="str">
        <f t="shared" si="10"/>
        <v>PROTECTIONORGNL_PRTCTN_VL</v>
      </c>
      <c r="P122" t="s">
        <v>2397</v>
      </c>
      <c r="R122" t="s">
        <v>785</v>
      </c>
      <c r="S122" t="s">
        <v>1116</v>
      </c>
      <c r="T122" t="str">
        <f t="shared" si="11"/>
        <v>INSTRUMENTOTSTNDNG_NMNL_AMNT_INSTRMNT_PRVS</v>
      </c>
      <c r="U122" t="s">
        <v>2450</v>
      </c>
      <c r="V122" t="s">
        <v>2375</v>
      </c>
    </row>
    <row r="123" spans="7:22" x14ac:dyDescent="0.35">
      <c r="G123" t="s">
        <v>785</v>
      </c>
      <c r="H123" t="s">
        <v>942</v>
      </c>
      <c r="I123" t="str">
        <f t="shared" si="8"/>
        <v>INSTRUMENTLGL_PRCDNG_STTS</v>
      </c>
      <c r="K123" t="s">
        <v>2288</v>
      </c>
      <c r="L123" t="s">
        <v>2340</v>
      </c>
      <c r="M123" t="s">
        <v>2397</v>
      </c>
      <c r="N123" t="str">
        <f t="shared" si="9"/>
        <v>PROTECTION</v>
      </c>
      <c r="O123" t="str">
        <f t="shared" si="10"/>
        <v>PROTECTIONPRTCTN_VL</v>
      </c>
      <c r="P123" t="s">
        <v>2397</v>
      </c>
      <c r="R123" t="s">
        <v>785</v>
      </c>
      <c r="S123" t="s">
        <v>1099</v>
      </c>
      <c r="T123" t="str">
        <f t="shared" si="11"/>
        <v>INSTRUMENTINSTLMNT_PAY</v>
      </c>
      <c r="U123" t="s">
        <v>2450</v>
      </c>
      <c r="V123" t="s">
        <v>2375</v>
      </c>
    </row>
    <row r="124" spans="7:22" x14ac:dyDescent="0.35">
      <c r="G124" t="s">
        <v>785</v>
      </c>
      <c r="H124" t="s">
        <v>946</v>
      </c>
      <c r="I124" t="str">
        <f t="shared" si="8"/>
        <v>INSTRUMENTLND_DRGTN</v>
      </c>
      <c r="K124" t="s">
        <v>2288</v>
      </c>
      <c r="L124" t="s">
        <v>2418</v>
      </c>
      <c r="M124" t="s">
        <v>2397</v>
      </c>
      <c r="N124" t="str">
        <f t="shared" si="9"/>
        <v>PROTECTION</v>
      </c>
      <c r="O124" t="str">
        <f t="shared" si="10"/>
        <v>PROTECTIONCOD_SOC</v>
      </c>
      <c r="P124" t="s">
        <v>2397</v>
      </c>
      <c r="R124" t="s">
        <v>35</v>
      </c>
      <c r="S124" t="s">
        <v>449</v>
      </c>
      <c r="T124" t="str">
        <f t="shared" si="11"/>
        <v>ENTITYEC_GRP_ID</v>
      </c>
      <c r="U124" t="s">
        <v>2451</v>
      </c>
      <c r="V124" t="s">
        <v>2458</v>
      </c>
    </row>
    <row r="125" spans="7:22" x14ac:dyDescent="0.35">
      <c r="G125" t="s">
        <v>785</v>
      </c>
      <c r="H125" t="s">
        <v>1780</v>
      </c>
      <c r="I125" t="str">
        <f t="shared" si="8"/>
        <v>INSTRUMENTLSTI</v>
      </c>
      <c r="K125" t="s">
        <v>2434</v>
      </c>
      <c r="L125" t="s">
        <v>2401</v>
      </c>
      <c r="M125" t="s">
        <v>2397</v>
      </c>
      <c r="N125" t="s">
        <v>765</v>
      </c>
      <c r="O125" t="str">
        <f t="shared" si="10"/>
        <v>INSTR_ENTITYDT_RFRNC</v>
      </c>
      <c r="P125" t="s">
        <v>2397</v>
      </c>
      <c r="R125" t="s">
        <v>35</v>
      </c>
      <c r="S125" t="s">
        <v>453</v>
      </c>
      <c r="T125" t="str">
        <f t="shared" si="11"/>
        <v>ENTITYEC_GRP_NM</v>
      </c>
      <c r="U125" t="s">
        <v>2451</v>
      </c>
      <c r="V125" t="s">
        <v>2458</v>
      </c>
    </row>
    <row r="126" spans="7:22" x14ac:dyDescent="0.35">
      <c r="G126" t="s">
        <v>785</v>
      </c>
      <c r="H126" t="s">
        <v>1788</v>
      </c>
      <c r="I126" t="str">
        <f t="shared" si="8"/>
        <v>INSTRUMENTLTI_INSTRMNT</v>
      </c>
      <c r="K126" t="s">
        <v>2434</v>
      </c>
      <c r="L126" t="s">
        <v>2426</v>
      </c>
      <c r="M126" t="s">
        <v>2397</v>
      </c>
      <c r="N126" t="s">
        <v>765</v>
      </c>
      <c r="O126" t="str">
        <f t="shared" si="10"/>
        <v>INSTR_ENTITYENTTY_ID</v>
      </c>
      <c r="P126" t="s">
        <v>2397</v>
      </c>
      <c r="R126" t="s">
        <v>35</v>
      </c>
      <c r="S126" t="s">
        <v>165</v>
      </c>
      <c r="T126" t="str">
        <f t="shared" si="11"/>
        <v>ENTITYECNMC_ACTVTY</v>
      </c>
      <c r="U126" t="s">
        <v>2448</v>
      </c>
      <c r="V126" t="s">
        <v>2375</v>
      </c>
    </row>
    <row r="127" spans="7:22" x14ac:dyDescent="0.35">
      <c r="G127" t="s">
        <v>785</v>
      </c>
      <c r="H127" t="s">
        <v>1246</v>
      </c>
      <c r="I127" t="str">
        <f t="shared" si="8"/>
        <v>INSTRUMENTLTV</v>
      </c>
      <c r="K127" t="s">
        <v>2434</v>
      </c>
      <c r="L127" t="s">
        <v>2402</v>
      </c>
      <c r="M127" t="s">
        <v>2397</v>
      </c>
      <c r="N127" t="s">
        <v>765</v>
      </c>
      <c r="O127" t="str">
        <f t="shared" si="10"/>
        <v>INSTR_ENTITYINSTRMNT_ID</v>
      </c>
      <c r="P127" t="s">
        <v>2397</v>
      </c>
      <c r="R127" t="s">
        <v>785</v>
      </c>
      <c r="S127" t="s">
        <v>1306</v>
      </c>
      <c r="T127" t="str">
        <f t="shared" si="11"/>
        <v>INSTRUMENTEIR</v>
      </c>
      <c r="U127" t="s">
        <v>2453</v>
      </c>
      <c r="V127" t="s">
        <v>2458</v>
      </c>
    </row>
    <row r="128" spans="7:22" x14ac:dyDescent="0.35">
      <c r="G128" t="s">
        <v>785</v>
      </c>
      <c r="H128" t="s">
        <v>1250</v>
      </c>
      <c r="I128" t="str">
        <f t="shared" si="8"/>
        <v>INSTRUMENTLTV_INCPTN</v>
      </c>
      <c r="K128" t="s">
        <v>2434</v>
      </c>
      <c r="L128" t="s">
        <v>2418</v>
      </c>
      <c r="M128" t="s">
        <v>2397</v>
      </c>
      <c r="N128" t="s">
        <v>765</v>
      </c>
      <c r="O128" t="str">
        <f t="shared" si="10"/>
        <v>INSTR_ENTITYCOD_SOC</v>
      </c>
      <c r="P128" t="s">
        <v>2397</v>
      </c>
      <c r="R128" t="s">
        <v>785</v>
      </c>
      <c r="S128" t="s">
        <v>1310</v>
      </c>
      <c r="T128" t="str">
        <f t="shared" si="11"/>
        <v>INSTRUMENTEIR_INCPTN</v>
      </c>
      <c r="U128" t="s">
        <v>2453</v>
      </c>
      <c r="V128" t="s">
        <v>2375</v>
      </c>
    </row>
    <row r="129" spans="7:22" x14ac:dyDescent="0.35">
      <c r="G129" t="s">
        <v>785</v>
      </c>
      <c r="H129" t="s">
        <v>1254</v>
      </c>
      <c r="I129" t="str">
        <f t="shared" si="8"/>
        <v>INSTRUMENTLTV_NPE</v>
      </c>
      <c r="K129" t="s">
        <v>2434</v>
      </c>
      <c r="L129" t="s">
        <v>2435</v>
      </c>
      <c r="M129" t="s">
        <v>2397</v>
      </c>
      <c r="N129" t="s">
        <v>765</v>
      </c>
      <c r="O129" t="str">
        <f t="shared" si="10"/>
        <v>INSTR_ENTITYMN_ENTTY_ID</v>
      </c>
      <c r="P129" t="s">
        <v>2397</v>
      </c>
      <c r="R129" t="s">
        <v>785</v>
      </c>
      <c r="S129" t="s">
        <v>1460</v>
      </c>
      <c r="T129" t="str">
        <f t="shared" si="11"/>
        <v>INSTRUMENTELGBLTY_ECB</v>
      </c>
      <c r="U129" t="s">
        <v>2448</v>
      </c>
      <c r="V129" t="s">
        <v>2375</v>
      </c>
    </row>
    <row r="130" spans="7:22" x14ac:dyDescent="0.35">
      <c r="G130" t="s">
        <v>785</v>
      </c>
      <c r="H130" t="s">
        <v>1580</v>
      </c>
      <c r="I130" t="str">
        <f t="shared" si="8"/>
        <v>INSTRUMENTLVRG_FNNC_FLG</v>
      </c>
      <c r="K130" t="s">
        <v>2436</v>
      </c>
      <c r="L130" t="s">
        <v>2401</v>
      </c>
      <c r="M130" t="s">
        <v>2397</v>
      </c>
      <c r="N130" t="s">
        <v>1927</v>
      </c>
      <c r="O130" t="str">
        <f t="shared" si="10"/>
        <v>INSTR_PROTECTIONDT_RFRNC</v>
      </c>
      <c r="P130" t="s">
        <v>2397</v>
      </c>
      <c r="R130" t="s">
        <v>35</v>
      </c>
      <c r="S130" t="s">
        <v>173</v>
      </c>
      <c r="T130" t="str">
        <f t="shared" si="11"/>
        <v>ENTITYEMPLYMNT_STTS</v>
      </c>
      <c r="U130" t="s">
        <v>2448</v>
      </c>
      <c r="V130" t="s">
        <v>2375</v>
      </c>
    </row>
    <row r="131" spans="7:22" x14ac:dyDescent="0.35">
      <c r="G131" t="s">
        <v>785</v>
      </c>
      <c r="H131" t="s">
        <v>1413</v>
      </c>
      <c r="I131" t="str">
        <f t="shared" si="8"/>
        <v>INSTRUMENTMTRTY_LTST_FRBRNC_MSR_C19</v>
      </c>
      <c r="K131" t="s">
        <v>2436</v>
      </c>
      <c r="L131" t="s">
        <v>2402</v>
      </c>
      <c r="M131" t="s">
        <v>2397</v>
      </c>
      <c r="N131" t="s">
        <v>1927</v>
      </c>
      <c r="O131" t="str">
        <f t="shared" si="10"/>
        <v>INSTR_PROTECTIONINSTRMNT_ID</v>
      </c>
      <c r="P131" t="s">
        <v>2397</v>
      </c>
      <c r="R131" t="s">
        <v>35</v>
      </c>
      <c r="S131" t="s">
        <v>169</v>
      </c>
      <c r="T131" t="str">
        <f t="shared" si="11"/>
        <v>ENTITYEMPLYMNT_STTS_INTRNL</v>
      </c>
      <c r="U131" t="s">
        <v>2448</v>
      </c>
      <c r="V131" t="s">
        <v>2375</v>
      </c>
    </row>
    <row r="132" spans="7:22" x14ac:dyDescent="0.35">
      <c r="G132" t="s">
        <v>785</v>
      </c>
      <c r="H132" t="s">
        <v>1376</v>
      </c>
      <c r="I132" t="str">
        <f t="shared" si="8"/>
        <v>INSTRUMENTMTRTY_LTST_MRTR_C19</v>
      </c>
      <c r="K132" t="s">
        <v>2436</v>
      </c>
      <c r="L132" t="s">
        <v>2341</v>
      </c>
      <c r="M132" t="s">
        <v>2397</v>
      </c>
      <c r="N132" t="s">
        <v>1927</v>
      </c>
      <c r="O132" t="str">
        <f t="shared" si="10"/>
        <v>INSTR_PROTECTIONPRTCTN_ID</v>
      </c>
      <c r="P132" t="s">
        <v>2397</v>
      </c>
      <c r="R132" t="s">
        <v>35</v>
      </c>
      <c r="S132" t="s">
        <v>177</v>
      </c>
      <c r="T132" t="str">
        <f t="shared" si="11"/>
        <v>ENTITYENTRPRS_SZ_LE</v>
      </c>
      <c r="U132" t="s">
        <v>2453</v>
      </c>
      <c r="V132" t="s">
        <v>2375</v>
      </c>
    </row>
    <row r="133" spans="7:22" x14ac:dyDescent="0.35">
      <c r="G133" t="s">
        <v>785</v>
      </c>
      <c r="H133" t="s">
        <v>1232</v>
      </c>
      <c r="I133" t="str">
        <f t="shared" ref="I133:I196" si="12">+G133&amp;H133</f>
        <v>INSTRUMENTNMBR_FRBRNC_MSRS</v>
      </c>
      <c r="K133" t="s">
        <v>2436</v>
      </c>
      <c r="L133" t="s">
        <v>2437</v>
      </c>
      <c r="M133" t="s">
        <v>2397</v>
      </c>
      <c r="N133" t="s">
        <v>1927</v>
      </c>
      <c r="O133" t="str">
        <f t="shared" ref="O133:O138" si="13">+N133&amp;UPPER(L133)</f>
        <v>INSTR_PROTECTIONPRTCTN_ALLCTD_VL</v>
      </c>
      <c r="P133" t="s">
        <v>2397</v>
      </c>
      <c r="R133" t="s">
        <v>35</v>
      </c>
      <c r="S133" t="s">
        <v>95</v>
      </c>
      <c r="T133" t="str">
        <f t="shared" ref="T133:T196" si="14">+R133&amp;S133</f>
        <v>ENTITYENTTY_ID</v>
      </c>
      <c r="U133" t="s">
        <v>2453</v>
      </c>
      <c r="V133" t="s">
        <v>2458</v>
      </c>
    </row>
    <row r="134" spans="7:22" x14ac:dyDescent="0.35">
      <c r="G134" t="s">
        <v>785</v>
      </c>
      <c r="H134" t="s">
        <v>825</v>
      </c>
      <c r="I134" t="str">
        <f t="shared" si="12"/>
        <v>INSTRUMENTOBSRVD_AGNT_ID</v>
      </c>
      <c r="K134" t="s">
        <v>2436</v>
      </c>
      <c r="L134" t="s">
        <v>2418</v>
      </c>
      <c r="M134" t="s">
        <v>2397</v>
      </c>
      <c r="N134" t="s">
        <v>1927</v>
      </c>
      <c r="O134" t="str">
        <f t="shared" si="13"/>
        <v>INSTR_PROTECTIONCOD_SOC</v>
      </c>
      <c r="P134" t="s">
        <v>2397</v>
      </c>
      <c r="R134" t="s">
        <v>765</v>
      </c>
      <c r="S134" t="s">
        <v>95</v>
      </c>
      <c r="T134" t="str">
        <f t="shared" si="14"/>
        <v>INSTR_ENTITYENTTY_ID</v>
      </c>
      <c r="U134" t="s">
        <v>2453</v>
      </c>
      <c r="V134" t="s">
        <v>2458</v>
      </c>
    </row>
    <row r="135" spans="7:22" x14ac:dyDescent="0.35">
      <c r="G135" t="s">
        <v>785</v>
      </c>
      <c r="H135" t="s">
        <v>830</v>
      </c>
      <c r="I135" t="str">
        <f t="shared" si="12"/>
        <v>INSTRUMENTOBSRVD_AGNT_NM</v>
      </c>
      <c r="K135" t="s">
        <v>2288</v>
      </c>
      <c r="L135" t="s">
        <v>2334</v>
      </c>
      <c r="M135" t="s">
        <v>2398</v>
      </c>
      <c r="N135" t="str">
        <f t="shared" ref="N135:N138" si="15">+UPPER(MID(K135,FIND("_",K135,1)+1,LEN(K135)))</f>
        <v>PROTECTION</v>
      </c>
      <c r="O135" t="str">
        <f t="shared" si="13"/>
        <v>PROTECTIONFLG_FIN</v>
      </c>
      <c r="P135" t="s">
        <v>2398</v>
      </c>
      <c r="R135" t="s">
        <v>35</v>
      </c>
      <c r="S135" t="s">
        <v>125</v>
      </c>
      <c r="T135" t="str">
        <f t="shared" si="14"/>
        <v>ENTITYENTTY_NM</v>
      </c>
      <c r="U135" t="s">
        <v>2448</v>
      </c>
      <c r="V135" t="s">
        <v>2375</v>
      </c>
    </row>
    <row r="136" spans="7:22" x14ac:dyDescent="0.35">
      <c r="G136" t="s">
        <v>785</v>
      </c>
      <c r="H136" t="s">
        <v>1104</v>
      </c>
      <c r="I136" t="str">
        <f t="shared" si="12"/>
        <v>INSTRUMENTOFF_BLNC_SHT_AMNT_INSTRMNT</v>
      </c>
      <c r="K136" t="s">
        <v>2288</v>
      </c>
      <c r="L136" t="s">
        <v>2335</v>
      </c>
      <c r="M136" t="s">
        <v>2398</v>
      </c>
      <c r="N136" t="str">
        <f t="shared" si="15"/>
        <v>PROTECTION</v>
      </c>
      <c r="O136" t="str">
        <f t="shared" si="13"/>
        <v>PROTECTIONFLG_EXEC</v>
      </c>
      <c r="P136" t="s">
        <v>2398</v>
      </c>
      <c r="R136" t="s">
        <v>35</v>
      </c>
      <c r="S136" t="s">
        <v>321</v>
      </c>
      <c r="T136" t="str">
        <f t="shared" si="14"/>
        <v>ENTITYEQTY</v>
      </c>
      <c r="U136" t="s">
        <v>2450</v>
      </c>
      <c r="V136" t="s">
        <v>2459</v>
      </c>
    </row>
    <row r="137" spans="7:22" x14ac:dyDescent="0.35">
      <c r="G137" t="s">
        <v>785</v>
      </c>
      <c r="H137" t="s">
        <v>1108</v>
      </c>
      <c r="I137" t="str">
        <f t="shared" si="12"/>
        <v>INSTRUMENTOFF_BLNC_SHT_AMNT_INSTRMNT_PRVS</v>
      </c>
      <c r="K137" t="s">
        <v>2288</v>
      </c>
      <c r="L137" t="s">
        <v>2336</v>
      </c>
      <c r="M137" t="s">
        <v>2398</v>
      </c>
      <c r="N137" t="str">
        <f t="shared" si="15"/>
        <v>PROTECTION</v>
      </c>
      <c r="O137" t="str">
        <f t="shared" si="13"/>
        <v>PROTECTIONFLG_COL</v>
      </c>
      <c r="P137" t="s">
        <v>2398</v>
      </c>
      <c r="R137" t="s">
        <v>35</v>
      </c>
      <c r="S137" t="s">
        <v>325</v>
      </c>
      <c r="T137" t="str">
        <f t="shared" si="14"/>
        <v>ENTITYEQTY_PRVS</v>
      </c>
      <c r="U137" t="s">
        <v>2450</v>
      </c>
      <c r="V137" t="s">
        <v>2459</v>
      </c>
    </row>
    <row r="138" spans="7:22" x14ac:dyDescent="0.35">
      <c r="G138" t="s">
        <v>785</v>
      </c>
      <c r="H138" t="s">
        <v>1112</v>
      </c>
      <c r="I138" t="str">
        <f t="shared" si="12"/>
        <v>INSTRUMENTOTSTNDNG_NMNL_AMNT_INSTRMNT</v>
      </c>
      <c r="K138" t="s">
        <v>2288</v>
      </c>
      <c r="L138" t="s">
        <v>2337</v>
      </c>
      <c r="M138" t="s">
        <v>2398</v>
      </c>
      <c r="N138" t="str">
        <f t="shared" si="15"/>
        <v>PROTECTION</v>
      </c>
      <c r="O138" t="str">
        <f t="shared" si="13"/>
        <v>PROTECTIONFLG_PRO</v>
      </c>
      <c r="P138" t="s">
        <v>2398</v>
      </c>
      <c r="R138" t="s">
        <v>785</v>
      </c>
      <c r="S138" t="s">
        <v>1776</v>
      </c>
      <c r="T138" t="str">
        <f t="shared" si="14"/>
        <v>INSTRUMENTEXPCTD_LSS_CRR</v>
      </c>
      <c r="U138" t="s">
        <v>2456</v>
      </c>
      <c r="V138" t="s">
        <v>2375</v>
      </c>
    </row>
    <row r="139" spans="7:22" x14ac:dyDescent="0.35">
      <c r="G139" t="s">
        <v>785</v>
      </c>
      <c r="H139" t="s">
        <v>1116</v>
      </c>
      <c r="I139" t="str">
        <f t="shared" si="12"/>
        <v>INSTRUMENTOTSTNDNG_NMNL_AMNT_INSTRMNT_PRVS</v>
      </c>
      <c r="R139" t="s">
        <v>785</v>
      </c>
      <c r="S139" t="s">
        <v>902</v>
      </c>
      <c r="T139" t="str">
        <f t="shared" si="14"/>
        <v>INSTRUMENTEXPSR_IN_SCP</v>
      </c>
      <c r="U139" t="s">
        <v>2448</v>
      </c>
      <c r="V139" t="s">
        <v>2375</v>
      </c>
    </row>
    <row r="140" spans="7:22" x14ac:dyDescent="0.35">
      <c r="G140" t="s">
        <v>785</v>
      </c>
      <c r="H140" t="s">
        <v>1432</v>
      </c>
      <c r="I140" t="str">
        <f t="shared" si="12"/>
        <v>INSTRUMENTPBLC_GRNT_SCHM_C19_NM</v>
      </c>
      <c r="R140" t="s">
        <v>785</v>
      </c>
      <c r="S140" t="s">
        <v>915</v>
      </c>
      <c r="T140" t="str">
        <f t="shared" si="14"/>
        <v>INSTRUMENTFRBRNC_STTS_INSTRMNT</v>
      </c>
      <c r="U140" t="s">
        <v>2450</v>
      </c>
      <c r="V140" t="s">
        <v>2458</v>
      </c>
    </row>
    <row r="141" spans="7:22" x14ac:dyDescent="0.35">
      <c r="G141" t="s">
        <v>785</v>
      </c>
      <c r="H141" t="s">
        <v>1258</v>
      </c>
      <c r="I141" t="str">
        <f t="shared" si="12"/>
        <v>INSTRUMENTPD_CRR_INCPTN</v>
      </c>
      <c r="R141" t="s">
        <v>35</v>
      </c>
      <c r="S141" t="s">
        <v>187</v>
      </c>
      <c r="T141" t="str">
        <f t="shared" si="14"/>
        <v>ENTITYEXTRNL_RTNG_PRVS</v>
      </c>
      <c r="U141" t="s">
        <v>2450</v>
      </c>
      <c r="V141" t="s">
        <v>2458</v>
      </c>
    </row>
    <row r="142" spans="7:22" x14ac:dyDescent="0.35">
      <c r="G142" t="s">
        <v>785</v>
      </c>
      <c r="H142" t="s">
        <v>411</v>
      </c>
      <c r="I142" t="str">
        <f t="shared" si="12"/>
        <v>INSTRUMENTPD_CRR_RD</v>
      </c>
      <c r="R142" t="s">
        <v>35</v>
      </c>
      <c r="S142" t="s">
        <v>129</v>
      </c>
      <c r="T142" t="str">
        <f t="shared" si="14"/>
        <v>ENTITYEXTRNL_RTNG_NM</v>
      </c>
      <c r="U142" t="s">
        <v>2450</v>
      </c>
      <c r="V142" t="s">
        <v>2458</v>
      </c>
    </row>
    <row r="143" spans="7:22" x14ac:dyDescent="0.35">
      <c r="G143" t="s">
        <v>785</v>
      </c>
      <c r="H143" t="s">
        <v>445</v>
      </c>
      <c r="I143" t="str">
        <f t="shared" si="12"/>
        <v>INSTRUMENTPD_CRR_RD_T1</v>
      </c>
      <c r="R143" t="s">
        <v>785</v>
      </c>
      <c r="S143" t="s">
        <v>907</v>
      </c>
      <c r="T143" t="str">
        <f t="shared" si="14"/>
        <v>INSTRUMENTFLD_SYNDCTN</v>
      </c>
      <c r="U143" t="s">
        <v>2457</v>
      </c>
      <c r="V143" t="s">
        <v>2458</v>
      </c>
    </row>
    <row r="144" spans="7:22" x14ac:dyDescent="0.35">
      <c r="G144" t="s">
        <v>785</v>
      </c>
      <c r="H144" t="s">
        <v>1267</v>
      </c>
      <c r="I144" t="str">
        <f t="shared" si="12"/>
        <v>INSTRUMENTPD_IFRS9_12M_INCPTN</v>
      </c>
      <c r="R144" t="s">
        <v>35</v>
      </c>
      <c r="S144" t="s">
        <v>192</v>
      </c>
      <c r="T144" t="str">
        <f t="shared" si="14"/>
        <v>ENTITYFLG_BNKRPTCY_IN_GRP</v>
      </c>
      <c r="U144" t="s">
        <v>2448</v>
      </c>
      <c r="V144" t="s">
        <v>2375</v>
      </c>
    </row>
    <row r="145" spans="7:22" x14ac:dyDescent="0.35">
      <c r="G145" t="s">
        <v>785</v>
      </c>
      <c r="H145" t="s">
        <v>417</v>
      </c>
      <c r="I145" t="str">
        <f t="shared" si="12"/>
        <v>INSTRUMENTPD_IFRS9_12M_RD</v>
      </c>
      <c r="R145" t="s">
        <v>35</v>
      </c>
      <c r="S145" t="s">
        <v>197</v>
      </c>
      <c r="T145" t="str">
        <f t="shared" si="14"/>
        <v>ENTITYFLG_HGH_CDS</v>
      </c>
      <c r="U145" t="s">
        <v>2448</v>
      </c>
      <c r="V145" t="s">
        <v>2375</v>
      </c>
    </row>
    <row r="146" spans="7:22" x14ac:dyDescent="0.35">
      <c r="G146" t="s">
        <v>785</v>
      </c>
      <c r="H146" t="s">
        <v>422</v>
      </c>
      <c r="I146" t="str">
        <f t="shared" si="12"/>
        <v>INSTRUMENTPD_IFRS9_12M_RD_T1</v>
      </c>
      <c r="R146" t="s">
        <v>35</v>
      </c>
      <c r="S146" t="s">
        <v>201</v>
      </c>
      <c r="T146" t="str">
        <f t="shared" si="14"/>
        <v>ENTITYFLG_ISDA_CRDT_EVNT</v>
      </c>
      <c r="U146" t="s">
        <v>2448</v>
      </c>
      <c r="V146" t="s">
        <v>2375</v>
      </c>
    </row>
    <row r="147" spans="7:22" x14ac:dyDescent="0.35">
      <c r="G147" t="s">
        <v>785</v>
      </c>
      <c r="H147" t="s">
        <v>1277</v>
      </c>
      <c r="I147" t="str">
        <f t="shared" si="12"/>
        <v>INSTRUMENTPD_IFRS9_LFTM_INCPTN</v>
      </c>
      <c r="R147" t="s">
        <v>785</v>
      </c>
      <c r="S147" t="s">
        <v>911</v>
      </c>
      <c r="T147" t="str">
        <f t="shared" si="14"/>
        <v>INSTRUMENTFLG_LBO</v>
      </c>
      <c r="U147" t="s">
        <v>2448</v>
      </c>
      <c r="V147" t="s">
        <v>2459</v>
      </c>
    </row>
    <row r="148" spans="7:22" x14ac:dyDescent="0.35">
      <c r="G148" t="s">
        <v>785</v>
      </c>
      <c r="H148" t="s">
        <v>1282</v>
      </c>
      <c r="I148" t="str">
        <f t="shared" si="12"/>
        <v>INSTRUMENTPD_IFRS9_RMNNG_LFTM_INCPTN</v>
      </c>
      <c r="R148" t="s">
        <v>35</v>
      </c>
      <c r="S148" t="s">
        <v>205</v>
      </c>
      <c r="T148" t="str">
        <f t="shared" si="14"/>
        <v>ENTITYFLG_NN_ACCRL</v>
      </c>
      <c r="U148" t="s">
        <v>2448</v>
      </c>
      <c r="V148" t="s">
        <v>2375</v>
      </c>
    </row>
    <row r="149" spans="7:22" x14ac:dyDescent="0.35">
      <c r="G149" t="s">
        <v>785</v>
      </c>
      <c r="H149" t="s">
        <v>1287</v>
      </c>
      <c r="I149" t="str">
        <f t="shared" si="12"/>
        <v>INSTRUMENTPD_IFRS9_RMNNG_LFTM_RD</v>
      </c>
      <c r="R149" t="s">
        <v>35</v>
      </c>
      <c r="S149" t="s">
        <v>209</v>
      </c>
      <c r="T149" t="str">
        <f t="shared" si="14"/>
        <v>ENTITYFLG_RQST_BNKRPTCY</v>
      </c>
      <c r="U149" t="s">
        <v>2448</v>
      </c>
      <c r="V149" t="s">
        <v>2375</v>
      </c>
    </row>
    <row r="150" spans="7:22" x14ac:dyDescent="0.35">
      <c r="G150" t="s">
        <v>785</v>
      </c>
      <c r="H150" t="s">
        <v>1437</v>
      </c>
      <c r="I150" t="str">
        <f t="shared" si="12"/>
        <v>INSTRUMENTPMNT_PBLC_GRNT_SCHM_C19</v>
      </c>
      <c r="R150" t="s">
        <v>35</v>
      </c>
      <c r="S150" t="s">
        <v>213</v>
      </c>
      <c r="T150" t="str">
        <f t="shared" si="14"/>
        <v>ENTITYFLG_RQST_DSTRSSD_RSTRCTRNG</v>
      </c>
      <c r="U150" t="s">
        <v>2451</v>
      </c>
      <c r="V150" t="s">
        <v>2375</v>
      </c>
    </row>
    <row r="151" spans="7:22" x14ac:dyDescent="0.35">
      <c r="G151" t="s">
        <v>785</v>
      </c>
      <c r="H151" t="s">
        <v>950</v>
      </c>
      <c r="I151" t="str">
        <f t="shared" si="12"/>
        <v>INSTRUMENTPOCI</v>
      </c>
      <c r="R151" t="s">
        <v>35</v>
      </c>
      <c r="S151" t="s">
        <v>217</v>
      </c>
      <c r="T151" t="str">
        <f t="shared" si="14"/>
        <v>ENTITYFLG_RQST_EMRGNCY_FNDNG</v>
      </c>
      <c r="U151" t="s">
        <v>2448</v>
      </c>
      <c r="V151" t="s">
        <v>2375</v>
      </c>
    </row>
    <row r="152" spans="7:22" x14ac:dyDescent="0.35">
      <c r="G152" t="s">
        <v>785</v>
      </c>
      <c r="H152" t="s">
        <v>1535</v>
      </c>
      <c r="I152" t="str">
        <f t="shared" si="12"/>
        <v>INSTRUMENTPRCH_UNDR_RSL_AGR</v>
      </c>
      <c r="R152" t="s">
        <v>35</v>
      </c>
      <c r="S152" t="s">
        <v>221</v>
      </c>
      <c r="T152" t="str">
        <f t="shared" si="14"/>
        <v>ENTITYFLG_SLL_WTH_LSS</v>
      </c>
      <c r="U152" t="s">
        <v>2448</v>
      </c>
      <c r="V152" t="s">
        <v>2375</v>
      </c>
    </row>
    <row r="153" spans="7:22" x14ac:dyDescent="0.35">
      <c r="G153" t="s">
        <v>785</v>
      </c>
      <c r="H153" t="s">
        <v>834</v>
      </c>
      <c r="I153" t="str">
        <f t="shared" si="12"/>
        <v>INSTRUMENTPRDCT</v>
      </c>
      <c r="R153" t="s">
        <v>35</v>
      </c>
      <c r="S153" t="s">
        <v>594</v>
      </c>
      <c r="T153" t="str">
        <f t="shared" si="14"/>
        <v>ENTITYFR_CSH_FLW</v>
      </c>
      <c r="U153" t="s">
        <v>2451</v>
      </c>
      <c r="V153" t="s">
        <v>2458</v>
      </c>
    </row>
    <row r="154" spans="7:22" x14ac:dyDescent="0.35">
      <c r="G154" t="s">
        <v>785</v>
      </c>
      <c r="H154" t="s">
        <v>1540</v>
      </c>
      <c r="I154" t="str">
        <f t="shared" si="12"/>
        <v>INSTRUMENTPRDNTL_PRTFL</v>
      </c>
      <c r="R154" t="s">
        <v>35</v>
      </c>
      <c r="S154" t="s">
        <v>598</v>
      </c>
      <c r="T154" t="str">
        <f t="shared" si="14"/>
        <v>ENTITYFR_CSH_FLW_T1</v>
      </c>
      <c r="U154" t="s">
        <v>2451</v>
      </c>
      <c r="V154" t="s">
        <v>2458</v>
      </c>
    </row>
    <row r="155" spans="7:22" x14ac:dyDescent="0.35">
      <c r="G155" t="s">
        <v>785</v>
      </c>
      <c r="H155" t="s">
        <v>955</v>
      </c>
      <c r="I155" t="str">
        <f t="shared" si="12"/>
        <v>INSTRUMENTPRFRMNG_STTS</v>
      </c>
      <c r="R155" t="s">
        <v>35</v>
      </c>
      <c r="S155" t="s">
        <v>602</v>
      </c>
      <c r="T155" t="str">
        <f t="shared" si="14"/>
        <v>ENTITYFR_CSH_FLW_T2</v>
      </c>
      <c r="U155" t="s">
        <v>2451</v>
      </c>
      <c r="V155" t="s">
        <v>2458</v>
      </c>
    </row>
    <row r="156" spans="7:22" x14ac:dyDescent="0.35">
      <c r="G156" t="s">
        <v>785</v>
      </c>
      <c r="H156" t="s">
        <v>958</v>
      </c>
      <c r="I156" t="str">
        <f t="shared" si="12"/>
        <v>INSTRUMENTPRFRMNG_STTS_PRVS</v>
      </c>
      <c r="R156" t="s">
        <v>35</v>
      </c>
      <c r="S156" t="s">
        <v>606</v>
      </c>
      <c r="T156" t="str">
        <f t="shared" si="14"/>
        <v>ENTITYFR_CSH_FLW_T3</v>
      </c>
      <c r="U156" t="s">
        <v>2451</v>
      </c>
      <c r="V156" t="s">
        <v>2458</v>
      </c>
    </row>
    <row r="157" spans="7:22" x14ac:dyDescent="0.35">
      <c r="G157" t="s">
        <v>785</v>
      </c>
      <c r="H157" t="s">
        <v>963</v>
      </c>
      <c r="I157" t="str">
        <f t="shared" si="12"/>
        <v>INSTRUMENTPRJCT_FNNC_LN</v>
      </c>
      <c r="R157" t="s">
        <v>785</v>
      </c>
      <c r="S157" t="s">
        <v>1398</v>
      </c>
      <c r="T157" t="str">
        <f t="shared" si="14"/>
        <v>INSTRUMENTFRBRNC_STTS_C19</v>
      </c>
      <c r="U157" t="s">
        <v>2448</v>
      </c>
      <c r="V157" t="s">
        <v>2375</v>
      </c>
    </row>
    <row r="158" spans="7:22" x14ac:dyDescent="0.35">
      <c r="G158" t="s">
        <v>785</v>
      </c>
      <c r="H158" t="s">
        <v>1544</v>
      </c>
      <c r="I158" t="str">
        <f t="shared" si="12"/>
        <v>INSTRUMENTPRMRY_ASST_CLSSF</v>
      </c>
      <c r="R158" t="s">
        <v>35</v>
      </c>
      <c r="S158" t="s">
        <v>182</v>
      </c>
      <c r="T158" t="str">
        <f t="shared" si="14"/>
        <v>ENTITYEXTRNL_RTNG</v>
      </c>
      <c r="U158" t="s">
        <v>2450</v>
      </c>
      <c r="V158" t="s">
        <v>2458</v>
      </c>
    </row>
    <row r="159" spans="7:22" x14ac:dyDescent="0.35">
      <c r="G159" t="s">
        <v>785</v>
      </c>
      <c r="H159" t="s">
        <v>967</v>
      </c>
      <c r="I159" t="str">
        <f t="shared" si="12"/>
        <v>INSTRUMENTPRPS</v>
      </c>
      <c r="R159" t="s">
        <v>35</v>
      </c>
      <c r="S159" t="s">
        <v>100</v>
      </c>
      <c r="T159" t="str">
        <f t="shared" si="14"/>
        <v>ENTITYGCC_PRNT_ID</v>
      </c>
      <c r="U159" t="s">
        <v>2448</v>
      </c>
      <c r="V159" t="s">
        <v>2375</v>
      </c>
    </row>
    <row r="160" spans="7:22" x14ac:dyDescent="0.35">
      <c r="G160" t="s">
        <v>785</v>
      </c>
      <c r="H160" t="s">
        <v>1548</v>
      </c>
      <c r="I160" t="str">
        <f t="shared" si="12"/>
        <v>INSTRUMENTPRT_LCR_BFFR</v>
      </c>
      <c r="R160" t="s">
        <v>35</v>
      </c>
      <c r="S160" t="s">
        <v>105</v>
      </c>
      <c r="T160" t="str">
        <f t="shared" si="14"/>
        <v>ENTITYGCC_PRNT_NM</v>
      </c>
      <c r="U160" t="s">
        <v>2448</v>
      </c>
      <c r="V160" t="s">
        <v>2375</v>
      </c>
    </row>
    <row r="161" spans="7:22" x14ac:dyDescent="0.35">
      <c r="G161" t="s">
        <v>785</v>
      </c>
      <c r="H161" t="s">
        <v>1120</v>
      </c>
      <c r="I161" t="str">
        <f t="shared" si="12"/>
        <v>INSTRUMENTPRVSNS_OFF_BLNC_SHT</v>
      </c>
      <c r="R161" t="s">
        <v>35</v>
      </c>
      <c r="S161" t="s">
        <v>333</v>
      </c>
      <c r="T161" t="str">
        <f t="shared" si="14"/>
        <v>ENTITYGDWILL</v>
      </c>
      <c r="U161" t="s">
        <v>2448</v>
      </c>
      <c r="V161" t="s">
        <v>2375</v>
      </c>
    </row>
    <row r="162" spans="7:22" x14ac:dyDescent="0.35">
      <c r="G162" t="s">
        <v>785</v>
      </c>
      <c r="H162" t="s">
        <v>1124</v>
      </c>
      <c r="I162" t="str">
        <f t="shared" si="12"/>
        <v>INSTRUMENTPYMNT_FRQNCY</v>
      </c>
      <c r="R162" t="s">
        <v>35</v>
      </c>
      <c r="S162" t="s">
        <v>337</v>
      </c>
      <c r="T162" t="str">
        <f t="shared" si="14"/>
        <v>ENTITYGDWILL_PRVS</v>
      </c>
      <c r="U162" t="s">
        <v>2448</v>
      </c>
      <c r="V162" t="s">
        <v>2375</v>
      </c>
    </row>
    <row r="163" spans="7:22" x14ac:dyDescent="0.35">
      <c r="G163" t="s">
        <v>785</v>
      </c>
      <c r="H163" t="s">
        <v>971</v>
      </c>
      <c r="I163" t="str">
        <f t="shared" si="12"/>
        <v>INSTRUMENTPYMNT_INTRST_ONLY</v>
      </c>
      <c r="R163" t="s">
        <v>785</v>
      </c>
      <c r="S163" t="s">
        <v>1387</v>
      </c>
      <c r="T163" t="str">
        <f t="shared" si="14"/>
        <v>INSTRUMENTGRC_PRD_CPTL_INTRST_C19</v>
      </c>
      <c r="U163" t="s">
        <v>2448</v>
      </c>
      <c r="V163" t="s">
        <v>2375</v>
      </c>
    </row>
    <row r="164" spans="7:22" x14ac:dyDescent="0.35">
      <c r="G164" t="s">
        <v>785</v>
      </c>
      <c r="H164" t="s">
        <v>975</v>
      </c>
      <c r="I164" t="str">
        <f t="shared" si="12"/>
        <v>INSTRUMENTRCRS</v>
      </c>
      <c r="R164" t="s">
        <v>785</v>
      </c>
      <c r="S164" t="s">
        <v>1464</v>
      </c>
      <c r="T164" t="str">
        <f t="shared" si="14"/>
        <v>INSTRUMENTGRNTR_ID</v>
      </c>
      <c r="U164" t="s">
        <v>2448</v>
      </c>
      <c r="V164" t="s">
        <v>2375</v>
      </c>
    </row>
    <row r="165" spans="7:22" x14ac:dyDescent="0.35">
      <c r="G165" t="s">
        <v>785</v>
      </c>
      <c r="H165" t="s">
        <v>1319</v>
      </c>
      <c r="I165" t="str">
        <f t="shared" si="12"/>
        <v>INSTRUMENTRCVD_AMRTSTN_12M</v>
      </c>
      <c r="R165" t="s">
        <v>785</v>
      </c>
      <c r="S165" t="s">
        <v>1470</v>
      </c>
      <c r="T165" t="str">
        <f t="shared" si="14"/>
        <v>INSTRUMENTGRNTR_ID_TYP</v>
      </c>
      <c r="U165" t="s">
        <v>2448</v>
      </c>
      <c r="V165" t="s">
        <v>2375</v>
      </c>
    </row>
    <row r="166" spans="7:22" x14ac:dyDescent="0.35">
      <c r="G166" t="s">
        <v>785</v>
      </c>
      <c r="H166" t="s">
        <v>1323</v>
      </c>
      <c r="I166" t="str">
        <f t="shared" si="12"/>
        <v>INSTRUMENTRCVD_AMRTSTN_24M</v>
      </c>
      <c r="R166" t="s">
        <v>35</v>
      </c>
      <c r="S166" t="s">
        <v>272</v>
      </c>
      <c r="T166" t="str">
        <f t="shared" si="14"/>
        <v>ENTITYGRP_EBITDA</v>
      </c>
      <c r="U166" t="s">
        <v>2448</v>
      </c>
      <c r="V166" t="s">
        <v>2375</v>
      </c>
    </row>
    <row r="167" spans="7:22" x14ac:dyDescent="0.35">
      <c r="G167" t="s">
        <v>785</v>
      </c>
      <c r="H167" t="s">
        <v>1327</v>
      </c>
      <c r="I167" t="str">
        <f t="shared" si="12"/>
        <v>INSTRUMENTRCVD_INTRST_12M</v>
      </c>
      <c r="R167" t="s">
        <v>35</v>
      </c>
      <c r="S167" t="s">
        <v>278</v>
      </c>
      <c r="T167" t="str">
        <f t="shared" si="14"/>
        <v>ENTITYGRP_EQTY</v>
      </c>
      <c r="U167" t="s">
        <v>2448</v>
      </c>
      <c r="V167" t="s">
        <v>2375</v>
      </c>
    </row>
    <row r="168" spans="7:22" x14ac:dyDescent="0.35">
      <c r="G168" t="s">
        <v>785</v>
      </c>
      <c r="H168" t="s">
        <v>1331</v>
      </c>
      <c r="I168" t="str">
        <f t="shared" si="12"/>
        <v>INSTRUMENTRCVD_INTRST_24M</v>
      </c>
      <c r="R168" t="s">
        <v>35</v>
      </c>
      <c r="S168" t="s">
        <v>282</v>
      </c>
      <c r="T168" t="str">
        <f t="shared" si="14"/>
        <v>ENTITYGRP_NT_DBT</v>
      </c>
      <c r="U168" t="s">
        <v>2448</v>
      </c>
      <c r="V168" t="s">
        <v>2375</v>
      </c>
    </row>
    <row r="169" spans="7:22" x14ac:dyDescent="0.35">
      <c r="G169" t="s">
        <v>785</v>
      </c>
      <c r="H169" t="s">
        <v>979</v>
      </c>
      <c r="I169" t="str">
        <f t="shared" si="12"/>
        <v>INSTRUMENTRFNNC_PRPS</v>
      </c>
      <c r="R169" t="s">
        <v>35</v>
      </c>
      <c r="S169" t="s">
        <v>329</v>
      </c>
      <c r="T169" t="str">
        <f t="shared" si="14"/>
        <v>ENTITYGRP_TTL_DBT</v>
      </c>
      <c r="U169" t="s">
        <v>2450</v>
      </c>
      <c r="V169" t="s">
        <v>2375</v>
      </c>
    </row>
    <row r="170" spans="7:22" x14ac:dyDescent="0.35">
      <c r="G170" t="s">
        <v>785</v>
      </c>
      <c r="H170" t="s">
        <v>1807</v>
      </c>
      <c r="I170" t="str">
        <f t="shared" si="12"/>
        <v>INSTRUMENTRFRNC_RT</v>
      </c>
      <c r="R170" t="s">
        <v>785</v>
      </c>
      <c r="S170" t="s">
        <v>1022</v>
      </c>
      <c r="T170" t="str">
        <f t="shared" si="14"/>
        <v>INSTRUMENTGRSS_CRRYNG_AMNT_INSTRMNT</v>
      </c>
      <c r="U170" t="s">
        <v>2448</v>
      </c>
      <c r="V170" t="s">
        <v>2375</v>
      </c>
    </row>
    <row r="171" spans="7:22" x14ac:dyDescent="0.35">
      <c r="G171" t="s">
        <v>785</v>
      </c>
      <c r="H171" t="s">
        <v>800</v>
      </c>
      <c r="I171" t="str">
        <f t="shared" si="12"/>
        <v>INSTRUMENTRRE_FNRP18</v>
      </c>
      <c r="R171" t="s">
        <v>785</v>
      </c>
      <c r="S171" t="s">
        <v>1477</v>
      </c>
      <c r="T171" t="str">
        <f t="shared" si="14"/>
        <v>INSTRUMENTHEDGE_ID</v>
      </c>
      <c r="U171" t="s">
        <v>2448</v>
      </c>
      <c r="V171" t="s">
        <v>2375</v>
      </c>
    </row>
    <row r="172" spans="7:22" x14ac:dyDescent="0.35">
      <c r="G172" t="s">
        <v>785</v>
      </c>
      <c r="H172" t="s">
        <v>252</v>
      </c>
      <c r="I172" t="str">
        <f t="shared" si="12"/>
        <v>INSTRUMENTRTNG_MTHD</v>
      </c>
      <c r="R172" t="s">
        <v>1952</v>
      </c>
      <c r="S172" t="s">
        <v>1992</v>
      </c>
      <c r="T172" t="str">
        <f t="shared" si="14"/>
        <v>PROTECTIONHRCT_MV</v>
      </c>
      <c r="U172" t="s">
        <v>2448</v>
      </c>
      <c r="V172" t="s">
        <v>2375</v>
      </c>
    </row>
    <row r="173" spans="7:22" x14ac:dyDescent="0.35">
      <c r="G173" t="s">
        <v>785</v>
      </c>
      <c r="H173" t="s">
        <v>257</v>
      </c>
      <c r="I173" t="str">
        <f t="shared" si="12"/>
        <v>INSTRUMENTRTNG_SCL</v>
      </c>
      <c r="R173" t="s">
        <v>785</v>
      </c>
      <c r="S173" t="s">
        <v>1772</v>
      </c>
      <c r="T173" t="str">
        <f t="shared" si="14"/>
        <v>INSTRUMENTIDCMB</v>
      </c>
      <c r="U173" t="s">
        <v>2456</v>
      </c>
      <c r="V173" t="s">
        <v>2458</v>
      </c>
    </row>
    <row r="174" spans="7:22" x14ac:dyDescent="0.35">
      <c r="G174" t="s">
        <v>785</v>
      </c>
      <c r="H174" t="s">
        <v>1128</v>
      </c>
      <c r="I174" t="str">
        <f t="shared" si="12"/>
        <v>INSTRUMENTRTNTN_SHR</v>
      </c>
      <c r="R174" t="s">
        <v>35</v>
      </c>
      <c r="S174" t="s">
        <v>317</v>
      </c>
      <c r="T174" t="str">
        <f t="shared" si="14"/>
        <v>ENTITYEBITDA_PRVS</v>
      </c>
      <c r="U174" t="s">
        <v>2450</v>
      </c>
      <c r="V174" t="s">
        <v>2459</v>
      </c>
    </row>
    <row r="175" spans="7:22" x14ac:dyDescent="0.35">
      <c r="G175" t="s">
        <v>785</v>
      </c>
      <c r="H175" t="s">
        <v>1132</v>
      </c>
      <c r="I175" t="str">
        <f t="shared" si="12"/>
        <v>INSTRUMENTRWA</v>
      </c>
      <c r="R175" t="s">
        <v>785</v>
      </c>
      <c r="S175" t="s">
        <v>1089</v>
      </c>
      <c r="T175" t="str">
        <f t="shared" si="14"/>
        <v>INSTRUMENTIFRS9_CCF</v>
      </c>
      <c r="U175" t="s">
        <v>2448</v>
      </c>
      <c r="V175" t="s">
        <v>2375</v>
      </c>
    </row>
    <row r="176" spans="7:22" x14ac:dyDescent="0.35">
      <c r="G176" t="s">
        <v>785</v>
      </c>
      <c r="H176" t="s">
        <v>1136</v>
      </c>
      <c r="I176" t="str">
        <f t="shared" si="12"/>
        <v>INSTRUMENTRWA_MTHD</v>
      </c>
      <c r="R176" t="s">
        <v>785</v>
      </c>
      <c r="S176" t="s">
        <v>1094</v>
      </c>
      <c r="T176" t="str">
        <f t="shared" si="14"/>
        <v>INSTRUMENTIFRS9_EAD</v>
      </c>
      <c r="U176" t="s">
        <v>2453</v>
      </c>
      <c r="V176" t="s">
        <v>2375</v>
      </c>
    </row>
    <row r="177" spans="7:22" x14ac:dyDescent="0.35">
      <c r="G177" t="s">
        <v>785</v>
      </c>
      <c r="H177" t="s">
        <v>1428</v>
      </c>
      <c r="I177" t="str">
        <f t="shared" si="12"/>
        <v>INSTRUMENTSBJCT_PBLC_GRNT_SCHM_C19</v>
      </c>
      <c r="R177" t="s">
        <v>785</v>
      </c>
      <c r="S177" t="s">
        <v>1237</v>
      </c>
      <c r="T177" t="str">
        <f t="shared" si="14"/>
        <v>INSTRUMENTIFRS9_LGD</v>
      </c>
      <c r="U177" t="s">
        <v>2448</v>
      </c>
      <c r="V177" t="s">
        <v>2375</v>
      </c>
    </row>
    <row r="178" spans="7:22" x14ac:dyDescent="0.35">
      <c r="G178" t="s">
        <v>785</v>
      </c>
      <c r="H178" t="s">
        <v>1296</v>
      </c>
      <c r="I178" t="str">
        <f t="shared" si="12"/>
        <v>INSTRUMENTSICR_ASSSSMNT_MTHD</v>
      </c>
      <c r="R178" t="s">
        <v>785</v>
      </c>
      <c r="S178" t="s">
        <v>1224</v>
      </c>
      <c r="T178" t="str">
        <f t="shared" si="14"/>
        <v>INSTRUMENTIMPRMNT_ASSSSMNT_MTHD</v>
      </c>
      <c r="U178" t="s">
        <v>2448</v>
      </c>
      <c r="V178" t="s">
        <v>2375</v>
      </c>
    </row>
    <row r="179" spans="7:22" x14ac:dyDescent="0.35">
      <c r="G179" t="s">
        <v>785</v>
      </c>
      <c r="H179" t="s">
        <v>796</v>
      </c>
      <c r="I179" t="str">
        <f t="shared" si="12"/>
        <v>INSTRUMENTSME_FNRP18</v>
      </c>
      <c r="R179" t="s">
        <v>785</v>
      </c>
      <c r="S179" t="s">
        <v>1228</v>
      </c>
      <c r="T179" t="str">
        <f t="shared" si="14"/>
        <v>INSTRUMENTIMPRMNT_CLCLTN_MTHD</v>
      </c>
      <c r="U179" t="s">
        <v>2453</v>
      </c>
      <c r="V179" t="s">
        <v>2375</v>
      </c>
    </row>
    <row r="180" spans="7:22" x14ac:dyDescent="0.35">
      <c r="G180" t="s">
        <v>785</v>
      </c>
      <c r="H180" t="s">
        <v>984</v>
      </c>
      <c r="I180" t="str">
        <f t="shared" si="12"/>
        <v>INSTRUMENTSPCLTV_LNDNG</v>
      </c>
      <c r="R180" t="s">
        <v>785</v>
      </c>
      <c r="S180" t="s">
        <v>919</v>
      </c>
      <c r="T180" t="str">
        <f t="shared" si="14"/>
        <v>INSTRUMENTIMPRMNT_STTS</v>
      </c>
      <c r="U180" t="s">
        <v>2456</v>
      </c>
      <c r="V180" t="s">
        <v>2375</v>
      </c>
    </row>
    <row r="181" spans="7:22" x14ac:dyDescent="0.35">
      <c r="G181" t="s">
        <v>785</v>
      </c>
      <c r="H181" t="s">
        <v>1141</v>
      </c>
      <c r="I181" t="str">
        <f t="shared" si="12"/>
        <v>INSTRUMENTSPNSR_NM</v>
      </c>
      <c r="R181" t="s">
        <v>785</v>
      </c>
      <c r="S181" t="s">
        <v>923</v>
      </c>
      <c r="T181" t="str">
        <f t="shared" si="14"/>
        <v>INSTRUMENTIMPRMNT_STTS_PRVS</v>
      </c>
      <c r="U181" t="s">
        <v>2456</v>
      </c>
      <c r="V181" t="s">
        <v>2375</v>
      </c>
    </row>
    <row r="182" spans="7:22" x14ac:dyDescent="0.35">
      <c r="G182" t="s">
        <v>785</v>
      </c>
      <c r="H182" t="s">
        <v>1556</v>
      </c>
      <c r="I182" t="str">
        <f t="shared" si="12"/>
        <v>INSTRUMENTSPRD</v>
      </c>
      <c r="R182" t="s">
        <v>35</v>
      </c>
      <c r="S182" t="s">
        <v>226</v>
      </c>
      <c r="T182" t="str">
        <f t="shared" si="14"/>
        <v>ENTITYINCM_SC</v>
      </c>
      <c r="U182" t="s">
        <v>2451</v>
      </c>
      <c r="V182" t="s">
        <v>2375</v>
      </c>
    </row>
    <row r="183" spans="7:22" x14ac:dyDescent="0.35">
      <c r="G183" t="s">
        <v>785</v>
      </c>
      <c r="H183" t="s">
        <v>1561</v>
      </c>
      <c r="I183" t="str">
        <f t="shared" si="12"/>
        <v>INSTRUMENTSRCS_ENCMBRNC</v>
      </c>
      <c r="R183" t="s">
        <v>35</v>
      </c>
      <c r="S183" t="s">
        <v>313</v>
      </c>
      <c r="T183" t="str">
        <f t="shared" si="14"/>
        <v>ENTITYEBITDA</v>
      </c>
      <c r="U183" t="s">
        <v>2450</v>
      </c>
      <c r="V183" t="s">
        <v>2459</v>
      </c>
    </row>
    <row r="184" spans="7:22" x14ac:dyDescent="0.35">
      <c r="G184" t="s">
        <v>785</v>
      </c>
      <c r="H184" t="s">
        <v>989</v>
      </c>
      <c r="I184" t="str">
        <f t="shared" si="12"/>
        <v>INSTRUMENTSTTS_UNDRWRTTN_TRNSCTN</v>
      </c>
      <c r="R184" t="s">
        <v>785</v>
      </c>
      <c r="S184" t="s">
        <v>1481</v>
      </c>
      <c r="T184" t="str">
        <f t="shared" si="14"/>
        <v>INSTRUMENTINSTR_SNRTY_CLSS</v>
      </c>
      <c r="U184" t="s">
        <v>2448</v>
      </c>
      <c r="V184" t="s">
        <v>2375</v>
      </c>
    </row>
    <row r="185" spans="7:22" x14ac:dyDescent="0.35">
      <c r="G185" t="s">
        <v>785</v>
      </c>
      <c r="H185" t="s">
        <v>788</v>
      </c>
      <c r="I185" t="str">
        <f t="shared" si="12"/>
        <v>INSTRUMENTSUBPORTFOLIO_ID</v>
      </c>
      <c r="R185" t="s">
        <v>785</v>
      </c>
      <c r="S185" t="s">
        <v>1485</v>
      </c>
      <c r="T185" t="str">
        <f t="shared" si="14"/>
        <v>INSTRUMENTINSTRMNT_CLSS</v>
      </c>
      <c r="U185" t="s">
        <v>2448</v>
      </c>
      <c r="V185" t="s">
        <v>2375</v>
      </c>
    </row>
    <row r="186" spans="7:22" x14ac:dyDescent="0.35">
      <c r="G186" t="s">
        <v>785</v>
      </c>
      <c r="H186" t="s">
        <v>1335</v>
      </c>
      <c r="I186" t="str">
        <f t="shared" si="12"/>
        <v>INSTRUMENTSYNDCT_RL</v>
      </c>
      <c r="R186" t="s">
        <v>765</v>
      </c>
      <c r="S186" t="s">
        <v>772</v>
      </c>
      <c r="T186" t="str">
        <f t="shared" si="14"/>
        <v>INSTR_ENTITYINSTRMNT_ID</v>
      </c>
      <c r="U186" t="s">
        <v>2448</v>
      </c>
      <c r="V186" t="s">
        <v>2375</v>
      </c>
    </row>
    <row r="187" spans="7:22" x14ac:dyDescent="0.35">
      <c r="G187" t="s">
        <v>785</v>
      </c>
      <c r="H187" t="s">
        <v>1339</v>
      </c>
      <c r="I187" t="str">
        <f t="shared" si="12"/>
        <v>INSTRUMENTSYNDCTD_AGNT</v>
      </c>
      <c r="R187" t="s">
        <v>1927</v>
      </c>
      <c r="S187" t="s">
        <v>772</v>
      </c>
      <c r="T187" t="str">
        <f t="shared" si="14"/>
        <v>INSTR_PROTECTIONINSTRMNT_ID</v>
      </c>
      <c r="U187" t="s">
        <v>2448</v>
      </c>
      <c r="V187" t="s">
        <v>2375</v>
      </c>
    </row>
    <row r="188" spans="7:22" x14ac:dyDescent="0.35">
      <c r="G188" t="s">
        <v>785</v>
      </c>
      <c r="H188" t="s">
        <v>1343</v>
      </c>
      <c r="I188" t="str">
        <f t="shared" si="12"/>
        <v>INSTRUMENTSYNDCTD_CNTRCT_ID</v>
      </c>
      <c r="R188" t="s">
        <v>785</v>
      </c>
      <c r="S188" t="s">
        <v>772</v>
      </c>
      <c r="T188" t="str">
        <f t="shared" si="14"/>
        <v>INSTRUMENTINSTRMNT_ID</v>
      </c>
      <c r="U188" t="s">
        <v>2448</v>
      </c>
      <c r="V188" t="s">
        <v>2375</v>
      </c>
    </row>
    <row r="189" spans="7:22" x14ac:dyDescent="0.35">
      <c r="G189" t="s">
        <v>785</v>
      </c>
      <c r="H189" t="s">
        <v>1347</v>
      </c>
      <c r="I189" t="str">
        <f t="shared" si="12"/>
        <v>INSTRUMENTSYNDCTD_LNDRS</v>
      </c>
      <c r="R189" t="s">
        <v>35</v>
      </c>
      <c r="S189" t="s">
        <v>231</v>
      </c>
      <c r="T189" t="str">
        <f t="shared" si="14"/>
        <v>ENTITYINTRNL_RTNG</v>
      </c>
      <c r="U189" t="s">
        <v>2456</v>
      </c>
      <c r="V189" t="s">
        <v>2458</v>
      </c>
    </row>
    <row r="190" spans="7:22" x14ac:dyDescent="0.35">
      <c r="G190" t="s">
        <v>785</v>
      </c>
      <c r="H190" t="s">
        <v>1351</v>
      </c>
      <c r="I190" t="str">
        <f t="shared" si="12"/>
        <v>INSTRUMENTSYNDCTD_SHR</v>
      </c>
      <c r="R190" t="s">
        <v>785</v>
      </c>
      <c r="S190" t="s">
        <v>231</v>
      </c>
      <c r="T190" t="str">
        <f t="shared" si="14"/>
        <v>INSTRUMENTINTRNL_RTNG</v>
      </c>
      <c r="U190" t="s">
        <v>2456</v>
      </c>
      <c r="V190" t="s">
        <v>2458</v>
      </c>
    </row>
    <row r="191" spans="7:22" x14ac:dyDescent="0.35">
      <c r="G191" t="s">
        <v>785</v>
      </c>
      <c r="H191" t="s">
        <v>1355</v>
      </c>
      <c r="I191" t="str">
        <f t="shared" si="12"/>
        <v>INSTRUMENTSYNDCTN_TYP</v>
      </c>
      <c r="R191" t="s">
        <v>785</v>
      </c>
      <c r="S191" t="s">
        <v>929</v>
      </c>
      <c r="T191" t="str">
        <f t="shared" si="14"/>
        <v>INSTRUMENTINTRNL_RTNG_INCPTN</v>
      </c>
      <c r="U191" t="s">
        <v>2449</v>
      </c>
      <c r="V191" t="s">
        <v>2458</v>
      </c>
    </row>
    <row r="192" spans="7:22" x14ac:dyDescent="0.35">
      <c r="G192" t="s">
        <v>785</v>
      </c>
      <c r="H192" t="s">
        <v>993</v>
      </c>
      <c r="I192" t="str">
        <f t="shared" si="12"/>
        <v>INSTRUMENTTRNCH</v>
      </c>
      <c r="R192" t="s">
        <v>35</v>
      </c>
      <c r="S192" t="s">
        <v>235</v>
      </c>
      <c r="T192" t="str">
        <f t="shared" si="14"/>
        <v>ENTITYINTRNL_RTNG_PRVS</v>
      </c>
      <c r="U192" t="s">
        <v>2456</v>
      </c>
      <c r="V192" t="s">
        <v>2458</v>
      </c>
    </row>
    <row r="193" spans="7:22" x14ac:dyDescent="0.35">
      <c r="G193" t="s">
        <v>785</v>
      </c>
      <c r="H193" t="s">
        <v>997</v>
      </c>
      <c r="I193" t="str">
        <f t="shared" si="12"/>
        <v>INSTRUMENTTYP_AMRTSTN</v>
      </c>
      <c r="R193" t="s">
        <v>35</v>
      </c>
      <c r="S193" t="s">
        <v>111</v>
      </c>
      <c r="T193" t="str">
        <f t="shared" si="14"/>
        <v>ENTITYINTRNL_SGMNT</v>
      </c>
      <c r="U193" t="s">
        <v>2448</v>
      </c>
      <c r="V193" t="s">
        <v>2375</v>
      </c>
    </row>
    <row r="194" spans="7:22" x14ac:dyDescent="0.35">
      <c r="G194" t="s">
        <v>785</v>
      </c>
      <c r="H194" t="s">
        <v>1382</v>
      </c>
      <c r="I194" t="str">
        <f t="shared" si="12"/>
        <v>INSTRUMENTTYP_CMPLNT_MRTR_C19</v>
      </c>
      <c r="R194" t="s">
        <v>785</v>
      </c>
      <c r="S194" t="s">
        <v>111</v>
      </c>
      <c r="T194" t="str">
        <f t="shared" si="14"/>
        <v>INSTRUMENTINTRNL_SGMNT</v>
      </c>
      <c r="U194" t="s">
        <v>2448</v>
      </c>
      <c r="V194" t="s">
        <v>2375</v>
      </c>
    </row>
    <row r="195" spans="7:22" x14ac:dyDescent="0.35">
      <c r="G195" t="s">
        <v>785</v>
      </c>
      <c r="H195" t="s">
        <v>1013</v>
      </c>
      <c r="I195" t="str">
        <f t="shared" si="12"/>
        <v>INSTRUMENTTYP_CRE_OPRTN</v>
      </c>
      <c r="R195" t="s">
        <v>785</v>
      </c>
      <c r="S195" t="s">
        <v>1589</v>
      </c>
      <c r="T195" t="str">
        <f t="shared" si="14"/>
        <v>INSTRUMENTINTRNL_SGMNT_CAT_MSTA</v>
      </c>
      <c r="U195" t="s">
        <v>2448</v>
      </c>
      <c r="V195" t="s">
        <v>2375</v>
      </c>
    </row>
    <row r="196" spans="7:22" x14ac:dyDescent="0.35">
      <c r="G196" t="s">
        <v>785</v>
      </c>
      <c r="H196" t="s">
        <v>1001</v>
      </c>
      <c r="I196" t="str">
        <f t="shared" si="12"/>
        <v>INSTRUMENTTYP_INSTRMNT</v>
      </c>
      <c r="R196" t="s">
        <v>785</v>
      </c>
      <c r="S196" t="s">
        <v>1594</v>
      </c>
      <c r="T196" t="str">
        <f t="shared" si="14"/>
        <v>INSTRUMENTINTRNL_SGMNT_CATGSUB</v>
      </c>
      <c r="U196" t="s">
        <v>2448</v>
      </c>
      <c r="V196" t="s">
        <v>2375</v>
      </c>
    </row>
    <row r="197" spans="7:22" x14ac:dyDescent="0.35">
      <c r="G197" t="s">
        <v>785</v>
      </c>
      <c r="H197" t="s">
        <v>1005</v>
      </c>
      <c r="I197" t="str">
        <f t="shared" ref="I197:I260" si="16">+G197&amp;H197</f>
        <v>INSTRUMENTTYP_INTRST_RT</v>
      </c>
      <c r="R197" t="s">
        <v>785</v>
      </c>
      <c r="S197" t="s">
        <v>1584</v>
      </c>
      <c r="T197" t="str">
        <f t="shared" ref="T197:T260" si="17">+R197&amp;S197</f>
        <v>INSTRUMENTINTRNL_SGMNT_IFRS9</v>
      </c>
      <c r="U197" t="s">
        <v>2448</v>
      </c>
      <c r="V197" t="s">
        <v>2375</v>
      </c>
    </row>
    <row r="198" spans="7:22" x14ac:dyDescent="0.35">
      <c r="G198" t="s">
        <v>785</v>
      </c>
      <c r="H198" t="s">
        <v>1009</v>
      </c>
      <c r="I198" t="str">
        <f t="shared" si="16"/>
        <v>INSTRUMENTTYP_MRTGG</v>
      </c>
      <c r="R198" t="s">
        <v>35</v>
      </c>
      <c r="S198" t="s">
        <v>116</v>
      </c>
      <c r="T198" t="str">
        <f t="shared" si="17"/>
        <v>ENTITYINTRNL_UNT</v>
      </c>
      <c r="U198" t="s">
        <v>2448</v>
      </c>
      <c r="V198" t="s">
        <v>2375</v>
      </c>
    </row>
    <row r="199" spans="7:22" x14ac:dyDescent="0.35">
      <c r="G199" t="s">
        <v>785</v>
      </c>
      <c r="H199" t="s">
        <v>1565</v>
      </c>
      <c r="I199" t="str">
        <f t="shared" si="16"/>
        <v>INSTRUMENTTYPE_OF_PLCMNT</v>
      </c>
      <c r="R199" t="s">
        <v>785</v>
      </c>
      <c r="S199" t="s">
        <v>116</v>
      </c>
      <c r="T199" t="str">
        <f t="shared" si="17"/>
        <v>INSTRUMENTINTRNL_UNT</v>
      </c>
      <c r="U199" t="s">
        <v>2448</v>
      </c>
      <c r="V199" t="s">
        <v>2375</v>
      </c>
    </row>
    <row r="200" spans="7:22" x14ac:dyDescent="0.35">
      <c r="G200" t="s">
        <v>785</v>
      </c>
      <c r="H200" t="s">
        <v>1571</v>
      </c>
      <c r="I200" t="str">
        <f t="shared" si="16"/>
        <v>INSTRUMENTVLTN_CRRNCY</v>
      </c>
      <c r="R200" t="s">
        <v>785</v>
      </c>
      <c r="S200" t="s">
        <v>1314</v>
      </c>
      <c r="T200" t="str">
        <f t="shared" si="17"/>
        <v>INSTRUMENTINTRST_RT_RST_FRQNCY</v>
      </c>
      <c r="U200" t="s">
        <v>2448</v>
      </c>
      <c r="V200" t="s">
        <v>2375</v>
      </c>
    </row>
    <row r="201" spans="7:22" x14ac:dyDescent="0.35">
      <c r="G201" t="s">
        <v>785</v>
      </c>
      <c r="H201" t="s">
        <v>1575</v>
      </c>
      <c r="I201" t="str">
        <f t="shared" si="16"/>
        <v>INSTRUMENTVLTN_TYP</v>
      </c>
      <c r="R201" t="s">
        <v>785</v>
      </c>
      <c r="S201" t="s">
        <v>538</v>
      </c>
      <c r="T201" t="str">
        <f t="shared" si="17"/>
        <v>INSTRUMENTISIN</v>
      </c>
      <c r="U201" t="s">
        <v>2448</v>
      </c>
      <c r="V201" t="s">
        <v>2375</v>
      </c>
    </row>
    <row r="202" spans="7:22" x14ac:dyDescent="0.35">
      <c r="G202" t="s">
        <v>35</v>
      </c>
      <c r="H202" t="s">
        <v>135</v>
      </c>
      <c r="I202" t="str">
        <f t="shared" si="16"/>
        <v>ENTITYACCNTNG_FRMWRK_SL</v>
      </c>
      <c r="R202" t="s">
        <v>785</v>
      </c>
      <c r="S202" t="s">
        <v>1605</v>
      </c>
      <c r="T202" t="str">
        <f t="shared" si="17"/>
        <v>INSTRUMENTISIN_SCRTSTN</v>
      </c>
      <c r="U202" t="s">
        <v>2448</v>
      </c>
      <c r="V202" t="s">
        <v>2375</v>
      </c>
    </row>
    <row r="203" spans="7:22" x14ac:dyDescent="0.35">
      <c r="G203" t="s">
        <v>35</v>
      </c>
      <c r="H203" t="s">
        <v>286</v>
      </c>
      <c r="I203" t="str">
        <f t="shared" si="16"/>
        <v>ENTITYANNL_TRNVR_LE</v>
      </c>
      <c r="R203" t="s">
        <v>785</v>
      </c>
      <c r="S203" t="s">
        <v>1494</v>
      </c>
      <c r="T203" t="str">
        <f t="shared" si="17"/>
        <v>INSTRUMENTISSR_CNTRY</v>
      </c>
      <c r="U203" t="s">
        <v>2448</v>
      </c>
      <c r="V203" t="s">
        <v>2375</v>
      </c>
    </row>
    <row r="204" spans="7:22" x14ac:dyDescent="0.35">
      <c r="G204" t="s">
        <v>35</v>
      </c>
      <c r="H204" t="s">
        <v>432</v>
      </c>
      <c r="I204" t="str">
        <f t="shared" si="16"/>
        <v>ENTITYANNL_TRNVR_LE_BDR</v>
      </c>
      <c r="R204" t="s">
        <v>785</v>
      </c>
      <c r="S204" t="s">
        <v>1498</v>
      </c>
      <c r="T204" t="str">
        <f t="shared" si="17"/>
        <v>INSTRUMENTISSR_ESA_2010</v>
      </c>
      <c r="U204" t="s">
        <v>2453</v>
      </c>
      <c r="V204" t="s">
        <v>2375</v>
      </c>
    </row>
    <row r="205" spans="7:22" x14ac:dyDescent="0.35">
      <c r="G205" t="s">
        <v>35</v>
      </c>
      <c r="H205" t="s">
        <v>290</v>
      </c>
      <c r="I205" t="str">
        <f t="shared" si="16"/>
        <v>ENTITYANNL_TRNVR_PRVS</v>
      </c>
      <c r="R205" t="s">
        <v>785</v>
      </c>
      <c r="S205" t="s">
        <v>1502</v>
      </c>
      <c r="T205" t="str">
        <f t="shared" si="17"/>
        <v>INSTRUMENTISSR_ID</v>
      </c>
      <c r="U205" t="s">
        <v>2448</v>
      </c>
      <c r="V205" t="s">
        <v>2375</v>
      </c>
    </row>
    <row r="206" spans="7:22" x14ac:dyDescent="0.35">
      <c r="G206" t="s">
        <v>35</v>
      </c>
      <c r="H206" t="s">
        <v>437</v>
      </c>
      <c r="I206" t="str">
        <f t="shared" si="16"/>
        <v>ENTITYANNL_TRNVR_PRVS_BDR</v>
      </c>
      <c r="R206" t="s">
        <v>785</v>
      </c>
      <c r="S206" t="s">
        <v>1506</v>
      </c>
      <c r="T206" t="str">
        <f t="shared" si="17"/>
        <v>INSTRUMENTISSR_ID_TYP</v>
      </c>
      <c r="U206" t="s">
        <v>2448</v>
      </c>
      <c r="V206" t="s">
        <v>2375</v>
      </c>
    </row>
    <row r="207" spans="7:22" x14ac:dyDescent="0.35">
      <c r="G207" t="s">
        <v>35</v>
      </c>
      <c r="H207" t="s">
        <v>293</v>
      </c>
      <c r="I207" t="str">
        <f t="shared" si="16"/>
        <v>ENTITYCAPEX</v>
      </c>
      <c r="R207" t="s">
        <v>785</v>
      </c>
      <c r="S207" t="s">
        <v>1512</v>
      </c>
      <c r="T207" t="str">
        <f t="shared" si="17"/>
        <v>INSTRUMENTISSR_NACE_SCTR</v>
      </c>
      <c r="U207" t="s">
        <v>2448</v>
      </c>
      <c r="V207" t="s">
        <v>2375</v>
      </c>
    </row>
    <row r="208" spans="7:22" x14ac:dyDescent="0.35">
      <c r="G208" t="s">
        <v>35</v>
      </c>
      <c r="H208" t="s">
        <v>297</v>
      </c>
      <c r="I208" t="str">
        <f t="shared" si="16"/>
        <v>ENTITYCAPEX_PRVS</v>
      </c>
      <c r="R208" t="s">
        <v>785</v>
      </c>
      <c r="S208" t="s">
        <v>1517</v>
      </c>
      <c r="T208" t="str">
        <f t="shared" si="17"/>
        <v>INSTRUMENTISSR_RTNG</v>
      </c>
      <c r="U208" t="s">
        <v>2454</v>
      </c>
      <c r="V208" t="s">
        <v>2375</v>
      </c>
    </row>
    <row r="209" spans="7:22" x14ac:dyDescent="0.35">
      <c r="G209" t="s">
        <v>35</v>
      </c>
      <c r="H209" t="s">
        <v>301</v>
      </c>
      <c r="I209" t="str">
        <f t="shared" si="16"/>
        <v>ENTITYCLLCTN_MD</v>
      </c>
      <c r="R209" t="s">
        <v>785</v>
      </c>
      <c r="S209" t="s">
        <v>1521</v>
      </c>
      <c r="T209" t="str">
        <f t="shared" si="17"/>
        <v>INSTRUMENTISSR_RTNG_SRC</v>
      </c>
      <c r="U209" t="s">
        <v>2454</v>
      </c>
      <c r="V209" t="s">
        <v>2375</v>
      </c>
    </row>
    <row r="210" spans="7:22" x14ac:dyDescent="0.35">
      <c r="G210" t="s">
        <v>35</v>
      </c>
      <c r="H210" t="s">
        <v>50</v>
      </c>
      <c r="I210" t="str">
        <f t="shared" si="16"/>
        <v>ENTITYCNTRY</v>
      </c>
      <c r="R210" t="s">
        <v>785</v>
      </c>
      <c r="S210" t="s">
        <v>1526</v>
      </c>
      <c r="T210" t="str">
        <f t="shared" si="17"/>
        <v>INSTRUMENTISSR_TYP</v>
      </c>
      <c r="U210" t="s">
        <v>2448</v>
      </c>
      <c r="V210" t="s">
        <v>2375</v>
      </c>
    </row>
    <row r="211" spans="7:22" x14ac:dyDescent="0.35">
      <c r="G211" t="s">
        <v>35</v>
      </c>
      <c r="H211" t="s">
        <v>38</v>
      </c>
      <c r="I211" t="str">
        <f t="shared" si="16"/>
        <v>ENTITYCOD_SOC</v>
      </c>
      <c r="R211" t="s">
        <v>765</v>
      </c>
      <c r="S211" t="s">
        <v>776</v>
      </c>
      <c r="T211" t="str">
        <f t="shared" si="17"/>
        <v>INSTR_ENTITYJNT_LBLTY_AMNT</v>
      </c>
      <c r="U211" t="s">
        <v>2448</v>
      </c>
      <c r="V211" t="s">
        <v>2375</v>
      </c>
    </row>
    <row r="212" spans="7:22" x14ac:dyDescent="0.35">
      <c r="G212" t="s">
        <v>35</v>
      </c>
      <c r="H212" t="s">
        <v>140</v>
      </c>
      <c r="I212" t="str">
        <f t="shared" si="16"/>
        <v>ENTITYCR_FLG</v>
      </c>
      <c r="R212" t="s">
        <v>785</v>
      </c>
      <c r="S212" t="s">
        <v>1619</v>
      </c>
      <c r="T212" t="str">
        <f t="shared" si="17"/>
        <v>INSTRUMENTLCL_INSTMRNT_ID</v>
      </c>
      <c r="U212" t="s">
        <v>2453</v>
      </c>
      <c r="V212" t="s">
        <v>2375</v>
      </c>
    </row>
    <row r="213" spans="7:22" x14ac:dyDescent="0.35">
      <c r="G213" t="s">
        <v>35</v>
      </c>
      <c r="H213" t="s">
        <v>305</v>
      </c>
      <c r="I213" t="str">
        <f t="shared" si="16"/>
        <v>ENTITYCSH</v>
      </c>
      <c r="R213" t="s">
        <v>785</v>
      </c>
      <c r="S213" t="s">
        <v>1531</v>
      </c>
      <c r="T213" t="str">
        <f t="shared" si="17"/>
        <v>INSTRUMENTLCR_BFFR_CTGRY</v>
      </c>
      <c r="U213" t="s">
        <v>2448</v>
      </c>
      <c r="V213" t="s">
        <v>2375</v>
      </c>
    </row>
    <row r="214" spans="7:22" x14ac:dyDescent="0.35">
      <c r="G214" t="s">
        <v>35</v>
      </c>
      <c r="H214" t="s">
        <v>309</v>
      </c>
      <c r="I214" t="str">
        <f t="shared" si="16"/>
        <v>ENTITYCSH_PRVS</v>
      </c>
      <c r="R214" t="s">
        <v>785</v>
      </c>
      <c r="S214" t="s">
        <v>937</v>
      </c>
      <c r="T214" t="str">
        <f t="shared" si="17"/>
        <v>INSTRUMENTLCRE</v>
      </c>
      <c r="U214" t="s">
        <v>2452</v>
      </c>
      <c r="V214" t="s">
        <v>2375</v>
      </c>
    </row>
    <row r="215" spans="7:22" x14ac:dyDescent="0.35">
      <c r="G215" t="s">
        <v>35</v>
      </c>
      <c r="H215" t="s">
        <v>396</v>
      </c>
      <c r="I215" t="str">
        <f t="shared" si="16"/>
        <v>ENTITYDBT_RPYMNT_CPCTY_SNR_DBT</v>
      </c>
      <c r="R215" t="s">
        <v>35</v>
      </c>
      <c r="S215" t="s">
        <v>120</v>
      </c>
      <c r="T215" t="str">
        <f t="shared" si="17"/>
        <v>ENTITYLEI</v>
      </c>
      <c r="U215" t="s">
        <v>2448</v>
      </c>
      <c r="V215" t="s">
        <v>2375</v>
      </c>
    </row>
    <row r="216" spans="7:22" x14ac:dyDescent="0.35">
      <c r="G216" t="s">
        <v>35</v>
      </c>
      <c r="H216" t="s">
        <v>400</v>
      </c>
      <c r="I216" t="str">
        <f t="shared" si="16"/>
        <v>ENTITYDBT_RPYMNT_CPCTY_TTL</v>
      </c>
      <c r="R216" t="s">
        <v>785</v>
      </c>
      <c r="S216" t="s">
        <v>1241</v>
      </c>
      <c r="T216" t="str">
        <f t="shared" si="17"/>
        <v>INSTRUMENTLGD</v>
      </c>
      <c r="U216" t="s">
        <v>2448</v>
      </c>
      <c r="V216" t="s">
        <v>2375</v>
      </c>
    </row>
    <row r="217" spans="7:22" x14ac:dyDescent="0.35">
      <c r="G217" t="s">
        <v>35</v>
      </c>
      <c r="H217" t="s">
        <v>403</v>
      </c>
      <c r="I217" t="str">
        <f t="shared" si="16"/>
        <v>ENTITYDBT_SRVC_RT</v>
      </c>
      <c r="R217" t="s">
        <v>785</v>
      </c>
      <c r="S217" t="s">
        <v>942</v>
      </c>
      <c r="T217" t="str">
        <f t="shared" si="17"/>
        <v>INSTRUMENTLGL_PRCDNG_STTS</v>
      </c>
      <c r="U217" t="s">
        <v>2448</v>
      </c>
      <c r="V217" t="s">
        <v>2375</v>
      </c>
    </row>
    <row r="218" spans="7:22" x14ac:dyDescent="0.35">
      <c r="G218" t="s">
        <v>35</v>
      </c>
      <c r="H218" t="s">
        <v>407</v>
      </c>
      <c r="I218" t="str">
        <f t="shared" si="16"/>
        <v>ENTITYDBT_SRVC_RT_12M</v>
      </c>
      <c r="R218" t="s">
        <v>35</v>
      </c>
      <c r="S218" t="s">
        <v>239</v>
      </c>
      <c r="T218" t="str">
        <f t="shared" si="17"/>
        <v>ENTITYLGL_PRCDNG_STTS_LE</v>
      </c>
      <c r="U218" t="s">
        <v>2453</v>
      </c>
      <c r="V218" t="s">
        <v>2458</v>
      </c>
    </row>
    <row r="219" spans="7:22" x14ac:dyDescent="0.35">
      <c r="G219" t="s">
        <v>35</v>
      </c>
      <c r="H219" t="s">
        <v>147</v>
      </c>
      <c r="I219" t="str">
        <f t="shared" si="16"/>
        <v>ENTITYDCSD</v>
      </c>
      <c r="R219" t="s">
        <v>785</v>
      </c>
      <c r="S219" t="s">
        <v>946</v>
      </c>
      <c r="T219" t="str">
        <f t="shared" si="17"/>
        <v>INSTRUMENTLND_DRGTN</v>
      </c>
      <c r="U219" t="s">
        <v>2448</v>
      </c>
      <c r="V219" t="s">
        <v>2375</v>
      </c>
    </row>
    <row r="220" spans="7:22" x14ac:dyDescent="0.35">
      <c r="G220" t="s">
        <v>35</v>
      </c>
      <c r="H220" t="s">
        <v>151</v>
      </c>
      <c r="I220" t="str">
        <f t="shared" si="16"/>
        <v>ENTITYDFLT_STTS</v>
      </c>
      <c r="R220" t="s">
        <v>785</v>
      </c>
      <c r="S220" t="s">
        <v>1780</v>
      </c>
      <c r="T220" t="str">
        <f t="shared" si="17"/>
        <v>INSTRUMENTLSTI</v>
      </c>
      <c r="U220" t="s">
        <v>2451</v>
      </c>
      <c r="V220" t="s">
        <v>2375</v>
      </c>
    </row>
    <row r="221" spans="7:22" x14ac:dyDescent="0.35">
      <c r="G221" t="s">
        <v>35</v>
      </c>
      <c r="H221" t="s">
        <v>59</v>
      </c>
      <c r="I221" t="str">
        <f t="shared" si="16"/>
        <v>ENTITYDT_BRTH</v>
      </c>
      <c r="R221" t="s">
        <v>35</v>
      </c>
      <c r="S221" t="s">
        <v>341</v>
      </c>
      <c r="T221" t="str">
        <f t="shared" si="17"/>
        <v>ENTITYLTI</v>
      </c>
      <c r="U221" t="s">
        <v>2451</v>
      </c>
      <c r="V221" t="s">
        <v>2375</v>
      </c>
    </row>
    <row r="222" spans="7:22" x14ac:dyDescent="0.35">
      <c r="G222" t="s">
        <v>35</v>
      </c>
      <c r="H222" t="s">
        <v>69</v>
      </c>
      <c r="I222" t="str">
        <f t="shared" si="16"/>
        <v>ENTITYDT_DFLT_STTS</v>
      </c>
      <c r="R222" t="s">
        <v>785</v>
      </c>
      <c r="S222" t="s">
        <v>1788</v>
      </c>
      <c r="T222" t="str">
        <f t="shared" si="17"/>
        <v>INSTRUMENTLTI_INSTRMNT</v>
      </c>
      <c r="U222" t="s">
        <v>2451</v>
      </c>
      <c r="V222" t="s">
        <v>2375</v>
      </c>
    </row>
    <row r="223" spans="7:22" x14ac:dyDescent="0.35">
      <c r="G223" t="s">
        <v>35</v>
      </c>
      <c r="H223" t="s">
        <v>155</v>
      </c>
      <c r="I223" t="str">
        <f t="shared" si="16"/>
        <v>ENTITYDT_EXTRNL_RTNG</v>
      </c>
      <c r="R223" t="s">
        <v>785</v>
      </c>
      <c r="S223" t="s">
        <v>1246</v>
      </c>
      <c r="T223" t="str">
        <f t="shared" si="17"/>
        <v>INSTRUMENTLTV</v>
      </c>
      <c r="U223" t="s">
        <v>2453</v>
      </c>
      <c r="V223" t="s">
        <v>2375</v>
      </c>
    </row>
    <row r="224" spans="7:22" x14ac:dyDescent="0.35">
      <c r="G224" t="s">
        <v>35</v>
      </c>
      <c r="H224" t="s">
        <v>73</v>
      </c>
      <c r="I224" t="str">
        <f t="shared" si="16"/>
        <v>ENTITYDT_FNNCL_STTMTS</v>
      </c>
      <c r="R224" t="s">
        <v>785</v>
      </c>
      <c r="S224" t="s">
        <v>1250</v>
      </c>
      <c r="T224" t="str">
        <f t="shared" si="17"/>
        <v>INSTRUMENTLTV_INCPTN</v>
      </c>
      <c r="U224" t="s">
        <v>2448</v>
      </c>
      <c r="V224" t="s">
        <v>2375</v>
      </c>
    </row>
    <row r="225" spans="7:22" x14ac:dyDescent="0.35">
      <c r="G225" t="s">
        <v>35</v>
      </c>
      <c r="H225" t="s">
        <v>77</v>
      </c>
      <c r="I225" t="str">
        <f t="shared" si="16"/>
        <v>ENTITYDT_FNNCL_STTMTS_PRVS</v>
      </c>
      <c r="R225" t="s">
        <v>785</v>
      </c>
      <c r="S225" t="s">
        <v>1254</v>
      </c>
      <c r="T225" t="str">
        <f t="shared" si="17"/>
        <v>INSTRUMENTLTV_NPE</v>
      </c>
      <c r="U225" t="s">
        <v>2456</v>
      </c>
      <c r="V225" t="s">
        <v>2375</v>
      </c>
    </row>
    <row r="226" spans="7:22" x14ac:dyDescent="0.35">
      <c r="G226" t="s">
        <v>35</v>
      </c>
      <c r="H226" t="s">
        <v>160</v>
      </c>
      <c r="I226" t="str">
        <f t="shared" si="16"/>
        <v>ENTITYDT_INTRNL_RTNG</v>
      </c>
      <c r="R226" t="s">
        <v>35</v>
      </c>
      <c r="S226" t="s">
        <v>346</v>
      </c>
      <c r="T226" t="str">
        <f t="shared" si="17"/>
        <v>ENTITYLVRG</v>
      </c>
      <c r="U226" t="s">
        <v>2448</v>
      </c>
      <c r="V226" t="s">
        <v>2375</v>
      </c>
    </row>
    <row r="227" spans="7:22" x14ac:dyDescent="0.35">
      <c r="G227" t="s">
        <v>35</v>
      </c>
      <c r="H227" t="s">
        <v>81</v>
      </c>
      <c r="I227" t="str">
        <f t="shared" si="16"/>
        <v>ENTITYDT_INTTN_LGL_PRCDNGS_LE</v>
      </c>
      <c r="R227" t="s">
        <v>785</v>
      </c>
      <c r="S227" t="s">
        <v>1580</v>
      </c>
      <c r="T227" t="str">
        <f t="shared" si="17"/>
        <v>INSTRUMENTLVRG_FNNC_FLG</v>
      </c>
      <c r="U227" t="s">
        <v>2448</v>
      </c>
      <c r="V227" t="s">
        <v>2459</v>
      </c>
    </row>
    <row r="228" spans="7:22" x14ac:dyDescent="0.35">
      <c r="G228" t="s">
        <v>35</v>
      </c>
      <c r="H228" t="s">
        <v>87</v>
      </c>
      <c r="I228" t="str">
        <f t="shared" si="16"/>
        <v>ENTITYDT_PRFRMNG_STTS_LE</v>
      </c>
      <c r="R228" t="s">
        <v>35</v>
      </c>
      <c r="S228" t="s">
        <v>350</v>
      </c>
      <c r="T228" t="str">
        <f t="shared" si="17"/>
        <v>ENTITYLVRG_PRVS</v>
      </c>
      <c r="U228" t="s">
        <v>2448</v>
      </c>
      <c r="V228" t="s">
        <v>2375</v>
      </c>
    </row>
    <row r="229" spans="7:22" x14ac:dyDescent="0.35">
      <c r="G229" t="s">
        <v>35</v>
      </c>
      <c r="H229" t="s">
        <v>91</v>
      </c>
      <c r="I229" t="str">
        <f t="shared" si="16"/>
        <v>ENTITYDT_RFRNC</v>
      </c>
      <c r="R229" t="s">
        <v>765</v>
      </c>
      <c r="S229" t="s">
        <v>781</v>
      </c>
      <c r="T229" t="str">
        <f t="shared" si="17"/>
        <v>INSTR_ENTITYMN_ENTTY_ID</v>
      </c>
      <c r="U229" t="s">
        <v>2449</v>
      </c>
      <c r="V229" t="s">
        <v>2458</v>
      </c>
    </row>
    <row r="230" spans="7:22" x14ac:dyDescent="0.35">
      <c r="G230" t="s">
        <v>35</v>
      </c>
      <c r="H230" t="s">
        <v>313</v>
      </c>
      <c r="I230" t="str">
        <f t="shared" si="16"/>
        <v>ENTITYEBITDA</v>
      </c>
      <c r="R230" t="s">
        <v>1952</v>
      </c>
      <c r="S230" t="s">
        <v>2090</v>
      </c>
      <c r="T230" t="str">
        <f t="shared" si="17"/>
        <v>PROTECTIONMN_PRPS</v>
      </c>
      <c r="U230" t="s">
        <v>2453</v>
      </c>
      <c r="V230" t="s">
        <v>2375</v>
      </c>
    </row>
    <row r="231" spans="7:22" x14ac:dyDescent="0.35">
      <c r="G231" t="s">
        <v>35</v>
      </c>
      <c r="H231" t="s">
        <v>317</v>
      </c>
      <c r="I231" t="str">
        <f t="shared" si="16"/>
        <v>ENTITYEBITDA_PRVS</v>
      </c>
      <c r="R231" t="s">
        <v>35</v>
      </c>
      <c r="S231" t="s">
        <v>354</v>
      </c>
      <c r="T231" t="str">
        <f t="shared" si="17"/>
        <v>ENTITYMNTHL_INCM</v>
      </c>
      <c r="U231" t="s">
        <v>2451</v>
      </c>
      <c r="V231" t="s">
        <v>2375</v>
      </c>
    </row>
    <row r="232" spans="7:22" x14ac:dyDescent="0.35">
      <c r="G232" t="s">
        <v>35</v>
      </c>
      <c r="H232" t="s">
        <v>449</v>
      </c>
      <c r="I232" t="str">
        <f t="shared" si="16"/>
        <v>ENTITYEC_GRP_ID</v>
      </c>
      <c r="R232" t="s">
        <v>35</v>
      </c>
      <c r="S232" t="s">
        <v>358</v>
      </c>
      <c r="T232" t="str">
        <f t="shared" si="17"/>
        <v>ENTITYMNTHL_INCM_SLR</v>
      </c>
      <c r="U232" t="s">
        <v>2451</v>
      </c>
      <c r="V232" t="s">
        <v>2375</v>
      </c>
    </row>
    <row r="233" spans="7:22" x14ac:dyDescent="0.35">
      <c r="G233" t="s">
        <v>35</v>
      </c>
      <c r="H233" t="s">
        <v>453</v>
      </c>
      <c r="I233" t="str">
        <f t="shared" si="16"/>
        <v>ENTITYEC_GRP_NM</v>
      </c>
      <c r="R233" t="s">
        <v>35</v>
      </c>
      <c r="S233" t="s">
        <v>362</v>
      </c>
      <c r="T233" t="str">
        <f t="shared" si="17"/>
        <v>ENTITYMNTHL_TRNVR</v>
      </c>
      <c r="U233" t="s">
        <v>2451</v>
      </c>
      <c r="V233" t="s">
        <v>2375</v>
      </c>
    </row>
    <row r="234" spans="7:22" x14ac:dyDescent="0.35">
      <c r="G234" t="s">
        <v>35</v>
      </c>
      <c r="H234" t="s">
        <v>165</v>
      </c>
      <c r="I234" t="str">
        <f t="shared" si="16"/>
        <v>ENTITYECNMC_ACTVTY</v>
      </c>
      <c r="R234" t="s">
        <v>785</v>
      </c>
      <c r="S234" t="s">
        <v>1413</v>
      </c>
      <c r="T234" t="str">
        <f t="shared" si="17"/>
        <v>INSTRUMENTMTRTY_LTST_FRBRNC_MSR_C19</v>
      </c>
      <c r="U234" t="s">
        <v>2448</v>
      </c>
      <c r="V234" t="s">
        <v>2375</v>
      </c>
    </row>
    <row r="235" spans="7:22" x14ac:dyDescent="0.35">
      <c r="G235" t="s">
        <v>35</v>
      </c>
      <c r="H235" t="s">
        <v>173</v>
      </c>
      <c r="I235" t="str">
        <f t="shared" si="16"/>
        <v>ENTITYEMPLYMNT_STTS</v>
      </c>
      <c r="R235" t="s">
        <v>785</v>
      </c>
      <c r="S235" t="s">
        <v>1376</v>
      </c>
      <c r="T235" t="str">
        <f t="shared" si="17"/>
        <v>INSTRUMENTMTRTY_LTST_MRTR_C19</v>
      </c>
      <c r="U235" t="s">
        <v>2448</v>
      </c>
      <c r="V235" t="s">
        <v>2375</v>
      </c>
    </row>
    <row r="236" spans="7:22" x14ac:dyDescent="0.35">
      <c r="G236" t="s">
        <v>35</v>
      </c>
      <c r="H236" t="s">
        <v>169</v>
      </c>
      <c r="I236" t="str">
        <f t="shared" si="16"/>
        <v>ENTITYEMPLYMNT_STTS_INTRNL</v>
      </c>
      <c r="R236" t="s">
        <v>785</v>
      </c>
      <c r="S236" t="s">
        <v>1232</v>
      </c>
      <c r="T236" t="str">
        <f t="shared" si="17"/>
        <v>INSTRUMENTNMBR_FRBRNC_MSRS</v>
      </c>
      <c r="U236" t="s">
        <v>2448</v>
      </c>
      <c r="V236" t="s">
        <v>2375</v>
      </c>
    </row>
    <row r="237" spans="7:22" x14ac:dyDescent="0.35">
      <c r="G237" t="s">
        <v>35</v>
      </c>
      <c r="H237" t="s">
        <v>177</v>
      </c>
      <c r="I237" t="str">
        <f t="shared" si="16"/>
        <v>ENTITYENTRPRS_SZ_LE</v>
      </c>
      <c r="R237" t="s">
        <v>35</v>
      </c>
      <c r="S237" t="s">
        <v>367</v>
      </c>
      <c r="T237" t="str">
        <f t="shared" si="17"/>
        <v>ENTITYNT_INCM</v>
      </c>
      <c r="U237" t="s">
        <v>2450</v>
      </c>
      <c r="V237" t="s">
        <v>2459</v>
      </c>
    </row>
    <row r="238" spans="7:22" x14ac:dyDescent="0.35">
      <c r="G238" t="s">
        <v>35</v>
      </c>
      <c r="H238" t="s">
        <v>95</v>
      </c>
      <c r="I238" t="str">
        <f t="shared" si="16"/>
        <v>ENTITYENTTY_ID</v>
      </c>
      <c r="R238" t="s">
        <v>35</v>
      </c>
      <c r="S238" t="s">
        <v>371</v>
      </c>
      <c r="T238" t="str">
        <f t="shared" si="17"/>
        <v>ENTITYNT_INCM_PRVS</v>
      </c>
      <c r="U238" t="s">
        <v>2450</v>
      </c>
      <c r="V238" t="s">
        <v>2459</v>
      </c>
    </row>
    <row r="239" spans="7:22" x14ac:dyDescent="0.35">
      <c r="G239" t="s">
        <v>35</v>
      </c>
      <c r="H239" t="s">
        <v>125</v>
      </c>
      <c r="I239" t="str">
        <f t="shared" si="16"/>
        <v>ENTITYENTTY_NM</v>
      </c>
      <c r="R239" t="s">
        <v>785</v>
      </c>
      <c r="S239" t="s">
        <v>1136</v>
      </c>
      <c r="T239" t="str">
        <f t="shared" si="17"/>
        <v>INSTRUMENTRWA_MTHD</v>
      </c>
      <c r="U239" t="s">
        <v>2448</v>
      </c>
      <c r="V239" t="s">
        <v>2375</v>
      </c>
    </row>
    <row r="240" spans="7:22" x14ac:dyDescent="0.35">
      <c r="G240" t="s">
        <v>35</v>
      </c>
      <c r="H240" t="s">
        <v>321</v>
      </c>
      <c r="I240" t="str">
        <f t="shared" si="16"/>
        <v>ENTITYEQTY</v>
      </c>
      <c r="R240" t="s">
        <v>785</v>
      </c>
      <c r="S240" t="s">
        <v>825</v>
      </c>
      <c r="T240" t="str">
        <f t="shared" si="17"/>
        <v>INSTRUMENTOBSRVD_AGNT_ID</v>
      </c>
      <c r="U240" t="s">
        <v>2448</v>
      </c>
      <c r="V240" t="s">
        <v>2375</v>
      </c>
    </row>
    <row r="241" spans="7:22" x14ac:dyDescent="0.35">
      <c r="G241" t="s">
        <v>35</v>
      </c>
      <c r="H241" t="s">
        <v>325</v>
      </c>
      <c r="I241" t="str">
        <f t="shared" si="16"/>
        <v>ENTITYEQTY_PRVS</v>
      </c>
      <c r="R241" t="s">
        <v>785</v>
      </c>
      <c r="S241" t="s">
        <v>830</v>
      </c>
      <c r="T241" t="str">
        <f t="shared" si="17"/>
        <v>INSTRUMENTOBSRVD_AGNT_NM</v>
      </c>
      <c r="U241" t="s">
        <v>2448</v>
      </c>
      <c r="V241" t="s">
        <v>2375</v>
      </c>
    </row>
    <row r="242" spans="7:22" x14ac:dyDescent="0.35">
      <c r="G242" t="s">
        <v>35</v>
      </c>
      <c r="H242" t="s">
        <v>182</v>
      </c>
      <c r="I242" t="str">
        <f t="shared" si="16"/>
        <v>ENTITYEXTRNL_RTNG</v>
      </c>
      <c r="R242" t="s">
        <v>785</v>
      </c>
      <c r="S242" t="s">
        <v>1104</v>
      </c>
      <c r="T242" t="str">
        <f t="shared" si="17"/>
        <v>INSTRUMENTOFF_BLNC_SHT_AMNT_INSTRMNT</v>
      </c>
      <c r="U242" t="s">
        <v>2453</v>
      </c>
      <c r="V242" t="s">
        <v>2458</v>
      </c>
    </row>
    <row r="243" spans="7:22" x14ac:dyDescent="0.35">
      <c r="G243" t="s">
        <v>35</v>
      </c>
      <c r="H243" t="s">
        <v>129</v>
      </c>
      <c r="I243" t="str">
        <f t="shared" si="16"/>
        <v>ENTITYEXTRNL_RTNG_NM</v>
      </c>
      <c r="R243" t="s">
        <v>785</v>
      </c>
      <c r="S243" t="s">
        <v>1108</v>
      </c>
      <c r="T243" t="str">
        <f t="shared" si="17"/>
        <v>INSTRUMENTOFF_BLNC_SHT_AMNT_INSTRMNT_PRVS</v>
      </c>
      <c r="U243" t="s">
        <v>2456</v>
      </c>
      <c r="V243" t="s">
        <v>2375</v>
      </c>
    </row>
    <row r="244" spans="7:22" x14ac:dyDescent="0.35">
      <c r="G244" t="s">
        <v>35</v>
      </c>
      <c r="H244" t="s">
        <v>187</v>
      </c>
      <c r="I244" t="str">
        <f t="shared" si="16"/>
        <v>ENTITYEXTRNL_RTNG_PRVS</v>
      </c>
      <c r="R244" t="s">
        <v>1952</v>
      </c>
      <c r="S244" t="s">
        <v>2029</v>
      </c>
      <c r="T244" t="str">
        <f t="shared" si="17"/>
        <v>PROTECTIONDT_ORGNL_PRTCTN_VL</v>
      </c>
      <c r="U244" t="s">
        <v>2448</v>
      </c>
      <c r="V244" t="s">
        <v>2375</v>
      </c>
    </row>
    <row r="245" spans="7:22" x14ac:dyDescent="0.35">
      <c r="G245" t="s">
        <v>35</v>
      </c>
      <c r="H245" t="s">
        <v>192</v>
      </c>
      <c r="I245" t="str">
        <f t="shared" si="16"/>
        <v>ENTITYFLG_BNKRPTCY_IN_GRP</v>
      </c>
      <c r="R245" t="s">
        <v>35</v>
      </c>
      <c r="S245" t="s">
        <v>441</v>
      </c>
      <c r="T245" t="str">
        <f t="shared" si="17"/>
        <v>ENTITYOSI_ID</v>
      </c>
      <c r="U245" t="s">
        <v>2448</v>
      </c>
      <c r="V245" t="s">
        <v>2375</v>
      </c>
    </row>
    <row r="246" spans="7:22" x14ac:dyDescent="0.35">
      <c r="G246" t="s">
        <v>35</v>
      </c>
      <c r="H246" t="s">
        <v>197</v>
      </c>
      <c r="I246" t="str">
        <f t="shared" si="16"/>
        <v>ENTITYFLG_HGH_CDS</v>
      </c>
      <c r="R246" t="s">
        <v>785</v>
      </c>
      <c r="S246" t="s">
        <v>1112</v>
      </c>
      <c r="T246" t="str">
        <f t="shared" si="17"/>
        <v>INSTRUMENTOTSTNDNG_NMNL_AMNT_INSTRMNT</v>
      </c>
      <c r="U246" t="s">
        <v>2453</v>
      </c>
      <c r="V246" t="s">
        <v>2458</v>
      </c>
    </row>
    <row r="247" spans="7:22" x14ac:dyDescent="0.35">
      <c r="G247" t="s">
        <v>35</v>
      </c>
      <c r="H247" t="s">
        <v>201</v>
      </c>
      <c r="I247" t="str">
        <f t="shared" si="16"/>
        <v>ENTITYFLG_ISDA_CRDT_EVNT</v>
      </c>
      <c r="R247" t="s">
        <v>785</v>
      </c>
      <c r="S247" t="s">
        <v>881</v>
      </c>
      <c r="T247" t="str">
        <f t="shared" si="17"/>
        <v>INSTRUMENTDT_FRBRNC_STTS_PRVS</v>
      </c>
      <c r="U247" t="s">
        <v>2450</v>
      </c>
      <c r="V247" t="s">
        <v>2375</v>
      </c>
    </row>
    <row r="248" spans="7:22" x14ac:dyDescent="0.35">
      <c r="G248" t="s">
        <v>35</v>
      </c>
      <c r="H248" t="s">
        <v>205</v>
      </c>
      <c r="I248" t="str">
        <f t="shared" si="16"/>
        <v>ENTITYFLG_NN_ACCRL</v>
      </c>
      <c r="R248" t="s">
        <v>35</v>
      </c>
      <c r="S248" t="s">
        <v>244</v>
      </c>
      <c r="T248" t="str">
        <f t="shared" si="17"/>
        <v>ENTITYOWND_BY_SPNSR</v>
      </c>
      <c r="U248" t="s">
        <v>2448</v>
      </c>
      <c r="V248" t="s">
        <v>2459</v>
      </c>
    </row>
    <row r="249" spans="7:22" x14ac:dyDescent="0.35">
      <c r="G249" t="s">
        <v>35</v>
      </c>
      <c r="H249" t="s">
        <v>209</v>
      </c>
      <c r="I249" t="str">
        <f t="shared" si="16"/>
        <v>ENTITYFLG_RQST_BNKRPTCY</v>
      </c>
      <c r="R249" t="s">
        <v>785</v>
      </c>
      <c r="S249" t="s">
        <v>1432</v>
      </c>
      <c r="T249" t="str">
        <f t="shared" si="17"/>
        <v>INSTRUMENTPBLC_GRNT_SCHM_C19_NM</v>
      </c>
      <c r="U249" t="s">
        <v>2448</v>
      </c>
      <c r="V249" t="s">
        <v>2375</v>
      </c>
    </row>
    <row r="250" spans="7:22" x14ac:dyDescent="0.35">
      <c r="G250" t="s">
        <v>35</v>
      </c>
      <c r="H250" t="s">
        <v>213</v>
      </c>
      <c r="I250" t="str">
        <f t="shared" si="16"/>
        <v>ENTITYFLG_RQST_DSTRSSD_RSTRCTRNG</v>
      </c>
      <c r="R250" t="s">
        <v>785</v>
      </c>
      <c r="S250" t="s">
        <v>1258</v>
      </c>
      <c r="T250" t="str">
        <f t="shared" si="17"/>
        <v>INSTRUMENTPD_CRR_INCPTN</v>
      </c>
      <c r="U250" t="s">
        <v>2449</v>
      </c>
      <c r="V250" t="s">
        <v>2458</v>
      </c>
    </row>
    <row r="251" spans="7:22" x14ac:dyDescent="0.35">
      <c r="G251" t="s">
        <v>35</v>
      </c>
      <c r="H251" t="s">
        <v>217</v>
      </c>
      <c r="I251" t="str">
        <f t="shared" si="16"/>
        <v>ENTITYFLG_RQST_EMRGNCY_FNDNG</v>
      </c>
      <c r="R251" t="s">
        <v>35</v>
      </c>
      <c r="S251" t="s">
        <v>411</v>
      </c>
      <c r="T251" t="str">
        <f t="shared" si="17"/>
        <v>ENTITYPD_CRR_RD</v>
      </c>
      <c r="U251" t="s">
        <v>2453</v>
      </c>
      <c r="V251" t="s">
        <v>2458</v>
      </c>
    </row>
    <row r="252" spans="7:22" x14ac:dyDescent="0.35">
      <c r="G252" t="s">
        <v>35</v>
      </c>
      <c r="H252" t="s">
        <v>221</v>
      </c>
      <c r="I252" t="str">
        <f t="shared" si="16"/>
        <v>ENTITYFLG_SLL_WTH_LSS</v>
      </c>
      <c r="R252" t="s">
        <v>785</v>
      </c>
      <c r="S252" t="s">
        <v>411</v>
      </c>
      <c r="T252" t="str">
        <f t="shared" si="17"/>
        <v>INSTRUMENTPD_CRR_RD</v>
      </c>
      <c r="U252" t="s">
        <v>2453</v>
      </c>
      <c r="V252" t="s">
        <v>2458</v>
      </c>
    </row>
    <row r="253" spans="7:22" x14ac:dyDescent="0.35">
      <c r="G253" t="s">
        <v>35</v>
      </c>
      <c r="H253" t="s">
        <v>594</v>
      </c>
      <c r="I253" t="str">
        <f t="shared" si="16"/>
        <v>ENTITYFR_CSH_FLW</v>
      </c>
      <c r="R253" t="s">
        <v>35</v>
      </c>
      <c r="S253" t="s">
        <v>445</v>
      </c>
      <c r="T253" t="str">
        <f t="shared" si="17"/>
        <v>ENTITYPD_CRR_RD_T1</v>
      </c>
      <c r="U253" t="s">
        <v>2456</v>
      </c>
      <c r="V253" t="s">
        <v>2375</v>
      </c>
    </row>
    <row r="254" spans="7:22" x14ac:dyDescent="0.35">
      <c r="G254" t="s">
        <v>35</v>
      </c>
      <c r="H254" t="s">
        <v>598</v>
      </c>
      <c r="I254" t="str">
        <f t="shared" si="16"/>
        <v>ENTITYFR_CSH_FLW_T1</v>
      </c>
      <c r="R254" t="s">
        <v>785</v>
      </c>
      <c r="S254" t="s">
        <v>445</v>
      </c>
      <c r="T254" t="str">
        <f t="shared" si="17"/>
        <v>INSTRUMENTPD_CRR_RD_T1</v>
      </c>
      <c r="U254" t="s">
        <v>2456</v>
      </c>
      <c r="V254" t="s">
        <v>2375</v>
      </c>
    </row>
    <row r="255" spans="7:22" x14ac:dyDescent="0.35">
      <c r="G255" t="s">
        <v>35</v>
      </c>
      <c r="H255" t="s">
        <v>602</v>
      </c>
      <c r="I255" t="str">
        <f t="shared" si="16"/>
        <v>ENTITYFR_CSH_FLW_T2</v>
      </c>
      <c r="R255" t="s">
        <v>785</v>
      </c>
      <c r="S255" t="s">
        <v>1267</v>
      </c>
      <c r="T255" t="str">
        <f t="shared" si="17"/>
        <v>INSTRUMENTPD_IFRS9_12M_INCPTN</v>
      </c>
      <c r="U255" t="s">
        <v>2448</v>
      </c>
      <c r="V255" t="s">
        <v>2375</v>
      </c>
    </row>
    <row r="256" spans="7:22" x14ac:dyDescent="0.35">
      <c r="G256" t="s">
        <v>35</v>
      </c>
      <c r="H256" t="s">
        <v>606</v>
      </c>
      <c r="I256" t="str">
        <f t="shared" si="16"/>
        <v>ENTITYFR_CSH_FLW_T3</v>
      </c>
      <c r="R256" t="s">
        <v>35</v>
      </c>
      <c r="S256" t="s">
        <v>417</v>
      </c>
      <c r="T256" t="str">
        <f t="shared" si="17"/>
        <v>ENTITYPD_IFRS9_12M_RD</v>
      </c>
      <c r="U256" t="s">
        <v>2452</v>
      </c>
      <c r="V256" t="s">
        <v>2458</v>
      </c>
    </row>
    <row r="257" spans="7:22" x14ac:dyDescent="0.35">
      <c r="G257" t="s">
        <v>35</v>
      </c>
      <c r="H257" t="s">
        <v>100</v>
      </c>
      <c r="I257" t="str">
        <f t="shared" si="16"/>
        <v>ENTITYGCC_PRNT_ID</v>
      </c>
      <c r="R257" t="s">
        <v>785</v>
      </c>
      <c r="S257" t="s">
        <v>417</v>
      </c>
      <c r="T257" t="str">
        <f t="shared" si="17"/>
        <v>INSTRUMENTPD_IFRS9_12M_RD</v>
      </c>
      <c r="U257" t="s">
        <v>2453</v>
      </c>
      <c r="V257" t="s">
        <v>2458</v>
      </c>
    </row>
    <row r="258" spans="7:22" x14ac:dyDescent="0.35">
      <c r="G258" t="s">
        <v>35</v>
      </c>
      <c r="H258" t="s">
        <v>105</v>
      </c>
      <c r="I258" t="str">
        <f t="shared" si="16"/>
        <v>ENTITYGCC_PRNT_NM</v>
      </c>
      <c r="R258" t="s">
        <v>35</v>
      </c>
      <c r="S258" t="s">
        <v>422</v>
      </c>
      <c r="T258" t="str">
        <f t="shared" si="17"/>
        <v>ENTITYPD_IFRS9_12M_RD_T1</v>
      </c>
      <c r="U258" t="s">
        <v>2453</v>
      </c>
      <c r="V258" t="s">
        <v>2375</v>
      </c>
    </row>
    <row r="259" spans="7:22" x14ac:dyDescent="0.35">
      <c r="G259" t="s">
        <v>35</v>
      </c>
      <c r="H259" t="s">
        <v>333</v>
      </c>
      <c r="I259" t="str">
        <f t="shared" si="16"/>
        <v>ENTITYGDWILL</v>
      </c>
      <c r="R259" t="s">
        <v>785</v>
      </c>
      <c r="S259" t="s">
        <v>422</v>
      </c>
      <c r="T259" t="str">
        <f t="shared" si="17"/>
        <v>INSTRUMENTPD_IFRS9_12M_RD_T1</v>
      </c>
      <c r="U259" t="s">
        <v>2453</v>
      </c>
      <c r="V259" t="s">
        <v>2375</v>
      </c>
    </row>
    <row r="260" spans="7:22" x14ac:dyDescent="0.35">
      <c r="G260" t="s">
        <v>35</v>
      </c>
      <c r="H260" t="s">
        <v>337</v>
      </c>
      <c r="I260" t="str">
        <f t="shared" si="16"/>
        <v>ENTITYGDWILL_PRVS</v>
      </c>
      <c r="R260" t="s">
        <v>785</v>
      </c>
      <c r="S260" t="s">
        <v>1277</v>
      </c>
      <c r="T260" t="str">
        <f t="shared" si="17"/>
        <v>INSTRUMENTPD_IFRS9_LFTM_INCPTN</v>
      </c>
      <c r="U260" t="s">
        <v>2448</v>
      </c>
      <c r="V260" t="s">
        <v>2375</v>
      </c>
    </row>
    <row r="261" spans="7:22" x14ac:dyDescent="0.35">
      <c r="G261" t="s">
        <v>35</v>
      </c>
      <c r="H261" t="s">
        <v>272</v>
      </c>
      <c r="I261" t="str">
        <f t="shared" ref="I261:I324" si="18">+G261&amp;H261</f>
        <v>ENTITYGRP_EBITDA</v>
      </c>
      <c r="R261" t="s">
        <v>785</v>
      </c>
      <c r="S261" t="s">
        <v>1282</v>
      </c>
      <c r="T261" t="str">
        <f t="shared" ref="T261:T324" si="19">+R261&amp;S261</f>
        <v>INSTRUMENTPD_IFRS9_RMNNG_LFTM_INCPTN</v>
      </c>
      <c r="U261" t="s">
        <v>2448</v>
      </c>
      <c r="V261" t="s">
        <v>2375</v>
      </c>
    </row>
    <row r="262" spans="7:22" x14ac:dyDescent="0.35">
      <c r="G262" t="s">
        <v>35</v>
      </c>
      <c r="H262" t="s">
        <v>278</v>
      </c>
      <c r="I262" t="str">
        <f t="shared" si="18"/>
        <v>ENTITYGRP_EQTY</v>
      </c>
      <c r="R262" t="s">
        <v>785</v>
      </c>
      <c r="S262" t="s">
        <v>1287</v>
      </c>
      <c r="T262" t="str">
        <f t="shared" si="19"/>
        <v>INSTRUMENTPD_IFRS9_RMNNG_LFTM_RD</v>
      </c>
      <c r="U262" t="s">
        <v>2448</v>
      </c>
      <c r="V262" t="s">
        <v>2375</v>
      </c>
    </row>
    <row r="263" spans="7:22" x14ac:dyDescent="0.35">
      <c r="G263" t="s">
        <v>35</v>
      </c>
      <c r="H263" t="s">
        <v>282</v>
      </c>
      <c r="I263" t="str">
        <f t="shared" si="18"/>
        <v>ENTITYGRP_NT_DBT</v>
      </c>
      <c r="R263" t="s">
        <v>785</v>
      </c>
      <c r="S263" t="s">
        <v>1437</v>
      </c>
      <c r="T263" t="str">
        <f t="shared" si="19"/>
        <v>INSTRUMENTPMNT_PBLC_GRNT_SCHM_C19</v>
      </c>
      <c r="U263" t="s">
        <v>2448</v>
      </c>
      <c r="V263" t="s">
        <v>2375</v>
      </c>
    </row>
    <row r="264" spans="7:22" x14ac:dyDescent="0.35">
      <c r="G264" t="s">
        <v>35</v>
      </c>
      <c r="H264" t="s">
        <v>329</v>
      </c>
      <c r="I264" t="str">
        <f t="shared" si="18"/>
        <v>ENTITYGRP_TTL_DBT</v>
      </c>
      <c r="R264" t="s">
        <v>785</v>
      </c>
      <c r="S264" t="s">
        <v>876</v>
      </c>
      <c r="T264" t="str">
        <f t="shared" si="19"/>
        <v>INSTRUMENTDT_FRBRNC_STTS</v>
      </c>
      <c r="U264" t="s">
        <v>2450</v>
      </c>
      <c r="V264" t="s">
        <v>2458</v>
      </c>
    </row>
    <row r="265" spans="7:22" x14ac:dyDescent="0.35">
      <c r="G265" t="s">
        <v>35</v>
      </c>
      <c r="H265" t="s">
        <v>226</v>
      </c>
      <c r="I265" t="str">
        <f t="shared" si="18"/>
        <v>ENTITYINCM_SC</v>
      </c>
      <c r="R265" t="s">
        <v>785</v>
      </c>
      <c r="S265" t="s">
        <v>1535</v>
      </c>
      <c r="T265" t="str">
        <f t="shared" si="19"/>
        <v>INSTRUMENTPRCH_UNDR_RSL_AGR</v>
      </c>
      <c r="U265" t="s">
        <v>2448</v>
      </c>
      <c r="V265" t="s">
        <v>2375</v>
      </c>
    </row>
    <row r="266" spans="7:22" x14ac:dyDescent="0.35">
      <c r="G266" t="s">
        <v>35</v>
      </c>
      <c r="H266" t="s">
        <v>231</v>
      </c>
      <c r="I266" t="str">
        <f t="shared" si="18"/>
        <v>ENTITYINTRNL_RTNG</v>
      </c>
      <c r="R266" t="s">
        <v>785</v>
      </c>
      <c r="S266" t="s">
        <v>834</v>
      </c>
      <c r="T266" t="str">
        <f t="shared" si="19"/>
        <v>INSTRUMENTPRDCT</v>
      </c>
      <c r="U266" t="s">
        <v>2448</v>
      </c>
      <c r="V266" t="s">
        <v>2375</v>
      </c>
    </row>
    <row r="267" spans="7:22" x14ac:dyDescent="0.35">
      <c r="G267" t="s">
        <v>35</v>
      </c>
      <c r="H267" t="s">
        <v>235</v>
      </c>
      <c r="I267" t="str">
        <f t="shared" si="18"/>
        <v>ENTITYINTRNL_RTNG_PRVS</v>
      </c>
      <c r="R267" t="s">
        <v>785</v>
      </c>
      <c r="S267" t="s">
        <v>1540</v>
      </c>
      <c r="T267" t="str">
        <f t="shared" si="19"/>
        <v>INSTRUMENTPRDNTL_PRTFL</v>
      </c>
      <c r="U267" t="s">
        <v>2448</v>
      </c>
      <c r="V267" t="s">
        <v>2375</v>
      </c>
    </row>
    <row r="268" spans="7:22" x14ac:dyDescent="0.35">
      <c r="G268" t="s">
        <v>35</v>
      </c>
      <c r="H268" t="s">
        <v>111</v>
      </c>
      <c r="I268" t="str">
        <f t="shared" si="18"/>
        <v>ENTITYINTRNL_SGMNT</v>
      </c>
      <c r="R268" t="s">
        <v>785</v>
      </c>
      <c r="S268" t="s">
        <v>955</v>
      </c>
      <c r="T268" t="str">
        <f t="shared" si="19"/>
        <v>INSTRUMENTPRFRMNG_STTS</v>
      </c>
      <c r="U268" t="s">
        <v>2456</v>
      </c>
      <c r="V268" t="s">
        <v>2375</v>
      </c>
    </row>
    <row r="269" spans="7:22" x14ac:dyDescent="0.35">
      <c r="G269" t="s">
        <v>35</v>
      </c>
      <c r="H269" t="s">
        <v>116</v>
      </c>
      <c r="I269" t="str">
        <f t="shared" si="18"/>
        <v>ENTITYINTRNL_UNT</v>
      </c>
      <c r="R269" t="s">
        <v>35</v>
      </c>
      <c r="S269" t="s">
        <v>248</v>
      </c>
      <c r="T269" t="str">
        <f t="shared" si="19"/>
        <v>ENTITYPRFRMNG_STTS_LE</v>
      </c>
      <c r="U269" t="s">
        <v>2448</v>
      </c>
      <c r="V269" t="s">
        <v>2375</v>
      </c>
    </row>
    <row r="270" spans="7:22" x14ac:dyDescent="0.35">
      <c r="G270" t="s">
        <v>35</v>
      </c>
      <c r="H270" t="s">
        <v>120</v>
      </c>
      <c r="I270" t="str">
        <f t="shared" si="18"/>
        <v>ENTITYLEI</v>
      </c>
      <c r="R270" t="s">
        <v>785</v>
      </c>
      <c r="S270" t="s">
        <v>958</v>
      </c>
      <c r="T270" t="str">
        <f t="shared" si="19"/>
        <v>INSTRUMENTPRFRMNG_STTS_PRVS</v>
      </c>
      <c r="U270" t="s">
        <v>2456</v>
      </c>
      <c r="V270" t="s">
        <v>2375</v>
      </c>
    </row>
    <row r="271" spans="7:22" x14ac:dyDescent="0.35">
      <c r="G271" t="s">
        <v>35</v>
      </c>
      <c r="H271" t="s">
        <v>239</v>
      </c>
      <c r="I271" t="str">
        <f t="shared" si="18"/>
        <v>ENTITYLGL_PRCDNG_STTS_LE</v>
      </c>
      <c r="R271" t="s">
        <v>785</v>
      </c>
      <c r="S271" t="s">
        <v>963</v>
      </c>
      <c r="T271" t="str">
        <f t="shared" si="19"/>
        <v>INSTRUMENTPRJCT_FNNC_LN</v>
      </c>
      <c r="U271" t="s">
        <v>2448</v>
      </c>
      <c r="V271" t="s">
        <v>2375</v>
      </c>
    </row>
    <row r="272" spans="7:22" x14ac:dyDescent="0.35">
      <c r="G272" t="s">
        <v>35</v>
      </c>
      <c r="H272" t="s">
        <v>341</v>
      </c>
      <c r="I272" t="str">
        <f t="shared" si="18"/>
        <v>ENTITYLTI</v>
      </c>
      <c r="R272" t="s">
        <v>1952</v>
      </c>
      <c r="S272" t="s">
        <v>2094</v>
      </c>
      <c r="T272" t="str">
        <f t="shared" si="19"/>
        <v>PROTECTIONPRM_LCTN</v>
      </c>
      <c r="U272" t="s">
        <v>2448</v>
      </c>
      <c r="V272" t="s">
        <v>2375</v>
      </c>
    </row>
    <row r="273" spans="7:22" x14ac:dyDescent="0.35">
      <c r="G273" t="s">
        <v>35</v>
      </c>
      <c r="H273" t="s">
        <v>346</v>
      </c>
      <c r="I273" t="str">
        <f t="shared" si="18"/>
        <v>ENTITYLVRG</v>
      </c>
      <c r="R273" t="s">
        <v>785</v>
      </c>
      <c r="S273" t="s">
        <v>1544</v>
      </c>
      <c r="T273" t="str">
        <f t="shared" si="19"/>
        <v>INSTRUMENTPRMRY_ASST_CLSSF</v>
      </c>
      <c r="U273" t="s">
        <v>2448</v>
      </c>
      <c r="V273" t="s">
        <v>2375</v>
      </c>
    </row>
    <row r="274" spans="7:22" x14ac:dyDescent="0.35">
      <c r="G274" t="s">
        <v>35</v>
      </c>
      <c r="H274" t="s">
        <v>350</v>
      </c>
      <c r="I274" t="str">
        <f t="shared" si="18"/>
        <v>ENTITYLVRG_PRVS</v>
      </c>
      <c r="R274" t="s">
        <v>785</v>
      </c>
      <c r="S274" t="s">
        <v>967</v>
      </c>
      <c r="T274" t="str">
        <f t="shared" si="19"/>
        <v>INSTRUMENTPRPS</v>
      </c>
      <c r="U274" t="s">
        <v>2448</v>
      </c>
      <c r="V274" t="s">
        <v>2375</v>
      </c>
    </row>
    <row r="275" spans="7:22" x14ac:dyDescent="0.35">
      <c r="G275" t="s">
        <v>35</v>
      </c>
      <c r="H275" t="s">
        <v>354</v>
      </c>
      <c r="I275" t="str">
        <f t="shared" si="18"/>
        <v>ENTITYMNTHL_INCM</v>
      </c>
      <c r="R275" t="s">
        <v>35</v>
      </c>
      <c r="S275" t="s">
        <v>590</v>
      </c>
      <c r="T275" t="str">
        <f t="shared" si="19"/>
        <v>ENTITYPRSN_TYP</v>
      </c>
      <c r="U275" t="s">
        <v>2456</v>
      </c>
      <c r="V275" t="s">
        <v>2375</v>
      </c>
    </row>
    <row r="276" spans="7:22" x14ac:dyDescent="0.35">
      <c r="G276" t="s">
        <v>35</v>
      </c>
      <c r="H276" t="s">
        <v>358</v>
      </c>
      <c r="I276" t="str">
        <f t="shared" si="18"/>
        <v>ENTITYMNTHL_INCM_SLR</v>
      </c>
      <c r="R276" t="s">
        <v>785</v>
      </c>
      <c r="S276" t="s">
        <v>1548</v>
      </c>
      <c r="T276" t="str">
        <f t="shared" si="19"/>
        <v>INSTRUMENTPRT_LCR_BFFR</v>
      </c>
      <c r="U276" t="s">
        <v>2448</v>
      </c>
      <c r="V276" t="s">
        <v>2375</v>
      </c>
    </row>
    <row r="277" spans="7:22" x14ac:dyDescent="0.35">
      <c r="G277" t="s">
        <v>35</v>
      </c>
      <c r="H277" t="s">
        <v>362</v>
      </c>
      <c r="I277" t="str">
        <f t="shared" si="18"/>
        <v>ENTITYMNTHL_TRNVR</v>
      </c>
      <c r="R277" t="s">
        <v>1927</v>
      </c>
      <c r="S277" t="s">
        <v>1935</v>
      </c>
      <c r="T277" t="str">
        <f t="shared" si="19"/>
        <v>INSTR_PROTECTIONPRTCTN_ALLCTD_VL</v>
      </c>
      <c r="U277" t="s">
        <v>2448</v>
      </c>
      <c r="V277" t="s">
        <v>2375</v>
      </c>
    </row>
    <row r="278" spans="7:22" x14ac:dyDescent="0.35">
      <c r="G278" t="s">
        <v>35</v>
      </c>
      <c r="H278" t="s">
        <v>367</v>
      </c>
      <c r="I278" t="str">
        <f t="shared" si="18"/>
        <v>ENTITYNT_INCM</v>
      </c>
      <c r="R278" t="s">
        <v>1952</v>
      </c>
      <c r="S278" t="s">
        <v>1996</v>
      </c>
      <c r="T278" t="str">
        <f t="shared" si="19"/>
        <v>PROTECTIONPRTCTN_CLLD</v>
      </c>
      <c r="U278" t="s">
        <v>2453</v>
      </c>
      <c r="V278" t="s">
        <v>2375</v>
      </c>
    </row>
    <row r="279" spans="7:22" x14ac:dyDescent="0.35">
      <c r="G279" t="s">
        <v>35</v>
      </c>
      <c r="H279" t="s">
        <v>371</v>
      </c>
      <c r="I279" t="str">
        <f t="shared" si="18"/>
        <v>ENTITYNT_INCM_PRVS</v>
      </c>
      <c r="R279" t="s">
        <v>1952</v>
      </c>
      <c r="S279" t="s">
        <v>2044</v>
      </c>
      <c r="T279" t="str">
        <f t="shared" si="19"/>
        <v>PROTECTIONPRTCTN_FRCD_SL_VL</v>
      </c>
      <c r="U279" t="s">
        <v>2448</v>
      </c>
      <c r="V279" t="s">
        <v>2375</v>
      </c>
    </row>
    <row r="280" spans="7:22" x14ac:dyDescent="0.35">
      <c r="G280" t="s">
        <v>35</v>
      </c>
      <c r="H280" t="s">
        <v>441</v>
      </c>
      <c r="I280" t="str">
        <f t="shared" si="18"/>
        <v>ENTITYOSI_ID</v>
      </c>
      <c r="R280" t="s">
        <v>1927</v>
      </c>
      <c r="S280" t="s">
        <v>1931</v>
      </c>
      <c r="T280" t="str">
        <f t="shared" si="19"/>
        <v>INSTR_PROTECTIONPRTCTN_ID</v>
      </c>
      <c r="U280" t="s">
        <v>2453</v>
      </c>
      <c r="V280" t="s">
        <v>2375</v>
      </c>
    </row>
    <row r="281" spans="7:22" x14ac:dyDescent="0.35">
      <c r="G281" t="s">
        <v>35</v>
      </c>
      <c r="H281" t="s">
        <v>244</v>
      </c>
      <c r="I281" t="str">
        <f t="shared" si="18"/>
        <v>ENTITYOWND_BY_SPNSR</v>
      </c>
      <c r="R281" t="s">
        <v>1952</v>
      </c>
      <c r="S281" t="s">
        <v>1931</v>
      </c>
      <c r="T281" t="str">
        <f t="shared" si="19"/>
        <v>PROTECTIONPRTCTN_ID</v>
      </c>
      <c r="U281" t="s">
        <v>2453</v>
      </c>
      <c r="V281" t="s">
        <v>2375</v>
      </c>
    </row>
    <row r="282" spans="7:22" x14ac:dyDescent="0.35">
      <c r="G282" t="s">
        <v>35</v>
      </c>
      <c r="H282" t="s">
        <v>411</v>
      </c>
      <c r="I282" t="str">
        <f t="shared" si="18"/>
        <v>ENTITYPD_CRR_RD</v>
      </c>
      <c r="R282" t="s">
        <v>1952</v>
      </c>
      <c r="S282" t="s">
        <v>1967</v>
      </c>
      <c r="T282" t="str">
        <f t="shared" si="19"/>
        <v>PROTECTIONPRTCTN_PRVDR_ID</v>
      </c>
      <c r="U282" t="s">
        <v>2453</v>
      </c>
      <c r="V282" t="s">
        <v>2375</v>
      </c>
    </row>
    <row r="283" spans="7:22" x14ac:dyDescent="0.35">
      <c r="G283" t="s">
        <v>35</v>
      </c>
      <c r="H283" t="s">
        <v>445</v>
      </c>
      <c r="I283" t="str">
        <f t="shared" si="18"/>
        <v>ENTITYPD_CRR_RD_T1</v>
      </c>
      <c r="R283" t="s">
        <v>1952</v>
      </c>
      <c r="S283" t="s">
        <v>2111</v>
      </c>
      <c r="T283" t="str">
        <f t="shared" si="19"/>
        <v>PROTECTIONPRTCTN_TYP_PBLC_GRNT_SCHM_C19</v>
      </c>
      <c r="U283" t="s">
        <v>2453</v>
      </c>
      <c r="V283" t="s">
        <v>2375</v>
      </c>
    </row>
    <row r="284" spans="7:22" x14ac:dyDescent="0.35">
      <c r="G284" t="s">
        <v>35</v>
      </c>
      <c r="H284" t="s">
        <v>417</v>
      </c>
      <c r="I284" t="str">
        <f t="shared" si="18"/>
        <v>ENTITYPD_IFRS9_12M_RD</v>
      </c>
      <c r="R284" t="s">
        <v>35</v>
      </c>
      <c r="S284" t="s">
        <v>155</v>
      </c>
      <c r="T284" t="str">
        <f t="shared" si="19"/>
        <v>ENTITYDT_EXTRNL_RTNG</v>
      </c>
      <c r="U284" t="s">
        <v>2450</v>
      </c>
      <c r="V284" t="s">
        <v>2458</v>
      </c>
    </row>
    <row r="285" spans="7:22" x14ac:dyDescent="0.35">
      <c r="G285" t="s">
        <v>35</v>
      </c>
      <c r="H285" t="s">
        <v>422</v>
      </c>
      <c r="I285" t="str">
        <f t="shared" si="18"/>
        <v>ENTITYPD_IFRS9_12M_RD_T1</v>
      </c>
      <c r="R285" t="s">
        <v>1952</v>
      </c>
      <c r="S285" t="s">
        <v>2039</v>
      </c>
      <c r="T285" t="str">
        <f t="shared" si="19"/>
        <v>PROTECTIONORGNL_PRTCTN_VL</v>
      </c>
      <c r="U285" t="s">
        <v>2456</v>
      </c>
      <c r="V285" t="s">
        <v>2375</v>
      </c>
    </row>
    <row r="286" spans="7:22" x14ac:dyDescent="0.35">
      <c r="G286" t="s">
        <v>35</v>
      </c>
      <c r="H286" t="s">
        <v>248</v>
      </c>
      <c r="I286" t="str">
        <f t="shared" si="18"/>
        <v>ENTITYPRFRMNG_STTS_LE</v>
      </c>
      <c r="R286" t="s">
        <v>1952</v>
      </c>
      <c r="S286" t="s">
        <v>2067</v>
      </c>
      <c r="T286" t="str">
        <f t="shared" si="19"/>
        <v>PROTECTIONPRTCTN_VL_PRVS</v>
      </c>
      <c r="U286" t="s">
        <v>2448</v>
      </c>
      <c r="V286" t="s">
        <v>2375</v>
      </c>
    </row>
    <row r="287" spans="7:22" x14ac:dyDescent="0.35">
      <c r="G287" t="s">
        <v>35</v>
      </c>
      <c r="H287" t="s">
        <v>590</v>
      </c>
      <c r="I287" t="str">
        <f t="shared" si="18"/>
        <v>ENTITYPRSN_TYP</v>
      </c>
      <c r="R287" t="s">
        <v>1952</v>
      </c>
      <c r="S287" t="s">
        <v>2058</v>
      </c>
      <c r="T287" t="str">
        <f t="shared" si="19"/>
        <v>PROTECTIONPRTCTN_VLTN_APPRCH</v>
      </c>
      <c r="U287" t="s">
        <v>2453</v>
      </c>
      <c r="V287" t="s">
        <v>2375</v>
      </c>
    </row>
    <row r="288" spans="7:22" x14ac:dyDescent="0.35">
      <c r="G288" t="s">
        <v>35</v>
      </c>
      <c r="H288" t="s">
        <v>252</v>
      </c>
      <c r="I288" t="str">
        <f t="shared" si="18"/>
        <v>ENTITYRTNG_MTHD</v>
      </c>
      <c r="R288" t="s">
        <v>785</v>
      </c>
      <c r="S288" t="s">
        <v>1120</v>
      </c>
      <c r="T288" t="str">
        <f t="shared" si="19"/>
        <v>INSTRUMENTPRVSNS_OFF_BLNC_SHT</v>
      </c>
      <c r="U288" t="s">
        <v>2448</v>
      </c>
      <c r="V288" t="s">
        <v>2375</v>
      </c>
    </row>
    <row r="289" spans="7:22" x14ac:dyDescent="0.35">
      <c r="G289" t="s">
        <v>35</v>
      </c>
      <c r="H289" t="s">
        <v>257</v>
      </c>
      <c r="I289" t="str">
        <f t="shared" si="18"/>
        <v>ENTITYRTNG_SCL</v>
      </c>
      <c r="R289" t="s">
        <v>785</v>
      </c>
      <c r="S289" t="s">
        <v>1124</v>
      </c>
      <c r="T289" t="str">
        <f t="shared" si="19"/>
        <v>INSTRUMENTPYMNT_FRQNCY</v>
      </c>
      <c r="U289" t="s">
        <v>2449</v>
      </c>
      <c r="V289" t="s">
        <v>2375</v>
      </c>
    </row>
    <row r="290" spans="7:22" x14ac:dyDescent="0.35">
      <c r="G290" t="s">
        <v>35</v>
      </c>
      <c r="H290" t="s">
        <v>267</v>
      </c>
      <c r="I290" t="str">
        <f t="shared" si="18"/>
        <v>ENTITYSNGL_PRPS_VHCL</v>
      </c>
      <c r="R290" t="s">
        <v>785</v>
      </c>
      <c r="S290" t="s">
        <v>971</v>
      </c>
      <c r="T290" t="str">
        <f t="shared" si="19"/>
        <v>INSTRUMENTPYMNT_INTRST_ONLY</v>
      </c>
      <c r="U290" t="s">
        <v>2452</v>
      </c>
      <c r="V290" t="s">
        <v>2458</v>
      </c>
    </row>
    <row r="291" spans="7:22" x14ac:dyDescent="0.35">
      <c r="G291" t="s">
        <v>35</v>
      </c>
      <c r="H291" t="s">
        <v>427</v>
      </c>
      <c r="I291" t="str">
        <f t="shared" si="18"/>
        <v>ENTITYTAX_ID</v>
      </c>
      <c r="R291" t="s">
        <v>785</v>
      </c>
      <c r="S291" t="s">
        <v>975</v>
      </c>
      <c r="T291" t="str">
        <f t="shared" si="19"/>
        <v>INSTRUMENTRCRS</v>
      </c>
      <c r="U291" t="s">
        <v>2448</v>
      </c>
      <c r="V291" t="s">
        <v>2375</v>
      </c>
    </row>
    <row r="292" spans="7:22" x14ac:dyDescent="0.35">
      <c r="G292" t="s">
        <v>35</v>
      </c>
      <c r="H292" t="s">
        <v>375</v>
      </c>
      <c r="I292" t="str">
        <f t="shared" si="18"/>
        <v>ENTITYTTL_DBT</v>
      </c>
      <c r="R292" t="s">
        <v>785</v>
      </c>
      <c r="S292" t="s">
        <v>1319</v>
      </c>
      <c r="T292" t="str">
        <f t="shared" si="19"/>
        <v>INSTRUMENTRCVD_AMRTSTN_12M</v>
      </c>
      <c r="U292" t="s">
        <v>2453</v>
      </c>
      <c r="V292" t="s">
        <v>2458</v>
      </c>
    </row>
    <row r="293" spans="7:22" x14ac:dyDescent="0.35">
      <c r="G293" t="s">
        <v>35</v>
      </c>
      <c r="H293" t="s">
        <v>379</v>
      </c>
      <c r="I293" t="str">
        <f t="shared" si="18"/>
        <v>ENTITYTTL_DBT_PRVS</v>
      </c>
      <c r="R293" t="s">
        <v>785</v>
      </c>
      <c r="S293" t="s">
        <v>1323</v>
      </c>
      <c r="T293" t="str">
        <f t="shared" si="19"/>
        <v>INSTRUMENTRCVD_AMRTSTN_24M</v>
      </c>
      <c r="U293" t="s">
        <v>2448</v>
      </c>
      <c r="V293" t="s">
        <v>2375</v>
      </c>
    </row>
    <row r="294" spans="7:22" x14ac:dyDescent="0.35">
      <c r="G294" t="s">
        <v>35</v>
      </c>
      <c r="H294" t="s">
        <v>383</v>
      </c>
      <c r="I294" t="str">
        <f t="shared" si="18"/>
        <v>ENTITYTTL_INTRST_PD</v>
      </c>
      <c r="R294" t="s">
        <v>1952</v>
      </c>
      <c r="S294" t="s">
        <v>2077</v>
      </c>
      <c r="T294" t="str">
        <f t="shared" si="19"/>
        <v>PROTECTIONDT_CNSTRCTN_STTS</v>
      </c>
      <c r="U294" t="s">
        <v>2450</v>
      </c>
      <c r="V294" t="s">
        <v>2375</v>
      </c>
    </row>
    <row r="295" spans="7:22" x14ac:dyDescent="0.35">
      <c r="G295" t="s">
        <v>35</v>
      </c>
      <c r="H295" t="s">
        <v>387</v>
      </c>
      <c r="I295" t="str">
        <f t="shared" si="18"/>
        <v>ENTITYTTL_LVRG_RT</v>
      </c>
      <c r="R295" t="s">
        <v>785</v>
      </c>
      <c r="S295" t="s">
        <v>859</v>
      </c>
      <c r="T295" t="str">
        <f t="shared" si="19"/>
        <v>INSTRUMENTDFLT_STTS_INSTRMNT</v>
      </c>
      <c r="U295" t="s">
        <v>2450</v>
      </c>
      <c r="V295" t="s">
        <v>2458</v>
      </c>
    </row>
    <row r="296" spans="7:22" x14ac:dyDescent="0.35">
      <c r="G296" t="s">
        <v>35</v>
      </c>
      <c r="H296" t="s">
        <v>391</v>
      </c>
      <c r="I296" t="str">
        <f t="shared" si="18"/>
        <v>ENTITYTTL_LVRG_RT_PRVS</v>
      </c>
      <c r="R296" t="s">
        <v>785</v>
      </c>
      <c r="S296" t="s">
        <v>1053</v>
      </c>
      <c r="T296" t="str">
        <f t="shared" si="19"/>
        <v>INSTRUMENTCMMTMNT_INSTRMNT</v>
      </c>
      <c r="U296" t="s">
        <v>2450</v>
      </c>
      <c r="V296" t="s">
        <v>2375</v>
      </c>
    </row>
    <row r="297" spans="7:22" x14ac:dyDescent="0.35">
      <c r="G297" t="s">
        <v>35</v>
      </c>
      <c r="H297" t="s">
        <v>262</v>
      </c>
      <c r="I297" t="str">
        <f t="shared" si="18"/>
        <v>ENTITYWTCH_LST</v>
      </c>
      <c r="R297" t="s">
        <v>785</v>
      </c>
      <c r="S297" t="s">
        <v>1807</v>
      </c>
      <c r="T297" t="str">
        <f t="shared" si="19"/>
        <v>INSTRUMENTRFRNC_RT</v>
      </c>
      <c r="U297" t="s">
        <v>2448</v>
      </c>
      <c r="V297" t="s">
        <v>2375</v>
      </c>
    </row>
    <row r="298" spans="7:22" x14ac:dyDescent="0.35">
      <c r="G298" t="s">
        <v>1952</v>
      </c>
      <c r="H298" t="s">
        <v>2015</v>
      </c>
      <c r="I298" t="str">
        <f t="shared" si="18"/>
        <v>PROTECTIONAPPRSL_CRRNCY</v>
      </c>
      <c r="R298" t="s">
        <v>1952</v>
      </c>
      <c r="S298" t="s">
        <v>1972</v>
      </c>
      <c r="T298" t="str">
        <f t="shared" si="19"/>
        <v>PROTECTIONRL_ESTT_ADDRSS</v>
      </c>
      <c r="U298" t="s">
        <v>2453</v>
      </c>
      <c r="V298" t="s">
        <v>2375</v>
      </c>
    </row>
    <row r="299" spans="7:22" x14ac:dyDescent="0.35">
      <c r="G299" t="s">
        <v>1952</v>
      </c>
      <c r="H299" t="s">
        <v>2020</v>
      </c>
      <c r="I299" t="str">
        <f t="shared" si="18"/>
        <v>PROTECTIONAPPRSR</v>
      </c>
      <c r="R299" t="s">
        <v>785</v>
      </c>
      <c r="S299" t="s">
        <v>1166</v>
      </c>
      <c r="T299" t="str">
        <f t="shared" si="19"/>
        <v>INSTRUMENTCMLTV_RCVRS_SNC_DFLT_INSTRMNT</v>
      </c>
      <c r="U299" t="s">
        <v>2450</v>
      </c>
      <c r="V299" t="s">
        <v>2375</v>
      </c>
    </row>
    <row r="300" spans="7:22" x14ac:dyDescent="0.35">
      <c r="G300" t="s">
        <v>1952</v>
      </c>
      <c r="H300" t="s">
        <v>2073</v>
      </c>
      <c r="I300" t="str">
        <f t="shared" si="18"/>
        <v>PROTECTIONCNSTRCTN_STTS</v>
      </c>
      <c r="R300" t="s">
        <v>1952</v>
      </c>
      <c r="S300" t="s">
        <v>1980</v>
      </c>
      <c r="T300" t="str">
        <f t="shared" si="19"/>
        <v>PROTECTIONRL_ESTT_CLLTRL_LCTN_INT</v>
      </c>
      <c r="U300" t="s">
        <v>2453</v>
      </c>
      <c r="V300" t="s">
        <v>2375</v>
      </c>
    </row>
    <row r="301" spans="7:22" x14ac:dyDescent="0.35">
      <c r="G301" t="s">
        <v>1952</v>
      </c>
      <c r="H301" t="s">
        <v>38</v>
      </c>
      <c r="I301" t="str">
        <f t="shared" si="18"/>
        <v>PROTECTIONCOD_SOC</v>
      </c>
      <c r="R301" t="s">
        <v>1952</v>
      </c>
      <c r="S301" t="s">
        <v>1985</v>
      </c>
      <c r="T301" t="str">
        <f t="shared" si="19"/>
        <v>PROTECTIONRL_ESTT_CTY</v>
      </c>
      <c r="U301" t="s">
        <v>2453</v>
      </c>
      <c r="V301" t="s">
        <v>2375</v>
      </c>
    </row>
    <row r="302" spans="7:22" x14ac:dyDescent="0.35">
      <c r="G302" t="s">
        <v>1952</v>
      </c>
      <c r="H302" t="s">
        <v>2099</v>
      </c>
      <c r="I302" t="str">
        <f t="shared" si="18"/>
        <v>PROTECTIONCRE_INCM_CRRNCY</v>
      </c>
      <c r="R302" t="s">
        <v>1952</v>
      </c>
      <c r="S302" t="s">
        <v>1989</v>
      </c>
      <c r="T302" t="str">
        <f t="shared" si="19"/>
        <v>PROTECTIONRL_ESTT_PST_CD</v>
      </c>
      <c r="U302" t="s">
        <v>2453</v>
      </c>
      <c r="V302" t="s">
        <v>2375</v>
      </c>
    </row>
    <row r="303" spans="7:22" x14ac:dyDescent="0.35">
      <c r="G303" t="s">
        <v>1952</v>
      </c>
      <c r="H303" t="s">
        <v>2103</v>
      </c>
      <c r="I303" t="str">
        <f t="shared" si="18"/>
        <v>PROTECTIONCRE_YRLY_EXPNSS</v>
      </c>
      <c r="R303" t="s">
        <v>785</v>
      </c>
      <c r="S303" t="s">
        <v>800</v>
      </c>
      <c r="T303" t="str">
        <f t="shared" si="19"/>
        <v>INSTRUMENTRRE_FNRP18</v>
      </c>
      <c r="U303" t="s">
        <v>2448</v>
      </c>
      <c r="V303" t="s">
        <v>2375</v>
      </c>
    </row>
    <row r="304" spans="7:22" x14ac:dyDescent="0.35">
      <c r="G304" t="s">
        <v>1952</v>
      </c>
      <c r="H304" t="s">
        <v>2107</v>
      </c>
      <c r="I304" t="str">
        <f t="shared" si="18"/>
        <v>PROTECTIONCRE_YRLY_INCM</v>
      </c>
      <c r="R304" t="s">
        <v>35</v>
      </c>
      <c r="S304" t="s">
        <v>252</v>
      </c>
      <c r="T304" t="str">
        <f t="shared" si="19"/>
        <v>ENTITYRTNG_MTHD</v>
      </c>
      <c r="U304" t="s">
        <v>2456</v>
      </c>
      <c r="V304" t="s">
        <v>2458</v>
      </c>
    </row>
    <row r="305" spans="7:22" x14ac:dyDescent="0.35">
      <c r="G305" t="s">
        <v>1952</v>
      </c>
      <c r="H305" t="s">
        <v>2062</v>
      </c>
      <c r="I305" t="str">
        <f t="shared" si="18"/>
        <v>PROTECTIONDT_APPRSL_PRVS</v>
      </c>
      <c r="R305" t="s">
        <v>785</v>
      </c>
      <c r="S305" t="s">
        <v>252</v>
      </c>
      <c r="T305" t="str">
        <f t="shared" si="19"/>
        <v>INSTRUMENTRTNG_MTHD</v>
      </c>
      <c r="U305" t="s">
        <v>2456</v>
      </c>
      <c r="V305" t="s">
        <v>2458</v>
      </c>
    </row>
    <row r="306" spans="7:22" x14ac:dyDescent="0.35">
      <c r="G306" t="s">
        <v>1952</v>
      </c>
      <c r="H306" t="s">
        <v>2077</v>
      </c>
      <c r="I306" t="str">
        <f t="shared" si="18"/>
        <v>PROTECTIONDT_CNSTRCTN_STTS</v>
      </c>
      <c r="R306" t="s">
        <v>35</v>
      </c>
      <c r="S306" t="s">
        <v>257</v>
      </c>
      <c r="T306" t="str">
        <f t="shared" si="19"/>
        <v>ENTITYRTNG_SCL</v>
      </c>
      <c r="U306" t="s">
        <v>2448</v>
      </c>
      <c r="V306" t="s">
        <v>2375</v>
      </c>
    </row>
    <row r="307" spans="7:22" x14ac:dyDescent="0.35">
      <c r="G307" t="s">
        <v>1952</v>
      </c>
      <c r="H307" t="s">
        <v>2082</v>
      </c>
      <c r="I307" t="str">
        <f t="shared" si="18"/>
        <v>PROTECTIONDT_FRST_USG</v>
      </c>
      <c r="R307" t="s">
        <v>785</v>
      </c>
      <c r="S307" t="s">
        <v>257</v>
      </c>
      <c r="T307" t="str">
        <f t="shared" si="19"/>
        <v>INSTRUMENTRTNG_SCL</v>
      </c>
      <c r="U307" t="s">
        <v>2448</v>
      </c>
      <c r="V307" t="s">
        <v>2375</v>
      </c>
    </row>
    <row r="308" spans="7:22" x14ac:dyDescent="0.35">
      <c r="G308" t="s">
        <v>1952</v>
      </c>
      <c r="H308" t="s">
        <v>2025</v>
      </c>
      <c r="I308" t="str">
        <f t="shared" si="18"/>
        <v>PROTECTIONDT_LST_FLL_APPRSL</v>
      </c>
      <c r="R308" t="s">
        <v>785</v>
      </c>
      <c r="S308" t="s">
        <v>1128</v>
      </c>
      <c r="T308" t="str">
        <f t="shared" si="19"/>
        <v>INSTRUMENTRTNTN_SHR</v>
      </c>
      <c r="U308" t="s">
        <v>2457</v>
      </c>
      <c r="V308" t="s">
        <v>2458</v>
      </c>
    </row>
    <row r="309" spans="7:22" x14ac:dyDescent="0.35">
      <c r="G309" t="s">
        <v>1952</v>
      </c>
      <c r="H309" t="s">
        <v>1954</v>
      </c>
      <c r="I309" t="str">
        <f t="shared" si="18"/>
        <v>PROTECTIONDT_MTRTY_PRTCTN</v>
      </c>
      <c r="R309" t="s">
        <v>785</v>
      </c>
      <c r="S309" t="s">
        <v>1132</v>
      </c>
      <c r="T309" t="str">
        <f t="shared" si="19"/>
        <v>INSTRUMENTRWA</v>
      </c>
      <c r="U309" t="s">
        <v>2456</v>
      </c>
      <c r="V309" t="s">
        <v>2458</v>
      </c>
    </row>
    <row r="310" spans="7:22" x14ac:dyDescent="0.35">
      <c r="G310" t="s">
        <v>1952</v>
      </c>
      <c r="H310" t="s">
        <v>2029</v>
      </c>
      <c r="I310" t="str">
        <f t="shared" si="18"/>
        <v>PROTECTIONDT_ORGNL_PRTCTN_VL</v>
      </c>
      <c r="R310" t="s">
        <v>785</v>
      </c>
      <c r="S310" t="s">
        <v>1065</v>
      </c>
      <c r="T310" t="str">
        <f t="shared" si="19"/>
        <v>INSTRUMENTDT_LGL_FNL_MTRTY</v>
      </c>
      <c r="U310" t="s">
        <v>2449</v>
      </c>
      <c r="V310" t="s">
        <v>2458</v>
      </c>
    </row>
    <row r="311" spans="7:22" x14ac:dyDescent="0.35">
      <c r="G311" t="s">
        <v>1952</v>
      </c>
      <c r="H311" t="s">
        <v>2034</v>
      </c>
      <c r="I311" t="str">
        <f t="shared" si="18"/>
        <v>PROTECTIONDT_PRTCTN_VL</v>
      </c>
      <c r="R311" t="s">
        <v>785</v>
      </c>
      <c r="S311" t="s">
        <v>1428</v>
      </c>
      <c r="T311" t="str">
        <f t="shared" si="19"/>
        <v>INSTRUMENTSBJCT_PBLC_GRNT_SCHM_C19</v>
      </c>
      <c r="U311" t="s">
        <v>2448</v>
      </c>
      <c r="V311" t="s">
        <v>2375</v>
      </c>
    </row>
    <row r="312" spans="7:22" x14ac:dyDescent="0.35">
      <c r="G312" t="s">
        <v>1952</v>
      </c>
      <c r="H312" t="s">
        <v>91</v>
      </c>
      <c r="I312" t="str">
        <f t="shared" si="18"/>
        <v>PROTECTIONDT_RFRNC</v>
      </c>
      <c r="R312" t="s">
        <v>785</v>
      </c>
      <c r="S312" t="s">
        <v>1070</v>
      </c>
      <c r="T312" t="str">
        <f t="shared" si="19"/>
        <v>INSTRUMENTDT_NXT_INTRST_RT_RST</v>
      </c>
      <c r="U312" t="s">
        <v>2449</v>
      </c>
      <c r="V312" t="s">
        <v>2375</v>
      </c>
    </row>
    <row r="313" spans="7:22" x14ac:dyDescent="0.35">
      <c r="G313" t="s">
        <v>1952</v>
      </c>
      <c r="H313" t="s">
        <v>2086</v>
      </c>
      <c r="I313" t="str">
        <f t="shared" si="18"/>
        <v>PROTECTIONDVLPMNT_STTS</v>
      </c>
      <c r="R313" t="s">
        <v>785</v>
      </c>
      <c r="S313" t="s">
        <v>796</v>
      </c>
      <c r="T313" t="str">
        <f t="shared" si="19"/>
        <v>INSTRUMENTSME_FNRP18</v>
      </c>
      <c r="U313" t="s">
        <v>2448</v>
      </c>
      <c r="V313" t="s">
        <v>2375</v>
      </c>
    </row>
    <row r="314" spans="7:22" x14ac:dyDescent="0.35">
      <c r="G314" t="s">
        <v>1952</v>
      </c>
      <c r="H314" t="s">
        <v>1992</v>
      </c>
      <c r="I314" t="str">
        <f t="shared" si="18"/>
        <v>PROTECTIONHRCT_MV</v>
      </c>
      <c r="R314" t="s">
        <v>35</v>
      </c>
      <c r="S314" t="s">
        <v>267</v>
      </c>
      <c r="T314" t="str">
        <f t="shared" si="19"/>
        <v>ENTITYSNGL_PRPS_VHCL</v>
      </c>
      <c r="U314" t="s">
        <v>2448</v>
      </c>
      <c r="V314" t="s">
        <v>2375</v>
      </c>
    </row>
    <row r="315" spans="7:22" x14ac:dyDescent="0.35">
      <c r="G315" t="s">
        <v>1952</v>
      </c>
      <c r="H315" t="s">
        <v>2090</v>
      </c>
      <c r="I315" t="str">
        <f t="shared" si="18"/>
        <v>PROTECTIONMN_PRPS</v>
      </c>
      <c r="R315" t="s">
        <v>785</v>
      </c>
      <c r="S315" t="s">
        <v>984</v>
      </c>
      <c r="T315" t="str">
        <f t="shared" si="19"/>
        <v>INSTRUMENTSPCLTV_LNDNG</v>
      </c>
      <c r="U315" t="s">
        <v>2453</v>
      </c>
      <c r="V315" t="s">
        <v>2375</v>
      </c>
    </row>
    <row r="316" spans="7:22" x14ac:dyDescent="0.35">
      <c r="G316" t="s">
        <v>1952</v>
      </c>
      <c r="H316" t="s">
        <v>1960</v>
      </c>
      <c r="I316" t="str">
        <f t="shared" si="18"/>
        <v>PROTECTIONNTNL_ID</v>
      </c>
      <c r="R316" t="s">
        <v>785</v>
      </c>
      <c r="S316" t="s">
        <v>1141</v>
      </c>
      <c r="T316" t="str">
        <f t="shared" si="19"/>
        <v>INSTRUMENTSPNSR_NM</v>
      </c>
      <c r="U316" t="s">
        <v>2454</v>
      </c>
      <c r="V316" t="s">
        <v>2459</v>
      </c>
    </row>
    <row r="317" spans="7:22" x14ac:dyDescent="0.35">
      <c r="G317" t="s">
        <v>1952</v>
      </c>
      <c r="H317" t="s">
        <v>2039</v>
      </c>
      <c r="I317" t="str">
        <f t="shared" si="18"/>
        <v>PROTECTIONORGNL_PRTCTN_VL</v>
      </c>
      <c r="R317" t="s">
        <v>785</v>
      </c>
      <c r="S317" t="s">
        <v>1556</v>
      </c>
      <c r="T317" t="str">
        <f t="shared" si="19"/>
        <v>INSTRUMENTSPRD</v>
      </c>
      <c r="U317" t="s">
        <v>2448</v>
      </c>
      <c r="V317" t="s">
        <v>2375</v>
      </c>
    </row>
    <row r="318" spans="7:22" x14ac:dyDescent="0.35">
      <c r="G318" t="s">
        <v>1952</v>
      </c>
      <c r="H318" t="s">
        <v>2094</v>
      </c>
      <c r="I318" t="str">
        <f t="shared" si="18"/>
        <v>PROTECTIONPRM_LCTN</v>
      </c>
      <c r="R318" t="s">
        <v>785</v>
      </c>
      <c r="S318" t="s">
        <v>1561</v>
      </c>
      <c r="T318" t="str">
        <f t="shared" si="19"/>
        <v>INSTRUMENTSRCS_ENCMBRNC</v>
      </c>
      <c r="U318" t="s">
        <v>2448</v>
      </c>
      <c r="V318" t="s">
        <v>2375</v>
      </c>
    </row>
    <row r="319" spans="7:22" x14ac:dyDescent="0.35">
      <c r="G319" t="s">
        <v>1952</v>
      </c>
      <c r="H319" t="s">
        <v>1996</v>
      </c>
      <c r="I319" t="str">
        <f t="shared" si="18"/>
        <v>PROTECTIONPRTCTN_CLLD</v>
      </c>
      <c r="R319" t="s">
        <v>785</v>
      </c>
      <c r="S319" t="s">
        <v>989</v>
      </c>
      <c r="T319" t="str">
        <f t="shared" si="19"/>
        <v>INSTRUMENTSTTS_UNDRWRTTN_TRNSCTN</v>
      </c>
      <c r="U319" t="s">
        <v>2457</v>
      </c>
      <c r="V319" t="s">
        <v>2458</v>
      </c>
    </row>
    <row r="320" spans="7:22" x14ac:dyDescent="0.35">
      <c r="G320" t="s">
        <v>1952</v>
      </c>
      <c r="H320" t="s">
        <v>2044</v>
      </c>
      <c r="I320" t="str">
        <f t="shared" si="18"/>
        <v>PROTECTIONPRTCTN_FRCD_SL_VL</v>
      </c>
      <c r="R320" t="s">
        <v>785</v>
      </c>
      <c r="S320" t="s">
        <v>788</v>
      </c>
      <c r="T320" t="str">
        <f t="shared" si="19"/>
        <v>INSTRUMENTSUBPORTFOLIO_ID</v>
      </c>
      <c r="U320" t="s">
        <v>2448</v>
      </c>
      <c r="V320" t="s">
        <v>2375</v>
      </c>
    </row>
    <row r="321" spans="7:22" x14ac:dyDescent="0.35">
      <c r="G321" t="s">
        <v>1952</v>
      </c>
      <c r="H321" t="s">
        <v>1931</v>
      </c>
      <c r="I321" t="str">
        <f t="shared" si="18"/>
        <v>PROTECTIONPRTCTN_ID</v>
      </c>
      <c r="R321" t="s">
        <v>785</v>
      </c>
      <c r="S321" t="s">
        <v>1335</v>
      </c>
      <c r="T321" t="str">
        <f t="shared" si="19"/>
        <v>INSTRUMENTSYNDCT_RL</v>
      </c>
      <c r="U321" t="s">
        <v>2457</v>
      </c>
      <c r="V321" t="s">
        <v>2458</v>
      </c>
    </row>
    <row r="322" spans="7:22" x14ac:dyDescent="0.35">
      <c r="G322" t="s">
        <v>1952</v>
      </c>
      <c r="H322" t="s">
        <v>1967</v>
      </c>
      <c r="I322" t="str">
        <f t="shared" si="18"/>
        <v>PROTECTIONPRTCTN_PRVDR_ID</v>
      </c>
      <c r="R322" t="s">
        <v>785</v>
      </c>
      <c r="S322" t="s">
        <v>1339</v>
      </c>
      <c r="T322" t="str">
        <f t="shared" si="19"/>
        <v>INSTRUMENTSYNDCTD_AGNT</v>
      </c>
      <c r="U322" t="s">
        <v>2457</v>
      </c>
      <c r="V322" t="s">
        <v>2458</v>
      </c>
    </row>
    <row r="323" spans="7:22" x14ac:dyDescent="0.35">
      <c r="G323" t="s">
        <v>1952</v>
      </c>
      <c r="H323" t="s">
        <v>2111</v>
      </c>
      <c r="I323" t="str">
        <f t="shared" si="18"/>
        <v>PROTECTIONPRTCTN_TYP_PBLC_GRNT_SCHM_C19</v>
      </c>
      <c r="R323" t="s">
        <v>785</v>
      </c>
      <c r="S323" t="s">
        <v>1343</v>
      </c>
      <c r="T323" t="str">
        <f t="shared" si="19"/>
        <v>INSTRUMENTSYNDCTD_CNTRCT_ID</v>
      </c>
      <c r="U323" t="s">
        <v>2457</v>
      </c>
      <c r="V323" t="s">
        <v>2458</v>
      </c>
    </row>
    <row r="324" spans="7:22" x14ac:dyDescent="0.35">
      <c r="G324" t="s">
        <v>1952</v>
      </c>
      <c r="H324" t="s">
        <v>2048</v>
      </c>
      <c r="I324" t="str">
        <f t="shared" si="18"/>
        <v>PROTECTIONPRTCTN_VL</v>
      </c>
      <c r="R324" t="s">
        <v>785</v>
      </c>
      <c r="S324" t="s">
        <v>1347</v>
      </c>
      <c r="T324" t="str">
        <f t="shared" si="19"/>
        <v>INSTRUMENTSYNDCTD_LNDRS</v>
      </c>
      <c r="U324" t="s">
        <v>2457</v>
      </c>
      <c r="V324" t="s">
        <v>2458</v>
      </c>
    </row>
    <row r="325" spans="7:22" x14ac:dyDescent="0.35">
      <c r="G325" t="s">
        <v>1952</v>
      </c>
      <c r="H325" t="s">
        <v>2053</v>
      </c>
      <c r="I325" t="str">
        <f t="shared" ref="I325:I349" si="20">+G325&amp;H325</f>
        <v>PROTECTIONPRTCTN_VL_NPE</v>
      </c>
      <c r="R325" t="s">
        <v>785</v>
      </c>
      <c r="S325" t="s">
        <v>1351</v>
      </c>
      <c r="T325" t="str">
        <f t="shared" ref="T325:T382" si="21">+R325&amp;S325</f>
        <v>INSTRUMENTSYNDCTD_SHR</v>
      </c>
      <c r="U325" t="s">
        <v>2457</v>
      </c>
      <c r="V325" t="s">
        <v>2458</v>
      </c>
    </row>
    <row r="326" spans="7:22" x14ac:dyDescent="0.35">
      <c r="G326" t="s">
        <v>1952</v>
      </c>
      <c r="H326" t="s">
        <v>2067</v>
      </c>
      <c r="I326" t="str">
        <f t="shared" si="20"/>
        <v>PROTECTIONPRTCTN_VL_PRVS</v>
      </c>
      <c r="R326" t="s">
        <v>785</v>
      </c>
      <c r="S326" t="s">
        <v>1355</v>
      </c>
      <c r="T326" t="str">
        <f t="shared" si="21"/>
        <v>INSTRUMENTSYNDCTN_TYP</v>
      </c>
      <c r="U326" t="s">
        <v>2457</v>
      </c>
      <c r="V326" t="s">
        <v>2458</v>
      </c>
    </row>
    <row r="327" spans="7:22" x14ac:dyDescent="0.35">
      <c r="G327" t="s">
        <v>1952</v>
      </c>
      <c r="H327" t="s">
        <v>2058</v>
      </c>
      <c r="I327" t="str">
        <f t="shared" si="20"/>
        <v>PROTECTIONPRTCTN_VLTN_APPRCH</v>
      </c>
      <c r="R327" t="s">
        <v>35</v>
      </c>
      <c r="S327" t="s">
        <v>427</v>
      </c>
      <c r="T327" t="str">
        <f t="shared" si="21"/>
        <v>ENTITYTAX_ID</v>
      </c>
      <c r="U327" t="s">
        <v>2453</v>
      </c>
      <c r="V327" t="s">
        <v>2375</v>
      </c>
    </row>
    <row r="328" spans="7:22" x14ac:dyDescent="0.35">
      <c r="G328" t="s">
        <v>1952</v>
      </c>
      <c r="H328" t="s">
        <v>1972</v>
      </c>
      <c r="I328" t="str">
        <f t="shared" si="20"/>
        <v>PROTECTIONRL_ESTT_ADDRSS</v>
      </c>
      <c r="R328" t="s">
        <v>1952</v>
      </c>
      <c r="S328" t="s">
        <v>427</v>
      </c>
      <c r="T328" t="str">
        <f t="shared" si="21"/>
        <v>PROTECTIONTAX_ID</v>
      </c>
      <c r="U328" t="s">
        <v>2453</v>
      </c>
      <c r="V328" t="s">
        <v>2375</v>
      </c>
    </row>
    <row r="329" spans="7:22" x14ac:dyDescent="0.35">
      <c r="G329" t="s">
        <v>1952</v>
      </c>
      <c r="H329" t="s">
        <v>1975</v>
      </c>
      <c r="I329" t="str">
        <f t="shared" si="20"/>
        <v>PROTECTIONRL_ESTT_CLLTRL_LCTN</v>
      </c>
      <c r="R329" t="s">
        <v>1927</v>
      </c>
      <c r="S329" t="s">
        <v>1940</v>
      </c>
      <c r="T329" t="str">
        <f t="shared" si="21"/>
        <v>INSTR_PROTECTIONTHRD_PRTY_PRRTY_CLMS</v>
      </c>
      <c r="U329" t="s">
        <v>2448</v>
      </c>
      <c r="V329" t="s">
        <v>2375</v>
      </c>
    </row>
    <row r="330" spans="7:22" x14ac:dyDescent="0.35">
      <c r="G330" t="s">
        <v>1952</v>
      </c>
      <c r="H330" t="s">
        <v>1980</v>
      </c>
      <c r="I330" t="str">
        <f t="shared" si="20"/>
        <v>PROTECTIONRL_ESTT_CLLTRL_LCTN_INT</v>
      </c>
      <c r="R330" t="s">
        <v>785</v>
      </c>
      <c r="S330" t="s">
        <v>993</v>
      </c>
      <c r="T330" t="str">
        <f t="shared" si="21"/>
        <v>INSTRUMENTTRNCH</v>
      </c>
      <c r="U330" t="s">
        <v>2457</v>
      </c>
      <c r="V330" t="s">
        <v>2458</v>
      </c>
    </row>
    <row r="331" spans="7:22" x14ac:dyDescent="0.35">
      <c r="G331" t="s">
        <v>1952</v>
      </c>
      <c r="H331" t="s">
        <v>1985</v>
      </c>
      <c r="I331" t="str">
        <f t="shared" si="20"/>
        <v>PROTECTIONRL_ESTT_CTY</v>
      </c>
      <c r="R331" t="s">
        <v>35</v>
      </c>
      <c r="S331" t="s">
        <v>375</v>
      </c>
      <c r="T331" t="str">
        <f t="shared" si="21"/>
        <v>ENTITYTTL_DBT</v>
      </c>
      <c r="U331" t="s">
        <v>2450</v>
      </c>
      <c r="V331" t="s">
        <v>2459</v>
      </c>
    </row>
    <row r="332" spans="7:22" x14ac:dyDescent="0.35">
      <c r="G332" t="s">
        <v>1952</v>
      </c>
      <c r="H332" t="s">
        <v>1989</v>
      </c>
      <c r="I332" t="str">
        <f t="shared" si="20"/>
        <v>PROTECTIONRL_ESTT_PST_CD</v>
      </c>
      <c r="R332" t="s">
        <v>35</v>
      </c>
      <c r="S332" t="s">
        <v>379</v>
      </c>
      <c r="T332" t="str">
        <f t="shared" si="21"/>
        <v>ENTITYTTL_DBT_PRVS</v>
      </c>
      <c r="U332" t="s">
        <v>2450</v>
      </c>
      <c r="V332" t="s">
        <v>2459</v>
      </c>
    </row>
    <row r="333" spans="7:22" x14ac:dyDescent="0.35">
      <c r="G333" t="s">
        <v>1952</v>
      </c>
      <c r="H333" t="s">
        <v>427</v>
      </c>
      <c r="I333" t="str">
        <f t="shared" si="20"/>
        <v>PROTECTIONTAX_ID</v>
      </c>
      <c r="R333" t="s">
        <v>785</v>
      </c>
      <c r="S333" t="s">
        <v>1034</v>
      </c>
      <c r="T333" t="str">
        <f t="shared" si="21"/>
        <v>INSTRUMENTACCRD_INTRST_INSTRMNT</v>
      </c>
      <c r="U333" t="s">
        <v>2450</v>
      </c>
      <c r="V333" t="s">
        <v>2458</v>
      </c>
    </row>
    <row r="334" spans="7:22" x14ac:dyDescent="0.35">
      <c r="G334" t="s">
        <v>1952</v>
      </c>
      <c r="H334" t="s">
        <v>2001</v>
      </c>
      <c r="I334" t="str">
        <f t="shared" si="20"/>
        <v>PROTECTIONTYP_PRTCTN</v>
      </c>
      <c r="R334" t="s">
        <v>35</v>
      </c>
      <c r="S334" t="s">
        <v>387</v>
      </c>
      <c r="T334" t="str">
        <f t="shared" si="21"/>
        <v>ENTITYTTL_LVRG_RT</v>
      </c>
      <c r="U334" t="s">
        <v>2448</v>
      </c>
      <c r="V334" t="s">
        <v>2375</v>
      </c>
    </row>
    <row r="335" spans="7:22" x14ac:dyDescent="0.35">
      <c r="G335" t="s">
        <v>1952</v>
      </c>
      <c r="H335" t="s">
        <v>2005</v>
      </c>
      <c r="I335" t="str">
        <f t="shared" si="20"/>
        <v>PROTECTIONTYP_PRTCTN_INTRNL</v>
      </c>
      <c r="R335" t="s">
        <v>35</v>
      </c>
      <c r="S335" t="s">
        <v>391</v>
      </c>
      <c r="T335" t="str">
        <f t="shared" si="21"/>
        <v>ENTITYTTL_LVRG_RT_PRVS</v>
      </c>
      <c r="U335" t="s">
        <v>2448</v>
      </c>
      <c r="V335" t="s">
        <v>2375</v>
      </c>
    </row>
    <row r="336" spans="7:22" x14ac:dyDescent="0.35">
      <c r="G336" t="s">
        <v>1952</v>
      </c>
      <c r="H336" t="s">
        <v>2010</v>
      </c>
      <c r="I336" t="str">
        <f t="shared" si="20"/>
        <v>PROTECTIONTYP_PRTCTN_VL</v>
      </c>
      <c r="R336" t="s">
        <v>785</v>
      </c>
      <c r="S336" t="s">
        <v>997</v>
      </c>
      <c r="T336" t="str">
        <f t="shared" si="21"/>
        <v>INSTRUMENTTYP_AMRTSTN</v>
      </c>
      <c r="U336" t="s">
        <v>2452</v>
      </c>
      <c r="V336" t="s">
        <v>2458</v>
      </c>
    </row>
    <row r="337" spans="7:22" x14ac:dyDescent="0.35">
      <c r="G337" t="s">
        <v>1952</v>
      </c>
      <c r="H337" t="s">
        <v>2203</v>
      </c>
      <c r="I337" t="str">
        <f t="shared" si="20"/>
        <v>PROTECTIONYR_CNSTRCTN</v>
      </c>
      <c r="R337" t="s">
        <v>785</v>
      </c>
      <c r="S337" t="s">
        <v>1382</v>
      </c>
      <c r="T337" t="str">
        <f t="shared" si="21"/>
        <v>INSTRUMENTTYP_CMPLNT_MRTR_C19</v>
      </c>
      <c r="U337" t="s">
        <v>2448</v>
      </c>
      <c r="V337" t="s">
        <v>2375</v>
      </c>
    </row>
    <row r="338" spans="7:22" x14ac:dyDescent="0.35">
      <c r="G338" t="s">
        <v>765</v>
      </c>
      <c r="H338" t="s">
        <v>91</v>
      </c>
      <c r="I338" t="str">
        <f t="shared" si="20"/>
        <v>INSTR_ENTITYDT_RFRNC</v>
      </c>
      <c r="R338" t="s">
        <v>785</v>
      </c>
      <c r="S338" t="s">
        <v>1013</v>
      </c>
      <c r="T338" t="str">
        <f t="shared" si="21"/>
        <v>INSTRUMENTTYP_CRE_OPRTN</v>
      </c>
      <c r="U338" t="s">
        <v>2453</v>
      </c>
      <c r="V338" t="s">
        <v>2375</v>
      </c>
    </row>
    <row r="339" spans="7:22" x14ac:dyDescent="0.35">
      <c r="G339" t="s">
        <v>765</v>
      </c>
      <c r="H339" t="s">
        <v>95</v>
      </c>
      <c r="I339" t="str">
        <f t="shared" si="20"/>
        <v>INSTR_ENTITYENTTY_ID</v>
      </c>
      <c r="R339" t="s">
        <v>785</v>
      </c>
      <c r="S339" t="s">
        <v>1001</v>
      </c>
      <c r="T339" t="str">
        <f t="shared" si="21"/>
        <v>INSTRUMENTTYP_INSTRMNT</v>
      </c>
      <c r="U339" t="s">
        <v>2448</v>
      </c>
      <c r="V339" t="s">
        <v>2375</v>
      </c>
    </row>
    <row r="340" spans="7:22" x14ac:dyDescent="0.35">
      <c r="G340" t="s">
        <v>765</v>
      </c>
      <c r="H340" t="s">
        <v>772</v>
      </c>
      <c r="I340" t="str">
        <f t="shared" si="20"/>
        <v>INSTR_ENTITYINSTRMNT_ID</v>
      </c>
      <c r="R340" t="s">
        <v>785</v>
      </c>
      <c r="S340" t="s">
        <v>1005</v>
      </c>
      <c r="T340" t="str">
        <f t="shared" si="21"/>
        <v>INSTRUMENTTYP_INTRST_RT</v>
      </c>
      <c r="U340" t="s">
        <v>2448</v>
      </c>
      <c r="V340" t="s">
        <v>2375</v>
      </c>
    </row>
    <row r="341" spans="7:22" x14ac:dyDescent="0.35">
      <c r="G341" t="s">
        <v>765</v>
      </c>
      <c r="H341" t="s">
        <v>776</v>
      </c>
      <c r="I341" t="str">
        <f t="shared" si="20"/>
        <v>INSTR_ENTITYJNT_LBLTY_AMNT</v>
      </c>
      <c r="R341" t="s">
        <v>1952</v>
      </c>
      <c r="S341" t="s">
        <v>2048</v>
      </c>
      <c r="T341" t="str">
        <f t="shared" si="21"/>
        <v>PROTECTIONPRTCTN_VL</v>
      </c>
      <c r="U341" t="s">
        <v>2449</v>
      </c>
      <c r="V341" t="s">
        <v>2375</v>
      </c>
    </row>
    <row r="342" spans="7:22" x14ac:dyDescent="0.35">
      <c r="G342" t="s">
        <v>765</v>
      </c>
      <c r="H342" t="s">
        <v>38</v>
      </c>
      <c r="I342" t="str">
        <f t="shared" si="20"/>
        <v>INSTR_ENTITYCOD_SOC</v>
      </c>
      <c r="R342" t="s">
        <v>1952</v>
      </c>
      <c r="S342" t="s">
        <v>2053</v>
      </c>
      <c r="T342" t="str">
        <f t="shared" si="21"/>
        <v>PROTECTIONPRTCTN_VL_NPE</v>
      </c>
      <c r="U342" t="s">
        <v>2456</v>
      </c>
      <c r="V342" t="s">
        <v>2375</v>
      </c>
    </row>
    <row r="343" spans="7:22" x14ac:dyDescent="0.35">
      <c r="G343" t="s">
        <v>765</v>
      </c>
      <c r="H343" t="s">
        <v>781</v>
      </c>
      <c r="I343" t="str">
        <f t="shared" si="20"/>
        <v>INSTR_ENTITYMN_ENTTY_ID</v>
      </c>
      <c r="R343" t="s">
        <v>1952</v>
      </c>
      <c r="S343" t="s">
        <v>2005</v>
      </c>
      <c r="T343" t="str">
        <f t="shared" si="21"/>
        <v>PROTECTIONTYP_PRTCTN_INTRNL</v>
      </c>
      <c r="U343" t="s">
        <v>2453</v>
      </c>
      <c r="V343" t="s">
        <v>2375</v>
      </c>
    </row>
    <row r="344" spans="7:22" x14ac:dyDescent="0.35">
      <c r="G344" t="s">
        <v>1927</v>
      </c>
      <c r="H344" t="s">
        <v>91</v>
      </c>
      <c r="I344" t="str">
        <f t="shared" si="20"/>
        <v>INSTR_PROTECTIONDT_RFRNC</v>
      </c>
      <c r="R344" t="s">
        <v>1952</v>
      </c>
      <c r="S344" t="s">
        <v>2010</v>
      </c>
      <c r="T344" t="str">
        <f t="shared" si="21"/>
        <v>PROTECTIONTYP_PRTCTN_VL</v>
      </c>
      <c r="U344" t="s">
        <v>2453</v>
      </c>
      <c r="V344" t="s">
        <v>2375</v>
      </c>
    </row>
    <row r="345" spans="7:22" x14ac:dyDescent="0.35">
      <c r="G345" t="s">
        <v>1927</v>
      </c>
      <c r="H345" t="s">
        <v>772</v>
      </c>
      <c r="I345" t="str">
        <f t="shared" si="20"/>
        <v>INSTR_PROTECTIONINSTRMNT_ID</v>
      </c>
      <c r="R345" t="s">
        <v>785</v>
      </c>
      <c r="S345" t="s">
        <v>1565</v>
      </c>
      <c r="T345" t="str">
        <f t="shared" si="21"/>
        <v>INSTRUMENTTYPE_OF_PLCMNT</v>
      </c>
      <c r="U345" t="s">
        <v>2448</v>
      </c>
      <c r="V345" t="s">
        <v>2375</v>
      </c>
    </row>
    <row r="346" spans="7:22" x14ac:dyDescent="0.35">
      <c r="G346" t="s">
        <v>1927</v>
      </c>
      <c r="H346" t="s">
        <v>1931</v>
      </c>
      <c r="I346" t="str">
        <f t="shared" si="20"/>
        <v>INSTR_PROTECTIONPRTCTN_ID</v>
      </c>
      <c r="R346" t="s">
        <v>785</v>
      </c>
      <c r="S346" t="s">
        <v>1571</v>
      </c>
      <c r="T346" t="str">
        <f t="shared" si="21"/>
        <v>INSTRUMENTVLTN_CRRNCY</v>
      </c>
      <c r="U346" t="s">
        <v>2448</v>
      </c>
      <c r="V346" t="s">
        <v>2375</v>
      </c>
    </row>
    <row r="347" spans="7:22" x14ac:dyDescent="0.35">
      <c r="G347" t="s">
        <v>1927</v>
      </c>
      <c r="H347" t="s">
        <v>1935</v>
      </c>
      <c r="I347" t="str">
        <f t="shared" si="20"/>
        <v>INSTR_PROTECTIONPRTCTN_ALLCTD_VL</v>
      </c>
      <c r="R347" t="s">
        <v>785</v>
      </c>
      <c r="S347" t="s">
        <v>1575</v>
      </c>
      <c r="T347" t="str">
        <f t="shared" si="21"/>
        <v>INSTRUMENTVLTN_TYP</v>
      </c>
      <c r="U347" t="s">
        <v>2448</v>
      </c>
      <c r="V347" t="s">
        <v>2375</v>
      </c>
    </row>
    <row r="348" spans="7:22" x14ac:dyDescent="0.35">
      <c r="G348" t="s">
        <v>1927</v>
      </c>
      <c r="H348" t="s">
        <v>1940</v>
      </c>
      <c r="I348" t="str">
        <f t="shared" si="20"/>
        <v>INSTR_PROTECTIONTHRD_PRTY_PRRTY_CLMS</v>
      </c>
      <c r="R348" t="s">
        <v>35</v>
      </c>
      <c r="S348" t="s">
        <v>262</v>
      </c>
      <c r="T348" t="str">
        <f t="shared" si="21"/>
        <v>ENTITYWTCH_LST</v>
      </c>
      <c r="U348" t="s">
        <v>2448</v>
      </c>
      <c r="V348" t="s">
        <v>2375</v>
      </c>
    </row>
    <row r="349" spans="7:22" x14ac:dyDescent="0.35">
      <c r="G349" t="s">
        <v>1927</v>
      </c>
      <c r="H349" t="s">
        <v>38</v>
      </c>
      <c r="I349" t="str">
        <f t="shared" si="20"/>
        <v>INSTR_PROTECTIONCOD_SOC</v>
      </c>
      <c r="R349" t="s">
        <v>1952</v>
      </c>
      <c r="S349" t="s">
        <v>2203</v>
      </c>
      <c r="T349" t="str">
        <f t="shared" si="21"/>
        <v>PROTECTIONYR_CNSTRCTN</v>
      </c>
      <c r="U349" t="s">
        <v>2451</v>
      </c>
      <c r="V349" t="s">
        <v>2375</v>
      </c>
    </row>
    <row r="350" spans="7:22" x14ac:dyDescent="0.35">
      <c r="R350" t="s">
        <v>35</v>
      </c>
      <c r="S350" t="s">
        <v>610</v>
      </c>
      <c r="T350" t="str">
        <f t="shared" si="21"/>
        <v>ENTITYADDRSS_CTY</v>
      </c>
      <c r="U350" t="s">
        <v>2451</v>
      </c>
      <c r="V350" t="s">
        <v>2460</v>
      </c>
    </row>
    <row r="351" spans="7:22" x14ac:dyDescent="0.35">
      <c r="R351" t="s">
        <v>35</v>
      </c>
      <c r="S351" t="s">
        <v>614</v>
      </c>
      <c r="T351" t="str">
        <f t="shared" si="21"/>
        <v>ENTITYADDRSS_STRT</v>
      </c>
      <c r="U351" t="s">
        <v>2451</v>
      </c>
      <c r="V351" t="s">
        <v>2460</v>
      </c>
    </row>
    <row r="352" spans="7:22" x14ac:dyDescent="0.35">
      <c r="R352" t="s">
        <v>35</v>
      </c>
      <c r="S352" t="s">
        <v>618</v>
      </c>
      <c r="T352" t="str">
        <f t="shared" si="21"/>
        <v>ENTITYDT_ENTRPRS_SZ</v>
      </c>
      <c r="U352" t="s">
        <v>2451</v>
      </c>
      <c r="V352" t="s">
        <v>2460</v>
      </c>
    </row>
    <row r="353" spans="18:22" x14ac:dyDescent="0.35">
      <c r="R353" t="s">
        <v>35</v>
      </c>
      <c r="S353" t="s">
        <v>622</v>
      </c>
      <c r="T353" t="str">
        <f t="shared" si="21"/>
        <v>ENTITYNMBR_EMPLYS</v>
      </c>
      <c r="U353" t="s">
        <v>2451</v>
      </c>
      <c r="V353" t="s">
        <v>2460</v>
      </c>
    </row>
    <row r="354" spans="18:22" x14ac:dyDescent="0.35">
      <c r="R354" t="s">
        <v>35</v>
      </c>
      <c r="S354" t="s">
        <v>628</v>
      </c>
      <c r="T354" t="str">
        <f t="shared" si="21"/>
        <v>ENTITYLGL_FRM</v>
      </c>
      <c r="U354" t="s">
        <v>2451</v>
      </c>
      <c r="V354" t="s">
        <v>2460</v>
      </c>
    </row>
    <row r="355" spans="18:22" x14ac:dyDescent="0.35">
      <c r="R355" t="s">
        <v>35</v>
      </c>
      <c r="S355" t="s">
        <v>632</v>
      </c>
      <c r="T355" t="str">
        <f t="shared" si="21"/>
        <v>ENTITYHD_OFFC_UNDRTKNG_ID</v>
      </c>
      <c r="U355" t="s">
        <v>2451</v>
      </c>
      <c r="V355" t="s">
        <v>2460</v>
      </c>
    </row>
    <row r="356" spans="18:22" x14ac:dyDescent="0.35">
      <c r="R356" t="s">
        <v>35</v>
      </c>
      <c r="S356" t="s">
        <v>636</v>
      </c>
      <c r="T356" t="str">
        <f t="shared" si="21"/>
        <v>ENTITYIMMDT_PRNT_UNDRTKNG_ID</v>
      </c>
      <c r="U356" t="s">
        <v>2451</v>
      </c>
      <c r="V356" t="s">
        <v>2460</v>
      </c>
    </row>
    <row r="357" spans="18:22" x14ac:dyDescent="0.35">
      <c r="R357" t="s">
        <v>35</v>
      </c>
      <c r="S357" t="s">
        <v>640</v>
      </c>
      <c r="T357" t="str">
        <f t="shared" si="21"/>
        <v>ENTITYULTMT_PRNT_UNDRTKNG_ID</v>
      </c>
      <c r="U357" t="s">
        <v>2451</v>
      </c>
      <c r="V357" t="s">
        <v>2460</v>
      </c>
    </row>
    <row r="358" spans="18:22" x14ac:dyDescent="0.35">
      <c r="R358" t="s">
        <v>35</v>
      </c>
      <c r="S358" t="s">
        <v>644</v>
      </c>
      <c r="T358" t="str">
        <f t="shared" si="21"/>
        <v>ENTITYTTL_ASSTS</v>
      </c>
      <c r="U358" t="s">
        <v>2451</v>
      </c>
      <c r="V358" t="s">
        <v>2460</v>
      </c>
    </row>
    <row r="359" spans="18:22" x14ac:dyDescent="0.35">
      <c r="R359" t="s">
        <v>35</v>
      </c>
      <c r="S359" t="s">
        <v>656</v>
      </c>
      <c r="T359" t="str">
        <f t="shared" si="21"/>
        <v>ENTITYENTTY_ID_BDR</v>
      </c>
      <c r="U359" t="s">
        <v>2451</v>
      </c>
      <c r="V359" t="s">
        <v>2460</v>
      </c>
    </row>
    <row r="360" spans="18:22" x14ac:dyDescent="0.35">
      <c r="R360" t="s">
        <v>785</v>
      </c>
      <c r="S360" t="s">
        <v>1552</v>
      </c>
      <c r="T360" t="str">
        <f t="shared" si="21"/>
        <v>INSTRUMENTCPN_RT_FLTNG</v>
      </c>
      <c r="U360" t="s">
        <v>2451</v>
      </c>
      <c r="V360" t="s">
        <v>2460</v>
      </c>
    </row>
    <row r="361" spans="18:22" x14ac:dyDescent="0.35">
      <c r="R361" t="s">
        <v>785</v>
      </c>
      <c r="S361" t="s">
        <v>1795</v>
      </c>
      <c r="T361" t="str">
        <f t="shared" si="21"/>
        <v>INSTRUMENTINTRST_RT_CP</v>
      </c>
      <c r="U361" t="s">
        <v>2451</v>
      </c>
      <c r="V361" t="s">
        <v>2460</v>
      </c>
    </row>
    <row r="362" spans="18:22" x14ac:dyDescent="0.35">
      <c r="R362" t="s">
        <v>785</v>
      </c>
      <c r="S362" t="s">
        <v>1799</v>
      </c>
      <c r="T362" t="str">
        <f t="shared" si="21"/>
        <v>INSTRUMENTINTRST_RT_FLR</v>
      </c>
      <c r="U362" t="s">
        <v>2451</v>
      </c>
      <c r="V362" t="s">
        <v>2460</v>
      </c>
    </row>
    <row r="363" spans="18:22" x14ac:dyDescent="0.35">
      <c r="R363" t="s">
        <v>785</v>
      </c>
      <c r="S363" t="s">
        <v>1803</v>
      </c>
      <c r="T363" t="str">
        <f t="shared" si="21"/>
        <v>INSTRUMENTNMNL_INTRST_RT_FEE</v>
      </c>
      <c r="U363" t="s">
        <v>2451</v>
      </c>
      <c r="V363" t="s">
        <v>2460</v>
      </c>
    </row>
    <row r="364" spans="18:22" x14ac:dyDescent="0.35">
      <c r="R364" t="s">
        <v>785</v>
      </c>
      <c r="S364" t="s">
        <v>1811</v>
      </c>
      <c r="T364" t="str">
        <f t="shared" si="21"/>
        <v>INSTRUMENTDT_STTLMNT</v>
      </c>
      <c r="U364" t="s">
        <v>2451</v>
      </c>
      <c r="V364" t="s">
        <v>2460</v>
      </c>
    </row>
    <row r="365" spans="18:22" x14ac:dyDescent="0.35">
      <c r="R365" t="s">
        <v>785</v>
      </c>
      <c r="S365" t="s">
        <v>1815</v>
      </c>
      <c r="T365" t="str">
        <f t="shared" si="21"/>
        <v>INSTRUMENTTRNSFRRD_AMNT</v>
      </c>
      <c r="U365" t="s">
        <v>2451</v>
      </c>
      <c r="V365" t="s">
        <v>2460</v>
      </c>
    </row>
    <row r="366" spans="18:22" x14ac:dyDescent="0.35">
      <c r="R366" t="s">
        <v>785</v>
      </c>
      <c r="S366" t="s">
        <v>1819</v>
      </c>
      <c r="T366" t="str">
        <f t="shared" si="21"/>
        <v>INSTRUMENTTYP_SCRTZTN</v>
      </c>
      <c r="U366" t="s">
        <v>2451</v>
      </c>
      <c r="V366" t="s">
        <v>2460</v>
      </c>
    </row>
    <row r="367" spans="18:22" x14ac:dyDescent="0.35">
      <c r="R367" t="s">
        <v>785</v>
      </c>
      <c r="S367" t="s">
        <v>1823</v>
      </c>
      <c r="T367" t="str">
        <f t="shared" si="21"/>
        <v>INSTRUMENTTYP_OFF_BLNC_PRDCT</v>
      </c>
      <c r="U367" t="s">
        <v>2451</v>
      </c>
      <c r="V367" t="s">
        <v>2458</v>
      </c>
    </row>
    <row r="368" spans="18:22" x14ac:dyDescent="0.35">
      <c r="R368" t="s">
        <v>785</v>
      </c>
      <c r="S368" t="s">
        <v>1827</v>
      </c>
      <c r="T368" t="str">
        <f t="shared" si="21"/>
        <v>INSTRUMENTBLNC_SHT_RCGNTN</v>
      </c>
      <c r="U368" t="s">
        <v>2451</v>
      </c>
      <c r="V368" t="s">
        <v>2460</v>
      </c>
    </row>
    <row r="369" spans="18:22" x14ac:dyDescent="0.35">
      <c r="R369" t="s">
        <v>785</v>
      </c>
      <c r="S369" t="s">
        <v>1831</v>
      </c>
      <c r="T369" t="str">
        <f t="shared" si="21"/>
        <v>INSTRUMENTFLG_DFLT</v>
      </c>
      <c r="U369" t="s">
        <v>2451</v>
      </c>
      <c r="V369" t="s">
        <v>2460</v>
      </c>
    </row>
    <row r="370" spans="18:22" x14ac:dyDescent="0.35">
      <c r="R370" t="s">
        <v>785</v>
      </c>
      <c r="S370" t="s">
        <v>1835</v>
      </c>
      <c r="T370" t="str">
        <f t="shared" si="21"/>
        <v>INSTRUMENTFLG_HGH_RSK</v>
      </c>
      <c r="U370" t="s">
        <v>2451</v>
      </c>
      <c r="V370" t="s">
        <v>2460</v>
      </c>
    </row>
    <row r="371" spans="18:22" x14ac:dyDescent="0.35">
      <c r="R371" t="s">
        <v>785</v>
      </c>
      <c r="S371" t="s">
        <v>1883</v>
      </c>
      <c r="T371" t="str">
        <f t="shared" si="21"/>
        <v>INSTRUMENTPRTNR</v>
      </c>
      <c r="U371" t="s">
        <v>2451</v>
      </c>
      <c r="V371" t="s">
        <v>2460</v>
      </c>
    </row>
    <row r="372" spans="18:22" x14ac:dyDescent="0.35">
      <c r="R372" t="s">
        <v>785</v>
      </c>
      <c r="S372" t="s">
        <v>1887</v>
      </c>
      <c r="T372" t="str">
        <f t="shared" si="21"/>
        <v>INSTRUMENTINCNTVS</v>
      </c>
      <c r="U372" t="s">
        <v>2451</v>
      </c>
      <c r="V372" t="s">
        <v>2460</v>
      </c>
    </row>
    <row r="373" spans="18:22" x14ac:dyDescent="0.35">
      <c r="R373" t="s">
        <v>785</v>
      </c>
      <c r="S373" t="s">
        <v>1891</v>
      </c>
      <c r="T373" t="str">
        <f t="shared" si="21"/>
        <v>INSTRUMENTOTHR_OPRTNG_INCM</v>
      </c>
      <c r="U373" t="s">
        <v>2451</v>
      </c>
      <c r="V373" t="s">
        <v>2460</v>
      </c>
    </row>
    <row r="374" spans="18:22" x14ac:dyDescent="0.35">
      <c r="R374" t="s">
        <v>785</v>
      </c>
      <c r="S374" t="s">
        <v>1895</v>
      </c>
      <c r="T374" t="str">
        <f t="shared" si="21"/>
        <v>INSTRUMENTRFRRL_FS</v>
      </c>
      <c r="U374" t="s">
        <v>2451</v>
      </c>
      <c r="V374" t="s">
        <v>2460</v>
      </c>
    </row>
    <row r="375" spans="18:22" x14ac:dyDescent="0.35">
      <c r="R375" t="s">
        <v>785</v>
      </c>
      <c r="S375" t="s">
        <v>1899</v>
      </c>
      <c r="T375" t="str">
        <f t="shared" si="21"/>
        <v>INSTRUMENTINSRNC_CMSSNS</v>
      </c>
      <c r="U375" t="s">
        <v>2451</v>
      </c>
      <c r="V375" t="s">
        <v>2460</v>
      </c>
    </row>
    <row r="376" spans="18:22" x14ac:dyDescent="0.35">
      <c r="R376" t="s">
        <v>785</v>
      </c>
      <c r="S376" t="s">
        <v>1903</v>
      </c>
      <c r="T376" t="str">
        <f t="shared" si="21"/>
        <v>INSTRUMENTOTHR_INCM_AND_CHRGS</v>
      </c>
      <c r="U376" t="s">
        <v>2451</v>
      </c>
      <c r="V376" t="s">
        <v>2460</v>
      </c>
    </row>
    <row r="377" spans="18:22" x14ac:dyDescent="0.35">
      <c r="R377" t="s">
        <v>785</v>
      </c>
      <c r="S377" t="s">
        <v>1907</v>
      </c>
      <c r="T377" t="str">
        <f t="shared" si="21"/>
        <v>INSTRUMENTTX_ON_PRFT</v>
      </c>
      <c r="U377" t="s">
        <v>2451</v>
      </c>
      <c r="V377" t="s">
        <v>2460</v>
      </c>
    </row>
    <row r="378" spans="18:22" x14ac:dyDescent="0.35">
      <c r="R378" t="s">
        <v>1952</v>
      </c>
      <c r="S378" t="s">
        <v>2211</v>
      </c>
      <c r="T378" t="str">
        <f t="shared" si="21"/>
        <v>PROTECTIONLND_AR</v>
      </c>
      <c r="U378" t="s">
        <v>2451</v>
      </c>
      <c r="V378" t="s">
        <v>2460</v>
      </c>
    </row>
    <row r="379" spans="18:22" x14ac:dyDescent="0.35">
      <c r="R379" t="s">
        <v>1952</v>
      </c>
      <c r="S379" t="s">
        <v>2215</v>
      </c>
      <c r="T379" t="str">
        <f t="shared" si="21"/>
        <v>PROTECTIONLN_PSTN</v>
      </c>
      <c r="U379" t="s">
        <v>2451</v>
      </c>
      <c r="V379" t="s">
        <v>2460</v>
      </c>
    </row>
    <row r="380" spans="18:22" x14ac:dyDescent="0.35">
      <c r="R380" t="s">
        <v>1952</v>
      </c>
      <c r="S380" t="s">
        <v>2246</v>
      </c>
      <c r="T380" t="str">
        <f t="shared" si="21"/>
        <v>PROTECTIONRL_ESTT_LNGTD</v>
      </c>
      <c r="U380" t="s">
        <v>2451</v>
      </c>
      <c r="V380" t="s">
        <v>2460</v>
      </c>
    </row>
    <row r="381" spans="18:22" x14ac:dyDescent="0.35">
      <c r="R381" t="s">
        <v>1952</v>
      </c>
      <c r="S381" t="s">
        <v>2251</v>
      </c>
      <c r="T381" t="str">
        <f t="shared" si="21"/>
        <v>PROTECTIONRL_ESTT_LTTD</v>
      </c>
      <c r="U381" t="s">
        <v>2451</v>
      </c>
      <c r="V381" t="s">
        <v>2460</v>
      </c>
    </row>
    <row r="382" spans="18:22" x14ac:dyDescent="0.35">
      <c r="R382" t="s">
        <v>2259</v>
      </c>
      <c r="S382" t="s">
        <v>2266</v>
      </c>
      <c r="T382" t="str">
        <f t="shared" si="21"/>
        <v>INSTR_ACTIVITYPRCNTG_ACTVTY</v>
      </c>
      <c r="U382" t="s">
        <v>2451</v>
      </c>
      <c r="V382" t="s">
        <v>2460</v>
      </c>
    </row>
  </sheetData>
  <autoFilter ref="A3:U91"/>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93"/>
  <sheetViews>
    <sheetView showGridLines="0" topLeftCell="A37" zoomScale="80" zoomScaleNormal="80" zoomScaleSheetLayoutView="11" workbookViewId="0">
      <selection activeCell="C76" sqref="C64:C76"/>
    </sheetView>
  </sheetViews>
  <sheetFormatPr defaultColWidth="0" defaultRowHeight="12.5" zeroHeight="1" x14ac:dyDescent="0.25"/>
  <cols>
    <col min="1" max="2" width="4.26953125" style="9" customWidth="1"/>
    <col min="3" max="3" width="71.26953125" style="9" bestFit="1" customWidth="1"/>
    <col min="4" max="4" width="22.453125" style="9" bestFit="1" customWidth="1"/>
    <col min="5" max="5" width="71.81640625" style="9" bestFit="1" customWidth="1"/>
    <col min="6" max="6" width="15.54296875" style="9" customWidth="1"/>
    <col min="7" max="10" width="10.453125" style="9" customWidth="1"/>
    <col min="11" max="11" width="4.26953125" style="9" customWidth="1"/>
    <col min="12" max="29" width="0" style="9" hidden="1" customWidth="1"/>
    <col min="30" max="16384" width="10.453125" style="9" hidden="1"/>
  </cols>
  <sheetData>
    <row r="1" spans="1:10" x14ac:dyDescent="0.25"/>
    <row r="2" spans="1:10" ht="13" x14ac:dyDescent="0.3">
      <c r="C2" s="10" t="s">
        <v>2376</v>
      </c>
      <c r="D2" s="11"/>
      <c r="E2" s="11"/>
      <c r="F2" s="11"/>
      <c r="G2" s="11"/>
      <c r="H2" s="11"/>
      <c r="I2" s="11"/>
      <c r="J2" s="11"/>
    </row>
    <row r="3" spans="1:10" x14ac:dyDescent="0.25"/>
    <row r="4" spans="1:10" s="13" customFormat="1" ht="13" x14ac:dyDescent="0.25">
      <c r="C4" s="12" t="s">
        <v>2377</v>
      </c>
      <c r="D4" s="12" t="s">
        <v>2378</v>
      </c>
      <c r="E4" s="12" t="s">
        <v>2379</v>
      </c>
    </row>
    <row r="5" spans="1:10" ht="4" customHeight="1" x14ac:dyDescent="0.25">
      <c r="C5" s="14"/>
    </row>
    <row r="6" spans="1:10" x14ac:dyDescent="0.25">
      <c r="A6" s="23" t="str">
        <f>+D6&amp;C6</f>
        <v>ENTITYTXNMY_ELGBL_CAPEX_W</v>
      </c>
      <c r="B6" s="23"/>
      <c r="C6" s="14" t="s">
        <v>662</v>
      </c>
      <c r="D6" s="9" t="s">
        <v>35</v>
      </c>
      <c r="E6" s="9" t="s">
        <v>2380</v>
      </c>
    </row>
    <row r="7" spans="1:10" x14ac:dyDescent="0.25">
      <c r="A7" s="23" t="str">
        <f t="shared" ref="A7:A25" si="0">+D7&amp;C7</f>
        <v>ENTITYTXNMY_ELGBL_TRNVR_W</v>
      </c>
      <c r="B7" s="23"/>
      <c r="C7" s="14" t="s">
        <v>666</v>
      </c>
      <c r="D7" s="9" t="s">
        <v>35</v>
      </c>
      <c r="E7" s="9" t="s">
        <v>2380</v>
      </c>
    </row>
    <row r="8" spans="1:10" x14ac:dyDescent="0.25">
      <c r="A8" s="23" t="str">
        <f t="shared" si="0"/>
        <v>ENTITYTXNMY_ELGBL_CAPEX_P</v>
      </c>
      <c r="B8" s="23"/>
      <c r="C8" s="14" t="s">
        <v>670</v>
      </c>
      <c r="D8" s="9" t="s">
        <v>35</v>
      </c>
      <c r="E8" s="9" t="s">
        <v>2380</v>
      </c>
    </row>
    <row r="9" spans="1:10" x14ac:dyDescent="0.25">
      <c r="A9" s="23" t="str">
        <f t="shared" si="0"/>
        <v>ENTITYTXNMY_ELGBL_TRNVR_P</v>
      </c>
      <c r="B9" s="23"/>
      <c r="C9" s="14" t="s">
        <v>674</v>
      </c>
      <c r="D9" s="9" t="s">
        <v>35</v>
      </c>
      <c r="E9" s="9" t="s">
        <v>2380</v>
      </c>
    </row>
    <row r="10" spans="1:10" x14ac:dyDescent="0.25">
      <c r="A10" s="23" t="str">
        <f t="shared" si="0"/>
        <v>ENTITYTXNMY_ELGBL_CAPEX_B</v>
      </c>
      <c r="B10" s="23"/>
      <c r="C10" s="14" t="s">
        <v>678</v>
      </c>
      <c r="D10" s="9" t="s">
        <v>35</v>
      </c>
      <c r="E10" s="9" t="s">
        <v>2380</v>
      </c>
    </row>
    <row r="11" spans="1:10" x14ac:dyDescent="0.25">
      <c r="A11" s="23" t="str">
        <f t="shared" si="0"/>
        <v>ENTITYTXNMY_ELGBL_TRNVR_B</v>
      </c>
      <c r="B11" s="23"/>
      <c r="C11" s="14" t="s">
        <v>682</v>
      </c>
      <c r="D11" s="9" t="s">
        <v>35</v>
      </c>
      <c r="E11" s="9" t="s">
        <v>2380</v>
      </c>
    </row>
    <row r="12" spans="1:10" x14ac:dyDescent="0.25">
      <c r="A12" s="23" t="str">
        <f t="shared" si="0"/>
        <v>ENTITYTXNMY_ELGBL_CAPEX_CE</v>
      </c>
      <c r="B12" s="23"/>
      <c r="C12" s="14" t="s">
        <v>686</v>
      </c>
      <c r="D12" s="9" t="s">
        <v>35</v>
      </c>
      <c r="E12" s="9" t="s">
        <v>2380</v>
      </c>
    </row>
    <row r="13" spans="1:10" x14ac:dyDescent="0.25">
      <c r="A13" s="23" t="str">
        <f t="shared" si="0"/>
        <v>ENTITYTXNMY_ELGBL_TRNVR_CE</v>
      </c>
      <c r="B13" s="23"/>
      <c r="C13" s="14" t="s">
        <v>690</v>
      </c>
      <c r="D13" s="9" t="s">
        <v>35</v>
      </c>
      <c r="E13" s="9" t="s">
        <v>2380</v>
      </c>
    </row>
    <row r="14" spans="1:10" x14ac:dyDescent="0.25">
      <c r="A14" s="23" t="str">
        <f t="shared" si="0"/>
        <v>ENTITYPURE_CAPEX_P</v>
      </c>
      <c r="B14" s="23"/>
      <c r="C14" s="14" t="s">
        <v>694</v>
      </c>
      <c r="D14" s="9" t="s">
        <v>35</v>
      </c>
      <c r="E14" s="9" t="s">
        <v>2380</v>
      </c>
    </row>
    <row r="15" spans="1:10" x14ac:dyDescent="0.25">
      <c r="A15" s="23" t="str">
        <f t="shared" si="0"/>
        <v>ENTITYPURE_TRNVR_P</v>
      </c>
      <c r="B15" s="23"/>
      <c r="C15" s="14" t="s">
        <v>698</v>
      </c>
      <c r="D15" s="9" t="s">
        <v>35</v>
      </c>
      <c r="E15" s="9" t="s">
        <v>2380</v>
      </c>
    </row>
    <row r="16" spans="1:10" x14ac:dyDescent="0.25">
      <c r="A16" s="23" t="str">
        <f t="shared" si="0"/>
        <v>ENTITYPURE_CAPEX_B</v>
      </c>
      <c r="B16" s="23"/>
      <c r="C16" s="14" t="s">
        <v>702</v>
      </c>
      <c r="D16" s="9" t="s">
        <v>35</v>
      </c>
      <c r="E16" s="9" t="s">
        <v>2380</v>
      </c>
    </row>
    <row r="17" spans="1:9" x14ac:dyDescent="0.25">
      <c r="A17" s="23" t="str">
        <f t="shared" si="0"/>
        <v>ENTITYPURE_TRNVR_B</v>
      </c>
      <c r="B17" s="23"/>
      <c r="C17" s="14" t="s">
        <v>706</v>
      </c>
      <c r="D17" s="9" t="s">
        <v>35</v>
      </c>
      <c r="E17" s="9" t="s">
        <v>2380</v>
      </c>
    </row>
    <row r="18" spans="1:9" x14ac:dyDescent="0.25">
      <c r="A18" s="23" t="str">
        <f t="shared" si="0"/>
        <v>ENTITYPURE_CAPEX_W</v>
      </c>
      <c r="B18" s="23"/>
      <c r="C18" s="14" t="s">
        <v>710</v>
      </c>
      <c r="D18" s="9" t="s">
        <v>35</v>
      </c>
      <c r="E18" s="9" t="s">
        <v>2380</v>
      </c>
    </row>
    <row r="19" spans="1:9" x14ac:dyDescent="0.25">
      <c r="A19" s="23" t="str">
        <f t="shared" si="0"/>
        <v>ENTITYPURE_TRNVR_W</v>
      </c>
      <c r="B19" s="23"/>
      <c r="C19" s="14" t="s">
        <v>714</v>
      </c>
      <c r="D19" s="9" t="s">
        <v>35</v>
      </c>
      <c r="E19" s="9" t="s">
        <v>2380</v>
      </c>
    </row>
    <row r="20" spans="1:9" x14ac:dyDescent="0.25">
      <c r="A20" s="23" t="str">
        <f t="shared" si="0"/>
        <v>ENTITYPURE_CAPEX_CE</v>
      </c>
      <c r="B20" s="23"/>
      <c r="C20" s="14" t="s">
        <v>718</v>
      </c>
      <c r="D20" s="9" t="s">
        <v>35</v>
      </c>
      <c r="E20" s="9" t="s">
        <v>2380</v>
      </c>
    </row>
    <row r="21" spans="1:9" x14ac:dyDescent="0.25">
      <c r="A21" s="23" t="str">
        <f t="shared" si="0"/>
        <v>ENTITYPURE_TRNVR_CE</v>
      </c>
      <c r="B21" s="23"/>
      <c r="C21" s="14" t="s">
        <v>722</v>
      </c>
      <c r="D21" s="9" t="s">
        <v>35</v>
      </c>
      <c r="E21" s="9" t="s">
        <v>2380</v>
      </c>
    </row>
    <row r="22" spans="1:9" x14ac:dyDescent="0.25">
      <c r="A22" s="23" t="str">
        <f t="shared" si="0"/>
        <v>ENTITYENBLNG_CAPEX_W</v>
      </c>
      <c r="B22" s="23"/>
      <c r="C22" s="14" t="s">
        <v>726</v>
      </c>
      <c r="D22" s="9" t="s">
        <v>35</v>
      </c>
      <c r="E22" s="9" t="s">
        <v>2380</v>
      </c>
    </row>
    <row r="23" spans="1:9" x14ac:dyDescent="0.25">
      <c r="A23" s="23" t="str">
        <f t="shared" si="0"/>
        <v>ENTITYENBLNG_TRNVR_W</v>
      </c>
      <c r="B23" s="23"/>
      <c r="C23" s="14" t="s">
        <v>730</v>
      </c>
      <c r="D23" s="9" t="s">
        <v>35</v>
      </c>
      <c r="E23" s="9" t="s">
        <v>2380</v>
      </c>
    </row>
    <row r="24" spans="1:9" x14ac:dyDescent="0.25">
      <c r="A24" s="23" t="str">
        <f t="shared" si="0"/>
        <v>ENTITYENBLNG_CAPEX_CE</v>
      </c>
      <c r="B24" s="23"/>
      <c r="C24" s="14" t="s">
        <v>734</v>
      </c>
      <c r="D24" s="9" t="s">
        <v>35</v>
      </c>
      <c r="E24" s="9" t="s">
        <v>2380</v>
      </c>
    </row>
    <row r="25" spans="1:9" x14ac:dyDescent="0.25">
      <c r="A25" s="23" t="str">
        <f t="shared" si="0"/>
        <v>ENTITYENBLNG_TRNVR_CE</v>
      </c>
      <c r="B25" s="23"/>
      <c r="C25" s="14" t="s">
        <v>738</v>
      </c>
      <c r="D25" s="9" t="s">
        <v>35</v>
      </c>
      <c r="E25" s="9" t="s">
        <v>2380</v>
      </c>
    </row>
    <row r="26" spans="1:9" ht="5.15" customHeight="1" x14ac:dyDescent="0.25">
      <c r="C26" s="14"/>
    </row>
    <row r="27" spans="1:9" s="13" customFormat="1" ht="13" x14ac:dyDescent="0.25">
      <c r="C27" s="12" t="s">
        <v>2381</v>
      </c>
      <c r="D27" s="12" t="s">
        <v>2378</v>
      </c>
      <c r="E27" s="12" t="s">
        <v>2379</v>
      </c>
    </row>
    <row r="28" spans="1:9" ht="5.15" customHeight="1" x14ac:dyDescent="0.25">
      <c r="C28" s="14"/>
    </row>
    <row r="29" spans="1:9" x14ac:dyDescent="0.25">
      <c r="A29" s="23" t="str">
        <f t="shared" ref="A29:A43" si="1">+D29&amp;C29</f>
        <v>PROTECTIONBLDNG_AR</v>
      </c>
      <c r="B29" s="23"/>
      <c r="C29" s="15" t="s">
        <v>2207</v>
      </c>
      <c r="D29" s="9" t="s">
        <v>1952</v>
      </c>
      <c r="E29" s="9" t="s">
        <v>2382</v>
      </c>
      <c r="I29" s="9" t="s">
        <v>2383</v>
      </c>
    </row>
    <row r="30" spans="1:9" x14ac:dyDescent="0.25">
      <c r="A30" s="23" t="str">
        <f t="shared" si="1"/>
        <v>INSTR_ACTIVITYFLG_SBSTNTL_CNTRBTN</v>
      </c>
      <c r="B30" s="23"/>
      <c r="C30" s="15" t="s">
        <v>2274</v>
      </c>
      <c r="D30" s="9" t="s">
        <v>2259</v>
      </c>
      <c r="E30" s="9" t="s">
        <v>2380</v>
      </c>
    </row>
    <row r="31" spans="1:9" x14ac:dyDescent="0.25">
      <c r="A31" s="23" t="str">
        <f t="shared" si="1"/>
        <v>INSTRUMENTIFRS9_BHVRL_MTRTY</v>
      </c>
      <c r="B31" s="23"/>
      <c r="C31" s="14" t="s">
        <v>1079</v>
      </c>
      <c r="D31" s="9" t="s">
        <v>785</v>
      </c>
      <c r="E31" s="9" t="s">
        <v>2380</v>
      </c>
      <c r="F31" s="9" t="s">
        <v>2384</v>
      </c>
    </row>
    <row r="32" spans="1:9" x14ac:dyDescent="0.25">
      <c r="A32" s="23" t="str">
        <f t="shared" si="1"/>
        <v>INSTRUMENTLTV</v>
      </c>
      <c r="B32" s="23"/>
      <c r="C32" s="15" t="s">
        <v>1246</v>
      </c>
      <c r="D32" s="9" t="s">
        <v>785</v>
      </c>
      <c r="E32" s="9" t="s">
        <v>2380</v>
      </c>
    </row>
    <row r="33" spans="1:6" x14ac:dyDescent="0.25">
      <c r="A33" s="23" t="str">
        <f t="shared" si="1"/>
        <v>INSTRUMENTLTV_INCPTN</v>
      </c>
      <c r="B33" s="23"/>
      <c r="C33" s="15" t="s">
        <v>1250</v>
      </c>
      <c r="D33" s="9" t="s">
        <v>785</v>
      </c>
      <c r="E33" s="9" t="s">
        <v>2380</v>
      </c>
    </row>
    <row r="34" spans="1:6" x14ac:dyDescent="0.25">
      <c r="A34" s="23" t="str">
        <f t="shared" si="1"/>
        <v>INSTRUMENTANNLSD_AGRD_RT</v>
      </c>
      <c r="B34" s="23"/>
      <c r="C34" s="15" t="s">
        <v>1301</v>
      </c>
      <c r="D34" s="9" t="s">
        <v>785</v>
      </c>
      <c r="E34" s="9" t="s">
        <v>2380</v>
      </c>
    </row>
    <row r="35" spans="1:6" x14ac:dyDescent="0.25">
      <c r="A35" s="23" t="str">
        <f t="shared" si="1"/>
        <v>INSTRUMENTEIR_INCPTN</v>
      </c>
      <c r="B35" s="23"/>
      <c r="C35" s="15" t="s">
        <v>1310</v>
      </c>
      <c r="D35" s="9" t="s">
        <v>785</v>
      </c>
      <c r="E35" s="9" t="s">
        <v>2380</v>
      </c>
    </row>
    <row r="36" spans="1:6" x14ac:dyDescent="0.25">
      <c r="A36" s="23" t="str">
        <f t="shared" si="1"/>
        <v>PROTECTIONYR_CNSTRCTN</v>
      </c>
      <c r="B36" s="23"/>
      <c r="C36" s="14" t="s">
        <v>2203</v>
      </c>
      <c r="D36" s="9" t="s">
        <v>1952</v>
      </c>
      <c r="E36" s="9" t="s">
        <v>2382</v>
      </c>
    </row>
    <row r="37" spans="1:6" x14ac:dyDescent="0.25">
      <c r="A37" s="23" t="str">
        <f t="shared" si="1"/>
        <v>INSTR_ACTIVITYCOD_SOC</v>
      </c>
      <c r="B37" s="23"/>
      <c r="C37" s="14" t="s">
        <v>38</v>
      </c>
      <c r="D37" s="9" t="s">
        <v>2259</v>
      </c>
      <c r="E37" s="9" t="s">
        <v>2380</v>
      </c>
    </row>
    <row r="38" spans="1:6" x14ac:dyDescent="0.25">
      <c r="A38" s="23" t="str">
        <f t="shared" si="1"/>
        <v>INSTR_ACTIVITYDT_RFRNC</v>
      </c>
      <c r="B38" s="23"/>
      <c r="C38" s="14" t="s">
        <v>91</v>
      </c>
      <c r="D38" s="9" t="s">
        <v>2259</v>
      </c>
      <c r="E38" s="9" t="s">
        <v>2380</v>
      </c>
    </row>
    <row r="39" spans="1:6" x14ac:dyDescent="0.25">
      <c r="A39" s="23" t="str">
        <f t="shared" si="1"/>
        <v>INSTR_ACTIVITYINSTRMNT_ID</v>
      </c>
      <c r="B39" s="23"/>
      <c r="C39" s="14" t="s">
        <v>772</v>
      </c>
      <c r="D39" s="9" t="s">
        <v>2259</v>
      </c>
      <c r="E39" s="9" t="s">
        <v>2380</v>
      </c>
    </row>
    <row r="40" spans="1:6" x14ac:dyDescent="0.25">
      <c r="A40" s="23" t="str">
        <f t="shared" si="1"/>
        <v>INSTR_ACTIVITYPRCNTG_ACTVTY</v>
      </c>
      <c r="B40" s="23"/>
      <c r="C40" s="15" t="s">
        <v>2266</v>
      </c>
      <c r="D40" s="9" t="s">
        <v>2259</v>
      </c>
      <c r="E40" s="9" t="s">
        <v>2380</v>
      </c>
    </row>
    <row r="41" spans="1:6" x14ac:dyDescent="0.25">
      <c r="A41" s="23" t="str">
        <f t="shared" si="1"/>
        <v>ENTITYENTTY_NM</v>
      </c>
      <c r="B41" s="23"/>
      <c r="C41" s="14" t="s">
        <v>125</v>
      </c>
      <c r="D41" s="9" t="s">
        <v>35</v>
      </c>
      <c r="E41" s="9" t="s">
        <v>2380</v>
      </c>
      <c r="F41" s="9" t="s">
        <v>2385</v>
      </c>
    </row>
    <row r="42" spans="1:6" x14ac:dyDescent="0.25">
      <c r="A42" s="23" t="str">
        <f t="shared" si="1"/>
        <v>ENTITYEC_GRP_NM</v>
      </c>
      <c r="B42" s="23"/>
      <c r="C42" s="14" t="s">
        <v>453</v>
      </c>
      <c r="D42" s="9" t="s">
        <v>35</v>
      </c>
      <c r="E42" s="9" t="s">
        <v>2380</v>
      </c>
      <c r="F42" s="9" t="s">
        <v>2386</v>
      </c>
    </row>
    <row r="43" spans="1:6" x14ac:dyDescent="0.25">
      <c r="A43" s="23" t="str">
        <f t="shared" si="1"/>
        <v>INSTRUMENTFRBRNC_STTS_INSTRMNT</v>
      </c>
      <c r="B43" s="23"/>
      <c r="C43" s="14" t="s">
        <v>915</v>
      </c>
      <c r="D43" s="9" t="s">
        <v>785</v>
      </c>
      <c r="E43" s="9" t="s">
        <v>2380</v>
      </c>
    </row>
    <row r="44" spans="1:6" ht="5.15" customHeight="1" x14ac:dyDescent="0.25">
      <c r="C44" s="14"/>
    </row>
    <row r="45" spans="1:6" s="13" customFormat="1" ht="13" x14ac:dyDescent="0.25">
      <c r="C45" s="12" t="s">
        <v>2387</v>
      </c>
      <c r="D45" s="12" t="s">
        <v>2378</v>
      </c>
      <c r="E45" s="12" t="s">
        <v>2379</v>
      </c>
    </row>
    <row r="46" spans="1:6" ht="5.15" customHeight="1" x14ac:dyDescent="0.25">
      <c r="C46" s="14"/>
    </row>
    <row r="47" spans="1:6" x14ac:dyDescent="0.25">
      <c r="A47" s="23" t="str">
        <f t="shared" ref="A47:A60" si="2">+D47&amp;C47</f>
        <v>INSTRUMENTFLG_MNMM_SFGRDS</v>
      </c>
      <c r="B47" s="23"/>
      <c r="C47" s="16" t="s">
        <v>1867</v>
      </c>
      <c r="D47" s="17" t="s">
        <v>785</v>
      </c>
      <c r="E47" s="17" t="s">
        <v>2382</v>
      </c>
      <c r="F47" s="18" t="str">
        <f>VLOOKUP(C47,[1]Sheet1!$D$5:$E$18,2,0)</f>
        <v>MISS</v>
      </c>
    </row>
    <row r="48" spans="1:6" x14ac:dyDescent="0.25">
      <c r="A48" s="23" t="str">
        <f t="shared" si="2"/>
        <v>PROTECTIONRL_ESTT_CRTFCTN</v>
      </c>
      <c r="B48" s="23"/>
      <c r="C48" s="16" t="s">
        <v>2219</v>
      </c>
      <c r="D48" s="17" t="s">
        <v>1952</v>
      </c>
      <c r="E48" s="17" t="s">
        <v>2382</v>
      </c>
      <c r="F48" s="18" t="str">
        <f>VLOOKUP(C48,[1]Sheet1!$D$5:$E$18,2,0)</f>
        <v>MISS</v>
      </c>
    </row>
    <row r="49" spans="1:6" x14ac:dyDescent="0.25">
      <c r="A49" s="23" t="str">
        <f t="shared" si="2"/>
        <v>PROTECTIONTYP_VHCL</v>
      </c>
      <c r="B49" s="23"/>
      <c r="C49" s="19" t="s">
        <v>2223</v>
      </c>
      <c r="D49" s="20" t="s">
        <v>1952</v>
      </c>
      <c r="E49" s="20" t="s">
        <v>2388</v>
      </c>
      <c r="F49" s="21"/>
    </row>
    <row r="50" spans="1:6" x14ac:dyDescent="0.25">
      <c r="A50" s="23" t="str">
        <f t="shared" si="2"/>
        <v>PROTECTIONDT_RGSTRTN</v>
      </c>
      <c r="B50" s="23"/>
      <c r="C50" s="16" t="s">
        <v>2226</v>
      </c>
      <c r="D50" s="17" t="s">
        <v>1952</v>
      </c>
      <c r="E50" s="17" t="s">
        <v>2382</v>
      </c>
      <c r="F50" s="18" t="s">
        <v>62</v>
      </c>
    </row>
    <row r="51" spans="1:6" x14ac:dyDescent="0.25">
      <c r="A51" s="23" t="str">
        <f t="shared" si="2"/>
        <v>INSTR_ACTIVITYFLG_DNSH_CMPLNC</v>
      </c>
      <c r="B51" s="23"/>
      <c r="C51" s="16" t="s">
        <v>2278</v>
      </c>
      <c r="D51" s="17" t="s">
        <v>2259</v>
      </c>
      <c r="E51" s="17" t="s">
        <v>2380</v>
      </c>
      <c r="F51" s="18" t="str">
        <f>VLOOKUP(C51,[1]Sheet1!$D$5:$E$18,2,0)</f>
        <v>MISS</v>
      </c>
    </row>
    <row r="52" spans="1:6" x14ac:dyDescent="0.25">
      <c r="A52" s="23" t="str">
        <f t="shared" si="2"/>
        <v>INSTR_ACTIVITYDNSH_DTL</v>
      </c>
      <c r="B52" s="23"/>
      <c r="C52" s="16" t="s">
        <v>2282</v>
      </c>
      <c r="D52" s="17" t="s">
        <v>2259</v>
      </c>
      <c r="E52" s="17" t="s">
        <v>2380</v>
      </c>
      <c r="F52" s="18" t="str">
        <f>VLOOKUP(C52,[1]Sheet1!$D$5:$E$18,2,0)</f>
        <v>MISS</v>
      </c>
    </row>
    <row r="53" spans="1:6" x14ac:dyDescent="0.25">
      <c r="A53" s="23" t="str">
        <f t="shared" si="2"/>
        <v>PROTECTIONTYP_EMSSNS_LBL</v>
      </c>
      <c r="B53" s="23"/>
      <c r="C53" s="16" t="s">
        <v>2134</v>
      </c>
      <c r="D53" s="17" t="s">
        <v>1952</v>
      </c>
      <c r="E53" s="17" t="s">
        <v>2389</v>
      </c>
      <c r="F53" s="18" t="str">
        <f>VLOOKUP(C53,[1]Sheet1!$D$5:$E$18,2,0)</f>
        <v>MISS</v>
      </c>
    </row>
    <row r="54" spans="1:6" x14ac:dyDescent="0.25">
      <c r="A54" s="23" t="str">
        <f t="shared" si="2"/>
        <v>PROTECTIONVHCL_EMSSNS_LBL</v>
      </c>
      <c r="B54" s="23"/>
      <c r="C54" s="16" t="s">
        <v>2142</v>
      </c>
      <c r="D54" s="17" t="s">
        <v>1952</v>
      </c>
      <c r="E54" s="17" t="s">
        <v>2389</v>
      </c>
      <c r="F54" s="18" t="str">
        <f>VLOOKUP(C54,[1]Sheet1!$D$5:$E$18,2,0)</f>
        <v>MISS</v>
      </c>
    </row>
    <row r="55" spans="1:6" x14ac:dyDescent="0.25">
      <c r="A55" s="23" t="str">
        <f t="shared" si="2"/>
        <v>PROTECTIONVHCL_EMSSNS_SCR</v>
      </c>
      <c r="B55" s="23"/>
      <c r="C55" s="16" t="s">
        <v>2154</v>
      </c>
      <c r="D55" s="17" t="s">
        <v>1952</v>
      </c>
      <c r="E55" s="17" t="s">
        <v>2389</v>
      </c>
      <c r="F55" s="18">
        <f>VLOOKUP(C55,[1]Sheet1!$D$5:$E$18,2,0)</f>
        <v>99999999999</v>
      </c>
    </row>
    <row r="56" spans="1:6" x14ac:dyDescent="0.25">
      <c r="A56" s="23" t="str">
        <f t="shared" si="2"/>
        <v>PROTECTIONINSRNC_ID</v>
      </c>
      <c r="B56" s="23"/>
      <c r="C56" s="16" t="s">
        <v>2183</v>
      </c>
      <c r="D56" s="17" t="s">
        <v>1952</v>
      </c>
      <c r="E56" s="17" t="s">
        <v>2389</v>
      </c>
      <c r="F56" s="18" t="str">
        <f>VLOOKUP(C56,[1]Sheet1!$D$5:$E$18,2,0)</f>
        <v>MISS</v>
      </c>
    </row>
    <row r="57" spans="1:6" x14ac:dyDescent="0.25">
      <c r="A57" s="23" t="str">
        <f t="shared" si="2"/>
        <v>PROTECTIONTYP_HZRDS_INSRD</v>
      </c>
      <c r="B57" s="23"/>
      <c r="C57" s="16" t="s">
        <v>2187</v>
      </c>
      <c r="D57" s="17" t="s">
        <v>1952</v>
      </c>
      <c r="E57" s="17" t="s">
        <v>2389</v>
      </c>
      <c r="F57" s="18" t="str">
        <f>VLOOKUP(C57,[1]Sheet1!$D$5:$E$18,2,0)</f>
        <v>MISS</v>
      </c>
    </row>
    <row r="58" spans="1:6" x14ac:dyDescent="0.25">
      <c r="A58" s="23" t="str">
        <f t="shared" si="2"/>
        <v>PROTECTIONAMNT_CVRD_INSRNC</v>
      </c>
      <c r="B58" s="23"/>
      <c r="C58" s="16" t="s">
        <v>2191</v>
      </c>
      <c r="D58" s="17" t="s">
        <v>1952</v>
      </c>
      <c r="E58" s="17" t="s">
        <v>2389</v>
      </c>
      <c r="F58" s="18">
        <f>VLOOKUP(C58,[1]Sheet1!$D$5:$E$18,2,0)</f>
        <v>99999999999</v>
      </c>
    </row>
    <row r="59" spans="1:6" x14ac:dyDescent="0.25">
      <c r="A59" s="23" t="str">
        <f t="shared" si="2"/>
        <v>PROTECTIONDT_MTRTY_INSRNC</v>
      </c>
      <c r="B59" s="23"/>
      <c r="C59" s="16" t="s">
        <v>2195</v>
      </c>
      <c r="D59" s="17" t="s">
        <v>1952</v>
      </c>
      <c r="E59" s="17" t="s">
        <v>2389</v>
      </c>
      <c r="F59" s="18" t="str">
        <f>VLOOKUP(C59,[1]Sheet1!$D$5:$E$18,2,0)</f>
        <v>0000-00-00</v>
      </c>
    </row>
    <row r="60" spans="1:6" x14ac:dyDescent="0.25">
      <c r="A60" s="23" t="str">
        <f t="shared" si="2"/>
        <v>PROTECTIONFLG_FRST_HM</v>
      </c>
      <c r="B60" s="23"/>
      <c r="C60" s="16" t="s">
        <v>2199</v>
      </c>
      <c r="D60" s="17" t="s">
        <v>1952</v>
      </c>
      <c r="E60" s="17" t="s">
        <v>2389</v>
      </c>
      <c r="F60" s="18" t="str">
        <f>VLOOKUP(C60,[1]Sheet1!$D$5:$E$18,2,0)</f>
        <v>MISS</v>
      </c>
    </row>
    <row r="61" spans="1:6" ht="5.15" customHeight="1" x14ac:dyDescent="0.25">
      <c r="C61" s="14"/>
    </row>
    <row r="62" spans="1:6" s="13" customFormat="1" ht="13" x14ac:dyDescent="0.25">
      <c r="C62" s="12" t="s">
        <v>2390</v>
      </c>
    </row>
    <row r="63" spans="1:6" ht="5.15" customHeight="1" x14ac:dyDescent="0.25">
      <c r="C63" s="14"/>
    </row>
    <row r="64" spans="1:6" x14ac:dyDescent="0.25">
      <c r="A64" s="23" t="str">
        <f t="shared" ref="A64:A76" si="3">+D64&amp;C64</f>
        <v>PROTECTIONPRMRY_ENRGY_DMND_NN_RNWBL</v>
      </c>
      <c r="B64" s="23"/>
      <c r="C64" s="14" t="s">
        <v>2230</v>
      </c>
      <c r="D64" s="9" t="s">
        <v>1952</v>
      </c>
      <c r="E64" s="9" t="s">
        <v>2382</v>
      </c>
    </row>
    <row r="65" spans="1:5" x14ac:dyDescent="0.25">
      <c r="A65" s="23" t="str">
        <f t="shared" si="3"/>
        <v>PROTECTIONPRMRY_ENRGY_DMND_TTL</v>
      </c>
      <c r="B65" s="23"/>
      <c r="C65" s="14" t="s">
        <v>2234</v>
      </c>
      <c r="D65" s="9" t="s">
        <v>1952</v>
      </c>
      <c r="E65" s="9" t="s">
        <v>2382</v>
      </c>
    </row>
    <row r="66" spans="1:5" x14ac:dyDescent="0.25">
      <c r="A66" s="23" t="str">
        <f t="shared" si="3"/>
        <v>PROTECTIONPRMRY_ENRGY_DMND_RFRNC_VL</v>
      </c>
      <c r="B66" s="23"/>
      <c r="C66" s="14" t="s">
        <v>2238</v>
      </c>
      <c r="D66" s="9" t="s">
        <v>1952</v>
      </c>
      <c r="E66" s="9" t="s">
        <v>2382</v>
      </c>
    </row>
    <row r="67" spans="1:5" x14ac:dyDescent="0.25">
      <c r="A67" s="23" t="str">
        <f t="shared" si="3"/>
        <v>INSTRUMENTTYP_OFF_BLNC_PRDCT</v>
      </c>
      <c r="B67" s="23"/>
      <c r="C67" s="14" t="s">
        <v>1823</v>
      </c>
      <c r="D67" s="9" t="s">
        <v>785</v>
      </c>
      <c r="E67" s="9" t="s">
        <v>2380</v>
      </c>
    </row>
    <row r="68" spans="1:5" x14ac:dyDescent="0.25">
      <c r="A68" s="23" t="str">
        <f t="shared" si="3"/>
        <v>PROTECTIONEPC_EMSSNS_LBL</v>
      </c>
      <c r="B68" s="23"/>
      <c r="C68" s="14" t="s">
        <v>2138</v>
      </c>
      <c r="D68" s="9" t="s">
        <v>1952</v>
      </c>
      <c r="E68" s="9" t="s">
        <v>2389</v>
      </c>
    </row>
    <row r="69" spans="1:5" x14ac:dyDescent="0.25">
      <c r="A69" s="23" t="str">
        <f t="shared" si="3"/>
        <v>PROTECTIONTYP_EMSSNS_SCR</v>
      </c>
      <c r="B69" s="23"/>
      <c r="C69" s="14" t="s">
        <v>2146</v>
      </c>
      <c r="D69" s="9" t="s">
        <v>1952</v>
      </c>
      <c r="E69" s="9" t="s">
        <v>2389</v>
      </c>
    </row>
    <row r="70" spans="1:5" x14ac:dyDescent="0.25">
      <c r="A70" s="23" t="str">
        <f t="shared" si="3"/>
        <v>PROTECTIONEPC_EMSSNS_SCR</v>
      </c>
      <c r="B70" s="23"/>
      <c r="C70" s="14" t="s">
        <v>2150</v>
      </c>
      <c r="D70" s="9" t="s">
        <v>1952</v>
      </c>
      <c r="E70" s="9" t="s">
        <v>2389</v>
      </c>
    </row>
    <row r="71" spans="1:5" x14ac:dyDescent="0.25">
      <c r="A71" s="23" t="str">
        <f t="shared" si="3"/>
        <v>INSTRUMENTINTRNL_SGMNT</v>
      </c>
      <c r="B71" s="23"/>
      <c r="C71" s="14" t="s">
        <v>111</v>
      </c>
      <c r="D71" s="9" t="s">
        <v>785</v>
      </c>
      <c r="E71" s="9" t="s">
        <v>2389</v>
      </c>
    </row>
    <row r="72" spans="1:5" x14ac:dyDescent="0.25">
      <c r="A72" s="23" t="str">
        <f t="shared" si="3"/>
        <v>INSTRUMENTEAD</v>
      </c>
      <c r="B72" s="23"/>
      <c r="C72" s="14" t="s">
        <v>1084</v>
      </c>
      <c r="D72" s="9" t="s">
        <v>785</v>
      </c>
      <c r="E72" s="9" t="s">
        <v>2389</v>
      </c>
    </row>
    <row r="73" spans="1:5" x14ac:dyDescent="0.25">
      <c r="A73" s="23" t="str">
        <f t="shared" si="3"/>
        <v>INSTRUMENTOFF_BLNC_SHT_AMNT_INSTRMNT</v>
      </c>
      <c r="B73" s="23"/>
      <c r="C73" s="14" t="s">
        <v>1104</v>
      </c>
      <c r="D73" s="9" t="s">
        <v>785</v>
      </c>
      <c r="E73" s="9" t="s">
        <v>2389</v>
      </c>
    </row>
    <row r="74" spans="1:5" x14ac:dyDescent="0.25">
      <c r="A74" s="23" t="str">
        <f t="shared" si="3"/>
        <v>PROTECTIONRL_ESTT_ADDRSS</v>
      </c>
      <c r="B74" s="23"/>
      <c r="C74" s="14" t="s">
        <v>1972</v>
      </c>
      <c r="D74" s="9" t="s">
        <v>1952</v>
      </c>
      <c r="E74" s="9" t="s">
        <v>2389</v>
      </c>
    </row>
    <row r="75" spans="1:5" x14ac:dyDescent="0.25">
      <c r="A75" s="23" t="str">
        <f t="shared" si="3"/>
        <v>PROTECTIONRL_ESTT_CLLTRL_LCTN_INT</v>
      </c>
      <c r="B75" s="23"/>
      <c r="C75" s="14" t="s">
        <v>1980</v>
      </c>
      <c r="D75" s="9" t="s">
        <v>1952</v>
      </c>
      <c r="E75" s="9" t="s">
        <v>2389</v>
      </c>
    </row>
    <row r="76" spans="1:5" x14ac:dyDescent="0.25">
      <c r="A76" s="23" t="str">
        <f t="shared" si="3"/>
        <v>PROTECTIONRL_ESTT_CTY</v>
      </c>
      <c r="B76" s="23"/>
      <c r="C76" s="14" t="s">
        <v>1985</v>
      </c>
      <c r="D76" s="9" t="s">
        <v>1952</v>
      </c>
      <c r="E76" s="9" t="s">
        <v>2389</v>
      </c>
    </row>
    <row r="77" spans="1:5" x14ac:dyDescent="0.25">
      <c r="C77" s="14"/>
    </row>
    <row r="78" spans="1:5" ht="5.15" customHeight="1" x14ac:dyDescent="0.25">
      <c r="C78" s="14"/>
    </row>
    <row r="79" spans="1:5" s="13" customFormat="1" ht="13" x14ac:dyDescent="0.25">
      <c r="C79" s="12" t="s">
        <v>2391</v>
      </c>
    </row>
    <row r="80" spans="1:5" ht="5.15" customHeight="1" x14ac:dyDescent="0.25"/>
    <row r="81" spans="1:5" x14ac:dyDescent="0.25">
      <c r="A81" s="23" t="str">
        <f t="shared" ref="A81:A86" si="4">+D81&amp;C81</f>
        <v>PROTECTIONRL_ESTT_CLMT_ZN</v>
      </c>
      <c r="B81" s="23"/>
      <c r="C81" s="14" t="s">
        <v>2242</v>
      </c>
      <c r="D81" s="9" t="s">
        <v>1952</v>
      </c>
      <c r="E81" s="9" t="s">
        <v>2382</v>
      </c>
    </row>
    <row r="82" spans="1:5" x14ac:dyDescent="0.25">
      <c r="A82" s="23" t="str">
        <f t="shared" si="4"/>
        <v>INSTRUMENTNW_BSNSS</v>
      </c>
      <c r="B82" s="23"/>
      <c r="C82" s="14" t="s">
        <v>1630</v>
      </c>
      <c r="D82" s="9" t="s">
        <v>785</v>
      </c>
      <c r="E82" s="9" t="s">
        <v>2380</v>
      </c>
    </row>
    <row r="83" spans="1:5" x14ac:dyDescent="0.25">
      <c r="A83" s="23" t="str">
        <f t="shared" si="4"/>
        <v>INSTR_PROTECTIONTYP_RLTN</v>
      </c>
      <c r="B83" s="23"/>
      <c r="C83" s="14" t="s">
        <v>1944</v>
      </c>
      <c r="D83" s="9" t="s">
        <v>1927</v>
      </c>
      <c r="E83" s="9" t="s">
        <v>2380</v>
      </c>
    </row>
    <row r="84" spans="1:5" x14ac:dyDescent="0.25">
      <c r="A84" s="23" t="str">
        <f t="shared" si="4"/>
        <v>ENTITYGRP_ECNMC_ACTVTY</v>
      </c>
      <c r="B84" s="23"/>
      <c r="C84" s="14" t="s">
        <v>586</v>
      </c>
      <c r="D84" s="9" t="s">
        <v>35</v>
      </c>
      <c r="E84" s="9" t="s">
        <v>2389</v>
      </c>
    </row>
    <row r="85" spans="1:5" x14ac:dyDescent="0.25">
      <c r="A85" s="23" t="str">
        <f t="shared" si="4"/>
        <v>INSTRUMENTINTRNL_SGMNT_CAT_MSTA</v>
      </c>
      <c r="B85" s="23"/>
      <c r="C85" s="14" t="s">
        <v>1589</v>
      </c>
      <c r="D85" s="9" t="s">
        <v>785</v>
      </c>
      <c r="E85" s="9" t="s">
        <v>2389</v>
      </c>
    </row>
    <row r="86" spans="1:5" x14ac:dyDescent="0.25">
      <c r="A86" s="23" t="str">
        <f t="shared" si="4"/>
        <v>INSTRUMENTINTRNL_SGMNT_CATGSUB</v>
      </c>
      <c r="B86" s="23"/>
      <c r="C86" s="14" t="s">
        <v>1594</v>
      </c>
      <c r="D86" s="9" t="s">
        <v>785</v>
      </c>
      <c r="E86" s="9" t="s">
        <v>2389</v>
      </c>
    </row>
    <row r="87" spans="1:5" x14ac:dyDescent="0.25">
      <c r="C87" s="14"/>
    </row>
    <row r="88" spans="1:5" x14ac:dyDescent="0.25">
      <c r="C88" s="14"/>
    </row>
    <row r="89" spans="1:5" ht="13" x14ac:dyDescent="0.25">
      <c r="C89" s="12" t="s">
        <v>2392</v>
      </c>
    </row>
    <row r="90" spans="1:5" x14ac:dyDescent="0.25">
      <c r="C90" s="14" t="s">
        <v>449</v>
      </c>
      <c r="D90" s="9" t="s">
        <v>35</v>
      </c>
      <c r="E90" s="9" t="s">
        <v>2380</v>
      </c>
    </row>
    <row r="91" spans="1:5" ht="13" x14ac:dyDescent="0.25">
      <c r="C91" s="22"/>
    </row>
    <row r="92" spans="1:5" x14ac:dyDescent="0.25">
      <c r="C92" s="14"/>
    </row>
    <row r="93" spans="1:5" x14ac:dyDescent="0.25"/>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511375E9B6A4047927DE3870E45B8D5" ma:contentTypeVersion="15" ma:contentTypeDescription="Create a new document." ma:contentTypeScope="" ma:versionID="e9d23e1a7e76fb010a7a235d00d37e18">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a08de57118a7aa6c29331f8892cd35a0"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Unified Compliance Policy Properties" ma:hidden="true" ma:internalName="_ip_UnifiedCompliancePolicyProperties">
      <xsd:simpleType>
        <xsd:restriction base="dms:Note"/>
      </xsd:simpleType>
    </xsd:element>
    <xsd:element name="_ip_UnifiedCompliancePolicyUIAction" ma:index="1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CF224C8-F555-4B9D-81C5-C6A9C7679EC6}">
  <ds:schemaRefs>
    <ds:schemaRef ds:uri="http://www.w3.org/XML/1998/namespace"/>
    <ds:schemaRef ds:uri="0683c779-04fc-4b63-89c9-6c25ffa1c0a4"/>
    <ds:schemaRef ds:uri="http://purl.org/dc/terms/"/>
    <ds:schemaRef ds:uri="http://purl.org/dc/elements/1.1/"/>
    <ds:schemaRef ds:uri="http://schemas.microsoft.com/office/2006/metadata/properties"/>
    <ds:schemaRef ds:uri="http://schemas.microsoft.com/office/infopath/2007/PartnerControls"/>
    <ds:schemaRef ds:uri="http://schemas.microsoft.com/office/2006/documentManagement/types"/>
    <ds:schemaRef ds:uri="http://schemas.openxmlformats.org/package/2006/metadata/core-properties"/>
    <ds:schemaRef ds:uri="6ea7b29d-57ec-408d-9ea9-cf73b04f66d5"/>
    <ds:schemaRef ds:uri="http://schemas.microsoft.com/sharepoint/v3"/>
    <ds:schemaRef ds:uri="http://purl.org/dc/dcmitype/"/>
  </ds:schemaRefs>
</ds:datastoreItem>
</file>

<file path=customXml/itemProps2.xml><?xml version="1.0" encoding="utf-8"?>
<ds:datastoreItem xmlns:ds="http://schemas.openxmlformats.org/officeDocument/2006/customXml" ds:itemID="{AF23F150-53E9-4B6C-9FF3-63DC63C89E44}">
  <ds:schemaRefs>
    <ds:schemaRef ds:uri="http://schemas.microsoft.com/sharepoint/v3/contenttype/forms"/>
  </ds:schemaRefs>
</ds:datastoreItem>
</file>

<file path=customXml/itemProps3.xml><?xml version="1.0" encoding="utf-8"?>
<ds:datastoreItem xmlns:ds="http://schemas.openxmlformats.org/officeDocument/2006/customXml" ds:itemID="{B05C04BA-797D-464B-8FC9-2FDC012E193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1. Campos</vt:lpstr>
      <vt:lpstr>2. Entregas 31Jan</vt:lpstr>
      <vt:lpstr>Input &gt;&gt;</vt:lpstr>
      <vt:lpstr>Ficheiros</vt:lpstr>
      <vt:lpstr>Especificação Novos Req. LT (2</vt:lpstr>
    </vt:vector>
  </TitlesOfParts>
  <Company>Banco Santander Portugal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Hélder Filipe Felicidade Fernandes</dc:creator>
  <cp:lastModifiedBy>Joana Rita Bentinho Silva</cp:lastModifiedBy>
  <dcterms:created xsi:type="dcterms:W3CDTF">2025-01-29T22:14:47Z</dcterms:created>
  <dcterms:modified xsi:type="dcterms:W3CDTF">2025-01-30T13:20:46Z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1b88ec2-a72b-4523-9e84-0458a1764731_Enabled">
    <vt:lpwstr>true</vt:lpwstr>
  </property>
  <property fmtid="{D5CDD505-2E9C-101B-9397-08002B2CF9AE}" pid="3" name="MSIP_Label_41b88ec2-a72b-4523-9e84-0458a1764731_SetDate">
    <vt:lpwstr>2025-01-30T04:22:31Z</vt:lpwstr>
  </property>
  <property fmtid="{D5CDD505-2E9C-101B-9397-08002B2CF9AE}" pid="4" name="MSIP_Label_41b88ec2-a72b-4523-9e84-0458a1764731_Method">
    <vt:lpwstr>Privileged</vt:lpwstr>
  </property>
  <property fmtid="{D5CDD505-2E9C-101B-9397-08002B2CF9AE}" pid="5" name="MSIP_Label_41b88ec2-a72b-4523-9e84-0458a1764731_Name">
    <vt:lpwstr>Public O365</vt:lpwstr>
  </property>
  <property fmtid="{D5CDD505-2E9C-101B-9397-08002B2CF9AE}" pid="6" name="MSIP_Label_41b88ec2-a72b-4523-9e84-0458a1764731_SiteId">
    <vt:lpwstr>35595a02-4d6d-44ac-99e1-f9ab4cd872db</vt:lpwstr>
  </property>
  <property fmtid="{D5CDD505-2E9C-101B-9397-08002B2CF9AE}" pid="7" name="MSIP_Label_41b88ec2-a72b-4523-9e84-0458a1764731_ActionId">
    <vt:lpwstr>ceff9038-8856-4d57-ae06-3261e7183166</vt:lpwstr>
  </property>
  <property fmtid="{D5CDD505-2E9C-101B-9397-08002B2CF9AE}" pid="8" name="MSIP_Label_41b88ec2-a72b-4523-9e84-0458a1764731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