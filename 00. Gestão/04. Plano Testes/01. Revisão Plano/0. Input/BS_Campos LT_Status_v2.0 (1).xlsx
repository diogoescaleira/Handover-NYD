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1. PDS/"/>
    </mc:Choice>
  </mc:AlternateContent>
  <xr:revisionPtr revIDLastSave="2765" documentId="8_{E5CB3F0B-AC18-4F3B-B66E-A27715A44338}" xr6:coauthVersionLast="47" xr6:coauthVersionMax="47" xr10:uidLastSave="{145E478C-DEB2-473C-9DDF-269F91B6BAD3}"/>
  <bookViews>
    <workbookView xWindow="-108" yWindow="-108" windowWidth="23256" windowHeight="12576" activeTab="3" xr2:uid="{00000000-000D-0000-FFFF-FFFF00000000}"/>
  </bookViews>
  <sheets>
    <sheet name="Status" sheetId="4" r:id="rId1"/>
    <sheet name="PDS (old)" sheetId="6" state="hidden" r:id="rId2"/>
    <sheet name="Aux." sheetId="10" state="hidden" r:id="rId3"/>
    <sheet name="PDS" sheetId="11" r:id="rId4"/>
    <sheet name="Detalhe" sheetId="1" r:id="rId5"/>
    <sheet name="Caderno Testes" sheetId="5" r:id="rId6"/>
    <sheet name="Campos IMP vs CNT" sheetId="7" r:id="rId7"/>
  </sheets>
  <definedNames>
    <definedName name="_xlnm._FilterDatabase" localSheetId="5" hidden="1">'Caderno Testes'!$A$1:$I$215</definedName>
    <definedName name="_xlnm._FilterDatabase" localSheetId="6" hidden="1">'Campos IMP vs CNT'!$A$1:$J$69</definedName>
    <definedName name="_xlnm._FilterDatabase" localSheetId="4" hidden="1">Detalhe!$B$5:$X$384</definedName>
    <definedName name="_xlnm._FilterDatabase" localSheetId="3" hidden="1">Aux.!$B$2:$H$2</definedName>
    <definedName name="_xlnm._FilterDatabase" localSheetId="1" hidden="1">Aux.!$B$2:$H$2</definedName>
    <definedName name="_Hlk71900621" localSheetId="6">'Campos IMP vs CNT'!$C$61</definedName>
    <definedName name="_Toc164082157" localSheetId="6">'Campos IMP vs CNT'!#REF!</definedName>
    <definedName name="_Toc164082158" localSheetId="6">'Campos IMP vs CNT'!$C$52</definedName>
    <definedName name="_Toc164082286" localSheetId="6">'Campos IMP vs CNT'!$C$62</definedName>
    <definedName name="_Toc164082298" localSheetId="6">'Campos IMP vs CNT'!$C$64</definedName>
    <definedName name="_Toc164082299" localSheetId="6">'Campos IMP vs CNT'!$C$65</definedName>
    <definedName name="_Toc164082302" localSheetId="6">'Campos IMP vs CNT'!$C$12</definedName>
    <definedName name="_Toc164082303" localSheetId="6">'Campos IMP vs CNT'!$C$13</definedName>
    <definedName name="_Toc164082304" localSheetId="6">'Campos IMP vs CNT'!$C$49</definedName>
    <definedName name="_Toc164082314" localSheetId="6">'Campos IMP vs CNT'!$C$5</definedName>
    <definedName name="_Toc164082315" localSheetId="6">'Campos IMP vs CNT'!$C$3</definedName>
    <definedName name="_Toc164082316" localSheetId="6">'Campos IMP vs CNT'!$C$4</definedName>
    <definedName name="_Toc164082319" localSheetId="6">'Campos IMP vs CNT'!$C$60</definedName>
    <definedName name="_Toc164082330" localSheetId="6">'Campos IMP vs CNT'!$C$48</definedName>
    <definedName name="_Toc164082331" localSheetId="6">'Campos IMP vs CNT'!$C$68</definedName>
    <definedName name="_Toc164082332" localSheetId="6">'Campos IMP vs CNT'!$C$22</definedName>
    <definedName name="_Toc164082333" localSheetId="6">'Campos IMP vs CNT'!$C$36</definedName>
    <definedName name="_Toc164082334" localSheetId="6">'Campos IMP vs CNT'!$C$37</definedName>
    <definedName name="_Toc164082339" localSheetId="6">'Campos IMP vs CNT'!$C$42</definedName>
    <definedName name="_Toc164082348" localSheetId="6">'Campos IMP vs CNT'!$C$51</definedName>
    <definedName name="_Toc164082349" localSheetId="6">'Campos IMP vs CNT'!$C$69</definedName>
    <definedName name="_Toc164082351" localSheetId="6">'Campos IMP vs CNT'!$C$57</definedName>
    <definedName name="_Toc164082352" localSheetId="6">'Campos IMP vs CNT'!$C$58</definedName>
    <definedName name="_Toc164082353" localSheetId="6">'Campos IMP vs CNT'!$C$59</definedName>
    <definedName name="_Toc164082359" localSheetId="6">'Campos IMP vs CNT'!$C$33</definedName>
    <definedName name="_Toc164082360" localSheetId="6">'Campos IMP vs CNT'!$C$34</definedName>
    <definedName name="_Toc164082361" localSheetId="6">'Campos IMP vs CNT'!$C$35</definedName>
    <definedName name="_Toc164082362" localSheetId="6">'Campos IMP vs CNT'!$C$38</definedName>
    <definedName name="_Toc164082363" localSheetId="6">'Campos IMP vs CNT'!$C$39</definedName>
    <definedName name="_Toc164082366" localSheetId="6">'Campos IMP vs CNT'!$C$43</definedName>
    <definedName name="_Toc164082367" localSheetId="6">'Campos IMP vs CNT'!$C$44</definedName>
    <definedName name="_Toc164082368" localSheetId="6">'Campos IMP vs CNT'!$C$7</definedName>
    <definedName name="_Toc164082369" localSheetId="6">'Campos IMP vs CNT'!$C$45</definedName>
    <definedName name="_Toc164082370" localSheetId="6">'Campos IMP vs CNT'!$C$8</definedName>
    <definedName name="_Toc164082371" localSheetId="6">'Campos IMP vs CNT'!$C$46</definedName>
    <definedName name="_Toc164082372" localSheetId="6">'Campos IMP vs CNT'!$C$9</definedName>
    <definedName name="_Toc164082373" localSheetId="6">'Campos IMP vs CNT'!$C$10</definedName>
    <definedName name="_Toc164082374" localSheetId="6">'Campos IMP vs CNT'!$C$11</definedName>
    <definedName name="_Toc164082375" localSheetId="6">'Campos IMP vs CNT'!$C$66</definedName>
    <definedName name="_Toc164082381" localSheetId="6">'Campos IMP vs CNT'!#REF!</definedName>
    <definedName name="_Toc164082382" localSheetId="6">'Campos IMP vs CNT'!$C$53</definedName>
    <definedName name="_Toc164082383" localSheetId="6">'Campos IMP vs CNT'!$C$54</definedName>
    <definedName name="_Toc164082394" localSheetId="6">'Campos IMP vs CNT'!#REF!</definedName>
    <definedName name="_Toc164082395" localSheetId="6">'Campos IMP vs CNT'!#REF!</definedName>
    <definedName name="_Toc164082396" localSheetId="6">'Campos IMP vs CNT'!#REF!</definedName>
    <definedName name="_Toc164082397" localSheetId="6">'Campos IMP vs CNT'!#REF!</definedName>
  </definedNames>
  <calcPr calcId="191029"/>
  <pivotCaches>
    <pivotCache cacheId="465" r:id="rId8"/>
    <pivotCache cacheId="46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9" i="11" l="1"/>
  <c r="S29" i="11"/>
  <c r="R29" i="11"/>
  <c r="Q29" i="11"/>
  <c r="P29" i="11"/>
  <c r="O29" i="11"/>
  <c r="N29" i="11"/>
  <c r="M29" i="11"/>
  <c r="L29" i="11"/>
  <c r="K29" i="11"/>
  <c r="J29" i="11"/>
  <c r="T28" i="11"/>
  <c r="S28" i="11"/>
  <c r="R28" i="11"/>
  <c r="Q28" i="11"/>
  <c r="P28" i="11"/>
  <c r="O28" i="11"/>
  <c r="N28" i="11"/>
  <c r="M28" i="11"/>
  <c r="L28" i="11"/>
  <c r="K28" i="11"/>
  <c r="J28" i="11"/>
  <c r="E4" i="10"/>
  <c r="E5" i="10"/>
  <c r="E6" i="10"/>
  <c r="E7" i="10"/>
  <c r="E8" i="10"/>
  <c r="E9" i="10"/>
  <c r="E10" i="10"/>
  <c r="E11" i="10"/>
  <c r="E12" i="10"/>
  <c r="E13" i="10"/>
  <c r="E3" i="10"/>
  <c r="C13" i="10"/>
  <c r="C4" i="10"/>
  <c r="C5" i="10"/>
  <c r="C6" i="10"/>
  <c r="C7" i="10"/>
  <c r="C8" i="10"/>
  <c r="C9" i="10"/>
  <c r="C10" i="10"/>
  <c r="C11" i="10"/>
  <c r="C12" i="10"/>
  <c r="C3" i="10"/>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M30" i="11" l="1" a="1"/>
  <c r="M30" i="11" s="1"/>
  <c r="T31" i="11"/>
  <c r="L31" i="11"/>
  <c r="J30" i="11" a="1"/>
  <c r="J30" i="11" s="1"/>
  <c r="R30" i="11" a="1"/>
  <c r="R30" i="11" s="1"/>
  <c r="K30" i="11" a="1"/>
  <c r="K30" i="11" s="1"/>
  <c r="S31" i="11"/>
  <c r="Q30" i="11" a="1"/>
  <c r="Q30" i="11" s="1"/>
  <c r="N30" i="11" a="1"/>
  <c r="N30" i="11" s="1"/>
  <c r="O30" i="11" a="1"/>
  <c r="O30" i="11" s="1"/>
  <c r="P31" i="11"/>
  <c r="S30" i="11" a="1"/>
  <c r="S30" i="11" s="1"/>
  <c r="M31" i="11"/>
  <c r="N31" i="11"/>
  <c r="O31" i="11"/>
  <c r="L30" i="11" a="1"/>
  <c r="L30" i="11" s="1"/>
  <c r="P30" i="11" a="1"/>
  <c r="P30" i="11" s="1"/>
  <c r="T30" i="11" a="1"/>
  <c r="T30" i="11" s="1"/>
  <c r="Q31" i="11"/>
  <c r="J31" i="11"/>
  <c r="R31" i="11"/>
  <c r="K31" i="11"/>
  <c r="A274" i="1"/>
  <c r="A351" i="1" l="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Q29" i="6"/>
  <c r="Q28" i="6"/>
  <c r="K29" i="6"/>
  <c r="J29" i="6"/>
  <c r="L29" i="6"/>
  <c r="M29" i="6"/>
  <c r="O29" i="6"/>
  <c r="P29" i="6"/>
  <c r="R29" i="6"/>
  <c r="S29" i="6"/>
  <c r="T29" i="6"/>
  <c r="N29" i="6"/>
  <c r="Q30" i="6" l="1" a="1"/>
  <c r="Q30" i="6" s="1"/>
  <c r="G10" i="10"/>
  <c r="Q31" i="6"/>
  <c r="C14" i="10"/>
  <c r="D13" i="10" s="1"/>
  <c r="D10" i="10" l="1"/>
  <c r="D4" i="10"/>
  <c r="D8" i="10"/>
  <c r="D7" i="10"/>
  <c r="D6" i="10"/>
  <c r="D5" i="10"/>
  <c r="D11" i="10"/>
  <c r="D12" i="10"/>
  <c r="D3" i="10"/>
  <c r="D9" i="10"/>
  <c r="L351" i="1" l="1"/>
  <c r="L350" i="1"/>
  <c r="L349" i="1"/>
  <c r="L348" i="1"/>
  <c r="L347" i="1"/>
  <c r="L346" i="1"/>
  <c r="L345" i="1"/>
  <c r="L342" i="1"/>
  <c r="L341" i="1"/>
  <c r="L340" i="1"/>
  <c r="L339" i="1"/>
  <c r="L338" i="1"/>
  <c r="L337" i="1"/>
  <c r="L336" i="1"/>
  <c r="L30" i="1"/>
  <c r="L334" i="1"/>
  <c r="L333" i="1"/>
  <c r="L332" i="1"/>
  <c r="L331" i="1"/>
  <c r="L330" i="1"/>
  <c r="L329" i="1"/>
  <c r="L328" i="1"/>
  <c r="L327" i="1"/>
  <c r="L326" i="1"/>
  <c r="L325" i="1"/>
  <c r="L324" i="1"/>
  <c r="L323" i="1"/>
  <c r="L322" i="1"/>
  <c r="L321" i="1"/>
  <c r="L320" i="1"/>
  <c r="L319" i="1"/>
  <c r="L318" i="1"/>
  <c r="L317" i="1"/>
  <c r="L316" i="1"/>
  <c r="L315" i="1"/>
  <c r="L314" i="1"/>
  <c r="L313" i="1"/>
  <c r="L312" i="1"/>
  <c r="L310" i="1"/>
  <c r="L309" i="1"/>
  <c r="L308" i="1"/>
  <c r="L307" i="1"/>
  <c r="L306" i="1"/>
  <c r="L305" i="1"/>
  <c r="L304" i="1"/>
  <c r="L303" i="1"/>
  <c r="L302" i="1"/>
  <c r="L32" i="1"/>
  <c r="L300" i="1"/>
  <c r="L299" i="1"/>
  <c r="L67" i="1"/>
  <c r="L91" i="1"/>
  <c r="L93" i="1"/>
  <c r="L295" i="1"/>
  <c r="L294" i="1"/>
  <c r="L293" i="1"/>
  <c r="L292" i="1"/>
  <c r="L291" i="1"/>
  <c r="L290" i="1"/>
  <c r="L289" i="1"/>
  <c r="L288" i="1"/>
  <c r="L344" i="1"/>
  <c r="L285" i="1"/>
  <c r="L284" i="1"/>
  <c r="L283" i="1"/>
  <c r="L282" i="1"/>
  <c r="L281" i="1"/>
  <c r="L280" i="1"/>
  <c r="L279" i="1"/>
  <c r="L278" i="1"/>
  <c r="L277" i="1"/>
  <c r="L276" i="1"/>
  <c r="L275" i="1"/>
  <c r="L273" i="1"/>
  <c r="L272" i="1"/>
  <c r="L271" i="1"/>
  <c r="L270" i="1"/>
  <c r="L269" i="1"/>
  <c r="L268" i="1"/>
  <c r="L267" i="1"/>
  <c r="L265" i="1"/>
  <c r="L264" i="1"/>
  <c r="L263" i="1"/>
  <c r="L262" i="1"/>
  <c r="L261" i="1"/>
  <c r="L260" i="1"/>
  <c r="L259" i="1"/>
  <c r="L258" i="1"/>
  <c r="L257" i="1"/>
  <c r="L256" i="1"/>
  <c r="L255" i="1"/>
  <c r="L254" i="1"/>
  <c r="L253" i="1"/>
  <c r="L252" i="1"/>
  <c r="L251" i="1"/>
  <c r="L250" i="1"/>
  <c r="L248" i="1"/>
  <c r="L247"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25" i="1"/>
  <c r="L184" i="1"/>
  <c r="L183" i="1"/>
  <c r="L182" i="1"/>
  <c r="L181" i="1"/>
  <c r="L180" i="1"/>
  <c r="L179" i="1"/>
  <c r="L178" i="1"/>
  <c r="L177" i="1"/>
  <c r="L143" i="1"/>
  <c r="L175" i="1"/>
  <c r="L174" i="1"/>
  <c r="L173" i="1"/>
  <c r="L172" i="1"/>
  <c r="L171" i="1"/>
  <c r="L170" i="1"/>
  <c r="L169" i="1"/>
  <c r="L168" i="1"/>
  <c r="L167" i="1"/>
  <c r="L166" i="1"/>
  <c r="L165" i="1"/>
  <c r="L164" i="1"/>
  <c r="L163" i="1"/>
  <c r="L162" i="1"/>
  <c r="L161" i="1"/>
  <c r="L142" i="1"/>
  <c r="L159" i="1"/>
  <c r="L158" i="1"/>
  <c r="L157" i="1"/>
  <c r="L156" i="1"/>
  <c r="L155" i="1"/>
  <c r="L154" i="1"/>
  <c r="L153" i="1"/>
  <c r="L152" i="1"/>
  <c r="L151" i="1"/>
  <c r="L150" i="1"/>
  <c r="L149" i="1"/>
  <c r="L148" i="1"/>
  <c r="L147" i="1"/>
  <c r="L146" i="1"/>
  <c r="L145" i="1"/>
  <c r="L144" i="1"/>
  <c r="L160" i="1"/>
  <c r="L286" i="1"/>
  <c r="L141" i="1"/>
  <c r="L140" i="1"/>
  <c r="L139" i="1"/>
  <c r="L138" i="1"/>
  <c r="L137" i="1"/>
  <c r="L136" i="1"/>
  <c r="L135" i="1"/>
  <c r="L134" i="1"/>
  <c r="L133" i="1"/>
  <c r="L132" i="1"/>
  <c r="L131" i="1"/>
  <c r="L130" i="1"/>
  <c r="L129" i="1"/>
  <c r="L128" i="1"/>
  <c r="L127" i="1"/>
  <c r="L126" i="1"/>
  <c r="L176" i="1"/>
  <c r="L185" i="1"/>
  <c r="L123" i="1"/>
  <c r="L120" i="1"/>
  <c r="L119" i="1"/>
  <c r="L118" i="1"/>
  <c r="L117" i="1"/>
  <c r="L116" i="1"/>
  <c r="L115" i="1"/>
  <c r="L114" i="1"/>
  <c r="L113" i="1"/>
  <c r="L112" i="1"/>
  <c r="L12" i="1"/>
  <c r="L110" i="1"/>
  <c r="L109" i="1"/>
  <c r="L108" i="1"/>
  <c r="L106" i="1"/>
  <c r="L105" i="1"/>
  <c r="L104" i="1"/>
  <c r="L101" i="1"/>
  <c r="L100" i="1"/>
  <c r="L99" i="1"/>
  <c r="L98" i="1"/>
  <c r="L97" i="1"/>
  <c r="L96" i="1"/>
  <c r="L95" i="1"/>
  <c r="L94" i="1"/>
  <c r="L249" i="1"/>
  <c r="L92" i="1"/>
  <c r="L266" i="1"/>
  <c r="L90" i="1"/>
  <c r="L89" i="1"/>
  <c r="L87" i="1"/>
  <c r="L86" i="1"/>
  <c r="L85" i="1"/>
  <c r="L84" i="1"/>
  <c r="L83" i="1"/>
  <c r="L82" i="1"/>
  <c r="L296" i="1"/>
  <c r="L80" i="1"/>
  <c r="L79" i="1"/>
  <c r="L78" i="1"/>
  <c r="L76" i="1"/>
  <c r="L75" i="1"/>
  <c r="L74" i="1"/>
  <c r="L72" i="1"/>
  <c r="L70" i="1"/>
  <c r="L69" i="1"/>
  <c r="L68" i="1"/>
  <c r="L29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4" i="1"/>
  <c r="L33" i="1"/>
  <c r="L298" i="1"/>
  <c r="L31" i="1"/>
  <c r="L301" i="1"/>
  <c r="L29" i="1"/>
  <c r="L28" i="1"/>
  <c r="L27" i="1"/>
  <c r="L26" i="1"/>
  <c r="L25" i="1"/>
  <c r="L24" i="1"/>
  <c r="L23" i="1"/>
  <c r="L22" i="1"/>
  <c r="L21" i="1"/>
  <c r="L20" i="1"/>
  <c r="L19" i="1"/>
  <c r="L18" i="1"/>
  <c r="L17" i="1"/>
  <c r="L16" i="1"/>
  <c r="L15" i="1"/>
  <c r="L14" i="1"/>
  <c r="L13" i="1"/>
  <c r="L335" i="1"/>
  <c r="L11" i="1"/>
  <c r="L10" i="1"/>
  <c r="L9" i="1"/>
  <c r="L8" i="1"/>
  <c r="L7" i="1"/>
  <c r="L6" i="1"/>
  <c r="N28" i="6" l="1"/>
  <c r="N30" i="6" s="1" a="1"/>
  <c r="N30" i="6" s="1"/>
  <c r="M28" i="6"/>
  <c r="M30" i="6" s="1" a="1"/>
  <c r="M30" i="6" s="1"/>
  <c r="J28" i="6"/>
  <c r="L28" i="6"/>
  <c r="L30" i="6" s="1" a="1"/>
  <c r="L30" i="6" s="1"/>
  <c r="O28" i="6"/>
  <c r="O30" i="6" s="1" a="1"/>
  <c r="O30" i="6" s="1"/>
  <c r="P28" i="6"/>
  <c r="P30" i="6" s="1" a="1"/>
  <c r="P30" i="6" s="1"/>
  <c r="S28" i="6"/>
  <c r="S30" i="6" s="1" a="1"/>
  <c r="S30" i="6" s="1"/>
  <c r="T28" i="6"/>
  <c r="T30" i="6" s="1" a="1"/>
  <c r="T30" i="6" s="1"/>
  <c r="K28" i="6"/>
  <c r="K30" i="6" s="1" a="1"/>
  <c r="K30" i="6" s="1"/>
  <c r="R28" i="6"/>
  <c r="R30" i="6" s="1" a="1"/>
  <c r="R30" i="6" s="1"/>
  <c r="J31" i="6" l="1"/>
  <c r="J30" i="6" a="1"/>
  <c r="J30" i="6" s="1"/>
  <c r="G9" i="10"/>
  <c r="G11" i="10"/>
  <c r="G4" i="10"/>
  <c r="E14" i="10"/>
  <c r="G3" i="10"/>
  <c r="G7" i="10"/>
  <c r="G12" i="10"/>
  <c r="G6" i="10"/>
  <c r="G5" i="10"/>
  <c r="G8" i="10"/>
  <c r="G13" i="10"/>
  <c r="O31" i="6"/>
  <c r="T31" i="6"/>
  <c r="R31" i="6"/>
  <c r="K31" i="6"/>
  <c r="P31" i="6"/>
  <c r="N31" i="6"/>
  <c r="L31" i="6"/>
  <c r="M31" i="6"/>
  <c r="S31" i="6"/>
  <c r="F9" i="10" l="1"/>
  <c r="F10" i="10"/>
  <c r="F13" i="10"/>
  <c r="F12" i="10"/>
  <c r="F11" i="10"/>
  <c r="F8" i="10"/>
  <c r="F7" i="10"/>
  <c r="F4" i="10"/>
  <c r="F3" i="10"/>
  <c r="F6" i="10"/>
  <c r="F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<sst xmlns="http://schemas.openxmlformats.org/spreadsheetml/2006/main" count="8298" uniqueCount="1066">
  <si>
    <t>Fora OSI</t>
  </si>
  <si>
    <t>OSI</t>
  </si>
  <si>
    <t>Total #</t>
  </si>
  <si>
    <t>Row Labels</t>
  </si>
  <si>
    <t>Count of Categorização</t>
  </si>
  <si>
    <t>#</t>
  </si>
  <si>
    <t>1. Especificar</t>
  </si>
  <si>
    <t>Campo Fechado</t>
  </si>
  <si>
    <r>
      <rPr>
        <b/>
        <sz val="11"/>
        <color theme="1"/>
        <rFont val="Aptos Narrow"/>
        <family val="2"/>
        <scheme val="minor"/>
      </rPr>
      <t xml:space="preserve">Potencial de proposta </t>
    </r>
    <r>
      <rPr>
        <sz val="11"/>
        <color theme="1"/>
        <rFont val="Aptos Narrow"/>
        <family val="2"/>
        <scheme val="minor"/>
      </rPr>
      <t>- Campos concluídos, sem melhorias identidicadas, mas com necessidade de documentação</t>
    </r>
  </si>
  <si>
    <t>Analisar controlos NOK</t>
  </si>
  <si>
    <t>2. Alterar especificação</t>
  </si>
  <si>
    <t>Não</t>
  </si>
  <si>
    <r>
      <rPr>
        <b/>
        <sz val="11"/>
        <color theme="1"/>
        <rFont val="Aptos Narrow"/>
        <family val="2"/>
        <scheme val="minor"/>
      </rPr>
      <t>Potencial de proposta</t>
    </r>
    <r>
      <rPr>
        <sz val="11"/>
        <color theme="1"/>
        <rFont val="Aptos Narrow"/>
        <family val="2"/>
        <scheme val="minor"/>
      </rPr>
      <t xml:space="preserve"> - Campos com melhorias mais complexas identificadas na OSI ou fora da mesma.</t>
    </r>
  </si>
  <si>
    <t>Melhorias estruturais (garantir coerência entre campos)</t>
  </si>
  <si>
    <t>3. Pendente de decisão</t>
  </si>
  <si>
    <t>Sim</t>
  </si>
  <si>
    <t>Quick-win âmbito do projeto em curso</t>
  </si>
  <si>
    <t>Novo campo</t>
  </si>
  <si>
    <t>Grand Total</t>
  </si>
  <si>
    <t>Necessidade de correção de erros</t>
  </si>
  <si>
    <t>Campo concluído, mas sem ou pouca informação na fonte</t>
  </si>
  <si>
    <t>7. Analisar controlos e completude</t>
  </si>
  <si>
    <t>Alteração de especificação por parte do BCE</t>
  </si>
  <si>
    <t>8. Concluído - sem dados</t>
  </si>
  <si>
    <t>9. Concluído</t>
  </si>
  <si>
    <t>Pendente de decisão</t>
  </si>
  <si>
    <t>Especificação</t>
  </si>
  <si>
    <t>DT_APPRSL_PRVS</t>
  </si>
  <si>
    <t>TYP_MRTGG</t>
  </si>
  <si>
    <t>TYP_PRTCTN</t>
  </si>
  <si>
    <t>DT_ORGNL_PRTCTN_VL</t>
  </si>
  <si>
    <t>DVLPMNT_STTS</t>
  </si>
  <si>
    <t>ORGNL_PRTCTN_VL</t>
  </si>
  <si>
    <t>PRTCTN_VL</t>
  </si>
  <si>
    <t>DT_PRTCTN_VL</t>
  </si>
  <si>
    <t>NTNL_ID</t>
  </si>
  <si>
    <t>Quick-win de alta prioridade</t>
  </si>
  <si>
    <t>Quick-win de média prioridade</t>
  </si>
  <si>
    <t>TABLE_NAME</t>
  </si>
  <si>
    <t>COLUMN_NAME</t>
  </si>
  <si>
    <t>ÂMBITO</t>
  </si>
  <si>
    <t>Status</t>
  </si>
  <si>
    <t>Quick-win</t>
  </si>
  <si>
    <t>Descrição</t>
  </si>
  <si>
    <t>Detalhe</t>
  </si>
  <si>
    <t>Data alteração status</t>
  </si>
  <si>
    <t>Controlos e Completuade atual</t>
  </si>
  <si>
    <t>Comentários</t>
  </si>
  <si>
    <t>Data envio para IT</t>
  </si>
  <si>
    <t>Data Implementação</t>
  </si>
  <si>
    <t>Categorização</t>
  </si>
  <si>
    <t>INSTRMNT</t>
  </si>
  <si>
    <t>ACCMLTD_CHNGS_FV_CR_INSTRMNT</t>
  </si>
  <si>
    <t>OK</t>
  </si>
  <si>
    <t>Concluido, controlos OK</t>
  </si>
  <si>
    <t>Campo concluido</t>
  </si>
  <si>
    <t>ACCMLTD_IMPRMNT_INSTRMNT</t>
  </si>
  <si>
    <t>ACCMLTD_IMPRMNT_INSTRMNT_PRVS</t>
  </si>
  <si>
    <t>Campo com incidência. Verificar fonte LT</t>
  </si>
  <si>
    <t>ACCMLTD_WRTFFS_INSTRMNT</t>
  </si>
  <si>
    <t>ACCNTNG_CLSSFCTN</t>
  </si>
  <si>
    <t>ENTTY</t>
  </si>
  <si>
    <t>ACCNTNG_FRMWRK_SL</t>
  </si>
  <si>
    <t>Em especificação (Financial Statments CIB)</t>
  </si>
  <si>
    <t>ACCRD_INTRST_INSTRMNT</t>
  </si>
  <si>
    <t>Alterar especificação (Área enviou nova metodologia do campo)</t>
  </si>
  <si>
    <t>AMNT_D_AT_MTRTY</t>
  </si>
  <si>
    <t>NOK</t>
  </si>
  <si>
    <t>Em especificação</t>
  </si>
  <si>
    <t>ANNL_TRNVR_LE</t>
  </si>
  <si>
    <t>ANNL_TRNVR_LE_BDR</t>
  </si>
  <si>
    <t>ANNL_TRNVR_PRVS</t>
  </si>
  <si>
    <t>ANNL_TRNVR_PRVS_BDR</t>
  </si>
  <si>
    <t>ANNLSD_AGRD_RT</t>
  </si>
  <si>
    <t>Verificar necessidade de alteração da fonte para fins de reconciliação. Rever Fonte</t>
  </si>
  <si>
    <t>Rever se devemos utilizar a informação de IFRS9 ou manter a de alm</t>
  </si>
  <si>
    <t>PRTCTN</t>
  </si>
  <si>
    <t>APPRSL_CRRNCY</t>
  </si>
  <si>
    <t>Controlos NOK</t>
  </si>
  <si>
    <t>APPRSR</t>
  </si>
  <si>
    <t>ARRRS_INSTRMNT</t>
  </si>
  <si>
    <t>ARRRS_INSTRMNT_12M</t>
  </si>
  <si>
    <t>ASST_SCRT_CLSS</t>
  </si>
  <si>
    <t>BRCHD_CVNNTS</t>
  </si>
  <si>
    <t>Campo especificado, mas sem dados. Campo marcado com MISS ou NA</t>
  </si>
  <si>
    <t>CAPEX</t>
  </si>
  <si>
    <t>CAPEX_PRVS</t>
  </si>
  <si>
    <t>CCF</t>
  </si>
  <si>
    <t>CHNNL_ORGNTN</t>
  </si>
  <si>
    <t>Aguarda implementação de IT</t>
  </si>
  <si>
    <t>CLLCTN_MD</t>
  </si>
  <si>
    <t>CMLTV_RCVRS_SNC_DFLT_INSTRMNT</t>
  </si>
  <si>
    <t>CMMTMNT_INCPTN_INSTRMNT</t>
  </si>
  <si>
    <t>Analisar controlos e completude</t>
  </si>
  <si>
    <t>CMMTMNT_INSTRMNT</t>
  </si>
  <si>
    <t>CMPLNT_MRTR_C19_NM</t>
  </si>
  <si>
    <t>Em especificação (Campos Novos)</t>
  </si>
  <si>
    <t>CNSMPTN_FNRP18</t>
  </si>
  <si>
    <t>CNSTRCTN_STTS</t>
  </si>
  <si>
    <t>Campo dependente do MUG</t>
  </si>
  <si>
    <t>CNTRCT_ID</t>
  </si>
  <si>
    <t>CNTRCT_ID_BDR</t>
  </si>
  <si>
    <t>CNTRY</t>
  </si>
  <si>
    <t>COD_SOC</t>
  </si>
  <si>
    <t>COD_SOC_INTRGRP</t>
  </si>
  <si>
    <t>CPN_CRRNCY</t>
  </si>
  <si>
    <t>CR_FLG</t>
  </si>
  <si>
    <t>CRE_FNRP18</t>
  </si>
  <si>
    <t>CRE_INCM_CRRNCY</t>
  </si>
  <si>
    <t>Campo sem mapeamento, para análise da área  de Riscos</t>
  </si>
  <si>
    <t>CRE_YRLY_EXPNSS</t>
  </si>
  <si>
    <t>CRE_YRLY_INCM</t>
  </si>
  <si>
    <t>CRRLTN_CFFCNT</t>
  </si>
  <si>
    <t>CRRNCY_DNMNTN</t>
  </si>
  <si>
    <t>CRRYNG_AMNT_INSTRMNT</t>
  </si>
  <si>
    <t>CSH</t>
  </si>
  <si>
    <t>CSH_PRVS</t>
  </si>
  <si>
    <t>CSH_SWP_TRP</t>
  </si>
  <si>
    <t>CVNNT_STTS</t>
  </si>
  <si>
    <t>CVNNT_TYP</t>
  </si>
  <si>
    <t>DBT_RPYMNT_CPCTY_SNR_DBT</t>
  </si>
  <si>
    <t>DBT_RPYMNT_CPCTY_TTL</t>
  </si>
  <si>
    <t>DBT_SRVC_RT</t>
  </si>
  <si>
    <t>DBT_SRVC_RT_12M</t>
  </si>
  <si>
    <t>DBT_YLD</t>
  </si>
  <si>
    <t>DCSD</t>
  </si>
  <si>
    <t>DFLT_STTS</t>
  </si>
  <si>
    <t>Alterar especificação  caso a LT passe a reportar os 1os titulares da Contabilidade.</t>
  </si>
  <si>
    <t>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t>
  </si>
  <si>
    <t>DFLT_STTS_INSTRMNT</t>
  </si>
  <si>
    <t>É necessário adicionar este campo como obrigatório  para as linhas manuais (CMAH) e rever com a Leonor a tabela de parametrização (a área identificou incidências de acordo com o GUIA). Na OSI apenas foi adicionado a informação para ajustes manuais.</t>
  </si>
  <si>
    <t>DPD</t>
  </si>
  <si>
    <t>DPD_12M</t>
  </si>
  <si>
    <t>DPD_12M_FRBRNC_STTS</t>
  </si>
  <si>
    <t>Em testes. Campo depende do FRBRNC_STTS que está com incidência nos formatos. Não é necessário alterar a especificação do mesmo, apenas testar quando o campo FRBRNC_STTS estiver corrigido.</t>
  </si>
  <si>
    <t>DPD_12M_PRFRMNG_STTS</t>
  </si>
  <si>
    <t>Campo depende do histórico do PRFRMNG_STTS. Não é necessário alterar a especificação do mesmo, apenas testar se a metodologia do campo PRFRMNG_STTS for alterada.</t>
  </si>
  <si>
    <t>DPD_24M_FRBRNC_STTS</t>
  </si>
  <si>
    <t>DPD_24M_PRFRMNG_STTS</t>
  </si>
  <si>
    <t>Em testes. Campo depende do campo PRFRMNG_STTS. Não é necessário alterar a especificação do mesmo, apenas testar  se o campo PRFRMNG_STTS for alterado.</t>
  </si>
  <si>
    <t>DPD_FRBRNC_STTS</t>
  </si>
  <si>
    <t>DPD_PRFRMNG_STTS</t>
  </si>
  <si>
    <t>DSTI</t>
  </si>
  <si>
    <t>Campo com incidência e controlos NOK</t>
  </si>
  <si>
    <t>1) Campo com incidência, data igual à data da protection_vl 2) Alteração de formatos MISS</t>
  </si>
  <si>
    <t>DT_BRTH</t>
  </si>
  <si>
    <t>DT_CMPLNT_MRTR_STTS_C19</t>
  </si>
  <si>
    <t>DT_CMPLNT_MRTR_STTS_PRVS_C19</t>
  </si>
  <si>
    <t>DT_CNSTRCTN_STTS</t>
  </si>
  <si>
    <t>DT_DFLT_STTS</t>
  </si>
  <si>
    <t>Na OSI foram reportados os 1os titulares da Contabilidade, o que para alguns casos, são diferentes do que está na CL01. Apenas será necessário ajustar este campo caso a LT passe a reportar os 1os titulares da Contabilidade.</t>
  </si>
  <si>
    <t>DT_DFLT_STTS_INSTRMNT</t>
  </si>
  <si>
    <t>Campo com incidência. É necessário adicionar a data de inception sempre que os contratos não estejam em default
Campo entregue por IT durante a OSI, no entanto foi detatada a incidência identificada supra</t>
  </si>
  <si>
    <t>DT_END_GP_PPAL</t>
  </si>
  <si>
    <t>DT_END_GP_PPAL_C19</t>
  </si>
  <si>
    <t>DT_END_INTRST_ONLY</t>
  </si>
  <si>
    <t>DT_END_INTRST_ONLY_C19</t>
  </si>
  <si>
    <t>IFRS9_BHVRL_MTRTY</t>
  </si>
  <si>
    <t>Alterar especificação. Necessidade de alteração da fonte para fins de reconciliação</t>
  </si>
  <si>
    <t>Em curso. Aguardamos resposta da equipa de Imparidade. Sempre que o campo for nulo colocar 111111111 valor de NA</t>
  </si>
  <si>
    <t>DT_FNNCL_STTMTS</t>
  </si>
  <si>
    <t>DT_FNNCL_STTMTS_PRVS</t>
  </si>
  <si>
    <t>DT_FRBRNC_STTS</t>
  </si>
  <si>
    <t>Alterar especificação (alteração da fonte para a FR004)</t>
  </si>
  <si>
    <t>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t>
  </si>
  <si>
    <t>DT_FRBRNC_STTS_C19</t>
  </si>
  <si>
    <t>DT_FRBRNC_STTS_PRVS</t>
  </si>
  <si>
    <t>DT_FRBRNC_STTS_PRVS_C19</t>
  </si>
  <si>
    <t>DT_FRST_USG</t>
  </si>
  <si>
    <t>Controlos NOK por parte de Riscos</t>
  </si>
  <si>
    <t>DT_IMPRMNT_STTS</t>
  </si>
  <si>
    <t>Rever fonte. Confirmar com LCM que a informação deverá estar de acordo com IFRS9/Imparidade, mantendo a metodologia da OSI (ir apenas à tabela FR004 na data de referência, as restantes datas ir à tabela de IFRS9)</t>
  </si>
  <si>
    <t>DT_IMPRMNT_STTS_PRVS</t>
  </si>
  <si>
    <t>DT_INCPTN</t>
  </si>
  <si>
    <t>DT_INTRNL_RTNG</t>
  </si>
  <si>
    <t>Em testes, campo entregue por IT durante a OSI. Incidência nos formatos. Testar e validar controlos NOK</t>
  </si>
  <si>
    <t>Em testes, campo entregue por IT durante a OSI. Testar e validar controlos</t>
  </si>
  <si>
    <t>DT_INTTN_LGL_PRCDNGS_LE</t>
  </si>
  <si>
    <t>Alterar especificação (alteração da fonte para MUG)</t>
  </si>
  <si>
    <t>DT_LST_FLL_APPRSL</t>
  </si>
  <si>
    <t>Campo está a reportar a data da última avaliação e não a data da última avaliação in person. Implementação não está a aplicar a metodologia de cálculo de acordo com a especificação</t>
  </si>
  <si>
    <t>DT_MTRTY_PRTCTN</t>
  </si>
  <si>
    <t>SICR_ASSSSMNT_MTHD</t>
  </si>
  <si>
    <t>Rever com Corporação se a codelist do IMPRMNT_STTS alterou, caso não tenha alterado não é necessário alterar o campo.</t>
  </si>
  <si>
    <t>E-mail enviado para Corporação. Codelist IMPRMNT_STTS não alterou</t>
  </si>
  <si>
    <t>DT_ORGNL_MTRTY</t>
  </si>
  <si>
    <t>DT_PRFRMNG_STTS</t>
  </si>
  <si>
    <t>DT_PRFRMNG_STTS_LE</t>
  </si>
  <si>
    <t>DT_PRFRMNG_STTS_PRVS</t>
  </si>
  <si>
    <t>Alteração da Code list por parte do BCE</t>
  </si>
  <si>
    <t>Alterar especificação de acordo com codelist atual. No MUG existem apenas garantias elegiveis para cálculo de capital? Se sim, TYP_MRTGG irá assumir os valores 1, 5 e N/A. Caso contrário assumirá os valores  1, 5, 6 e N/A.</t>
  </si>
  <si>
    <t>DT_PST_D</t>
  </si>
  <si>
    <t>DT_RFRNC</t>
  </si>
  <si>
    <t>DT_STRT_GP_PPAL</t>
  </si>
  <si>
    <t>DT_STRT_INTRST_ONLY</t>
  </si>
  <si>
    <t>DT_VLTN</t>
  </si>
  <si>
    <t>Alterar especificação. Campo dependente do MUG</t>
  </si>
  <si>
    <t>EAD</t>
  </si>
  <si>
    <t>Em testes. Campo com incidências, mas corrigida na LT no âmbito da OSI.</t>
  </si>
  <si>
    <t>Campo com incidência para um contrato que tem valores de ead e rwa negativos.
A fonte (CT013) tem um valor muito superior, isto significa que provavelmente existem várias chaves FR para uma chave BDR. Fomos ao tradutor verificar e de facto existem 10 chaves FR para uma BDR
Sabemos que os campos EAD e RWA são desagragados pelo "saldo capital "nas várias chaves FR, onde "saldo capital" é obtido através das contas cargabal, cruzamento fr802 e cruzamento com matriz de contas 805 para o nome perimentro corporativo
Verificamos que o aprovisionamento do campo está correto de acordo com as regras especificadas</t>
  </si>
  <si>
    <t>EBA_CMPLNT_MRTR_ST_C19</t>
  </si>
  <si>
    <t>EBITDA</t>
  </si>
  <si>
    <t>Alterar especificação (Luis Bastos enviou nova metodologia do campo)</t>
  </si>
  <si>
    <t>EBITDA_PRVS</t>
  </si>
  <si>
    <t>EC_GRP_ID</t>
  </si>
  <si>
    <t>EC_GRP_NM</t>
  </si>
  <si>
    <t>ECNMC_ACTVTY</t>
  </si>
  <si>
    <t>EIR</t>
  </si>
  <si>
    <t>EIR_INCPTN</t>
  </si>
  <si>
    <t>ELGBLTY_ECB</t>
  </si>
  <si>
    <t>EMPLYMNT_STTS</t>
  </si>
  <si>
    <t>EMPLYMNT_STTS_INTRNL</t>
  </si>
  <si>
    <t>ENTRPRS_SZ_LE</t>
  </si>
  <si>
    <t>ENTTY_ID</t>
  </si>
  <si>
    <t>ENTTY_NM</t>
  </si>
  <si>
    <t>EQTY</t>
  </si>
  <si>
    <t>EQTY_PRVS</t>
  </si>
  <si>
    <t>EXPCTD_LSS_CRR</t>
  </si>
  <si>
    <t>EXPSR_IN_SCP</t>
  </si>
  <si>
    <t>DT_EXTRNL_RTNG</t>
  </si>
  <si>
    <t>Alterar especificação para casos em informação na fonte.</t>
  </si>
  <si>
    <t>Quando não existe informação na fonte em vez de MISS substituir por NA</t>
  </si>
  <si>
    <t>EXTRNL_RTNG</t>
  </si>
  <si>
    <t>EXTRNL_RTNG_NM</t>
  </si>
  <si>
    <t>FLD_SYNDCTN</t>
  </si>
  <si>
    <t>Em implementação IT BST (Sindicados)</t>
  </si>
  <si>
    <t>FLG_BNKRPTCY_IN_GRP</t>
  </si>
  <si>
    <t>FLG_HGH_CDS</t>
  </si>
  <si>
    <t>FLG_ISDA_CRDT_EVNT</t>
  </si>
  <si>
    <t>FLG_LBO</t>
  </si>
  <si>
    <t>FLG_NN_ACCRL</t>
  </si>
  <si>
    <t>FLG_RQST_BNKRPTCY</t>
  </si>
  <si>
    <t>FLG_RQST_DSTRSSD_RSTRCTRNG</t>
  </si>
  <si>
    <t>Em especificação, rever fonte</t>
  </si>
  <si>
    <t>FLG_RQST_EMRGNCY_FNDNG</t>
  </si>
  <si>
    <t>FLG_SLL_WTH_LSS</t>
  </si>
  <si>
    <t>FR_CSH_FLW</t>
  </si>
  <si>
    <t>FR_CSH_FLW_T1</t>
  </si>
  <si>
    <t>FR_CSH_FLW_T2</t>
  </si>
  <si>
    <t>FR_CSH_FLW_T3</t>
  </si>
  <si>
    <t>FRBRNC_STTS_C19</t>
  </si>
  <si>
    <t>FRBRNC_STTS_INSTRMNT</t>
  </si>
  <si>
    <t>GCC_PRNT_ID</t>
  </si>
  <si>
    <t>GCC_PRNT_NM</t>
  </si>
  <si>
    <t>GDWILL</t>
  </si>
  <si>
    <t>GDWILL_PRVS</t>
  </si>
  <si>
    <t>GRC_PRD_CPTL_INTRST_C19</t>
  </si>
  <si>
    <t>GRNTR_ID</t>
  </si>
  <si>
    <t>GRNTR_ID_TYP</t>
  </si>
  <si>
    <t>GRP_EBITDA</t>
  </si>
  <si>
    <t>GRP_EQTY</t>
  </si>
  <si>
    <t>GRP_NT_DBT</t>
  </si>
  <si>
    <t>GRP_TTL_DBT</t>
  </si>
  <si>
    <t>GRSS_CRRYNG_AMNT_INSTRMNT</t>
  </si>
  <si>
    <t>HEDGE_ID</t>
  </si>
  <si>
    <t>HRCT_MV</t>
  </si>
  <si>
    <t>IDCMB</t>
  </si>
  <si>
    <t>Em testes pela equipa de CDO</t>
  </si>
  <si>
    <t>EXTRNL_RTNG_PRVS</t>
  </si>
  <si>
    <t>IFRS9_CCF</t>
  </si>
  <si>
    <t>IFRS9_EAD</t>
  </si>
  <si>
    <t>IFRS9_LGD</t>
  </si>
  <si>
    <t>IMPRMNT_ASSSSMNT_MTHD</t>
  </si>
  <si>
    <t>IMPRMNT_CLCLTN_MTHD</t>
  </si>
  <si>
    <t>IMPRMNT_STTS</t>
  </si>
  <si>
    <t>Rever com a Corporação se a nova code list foi apenas para a OSI (relativamente ao tema dos POCI).</t>
  </si>
  <si>
    <t>IMPRMNT_STTS_PRVS</t>
  </si>
  <si>
    <t>INCM_SC</t>
  </si>
  <si>
    <t>Em especificação (Salários)</t>
  </si>
  <si>
    <t>INSTLMNT_PAY</t>
  </si>
  <si>
    <t>Campo especificado, mas com pouca qualidade de dados</t>
  </si>
  <si>
    <t>INSTR_SNRTY_CLSS</t>
  </si>
  <si>
    <t>INSTRMNT_CLSS</t>
  </si>
  <si>
    <t>INSTRMNT_ID</t>
  </si>
  <si>
    <t>INTRNL_RTNG</t>
  </si>
  <si>
    <t>Em testes</t>
  </si>
  <si>
    <t>INTRNL_RTNG_INCPTN</t>
  </si>
  <si>
    <t>Alterar especificação, campo com incidência. Controlos NOK</t>
  </si>
  <si>
    <t>Na LT apenas foi especifido os restantes internal ratings, estando em falta o internal rating à data de inception.</t>
  </si>
  <si>
    <t>INTRNL_RTNG_PRVS</t>
  </si>
  <si>
    <t>INTRNL_SGMNT</t>
  </si>
  <si>
    <t>INTRNL_SGMNT_CAT_MSTA</t>
  </si>
  <si>
    <t>INTRNL_SGMNT_CATGSUB</t>
  </si>
  <si>
    <t>INTRNL_SGMNT_IFRS9</t>
  </si>
  <si>
    <t>INTRNL_UNT</t>
  </si>
  <si>
    <t>INTRST_RT_RST_FRQNCY</t>
  </si>
  <si>
    <t>ISIN</t>
  </si>
  <si>
    <t>ISIN_SCRTSTN</t>
  </si>
  <si>
    <t>ISSR_CNTRY</t>
  </si>
  <si>
    <t>ISSR_ESA_2010</t>
  </si>
  <si>
    <t>ISSR_ID</t>
  </si>
  <si>
    <t>ISSR_ID_TYP</t>
  </si>
  <si>
    <t>ISSR_NACE_SCTR</t>
  </si>
  <si>
    <t>ISSR_RTNG</t>
  </si>
  <si>
    <t>ISSR_RTNG_SRC</t>
  </si>
  <si>
    <t>ISSR_TYP</t>
  </si>
  <si>
    <t>JNT_LBLTY_AMNT</t>
  </si>
  <si>
    <t>LCL_INSTMRNT_ID</t>
  </si>
  <si>
    <t>LCR_BFFR_CTGRY</t>
  </si>
  <si>
    <t>LCRE</t>
  </si>
  <si>
    <t>Ficheiro enviado pela área. Rever se é necessário alterar a especificação de modo a estar de acordo com imparidade. Foi decisão que a informação a reportar deveria reconciliar com a informação de imparidade e por essa mesma razão não se utilizou os dados da LT</t>
  </si>
  <si>
    <t>LEI</t>
  </si>
  <si>
    <t>LGD</t>
  </si>
  <si>
    <t>LGL_PRCDNG_STTS</t>
  </si>
  <si>
    <t>LGL_PRCDNG_STTS_LE</t>
  </si>
  <si>
    <t>LND_DRGTN</t>
  </si>
  <si>
    <t>LSTI</t>
  </si>
  <si>
    <t>LTI</t>
  </si>
  <si>
    <t>LTI_INSTRMNT</t>
  </si>
  <si>
    <t>LTV</t>
  </si>
  <si>
    <t>LTV_INCPTN</t>
  </si>
  <si>
    <t>LTV_NPE</t>
  </si>
  <si>
    <t>LVRG</t>
  </si>
  <si>
    <t>LVRG_FNNC_FLG</t>
  </si>
  <si>
    <t>LVRG_PRVS</t>
  </si>
  <si>
    <t>MN_ENTTY_ID</t>
  </si>
  <si>
    <t>Campo com incidências. Verificar necessidade de alteração da fonte para fins de reconciliação.
Campo novo, enviado para especificação em Fevereiro e entregue por IT em Março (durante a OSI), no entanto campo está com incidências nas garantias prestadas (detetadas no decurso da OSI)</t>
  </si>
  <si>
    <t>Rever se os 1os titulares devem ser os da FR ou os da CL001 (clientes)</t>
  </si>
  <si>
    <t>MN_PRPS</t>
  </si>
  <si>
    <t>MNTHL_INCM</t>
  </si>
  <si>
    <t>MNTHL_INCM_SLR</t>
  </si>
  <si>
    <t>MNTHL_TRNVR</t>
  </si>
  <si>
    <t>MTRTY_LTST_FRBRNC_MSR_C19</t>
  </si>
  <si>
    <t>MTRTY_LTST_MRTR_C19</t>
  </si>
  <si>
    <t>NMBR_FRBRNC_MSRS</t>
  </si>
  <si>
    <t>NT_INCM</t>
  </si>
  <si>
    <t>NT_INCM_PRVS</t>
  </si>
  <si>
    <t>RWA_MTHD</t>
  </si>
  <si>
    <t>Alteração de formato de 11111111.00 para 11111111</t>
  </si>
  <si>
    <t>Incidência relativamente ao formatos corrigida. Controlos testados e OK</t>
  </si>
  <si>
    <t>OBSRVD_AGNT_ID</t>
  </si>
  <si>
    <t>OBSRVD_AGNT_NM</t>
  </si>
  <si>
    <t>OFF_BLNC_SHT_AMNT_INSTRMNT</t>
  </si>
  <si>
    <t>OFF_BLNC_SHT_AMNT_INSTRMNT_PRVS</t>
  </si>
  <si>
    <t>Campo com incidência</t>
  </si>
  <si>
    <t>MISS deviam estar a ser reportados como NA ou zero</t>
  </si>
  <si>
    <t>Campo está a assumir apenas valores 0.00, MISS ou N/A. É necessário replicar o cálculo da LT001 para um ano atrás. LCM pediu para que o campo fonte fosse criado diretamente na LT001, eliminando a necessidade de replicar o calculo da LT001 para um ano antes da data de referência.</t>
  </si>
  <si>
    <t>1) Campo com incidência, está a reportar apenas valores de MISS e N/A</t>
  </si>
  <si>
    <t>OSI_ID</t>
  </si>
  <si>
    <t>OTSTNDNG_NMNL_AMNT_INSTRMNT</t>
  </si>
  <si>
    <t>OTSTNDNG_NMNL_AMNT_INSTRMNT_PRVS</t>
  </si>
  <si>
    <t>Diferenças na fonte
Regra utilizada na OSI:
cast(NVL((LT02_PRVS.GRSS_CRRYNG_AMNT_INSTRMNT_PRVS - NVL(ACCRD_T1.ACCRD_INTRST_INSTRMNT_PRVS,0)) ,11111111111.00) as decimal(21,2)) as  OTSTNDNG_NMNL_AMNT_INSTRMNT_PRVS</t>
  </si>
  <si>
    <t>OWND_BY_SPNSR</t>
  </si>
  <si>
    <t>PBLC_GRNT_SCHM_C19_NM</t>
  </si>
  <si>
    <t>PD_CRR_INCPTN</t>
  </si>
  <si>
    <t>Campo com incidência. Confirmar com Tecnologia que o campo está alterado com base no que foi identificado na OSI</t>
  </si>
  <si>
    <t>PD_CRR_RD</t>
  </si>
  <si>
    <t>PD_CRR_RD_T1</t>
  </si>
  <si>
    <t>PD_IFRS9_12M_INCPTN</t>
  </si>
  <si>
    <t>PD_IFRS9_12M_RD</t>
  </si>
  <si>
    <t>PD_IFRS9_12M_RD_T1</t>
  </si>
  <si>
    <t>PD_IFRS9_LFTM_INCPTN</t>
  </si>
  <si>
    <t>PD_IFRS9_RMNNG_LFTM_INCPTN</t>
  </si>
  <si>
    <t>PD_IFRS9_RMNNG_LFTM_RD</t>
  </si>
  <si>
    <t>PMNT_PBLC_GRNT_SCHM_C19</t>
  </si>
  <si>
    <t>POCI</t>
  </si>
  <si>
    <t>PRCH_UNDR_RSL_AGR</t>
  </si>
  <si>
    <t>PRDCT</t>
  </si>
  <si>
    <t>PRDNTL_PRTFL</t>
  </si>
  <si>
    <t>PRFRMNG_STTS</t>
  </si>
  <si>
    <t>PRFRMNG_STTS_LE</t>
  </si>
  <si>
    <t>PRFRMNG_STTS_PRVS</t>
  </si>
  <si>
    <t>PRJCT_FNNC_LN</t>
  </si>
  <si>
    <t>PRM_LCTN</t>
  </si>
  <si>
    <t>100220 Casos que deviam ser N e estão a ser reportados MISS</t>
  </si>
  <si>
    <t>PRMRY_ASST_CLSSF</t>
  </si>
  <si>
    <t>PRPS</t>
  </si>
  <si>
    <t>PRSN_TYP</t>
  </si>
  <si>
    <t>PRT_LCR_BFFR</t>
  </si>
  <si>
    <t>PRTCTN_ALLCTD_VL</t>
  </si>
  <si>
    <t>PRTCTN_CLLD</t>
  </si>
  <si>
    <t>PRTCTN_FRCD_SL_VL</t>
  </si>
  <si>
    <t>PRTCTN_ID</t>
  </si>
  <si>
    <t>PRTCTN_PRVDR_ID</t>
  </si>
  <si>
    <t>PRTCTN_TYP_PBLC_GRNT_SCHM_C19</t>
  </si>
  <si>
    <t>PRTCTN_VL_NPE</t>
  </si>
  <si>
    <t xml:space="preserve">Campo depende do histórico do PRFRMNG_STTS. Não é necessário alterar a especificação do mesmo, apenas testar se a metodologia do campo PRFRMNG_STTS for alterada. </t>
  </si>
  <si>
    <t>PRTCTN_VL_PRVS</t>
  </si>
  <si>
    <t>PRTCTN_VLTN_APPRCH</t>
  </si>
  <si>
    <t>PRVSNS_OFF_BLNC_SHT</t>
  </si>
  <si>
    <t>PYMNT_FRQNCY</t>
  </si>
  <si>
    <t>Campo com incidência. Verificar necessidade de alteração da fonte para fins de reconciliação</t>
  </si>
  <si>
    <t>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t>
  </si>
  <si>
    <t>PYMNT_INTRST_ONLY</t>
  </si>
  <si>
    <t>Foi decisão que a informação a reportar deveria reconciliar com a informação de imparidade e por essa mesma razão não se utilizou os dados da LT. Rever se devemos utilizar a informação de IFRS9 ou manter a de alm</t>
  </si>
  <si>
    <t>RCRS</t>
  </si>
  <si>
    <t>RCVD_AMRTSTN_12M</t>
  </si>
  <si>
    <t>RCVD_AMRTSTN_24M</t>
  </si>
  <si>
    <t>RCVD_INTRST_12M</t>
  </si>
  <si>
    <t>Em especificação (Amortizações Capital/ Juros)</t>
  </si>
  <si>
    <t>RCVD_INTRST_24M</t>
  </si>
  <si>
    <t>Em especificação (Amortizações Capital/ Juros). Campo com dados mas pouca qualidade</t>
  </si>
  <si>
    <t>RFNNC_PRPS</t>
  </si>
  <si>
    <t>Alterar especificação. Campo depende do FRBRNC_STTS_INSTRMNT</t>
  </si>
  <si>
    <t>Sempre que o campo FRBRNC_STTS_INSTRMNT =3 o campo RFNNC_PRPS deve estar marcado como Y. Reespecificar, implementar e testar.</t>
  </si>
  <si>
    <t>RFRNC_RT</t>
  </si>
  <si>
    <t>RL_ESTT_ADDRSS</t>
  </si>
  <si>
    <t>RL_ESTT_CLLTRL_LCTN</t>
  </si>
  <si>
    <t>Alterados 3 casos. Campo está a devolver PT para todas as proteções, no entanto estas não estão localizadas em PT e alterou-se a localização para os respetivos paises.</t>
  </si>
  <si>
    <t>RL_ESTT_CLLTRL_LCTN_INT</t>
  </si>
  <si>
    <t>RL_ESTT_CTY</t>
  </si>
  <si>
    <t>RL_ESTT_PST_CD</t>
  </si>
  <si>
    <t>RRE_FNRP18</t>
  </si>
  <si>
    <t>RTNG_MTHD</t>
  </si>
  <si>
    <t>RTNG_SCL</t>
  </si>
  <si>
    <t>RTNTN_SHR</t>
  </si>
  <si>
    <t>RWA</t>
  </si>
  <si>
    <t>Campo com incidência para um contrato que tem valores de ead e rwa negativos.
A fonte (CT013) tem um valor muito superior, isto significa que provavelmente existem várias chaves FR para uma chave BDR. Fomos ao tradutor verificar e de facto existem 10 chaves FR para uma BDR
Sabemos que os campos EAD e RWA são desagragados pelo "saldo capital" nas várias chaves FR, onde "saldo capital" é obtido através das contas cargabal, cruzamento fr802 e cruzamento com matriz de contas CT805 para o nome perimentro corporativo
Verificamos que o aprovisionamento do campo está correto de acordo com as regras especificadas</t>
  </si>
  <si>
    <t>DT_LGL_FNL_MTRTY</t>
  </si>
  <si>
    <t xml:space="preserve">Controlos NOK e com Incidência nos formatos. </t>
  </si>
  <si>
    <t>Alterarção formato de 99999999 para 1111-11-11.</t>
  </si>
  <si>
    <t>SBJCT_PBLC_GRNT_SCHM_C19</t>
  </si>
  <si>
    <t>DT_NXT_INTRST_RT_RST</t>
  </si>
  <si>
    <t>Controlos NOK e com Incidência nos formatos.</t>
  </si>
  <si>
    <t xml:space="preserve"> Alteração formato de 0001-01-01 para 0000-00-00.</t>
  </si>
  <si>
    <t>SME_FNRP18</t>
  </si>
  <si>
    <t>SNGL_PRPS_VHCL</t>
  </si>
  <si>
    <t>SPCLTV_LNDNG</t>
  </si>
  <si>
    <t>SPNSR_NM</t>
  </si>
  <si>
    <t>SPRD</t>
  </si>
  <si>
    <t>SRCS_ENCMBRNC</t>
  </si>
  <si>
    <t>STTS_UNDRWRTTN_TRNSCTN</t>
  </si>
  <si>
    <t>SUBPORTFOLIO_ID</t>
  </si>
  <si>
    <t>SYNDCT_RL</t>
  </si>
  <si>
    <t>SYNDCTD_AGNT</t>
  </si>
  <si>
    <t>SYNDCTD_CNTRCT_ID</t>
  </si>
  <si>
    <t>SYNDCTD_LNDRS</t>
  </si>
  <si>
    <t>SYNDCTD_SHR</t>
  </si>
  <si>
    <t>SYNDCTN_TYP</t>
  </si>
  <si>
    <t>TAX_ID</t>
  </si>
  <si>
    <t>Campo especificado, mas com problemas a montante</t>
  </si>
  <si>
    <t>Concluido, controlos por parte de Riscos</t>
  </si>
  <si>
    <t>THRD_PRTY_PRRTY_CLMS</t>
  </si>
  <si>
    <t>TRNCH</t>
  </si>
  <si>
    <t>TTL_DBT</t>
  </si>
  <si>
    <t>TTL_DBT_PRVS</t>
  </si>
  <si>
    <t>TTL_INTRST_PD</t>
  </si>
  <si>
    <t>TTL_LVRG_RT</t>
  </si>
  <si>
    <t>TTL_LVRG_RT_PRVS</t>
  </si>
  <si>
    <t>TYP_AMRTSTN</t>
  </si>
  <si>
    <t>TYP_CMPLNT_MRTR_C19</t>
  </si>
  <si>
    <t>TYP_CRE_OPRTN</t>
  </si>
  <si>
    <t>TYP_INSTRMNT</t>
  </si>
  <si>
    <t>TYP_INTRST_RT</t>
  </si>
  <si>
    <t xml:space="preserve">Campo com incidência e controlos NOK. </t>
  </si>
  <si>
    <t>Alteração formato de 0001-01-01 para 0000-00-00</t>
  </si>
  <si>
    <t>Campo com incidência (Formatos). Remover aspas</t>
  </si>
  <si>
    <t>TYP_PRTCTN_INTRNL</t>
  </si>
  <si>
    <t>TYP_PRTCTN_VL</t>
  </si>
  <si>
    <t>TYPE_OF_PLCMNT</t>
  </si>
  <si>
    <t>VLTN_CRRNCY</t>
  </si>
  <si>
    <t>VLTN_TYP</t>
  </si>
  <si>
    <t>WTCH_LST</t>
  </si>
  <si>
    <t>YR_CNSTRCTN</t>
  </si>
  <si>
    <t>Tabela</t>
  </si>
  <si>
    <t>Campo</t>
  </si>
  <si>
    <t>Tipo de teste</t>
  </si>
  <si>
    <t>Descritivo</t>
  </si>
  <si>
    <t>Data atualização</t>
  </si>
  <si>
    <t>Data de referência</t>
  </si>
  <si>
    <t>Duvidas/comentários</t>
  </si>
  <si>
    <t>Query</t>
  </si>
  <si>
    <t>Completude</t>
  </si>
  <si>
    <t>Validar se o número de MISS e N/A</t>
  </si>
  <si>
    <t xml:space="preserve">
SELECT rwa_mthd, a.NUM_REGISTOS, a.NUM_REGISTOS/b.NUM_REGISTOS*100 as Perc
from
(SELECT rwa_mthd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rwa_mthd in ('99999999999', '11111111111')</t>
  </si>
  <si>
    <t>Desenvolvimento</t>
  </si>
  <si>
    <t>Validar alteração de formato de 11111111.00 para 11111111</t>
  </si>
  <si>
    <t>SELECT count(*), rwa_mthd
FROM cd_loan_tapes_bce.lt002_instrument
WHERE 1=1 
  AND REF_DATE='${date}'
  AND NOME_PERIMETRO='Individual Corporativo'
  AND AMBITO = 'PM'
  AND SEGMENTO = 'ESTR'
GROUP BY 2 ORDER BY 1</t>
  </si>
  <si>
    <t xml:space="preserve">Validar condição de N/A sempre que não existe de consumo de capital </t>
  </si>
  <si>
    <t>SELECT DISTINCT 
                EAD,
                RWA,
                rwa_mthd,
                VAL
FROM  
(SELECT DISTINCT INSTRMNT_ID,
                EAD,
                RWA,
                rwa_mthd
FROM cd_loan_tapes_bce.LT002_INSTRUMENT
WHERE REF_DATE='${date}'
  AND NOME_PERIMETRO='Individual Corporativo'
  AND AMBITO = 'PM')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VAL=0</t>
  </si>
  <si>
    <t>Controlos</t>
  </si>
  <si>
    <t>If "RWA" is populated other than default values, then "RWA calculation method" cannot be 'Not applicable'</t>
  </si>
  <si>
    <t>SELECT instrmnt_id, ead, rwa, rwa_mthd
FROM cd_loan_tapes_bce.lt002_instrument
WHERE 1=1 
  AND REF_DATE='${date}'
  AND NOME_PERIMETRO='Individual Corporativo'
  AND AMBITO = 'PM'
  AND SEGMENTO = 'ESTR'
 AND rwa NOT IN (99999999999.00, 11111111111.00)
  and rwa_mthd = 11111111111</t>
  </si>
  <si>
    <t>If "RWA" is populated with 'Not applicable', then "RWA calculation method" must be a default value</t>
  </si>
  <si>
    <t>SELECT instrmnt_id, ead, rwa, rwa_mthd
FROM cd_loan_tapes_bce.lt002_instrument
WHERE 1=1 
  AND REF_DATE='${date}'
  AND NOME_PERIMETRO='Individual Corporativo'
  AND AMBITO = 'PM'
  AND SEGMENTO = 'ESTR'
 AND rwa = 11111111111.00
  and rwa_mthd &lt;&gt; 11111111111</t>
  </si>
  <si>
    <t>Validar se o campo está de acordo com a Codelist</t>
  </si>
  <si>
    <t>SELECT rwa, a.NUM_REGISTOS, a.NUM_REGISTOS/b.NUM_REGISTOS*100 as Perc
from
(SELECT rwa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rwa in (99999999999, 11111111111)</t>
  </si>
  <si>
    <t>Validar formatos</t>
  </si>
  <si>
    <t>SELECT count(*), rwa 
FROM cd_loan_tapes_bce.lt002_instrument
WHERE 1=1 
  AND REF_DATE='${date}'
  AND NOME_PERIMETRO='Individual Corporativo'
  AND AMBITO = 'PM'
  AND SEGMENTO = 'ESTR'
GROUP BY 2 ORDER BY 1</t>
  </si>
  <si>
    <t>Validar se não existem valores negativos</t>
  </si>
  <si>
    <t>1 Contrato com valores negativos</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</si>
  <si>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RWA &lt; 0</t>
  </si>
  <si>
    <t>Teste contra a fonte</t>
  </si>
  <si>
    <t>A fonte (CT013) tem um valor muito superior, porque existem várias chaves FR para uma chave BDR</t>
  </si>
  <si>
    <t>SELECT DISTINCT
                INSTRMNT_ID,
                S1EMP,
                CONTRA1,
                EAD,
                RWA,
                rwa_final,
                ead_final_bruta
FROM  
(SELECT DISTINCT INSTRMNT_ID,
                CCF,
                dflt_stts_instrmnt,
                DPD,
                EAD,
                LGD,
                pd_crr_incptn,
                pd_crr_rd,
                pd_crr_rd_t1,
                RWA,
                rwa_mthd,
                spcltv_lndng,
                crrltn_cffcnt
FROM cd_loan_tapes_bce.LT002_INSTRUMENT
WHERE REF_DATE='${date}'
  AND NOME_PERIMETRO='Individual Corporativo'
  AND AMBITO = 'PM'  
--   AND instrmnt_id = '31000347000690020000000000000000'
) LT002
INNER JOIN
(SELECT CHAVE_FR, KT.S1EMP, KT.CONTRA1, SUM(flag_cons_cap) AS VAL, SUM(RWA_FINAL) AS RWA_FINAL, SUM(ead_final_bruta) AS ead_final_bruta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WHERE CHAVE_FR = '31005122428280011667450200000001' OR concat(S1EMP,CONTRA1) = '1814008684'
) KT
INNER JOIN
(SELECT CT013.* FROM
(SELECT          REF_DATE,
                 id_capital_perimetros,
                 s1emp,
                 contra1,
                 flag_cons_cap,
                 rwa_final,
                 ead_final_bruta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1,2,3
) X
on CHAVE_FR = INSTRMNT_ID</t>
  </si>
  <si>
    <t>Verificar saldo de capital</t>
  </si>
  <si>
    <t>SELECT LT002.instrmnt_id, RWA, EAD, CONCAT(LT001.cempresa,LT001.cbalcao,LT001.cnumecta,LT001.zdeposit) AS CHAVE_FR, NVL(SUM(LT001.msaldo_final),0) AS Saldo_Capital
FROM
(SELECT cempresa, cbalcao, cnumecta, zdeposit, ccontab_final_cargabal, msaldo_final
FROM cd_loan_tapes_bce.lt001_univ_oper
WHERE  REF_DATE = '${date}'
AND NOME_PERIMETRO='Individual Corporativo'
AND AMBITO = 'PM'
) LT001
INNER JOIN
(SELECT *
FROM cd_loan_tapes_bce.kt_chaves_lt
WHERE  REF_DATE = '${date}'
AND NOME_PERIMETRO='Individual Corporativo'
AND AMBITO = 'PM'
AND segmento = 'ESTR') KT_LT
ON CONCAT(LT001.cempresa,LT001.cbalcao,LT001.cnumecta,LT001.zdeposit) = CONCAT(KT_LT.cempresa,KT_LT.cbalcao,KT_LT.cnumecta,KT_LT.zdeposit)
INNER JOIN
(SELECT instrmnt_id, rwa, ead
FROM cd_loan_tapes_bce.lt002_instrument
WHERE  REF_DATE = '${date}'
AND NOME_PERIMETRO='Individual Corporativo'
AND AMBITO = 'PM'
AND segmento ='ESTR'
AND instrmnt_id in (
'310051224282800116674502P0080001',
'310051224282800116674502P0070001',
'310051224282800116674502P0060001',
'31005122428280011667450200000001',
'310051224282800116674502P0100001',
'310051224282800116674502P0110001',
'310051224282800116674502P0020001',
'310051224282800116674502P0010001',
'310051224282800116674502P0030001',
'310051224282800116674502P0090001'
)
) LT002
ON KT_LT.INSTRMNT_ID = LT002.INSTRMNT_ID
LEFT JOIN
(SELECT *
FROM cd_captools.fr802_pl_contas
WHERE 1=1 
    AND REF_DATE = '${date}'
    AND cod_plano = 'CARGABAL'
    AND ((tipo_conta IN ('A','P') AND carteira_contabilistica not in('provisoes para compromissos e garantias concedidas', 'outras provisoes') AND composicao_valor &lt;&gt; 'imparidade acumulada' AND bruto_imparidade &lt;&gt; 'imparidade')
OR (tipo_conta IN ('EA','EP','M')))
) FR802
ON FR802.CONTA = LT001.ccontab_final_cargabal
LEFT JOIN
(SELECT *
FROM cd_captools.ct805_matriz_cnt
WHERE 1=1 
    AND REF_DATE = '${date}'
    AND DOMINIO = 'Capital'
    AND NOME_PERIMETRO = 'Individual Corporativo'
) CT805
ON FR802.CONTA = CT805.CONTA
GROUP BY 1,2,3,4</t>
  </si>
  <si>
    <t xml:space="preserve">
SELECT ead, a.NUM_REGISTOS, a.NUM_REGISTOS/b.NUM_REGISTOS*100 as Perc
from
(SELECT ead , COUNT(*) AS NUM_REGISTOS
FROM cd_loan_tapes_bce.LT002_INSTRUMENT
WHERE REF_DATE='${date}'
  AND NOME_PERIMETRO='Individual Corporativo'
  AND AMBITO = 'PM'
  AND SEGMENTO = 'ESTR'
GROUP BY 1 
) a
join
(
SELECT COUNT(*) AS NUM_REGISTOS
FROM cd_loan_tapes_bce.LT002_INSTRUMENT
WHERE REF_DATE='${date}'
  AND NOME_PERIMETRO='Individual Corporativo'
  AND AMBITO = 'PM'
  AND SEGMENTO = 'ESTR'
) b
where ead in (99999999999, 11111111111)</t>
  </si>
  <si>
    <t>SELECT DISTINCT INSTRMNT_ID, 
                EAD,
                RWA,
                rwa_mthd,
                VAL
FROM  
(SELECT DISTINCT INSTRMNT_ID,
                EAD,
                RWA,
                rwa_mthd 
FROM cd_loan_tapes_bce.LT002_INSTRUMENT
WHERE REF_DATE='${date}'
  AND NOME_PERIMETRO='Individual Corporativo'
  AND AMBITO = 'PM'
--   AND instrmnt_id = '31000314294093096000000000000000'
  ) LT002
LEFT JOIN
(SELECT CHAVE_FR, SUM(flag_cons_cap) AS VAL FROM
(SELECT CHAVE_FR, S1EMP, CONTRA1 FROM
(SELECT DISTINCT CONCAT(CEMPRESA, CBALCAO,CNUMECTA, ZDEPOSIT) AS CHAVE_MASTER,
                 CONCAT(CEMPRESA_FR, CBALCAO_FR,CNUMECTA_FR, ZDEPOSIT_FR) AS CHAVE_FR
FROM cd_captools.KT_CHAVES_FINREP
WHERE REF_DATE='${date}') KT_FR
INNER JOIN
(SELECT DISTINCT CONCAT(CEMPRESA, CBALCAO,CNUMECTA, ZDEPOSIT) AS CHAVE_MASTER,
                 S1EMP, 
                 CONTRA1
FROM cd_captools.KT_CHAVES_BDR
WHERE REF_DATE='${date}') KT_BDR
ON KT_FR.CHAVE_MASTER=KT_BDR.CHAVE_MASTER ) KT
LEFT JOIN
(SELECT CT013.* FROM
(SELECT DISTINCT REF_DATE,
                  id_capital_perimetros,
                 s1emp,
                 contra1,
                 flag_cons_cap
FROM cd_captools.ct013_rwa_princ
WHERE REF_DATE = '${date}'
--   AND flag_cons_cap = 1
  AND flag_conc_contab = 1
  AND exercicio = "REAL" -- 30-03-2021: Adição de filtro
  AND subtipo_risco in ('1.1', '1.2', '1.3', '1.4', '1.5', '1.6', '1.7', '1.8', '1.9', '1.13')) CT013
  INNER JOIN
(SELECT DISTINCT ID_CAPITAL_PERIMETROS, REF_DATE  
FROM cd_captools.ct020_rwa_per
WHERE  REF_DATE = '${date}'
AND NOME_PERIMETRO='Individual Corporativo') CT020
on CT013.ID_CAPITAL_PERIMETROS=CT020.ID_CAPITAL_PERIMETROS) CAP
ON CAP.S1EMP=KT.S1EMP
AND CAP.CONTRA1=KT.CONTRA1
GROUP BY 1
) BASE
ON INSTRMNT_ID=CHAVE_FR
WHERE EAD &lt; 0</t>
  </si>
  <si>
    <t>Default values</t>
  </si>
  <si>
    <t>Validar que os MISS e NA estão de acordo com a especificação</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</si>
  <si>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</si>
  <si>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Validar se campo está de acordo com o especificado</t>
  </si>
  <si>
    <t>SELECT count(*)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valor_it &lt;&gt; valor_simulado</t>
  </si>
  <si>
    <t>Verificar se o campo está de acordo com a Codelist</t>
  </si>
  <si>
    <t>SELECT prm_lctn,
    COUNT(*)
FROM cd_loan_tapes_bce.lt004_protection
WHERE ref_date='${date}'
    AND nome_perimetro='Individual Corporativo'
    AND segmento='ESTR'
    AND ambito='PM'
GROUP BY prm_lctn</t>
  </si>
  <si>
    <t>If "Protection type" does not equal '8 - Residential real estate collateral' nor '9 - Offices and commercial premises' nor '10 - Commercial real estate collateral' then "Prime location according to bank-internal definition  (Y/N)" must be populated with default values</t>
  </si>
  <si>
    <t>Existem 13 casos com TYP_PRTCTN a MISS. Voltar a testar quando TYP_PRTCTN estiver concluído</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</si>
  <si>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NOT IN ('8','9','10')
    AND VALOR_SIMULADO &lt;&gt; 'N/A'</t>
  </si>
  <si>
    <t>If "Protection type" equals '8 - Residential real estate collateral' or '9 - Offices and commercial premises' or '10 - Commercial real estate collateral' then "Prime location according to bank-internal definition  (Y/N)" cannot be 'Not applicable'</t>
  </si>
  <si>
    <t xml:space="preserve">
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TYP_PRTCTN
FROM 
(SELECT prtctn_id, TYP_PRTCTN,
        prm_lctn as valor_it
FROM cd_loan_tapes_bce.lt004_protection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data_date_part='2024-05-31')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data_date_part='2024-05-31') AS TAT_162
ON TAT_J48.CD_REPARTICAO_FIN=TAT_162.tayd91c0_celemtab
) as base
WHERE 1=1 
    AND typ_prtctn IN ('8','9','10')
    AND VALOR_SIMULADO ='N/A'</t>
  </si>
  <si>
    <t>Campo com valor 0 para os restantes contratos que não estão marcados com valores default</t>
  </si>
  <si>
    <t>SELECT off_blnc_sht_amnt_instrmnt_prvs, count(*)
FROM cd_loan_tapes_bce.lt002_instrument
WHERE 1=1 
  AND REF_DATE='${date}'
  AND NOME_PERIMETRO='Individual Corporativo'
  AND AMBITO = 'PM'
  AND SEGMENTO = 'ESTR'
  AND off_blnc_sht_amnt_instrmnt_prvs NOT IN(11111111111.00,99999999999.00)
GROUP BY 1</t>
  </si>
  <si>
    <t>SELECT prtctn_id, dt_lst_fll_apprsl
FROM cd_loan_tapes_bce.lt004_protection 
WHERE ref_date='${date}' 
    AND nome_perimetro='Individual Corporativo' 
    AND segmento='ESTR' 
    AND ambito='PM'
    AND prtctn_id LIKE 'P%' 
    -- AND prtctn_id LIKE 'F%' 
    AND dt_lst_fll_apprsl &lt;&gt; '1111-11-11'</t>
  </si>
  <si>
    <t>Date of last full appraisal must be later than 01 January 1970</t>
  </si>
  <si>
    <t>SELECT DISTINCT dt_lst_fll_apprsl
FROM cd_loan_tapes_bce.lt004_protection 
WHERE ref_date='${date}' 
    AND nome_perimetro='Individual Corporativo' 
    AND segmento='ESTR' 
    AND ambito='PM'
    AND dt_lst_fll_apprsl &lt; '1970-01-01'</t>
  </si>
  <si>
    <t>Date of last full appraisal must have a Date format (yyyy-mm-dd)</t>
  </si>
  <si>
    <t xml:space="preserve">SELECT DISTINCT dt_lst_fll_apprsl
FROM cd_loan_tapes_bce.lt004_protection 
WHERE ref_date='${date}' 
    AND nome_perimetro='Individual Corporativo' 
    AND segmento='ESTR' 
    AND ambito='PM'
    AND length(dt_lst_fll_apprsl) &lt;&gt; 10 </t>
  </si>
  <si>
    <t>"Date of last full appraisal" cannot be later than "Reference date"</t>
  </si>
  <si>
    <t xml:space="preserve">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 AND valor_simulado &lt;&gt; valor_lt
    -- AND valor_simulado &gt;= dt_orgnl_prtctn_vl
    AND valor_simulado &gt; '${date}'
-- GROUP BY 1,2,3,4
</t>
  </si>
  <si>
    <t>"Date of last full appraisal" must be greater or equal to the "Date of the appraisal previous to the most recent one available, i.e. previous to the last full appraisal (field DT_LST_FLL_APPRSL)."
If DT_LST_FLL_APPRSL and DT_APPRSL_PRVS are populated other than default values, then DT_LST_FLL_APPRSL &gt;= DT_APPRSL_PRVS</t>
  </si>
  <si>
    <t>Simular especificação</t>
  </si>
  <si>
    <t>SELECT 
CASE WHEN TYP_INSTRMNT NOT IN ('71','80','1001','1002','1004','2001') THEN '11111111111' 
     WHEN LT06.INSTRMNT_ID IS NULL THEN '11111111111' 
     WHEN LT06.INSTRMNT_ID IS NOT NULL AND imov&gt;0 THEN '1' 
     WHEN LT06.INSTRMNT_ID IS NOT NULL AND imov=0 THEN '5' 
     END AS TYP_MRTGG_Simulado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t>
  </si>
  <si>
    <t>If "Type of instrument" is different from '71 - Trade receivables', '80- Finance leases', '1001 - Revolving credit other than overdrafts and credit card debt', '1002 - Credit lines other than revolving credit', '1004 - Loans other than overdrafts, convenience credit, extended credit, credit card credit, revolving credit other than credit card credit, reverse repurchase agreements, trade receivables and financial leases' or '2001 - Guarantees' then "Type of mortgage" has to be populated with default values</t>
  </si>
  <si>
    <t xml:space="preserve">1027 contratos que possuem uma garantia </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</si>
  <si>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t>
  </si>
  <si>
    <t>If "Protection type" equals '8 - Residential real estate collateral' or '9 - Offices and commercial premises' or '10 - Commercial real estate collateral', then "Type of mortgage" cannot be 'Not applicable'</t>
  </si>
  <si>
    <t>46 Contratos descobertos com proteções imóveis associadas</t>
  </si>
  <si>
    <t>SELECT DISTINCT LT02.instrmnt_id,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TYP_PRTCTN IN ('8','9','10')</t>
  </si>
  <si>
    <t>Número de casos com incidência</t>
  </si>
  <si>
    <t>SELECT count(*) FROM 
(SELECT DISTINCT LT02.instrmnt_id AS instrmnt_id_LT02, LT06.instrmnt_id, LT06.prtctn_id,
CASE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 AND TYP_INSTRMNT NOT IN ('71','80','1001','1002','1004','2001')
    AND TYP_PRTCTN IN ('8','9','10')
)X
WHERE 1=1  
    AND TYP_MRTGG_Simulado = '11111111111'
    AND TYP_INSTRMNT = '20'</t>
  </si>
  <si>
    <t xml:space="preserve">SELECT count(*), count(DISTINCT instrmnt_id_LT02) FROM 
(SELECT DISTINCT LT02.instrmnt_id AS instrmnt_id_LT02, LT06.instrmnt_id, LT06.prtctn_id,
CASE
-- WHEN TYP_INSTRMNT NOT IN ('71','80','1001','1002','1004','2001') THEN '11111111111' 
     WHEN LT06.INSTRMNT_ID IS NULL THEN '11111111111' 
     WHEN LT06.INSTRMNT_ID IS NOT NULL AND imov&gt;0 THEN '1' 
     WHEN LT06.INSTRMNT_ID IS NOT NULL AND imov=0 THEN '5' 
     END AS TYP_MRTGG_Simulado,
     typ_prtctn,
     TYP_INSTRMNT
FROM
(SELECT *
FROM cd_loan_tapes_bce.lt002_instrument
WHERE ref_date = '${date}'
  AND nome_perimetro = 'Individual Corporativo'
  AND segmento='ESTR' 
  AND ambito='PM'
) LT02 
LEFT JOIN 
(SELECT instrmnt_id, prtctn_id, sum(if(substr(prtctn_id,1,1) = 'I',1,0)) as imov
FROM cd_loan_tapes_bce.lt006_instr_prot
WHERE ref_date = '${date}'
  AND nome_perimetro = 'Individual Corporativo'
  AND segmento='ESTR' 
  AND ambito='PM'
  GROUP BY 1,2 
) LT06
on LT02.instrmnt_id = LT06.instrmnt_id
---- CONTROLOS
LEFT JOIN 
(SELECT prtctn_id, typ_prtctn
FROM cd_loan_tapes_bce.lt004_protection
WHERE ref_date = '${date}'
  AND nome_perimetro = 'Individual Corporativo'
  AND segmento='ESTR' 
  AND ambito='PM'
) LT04
ON LT04.prtctn_id = LT06.prtctn_id
WHERE 1=1 
    AND TYP_INSTRMNT not IN ('71','80','1001','1002','1004','2001')
    and LT06.prtctn_id is not null 
    -- AND TYP_PRTCTN IN ('8','9','10')
)X
-- ORDER BY TYP_MRTGG_Simulado DESC
-- WHERE 1=1  
--     AND TYP_MRTGG_Simulado = '11111111111'
--     AND TYP_INSTRMNT = '20'
</t>
  </si>
  <si>
    <t>"Significant increase in credit risk assessment approach" should match the information on the Codelist</t>
  </si>
  <si>
    <t>SELECT count(*), sicr_assssmnt_mthd, imprmnt_stts
FROM cd_loan_tapes_bce.lt002_instrument
WHERE ref_date='2024-05-31'  
      AND nome_perimetro='Individual Corporativo'  
      AND segmento='ESTR'  
      AND ambito='PM' 
GROUP BY 2, 3</t>
  </si>
  <si>
    <t>If "Impairment status" equals '23 - Stage1' or  '24 - Stage 2' then "Significant increase in credit risk assessment approach" cannot be 'Not applicable'</t>
  </si>
  <si>
    <t>If "Impairment status" is not equal  '23 - Stage1' nor '24 - Stage 2' then "Significant increase in credit risk assessment approach" must be 'Not applicable'</t>
  </si>
  <si>
    <t>"Protection type" should match the information on the Codelist</t>
  </si>
  <si>
    <t>If "Type of protection received, irrespective of its eligibility for credit risk mitigation according to bank-internal classification" is informed other than default values, then "Protection type" has to be informed other than default values</t>
  </si>
  <si>
    <t>If "Type of protection received, irrespective of its eligibility for credit risk mitigation according to bank-internal classification" is populated with 'Not Applicable' values then "Protection type" has to be informed with default values</t>
  </si>
  <si>
    <t>Não exitem casos em que TYP_PRTCTN_INTRNL = N/A</t>
  </si>
  <si>
    <t>If "Type of protection value" is set as '1 - Fair value' then "Protection type" has to be set as '3 - Other physical collaterals', '7 - Other protection', '13 - Gold' or '18 - Equity and investment funds shares'</t>
  </si>
  <si>
    <t>Identificar casuistica da incidência</t>
  </si>
  <si>
    <t>If "Type of protection value" is set as '2 - Long-term sustainable value' or '3 - Market value' then "Protection type" has to be set as '8 - Residential real estate collateral', '9 - Offices and commercial premises' or '10 - Commercial real estate collateral'</t>
  </si>
  <si>
    <t>"Previous appraisal date" must have a Date format (yyyy-mm-dd)</t>
  </si>
  <si>
    <t>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substring(valor_simulado,5,1) &lt;&gt; '-' or substring(valor_simulado,8,1) &lt;&gt; '-'
    -- AND valor_simulado = '9999-99-99'
    -- AND valor_simulado = '0001-01-01'
    -- AND length(valor_simulado) &lt;&gt; 10</t>
  </si>
  <si>
    <t>"Previous appraisal date" must be later than 01 January 1970</t>
  </si>
  <si>
    <t>2 casos com datas ambiguas (anos 1008 e 0201)</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</si>
  <si>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'1970-01-01'
     AND valor_simulado NOT IN ('1111-11-11', '0000-00-00')</t>
  </si>
  <si>
    <t>"Previous appraisal date" cannot be later than "Reference date"</t>
  </si>
  <si>
    <t xml:space="preserve">
SELECT *
FROM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'2024-05-31'</t>
  </si>
  <si>
    <t>"Previous appraisal date" cannot be earlier than "Date of original protection value"</t>
  </si>
  <si>
    <t>Campo DT_ORGNL_PRTCN_VL com incidência</t>
  </si>
  <si>
    <t>SELECT *
FROM
(SELECT  LT004.prtctn_id, DT_ORGNL_PRTCTN_VL,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DT_ORGNL_PRTCTN_VL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&lt; DT_ORGNL_PRTCTN_VL
;</t>
  </si>
  <si>
    <t>"Previous appraisal date" cannot be later than "Date of protection value</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</si>
  <si>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valor_simulado &gt; DT_PRTCTN_VL
     AND valor_simulado NOT IN ('1111-11-11','0000-00-00')</t>
  </si>
  <si>
    <t xml:space="preserve">If the protection is a "personal guarantee" then "Previous appraisal date" should be 'Not Applicable' (We consider "personal guarantee" when "Protection ID" matches the "Protection Provider ID" (Guarantor) or "Tax ID" (Protection level) is populated other than default value and the "Protection type" equals '7 - Other protection')     </t>
  </si>
  <si>
    <t xml:space="preserve">
SELECT *
FROM
(SELECT  LT004.prtctn_id, DT_PRTCTN_VL,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DT_PRTCTN_VL
        FROM cd_loan_tapes_bce.lt004_protection 
        WHERE ref_date='${date}' 
            AND nome_perimetro='Individual Corporativo' 
            AND segmento='ESTR' 
            AND ambito='PM'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x
WHERE 1=1 
     AND prtctn_id LIKE 'P%'
     AND valor_simulado &lt;&gt; '1111-11-11' </t>
  </si>
  <si>
    <t>"Impairment status" should match the information on the Codelist</t>
  </si>
  <si>
    <t>SELECT count(*), imprmnt_stts
FROM cd_loan_tapes_bce.lt002_instrument
WHERE ref_date='${date}'  AND nome_perimetro='Individual Corporativo'  AND segmento='ESTR'  AND ambito='PM'
GROUP BY 2</t>
  </si>
  <si>
    <t>"Impairment status" can only be '23 - Stage 1 (IFRS)' or '24 - Stage 2 (IFRS)' or '25 - Stage 3 (IFRS)' or default values(Since Santander Group is IFRS compliance and do not apply General Accounting Accepted Principles (GAAP) on a consolidated basis)</t>
  </si>
  <si>
    <t xml:space="preserve">if "Days past due at reference date" is between 30 and 90 days and "Subportfolio ID" is not classified as 'VRPL - FV with changes in PL' then "Impairment status" must be '24 - Stage 2 (IFRS)' or '25 - Stage 3 (IFRS)' </t>
  </si>
  <si>
    <t>5 contratos com em stage 1</t>
  </si>
  <si>
    <t>SELECT instrmnt_id, imprmnt_stts, dpd, subportfolio_id
FROM cd_loan_tapes_bce.lt002_instrument
WHERE ref_date='${date}'  AND nome_perimetro='Individual Corporativo'  AND segmento='ESTR'  AND ambito='PM'
      AND subportfolio_id &lt;&gt; 'VRPL'
      AND DPD &gt; 30
      AND DPD &lt; 90
      AND imprmnt_stts NOT IN ('24', '25')</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</si>
  <si>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</si>
  <si>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2561 casos em default marcados com stage 1 ou 2</t>
  </si>
  <si>
    <t>SELECT count(*), imprmnt_stts, dflt_stts_instrmnt
    FROM cd_loan_tapes_bce.lt002_instrument
    WHERE ref_date='${date}'  AND nome_perimetro='Individual Corporativo'  AND segmento='ESTR'  AND ambito='PM'
          AND subportfolio_id &lt;&gt; 'VRPL'
          AND dflt_stts_instrmnt IN ('18','19','20')
          AND imprmnt_stts &lt;&gt; '25'
GROUP BY 2,3 ORDER BY 1 DESC</t>
  </si>
  <si>
    <t>if "Default status of the instrument" is set as '14 - Not in default'  and "Subportfolio ID" is not classified as 'VRPL - FV with changes in PL' then "Impairment status" cannot be 25 - Stage 3 (IFRS)'</t>
  </si>
  <si>
    <t>4198 contratos que não estão em default e estaão marcados como stage 3.</t>
  </si>
  <si>
    <t>SELECT count(*), imprmnt_stts, dflt_stts_instrmnt
    FROM cd_loan_tapes_bce.lt002_instrument
    WHERE ref_date='${date}'  AND nome_perimetro='Individual Corporativo'  AND segmento='ESTR'  AND ambito='PM'
          AND subportfolio_id &lt;&gt; 'VRPL'
          AND dflt_stts_instrmnt = '14'
          AND imprmnt_stts = '25'
GROUP BY 2,3 ORDER BY 1 DESC</t>
  </si>
  <si>
    <t>if "Performing status" is '11 - Performing' and "Subportfolio ID" is not classified as 'VRPL - FV with changes in PL' then "Impairment status" cannot be '25 - Stage 3 (IFRS)'</t>
  </si>
  <si>
    <t>SELECT count(*), imprmnt_stts, prfrmng_stts
    FROM cd_loan_tapes_bce.lt002_instrument
    WHERE ref_date='${date}'  AND nome_perimetro='Individual Corporativo'  AND segmento='ESTR'  AND ambito='PM'
          AND subportfolio_id &lt;&gt; 'VRPL'
          AND prfrmng_stts = '11'
          AND imprmnt_stts = '25'
GROUP BY 2,3 ORDER BY 1 DESC</t>
  </si>
  <si>
    <t>If "Type of protection value" is set as '4 - Notional amount' then "Protection type" has to be set as '2 - Life insurance policies pledged', '4 - Credit derivatives', '5 - Financial guarantees other than credit derivatives', '12 - Securities', '15 - Currency and deposits', '16 - Loans', '17 - Trade receivables' or '7 - Other protection'</t>
  </si>
  <si>
    <t>If "Type of protection value" is set as '5 - Types of protection values other than notional amount, market value, fair value or long-term sustainable value' then "Protection type" cannot be 'Not applicable'</t>
  </si>
  <si>
    <t>Não existem casos em que TYP_PRTCTN = 5</t>
  </si>
  <si>
    <t>If "Type of protection value" equals 'Not applicable', then "Protection type" should equal '7 - Other protection'</t>
  </si>
  <si>
    <t>If "Previous appraisal date" is populated other than default values then "Protection type" has to be set as '8 - Residential real estate collateral', '9 - Offices and commercial premises' or '10 - Commercial real estate collateral'</t>
  </si>
  <si>
    <t>If "Currency of annual income and expenses" is populated other than default values then "Protection type" has to be set as '10 - Commercial real estate collateral' or '9 - Offices and commercial premises'</t>
  </si>
  <si>
    <t>If "Provider of latest valuation (appraiser)" is populated other than default values then "Protection type" has to be set as '8 - Residential real estate collateral', '9 - Offices and commercial premises', '10 - Commercial real estate collateral'</t>
  </si>
  <si>
    <t>If "Date of last full appraisal" is populated other than default values then "Protection type" has to be set as '8 - Residential real estate collateral', '9 - Offices and commercial premises' or '10 - Commercial real estate collateral'</t>
  </si>
  <si>
    <t>If "Type protection value is a public guarantee scheme in response to the COVID19 situation" is equal to 'Y' then "Protection type" has to be set as '7 - Other protection'</t>
  </si>
  <si>
    <t xml:space="preserve">Foram eliminados os campos relacionados com Covid 19 </t>
  </si>
  <si>
    <t xml:space="preserve">If "Flag first home" is set as 'Y - Yes' then "Protection Type" must be '8 - Residential real estate collateral', '9- Offices and commercial premises' or '10 - Commercial real estate collateral' </t>
  </si>
  <si>
    <t>Campo novo, ainda não especificado (FLG_FRST_HM)</t>
  </si>
  <si>
    <t>If "Flag Acute Physical Risk at protection level" is set as 'Y - Yes' then "Protection Type" must be '8 - Residential real estate collateral', '9- Offices and commercial premises' or '10 - Commercial real estate collateral'</t>
  </si>
  <si>
    <t>FLG_ACT_PHYSCL_RSK campo todo a NULL</t>
  </si>
  <si>
    <t>If "Loans Collateralized Classification" is set as 'FMC2 - Real Estate. Residential' then at least one PROTECTION_ID linked to INSTRUMENT_ID "Protection Type" must be '8 - Residential real estate collateral'</t>
  </si>
  <si>
    <t>LNS_CLLTRLZD_CLSSFCTN campo todo a NULL</t>
  </si>
  <si>
    <t>If "Loans Collateralized Classification" is set as 'FMC1 - Real Estate. Commercial' then at least one PROTECTION_ID linked to INSTRUMENT_ID "Protection Type" must be '9 - Offices and commercial premises' or '10 - Commercial real estate collateral'</t>
  </si>
  <si>
    <t xml:space="preserve">If "Loans Collateralized Classification" is set as 'FMC3 - Other Real Collateral' then at least one PROTECTION_ID linked to INSTRUMENT_ID "Protection Type" must be populated with other than default values, '8 - Residential Real Estate Collateral', '9 - Offices and Commercial Premises', '10 - Commercial Real Estate Collateral' and cannot be a "personal guarantee" (We consider "personal guarantee" when "Protection ID" matches the "Protection Provider ID" (Guarantor) or "Tax ID" (Protection level) is populated other than default value and the "Protection type" equals '7 - Other protection')     </t>
  </si>
  <si>
    <t xml:space="preserve">Validar incidência </t>
  </si>
  <si>
    <t>"Date of protection value" must have a Date format (yyyy-mm-dd)</t>
  </si>
  <si>
    <t>"Date of protection value" must be later than 01 January 1970</t>
  </si>
  <si>
    <t>In the case of protection items which are valued at their notional amount, the date of protection value is the reporting reference date.</t>
  </si>
  <si>
    <t>"Date of protection value" cannot be later than "Reference date"</t>
  </si>
  <si>
    <t>"Date of protection value" must be later or equal than "Date of last full appraisal"</t>
  </si>
  <si>
    <t>If "Previous appraisal date" is other than default values, then "Date of protection value" cannot be 'Not applicable'</t>
  </si>
  <si>
    <t>Incidência</t>
  </si>
  <si>
    <t>"Appraised market value" should have a Format numeric (2 decimal places)</t>
  </si>
  <si>
    <t>"Appraised market value" shall be larger or equal to 0; Negative values trigger attention</t>
  </si>
  <si>
    <t>The amount of "Appraised market value" must be greater or equal than the amount of "Protection allocated value"</t>
  </si>
  <si>
    <t>If "Date of protection value" is other than 'Not applicable', then "Appraised market value" cannot be 'Not applicable' or zero</t>
  </si>
  <si>
    <t>The amount of "Appraised market value" must be greater or equal than the sum of amount of "Protection allocated value" of all the instruments that share the same protection</t>
  </si>
  <si>
    <t xml:space="preserve">If the protection is a "personal guarantee" then "Appraised market value" cannot be 'Not applicable' (We consider "personal guarantee" when "Protection ID" matches the "Protection Provider ID" (Guarantor) or "Tax ID" (Protection level) is populated other than default value and the "Protection type" equals '7 - Other protection')     </t>
  </si>
  <si>
    <t>181 casos com aspas</t>
  </si>
  <si>
    <t>SELECT count(*)
FROM cd_loan_tapes_bce.lt004_protection  
WHERE 1=1 
AND ambito = 'PM' 
AND segmento = 'ESTR' 
AND ref_date = '2024-05-31'
AND nome_perimetro = 'Individual Corporativo'
AND ntnl_id LIKE '%"%'
-- AND ntnl_id LIKE '%F%'</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</si>
  <si>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&lt;&gt; Prtctn_vl</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</si>
  <si>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valor_simulado &lt; 0</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</si>
  <si>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cast(valor_simulado as VARCHAR) NOT LIKE '%.__'</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</si>
  <si>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prtctn_allctd_vl
From cd_loan_tapes_bce.lt006_instr_prot
WHERE segmento = 'ESTR'
AND nome_perimetro ='Individual Corporativo'
AND ref_date='${date}'
AND AMBITO = 'PM') lt006
ON A.prtctn_id=lt006.prtctn_id
Where valor_simulado &lt; prtctn_allctd_vl</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</si>
  <si>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Where prtctn_id like 'P%'
And valor_simulado = 11111111111</t>
  </si>
  <si>
    <t>Imparidade</t>
  </si>
  <si>
    <t>Owner</t>
  </si>
  <si>
    <t>Select *
FROM
(SELECT prtctn_id, sum(mavaliaa) as valor_simulado, prtctn_vl, DT_PRTCTN_VL, CASE
    WHEN prtctn_id LIKE 'P%' THEN '1111-11-11'
    ELSE soma_dtrcaval
    END AS DT_PRTCTN_VL_SIMULADO
FROM
(Select *
From cd_loan_tapes_bce.lt004_protection
WHERE segmento = 'ESTR'
AND nome_perimetro ='Individual Corporativo'
AND ref_date='${date}'
AND AMBITO = 'PM') lt004
Left join
(Select ckbalbem, ckctabem, ckrefbem, mavaliaa, tipologia, max(dtrcaval) as soma_dtrcaval
From cd_garantias.gt018_rateio_aval
Where ref_date='${date}'
GROUP BY 1,2,3,4,5 ) gt018
ON prtctn_id = concat(substr(TIPOLOGIA,1,1),'_',ckbalbem,'_',ckctabem,'_',ckrefbem)
GROUP BY prtctn_id, prtctn_vl, DT_PRTCTN_VL, DT_PRTCTN_VL_SIMULADO
) A
WHERE 1=1 
    AND DT_PRTCTN_VL_SIMULADO &lt;&gt; '1111-11-11'
    AND valor_simulado in (11111111111,0)</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</si>
  <si>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 '0001-01-01'</t>
  </si>
  <si>
    <t>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substring(DT_PRTCTN_VL_SIMULADO,5,1) &lt;&gt; '-' or substring(DT_PRTCTN_VL_SIMULADO,8,1) &lt;&gt; '-'
    -- AND length(DT_PRTCTN_VL_SIMULADO) &lt;&gt; 10
    -- AND DT_PRTCTN_VL_SIMULADO = '9999-99-99'</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</si>
  <si>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NOT IN ('1111-11-11','0000-00-00')</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</si>
  <si>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DT_PRTCTN_VL_SIMULADO &gt; '2024-05-31'</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</si>
  <si>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DT_LST_FLL_APPRSL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A.DT_PRTCTN_VL_SIMULADO &lt; valor_simulado</t>
  </si>
  <si>
    <t xml:space="preserve">
Select *
FROM
(SELECT prtctn_id, DT_PRTCTN_VL, CASE
    WHEN prtctn_id LIKE 'P%' THEN '1111-11-11'
    ELSE max(dtrcaval)
    END AS DT_PRTCTN_VL_SIMULADO
FROM
(Select *
From cd_loan_tapes_bce.lt004_protection
WHERE segmento = 'ESTR'
AND nome_perimetro ='Individual Corporativo'
AND ref_date='${date}'
AND AMBITO = 'PM') lt4
Left join
(Select *
From cd_garantias.gt018_rateio_aval
Where ref_date='${date}') gt018
ON prtctn_id = concat(substr(TIPOLOGIA,1,1),'_',ckbalbem,'_',ckctabem,'_',ckrefbem)
GROUP BY 1,2 
) A
LEFT JOIN
-------------- DT_APPRSL_PRVS -----------------------
(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DT_PRTCTN_VL_SIMULADO = '1111-11-11'</t>
  </si>
  <si>
    <t>Select *
FROM
(SELECT prtctn_id, TYP_PRTCTN_VL,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1,2,3 
) A
WHERE 1=1 
    AND TYP_PRTCTN_VL = '4'
    AND DT_PRTCTN_VL_SIMULADO &lt;&gt; '2024-05-31'</t>
  </si>
  <si>
    <t>Com a alteração da fonte, os 2416 Casos NOK ficam OK</t>
  </si>
  <si>
    <t>Select *
FROM
(SELECT prtctn_id, sum(mavaliaa) as valor_simulado, prtctn_vl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prtctn_id, prtctn_vl
) A
LEFT JOIN
(Select prtctn_id, sum(prtctn_allctd_vl) as prtctn_allctd_vl
From cd_loan_tapes_bce.lt006_instr_prot
WHERE segmento = 'ESTR'
AND nome_perimetro ='Individual Corporativo'
AND ref_date='${date}'
AND AMBITO = 'PM'
GROUP BY 1
) lt006
ON A.prtctn_id=lt006.prtctn_id
Where valor_simulado &lt; prtctn_allctd_vl</t>
  </si>
  <si>
    <t>Contabilidade</t>
  </si>
  <si>
    <t>Tabela Origem</t>
  </si>
  <si>
    <t>Campo Origem</t>
  </si>
  <si>
    <t>BU_IFRS9.IFRS9_OUT_EXPECTED_LOSS_REPORTING</t>
  </si>
  <si>
    <t>BU_IFRS9.IFRS9_OUT_STAGING_REPORTING</t>
  </si>
  <si>
    <t>LT803_CODIGOS_LT</t>
  </si>
  <si>
    <t>FR004_CTO
CT003_UNIV_CLI
IMCATF002_PROCESSO_AI_HIST
TABELA_PARAMETRIZACAO_IMPRMNT_CLCLTN_MTHD</t>
  </si>
  <si>
    <t>IFRS9_OUT_EXPECTED_LOSS_REPORTING
IMCATF046_FLAG_FECHO</t>
  </si>
  <si>
    <t>FIXO</t>
  </si>
  <si>
    <t>BU_IFRS9.IFRS9_OUT_EXPECTED_LOSS_REPORTING
LT002_INSTRUMENT</t>
  </si>
  <si>
    <t>BU_IFRS9.IFRS9_OUT_EXPECTED_LOSS_REPORTING
FR004_CTO</t>
  </si>
  <si>
    <t>BU_IFRS9.IFRS9_OUT_EXPECTED_LOSS_REPORTING
IMCATF046_FLAG_FECHO
IFRS9_INPUT_MOTOR_8_7</t>
  </si>
  <si>
    <t>BU_IFRS9.IFRS9_INPUT_MOTOR_8_7</t>
  </si>
  <si>
    <t>BU_IFRS9.IFRS9_OUT_EXPECTED_LOSS_REPORTING
BU_IFRS.9.IFRS9_INPUT_MOTOR_8_7</t>
  </si>
  <si>
    <t>IER_FINAL</t>
  </si>
  <si>
    <t>IER_FINAL
INTERST_EFFECTIVE_RATE_ORIG
INITIAL_RECOGNITION_DATE</t>
  </si>
  <si>
    <t>K2</t>
  </si>
  <si>
    <t>EAD_FINAL</t>
  </si>
  <si>
    <t>LGD_IFRS9</t>
  </si>
  <si>
    <t>VALOR_LT</t>
  </si>
  <si>
    <t>VALOR_LT
TIPO_ANALISE_ATUAL
CCLI_GRUPO
CTIPO_RECUPERACAO</t>
  </si>
  <si>
    <t>ID_PORTFOLIO_IFRS9</t>
  </si>
  <si>
    <t>PD_1Y_IFRS9</t>
  </si>
  <si>
    <t>PD12M_IFRS9
IMPRMNT_STTS_INSTRMNT</t>
  </si>
  <si>
    <t>PD12M_IFRS9 (DATA DE REFERENCIA DE ANO ANTERIOR)
STAGE_ANTERIOR (DATA DE REFERENCIA DE ANO ANTERIOR)</t>
  </si>
  <si>
    <t>PD_LT_IFRS9
CMES
INITIAL_RECOGNITION_DATE</t>
  </si>
  <si>
    <t>PD_LTR_ORIGINAL</t>
  </si>
  <si>
    <t>PD_LT_IFRS9
IMPRMNT_STTS_INSTRMNT</t>
  </si>
  <si>
    <t xml:space="preserve">PURCHASED_CREDIT_IMPAIRED_FINANCIAL_ASSETS_FLAG </t>
  </si>
  <si>
    <t>'2'</t>
  </si>
  <si>
    <t>'N'</t>
  </si>
  <si>
    <t>LT002_INSTRUMENT</t>
  </si>
  <si>
    <t>LT002_INSTRUMENT
BU_IFRS9.IFRS9_OUT_STAGING_REPORTING</t>
  </si>
  <si>
    <t>PD_IFRS9_12M_RD_T1
EAD_FINAL</t>
  </si>
  <si>
    <t>PD_IFRS9_12M_RD
IFRS9_EAD</t>
  </si>
  <si>
    <t>GT003_TRZ_GT_FIN
LT002_INSTRUMENT
LT814_HRCT_MV</t>
  </si>
  <si>
    <t>CTRATCTA
IMPRMNT_ASSSSMNT_MTHD
HRCT_MV</t>
  </si>
  <si>
    <t>44 garantias em DT_PRTCTN_VL não é N/A e PRTCTN_VL é zero.</t>
  </si>
  <si>
    <t>"Behavioural maturity" should have a Format numeric (0 decimal places)</t>
  </si>
  <si>
    <t>"Behavioural maturity" shall be larger or equal to 0 and less than 960; Negative values trigger attention</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</si>
  <si>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cast(IFRS9_BHVRL_MTRTY_Simulado as VARCHAR) LIKE '%.'</t>
  </si>
  <si>
    <t>Select instrmnt_id,
Case when IFRS9.contract_id IS NULL Then 11111111111
Else cast(months_to_maturity as INT)
END as IFRS9_BHVRL_MTRTY_Simulado
From
(SELECT instrmnt_id
FROM cd_loan_tapes_bce.lt002_instrument
WHERE segmento = 'ESTR'
AND nome_perimetro ='Individual Corporativo'
AND ref_date='${date}'
AND AMBITO = 'PM') LT002
LEFT JOIN 
(select cempresa_fr, cbalcao_fr, cnumecta_fr, zdeposit_fr, cempresa, cbalcao, cnumecta, zdeposit 
From cd_captools.kt_chaves_finrep
Where ref_date='${date}') CHFIN
ON LT002.instrmnt_id = Concat(CHFIN.cempresa_fr, CHFIN.cbalcao_fr, CHFIN.cnumecta_fr, CHFIN.zdeposit_fr)
LEFT JOIN
(select contract_id, cempresa, cbalcao, cnumecta, zdeposit
From cd_captools.kt_chaves_ifrs9
Where ref_date='${date}') CHIFR
ON Concat(CHFIN.cempresa, CHFIN.cbalcao, CHFIN.cnumecta, CHFIN.zdeposit) = Concat(CHIFR.cempresa, CHIFR.cbalcao, CHIFR.cnumecta, CHIFR.zdeposit)
LEFT JOIN
(select contract_id, months_to_maturity
From bu_ifrs9.IFRS9_OUT_EXPECTED_LOSS_REPORTING
WHERE exec_id_part IN 
(SELECT exec_id_part FROM cd_captools.imcatf046_flag_fecho WHERE CMES = '${CMES}')
)IFRS9
ON CHIFR.contract_id=IFRS9.contract_id
Having (IFRS9_BHVRL_MTRTY_Simulado &gt; 960
OR IFRS9_BHVRL_MTRTY_Simulado &lt; 0)
AND IFRS9_BHVRL_MTRTY_Simulado &lt;&gt; 11111111111</t>
  </si>
  <si>
    <t>Dois casos em que a Maturidade é superior a 960 meses (1000 e 2162)</t>
  </si>
  <si>
    <t>Validador</t>
  </si>
  <si>
    <t>Contabilidade a partir de Dez.22</t>
  </si>
  <si>
    <t>TBD - Necessita de desenvolvimentos</t>
  </si>
  <si>
    <t>Imparidade &amp; Contabilidade</t>
  </si>
  <si>
    <t>INSTRUMENT</t>
  </si>
  <si>
    <t>LT001_UNIV_OPER</t>
  </si>
  <si>
    <t>FR001_UNIV_SALDO</t>
  </si>
  <si>
    <t>CT902_EBA_REPORT_CONTAB</t>
  </si>
  <si>
    <t>MOYR1060
MOYR1061
CT622_MOYR_IFIC</t>
  </si>
  <si>
    <t>EPT02_ADMCTA
DADOS_GERAIS_EMP</t>
  </si>
  <si>
    <t>CT902_EBA_REPORT_CONTAB
LT806_MRT_ST_C19</t>
  </si>
  <si>
    <t>FR004_CTO</t>
  </si>
  <si>
    <t>FR011_CAPS_LTV</t>
  </si>
  <si>
    <t>FR011_CAPS_LTV
BCE_LT_SPRT_PRFM</t>
  </si>
  <si>
    <t>DTESTADO 
DINIPED</t>
  </si>
  <si>
    <t>DFIMCAR</t>
  </si>
  <si>
    <t>MOYR1N60_DINICONT
DT_INCUMP</t>
  </si>
  <si>
    <t>DINICARE
EPRY8510_DFORMALI</t>
  </si>
  <si>
    <t>CESTADO
F_EXPIRED
CREGIME
EBA_CMPLNT_MRTR_ST_C19</t>
  </si>
  <si>
    <t>CTIPCAR</t>
  </si>
  <si>
    <t>VALOR_BRUTO_ON</t>
  </si>
  <si>
    <t>CONTRAPARTE</t>
  </si>
  <si>
    <t>VALOR_LTV</t>
  </si>
  <si>
    <t>VALOR_LTV_ORIG</t>
  </si>
  <si>
    <t>VALOR_LTV
REF_DATE</t>
  </si>
  <si>
    <t>STAGE_ATUAL</t>
  </si>
  <si>
    <t>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t>
  </si>
  <si>
    <t>'0'</t>
  </si>
  <si>
    <t xml:space="preserve"> 'Compliant Moratoriums'</t>
  </si>
  <si>
    <t>CMOEDA1</t>
  </si>
  <si>
    <t>CREGIME</t>
  </si>
  <si>
    <t>MOYR1N60_MSLDIRR
MOYR1N60_MSLDIRR 
VENCIDO_CTRVLR</t>
  </si>
  <si>
    <t>SELECT count(*) FROM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IN ('A','R') AND CORAVGP = 'G39') 
OR CORAVGP='G26')
GROUP BY 2 
) GT011
ON LT004.prtctn_id = GT011.prtctn_id
) x
WHERE 1=1
    AND valor_simulado &lt;&gt; valor_lt</t>
  </si>
  <si>
    <t>CT622_MOYR_IFIC
MOYR1061
MOYR1060</t>
  </si>
  <si>
    <t>DT_INCUMP
MOYR1N60_DINICONT
MOYR1N60_DINICONT</t>
  </si>
  <si>
    <t>Performing status</t>
  </si>
  <si>
    <t>Previous performing status</t>
  </si>
  <si>
    <t>Purchased credit-impaired financial asset (POCI)</t>
  </si>
  <si>
    <t>Highest number of days past due in the 12 months prior to the most recent change of performing status</t>
  </si>
  <si>
    <t>Highest number of days past due in the 24 months before most recent change of performing status</t>
  </si>
  <si>
    <t>Days past due at the time of the most recent change of the performing status</t>
  </si>
  <si>
    <t>Date of impairment status</t>
  </si>
  <si>
    <t>Date of previous impairment status</t>
  </si>
  <si>
    <t>Date of performing status</t>
  </si>
  <si>
    <t>Date of previous performing status</t>
  </si>
  <si>
    <t>Accumulated changes in fair value due to credit risk</t>
  </si>
  <si>
    <t>Sum of LLPs and other allowances</t>
  </si>
  <si>
    <t>Previous sum of LLPs and other allowances</t>
  </si>
  <si>
    <t>Accumulated write-offs</t>
  </si>
  <si>
    <t>Accounting portfolio</t>
  </si>
  <si>
    <t>Accrued interest balance as recognized on the balance sheet</t>
  </si>
  <si>
    <t>Total exposure in arrears</t>
  </si>
  <si>
    <t>Highest total exposure in arrears in the last 12 months before the reference date</t>
  </si>
  <si>
    <t>Impairment status (stage 1, 2 e 3)</t>
  </si>
  <si>
    <t xml:space="preserve">Currency denomination </t>
  </si>
  <si>
    <t>Carrying amount</t>
  </si>
  <si>
    <t>Highest number of days past due in the last 12 months</t>
  </si>
  <si>
    <t>Highest number of days past due in the 12 months prior to the most recent change of the forbearance status</t>
  </si>
  <si>
    <t>Highest number of days past due in the 24 months prior to the most recent change of the forbearance status</t>
  </si>
  <si>
    <t>Days past due at the date of the most recent change of the forbearance status</t>
  </si>
  <si>
    <t>Date past due</t>
  </si>
  <si>
    <t>Start date of principal grace period</t>
  </si>
  <si>
    <t>Start date of the interest-only period</t>
  </si>
  <si>
    <t>Gross carrying amount</t>
  </si>
  <si>
    <t>Internal code for segment/portfolio</t>
  </si>
  <si>
    <t>Loan to value (LTV) at reference date</t>
  </si>
  <si>
    <t>Loan to value (LTV) at inception</t>
  </si>
  <si>
    <t>Loan to value (LTV) at the date when the instrument was classified as non-performing</t>
  </si>
  <si>
    <t>Off-balance sheet amount</t>
  </si>
  <si>
    <t>Outstanding gross nominal amount</t>
  </si>
  <si>
    <t>Previous outstanding gross nominal amount</t>
  </si>
  <si>
    <t>Provisions associated with off-balance sheet exposures</t>
  </si>
  <si>
    <t>Low credit risk exemption for SICR assessment</t>
  </si>
  <si>
    <t>"National reference of the property" should be a Char not null</t>
  </si>
  <si>
    <t>Duplicates by "National reference of the property" in PROTECTION table</t>
  </si>
  <si>
    <t>"National reference of the property" should have Char format (variable length allowed between 1 and 255 characters)</t>
  </si>
  <si>
    <t>If "Protection type" is equal to '8 - Residential real estate collateral', '9 - Offices and commercial premises' or '10 - Commercial real estate collateral', then "National reference of the property" must be populated other than default values.</t>
  </si>
  <si>
    <t>If "Protection type" is not equal to '8 - Residential real estate collateral', '9 - Offices and commercial premises' or '10 - Commercial real estate collateral', then "National reference of the property" must be populated with default values.</t>
  </si>
  <si>
    <t xml:space="preserve">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</si>
  <si>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 xml:space="preserve">SELECT DISTINCT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</si>
  <si>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&lt;&gt; 'N/A'
 AND TYP_PRTCTN = '11111111111'</t>
  </si>
  <si>
    <t>SELECT  prtctn_id, typ_prtctn_intrnl,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typ_prtctn_intrnl = 'N/A'
 AND TYP_PRTCTN &lt;&gt; '11111111111'</t>
  </si>
  <si>
    <t xml:space="preserve">
SELECT  count(*)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t>
  </si>
  <si>
    <t>2291 Casos</t>
  </si>
  <si>
    <t xml:space="preserve">
SELECT  count(*), typ_prtctn_vl, TYP_PRTCTN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
 AND TYP_PRTCTN not in ('3', '7', '13', '18')
group by 2,3</t>
  </si>
  <si>
    <t>2262 garantias financeiras que não são derivados de crédito, 28 securities, 1 MISS</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</si>
  <si>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IN ('2','3')
    AND TYP_PRTCTN NOT IN ('8','9','10')</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</si>
  <si>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'4'
    AND TYP_PRTCTN NOT IN ('2','4','5', '12','15','16','17','7')</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</si>
  <si>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'5'</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</si>
  <si>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typ_prtctn_vl = '11111111111'
    AND TYP_PRTCTN &lt;&gt; '7'</t>
  </si>
  <si>
    <t xml:space="preserve">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(SELECT  LT004.prtctn_id, 
        dt_apprsl_prvs AS valor_lt,
        CASE WHEN prtctn_id NOT LIKE 'I%' THEN '1111-11-11' 
             WHEN prtctn_id_GT011 IS NULL THEN '1111-11-11' -- garantia com apenas 1 avaliação completa
             WHEN prtctn_id_GT011 IS NOT NULL THEN davalia 
        ELSE '0000-00-00'
        END AS valor_simulado
FROM
        (SELECT prtctn_id, dt_apprsl_prvs, typ_prtctn
        FROM cd_loan_tapes_bce.lt004_protection 
        WHERE ref_date='${date}' 
            AND nome_perimetro='Individual Corporativo' 
            AND segmento='ESTR' 
            AND ambito='PM'
        ) LT004
    LEFT JOIN
        (SELECT *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)GT011
    ON LT004.prtctn_id = GT011.prtctn_id_GT011
 ) B 
 ON A.prtctn_id = B.prtctn_id
 WHERE 1=1 
 AND valor_simulado &lt;&gt; '1111-11-11'
 AND TYP_PRTCTN NOT IN ('8','9','10')    
   </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</si>
  <si>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
;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cre_incm_crrncy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CRE_INCM_CRRNCY NOT IN ('N/A', 'MISS')
AND TYP_PRTCTN NOT IN ('9','10')</t>
  </si>
  <si>
    <t xml:space="preserve">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WHERE 1=1 
AND APPRSR NOT IN ('N/A', 'MISS')
AND TYP_PRTCTN NOT IN ('8','9','10')
</t>
  </si>
  <si>
    <t xml:space="preserve">SELECT * FROM
(
--- GARANTIAS IMÓVEIS
SELECT prtctn_id, typ_prtctn_vl, CASE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ELSE '99999999999'
END as TYP_PRTCTN
FROM
(SELECT prtctn_id, typ_prtctn_vl
FROM cd_loan_tapes_bce.lt004_protection
WHERE 1=1 
AND ambito = 'PM'
AND segmento = 'ESTR'
AND ref_date = '${date}'
AND nome_perimetro = 'Individual Corporativo'
AND prtctn_id LIKE 'I%') LT004
LEFT JOIN
(SELECT cgarant_bem, ckbalbem, ckctabem, ckrefbem
FROM cd_garantias.gt009_bens_imov
WHERE ref_date = '${date}') GT009
ON prtctn_id = concat('I_',GT009.ckbalbem,'_',GT009.ckctabem,'_',GT009.ckrefbem)
UNION ALL
---- GARANTIAS FINANCEIRAS
SELECT prtctn_id, typ_prtctn_vl, CASE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ELSE '99999999999'
END as TYP_PRTCTN
FROM
(SELECT prtctn_id, typ_prtctn_vl
FROM cd_loan_tapes_bce.lt004_protection
WHERE 1=1 
AND ambito = 'PM'
AND segmento = 'ESTR'
AND ref_date = '${date}'
AND nome_perimetro = 'Individual Corporativo'
AND prtctn_id LIKE 'F%') LT004
LEFT JOIN
(SELECT cgarant_bem, ckbalbem, ckctabem, ckrefbem
FROM cd_garantias.gt004_bens_fin
WHERE ref_date = '${date}') GT004
ON prtctn_id = concat('F_',GT004.ckbalbem,'_',GT004.ckctabem,'_',GT004.ckrefbem)
UNION ALL
--- GARANTIAS PESSOAIS
SELECT DISTINCT prtctn_id, typ_prtctn_vl, CASE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typ_prtctn_vl
FROM cd_loan_tapes_bce.lt004_protection
WHERE 1=1 
AND ambito = 'PM'
AND segmento = 'ESTR'
AND ref_date = '${date}'
AND nome_perimetro = 'Individual Corporativo'
AND prtctn_id LIKE 'P%') LT004
LEFT JOIN
(SELECT DISTINCT cgarant_rpt, ckbalbem, ckctabem, ckrefbem
FROM cd_garantias.gt007_trz_gt_pes
WHERE ref_date = '${date}') GT007
ON prtctn_id = concat('P_',GT007.ckbalbem,'_',GT007.ckctabem,'_',GT007.ckrefbem)
) A 
SELECT  *
FROM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typ_prtctn_intrnl, typ_prtctn_vl, apprsr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A
LEFT JOIN
(
SELECT LT004.prtctn_id, LT004.dt_lst_fll_apprsl as valor_lt, LT004.dt_orgnl_prtctn_vl, valor_simulado
FROM
(SELECT prtctn_id, dt_lst_fll_apprsl, dt_prtctn_vl, dt_orgnl_prtctn_vl
FROM cd_loan_tapes_bce.lt004_protection 
WHERE ref_date='${date}' 
    AND nome_perimetro='Individual Corporativo' 
    AND segmento='ESTR' 
    AND ambito='PM'
    AND prtctn_id LIKE 'I%') LT004
LEFT JOIN
(SELECT max(davalia) as valor_simulado, CONCAT('I_', CKBALBEM, '_', CKCTABEM, '_', CKREFBEM) AS prtctn_id
FROM cd_garantias.gt011_avalc_imov
WHERE 1=1 
AND ref_date='${date}'
AND (
(CTIPREAVL = 'A' AND CORAVGP = 'G39') 
OR CORAVGP='G26')
GROUP BY 2 
) GT011
ON LT004.prtctn_id = GT011.prtctn_id
) B
ON A.prtctn_id = B.prtctn_id
WHERE 1=1 
    AND valor_simulado &lt;&gt; '1111-11-11'
    AND TYP_PRTCTN NOT IN ('8','9','10')
</t>
  </si>
  <si>
    <t>Progressão</t>
  </si>
  <si>
    <t>Status Inicial</t>
  </si>
  <si>
    <t>Status Atual</t>
  </si>
  <si>
    <t>Estado</t>
  </si>
  <si>
    <t>Controlo feito em Hive</t>
  </si>
  <si>
    <t>Controlo feito em Hive: 2087 casos duplicados</t>
  </si>
  <si>
    <t>MSALDO_FINAL (saldo obtido por parametrizações sobre as contas contabilisticas)</t>
  </si>
  <si>
    <t>DT_INCUMP
MOYR1N60_DINICONT
MOYR1N60_DINICONT
(com base na data de reestruturação)</t>
  </si>
  <si>
    <t>Contabilidade a partir de [data a definir]</t>
  </si>
  <si>
    <t>FR004_CTO
MOYR1060
MOYR1061
CT622_MOYR_IFIC</t>
  </si>
  <si>
    <t>STAGE_ATUAL
DT_INCUMP
MOYR1N60_DINICONT
MOYR1N60_DINICONT</t>
  </si>
  <si>
    <t>Type of EBA-compliant moratoria</t>
  </si>
  <si>
    <t>Internal name of EBA compliant moratoria as registered by the bank</t>
  </si>
  <si>
    <t>Date of EBA compliant moratoria status</t>
  </si>
  <si>
    <t>Initial date of first EBA compliant moratoria status</t>
  </si>
  <si>
    <t>Maturity of latest EBA compliant moratoria</t>
  </si>
  <si>
    <t>Grace period on capital and interest</t>
  </si>
  <si>
    <t>EBA compliant moratoria status</t>
  </si>
  <si>
    <t>End date of principal grace period for COVID19 related measures</t>
  </si>
  <si>
    <t>End date of the interest-only period for COVID19 related measures</t>
  </si>
  <si>
    <t>Status Atual (%)</t>
  </si>
  <si>
    <t>Incidências: Casos em que valor é 0</t>
  </si>
  <si>
    <t>Variação</t>
  </si>
  <si>
    <t>"Construction status" should match the information on the Codelist</t>
  </si>
  <si>
    <t>If "Protection type" is set as  '8 - Residential real estate collateral', '9 - Offices and commercial premises' or '10 - Commercial real estate collateral', then "Construction status" must be populated other than default values</t>
  </si>
  <si>
    <t>If "Development status" is '4 - Constructed and fully operational', then "Construction status" must equal '1 - Built'</t>
  </si>
  <si>
    <t>If "Development status" is '2 - In construction and not operational' or '3 - In construction and partially operational', then "Construction status" must equal '2 - In construction'</t>
  </si>
  <si>
    <t>If "Development status" is '1 - Not in construction', then "Construction status" must equal '3 - Land bank without zoning permit' or '4 - Land bank building permit'</t>
  </si>
  <si>
    <t>If "Development status" is 'Not applicable', then "Construction status" must be a default value</t>
  </si>
  <si>
    <t>If "Date of first usage of the building" is later than "Reference date", then "Construction status" should be set as '2 - In construction' or '4 - Land bank building permit'</t>
  </si>
  <si>
    <t>If "Date of first usage of the building" is earlier than "Reference date", then "Construction status" should be set as '1 - Built'</t>
  </si>
  <si>
    <t>If "Flag first home" is set as 'Y - Yes' then "Construction status" cannot be 'Not Applicable'</t>
  </si>
  <si>
    <t>SELECT Count (*), CNSTRCTN_STTS_simulacao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Group by 2
;</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</si>
  <si>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&gt; ref_date
AND dt_frst_usg &lt;&gt; '1111-11-11'
AND dt_frst_usg &lt;&gt; '0000-00-00'
AND CNSTRCTN_STTS_simulacao NOT IN ('2','4')</t>
  </si>
  <si>
    <t>Não existem date of first usage superiores a maio</t>
  </si>
  <si>
    <t>SELECT prtctn_id, CNSTRCTN_STTS_simulacao, dt_frst_usg, ref_date
FROM
(
SELECT 
prtctn_id, dt_frst_usg, ref_date,
CASE WHEN ref_date &lt; '2024-05-31' THEN CNSTRCTN_STTS_simulacao_pre
WHEN ref_date &gt;= '2024-05-31' THEN CNSTRTCN_STTS_simulacao_pos
Else '99999999999'
END AS CNSTRCTN_STTS_simulacao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dt_frst_usg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dt_frst_usg &lt; ref_date
AND dt_frst_usg not in('1111-11-11','0000-00-00')
AND CNSTRCTN_STTS_simulacao &lt;&gt; '1'</t>
  </si>
  <si>
    <t>"Development status" should match the information on the Codelist</t>
  </si>
  <si>
    <t>If "Protection type" equals '8 - Residential real estate collateral' or '9 - Offices and commercial premises' or '10 - Commercial real estate collateral' then, "Development status" cannot be 'Not applicable'</t>
  </si>
  <si>
    <t>If "Protection type" is not  '8 - Residential real estate collateral' or '9 - Offices and commercial premises' or '10 - Commercial real estate collateral',  then "Development status" must be default value</t>
  </si>
  <si>
    <t>SELECT Distinct
CASE WHEN prtctn_id NOT LIKE 'I%' THEN '11111111111'
WHEN CNSTRCTN_STTS_simulacao = '1' THEN '4'
WHEN CNSTRCTN_STTS_simulacao = '2' THEN '2'
WHEN CNSTRCTN_STTS_simulacao = '3' THEN '1'
WHEN CNSTRCTN_STTS_simulacao = '4' THEN '1'
ELSE '99999999999'
END AS DVLPMNT_STTS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</si>
  <si>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IN ('8','9','10')
AND DVLPMNT_STTS_simulacao = '11111111111'
;</t>
  </si>
  <si>
    <t>SELECT *
FROM
(
SELECT B.prtctn_id, B.TYP_PRTCTN,
CASE WHEN prtctn_id NOT LIKE 'I%' THEN '11111111111'
WHEN CNSTRCTN_STTS_simulacao = '1' THEN '4'
WHEN CNSTRCTN_STTS_simulacao = '2' THEN '2'
WHEN CNSTRCTN_STTS_simulacao = '3' THEN '1'
WHEN CNSTRCTN_STTS_simulacao = '4' THEN '1'
ELSE '99999999999'
END AS DVLPMNT_STTS_simulacao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 C
Where C.TYP_PRTCTN NOT IN ('8','9','10')
AND DVLPMNT_STTS_simulacao &lt;&gt; '11111111111'
;</t>
  </si>
  <si>
    <t>SELECT *
FROM
(
SELECT 
T.prtctn_id, T.TYP_PRTCTN,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LT004.prtctn_id = concat('I%','_',GT009.ckbalbem,'_',GT009.ckctabem,'_',GT009.ckrefbem)
) A
LEFT JOIN
(SELECT prtctn_id,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LT004typ
LEFT JOIN
(SELECT ckbalbem, ckctabem, ckrefbem, cgarant_bem, cgarant_rpt, tipologia
FROM cd_garantias.gt018_rateio_aval
WHERE ref_date = '${date}') GT018typ
ON LT004typ.prtctn_id = CONCAT(SUBSTR(TIPOLOGIA,1,1),'_',CKBALBEM, '_', CKCTABEM, '_', CKREFBEM) 
) T
ON T.prtctn_id = A.prtctn_id
) B
Where TYP_PRTCTN IN ('8','9','10')
AND CNSTRCTN_STTS_simulacao = '11111111111'
;</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</si>
  <si>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'4'
AND CNSTRCTN_STTS_simulacao &lt;&gt; '1'</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</si>
  <si>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in('2', '3')
AND CNSTRCTN_STTS_simulacao &lt;&gt; '2'</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</si>
  <si>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
AND CNSTRCTN_STTS_simulacao NOT IN('3', '4')</t>
  </si>
  <si>
    <t>SELECT *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FROM
(
SELECT 
prtctn_id,
CASE WHEN ref_date &lt; '2024-05-31' THEN CNSTRCTN_STTS_simulacao_pre
WHEN ref_date &gt;= '2024-05-31' THEN CNSTRTCN_STTS_simulacao_pos
Else '99999999999'
END AS CNSTRCTN_STTS_simulacao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FROM
(SELECT prtctn_id, ref_date
FROM cd_loan_tapes_bce.lt004_protection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 '11111111111'
AND CNSTRCTN_STTS_simulacao &lt;&gt; '11111111111'</t>
  </si>
  <si>
    <t>Campo FLG_FRST_HM ainda não implementado na LT</t>
  </si>
  <si>
    <t>Select count(*)
From
(
Select ntnl_id_simulacao, count (*)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Group by ntnl_id_simulacao
Having Count(*) &gt; 1 
) C</t>
  </si>
  <si>
    <t xml:space="preserve">Select*
From
(
SELECT 
Case when prtctn_id NOT LIKE 'I%' Then 'N/A'
When prtctn_id Like 'I%' Then ntnl_id_sim
Else 'MISS'
End ntnl_id_simulacao, prtctn_id, ckbalbem, ckctabem, ckrefbem, cdisconf, cartmatr, gficha, gidfracc, gfraccao, codconsv, gnum, glote,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gnum, glote, cpost
FROM cd_garantias.gt009_bens_imov
Where ref_date='${date}') GT009
ON prtctn_id= Concat('I_',ckbalbem,'_', ckctabem,'_', ckrefbem)
) A
) B
Where ntnl_id_simulacao Is NULL
</t>
  </si>
  <si>
    <t>Select *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Where length(ntnl_id_simulacao) &gt;=255</t>
  </si>
  <si>
    <t>Select B.prtctn_id, TYP_PRTCTN, ntnl_id_simulacao
From
(
SELECT 
Case when prtctn_id NOT LIKE 'I%' Then 'N/A'
When prtctn_id Like 'I%' Then ntnl_id_sim
Else 'MISS'
End ntnl_id_simulacao, prtctn_id, ckbalbem, ckctabem, ckrefbem, cdisconf, cartmatr, gficha, gidfracc, gfraccao, cpost, codconsv, gnum, glote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cpost, codconsv, gnum, glote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IN ('8','9','10')
AND ntnl_id_simulacao = 'N/A'</t>
  </si>
  <si>
    <t xml:space="preserve">Select B.prtctn_id, TYP_PRTCTN, ntnl_id_simulacao
From
(
SELECT 
Case when prtctn_id NOT LIKE 'I%' Then 'N/A'
When prtctn_id Like 'I%' Then ntnl_id_sim
Else 'MISS'
End ntnl_id_simulacao, prtctn_id, ckbalbem, ckctabem, ckrefbem, cdisconf, cartmatr, gficha, gidfracc, gfraccao, codconsv, glote, gnum, cpost
From
(
SELECT concat(
case when trim(cdisconf) = '' then  '_' else regexp_replace(REGEXP_REPLACE(cdisconf, "[^\\p{Print}\\p{Space}\\p{S}\\p{P}\\p{L}\\p{N} ]", ""),'"','') end,  
'-', 
case when trim(cpost) = '' then  '_' else regexp_replace(REGEXP_REPLACE(cpost, "[^\\p{Print}\\p{Space}\\p{S}\\p{P}\\p{L}\\p{N} ]", ""),'"','') end,  
'-',
case when trim(codconsv) = '' then  '_' else regexp_replace(REGEXP_REPLACE(codconsv, "[^\\p{Print}\\p{Space}\\p{S}\\p{P}\\p{L}\\p{N} ]", ""),'"','') end,  
'-',
case when trim(cartmatr) = '' then  '_' else regexp_replace(REGEXP_REPLACE(cartmatr, "[^\\p{Print}\\p{Space}\\p{S}\\p{P}\\p{L}\\p{N} ]", ""),'"','') end, 
'-', 
case when trim(gficha) = '' then  '_' else regexp_replace(REGEXP_REPLACE(gficha, "[^\\p{Print}\\p{Space}\\p{S}\\p{P}\\p{L}\\p{N} ]", ""),'"','') end, 
'-', 
case when trim(gnum) = '' then  '_' else regexp_replace(REGEXP_REPLACE(gnum, "[^\\p{Print}\\p{Space}\\p{S}\\p{P}\\p{L}\\p{N} ]", ""),'"','') end,
'-', 
case when trim(glote) = '' then  '_' else regexp_replace(REGEXP_REPLACE(glote, "[^\\p{Print}\\p{Space}\\p{S}\\p{P}\\p{L}\\p{N} ]", ""),'"','') end,
'-', 
case when trim(gidfracc) = '' then  '_' else regexp_replace(REGEXP_REPLACE(gidfracc, "[^\\p{Print}\\p{Space}\\p{S}\\p{P}\\p{L}\\p{N} ]", ""),'"','') end,
'-', 
case when trim(gfraccao) = '' then  '_' else regexp_replace(REGEXP_REPLACE(gfraccao, "[^\\p{Print}\\p{Space}\\p{S}\\p{P}\\p{L}\\p{N} ]", ""),'"','') end)
as ntnl_id_sim, ntnl_id, prtctn_id,
gt009.*
FROM
(SELECT ntnl_id, prtctn_id
FROM cd_loan_tapes_bce.lt004_protection
WHERE segmento = 'ESTR'
AND nome_perimetro ='Individual Corporativo'
AND ref_date='${date}'
AND AMBITO = 'PM') LT004
LEFT JOIN
(SELECT ckbalbem, ckctabem, ckrefbem, cdisconf, cartmatr, gficha, gidfracc, gfraccao, codconsv, glote, gnum, cpost
FROM cd_garantias.gt009_bens_imov
Where ref_date='${date}') GT009
ON prtctn_id= Concat('I_',ckbalbem,'_', ckctabem,'_', ckrefbem)
) A
) B
LEFT JOIN
(SELECT *,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ELSE '99999999999'
END as TYP_PRTCTN
FROM
(SELECT prtctn_id
FROM cd_loan_tapes_bce.lt004_protection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C
ON B.prtctn_id = C.prtctn_id
Where TYP_PRTCTN NOT IN ('8','9','10')
AND ntnl_id_simulacao &lt;&gt; 'N/A'
</t>
  </si>
  <si>
    <t xml:space="preserve">Alteração de especificação com base no campo cgarant_bem e cgarant_rpt do MUG. Controlo NOK - A Corporação ajustou o controlo e estes casos passarão a estar OK
</t>
  </si>
  <si>
    <t>-</t>
  </si>
  <si>
    <t>Mapeamento de acordo com o CNSTRCTN_STTS</t>
  </si>
  <si>
    <t>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
Alteração de especificação aquando da entrega dos campos da LT001 da equipa de IT</t>
  </si>
  <si>
    <t>"Date of original protection value" must have a Date format (yyyy-mm-dd)</t>
  </si>
  <si>
    <t>"Date of original protection value" must be later than 01 January 1970</t>
  </si>
  <si>
    <t>"Date of original protection value" must be lower or equal to "Date of protection value"</t>
  </si>
  <si>
    <t>"Date of original protection value" cannot be later than "Reference date"</t>
  </si>
  <si>
    <t xml:space="preserve">If the protection is a "personal guarantee" then "Date of original protection value" should be 'Not Applicable' (We consider "personal guarantee" when "Protection ID" matches the "Protection Provider ID" (Guarantor) or "Tax ID" (Protection level) is populated other than default value and the "Protection type" equals '7 - Other protection')     </t>
  </si>
  <si>
    <t xml:space="preserve">If the protection is a "personal guarantee" then "Date of protection value" should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</si>
  <si>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ref_date='2024-08-31')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ref_date='2024-08-31') GT001
LEFT JOIN
    (SELECT cempresa,ckbalcao, cknumcta, comp_id_gar, ckbalbem as ckbalbem_GT003, ckctabem as ckctabem_GT003, ckrefbem as ckrefbem_GT003, dini_rel as dini_rel_GT003
    FROM cd_garantias.gt003_trz_gt_fin
    Where ref_date='2024-08-31')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ref_date='2024-08-31')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DT_ORGNL_PRTCTN_VL_SIMULADO &lt;&gt; '1111-11-11'</t>
  </si>
  <si>
    <t>Controlo feito com simulação do DT_PRTCTN_VL</t>
  </si>
  <si>
    <t>"Original protection value (at inception)" should have a Format numeric (2 decimal places)</t>
  </si>
  <si>
    <t>"Original protection value (at inception)" shall be larger or equal to 0; Negative values trigger attention</t>
  </si>
  <si>
    <t>If "Date of original protection value" is other than default values, then "Original protection value (at inception)" cannot be 'Not applicable' or zero</t>
  </si>
  <si>
    <t>If "Date of original protection value" equals 'Not applicable', then "Original protection value (at inception)" must be a default value</t>
  </si>
  <si>
    <t xml:space="preserve">If the protection is a "personal guarantee" then "Original protection value (at inception)" must be 'Not applicable'' (We consider "personal guarantee" when "Protection ID" matches the "Protection Provider ID" (Guarantor) or "Tax ID" (Protection level) is populated other than default value and the "Protection type" equals '7 - Other protection')   </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</si>
  <si>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cast(ORGNL_PRTCTN_VL_SIMULACAO as VARCHAR) NOT LIKE '%.__'</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</si>
  <si>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ORGNL_PRTCTN_VL_SIMULACAO &lt; 0</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</si>
  <si>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prtctn_id LIKE 'P%'
AND ORGNL_PRTCTN_VL_SIMULACAO &lt;&gt; 11111111111</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</si>
  <si>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substring(DT_ORGNL_PRTCTN_VL_SIMULADO,5,1) &lt;&gt; '-' or substring(DT_ORGNL_PRTCTN_VL_SIMULADO,8,1) &lt;&gt; '-'
-- AND DT_ORGNL_PRTCTN_VL_SIMULADO = '1111-11-11'
-- AND DT_ORGNL_PRTCTN_VL_SIMULADO = '0000-00-00'
-- AND length(DT_ORGNL_PRTCTN_VL_SIMULADO) &lt;&gt; 10"</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</si>
  <si>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DT_ORGNL_PRTCTN_VL_SIMULADO &lt; '1970-01-01'
AND DT_ORGNL_PRTCTN_VL_SIMULADO NOT IN ('1111-11-11','0000-00-00')</t>
  </si>
  <si>
    <t>SELECT *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prtctn_id_lt004, 
        CASE
        WHEN prtctn_id_lt004 LIKE 'P%' THEN '1111-11-11'
        ELSE max(dtrcaval)
        END AS valor_simulado
        FROM
        (Select prtctn_id as prtctn_id_lt004
        From cd_loan_tapes_bce.lt004_protection
        WHERE segmento = 'ESTR'
        AND nome_perimetro ='Individual Corporativo'
        AND ref_date='${date}'
        AND AMBITO = 'PM') lt004
   LEFT JOIN
        (Select dtrcaval, tipologia, ckbalbem, ckctabem, ckrefbem
        From cd_garantias.gt018_rateio_aval
        Where ref_date='${date}') gt018
        ON prtctn_id_lt004 = concat(substr(TIPOLOGIA,1,1),'_',ckbalbem,'_',ckctabem,'_',ckrefbem)
        GROUP BY 1) SIM
ON D.prtctn_id = SIM.prtctn_id_lt004
Where 1=1
AND DT_ORGNL_PRTCTN_VL_SIMULADO &gt; valor_simulado</t>
  </si>
  <si>
    <t>SELECT *
FROM 
(
SELECT prtctn_id,
instrmnt_id,
dini_rel_MAX,
dtvaliai_resp_bem, 
mavaliai_resp_bem,
ref_date,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ref_date,
RANK() OVER ( PARTITION BY A.ckbalbem, A.ckctabem, A.ckrefbem ORDER BY dini_rel_MAX ASC) AS RANKRELACAO
FROM
(
SELECT *
FROM
(
SELECT instrmnt_id, A.cempresp, A.ckbalres, A.ckctares, A.ckrefresp, A.ckbalbem, A.ckctabem, A.ckrefbem, A.dtvaliai_resp_bem, A.mavaliai_resp_bem, prtctn_id, ref_date,
RANK() OVER ( PARTITION BY A.ckbalbem, A.ckctabem, A.ckrefbem ORDER BY dtvaliai_resp_bem ASC) AS RANKAVALIA
FROM
    (   
    SELECT DISTINCT instrmnt_id, cempresp, ckbalres, ckctares, ckrefresp, ckbalbem, ckctabem, ckrefbem, prtctn_id, dtvaliai_resp_bem, mavaliai_resp_bem, ref_date
    FROM 
        (SELECT instrmnt_id, prtctn_id, ref_date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1,2,3,4,5,6
) D
Where 1=1
AND DT_ORGNL_PRTCTN_VL_SIMULADO &gt; ref_date</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</si>
  <si>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&lt;&gt; '1111-11-11'
AND ORGNL_PRTCTN_VL_SIMULACAO in (11111111111,0)</t>
  </si>
  <si>
    <t>14 casos com valor original da proteção a zero</t>
  </si>
  <si>
    <t>SELECT *
FROM
(
SELECT prtctn_id,
instrmnt_id,
dini_rel_MAX,
dtvaliai_resp_bem, 
mavaliai_resp_bem,
CASE WHEN prtctn_id like 'P%' THEN '1111-11-11'
WHEN prtctn_id not like 'P%' THEN MIN(dtvaliai_resp_bem) 
     ELSE '0000-00-00'
     END as DT_ORGNL_PRTCTN_VL_SIMULACAO,
CASE WHEN prtctn_id like 'P%' THEN 11111111111
WHEN dtvaliai_resp_bem = MIN(dtvaliai_resp_bem) THEN SUM(mavaliai_resp_bem) OVER (PARTITION BY prtctn_id)
     ELSE 99999999999
     END as ORGNL_PRTCTN_VL_SIMULACAO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ref_date='2024-07-31')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ref_date='2024-07-31') GT001
LEFT JOIN
    (SELECT cempresa,ckbalcao, cknumcta, comp_id_gar, ckbalbem as ckbalbem_GT003, ckctabem as ckctabem_GT003, ckrefbem as ckrefbem_GT003, dini_rel as dini_rel_GT003
    FROM cd_garantias.gt003_trz_gt_fin
    Where ref_date='2024-07-31')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ref_date='2024-07-31')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Where 1=1
AND DT_ORGNL_PRTCTN_VL_SIMULACAO = '1111-11-11'
AND ORGNL_PRTCTN_VL_SIMULACAO &lt;&gt; 11111111111</t>
  </si>
  <si>
    <t>4.1 Em implementação - Re-especificação</t>
  </si>
  <si>
    <t>4.2 Em implementação - Incidência</t>
  </si>
  <si>
    <t>5.1 Em testes - Re-especificação</t>
  </si>
  <si>
    <t>5.2 Em testes - Incidência</t>
  </si>
  <si>
    <t>6. Outros Desenvolvimentos</t>
  </si>
  <si>
    <t>Status Inicial (pós OSI)</t>
  </si>
  <si>
    <t xml:space="preserve">Alteração de fonte e tabelas reporting para tabelas terminadas em 7_8
</t>
  </si>
  <si>
    <t>Tema</t>
  </si>
  <si>
    <t>Questão</t>
  </si>
  <si>
    <t>Decisão</t>
  </si>
  <si>
    <t xml:space="preserve">O campo 'mavaliai_resp_bem' só possuI informação para datas de referências posteriores a 2024-07-31. Como devemos proceder caso seja necessário reportar dados anteriores a Jul.2024? </t>
  </si>
  <si>
    <t>O campo 'dtvalia_resp_bem' só possuI informação para datas de referências posteriores a 2024-07-31. Como devemos proceder caso seja necessário reportar dados anteriores a Jul.2024? </t>
  </si>
  <si>
    <t xml:space="preserve">Teremos de criar uma tabela auxiliar com o histórico dos estados de construção e mapear para a data mais antiga do estado de construção atual. Uma vez que o MUG tem uma ótica de atualização diária, para o mapeamento e criação desta tabela auxiliar devemos olhar para uma ótica ou mensal?  </t>
  </si>
  <si>
    <t>Campos Contabilidade vs Imparidade</t>
  </si>
  <si>
    <t xml:space="preserve">12 campos com informação de Imparidade, em que a Contabilidade assumiu a ownership uma vez que reporta este dado. Avançamos na re-especificação dos campos utilizando o mapeamento das tabelas de Contabilidade para datas de referência após Dez.22 e a tabela 7_8 de Imparidade para datas anteriores a Dez.22?
IMPRMNT_STTS	
PRFRMNG_STTS	
IMPRMNT_STTS_PRVS	
POCI	
PRFRMNG_STTS_PRVS	
DPD_12M_PRFRMNG_STTS	
DPD_24M_PRFRMNG_STTS	
DPD_PRFRMNG_STTS	
DT_IMPRMNT_STTS	
DT_IMPRMNT_STTS_PRVS	
DT_PRFRMNG_STTS	
DT_PRFRMNG_STTS_PRVS	</t>
  </si>
  <si>
    <t xml:space="preserve">12 campos de Imparidade. Devemos sugerir mapeamento dos campos tendo em conta a tabela de o David Texugo indicou e enviar para validação? Enviamos um e-mail a solicitar esse mapeamento, mas sem resposta até ao momento. 
EIR	
EIR_INCPTN	
IFRS9_CCF	
IFRS9_EAD	
IFRS9_LGD	
INTRNL_SGMNT_IFRS9	
PD_IFRS9_12M_INCPTN	
PD_IFRS9_12M_RD	
PD_IFRS9_12M_RD_T1	
PD_IFRS9_LFTM_INCPTN	
PD_IFRS9_RMNNG_LFTM_INCPTN	
PD_IFRS9_RMNNG_LFTM_RD	</t>
  </si>
  <si>
    <t>Campos Imparidade - Fonte da Verdade</t>
  </si>
  <si>
    <t>Campo entregue durante a OSI</t>
  </si>
  <si>
    <t xml:space="preserve">11 Garantias Imóveis cuja origem provêm das CSs, com valor da proteção igual a zero  (não são clones). Para quem devemos enviar estes casos para análise? </t>
  </si>
  <si>
    <t xml:space="preserve">121 Garantias Imóveis com contratos de Leasing associados, cujo valor da proteção é zero  (não são clones). Para quem devemos enviar estes casos para análise? </t>
  </si>
  <si>
    <t xml:space="preserve">1 garantia Financeira, cujo valor da proteção é zero – Caso não está na GT018 para datas posteriores a 2024-05-31. Devíamos retirar da LT os casos com o msldreal a zero (temos 25 casos)? </t>
  </si>
  <si>
    <t>46 casos com data inválidas 0001-01-01 para análise da equipa de leasing.</t>
  </si>
  <si>
    <t>Caso o bem só tenha um estado desde sempre/ desde que foi recebido como garantia devemos reportar a DT_INCPTN? E caso tenha mais do que um instrumento associado, qual a dt_incptn que devemos utilizar? A mais antiga?</t>
  </si>
  <si>
    <t>Manter a especificação com mapeamento após jul.24</t>
  </si>
  <si>
    <t>Criar tabela auxiliar e ir buscar a ref_date. Devemos utilizar uma ótica diária. Analisar controlos por amostragem.</t>
  </si>
  <si>
    <t>Questionar Corporação: 1) Caso o bem só tenha um estado desde sempre/ desde que foi recebido como garantia qual a data que devemos reportar? 2) A DR_CNSTRCTN_STTS pode ser anterior à DT_INCPTN? Estes casos poderão acontecer caso uma garantia esteja associada a mais do que um contrato.</t>
  </si>
  <si>
    <t>Atualmente o campo de stage está a ser populado com informação de Imparidade até Dez.19 e a partir de Jan.20 com informação da FR004. Deste modo, a alteração de especificação prende-se apenas com a alteração da data para Dez.22.
Solicitar a Alexandre Gonçalvez que validem os campos após implementação de IT, sem prejuizo dos testes por parte da equipa LT.</t>
  </si>
  <si>
    <t>Campo implementação, mas com falta de informação para o segmento de clientes CIB</t>
  </si>
  <si>
    <t>Nova metodologia identificada pelo Rafael Pessoa durante OSI IFRS9, é necessário alterar a especificação para GRSS_CRRYNG_AMNT_INSTRMNT - OFF_BLNC_SHT_AMNT_INSTRMNT</t>
  </si>
  <si>
    <t>Criação de uma tabela auxiliar de histórico dos estados de construção numa ótica diária</t>
  </si>
  <si>
    <t>Campo depende do campo 'cgarant' do MUG</t>
  </si>
  <si>
    <t>Aguarda desenvolvimentos nas plataformas Loan IQ e Mercurio</t>
  </si>
  <si>
    <t xml:space="preserve">40 garantias imóveis com valor de proteção a zero, cuja origem são a G39 ou G26. Analisados por Henrique e Susana:
    35 casos encontram-se no nosso ficheiro de Erros dos Métodos Indiciários com falta de informação: 
           33 – Apenas com informação na GP26 
             1 – Valor de avaliação a zero 
             1 - % de CI não encontrado para o critério 
    2 casos são do cliente Vilamoura World – imóvel não identificado 
    3 casos são do cliente IAD da Madeira e já foram distratados </t>
  </si>
  <si>
    <t>Fazer proposta. Segmentar por campos OK e NOK.</t>
  </si>
  <si>
    <t>44 garantias com valor zero.</t>
  </si>
  <si>
    <t>Controlos NOK justificados no âmbito da OSI. 
1) Contratos fora do universo de IFRS9 2) Clientes que não são primeiros titulares de nenhum contrato
Alterar especificação  caso a LT passe a reportar os 1os titulares da Contabilidade.</t>
  </si>
  <si>
    <t xml:space="preserve">Campos Contabilidade </t>
  </si>
  <si>
    <t>Campo Imparidade</t>
  </si>
  <si>
    <t>ENTITY</t>
  </si>
  <si>
    <t>INSTR_ENTITY</t>
  </si>
  <si>
    <t>INSTR_PROTECTION</t>
  </si>
  <si>
    <t>PROTECTION</t>
  </si>
  <si>
    <t>If "Forced sale value" is populated other than default values, then "Protection type" has to be set as '8 - Residential real estate collateral', '9 - Offices and commercial premises', '3 - Other physical collaterals' or '10 - Commercial real estate collateral'</t>
  </si>
  <si>
    <t>"Date of last full appraisal" must have a Date format (yyyy-mm-dd)</t>
  </si>
  <si>
    <t>"Date of last full appraisal" must be later than 01 January 1970</t>
  </si>
  <si>
    <t>"Date of last full appraisal" must be greater or equal to the "Date of the appraisal previous to the most recent one available, i.e. previous to the last full appraisal (field DT_LST_FLL_APPRSL)."</t>
  </si>
  <si>
    <t>"Prime location according to bank-internal definition  (Y/N)" should match the information on the Codelist</t>
  </si>
  <si>
    <t>SELECT substr(prtctn_id,1,1), valor_it, count(*)
FROM 
(SELECT prtctn_id,
    valor_it,
    CASE WHEN substr(prtctn_id,1,1)&lt;&gt;'I'
         THEN 'N/A'
         WHEN cfinbem IN ('01','06','07','08') AND CL_HAB&gt;='3.40'
         THEN 'Y'
         WHEN cfinbem IN ('01','06','07','08') AND CL_HAB&lt;'3.40'
         THEN 'N'
         WHEN cfinbem='02' AND CL_COM&gt;='3.40'
         THEN 'Y' 
         WHEN cfinbem='02' AND CL_COM&lt;'3.40'
         THEN 'N' 
          WHEN cfinbem='03' AND CL_SERV&gt;='3.40'
         THEN 'Y' 
         WHEN cfinbem='03' AND CL_SERV&lt;'3.40'
         THEN 'N'
          WHEN cfinbem IN ('04','05') AND CL_IND&gt;='3.40'
         THEN 'Y'
         WHEN cfinbem IN ('04','05') AND CL_IND&lt;'3.40'
         THEN 'N'
         else 'MISS'
         END AS valor_simulado,
    cdisconf,
    cfinbem,
    CD_REPARTICAO_FIN,
    CL_COM,
    CL_HAB,
    CL_IND,
    CL_SERV
FROM 
(SELECT prtctn_id,
        prm_lctn as valor_it
FROM bu_loantape_work.lt004_protection
WHERE ref_date='${date}'
    AND nome_perimetro='Individual Corporativo'
    AND segmento='ESTR'
    AND ambito='PM') AS LT004
LEFT JOIN
(SELECT ckbalbem,
        ckctabem,
        ckrefbem,
        trim (cfinbem) as cfinbem,
        cdisconf
FROM cd_garantias.gt009_bens_imov
WHERE ref_date='${date}') AS gt009
on prtctn_id=concat('I_', CKBALBEM, '_', CKCTABEM, '_', CKREFBEM)
LEFT JOIN
(SELECT tayd91c0_celemtab,
        tayd91c0_nelemc10 AS CD_REPARTICAO_FIN
FROM cd_estruturais.tat91_tabelas 
WHERE tayd91c0_ctabela='J48'
    AND data_date_part IN (SELECT MAX(data_date_part)
    from cd_estruturais.tat91_tabelas where data_date_part &lt;= '${date}' and tayd91c0_ctabela= 'J48'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(SELECT MAX(data_date_part)
    from cd_estruturais.tat91_tabelas where data_date_part &lt;= '${date}' and tayd91c0_ctabela= '162'
)) AS TAT_162
ON TAT_J48.CD_REPARTICAO_FIN=TAT_162.tayd91c0_celemtab
) as base
GROUP BY 1,2</t>
  </si>
  <si>
    <t>SELECT prm_lctn,
    COUNT(*)
FROM bu_loantape_work.lt004_protection
WHERE ref_date='${date}'
    AND nome_perimetro='Individual Corporativo'
    AND segmento='ESTR'
    AND ambito='PM'
GROUP BY prm_lctn</t>
  </si>
  <si>
    <t>Select prtctn_id, typ_prtctn, TYP_PRTCTN_simulacao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 &lt;&gt; TYP_PRTCTN_simulacao</t>
  </si>
  <si>
    <t>Select DISTINCT typ_prtctn
FROM
(
SELECT prtctn_id,typ_prtctn,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 Where typ_prtctn &lt;&gt; TYP_PRTCTN_simulacao</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</si>
  <si>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&lt;&gt; 'N/A'
AND typ_prtctn = '11111111111'</t>
  </si>
  <si>
    <t>Select typ_prtctn, typ_prtctn_intrnl
FROM
(
SELECT prtctn_id,typ_prtctn, typ_prtctn_intrnl,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typ_prtctn_intrnl = 'N/A'
AND typ_prtctn &lt;&gt; '11111111111'</t>
  </si>
  <si>
    <t>Select DISTINCT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typ_prtctn_vl ='1'
AND typ_prtctn not in ('3', '7', '13', '18')</t>
  </si>
  <si>
    <t>Casos em que o typ_prtctn é 5 ou 12 que estão justificados troca de emails com a corporação</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</si>
  <si>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IN ('2','3')
 AND TYP_PRTCTN NOT IN ('8','9','10')</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</si>
  <si>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'4'
 AND TYP_PRTCTN NOT IN ('2','4','5','12','15','16','17','7')</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</si>
  <si>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'5'
--  AND TYP_PRTCTN  ='11111111111'</t>
  </si>
  <si>
    <t>Select prtctn_id, typ_prtctn, typ_prtctn_vl
FROM
(
SELECT prtctn_id,typ_prtctn, typ_prtctn_vl,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typ_prtctn_vl = '11111111111'
 AND TYP_PRTCTN &lt;&gt; '7'</t>
  </si>
  <si>
    <t>Select prtctn_id, typ_prtctn, typ_prtctn_vl, DT_APPRSL_PRVS
FROM
(
SELECT prtctn_id,typ_prtctn, typ_prtctn_vl, DT_APPRSL_PRVS,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typ_prtctn,DT_APPRSL_PRVS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DT_APPRSL_PRVS &lt;&gt; '1111-11-11'
 AND TYP_PRTCTN NOT IN('8','9','10')</t>
  </si>
  <si>
    <t>Select prtctn_id, typ_prtctn, typ_prtctn_vl, CRE_INCM_CRRNCY
FROM
(
SELECT prtctn_id,typ_prtctn, typ_prtctn_vl, CRE_INCM_CRRNCY,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typ_prtctn,CRE_INCM_CRRNCY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CRE_INCM_CRRNCY NOT IN ('MISS', 'N/A')
 AND TYP_PRTCTN NOT IN('9','10')</t>
  </si>
  <si>
    <t>Select prtctn_id, typ_prtctn, typ_prtctn_vl, APPRSR
FROM
(
SELECT prtctn_id,typ_prtctn, typ_prtctn_vl, APPRSR,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APPRSR NOT IN ('N/A', 'MISS')
AND TYP_PRTCTN NOT IN ('8','9','10')</t>
  </si>
  <si>
    <t>Select prtctn_id, typ_prtctn, typ_prtctn_vl, APPRSR, DT_LST_FLL_APPRSL
FROM
(
SELECT prtctn_id,typ_prtctn, typ_prtctn_vl, APPRSR, DT_LST_FLL_APPRSL,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typ_prtctn,DT_LST_FLL_APPRSL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DT_LST_FLL_APPRSL &lt;&gt;'1111-11-11'
AND TYP_PRTCTN NOT IN ('8','9','10')</t>
  </si>
  <si>
    <t>Select prtctn_id, typ_prtctn, typ_prtctn_vl, PRTCTN_FRCD_SL_VL
FROM
(
SELECT prtctn_id,typ_prtctn, typ_prtctn_vl, APPRSR, PRTCTN_FRCD_SL_VL,
CASE
-- GARANTIAS IMOVEIS
WHEN CGARANT_BEM = '5000' THEN '10'
WHEN CGARANT_BEM = '5101' THEN '8'
WHEN CGARANT_BEM = '5102' THEN '8'
WHEN CGARANT_BEM = '5103' THEN '8'
WHEN CGARANT_BEM = '5104' THEN '8'
WHEN CGARANT_BEM = '5201' THEN '10'
WHEN CGARANT_BEM = '5202' THEN '10'
WHEN CGARANT_BEM = '5302' THEN '10'
WHEN CGARANT_BEM = '5203' THEN '9'
WHEN CGARANT_BEM = '5204' THEN '9'
WHEN CGARANT_BEM = '5205' THEN '10'
WHEN CGARANT_BEM = '5206' THEN '10'
WHEN CGARANT_BEM = '5207' THEN '10'
WHEN CGARANT_BEM = '5208' THEN '10'
WHEN CGARANT_BEM = '5209' THEN '10'
WHEN CGARANT_BEM = '5210' THEN '10'
WHEN CGARANT_BEM = '5211' THEN '10'
WHEN CGARANT_BEM = '5300' THEN '10'
WHEN CGARANT_BEM = '5212' THEN '10'
WHEN CGARANT_BEM = '5213' THEN '10'
WHEN CGARANT_BEM = '5214' THEN '10'
WHEN CGARANT_BEM = '5303' THEN '10'
WHEN CGARANT_BEM = '5301' THEN '10'
WHEN CGARANT_BEM = '5215' THEN '10'
WHEN CGARANT_BEM = '5216' THEN '10'
WHEN CGARANT_BEM = '5217' THEN '10'
WHEN CGARANT_BEM = '5218' THEN '10'
-- GARANTIAS FINANCEIRAS
WHEN CGARANT_BEM = '6101' THEN '5'
WHEN CGARANT_BEM = '6102' THEN '5'
WHEN CGARANT_BEM = '6201' THEN '15'
WHEN CGARANT_BEM = '6202' THEN '15'
WHEN CGARANT_BEM = '6300' THEN '18'
WHEN CGARANT_BEM = '6401' THEN '12'
WHEN CGARANT_BEM = '6402' THEN '12'
WHEN CGARANT_BEM = '6403' THEN '12'
WHEN CGARANT_BEM = '6404' THEN '12'
WHEN CGARANT_BEM = '6405' THEN '12'
WHEN CGARANT_BEM = '6406' THEN '12'
WHEN CGARANT_BEM = '6407' THEN '12'
WHEN CGARANT_BEM = '6408' THEN '12'
WHEN CGARANT_BEM = '6501' THEN '18'
WHEN CGARANT_BEM = '6502' THEN '18'
WHEN CGARANT_BEM = '6503' THEN '18'
WHEN CGARANT_BEM = '6504' THEN '18'
-- GARABTIAS PESSOAIS
WHEN CGARANT_RPT= '158' THEN '7'
WHEN CGARANT_RPT= '182' THEN '7'
WHEN CGARANT_RPT= '108' THEN '7'
WHEN CGARANT_RPT= '107' THEN '7'
WHEN CGARANT_RPT= '159' THEN '7'
WHEN CGARANT_RPT= '197' THEN '7'
WHEN CGARANT_RPT= '198' THEN '7'
WHEN CGARANT_RPT= '106' THEN '7'
WHEN CGARANT_RPT= '1B5' THEN '7'
WHEN CGARANT_RPT= '164' THEN '7'
WHEN CGARANT_RPT= '169' THEN '7'
WHEN CGARANT_RPT= '183' THEN '7'
WHEN CGARANT_RPT= '1SS' THEN '7'
WHEN CGARANT_RPT= '160' THEN '7'
WHEN CGARANT_RPT= '309' THEN '7'
WHEN CGARANT_RPT= '321' THEN '7'
WHEN CGARANT_RPT= '298' THEN '7'
WHEN CGARANT_RPT= '105' THEN '7'
WHEN CGARANT_RPT= '126' THEN '7'
WHEN CGARANT_RPT= '125' THEN '7'
WHEN CGARANT_RPT= '199' THEN '7'
WHEN CGARANT_RPT= '104' THEN '7'
WHEN CGARANT_RPT= '157' THEN '7'
WHEN CGARANT_RPT= '1EE' THEN '7'
WHEN CGARANT_RPT= '181' THEN '7'
WHEN CGARANT_RPT= '120' THEN '7'
WHEN CGARANT_RPT= '186' THEN '7'
WHEN CGARANT_RPT= '999' THEN '7'
WHEN CGARANT_RPT= '101' THEN '7'
WHEN CGARANT_RPT= 'LSA' THEN '7'
WHEN CGARANT_RPT= '190' THEN '7'
WHEN CGARANT_RPT= '501' THEN '7'
WHEN CGARANT_RPT= '001' THEN '7'
WHEN CGARANT_RPT= '111' THEN '7'
WHEN CGARANT_RPT= '103' THEN '7'
WHEN CGARANT_RPT= '1CC' THEN '7'
WHEN CGARANT_RPT= '196' THEN '7'
WHEN CGARANT_RPT= '1SW' THEN '7'
WHEN CGARANT_RPT= '102' THEN '7'
WHEN CGARANT_RPT= '133' THEN '7'
WHEN CGARANT_RPT= '345' THEN '7'
WHEN CGARANT_RPT= '1SO' THEN '7'
ELSE '99999999999'
END as TYP_PRTCTN_simulacao
FROM
(SELECT prtctn_id, typ_prtctn_intrnl, typ_prtctn_vl, apprsr, typ_prtctn,PRTCTN_FRCD_SL_VL
FROM bu_loantape_work.lt004_protection
WHERE 1=1 
AND ambito = 'PM'
AND segmento = 'ESTR'
AND ref_date = '${date}'
AND nome_perimetro = 'Individual Corporativo'
) LT004
LEFT JOIN
(SELECT ckbalbem, ckctabem, ckrefbem, cgarant_bem, cgarant_rpt, tipologia
FROM cd_garantias.gt018_rateio_aval
WHERE ref_date = '${date}') GT018
ON prtctn_id = CONCAT(SUBSTR(TIPOLOGIA,1,1),'_',CKBALBEM, '_', CKCTABEM, '_', CKREFBEM) 
) X
WHERE 1=1 
AND PRTCTN_FRCD_SL_VL &lt;&gt; 11111111111
AND TYP_PRTCTN NOT IN ('8','9', '3','10')</t>
  </si>
  <si>
    <t>LNS_CLLTRLZD_CLSSFCTN não está especificado</t>
  </si>
  <si>
    <t>SELECT count(*)
FROM bu_loantape_work.lt004_protection  
WHERE 1=1 
AND ambito = 'PM' 
AND segmento = 'ESTR' 
AND ref_date = '2024-09-30'
AND nome_perimetro = 'Individual Corporativo'
AND ntnl_id LIKE '%"%'
-- AND ntnl_id LIKE '%F%'</t>
  </si>
  <si>
    <t>0 casos com aspas</t>
  </si>
  <si>
    <t>Verificar se o campo está de acordo com a Especificação</t>
  </si>
  <si>
    <t>Select prtctn_id, ntnl_id_simulacao, ntnl_id, typ_prtctn
From
(
SELECT 
Case when prtctn_id NOT LIKE 'I%' Then 'N/A'
When prtctn_id Like 'I%' Then ntnl_id_sim
Else 'MISS'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NOT IN ('8','9','10')
AND ntnl_id_simulacao &lt;&gt; 'N/A'</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</si>
  <si>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DT_ORGNL_PRTCTN_VL &lt;&gt; DT_ORGNL_PRTCTN_VL_SIMULADO</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</si>
  <si>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DT_ORGNL_PRTCTN_VL_SIMULADO &lt; '1970-01-01'
AND DT_ORGNL_PRTCTN_VL_SIMULADO NOT IN ('1111-11-11','0000-00-00')</t>
  </si>
  <si>
    <t>SELECT prtctn_id, DT_ORGNL_PRTCTN_VL, DT_ORGNL_PRTCTN_VL_SIMULADO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From bu_loantape_work.lt004_protection
        WHERE segmento = 'ESTR'
        AND nome_perimetro ='Individual Corporativo'
        AND ref_date='${date}'
        AND AMBITO = 'PM') lt004
ON D.prtctn_id = prtctn_id_lt004
WHERE 1=1
AND substring(DT_ORGNL_PRTCTN_VL_SIMULADO,5,1) &lt;&gt; '-' or substring(DT_ORGNL_PRTCTN_VL_SIMULADO,8,1) &lt;&gt; '-'</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</si>
  <si>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DT_ORGNL_PRTCTN_VL &gt; dt_prtctn_vl</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</si>
  <si>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DT_ORGNL_PRTCTN_VL &gt; ref_date</t>
  </si>
  <si>
    <t>SELECT prtctn_id, DT_ORGNL_PRTCTN_VL, DT_ORGNL_PRTCTN_VL_SIMULADO, ref_date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ref_date
        From bu_loantape_work.lt004_protection
        WHERE segmento = 'ESTR'
        AND nome_perimetro ='Individual Corporativo'
        AND ref_date='${date}'
        AND AMBITO = 'PM') lt004
ON D.prtctn_id = prtctn_id_lt004
Where 1=1
AND prtctn_id like 'P%'
AND DT_ORGNL_PRTCTN_VL_SIMULADO &lt;&gt; '1111-11-11'</t>
  </si>
  <si>
    <t>Select count(*)
FROM
(SELECT prtctn_id, DT_PRTCTN_VL, CASE
    WHEN prtctn_id LIKE 'P%' THEN '1111-11-11'
    ELSE max(dtrcaval)
    END AS DT_PRTCTN_VL_SIMULADO
FROM
(Select *
From cd_loan_tapes_bce.lt004_protection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prtctn_id like 'P%'  
AND DT_PRTCTN_VL_SIMULADO &lt;&gt; '1111-11-11'</t>
  </si>
  <si>
    <t>SELECT prtctn_id, DT_ORGNL_PRTCTN_VL, DT_ORGNL_PRTCTN_VL_SIMULADO, dt_prtctn_vl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GT018
    ON substring(prtctn_id,3)= CONCAT(ckbalbem,'_', ckctabem, '_', ckrefbem)
    AND CONCAT(cempresp, ckbalres, ckctares, ckrefresp) = Concat(CHMASTER.cempresa, CHMASTER.cbalcao, CHMASTER.cnumecta, CHMASTER.zdeposit)
) A
) A
WHERE RANKAVALIA = 1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 dt_prtctn_vl
        From bu_loantape_work.lt004_protection
        WHERE segmento = 'ESTR'
        AND nome_perimetro ='Individual Corporativo'
        AND ref_date='${date}'
        AND AMBITO = 'PM') lt004
ON D.prtctn_id = prtctn_id_lt004
Where 1=1
AND prtctn_id like 'P%'
AND dt_prtctn_vl &lt;&gt; '1111-11-11'</t>
  </si>
  <si>
    <t>795 casos duplicados que são justificados pela falta de informação dos campos que forma a concatenação</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</si>
  <si>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FROM 
(SELECT prtctn_id,
        prm_lctn as valor_it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valor_it &lt;&gt; valor_simulado 
    ;</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</si>
  <si>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AND DT_PRTCTN_VL &lt; '1970-01-01'
AND DT_PRTCTN_VL &lt;&gt; '1111-11-11'
Order by DT_PRTCTN_VL asc</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</si>
  <si>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substring(DT_PRTCTN_VL_SIMULADO,5,1) &lt;&gt; '-' or substring(DT_PRTCTN_VL_SIMULADO,8,1) &lt;&gt; '-'
-- AND length(DT_PRTCTN_VL_SIMULADO) &lt;&gt; 10
-- AND DT_PRTCTN_VL_SIMULADO = '9999-99-99'</t>
  </si>
  <si>
    <t>Select *
FROM
(SELECT prtctn_id, DT_PRTCTN_VL, CASE
    WHEN prtctn_id LIKE 'P%' THEN '1111-11-11'
    ELSE NVL(max(dtrcaval),'0000-00-00')
    END AS DT_PRTCTN_VL_SIMULADO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 
) A
WHERE 1=1 
    -- AND prtctn_id NOT LIKE 'P%'
    AND DT_PRTCTN_VL &lt;&gt; DT_PRTCTN_VL_SIMULADO</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</si>
  <si>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TYP_PRTCTN_VL = '4'
AND DT_PRTCTN_VL &lt;&gt; '2024-09-30'</t>
  </si>
  <si>
    <t>Select *
FROM
(SELECT prtctn_id, DT_PRTCTN_VL, CASE
    WHEN prtctn_id LIKE 'P%' THEN '1111-11-11'
    ELSE NVL(max(dtrcaval),'0000-00-00')
    END AS DT_PRTCTN_VL_SIMULADO, typ_prtctn_vl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'2024-09-30'</t>
  </si>
  <si>
    <t>Select *
FROM
(SELECT prtctn_id, DT_PRTCTN_VL, CASE
    WHEN prtctn_id LIKE 'P%' THEN '1111-11-11'
    ELSE NVL(max(dtrcaval),'0000-00-00')
    END AS DT_PRTCTN_VL_SIMULADO, dt_lst_fll_apprsl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DT_PRTCTN_VL &gt; dt_lst_fll_apprsl
        AND dt_lst_fll_apprsl &lt;&gt; '1111-11-11'</t>
  </si>
  <si>
    <t>Select *
FROM
(SELECT prtctn_id, DT_PRTCTN_VL, CASE
    WHEN prtctn_id LIKE 'P%' THEN '1111-11-11'
    ELSE NVL(max(dtrcaval),'0000-00-00')
    END AS DT_PRTCTN_VL_SIMULADO, DT_APPRSL_PRVS
FROM
(Select *
From bu_loantape_work.lt004_protection
WHERE segmento = 'ESTR'
AND nome_perimetro ='Individual Corporativo'
AND ref_date='${date}'
AND AMBITO = 'PM') lt004
Left join
(Select *
From cd_garantias.gt018_rateio_aval
Where ref_date='${date}') gt018
ON prtctn_id = concat(substr(TIPOLOGIA,1,1),'_',ckbalbem,'_',ckctabem,'_',ckrefbem)
GROUP BY 1,2,4
) A
WHERE 1=1 
        AND DT_APPRSL_PRVS &lt;&gt; '1111-11-11'
        AND DT_PRTCTN_VL = '1111-11-11'</t>
  </si>
  <si>
    <t>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WHERE CNSTRCTN_STTS_simulacao &lt;&gt; cnstrctn_stts;</t>
  </si>
  <si>
    <t>SELECT COUNT(*), CNSTRCTN_STTS
FROM 
(
SELECT prtctn_id, CNSTRCTN_STTS_simulacao, cnstrctn_stts, cgarant_bem
FROM
(
SELECT 
prtctn_id, ref_date, cnstrctn_stts,
CASE WHEN ref_date &lt; '2024-05-31' THEN CNSTRCTN_STTS_simulacao_pre
WHEN ref_date &gt;= '2024-05-31' THEN CNSTRTCN_STTS_simulacao_pos
Else '99999999999'
END AS CNSTRCTN_STTS_simulacao, cgarant_bem
FROM
(
SELECT prtctn_id, ref_date, cnstrctn_stts,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cnstrctn_stts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</si>
  <si>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'4'
AND CNSTRCTN_STTS &lt;&gt; '1'</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</si>
  <si>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in('2', '3')
AND CNSTRCTN_STTS &lt;&gt; '2'</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</si>
  <si>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
AND CNSTRCTN_STTS NOT IN('3', '4')</t>
  </si>
  <si>
    <t>SELECT prtctn_id, cnstrctn_stts, dvlpmnt_stts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FROM
(
SELECT 
prtctn_id,
CASE WHEN ref_date &lt; '2024-05-31' THEN CNSTRCTN_STTS_simulacao_pre
WHEN ref_date &gt;= '2024-05-31' THEN CNSTRTCN_STTS_simulacao_pos
Else '99999999999'
END AS CNSTRCTN_STTS_simulacao, cnstrctn_stts, dvlpmnt_stts
FROM
(
SELECT prtctn_id, ref_date,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 = '11111111111'
AND CNSTRCTN_STTS &lt;&gt; '11111111111'</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</si>
  <si>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&gt; ref_date
AND dt_frst_usg &lt;&gt; '1111-11-11'
AND dt_frst_usg &lt;&gt; '0000-00-00'
AND CNSTRCTN_STTS NOT IN ('2','4')</t>
  </si>
  <si>
    <t>SELECT prtctn_id, dvlpmnt_stts, DVLPMNT_STTS_simulacao, cgarant_bem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FROM
(
SELECT 
prtctn_id, dvlpmnt_stts,
CASE WHEN ref_date &lt; '2024-05-31' THEN CNSTRCTN_STTS_simulacao_pre
WHEN ref_date &gt;= '2024-05-31' THEN CNSTRTCN_STTS_simulacao_pos
Else '99999999999'
END AS CNSTRCTN_STTS_simulacao, cgarant_bem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FROM
(SELECT prtctn_id, ref_date, dvlpmnt_stts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DVLPMNT_STTS_simulacao &lt;&gt; dvlpmnt_stts</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</si>
  <si>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IN ('8','9','10')
AND DVLPMNT_STTS_simulacao = '11111111111'
;</t>
  </si>
  <si>
    <t>SELECT prtctn_id, dvlpmnt_stts, DVLPMNT_STTS_simulacao, cgarant_bem, typ_prtctn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TYP_PRTCTN NOT IN ('8','9','10')
AND DVLPMNT_STTS_simulacao &lt;&gt; '11111111111'
;</t>
  </si>
  <si>
    <t>SELECT count (*), dvlpmnt_stts
FROM
(
SELECT prtctn_id, CNSTRCTN_STTS_simulacao, dvlpmnt_stts,
CASE WHEN prtctn_id NOT LIKE 'I%' THEN '11111111111'
WHEN CNSTRCTN_STTS_simulacao = '1' THEN '4'
WHEN CNSTRCTN_STTS_simulacao = '2' THEN '2'
WHEN CNSTRCTN_STTS_simulacao = '3' THEN '1'
WHEN CNSTRCTN_STTS_simulacao = '4' THEN '1'
ELSE '99999999999'
END AS DVLPMNT_STTS_simulacao,cgarant_bem, typ_prtctn
FROM
(
SELECT 
prtctn_id, dvlpmnt_stts,
CASE WHEN ref_date &lt; '2024-05-31' THEN CNSTRCTN_STTS_simulacao_pre
WHEN ref_date &gt;= '2024-05-31' THEN CNSTRTCN_STTS_simulacao_pos
Else '99999999999'
END AS CNSTRCTN_STTS_simulacao, cgarant_bem, typ_prtctn
FROM
(
SELECT prtctn_id, ref_date, DVLPMNT_STTS,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cgarant_bem, typ_prtctn
FROM
(SELECT prtctn_id, ref_date, dvlpmnt_stts, typ_prtctn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group by 2</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</si>
  <si>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&lt;&gt; ntnl_id_simulacao</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</si>
  <si>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ntnl_id Is NULL</t>
  </si>
  <si>
    <t>SELECT COUNT (*)
FROM
(
Select ntnl_id, count(*)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Group by ntnl_id
Having Count(*) &gt; 1 
) C</t>
  </si>
  <si>
    <t>Select prtctn_id, ntnl_id_simulacao, ntnl_id
From
(
SELECT 
CASE WHEN PRTCTN_ID NOT LIKE 'I%' THEN 'N/A'
	WHEN PRTCTN_ID LIKE 'I%' AND NTNL_ID_SIM = '' THEN 'MISS'
	ELSE ntnl_id_sim
End ntnl_id_simulacao, prtctn_id, ckbalbem, ckctabem, ckrefbem, cdisconf, codconsv, cartmatr, gficha, gidfracc, gfraccao, gnum, glote, cpost, ntnl_id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gt009.*
FROM
(SELECT ntnl_id, prtctn_id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length(ntnl_id_simulacao) &gt;=255</t>
  </si>
  <si>
    <t>Select prtctn_id, ntnl_id_simulacao, ntnl_id, typ_prtctn
From
(
SELECT 
CASE WHEN PRTCTN_ID NOT LIKE 'I%' THEN 'N/A'
	WHEN PRTCTN_ID LIKE 'I%' AND NTNL_ID_SIM = '' THEN 'MISS'
	ELSE ntnl_id_sim
End ntnl_id_simulacao, prtctn_id, ckbalbem, ckctabem, ckrefbem, cdisconf, codconsv, cartmatr, gficha, gidfracc, gfraccao, gnum, glote, cpost, ntnl_id, typ_prtctn
From
(
SELECT CONCAT(
		CASE WHEN TRIM(GT009.CDISCONF) = '' THEN  '_' ELSE regexp_replace(REGEXP_REPLACE(GT009.CDISCONF, "[^[:print:]\\p{S}\\p{P}\\p{L}\\p{N} ]", ""),'"','') END,  
		'-',          
		CASE WHEN TRIM(GT009.CPOST) = '' THEN  '_' ELSE regexp_replace(REGEXP_REPLACE(GT009.CPOST, "[^[:print:]\\p{S}\\p{P}\\p{L}\\p{N} ]", ""),'"','') END,  
		'-',          
		CASE WHEN TRIM(GT009.CODCONSV) = '' THEN  '_' ELSE regexp_replace(REGEXP_REPLACE(GT009.CODCONSV, "[^[:print:]\\p{S}\\p{P}\\p{L}\\p{N} ]", ""),'"','') END,  
		'-',          
		CASE WHEN TRIM(GT009.CARTMATR) = '' THEN  '_' ELSE regexp_replace(REGEXP_REPLACE(GT009.CARTMATR, "[^[:print:]\\p{S}\\p{P}\\p{L}\\p{N} ]", ""),'"','') END, 
		'-',          
		CASE WHEN TRIM(GT009.GFICHA) = '' THEN  '_' ELSE regexp_replace(REGEXP_REPLACE(GT009.GFICHA, "[^[:print:]\\p{S}\\p{P}\\p{L}\\p{N} ]", ""),'"','') END, 
		'-',         
		CASE WHEN TRIM(GT009.GNUM) = '' THEN  '_' ELSE regexp_replace(REGEXP_REPLACE(GT009.GNUM, "[^[:print:]\\p{S}\\p{P}\\p{L}\\p{N} ]", ""),'"','') END,
		'-',          
		CASE WHEN TRIM(GT009.GLOTE) = '' THEN  '_' ELSE regexp_replace(REGEXP_REPLACE(GT009.GLOTE, "[^[:print:]\\p{S}\\p{P}\\p{L}\\p{N} ]", ""),'"','') END,
		'-',          
		CASE WHEN TRIM(GT009.GIDFRACC) = '' THEN  '_' ELSE regexp_replace(REGEXP_REPLACE(GT009.GIDFRACC, "[^[:print:]\\p{S}\\p{P}\\p{L}\\p{N} ]", ""),'"','') END,
		'-',           
		CASE WHEN TRIM(GT009.GFRACCAO) = '' THEN  '_' ELSE regexp_replace(REGEXP_REPLACE(GT009.GFRACCAO, "[^[:print:]\\p{S}\\p{P}\\p{L}\\p{N} ]", ""),'"','') END
		) as ntnl_id_sim, ntnl_id, prtctn_id, typ_prtctn,
gt009.*
FROM
(SELECT ntnl_id, prtctn_id, typ_prtctn
FROM bu_loantape_work.lt004_protection
WHERE segmento = 'ESTR'
AND nome_perimetro ='Individual Corporativo'
AND ref_date='${date}'
AND AMBITO = 'PM') LT004
LEFT JOIN
(SELECT coalesce(cdisconf, '') as cdisconf,
                    coalesce(cpost, '') as cpost,
                    coalesce(codconsv, '') as codconsv,
                    coalesce(cartmatr, '') as cartmatr,
                    coalesce(gficha, '') as gficha,
                    coalesce(gnum, '') as gnum,
                    coalesce(glote, '') as glote,
                    coalesce(gidfracc, '') as gidfracc,
                    coalesce(gfraccao, '') as gfraccao,
                    ckbalbem,
                    ckctabem,
                    ckrefbem
FROM cd_garantias.gt009_bens_imov
Where ref_date='${date}') GT009
ON prtctn_id= Concat('I_',ckbalbem,'_', ckctabem,'_', ckrefbem)
) A
) B
Where TYP_PRTCTN IN ('8','9','10')
AND ntnl_id_simulacao = 'N/A'</t>
  </si>
  <si>
    <t>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dt_lst_fll_apprsl_simulado &gt;= dt_orgnl_prtctn_vl
AND dt_lst_fll_apprsl &lt;&gt; dt_lst_fll_apprsl_simulado</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</si>
  <si>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substring(dt_lst_fll_apprsl,5,1) &lt;&gt; '-' or substring(dt_lst_fll_apprsl,8,1) &lt;&gt; '-'
AND length(dt_lst_fll_apprsl) &lt;&gt; 10
;
</t>
  </si>
  <si>
    <t xml:space="preserve">Select prtctn_id, dt_lst_fll_apprsl, dt_lst_fll_apprsl_simulado, dt_orgnl_prtctn_vl
FROM
(
SELECT LT004.prtctn_id, 
        LT004.dt_lst_fll_apprsl, 
        CASE WHEN LT004.prtctn_id LIKE 'F%' OR LT004.prtctn_id LIKE 'P%' THEN '1111-11-11'
            WHEN LT004.prtctn_id LIKE 'I%'THEN dt_lst_fll_apprsl_simulado
            ELSE '0000-00-00'
            END as dt_lst_fll_apprsl_simulado,
        dt_orgnl_prtctn_vl
FROM
(SELECT prtctn_id, dt_lst_fll_apprsl, dt_prtctn_vl, dt_orgnl_prtctn_vl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'1970-01-01'
AND dt_lst_fll_apprsl &lt;&gt;'1111-11-11'
;
</t>
  </si>
  <si>
    <t xml:space="preserve">Select prtctn_id, dt_lst_fll_apprsl, dt_lst_fll_apprsl_simulado, dt_orgnl_prtctn_vl, DT_APPRSL_PRVS
FROM
(
SELECT LT004.prtctn_id, 
        LT004.dt_lst_fll_apprsl, 
        CASE WHEN LT004.prtctn_id LIKE 'F%' OR LT004.prtctn_id LIKE 'P%' THEN '1111-11-11'
            WHEN LT004.prtctn_id LIKE 'I%'THEN dt_lst_fll_apprsl_simulado
            ELSE '0000-00-00'
            END as dt_lst_fll_apprsl_simulado, 
        dt_orgnl_prtctn_vl, DT_APPRSL_PRVS
FROM
(SELECT prtctn_id, dt_lst_fll_apprsl, dt_prtctn_vl, dt_orgnl_prtctn_vl, DT_APPRSL_PRVS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&lt; DT_APPRSL_PRVS
;
</t>
  </si>
  <si>
    <t>Select prtctn_id, dt_lst_fll_apprsl, dt_lst_fll_apprsl_simulado, dt_orgnl_prtctn_vl, REF_DATE
FROM
(
SELECT LT004.prtctn_id, 
        LT004.dt_lst_fll_apprsl, 
        CASE WHEN LT004.prtctn_id LIKE 'F%' OR LT004.prtctn_id LIKE 'P%' THEN '1111-11-11'
            WHEN LT004.prtctn_id LIKE 'I%'THEN dt_lst_fll_apprsl_simulado
            ELSE '0000-00-00'
            END as dt_lst_fll_apprsl_simulado, 
        dt_orgnl_prtctn_vl, REF_DATE
FROM
(SELECT prtctn_id, dt_lst_fll_apprsl, dt_prtctn_vl, dt_orgnl_prtctn_vl, REF_DATE
FROM bu_loantape_work.lt004_protection 
WHERE ref_date='${date}' 
    AND nome_perimetro='Individual Corporativo' 
    AND segmento='ESTR' 
    AND ambito='PM') LT004
LEFT JOIN
(SELECT max(davalia) as dt_lst_fll_apprsl_simulado, CONCAT('I_', CKBALBEM, '_', CKCTABEM, '_', CKREFBEM) AS prtctn_id
FROM cd_garantias.gt011_avalc_imov
WHERE 1=1 
AND ref_date='${date}'
AND (
(CTIPREAVL = 'A' AND CORAVGP = 'G39') 
OR CORAVGP='G26')
-- AND CONCAT('I_', CKBALBEM, '_', CKCTABEM, '_', CKREFBEM)='I_0840_14748130000_000000000000000'
GROUP BY 2
) GT011
ON LT004.prtctn_id = GT011.prtctn_id
) X
Where dt_lst_fll_apprsl &gt;= dt_orgnl_prtctn_vl
AND dt_lst_fll_apprsl &gt; REF_DATE
;</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</si>
  <si>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&lt;&gt; dt_apprsl_prvs_simulacao</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</si>
  <si>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substring(dt_apprsl_prvs,5,1) &lt;&gt; '-' or substring(dt_apprsl_prvs,8,1) &lt;&gt; '-'
  AND length(dt_apprsl_prvs) &lt;&gt; 10</t>
  </si>
  <si>
    <t>SELECT prtctn_id, dt_apprsl_prvs, dt_apprsl_prvs_simulacao, dt_orgnl_prtctn_vl, davalia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
FROM
        (SELECT prtctn_id, dt_apprsl_prvs, typ_prtctn, dt_orgnl_prtctn_vl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'1970-01-01'</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</si>
  <si>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REF_DATE</t>
  </si>
  <si>
    <t>SELECT prtctn_id, dt_apprsl_prvs, dt_apprsl_prvs_simulacao, dt_orgnl_prtctn_vl, davalia,REF_DATE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FROM
        (SELECT prtctn_id, dt_apprsl_prvs, typ_prtctn, dt_orgnl_prtctn_vl,REF_DATE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&lt; dt_orgnl_prtctn_vl</t>
  </si>
  <si>
    <t>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dt_apprsl_prvs &gt; dt_prtctn_vl</t>
  </si>
  <si>
    <t xml:space="preserve">SELECT prtctn_id, dt_apprsl_prvs, dt_apprsl_prvs_simulacao, dt_orgnl_prtctn_vl, davalia, REF_DATE, dt_prtctn_vl
FROM
(
SELECT  LT004.prtctn_id, 
        dt_apprsl_prvs, 
        CASE WHEN prtctn_id NOT LIKE 'I%' THEN '1111-11-11' 
             WHEN prtctn_id_GT011 IS NULL THEN '1111-11-11' -- garantia com apenas 1 avaliação completa
             WHEN prtctn_id_GT011 IS NOT NULL THEN davalia 
        ELSE '0000-00-00'
        END AS dt_apprsl_prvs_simulacao, dt_orgnl_prtctn_vl, davalia,REF_DATE, dt_prtctn_vl
FROM
        (SELECT prtctn_id, dt_apprsl_prvs, typ_prtctn, dt_orgnl_prtctn_vl,REF_DATE, dt_prtctn_vl
        FROM bu_loantape_work.lt004_protection 
        WHERE ref_date='${date}' 
            AND nome_perimetro='Individual Corporativo' 
            AND segmento='ESTR' 
            AND ambito='PM'
        ) LT004
    LEFT JOIN
        (SELECT prtctn_id_GT011, davalia, ranking
        FROM 
            (SELECT *, RANK() OVER (PARTITION BY prtctn_id_GT011 ORDER BY davalia DESC) AS ranking
                FROM 
                (SELECT DISTINCT CONCAT('I_', CKBALBEM, '_', CKCTABEM, '_', CKREFBEM) AS prtctn_id_GT011,
                       davalia 
                FROM cd_garantias.gt011_avalc_imov
                WHERE 1=1 
                AND ref_date='${date}'
                AND (
                (CTIPREAVL = 'A' AND CORAVGP = 'G39') 
                OR CORAVGP='G26')
                ) GT011
             )GT011
              WHERE ranking = 2
            --   AND prtctn_id_GT011 ='I_0080_13019640000_000000000000000'
        )GT011
    ON LT004.prtctn_id = GT011.prtctn_id_GT011
   )X 
   Where 1=1
  AND davalia &gt;= dt_orgnl_prtctn_vl 
      AND prtctn_id LIKE 'P%'
     AND dt_apprsl_prvs &lt;&gt; '1111-11-11' </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</si>
  <si>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NOT IN ('8','9','10')
    AND VALOR_SIMULADO &lt;&gt; 'N/A'</t>
  </si>
  <si>
    <t>SELECT *
FROM 
(SELECT prtctn_id,
    valor_it,
    CASE WHEN substr(prtctn_id,1,1)&lt;&gt;'I'
         THEN 'N/A'
         WHEN cfinbem IN ('','01','06','07','08') AND CL_HAB&gt;='3.40'
         THEN 'Y'
         WHEN cfinbem IN ('','01','06','07','08') AND CL_HAB&lt;'3.40'
         THEN 'N'
         WHEN cfinbem is NULL AND CL_HAB&gt;='3.40'
         THEN 'Y'
         WHEN cfinbem is NULL AND CL_HAB &lt; '3.40'
         THEN 'N'
         WHEN cfinbem='02' AND CL_COM&gt;='3.40'
         THEN 'Y' 
         WHEN cfinbem='02' AND CL_COM&lt;'3.40'
         THEN 'N' 
          WHEN cfinbem='03' AND CL_SERV&gt;='3.40'
         THEN 'Y' 
         WHEN cfinbem='03' AND CL_SERV&lt;'3.40'
         THEN 'N'
          WHEN cfinbem IN ('04','05')
         THEN 'N'
         else 'N'
         END AS valor_simulado,
    cdisconf,
    cfinbem,
    CD_REPARTICAO_FIN,
    CL_COM,
    CL_HAB,
    CL_IND,
    CL_SERV, typ_prtctn
FROM 
(SELECT prtctn_id,
        prm_lctn as valor_it, typ_prtctn
FROM bu_loantape_work.lt004_protection
WHERE ref_date='${ref_date}'
    AND nome_perimetro='Individual Corporativo'
    AND segmento='ESTR'
    AND ambito='PM') AS LT004
LEFT JOIN
(SELECT ckbalbem,
        ckctabem,
        ckrefbem,
        trim (cfinbem) as cfinbem,
        cdisconf
FROM cd_garantias.gt009_bens_imov
WHERE ref_date='${ref_date}') AS gt009
on prtctn_id=concat('I_', CKBALBEM, '_', CKCTABEM, '_', CKREFBEM)
LEFT JOIN
(SELECT TAYD91C0_CELEMTAB,
			TAYD91C0_NELEMC10 AS CD_REPARTICAO_FIN
	FROM CD_ESTRUTURAIS.TAT91_TABELAS 
	WHERE TAYD91C0_CTABELA='J48'
		AND DATA_DATE_PART IN ( SELECT MAX(DATA_DATE_PART) FROM  CD_ESTRUTURAIS.TAT91_TABELAS  WHERE TAYD91C0_CTABELA='J48' AND DATA_DATE_PART &lt;='${ref_date}') -- PERMITE DEVOLVER REGISTOS PARA A ULTIMA DATA UTIL ANTERIOR À DATA DE REFERENCIA
	) AS TAT_J48
	ON GT009.CDISCONF=TAT_J48.TAYD91C0_CELEMTAB
LEFT JOIN
	(SELECT TAYD91C0_CELEMTAB,
		   trim(SUBSTR(TAYD91C0_NELEMC11,5,4)) as CL_HAB,
			trim(SUBSTR(TAYD91C0_NELEMC12,5,4)) AS CL_COM,
			trim(SUBSTR(TAYD91C0_NELEMC13,5,4)) AS CL_IND,
			trim(SUBSTR(TAYD91C0_NELEMC14,5,4)) AS CL_SERV
	FROM CD_ESTRUTURAIS.TAT91_TABELAS
	WHERE TAYD91C0_CTABELA='162'
		AND DATA_DATE_PART IN ( SELECT MAX(DATA_DATE_PART) FROM  CD_ESTRUTURAIS.tat91_tabelas  WHERE TAYD91C0_CTABELA='162' AND DATA_DATE_PART &lt;='${ref_date}')
	) AS TAT_162
	ON TAT_J48.CD_REPARTICAO_FIN=TAT_162.TAYD91C0_CELEMTAB
) as base
WHERE 1=1 
       AND typ_prtctn IN ('8','9','10')
    AND VALOR_SIMULADO = 'N/A'</t>
  </si>
  <si>
    <t>15 casos com valor original da proteção a zero</t>
  </si>
  <si>
    <t>"Previous off-balance amount" should have a Format numeric (2 decimal places)</t>
  </si>
  <si>
    <t>"Previous off-balance amount" shall be larger or equal to 0; Negative values trigger attention</t>
  </si>
  <si>
    <t>If "Date of inception" is less than one year in the past (compared to "Reference date") and product type is other than uncommited overdraft, then "Previous off-balance amount" should be populated with default values.</t>
  </si>
  <si>
    <t>If "Date of inception" is more than one year in the past (compared to "Reference date") and "Off-balance sheet amount" is populated other than default values, then "Previous off-balance amount" should be populated with values other than default.</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</si>
  <si>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round(off_blnc_sht_amnt_instrmnt_prvs,2) &lt;&gt; round(off_blnc_sht_amnt_instrmnt_prvs_simulacao,2) ;</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</si>
  <si>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cast(off_blnc_sht_amnt_instrmnt_prvs as VARCHAR) LIKE '%.__'</t>
  </si>
  <si>
    <t>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off_blnc_sht_amnt_instrmnt_prvs &lt; 0</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</si>
  <si>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FROM
     (SELECT instrmnt_id,
             off_blnc_sht_amnt_instrmnt_prvs,
             dt_incptn,
             ref_date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X
Where 1=1 
AND SUBSTR(cast(add_months(ref_date, -12) AS string), 1, 10) &lt; DT_INCPTN
AND off_blnc_sht_amnt_instrmnt_prvs &lt;&gt; 11111111111
;
SELECT distinct prdct
      FROM bu_loantape_work.lt002_instrument
      WHERE segmento = 'ESTR'
        AND nome_perimetro ='Individual Corporativo'
        AND ref_date='${date}'
        AND AMBITO = 'PM'
        AND prdct like '%Descoberto%'
        </t>
  </si>
  <si>
    <t xml:space="preserve">SELECT * 
-- DISTINCT  off_blnc_sht_amnt_instrmnt_prvs, off_blnc_sht_amnt_instrmnt_prvs_simulacao
FROM
  (SELECT instrmnt_id,
          off_blnc_sht_amnt_instrmnt_prvs,
          DT_INCPTN &lt;= SUBSTR(cast(add_months(ref_date, -12) AS string), 1, 10) as val,
          SUM(-1*VALOR_BRUTO_OFF_PRVS) as cal,
          ROUND(nvl(CASE
                  WHEN instrmnt_id LIKE 'SNC%' THEN 11111111111
                  WHEN DT_INCPTN &gt; SUBSTR(cast(add_months(ref_date, -12) AS string), 1, 10) THEN 11111111111
                  WHEN DT_INCPTN &lt;= SUBSTR(cast(add_months(ref_date, -12) AS string), 1, 10) THEN SUM(-1*VALOR_BRUTO_OFF_PRVS)
              END, 99999999999),2) AS off_blnc_sht_amnt_instrmnt_prvs_simulacao,
          dt_incptn,
          ref_date, off_blnc_sht_amnt_instrmnt
   FROM
     (SELECT instrmnt_id,
             off_blnc_sht_amnt_instrmnt_prvs,
             dt_incptn,
             ref_date, off_blnc_sht_amnt_instrmnt
      FROM bu_loantape_work.lt002_instrument
      WHERE segmento = 'ESTR'
        AND nome_perimetro ='Individual Corporativo'
        AND ref_date='${date}'
        AND AMBITO = 'PM'
        -- and instrmnt_id =   '82000020210000346001520240463187'
        ) LT002
   LEFT JOIN
     (SELECT CEMPRESA,
             CBALCAO,
             CNUMECTA,
             ZDEPOSIT,
             sum(valor_bruto_off_prvs) valor_bruto_off_prvs
      FROM bu_loantape_work.lt001_univ_oper
      WHERE segmento = 'ESTR'
        AND nome_perimetro ='Individual Corporativo'
        AND ref_date='${date}'
        AND AMBITO = 'PM'
        -- and CONCAT(CEMPRESA, CBALCAO, CNUMECTA, ZDEPOSIT) = '82000020210000346001520240463187'
      GROUP BY CEMPRESA,
               CBALCAO,
               CNUMECTA,
               ZDEPOSIT) LT001 ON INSTRMNT_ID = CONCAT(CEMPRESA, CBALCAO, CNUMECTA, ZDEPOSIT)
   GROUP BY dt_incptn,
            ref_date,
            DT_INCPTN &lt;= SUBSTR(cast(add_months(ref_date, -12) AS string), 1, 10),
            instrmnt_id,
            off_blnc_sht_amnt_instrmnt_prvs,
            off_blnc_sht_amnt_instrmnt) X
Where 1=1 
AND SUBSTR(cast(add_months(ref_date, -12) AS string), 1, 10) &gt; DT_INCPTN
AND off_blnc_sht_amnt_instrmnt &lt;&gt; 11111111111
AND off_blnc_sht_amnt_instrmnt_prvs = 11111111111
;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</si>
  <si>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 AND contract_id IS NOT NULL
-- and instrmnt_id = '31000344213809020000000000000000'
AND ifrs9_bhvrl_mtrty &lt;&gt; IFRS9_BHVRL_MTRTY_Simulad</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</si>
  <si>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cast(IFRS9_BHVRL_MTRTY as VARCHAR) LIKE '%.'</t>
  </si>
  <si>
    <t>SELECT *
FROM
    (
    Select instrmnt_id, 
    IFRS9.contract_id, 
    months_to_maturity,
    ifrs9_bhvrl_mtrty,
    Case when IFRS9.contract_id IS NULL Then 11111111111
    Else cast(months_to_maturity as INT)
    END as IFRS9_BHVRL_MTRTY_Simulado
    From
        (SELECT instrmnt_id, ifrs9_bhvrl_mtrty
        FROM bu_loantape_work.lt002_instrument
        WHERE segmento = 'ESTR'
        AND nome_perimetro ='Individual Corporativo'
        AND ref_date='${date}'
        AND AMBITO = 'PM') LT002
    LEFT JOIN
        (SELECT DISTINCT cempresa_fr, cbalcao_fr, cnumecta_fr, zdeposit_fr, contract_id from 
            (select cempresa_fr, cbalcao_fr, cnumecta_fr, zdeposit_fr, cempresa, cbalcao, cnumecta, zdeposit 
            From cd_captools.kt_chaves_finrep
            Where ref_date='${date}') CHFIN
        LEFT JOIN
            (select contract_id, cempresa, cbalcao, cnumecta, zdeposit
            From cd_captools.kt_chaves_ifrs9
            Where ref_date='${date}') CHIFR
        ON Concat(CHFIN.cempresa, CHFIN.cbalcao, CHFIN.cnumecta, CHFIN.zdeposit) = Concat(CHIFR.cempresa, CHIFR.cbalcao, CHIFR.cnumecta, CHIFR.zdeposit)
        where contract_id is not null
        ) trad
        ON LT002.instrmnt_id = Concat(trad.cempresa_fr, trad.cbalcao_fr, trad.cnumecta_fr, trad.zdeposit_fr)
    LEFT JOIN
        (select contract_id, months_to_maturity
        From bu_ifrs9.ifrs9_out_expected_loss_8_7
        WHERE exec_id_part IN 
        (SELECT exec_id_part FROM cd_captools.imcatf046_flag_fecho WHERE CMES = '${CMES}') -- (yyyymm)
        )IFRS9
    ON trad.contract_id=IFRS9.contract_id
) A
WHERE 1=1
Having (IFRS9_BHVRL_MTRTY &gt; 960
OR IFRS9_BHVRL_MTRTY &lt; 0)
AND IFRS9_BHVRL_MTRTY &lt;&gt; 11111111111</t>
  </si>
  <si>
    <t>Justificado. São ajustes que não vão ser executados nos controlos da corporação. O Campo OFF_BLNC_SHT_INSTRMNT_PRVS será sempre N/A para ajustes, segundo o Guia da Corporação - Capítulo 11</t>
  </si>
  <si>
    <t>Justificado: 2 Garantias que aparecem na LT004 mas não na GT018 - IT vai alterar o Universo da LT para a GT018 em vez das tabelas do modelo base</t>
  </si>
  <si>
    <t>Justificado: 1 Garantia que aparecem na LT004 mas não na GT018 - IT vai alterar o Universo da LT para a GT018 em vez das tabelas do modelo base</t>
  </si>
  <si>
    <t>Justificado: 3 Garantias que aparecem na LT004 mas não na GT018 - IT vai alterar o Universo da LT para a GT018 em vez das tabelas do modelo base</t>
  </si>
  <si>
    <t>Justificado 3 Garantias que aparecem na LT004 mas não na GT018 - IT vai alterar o Universo da LT para a GT018 em vez das tabelas do modelo base</t>
  </si>
  <si>
    <t>Justificado: 3 Garantias que o DT_PRTCTN_VL é '0001-01-01'  - Erro de Data Quality de Leasings que está a ser endereçado pelo Alexandre Esteves e estará resolvido em Janeiro de 2025</t>
  </si>
  <si>
    <t>Justificado: 43 garantias com datas '0001-01-01' - Erro de Data Quality de Leasings que está a ser endereçado pelo Alexandre Esteves e estará resolvido em Janeiro de 2025</t>
  </si>
  <si>
    <t>Justificado: 47 casos 
4 relacionados com universos diferentes -  IT vai alterar o Universo da LT para a GT018 em vez das tabelas do modelo base
Restantes são os temas dos leasings com '0001-01-01' - Erro de Data Quality de Leasings que está a ser endereçado pelo Alexandre Esteves e estará resolvido em Janeiro de 2025</t>
  </si>
  <si>
    <t>3 casos que não cruzam com GT018 - IT vai alterar o Universo da LT para a GT018 em vez das tabelas do modelo base</t>
  </si>
  <si>
    <t>41 casos em que  a dt aparece 0001-01-01  - Erro de Data Quality de Leasings que está a ser endereçado pelo Alexandre Esteves e estará resolvido em Janeiro de 2025</t>
  </si>
  <si>
    <t>SELECT prtctn_id, cnstrctn_stts, dvlpmnt_stts, ref_date, dt_frst_usg
FROM
(
SELECT prtctn_id, CNSTRCTN_STTS_simulacao,
CASE WHEN prtctn_id NOT LIKE 'I%' THEN '11111111111'
WHEN CNSTRCTN_STTS_simulacao = '1' THEN '4'
WHEN CNSTRCTN_STTS_simulacao = '2' THEN '2'
WHEN CNSTRCTN_STTS_simulacao = '3' THEN '1'
WHEN CNSTRCTN_STTS_simulacao = '4' THEN '1'
ELSE '99999999999'
END AS DVLPMNT_STTS_simulacao, cnstrctn_stts, dvlpmnt_stts, ref_date, dt_frst_usg
FROM
(
SELECT 
prtctn_id,
CASE WHEN ref_date &lt; '2024-05-31' THEN CNSTRCTN_STTS_simulacao_pre
WHEN ref_date &gt;= '2024-05-31' THEN CNSTRTCN_STTS_simulacao_pos
Else '99999999999'
END AS CNSTRCTN_STTS_simulacao, cnstrctn_stts, dvlpmnt_stts, ref_date, dt_frst_usg
FROM
(
SELECT prtctn_id, ref_date, dt_frst_usg,
CASE WHEN prtctn_id NOT LIKE 'I%' THEN '11111111111'
WHEN ctipbem in ('1111','1170','1150','1112') AND cfinbem in ('08') AND cgarant_rpt not in ('HAB','091','092','093','094','ESC', 'FAB', 'GAR', 'EST','IND','ARM','COM','RES','OUT','ENS','HOT','MIS','SAU','079','080','081','082','083','084','085','086','087','088','089','TER','096') THEN  '1'
WHEN ctipbem in ('','1170') AND cfinbem in ('08') AND cgarant_rpt not in ('HAB','091','092','093','094','ESC', 'FAB', 'GAR', 'EST','IND','ARM','COM','RES','OUT','ENS','HOT','MIS','SAU','079','080','081','082','083','084','085','086','087','088','089','TER','096') THEN  '1'
WHEN ctipbem in ('1130','1112') AND cfinbem in ('') AND cgarant_rpt not in ('HAB','091','092','093','094','ESC', 'FAB', 'GAR', 'EST','IND','ARM','COM','RES','OUT','ENS','HOT','MIS','SAU','079','080','081','082','083','084','085','086','087','088','089','TER','096') THEN  '1'
WHEN ctipbem in ('') AND cfinbem in ('') AND cgarant_rpt not in ('HAB','091','092','093','094','ESC', 'FAB', 'GAR', 'EST','IND','ARM','COM','RES','OUT','ENS','HOT','MIS','SAU','079','080','081','082','083','084','085','086','087','088','089','TER','096') THEN  '1'
WHEN ctipbem in ('1112', '1121', '1130','1122', '1111', '1140',  '1150') AND cfinbem in ('01') THEN  '1'
WHEN ctipbem in ('','1170') AND cfinbem in ('01') THEN  '1'
WHEN ctipbem in ('1121') AND cfinbem in ('','08') THEN  '1'
WHEN ctipbem in ('1130') AND cfinbem in ('08') THEN  '1'
WHEN ctipbem in ('1111','1170','1150','1112') AND cfinbem in ('08') AND cgarant_rpt in ('HAB','091','092','093','094') THEN  '1'
WHEN ctipbem in ('','1170') AND cfinbem in ('08') AND cgarant_rpt in ('HAB','091','092','093','094') THEN  '1'
WHEN ctipbem in ('1130','1112','1170') AND cfinbem in ('') AND cgarant_rpt in ('HAB','091','092','093','094') THEN  '1'
WHEN ctipbem in ('') AND cfinbem in ('') AND cgarant_rpt in ('HAB','091','092','093','094') THEN  '1'
WHEN ctipbem in ('1112', '1121', '1130','1122', '1111', '1140',  '1150') AND cfinbem in ('01') AND cmotaval in ('02','03','04','06','90') AND perc_obra between '1' and '90'  THEN  '2'
WHEN ctipbem in ('','1170') AND cfinbem in ('01') AND cmotaval in ('02','03','04','06','90') AND perc_obra between '1' and '90'  THEN  '2'
WHEN ctipbem in ('1121') AND cfinbem in ('','08') AND cmotaval in ('02','03','04','06','90') AND perc_obra between '1' and '90'  THEN  '2'
WHEN ctipbem in ('1130') AND cfinbem in ('08') AND cmotaval in ('02','03','04','06','90') AND perc_obra between '1' and '90'  THEN  '2'
WHEN ctipbem in ('1111','1170','1150','1112') AND cfinbem in ('08') AND cgarant_rpt in ('HAB','091','092','093','094') AND cmotaval in ('02','03','04','06','90') AND perc_obra between '1' and '90'  THEN  '2'
WHEN ctipbem in ('','1170') AND cfinbem in ('08') AND cgarant_rpt in ('HAB','091','092','093','094') AND cmotaval in ('02','03','04','06','90') AND perc_obra between '1' and '90'  THEN  '2'
WHEN ctipbem in ('1130','1112','1170') AND cfinbem in ('') AND cgarant_rpt in ('HAB','091','092','093','094') AND cmotaval in ('02','03','04','06','90') AND perc_obra between '1' and '90'  THEN  '2'
WHEN ctipbem in ('') AND cfinbem in ('') AND cgarant_rpt in ('HAB','091','092','093','094') AND cmotaval in ('02','03','04','06','90') AND perc_obra between '1' and '90'  THEN  '2'
WHEN ctipbem in ('1130','1111','1150','1121','1112','1170') AND cfinbem in ('06') AND cgarant_rpt in ('HAB','091','092','093','094') THEN  '1'
WHEN ctipbem in ('1130','1111','1170','1150','1121') AND cfinbem in ('07') AND cgarant_rpt in ('HAB','091','092','093','094') THEN  '1'
WHEN ctipbem in ('1130','1111','1150','1121','1112','1170') AND cfinbem in ('06') AND cgarant_rpt in ('HAB','091','092','093','094') AND cmotaval in ('02','03','04','06','90') AND perc_obra between '1' and '90'  THEN  '2'
WHEN ctipbem in ('1130','1111','1170','1150','1121') AND cfinbem in ('07') AND cgarant_rpt in ('HAB','091','092','093','094') AND cmotaval in ('02','03','04','06','90') AND perc_obra between '1' and '90'  THEN  '2'
WHEN ctipbem in ('1130','1121','1111','1150','1112') AND cfinbem in ('02')  THEN  '1'
WHEN ctipbem in ('','1170') AND cfinbem in ('02') THEN  '1'
WHEN ctipbem in ('1111','1170','1150','1112') AND cfinbem in ('08') AND cgarant_rpt in ('ESC', 'FAB', 'GAR', 'EST','IND','ARM','COM','RES','OUT','ENS','HOT','MIS','SAU','079','080','081','082','083','084','085','086','087','088','089') THEN  '1'
WHEN ctipbem in ('','1170') AND cfinbem in ('08') AND cgarant_rpt in ('ESC', 'FAB', 'GAR', 'EST','IND','ARM','COM','RES','OUT','ENS','HOT','MIS','SAU','079','080','081','082','083','084','085','086','087','088','089') THEN  '1'
WHEN ctipbem in ('1130','1112','1170') AND cfinbem in ('') AND cgarant_rpt in ('ESC', 'FAB', 'GAR', 'EST','IND','ARM','COM','RES','OUT','ENS','HOT','MIS','SAU','079','080','081','082','083','084','085','086','087','088','089') THEN  '1'
WHEN ctipbem in ('') AND cfinbem in ('') AND cgarant_rpt in ('ESC', 'FAB', 'GAR', 'EST','IND','ARM','COM','RES','OUT','ENS','HOT','MIS','SAU','079','080','081','082','083','084','085','086','087','088','089') THEN  '1'
WHEN ctipbem in ('1130','1121','1111','1150','1112') AND cfinbem in ('02') AND cmotaval in ('02','03','04','06','90') AND perc_obra between '1' and '90'  THEN  '2'
WHEN ctipbem in ('','1170') AND cfinbem in ('02')  AND cmotaval in ('02','03','04','06','90') AND perc_obra between '1' and '90'  THEN  '2'
WHEN ctipbem in ('1111','1170','1150','1112') AND cfinbem in ('08') AND cgarant_rpt in ('ESC', 'FAB', 'GAR', 'EST','IND','ARM','COM','RES','OUT','ENS','HOT','MIS','SAU','079','080','081','082','083','084','085','086','087','088','089') AND cmotaval in ('02','03','04','06','90') AND perc_obra between '1' and '90'  THEN  '2'
WHEN ctipbem in ('','1170') AND cfinbem in ('08') AND cgarant_rpt in ('ESC', 'FAB', 'GAR', 'EST','IND','ARM','COM','RES','OUT','ENS','HOT','MIS','SAU','079','080','081','082','083','084','085','086','087','088','089') AND cmotaval in ('02','03','04','06','90') AND perc_obra between '1' and '90'  THEN  '2'
WHEN ctipbem in ('1130','1112','1170') AND cfinbem in ('') AND cgarant_rpt in ('ESC', 'FAB', 'GAR', 'EST','IND','ARM','COM','RES','OUT','ENS','HOT','MIS','SAU','079','080','081','082','083','084','085','086','087','088','089') AND cmotaval in ('02','03','04','06','90') AND perc_obra between '1' and '90'  THEN  '2'
WHEN ctipbem in ('') AND cfinbem in ('') AND cgarant_rpt in ('ESC', 'FAB', 'GAR', 'EST','IND','ARM','COM','RES','OUT','ENS','HOT','MIS','SAU','079','080','081','082','083','084','085','086','087','088','089') AND cmotaval in ('02','03','04','06','90') AND perc_obra between '1' and '90'  THEN  '2'
WHEN ctipbem in ('1130','1121','1111','1150','1112') AND cfinbem in ('03') THEN  '1'
WHEN ctipbem in ('','1170') AND cfinbem in ('03') THEN  '1'
WHEN ctipbem in ('1130','1121','1111','1150','1112') AND cfinbem in ('03') AND cmotaval in ('02','03','04','06','90') AND perc_obra between '1' and '90'  THEN  '2'
WHEN ctipbem in ('','1170') AND cfinbem in ('03') AND cmotaval in ('02','03','04','06','90') AND perc_obra between '1' and '90'  THEN  '2'
WHEN ctipbem in ('1130','1121','1111','1150','1112','1140') AND cfinbem in ('04') THEN  '1'
WHEN ctipbem in ('','1170') AND cfinbem in ('04') THEN  '1'
WHEN ctipbem in ('1130','1121','1111','1150','1112','1140') AND cfinbem in ('04') AND cmotaval in ('02','03','04','06','90') AND perc_obra between '1' and '90'  THEN  '2'
WHEN ctipbem in ('','1170') AND cfinbem in ('04') AND cmotaval in ('02','03','04','06','90') AND perc_obra between '1' and '90'  THEN  '2'
WHEN ctipbem in ('1130','1121','1111','1150','1112','1140') AND cfinbem in ('05') THEN  '1'
WHEN ctipbem in ('','1170') AND cfinbem in ('05') THEN  '1'
WHEN ctipbem in ('1130','1121','1111','1150','1112','1140') AND cfinbem in ('05') AND cmotaval in ('02','03','04','06','90') AND perc_obra between '1' and '90'  THEN  '2'
WHEN ctipbem in ('','1170') AND cfinbem in ('05') AND cmotaval in ('02','03','04','06','90') AND perc_obra between '1' and '90'  THEN  '2'
WHEN ctipbem in ('1130','1111','1150','1121','1112','1170') AND cfinbem in ('06') AND cgarant_rpt in ('ESC', 'FAB', 'GAR', 'EST','IND','ARM','COM','RES','OUT','ENS','HOT','MIS','SAU','079','080','081','082','083','084','085','086','087','088','089') THEN  '1'
WHEN ctipbem in ('1130','1111','1170','1150','1121') AND cfinbem in ('07') AND cgarant_rpt in ('ESC', 'FAB', 'GAR', 'EST','IND','ARM','COM','RES','OUT','ENS','HOT','MIS','SAU','079','080','081','082','083','084','085','086','087','088','089') THEN  '1'
WHEN ctipbem in ('1130','1111','1150','1121','1112','1170') AND cfinbem in ('06') AND cgarant_rpt in ('ESC', 'FAB', 'GAR', 'EST','IND','ARM','COM','RES','OUT','ENS','HOT','MIS','SAU','079','080','081','082','083','084','085','086','087','088','089') AND cmotaval in ('02','03','04','06','90') AND perc_obra between '1' and '90'  THEN  '2'
WHEN ctipbem in ('1130','1111','1170','1150','1121') AND cfinbem in ('07') AND cgarant_rpt in ('ESC', 'FAB', 'GAR', 'EST','IND','ARM','COM','RES','OUT','ENS','HOT','MIS','SAU','079','080','081','082','083','084','085','086','087','088','089') AND cmotaval in ('02','03','04','06','90') AND perc_obra between '1' and '90'  THEN  '2'
WHEN ctipbem in('1140') AND cfinbem in ('08') THEN  '4'
WHEN ctipbem in ('1111','1170','1150','1112') AND cfinbem in ('08') AND cgarant_rpt in ('TER','096')  THEN  '4'
WHEN ctipbem in ('','1170') AND cfinbem in ('08') AND cgarant_rpt in ('TER','096') THEN  '4'
WHEN ctipbem in ('1130','1112','1170') AND cfinbem in ('') AND cgarant_rpt in ('TER','096') THEN  '4'
WHEN ctipbem in ('') AND cfinbem in ('') AND cgarant_rpt in ('TER','096') THEN  '4'
ELSE '99999999999'
END AS CNSTRCTN_STTS_simulacao_pre,
CASE WHEN prtctn_id NOT LIKE 'I%' THEN '11111111111'
WHEN cgarant_bem = '5000' THEN  '1'
WHEN cgarant_bem = '5101' THEN  '1'
WHEN cgarant_bem = '5102' THEN  '2'
WHEN cgarant_bem = '5103' THEN  '1'
WHEN cgarant_bem = '5104' THEN  '2'
WHEN cgarant_bem = '5201' THEN  '1'
WHEN cgarant_bem = '5202' THEN  '2'
WHEN cgarant_bem = '5203' THEN  '1'
WHEN cgarant_bem = '5204' THEN  '2'
WHEN cgarant_bem = '5205' THEN  '1'
WHEN cgarant_bem = '5206' THEN  '2'
WHEN cgarant_bem = '5207' THEN  '1'
WHEN cgarant_bem = '5208' THEN  '2'
WHEN cgarant_bem = '5209' THEN  '1'
WHEN cgarant_bem = '5210' THEN  '2'
WHEN cgarant_bem = '5211' THEN  '1'
WHEN cgarant_bem = '5212' THEN  '2'
WHEN cgarant_bem = '5213' THEN  '1'
WHEN cgarant_bem = '5214' THEN  '2'
WHEN cgarant_bem = '5215' THEN  '1'
WHEN cgarant_bem = '5216' THEN  '2'
WHEN cgarant_bem = '5217' THEN  '1'
WHEN cgarant_bem = '5218' THEN  '2'
WHEN cgarant_bem = '5300' THEN  '4'
WHEN cgarant_bem = '5301' THEN  '4'
WHEN cgarant_bem = '5302' THEN  '4'
WHEN cgarant_bem = '5303' THEN  '4'
ELSE '99999999999'
END AS CNSTRTCN_STTS_simulacao_pos, cnstrctn_stts, dvlpmnt_stts
FROM
(SELECT prtctn_id, ref_date, cnstrctn_stts, dvlpmnt_stts, dt_frst_usg
FROM bu_loantape_work.lt004_protection
WHERE segmento = 'ESTR'
AND nome_perimetro ='Individual Corporativo'
AND ref_date='${date}'
AND AMBITO = 'PM') LT004
LEFT JOIN
(SELECT cgarant_bem, ckbalbem, ckctabem, ckrefbem, tipologia, ctipbem, cfinbem, cgarant_rpt
FROM cd_garantias.gt018_rateio_aval
Where ref_date='${date}') GT018
ON prtctn_id = concat(substr(TIPOLOGIA,1,1),'_',GT018.ckbalbem,'_',GT018.ckctabem,'_',GT018.ckrefbem)
LEFT JOIN
(SELECT ckbalbem, ckctabem, ckrefbem, cmotaval, perc_obra
FROM cd_garantias.gt009_bens_imov
Where ref_date='${date}') GT009
ON prtctn_id = concat('I%','_',GT009.ckbalbem,'_',GT009.ckctabem,'_',GT009.ckrefbem)
) A
) B
) C
Where dt_frst_usg &lt; ref_date
AND dt_frst_usg not in('1111-11-11','0000-00-00')
AND CNSTRCTN_STTS &lt;&gt; '1'</t>
  </si>
  <si>
    <t xml:space="preserve">3. Pendente de decisão - Identificados temas em OSI nos campos e é necessário identificar cauisticas (pode ficar como está ou ser alterado). Quem toma as decisões são as areas de negócio, porém o Luis poderá dar a decisão final </t>
  </si>
  <si>
    <t>4.2 IT não implementou corretamente</t>
  </si>
  <si>
    <t>4.1 respecificado</t>
  </si>
  <si>
    <t>6. Outros desenvolvimentos - Não podemos avançar no campo por haver necessidade de alguma alteração no campo fonte</t>
  </si>
  <si>
    <t xml:space="preserve">7. Controlos corporativos NOK que necessitam de ser analizados </t>
  </si>
  <si>
    <t>8. Campos que não são para mexer</t>
  </si>
  <si>
    <t>9. A partir do momento que sobe a CD</t>
  </si>
  <si>
    <t>Structural 
ECB Loan Tape</t>
  </si>
  <si>
    <t>Green 
Dashboard</t>
  </si>
  <si>
    <t>Pillar III ESG</t>
  </si>
  <si>
    <t>Green Finance</t>
  </si>
  <si>
    <t>ESG Risks</t>
  </si>
  <si>
    <t>Leveraged Finance</t>
  </si>
  <si>
    <t>STREAM</t>
  </si>
  <si>
    <t>PM</t>
  </si>
  <si>
    <t>PM &amp; LF</t>
  </si>
  <si>
    <t>CPN_RT_FXD</t>
  </si>
  <si>
    <t>ADDRSS_CTY</t>
  </si>
  <si>
    <t>ADDRSS_STRT</t>
  </si>
  <si>
    <t>DT_ENTRPRS_SZ</t>
  </si>
  <si>
    <t>NMBR_EMPLYS</t>
  </si>
  <si>
    <t>LGL_FRM</t>
  </si>
  <si>
    <t>HD_OFFC_UNDRTKNG_ID</t>
  </si>
  <si>
    <t>IMMDT_PRNT_UNDRTKNG_ID</t>
  </si>
  <si>
    <t>ULTMT_PRNT_UNDRTKNG_ID</t>
  </si>
  <si>
    <t>TTL_ASSTS</t>
  </si>
  <si>
    <t>ENTTY_ID_BDR</t>
  </si>
  <si>
    <t>CPN_RT_FLTNG</t>
  </si>
  <si>
    <t>INTRST_RT_CP</t>
  </si>
  <si>
    <t>INTRST_RT_FLR</t>
  </si>
  <si>
    <t>NMNL_INTRST_RT_FEE</t>
  </si>
  <si>
    <t>DT_STTLMNT</t>
  </si>
  <si>
    <t>TRNSFRRD_AMNT</t>
  </si>
  <si>
    <t>TYP_SCRTZTN</t>
  </si>
  <si>
    <t>TYP_OFF_BLNC_PRDCT</t>
  </si>
  <si>
    <t>BLNC_SHT_RCGNTN</t>
  </si>
  <si>
    <t>FLG_DFLT</t>
  </si>
  <si>
    <t>FLG_HGH_RSK</t>
  </si>
  <si>
    <t>PRTNR</t>
  </si>
  <si>
    <t>INCNTVS</t>
  </si>
  <si>
    <t>OTHR_OPRTNG_INCM</t>
  </si>
  <si>
    <t>RFRRL_FS</t>
  </si>
  <si>
    <t>INSRNC_CMSSNS</t>
  </si>
  <si>
    <t>OTHR_INCM_AND_CHRGS</t>
  </si>
  <si>
    <t>TX_ON_PRFT</t>
  </si>
  <si>
    <t>LND_AR</t>
  </si>
  <si>
    <t>LN_PSTN</t>
  </si>
  <si>
    <t>RL_ESTT_LNGTD</t>
  </si>
  <si>
    <t>RL_ESTT_LTTD</t>
  </si>
  <si>
    <t>PRCNTG_ACTVTY</t>
  </si>
  <si>
    <t>INSTR_ACTIVITY</t>
  </si>
  <si>
    <t>Controlos e Completude</t>
  </si>
  <si>
    <t>PM - Novos Campos</t>
  </si>
  <si>
    <t>LF</t>
  </si>
  <si>
    <t>Y</t>
  </si>
  <si>
    <t>N</t>
  </si>
  <si>
    <t>6.1. Fora âmbito | Campos concluídos - Sem necessidade de espec.</t>
  </si>
  <si>
    <t>3. Campos em testes ou c/ incidências</t>
  </si>
  <si>
    <t>6.4. Fora âmbito | Re-especificação de campos complexos - Dem. Fin. CIB</t>
  </si>
  <si>
    <t>2.2 Re-especificação de campos complexos - Resto</t>
  </si>
  <si>
    <t>4. Campos com NOK controlos Corporativos</t>
  </si>
  <si>
    <t>6.3. Fora âmbito | Fonte Manual LF</t>
  </si>
  <si>
    <t xml:space="preserve">5. Campos com outras possíveis alterações - Dependente de decisões OSI </t>
  </si>
  <si>
    <t>6.2.  Fora âmbito | Campos em testes ou c/ incidências (LT - PM)</t>
  </si>
  <si>
    <t>2.1. Re-especificação de campos complexos | Sindicados</t>
  </si>
  <si>
    <t>1. Novos Campos</t>
  </si>
  <si>
    <t>Alteração da fonte das tabela de Imparidade Reporting para as 8_7 e alteração da data a partir da qual a fonte passa a ser as tabelas de Contabilidade</t>
  </si>
  <si>
    <t xml:space="preserve">Alteraração da definição do campo no Guia da Corporação. Campo passou a reportar a data da avaliação completa anterior à data da última avaliação  completa.
</t>
  </si>
  <si>
    <t>Incidência corrigida. Especificação alterada para campo da GT018, de modo a estar coerente com a especificação do campo PRTCTN_VL
Controlo NOK (ver caderno de testes a 03/12/2023)</t>
  </si>
  <si>
    <t xml:space="preserve">O campo será especificado pela primeira vez </t>
  </si>
  <si>
    <t>O campo já foi especificado, no entanto foi necessário alterar</t>
  </si>
  <si>
    <t>Legenda</t>
  </si>
  <si>
    <t>O campo já foi re-especificado e está do lado de IT</t>
  </si>
  <si>
    <t>O campo já foi re-especificado e entregue, no entanto veio com erros de implementação por parte de IT</t>
  </si>
  <si>
    <t>O campo foi re-especificado e implementado por IT e está em fase de testes</t>
  </si>
  <si>
    <t>O campo foi re-especificado e implementado por IT, porém foram encontradas incidências que levaram a uma nova fase de testes</t>
  </si>
  <si>
    <t>Não podemos avançar no campo por haver necessidade de alguma alteração no campo fonte pendente da área responsável</t>
  </si>
  <si>
    <t xml:space="preserve">Controlos corporativos NOK que necessitam de ser analizados </t>
  </si>
  <si>
    <t>Campos que não são para alterar</t>
  </si>
  <si>
    <t>O campo já subiu a CD</t>
  </si>
  <si>
    <t>Alteração da fonte das tabela de Imparidade Reporting para as 8_7 e alteração da data a partir da qual a fonte passa a ser as tabelas de Contabilidade ( 2019 para Dez 2022)</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</si>
  <si>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&lt;&gt; ORGNL_PRTCTN_VL_SIMULADO</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</si>
  <si>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cast(ORGNL_PRTCTN_VL as VARCHAR) NOT LIKE '%.__'</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</si>
  <si>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ORGNL_PRTCTN_VL &lt; 0</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</si>
  <si>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&lt;&gt; '1111-11-11'
AND ORGNL_PRTCTN_VL in (11111111111,0)</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</si>
  <si>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DT_ORGNL_PRTCTN_VL = '1111-11-11'
AND ORGNL_PRTCTN_VL &lt;&gt; 11111111111</t>
  </si>
  <si>
    <t>SELECT prtctn_id, DT_ORGNL_PRTCTN_VL, ORGNL_PRTCTN_VL, DT_ORGNL_PRTCTN_VL_SIMULADO, ORGNL_PRTCTN_VL_SIMULADO
FROM
(
SELECT prtctn_id,
instrmnt_id,
dini_rel_MAX,
dtvaliai_resp_bem, 
mavaliai_resp_bem,
CASE WHEN prtctn_id like 'P%' THEN '1111-11-11'
WHEN prtctn_id not like 'P%' THEN MIN(dtvaliai_resp_bem) 
     ELSE '0000-00-00'
     END as DT_ORGNL_PRTCTN_VL_SIMULADO,
CASE WHEN prtctn_id like 'P%' THEN 11111111111
WHEN dtvaliai_resp_bem = MIN(dtvaliai_resp_bem) THEN SUM(mavaliai_resp_bem) OVER (PARTITION BY prtctn_id)
     ELSE 99999999999
     END as ORGNL_PRTCTN_VL_SIMULADO
FROM 
(
SELECT instrmnt_id, prtctn_id, A.cempresp, A.ckbalres, A.ckctares, A.ckrefresp, dini_rel_MAX, dtvaliai_resp_bem, mavaliai_resp_bem, RANKAVALIA,
RANK() OVER ( PARTITION BY A.ckbalbem, A.ckctabem, A.ckrefbem ORDER BY dini_rel_MAX ASC) AS RANKRELACAO
FROM
(
SELECT *
FROM
(
SELECT instrmnt_id, A.cempresp, A.ckbalres, A.ckctares, A.ckrefresp, A.ckbalbem, A.ckctabem, A.ckrefbem, A.dtvaliai_resp_bem, A.mavaliai_resp_bem, prtctn_id,
RANK() OVER ( PARTITION BY A.ckbalbem, A.ckctabem, A.ckrefbem ORDER BY dtvaliai_resp_bem ASC) AS RANKAVALIA
FROM
    (   
    SELECT DISTINCT instrmnt_id, cempresp, ckbalres, ckctares, ckrefresp, ckbalbem, ckctabem, ckrefbem, prtctn_id, dtvaliai_resp_bem, mavaliai_resp_bem
    FROM 
        (SELECT instrmnt_id, prtctn_id
        FROM cd_loan_tapes_bce.lt006_instr_prot
        WHERE segmento = 'ESTR'
        AND nome_perimetro ='Individual Corporativo'
        AND ref_date='${date}'
        AND AMBITO = 'PM') LT006
    LEFT JOIN
        (SELECT cempresa_fr, cbalcao_fr, cnumecta_fr, zdeposit_fr, cempresa, cbalcao, cnumecta, zdeposit
        FROM cd_captools.kt_chaves_finrep
        Where ref_date='${date}') CHMASTER
    ON instrmnt_id = Concat(cempresa_fr, cbalcao_fr, cnumecta_fr, zdeposit_fr)
    LEFT JOIN
        (SELECT dtvaliai_resp_bem, mavaliai_resp_bem, ckbalbem, ckctabem, ckrefbem, cempresp, ckbalres, ckctares, ckrefresp
        FROM cd_garantias.gt018_rateio_aval
        Where ref_date='${date}'
        -- AND CONCAT('I_',ckbalbem,'_', ckctabem, '_', ckrefbem)= 'I_0030_00430610001_000000000000000'
        ) GT018
    ON substring(prtctn_id,3)= CONCAT(ckbalbem,'_', ckctabem, '_', ckrefbem)
    AND CONCAT(cempresp, ckbalres, ckctares, ckrefresp) = Concat(CHMASTER.cempresa, CHMASTER.cbalcao, CHMASTER.cnumecta, CHMASTER.zdeposit)
) A
) A
WHERE RANKAVALIA = 1
AND CASE WHEN mavaliai_resp_bem IS NULL THEN RANKAVALIA = 0 ELSE RANKAVALIA = 1 END
) A
LEFT JOIN
------------------------------------------ BLOCO 2 ---------------------------------------------
(
SELECT DISTINCT
coalesce(ckbalbem_GT003,ckbalbem_GT008) as ckbalbem,
coalesce(ckctabem_GT003,ckctabem_GT008) as ckctabem,
coalesce(ckrefbem_GT003,ckrefbem_GT008) as ckrefbem,
GT001.cempresp, 
GT001.ckbalres, 
GT001.ckctares, 
GT001.ckrefresp, 
GREATEST(dini_rel_GT001, coalesce(dini_rel_GT008, dini_rel_GT003)) as dini_rel_MAX
FROM
    (SELECT cempresa,ckbalcao, cknumcta, comp_id_gar, cempresp, ckbalres, ckctares, ckrefresp, dini_rel as dini_rel_GT001
    FROM cd_garantias.gt001_trz_rsp_gt
    Where ref_date='${date}') GT001
LEFT JOIN
    (SELECT cempresa,ckbalcao, cknumcta, comp_id_gar, ckbalbem as ckbalbem_GT003, ckctabem as ckctabem_GT003, ckrefbem as ckrefbem_GT003, dini_rel as dini_rel_GT003
    FROM cd_garantias.gt003_trz_gt_fin
    Where ref_date='${date}') GT003
ON CONCAT(GT001.cempresa, GT001.ckbalcao, GT001.cknumcta, GT001.comp_id_gar) = CONCAT(GT003.cempresa, GT003.ckbalcao, GT003.cknumcta, GT003.comp_id_gar)
LEFT JOIN
    (SELECT cempresa,ckbalcao, cknumcta, comp_id_gar, ckbalbem as ckbalbem_GT008, ckctabem as ckctabem_GT008, ckrefbem as ckrefbem_GT008, dini_rel as dini_rel_GT008
    FROM cd_garantias.gt008_trz_gt_imv
    Where ref_date='${date}') GT008
ON CONCAT(GT001.cempresa, GT001.ckbalcao, GT001.cknumcta, GT001.comp_id_gar) = CONCAT(GT008.cempresa, GT008.ckbalcao, GT008.cknumcta, GT008.comp_id_gar)
) B
ON CONCAT(A.cempresp, A.ckbalres, A.ckctares, A.ckrefresp) = CONCAT(B.cempresp, B.ckbalres, B.ckctares, B.ckrefresp)
AND substring(prtctn_id,3) = CONCAT(B.ckbalbem,'_', B.ckctabem,'_', B.ckrefbem)
-- Where PRTCTN_ID = 'I_0030_00430610001_000000000000000'
) C
WHERE RANKRELACAO = 1
GROUP BY 1,2,3,4,5
) D
LEFT JOIN
        (Select prtctn_id as prtctn_id_lt004, DT_ORGNL_PRTCTN_VL,ORGNL_PRTCTN_VL
        From bu_loantape_work.lt004_protection
        WHERE segmento = 'ESTR'
        AND nome_perimetro ='Individual Corporativo'
        AND ref_date='${date}'
        AND AMBITO = 'PM'
        ) lt004
ON D.prtctn_id = prtctn_id_lt004
Where 1=1 
AND prtctn_id LIKE 'P%'
AND ORGNL_PRTCTN_VL &lt;&gt; 11111111111</t>
  </si>
  <si>
    <t xml:space="preserve">Houve algum tema identificado em OSI nos campos e é necessário identificar casuísticas (podendo ficar como está ou ser alterado). Quem toma as decisões são as áreas de negócio, porém o Luis poderá dar a decisão final </t>
  </si>
  <si>
    <t>(All)</t>
  </si>
  <si>
    <t xml:space="preserve">Âmbito (Projeto) </t>
  </si>
  <si>
    <t>Count of Status Atual</t>
  </si>
  <si>
    <t/>
  </si>
  <si>
    <t>Quick Win</t>
  </si>
  <si>
    <t>Total %</t>
  </si>
  <si>
    <t>%</t>
  </si>
  <si>
    <t>OSI VS FORA OSI</t>
  </si>
  <si>
    <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</si>
</sst>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theme="1"/>
      <name val="Aptos Narrow"/>
      <family val="2"/>
      <scheme val="minor"/>
    </font>
    <font>
      <sz val="8"/>
      <color theme="1"/>
      <name val="Arial"/>
      <family val="2"/>
    </font>
    <font>
      <b/>
      <sz val="11"/>
      <color theme="0"/>
      <name val="Aptos Narrow"/>
      <family val="2"/>
      <scheme val="minor"/>
    </font>
    <font>
      <b/>
      <sz val="11"/>
      <color theme="0"/>
      <name val="Calibri"/>
      <family val="2"/>
    </font>
    <font>
      <sz val="11"/>
      <color rgb="FF000000"/>
      <name val="Calibri"/>
      <family val="2"/>
    </font>
    <font>
      <sz val="10"/>
      <color theme="1"/>
      <name val="Santander Text"/>
      <family val="2"/>
    </font>
    <font>
      <sz val="10"/>
      <name val="Santander Text"/>
      <family val="2"/>
    </font>
    <font>
      <sz val="10"/>
      <color rgb="FF000000"/>
      <name val="Santander Text"/>
      <family val="2"/>
    </font>
    <font>
      <b/>
      <sz val="10"/>
      <color theme="0"/>
      <name val="Santander Text"/>
      <family val="2"/>
    </font>
    <font>
      <sz val="10"/>
      <color theme="1"/>
      <name val="Santander Text"/>
      <family val="2"/>
    </font>
    <font>
      <sz val="10"/>
      <name val="Santander Text"/>
      <family val="2"/>
    </font>
    <font>
      <b/>
      <sz val="11"/>
      <name val="Aptos Narrow"/>
      <family val="2"/>
      <scheme val="minor"/>
    </font>
    <font>
      <sz val="11"/>
      <color theme="0"/>
      <name val="Aptos Narrow"/>
      <family val="2"/>
      <scheme val="minor"/>
    </font>
    <font>
      <sz val="11"/>
      <name val="Calibri"/>
      <family val="2"/>
    </font>
    <font>
      <b/>
      <sz val="11"/>
      <color theme="0" tint="-0.249977111117893"/>
      <name val="Aptos Narrow"/>
      <family val="2"/>
      <scheme val="minor"/>
    </font>
    <font>
      <b/>
      <u/>
      <sz val="11"/>
      <color theme="1"/>
      <name val="Aptos Narrow"/>
      <family val="2"/>
      <scheme val="minor"/>
    </font>
  </fonts>
  <fills count="13">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theme="9"/>
        <bgColor indexed="64"/>
      </patternFill>
    </fill>
    <fill>
      <patternFill patternType="solid">
        <fgColor theme="9" tint="0.79998168889431442"/>
        <bgColor indexed="64"/>
      </patternFill>
    </fill>
    <fill>
      <patternFill patternType="solid">
        <fgColor theme="5"/>
        <bgColor indexed="64"/>
      </patternFill>
    </fill>
    <fill>
      <patternFill patternType="solid">
        <fgColor rgb="FFFFFF00"/>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9" tint="0.59999389629810485"/>
        <bgColor indexed="64"/>
      </patternFill>
    </fill>
  </fills>
  <borders count="2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93">
    <xf numFmtId="0" fontId="0" fillId="0" borderId="0" xfId="0"/>
    <xf numFmtId="0" fontId="0" fillId="0" borderId="0" xfId="0" applyAlignment="1">
      <alignment vertical="center"/>
    </xf>
    <xf numFmtId="0" fontId="1" fillId="0" borderId="0" xfId="0" applyFont="1"/>
    <xf numFmtId="0" fontId="1" fillId="0" borderId="0" xfId="0" applyFont="1" applyAlignment="1">
      <alignment vertical="center"/>
    </xf>
    <xf numFmtId="0" fontId="0" fillId="0" borderId="0" xfId="0" applyAlignment="1">
      <alignment vertical="center" wrapText="1"/>
    </xf>
    <xf numFmtId="0" fontId="3" fillId="2" borderId="0" xfId="0" applyFont="1" applyFill="1" applyAlignment="1">
      <alignment vertical="center"/>
    </xf>
    <xf numFmtId="9" fontId="0" fillId="0" borderId="0" xfId="1" applyFont="1"/>
    <xf numFmtId="0" fontId="0" fillId="0" borderId="0" xfId="0" applyAlignment="1">
      <alignment horizontal="left"/>
    </xf>
    <xf numFmtId="0" fontId="5" fillId="3" borderId="0" xfId="0" applyFont="1" applyFill="1" applyAlignment="1">
      <alignment horizontal="center" vertical="center"/>
    </xf>
    <xf numFmtId="0" fontId="6" fillId="0" borderId="0" xfId="0" applyFont="1" applyAlignment="1">
      <alignment vertical="center" wrapText="1"/>
    </xf>
    <xf numFmtId="0" fontId="0" fillId="4" borderId="0" xfId="0" applyFill="1"/>
    <xf numFmtId="0" fontId="0" fillId="5" borderId="0" xfId="0" applyFill="1"/>
    <xf numFmtId="0" fontId="0" fillId="0" borderId="0" xfId="0" applyAlignment="1">
      <alignment horizontal="left" indent="1"/>
    </xf>
    <xf numFmtId="0" fontId="0" fillId="0" borderId="0" xfId="0" applyAlignment="1">
      <alignment horizontal="left" vertical="center" indent="1"/>
    </xf>
    <xf numFmtId="0" fontId="3" fillId="2" borderId="0" xfId="0" applyFont="1" applyFill="1" applyAlignment="1">
      <alignment horizontal="left" vertical="center" indent="1"/>
    </xf>
    <xf numFmtId="14" fontId="0" fillId="0" borderId="0" xfId="0" applyNumberFormat="1"/>
    <xf numFmtId="0" fontId="5" fillId="6" borderId="0" xfId="0" applyFont="1" applyFill="1" applyAlignment="1">
      <alignment horizontal="center" vertical="center"/>
    </xf>
    <xf numFmtId="0" fontId="0" fillId="0" borderId="0" xfId="0" applyAlignment="1">
      <alignment horizontal="left" indent="2"/>
    </xf>
    <xf numFmtId="0" fontId="0" fillId="7" borderId="0" xfId="0" applyFill="1"/>
    <xf numFmtId="0" fontId="5" fillId="6" borderId="0" xfId="0" applyFont="1" applyFill="1" applyAlignment="1">
      <alignment horizontal="center" vertical="center" wrapText="1"/>
    </xf>
    <xf numFmtId="0" fontId="4" fillId="3" borderId="0" xfId="0" applyFont="1" applyFill="1" applyAlignment="1">
      <alignment vertical="center"/>
    </xf>
    <xf numFmtId="0" fontId="4" fillId="8" borderId="0" xfId="0" applyFont="1" applyFill="1" applyAlignment="1">
      <alignment vertical="center"/>
    </xf>
    <xf numFmtId="0" fontId="0" fillId="0" borderId="0" xfId="0" pivotButton="1"/>
    <xf numFmtId="0" fontId="0" fillId="5" borderId="0" xfId="0" applyFill="1" applyAlignment="1">
      <alignment horizontal="left" indent="1"/>
    </xf>
    <xf numFmtId="0" fontId="7" fillId="0" borderId="0" xfId="0" applyFont="1"/>
    <xf numFmtId="0" fontId="8" fillId="0" borderId="1" xfId="0" quotePrefix="1"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readingOrder="1"/>
    </xf>
    <xf numFmtId="0" fontId="10" fillId="3" borderId="1" xfId="0" applyFont="1" applyFill="1" applyBorder="1"/>
    <xf numFmtId="0" fontId="0" fillId="0" borderId="0" xfId="0" applyAlignment="1">
      <alignment wrapText="1"/>
    </xf>
    <xf numFmtId="0" fontId="10" fillId="3" borderId="1" xfId="0" applyFont="1" applyFill="1" applyBorder="1" applyAlignment="1">
      <alignment vertical="center"/>
    </xf>
    <xf numFmtId="0" fontId="7" fillId="0" borderId="1" xfId="0" applyFont="1" applyBorder="1" applyAlignment="1">
      <alignment vertical="center"/>
    </xf>
    <xf numFmtId="0" fontId="7" fillId="0" borderId="0" xfId="0" applyFont="1" applyAlignment="1">
      <alignment vertical="center"/>
    </xf>
    <xf numFmtId="0" fontId="11" fillId="0" borderId="1" xfId="0" applyFont="1" applyBorder="1" applyAlignment="1">
      <alignment vertical="center"/>
    </xf>
    <xf numFmtId="0" fontId="12" fillId="0" borderId="1" xfId="0" quotePrefix="1" applyFont="1" applyBorder="1" applyAlignment="1">
      <alignment horizontal="left" vertical="center" wrapText="1"/>
    </xf>
    <xf numFmtId="0" fontId="12" fillId="0" borderId="0" xfId="0" quotePrefix="1" applyFont="1" applyAlignment="1">
      <alignment horizontal="left" vertical="center" wrapText="1"/>
    </xf>
    <xf numFmtId="0" fontId="0" fillId="0" borderId="1" xfId="0" quotePrefix="1" applyBorder="1"/>
    <xf numFmtId="0" fontId="11" fillId="9" borderId="1" xfId="0" applyFont="1" applyFill="1" applyBorder="1" applyAlignment="1">
      <alignment vertical="center"/>
    </xf>
    <xf numFmtId="0" fontId="12" fillId="9" borderId="1" xfId="0" quotePrefix="1" applyFont="1" applyFill="1" applyBorder="1" applyAlignment="1">
      <alignment horizontal="left" vertical="center" wrapText="1"/>
    </xf>
    <xf numFmtId="0" fontId="8" fillId="9" borderId="1" xfId="0" quotePrefix="1" applyFont="1" applyFill="1" applyBorder="1" applyAlignment="1">
      <alignment horizontal="left" vertical="center" wrapText="1"/>
    </xf>
    <xf numFmtId="0" fontId="0" fillId="11" borderId="0" xfId="0" applyFill="1"/>
    <xf numFmtId="0" fontId="0" fillId="11" borderId="2" xfId="0" applyFill="1" applyBorder="1" applyAlignment="1">
      <alignment horizontal="center"/>
    </xf>
    <xf numFmtId="0" fontId="0" fillId="11" borderId="2" xfId="1" applyNumberFormat="1" applyFont="1" applyFill="1" applyBorder="1" applyAlignment="1">
      <alignment horizontal="center"/>
    </xf>
    <xf numFmtId="0" fontId="0" fillId="10" borderId="2" xfId="0" applyFill="1" applyBorder="1" applyAlignment="1">
      <alignment horizontal="center"/>
    </xf>
    <xf numFmtId="0" fontId="0" fillId="12" borderId="2" xfId="0" applyFill="1" applyBorder="1" applyAlignment="1">
      <alignment horizontal="center"/>
    </xf>
    <xf numFmtId="0" fontId="13" fillId="11" borderId="2" xfId="0" applyFont="1" applyFill="1" applyBorder="1"/>
    <xf numFmtId="0" fontId="1" fillId="11" borderId="0" xfId="0" applyFont="1" applyFill="1"/>
    <xf numFmtId="0" fontId="0" fillId="11" borderId="0" xfId="0" applyFill="1" applyAlignment="1">
      <alignment horizontal="left" indent="2"/>
    </xf>
    <xf numFmtId="0" fontId="0" fillId="0" borderId="0" xfId="0" applyAlignment="1">
      <alignment horizontal="center"/>
    </xf>
    <xf numFmtId="0" fontId="13" fillId="11" borderId="2" xfId="0" applyFont="1" applyFill="1" applyBorder="1" applyAlignment="1">
      <alignment vertical="center" wrapText="1"/>
    </xf>
    <xf numFmtId="0" fontId="13" fillId="11" borderId="0" xfId="0" applyFont="1" applyFill="1" applyAlignment="1">
      <alignment vertical="center" wrapText="1"/>
    </xf>
    <xf numFmtId="0" fontId="0" fillId="11" borderId="0" xfId="0" applyFill="1" applyAlignment="1">
      <alignment horizontal="center"/>
    </xf>
    <xf numFmtId="0" fontId="0" fillId="11" borderId="0" xfId="1" applyNumberFormat="1" applyFont="1" applyFill="1" applyBorder="1" applyAlignment="1">
      <alignment horizontal="center"/>
    </xf>
    <xf numFmtId="0" fontId="14" fillId="3" borderId="0" xfId="0" applyFont="1" applyFill="1" applyAlignment="1">
      <alignment vertical="center"/>
    </xf>
    <xf numFmtId="0" fontId="15" fillId="0" borderId="0" xfId="0" applyFont="1"/>
    <xf numFmtId="0" fontId="16" fillId="0" borderId="0" xfId="0" applyFont="1" applyAlignment="1">
      <alignment horizontal="center" vertical="center"/>
    </xf>
    <xf numFmtId="0" fontId="17" fillId="11" borderId="0" xfId="0" applyFont="1" applyFill="1"/>
    <xf numFmtId="0" fontId="13" fillId="11" borderId="3" xfId="0" applyFont="1" applyFill="1" applyBorder="1" applyAlignment="1">
      <alignment vertical="center" wrapText="1"/>
    </xf>
    <xf numFmtId="0" fontId="0" fillId="11" borderId="12" xfId="0" applyFill="1" applyBorder="1"/>
    <xf numFmtId="0" fontId="0" fillId="11" borderId="3" xfId="0" applyFill="1" applyBorder="1" applyAlignment="1">
      <alignment horizontal="left"/>
    </xf>
    <xf numFmtId="0" fontId="0" fillId="11" borderId="13" xfId="0" applyFill="1" applyBorder="1"/>
    <xf numFmtId="0" fontId="0" fillId="11" borderId="14" xfId="0" applyFill="1" applyBorder="1" applyAlignment="1">
      <alignment horizontal="left"/>
    </xf>
    <xf numFmtId="0" fontId="0" fillId="11" borderId="15" xfId="0" applyFill="1" applyBorder="1"/>
    <xf numFmtId="0" fontId="0" fillId="11" borderId="16" xfId="0" applyFill="1" applyBorder="1" applyAlignment="1">
      <alignment horizontal="left"/>
    </xf>
    <xf numFmtId="0" fontId="0" fillId="11" borderId="17" xfId="0" applyFill="1" applyBorder="1"/>
    <xf numFmtId="0" fontId="0" fillId="11" borderId="18" xfId="0" applyFill="1" applyBorder="1"/>
    <xf numFmtId="0" fontId="0" fillId="11" borderId="19" xfId="0" applyFill="1" applyBorder="1"/>
    <xf numFmtId="0" fontId="13" fillId="11" borderId="14" xfId="0" applyFont="1" applyFill="1" applyBorder="1" applyAlignment="1">
      <alignment vertical="center" wrapText="1"/>
    </xf>
    <xf numFmtId="0" fontId="0" fillId="11" borderId="3" xfId="0" applyFill="1" applyBorder="1"/>
    <xf numFmtId="0" fontId="0" fillId="0" borderId="20" xfId="0" pivotButton="1" applyBorder="1"/>
    <xf numFmtId="0" fontId="0" fillId="0" borderId="21" xfId="0" applyBorder="1"/>
    <xf numFmtId="0" fontId="0" fillId="0" borderId="4" xfId="0" applyBorder="1"/>
    <xf numFmtId="0" fontId="0" fillId="0" borderId="5" xfId="0" pivotButton="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pivotButton="1" applyBorder="1"/>
    <xf numFmtId="0" fontId="0" fillId="0" borderId="7" xfId="0" applyBorder="1" applyAlignment="1">
      <alignment horizontal="left"/>
    </xf>
    <xf numFmtId="0" fontId="0" fillId="0" borderId="9" xfId="0" applyBorder="1" applyAlignment="1">
      <alignment horizontal="left"/>
    </xf>
    <xf numFmtId="0" fontId="1" fillId="0" borderId="20" xfId="0" pivotButton="1" applyFont="1" applyBorder="1"/>
    <xf numFmtId="0" fontId="0" fillId="0" borderId="4" xfId="0" pivotButton="1" applyBorder="1"/>
    <xf numFmtId="0" fontId="1" fillId="0" borderId="21" xfId="0" applyFont="1" applyBorder="1"/>
    <xf numFmtId="9" fontId="0" fillId="0" borderId="0" xfId="0" applyNumberFormat="1" applyAlignment="1">
      <alignment horizontal="center"/>
    </xf>
    <xf numFmtId="9" fontId="0" fillId="0" borderId="8"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9" fontId="0" fillId="0" borderId="11" xfId="0" applyNumberFormat="1" applyBorder="1" applyAlignment="1">
      <alignment horizontal="center"/>
    </xf>
    <xf numFmtId="0" fontId="0" fillId="0" borderId="8" xfId="0" applyBorder="1" applyAlignment="1">
      <alignment horizontal="center"/>
    </xf>
    <xf numFmtId="0" fontId="0" fillId="0" borderId="10" xfId="0" applyBorder="1"/>
    <xf numFmtId="0" fontId="0" fillId="0" borderId="11" xfId="0" applyBorder="1"/>
    <xf numFmtId="0" fontId="0" fillId="0" borderId="0" xfId="0" applyAlignment="1">
      <alignment horizontal="left"/>
    </xf>
    <xf numFmtId="0" fontId="0" fillId="0" borderId="0" xfId="0" applyAlignment="1">
      <alignment horizontal="center"/>
    </xf>
  </cellXfs>
  <cellStyles count="2">
    <cellStyle name="Normal" xfId="0" builtinId="0"/>
    <cellStyle name="Percent" xfId="1" builtinId="5"/>
  </cellStyles>
  <dxfs count="26">
    <dxf>
      <font>
        <b val="0"/>
      </font>
    </dxf>
    <dxf>
      <font>
        <b val="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patternFill>
      </fill>
    </dxf>
    <dxf>
      <fill>
        <patternFill patternType="solid">
          <bgColor theme="9"/>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numFmt numFmtId="13" formatCode="0%"/>
    </dxf>
    <dxf>
      <numFmt numFmtId="13" formatCode="0%"/>
    </dxf>
    <dxf>
      <numFmt numFmtId="13" formatCode="0%"/>
    </dxf>
    <dxf>
      <font>
        <b/>
      </font>
    </dxf>
    <dxf>
      <border>
        <left style="thin">
          <color indexed="64"/>
        </left>
        <right style="thin">
          <color indexed="64"/>
        </right>
        <top style="thin">
          <color indexed="64"/>
        </top>
        <bottom style="thin">
          <color indexed="64"/>
        </bottom>
      </border>
    </dxf>
    <dxf>
      <font>
        <b/>
      </font>
    </dxf>
  </dxfs>
  <tableStyles count="0" defaultTableStyle="TableStyleMedium2" defaultPivotStyle="PivotStyleLight16"/>
  <colors>
    <mruColors>
      <color rgb="FF1DC8D1"/>
      <color rgb="FF159197"/>
      <color rgb="FF105E6E"/>
      <color rgb="FF11787D"/>
      <color rgb="FFFF7575"/>
      <color rgb="FFFF6699"/>
      <color rgb="FFFF891D"/>
      <color rgb="FFFF3399"/>
      <color rgb="FFEA8532"/>
      <color rgb="FFF8F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10</c:v>
                </c:pt>
                <c:pt idx="1">
                  <c:v>17</c:v>
                </c:pt>
                <c:pt idx="2">
                  <c:v>2</c:v>
                </c:pt>
                <c:pt idx="3">
                  <c:v>1</c:v>
                </c:pt>
                <c:pt idx="4">
                  <c:v>0</c:v>
                </c:pt>
                <c:pt idx="5">
                  <c:v>22</c:v>
                </c:pt>
                <c:pt idx="6">
                  <c:v>3</c:v>
                </c:pt>
                <c:pt idx="7">
                  <c:v>0</c:v>
                </c:pt>
                <c:pt idx="8">
                  <c:v>42</c:v>
                </c:pt>
                <c:pt idx="9">
                  <c:v>7</c:v>
                </c:pt>
                <c:pt idx="10">
                  <c:v>157</c:v>
                </c:pt>
              </c:numCache>
            </c:numRef>
          </c:val>
          <c:extLst>
            <c:ext xmlns:c16="http://schemas.microsoft.com/office/drawing/2014/chart" uri="{C3380CC4-5D6E-409C-BE32-E72D297353CC}">
              <c16:uniqueId val="{00000000-89A7-4EA6-9357-F56977281457}"/>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89A7-4EA6-9357-F56977281457}"/>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A8-4F26-BB07-73280CFFBFEF}"/>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A8-4F26-BB07-73280CFFBFEF}"/>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A8-4F26-BB07-73280CFFBFEF}"/>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A8-4F26-BB07-73280CFFBFEF}"/>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A8-4F26-BB07-73280CFFBFEF}"/>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A8-4F26-BB07-73280CFFBFEF}"/>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A8-4F26-BB07-73280CFFBFEF}"/>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A8-4F26-BB07-73280CFFBFEF}"/>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A8-4F26-BB07-73280CFFBFEF}"/>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A8-4F26-BB07-73280CFFBFEF}"/>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1AB-4571-BA28-B678C87DE851}"/>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A8-4F26-BB07-73280CFFBFEF}"/>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0A8-4F26-BB07-73280CFFBFEF}"/>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30A8-4F26-BB07-73280CFFBFEF}"/>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81AB-4571-BA28-B678C87DE85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3.8314176245210725E-2</c:v>
                </c:pt>
                <c:pt idx="1">
                  <c:v>6.5134099616858232E-2</c:v>
                </c:pt>
                <c:pt idx="2">
                  <c:v>7.6628352490421452E-3</c:v>
                </c:pt>
                <c:pt idx="3">
                  <c:v>3.8314176245210726E-3</c:v>
                </c:pt>
                <c:pt idx="4">
                  <c:v>0</c:v>
                </c:pt>
                <c:pt idx="5">
                  <c:v>8.4291187739463605E-2</c:v>
                </c:pt>
                <c:pt idx="6">
                  <c:v>1.1494252873563218E-2</c:v>
                </c:pt>
                <c:pt idx="7">
                  <c:v>0</c:v>
                </c:pt>
                <c:pt idx="8">
                  <c:v>0.16091954022988506</c:v>
                </c:pt>
                <c:pt idx="9">
                  <c:v>2.681992337164751E-2</c:v>
                </c:pt>
                <c:pt idx="10">
                  <c:v>0.6015325670498084</c:v>
                </c:pt>
              </c:numCache>
            </c:numRef>
          </c:val>
          <c:extLst>
            <c:ext xmlns:c16="http://schemas.microsoft.com/office/drawing/2014/chart" uri="{C3380CC4-5D6E-409C-BE32-E72D297353CC}">
              <c16:uniqueId val="{00000014-30A8-4F26-BB07-73280CFFBFE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0.11554219622962067"/>
          <c:y val="0.15515485564304463"/>
          <c:w val="0.46352969895913404"/>
          <c:h val="0.74756491874685882"/>
        </c:manualLayout>
      </c:layout>
      <c:doughnutChart>
        <c:varyColors val="1"/>
        <c:ser>
          <c:idx val="0"/>
          <c:order val="0"/>
          <c:tx>
            <c:strRef>
              <c:f>Aux.!$F$2</c:f>
              <c:strCache>
                <c:ptCount val="1"/>
                <c:pt idx="0">
                  <c:v>Status Atual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D94-4ABF-952A-8D08AF33ADE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D94-4ABF-952A-8D08AF33ADE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D94-4ABF-952A-8D08AF33ADE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D94-4ABF-952A-8D08AF33ADE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D94-4ABF-952A-8D08AF33ADE6}"/>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D94-4ABF-952A-8D08AF33ADE6}"/>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D94-4ABF-952A-8D08AF33ADE6}"/>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D94-4ABF-952A-8D08AF33ADE6}"/>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D94-4ABF-952A-8D08AF33ADE6}"/>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D94-4ABF-952A-8D08AF33ADE6}"/>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6F4-450A-8ECC-61912C9698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3.8314176245210725E-2</c:v>
                </c:pt>
                <c:pt idx="1">
                  <c:v>6.5134099616858232E-2</c:v>
                </c:pt>
                <c:pt idx="2">
                  <c:v>7.6628352490421452E-3</c:v>
                </c:pt>
                <c:pt idx="3">
                  <c:v>3.8314176245210726E-3</c:v>
                </c:pt>
                <c:pt idx="4">
                  <c:v>0</c:v>
                </c:pt>
                <c:pt idx="5">
                  <c:v>8.4291187739463605E-2</c:v>
                </c:pt>
                <c:pt idx="6">
                  <c:v>1.1494252873563218E-2</c:v>
                </c:pt>
                <c:pt idx="7">
                  <c:v>0</c:v>
                </c:pt>
                <c:pt idx="8">
                  <c:v>0.16091954022988506</c:v>
                </c:pt>
                <c:pt idx="9">
                  <c:v>2.681992337164751E-2</c:v>
                </c:pt>
                <c:pt idx="10">
                  <c:v>0.6015325670498084</c:v>
                </c:pt>
              </c:numCache>
            </c:numRef>
          </c:val>
          <c:extLst>
            <c:ext xmlns:c16="http://schemas.microsoft.com/office/drawing/2014/chart" uri="{C3380CC4-5D6E-409C-BE32-E72D297353CC}">
              <c16:uniqueId val="{00000000-328B-44A9-A1E6-87B492E982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3615945701311827"/>
          <c:y val="0.11024822695035463"/>
          <c:w val="0.33927250448160839"/>
          <c:h val="0.75930976713017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51179457869731"/>
          <c:y val="4.4569020488277933E-2"/>
          <c:w val="0.65956938946899579"/>
          <c:h val="0.87929653259705065"/>
        </c:manualLayout>
      </c:layout>
      <c:barChart>
        <c:barDir val="bar"/>
        <c:grouping val="clustered"/>
        <c:varyColors val="0"/>
        <c:ser>
          <c:idx val="0"/>
          <c:order val="0"/>
          <c:tx>
            <c:strRef>
              <c:f>Aux.!$E$2</c:f>
              <c:strCache>
                <c:ptCount val="1"/>
                <c:pt idx="0">
                  <c:v>Status Atual</c:v>
                </c:pt>
              </c:strCache>
            </c:strRef>
          </c:tx>
          <c:spPr>
            <a:solidFill>
              <a:srgbClr val="C00000"/>
            </a:solidFill>
            <a:ln>
              <a:noFill/>
            </a:ln>
            <a:effectLst/>
          </c:spPr>
          <c:invertIfNegative val="0"/>
          <c:dLbls>
            <c:dLbl>
              <c:idx val="1"/>
              <c:layout>
                <c:manualLayout>
                  <c:x val="0"/>
                  <c:y val="8.11325594224113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AD-448D-9AB4-63200B0C83D0}"/>
                </c:ext>
              </c:extLst>
            </c:dLbl>
            <c:dLbl>
              <c:idx val="4"/>
              <c:layout>
                <c:manualLayout>
                  <c:x val="0"/>
                  <c:y val="4.05662797112056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AD-448D-9AB4-63200B0C83D0}"/>
                </c:ext>
              </c:extLst>
            </c:dLbl>
            <c:dLbl>
              <c:idx val="7"/>
              <c:layout>
                <c:manualLayout>
                  <c:x val="-3.3861424021993884E-17"/>
                  <c:y val="8.11325594224121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AD-448D-9AB4-63200B0C83D0}"/>
                </c:ext>
              </c:extLst>
            </c:dLbl>
            <c:dLbl>
              <c:idx val="8"/>
              <c:layout>
                <c:manualLayout>
                  <c:x val="0"/>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AD-448D-9AB4-63200B0C83D0}"/>
                </c:ext>
              </c:extLst>
            </c:dLbl>
            <c:dLbl>
              <c:idx val="9"/>
              <c:layout>
                <c:manualLayout>
                  <c:x val="0"/>
                  <c:y val="8.11325594224126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Aux.!$E$3:$E$13</c:f>
              <c:numCache>
                <c:formatCode>General</c:formatCode>
                <c:ptCount val="11"/>
                <c:pt idx="0">
                  <c:v>10</c:v>
                </c:pt>
                <c:pt idx="1">
                  <c:v>17</c:v>
                </c:pt>
                <c:pt idx="2">
                  <c:v>2</c:v>
                </c:pt>
                <c:pt idx="3">
                  <c:v>1</c:v>
                </c:pt>
                <c:pt idx="4">
                  <c:v>0</c:v>
                </c:pt>
                <c:pt idx="5">
                  <c:v>22</c:v>
                </c:pt>
                <c:pt idx="6">
                  <c:v>3</c:v>
                </c:pt>
                <c:pt idx="7">
                  <c:v>0</c:v>
                </c:pt>
                <c:pt idx="8">
                  <c:v>42</c:v>
                </c:pt>
                <c:pt idx="9">
                  <c:v>7</c:v>
                </c:pt>
                <c:pt idx="10">
                  <c:v>157</c:v>
                </c:pt>
              </c:numCache>
            </c:numRef>
          </c:val>
          <c:extLst>
            <c:ext xmlns:c16="http://schemas.microsoft.com/office/drawing/2014/chart" uri="{C3380CC4-5D6E-409C-BE32-E72D297353CC}">
              <c16:uniqueId val="{00000000-B6AD-448D-9AB4-63200B0C83D0}"/>
            </c:ext>
          </c:extLst>
        </c:ser>
        <c:ser>
          <c:idx val="1"/>
          <c:order val="1"/>
          <c:tx>
            <c:strRef>
              <c:f>Aux.!$C$2</c:f>
              <c:strCache>
                <c:ptCount val="1"/>
                <c:pt idx="0">
                  <c:v>Status Inicial</c:v>
                </c:pt>
              </c:strCache>
            </c:strRef>
          </c:tx>
          <c:spPr>
            <a:solidFill>
              <a:schemeClr val="tx1">
                <a:lumMod val="50000"/>
                <a:lumOff val="50000"/>
              </a:schemeClr>
            </a:solidFill>
            <a:ln>
              <a:noFill/>
            </a:ln>
            <a:effectLst/>
          </c:spPr>
          <c:invertIfNegative val="0"/>
          <c:dLbls>
            <c:dLbl>
              <c:idx val="0"/>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AD-448D-9AB4-63200B0C83D0}"/>
                </c:ext>
              </c:extLst>
            </c:dLbl>
            <c:dLbl>
              <c:idx val="1"/>
              <c:layout>
                <c:manualLayout>
                  <c:x val="-7.388032405539055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AD-448D-9AB4-63200B0C83D0}"/>
                </c:ext>
              </c:extLst>
            </c:dLbl>
            <c:dLbl>
              <c:idx val="3"/>
              <c:layout>
                <c:manualLayout>
                  <c:x val="0"/>
                  <c:y val="-4.05662797112079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6AD-448D-9AB4-63200B0C83D0}"/>
                </c:ext>
              </c:extLst>
            </c:dLbl>
            <c:dLbl>
              <c:idx val="4"/>
              <c:layout>
                <c:manualLayout>
                  <c:x val="3.6940162027694263E-3"/>
                  <c:y val="-7.437065366774096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AD-448D-9AB4-63200B0C83D0}"/>
                </c:ext>
              </c:extLst>
            </c:dLbl>
            <c:dLbl>
              <c:idx val="5"/>
              <c:layout>
                <c:manualLayout>
                  <c:x val="-1.847008101384747E-3"/>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AD-448D-9AB4-63200B0C83D0}"/>
                </c:ext>
              </c:extLst>
            </c:dLbl>
            <c:dLbl>
              <c:idx val="7"/>
              <c:layout>
                <c:manualLayout>
                  <c:x val="-3.3861424021993884E-17"/>
                  <c:y val="-4.05662797112064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AD-448D-9AB4-63200B0C83D0}"/>
                </c:ext>
              </c:extLst>
            </c:dLbl>
            <c:dLbl>
              <c:idx val="8"/>
              <c:layout>
                <c:manualLayout>
                  <c:x val="0"/>
                  <c:y val="-8.1132559422412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AD-448D-9AB4-63200B0C83D0}"/>
                </c:ext>
              </c:extLst>
            </c:dLbl>
            <c:dLbl>
              <c:idx val="10"/>
              <c:layout>
                <c:manualLayout>
                  <c:x val="-5.5410243041542412E-3"/>
                  <c:y val="-4.05662797112064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D-448D-9AB4-63200B0C8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t-P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Aux.!$C$3:$C$13</c:f>
              <c:numCache>
                <c:formatCode>General</c:formatCode>
                <c:ptCount val="11"/>
                <c:pt idx="0">
                  <c:v>10</c:v>
                </c:pt>
                <c:pt idx="1">
                  <c:v>18</c:v>
                </c:pt>
                <c:pt idx="2">
                  <c:v>11</c:v>
                </c:pt>
                <c:pt idx="3">
                  <c:v>4</c:v>
                </c:pt>
                <c:pt idx="4">
                  <c:v>0</c:v>
                </c:pt>
                <c:pt idx="5">
                  <c:v>11</c:v>
                </c:pt>
                <c:pt idx="6">
                  <c:v>11</c:v>
                </c:pt>
                <c:pt idx="7">
                  <c:v>0</c:v>
                </c:pt>
                <c:pt idx="8">
                  <c:v>42</c:v>
                </c:pt>
                <c:pt idx="9">
                  <c:v>7</c:v>
                </c:pt>
                <c:pt idx="10">
                  <c:v>147</c:v>
                </c:pt>
              </c:numCache>
            </c:numRef>
          </c:val>
          <c:extLst>
            <c:ext xmlns:c16="http://schemas.microsoft.com/office/drawing/2014/chart" uri="{C3380CC4-5D6E-409C-BE32-E72D297353CC}">
              <c16:uniqueId val="{00000001-B6AD-448D-9AB4-63200B0C83D0}"/>
            </c:ext>
          </c:extLst>
        </c:ser>
        <c:dLbls>
          <c:showLegendKey val="0"/>
          <c:showVal val="0"/>
          <c:showCatName val="0"/>
          <c:showSerName val="0"/>
          <c:showPercent val="0"/>
          <c:showBubbleSize val="0"/>
        </c:dLbls>
        <c:gapWidth val="100"/>
        <c:axId val="1355518095"/>
        <c:axId val="1701600159"/>
      </c:barChart>
      <c:catAx>
        <c:axId val="1355518095"/>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antander Text" panose="020B0504020201020104" pitchFamily="34" charset="0"/>
                <a:ea typeface="+mn-ea"/>
                <a:cs typeface="+mn-cs"/>
              </a:defRPr>
            </a:pPr>
            <a:endParaRPr lang="pt-PT"/>
          </a:p>
        </c:txPr>
        <c:crossAx val="1701600159"/>
        <c:crosses val="autoZero"/>
        <c:auto val="1"/>
        <c:lblAlgn val="ctr"/>
        <c:lblOffset val="100"/>
        <c:noMultiLvlLbl val="0"/>
      </c:catAx>
      <c:valAx>
        <c:axId val="1701600159"/>
        <c:scaling>
          <c:orientation val="minMax"/>
        </c:scaling>
        <c:delete val="1"/>
        <c:axPos val="b"/>
        <c:numFmt formatCode="General" sourceLinked="1"/>
        <c:majorTickMark val="none"/>
        <c:minorTickMark val="none"/>
        <c:tickLblPos val="nextTo"/>
        <c:crossAx val="1355518095"/>
        <c:crosses val="autoZero"/>
        <c:crossBetween val="between"/>
      </c:valAx>
      <c:spPr>
        <a:noFill/>
        <a:ln>
          <a:noFill/>
        </a:ln>
        <a:effectLst/>
      </c:spPr>
    </c:plotArea>
    <c:legend>
      <c:legendPos val="b"/>
      <c:layout>
        <c:manualLayout>
          <c:xMode val="edge"/>
          <c:yMode val="edge"/>
          <c:x val="0.58478393579920418"/>
          <c:y val="0.92906947036056264"/>
          <c:w val="0.27115762226025114"/>
          <c:h val="4.970541250552144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ntander Text" panose="020B0504020201020104" pitchFamily="34" charset="0"/>
              <a:ea typeface="+mn-ea"/>
              <a:cs typeface="+mn-cs"/>
            </a:defRPr>
          </a:pPr>
          <a:endParaRPr lang="pt-PT"/>
        </a:p>
      </c:txPr>
    </c:legend>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873740142371323E-2"/>
          <c:y val="4.0424139451687574E-2"/>
          <c:w val="0.49223487928522108"/>
          <c:h val="0.91708295217975233"/>
        </c:manualLayout>
      </c:layout>
      <c:doughnutChart>
        <c:varyColors val="1"/>
        <c:ser>
          <c:idx val="0"/>
          <c:order val="0"/>
          <c:tx>
            <c:strRef>
              <c:f>Aux.!$F$2</c:f>
              <c:strCache>
                <c:ptCount val="1"/>
                <c:pt idx="0">
                  <c:v>Status Atual (%)</c:v>
                </c:pt>
              </c:strCache>
            </c:strRef>
          </c:tx>
          <c:spPr>
            <a:ln>
              <a:solidFill>
                <a:schemeClr val="bg1"/>
              </a:solidFill>
            </a:ln>
          </c:spPr>
          <c:dPt>
            <c:idx val="0"/>
            <c:bubble3D val="0"/>
            <c:spPr>
              <a:solidFill>
                <a:srgbClr val="BDDBE3"/>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79-4052-9DDA-E02D1793420C}"/>
              </c:ext>
            </c:extLst>
          </c:dPt>
          <c:dPt>
            <c:idx val="1"/>
            <c:bubble3D val="0"/>
            <c:spPr>
              <a:solidFill>
                <a:srgbClr val="1DC8D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79-4052-9DDA-E02D1793420C}"/>
              </c:ext>
            </c:extLst>
          </c:dPt>
          <c:dPt>
            <c:idx val="2"/>
            <c:bubble3D val="0"/>
            <c:spPr>
              <a:solidFill>
                <a:schemeClr val="bg2">
                  <a:lumMod val="9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79-4052-9DDA-E02D1793420C}"/>
              </c:ext>
            </c:extLst>
          </c:dPt>
          <c:dPt>
            <c:idx val="3"/>
            <c:bubble3D val="0"/>
            <c:spPr>
              <a:solidFill>
                <a:srgbClr val="159197"/>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79-4052-9DDA-E02D1793420C}"/>
              </c:ext>
            </c:extLst>
          </c:dPt>
          <c:dPt>
            <c:idx val="4"/>
            <c:bubble3D val="0"/>
            <c:spPr>
              <a:solidFill>
                <a:srgbClr val="105E6E"/>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79-4052-9DDA-E02D1793420C}"/>
              </c:ext>
            </c:extLst>
          </c:dPt>
          <c:dPt>
            <c:idx val="5"/>
            <c:bubble3D val="0"/>
            <c:spPr>
              <a:solidFill>
                <a:srgbClr val="FF7575"/>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79-4052-9DDA-E02D1793420C}"/>
              </c:ext>
            </c:extLst>
          </c:dPt>
          <c:dPt>
            <c:idx val="6"/>
            <c:bubble3D val="0"/>
            <c:spPr>
              <a:solidFill>
                <a:srgbClr val="FF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F79-4052-9DDA-E02D1793420C}"/>
              </c:ext>
            </c:extLst>
          </c:dPt>
          <c:dPt>
            <c:idx val="7"/>
            <c:bubble3D val="0"/>
            <c:spPr>
              <a:solidFill>
                <a:schemeClr val="tx1"/>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F79-4052-9DDA-E02D1793420C}"/>
              </c:ext>
            </c:extLst>
          </c:dPt>
          <c:dPt>
            <c:idx val="8"/>
            <c:bubble3D val="0"/>
            <c:spPr>
              <a:solidFill>
                <a:schemeClr val="tx1">
                  <a:lumMod val="50000"/>
                  <a:lumOff val="50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F79-4052-9DDA-E02D1793420C}"/>
              </c:ext>
            </c:extLst>
          </c:dPt>
          <c:dPt>
            <c:idx val="9"/>
            <c:bubble3D val="0"/>
            <c:spPr>
              <a:solidFill>
                <a:schemeClr val="bg1">
                  <a:lumMod val="75000"/>
                </a:scheme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F79-4052-9DDA-E02D1793420C}"/>
              </c:ext>
            </c:extLst>
          </c:dPt>
          <c:dPt>
            <c:idx val="10"/>
            <c:bubble3D val="0"/>
            <c:spPr>
              <a:solidFill>
                <a:srgbClr val="C00000"/>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F79-4052-9DDA-E02D1793420C}"/>
              </c:ext>
            </c:extLst>
          </c:dPt>
          <c:dLbls>
            <c:dLbl>
              <c:idx val="2"/>
              <c:layout>
                <c:manualLayout>
                  <c:x val="7.5360653141484324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79-4052-9DDA-E02D1793420C}"/>
                </c:ext>
              </c:extLst>
            </c:dLbl>
            <c:dLbl>
              <c:idx val="4"/>
              <c:layout>
                <c:manualLayout>
                  <c:x val="7.5360653141484324E-2"/>
                  <c:y val="-8.7578518272413704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F79-4052-9DDA-E02D1793420C}"/>
                </c:ext>
              </c:extLst>
            </c:dLbl>
            <c:dLbl>
              <c:idx val="6"/>
              <c:layout>
                <c:manualLayout>
                  <c:x val="6.0288522513187517E-2"/>
                  <c:y val="9.07642401682730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F79-4052-9DDA-E02D1793420C}"/>
                </c:ext>
              </c:extLst>
            </c:dLbl>
            <c:dLbl>
              <c:idx val="10"/>
              <c:layout>
                <c:manualLayout>
                  <c:x val="-3.1914897436146013E-2"/>
                  <c:y val="4.249290836856006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F79-4052-9DDA-E02D1793420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Aux.!$B$3:$B$13</c:f>
              <c:strCache>
                <c:ptCount val="11"/>
                <c:pt idx="0">
                  <c:v>1. Especificar</c:v>
                </c:pt>
                <c:pt idx="1">
                  <c:v>2. Alterar especificação</c:v>
                </c:pt>
                <c:pt idx="2">
                  <c:v>3. Pendente de decisão</c:v>
                </c:pt>
                <c:pt idx="3">
                  <c:v>4.1 Em implementação - Re-especificação</c:v>
                </c:pt>
                <c:pt idx="4">
                  <c:v>4.2 Em implementação - Incidência</c:v>
                </c:pt>
                <c:pt idx="5">
                  <c:v>5.1 Em testes - Re-especificação</c:v>
                </c:pt>
                <c:pt idx="6">
                  <c:v>5.2 Em testes - Incidência</c:v>
                </c:pt>
                <c:pt idx="7">
                  <c:v>6. Outros Desenvolvimentos</c:v>
                </c:pt>
                <c:pt idx="8">
                  <c:v>7. Analisar controlos e completude</c:v>
                </c:pt>
                <c:pt idx="9">
                  <c:v>8. Concluído - sem dados</c:v>
                </c:pt>
                <c:pt idx="10">
                  <c:v>9. Concluído</c:v>
                </c:pt>
              </c:strCache>
            </c:strRef>
          </c:cat>
          <c:val>
            <c:numRef>
              <c:f>Aux.!$F$3:$F$13</c:f>
              <c:numCache>
                <c:formatCode>0%</c:formatCode>
                <c:ptCount val="11"/>
                <c:pt idx="0">
                  <c:v>3.8314176245210725E-2</c:v>
                </c:pt>
                <c:pt idx="1">
                  <c:v>6.5134099616858232E-2</c:v>
                </c:pt>
                <c:pt idx="2">
                  <c:v>7.6628352490421452E-3</c:v>
                </c:pt>
                <c:pt idx="3">
                  <c:v>3.8314176245210726E-3</c:v>
                </c:pt>
                <c:pt idx="4">
                  <c:v>0</c:v>
                </c:pt>
                <c:pt idx="5">
                  <c:v>8.4291187739463605E-2</c:v>
                </c:pt>
                <c:pt idx="6">
                  <c:v>1.1494252873563218E-2</c:v>
                </c:pt>
                <c:pt idx="7">
                  <c:v>0</c:v>
                </c:pt>
                <c:pt idx="8">
                  <c:v>0.16091954022988506</c:v>
                </c:pt>
                <c:pt idx="9">
                  <c:v>2.681992337164751E-2</c:v>
                </c:pt>
                <c:pt idx="10">
                  <c:v>0.6015325670498084</c:v>
                </c:pt>
              </c:numCache>
            </c:numRef>
          </c:val>
          <c:extLst>
            <c:ext xmlns:c16="http://schemas.microsoft.com/office/drawing/2014/chart" uri="{C3380CC4-5D6E-409C-BE32-E72D297353CC}">
              <c16:uniqueId val="{00000016-CF79-4052-9DDA-E02D1793420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200560965372167"/>
          <c:y val="0"/>
          <c:w val="0.33794539903789655"/>
          <c:h val="1"/>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0</xdr:col>
      <xdr:colOff>148590</xdr:colOff>
      <xdr:row>0</xdr:row>
      <xdr:rowOff>129540</xdr:rowOff>
    </xdr:from>
    <xdr:to>
      <xdr:col>2</xdr:col>
      <xdr:colOff>1349196</xdr:colOff>
      <xdr:row>1</xdr:row>
      <xdr:rowOff>281940</xdr:rowOff>
    </xdr:to>
    <xdr:pic>
      <xdr:nvPicPr>
        <xdr:cNvPr id="2" name="Gráfico 10">
          <a:extLst>
            <a:ext uri="{FF2B5EF4-FFF2-40B4-BE49-F238E27FC236}">
              <a16:creationId xmlns:a16="http://schemas.microsoft.com/office/drawing/2014/main" id="{F05960C4-6ED2-49C8-874C-7FE04DBD0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590" y="129540"/>
          <a:ext cx="1772106" cy="350520"/>
        </a:xfrm>
        <a:prstGeom prst="rect">
          <a:avLst/>
        </a:prstGeom>
      </xdr:spPr>
    </xdr:pic>
    <xdr:clientData/>
  </xdr:twoCellAnchor>
  <xdr:twoCellAnchor>
    <xdr:from>
      <xdr:col>1</xdr:col>
      <xdr:colOff>325756</xdr:colOff>
      <xdr:row>5</xdr:row>
      <xdr:rowOff>59055</xdr:rowOff>
    </xdr:from>
    <xdr:to>
      <xdr:col>2</xdr:col>
      <xdr:colOff>2040256</xdr:colOff>
      <xdr:row>7</xdr:row>
      <xdr:rowOff>57361</xdr:rowOff>
    </xdr:to>
    <xdr:sp macro="" textlink="">
      <xdr:nvSpPr>
        <xdr:cNvPr id="3" name="Rectangle: Rounded Corners 23">
          <a:extLst>
            <a:ext uri="{FF2B5EF4-FFF2-40B4-BE49-F238E27FC236}">
              <a16:creationId xmlns:a16="http://schemas.microsoft.com/office/drawing/2014/main" id="{E727F581-D24A-491E-895D-2F692B2880F5}"/>
            </a:ext>
          </a:extLst>
        </xdr:cNvPr>
        <xdr:cNvSpPr/>
      </xdr:nvSpPr>
      <xdr:spPr>
        <a:xfrm>
          <a:off x="544831" y="1078230"/>
          <a:ext cx="2066925" cy="36025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LT</a:t>
          </a:r>
        </a:p>
      </xdr:txBody>
    </xdr:sp>
    <xdr:clientData/>
  </xdr:twoCellAnchor>
  <xdr:twoCellAnchor>
    <xdr:from>
      <xdr:col>7</xdr:col>
      <xdr:colOff>554355</xdr:colOff>
      <xdr:row>5</xdr:row>
      <xdr:rowOff>45720</xdr:rowOff>
    </xdr:from>
    <xdr:to>
      <xdr:col>13</xdr:col>
      <xdr:colOff>135255</xdr:colOff>
      <xdr:row>7</xdr:row>
      <xdr:rowOff>53551</xdr:rowOff>
    </xdr:to>
    <xdr:sp macro="" textlink="">
      <xdr:nvSpPr>
        <xdr:cNvPr id="4" name="Rectangle: Rounded Corners 23">
          <a:extLst>
            <a:ext uri="{FF2B5EF4-FFF2-40B4-BE49-F238E27FC236}">
              <a16:creationId xmlns:a16="http://schemas.microsoft.com/office/drawing/2014/main" id="{CF83756B-99B2-4C4A-A724-D8F57406C47C}"/>
            </a:ext>
          </a:extLst>
        </xdr:cNvPr>
        <xdr:cNvSpPr/>
      </xdr:nvSpPr>
      <xdr:spPr>
        <a:xfrm>
          <a:off x="5850255" y="1064895"/>
          <a:ext cx="3752850" cy="369781"/>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Status Campos Quick-Win LT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164" name="Rectangle: Rounded Corners 23">
          <a:extLst>
            <a:ext uri="{FF2B5EF4-FFF2-40B4-BE49-F238E27FC236}">
              <a16:creationId xmlns:a16="http://schemas.microsoft.com/office/drawing/2014/main" id="{B6FE388C-EDF8-492B-8AFE-A99A80FE6962}"/>
            </a:ext>
          </a:extLst>
        </xdr:cNvPr>
        <xdr:cNvSpPr/>
      </xdr:nvSpPr>
      <xdr:spPr>
        <a:xfrm>
          <a:off x="608755" y="1032933"/>
          <a:ext cx="154685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593" name="Gráfico 10">
          <a:extLst>
            <a:ext uri="{FF2B5EF4-FFF2-40B4-BE49-F238E27FC236}">
              <a16:creationId xmlns:a16="http://schemas.microsoft.com/office/drawing/2014/main" id="{3325F014-00A4-4E2B-8DAB-3755B5082B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739" y="321732"/>
          <a:ext cx="954194" cy="19521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206" name="Rectangle: Rounded Corners 23">
          <a:extLst>
            <a:ext uri="{FF2B5EF4-FFF2-40B4-BE49-F238E27FC236}">
              <a16:creationId xmlns:a16="http://schemas.microsoft.com/office/drawing/2014/main" id="{F233DCD2-1F20-4B05-96F6-2AA2A229CFF4}"/>
            </a:ext>
          </a:extLst>
        </xdr:cNvPr>
        <xdr:cNvSpPr/>
      </xdr:nvSpPr>
      <xdr:spPr>
        <a:xfrm>
          <a:off x="3387727" y="1045210"/>
          <a:ext cx="156971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19897</xdr:rowOff>
    </xdr:from>
    <xdr:to>
      <xdr:col>19</xdr:col>
      <xdr:colOff>1464130</xdr:colOff>
      <xdr:row>23</xdr:row>
      <xdr:rowOff>58420</xdr:rowOff>
    </xdr:to>
    <xdr:graphicFrame macro="">
      <xdr:nvGraphicFramePr>
        <xdr:cNvPr id="58" name="Chart 18">
          <a:extLst>
            <a:ext uri="{FF2B5EF4-FFF2-40B4-BE49-F238E27FC236}">
              <a16:creationId xmlns:a16="http://schemas.microsoft.com/office/drawing/2014/main" id="{1B7F7943-45D5-9980-0EBF-70223FAE6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23</xdr:row>
      <xdr:rowOff>10375</xdr:rowOff>
    </xdr:to>
    <xdr:graphicFrame macro="">
      <xdr:nvGraphicFramePr>
        <xdr:cNvPr id="38" name="Chart 1">
          <a:extLst>
            <a:ext uri="{FF2B5EF4-FFF2-40B4-BE49-F238E27FC236}">
              <a16:creationId xmlns:a16="http://schemas.microsoft.com/office/drawing/2014/main" id="{18D503FE-B9F2-47E6-B32F-B395FE31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559" name="Rectangle: Rounded Corners 23">
          <a:extLst>
            <a:ext uri="{FF2B5EF4-FFF2-40B4-BE49-F238E27FC236}">
              <a16:creationId xmlns:a16="http://schemas.microsoft.com/office/drawing/2014/main" id="{8AB3760D-1153-416E-ABFF-738936303D6C}"/>
            </a:ext>
          </a:extLst>
        </xdr:cNvPr>
        <xdr:cNvSpPr/>
      </xdr:nvSpPr>
      <xdr:spPr>
        <a:xfrm>
          <a:off x="6257928" y="1045211"/>
          <a:ext cx="2411938" cy="29633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586" name="Rectangle: Rounded Corners 23">
          <a:extLst>
            <a:ext uri="{FF2B5EF4-FFF2-40B4-BE49-F238E27FC236}">
              <a16:creationId xmlns:a16="http://schemas.microsoft.com/office/drawing/2014/main" id="{CC4D65E4-C75E-4359-A1E4-77F7905F2E44}"/>
            </a:ext>
          </a:extLst>
        </xdr:cNvPr>
        <xdr:cNvSpPr/>
      </xdr:nvSpPr>
      <xdr:spPr>
        <a:xfrm>
          <a:off x="16872742" y="1035535"/>
          <a:ext cx="3355367" cy="284237"/>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8</xdr:col>
      <xdr:colOff>0</xdr:colOff>
      <xdr:row>1</xdr:row>
      <xdr:rowOff>168487</xdr:rowOff>
    </xdr:from>
    <xdr:to>
      <xdr:col>8</xdr:col>
      <xdr:colOff>969222</xdr:colOff>
      <xdr:row>1</xdr:row>
      <xdr:rowOff>378945</xdr:rowOff>
    </xdr:to>
    <xdr:pic>
      <xdr:nvPicPr>
        <xdr:cNvPr id="2" name="Gráfico 10">
          <a:extLst>
            <a:ext uri="{FF2B5EF4-FFF2-40B4-BE49-F238E27FC236}">
              <a16:creationId xmlns:a16="http://schemas.microsoft.com/office/drawing/2014/main" id="{C0DCAB47-AABA-43A1-A36D-8F0F9C4BD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79583" y="366607"/>
          <a:ext cx="969222" cy="202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655320</xdr:colOff>
      <xdr:row>3</xdr:row>
      <xdr:rowOff>91440</xdr:rowOff>
    </xdr:from>
    <xdr:to>
      <xdr:col>16</xdr:col>
      <xdr:colOff>381000</xdr:colOff>
      <xdr:row>23</xdr:row>
      <xdr:rowOff>45720</xdr:rowOff>
    </xdr:to>
    <xdr:graphicFrame macro="">
      <xdr:nvGraphicFramePr>
        <xdr:cNvPr id="25" name="Chart 2">
          <a:extLst>
            <a:ext uri="{FF2B5EF4-FFF2-40B4-BE49-F238E27FC236}">
              <a16:creationId xmlns:a16="http://schemas.microsoft.com/office/drawing/2014/main" id="{7E616239-964C-D285-FF6F-6361EEFB3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7622</xdr:colOff>
      <xdr:row>5</xdr:row>
      <xdr:rowOff>0</xdr:rowOff>
    </xdr:from>
    <xdr:to>
      <xdr:col>2</xdr:col>
      <xdr:colOff>1554480</xdr:colOff>
      <xdr:row>6</xdr:row>
      <xdr:rowOff>110065</xdr:rowOff>
    </xdr:to>
    <xdr:sp macro="" textlink="">
      <xdr:nvSpPr>
        <xdr:cNvPr id="2" name="Rectangle: Rounded Corners 23">
          <a:extLst>
            <a:ext uri="{FF2B5EF4-FFF2-40B4-BE49-F238E27FC236}">
              <a16:creationId xmlns:a16="http://schemas.microsoft.com/office/drawing/2014/main" id="{D675AB53-D9B5-4BD8-8AE8-454016569FA2}"/>
            </a:ext>
          </a:extLst>
        </xdr:cNvPr>
        <xdr:cNvSpPr/>
      </xdr:nvSpPr>
      <xdr:spPr>
        <a:xfrm>
          <a:off x="746762" y="1021080"/>
          <a:ext cx="154685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20/09/2024</a:t>
          </a:r>
        </a:p>
      </xdr:txBody>
    </xdr:sp>
    <xdr:clientData/>
  </xdr:twoCellAnchor>
  <xdr:twoCellAnchor editAs="absolute">
    <xdr:from>
      <xdr:col>0</xdr:col>
      <xdr:colOff>209549</xdr:colOff>
      <xdr:row>1</xdr:row>
      <xdr:rowOff>135042</xdr:rowOff>
    </xdr:from>
    <xdr:to>
      <xdr:col>2</xdr:col>
      <xdr:colOff>439843</xdr:colOff>
      <xdr:row>1</xdr:row>
      <xdr:rowOff>322640</xdr:rowOff>
    </xdr:to>
    <xdr:pic>
      <xdr:nvPicPr>
        <xdr:cNvPr id="3" name="Gráfico 10">
          <a:extLst>
            <a:ext uri="{FF2B5EF4-FFF2-40B4-BE49-F238E27FC236}">
              <a16:creationId xmlns:a16="http://schemas.microsoft.com/office/drawing/2014/main" id="{9C18FD94-18B7-4266-9357-96071C642F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49" y="325542"/>
          <a:ext cx="969434" cy="187598"/>
        </a:xfrm>
        <a:prstGeom prst="rect">
          <a:avLst/>
        </a:prstGeom>
      </xdr:spPr>
    </xdr:pic>
    <xdr:clientData/>
  </xdr:twoCellAnchor>
  <xdr:twoCellAnchor>
    <xdr:from>
      <xdr:col>4</xdr:col>
      <xdr:colOff>9527</xdr:colOff>
      <xdr:row>5</xdr:row>
      <xdr:rowOff>12277</xdr:rowOff>
    </xdr:from>
    <xdr:to>
      <xdr:col>4</xdr:col>
      <xdr:colOff>1579245</xdr:colOff>
      <xdr:row>6</xdr:row>
      <xdr:rowOff>122342</xdr:rowOff>
    </xdr:to>
    <xdr:sp macro="" textlink="">
      <xdr:nvSpPr>
        <xdr:cNvPr id="4" name="Rectangle: Rounded Corners 23">
          <a:extLst>
            <a:ext uri="{FF2B5EF4-FFF2-40B4-BE49-F238E27FC236}">
              <a16:creationId xmlns:a16="http://schemas.microsoft.com/office/drawing/2014/main" id="{90DB99AF-3A0B-4405-BECD-EC9FCE79B232}"/>
            </a:ext>
          </a:extLst>
        </xdr:cNvPr>
        <xdr:cNvSpPr/>
      </xdr:nvSpPr>
      <xdr:spPr>
        <a:xfrm>
          <a:off x="2912747" y="1033357"/>
          <a:ext cx="156971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27/09/2024</a:t>
          </a:r>
        </a:p>
      </xdr:txBody>
    </xdr:sp>
    <xdr:clientData/>
  </xdr:twoCellAnchor>
  <xdr:twoCellAnchor>
    <xdr:from>
      <xdr:col>14</xdr:col>
      <xdr:colOff>853919</xdr:colOff>
      <xdr:row>8</xdr:row>
      <xdr:rowOff>19896</xdr:rowOff>
    </xdr:from>
    <xdr:to>
      <xdr:col>19</xdr:col>
      <xdr:colOff>915865</xdr:colOff>
      <xdr:row>25</xdr:row>
      <xdr:rowOff>36633</xdr:rowOff>
    </xdr:to>
    <xdr:graphicFrame macro="">
      <xdr:nvGraphicFramePr>
        <xdr:cNvPr id="5" name="Chart 18">
          <a:extLst>
            <a:ext uri="{FF2B5EF4-FFF2-40B4-BE49-F238E27FC236}">
              <a16:creationId xmlns:a16="http://schemas.microsoft.com/office/drawing/2014/main" id="{190A39D5-2B21-4812-9C86-91DDFF79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16750</xdr:colOff>
      <xdr:row>8</xdr:row>
      <xdr:rowOff>20744</xdr:rowOff>
    </xdr:from>
    <xdr:to>
      <xdr:col>13</xdr:col>
      <xdr:colOff>11398</xdr:colOff>
      <xdr:row>24</xdr:row>
      <xdr:rowOff>87923</xdr:rowOff>
    </xdr:to>
    <xdr:graphicFrame macro="">
      <xdr:nvGraphicFramePr>
        <xdr:cNvPr id="6" name="Chart 1">
          <a:extLst>
            <a:ext uri="{FF2B5EF4-FFF2-40B4-BE49-F238E27FC236}">
              <a16:creationId xmlns:a16="http://schemas.microsoft.com/office/drawing/2014/main" id="{40514E50-3854-48FC-971B-55B870653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297395</xdr:colOff>
      <xdr:row>5</xdr:row>
      <xdr:rowOff>12278</xdr:rowOff>
    </xdr:from>
    <xdr:to>
      <xdr:col>10</xdr:col>
      <xdr:colOff>685799</xdr:colOff>
      <xdr:row>6</xdr:row>
      <xdr:rowOff>122343</xdr:rowOff>
    </xdr:to>
    <xdr:sp macro="" textlink="">
      <xdr:nvSpPr>
        <xdr:cNvPr id="7" name="Rectangle: Rounded Corners 23">
          <a:extLst>
            <a:ext uri="{FF2B5EF4-FFF2-40B4-BE49-F238E27FC236}">
              <a16:creationId xmlns:a16="http://schemas.microsoft.com/office/drawing/2014/main" id="{510965BF-43CD-4E99-9D25-525E70EF2165}"/>
            </a:ext>
          </a:extLst>
        </xdr:cNvPr>
        <xdr:cNvSpPr/>
      </xdr:nvSpPr>
      <xdr:spPr>
        <a:xfrm>
          <a:off x="6256235" y="1033358"/>
          <a:ext cx="3131604"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Status de</a:t>
          </a:r>
          <a:r>
            <a:rPr lang="pt-PT" sz="1200" b="1" i="0" baseline="0">
              <a:latin typeface="Santander Text" panose="020B0504020201020104" pitchFamily="34" charset="0"/>
            </a:rPr>
            <a:t> Desenvolvimento</a:t>
          </a:r>
          <a:endParaRPr lang="pt-PT" sz="1200" b="1" i="0">
            <a:latin typeface="Santander Text" panose="020B0504020201020104" pitchFamily="34" charset="0"/>
          </a:endParaRPr>
        </a:p>
      </xdr:txBody>
    </xdr:sp>
    <xdr:clientData/>
  </xdr:twoCellAnchor>
  <xdr:twoCellAnchor>
    <xdr:from>
      <xdr:col>14</xdr:col>
      <xdr:colOff>1153771</xdr:colOff>
      <xdr:row>5</xdr:row>
      <xdr:rowOff>12278</xdr:rowOff>
    </xdr:from>
    <xdr:to>
      <xdr:col>16</xdr:col>
      <xdr:colOff>1482909</xdr:colOff>
      <xdr:row>6</xdr:row>
      <xdr:rowOff>122343</xdr:rowOff>
    </xdr:to>
    <xdr:sp macro="" textlink="">
      <xdr:nvSpPr>
        <xdr:cNvPr id="8" name="Rectangle: Rounded Corners 23">
          <a:extLst>
            <a:ext uri="{FF2B5EF4-FFF2-40B4-BE49-F238E27FC236}">
              <a16:creationId xmlns:a16="http://schemas.microsoft.com/office/drawing/2014/main" id="{986A7A2E-153F-456E-B739-16E49DE80C79}"/>
            </a:ext>
          </a:extLst>
        </xdr:cNvPr>
        <xdr:cNvSpPr/>
      </xdr:nvSpPr>
      <xdr:spPr>
        <a:xfrm>
          <a:off x="15311731" y="1033358"/>
          <a:ext cx="2935178" cy="292945"/>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200" b="1" i="0">
              <a:latin typeface="Santander Text" panose="020B0504020201020104" pitchFamily="34" charset="0"/>
            </a:rPr>
            <a:t>Evolução de Desenvolvimento</a:t>
          </a:r>
        </a:p>
      </xdr:txBody>
    </xdr:sp>
    <xdr:clientData/>
  </xdr:twoCellAnchor>
  <xdr:twoCellAnchor editAs="absolute">
    <xdr:from>
      <xdr:col>6</xdr:col>
      <xdr:colOff>381001</xdr:colOff>
      <xdr:row>1</xdr:row>
      <xdr:rowOff>97693</xdr:rowOff>
    </xdr:from>
    <xdr:to>
      <xdr:col>8</xdr:col>
      <xdr:colOff>738295</xdr:colOff>
      <xdr:row>1</xdr:row>
      <xdr:rowOff>285291</xdr:rowOff>
    </xdr:to>
    <xdr:pic>
      <xdr:nvPicPr>
        <xdr:cNvPr id="10" name="Gráfico 10">
          <a:extLst>
            <a:ext uri="{FF2B5EF4-FFF2-40B4-BE49-F238E27FC236}">
              <a16:creationId xmlns:a16="http://schemas.microsoft.com/office/drawing/2014/main" id="{B1360AB1-EADA-4012-B51C-D7732D7CA2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1" y="293078"/>
          <a:ext cx="972756" cy="187598"/>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598495371" createdVersion="8" refreshedVersion="8" minRefreshableVersion="3" recordCount="379" xr:uid="{CF0CA261-5F75-4F99-8352-670AEF063F36}">
  <cacheSource type="worksheet">
    <worksheetSource ref="B5:X384" sheet="Detalhe"/>
  </cacheSource>
  <cacheFields count="23">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ontainsBlank="1"/>
    </cacheField>
    <cacheField name="Descrição" numFmtId="0">
      <sharedItems containsBlank="1" longText="1"/>
    </cacheField>
    <cacheField name="Detalhe" numFmtId="0">
      <sharedItems containsBlank="1" longText="1"/>
    </cacheField>
    <cacheField name="Quick-win" numFmtId="0">
      <sharedItems count="3">
        <s v="Campo Fechado"/>
        <s v="Sim"/>
        <s v="Não"/>
      </sharedItems>
    </cacheField>
    <cacheField name="Data alteração status" numFmtId="14">
      <sharedItems containsSemiMixedTypes="0" containsNonDate="0" containsDate="1" containsString="0" minDate="2024-06-07T00:00:00" maxDate="2025-01-14T00:00:00"/>
    </cacheField>
    <cacheField name="Status Atual" numFmtId="0">
      <sharedItems count="10">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ntainsBlank="1"/>
    </cacheField>
    <cacheField name="Structural _x000a_ECB Loan Tape" numFmtId="0">
      <sharedItems/>
    </cacheField>
    <cacheField name="Green _x000a_Dashboard" numFmtId="0">
      <sharedItems/>
    </cacheField>
    <cacheField name="Pillar III ESG" numFmtId="0">
      <sharedItems/>
    </cacheField>
    <cacheField name="Green Finance" numFmtId="0">
      <sharedItems/>
    </cacheField>
    <cacheField name="ESG Risks" numFmtId="0">
      <sharedItems/>
    </cacheField>
    <cacheField name="Leveraged Finance" numFmtId="0">
      <sharedItems/>
    </cacheField>
    <cacheField name="Âmbito (Projeto) " numFmtId="0">
      <sharedItems count="4">
        <s v="PM"/>
        <s v="LF"/>
        <s v="PM &amp; LF"/>
        <s v="PM - Novos Campos"/>
      </sharedItems>
    </cacheField>
    <cacheField name="STREAM"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nçalo Mendes Baptista Filipe" refreshedDate="45674.446600115742" createdVersion="8" refreshedVersion="8" minRefreshableVersion="3" recordCount="346" xr:uid="{00000000-000A-0000-FFFF-FFFF06000000}">
  <cacheSource type="worksheet">
    <worksheetSource ref="B5:P351" sheet="Detalhe"/>
  </cacheSource>
  <cacheFields count="15">
    <cacheField name="TABLE_NAME" numFmtId="0">
      <sharedItems/>
    </cacheField>
    <cacheField name="COLUMN_NAME" numFmtId="0">
      <sharedItems/>
    </cacheField>
    <cacheField name="ÂMBITO" numFmtId="0">
      <sharedItems count="2">
        <s v="OSI"/>
        <s v="Fora OSI"/>
      </sharedItems>
    </cacheField>
    <cacheField name="Status" numFmtId="0">
      <sharedItems/>
    </cacheField>
    <cacheField name="Controlos e Completude" numFmtId="0">
      <sharedItems/>
    </cacheField>
    <cacheField name="Descrição" numFmtId="0">
      <sharedItems containsBlank="1" longText="1"/>
    </cacheField>
    <cacheField name="Detalhe" numFmtId="0">
      <sharedItems containsBlank="1" longText="1"/>
    </cacheField>
    <cacheField name="Quick-win" numFmtId="0">
      <sharedItems/>
    </cacheField>
    <cacheField name="Data alteração status" numFmtId="14">
      <sharedItems containsSemiMixedTypes="0" containsNonDate="0" containsDate="1" containsString="0" minDate="2024-06-07T00:00:00" maxDate="2025-01-14T00:00:00"/>
    </cacheField>
    <cacheField name="Status Atual" numFmtId="0">
      <sharedItems count="15">
        <s v="9. Concluído"/>
        <s v="5.2 Em testes - Incidência"/>
        <s v="2. Alterar especificação"/>
        <s v="1. Especificar"/>
        <s v="3. Pendente de decisão"/>
        <s v="7. Analisar controlos e completude"/>
        <s v="8. Concluído - sem dados"/>
        <s v="4.1 Em implementação - Re-especificação"/>
        <s v="5.1 Em testes - Re-especificação"/>
        <s v="6. Outros Desenvolvimentos"/>
        <s v="4.2 Em implementação - Incidência" u="1"/>
        <s v="6. Incidência" u="1"/>
        <s v="4. Em implementação" u="1"/>
        <s v="5. Em testes" u="1"/>
        <s v="10. Em correção de incidência" u="1"/>
      </sharedItems>
    </cacheField>
    <cacheField name="Controlos e Completuade atual" numFmtId="0">
      <sharedItems containsBlank="1"/>
    </cacheField>
    <cacheField name="Comentários" numFmtId="0">
      <sharedItems containsBlank="1" longText="1"/>
    </cacheField>
    <cacheField name="Data envio para IT" numFmtId="0">
      <sharedItems containsNonDate="0" containsDate="1" containsString="0" containsBlank="1" minDate="2022-04-28T00:00:00" maxDate="2024-09-28T00:00:00"/>
    </cacheField>
    <cacheField name="Data Implementação" numFmtId="0">
      <sharedItems containsDate="1" containsBlank="1" containsMixedTypes="1" minDate="2022-05-19T00:00:00" maxDate="2024-12-21T00:00:00"/>
    </cacheField>
    <cacheField name="Categorização" numFmtId="0">
      <sharedItems count="20">
        <s v="Campo concluido"/>
        <s v="Necessidade de correção de erros"/>
        <s v="Melhorias estruturais (garantir coerência entre campos)"/>
        <s v="Alteração de especificação por parte do BCE"/>
        <s v="Novo campo"/>
        <s v="Pendente de decisão"/>
        <s v="Analisar controlos NOK"/>
        <s v="Campo concluído, mas sem ou pouca informação na fonte"/>
        <s v="-" u="1"/>
        <s v="Campo concluído, sem informação na fonte" u="1"/>
        <s v="Campo concluído, mas com pouca qualidade de dados" u="1"/>
        <s v="?" u="1"/>
        <s v="Alteração de especificação por parte da área" u="1"/>
        <s v="Especificar, informação começou a ser produzida em 2024" u="1"/>
        <s v="Avaliar necessidade de alteração da fonte para fins de reconciliação" u="1"/>
        <s v="Avaliar necessidade de alteração da fonte dos 1ºs titulares para fins de reconciliação" u="1"/>
        <s v="Alteração de especificação com base nas melhorias efetuadas ao MUG" u="1"/>
        <s v=" Alteração de especificação com base nas melhorias efetuadas ao MUG" u="1"/>
        <s v="Necessidade de correção de incidências" u="1"/>
        <s v="Em implementação"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INSTRUMENT"/>
    <s v="ACCMLTD_CHNGS_FV_CR_INSTRMNT"/>
    <x v="0"/>
    <s v="9. Concluído"/>
    <s v="OK"/>
    <s v="Concluido, controlos OK"/>
    <m/>
    <x v="0"/>
    <d v="2024-06-07T00:00:00"/>
    <x v="0"/>
    <s v="OK"/>
    <m/>
    <m/>
    <m/>
    <s v="Campo concluido"/>
    <s v="Y"/>
    <s v="Y"/>
    <s v="Y"/>
    <s v="N"/>
    <s v="N"/>
    <s v="N"/>
    <x v="0"/>
    <n v="0"/>
  </r>
  <r>
    <s v="INSTRUMENT"/>
    <s v="ACCMLTD_IMPRMNT_INSTRMNT"/>
    <x v="0"/>
    <s v="9. Concluído"/>
    <s v="OK"/>
    <s v="Concluido, controlos OK"/>
    <m/>
    <x v="0"/>
    <d v="2024-06-07T00:00:00"/>
    <x v="0"/>
    <s v="OK"/>
    <m/>
    <m/>
    <m/>
    <s v="Campo concluido"/>
    <s v="Y"/>
    <s v="Y"/>
    <s v="Y"/>
    <s v="N"/>
    <s v="N"/>
    <s v="Y"/>
    <x v="0"/>
    <s v="6.1. Fora âmbito | Campos concluídos - Sem necessidade de espec."/>
  </r>
  <r>
    <s v="INSTRUMENT"/>
    <s v="ACCMLTD_IMPRMNT_INSTRMNT_PRVS"/>
    <x v="0"/>
    <s v="5.2 Em testes - Incidência"/>
    <s v="OK"/>
    <s v="Campo com incidência. Verificar fonte LT"/>
    <m/>
    <x v="1"/>
    <d v="2024-06-07T00:00:00"/>
    <x v="1"/>
    <s v="OK"/>
    <m/>
    <m/>
    <m/>
    <s v="Necessidade de correção de erros"/>
    <s v="Y"/>
    <s v="N"/>
    <s v="N"/>
    <s v="N"/>
    <s v="N"/>
    <s v="Y"/>
    <x v="1"/>
    <s v="3. Campos em testes ou c/ incidências"/>
  </r>
  <r>
    <s v="INSTRUMENT"/>
    <s v="ACCMLTD_WRTFFS_INSTRMNT"/>
    <x v="0"/>
    <s v="9. Concluído"/>
    <s v="OK"/>
    <s v="Concluido, controlos OK"/>
    <m/>
    <x v="0"/>
    <d v="2024-06-07T00:00:00"/>
    <x v="0"/>
    <s v="OK"/>
    <m/>
    <m/>
    <m/>
    <s v="Campo concluido"/>
    <s v="Y"/>
    <s v="N"/>
    <s v="N"/>
    <s v="N"/>
    <s v="N"/>
    <s v="Y"/>
    <x v="0"/>
    <s v="6.1. Fora âmbito | Campos concluídos - Sem necessidade de espec."/>
  </r>
  <r>
    <s v="INSTRUMENT"/>
    <s v="ACCNTNG_CLSSFCTN"/>
    <x v="0"/>
    <s v="9. Concluído"/>
    <s v="OK"/>
    <s v="Concluido, controlos OK"/>
    <m/>
    <x v="0"/>
    <d v="2024-06-07T00:00:00"/>
    <x v="0"/>
    <s v="OK"/>
    <m/>
    <m/>
    <m/>
    <s v="Campo concluido"/>
    <s v="Y"/>
    <s v="Y"/>
    <s v="Y"/>
    <s v="N"/>
    <s v="N"/>
    <s v="Y"/>
    <x v="0"/>
    <s v="6.1. Fora âmbito | Campos concluídos - Sem necessidade de espec."/>
  </r>
  <r>
    <s v="ENTITY"/>
    <s v="ACCNTNG_FRMWRK_SL"/>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TYP_MRTGG"/>
    <x v="0"/>
    <s v="3. Pendente de decisão"/>
    <s v="NOK"/>
    <s v="Alteração da Code list por parte do BCE"/>
    <m/>
    <x v="1"/>
    <d v="2024-10-03T00:00:00"/>
    <x v="2"/>
    <s v="NOK"/>
    <s v="Alterar especificação de acordo com codelist atual. No MUG existem apenas garantias elegiveis para cálculo de capital? Se sim, TYP_MRTGG irá assumir os valores 1, 5 e N/A. Caso contrário assumirá os valores  1, 5, 6 e N/A."/>
    <m/>
    <m/>
    <s v="Alteração de especificação por parte do BCE"/>
    <s v="Y"/>
    <s v="N"/>
    <s v="N"/>
    <s v="N"/>
    <s v="N"/>
    <s v="N"/>
    <x v="0"/>
    <n v="0"/>
  </r>
  <r>
    <s v="INSTRUMENT"/>
    <s v="AMNT_D_AT_MTRTY"/>
    <x v="0"/>
    <s v="1. Especificar"/>
    <s v="NOK"/>
    <s v="Em especificação"/>
    <m/>
    <x v="2"/>
    <d v="2024-06-07T00:00:00"/>
    <x v="3"/>
    <s v="NOK"/>
    <m/>
    <m/>
    <m/>
    <s v="Novo campo"/>
    <s v="Y"/>
    <s v="N"/>
    <s v="N"/>
    <s v="N"/>
    <s v="N"/>
    <s v="Y"/>
    <x v="1"/>
    <s v="2.2 Re-especificação de campos complexos - Resto"/>
  </r>
  <r>
    <s v="ENTITY"/>
    <s v="ANNL_TRNVR_LE"/>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ANNL_TRNVR_LE_BDR"/>
    <x v="1"/>
    <s v="9. Concluído"/>
    <s v="OK"/>
    <s v="Concluido, controlos OK"/>
    <m/>
    <x v="0"/>
    <d v="2024-06-07T00:00:00"/>
    <x v="0"/>
    <s v="OK"/>
    <m/>
    <m/>
    <m/>
    <s v="Campo concluido"/>
    <s v="Y"/>
    <s v="N"/>
    <s v="N"/>
    <s v="N"/>
    <s v="N"/>
    <s v="N"/>
    <x v="0"/>
    <n v="0"/>
  </r>
  <r>
    <s v="ENTITY"/>
    <s v="ANNL_TRNVR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ANNL_TRNVR_PRVS_BDR"/>
    <x v="1"/>
    <s v="9. Concluído"/>
    <s v="OK"/>
    <s v="Concluido, controlos OK"/>
    <m/>
    <x v="0"/>
    <d v="2024-06-07T00:00:00"/>
    <x v="0"/>
    <s v="OK"/>
    <m/>
    <m/>
    <m/>
    <s v="Campo concluido"/>
    <s v="Y"/>
    <s v="N"/>
    <s v="N"/>
    <s v="N"/>
    <s v="N"/>
    <s v="N"/>
    <x v="0"/>
    <n v="0"/>
  </r>
  <r>
    <s v="INSTRUMENT"/>
    <s v="ANNLSD_AGRD_RT"/>
    <x v="0"/>
    <s v="3. Pendente de decisão"/>
    <s v="OK"/>
    <s v="Verificar necessidade de alteração da fonte para fins de reconciliação. Rever Fonte"/>
    <s v="Rever se devemos utilizar a informação de IFRS9 ou manter a de alm"/>
    <x v="1"/>
    <d v="2024-06-07T00:00:00"/>
    <x v="4"/>
    <s v="OK"/>
    <m/>
    <m/>
    <m/>
    <s v="Pendente de decisão"/>
    <s v="Y"/>
    <s v="N"/>
    <s v="Y"/>
    <s v="N"/>
    <s v="N"/>
    <s v="N"/>
    <x v="0"/>
    <n v="0"/>
  </r>
  <r>
    <s v="PROTECTION"/>
    <s v="APPRSL_CRRNCY"/>
    <x v="0"/>
    <s v="7. Analisar controlos e completude"/>
    <s v="NOK"/>
    <s v="Controlos NOK"/>
    <m/>
    <x v="2"/>
    <d v="2024-06-07T00:00:00"/>
    <x v="5"/>
    <s v="NOK"/>
    <m/>
    <m/>
    <m/>
    <s v="Analisar controlos NOK"/>
    <s v="Y"/>
    <s v="N"/>
    <s v="N"/>
    <s v="N"/>
    <s v="N"/>
    <s v="N"/>
    <x v="0"/>
    <n v="0"/>
  </r>
  <r>
    <s v="PROTECTION"/>
    <s v="APPRSR"/>
    <x v="0"/>
    <s v="7. Analisar controlos e completude"/>
    <s v="NOK"/>
    <s v="Controlos NOK"/>
    <m/>
    <x v="2"/>
    <d v="2024-06-07T00:00:00"/>
    <x v="5"/>
    <s v="NOK"/>
    <m/>
    <m/>
    <m/>
    <s v="Analisar controlos NOK"/>
    <s v="Y"/>
    <s v="N"/>
    <s v="N"/>
    <s v="N"/>
    <s v="N"/>
    <s v="N"/>
    <x v="0"/>
    <n v="0"/>
  </r>
  <r>
    <s v="INSTRUMENT"/>
    <s v="ARRRS_INSTRMNT"/>
    <x v="0"/>
    <s v="7. Analisar controlos e completude"/>
    <s v="NOK"/>
    <s v="Controlos NOK"/>
    <m/>
    <x v="2"/>
    <d v="2024-06-07T00:00:00"/>
    <x v="5"/>
    <s v="NOK"/>
    <m/>
    <m/>
    <m/>
    <s v="Analisar controlos NOK"/>
    <s v="Y"/>
    <s v="N"/>
    <s v="N"/>
    <s v="N"/>
    <s v="N"/>
    <s v="Y"/>
    <x v="1"/>
    <s v="4. Campos com NOK controlos Corporativos"/>
  </r>
  <r>
    <s v="INSTRUMENT"/>
    <s v="ARRRS_INSTRMNT_12M"/>
    <x v="0"/>
    <s v="7. Analisar controlos e completude"/>
    <s v="NOK"/>
    <s v="Controlos NOK"/>
    <m/>
    <x v="2"/>
    <d v="2024-06-07T00:00:00"/>
    <x v="5"/>
    <s v="NOK"/>
    <m/>
    <m/>
    <m/>
    <s v="Analisar controlos NOK"/>
    <s v="Y"/>
    <s v="N"/>
    <s v="N"/>
    <s v="N"/>
    <s v="N"/>
    <s v="N"/>
    <x v="0"/>
    <n v="0"/>
  </r>
  <r>
    <s v="INSTRUMENT"/>
    <s v="ASST_SCRT_CLSS"/>
    <x v="1"/>
    <s v="9. Concluído"/>
    <s v="OK"/>
    <s v="Concluido, controlos OK"/>
    <m/>
    <x v="0"/>
    <d v="2024-06-07T00:00:00"/>
    <x v="0"/>
    <s v="OK"/>
    <m/>
    <m/>
    <m/>
    <s v="Campo concluido"/>
    <s v="Y"/>
    <s v="N"/>
    <s v="N"/>
    <s v="N"/>
    <s v="N"/>
    <s v="N"/>
    <x v="0"/>
    <n v="0"/>
  </r>
  <r>
    <s v="INSTRUMENT"/>
    <s v="BRCHD_CVNNTS"/>
    <x v="0"/>
    <s v="8. Concluído - sem dados"/>
    <s v="OK"/>
    <s v="Campo especificado, mas sem dados. Campo marcado com MISS ou NA"/>
    <m/>
    <x v="0"/>
    <d v="2024-06-07T00:00:00"/>
    <x v="6"/>
    <s v="OK"/>
    <m/>
    <m/>
    <m/>
    <s v="Campo concluído, mas sem ou pouca informação na fonte"/>
    <s v="Y"/>
    <s v="N"/>
    <s v="N"/>
    <s v="N"/>
    <s v="N"/>
    <s v="Y"/>
    <x v="0"/>
    <s v="6.1. Fora âmbito | Campos concluídos - Sem necessidade de espec."/>
  </r>
  <r>
    <s v="ENTITY"/>
    <s v="CAPEX"/>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APEX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CF"/>
    <x v="0"/>
    <s v="9. Concluído"/>
    <s v="OK"/>
    <s v="Concluido, controlos OK"/>
    <m/>
    <x v="0"/>
    <d v="2024-06-07T00:00:00"/>
    <x v="0"/>
    <s v="OK"/>
    <m/>
    <m/>
    <m/>
    <s v="Campo concluido"/>
    <s v="Y"/>
    <s v="Y"/>
    <s v="N"/>
    <s v="N"/>
    <s v="N"/>
    <s v="Y"/>
    <x v="0"/>
    <s v="6.1. Fora âmbito | Campos concluídos - Sem necessidade de espec."/>
  </r>
  <r>
    <s v="INSTRUMENT"/>
    <s v="CHNNL_ORGNTN"/>
    <x v="1"/>
    <s v="4.1 Em implementação - Re-especificação"/>
    <s v="NOK"/>
    <s v="Aguarda implementação de IT"/>
    <m/>
    <x v="2"/>
    <d v="2024-06-07T00:00:00"/>
    <x v="7"/>
    <s v="NOK"/>
    <m/>
    <d v="2024-01-05T00:00:00"/>
    <m/>
    <s v="Melhorias estruturais (garantir coerência entre campos)"/>
    <s v="Y"/>
    <s v="N"/>
    <s v="N"/>
    <s v="N"/>
    <s v="N"/>
    <s v="N"/>
    <x v="0"/>
    <n v="0"/>
  </r>
  <r>
    <s v="ENTITY"/>
    <s v="CLLCTN_MD"/>
    <x v="1"/>
    <s v="9. Concluído"/>
    <s v="OK"/>
    <s v="Concluido, controlos OK"/>
    <m/>
    <x v="0"/>
    <d v="2024-06-07T00:00:00"/>
    <x v="0"/>
    <s v="OK"/>
    <m/>
    <m/>
    <m/>
    <s v="Campo concluido"/>
    <s v="Y"/>
    <s v="N"/>
    <s v="N"/>
    <s v="N"/>
    <s v="N"/>
    <s v="N"/>
    <x v="0"/>
    <n v="0"/>
  </r>
  <r>
    <s v="ENTITY"/>
    <s v="TTL_INTRST_PD"/>
    <x v="1"/>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CMMTMNT_INCPTN_INSTRMNT"/>
    <x v="0"/>
    <s v="7. Analisar controlos e completude"/>
    <s v="NOK"/>
    <s v="Analisar controlos e completude"/>
    <m/>
    <x v="2"/>
    <d v="2024-06-07T00:00:00"/>
    <x v="5"/>
    <s v="NOK"/>
    <m/>
    <m/>
    <m/>
    <s v="Analisar controlos NOK"/>
    <s v="Y"/>
    <s v="N"/>
    <s v="N"/>
    <s v="N"/>
    <s v="N"/>
    <s v="N"/>
    <x v="0"/>
    <n v="0"/>
  </r>
  <r>
    <s v="PROTECTION"/>
    <s v="RL_ESTT_CLLTRL_LCTN"/>
    <x v="0"/>
    <s v="2. Alterar especificação"/>
    <s v="NOK"/>
    <s v="Alterados 3 casos. Campo está a devolver PT para todas as proteções, no entanto estas não estão localizadas em PT e alterou-se a localização para os respetivos paises."/>
    <m/>
    <x v="2"/>
    <d v="2024-06-07T00:00:00"/>
    <x v="2"/>
    <s v="NOK"/>
    <m/>
    <m/>
    <m/>
    <s v="Melhorias estruturais (garantir coerência entre campos)"/>
    <s v="Y"/>
    <s v="N"/>
    <s v="Y"/>
    <s v="N"/>
    <s v="Y"/>
    <s v="N"/>
    <x v="0"/>
    <n v="0"/>
  </r>
  <r>
    <s v="INSTRUMENT"/>
    <s v="CMPLNT_MRTR_C19_NM"/>
    <x v="1"/>
    <s v="9. Concluído"/>
    <s v="OK"/>
    <s v="Concluido, controlos OK"/>
    <m/>
    <x v="0"/>
    <d v="2024-06-07T00:00:00"/>
    <x v="0"/>
    <s v="OK"/>
    <m/>
    <m/>
    <m/>
    <s v="Campo concluido"/>
    <s v="Y"/>
    <s v="N"/>
    <s v="N"/>
    <s v="N"/>
    <s v="N"/>
    <s v="N"/>
    <x v="0"/>
    <n v="0"/>
  </r>
  <r>
    <s v="INSTRUMENT"/>
    <s v="CNSMPTN_FNRP18"/>
    <x v="1"/>
    <s v="9. Concluído"/>
    <s v="OK"/>
    <s v="Concluido, controlos OK"/>
    <m/>
    <x v="0"/>
    <d v="2024-06-07T00:00:00"/>
    <x v="0"/>
    <s v="OK"/>
    <m/>
    <m/>
    <m/>
    <s v="Campo concluido"/>
    <s v="Y"/>
    <s v="N"/>
    <s v="N"/>
    <s v="N"/>
    <s v="N"/>
    <s v="N"/>
    <x v="0"/>
    <n v="0"/>
  </r>
  <r>
    <s v="PROTECTION"/>
    <s v="DT_APPRSL_PRVS"/>
    <x v="0"/>
    <s v="5.2 Em testes - Incidência"/>
    <s v="NOK"/>
    <s v="Campo com incidência e controlos NOK"/>
    <s v="1) Campo com incidência, data igual à data da protection_vl 2) Alteração de formatos MISS"/>
    <x v="0"/>
    <d v="2025-01-13T00:00:00"/>
    <x v="0"/>
    <s v="OK"/>
    <s v="Alteraração da definição do campo no Guia da Corporação. Campo passou a reportar a data da avaliação completa anterior à data da última avaliação  completa._x000a_"/>
    <d v="2024-07-12T00:00:00"/>
    <d v="2024-12-20T00:00:00"/>
    <s v="Alteração de especificação por parte do BCE"/>
    <s v="Y"/>
    <s v="N"/>
    <s v="N"/>
    <s v="N"/>
    <s v="N"/>
    <s v="N"/>
    <x v="0"/>
    <n v="0"/>
  </r>
  <r>
    <s v="INSTRUMENT"/>
    <s v="CNTRCT_ID"/>
    <x v="0"/>
    <s v="9. Concluído"/>
    <s v="OK"/>
    <s v="Concluido, controlos OK"/>
    <m/>
    <x v="0"/>
    <d v="2024-06-07T00:00:00"/>
    <x v="0"/>
    <s v="OK"/>
    <m/>
    <m/>
    <m/>
    <s v="Campo concluido"/>
    <s v="Y"/>
    <s v="N"/>
    <s v="N"/>
    <s v="N"/>
    <s v="N"/>
    <s v="N"/>
    <x v="0"/>
    <n v="0"/>
  </r>
  <r>
    <s v="INSTRUMENT"/>
    <s v="CNTRCT_ID_BDR"/>
    <x v="1"/>
    <s v="9. Concluído"/>
    <s v="OK"/>
    <s v="Concluido, controlos OK"/>
    <m/>
    <x v="0"/>
    <d v="2024-06-07T00:00:00"/>
    <x v="0"/>
    <s v="OK"/>
    <m/>
    <m/>
    <m/>
    <s v="Campo concluido"/>
    <s v="Y"/>
    <s v="N"/>
    <s v="N"/>
    <s v="N"/>
    <s v="N"/>
    <s v="N"/>
    <x v="0"/>
    <n v="0"/>
  </r>
  <r>
    <s v="ENTITY"/>
    <s v="CNTRY"/>
    <x v="0"/>
    <s v="9. Concluído"/>
    <s v="OK"/>
    <s v="Concluido, controlos OK"/>
    <m/>
    <x v="0"/>
    <d v="2024-06-07T00:00:00"/>
    <x v="0"/>
    <s v="OK"/>
    <m/>
    <m/>
    <m/>
    <s v="Campo concluido"/>
    <s v="Y"/>
    <s v="N"/>
    <s v="Y"/>
    <s v="N"/>
    <s v="Y"/>
    <s v="Y"/>
    <x v="0"/>
    <s v="6.1. Fora âmbito | Campos concluídos - Sem necessidade de espec."/>
  </r>
  <r>
    <s v="ENTITY"/>
    <s v="COD_SOC"/>
    <x v="0"/>
    <s v="9. Concluído"/>
    <s v="OK"/>
    <s v="Concluido, controlos OK"/>
    <m/>
    <x v="0"/>
    <d v="2024-06-07T00:00:00"/>
    <x v="0"/>
    <s v="OK"/>
    <m/>
    <m/>
    <m/>
    <s v="Campo concluido"/>
    <s v="Y"/>
    <s v="N"/>
    <s v="Y"/>
    <s v="N"/>
    <s v="Y"/>
    <s v="Y"/>
    <x v="0"/>
    <s v="6.1. Fora âmbito | Campos concluídos - Sem necessidade de espec."/>
  </r>
  <r>
    <s v="INSTR_ENTITY"/>
    <s v="COD_SOC"/>
    <x v="0"/>
    <s v="9. Concluído"/>
    <s v="OK"/>
    <s v="Concluido, controlos OK"/>
    <m/>
    <x v="0"/>
    <d v="2024-06-07T00:00:00"/>
    <x v="0"/>
    <s v="OK"/>
    <m/>
    <m/>
    <m/>
    <s v="Campo concluido"/>
    <s v="Y"/>
    <s v="N"/>
    <s v="Y"/>
    <s v="N"/>
    <s v="N"/>
    <s v="Y"/>
    <x v="0"/>
    <s v="6.1. Fora âmbito | Campos concluídos - Sem necessidade de espec."/>
  </r>
  <r>
    <s v="INSTR_PROTECTION"/>
    <s v="COD_SOC"/>
    <x v="0"/>
    <s v="9. Concluído"/>
    <s v="OK"/>
    <s v="Concluido, controlos OK"/>
    <m/>
    <x v="0"/>
    <d v="2024-06-07T00:00:00"/>
    <x v="0"/>
    <s v="OK"/>
    <m/>
    <m/>
    <m/>
    <s v="Campo concluido"/>
    <s v="Y"/>
    <s v="Y"/>
    <s v="Y"/>
    <s v="N"/>
    <s v="N"/>
    <s v="N"/>
    <x v="0"/>
    <n v="0"/>
  </r>
  <r>
    <s v="INSTRUMENT"/>
    <s v="COD_SOC"/>
    <x v="0"/>
    <s v="9. Concluído"/>
    <s v="OK"/>
    <s v="Concluido, controlos OK"/>
    <m/>
    <x v="0"/>
    <d v="2024-06-07T00:00:00"/>
    <x v="0"/>
    <s v="OK"/>
    <m/>
    <m/>
    <m/>
    <s v="Campo concluido"/>
    <s v="Y"/>
    <s v="Y"/>
    <s v="Y"/>
    <s v="N"/>
    <s v="Y"/>
    <s v="Y"/>
    <x v="0"/>
    <s v="6.1. Fora âmbito | Campos concluídos - Sem necessidade de espec."/>
  </r>
  <r>
    <s v="PROTECTION"/>
    <s v="COD_SOC"/>
    <x v="0"/>
    <s v="9. Concluído"/>
    <s v="OK"/>
    <s v="Concluido, controlos OK"/>
    <m/>
    <x v="0"/>
    <d v="2024-06-07T00:00:00"/>
    <x v="0"/>
    <s v="OK"/>
    <m/>
    <m/>
    <m/>
    <s v="Campo concluido"/>
    <s v="Y"/>
    <s v="Y"/>
    <s v="Y"/>
    <s v="N"/>
    <s v="Y"/>
    <s v="N"/>
    <x v="0"/>
    <n v="0"/>
  </r>
  <r>
    <s v="INSTRUMENT"/>
    <s v="COD_SOC_INTRGRP"/>
    <x v="0"/>
    <s v="4.1 Em implementação - Re-especificação"/>
    <s v="NOK"/>
    <s v="Aguarda implementação de IT"/>
    <m/>
    <x v="2"/>
    <d v="2024-06-17T00:00:00"/>
    <x v="8"/>
    <s v="NOK"/>
    <m/>
    <d v="2024-01-12T00:00:00"/>
    <d v="2024-03-28T00:00:00"/>
    <s v="Novo campo"/>
    <s v="Y"/>
    <s v="Y"/>
    <s v="N"/>
    <s v="N"/>
    <s v="N"/>
    <s v="N"/>
    <x v="0"/>
    <n v="0"/>
  </r>
  <r>
    <s v="INSTRUMENT"/>
    <s v="CPN_CRRNCY"/>
    <x v="1"/>
    <s v="9. Concluído"/>
    <s v="OK"/>
    <s v="Concluido, controlos OK"/>
    <m/>
    <x v="0"/>
    <d v="2024-06-07T00:00:00"/>
    <x v="0"/>
    <s v="OK"/>
    <m/>
    <m/>
    <m/>
    <s v="Campo concluido"/>
    <s v="Y"/>
    <s v="N"/>
    <s v="N"/>
    <s v="N"/>
    <s v="N"/>
    <s v="N"/>
    <x v="0"/>
    <n v="0"/>
  </r>
  <r>
    <s v="INSTRUMENT"/>
    <s v="CPN_RT_FXD"/>
    <x v="1"/>
    <s v="9. Concluído"/>
    <s v="OK"/>
    <s v="Concluido, controlos OK"/>
    <m/>
    <x v="0"/>
    <d v="2024-06-07T00:00:00"/>
    <x v="0"/>
    <s v="OK"/>
    <m/>
    <m/>
    <m/>
    <s v="Campo concluido"/>
    <s v="Y"/>
    <s v="N"/>
    <s v="N"/>
    <s v="N"/>
    <s v="N"/>
    <s v="N"/>
    <x v="0"/>
    <n v="0"/>
  </r>
  <r>
    <s v="ENTITY"/>
    <s v="CR_FLG"/>
    <x v="1"/>
    <s v="7. Analisar controlos e completude"/>
    <s v="NOK"/>
    <s v="Controlos NOK"/>
    <m/>
    <x v="2"/>
    <d v="2024-06-07T00:00:00"/>
    <x v="5"/>
    <s v="NOK"/>
    <m/>
    <m/>
    <m/>
    <s v="Analisar controlos NOK"/>
    <s v="Y"/>
    <s v="N"/>
    <s v="N"/>
    <s v="N"/>
    <s v="N"/>
    <s v="N"/>
    <x v="0"/>
    <n v="0"/>
  </r>
  <r>
    <s v="INSTRUMENT"/>
    <s v="CRE_FNRP18"/>
    <x v="0"/>
    <s v="9. Concluído"/>
    <s v="OK"/>
    <s v="Concluido, controlos OK"/>
    <m/>
    <x v="0"/>
    <d v="2024-06-07T00:00:00"/>
    <x v="0"/>
    <s v="OK"/>
    <m/>
    <m/>
    <m/>
    <s v="Campo concluido"/>
    <s v="Y"/>
    <s v="N"/>
    <s v="N"/>
    <s v="N"/>
    <s v="N"/>
    <s v="N"/>
    <x v="0"/>
    <n v="0"/>
  </r>
  <r>
    <s v="PROTECTION"/>
    <s v="CRE_INCM_CRRNCY"/>
    <x v="1"/>
    <s v="8. Concluído - sem dados"/>
    <s v="NOK"/>
    <s v="Campo sem mapeamento, para análise da área  de Riscos"/>
    <m/>
    <x v="0"/>
    <d v="2024-06-07T00:00:00"/>
    <x v="6"/>
    <s v="NOK"/>
    <m/>
    <m/>
    <m/>
    <s v="Campo concluído, mas sem ou pouca informação na fonte"/>
    <s v="Y"/>
    <s v="N"/>
    <s v="N"/>
    <s v="N"/>
    <s v="N"/>
    <s v="N"/>
    <x v="0"/>
    <n v="0"/>
  </r>
  <r>
    <s v="PROTECTION"/>
    <s v="CRE_YRLY_EXPNSS"/>
    <x v="1"/>
    <s v="8. Concluído - sem dados"/>
    <s v="OK"/>
    <s v="Campo sem mapeamento, para análise da área  de Riscos"/>
    <m/>
    <x v="0"/>
    <d v="2024-06-07T00:00:00"/>
    <x v="6"/>
    <s v="OK"/>
    <m/>
    <m/>
    <m/>
    <s v="Campo concluído, mas sem ou pouca informação na fonte"/>
    <s v="Y"/>
    <s v="N"/>
    <s v="N"/>
    <s v="N"/>
    <s v="N"/>
    <s v="N"/>
    <x v="0"/>
    <n v="0"/>
  </r>
  <r>
    <s v="PROTECTION"/>
    <s v="CRE_YRLY_INCM"/>
    <x v="1"/>
    <s v="8. Concluído - sem dados"/>
    <s v="OK"/>
    <s v="Campo sem mapeamento, para análise da área  de Riscos"/>
    <m/>
    <x v="0"/>
    <d v="2024-06-07T00:00:00"/>
    <x v="6"/>
    <s v="OK"/>
    <m/>
    <m/>
    <m/>
    <s v="Campo concluído, mas sem ou pouca informação na fonte"/>
    <s v="Y"/>
    <s v="N"/>
    <s v="N"/>
    <s v="N"/>
    <s v="N"/>
    <s v="N"/>
    <x v="0"/>
    <n v="0"/>
  </r>
  <r>
    <s v="INSTRUMENT"/>
    <s v="CRRLTN_CFFCNT"/>
    <x v="1"/>
    <s v="7. Analisar controlos e completude"/>
    <s v="NOK"/>
    <s v="Controlos NOK"/>
    <m/>
    <x v="2"/>
    <d v="2024-06-07T00:00:00"/>
    <x v="5"/>
    <s v="NOK"/>
    <m/>
    <m/>
    <m/>
    <s v="Analisar controlos NOK"/>
    <s v="Y"/>
    <s v="N"/>
    <s v="N"/>
    <s v="N"/>
    <s v="N"/>
    <s v="N"/>
    <x v="0"/>
    <n v="0"/>
  </r>
  <r>
    <s v="INSTRUMENT"/>
    <s v="CRRNCY_DNMNTN"/>
    <x v="0"/>
    <s v="9. Concluído"/>
    <s v="OK"/>
    <s v="Concluido, controlos OK"/>
    <m/>
    <x v="0"/>
    <d v="2024-06-07T00:00:00"/>
    <x v="0"/>
    <s v="OK"/>
    <m/>
    <m/>
    <m/>
    <s v="Campo concluido"/>
    <s v="Y"/>
    <s v="N"/>
    <s v="N"/>
    <s v="N"/>
    <s v="N"/>
    <s v="Y"/>
    <x v="0"/>
    <s v="6.1. Fora âmbito | Campos concluídos - Sem necessidade de espec."/>
  </r>
  <r>
    <s v="INSTRUMENT"/>
    <s v="CRRYNG_AMNT_INSTRMNT"/>
    <x v="0"/>
    <s v="9. Concluído"/>
    <s v="OK"/>
    <s v="Concluido, controlos OK"/>
    <m/>
    <x v="0"/>
    <d v="2024-06-07T00:00:00"/>
    <x v="0"/>
    <s v="OK"/>
    <m/>
    <m/>
    <m/>
    <s v="Campo concluido"/>
    <s v="Y"/>
    <s v="N"/>
    <s v="N"/>
    <s v="N"/>
    <s v="N"/>
    <s v="Y"/>
    <x v="0"/>
    <s v="6.1. Fora âmbito | Campos concluídos - Sem necessidade de espec."/>
  </r>
  <r>
    <s v="ENTITY"/>
    <s v="CSH"/>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CSH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CSH_SWP_TRP"/>
    <x v="0"/>
    <s v="9. Concluído"/>
    <s v="OK"/>
    <s v="Concluido, controlos OK"/>
    <m/>
    <x v="0"/>
    <d v="2024-06-07T00:00:00"/>
    <x v="0"/>
    <s v="OK"/>
    <m/>
    <m/>
    <m/>
    <s v="Campo concluido"/>
    <s v="Y"/>
    <s v="N"/>
    <s v="N"/>
    <s v="N"/>
    <s v="N"/>
    <s v="Y"/>
    <x v="0"/>
    <s v="6.1. Fora âmbito | Campos concluídos - Sem necessidade de espec."/>
  </r>
  <r>
    <s v="INSTRUMENT"/>
    <s v="CVNNT_STTS"/>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CVNNT_TYP"/>
    <x v="1"/>
    <s v="9. Concluído"/>
    <s v="OK"/>
    <s v="Concluido, controlos OK"/>
    <m/>
    <x v="0"/>
    <d v="2024-06-07T00:00:00"/>
    <x v="0"/>
    <s v="OK"/>
    <m/>
    <m/>
    <m/>
    <s v="Campo concluido"/>
    <s v="Y"/>
    <s v="N"/>
    <s v="N"/>
    <s v="N"/>
    <s v="N"/>
    <s v="Y"/>
    <x v="2"/>
    <s v="6.3. Fora âmbito | Fonte Manual LF"/>
  </r>
  <r>
    <s v="ENTITY"/>
    <s v="DBT_RPYMNT_CPCTY_SNR_DBT"/>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ENTITY"/>
    <s v="DBT_RPYMNT_CPCTY_TTL"/>
    <x v="1"/>
    <s v="9. Concluído"/>
    <s v="OK"/>
    <s v="Concluido, controlos OK"/>
    <m/>
    <x v="0"/>
    <d v="2024-06-07T00:00:00"/>
    <x v="0"/>
    <s v="OK"/>
    <m/>
    <m/>
    <m/>
    <s v="Campo concluido"/>
    <s v="Y"/>
    <s v="N"/>
    <s v="N"/>
    <s v="N"/>
    <s v="N"/>
    <s v="Y"/>
    <x v="0"/>
    <s v="6.1. Fora âmbito | Campos concluídos - Sem necessidade de espec."/>
  </r>
  <r>
    <s v="ENTITY"/>
    <s v="DBT_SRVC_R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ENTITY"/>
    <s v="DBT_SRVC_RT_12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N"/>
    <x v="0"/>
    <n v="0"/>
  </r>
  <r>
    <s v="INSTRUMENT"/>
    <s v="DBT_YLD"/>
    <x v="1"/>
    <s v="8. Concluído - sem dados"/>
    <s v="OK"/>
    <s v="Concluido, controlos OK"/>
    <m/>
    <x v="0"/>
    <d v="2024-06-07T00:00:00"/>
    <x v="6"/>
    <s v="OK"/>
    <m/>
    <m/>
    <m/>
    <s v="Campo concluído, mas sem ou pouca informação na fonte"/>
    <s v="Y"/>
    <s v="N"/>
    <s v="N"/>
    <s v="N"/>
    <s v="N"/>
    <s v="N"/>
    <x v="0"/>
    <n v="0"/>
  </r>
  <r>
    <s v="ENTITY"/>
    <s v="DCSD"/>
    <x v="1"/>
    <s v="9. Concluído"/>
    <s v="OK"/>
    <s v="Concluido, controlos OK"/>
    <m/>
    <x v="0"/>
    <d v="2024-06-07T00:00:00"/>
    <x v="0"/>
    <s v="OK"/>
    <m/>
    <m/>
    <m/>
    <s v="Campo concluido"/>
    <s v="Y"/>
    <s v="N"/>
    <s v="N"/>
    <s v="N"/>
    <s v="N"/>
    <s v="N"/>
    <x v="0"/>
    <n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x v="1"/>
    <d v="2024-06-07T00:00:00"/>
    <x v="4"/>
    <s v="NOK"/>
    <m/>
    <m/>
    <m/>
    <s v="Pendente de decisão"/>
    <s v="Y"/>
    <s v="N"/>
    <s v="N"/>
    <s v="N"/>
    <s v="N"/>
    <s v="Y"/>
    <x v="1"/>
    <s v="5. Campos com outras possíveis alterações - Dependente de decisões OSI "/>
  </r>
  <r>
    <s v="INSTRUMENT"/>
    <s v="RFNNC_PRPS"/>
    <x v="0"/>
    <s v="2. Alterar especificação"/>
    <s v="OK"/>
    <s v="Alterar especificação. Campo depende do FRBRNC_STTS_INSTRMNT"/>
    <s v="Sempre que o campo FRBRNC_STTS_INSTRMNT =3 o campo RFNNC_PRPS deve estar marcado como Y. Reespecificar, implementar e testar."/>
    <x v="2"/>
    <d v="2024-06-07T00:00:00"/>
    <x v="2"/>
    <s v="OK"/>
    <m/>
    <m/>
    <m/>
    <s v="Melhorias estruturais (garantir coerência entre campos)"/>
    <s v="Y"/>
    <s v="N"/>
    <s v="N"/>
    <s v="N"/>
    <s v="N"/>
    <s v="N"/>
    <x v="0"/>
    <n v="0"/>
  </r>
  <r>
    <s v="INSTRUMENT"/>
    <s v="DPD"/>
    <x v="0"/>
    <s v="7. Analisar controlos e completude"/>
    <s v="NOK"/>
    <s v="Controlos NOK"/>
    <m/>
    <x v="2"/>
    <d v="2024-06-07T00:00:00"/>
    <x v="5"/>
    <s v="NOK"/>
    <m/>
    <m/>
    <m/>
    <s v="Analisar controlos NOK"/>
    <s v="Y"/>
    <s v="N"/>
    <s v="N"/>
    <s v="N"/>
    <s v="N"/>
    <s v="Y"/>
    <x v="1"/>
    <s v="4. Campos com NOK controlos Corporativos"/>
  </r>
  <r>
    <s v="INSTRUMENT"/>
    <s v="DPD_12M"/>
    <x v="0"/>
    <s v="7. Analisar controlos e completude"/>
    <s v="NOK"/>
    <s v="Controlos NOK"/>
    <m/>
    <x v="2"/>
    <d v="2024-06-07T00:00:00"/>
    <x v="5"/>
    <s v="NOK"/>
    <m/>
    <m/>
    <m/>
    <s v="Analisar controlos NOK"/>
    <s v="Y"/>
    <s v="N"/>
    <s v="N"/>
    <s v="N"/>
    <s v="N"/>
    <s v="N"/>
    <x v="0"/>
    <n v="0"/>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x v="2"/>
    <d v="2024-06-07T00:00:00"/>
    <x v="8"/>
    <s v="NOK"/>
    <m/>
    <d v="2022-04-28T00:00:00"/>
    <d v="2022-05-19T00:00:00"/>
    <s v="Melhorias estruturais (garantir coerência entre campos)"/>
    <s v="Y"/>
    <s v="N"/>
    <s v="N"/>
    <s v="N"/>
    <s v="N"/>
    <s v="N"/>
    <x v="0"/>
    <n v="0"/>
  </r>
  <r>
    <s v="INSTRUMENT"/>
    <s v="DPD_12M_PRFRMNG_STTS"/>
    <x v="0"/>
    <s v="5.1 Em testes - Re-especificação"/>
    <s v="NOK"/>
    <s v="Campo depende do histórico do PRFRMNG_STTS. Não é necessário alterar a especificação do mesmo, apenas testar se a metodologia do campo PRFRMNG_STTS for alterada."/>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24M_FRBRNC_STTS"/>
    <x v="0"/>
    <s v="7. Analisar controlos e completude"/>
    <s v="NOK"/>
    <s v="Controlos NOK"/>
    <m/>
    <x v="2"/>
    <d v="2024-06-07T00:00:00"/>
    <x v="5"/>
    <s v="NOK"/>
    <m/>
    <m/>
    <m/>
    <s v="Analisar controlos NOK"/>
    <s v="Y"/>
    <s v="N"/>
    <s v="N"/>
    <s v="N"/>
    <s v="N"/>
    <s v="N"/>
    <x v="0"/>
    <n v="0"/>
  </r>
  <r>
    <s v="INSTRUMENT"/>
    <s v="DPD_24M_PRFRMNG_STTS"/>
    <x v="0"/>
    <s v="5.1 Em testes - Re-especificação"/>
    <s v="N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PD_FRBRNC_STTS"/>
    <x v="0"/>
    <s v="7. Analisar controlos e completude"/>
    <s v="NOK"/>
    <s v="Controlos NOK"/>
    <m/>
    <x v="2"/>
    <d v="2024-06-07T00:00:00"/>
    <x v="5"/>
    <s v="NOK"/>
    <m/>
    <m/>
    <m/>
    <s v="Analisar controlos NOK"/>
    <s v="Y"/>
    <s v="N"/>
    <s v="N"/>
    <s v="N"/>
    <s v="N"/>
    <s v="N"/>
    <x v="0"/>
    <n v="0"/>
  </r>
  <r>
    <s v="INSTRUMENT"/>
    <s v="DPD_PRFRMNG_STT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 2019 para Dez 2022)"/>
    <d v="2024-09-27T00:00:00"/>
    <m/>
    <s v="Pendente de decisão"/>
    <s v="Y"/>
    <s v="N"/>
    <s v="N"/>
    <s v="N"/>
    <s v="N"/>
    <s v="N"/>
    <x v="0"/>
    <n v="0"/>
  </r>
  <r>
    <s v="INSTRUMENT"/>
    <s v="DSTI"/>
    <x v="1"/>
    <s v="1. Especificar"/>
    <s v="OK"/>
    <s v="Em especificação (Campos Novos)"/>
    <m/>
    <x v="2"/>
    <d v="2024-06-07T00:00:00"/>
    <x v="3"/>
    <s v="OK"/>
    <m/>
    <m/>
    <m/>
    <s v="Novo campo"/>
    <s v="Y"/>
    <s v="N"/>
    <s v="N"/>
    <s v="N"/>
    <s v="N"/>
    <s v="N"/>
    <x v="0"/>
    <n v="0"/>
  </r>
  <r>
    <s v="PROTECTION"/>
    <s v="TYP_PRTCTN"/>
    <x v="0"/>
    <s v="2. Alterar especificação"/>
    <s v="NOK"/>
    <s v="Alterar especificação (alteração da fonte para MUG)"/>
    <s v="Campo depende do campo 'cgarant' do MUG"/>
    <x v="0"/>
    <d v="2025-01-13T00:00:00"/>
    <x v="0"/>
    <s v="OK"/>
    <s v="Alteração de especificação com base no campo cgarant_bem e cgarant_rpt do MUG. Controlo NOK - A Corporação ajustou o controlo e estes casos passarão a estar OK_x000a_"/>
    <d v="2024-07-19T00:00:00"/>
    <d v="2024-12-20T00:00:00"/>
    <s v="Necessidade de correção de erros"/>
    <s v="Y"/>
    <s v="Y"/>
    <s v="Y"/>
    <s v="N"/>
    <s v="Y"/>
    <s v="N"/>
    <x v="0"/>
    <n v="0"/>
  </r>
  <r>
    <s v="ENTITY"/>
    <s v="DT_BRTH"/>
    <x v="1"/>
    <s v="7. Analisar controlos e completude"/>
    <s v="NOK"/>
    <s v="Controlos NOK"/>
    <m/>
    <x v="2"/>
    <d v="2024-06-07T00:00:00"/>
    <x v="5"/>
    <s v="NOK"/>
    <m/>
    <m/>
    <m/>
    <s v="Analisar controlos NOK"/>
    <s v="Y"/>
    <s v="N"/>
    <s v="N"/>
    <s v="N"/>
    <s v="N"/>
    <s v="N"/>
    <x v="0"/>
    <n v="0"/>
  </r>
  <r>
    <s v="INSTRUMENT"/>
    <s v="DT_CMPLNT_MRTR_STTS_C19"/>
    <x v="1"/>
    <s v="9. Concluído"/>
    <s v="OK"/>
    <s v="Concluido, controlos OK"/>
    <m/>
    <x v="0"/>
    <d v="2024-06-07T00:00:00"/>
    <x v="0"/>
    <s v="OK"/>
    <m/>
    <m/>
    <m/>
    <s v="Campo concluido"/>
    <s v="Y"/>
    <s v="N"/>
    <s v="N"/>
    <s v="N"/>
    <s v="N"/>
    <s v="N"/>
    <x v="0"/>
    <n v="0"/>
  </r>
  <r>
    <s v="INSTRUMENT"/>
    <s v="DT_CMPLNT_MRTR_STTS_PRVS_C19"/>
    <x v="1"/>
    <s v="9. Concluído"/>
    <s v="OK"/>
    <s v="Concluido, controlos OK"/>
    <m/>
    <x v="0"/>
    <d v="2024-06-07T00:00:00"/>
    <x v="0"/>
    <s v="OK"/>
    <m/>
    <m/>
    <m/>
    <s v="Campo concluido"/>
    <s v="Y"/>
    <s v="N"/>
    <s v="N"/>
    <s v="N"/>
    <s v="N"/>
    <s v="N"/>
    <x v="0"/>
    <n v="0"/>
  </r>
  <r>
    <s v="PROTECTION"/>
    <s v="DT_PRTCTN_VL"/>
    <x v="0"/>
    <s v="5.2 Em testes - Incidência"/>
    <s v="NOK"/>
    <s v="Campo com incidência e controlos NOK. "/>
    <s v="Alteração formato de 0001-01-01 para 0000-00-00"/>
    <x v="0"/>
    <d v="2025-01-13T00:00:00"/>
    <x v="0"/>
    <s v="OK"/>
    <s v="Incidência corrigida. Especificação alterada para campo da GT018, de modo a estar coerente com a especificação do campo PRTCTN_VL_x000a_Controlo NOK (ver caderno de testes a 03/12/2023)"/>
    <d v="2024-07-19T00:00:00"/>
    <d v="2024-12-20T00:00:00"/>
    <s v="Necessidade de correção de erros"/>
    <s v="Y"/>
    <s v="N"/>
    <s v="N"/>
    <s v="N"/>
    <s v="N"/>
    <s v="N"/>
    <x v="0"/>
    <n v="0"/>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x v="2"/>
    <d v="2024-06-07T00:00:00"/>
    <x v="1"/>
    <s v="NOK"/>
    <m/>
    <m/>
    <m/>
    <s v="Melhorias estruturais (garantir coerência entre campos)"/>
    <s v="Y"/>
    <s v="N"/>
    <s v="N"/>
    <s v="N"/>
    <s v="N"/>
    <s v="Y"/>
    <x v="1"/>
    <s v="3. Campos em testes ou c/ incidências"/>
  </r>
  <r>
    <s v="INSTRUMENT"/>
    <s v="DT_END_GP_PPAL"/>
    <x v="0"/>
    <s v="7. Analisar controlos e completude"/>
    <s v="NOK"/>
    <s v="Controlos NOK"/>
    <m/>
    <x v="2"/>
    <d v="2024-06-07T00:00:00"/>
    <x v="5"/>
    <s v="NOK"/>
    <m/>
    <m/>
    <m/>
    <s v="Analisar controlos NOK"/>
    <s v="Y"/>
    <s v="N"/>
    <s v="N"/>
    <s v="N"/>
    <s v="N"/>
    <s v="N"/>
    <x v="0"/>
    <n v="0"/>
  </r>
  <r>
    <s v="INSTRUMENT"/>
    <s v="DT_END_GP_PPAL_C19"/>
    <x v="1"/>
    <s v="9. Concluído"/>
    <s v="OK"/>
    <s v="Concluido, controlos OK"/>
    <m/>
    <x v="0"/>
    <d v="2024-06-07T00:00:00"/>
    <x v="0"/>
    <s v="OK"/>
    <m/>
    <m/>
    <m/>
    <s v="Campo concluido"/>
    <s v="Y"/>
    <s v="N"/>
    <s v="N"/>
    <s v="N"/>
    <s v="N"/>
    <s v="N"/>
    <x v="0"/>
    <n v="0"/>
  </r>
  <r>
    <s v="INSTRUMENT"/>
    <s v="DT_END_INTRST_ONLY"/>
    <x v="0"/>
    <s v="7. Analisar controlos e completude"/>
    <s v="NOK"/>
    <s v="Controlos NOK"/>
    <m/>
    <x v="2"/>
    <d v="2024-06-07T00:00:00"/>
    <x v="5"/>
    <s v="NOK"/>
    <m/>
    <m/>
    <m/>
    <s v="Analisar controlos NOK"/>
    <s v="Y"/>
    <s v="N"/>
    <s v="N"/>
    <s v="N"/>
    <s v="N"/>
    <s v="N"/>
    <x v="0"/>
    <n v="0"/>
  </r>
  <r>
    <s v="INSTRUMENT"/>
    <s v="DT_END_INTRST_ONLY_C19"/>
    <x v="1"/>
    <s v="9. Concluído"/>
    <s v="OK"/>
    <s v="Concluido, controlos OK"/>
    <m/>
    <x v="0"/>
    <d v="2024-06-07T00:00:00"/>
    <x v="0"/>
    <s v="OK"/>
    <m/>
    <m/>
    <m/>
    <s v="Campo concluido"/>
    <s v="Y"/>
    <s v="N"/>
    <s v="N"/>
    <s v="N"/>
    <s v="N"/>
    <s v="N"/>
    <x v="0"/>
    <n v="0"/>
  </r>
  <r>
    <s v="PROTECTION"/>
    <s v="CNSTRCTN_STTS"/>
    <x v="1"/>
    <s v="2. Alterar especificação"/>
    <s v="NOK"/>
    <s v="Campo dependente do MUG"/>
    <s v="Campo depende do campo 'cgarant' do MUG"/>
    <x v="0"/>
    <d v="2025-01-13T00:00:00"/>
    <x v="0"/>
    <s v="OK"/>
    <m/>
    <d v="2024-08-09T00:00:00"/>
    <d v="2024-12-20T00:00:00"/>
    <s v="Necessidade de correção de erros"/>
    <s v="Y"/>
    <s v="N"/>
    <s v="N"/>
    <s v="N"/>
    <s v="N"/>
    <s v="N"/>
    <x v="0"/>
    <n v="0"/>
  </r>
  <r>
    <s v="ENTITY"/>
    <s v="DT_FNNCL_STTMT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ENTITY"/>
    <s v="DT_FNNCL_STTMTS_PRVS"/>
    <x v="0"/>
    <s v="2. Alterar especificação"/>
    <s v="NOK"/>
    <s v="Em especificação (Financial Statments CIB)"/>
    <s v="Campo implementação, mas com falta de informação para o segmento de clientes CIB"/>
    <x v="2"/>
    <d v="2024-06-07T00:00:00"/>
    <x v="2"/>
    <s v="NOK"/>
    <m/>
    <m/>
    <m/>
    <s v="Melhorias estruturais (garantir coerência entre campos)"/>
    <s v="Y"/>
    <s v="N"/>
    <s v="N"/>
    <s v="N"/>
    <s v="N"/>
    <s v="Y"/>
    <x v="2"/>
    <s v="6.4. Fora âmbito | Re-especificação de campos complexos - Dem. Fin. CIB"/>
  </r>
  <r>
    <s v="INSTRUMENT"/>
    <s v="RCVD_INTRST_24M"/>
    <x v="0"/>
    <s v="2. Alterar especificação"/>
    <s v="OK"/>
    <s v="Em especificação (Amortizações Capital/ Juros). Campo com dados mas pouca qualidade"/>
    <m/>
    <x v="2"/>
    <d v="2024-06-07T00:00:00"/>
    <x v="2"/>
    <s v="OK"/>
    <m/>
    <m/>
    <m/>
    <s v="Melhorias estruturais (garantir coerência entre campos)"/>
    <s v="Y"/>
    <s v="N"/>
    <s v="N"/>
    <s v="N"/>
    <s v="N"/>
    <s v="Y"/>
    <x v="1"/>
    <s v="2.2 Re-especificação de campos complexos - Resto"/>
  </r>
  <r>
    <s v="INSTRUMENT"/>
    <s v="DT_FRBRNC_STTS_C19"/>
    <x v="1"/>
    <s v="9. Concluído"/>
    <s v="OK"/>
    <s v="Concluido, controlos OK"/>
    <m/>
    <x v="0"/>
    <d v="2024-06-07T00:00:00"/>
    <x v="0"/>
    <s v="OK"/>
    <m/>
    <m/>
    <m/>
    <s v="Campo concluido"/>
    <s v="Y"/>
    <s v="N"/>
    <s v="N"/>
    <s v="N"/>
    <s v="N"/>
    <s v="N"/>
    <x v="0"/>
    <n v="0"/>
  </r>
  <r>
    <s v="INSTRUMENT"/>
    <s v="RCVD_INTRST_12M"/>
    <x v="0"/>
    <s v="2. Alterar especificação"/>
    <s v="NOK"/>
    <s v="Em especificação (Amortizações Capital/ Juros)"/>
    <m/>
    <x v="2"/>
    <d v="2024-06-07T00:00:00"/>
    <x v="2"/>
    <s v="NOK"/>
    <m/>
    <m/>
    <m/>
    <s v="Melhorias estruturais (garantir coerência entre campos)"/>
    <s v="Y"/>
    <s v="N"/>
    <s v="N"/>
    <s v="N"/>
    <s v="N"/>
    <s v="Y"/>
    <x v="1"/>
    <s v="2.2 Re-especificação de campos complexos - Resto"/>
  </r>
  <r>
    <s v="INSTRUMENT"/>
    <s v="DT_FRBRNC_STTS_PRVS_C19"/>
    <x v="1"/>
    <s v="9. Concluído"/>
    <s v="OK"/>
    <s v="Concluido, controlos OK"/>
    <m/>
    <x v="0"/>
    <d v="2024-06-07T00:00:00"/>
    <x v="0"/>
    <s v="OK"/>
    <m/>
    <m/>
    <m/>
    <s v="Campo concluido"/>
    <s v="Y"/>
    <s v="N"/>
    <s v="N"/>
    <s v="N"/>
    <s v="N"/>
    <s v="N"/>
    <x v="0"/>
    <n v="0"/>
  </r>
  <r>
    <s v="PROTECTION"/>
    <s v="DT_FRST_USG"/>
    <x v="1"/>
    <s v="7. Analisar controlos e completude"/>
    <s v="NOK"/>
    <s v="Controlos NOK por parte de Riscos"/>
    <m/>
    <x v="2"/>
    <d v="2024-06-07T00:00:00"/>
    <x v="5"/>
    <s v="NOK"/>
    <m/>
    <m/>
    <m/>
    <s v="Analisar controlos NOK"/>
    <s v="Y"/>
    <s v="N"/>
    <s v="N"/>
    <s v="N"/>
    <s v="N"/>
    <s v="N"/>
    <x v="0"/>
    <n v="0"/>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NOK"/>
    <s v="Alteração da fonte das tabela de Imparidade Reporting para as 8_7 e alteração da data a partir da qual a fonte passa a ser as tabelas de Contabilidade"/>
    <d v="2024-09-27T00:00:00"/>
    <m/>
    <s v="Pendente de decisão"/>
    <s v="Y"/>
    <s v="N"/>
    <s v="N"/>
    <s v="N"/>
    <s v="N"/>
    <s v="N"/>
    <x v="0"/>
    <n v="0"/>
  </r>
  <r>
    <s v="INSTRUMENT"/>
    <s v="DT_INCPTN"/>
    <x v="0"/>
    <s v="7. Analisar controlos e completude"/>
    <s v="NOK"/>
    <s v="Controlos NOK"/>
    <m/>
    <x v="2"/>
    <d v="2024-06-07T00:00:00"/>
    <x v="5"/>
    <s v="NOK"/>
    <m/>
    <m/>
    <m/>
    <s v="Analisar controlos NOK"/>
    <s v="Y"/>
    <s v="N"/>
    <s v="Y"/>
    <s v="N"/>
    <s v="N"/>
    <s v="Y"/>
    <x v="1"/>
    <s v="4. Campos com NOK controlos Corporativos"/>
  </r>
  <r>
    <s v="ENTITY"/>
    <s v="DT_INTRNL_RTNG"/>
    <x v="0"/>
    <s v="5.1 Em testes - Re-especificação"/>
    <s v="NOK"/>
    <s v="Em testes, campo entregue por IT durante a OSI. Incidência nos formatos. Testar e validar controlos NOK"/>
    <m/>
    <x v="1"/>
    <d v="2024-06-07T00:00:00"/>
    <x v="8"/>
    <s v="NOK"/>
    <s v="Campo entregue durante a OSI"/>
    <d v="2024-02-16T00:00:00"/>
    <d v="2024-05-24T00:00:00"/>
    <s v="Necessidade de correção de erros"/>
    <s v="Y"/>
    <s v="N"/>
    <s v="N"/>
    <s v="N"/>
    <s v="N"/>
    <s v="Y"/>
    <x v="1"/>
    <s v="3. Campos em testes ou c/ incidências"/>
  </r>
  <r>
    <s v="INSTRUMENT"/>
    <s v="DT_INTRNL_RTNG"/>
    <x v="0"/>
    <s v="5.1 Em testes - Re-especificação"/>
    <s v="NOK"/>
    <s v="Em testes, campo entregue por IT durante a OSI. Testar e validar controlos"/>
    <m/>
    <x v="1"/>
    <d v="2024-06-07T00:00:00"/>
    <x v="8"/>
    <s v="NOK"/>
    <s v="Campo entregue durante a OSI"/>
    <d v="2024-02-16T00:00:00"/>
    <d v="2024-05-24T00:00:00"/>
    <s v="Necessidade de correção de erros"/>
    <s v="Y"/>
    <s v="N"/>
    <s v="N"/>
    <s v="N"/>
    <s v="N"/>
    <s v="Y"/>
    <x v="1"/>
    <s v="3. Campos em testes ou c/ incidências"/>
  </r>
  <r>
    <s v="ENTITY"/>
    <s v="DT_INTTN_LGL_PRCDNGS_LE"/>
    <x v="0"/>
    <s v="9. Concluído"/>
    <s v="OK"/>
    <s v="Concluido, controlos OK"/>
    <m/>
    <x v="0"/>
    <d v="2024-06-07T00:00:00"/>
    <x v="0"/>
    <s v="OK"/>
    <m/>
    <m/>
    <m/>
    <s v="Campo concluido"/>
    <s v="Y"/>
    <s v="N"/>
    <s v="N"/>
    <s v="N"/>
    <s v="N"/>
    <s v="Y"/>
    <x v="0"/>
    <s v="6.1. Fora âmbito | Campos concluídos - Sem necessidade de espec."/>
  </r>
  <r>
    <s v="PROTECTION"/>
    <s v="DVLPMNT_STTS"/>
    <x v="0"/>
    <s v="2. Alterar especificação"/>
    <s v="NOK"/>
    <s v="Alterar especificação. Campo dependente do MUG"/>
    <s v="Campo depende do campo 'cgarant' do MUG"/>
    <x v="0"/>
    <d v="2025-01-13T00:00:00"/>
    <x v="0"/>
    <s v="OK"/>
    <s v="Mapeamento de acordo com o CNSTRCTN_STTS"/>
    <d v="2024-08-09T00:00:00"/>
    <d v="2024-12-20T00:00:00"/>
    <s v="Necessidade de correção de erros"/>
    <s v="Y"/>
    <s v="N"/>
    <s v="N"/>
    <s v="N"/>
    <s v="N"/>
    <s v="N"/>
    <x v="0"/>
    <n v="0"/>
  </r>
  <r>
    <s v="PROTECTION"/>
    <s v="DT_LST_FLL_APPRSL"/>
    <x v="0"/>
    <s v="5.2 Em testes - Incidência"/>
    <s v="NOK"/>
    <s v="Campo com incidência e controlos NOK"/>
    <s v="1) Campo com incidência, data igual à data da protection_vl 2) Alteração de formatos MISS"/>
    <x v="0"/>
    <d v="2025-01-13T00:00:00"/>
    <x v="0"/>
    <s v="OK"/>
    <s v="Campo está a reportar a data da última avaliação e não a data da última avaliação in person. Implementação não está a aplicar a metodologia de cálculo de acordo com a especificação"/>
    <d v="2024-06-28T00:00:00"/>
    <d v="2024-12-20T00:00:00"/>
    <s v="Necessidade de correção de erros"/>
    <s v="Y"/>
    <s v="N"/>
    <s v="N"/>
    <s v="N"/>
    <s v="N"/>
    <s v="N"/>
    <x v="0"/>
    <n v="0"/>
  </r>
  <r>
    <s v="PROTECTION"/>
    <s v="DT_MTRTY_PRTCTN"/>
    <x v="0"/>
    <s v="7. Analisar controlos e completude"/>
    <s v="NOK"/>
    <s v="Controlos NOK por parte de Riscos"/>
    <m/>
    <x v="2"/>
    <d v="2024-06-07T00:00:00"/>
    <x v="5"/>
    <s v="NOK"/>
    <m/>
    <m/>
    <m/>
    <s v="Analisar controlos NOK"/>
    <s v="Y"/>
    <s v="N"/>
    <s v="N"/>
    <s v="N"/>
    <s v="N"/>
    <s v="N"/>
    <x v="0"/>
    <n v="0"/>
  </r>
  <r>
    <s v="INSTRUMENT"/>
    <s v="SICR_ASSSSMNT_MTHD"/>
    <x v="0"/>
    <s v="3. Pendente de decisão"/>
    <s v="OK"/>
    <s v="Rever com Corporação se a codelist do IMPRMNT_STTS alterou, caso não tenha alterado não é necessário alterar o campo."/>
    <m/>
    <x v="0"/>
    <d v="2024-06-28T00:00:00"/>
    <x v="0"/>
    <s v="OK"/>
    <s v="E-mail enviado para Corporação. Codelist IMPRMNT_STTS não alterou"/>
    <m/>
    <s v="-"/>
    <s v="Campo concluido"/>
    <s v="Y"/>
    <s v="N"/>
    <s v="N"/>
    <s v="N"/>
    <s v="N"/>
    <s v="Y"/>
    <x v="0"/>
    <s v="6.1. Fora âmbito | Campos concluídos - Sem necessidade de espec."/>
  </r>
  <r>
    <s v="INSTRUMENT"/>
    <s v="DT_ORGNL_MTRTY"/>
    <x v="0"/>
    <s v="7. Analisar controlos e completude"/>
    <s v="NOK"/>
    <s v="Controlos NOK"/>
    <m/>
    <x v="2"/>
    <d v="2024-06-07T00:00:00"/>
    <x v="5"/>
    <s v="NOK"/>
    <m/>
    <m/>
    <m/>
    <s v="Analisar controlos NOK"/>
    <s v="Y"/>
    <s v="N"/>
    <s v="N"/>
    <s v="N"/>
    <s v="N"/>
    <s v="Y"/>
    <x v="1"/>
    <s v="4. Campos com NOK controlos Corporativos"/>
  </r>
  <r>
    <s v="PROTECTION"/>
    <s v="NTNL_ID"/>
    <x v="0"/>
    <s v="5.2 Em testes - Incidência"/>
    <s v="NOK"/>
    <s v="Campo com incidência (Formatos). Remover aspas"/>
    <m/>
    <x v="0"/>
    <d v="2025-01-13T00:00:00"/>
    <x v="0"/>
    <s v="OK"/>
    <m/>
    <d v="2024-08-09T00:00:00"/>
    <d v="2024-12-20T00:00:00"/>
    <s v="Necessidade de correção de erros"/>
    <s v="Y"/>
    <s v="N"/>
    <s v="N"/>
    <s v="N"/>
    <s v="N"/>
    <s v="N"/>
    <x v="0"/>
    <n v="0"/>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x v="1"/>
    <d v="2024-06-07T00:00:00"/>
    <x v="4"/>
    <s v="NOK"/>
    <m/>
    <m/>
    <m/>
    <s v="Pendente de decisão"/>
    <s v="Y"/>
    <s v="N"/>
    <s v="N"/>
    <s v="N"/>
    <s v="N"/>
    <s v="Y"/>
    <x v="1"/>
    <s v="5. Campos com outras possíveis alterações - Dependente de decisões OSI "/>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x v="1"/>
    <d v="2025-01-13T00:00:00"/>
    <x v="8"/>
    <s v="OK"/>
    <s v="Alteração de fonte e tabelas reporting para tabelas terminadas em 7_8_x000a_"/>
    <d v="2024-08-30T00:00:00"/>
    <m/>
    <s v="Necessidade de correção de erros"/>
    <s v="Y"/>
    <s v="N"/>
    <s v="Y"/>
    <s v="N"/>
    <s v="N"/>
    <s v="Y"/>
    <x v="0"/>
    <s v="6.2.  Fora âmbito | Campos em testes ou c/ incidências (LT - PM)"/>
  </r>
  <r>
    <s v="INSTRUMENT"/>
    <s v="DT_PST_D"/>
    <x v="0"/>
    <s v="7. Analisar controlos e completude"/>
    <s v="NOK"/>
    <s v="Controlos NOK"/>
    <m/>
    <x v="2"/>
    <d v="2024-06-07T00:00:00"/>
    <x v="5"/>
    <s v="NOK"/>
    <m/>
    <m/>
    <m/>
    <s v="Analisar controlos NOK"/>
    <s v="Y"/>
    <s v="N"/>
    <s v="N"/>
    <s v="N"/>
    <s v="N"/>
    <s v="Y"/>
    <x v="1"/>
    <s v="4. Campos com NOK controlos Corporativos"/>
  </r>
  <r>
    <s v="ENTITY"/>
    <s v="DT_RFRNC"/>
    <x v="0"/>
    <s v="9. Concluído"/>
    <s v="OK"/>
    <s v="Concluido, controlos OK"/>
    <m/>
    <x v="0"/>
    <d v="2024-06-07T00:00:00"/>
    <x v="0"/>
    <s v="OK"/>
    <m/>
    <m/>
    <m/>
    <s v="Campo concluido"/>
    <s v="Y"/>
    <s v="N"/>
    <s v="Y"/>
    <s v="N"/>
    <s v="N"/>
    <s v="Y"/>
    <x v="0"/>
    <s v="6.1. Fora âmbito | Campos concluídos - Sem necessidade de espec."/>
  </r>
  <r>
    <s v="INSTR_ENTITY"/>
    <s v="DT_RFRNC"/>
    <x v="0"/>
    <s v="9. Concluído"/>
    <s v="OK"/>
    <s v="Concluido, controlos OK"/>
    <m/>
    <x v="0"/>
    <d v="2024-06-07T00:00:00"/>
    <x v="0"/>
    <s v="OK"/>
    <m/>
    <m/>
    <m/>
    <s v="Campo concluido"/>
    <s v="Y"/>
    <s v="N"/>
    <s v="Y"/>
    <s v="N"/>
    <s v="N"/>
    <s v="Y"/>
    <x v="0"/>
    <s v="6.1. Fora âmbito | Campos concluídos - Sem necessidade de espec."/>
  </r>
  <r>
    <s v="INSTR_PROTECTION"/>
    <s v="DT_RFRNC"/>
    <x v="0"/>
    <s v="9. Concluído"/>
    <s v="OK"/>
    <s v="Concluido, controlos OK"/>
    <m/>
    <x v="0"/>
    <d v="2024-06-07T00:00:00"/>
    <x v="0"/>
    <s v="OK"/>
    <m/>
    <m/>
    <m/>
    <s v="Campo concluido"/>
    <s v="Y"/>
    <s v="Y"/>
    <s v="Y"/>
    <s v="N"/>
    <s v="N"/>
    <s v="N"/>
    <x v="0"/>
    <n v="0"/>
  </r>
  <r>
    <s v="INSTRUMENT"/>
    <s v="DT_RFRNC"/>
    <x v="0"/>
    <s v="9. Concluído"/>
    <s v="OK"/>
    <s v="Concluido, controlos OK"/>
    <m/>
    <x v="0"/>
    <d v="2024-06-07T00:00:00"/>
    <x v="0"/>
    <s v="OK"/>
    <m/>
    <m/>
    <m/>
    <s v="Campo concluido"/>
    <s v="Y"/>
    <s v="Y"/>
    <s v="Y"/>
    <s v="N"/>
    <s v="Y"/>
    <s v="Y"/>
    <x v="0"/>
    <s v="6.1. Fora âmbito | Campos concluídos - Sem necessidade de espec."/>
  </r>
  <r>
    <s v="PROTECTION"/>
    <s v="DT_RFRNC"/>
    <x v="0"/>
    <s v="9. Concluído"/>
    <s v="OK"/>
    <s v="Concluido, controlos OK"/>
    <m/>
    <x v="0"/>
    <d v="2024-06-07T00:00:00"/>
    <x v="0"/>
    <s v="OK"/>
    <m/>
    <m/>
    <m/>
    <s v="Campo concluido"/>
    <s v="Y"/>
    <s v="Y"/>
    <s v="Y"/>
    <s v="N"/>
    <s v="Y"/>
    <s v="N"/>
    <x v="0"/>
    <n v="0"/>
  </r>
  <r>
    <s v="INSTRUMENT"/>
    <s v="DT_STRT_GP_PPAL"/>
    <x v="0"/>
    <s v="7. Analisar controlos e completude"/>
    <s v="NOK"/>
    <s v="Controlos NOK"/>
    <m/>
    <x v="2"/>
    <d v="2024-06-07T00:00:00"/>
    <x v="5"/>
    <s v="NOK"/>
    <m/>
    <m/>
    <m/>
    <s v="Analisar controlos NOK"/>
    <s v="Y"/>
    <s v="N"/>
    <s v="N"/>
    <s v="N"/>
    <s v="N"/>
    <s v="N"/>
    <x v="0"/>
    <n v="0"/>
  </r>
  <r>
    <s v="INSTRUMENT"/>
    <s v="DT_STRT_INTRST_ONLY"/>
    <x v="0"/>
    <s v="7. Analisar controlos e completude"/>
    <s v="NOK"/>
    <s v="Controlos NOK"/>
    <m/>
    <x v="2"/>
    <d v="2024-06-07T00:00:00"/>
    <x v="5"/>
    <s v="NOK"/>
    <m/>
    <m/>
    <m/>
    <s v="Analisar controlos NOK"/>
    <s v="Y"/>
    <s v="N"/>
    <s v="N"/>
    <s v="N"/>
    <s v="N"/>
    <s v="N"/>
    <x v="0"/>
    <n v="0"/>
  </r>
  <r>
    <s v="INSTRUMENT"/>
    <s v="DT_VLTN"/>
    <x v="1"/>
    <s v="9. Concluído"/>
    <s v="OK"/>
    <s v="Concluido, controlos OK"/>
    <m/>
    <x v="0"/>
    <d v="2024-06-07T00:00:00"/>
    <x v="0"/>
    <s v="OK"/>
    <m/>
    <m/>
    <m/>
    <s v="Campo concluido"/>
    <s v="Y"/>
    <s v="N"/>
    <s v="N"/>
    <s v="N"/>
    <s v="N"/>
    <s v="N"/>
    <x v="0"/>
    <n v="0"/>
  </r>
  <r>
    <s v="INSTRUMENT"/>
    <s v="POCI"/>
    <x v="0"/>
    <s v="9. Concluído"/>
    <s v="OK"/>
    <s v="Concluido, controlos OK"/>
    <m/>
    <x v="0"/>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s v="Campo concluido"/>
    <s v="Y"/>
    <s v="N"/>
    <s v="N"/>
    <s v="N"/>
    <s v="N"/>
    <s v="N"/>
    <x v="0"/>
    <n v="0"/>
  </r>
  <r>
    <s v="INSTRUMENT"/>
    <s v="EAD"/>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s v="Necessidade de correção de erros"/>
    <s v="Y"/>
    <s v="Y"/>
    <s v="N"/>
    <s v="N"/>
    <s v="Y"/>
    <s v="Y"/>
    <x v="1"/>
    <s v="3. Campos em testes ou c/ incidências"/>
  </r>
  <r>
    <s v="INSTRUMENT"/>
    <s v="EBA_CMPLNT_MRTR_ST_C19"/>
    <x v="1"/>
    <s v="9. Concluído"/>
    <s v="OK"/>
    <s v="Concluido, controlos OK"/>
    <m/>
    <x v="0"/>
    <d v="2024-06-07T00:00:00"/>
    <x v="0"/>
    <s v="OK"/>
    <m/>
    <m/>
    <m/>
    <s v="Campo concluido"/>
    <s v="Y"/>
    <s v="N"/>
    <s v="N"/>
    <s v="N"/>
    <s v="N"/>
    <s v="N"/>
    <x v="0"/>
    <n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x v="1"/>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s v="Pendente de decisão"/>
    <s v="Y"/>
    <s v="N"/>
    <s v="N"/>
    <s v="N"/>
    <s v="N"/>
    <s v="N"/>
    <x v="0"/>
    <n v="0"/>
  </r>
  <r>
    <s v="INSTRUMENT"/>
    <s v="INSTLMNT_PAY"/>
    <x v="1"/>
    <s v="2. Alterar especificação"/>
    <s v="OK"/>
    <s v="Campo especificado, mas com pouca qualidade de dados"/>
    <m/>
    <x v="2"/>
    <d v="2024-06-07T00:00:00"/>
    <x v="2"/>
    <s v="OK"/>
    <m/>
    <m/>
    <m/>
    <s v="Campo concluído, mas sem ou pouca informação na fonte"/>
    <s v="Y"/>
    <s v="N"/>
    <s v="N"/>
    <s v="N"/>
    <s v="N"/>
    <s v="N"/>
    <x v="0"/>
    <n v="0"/>
  </r>
  <r>
    <s v="ENTITY"/>
    <s v="EC_GRP_ID"/>
    <x v="1"/>
    <s v="1. Especificar"/>
    <s v="OK"/>
    <s v="Em especificação (Campos Novos)"/>
    <m/>
    <x v="2"/>
    <d v="2024-06-07T00:00:00"/>
    <x v="3"/>
    <s v="OK"/>
    <m/>
    <m/>
    <m/>
    <s v="Novo campo"/>
    <s v="Y"/>
    <s v="N"/>
    <s v="N"/>
    <s v="N"/>
    <s v="N"/>
    <s v="Y"/>
    <x v="1"/>
    <s v="2.2 Re-especificação de campos complexos - Resto"/>
  </r>
  <r>
    <s v="ENTITY"/>
    <s v="EC_GRP_NM"/>
    <x v="1"/>
    <s v="1. Especificar"/>
    <s v="OK"/>
    <s v="Em especificação (Campos Novos)"/>
    <m/>
    <x v="2"/>
    <d v="2024-06-07T00:00:00"/>
    <x v="3"/>
    <s v="OK"/>
    <m/>
    <m/>
    <m/>
    <s v="Novo campo"/>
    <s v="Y"/>
    <s v="N"/>
    <s v="Y"/>
    <s v="N"/>
    <s v="N"/>
    <s v="Y"/>
    <x v="1"/>
    <s v="2.2 Re-especificação de campos complexos - Resto"/>
  </r>
  <r>
    <s v="ENTITY"/>
    <s v="ECNMC_ACTVTY"/>
    <x v="0"/>
    <s v="9. Concluído"/>
    <s v="OK"/>
    <s v="Concluido, controlos OK"/>
    <m/>
    <x v="0"/>
    <d v="2024-06-07T00:00:00"/>
    <x v="0"/>
    <s v="OK"/>
    <m/>
    <m/>
    <m/>
    <s v="Campo concluido"/>
    <s v="Y"/>
    <s v="N"/>
    <s v="Y"/>
    <s v="N"/>
    <s v="Y"/>
    <s v="Y"/>
    <x v="0"/>
    <s v="6.1. Fora âmbito | Campos concluídos - Sem necessidade de espec."/>
  </r>
  <r>
    <s v="INSTRUMENT"/>
    <s v="EIR"/>
    <x v="0"/>
    <s v="7. Analisar controlos e completude"/>
    <s v="NOK"/>
    <s v="Controlos NOK"/>
    <m/>
    <x v="2"/>
    <d v="2024-06-07T00:00:00"/>
    <x v="5"/>
    <s v="NOK"/>
    <m/>
    <m/>
    <m/>
    <s v="Analisar controlos NOK"/>
    <s v="Y"/>
    <s v="N"/>
    <s v="N"/>
    <s v="N"/>
    <s v="N"/>
    <s v="Y"/>
    <x v="1"/>
    <s v="4. Campos com NOK controlos Corporativos"/>
  </r>
  <r>
    <s v="INSTRUMENT"/>
    <s v="EIR_INCPTN"/>
    <x v="0"/>
    <s v="7. Analisar controlos e completude"/>
    <s v="NOK"/>
    <s v="Controlos NOK"/>
    <m/>
    <x v="2"/>
    <d v="2024-06-07T00:00:00"/>
    <x v="5"/>
    <s v="NOK"/>
    <m/>
    <m/>
    <m/>
    <s v="Analisar controlos NOK"/>
    <s v="Y"/>
    <s v="N"/>
    <s v="Y"/>
    <s v="N"/>
    <s v="N"/>
    <s v="N"/>
    <x v="0"/>
    <n v="0"/>
  </r>
  <r>
    <s v="INSTRUMENT"/>
    <s v="ELGBLTY_ECB"/>
    <x v="1"/>
    <s v="9. Concluído"/>
    <s v="OK"/>
    <s v="Concluido, controlos OK"/>
    <m/>
    <x v="0"/>
    <d v="2024-06-07T00:00:00"/>
    <x v="0"/>
    <s v="OK"/>
    <m/>
    <m/>
    <m/>
    <s v="Campo concluido"/>
    <s v="Y"/>
    <s v="N"/>
    <s v="N"/>
    <s v="N"/>
    <s v="N"/>
    <s v="N"/>
    <x v="0"/>
    <n v="0"/>
  </r>
  <r>
    <s v="ENTITY"/>
    <s v="EMPLYMNT_STTS"/>
    <x v="1"/>
    <s v="9. Concluído"/>
    <s v="OK"/>
    <s v="Concluido, controlos OK"/>
    <m/>
    <x v="0"/>
    <d v="2024-06-07T00:00:00"/>
    <x v="0"/>
    <s v="OK"/>
    <m/>
    <m/>
    <m/>
    <s v="Campo concluido"/>
    <s v="Y"/>
    <s v="N"/>
    <s v="N"/>
    <s v="N"/>
    <s v="N"/>
    <s v="N"/>
    <x v="0"/>
    <n v="0"/>
  </r>
  <r>
    <s v="ENTITY"/>
    <s v="EMPLYMNT_STTS_INTRNL"/>
    <x v="1"/>
    <s v="9. Concluído"/>
    <s v="OK"/>
    <s v="Concluido, controlos OK"/>
    <m/>
    <x v="0"/>
    <d v="2024-06-07T00:00:00"/>
    <x v="0"/>
    <s v="OK"/>
    <m/>
    <m/>
    <m/>
    <s v="Campo concluido"/>
    <s v="Y"/>
    <s v="N"/>
    <s v="N"/>
    <s v="N"/>
    <s v="N"/>
    <s v="N"/>
    <x v="0"/>
    <n v="0"/>
  </r>
  <r>
    <s v="ENTITY"/>
    <s v="ENTRPRS_SZ_LE"/>
    <x v="0"/>
    <s v="7. Analisar controlos e completude"/>
    <s v="NOK"/>
    <s v="Controlos NOK"/>
    <m/>
    <x v="2"/>
    <d v="2024-06-07T00:00:00"/>
    <x v="5"/>
    <s v="NOK"/>
    <m/>
    <m/>
    <m/>
    <s v="Analisar controlos NOK"/>
    <s v="Y"/>
    <s v="N"/>
    <s v="N"/>
    <s v="N"/>
    <s v="N"/>
    <s v="N"/>
    <x v="0"/>
    <n v="0"/>
  </r>
  <r>
    <s v="ENTITY"/>
    <s v="ENTTY_ID"/>
    <x v="0"/>
    <s v="7. Analisar controlos e completude"/>
    <s v="NOK"/>
    <s v="Controlos NOK"/>
    <m/>
    <x v="2"/>
    <d v="2024-06-07T00:00:00"/>
    <x v="5"/>
    <s v="NOK"/>
    <m/>
    <m/>
    <m/>
    <s v="Analisar controlos NOK"/>
    <s v="Y"/>
    <s v="N"/>
    <s v="Y"/>
    <s v="N"/>
    <s v="Y"/>
    <s v="Y"/>
    <x v="1"/>
    <s v="4. Campos com NOK controlos Corporativos"/>
  </r>
  <r>
    <s v="INSTR_ENTITY"/>
    <s v="ENTTY_ID"/>
    <x v="0"/>
    <s v="7. Analisar controlos e completude"/>
    <s v="NOK"/>
    <s v="Controlos NOK"/>
    <m/>
    <x v="2"/>
    <d v="2024-06-07T00:00:00"/>
    <x v="5"/>
    <s v="NOK"/>
    <m/>
    <m/>
    <m/>
    <s v="Analisar controlos NOK"/>
    <s v="Y"/>
    <s v="N"/>
    <s v="Y"/>
    <s v="N"/>
    <s v="N"/>
    <s v="Y"/>
    <x v="1"/>
    <s v="4. Campos com NOK controlos Corporativos"/>
  </r>
  <r>
    <s v="ENTITY"/>
    <s v="ENTTY_NM"/>
    <x v="0"/>
    <s v="9. Concluído"/>
    <s v="OK"/>
    <s v="Concluido, controlos OK"/>
    <m/>
    <x v="0"/>
    <d v="2024-06-07T00:00:00"/>
    <x v="0"/>
    <s v="OK"/>
    <m/>
    <m/>
    <m/>
    <s v="Campo concluido"/>
    <s v="Y"/>
    <s v="N"/>
    <s v="Y"/>
    <s v="N"/>
    <s v="N"/>
    <s v="Y"/>
    <x v="0"/>
    <s v="6.1. Fora âmbito | Campos concluídos - Sem necessidade de espec."/>
  </r>
  <r>
    <s v="ENTITY"/>
    <s v="EQTY"/>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EQTY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EXPCTD_LSS_CRR"/>
    <x v="1"/>
    <s v="4.1 Em implementação - Re-especificação"/>
    <s v="OK"/>
    <s v="Aguarda implementação de IT"/>
    <m/>
    <x v="2"/>
    <d v="2024-06-17T00:00:00"/>
    <x v="8"/>
    <s v="OK"/>
    <m/>
    <d v="2024-02-02T00:00:00"/>
    <d v="2024-03-28T00:00:00"/>
    <s v="Novo campo"/>
    <s v="Y"/>
    <s v="N"/>
    <s v="N"/>
    <s v="N"/>
    <s v="N"/>
    <s v="N"/>
    <x v="0"/>
    <n v="0"/>
  </r>
  <r>
    <s v="INSTRUMENT"/>
    <s v="EXPSR_IN_SCP"/>
    <x v="0"/>
    <s v="9. Concluído"/>
    <s v="OK"/>
    <s v="Concluido, controlos OK"/>
    <m/>
    <x v="0"/>
    <d v="2024-06-07T00:00:00"/>
    <x v="0"/>
    <s v="OK"/>
    <m/>
    <m/>
    <m/>
    <s v="Campo concluido"/>
    <s v="Y"/>
    <s v="N"/>
    <s v="N"/>
    <s v="N"/>
    <s v="N"/>
    <s v="Y"/>
    <x v="0"/>
    <s v="6.1. Fora âmbito | Campos concluídos - Sem necessidade de espec."/>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OK"/>
    <m/>
    <m/>
    <m/>
    <s v="Melhorias estruturais (garantir coerência entre campos)"/>
    <s v="Y"/>
    <s v="N"/>
    <s v="Y"/>
    <s v="N"/>
    <s v="N"/>
    <s v="Y"/>
    <x v="1"/>
    <s v="2.2 Re-especificação de campos complexos - Resto"/>
  </r>
  <r>
    <s v="ENTITY"/>
    <s v="EXTRNL_RTNG_PRVS"/>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EXTRNL_RTNG_NM"/>
    <x v="0"/>
    <s v="2. Alterar especificação"/>
    <s v="NOK"/>
    <s v="Alterar especificação para casos em informação na fonte."/>
    <s v="Quando não existe informação na fonte em vez de MISS substituir por NA"/>
    <x v="1"/>
    <d v="2024-06-07T00:00:00"/>
    <x v="2"/>
    <s v="NOK"/>
    <m/>
    <m/>
    <m/>
    <s v="Alteração de especificação por parte do BCE"/>
    <s v="Y"/>
    <s v="N"/>
    <s v="N"/>
    <s v="N"/>
    <s v="N"/>
    <s v="Y"/>
    <x v="1"/>
    <s v="2.2 Re-especificação de campos complexos - Resto"/>
  </r>
  <r>
    <s v="INSTRUMENT"/>
    <s v="FLD_SYND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FLG_BNKRPTCY_IN_GRP"/>
    <x v="0"/>
    <s v="9. Concluído"/>
    <s v="OK"/>
    <s v="Concluido, controlos OK"/>
    <m/>
    <x v="0"/>
    <d v="2024-06-07T00:00:00"/>
    <x v="0"/>
    <s v="OK"/>
    <m/>
    <m/>
    <m/>
    <s v="Campo concluido"/>
    <s v="Y"/>
    <s v="N"/>
    <s v="N"/>
    <s v="N"/>
    <s v="N"/>
    <s v="N"/>
    <x v="0"/>
    <n v="0"/>
  </r>
  <r>
    <s v="ENTITY"/>
    <s v="FLG_HGH_CDS"/>
    <x v="0"/>
    <s v="9. Concluído"/>
    <s v="OK"/>
    <s v="Concluido, controlos OK"/>
    <m/>
    <x v="0"/>
    <d v="2024-06-07T00:00:00"/>
    <x v="0"/>
    <s v="OK"/>
    <m/>
    <m/>
    <m/>
    <s v="Campo concluido"/>
    <s v="Y"/>
    <s v="N"/>
    <s v="N"/>
    <s v="N"/>
    <s v="N"/>
    <s v="N"/>
    <x v="0"/>
    <n v="0"/>
  </r>
  <r>
    <s v="ENTITY"/>
    <s v="FLG_ISDA_CRDT_EVNT"/>
    <x v="0"/>
    <s v="9. Concluído"/>
    <s v="OK"/>
    <s v="Concluido, controlos OK"/>
    <m/>
    <x v="0"/>
    <d v="2024-06-07T00:00:00"/>
    <x v="0"/>
    <s v="OK"/>
    <m/>
    <m/>
    <m/>
    <s v="Campo concluido"/>
    <s v="Y"/>
    <s v="N"/>
    <s v="N"/>
    <s v="N"/>
    <s v="N"/>
    <s v="N"/>
    <x v="0"/>
    <n v="0"/>
  </r>
  <r>
    <s v="INSTRUMENT"/>
    <s v="FLG_LBO"/>
    <x v="1"/>
    <s v="9. Concluído"/>
    <s v="OK"/>
    <s v="Concluido, controlos OK"/>
    <m/>
    <x v="0"/>
    <d v="2024-06-07T00:00:00"/>
    <x v="0"/>
    <s v="OK"/>
    <m/>
    <m/>
    <m/>
    <s v="Campo concluido"/>
    <s v="Y"/>
    <s v="N"/>
    <s v="N"/>
    <s v="N"/>
    <s v="N"/>
    <s v="Y"/>
    <x v="2"/>
    <s v="6.3. Fora âmbito | Fonte Manual LF"/>
  </r>
  <r>
    <s v="ENTITY"/>
    <s v="FLG_NN_ACCRL"/>
    <x v="0"/>
    <s v="9. Concluído"/>
    <s v="OK"/>
    <s v="Concluido, controlos OK"/>
    <m/>
    <x v="0"/>
    <d v="2024-06-07T00:00:00"/>
    <x v="0"/>
    <s v="OK"/>
    <m/>
    <m/>
    <m/>
    <s v="Campo concluido"/>
    <s v="Y"/>
    <s v="N"/>
    <s v="N"/>
    <s v="N"/>
    <s v="N"/>
    <s v="N"/>
    <x v="0"/>
    <n v="0"/>
  </r>
  <r>
    <s v="ENTITY"/>
    <s v="FLG_RQST_BNKRPTCY"/>
    <x v="0"/>
    <s v="9. Concluído"/>
    <s v="OK"/>
    <s v="Concluido, controlos OK"/>
    <m/>
    <x v="0"/>
    <d v="2024-06-07T00:00:00"/>
    <x v="0"/>
    <s v="OK"/>
    <m/>
    <m/>
    <m/>
    <s v="Campo concluido"/>
    <s v="Y"/>
    <s v="N"/>
    <s v="N"/>
    <s v="N"/>
    <s v="N"/>
    <s v="N"/>
    <x v="0"/>
    <n v="0"/>
  </r>
  <r>
    <s v="ENTITY"/>
    <s v="FLG_RQST_DSTRSSD_RSTRCTRNG"/>
    <x v="0"/>
    <s v="1. Especificar"/>
    <s v="NOK"/>
    <s v="Em especificação, rever fonte"/>
    <m/>
    <x v="2"/>
    <d v="2024-06-07T00:00:00"/>
    <x v="3"/>
    <s v="NOK"/>
    <m/>
    <m/>
    <m/>
    <s v="Melhorias estruturais (garantir coerência entre campos)"/>
    <s v="Y"/>
    <s v="N"/>
    <s v="N"/>
    <s v="N"/>
    <s v="N"/>
    <s v="N"/>
    <x v="0"/>
    <n v="0"/>
  </r>
  <r>
    <s v="ENTITY"/>
    <s v="FLG_RQST_EMRGNCY_FNDNG"/>
    <x v="0"/>
    <s v="9. Concluído"/>
    <s v="OK"/>
    <s v="Concluido, controlos OK"/>
    <m/>
    <x v="0"/>
    <d v="2024-06-07T00:00:00"/>
    <x v="0"/>
    <s v="OK"/>
    <m/>
    <m/>
    <m/>
    <s v="Campo concluido"/>
    <s v="Y"/>
    <s v="N"/>
    <s v="N"/>
    <s v="N"/>
    <s v="N"/>
    <s v="Y"/>
    <x v="0"/>
    <s v="6.1. Fora âmbito | Campos concluídos - Sem necessidade de espec."/>
  </r>
  <r>
    <s v="ENTITY"/>
    <s v="FLG_SLL_WTH_LSS"/>
    <x v="0"/>
    <s v="9. Concluído"/>
    <s v="OK"/>
    <s v="Concluido, controlos OK"/>
    <m/>
    <x v="0"/>
    <d v="2024-06-07T00:00:00"/>
    <x v="0"/>
    <s v="OK"/>
    <m/>
    <m/>
    <m/>
    <s v="Campo concluido"/>
    <s v="Y"/>
    <s v="N"/>
    <s v="N"/>
    <s v="N"/>
    <s v="N"/>
    <s v="N"/>
    <x v="0"/>
    <n v="0"/>
  </r>
  <r>
    <s v="ENTITY"/>
    <s v="FR_CSH_FLW"/>
    <x v="0"/>
    <s v="1. Especificar"/>
    <s v="OK"/>
    <s v="Em especificação (Campos Novos)"/>
    <m/>
    <x v="2"/>
    <d v="2024-06-07T00:00:00"/>
    <x v="3"/>
    <s v="OK"/>
    <m/>
    <m/>
    <m/>
    <s v="Novo campo"/>
    <s v="Y"/>
    <s v="N"/>
    <s v="N"/>
    <s v="N"/>
    <s v="N"/>
    <s v="Y"/>
    <x v="1"/>
    <s v="2.2 Re-especificação de campos complexos - Resto"/>
  </r>
  <r>
    <s v="ENTITY"/>
    <s v="FR_CSH_FLW_T1"/>
    <x v="0"/>
    <s v="1. Especificar"/>
    <s v="OK"/>
    <s v="Em especificação (Campos Novos)"/>
    <m/>
    <x v="2"/>
    <d v="2024-06-07T00:00:00"/>
    <x v="3"/>
    <s v="OK"/>
    <m/>
    <m/>
    <m/>
    <s v="Novo campo"/>
    <s v="Y"/>
    <s v="N"/>
    <s v="N"/>
    <s v="N"/>
    <s v="N"/>
    <s v="Y"/>
    <x v="1"/>
    <s v="2.2 Re-especificação de campos complexos - Resto"/>
  </r>
  <r>
    <s v="ENTITY"/>
    <s v="FR_CSH_FLW_T2"/>
    <x v="0"/>
    <s v="1. Especificar"/>
    <s v="OK"/>
    <s v="Em especificação (Campos Novos)"/>
    <m/>
    <x v="2"/>
    <d v="2024-06-07T00:00:00"/>
    <x v="3"/>
    <s v="OK"/>
    <m/>
    <m/>
    <m/>
    <s v="Novo campo"/>
    <s v="Y"/>
    <s v="N"/>
    <s v="N"/>
    <s v="N"/>
    <s v="N"/>
    <s v="Y"/>
    <x v="1"/>
    <s v="2.2 Re-especificação de campos complexos - Resto"/>
  </r>
  <r>
    <s v="ENTITY"/>
    <s v="FR_CSH_FLW_T3"/>
    <x v="0"/>
    <s v="1. Especificar"/>
    <s v="OK"/>
    <s v="Em especificação (Campos Novos)"/>
    <m/>
    <x v="2"/>
    <d v="2024-06-07T00:00:00"/>
    <x v="3"/>
    <s v="OK"/>
    <m/>
    <m/>
    <m/>
    <s v="Novo campo"/>
    <s v="Y"/>
    <s v="N"/>
    <s v="N"/>
    <s v="N"/>
    <s v="N"/>
    <s v="Y"/>
    <x v="1"/>
    <s v="2.2 Re-especificação de campos complexos - Resto"/>
  </r>
  <r>
    <s v="INSTRUMENT"/>
    <s v="FRBRNC_STTS_C19"/>
    <x v="1"/>
    <s v="9. Concluído"/>
    <s v="OK"/>
    <s v="Concluido, controlos OK"/>
    <m/>
    <x v="0"/>
    <d v="2024-06-07T00:00:00"/>
    <x v="0"/>
    <s v="OK"/>
    <m/>
    <m/>
    <m/>
    <s v="Campo concluido"/>
    <s v="Y"/>
    <s v="N"/>
    <s v="N"/>
    <s v="N"/>
    <s v="N"/>
    <s v="N"/>
    <x v="0"/>
    <n v="0"/>
  </r>
  <r>
    <s v="ENTITY"/>
    <s v="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ENTITY"/>
    <s v="GCC_PRNT_ID"/>
    <x v="0"/>
    <s v="9. Concluído"/>
    <s v="OK"/>
    <s v="Concluido, controlos OK"/>
    <m/>
    <x v="0"/>
    <d v="2024-06-07T00:00:00"/>
    <x v="0"/>
    <s v="OK"/>
    <m/>
    <m/>
    <m/>
    <s v="Campo concluido"/>
    <s v="Y"/>
    <s v="N"/>
    <s v="N"/>
    <s v="N"/>
    <s v="N"/>
    <s v="Y"/>
    <x v="0"/>
    <s v="6.1. Fora âmbito | Campos concluídos - Sem necessidade de espec."/>
  </r>
  <r>
    <s v="ENTITY"/>
    <s v="GCC_PRNT_NM"/>
    <x v="0"/>
    <s v="9. Concluído"/>
    <s v="OK"/>
    <s v="Concluido, controlos OK"/>
    <m/>
    <x v="0"/>
    <d v="2024-06-07T00:00:00"/>
    <x v="0"/>
    <s v="OK"/>
    <m/>
    <m/>
    <m/>
    <s v="Campo concluido"/>
    <s v="Y"/>
    <s v="N"/>
    <s v="N"/>
    <s v="N"/>
    <s v="N"/>
    <s v="Y"/>
    <x v="0"/>
    <s v="6.1. Fora âmbito | Campos concluídos - Sem necessidade de espec."/>
  </r>
  <r>
    <s v="ENTITY"/>
    <s v="GDWILL"/>
    <x v="0"/>
    <s v="9. Concluído"/>
    <s v="OK"/>
    <s v="Concluido, controlos OK"/>
    <m/>
    <x v="0"/>
    <d v="2024-06-07T00:00:00"/>
    <x v="0"/>
    <s v="OK"/>
    <m/>
    <m/>
    <m/>
    <s v="Campo concluido"/>
    <s v="Y"/>
    <s v="N"/>
    <s v="N"/>
    <s v="N"/>
    <s v="N"/>
    <s v="N"/>
    <x v="0"/>
    <n v="0"/>
  </r>
  <r>
    <s v="ENTITY"/>
    <s v="GDWILL_PRVS"/>
    <x v="0"/>
    <s v="9. Concluído"/>
    <s v="OK"/>
    <s v="Concluido, controlos OK"/>
    <m/>
    <x v="0"/>
    <d v="2024-06-07T00:00:00"/>
    <x v="0"/>
    <s v="OK"/>
    <m/>
    <m/>
    <m/>
    <s v="Campo concluido"/>
    <s v="Y"/>
    <s v="N"/>
    <s v="N"/>
    <s v="N"/>
    <s v="N"/>
    <s v="N"/>
    <x v="0"/>
    <n v="0"/>
  </r>
  <r>
    <s v="INSTRUMENT"/>
    <s v="GRC_PRD_CPTL_INTRST_C19"/>
    <x v="1"/>
    <s v="9. Concluído"/>
    <s v="OK"/>
    <s v="Concluido, controlos OK"/>
    <m/>
    <x v="0"/>
    <d v="2024-06-07T00:00:00"/>
    <x v="0"/>
    <s v="OK"/>
    <m/>
    <m/>
    <m/>
    <s v="Campo concluido"/>
    <s v="Y"/>
    <s v="N"/>
    <s v="N"/>
    <s v="N"/>
    <s v="N"/>
    <s v="N"/>
    <x v="0"/>
    <n v="0"/>
  </r>
  <r>
    <s v="INSTRUMENT"/>
    <s v="GRNTR_ID"/>
    <x v="1"/>
    <s v="9. Concluído"/>
    <s v="OK"/>
    <s v="Concluido, controlos OK"/>
    <m/>
    <x v="0"/>
    <d v="2024-06-07T00:00:00"/>
    <x v="0"/>
    <s v="OK"/>
    <m/>
    <m/>
    <m/>
    <s v="Campo concluido"/>
    <s v="Y"/>
    <s v="N"/>
    <s v="N"/>
    <s v="N"/>
    <s v="N"/>
    <s v="N"/>
    <x v="0"/>
    <n v="0"/>
  </r>
  <r>
    <s v="INSTRUMENT"/>
    <s v="GRNTR_ID_TYP"/>
    <x v="1"/>
    <s v="9. Concluído"/>
    <s v="OK"/>
    <s v="Concluido, controlos OK"/>
    <m/>
    <x v="0"/>
    <d v="2024-06-07T00:00:00"/>
    <x v="0"/>
    <s v="OK"/>
    <m/>
    <m/>
    <m/>
    <s v="Campo concluido"/>
    <s v="Y"/>
    <s v="N"/>
    <s v="N"/>
    <s v="N"/>
    <s v="N"/>
    <s v="N"/>
    <x v="0"/>
    <n v="0"/>
  </r>
  <r>
    <s v="ENTITY"/>
    <s v="GRP_EBITDA"/>
    <x v="0"/>
    <s v="9. Concluído"/>
    <s v="OK"/>
    <s v="Concluido, controlos OK"/>
    <m/>
    <x v="0"/>
    <d v="2024-06-07T00:00:00"/>
    <x v="0"/>
    <s v="OK"/>
    <m/>
    <m/>
    <m/>
    <s v="Campo concluido"/>
    <s v="Y"/>
    <s v="N"/>
    <s v="N"/>
    <s v="N"/>
    <s v="N"/>
    <s v="Y"/>
    <x v="0"/>
    <s v="6.1. Fora âmbito | Campos concluídos - Sem necessidade de espec."/>
  </r>
  <r>
    <s v="ENTITY"/>
    <s v="GRP_EQTY"/>
    <x v="0"/>
    <s v="9. Concluído"/>
    <s v="OK"/>
    <s v="Concluido, controlos OK"/>
    <m/>
    <x v="0"/>
    <d v="2024-06-07T00:00:00"/>
    <x v="0"/>
    <s v="OK"/>
    <m/>
    <m/>
    <m/>
    <s v="Campo concluido"/>
    <s v="Y"/>
    <s v="N"/>
    <s v="Y"/>
    <s v="N"/>
    <s v="N"/>
    <s v="Y"/>
    <x v="0"/>
    <s v="6.1. Fora âmbito | Campos concluídos - Sem necessidade de espec."/>
  </r>
  <r>
    <s v="ENTITY"/>
    <s v="GRP_NT_DBT"/>
    <x v="0"/>
    <s v="9. Concluído"/>
    <s v="OK"/>
    <s v="Concluido, controlos OK"/>
    <m/>
    <x v="0"/>
    <d v="2024-06-07T00:00:00"/>
    <x v="0"/>
    <s v="OK"/>
    <m/>
    <m/>
    <m/>
    <s v="Campo concluido"/>
    <s v="Y"/>
    <s v="N"/>
    <s v="N"/>
    <s v="N"/>
    <s v="N"/>
    <s v="Y"/>
    <x v="0"/>
    <s v="6.1. Fora âmbito | Campos concluídos - Sem necessidade de espec."/>
  </r>
  <r>
    <s v="ENTITY"/>
    <s v="GRP_TTL_DBT"/>
    <x v="1"/>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N"/>
    <x v="0"/>
    <n v="0"/>
  </r>
  <r>
    <s v="INSTRUMENT"/>
    <s v="GRSS_CRRYNG_AMNT_INSTRMNT"/>
    <x v="0"/>
    <s v="9. Concluído"/>
    <s v="OK"/>
    <s v="Concluido, controlos OK"/>
    <m/>
    <x v="0"/>
    <d v="2024-06-07T00:00:00"/>
    <x v="0"/>
    <s v="OK"/>
    <m/>
    <m/>
    <m/>
    <s v="Campo concluido"/>
    <s v="Y"/>
    <s v="Y"/>
    <s v="Y"/>
    <s v="N"/>
    <s v="Y"/>
    <s v="Y"/>
    <x v="0"/>
    <s v="6.1. Fora âmbito | Campos concluídos - Sem necessidade de espec."/>
  </r>
  <r>
    <s v="INSTRUMENT"/>
    <s v="HEDGE_ID"/>
    <x v="1"/>
    <s v="9. Concluído"/>
    <s v="OK"/>
    <s v="Concluido, controlos OK"/>
    <m/>
    <x v="0"/>
    <d v="2024-06-07T00:00:00"/>
    <x v="0"/>
    <s v="OK"/>
    <m/>
    <m/>
    <m/>
    <s v="Campo concluido"/>
    <s v="Y"/>
    <s v="N"/>
    <s v="N"/>
    <s v="N"/>
    <s v="N"/>
    <s v="N"/>
    <x v="0"/>
    <n v="0"/>
  </r>
  <r>
    <s v="PROTECTION"/>
    <s v="HRCT_MV"/>
    <x v="0"/>
    <s v="9. Concluído"/>
    <s v="OK"/>
    <s v="Concluido, controlos OK"/>
    <m/>
    <x v="0"/>
    <d v="2024-06-07T00:00:00"/>
    <x v="0"/>
    <s v="OK"/>
    <m/>
    <m/>
    <m/>
    <s v="Campo concluido"/>
    <s v="Y"/>
    <s v="N"/>
    <s v="N"/>
    <s v="N"/>
    <s v="N"/>
    <s v="N"/>
    <x v="0"/>
    <n v="0"/>
  </r>
  <r>
    <s v="INSTRUMENT"/>
    <s v="IDCMB"/>
    <x v="1"/>
    <s v="5.1 Em testes - Re-especificação"/>
    <s v="NOK"/>
    <s v="Em testes pela equipa de CDO"/>
    <m/>
    <x v="1"/>
    <d v="2024-06-07T00:00:00"/>
    <x v="8"/>
    <s v="NOK"/>
    <m/>
    <d v="2024-02-06T00:00:00"/>
    <d v="2024-02-08T00:00:00"/>
    <s v="Novo campo"/>
    <s v="Y"/>
    <s v="Y"/>
    <s v="Y"/>
    <s v="N"/>
    <s v="Y"/>
    <s v="Y"/>
    <x v="1"/>
    <s v="3. Campos em testes ou c/ incidências"/>
  </r>
  <r>
    <s v="ENTITY"/>
    <s v="EBITDA_PRVS"/>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FRS9_CCF"/>
    <x v="0"/>
    <s v="9. Concluído"/>
    <s v="OK"/>
    <s v="Concluido, controlos OK"/>
    <m/>
    <x v="0"/>
    <d v="2024-06-07T00:00:00"/>
    <x v="0"/>
    <s v="OK"/>
    <s v="Campo Imparidade"/>
    <m/>
    <m/>
    <s v="Campo concluido"/>
    <s v="Y"/>
    <s v="N"/>
    <s v="N"/>
    <s v="N"/>
    <s v="N"/>
    <s v="N"/>
    <x v="0"/>
    <n v="0"/>
  </r>
  <r>
    <s v="INSTRUMENT"/>
    <s v="IFRS9_EAD"/>
    <x v="0"/>
    <s v="7. Analisar controlos e completude"/>
    <s v="NOK"/>
    <s v="Controlos NOK"/>
    <m/>
    <x v="2"/>
    <d v="2024-06-07T00:00:00"/>
    <x v="5"/>
    <s v="NOK"/>
    <s v="Campo Imparidade"/>
    <m/>
    <m/>
    <s v="Analisar controlos NOK"/>
    <s v="Y"/>
    <s v="N"/>
    <s v="N"/>
    <s v="N"/>
    <s v="N"/>
    <s v="N"/>
    <x v="0"/>
    <n v="0"/>
  </r>
  <r>
    <s v="INSTRUMENT"/>
    <s v="IFRS9_LGD"/>
    <x v="0"/>
    <s v="9. Concluído"/>
    <s v="OK"/>
    <s v="Concluido, controlos OK"/>
    <m/>
    <x v="0"/>
    <d v="2024-06-07T00:00:00"/>
    <x v="0"/>
    <s v="OK"/>
    <s v="Campo Imparidade"/>
    <m/>
    <m/>
    <s v="Campo concluido"/>
    <s v="Y"/>
    <s v="N"/>
    <s v="N"/>
    <s v="N"/>
    <s v="N"/>
    <s v="N"/>
    <x v="0"/>
    <n v="0"/>
  </r>
  <r>
    <s v="INSTRUMENT"/>
    <s v="IMPRMNT_ASSSSMNT_MTHD"/>
    <x v="0"/>
    <s v="9. Concluído"/>
    <s v="OK"/>
    <s v="Concluido, controlos OK"/>
    <m/>
    <x v="0"/>
    <d v="2024-06-07T00:00:00"/>
    <x v="0"/>
    <s v="OK"/>
    <m/>
    <m/>
    <m/>
    <s v="Campo concluido"/>
    <s v="Y"/>
    <s v="N"/>
    <s v="N"/>
    <s v="N"/>
    <s v="N"/>
    <s v="Y"/>
    <x v="0"/>
    <s v="6.1. Fora âmbito | Campos concluídos - Sem necessidade de espec."/>
  </r>
  <r>
    <s v="INSTRUMENT"/>
    <s v="IMPRMNT_CLCLTN_MTHD"/>
    <x v="0"/>
    <s v="7. Analisar controlos e completude"/>
    <s v="NOK"/>
    <s v="Controlos NOK"/>
    <m/>
    <x v="2"/>
    <d v="2024-06-07T00:00:00"/>
    <x v="5"/>
    <s v="NOK"/>
    <m/>
    <m/>
    <m/>
    <s v="Analisar controlos NOK"/>
    <s v="Y"/>
    <s v="N"/>
    <s v="N"/>
    <s v="N"/>
    <s v="N"/>
    <s v="N"/>
    <x v="0"/>
    <n v="0"/>
  </r>
  <r>
    <s v="INSTRUMENT"/>
    <s v="IMPRMNT_STTS"/>
    <x v="0"/>
    <s v="3. Pendente de decisão"/>
    <s v="NOK"/>
    <s v="Rever com a Corporação se a nova code list foi apenas para a OSI (relativamente ao tema dos POCI)."/>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ENTITY"/>
    <s v="INCM_SC"/>
    <x v="1"/>
    <s v="1. Especificar"/>
    <s v="OK"/>
    <s v="Em especificação (Salários)"/>
    <m/>
    <x v="2"/>
    <d v="2024-06-07T00:00:00"/>
    <x v="3"/>
    <s v="OK"/>
    <m/>
    <m/>
    <m/>
    <s v="Melhorias estruturais (garantir coerência entre campos)"/>
    <s v="Y"/>
    <s v="N"/>
    <s v="N"/>
    <s v="N"/>
    <s v="N"/>
    <s v="N"/>
    <x v="0"/>
    <n v="0"/>
  </r>
  <r>
    <s v="ENTITY"/>
    <s v="EBITDA"/>
    <x v="0"/>
    <s v="2. Alterar especificação"/>
    <s v="OK"/>
    <s v="Alterar especificação (Luis Bastos enviou nova metodologia do campo)"/>
    <m/>
    <x v="2"/>
    <d v="2024-06-07T00:00:00"/>
    <x v="2"/>
    <s v="OK"/>
    <m/>
    <m/>
    <m/>
    <s v="Melhorias estruturais (garantir coerência entre campos)"/>
    <s v="Y"/>
    <s v="N"/>
    <s v="N"/>
    <s v="N"/>
    <s v="N"/>
    <s v="Y"/>
    <x v="2"/>
    <s v="6.4. Fora âmbito | Re-especificação de campos complexos - Dem. Fin. CIB"/>
  </r>
  <r>
    <s v="INSTRUMENT"/>
    <s v="INSTR_SNRTY_CLSS"/>
    <x v="1"/>
    <s v="9. Concluído"/>
    <s v="OK"/>
    <s v="Concluido, controlos OK"/>
    <m/>
    <x v="0"/>
    <d v="2024-06-07T00:00:00"/>
    <x v="0"/>
    <s v="OK"/>
    <m/>
    <m/>
    <m/>
    <s v="Campo concluido"/>
    <s v="Y"/>
    <s v="N"/>
    <s v="N"/>
    <s v="N"/>
    <s v="N"/>
    <s v="Y"/>
    <x v="0"/>
    <s v="6.1. Fora âmbito | Campos concluídos - Sem necessidade de espec."/>
  </r>
  <r>
    <s v="INSTRUMENT"/>
    <s v="INSTRMNT_CLSS"/>
    <x v="1"/>
    <s v="9. Concluído"/>
    <s v="OK"/>
    <s v="Concluido, controlos OK"/>
    <m/>
    <x v="0"/>
    <d v="2024-06-07T00:00:00"/>
    <x v="0"/>
    <s v="OK"/>
    <m/>
    <m/>
    <m/>
    <s v="Campo concluido"/>
    <s v="Y"/>
    <s v="N"/>
    <s v="N"/>
    <s v="N"/>
    <s v="N"/>
    <s v="N"/>
    <x v="0"/>
    <n v="0"/>
  </r>
  <r>
    <s v="INSTR_ENTITY"/>
    <s v="INSTRMNT_ID"/>
    <x v="0"/>
    <s v="9. Concluído"/>
    <s v="OK"/>
    <s v="Concluido, controlos OK"/>
    <m/>
    <x v="0"/>
    <d v="2024-06-07T00:00:00"/>
    <x v="0"/>
    <s v="OK"/>
    <m/>
    <m/>
    <m/>
    <s v="Campo concluido"/>
    <s v="Y"/>
    <s v="N"/>
    <s v="Y"/>
    <s v="N"/>
    <s v="N"/>
    <s v="Y"/>
    <x v="0"/>
    <s v="6.1. Fora âmbito | Campos concluídos - Sem necessidade de espec."/>
  </r>
  <r>
    <s v="INSTR_PROTECTION"/>
    <s v="INSTRMNT_ID"/>
    <x v="0"/>
    <s v="9. Concluído"/>
    <s v="OK"/>
    <s v="Concluido, controlos OK"/>
    <m/>
    <x v="0"/>
    <d v="2024-06-07T00:00:00"/>
    <x v="0"/>
    <s v="OK"/>
    <m/>
    <m/>
    <m/>
    <s v="Campo concluido"/>
    <s v="Y"/>
    <s v="Y"/>
    <s v="Y"/>
    <s v="N"/>
    <s v="N"/>
    <s v="N"/>
    <x v="0"/>
    <n v="0"/>
  </r>
  <r>
    <s v="INSTRUMENT"/>
    <s v="INSTRMNT_ID"/>
    <x v="0"/>
    <s v="9. Concluído"/>
    <s v="OK"/>
    <s v="Concluido, controlos OK"/>
    <m/>
    <x v="0"/>
    <d v="2024-06-07T00:00:00"/>
    <x v="0"/>
    <s v="OK"/>
    <m/>
    <m/>
    <m/>
    <s v="Campo concluido"/>
    <s v="Y"/>
    <s v="Y"/>
    <s v="Y"/>
    <s v="N"/>
    <s v="Y"/>
    <s v="Y"/>
    <x v="0"/>
    <s v="6.1. Fora âmbito | Campos concluídos - Sem necessidade de espec."/>
  </r>
  <r>
    <s v="ENTITY"/>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
    <x v="0"/>
    <s v="5.1 Em testes - Re-especificação"/>
    <s v="NOK"/>
    <s v="Em testes"/>
    <m/>
    <x v="1"/>
    <d v="2024-06-07T00:00:00"/>
    <x v="8"/>
    <s v="NOK"/>
    <s v="Campo entregue durante a OSI"/>
    <d v="2024-02-16T00:00:00"/>
    <d v="2024-05-24T00:00:00"/>
    <s v="Necessidade de correção de erros"/>
    <s v="Y"/>
    <s v="N"/>
    <s v="N"/>
    <s v="N"/>
    <s v="N"/>
    <s v="Y"/>
    <x v="1"/>
    <s v="3. Campos em testes ou c/ incidências"/>
  </r>
  <r>
    <s v="INSTRUMENT"/>
    <s v="INTRNL_RTNG_INCPTN"/>
    <x v="0"/>
    <s v="5.2 Em testes - Incidência"/>
    <s v="NOK"/>
    <s v="Alterar especificação, campo com incidência. Controlos NOK"/>
    <s v="Na LT apenas foi especifido os restantes internal ratings, estando em falta o internal rating à data de inception."/>
    <x v="2"/>
    <d v="2024-06-07T00:00:00"/>
    <x v="1"/>
    <s v="NOK"/>
    <m/>
    <m/>
    <m/>
    <s v="Melhorias estruturais (garantir coerência entre campos)"/>
    <s v="Y"/>
    <s v="N"/>
    <s v="N"/>
    <s v="N"/>
    <s v="N"/>
    <s v="Y"/>
    <x v="1"/>
    <s v="3. Campos em testes ou c/ incidências"/>
  </r>
  <r>
    <s v="ENTITY"/>
    <s v="INTRNL_RTNG_PRVS"/>
    <x v="0"/>
    <s v="5.1 Em testes - Re-especificação"/>
    <s v="OK"/>
    <s v="Em testes, campo entregue por IT durante a OSI. Testar e validar controlos"/>
    <m/>
    <x v="1"/>
    <d v="2024-06-07T00:00:00"/>
    <x v="8"/>
    <s v="OK"/>
    <s v="Campo entregue durante a OSI"/>
    <d v="2024-02-16T00:00:00"/>
    <d v="2024-05-24T00:00:00"/>
    <s v="Necessidade de correção de erros"/>
    <s v="Y"/>
    <s v="N"/>
    <s v="N"/>
    <s v="N"/>
    <s v="N"/>
    <s v="Y"/>
    <x v="1"/>
    <s v="3. Campos em testes ou c/ incidências"/>
  </r>
  <r>
    <s v="ENTITY"/>
    <s v="INTRNL_SGMNT"/>
    <x v="0"/>
    <s v="9. Concluído"/>
    <s v="OK"/>
    <s v="Concluido, controlos OK"/>
    <m/>
    <x v="0"/>
    <d v="2024-06-07T00:00:00"/>
    <x v="0"/>
    <s v="OK"/>
    <m/>
    <m/>
    <m/>
    <s v="Campo concluido"/>
    <s v="Y"/>
    <s v="N"/>
    <s v="N"/>
    <s v="N"/>
    <s v="N"/>
    <s v="Y"/>
    <x v="0"/>
    <s v="6.1. Fora âmbito | Campos concluídos - Sem necessidade de espec."/>
  </r>
  <r>
    <s v="INSTRUMENT"/>
    <s v="INTRNL_SGMNT"/>
    <x v="0"/>
    <s v="9. Concluído"/>
    <s v="OK"/>
    <s v="Concluido, controlos OK"/>
    <m/>
    <x v="0"/>
    <d v="2024-06-07T00:00:00"/>
    <x v="0"/>
    <s v="OK"/>
    <m/>
    <m/>
    <m/>
    <s v="Campo concluido"/>
    <s v="Y"/>
    <s v="N"/>
    <s v="N"/>
    <s v="N"/>
    <s v="Y"/>
    <s v="Y"/>
    <x v="0"/>
    <s v="6.1. Fora âmbito | Campos concluídos - Sem necessidade de espec."/>
  </r>
  <r>
    <s v="INSTRUMENT"/>
    <s v="INTRNL_SGMNT_CAT_MSTA"/>
    <x v="1"/>
    <s v="9. Concluído"/>
    <s v="OK"/>
    <s v="Concluido, controlos OK"/>
    <m/>
    <x v="0"/>
    <d v="2024-06-07T00:00:00"/>
    <x v="0"/>
    <s v="OK"/>
    <m/>
    <m/>
    <m/>
    <s v="Campo concluido"/>
    <s v="Y"/>
    <s v="N"/>
    <s v="N"/>
    <s v="N"/>
    <s v="Y"/>
    <s v="N"/>
    <x v="0"/>
    <n v="0"/>
  </r>
  <r>
    <s v="INSTRUMENT"/>
    <s v="INTRNL_SGMNT_CATGSUB"/>
    <x v="1"/>
    <s v="9. Concluído"/>
    <s v="OK"/>
    <s v="Concluido, controlos OK"/>
    <m/>
    <x v="0"/>
    <d v="2024-06-07T00:00:00"/>
    <x v="0"/>
    <s v="OK"/>
    <m/>
    <m/>
    <m/>
    <s v="Campo concluido"/>
    <s v="Y"/>
    <s v="N"/>
    <s v="N"/>
    <s v="N"/>
    <s v="Y"/>
    <s v="N"/>
    <x v="0"/>
    <n v="0"/>
  </r>
  <r>
    <s v="INSTRUMENT"/>
    <s v="INTRNL_SGMNT_IFRS9"/>
    <x v="1"/>
    <s v="9. Concluído"/>
    <s v="OK"/>
    <s v="Concluido, controlos OK"/>
    <m/>
    <x v="0"/>
    <d v="2024-06-07T00:00:00"/>
    <x v="0"/>
    <s v="OK"/>
    <s v="Campo Imparidade"/>
    <m/>
    <m/>
    <s v="Campo concluido"/>
    <s v="Y"/>
    <s v="N"/>
    <s v="N"/>
    <s v="N"/>
    <s v="N"/>
    <s v="N"/>
    <x v="0"/>
    <n v="0"/>
  </r>
  <r>
    <s v="ENTITY"/>
    <s v="INTRNL_UNT"/>
    <x v="0"/>
    <s v="9. Concluído"/>
    <s v="OK"/>
    <s v="Concluido, controlos OK"/>
    <m/>
    <x v="0"/>
    <d v="2024-06-07T00:00:00"/>
    <x v="0"/>
    <s v="OK"/>
    <m/>
    <m/>
    <m/>
    <s v="Campo concluido"/>
    <s v="Y"/>
    <s v="N"/>
    <s v="N"/>
    <s v="N"/>
    <s v="N"/>
    <s v="Y"/>
    <x v="0"/>
    <s v="6.1. Fora âmbito | Campos concluídos - Sem necessidade de espec."/>
  </r>
  <r>
    <s v="INSTRUMENT"/>
    <s v="INTRNL_UNT"/>
    <x v="0"/>
    <s v="9. Concluído"/>
    <s v="OK"/>
    <s v="Concluido, controlos OK"/>
    <m/>
    <x v="0"/>
    <d v="2024-06-07T00:00:00"/>
    <x v="0"/>
    <s v="OK"/>
    <m/>
    <m/>
    <m/>
    <s v="Campo concluido"/>
    <s v="Y"/>
    <s v="N"/>
    <s v="N"/>
    <s v="N"/>
    <s v="N"/>
    <s v="Y"/>
    <x v="0"/>
    <s v="6.1. Fora âmbito | Campos concluídos - Sem necessidade de espec."/>
  </r>
  <r>
    <s v="INSTRUMENT"/>
    <s v="INTRST_RT_RST_FRQNCY"/>
    <x v="0"/>
    <s v="9. Concluído"/>
    <s v="OK"/>
    <s v="Concluido, controlos OK"/>
    <m/>
    <x v="0"/>
    <d v="2024-06-07T00:00:00"/>
    <x v="0"/>
    <s v="OK"/>
    <m/>
    <m/>
    <m/>
    <s v="Campo concluido"/>
    <s v="Y"/>
    <s v="N"/>
    <s v="N"/>
    <s v="N"/>
    <s v="N"/>
    <s v="N"/>
    <x v="0"/>
    <n v="0"/>
  </r>
  <r>
    <s v="INSTRUMENT"/>
    <s v="ISIN"/>
    <x v="1"/>
    <s v="9. Concluído"/>
    <s v="OK"/>
    <s v="Concluido, controlos OK"/>
    <m/>
    <x v="0"/>
    <d v="2024-06-07T00:00:00"/>
    <x v="0"/>
    <s v="OK"/>
    <m/>
    <m/>
    <m/>
    <s v="Campo concluido"/>
    <s v="Y"/>
    <s v="N"/>
    <s v="N"/>
    <s v="N"/>
    <s v="N"/>
    <s v="N"/>
    <x v="0"/>
    <n v="0"/>
  </r>
  <r>
    <s v="INSTRUMENT"/>
    <s v="ISIN_SCRTSTN"/>
    <x v="1"/>
    <s v="9. Concluído"/>
    <s v="OK"/>
    <s v="Concluido, controlos OK"/>
    <m/>
    <x v="0"/>
    <d v="2024-06-07T00:00:00"/>
    <x v="0"/>
    <s v="OK"/>
    <m/>
    <m/>
    <m/>
    <s v="Campo concluido"/>
    <s v="Y"/>
    <s v="N"/>
    <s v="N"/>
    <s v="N"/>
    <s v="N"/>
    <s v="N"/>
    <x v="0"/>
    <n v="0"/>
  </r>
  <r>
    <s v="INSTRUMENT"/>
    <s v="ISSR_CNTRY"/>
    <x v="1"/>
    <s v="9. Concluído"/>
    <s v="OK"/>
    <s v="Concluido, controlos OK"/>
    <m/>
    <x v="0"/>
    <d v="2024-06-07T00:00:00"/>
    <x v="0"/>
    <s v="OK"/>
    <m/>
    <m/>
    <m/>
    <s v="Campo concluido"/>
    <s v="Y"/>
    <s v="N"/>
    <s v="Y"/>
    <s v="N"/>
    <s v="N"/>
    <s v="N"/>
    <x v="0"/>
    <n v="0"/>
  </r>
  <r>
    <s v="INSTRUMENT"/>
    <s v="ISSR_ESA_2010"/>
    <x v="1"/>
    <s v="7. Analisar controlos e completude"/>
    <s v="NOK"/>
    <s v="Controlos NOK"/>
    <m/>
    <x v="2"/>
    <d v="2024-06-07T00:00:00"/>
    <x v="5"/>
    <s v="NOK"/>
    <m/>
    <m/>
    <m/>
    <s v="Analisar controlos NOK"/>
    <s v="Y"/>
    <s v="N"/>
    <s v="N"/>
    <s v="N"/>
    <s v="N"/>
    <s v="N"/>
    <x v="0"/>
    <n v="0"/>
  </r>
  <r>
    <s v="INSTRUMENT"/>
    <s v="ISSR_ID"/>
    <x v="1"/>
    <s v="9. Concluído"/>
    <s v="OK"/>
    <s v="Concluido, controlos OK"/>
    <m/>
    <x v="0"/>
    <d v="2024-06-07T00:00:00"/>
    <x v="0"/>
    <s v="OK"/>
    <m/>
    <m/>
    <m/>
    <s v="Campo concluido"/>
    <s v="Y"/>
    <s v="N"/>
    <s v="N"/>
    <s v="N"/>
    <s v="N"/>
    <s v="N"/>
    <x v="0"/>
    <n v="0"/>
  </r>
  <r>
    <s v="INSTRUMENT"/>
    <s v="ISSR_ID_TYP"/>
    <x v="1"/>
    <s v="9. Concluído"/>
    <s v="OK"/>
    <s v="Concluido, controlos OK"/>
    <m/>
    <x v="0"/>
    <d v="2024-06-07T00:00:00"/>
    <x v="0"/>
    <s v="OK"/>
    <m/>
    <m/>
    <m/>
    <s v="Campo concluido"/>
    <s v="Y"/>
    <s v="N"/>
    <s v="N"/>
    <s v="N"/>
    <s v="N"/>
    <s v="N"/>
    <x v="0"/>
    <n v="0"/>
  </r>
  <r>
    <s v="INSTRUMENT"/>
    <s v="ISSR_NACE_SCTR"/>
    <x v="1"/>
    <s v="9. Concluído"/>
    <s v="OK"/>
    <s v="Concluido, controlos OK"/>
    <m/>
    <x v="0"/>
    <d v="2024-06-07T00:00:00"/>
    <x v="0"/>
    <s v="OK"/>
    <m/>
    <m/>
    <m/>
    <s v="Campo concluido"/>
    <s v="Y"/>
    <s v="N"/>
    <s v="Y"/>
    <s v="N"/>
    <s v="N"/>
    <s v="N"/>
    <x v="0"/>
    <n v="0"/>
  </r>
  <r>
    <s v="INSTRUMENT"/>
    <s v="ISSR_RTNG"/>
    <x v="1"/>
    <s v="8. Concluído - sem dados"/>
    <s v="OK"/>
    <s v="Campo especificado, mas sem dados. Campo marcado com MISS ou NA"/>
    <m/>
    <x v="0"/>
    <d v="2024-06-07T00:00:00"/>
    <x v="6"/>
    <s v="OK"/>
    <m/>
    <m/>
    <m/>
    <s v="Campo concluído, mas sem ou pouca informação na fonte"/>
    <s v="Y"/>
    <s v="N"/>
    <s v="N"/>
    <s v="N"/>
    <s v="N"/>
    <s v="N"/>
    <x v="0"/>
    <n v="0"/>
  </r>
  <r>
    <s v="INSTRUMENT"/>
    <s v="ISSR_RTNG_SRC"/>
    <x v="1"/>
    <s v="8. Concluído - sem dados"/>
    <s v="OK"/>
    <s v="Campo especificado, mas sem dados. Campo marcado com MISS ou NA"/>
    <m/>
    <x v="0"/>
    <d v="2024-06-07T00:00:00"/>
    <x v="6"/>
    <s v="OK"/>
    <m/>
    <m/>
    <m/>
    <s v="Campo concluído, mas sem ou pouca informação na fonte"/>
    <s v="Y"/>
    <s v="N"/>
    <s v="N"/>
    <s v="N"/>
    <s v="N"/>
    <s v="N"/>
    <x v="0"/>
    <n v="0"/>
  </r>
  <r>
    <s v="INSTRUMENT"/>
    <s v="ISSR_TYP"/>
    <x v="1"/>
    <s v="9. Concluído"/>
    <s v="OK"/>
    <s v="Concluido, controlos OK"/>
    <m/>
    <x v="0"/>
    <d v="2024-06-07T00:00:00"/>
    <x v="0"/>
    <s v="OK"/>
    <m/>
    <m/>
    <m/>
    <s v="Campo concluido"/>
    <s v="Y"/>
    <s v="N"/>
    <s v="N"/>
    <s v="N"/>
    <s v="N"/>
    <s v="N"/>
    <x v="0"/>
    <n v="0"/>
  </r>
  <r>
    <s v="INSTR_ENTITY"/>
    <s v="JNT_LBLTY_AMNT"/>
    <x v="0"/>
    <s v="9. Concluído"/>
    <s v="OK"/>
    <s v="Concluido, controlos OK"/>
    <m/>
    <x v="0"/>
    <d v="2024-06-07T00:00:00"/>
    <x v="0"/>
    <s v="OK"/>
    <m/>
    <m/>
    <m/>
    <s v="Campo concluido"/>
    <s v="Y"/>
    <s v="N"/>
    <s v="N"/>
    <s v="N"/>
    <s v="N"/>
    <s v="Y"/>
    <x v="0"/>
    <s v="6.1. Fora âmbito | Campos concluídos - Sem necessidade de espec."/>
  </r>
  <r>
    <s v="INSTRUMENT"/>
    <s v="LCL_INSTMRNT_ID"/>
    <x v="1"/>
    <s v="7. Analisar controlos e completude"/>
    <s v="NOK"/>
    <s v="Controlos NOK"/>
    <m/>
    <x v="2"/>
    <d v="2024-06-07T00:00:00"/>
    <x v="5"/>
    <s v="NOK"/>
    <m/>
    <m/>
    <m/>
    <s v="Analisar controlos NOK"/>
    <s v="Y"/>
    <s v="Y"/>
    <s v="Y"/>
    <s v="N"/>
    <s v="N"/>
    <s v="N"/>
    <x v="0"/>
    <n v="0"/>
  </r>
  <r>
    <s v="INSTRUMENT"/>
    <s v="LCR_BFFR_CTGRY"/>
    <x v="1"/>
    <s v="9. Concluído"/>
    <s v="OK"/>
    <s v="Concluido, controlos OK"/>
    <m/>
    <x v="0"/>
    <d v="2024-06-07T00:00:00"/>
    <x v="0"/>
    <s v="OK"/>
    <m/>
    <m/>
    <m/>
    <s v="Campo concluido"/>
    <s v="Y"/>
    <s v="N"/>
    <s v="N"/>
    <s v="N"/>
    <s v="N"/>
    <s v="N"/>
    <x v="0"/>
    <n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x v="1"/>
    <d v="2024-06-07T00:00:00"/>
    <x v="4"/>
    <s v="OK"/>
    <m/>
    <m/>
    <m/>
    <s v="Pendente de decisão"/>
    <s v="Y"/>
    <s v="N"/>
    <s v="N"/>
    <s v="N"/>
    <s v="N"/>
    <s v="N"/>
    <x v="0"/>
    <n v="0"/>
  </r>
  <r>
    <s v="ENTITY"/>
    <s v="LEI"/>
    <x v="0"/>
    <s v="9. Concluído"/>
    <s v="OK"/>
    <s v="Concluido, controlos OK"/>
    <m/>
    <x v="0"/>
    <d v="2024-06-07T00:00:00"/>
    <x v="0"/>
    <s v="OK"/>
    <m/>
    <m/>
    <m/>
    <s v="Campo concluido"/>
    <s v="Y"/>
    <s v="N"/>
    <s v="Y"/>
    <s v="N"/>
    <s v="N"/>
    <s v="Y"/>
    <x v="0"/>
    <s v="6.1. Fora âmbito | Campos concluídos - Sem necessidade de espec."/>
  </r>
  <r>
    <s v="INSTRUMENT"/>
    <s v="LGD"/>
    <x v="0"/>
    <s v="9. Concluído"/>
    <s v="OK"/>
    <s v="Concluido, controlos OK"/>
    <m/>
    <x v="0"/>
    <d v="2024-06-07T00:00:00"/>
    <x v="0"/>
    <s v="OK"/>
    <m/>
    <m/>
    <m/>
    <s v="Campo concluido"/>
    <s v="Y"/>
    <s v="N"/>
    <s v="N"/>
    <s v="N"/>
    <s v="N"/>
    <s v="Y"/>
    <x v="0"/>
    <s v="6.1. Fora âmbito | Campos concluídos - Sem necessidade de espec."/>
  </r>
  <r>
    <s v="INSTRUMENT"/>
    <s v="LGL_PRCDNG_STTS"/>
    <x v="0"/>
    <s v="9. Concluído"/>
    <s v="OK"/>
    <s v="Concluido, controlos OK"/>
    <m/>
    <x v="0"/>
    <d v="2024-06-07T00:00:00"/>
    <x v="0"/>
    <s v="OK"/>
    <m/>
    <m/>
    <m/>
    <s v="Campo concluido"/>
    <s v="Y"/>
    <s v="N"/>
    <s v="N"/>
    <s v="N"/>
    <s v="N"/>
    <s v="N"/>
    <x v="0"/>
    <n v="0"/>
  </r>
  <r>
    <s v="ENTITY"/>
    <s v="LGL_PRCDNG_STTS_LE"/>
    <x v="0"/>
    <s v="7. Analisar controlos e completude"/>
    <s v="NOK"/>
    <s v="Controlos NOK"/>
    <m/>
    <x v="2"/>
    <d v="2024-06-07T00:00:00"/>
    <x v="5"/>
    <s v="NOK"/>
    <m/>
    <m/>
    <m/>
    <s v="Analisar controlos NOK"/>
    <s v="Y"/>
    <s v="N"/>
    <s v="N"/>
    <s v="N"/>
    <s v="N"/>
    <s v="Y"/>
    <x v="1"/>
    <s v="4. Campos com NOK controlos Corporativos"/>
  </r>
  <r>
    <s v="INSTRUMENT"/>
    <s v="LND_DRGTN"/>
    <x v="1"/>
    <s v="9. Concluído"/>
    <s v="OK"/>
    <s v="Concluido, controlos OK"/>
    <m/>
    <x v="0"/>
    <d v="2024-06-07T00:00:00"/>
    <x v="0"/>
    <s v="OK"/>
    <m/>
    <m/>
    <m/>
    <s v="Campo concluido"/>
    <s v="Y"/>
    <s v="N"/>
    <s v="N"/>
    <s v="N"/>
    <s v="N"/>
    <s v="N"/>
    <x v="0"/>
    <n v="0"/>
  </r>
  <r>
    <s v="INSTRUMENT"/>
    <s v="LSTI"/>
    <x v="1"/>
    <s v="1. Especificar"/>
    <s v="OK"/>
    <s v="Em especificação (Campos Novos)"/>
    <m/>
    <x v="2"/>
    <d v="2024-06-07T00:00:00"/>
    <x v="3"/>
    <s v="OK"/>
    <m/>
    <m/>
    <m/>
    <s v="Novo campo"/>
    <s v="Y"/>
    <s v="N"/>
    <s v="N"/>
    <s v="N"/>
    <s v="N"/>
    <s v="N"/>
    <x v="0"/>
    <n v="0"/>
  </r>
  <r>
    <s v="ENTITY"/>
    <s v="LTI"/>
    <x v="1"/>
    <s v="1. Especificar"/>
    <s v="NOK"/>
    <s v="Em especificação (Salários)"/>
    <m/>
    <x v="2"/>
    <d v="2024-06-07T00:00:00"/>
    <x v="3"/>
    <s v="NOK"/>
    <m/>
    <m/>
    <m/>
    <s v="Melhorias estruturais (garantir coerência entre campos)"/>
    <s v="Y"/>
    <s v="N"/>
    <s v="N"/>
    <s v="N"/>
    <s v="N"/>
    <s v="N"/>
    <x v="0"/>
    <n v="0"/>
  </r>
  <r>
    <s v="INSTRUMENT"/>
    <s v="LTI_INSTRMNT"/>
    <x v="1"/>
    <s v="1. Especificar"/>
    <s v="OK"/>
    <s v="Em especificação (Campos Novos)"/>
    <m/>
    <x v="2"/>
    <d v="2024-06-07T00:00:00"/>
    <x v="3"/>
    <s v="OK"/>
    <m/>
    <m/>
    <m/>
    <s v="Novo campo"/>
    <s v="Y"/>
    <s v="N"/>
    <s v="N"/>
    <s v="N"/>
    <s v="N"/>
    <s v="N"/>
    <x v="0"/>
    <n v="0"/>
  </r>
  <r>
    <s v="INSTRUMENT"/>
    <s v="LTV"/>
    <x v="0"/>
    <s v="7. Analisar controlos e completude"/>
    <s v="NOK"/>
    <s v="Controlos NOK"/>
    <m/>
    <x v="2"/>
    <d v="2024-06-07T00:00:00"/>
    <x v="5"/>
    <s v="NOK"/>
    <m/>
    <m/>
    <m/>
    <s v="Analisar controlos NOK"/>
    <s v="Y"/>
    <s v="N"/>
    <s v="Y"/>
    <s v="N"/>
    <s v="N"/>
    <s v="N"/>
    <x v="0"/>
    <n v="0"/>
  </r>
  <r>
    <s v="INSTRUMENT"/>
    <s v="LTV_INCPTN"/>
    <x v="0"/>
    <s v="9. Concluído"/>
    <s v="OK"/>
    <s v="Concluido, controlos OK"/>
    <m/>
    <x v="0"/>
    <d v="2024-06-07T00:00:00"/>
    <x v="0"/>
    <s v="OK"/>
    <m/>
    <m/>
    <m/>
    <s v="Campo concluido"/>
    <s v="Y"/>
    <s v="N"/>
    <s v="Y"/>
    <s v="N"/>
    <s v="N"/>
    <s v="N"/>
    <x v="0"/>
    <n v="0"/>
  </r>
  <r>
    <s v="INSTRUMENT"/>
    <s v="LTV_NPE"/>
    <x v="0"/>
    <s v="5.1 Em testes - Re-especificação"/>
    <s v="OK"/>
    <s v="Em testes. Campo depende do campo PRFRMNG_STTS. Não é necessário alterar a especificação do mesmo, apenas testar  se o campo PRFRMNG_STTS for alterado."/>
    <m/>
    <x v="1"/>
    <d v="2024-06-07T00:00:00"/>
    <x v="8"/>
    <s v="OK"/>
    <m/>
    <d v="2022-05-16T00:00:00"/>
    <d v="2022-05-27T00:00:00"/>
    <s v="Pendente de decisão"/>
    <s v="Y"/>
    <s v="N"/>
    <s v="N"/>
    <s v="N"/>
    <s v="N"/>
    <s v="N"/>
    <x v="0"/>
    <n v="0"/>
  </r>
  <r>
    <s v="ENTITY"/>
    <s v="LVRG"/>
    <x v="0"/>
    <s v="9. Concluído"/>
    <s v="OK"/>
    <s v="Concluido, controlos OK"/>
    <m/>
    <x v="0"/>
    <d v="2024-06-07T00:00:00"/>
    <x v="0"/>
    <s v="OK"/>
    <m/>
    <m/>
    <m/>
    <s v="Campo concluido"/>
    <s v="Y"/>
    <s v="N"/>
    <s v="N"/>
    <s v="N"/>
    <s v="N"/>
    <s v="Y"/>
    <x v="0"/>
    <s v="6.1. Fora âmbito | Campos concluídos - Sem necessidade de espec."/>
  </r>
  <r>
    <s v="INSTRUMENT"/>
    <s v="LVRG_FNNC_FLG"/>
    <x v="1"/>
    <s v="9. Concluído"/>
    <s v="OK"/>
    <s v="Concluido, controlos OK"/>
    <m/>
    <x v="0"/>
    <d v="2024-06-07T00:00:00"/>
    <x v="0"/>
    <s v="OK"/>
    <m/>
    <m/>
    <m/>
    <s v="Campo concluido"/>
    <s v="Y"/>
    <s v="N"/>
    <s v="N"/>
    <s v="N"/>
    <s v="N"/>
    <s v="Y"/>
    <x v="2"/>
    <s v="6.3. Fora âmbito | Fonte Manual LF"/>
  </r>
  <r>
    <s v="ENTITY"/>
    <s v="LVRG_PRVS"/>
    <x v="0"/>
    <s v="9. Concluído"/>
    <s v="OK"/>
    <s v="Concluido, controlos OK"/>
    <m/>
    <x v="0"/>
    <d v="2024-06-07T00:00:00"/>
    <x v="0"/>
    <s v="OK"/>
    <m/>
    <m/>
    <m/>
    <s v="Campo concluido"/>
    <s v="Y"/>
    <s v="N"/>
    <s v="N"/>
    <s v="N"/>
    <s v="N"/>
    <s v="Y"/>
    <x v="0"/>
    <s v="6.1. Fora âmbito | Campos concluídos - Sem necessidade de espec."/>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x v="1"/>
    <d v="2024-06-07T00:00:00"/>
    <x v="1"/>
    <s v="OK"/>
    <m/>
    <d v="2024-02-02T00:00:00"/>
    <d v="2024-03-21T00:00:00"/>
    <s v="Pendente de decisão"/>
    <s v="Y"/>
    <s v="N"/>
    <s v="Y"/>
    <s v="N"/>
    <s v="N"/>
    <s v="Y"/>
    <x v="1"/>
    <s v="3. Campos em testes ou c/ incidências"/>
  </r>
  <r>
    <s v="PROTECTION"/>
    <s v="MN_PRPS"/>
    <x v="1"/>
    <s v="7. Analisar controlos e completude"/>
    <s v="NOK"/>
    <s v="Controlos NOK"/>
    <m/>
    <x v="2"/>
    <d v="2024-06-07T00:00:00"/>
    <x v="5"/>
    <s v="NOK"/>
    <m/>
    <m/>
    <m/>
    <s v="Analisar controlos NOK"/>
    <s v="Y"/>
    <s v="N"/>
    <s v="N"/>
    <s v="N"/>
    <s v="N"/>
    <s v="N"/>
    <x v="0"/>
    <n v="0"/>
  </r>
  <r>
    <s v="ENTITY"/>
    <s v="MNTHL_INCM"/>
    <x v="1"/>
    <s v="1. Especificar"/>
    <s v="OK"/>
    <s v="Em especificação (Salários)"/>
    <m/>
    <x v="2"/>
    <d v="2024-06-07T00:00:00"/>
    <x v="3"/>
    <s v="OK"/>
    <m/>
    <m/>
    <m/>
    <s v="Melhorias estruturais (garantir coerência entre campos)"/>
    <s v="Y"/>
    <s v="N"/>
    <s v="N"/>
    <s v="N"/>
    <s v="N"/>
    <s v="N"/>
    <x v="0"/>
    <n v="0"/>
  </r>
  <r>
    <s v="ENTITY"/>
    <s v="MNTHL_INCM_SLR"/>
    <x v="1"/>
    <s v="1. Especificar"/>
    <s v="NOK"/>
    <s v="Em especificação (Salários)"/>
    <m/>
    <x v="2"/>
    <d v="2024-06-07T00:00:00"/>
    <x v="3"/>
    <s v="NOK"/>
    <m/>
    <m/>
    <m/>
    <s v="Melhorias estruturais (garantir coerência entre campos)"/>
    <s v="Y"/>
    <s v="N"/>
    <s v="N"/>
    <s v="N"/>
    <s v="N"/>
    <s v="N"/>
    <x v="0"/>
    <n v="0"/>
  </r>
  <r>
    <s v="ENTITY"/>
    <s v="MNTHL_TRNVR"/>
    <x v="1"/>
    <s v="1. Especificar"/>
    <s v="OK"/>
    <s v="Em especificação (Salários)"/>
    <m/>
    <x v="2"/>
    <d v="2024-06-07T00:00:00"/>
    <x v="3"/>
    <s v="OK"/>
    <m/>
    <m/>
    <m/>
    <s v="Melhorias estruturais (garantir coerência entre campos)"/>
    <s v="Y"/>
    <s v="N"/>
    <s v="N"/>
    <s v="N"/>
    <s v="N"/>
    <s v="N"/>
    <x v="0"/>
    <n v="0"/>
  </r>
  <r>
    <s v="INSTRUMENT"/>
    <s v="MTRTY_LTST_FRBRNC_MSR_C19"/>
    <x v="1"/>
    <s v="9. Concluído"/>
    <s v="OK"/>
    <s v="Concluido, controlos OK"/>
    <m/>
    <x v="0"/>
    <d v="2024-06-07T00:00:00"/>
    <x v="0"/>
    <s v="OK"/>
    <m/>
    <m/>
    <m/>
    <s v="Campo concluido"/>
    <s v="Y"/>
    <s v="N"/>
    <s v="N"/>
    <s v="N"/>
    <s v="N"/>
    <s v="N"/>
    <x v="0"/>
    <n v="0"/>
  </r>
  <r>
    <s v="INSTRUMENT"/>
    <s v="MTRTY_LTST_MRTR_C19"/>
    <x v="1"/>
    <s v="9. Concluído"/>
    <s v="OK"/>
    <s v="Concluido, controlos OK"/>
    <m/>
    <x v="0"/>
    <d v="2024-06-07T00:00:00"/>
    <x v="0"/>
    <s v="OK"/>
    <m/>
    <m/>
    <m/>
    <s v="Campo concluido"/>
    <s v="Y"/>
    <s v="N"/>
    <s v="N"/>
    <s v="N"/>
    <s v="N"/>
    <s v="N"/>
    <x v="0"/>
    <n v="0"/>
  </r>
  <r>
    <s v="INSTRUMENT"/>
    <s v="NMBR_FRBRNC_MSRS"/>
    <x v="0"/>
    <s v="9. Concluído"/>
    <s v="OK"/>
    <s v="Concluido, controlos OK"/>
    <m/>
    <x v="0"/>
    <d v="2024-06-07T00:00:00"/>
    <x v="0"/>
    <s v="OK"/>
    <m/>
    <m/>
    <m/>
    <s v="Campo concluido"/>
    <s v="Y"/>
    <s v="N"/>
    <s v="N"/>
    <s v="N"/>
    <s v="N"/>
    <s v="Y"/>
    <x v="0"/>
    <s v="6.1. Fora âmbito | Campos concluídos - Sem necessidade de espec."/>
  </r>
  <r>
    <s v="ENTITY"/>
    <s v="NT_INCM"/>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ENTITY"/>
    <s v="NT_INCM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RWA_MTHD"/>
    <x v="0"/>
    <s v="5.1 Em testes - Re-especificação"/>
    <s v="OK"/>
    <s v="Em testes, campo entregue por IT durante a OSI. Testar e validar controlos"/>
    <s v="Alteração de formato de 11111111.00 para 11111111"/>
    <x v="0"/>
    <d v="2024-06-20T00:00:00"/>
    <x v="0"/>
    <s v="OK"/>
    <s v="Incidência relativamente ao formatos corrigida. Controlos testados e OK"/>
    <m/>
    <d v="2024-06-20T00:00:00"/>
    <s v="Campo concluido"/>
    <s v="Y"/>
    <s v="N"/>
    <s v="N"/>
    <s v="N"/>
    <s v="N"/>
    <s v="Y"/>
    <x v="0"/>
    <s v="6.1. Fora âmbito | Campos concluídos - Sem necessidade de espec."/>
  </r>
  <r>
    <s v="INSTRUMENT"/>
    <s v="OBSRVD_AGNT_ID"/>
    <x v="0"/>
    <s v="9. Concluído"/>
    <s v="OK"/>
    <s v="Concluido, controlos OK"/>
    <m/>
    <x v="0"/>
    <d v="2024-06-07T00:00:00"/>
    <x v="0"/>
    <s v="OK"/>
    <m/>
    <m/>
    <m/>
    <s v="Campo concluido"/>
    <s v="Y"/>
    <s v="N"/>
    <s v="N"/>
    <s v="N"/>
    <s v="N"/>
    <s v="Y"/>
    <x v="0"/>
    <s v="6.1. Fora âmbito | Campos concluídos - Sem necessidade de espec."/>
  </r>
  <r>
    <s v="INSTRUMENT"/>
    <s v="OBSRVD_AGNT_NM"/>
    <x v="0"/>
    <s v="9. Concluído"/>
    <s v="OK"/>
    <s v="Concluido, controlos OK"/>
    <m/>
    <x v="0"/>
    <d v="2024-06-07T00:00:00"/>
    <x v="0"/>
    <s v="OK"/>
    <m/>
    <m/>
    <m/>
    <s v="Campo concluido"/>
    <s v="Y"/>
    <s v="N"/>
    <s v="N"/>
    <s v="N"/>
    <s v="N"/>
    <s v="Y"/>
    <x v="0"/>
    <s v="6.1. Fora âmbito | Campos concluídos - Sem necessidade de espec."/>
  </r>
  <r>
    <s v="INSTRUMENT"/>
    <s v="OFF_BLNC_SHT_AMNT_INSTRMNT"/>
    <x v="0"/>
    <s v="7. Analisar controlos e completude"/>
    <s v="NOK"/>
    <s v="Controlos NOK"/>
    <m/>
    <x v="2"/>
    <d v="2024-06-07T00:00:00"/>
    <x v="5"/>
    <s v="NOK"/>
    <m/>
    <m/>
    <m/>
    <s v="Analisar controlos NOK"/>
    <s v="Y"/>
    <s v="Y"/>
    <s v="N"/>
    <s v="N"/>
    <s v="Y"/>
    <s v="Y"/>
    <x v="1"/>
    <s v="4. Campos com NOK controlos Corporativos"/>
  </r>
  <r>
    <s v="INSTRUMENT"/>
    <s v="OFF_BLNC_SHT_AMNT_INSTRMNT_PRVS"/>
    <x v="0"/>
    <s v="5.2 Em testes - Incidência"/>
    <s v="OK"/>
    <s v="Campo com incidência"/>
    <s v="MISS deviam estar a ser reportados como NA ou zero"/>
    <x v="1"/>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s v="Necessidade de correção de erros"/>
    <s v="Y"/>
    <s v="N"/>
    <s v="N"/>
    <s v="N"/>
    <s v="N"/>
    <s v="N"/>
    <x v="0"/>
    <n v="0"/>
  </r>
  <r>
    <s v="PROTECTION"/>
    <s v="DT_ORGNL_PRTCTN_VL"/>
    <x v="0"/>
    <s v="5.2 Em testes - Incidência"/>
    <s v="NOK"/>
    <s v="Campo com incidência e controlos NOK"/>
    <s v="1) Campo com incidência, data igual à data da protection_vl 2) Alteração de formatos MISS"/>
    <x v="0"/>
    <d v="2025-01-13T00:00:00"/>
    <x v="0"/>
    <s v="OK"/>
    <m/>
    <d v="2024-09-20T00:00:00"/>
    <d v="2024-12-20T00:00:00"/>
    <s v="Necessidade de correção de erros"/>
    <s v="Y"/>
    <s v="N"/>
    <s v="N"/>
    <s v="N"/>
    <s v="N"/>
    <s v="N"/>
    <x v="0"/>
    <n v="0"/>
  </r>
  <r>
    <s v="ENTITY"/>
    <s v="OSI_ID"/>
    <x v="0"/>
    <s v="9. Concluído"/>
    <s v="OK"/>
    <s v="Concluido, controlos OK"/>
    <m/>
    <x v="0"/>
    <d v="2024-06-07T00:00:00"/>
    <x v="0"/>
    <s v="OK"/>
    <m/>
    <m/>
    <m/>
    <s v="Campo concluido"/>
    <s v="Y"/>
    <s v="N"/>
    <s v="N"/>
    <s v="N"/>
    <s v="N"/>
    <s v="Y"/>
    <x v="0"/>
    <s v="6.1. Fora âmbito | Campos concluídos - Sem necessidade de espec."/>
  </r>
  <r>
    <s v="INSTRUMENT"/>
    <s v="OTSTNDNG_NMNL_AMNT_INSTRMNT"/>
    <x v="0"/>
    <s v="7. Analisar controlos e completude"/>
    <s v="NOK"/>
    <s v="Controlos NOK"/>
    <m/>
    <x v="2"/>
    <d v="2024-06-07T00:00:00"/>
    <x v="5"/>
    <s v="NOK"/>
    <m/>
    <m/>
    <m/>
    <s v="Analisar controlos NOK"/>
    <s v="Y"/>
    <s v="N"/>
    <s v="N"/>
    <s v="N"/>
    <s v="N"/>
    <s v="Y"/>
    <x v="1"/>
    <s v="4. Campos com NOK controlos Corporativos"/>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N"/>
    <x v="0"/>
    <n v="0"/>
  </r>
  <r>
    <s v="ENTITY"/>
    <s v="OWND_BY_SPNSR"/>
    <x v="1"/>
    <s v="9. Concluído"/>
    <s v="OK"/>
    <s v="Concluido, controlos OK"/>
    <m/>
    <x v="0"/>
    <d v="2024-06-07T00:00:00"/>
    <x v="0"/>
    <s v="OK"/>
    <m/>
    <m/>
    <m/>
    <s v="Campo concluido"/>
    <s v="Y"/>
    <s v="N"/>
    <s v="N"/>
    <s v="N"/>
    <s v="N"/>
    <s v="Y"/>
    <x v="2"/>
    <s v="6.3. Fora âmbito | Fonte Manual LF"/>
  </r>
  <r>
    <s v="INSTRUMENT"/>
    <s v="PBLC_GRNT_SCHM_C19_NM"/>
    <x v="1"/>
    <s v="9. Concluído"/>
    <s v="OK"/>
    <s v="Concluido, controlos OK"/>
    <m/>
    <x v="0"/>
    <d v="2024-06-07T00:00:00"/>
    <x v="0"/>
    <s v="OK"/>
    <m/>
    <m/>
    <m/>
    <s v="Campo concluido"/>
    <s v="Y"/>
    <s v="N"/>
    <s v="N"/>
    <s v="N"/>
    <s v="N"/>
    <s v="N"/>
    <x v="0"/>
    <n v="0"/>
  </r>
  <r>
    <s v="INSTRUMENT"/>
    <s v="PD_CRR_INCPTN"/>
    <x v="0"/>
    <s v="5.2 Em testes - Incidência"/>
    <s v="OK"/>
    <s v="Campo com incidência"/>
    <s v="Campo com incidência. Confirmar com Tecnologia que o campo está alterado com base no que foi identificado na OSI"/>
    <x v="2"/>
    <d v="2024-06-07T00:00:00"/>
    <x v="1"/>
    <s v="OK"/>
    <m/>
    <d v="2024-02-16T00:00:00"/>
    <d v="2024-05-27T00:00:00"/>
    <s v="Melhorias estruturais (garantir coerência entre campos)"/>
    <s v="Y"/>
    <s v="N"/>
    <s v="N"/>
    <s v="N"/>
    <s v="N"/>
    <s v="Y"/>
    <x v="1"/>
    <s v="3. Campos em testes ou c/ incidências"/>
  </r>
  <r>
    <s v="ENTITY"/>
    <s v="PD_CRR_RD"/>
    <x v="0"/>
    <s v="7. Analisar controlos e completude"/>
    <s v="NOK"/>
    <s v="Controlos NOK"/>
    <m/>
    <x v="2"/>
    <d v="2024-06-07T00:00:00"/>
    <x v="5"/>
    <s v="NOK"/>
    <m/>
    <m/>
    <m/>
    <s v="Analisar controlos NOK"/>
    <s v="Y"/>
    <s v="N"/>
    <s v="N"/>
    <s v="N"/>
    <s v="N"/>
    <s v="Y"/>
    <x v="1"/>
    <s v="4. Campos com NOK controlos Corporativos"/>
  </r>
  <r>
    <s v="INSTRUMENT"/>
    <s v="PD_CRR_RD"/>
    <x v="0"/>
    <s v="7. Analisar controlos e completude"/>
    <s v="NOK"/>
    <s v="Controlos NOK"/>
    <m/>
    <x v="2"/>
    <d v="2024-06-07T00:00:00"/>
    <x v="5"/>
    <s v="NOK"/>
    <m/>
    <m/>
    <m/>
    <s v="Analisar controlos NOK"/>
    <s v="Y"/>
    <s v="N"/>
    <s v="N"/>
    <s v="N"/>
    <s v="N"/>
    <s v="Y"/>
    <x v="1"/>
    <s v="4. Campos com NOK controlos Corporativos"/>
  </r>
  <r>
    <s v="ENTITY"/>
    <s v="PD_CRR_RD_T1"/>
    <x v="1"/>
    <s v="5.1 Em testes - Re-especificação"/>
    <s v="NOK"/>
    <s v="Em testes"/>
    <m/>
    <x v="1"/>
    <d v="2024-06-07T00:00:00"/>
    <x v="8"/>
    <s v="NOK"/>
    <m/>
    <d v="2022-07-08T00:00:00"/>
    <d v="2023-12-07T00:00:00"/>
    <s v="Necessidade de correção de erros"/>
    <s v="Y"/>
    <s v="N"/>
    <s v="N"/>
    <s v="N"/>
    <s v="N"/>
    <s v="N"/>
    <x v="0"/>
    <n v="0"/>
  </r>
  <r>
    <s v="INSTRUMENT"/>
    <s v="PD_CRR_RD_T1"/>
    <x v="1"/>
    <s v="5.1 Em testes - Re-especificação"/>
    <s v="NOK"/>
    <s v="Em testes"/>
    <m/>
    <x v="1"/>
    <d v="2024-06-07T00:00:00"/>
    <x v="8"/>
    <s v="NOK"/>
    <m/>
    <d v="2023-12-21T00:00:00"/>
    <d v="2024-02-08T00:00:00"/>
    <s v="Necessidade de correção de erros"/>
    <s v="Y"/>
    <s v="N"/>
    <s v="N"/>
    <s v="N"/>
    <s v="N"/>
    <s v="N"/>
    <x v="0"/>
    <n v="0"/>
  </r>
  <r>
    <s v="INSTRUMENT"/>
    <s v="PD_IFRS9_12M_INCPTN"/>
    <x v="0"/>
    <s v="9. Concluído"/>
    <s v="OK"/>
    <s v="Concluido, controlos OK"/>
    <m/>
    <x v="0"/>
    <d v="2024-06-07T00:00:00"/>
    <x v="0"/>
    <s v="OK"/>
    <s v="Campo Imparidade"/>
    <m/>
    <m/>
    <s v="Campo concluido"/>
    <s v="Y"/>
    <s v="N"/>
    <s v="N"/>
    <s v="N"/>
    <s v="N"/>
    <s v="Y"/>
    <x v="0"/>
    <s v="6.1. Fora âmbito | Campos concluídos - Sem necessidade de espec."/>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x v="2"/>
    <d v="2024-06-07T00:00:00"/>
    <x v="4"/>
    <s v="NOK"/>
    <s v="Campo Imparidade"/>
    <m/>
    <m/>
    <s v="Analisar controlos NOK"/>
    <s v="Y"/>
    <s v="N"/>
    <s v="N"/>
    <s v="N"/>
    <s v="N"/>
    <s v="Y"/>
    <x v="1"/>
    <s v="5. Campos com outras possíveis alterações - Dependente de decisões OSI "/>
  </r>
  <r>
    <s v="INSTRUMENT"/>
    <s v="PD_IFRS9_12M_RD"/>
    <x v="0"/>
    <s v="7. Analisar controlos e completude"/>
    <s v="NOK"/>
    <m/>
    <m/>
    <x v="1"/>
    <d v="2024-06-07T00:00:00"/>
    <x v="5"/>
    <s v="NOK"/>
    <s v="Campo Imparidade"/>
    <m/>
    <m/>
    <s v="Pendente de decisão"/>
    <s v="Y"/>
    <s v="N"/>
    <s v="N"/>
    <s v="N"/>
    <s v="N"/>
    <s v="Y"/>
    <x v="1"/>
    <s v="4. Campos com NOK controlos Corporativos"/>
  </r>
  <r>
    <s v="ENTITY"/>
    <s v="PD_IFRS9_12M_RD_T1"/>
    <x v="1"/>
    <s v="7. Analisar controlos e completude"/>
    <s v="NOK"/>
    <s v="Controlos NOK"/>
    <m/>
    <x v="2"/>
    <d v="2024-06-07T00:00:00"/>
    <x v="5"/>
    <s v="NOK"/>
    <s v="Campo Imparidade"/>
    <m/>
    <m/>
    <s v="Analisar controlos NOK"/>
    <s v="Y"/>
    <s v="N"/>
    <s v="N"/>
    <s v="N"/>
    <s v="N"/>
    <s v="N"/>
    <x v="0"/>
    <n v="0"/>
  </r>
  <r>
    <s v="INSTRUMENT"/>
    <s v="PD_IFRS9_12M_RD_T1"/>
    <x v="0"/>
    <s v="7. Analisar controlos e completude"/>
    <s v="NOK"/>
    <s v="Controlos NOK"/>
    <m/>
    <x v="2"/>
    <d v="2024-06-07T00:00:00"/>
    <x v="5"/>
    <s v="NOK"/>
    <s v="Campo Imparidade"/>
    <m/>
    <m/>
    <s v="Analisar controlos NOK"/>
    <s v="Y"/>
    <s v="N"/>
    <s v="N"/>
    <s v="N"/>
    <s v="N"/>
    <s v="N"/>
    <x v="0"/>
    <n v="0"/>
  </r>
  <r>
    <s v="INSTRUMENT"/>
    <s v="PD_IFRS9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INCPTN"/>
    <x v="0"/>
    <s v="9. Concluído"/>
    <s v="OK"/>
    <s v="Concluido, controlos OK"/>
    <m/>
    <x v="0"/>
    <d v="2024-06-07T00:00:00"/>
    <x v="0"/>
    <s v="OK"/>
    <s v="Campo Imparidade"/>
    <m/>
    <m/>
    <s v="Campo concluido"/>
    <s v="Y"/>
    <s v="N"/>
    <s v="N"/>
    <s v="N"/>
    <s v="N"/>
    <s v="Y"/>
    <x v="0"/>
    <s v="6.1. Fora âmbito | Campos concluídos - Sem necessidade de espec."/>
  </r>
  <r>
    <s v="INSTRUMENT"/>
    <s v="PD_IFRS9_RMNNG_LFTM_RD"/>
    <x v="0"/>
    <s v="9. Concluído"/>
    <s v="OK"/>
    <s v="Concluido, controlos OK"/>
    <m/>
    <x v="0"/>
    <d v="2024-06-07T00:00:00"/>
    <x v="0"/>
    <s v="OK"/>
    <s v="Campo Imparidade"/>
    <m/>
    <m/>
    <s v="Campo concluido"/>
    <s v="Y"/>
    <s v="N"/>
    <s v="N"/>
    <s v="N"/>
    <s v="N"/>
    <s v="Y"/>
    <x v="0"/>
    <s v="6.1. Fora âmbito | Campos concluídos - Sem necessidade de espec."/>
  </r>
  <r>
    <s v="INSTRUMENT"/>
    <s v="PMNT_PBLC_GRNT_SCHM_C19"/>
    <x v="1"/>
    <s v="9. Concluído"/>
    <s v="OK"/>
    <s v="Concluido, controlos OK"/>
    <m/>
    <x v="0"/>
    <d v="2024-06-07T00:00:00"/>
    <x v="0"/>
    <s v="OK"/>
    <m/>
    <m/>
    <m/>
    <s v="Campo concluido"/>
    <s v="Y"/>
    <s v="N"/>
    <s v="N"/>
    <s v="N"/>
    <s v="N"/>
    <s v="N"/>
    <x v="0"/>
    <n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x v="2"/>
    <d v="2024-06-07T00:00:00"/>
    <x v="2"/>
    <s v="NOK"/>
    <m/>
    <m/>
    <m/>
    <s v="Melhorias estruturais (garantir coerência entre campos)"/>
    <s v="Y"/>
    <s v="N"/>
    <s v="N"/>
    <s v="N"/>
    <s v="N"/>
    <s v="Y"/>
    <x v="1"/>
    <s v="2.2 Re-especificação de campos complexos - Resto"/>
  </r>
  <r>
    <s v="INSTRUMENT"/>
    <s v="PRCH_UNDR_RSL_AGR"/>
    <x v="1"/>
    <s v="9. Concluído"/>
    <s v="OK"/>
    <s v="Concluido, controlos OK"/>
    <m/>
    <x v="0"/>
    <d v="2024-06-07T00:00:00"/>
    <x v="0"/>
    <s v="OK"/>
    <m/>
    <m/>
    <m/>
    <s v="Campo concluido"/>
    <s v="Y"/>
    <s v="N"/>
    <s v="N"/>
    <s v="N"/>
    <s v="N"/>
    <s v="N"/>
    <x v="0"/>
    <n v="0"/>
  </r>
  <r>
    <s v="INSTRUMENT"/>
    <s v="PRDCT"/>
    <x v="0"/>
    <s v="9. Concluído"/>
    <s v="OK"/>
    <s v="Concluido, controlos OK"/>
    <m/>
    <x v="0"/>
    <d v="2024-06-07T00:00:00"/>
    <x v="0"/>
    <s v="OK"/>
    <m/>
    <m/>
    <m/>
    <s v="Campo concluido"/>
    <s v="Y"/>
    <s v="N"/>
    <s v="N"/>
    <s v="Y"/>
    <s v="N"/>
    <s v="N"/>
    <x v="0"/>
    <n v="0"/>
  </r>
  <r>
    <s v="INSTRUMENT"/>
    <s v="PRDNTL_PRTFL"/>
    <x v="1"/>
    <s v="9. Concluído"/>
    <s v="OK"/>
    <s v="Concluido, controlos OK"/>
    <m/>
    <x v="0"/>
    <d v="2024-06-07T00:00:00"/>
    <x v="0"/>
    <s v="OK"/>
    <m/>
    <m/>
    <m/>
    <s v="Campo concluido"/>
    <s v="Y"/>
    <s v="N"/>
    <s v="N"/>
    <s v="N"/>
    <s v="N"/>
    <s v="Y"/>
    <x v="0"/>
    <s v="6.1. Fora âmbito | Campos concluídos - Sem necessidade de espec."/>
  </r>
  <r>
    <s v="INSTRUMENT"/>
    <s v="PRFRMNG_STTS"/>
    <x v="0"/>
    <s v="3. Pendente de decisão"/>
    <s v="NOK"/>
    <s v="Verificar necessidade de alteração da fonte para fins de reconciliação. Rever Fonte"/>
    <m/>
    <x v="1"/>
    <d v="2025-01-13T00:00:00"/>
    <x v="8"/>
    <s v="NOK"/>
    <s v="Alteração da fonte das tabela de Imparidade Reporting para as 8_7 e alteração da data a partir da qual a fonte passa a ser as tabelas de Contabilidade"/>
    <d v="2024-09-27T00:00:00"/>
    <m/>
    <s v="Pendente de decisão"/>
    <s v="Y"/>
    <s v="Y"/>
    <s v="Y"/>
    <s v="N"/>
    <s v="N"/>
    <s v="Y"/>
    <x v="0"/>
    <s v="6.2.  Fora âmbito | Campos em testes ou c/ incidências (LT - PM)"/>
  </r>
  <r>
    <s v="ENTITY"/>
    <s v="PRFRMNG_STTS_LE"/>
    <x v="0"/>
    <s v="9. Concluído"/>
    <s v="OK"/>
    <s v="Concluido, controlos OK"/>
    <m/>
    <x v="0"/>
    <d v="2024-06-07T00:00:00"/>
    <x v="0"/>
    <s v="OK"/>
    <m/>
    <m/>
    <m/>
    <s v="Campo concluido"/>
    <s v="Y"/>
    <s v="N"/>
    <s v="N"/>
    <s v="N"/>
    <s v="N"/>
    <s v="Y"/>
    <x v="0"/>
    <s v="6.1. Fora âmbito | Campos concluídos - Sem necessidade de espec."/>
  </r>
  <r>
    <s v="INSTRUMENT"/>
    <s v="PRFRMNG_STTS_PRVS"/>
    <x v="0"/>
    <s v="5.1 Em testes - Re-especificação"/>
    <s v="OK"/>
    <s v="Em testes. Campo depende do campo PRFRMNG_STTS. Não é necessário alterar a especificação do mesmo, apenas testar  se o campo PRFRMNG_STTS for alterado."/>
    <m/>
    <x v="1"/>
    <d v="2025-01-13T00:00:00"/>
    <x v="8"/>
    <s v="OK"/>
    <s v="Alteração da fonte das tabela de Imparidade Reporting para as 8_7 e alteração da data a partir da qual a fonte passa a ser as tabelas de Contabilidade"/>
    <d v="2024-09-27T00:00:00"/>
    <m/>
    <s v="Pendente de decisão"/>
    <s v="Y"/>
    <s v="N"/>
    <s v="N"/>
    <s v="N"/>
    <s v="N"/>
    <s v="Y"/>
    <x v="0"/>
    <s v="6.2.  Fora âmbito | Campos em testes ou c/ incidências (LT - PM)"/>
  </r>
  <r>
    <s v="INSTRUMENT"/>
    <s v="PRJCT_FNNC_LN"/>
    <x v="0"/>
    <s v="9. Concluído"/>
    <s v="OK"/>
    <s v="Concluido, controlos OK"/>
    <m/>
    <x v="0"/>
    <d v="2024-06-07T00:00:00"/>
    <x v="0"/>
    <s v="OK"/>
    <m/>
    <m/>
    <m/>
    <s v="Campo concluido"/>
    <s v="Y"/>
    <s v="N"/>
    <s v="Y"/>
    <s v="N"/>
    <s v="N"/>
    <s v="N"/>
    <x v="0"/>
    <n v="0"/>
  </r>
  <r>
    <s v="PROTECTION"/>
    <s v="PRM_LCTN"/>
    <x v="1"/>
    <s v="5.1 Em testes - Re-especificação"/>
    <s v="NOK"/>
    <s v="Em testes"/>
    <m/>
    <x v="0"/>
    <d v="2025-01-13T00:00:00"/>
    <x v="0"/>
    <s v="OK"/>
    <s v="100220 Casos que deviam ser N e estão a ser reportados MISS"/>
    <d v="2024-06-28T00:00:00"/>
    <d v="2024-12-20T00:00:00"/>
    <s v="Necessidade de correção de erros"/>
    <s v="Y"/>
    <s v="N"/>
    <s v="N"/>
    <s v="N"/>
    <s v="N"/>
    <s v="N"/>
    <x v="0"/>
    <n v="0"/>
  </r>
  <r>
    <s v="INSTRUMENT"/>
    <s v="PRMRY_ASST_CLSSF"/>
    <x v="1"/>
    <s v="9. Concluído"/>
    <s v="OK"/>
    <s v="Concluido, controlos OK"/>
    <m/>
    <x v="0"/>
    <d v="2024-06-07T00:00:00"/>
    <x v="0"/>
    <s v="OK"/>
    <m/>
    <m/>
    <m/>
    <s v="Campo concluido"/>
    <s v="Y"/>
    <s v="N"/>
    <s v="Y"/>
    <s v="N"/>
    <s v="N"/>
    <s v="N"/>
    <x v="0"/>
    <n v="0"/>
  </r>
  <r>
    <s v="INSTRUMENT"/>
    <s v="PRPS"/>
    <x v="0"/>
    <s v="9. Concluído"/>
    <s v="OK"/>
    <s v="Concluido, controlos OK"/>
    <m/>
    <x v="0"/>
    <d v="2024-06-07T00:00:00"/>
    <x v="0"/>
    <s v="OK"/>
    <m/>
    <m/>
    <m/>
    <s v="Campo concluido"/>
    <s v="Y"/>
    <s v="N"/>
    <s v="N"/>
    <s v="N"/>
    <s v="N"/>
    <s v="Y"/>
    <x v="0"/>
    <s v="6.1. Fora âmbito | Campos concluídos - Sem necessidade de espec."/>
  </r>
  <r>
    <s v="ENTITY"/>
    <s v="PRSN_TYP"/>
    <x v="1"/>
    <s v="4.1 Em implementação - Re-especificação"/>
    <s v="OK"/>
    <s v="Aguarda implementação de IT"/>
    <m/>
    <x v="2"/>
    <d v="2024-06-17T00:00:00"/>
    <x v="8"/>
    <s v="OK"/>
    <m/>
    <d v="2024-01-12T00:00:00"/>
    <d v="2024-03-21T00:00:00"/>
    <s v="Novo campo"/>
    <s v="Y"/>
    <s v="N"/>
    <s v="N"/>
    <s v="N"/>
    <s v="N"/>
    <s v="N"/>
    <x v="0"/>
    <n v="0"/>
  </r>
  <r>
    <s v="INSTRUMENT"/>
    <s v="PRT_LCR_BFFR"/>
    <x v="1"/>
    <s v="9. Concluído"/>
    <s v="OK"/>
    <s v="Concluido, controlos OK"/>
    <m/>
    <x v="0"/>
    <d v="2024-06-07T00:00:00"/>
    <x v="0"/>
    <s v="OK"/>
    <m/>
    <m/>
    <m/>
    <s v="Campo concluido"/>
    <s v="Y"/>
    <s v="N"/>
    <s v="N"/>
    <s v="N"/>
    <s v="N"/>
    <s v="N"/>
    <x v="0"/>
    <n v="0"/>
  </r>
  <r>
    <s v="INSTR_PROTECTION"/>
    <s v="PRTCTN_ALLCTD_VL"/>
    <x v="0"/>
    <s v="9. Concluído"/>
    <s v="OK"/>
    <s v="Concluido, controlos OK"/>
    <m/>
    <x v="0"/>
    <d v="2024-06-07T00:00:00"/>
    <x v="0"/>
    <s v="OK"/>
    <m/>
    <m/>
    <m/>
    <s v="Campo concluido"/>
    <s v="Y"/>
    <s v="N"/>
    <s v="Y"/>
    <s v="N"/>
    <s v="N"/>
    <s v="N"/>
    <x v="0"/>
    <n v="0"/>
  </r>
  <r>
    <s v="PROTECTION"/>
    <s v="PRTCTN_CLLD"/>
    <x v="0"/>
    <s v="7. Analisar controlos e completude"/>
    <s v="NOK"/>
    <s v="Controlos NOK"/>
    <m/>
    <x v="2"/>
    <d v="2024-06-07T00:00:00"/>
    <x v="5"/>
    <s v="NOK"/>
    <m/>
    <m/>
    <m/>
    <s v="Analisar controlos NOK"/>
    <s v="Y"/>
    <s v="N"/>
    <s v="N"/>
    <s v="N"/>
    <s v="N"/>
    <s v="N"/>
    <x v="0"/>
    <n v="0"/>
  </r>
  <r>
    <s v="PROTECTION"/>
    <s v="PRTCTN_FRCD_SL_VL"/>
    <x v="0"/>
    <s v="9. Concluído"/>
    <s v="OK"/>
    <s v="Concluido, controlos OK"/>
    <m/>
    <x v="0"/>
    <d v="2024-06-07T00:00:00"/>
    <x v="0"/>
    <s v="OK"/>
    <m/>
    <m/>
    <m/>
    <s v="Campo concluido"/>
    <s v="Y"/>
    <s v="N"/>
    <s v="N"/>
    <s v="N"/>
    <s v="N"/>
    <s v="N"/>
    <x v="0"/>
    <n v="0"/>
  </r>
  <r>
    <s v="INSTR_PROTECTION"/>
    <s v="PRTCTN_ID"/>
    <x v="0"/>
    <s v="7. Analisar controlos e completude"/>
    <s v="NOK"/>
    <s v="Controlos NOK"/>
    <m/>
    <x v="2"/>
    <d v="2024-06-07T00:00:00"/>
    <x v="5"/>
    <s v="NOK"/>
    <m/>
    <m/>
    <m/>
    <s v="Analisar controlos NOK"/>
    <s v="Y"/>
    <s v="Y"/>
    <s v="Y"/>
    <s v="N"/>
    <s v="N"/>
    <s v="N"/>
    <x v="0"/>
    <n v="0"/>
  </r>
  <r>
    <s v="PROTECTION"/>
    <s v="PRTCTN_ID"/>
    <x v="0"/>
    <s v="7. Analisar controlos e completude"/>
    <s v="NOK"/>
    <s v="Controlos NOK"/>
    <m/>
    <x v="2"/>
    <d v="2024-06-07T00:00:00"/>
    <x v="5"/>
    <s v="NOK"/>
    <m/>
    <m/>
    <m/>
    <s v="Analisar controlos NOK"/>
    <s v="Y"/>
    <s v="Y"/>
    <s v="Y"/>
    <s v="N"/>
    <s v="Y"/>
    <s v="N"/>
    <x v="0"/>
    <n v="0"/>
  </r>
  <r>
    <s v="PROTECTION"/>
    <s v="PRTCTN_PRVDR_ID"/>
    <x v="0"/>
    <s v="7. Analisar controlos e completude"/>
    <s v="NOK"/>
    <s v="Controlos NOK"/>
    <m/>
    <x v="2"/>
    <d v="2024-06-07T00:00:00"/>
    <x v="5"/>
    <s v="NOK"/>
    <m/>
    <m/>
    <m/>
    <s v="Analisar controlos NOK"/>
    <s v="Y"/>
    <s v="N"/>
    <s v="N"/>
    <s v="N"/>
    <s v="N"/>
    <s v="N"/>
    <x v="0"/>
    <n v="0"/>
  </r>
  <r>
    <s v="PROTECTION"/>
    <s v="PRTCTN_TYP_PBLC_GRNT_SCHM_C19"/>
    <x v="1"/>
    <s v="7. Analisar controlos e completude"/>
    <s v="NOK"/>
    <s v="Controlos NOK"/>
    <m/>
    <x v="2"/>
    <d v="2024-06-07T00:00:00"/>
    <x v="5"/>
    <s v="NOK"/>
    <m/>
    <m/>
    <m/>
    <s v="Analisar controlos NOK"/>
    <s v="Y"/>
    <s v="N"/>
    <s v="N"/>
    <s v="N"/>
    <s v="N"/>
    <s v="N"/>
    <x v="0"/>
    <n v="0"/>
  </r>
  <r>
    <s v="ENTITY"/>
    <s v="DT_EXTRNL_RTNG"/>
    <x v="0"/>
    <s v="2. Alterar especificação"/>
    <s v="OK"/>
    <s v="Alterar especificação para casos em informação na fonte."/>
    <s v="Quando não existe informação na fonte em vez de MISS substituir por NA"/>
    <x v="1"/>
    <d v="2024-06-07T00:00:00"/>
    <x v="2"/>
    <s v="OK"/>
    <m/>
    <m/>
    <m/>
    <s v="Alteração de especificação por parte do BCE"/>
    <s v="Y"/>
    <s v="N"/>
    <s v="N"/>
    <s v="N"/>
    <s v="N"/>
    <s v="Y"/>
    <x v="1"/>
    <s v="2.2 Re-especificação de campos complexos - Resto"/>
  </r>
  <r>
    <s v="PROTECTION"/>
    <s v="ORGNL_PRTCTN_VL"/>
    <x v="0"/>
    <s v="5.2 Em testes - Incidência"/>
    <s v="OK"/>
    <s v="Campo com incidência"/>
    <s v="1) Campo com incidência, está a reportar apenas valores de MISS e N/A"/>
    <x v="1"/>
    <d v="2025-01-13T00:00:00"/>
    <x v="8"/>
    <s v="NOK"/>
    <s v="14 casos com valor original da proteção a zero"/>
    <d v="2024-09-20T00:00:00"/>
    <m/>
    <s v="Necessidade de correção de erros"/>
    <s v="Y"/>
    <s v="N"/>
    <s v="Y"/>
    <s v="N"/>
    <s v="N"/>
    <s v="N"/>
    <x v="0"/>
    <n v="0"/>
  </r>
  <r>
    <s v="PROTECTION"/>
    <s v="PRTCTN_VL_PRVS"/>
    <x v="0"/>
    <s v="9. Concluído"/>
    <s v="OK"/>
    <s v="Concluido, controlos OK"/>
    <m/>
    <x v="0"/>
    <d v="2024-06-07T00:00:00"/>
    <x v="0"/>
    <s v="OK"/>
    <m/>
    <m/>
    <m/>
    <s v="Campo concluido"/>
    <s v="Y"/>
    <s v="N"/>
    <s v="N"/>
    <s v="N"/>
    <s v="N"/>
    <s v="N"/>
    <x v="0"/>
    <n v="0"/>
  </r>
  <r>
    <s v="PROTECTION"/>
    <s v="PRTCTN_VLTN_APPRCH"/>
    <x v="0"/>
    <s v="7. Analisar controlos e completude"/>
    <s v="NOK"/>
    <s v="Controlos NOK"/>
    <m/>
    <x v="2"/>
    <d v="2024-06-07T00:00:00"/>
    <x v="5"/>
    <s v="NOK"/>
    <m/>
    <m/>
    <m/>
    <s v="Analisar controlos NOK"/>
    <s v="Y"/>
    <s v="N"/>
    <s v="N"/>
    <s v="N"/>
    <s v="N"/>
    <s v="N"/>
    <x v="0"/>
    <n v="0"/>
  </r>
  <r>
    <s v="INSTRUMENT"/>
    <s v="PRVSNS_OFF_BLNC_SHT"/>
    <x v="0"/>
    <s v="9. Concluído"/>
    <s v="OK"/>
    <s v="Concluido, controlos OK"/>
    <m/>
    <x v="0"/>
    <d v="2024-06-07T00:00:00"/>
    <x v="0"/>
    <s v="OK"/>
    <m/>
    <m/>
    <m/>
    <s v="Campo concluido"/>
    <s v="Y"/>
    <s v="Y"/>
    <s v="N"/>
    <s v="N"/>
    <s v="N"/>
    <s v="N"/>
    <x v="0"/>
    <n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x v="1"/>
    <d v="2024-06-07T00:00:00"/>
    <x v="1"/>
    <s v="OK"/>
    <m/>
    <m/>
    <m/>
    <s v="Pendente de decisão"/>
    <s v="Y"/>
    <s v="N"/>
    <s v="N"/>
    <s v="N"/>
    <s v="N"/>
    <s v="N"/>
    <x v="0"/>
    <n v="0"/>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RCRS"/>
    <x v="0"/>
    <s v="9. Concluído"/>
    <s v="OK"/>
    <s v="Concluido, controlos OK"/>
    <m/>
    <x v="0"/>
    <d v="2024-06-07T00:00:00"/>
    <x v="0"/>
    <s v="OK"/>
    <m/>
    <m/>
    <m/>
    <s v="Campo concluido"/>
    <s v="Y"/>
    <s v="N"/>
    <s v="N"/>
    <s v="N"/>
    <s v="N"/>
    <s v="N"/>
    <x v="0"/>
    <n v="0"/>
  </r>
  <r>
    <s v="INSTRUMENT"/>
    <s v="RCVD_AMRTSTN_12M"/>
    <x v="0"/>
    <s v="7. Analisar controlos e completude"/>
    <s v="NOK"/>
    <s v="Controlos NOK"/>
    <m/>
    <x v="2"/>
    <d v="2024-06-07T00:00:00"/>
    <x v="5"/>
    <s v="NOK"/>
    <m/>
    <m/>
    <m/>
    <s v="Analisar controlos NOK"/>
    <s v="Y"/>
    <s v="N"/>
    <s v="N"/>
    <s v="N"/>
    <s v="N"/>
    <s v="Y"/>
    <x v="1"/>
    <s v="4. Campos com NOK controlos Corporativos"/>
  </r>
  <r>
    <s v="INSTRUMENT"/>
    <s v="RCVD_AMRTSTN_24M"/>
    <x v="0"/>
    <s v="9. Concluído"/>
    <s v="OK"/>
    <s v="Concluido, controlos OK"/>
    <m/>
    <x v="0"/>
    <d v="2024-06-07T00:00:00"/>
    <x v="0"/>
    <s v="OK"/>
    <m/>
    <m/>
    <m/>
    <s v="Campo concluido"/>
    <s v="Y"/>
    <s v="N"/>
    <s v="N"/>
    <s v="N"/>
    <s v="N"/>
    <s v="Y"/>
    <x v="0"/>
    <s v="6.1. Fora âmbito | Campos concluídos - Sem necessidade de espec."/>
  </r>
  <r>
    <s v="PROTECTION"/>
    <s v="DT_CNSTRCTN_STTS"/>
    <x v="1"/>
    <s v="2. Alterar especificação"/>
    <s v="NOK"/>
    <s v="Campo dependente do MUG"/>
    <s v="Criação de uma tabela auxiliar de histórico dos estados de construção numa ótica diária"/>
    <x v="1"/>
    <d v="2024-10-03T00:00:00"/>
    <x v="2"/>
    <s v="NOK"/>
    <m/>
    <m/>
    <m/>
    <s v="Necessidade de correção de erros"/>
    <s v="Y"/>
    <s v="N"/>
    <s v="N"/>
    <s v="N"/>
    <s v="N"/>
    <s v="N"/>
    <x v="0"/>
    <n v="0"/>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x v="1"/>
    <d v="2024-06-07T00:00:00"/>
    <x v="2"/>
    <s v="NOK"/>
    <m/>
    <m/>
    <m/>
    <s v="Necessidade de correção de erros"/>
    <s v="Y"/>
    <s v="Y"/>
    <s v="Y"/>
    <s v="N"/>
    <s v="N"/>
    <s v="Y"/>
    <x v="1"/>
    <s v="2.2 Re-especificação de campos complexos - Resto"/>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x v="2"/>
    <d v="2024-06-07T00:00:00"/>
    <x v="2"/>
    <s v="OK"/>
    <m/>
    <m/>
    <m/>
    <s v="Melhorias estruturais (garantir coerência entre campos)"/>
    <s v="Y"/>
    <s v="N"/>
    <s v="N"/>
    <s v="N"/>
    <s v="N"/>
    <s v="N"/>
    <x v="0"/>
    <n v="0"/>
  </r>
  <r>
    <s v="INSTRUMENT"/>
    <s v="RFRNC_RT"/>
    <x v="1"/>
    <s v="9. Concluído"/>
    <s v="OK"/>
    <s v="Concluido, controlos OK"/>
    <m/>
    <x v="0"/>
    <d v="2024-06-07T00:00:00"/>
    <x v="0"/>
    <s v="OK"/>
    <m/>
    <m/>
    <m/>
    <s v="Campo concluido"/>
    <s v="Y"/>
    <s v="N"/>
    <s v="N"/>
    <s v="N"/>
    <s v="N"/>
    <s v="N"/>
    <x v="0"/>
    <n v="0"/>
  </r>
  <r>
    <s v="PROTECTION"/>
    <s v="RL_ESTT_ADDRSS"/>
    <x v="1"/>
    <s v="7. Analisar controlos e completude"/>
    <s v="NOK"/>
    <s v="Controlos NOK"/>
    <m/>
    <x v="2"/>
    <d v="2024-06-07T00:00:00"/>
    <x v="5"/>
    <s v="NOK"/>
    <m/>
    <m/>
    <m/>
    <s v="Analisar controlos NOK"/>
    <s v="Y"/>
    <s v="N"/>
    <s v="N"/>
    <s v="N"/>
    <s v="Y"/>
    <s v="N"/>
    <x v="0"/>
    <n v="0"/>
  </r>
  <r>
    <s v="INSTRUMENT"/>
    <s v="CMLTV_RCVRS_SNC_DFLT_INSTRMNT"/>
    <x v="0"/>
    <s v="2. Alterar especificação"/>
    <s v="OK"/>
    <s v="Campo especificado, mas sem dados. Campo marcado com MISS ou NA"/>
    <m/>
    <x v="2"/>
    <d v="2024-06-07T00:00:00"/>
    <x v="2"/>
    <s v="OK"/>
    <m/>
    <m/>
    <m/>
    <s v="Campo concluído, mas sem ou pouca informação na fonte"/>
    <s v="Y"/>
    <s v="N"/>
    <s v="N"/>
    <s v="N"/>
    <s v="N"/>
    <s v="N"/>
    <x v="0"/>
    <n v="0"/>
  </r>
  <r>
    <s v="PROTECTION"/>
    <s v="RL_ESTT_CLLTRL_LCTN_INT"/>
    <x v="1"/>
    <s v="7. Analisar controlos e completude"/>
    <s v="NOK"/>
    <s v="Controlos NOK"/>
    <m/>
    <x v="2"/>
    <d v="2024-06-07T00:00:00"/>
    <x v="5"/>
    <s v="NOK"/>
    <m/>
    <m/>
    <m/>
    <s v="Analisar controlos NOK"/>
    <s v="Y"/>
    <s v="N"/>
    <s v="N"/>
    <s v="N"/>
    <s v="Y"/>
    <s v="N"/>
    <x v="0"/>
    <n v="0"/>
  </r>
  <r>
    <s v="PROTECTION"/>
    <s v="RL_ESTT_CTY"/>
    <x v="1"/>
    <s v="7. Analisar controlos e completude"/>
    <s v="NOK"/>
    <s v="Controlos NOK"/>
    <m/>
    <x v="2"/>
    <d v="2024-06-07T00:00:00"/>
    <x v="5"/>
    <s v="NOK"/>
    <m/>
    <m/>
    <m/>
    <s v="Analisar controlos NOK"/>
    <s v="Y"/>
    <s v="N"/>
    <s v="N"/>
    <s v="N"/>
    <s v="Y"/>
    <s v="N"/>
    <x v="0"/>
    <n v="0"/>
  </r>
  <r>
    <s v="PROTECTION"/>
    <s v="RL_ESTT_PST_CD"/>
    <x v="0"/>
    <s v="7. Analisar controlos e completude"/>
    <s v="NOK"/>
    <s v="Controlos NOK"/>
    <m/>
    <x v="2"/>
    <d v="2024-06-07T00:00:00"/>
    <x v="5"/>
    <s v="NOK"/>
    <m/>
    <m/>
    <m/>
    <s v="Analisar controlos NOK"/>
    <s v="Y"/>
    <s v="N"/>
    <s v="Y"/>
    <s v="N"/>
    <s v="Y"/>
    <s v="N"/>
    <x v="0"/>
    <n v="0"/>
  </r>
  <r>
    <s v="INSTRUMENT"/>
    <s v="RRE_FNRP18"/>
    <x v="1"/>
    <s v="9. Concluído"/>
    <s v="OK"/>
    <s v="Concluido, controlos OK"/>
    <m/>
    <x v="0"/>
    <d v="2024-06-07T00:00:00"/>
    <x v="0"/>
    <s v="OK"/>
    <m/>
    <m/>
    <m/>
    <s v="Campo concluido"/>
    <s v="Y"/>
    <s v="N"/>
    <s v="N"/>
    <s v="N"/>
    <s v="N"/>
    <s v="N"/>
    <x v="0"/>
    <n v="0"/>
  </r>
  <r>
    <s v="ENTITY"/>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INSTRUMENT"/>
    <s v="RTNG_MTHD"/>
    <x v="0"/>
    <s v="5.1 Em testes - Re-especificação"/>
    <s v="NOK"/>
    <s v="Em testes, campo entregue por IT durante a OSI. Testar e validar controlos"/>
    <m/>
    <x v="1"/>
    <d v="2024-06-07T00:00:00"/>
    <x v="8"/>
    <s v="NOK"/>
    <m/>
    <d v="2024-02-16T00:00:00"/>
    <d v="2024-03-21T00:00:00"/>
    <s v="Alteração de especificação por parte do BCE"/>
    <s v="Y"/>
    <s v="N"/>
    <s v="N"/>
    <s v="N"/>
    <s v="N"/>
    <s v="Y"/>
    <x v="1"/>
    <s v="3. Campos em testes ou c/ incidências"/>
  </r>
  <r>
    <s v="ENTITY"/>
    <s v="RTNG_SCL"/>
    <x v="0"/>
    <s v="9. Concluído"/>
    <s v="OK"/>
    <s v="Concluido, controlos OK"/>
    <m/>
    <x v="0"/>
    <d v="2024-06-07T00:00:00"/>
    <x v="0"/>
    <s v="OK"/>
    <m/>
    <m/>
    <m/>
    <s v="Campo concluido"/>
    <s v="Y"/>
    <s v="N"/>
    <s v="N"/>
    <s v="N"/>
    <s v="N"/>
    <s v="Y"/>
    <x v="0"/>
    <s v="6.1. Fora âmbito | Campos concluídos - Sem necessidade de espec."/>
  </r>
  <r>
    <s v="INSTRUMENT"/>
    <s v="RTNG_SCL"/>
    <x v="0"/>
    <s v="9. Concluído"/>
    <s v="OK"/>
    <s v="Concluido, controlos OK"/>
    <m/>
    <x v="0"/>
    <d v="2024-06-07T00:00:00"/>
    <x v="0"/>
    <s v="OK"/>
    <m/>
    <m/>
    <m/>
    <s v="Campo concluido"/>
    <s v="Y"/>
    <s v="N"/>
    <s v="N"/>
    <s v="N"/>
    <s v="N"/>
    <s v="Y"/>
    <x v="0"/>
    <s v="6.1. Fora âmbito | Campos concluídos - Sem necessidade de espec."/>
  </r>
  <r>
    <s v="INSTRUMENT"/>
    <s v="RTNTN_SHR"/>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RWA"/>
    <x v="0"/>
    <s v="5.1 Em testes - Re-especificação"/>
    <s v="OK"/>
    <s v="Em testes. Campo com incidências, mas corrigida na LT no âmbito da OSI."/>
    <m/>
    <x v="1"/>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s v="Necessidade de correção de erros"/>
    <s v="Y"/>
    <s v="Y"/>
    <s v="N"/>
    <s v="N"/>
    <s v="N"/>
    <s v="Y"/>
    <x v="1"/>
    <s v="3. Campos em testes ou c/ incidências"/>
  </r>
  <r>
    <s v="INSTRUMENT"/>
    <s v="DT_LGL_FNL_MTRTY"/>
    <x v="0"/>
    <s v="5.2 Em testes - Incidência"/>
    <s v="NOK"/>
    <s v="Controlos NOK e com Incidência nos formatos. "/>
    <s v="Alterarção formato de 99999999 para 1111-11-11."/>
    <x v="1"/>
    <d v="2024-06-07T00:00:00"/>
    <x v="1"/>
    <s v="NOK"/>
    <m/>
    <m/>
    <m/>
    <s v="Necessidade de correção de erros"/>
    <s v="Y"/>
    <s v="N"/>
    <s v="Y"/>
    <s v="N"/>
    <s v="N"/>
    <s v="Y"/>
    <x v="1"/>
    <s v="3. Campos em testes ou c/ incidências"/>
  </r>
  <r>
    <s v="INSTRUMENT"/>
    <s v="SBJCT_PBLC_GRNT_SCHM_C19"/>
    <x v="1"/>
    <s v="9. Concluído"/>
    <s v="OK"/>
    <s v="Concluido, controlos OK"/>
    <m/>
    <x v="0"/>
    <d v="2024-06-07T00:00:00"/>
    <x v="0"/>
    <s v="OK"/>
    <m/>
    <m/>
    <m/>
    <s v="Campo concluido"/>
    <s v="Y"/>
    <s v="N"/>
    <s v="N"/>
    <s v="N"/>
    <s v="N"/>
    <s v="N"/>
    <x v="0"/>
    <n v="0"/>
  </r>
  <r>
    <s v="INSTRUMENT"/>
    <s v="DT_NXT_INTRST_RT_RST"/>
    <x v="0"/>
    <s v="5.2 Em testes - Incidência"/>
    <s v="NOK"/>
    <s v="Controlos NOK e com Incidência nos formatos."/>
    <s v=" Alteração formato de 0001-01-01 para 0000-00-00."/>
    <x v="1"/>
    <d v="2024-06-07T00:00:00"/>
    <x v="1"/>
    <s v="NOK"/>
    <m/>
    <m/>
    <m/>
    <s v="Necessidade de correção de erros"/>
    <s v="Y"/>
    <s v="N"/>
    <s v="N"/>
    <s v="N"/>
    <s v="N"/>
    <s v="N"/>
    <x v="0"/>
    <n v="0"/>
  </r>
  <r>
    <s v="INSTRUMENT"/>
    <s v="SME_FNRP18"/>
    <x v="0"/>
    <s v="9. Concluído"/>
    <s v="OK"/>
    <s v="Concluido, controlos OK"/>
    <m/>
    <x v="0"/>
    <d v="2024-06-07T00:00:00"/>
    <x v="0"/>
    <s v="OK"/>
    <m/>
    <m/>
    <m/>
    <s v="Campo concluido"/>
    <s v="Y"/>
    <s v="N"/>
    <s v="N"/>
    <s v="N"/>
    <s v="N"/>
    <s v="N"/>
    <x v="0"/>
    <n v="0"/>
  </r>
  <r>
    <s v="ENTITY"/>
    <s v="SNGL_PRPS_VHCL"/>
    <x v="1"/>
    <s v="9. Concluído"/>
    <s v="OK"/>
    <s v="Concluido, controlos OK"/>
    <m/>
    <x v="0"/>
    <d v="2024-06-07T00:00:00"/>
    <x v="0"/>
    <s v="OK"/>
    <m/>
    <m/>
    <m/>
    <s v="Campo concluido"/>
    <s v="Y"/>
    <s v="N"/>
    <s v="N"/>
    <s v="N"/>
    <s v="N"/>
    <s v="N"/>
    <x v="0"/>
    <n v="0"/>
  </r>
  <r>
    <s v="INSTRUMENT"/>
    <s v="SPCLTV_LNDNG"/>
    <x v="1"/>
    <s v="7. Analisar controlos e completude"/>
    <s v="NOK"/>
    <s v="Controlos NOK"/>
    <m/>
    <x v="2"/>
    <d v="2024-06-07T00:00:00"/>
    <x v="5"/>
    <s v="NOK"/>
    <m/>
    <m/>
    <m/>
    <s v="Analisar controlos NOK"/>
    <s v="Y"/>
    <s v="N"/>
    <s v="N"/>
    <s v="N"/>
    <s v="N"/>
    <s v="N"/>
    <x v="0"/>
    <n v="0"/>
  </r>
  <r>
    <s v="INSTRUMENT"/>
    <s v="SPNSR_NM"/>
    <x v="1"/>
    <s v="8. Concluído - sem dados"/>
    <s v="OK"/>
    <s v="Campo especificado, mas sem dados. Campo marcado com MISS ou NA"/>
    <m/>
    <x v="0"/>
    <d v="2024-06-07T00:00:00"/>
    <x v="6"/>
    <s v="OK"/>
    <m/>
    <m/>
    <m/>
    <s v="Campo concluído, mas sem ou pouca informação na fonte"/>
    <s v="Y"/>
    <s v="N"/>
    <s v="N"/>
    <s v="N"/>
    <s v="N"/>
    <s v="Y"/>
    <x v="2"/>
    <s v="6.3. Fora âmbito | Fonte Manual LF"/>
  </r>
  <r>
    <s v="INSTRUMENT"/>
    <s v="SPRD"/>
    <x v="1"/>
    <s v="9. Concluído"/>
    <s v="OK"/>
    <s v="Concluido, controlos OK"/>
    <m/>
    <x v="0"/>
    <d v="2024-06-07T00:00:00"/>
    <x v="0"/>
    <s v="OK"/>
    <m/>
    <m/>
    <m/>
    <s v="Campo concluido"/>
    <s v="Y"/>
    <s v="N"/>
    <s v="N"/>
    <s v="N"/>
    <s v="N"/>
    <s v="N"/>
    <x v="0"/>
    <n v="0"/>
  </r>
  <r>
    <s v="INSTRUMENT"/>
    <s v="SRCS_ENCMBRNC"/>
    <x v="1"/>
    <s v="9. Concluído"/>
    <s v="OK"/>
    <s v="Concluido, controlos OK"/>
    <m/>
    <x v="0"/>
    <d v="2024-06-07T00:00:00"/>
    <x v="0"/>
    <s v="OK"/>
    <m/>
    <m/>
    <m/>
    <s v="Campo concluido"/>
    <s v="Y"/>
    <s v="N"/>
    <s v="N"/>
    <s v="N"/>
    <s v="N"/>
    <s v="N"/>
    <x v="0"/>
    <n v="0"/>
  </r>
  <r>
    <s v="INSTRUMENT"/>
    <s v="STTS_UNDRWRTTN_TRNSCTN"/>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UBPORTFOLIO_ID"/>
    <x v="0"/>
    <s v="9. Concluído"/>
    <s v="OK"/>
    <s v="Concluido, controlos OK"/>
    <m/>
    <x v="0"/>
    <d v="2024-06-07T00:00:00"/>
    <x v="0"/>
    <s v="OK"/>
    <m/>
    <m/>
    <m/>
    <s v="Campo concluido"/>
    <s v="Y"/>
    <s v="Y"/>
    <s v="Y"/>
    <s v="N"/>
    <s v="Y"/>
    <s v="Y"/>
    <x v="0"/>
    <s v="6.1. Fora âmbito | Campos concluídos - Sem necessidade de espec."/>
  </r>
  <r>
    <s v="INSTRUMENT"/>
    <s v="SYNDCT_RL"/>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AGNT"/>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CNTRCT_ID"/>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LNDRS"/>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D_SHR"/>
    <x v="0"/>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INSTRUMENT"/>
    <s v="SYNDCTN_TYP"/>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AX_ID"/>
    <x v="1"/>
    <s v="7. Analisar controlos e completude"/>
    <s v="NOK"/>
    <s v="Campo especificado, mas com problemas a montante"/>
    <m/>
    <x v="2"/>
    <d v="2024-06-07T00:00:00"/>
    <x v="5"/>
    <s v="NOK"/>
    <m/>
    <m/>
    <m/>
    <s v="Analisar controlos NOK"/>
    <s v="Y"/>
    <s v="N"/>
    <s v="N"/>
    <s v="N"/>
    <s v="N"/>
    <s v="N"/>
    <x v="0"/>
    <n v="0"/>
  </r>
  <r>
    <s v="PROTECTION"/>
    <s v="TAX_ID"/>
    <x v="1"/>
    <s v="7. Analisar controlos e completude"/>
    <s v="NOK"/>
    <s v="Concluido, controlos por parte de Riscos"/>
    <m/>
    <x v="2"/>
    <d v="2024-06-07T00:00:00"/>
    <x v="5"/>
    <s v="NOK"/>
    <m/>
    <m/>
    <m/>
    <s v="Analisar controlos NOK"/>
    <s v="Y"/>
    <s v="N"/>
    <s v="N"/>
    <s v="N"/>
    <s v="N"/>
    <s v="N"/>
    <x v="0"/>
    <n v="0"/>
  </r>
  <r>
    <s v="INSTR_PROTECTION"/>
    <s v="THRD_PRTY_PRRTY_CLMS"/>
    <x v="0"/>
    <s v="9. Concluído"/>
    <s v="OK"/>
    <s v="Concluido, controlos OK"/>
    <m/>
    <x v="0"/>
    <d v="2024-06-07T00:00:00"/>
    <x v="0"/>
    <s v="OK"/>
    <m/>
    <m/>
    <m/>
    <s v="Campo concluido"/>
    <s v="Y"/>
    <s v="N"/>
    <s v="N"/>
    <s v="N"/>
    <s v="N"/>
    <s v="N"/>
    <x v="0"/>
    <n v="0"/>
  </r>
  <r>
    <s v="INSTRUMENT"/>
    <s v="TRNCH"/>
    <x v="1"/>
    <s v="6. Outros Desenvolvimentos"/>
    <s v="OK"/>
    <s v="Em implementação IT BST (Sindicados)"/>
    <s v="Aguarda desenvolvimentos nas plataformas Loan IQ e Mercurio"/>
    <x v="2"/>
    <d v="2024-06-07T00:00:00"/>
    <x v="9"/>
    <s v="OK"/>
    <m/>
    <m/>
    <m/>
    <s v="Melhorias estruturais (garantir coerência entre campos)"/>
    <s v="Y"/>
    <s v="N"/>
    <s v="N"/>
    <s v="N"/>
    <s v="N"/>
    <s v="Y"/>
    <x v="1"/>
    <s v="2.1. Re-especificação de campos complexos | Sindicados"/>
  </r>
  <r>
    <s v="ENTITY"/>
    <s v="TTL_DBT"/>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Y"/>
    <s v="N"/>
    <s v="N"/>
    <s v="Y"/>
    <x v="2"/>
    <s v="6.4. Fora âmbito | Re-especificação de campos complexos - Dem. Fin. CIB"/>
  </r>
  <r>
    <s v="ENTITY"/>
    <s v="TTL_DBT_PRVS"/>
    <x v="0"/>
    <s v="2. Alterar especificação"/>
    <s v="OK"/>
    <s v="Em especificação (Financial Statments CIB)"/>
    <s v="Campo implementação, mas com falta de informação para o segmento de clientes CIB"/>
    <x v="2"/>
    <d v="2024-06-07T00:00:00"/>
    <x v="2"/>
    <s v="OK"/>
    <m/>
    <m/>
    <m/>
    <s v="Melhorias estruturais (garantir coerência entre campos)"/>
    <s v="Y"/>
    <s v="N"/>
    <s v="N"/>
    <s v="N"/>
    <s v="N"/>
    <s v="Y"/>
    <x v="2"/>
    <s v="6.4. Fora âmbito | Re-especificação de campos complexos - Dem. Fin. CIB"/>
  </r>
  <r>
    <s v="INSTRUMENT"/>
    <s v="ACCRD_INTRST_INSTRMNT"/>
    <x v="0"/>
    <s v="2. Alterar especificação"/>
    <s v="OK"/>
    <s v="Alterar especificação (Área enviou nova metodologia do campo)"/>
    <m/>
    <x v="2"/>
    <d v="2024-06-07T00:00:00"/>
    <x v="2"/>
    <s v="OK"/>
    <m/>
    <m/>
    <m/>
    <s v="Melhorias estruturais (garantir coerência entre campos)"/>
    <s v="Y"/>
    <s v="N"/>
    <s v="N"/>
    <s v="N"/>
    <s v="N"/>
    <s v="Y"/>
    <x v="1"/>
    <s v="2.2 Re-especificação de campos complexos - Resto"/>
  </r>
  <r>
    <s v="ENTITY"/>
    <s v="TTL_LVRG_RT"/>
    <x v="1"/>
    <s v="9. Concluído"/>
    <s v="OK"/>
    <s v="Concluido, controlos OK"/>
    <m/>
    <x v="0"/>
    <d v="2024-06-07T00:00:00"/>
    <x v="0"/>
    <s v="OK"/>
    <m/>
    <m/>
    <m/>
    <s v="Campo concluido"/>
    <s v="Y"/>
    <s v="N"/>
    <s v="N"/>
    <s v="N"/>
    <s v="N"/>
    <s v="Y"/>
    <x v="0"/>
    <s v="6.1. Fora âmbito | Campos concluídos - Sem necessidade de espec."/>
  </r>
  <r>
    <s v="ENTITY"/>
    <s v="TTL_LVRG_RT_PRVS"/>
    <x v="1"/>
    <s v="9. Concluído"/>
    <s v="OK"/>
    <s v="Concluido, controlos OK"/>
    <m/>
    <x v="0"/>
    <d v="2024-06-07T00:00:00"/>
    <x v="0"/>
    <s v="OK"/>
    <m/>
    <m/>
    <m/>
    <s v="Campo concluido"/>
    <s v="Y"/>
    <s v="N"/>
    <s v="N"/>
    <s v="N"/>
    <s v="N"/>
    <s v="Y"/>
    <x v="0"/>
    <s v="6.1. Fora âmbito | Campos concluídos - Sem necessidade de espec."/>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x v="1"/>
    <d v="2024-06-07T00:00:00"/>
    <x v="4"/>
    <s v="NOK"/>
    <m/>
    <m/>
    <m/>
    <s v="Pendente de decisão"/>
    <s v="Y"/>
    <s v="N"/>
    <s v="N"/>
    <s v="N"/>
    <s v="N"/>
    <s v="Y"/>
    <x v="1"/>
    <s v="5. Campos com outras possíveis alterações - Dependente de decisões OSI "/>
  </r>
  <r>
    <s v="INSTRUMENT"/>
    <s v="TYP_CMPLNT_MRTR_C19"/>
    <x v="1"/>
    <s v="9. Concluído"/>
    <s v="OK"/>
    <s v="Concluido, controlos OK"/>
    <m/>
    <x v="0"/>
    <d v="2024-06-07T00:00:00"/>
    <x v="0"/>
    <s v="OK"/>
    <m/>
    <m/>
    <m/>
    <s v="Campo concluido"/>
    <s v="Y"/>
    <s v="N"/>
    <s v="N"/>
    <s v="N"/>
    <s v="N"/>
    <s v="N"/>
    <x v="0"/>
    <n v="0"/>
  </r>
  <r>
    <s v="INSTRUMENT"/>
    <s v="TYP_CRE_OPRTN"/>
    <x v="1"/>
    <s v="7. Analisar controlos e completude"/>
    <s v="NOK"/>
    <s v="Controlos NOK"/>
    <m/>
    <x v="2"/>
    <d v="2024-06-07T00:00:00"/>
    <x v="5"/>
    <s v="NOK"/>
    <m/>
    <m/>
    <m/>
    <s v="Analisar controlos NOK"/>
    <s v="Y"/>
    <s v="N"/>
    <s v="N"/>
    <s v="N"/>
    <s v="N"/>
    <s v="N"/>
    <x v="0"/>
    <n v="0"/>
  </r>
  <r>
    <s v="INSTRUMENT"/>
    <s v="TYP_INSTRMNT"/>
    <x v="0"/>
    <s v="9. Concluído"/>
    <s v="OK"/>
    <s v="Concluido, controlos OK"/>
    <m/>
    <x v="0"/>
    <d v="2024-06-07T00:00:00"/>
    <x v="0"/>
    <s v="OK"/>
    <m/>
    <m/>
    <m/>
    <s v="Campo concluido"/>
    <s v="Y"/>
    <s v="Y"/>
    <s v="Y"/>
    <s v="N"/>
    <s v="N"/>
    <s v="Y"/>
    <x v="0"/>
    <s v="6.1. Fora âmbito | Campos concluídos - Sem necessidade de espec."/>
  </r>
  <r>
    <s v="INSTRUMENT"/>
    <s v="TYP_INTRST_RT"/>
    <x v="0"/>
    <s v="9. Concluído"/>
    <s v="OK"/>
    <s v="Concluido, controlos OK"/>
    <m/>
    <x v="0"/>
    <d v="2024-06-07T00:00:00"/>
    <x v="0"/>
    <s v="OK"/>
    <m/>
    <m/>
    <m/>
    <s v="Campo concluido"/>
    <s v="Y"/>
    <s v="N"/>
    <s v="N"/>
    <s v="N"/>
    <s v="N"/>
    <s v="N"/>
    <x v="0"/>
    <n v="0"/>
  </r>
  <r>
    <s v="PROTECTION"/>
    <s v="PRTCTN_VL"/>
    <x v="0"/>
    <s v="5.2 Em testes - Incidência"/>
    <s v="OK"/>
    <s v="Campo com incidência"/>
    <s v="Incidências: Casos em que valor é 0"/>
    <x v="1"/>
    <d v="2024-09-27T00:00:00"/>
    <x v="1"/>
    <s v="NOK"/>
    <s v="44 garantias com valor zero."/>
    <m/>
    <m/>
    <s v="Necessidade de correção de erros"/>
    <s v="Y"/>
    <s v="Y"/>
    <s v="Y"/>
    <s v="N"/>
    <s v="N"/>
    <s v="N"/>
    <x v="0"/>
    <n v="0"/>
  </r>
  <r>
    <s v="PROTECTION"/>
    <s v="PRTCTN_VL_NPE"/>
    <x v="0"/>
    <s v="5.1 Em testes - Re-especificação"/>
    <s v="OK"/>
    <s v="Campo depende do histórico do PRFRMNG_STTS. Não é necessário alterar a especificação do mesmo, apenas testar se a metodologia do campo PRFRMNG_STTS for alterada. "/>
    <m/>
    <x v="1"/>
    <d v="2024-10-03T00:00:00"/>
    <x v="8"/>
    <s v="OK"/>
    <m/>
    <m/>
    <m/>
    <s v="Pendente de decisão"/>
    <s v="Y"/>
    <s v="N"/>
    <s v="N"/>
    <s v="N"/>
    <s v="N"/>
    <s v="N"/>
    <x v="0"/>
    <n v="0"/>
  </r>
  <r>
    <s v="PROTECTION"/>
    <s v="TYP_PRTCTN_INTRNL"/>
    <x v="0"/>
    <s v="7. Analisar controlos e completude"/>
    <s v="NOK"/>
    <s v="Controlos NOK"/>
    <m/>
    <x v="2"/>
    <d v="2024-06-07T00:00:00"/>
    <x v="5"/>
    <s v="NOK"/>
    <m/>
    <m/>
    <m/>
    <s v="Analisar controlos NOK"/>
    <s v="Y"/>
    <s v="N"/>
    <s v="N"/>
    <s v="N"/>
    <s v="N"/>
    <s v="N"/>
    <x v="0"/>
    <n v="0"/>
  </r>
  <r>
    <s v="PROTECTION"/>
    <s v="TYP_PRTCTN_VL"/>
    <x v="0"/>
    <s v="7. Analisar controlos e completude"/>
    <s v="NOK"/>
    <s v="Controlos NOK"/>
    <m/>
    <x v="2"/>
    <d v="2024-06-07T00:00:00"/>
    <x v="5"/>
    <s v="NOK"/>
    <m/>
    <m/>
    <m/>
    <s v="Analisar controlos NOK"/>
    <s v="Y"/>
    <s v="N"/>
    <s v="N"/>
    <s v="N"/>
    <s v="N"/>
    <s v="N"/>
    <x v="0"/>
    <n v="0"/>
  </r>
  <r>
    <s v="INSTRUMENT"/>
    <s v="TYPE_OF_PLCMNT"/>
    <x v="1"/>
    <s v="9. Concluído"/>
    <s v="OK"/>
    <s v="Concluido, controlos OK"/>
    <m/>
    <x v="0"/>
    <d v="2024-06-07T00:00:00"/>
    <x v="0"/>
    <s v="OK"/>
    <m/>
    <m/>
    <m/>
    <s v="Campo concluido"/>
    <s v="Y"/>
    <s v="N"/>
    <s v="N"/>
    <s v="N"/>
    <s v="N"/>
    <s v="N"/>
    <x v="0"/>
    <n v="0"/>
  </r>
  <r>
    <s v="INSTRUMENT"/>
    <s v="VLTN_CRRNCY"/>
    <x v="1"/>
    <s v="9. Concluído"/>
    <s v="OK"/>
    <s v="Concluido, controlos OK"/>
    <m/>
    <x v="0"/>
    <d v="2024-06-07T00:00:00"/>
    <x v="0"/>
    <s v="OK"/>
    <m/>
    <m/>
    <m/>
    <s v="Campo concluido"/>
    <s v="Y"/>
    <s v="N"/>
    <s v="N"/>
    <s v="N"/>
    <s v="N"/>
    <s v="N"/>
    <x v="0"/>
    <n v="0"/>
  </r>
  <r>
    <s v="INSTRUMENT"/>
    <s v="VLTN_TYP"/>
    <x v="1"/>
    <s v="9. Concluído"/>
    <s v="OK"/>
    <s v="Concluido, controlos OK"/>
    <m/>
    <x v="0"/>
    <d v="2024-06-07T00:00:00"/>
    <x v="0"/>
    <s v="OK"/>
    <m/>
    <m/>
    <m/>
    <s v="Campo concluido"/>
    <s v="Y"/>
    <s v="N"/>
    <s v="N"/>
    <s v="N"/>
    <s v="N"/>
    <s v="N"/>
    <x v="0"/>
    <n v="0"/>
  </r>
  <r>
    <s v="ENTITY"/>
    <s v="WTCH_LST"/>
    <x v="0"/>
    <s v="9. Concluído"/>
    <s v="OK"/>
    <s v="Concluido, controlos OK"/>
    <m/>
    <x v="0"/>
    <d v="2024-06-07T00:00:00"/>
    <x v="0"/>
    <s v="OK"/>
    <m/>
    <m/>
    <m/>
    <s v="Campo concluido"/>
    <s v="Y"/>
    <s v="N"/>
    <s v="N"/>
    <s v="N"/>
    <s v="N"/>
    <s v="Y"/>
    <x v="0"/>
    <s v="6.1. Fora âmbito | Campos concluídos - Sem necessidade de espec."/>
  </r>
  <r>
    <s v="PROTECTION"/>
    <s v="YR_CNSTRCTN"/>
    <x v="1"/>
    <s v="1. Especificar"/>
    <s v="OK"/>
    <s v="Em especificação (Campos Novos)"/>
    <m/>
    <x v="2"/>
    <d v="2024-06-07T00:00:00"/>
    <x v="3"/>
    <s v="OK"/>
    <m/>
    <m/>
    <m/>
    <s v="Novo campo"/>
    <s v="Y"/>
    <s v="N"/>
    <s v="Y"/>
    <s v="N"/>
    <s v="Y"/>
    <s v="N"/>
    <x v="0"/>
    <n v="0"/>
  </r>
  <r>
    <s v="ENTITY"/>
    <s v="ADDRSS_CTY"/>
    <x v="1"/>
    <s v="1. Especificar"/>
    <m/>
    <m/>
    <m/>
    <x v="2"/>
    <d v="2025-01-10T00:00:00"/>
    <x v="3"/>
    <m/>
    <m/>
    <m/>
    <m/>
    <m/>
    <s v="Y"/>
    <s v="N"/>
    <s v="N"/>
    <s v="N"/>
    <s v="N"/>
    <s v="N"/>
    <x v="3"/>
    <n v="0"/>
  </r>
  <r>
    <s v="ENTITY"/>
    <s v="ADDRSS_STRT"/>
    <x v="1"/>
    <s v="1. Especificar"/>
    <m/>
    <m/>
    <m/>
    <x v="2"/>
    <d v="2025-01-10T00:00:00"/>
    <x v="3"/>
    <m/>
    <m/>
    <m/>
    <m/>
    <m/>
    <s v="Y"/>
    <s v="N"/>
    <s v="N"/>
    <s v="N"/>
    <s v="N"/>
    <s v="N"/>
    <x v="3"/>
    <n v="0"/>
  </r>
  <r>
    <s v="ENTITY"/>
    <s v="DT_ENTRPRS_SZ"/>
    <x v="1"/>
    <s v="1. Especificar"/>
    <m/>
    <m/>
    <m/>
    <x v="2"/>
    <d v="2025-01-10T00:00:00"/>
    <x v="3"/>
    <m/>
    <m/>
    <m/>
    <m/>
    <m/>
    <s v="Y"/>
    <s v="N"/>
    <s v="N"/>
    <s v="N"/>
    <s v="N"/>
    <s v="N"/>
    <x v="3"/>
    <n v="0"/>
  </r>
  <r>
    <s v="ENTITY"/>
    <s v="NMBR_EMPLYS"/>
    <x v="1"/>
    <s v="1. Especificar"/>
    <m/>
    <m/>
    <m/>
    <x v="2"/>
    <d v="2025-01-10T00:00:00"/>
    <x v="3"/>
    <m/>
    <m/>
    <m/>
    <m/>
    <m/>
    <s v="Y"/>
    <s v="N"/>
    <s v="N"/>
    <s v="N"/>
    <s v="N"/>
    <s v="N"/>
    <x v="3"/>
    <n v="0"/>
  </r>
  <r>
    <s v="ENTITY"/>
    <s v="LGL_FRM"/>
    <x v="1"/>
    <s v="1. Especificar"/>
    <m/>
    <m/>
    <m/>
    <x v="2"/>
    <d v="2025-01-10T00:00:00"/>
    <x v="3"/>
    <m/>
    <m/>
    <m/>
    <m/>
    <m/>
    <s v="Y"/>
    <s v="N"/>
    <s v="N"/>
    <s v="N"/>
    <s v="N"/>
    <s v="N"/>
    <x v="3"/>
    <n v="0"/>
  </r>
  <r>
    <s v="ENTITY"/>
    <s v="HD_OFFC_UNDRTKNG_ID"/>
    <x v="1"/>
    <s v="1. Especificar"/>
    <m/>
    <m/>
    <m/>
    <x v="2"/>
    <d v="2025-01-10T00:00:00"/>
    <x v="3"/>
    <m/>
    <m/>
    <m/>
    <m/>
    <m/>
    <s v="Y"/>
    <s v="N"/>
    <s v="N"/>
    <s v="N"/>
    <s v="N"/>
    <s v="N"/>
    <x v="3"/>
    <n v="0"/>
  </r>
  <r>
    <s v="ENTITY"/>
    <s v="IMMDT_PRNT_UNDRTKNG_ID"/>
    <x v="1"/>
    <s v="1. Especificar"/>
    <m/>
    <m/>
    <m/>
    <x v="2"/>
    <d v="2025-01-10T00:00:00"/>
    <x v="3"/>
    <m/>
    <m/>
    <m/>
    <m/>
    <m/>
    <s v="Y"/>
    <s v="N"/>
    <s v="N"/>
    <s v="N"/>
    <s v="N"/>
    <s v="N"/>
    <x v="3"/>
    <n v="0"/>
  </r>
  <r>
    <s v="ENTITY"/>
    <s v="ULTMT_PRNT_UNDRTKNG_ID"/>
    <x v="1"/>
    <s v="1. Especificar"/>
    <m/>
    <m/>
    <m/>
    <x v="2"/>
    <d v="2025-01-10T00:00:00"/>
    <x v="3"/>
    <m/>
    <m/>
    <m/>
    <m/>
    <m/>
    <s v="Y"/>
    <s v="N"/>
    <s v="N"/>
    <s v="N"/>
    <s v="N"/>
    <s v="N"/>
    <x v="3"/>
    <n v="0"/>
  </r>
  <r>
    <s v="ENTITY"/>
    <s v="TTL_ASSTS"/>
    <x v="1"/>
    <s v="1. Especificar"/>
    <m/>
    <m/>
    <m/>
    <x v="2"/>
    <d v="2025-01-10T00:00:00"/>
    <x v="3"/>
    <m/>
    <m/>
    <m/>
    <m/>
    <m/>
    <s v="Y"/>
    <s v="N"/>
    <s v="N"/>
    <s v="N"/>
    <s v="N"/>
    <s v="N"/>
    <x v="3"/>
    <n v="0"/>
  </r>
  <r>
    <s v="ENTITY"/>
    <s v="ENTTY_ID_BDR"/>
    <x v="1"/>
    <s v="1. Especificar"/>
    <m/>
    <m/>
    <m/>
    <x v="2"/>
    <d v="2025-01-10T00:00:00"/>
    <x v="3"/>
    <m/>
    <m/>
    <m/>
    <m/>
    <m/>
    <s v="Y"/>
    <s v="N"/>
    <s v="N"/>
    <s v="N"/>
    <s v="N"/>
    <s v="N"/>
    <x v="3"/>
    <n v="0"/>
  </r>
  <r>
    <s v="INSTRUMENT"/>
    <s v="CPN_RT_FLTNG"/>
    <x v="1"/>
    <s v="1. Especificar"/>
    <m/>
    <m/>
    <m/>
    <x v="2"/>
    <d v="2025-01-10T00:00:00"/>
    <x v="3"/>
    <m/>
    <m/>
    <m/>
    <m/>
    <m/>
    <s v="Y"/>
    <s v="N"/>
    <s v="N"/>
    <s v="N"/>
    <s v="N"/>
    <s v="N"/>
    <x v="3"/>
    <n v="0"/>
  </r>
  <r>
    <s v="INSTRUMENT"/>
    <s v="INTRST_RT_CP"/>
    <x v="1"/>
    <s v="1. Especificar"/>
    <m/>
    <m/>
    <m/>
    <x v="2"/>
    <d v="2025-01-10T00:00:00"/>
    <x v="3"/>
    <m/>
    <m/>
    <m/>
    <m/>
    <m/>
    <s v="Y"/>
    <s v="N"/>
    <s v="N"/>
    <s v="N"/>
    <s v="N"/>
    <s v="N"/>
    <x v="3"/>
    <n v="0"/>
  </r>
  <r>
    <s v="INSTRUMENT"/>
    <s v="INTRST_RT_FLR"/>
    <x v="1"/>
    <s v="1. Especificar"/>
    <m/>
    <m/>
    <m/>
    <x v="2"/>
    <d v="2025-01-10T00:00:00"/>
    <x v="3"/>
    <m/>
    <m/>
    <m/>
    <m/>
    <m/>
    <s v="Y"/>
    <s v="N"/>
    <s v="N"/>
    <s v="N"/>
    <s v="N"/>
    <s v="N"/>
    <x v="3"/>
    <n v="0"/>
  </r>
  <r>
    <s v="INSTRUMENT"/>
    <s v="NMNL_INTRST_RT_FEE"/>
    <x v="1"/>
    <s v="1. Especificar"/>
    <m/>
    <m/>
    <m/>
    <x v="2"/>
    <d v="2025-01-10T00:00:00"/>
    <x v="3"/>
    <m/>
    <m/>
    <m/>
    <m/>
    <m/>
    <s v="Y"/>
    <s v="N"/>
    <s v="N"/>
    <s v="N"/>
    <s v="N"/>
    <s v="N"/>
    <x v="3"/>
    <n v="0"/>
  </r>
  <r>
    <s v="INSTRUMENT"/>
    <s v="DT_STTLMNT"/>
    <x v="1"/>
    <s v="1. Especificar"/>
    <m/>
    <m/>
    <m/>
    <x v="2"/>
    <d v="2025-01-10T00:00:00"/>
    <x v="3"/>
    <m/>
    <m/>
    <m/>
    <m/>
    <m/>
    <s v="Y"/>
    <s v="N"/>
    <s v="N"/>
    <s v="N"/>
    <s v="N"/>
    <s v="N"/>
    <x v="3"/>
    <n v="0"/>
  </r>
  <r>
    <s v="INSTRUMENT"/>
    <s v="TRNSFRRD_AMNT"/>
    <x v="1"/>
    <s v="1. Especificar"/>
    <m/>
    <m/>
    <m/>
    <x v="2"/>
    <d v="2025-01-10T00:00:00"/>
    <x v="3"/>
    <m/>
    <m/>
    <m/>
    <m/>
    <m/>
    <s v="Y"/>
    <s v="N"/>
    <s v="N"/>
    <s v="N"/>
    <s v="N"/>
    <s v="N"/>
    <x v="3"/>
    <n v="0"/>
  </r>
  <r>
    <s v="INSTRUMENT"/>
    <s v="TYP_SCRTZTN"/>
    <x v="1"/>
    <s v="1. Especificar"/>
    <m/>
    <m/>
    <m/>
    <x v="2"/>
    <d v="2025-01-10T00:00:00"/>
    <x v="3"/>
    <m/>
    <m/>
    <m/>
    <m/>
    <m/>
    <s v="Y"/>
    <s v="N"/>
    <s v="N"/>
    <s v="N"/>
    <s v="N"/>
    <s v="N"/>
    <x v="3"/>
    <n v="0"/>
  </r>
  <r>
    <s v="INSTRUMENT"/>
    <s v="TYP_OFF_BLNC_PRDCT"/>
    <x v="1"/>
    <s v="1. Especificar"/>
    <m/>
    <m/>
    <m/>
    <x v="2"/>
    <d v="2025-01-10T00:00:00"/>
    <x v="3"/>
    <m/>
    <m/>
    <m/>
    <m/>
    <m/>
    <s v="Y"/>
    <s v="Y"/>
    <s v="Y"/>
    <s v="N"/>
    <s v="N"/>
    <s v="Y"/>
    <x v="1"/>
    <s v="1. Novos Campos"/>
  </r>
  <r>
    <s v="INSTRUMENT"/>
    <s v="BLNC_SHT_RCGNTN"/>
    <x v="1"/>
    <s v="1. Especificar"/>
    <m/>
    <m/>
    <m/>
    <x v="2"/>
    <d v="2025-01-10T00:00:00"/>
    <x v="3"/>
    <m/>
    <m/>
    <m/>
    <m/>
    <m/>
    <s v="Y"/>
    <s v="N"/>
    <s v="N"/>
    <s v="N"/>
    <s v="N"/>
    <s v="N"/>
    <x v="3"/>
    <n v="0"/>
  </r>
  <r>
    <s v="INSTRUMENT"/>
    <s v="FLG_DFLT"/>
    <x v="1"/>
    <s v="1. Especificar"/>
    <m/>
    <m/>
    <m/>
    <x v="2"/>
    <d v="2025-01-10T00:00:00"/>
    <x v="3"/>
    <m/>
    <m/>
    <m/>
    <m/>
    <m/>
    <s v="Y"/>
    <s v="N"/>
    <s v="N"/>
    <s v="N"/>
    <s v="N"/>
    <s v="N"/>
    <x v="3"/>
    <n v="0"/>
  </r>
  <r>
    <s v="INSTRUMENT"/>
    <s v="FLG_HGH_RSK"/>
    <x v="1"/>
    <s v="1. Especificar"/>
    <m/>
    <m/>
    <m/>
    <x v="2"/>
    <d v="2025-01-10T00:00:00"/>
    <x v="3"/>
    <m/>
    <m/>
    <m/>
    <m/>
    <m/>
    <s v="Y"/>
    <s v="N"/>
    <s v="N"/>
    <s v="N"/>
    <s v="N"/>
    <s v="N"/>
    <x v="3"/>
    <n v="0"/>
  </r>
  <r>
    <s v="INSTRUMENT"/>
    <s v="PRTNR"/>
    <x v="1"/>
    <s v="1. Especificar"/>
    <m/>
    <m/>
    <m/>
    <x v="2"/>
    <d v="2025-01-10T00:00:00"/>
    <x v="3"/>
    <m/>
    <m/>
    <m/>
    <m/>
    <m/>
    <s v="Y"/>
    <s v="N"/>
    <s v="N"/>
    <s v="Y"/>
    <s v="N"/>
    <s v="N"/>
    <x v="3"/>
    <n v="0"/>
  </r>
  <r>
    <s v="INSTRUMENT"/>
    <s v="INCNTVS"/>
    <x v="1"/>
    <s v="1. Especificar"/>
    <m/>
    <m/>
    <m/>
    <x v="2"/>
    <d v="2025-01-10T00:00:00"/>
    <x v="3"/>
    <m/>
    <m/>
    <m/>
    <m/>
    <m/>
    <s v="Y"/>
    <s v="N"/>
    <s v="N"/>
    <s v="Y"/>
    <s v="N"/>
    <s v="N"/>
    <x v="3"/>
    <n v="0"/>
  </r>
  <r>
    <s v="INSTRUMENT"/>
    <s v="OTHR_OPRTNG_INCM"/>
    <x v="1"/>
    <s v="1. Especificar"/>
    <m/>
    <m/>
    <m/>
    <x v="2"/>
    <d v="2025-01-10T00:00:00"/>
    <x v="3"/>
    <m/>
    <m/>
    <m/>
    <m/>
    <m/>
    <s v="Y"/>
    <s v="N"/>
    <s v="N"/>
    <s v="Y"/>
    <s v="N"/>
    <s v="N"/>
    <x v="3"/>
    <n v="0"/>
  </r>
  <r>
    <s v="INSTRUMENT"/>
    <s v="RFRRL_FS"/>
    <x v="1"/>
    <s v="1. Especificar"/>
    <m/>
    <m/>
    <m/>
    <x v="2"/>
    <d v="2025-01-10T00:00:00"/>
    <x v="3"/>
    <m/>
    <m/>
    <m/>
    <m/>
    <m/>
    <s v="Y"/>
    <s v="N"/>
    <s v="N"/>
    <s v="Y"/>
    <s v="N"/>
    <s v="N"/>
    <x v="3"/>
    <n v="0"/>
  </r>
  <r>
    <s v="INSTRUMENT"/>
    <s v="INSRNC_CMSSNS"/>
    <x v="1"/>
    <s v="1. Especificar"/>
    <m/>
    <m/>
    <m/>
    <x v="2"/>
    <d v="2025-01-10T00:00:00"/>
    <x v="3"/>
    <m/>
    <m/>
    <m/>
    <m/>
    <m/>
    <s v="Y"/>
    <s v="N"/>
    <s v="N"/>
    <s v="Y"/>
    <s v="N"/>
    <s v="N"/>
    <x v="3"/>
    <n v="0"/>
  </r>
  <r>
    <s v="INSTRUMENT"/>
    <s v="OTHR_INCM_AND_CHRGS"/>
    <x v="1"/>
    <s v="1. Especificar"/>
    <m/>
    <m/>
    <m/>
    <x v="2"/>
    <d v="2025-01-10T00:00:00"/>
    <x v="3"/>
    <m/>
    <m/>
    <m/>
    <m/>
    <m/>
    <s v="Y"/>
    <s v="N"/>
    <s v="N"/>
    <s v="Y"/>
    <s v="N"/>
    <s v="N"/>
    <x v="3"/>
    <n v="0"/>
  </r>
  <r>
    <s v="INSTRUMENT"/>
    <s v="TX_ON_PRFT"/>
    <x v="1"/>
    <s v="1. Especificar"/>
    <m/>
    <m/>
    <m/>
    <x v="2"/>
    <d v="2025-01-10T00:00:00"/>
    <x v="3"/>
    <m/>
    <m/>
    <m/>
    <m/>
    <m/>
    <s v="Y"/>
    <s v="N"/>
    <s v="N"/>
    <s v="Y"/>
    <s v="N"/>
    <s v="N"/>
    <x v="3"/>
    <n v="0"/>
  </r>
  <r>
    <s v="PROTECTION"/>
    <s v="LND_AR"/>
    <x v="1"/>
    <s v="1. Especificar"/>
    <m/>
    <m/>
    <m/>
    <x v="2"/>
    <d v="2025-01-10T00:00:00"/>
    <x v="3"/>
    <m/>
    <m/>
    <m/>
    <m/>
    <m/>
    <s v="Y"/>
    <s v="N"/>
    <s v="N"/>
    <s v="N"/>
    <s v="N"/>
    <s v="N"/>
    <x v="3"/>
    <n v="0"/>
  </r>
  <r>
    <s v="PROTECTION"/>
    <s v="LN_PSTN"/>
    <x v="1"/>
    <s v="1. Especificar"/>
    <m/>
    <m/>
    <m/>
    <x v="2"/>
    <d v="2025-01-10T00:00:00"/>
    <x v="3"/>
    <m/>
    <m/>
    <m/>
    <m/>
    <m/>
    <s v="Y"/>
    <s v="N"/>
    <s v="N"/>
    <s v="N"/>
    <s v="N"/>
    <s v="N"/>
    <x v="3"/>
    <n v="0"/>
  </r>
  <r>
    <s v="PROTECTION"/>
    <s v="RL_ESTT_LNGTD"/>
    <x v="1"/>
    <s v="1. Especificar"/>
    <m/>
    <m/>
    <m/>
    <x v="2"/>
    <d v="2025-01-10T00:00:00"/>
    <x v="3"/>
    <m/>
    <m/>
    <m/>
    <m/>
    <m/>
    <s v="Y"/>
    <s v="N"/>
    <s v="N"/>
    <s v="N"/>
    <s v="N"/>
    <s v="N"/>
    <x v="3"/>
    <n v="0"/>
  </r>
  <r>
    <s v="PROTECTION"/>
    <s v="RL_ESTT_LTTD"/>
    <x v="1"/>
    <s v="1. Especificar"/>
    <m/>
    <m/>
    <m/>
    <x v="2"/>
    <d v="2025-01-10T00:00:00"/>
    <x v="3"/>
    <m/>
    <m/>
    <m/>
    <m/>
    <m/>
    <s v="Y"/>
    <s v="N"/>
    <s v="N"/>
    <s v="N"/>
    <s v="N"/>
    <s v="N"/>
    <x v="3"/>
    <n v="0"/>
  </r>
  <r>
    <s v="INSTR_ACTIVITY"/>
    <s v="PRCNTG_ACTVTY"/>
    <x v="1"/>
    <s v="1. Especificar"/>
    <m/>
    <m/>
    <m/>
    <x v="2"/>
    <d v="2025-01-10T00:00:00"/>
    <x v="3"/>
    <m/>
    <m/>
    <m/>
    <m/>
    <m/>
    <s v="Y"/>
    <s v="Y"/>
    <s v="Y"/>
    <s v="N"/>
    <s v="N"/>
    <s v="N"/>
    <x v="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6">
  <r>
    <s v="INSTRUMENT"/>
    <s v="ACCMLTD_CHNGS_FV_CR_INSTRMNT"/>
    <x v="0"/>
    <s v="9. Concluído"/>
    <s v="OK"/>
    <s v="Concluido, controlos OK"/>
    <m/>
    <s v="Campo Fechado"/>
    <d v="2024-06-07T00:00:00"/>
    <x v="0"/>
    <s v="OK"/>
    <m/>
    <m/>
    <m/>
    <x v="0"/>
  </r>
  <r>
    <s v="INSTRUMENT"/>
    <s v="ACCMLTD_IMPRMNT_INSTRMNT"/>
    <x v="0"/>
    <s v="9. Concluído"/>
    <s v="OK"/>
    <s v="Concluido, controlos OK"/>
    <m/>
    <s v="Campo Fechado"/>
    <d v="2024-06-07T00:00:00"/>
    <x v="0"/>
    <s v="OK"/>
    <m/>
    <m/>
    <m/>
    <x v="0"/>
  </r>
  <r>
    <s v="INSTRUMENT"/>
    <s v="ACCMLTD_IMPRMNT_INSTRMNT_PRVS"/>
    <x v="0"/>
    <s v="5.2 Em testes - Incidência"/>
    <s v="OK"/>
    <s v="Campo com incidência. Verificar fonte LT"/>
    <m/>
    <s v="Sim"/>
    <d v="2024-06-07T00:00:00"/>
    <x v="1"/>
    <s v="OK"/>
    <m/>
    <m/>
    <m/>
    <x v="1"/>
  </r>
  <r>
    <s v="INSTRUMENT"/>
    <s v="ACCMLTD_WRTFFS_INSTRMNT"/>
    <x v="0"/>
    <s v="9. Concluído"/>
    <s v="OK"/>
    <s v="Concluido, controlos OK"/>
    <m/>
    <s v="Campo Fechado"/>
    <d v="2024-06-07T00:00:00"/>
    <x v="0"/>
    <s v="OK"/>
    <m/>
    <m/>
    <m/>
    <x v="0"/>
  </r>
  <r>
    <s v="INSTRUMENT"/>
    <s v="ACCNTNG_CLSSFCTN"/>
    <x v="0"/>
    <s v="9. Concluído"/>
    <s v="OK"/>
    <s v="Concluido, controlos OK"/>
    <m/>
    <s v="Campo Fechado"/>
    <d v="2024-06-07T00:00:00"/>
    <x v="0"/>
    <s v="OK"/>
    <m/>
    <m/>
    <m/>
    <x v="0"/>
  </r>
  <r>
    <s v="ENTITY"/>
    <s v="ACCNTNG_FRMWRK_SL"/>
    <x v="0"/>
    <s v="2. Alterar especificação"/>
    <s v="OK"/>
    <s v="Em especificação (Financial Statments CIB)"/>
    <s v="Campo implementação, mas com falta de informação para o segmento de clientes CIB"/>
    <s v="Não"/>
    <d v="2024-06-07T00:00:00"/>
    <x v="2"/>
    <s v="OK"/>
    <m/>
    <m/>
    <m/>
    <x v="2"/>
  </r>
  <r>
    <s v="INSTRUMENT"/>
    <s v="TYP_MRTGG"/>
    <x v="0"/>
    <s v="3. Pendente de decisão"/>
    <s v="NOK"/>
    <s v="Alteração da Code list por parte do BCE"/>
    <m/>
    <s v="Sim"/>
    <d v="2024-10-03T00:00:00"/>
    <x v="2"/>
    <s v="NOK"/>
    <s v="Alterar especificação de acordo com codelist atual. No MUG existem apenas garantias elegiveis para cálculo de capital? Se sim, TYP_MRTGG irá assumir os valores 1, 5 e N/A. Caso contrário assumirá os valores  1, 5, 6 e N/A."/>
    <m/>
    <m/>
    <x v="3"/>
  </r>
  <r>
    <s v="INSTRUMENT"/>
    <s v="AMNT_D_AT_MTRTY"/>
    <x v="0"/>
    <s v="1. Especificar"/>
    <s v="NOK"/>
    <s v="Em especificação"/>
    <m/>
    <s v="Não"/>
    <d v="2024-06-07T00:00:00"/>
    <x v="3"/>
    <s v="NOK"/>
    <m/>
    <m/>
    <m/>
    <x v="4"/>
  </r>
  <r>
    <s v="ENTITY"/>
    <s v="ANNL_TRNVR_LE"/>
    <x v="0"/>
    <s v="2. Alterar especificação"/>
    <s v="OK"/>
    <s v="Em especificação (Financial Statments CIB)"/>
    <s v="Campo implementação, mas com falta de informação para o segmento de clientes CIB"/>
    <s v="Não"/>
    <d v="2024-06-07T00:00:00"/>
    <x v="2"/>
    <s v="OK"/>
    <m/>
    <m/>
    <m/>
    <x v="2"/>
  </r>
  <r>
    <s v="ENTITY"/>
    <s v="ANNL_TRNVR_LE_BDR"/>
    <x v="1"/>
    <s v="9. Concluído"/>
    <s v="OK"/>
    <s v="Concluido, controlos OK"/>
    <m/>
    <s v="Campo Fechado"/>
    <d v="2024-06-07T00:00:00"/>
    <x v="0"/>
    <s v="OK"/>
    <m/>
    <m/>
    <m/>
    <x v="0"/>
  </r>
  <r>
    <s v="ENTITY"/>
    <s v="ANNL_TRNVR_PRVS"/>
    <x v="0"/>
    <s v="2. Alterar especificação"/>
    <s v="OK"/>
    <s v="Em especificação (Financial Statments CIB)"/>
    <s v="Campo implementação, mas com falta de informação para o segmento de clientes CIB"/>
    <s v="Não"/>
    <d v="2024-06-07T00:00:00"/>
    <x v="2"/>
    <s v="OK"/>
    <m/>
    <m/>
    <m/>
    <x v="2"/>
  </r>
  <r>
    <s v="ENTITY"/>
    <s v="ANNL_TRNVR_PRVS_BDR"/>
    <x v="1"/>
    <s v="9. Concluído"/>
    <s v="OK"/>
    <s v="Concluido, controlos OK"/>
    <m/>
    <s v="Campo Fechado"/>
    <d v="2024-06-07T00:00:00"/>
    <x v="0"/>
    <s v="OK"/>
    <m/>
    <m/>
    <m/>
    <x v="0"/>
  </r>
  <r>
    <s v="INSTRUMENT"/>
    <s v="ANNLSD_AGRD_RT"/>
    <x v="0"/>
    <s v="3. Pendente de decisão"/>
    <s v="OK"/>
    <s v="Verificar necessidade de alteração da fonte para fins de reconciliação. Rever Fonte"/>
    <s v="Rever se devemos utilizar a informação de IFRS9 ou manter a de alm"/>
    <s v="Sim"/>
    <d v="2024-06-07T00:00:00"/>
    <x v="4"/>
    <s v="OK"/>
    <m/>
    <m/>
    <m/>
    <x v="5"/>
  </r>
  <r>
    <s v="PROTECTION"/>
    <s v="APPRSL_CRRNCY"/>
    <x v="0"/>
    <s v="7. Analisar controlos e completude"/>
    <s v="NOK"/>
    <s v="Controlos NOK"/>
    <m/>
    <s v="Não"/>
    <d v="2024-06-07T00:00:00"/>
    <x v="5"/>
    <s v="NOK"/>
    <m/>
    <m/>
    <m/>
    <x v="6"/>
  </r>
  <r>
    <s v="PROTECTION"/>
    <s v="APPRSR"/>
    <x v="0"/>
    <s v="7. Analisar controlos e completude"/>
    <s v="NOK"/>
    <s v="Controlos NOK"/>
    <m/>
    <s v="Não"/>
    <d v="2024-06-07T00:00:00"/>
    <x v="5"/>
    <s v="NOK"/>
    <m/>
    <m/>
    <m/>
    <x v="6"/>
  </r>
  <r>
    <s v="INSTRUMENT"/>
    <s v="ARRRS_INSTRMNT"/>
    <x v="0"/>
    <s v="7. Analisar controlos e completude"/>
    <s v="NOK"/>
    <s v="Controlos NOK"/>
    <m/>
    <s v="Não"/>
    <d v="2024-06-07T00:00:00"/>
    <x v="5"/>
    <s v="NOK"/>
    <m/>
    <m/>
    <m/>
    <x v="6"/>
  </r>
  <r>
    <s v="INSTRUMENT"/>
    <s v="ARRRS_INSTRMNT_12M"/>
    <x v="0"/>
    <s v="7. Analisar controlos e completude"/>
    <s v="NOK"/>
    <s v="Controlos NOK"/>
    <m/>
    <s v="Não"/>
    <d v="2024-06-07T00:00:00"/>
    <x v="5"/>
    <s v="NOK"/>
    <m/>
    <m/>
    <m/>
    <x v="6"/>
  </r>
  <r>
    <s v="INSTRUMENT"/>
    <s v="ASST_SCRT_CLSS"/>
    <x v="1"/>
    <s v="9. Concluído"/>
    <s v="OK"/>
    <s v="Concluido, controlos OK"/>
    <m/>
    <s v="Campo Fechado"/>
    <d v="2024-06-07T00:00:00"/>
    <x v="0"/>
    <s v="OK"/>
    <m/>
    <m/>
    <m/>
    <x v="0"/>
  </r>
  <r>
    <s v="INSTRUMENT"/>
    <s v="BRCHD_CVNNTS"/>
    <x v="0"/>
    <s v="8. Concluído - sem dados"/>
    <s v="OK"/>
    <s v="Campo especificado, mas sem dados. Campo marcado com MISS ou NA"/>
    <m/>
    <s v="Campo Fechado"/>
    <d v="2024-06-07T00:00:00"/>
    <x v="6"/>
    <s v="OK"/>
    <m/>
    <m/>
    <m/>
    <x v="7"/>
  </r>
  <r>
    <s v="ENTITY"/>
    <s v="CAPEX"/>
    <x v="0"/>
    <s v="2. Alterar especificação"/>
    <s v="OK"/>
    <s v="Em especificação (Financial Statments CIB)"/>
    <s v="Campo implementação, mas com falta de informação para o segmento de clientes CIB"/>
    <s v="Não"/>
    <d v="2024-06-07T00:00:00"/>
    <x v="2"/>
    <s v="OK"/>
    <m/>
    <m/>
    <m/>
    <x v="2"/>
  </r>
  <r>
    <s v="ENTITY"/>
    <s v="CAPEX_PRVS"/>
    <x v="0"/>
    <s v="2. Alterar especificação"/>
    <s v="OK"/>
    <s v="Em especificação (Financial Statments CIB)"/>
    <s v="Campo implementação, mas com falta de informação para o segmento de clientes CIB"/>
    <s v="Não"/>
    <d v="2024-06-07T00:00:00"/>
    <x v="2"/>
    <s v="OK"/>
    <m/>
    <m/>
    <m/>
    <x v="2"/>
  </r>
  <r>
    <s v="INSTRUMENT"/>
    <s v="CCF"/>
    <x v="0"/>
    <s v="9. Concluído"/>
    <s v="OK"/>
    <s v="Concluido, controlos OK"/>
    <m/>
    <s v="Campo Fechado"/>
    <d v="2024-06-07T00:00:00"/>
    <x v="0"/>
    <s v="OK"/>
    <m/>
    <m/>
    <m/>
    <x v="0"/>
  </r>
  <r>
    <s v="INSTRUMENT"/>
    <s v="CHNNL_ORGNTN"/>
    <x v="1"/>
    <s v="4.1 Em implementação - Re-especificação"/>
    <s v="NOK"/>
    <s v="Aguarda implementação de IT"/>
    <m/>
    <s v="Não"/>
    <d v="2024-06-07T00:00:00"/>
    <x v="7"/>
    <s v="NOK"/>
    <m/>
    <d v="2024-01-05T00:00:00"/>
    <m/>
    <x v="2"/>
  </r>
  <r>
    <s v="ENTITY"/>
    <s v="CLLCTN_MD"/>
    <x v="1"/>
    <s v="9. Concluído"/>
    <s v="OK"/>
    <s v="Concluido, controlos OK"/>
    <m/>
    <s v="Campo Fechado"/>
    <d v="2024-06-07T00:00:00"/>
    <x v="0"/>
    <s v="OK"/>
    <m/>
    <m/>
    <m/>
    <x v="0"/>
  </r>
  <r>
    <s v="ENTITY"/>
    <s v="TTL_INTRST_PD"/>
    <x v="1"/>
    <s v="2. Alterar especificação"/>
    <s v="NOK"/>
    <s v="Em especificação (Amortizações Capital/ Juros)"/>
    <m/>
    <s v="Não"/>
    <d v="2024-06-07T00:00:00"/>
    <x v="2"/>
    <s v="NOK"/>
    <m/>
    <m/>
    <m/>
    <x v="2"/>
  </r>
  <r>
    <s v="INSTRUMENT"/>
    <s v="CMMTMNT_INCPTN_INSTRMNT"/>
    <x v="0"/>
    <s v="7. Analisar controlos e completude"/>
    <s v="NOK"/>
    <s v="Analisar controlos e completude"/>
    <m/>
    <s v="Não"/>
    <d v="2024-06-07T00:00:00"/>
    <x v="5"/>
    <s v="NOK"/>
    <m/>
    <m/>
    <m/>
    <x v="6"/>
  </r>
  <r>
    <s v="PROTECTION"/>
    <s v="RL_ESTT_CLLTRL_LCTN"/>
    <x v="0"/>
    <s v="2. Alterar especificação"/>
    <s v="NOK"/>
    <s v="Alterados 3 casos. Campo está a devolver PT para todas as proteções, no entanto estas não estão localizadas em PT e alterou-se a localização para os respetivos paises."/>
    <m/>
    <s v="Não"/>
    <d v="2024-06-07T00:00:00"/>
    <x v="2"/>
    <s v="NOK"/>
    <m/>
    <m/>
    <m/>
    <x v="2"/>
  </r>
  <r>
    <s v="INSTRUMENT"/>
    <s v="CMPLNT_MRTR_C19_NM"/>
    <x v="1"/>
    <s v="9. Concluído"/>
    <s v="OK"/>
    <s v="Concluido, controlos OK"/>
    <m/>
    <s v="Campo Fechado"/>
    <d v="2024-06-07T00:00:00"/>
    <x v="0"/>
    <s v="OK"/>
    <m/>
    <m/>
    <m/>
    <x v="0"/>
  </r>
  <r>
    <s v="INSTRUMENT"/>
    <s v="CNSMPTN_FNRP18"/>
    <x v="1"/>
    <s v="9. Concluído"/>
    <s v="OK"/>
    <s v="Concluido, controlos OK"/>
    <m/>
    <s v="Campo Fechado"/>
    <d v="2024-06-07T00:00:00"/>
    <x v="0"/>
    <s v="OK"/>
    <m/>
    <m/>
    <m/>
    <x v="0"/>
  </r>
  <r>
    <s v="PROTECTION"/>
    <s v="DT_APPRSL_PRVS"/>
    <x v="0"/>
    <s v="5.2 Em testes - Incidência"/>
    <s v="NOK"/>
    <s v="Campo com incidência e controlos NOK"/>
    <s v="1) Campo com incidência, data igual à data da protection_vl 2) Alteração de formatos MISS"/>
    <s v="Campo Fechado"/>
    <d v="2025-01-13T00:00:00"/>
    <x v="0"/>
    <s v="OK"/>
    <s v="Alteraração da definição do campo no Guia da Corporação. Campo passou a reportar a data da avaliação completa anterior à data da última avaliação  completa._x000a_"/>
    <d v="2024-07-12T00:00:00"/>
    <d v="2024-12-20T00:00:00"/>
    <x v="3"/>
  </r>
  <r>
    <s v="INSTRUMENT"/>
    <s v="CNTRCT_ID"/>
    <x v="0"/>
    <s v="9. Concluído"/>
    <s v="OK"/>
    <s v="Concluido, controlos OK"/>
    <m/>
    <s v="Campo Fechado"/>
    <d v="2024-06-07T00:00:00"/>
    <x v="0"/>
    <s v="OK"/>
    <m/>
    <m/>
    <m/>
    <x v="0"/>
  </r>
  <r>
    <s v="INSTRUMENT"/>
    <s v="CNTRCT_ID_BDR"/>
    <x v="1"/>
    <s v="9. Concluído"/>
    <s v="OK"/>
    <s v="Concluido, controlos OK"/>
    <m/>
    <s v="Campo Fechado"/>
    <d v="2024-06-07T00:00:00"/>
    <x v="0"/>
    <s v="OK"/>
    <m/>
    <m/>
    <m/>
    <x v="0"/>
  </r>
  <r>
    <s v="ENTITY"/>
    <s v="CNTRY"/>
    <x v="0"/>
    <s v="9. Concluído"/>
    <s v="OK"/>
    <s v="Concluido, controlos OK"/>
    <m/>
    <s v="Campo Fechado"/>
    <d v="2024-06-07T00:00:00"/>
    <x v="0"/>
    <s v="OK"/>
    <m/>
    <m/>
    <m/>
    <x v="0"/>
  </r>
  <r>
    <s v="ENTITY"/>
    <s v="COD_SOC"/>
    <x v="0"/>
    <s v="9. Concluído"/>
    <s v="OK"/>
    <s v="Concluido, controlos OK"/>
    <m/>
    <s v="Campo Fechado"/>
    <d v="2024-06-07T00:00:00"/>
    <x v="0"/>
    <s v="OK"/>
    <m/>
    <m/>
    <m/>
    <x v="0"/>
  </r>
  <r>
    <s v="INSTR_ENTITY"/>
    <s v="COD_SOC"/>
    <x v="0"/>
    <s v="9. Concluído"/>
    <s v="OK"/>
    <s v="Concluido, controlos OK"/>
    <m/>
    <s v="Campo Fechado"/>
    <d v="2024-06-07T00:00:00"/>
    <x v="0"/>
    <s v="OK"/>
    <m/>
    <m/>
    <m/>
    <x v="0"/>
  </r>
  <r>
    <s v="INSTR_PROTECTION"/>
    <s v="COD_SOC"/>
    <x v="0"/>
    <s v="9. Concluído"/>
    <s v="OK"/>
    <s v="Concluido, controlos OK"/>
    <m/>
    <s v="Campo Fechado"/>
    <d v="2024-06-07T00:00:00"/>
    <x v="0"/>
    <s v="OK"/>
    <m/>
    <m/>
    <m/>
    <x v="0"/>
  </r>
  <r>
    <s v="INSTRUMENT"/>
    <s v="COD_SOC"/>
    <x v="0"/>
    <s v="9. Concluído"/>
    <s v="OK"/>
    <s v="Concluido, controlos OK"/>
    <m/>
    <s v="Campo Fechado"/>
    <d v="2024-06-07T00:00:00"/>
    <x v="0"/>
    <s v="OK"/>
    <m/>
    <m/>
    <m/>
    <x v="0"/>
  </r>
  <r>
    <s v="PROTECTION"/>
    <s v="COD_SOC"/>
    <x v="0"/>
    <s v="9. Concluído"/>
    <s v="OK"/>
    <s v="Concluido, controlos OK"/>
    <m/>
    <s v="Campo Fechado"/>
    <d v="2024-06-07T00:00:00"/>
    <x v="0"/>
    <s v="OK"/>
    <m/>
    <m/>
    <m/>
    <x v="0"/>
  </r>
  <r>
    <s v="INSTRUMENT"/>
    <s v="COD_SOC_INTRGRP"/>
    <x v="0"/>
    <s v="4.1 Em implementação - Re-especificação"/>
    <s v="NOK"/>
    <s v="Aguarda implementação de IT"/>
    <m/>
    <s v="Não"/>
    <d v="2024-06-17T00:00:00"/>
    <x v="8"/>
    <s v="NOK"/>
    <m/>
    <d v="2024-01-12T00:00:00"/>
    <d v="2024-03-28T00:00:00"/>
    <x v="4"/>
  </r>
  <r>
    <s v="INSTRUMENT"/>
    <s v="CPN_CRRNCY"/>
    <x v="1"/>
    <s v="9. Concluído"/>
    <s v="OK"/>
    <s v="Concluido, controlos OK"/>
    <m/>
    <s v="Campo Fechado"/>
    <d v="2024-06-07T00:00:00"/>
    <x v="0"/>
    <s v="OK"/>
    <m/>
    <m/>
    <m/>
    <x v="0"/>
  </r>
  <r>
    <s v="INSTRUMENT"/>
    <s v="CPN_RT_FXD"/>
    <x v="1"/>
    <s v="9. Concluído"/>
    <s v="OK"/>
    <s v="Concluido, controlos OK"/>
    <m/>
    <s v="Campo Fechado"/>
    <d v="2024-06-07T00:00:00"/>
    <x v="0"/>
    <s v="OK"/>
    <m/>
    <m/>
    <m/>
    <x v="0"/>
  </r>
  <r>
    <s v="ENTITY"/>
    <s v="CR_FLG"/>
    <x v="1"/>
    <s v="7. Analisar controlos e completude"/>
    <s v="NOK"/>
    <s v="Controlos NOK"/>
    <m/>
    <s v="Não"/>
    <d v="2024-06-07T00:00:00"/>
    <x v="5"/>
    <s v="NOK"/>
    <m/>
    <m/>
    <m/>
    <x v="6"/>
  </r>
  <r>
    <s v="INSTRUMENT"/>
    <s v="CRE_FNRP18"/>
    <x v="0"/>
    <s v="9. Concluído"/>
    <s v="OK"/>
    <s v="Concluido, controlos OK"/>
    <m/>
    <s v="Campo Fechado"/>
    <d v="2024-06-07T00:00:00"/>
    <x v="0"/>
    <s v="OK"/>
    <m/>
    <m/>
    <m/>
    <x v="0"/>
  </r>
  <r>
    <s v="PROTECTION"/>
    <s v="CRE_INCM_CRRNCY"/>
    <x v="1"/>
    <s v="8. Concluído - sem dados"/>
    <s v="NOK"/>
    <s v="Campo sem mapeamento, para análise da área  de Riscos"/>
    <m/>
    <s v="Campo Fechado"/>
    <d v="2024-06-07T00:00:00"/>
    <x v="6"/>
    <s v="NOK"/>
    <m/>
    <m/>
    <m/>
    <x v="7"/>
  </r>
  <r>
    <s v="PROTECTION"/>
    <s v="CRE_YRLY_EXPNSS"/>
    <x v="1"/>
    <s v="8. Concluído - sem dados"/>
    <s v="OK"/>
    <s v="Campo sem mapeamento, para análise da área  de Riscos"/>
    <m/>
    <s v="Campo Fechado"/>
    <d v="2024-06-07T00:00:00"/>
    <x v="6"/>
    <s v="OK"/>
    <m/>
    <m/>
    <m/>
    <x v="7"/>
  </r>
  <r>
    <s v="PROTECTION"/>
    <s v="CRE_YRLY_INCM"/>
    <x v="1"/>
    <s v="8. Concluído - sem dados"/>
    <s v="OK"/>
    <s v="Campo sem mapeamento, para análise da área  de Riscos"/>
    <m/>
    <s v="Campo Fechado"/>
    <d v="2024-06-07T00:00:00"/>
    <x v="6"/>
    <s v="OK"/>
    <m/>
    <m/>
    <m/>
    <x v="7"/>
  </r>
  <r>
    <s v="INSTRUMENT"/>
    <s v="CRRLTN_CFFCNT"/>
    <x v="1"/>
    <s v="7. Analisar controlos e completude"/>
    <s v="NOK"/>
    <s v="Controlos NOK"/>
    <m/>
    <s v="Não"/>
    <d v="2024-06-07T00:00:00"/>
    <x v="5"/>
    <s v="NOK"/>
    <m/>
    <m/>
    <m/>
    <x v="6"/>
  </r>
  <r>
    <s v="INSTRUMENT"/>
    <s v="CRRNCY_DNMNTN"/>
    <x v="0"/>
    <s v="9. Concluído"/>
    <s v="OK"/>
    <s v="Concluido, controlos OK"/>
    <m/>
    <s v="Campo Fechado"/>
    <d v="2024-06-07T00:00:00"/>
    <x v="0"/>
    <s v="OK"/>
    <m/>
    <m/>
    <m/>
    <x v="0"/>
  </r>
  <r>
    <s v="INSTRUMENT"/>
    <s v="CRRYNG_AMNT_INSTRMNT"/>
    <x v="0"/>
    <s v="9. Concluído"/>
    <s v="OK"/>
    <s v="Concluido, controlos OK"/>
    <m/>
    <s v="Campo Fechado"/>
    <d v="2024-06-07T00:00:00"/>
    <x v="0"/>
    <s v="OK"/>
    <m/>
    <m/>
    <m/>
    <x v="0"/>
  </r>
  <r>
    <s v="ENTITY"/>
    <s v="CSH"/>
    <x v="0"/>
    <s v="2. Alterar especificação"/>
    <s v="OK"/>
    <s v="Em especificação (Financial Statments CIB)"/>
    <s v="Campo implementação, mas com falta de informação para o segmento de clientes CIB"/>
    <s v="Não"/>
    <d v="2024-06-07T00:00:00"/>
    <x v="2"/>
    <s v="OK"/>
    <m/>
    <m/>
    <m/>
    <x v="2"/>
  </r>
  <r>
    <s v="ENTITY"/>
    <s v="CSH_PRVS"/>
    <x v="0"/>
    <s v="2. Alterar especificação"/>
    <s v="OK"/>
    <s v="Em especificação (Financial Statments CIB)"/>
    <s v="Campo implementação, mas com falta de informação para o segmento de clientes CIB"/>
    <s v="Não"/>
    <d v="2024-06-07T00:00:00"/>
    <x v="2"/>
    <s v="OK"/>
    <m/>
    <m/>
    <m/>
    <x v="2"/>
  </r>
  <r>
    <s v="INSTRUMENT"/>
    <s v="CSH_SWP_TRP"/>
    <x v="0"/>
    <s v="9. Concluído"/>
    <s v="OK"/>
    <s v="Concluido, controlos OK"/>
    <m/>
    <s v="Campo Fechado"/>
    <d v="2024-06-07T00:00:00"/>
    <x v="0"/>
    <s v="OK"/>
    <m/>
    <m/>
    <m/>
    <x v="0"/>
  </r>
  <r>
    <s v="INSTRUMENT"/>
    <s v="CVNNT_STTS"/>
    <x v="1"/>
    <s v="8. Concluído - sem dados"/>
    <s v="OK"/>
    <s v="Campo especificado, mas sem dados. Campo marcado com MISS ou NA"/>
    <m/>
    <s v="Campo Fechado"/>
    <d v="2024-06-07T00:00:00"/>
    <x v="6"/>
    <s v="OK"/>
    <m/>
    <m/>
    <m/>
    <x v="7"/>
  </r>
  <r>
    <s v="INSTRUMENT"/>
    <s v="CVNNT_TYP"/>
    <x v="1"/>
    <s v="9. Concluído"/>
    <s v="OK"/>
    <s v="Concluido, controlos OK"/>
    <m/>
    <s v="Campo Fechado"/>
    <d v="2024-06-07T00:00:00"/>
    <x v="0"/>
    <s v="OK"/>
    <m/>
    <m/>
    <m/>
    <x v="0"/>
  </r>
  <r>
    <s v="ENTITY"/>
    <s v="DBT_RPYMNT_CPCTY_SNR_DBT"/>
    <x v="1"/>
    <s v="8. Concluído - sem dados"/>
    <s v="OK"/>
    <s v="Campo especificado, mas sem dados. Campo marcado com MISS ou NA"/>
    <m/>
    <s v="Campo Fechado"/>
    <d v="2024-06-07T00:00:00"/>
    <x v="6"/>
    <s v="OK"/>
    <m/>
    <m/>
    <m/>
    <x v="7"/>
  </r>
  <r>
    <s v="ENTITY"/>
    <s v="DBT_RPYMNT_CPCTY_TTL"/>
    <x v="1"/>
    <s v="9. Concluído"/>
    <s v="OK"/>
    <s v="Concluido, controlos OK"/>
    <m/>
    <s v="Campo Fechado"/>
    <d v="2024-06-07T00:00:00"/>
    <x v="0"/>
    <s v="OK"/>
    <m/>
    <m/>
    <m/>
    <x v="0"/>
  </r>
  <r>
    <s v="ENTITY"/>
    <s v="DBT_SRVC_RT"/>
    <x v="0"/>
    <s v="2. Alterar especificação"/>
    <s v="OK"/>
    <s v="Em especificação (Financial Statments CIB)"/>
    <s v="Campo implementação, mas com falta de informação para o segmento de clientes CIB"/>
    <s v="Não"/>
    <d v="2024-06-07T00:00:00"/>
    <x v="2"/>
    <s v="OK"/>
    <m/>
    <m/>
    <m/>
    <x v="2"/>
  </r>
  <r>
    <s v="ENTITY"/>
    <s v="DBT_SRVC_RT_12M"/>
    <x v="0"/>
    <s v="2. Alterar especificação"/>
    <s v="OK"/>
    <s v="Em especificação (Financial Statments CIB)"/>
    <s v="Campo implementação, mas com falta de informação para o segmento de clientes CIB"/>
    <s v="Não"/>
    <d v="2024-06-07T00:00:00"/>
    <x v="2"/>
    <s v="OK"/>
    <m/>
    <m/>
    <m/>
    <x v="2"/>
  </r>
  <r>
    <s v="INSTRUMENT"/>
    <s v="DBT_YLD"/>
    <x v="1"/>
    <s v="8. Concluído - sem dados"/>
    <s v="OK"/>
    <s v="Concluido, controlos OK"/>
    <m/>
    <s v="Campo Fechado"/>
    <d v="2024-06-07T00:00:00"/>
    <x v="6"/>
    <s v="OK"/>
    <m/>
    <m/>
    <m/>
    <x v="7"/>
  </r>
  <r>
    <s v="ENTITY"/>
    <s v="DCSD"/>
    <x v="1"/>
    <s v="9. Concluído"/>
    <s v="OK"/>
    <s v="Concluido, controlos OK"/>
    <m/>
    <s v="Campo Fechado"/>
    <d v="2024-06-07T00:00:00"/>
    <x v="0"/>
    <s v="OK"/>
    <m/>
    <m/>
    <m/>
    <x v="0"/>
  </r>
  <r>
    <s v="ENTITY"/>
    <s v="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Campo com incidência: Para os casos em que o cliente tem operações titularizadas (flag consumo capital = 0) e tem pelo menos uma não titularizada (N/A), a LT está atualmente a reporta N/A."/>
    <s v="Sim"/>
    <d v="2024-06-07T00:00:00"/>
    <x v="4"/>
    <s v="NOK"/>
    <m/>
    <m/>
    <m/>
    <x v="5"/>
  </r>
  <r>
    <s v="INSTRUMENT"/>
    <s v="RFNNC_PRPS"/>
    <x v="0"/>
    <s v="2. Alterar especificação"/>
    <s v="OK"/>
    <s v="Alterar especificação. Campo depende do FRBRNC_STTS_INSTRMNT"/>
    <s v="Sempre que o campo FRBRNC_STTS_INSTRMNT =3 o campo RFNNC_PRPS deve estar marcado como Y. Reespecificar, implementar e testar."/>
    <s v="Não"/>
    <d v="2024-06-07T00:00:00"/>
    <x v="2"/>
    <s v="OK"/>
    <m/>
    <m/>
    <m/>
    <x v="2"/>
  </r>
  <r>
    <s v="INSTRUMENT"/>
    <s v="DPD"/>
    <x v="0"/>
    <s v="7. Analisar controlos e completude"/>
    <s v="NOK"/>
    <s v="Controlos NOK"/>
    <m/>
    <s v="Não"/>
    <d v="2024-06-07T00:00:00"/>
    <x v="5"/>
    <s v="NOK"/>
    <m/>
    <m/>
    <m/>
    <x v="6"/>
  </r>
  <r>
    <s v="INSTRUMENT"/>
    <s v="DPD_12M"/>
    <x v="0"/>
    <s v="7. Analisar controlos e completude"/>
    <s v="NOK"/>
    <s v="Controlos NOK"/>
    <m/>
    <s v="Não"/>
    <d v="2024-06-07T00:00:00"/>
    <x v="5"/>
    <s v="NOK"/>
    <m/>
    <m/>
    <m/>
    <x v="6"/>
  </r>
  <r>
    <s v="INSTRUMENT"/>
    <s v="DPD_12M_FRBRNC_STTS"/>
    <x v="0"/>
    <s v="5.1 Em testes - Re-especificação"/>
    <s v="NOK"/>
    <s v="Em testes. Campo depende do FRBRNC_STTS que está com incidência nos formatos. Não é necessário alterar a especificação do mesmo, apenas testar quando o campo FRBRNC_STTS estiver corrigido."/>
    <m/>
    <s v="Não"/>
    <d v="2024-06-07T00:00:00"/>
    <x v="8"/>
    <s v="NOK"/>
    <m/>
    <d v="2022-04-28T00:00:00"/>
    <d v="2022-05-19T00:00:00"/>
    <x v="2"/>
  </r>
  <r>
    <s v="INSTRUMENT"/>
    <s v="DPD_12M_PRFRMNG_STTS"/>
    <x v="0"/>
    <s v="5.1 Em testes - Re-especificação"/>
    <s v="NOK"/>
    <s v="Campo depende do histórico do PRFRMNG_STTS. Não é necessário alterar a especificação do mesmo, apenas testar se a metodologia do campo PRFRMNG_STTS for alterada."/>
    <m/>
    <s v="Sim"/>
    <d v="2025-01-13T00:00:00"/>
    <x v="8"/>
    <s v="OK"/>
    <s v="Alteração da fonte das tabela de Imparidade Reporting para as 8_7 e alteração da data a partir da qual a fonte passa a ser as tabelas de Contabilidade ( 2019 para Dez 2022)"/>
    <d v="2024-09-27T00:00:00"/>
    <m/>
    <x v="5"/>
  </r>
  <r>
    <s v="INSTRUMENT"/>
    <s v="DPD_24M_FRBRNC_STTS"/>
    <x v="0"/>
    <s v="7. Analisar controlos e completude"/>
    <s v="NOK"/>
    <s v="Controlos NOK"/>
    <m/>
    <s v="Não"/>
    <d v="2024-06-07T00:00:00"/>
    <x v="5"/>
    <s v="NOK"/>
    <m/>
    <m/>
    <m/>
    <x v="6"/>
  </r>
  <r>
    <s v="INSTRUMENT"/>
    <s v="DPD_24M_PRFRMNG_STTS"/>
    <x v="0"/>
    <s v="5.1 Em testes - Re-especificação"/>
    <s v="N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PD_FRBRNC_STTS"/>
    <x v="0"/>
    <s v="7. Analisar controlos e completude"/>
    <s v="NOK"/>
    <s v="Controlos NOK"/>
    <m/>
    <s v="Não"/>
    <d v="2024-06-07T00:00:00"/>
    <x v="5"/>
    <s v="NOK"/>
    <m/>
    <m/>
    <m/>
    <x v="6"/>
  </r>
  <r>
    <s v="INSTRUMENT"/>
    <s v="DPD_PRFRMNG_STT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 2019 para Dez 2022)"/>
    <d v="2024-09-27T00:00:00"/>
    <m/>
    <x v="5"/>
  </r>
  <r>
    <s v="INSTRUMENT"/>
    <s v="DSTI"/>
    <x v="1"/>
    <s v="1. Especificar"/>
    <s v="OK"/>
    <s v="Em especificação (Campos Novos)"/>
    <m/>
    <s v="Não"/>
    <d v="2024-06-07T00:00:00"/>
    <x v="3"/>
    <s v="OK"/>
    <m/>
    <m/>
    <m/>
    <x v="4"/>
  </r>
  <r>
    <s v="PROTECTION"/>
    <s v="TYP_PRTCTN"/>
    <x v="0"/>
    <s v="2. Alterar especificação"/>
    <s v="NOK"/>
    <s v="Alterar especificação (alteração da fonte para MUG)"/>
    <s v="Campo depende do campo 'cgarant' do MUG"/>
    <s v="Campo Fechado"/>
    <d v="2025-01-13T00:00:00"/>
    <x v="0"/>
    <s v="OK"/>
    <s v="Alteração de especificação com base no campo cgarant_bem e cgarant_rpt do MUG. Controlo NOK - A Corporação ajustou o controlo e estes casos passarão a estar OK_x000a_"/>
    <d v="2024-07-19T00:00:00"/>
    <d v="2024-12-20T00:00:00"/>
    <x v="1"/>
  </r>
  <r>
    <s v="ENTITY"/>
    <s v="DT_BRTH"/>
    <x v="1"/>
    <s v="7. Analisar controlos e completude"/>
    <s v="NOK"/>
    <s v="Controlos NOK"/>
    <m/>
    <s v="Não"/>
    <d v="2024-06-07T00:00:00"/>
    <x v="5"/>
    <s v="NOK"/>
    <m/>
    <m/>
    <m/>
    <x v="6"/>
  </r>
  <r>
    <s v="INSTRUMENT"/>
    <s v="DT_CMPLNT_MRTR_STTS_C19"/>
    <x v="1"/>
    <s v="9. Concluído"/>
    <s v="OK"/>
    <s v="Concluido, controlos OK"/>
    <m/>
    <s v="Campo Fechado"/>
    <d v="2024-06-07T00:00:00"/>
    <x v="0"/>
    <s v="OK"/>
    <m/>
    <m/>
    <m/>
    <x v="0"/>
  </r>
  <r>
    <s v="INSTRUMENT"/>
    <s v="DT_CMPLNT_MRTR_STTS_PRVS_C19"/>
    <x v="1"/>
    <s v="9. Concluído"/>
    <s v="OK"/>
    <s v="Concluido, controlos OK"/>
    <m/>
    <s v="Campo Fechado"/>
    <d v="2024-06-07T00:00:00"/>
    <x v="0"/>
    <s v="OK"/>
    <m/>
    <m/>
    <m/>
    <x v="0"/>
  </r>
  <r>
    <s v="PROTECTION"/>
    <s v="DT_PRTCTN_VL"/>
    <x v="0"/>
    <s v="5.2 Em testes - Incidência"/>
    <s v="NOK"/>
    <s v="Campo com incidência e controlos NOK. "/>
    <s v="Alteração formato de 0001-01-01 para 0000-00-00"/>
    <s v="Campo Fechado"/>
    <d v="2025-01-13T00:00:00"/>
    <x v="0"/>
    <s v="OK"/>
    <s v="Incidência corrigida. Especificação alterada para campo da GT018, de modo a estar coerente com a especificação do campo PRTCTN_VL_x000a_Controlo NOK (ver caderno de testes a 03/12/2023)"/>
    <d v="2024-07-19T00:00:00"/>
    <d v="2024-12-20T00:00:00"/>
    <x v="1"/>
  </r>
  <r>
    <s v="ENTITY"/>
    <s v="DT_DFLT_STTS"/>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DFLT_STTS_INSTRMNT"/>
    <x v="0"/>
    <s v="5.2 Em testes - Incidência"/>
    <s v="NOK"/>
    <s v="Campo com incidência. É necessário adicionar a data de inception sempre que os contratos não estejam em default_x000a_Campo entregue por IT durante a OSI, no entanto foi detatada a incidência identificada supra"/>
    <s v="Na OSI foram reportados os 1os titulares da Contabilidade, o que para alguns casos, são diferentes do que está na CL01. Apenas será necessário ajustar este campo caso a LT passe a reportar os 1os titulares da Contabilidade."/>
    <s v="Não"/>
    <d v="2024-06-07T00:00:00"/>
    <x v="1"/>
    <s v="NOK"/>
    <m/>
    <m/>
    <m/>
    <x v="2"/>
  </r>
  <r>
    <s v="INSTRUMENT"/>
    <s v="DT_END_GP_PPAL"/>
    <x v="0"/>
    <s v="7. Analisar controlos e completude"/>
    <s v="NOK"/>
    <s v="Controlos NOK"/>
    <m/>
    <s v="Não"/>
    <d v="2024-06-07T00:00:00"/>
    <x v="5"/>
    <s v="NOK"/>
    <m/>
    <m/>
    <m/>
    <x v="6"/>
  </r>
  <r>
    <s v="INSTRUMENT"/>
    <s v="DT_END_GP_PPAL_C19"/>
    <x v="1"/>
    <s v="9. Concluído"/>
    <s v="OK"/>
    <s v="Concluido, controlos OK"/>
    <m/>
    <s v="Campo Fechado"/>
    <d v="2024-06-07T00:00:00"/>
    <x v="0"/>
    <s v="OK"/>
    <m/>
    <m/>
    <m/>
    <x v="0"/>
  </r>
  <r>
    <s v="INSTRUMENT"/>
    <s v="DT_END_INTRST_ONLY"/>
    <x v="0"/>
    <s v="7. Analisar controlos e completude"/>
    <s v="NOK"/>
    <s v="Controlos NOK"/>
    <m/>
    <s v="Não"/>
    <d v="2024-06-07T00:00:00"/>
    <x v="5"/>
    <s v="NOK"/>
    <m/>
    <m/>
    <m/>
    <x v="6"/>
  </r>
  <r>
    <s v="INSTRUMENT"/>
    <s v="DT_END_INTRST_ONLY_C19"/>
    <x v="1"/>
    <s v="9. Concluído"/>
    <s v="OK"/>
    <s v="Concluido, controlos OK"/>
    <m/>
    <s v="Campo Fechado"/>
    <d v="2024-06-07T00:00:00"/>
    <x v="0"/>
    <s v="OK"/>
    <m/>
    <m/>
    <m/>
    <x v="0"/>
  </r>
  <r>
    <s v="PROTECTION"/>
    <s v="CNSTRCTN_STTS"/>
    <x v="1"/>
    <s v="2. Alterar especificação"/>
    <s v="NOK"/>
    <s v="Campo dependente do MUG"/>
    <s v="Campo depende do campo 'cgarant' do MUG"/>
    <s v="Campo Fechado"/>
    <d v="2025-01-13T00:00:00"/>
    <x v="0"/>
    <s v="OK"/>
    <m/>
    <d v="2024-08-09T00:00:00"/>
    <d v="2024-12-20T00:00:00"/>
    <x v="1"/>
  </r>
  <r>
    <s v="ENTITY"/>
    <s v="DT_FNNCL_STTMTS"/>
    <x v="0"/>
    <s v="2. Alterar especificação"/>
    <s v="NOK"/>
    <s v="Em especificação (Financial Statments CIB)"/>
    <s v="Campo implementação, mas com falta de informação para o segmento de clientes CIB"/>
    <s v="Não"/>
    <d v="2024-06-07T00:00:00"/>
    <x v="2"/>
    <s v="NOK"/>
    <m/>
    <m/>
    <m/>
    <x v="2"/>
  </r>
  <r>
    <s v="ENTITY"/>
    <s v="DT_FNNCL_STTMTS_PRVS"/>
    <x v="0"/>
    <s v="2. Alterar especificação"/>
    <s v="NOK"/>
    <s v="Em especificação (Financial Statments CIB)"/>
    <s v="Campo implementação, mas com falta de informação para o segmento de clientes CIB"/>
    <s v="Não"/>
    <d v="2024-06-07T00:00:00"/>
    <x v="2"/>
    <s v="NOK"/>
    <m/>
    <m/>
    <m/>
    <x v="2"/>
  </r>
  <r>
    <s v="INSTRUMENT"/>
    <s v="RCVD_INTRST_24M"/>
    <x v="0"/>
    <s v="2. Alterar especificação"/>
    <s v="OK"/>
    <s v="Em especificação (Amortizações Capital/ Juros). Campo com dados mas pouca qualidade"/>
    <m/>
    <s v="Não"/>
    <d v="2024-06-07T00:00:00"/>
    <x v="2"/>
    <s v="OK"/>
    <m/>
    <m/>
    <m/>
    <x v="2"/>
  </r>
  <r>
    <s v="INSTRUMENT"/>
    <s v="DT_FRBRNC_STTS_C19"/>
    <x v="1"/>
    <s v="9. Concluído"/>
    <s v="OK"/>
    <s v="Concluido, controlos OK"/>
    <m/>
    <s v="Campo Fechado"/>
    <d v="2024-06-07T00:00:00"/>
    <x v="0"/>
    <s v="OK"/>
    <m/>
    <m/>
    <m/>
    <x v="0"/>
  </r>
  <r>
    <s v="INSTRUMENT"/>
    <s v="RCVD_INTRST_12M"/>
    <x v="0"/>
    <s v="2. Alterar especificação"/>
    <s v="NOK"/>
    <s v="Em especificação (Amortizações Capital/ Juros)"/>
    <m/>
    <s v="Não"/>
    <d v="2024-06-07T00:00:00"/>
    <x v="2"/>
    <s v="NOK"/>
    <m/>
    <m/>
    <m/>
    <x v="2"/>
  </r>
  <r>
    <s v="INSTRUMENT"/>
    <s v="DT_FRBRNC_STTS_PRVS_C19"/>
    <x v="1"/>
    <s v="9. Concluído"/>
    <s v="OK"/>
    <s v="Concluido, controlos OK"/>
    <m/>
    <s v="Campo Fechado"/>
    <d v="2024-06-07T00:00:00"/>
    <x v="0"/>
    <s v="OK"/>
    <m/>
    <m/>
    <m/>
    <x v="0"/>
  </r>
  <r>
    <s v="PROTECTION"/>
    <s v="DT_FRST_USG"/>
    <x v="1"/>
    <s v="7. Analisar controlos e completude"/>
    <s v="NOK"/>
    <s v="Controlos NOK por parte de Riscos"/>
    <m/>
    <s v="Não"/>
    <d v="2024-06-07T00:00:00"/>
    <x v="5"/>
    <s v="NOK"/>
    <m/>
    <m/>
    <m/>
    <x v="6"/>
  </r>
  <r>
    <s v="INSTRUMENT"/>
    <s v="DT_IMPRMNT_STT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MPRMNT_STTS_PRVS"/>
    <x v="0"/>
    <s v="3. Pendente de decisão"/>
    <s v="N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NOK"/>
    <s v="Alteração da fonte das tabela de Imparidade Reporting para as 8_7 e alteração da data a partir da qual a fonte passa a ser as tabelas de Contabilidade"/>
    <d v="2024-09-27T00:00:00"/>
    <m/>
    <x v="5"/>
  </r>
  <r>
    <s v="INSTRUMENT"/>
    <s v="DT_INCPTN"/>
    <x v="0"/>
    <s v="7. Analisar controlos e completude"/>
    <s v="NOK"/>
    <s v="Controlos NOK"/>
    <m/>
    <s v="Não"/>
    <d v="2024-06-07T00:00:00"/>
    <x v="5"/>
    <s v="NOK"/>
    <m/>
    <m/>
    <m/>
    <x v="6"/>
  </r>
  <r>
    <s v="ENTITY"/>
    <s v="DT_INTRNL_RTNG"/>
    <x v="0"/>
    <s v="5.1 Em testes - Re-especificação"/>
    <s v="NOK"/>
    <s v="Em testes, campo entregue por IT durante a OSI. Incidência nos formatos. Testar e validar controlos NOK"/>
    <m/>
    <s v="Sim"/>
    <d v="2024-06-07T00:00:00"/>
    <x v="8"/>
    <s v="NOK"/>
    <s v="Campo entregue durante a OSI"/>
    <d v="2024-02-16T00:00:00"/>
    <d v="2024-05-24T00:00:00"/>
    <x v="1"/>
  </r>
  <r>
    <s v="INSTRUMENT"/>
    <s v="DT_INTRNL_RTNG"/>
    <x v="0"/>
    <s v="5.1 Em testes - Re-especificação"/>
    <s v="NOK"/>
    <s v="Em testes, campo entregue por IT durante a OSI. Testar e validar controlos"/>
    <m/>
    <s v="Sim"/>
    <d v="2024-06-07T00:00:00"/>
    <x v="8"/>
    <s v="NOK"/>
    <s v="Campo entregue durante a OSI"/>
    <d v="2024-02-16T00:00:00"/>
    <d v="2024-05-24T00:00:00"/>
    <x v="1"/>
  </r>
  <r>
    <s v="ENTITY"/>
    <s v="DT_INTTN_LGL_PRCDNGS_LE"/>
    <x v="0"/>
    <s v="9. Concluído"/>
    <s v="OK"/>
    <s v="Concluido, controlos OK"/>
    <m/>
    <s v="Campo Fechado"/>
    <d v="2024-06-07T00:00:00"/>
    <x v="0"/>
    <s v="OK"/>
    <m/>
    <m/>
    <m/>
    <x v="0"/>
  </r>
  <r>
    <s v="PROTECTION"/>
    <s v="DVLPMNT_STTS"/>
    <x v="0"/>
    <s v="2. Alterar especificação"/>
    <s v="NOK"/>
    <s v="Alterar especificação. Campo dependente do MUG"/>
    <s v="Campo depende do campo 'cgarant' do MUG"/>
    <s v="Campo Fechado"/>
    <d v="2025-01-13T00:00:00"/>
    <x v="0"/>
    <s v="OK"/>
    <s v="Mapeamento de acordo com o CNSTRCTN_STTS"/>
    <d v="2024-08-09T00:00:00"/>
    <d v="2024-12-20T00:00:00"/>
    <x v="1"/>
  </r>
  <r>
    <s v="PROTECTION"/>
    <s v="DT_LST_FLL_APPRSL"/>
    <x v="0"/>
    <s v="5.2 Em testes - Incidência"/>
    <s v="NOK"/>
    <s v="Campo com incidência e controlos NOK"/>
    <s v="1) Campo com incidência, data igual à data da protection_vl 2) Alteração de formatos MISS"/>
    <s v="Campo Fechado"/>
    <d v="2025-01-13T00:00:00"/>
    <x v="0"/>
    <s v="OK"/>
    <s v="Campo está a reportar a data da última avaliação e não a data da última avaliação in person. Implementação não está a aplicar a metodologia de cálculo de acordo com a especificação"/>
    <d v="2024-06-28T00:00:00"/>
    <d v="2024-12-20T00:00:00"/>
    <x v="1"/>
  </r>
  <r>
    <s v="PROTECTION"/>
    <s v="DT_MTRTY_PRTCTN"/>
    <x v="0"/>
    <s v="7. Analisar controlos e completude"/>
    <s v="NOK"/>
    <s v="Controlos NOK por parte de Riscos"/>
    <m/>
    <s v="Não"/>
    <d v="2024-06-07T00:00:00"/>
    <x v="5"/>
    <s v="NOK"/>
    <m/>
    <m/>
    <m/>
    <x v="6"/>
  </r>
  <r>
    <s v="INSTRUMENT"/>
    <s v="SICR_ASSSSMNT_MTHD"/>
    <x v="0"/>
    <s v="3. Pendente de decisão"/>
    <s v="OK"/>
    <s v="Rever com Corporação se a codelist do IMPRMNT_STTS alterou, caso não tenha alterado não é necessário alterar o campo."/>
    <m/>
    <s v="Campo Fechado"/>
    <d v="2024-06-28T00:00:00"/>
    <x v="0"/>
    <s v="OK"/>
    <s v="E-mail enviado para Corporação. Codelist IMPRMNT_STTS não alterou"/>
    <m/>
    <s v="-"/>
    <x v="0"/>
  </r>
  <r>
    <s v="INSTRUMENT"/>
    <s v="DT_ORGNL_MTRTY"/>
    <x v="0"/>
    <s v="7. Analisar controlos e completude"/>
    <s v="NOK"/>
    <s v="Controlos NOK"/>
    <m/>
    <s v="Não"/>
    <d v="2024-06-07T00:00:00"/>
    <x v="5"/>
    <s v="NOK"/>
    <m/>
    <m/>
    <m/>
    <x v="6"/>
  </r>
  <r>
    <s v="PROTECTION"/>
    <s v="NTNL_ID"/>
    <x v="0"/>
    <s v="5.2 Em testes - Incidência"/>
    <s v="NOK"/>
    <s v="Campo com incidência (Formatos). Remover aspas"/>
    <m/>
    <s v="Campo Fechado"/>
    <d v="2025-01-13T00:00:00"/>
    <x v="0"/>
    <s v="OK"/>
    <m/>
    <d v="2024-08-09T00:00:00"/>
    <d v="2024-12-20T00:00:00"/>
    <x v="1"/>
  </r>
  <r>
    <s v="INSTRUMENT"/>
    <s v="DT_PRFRMNG_STT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DT_PRFRMNG_STTS_LE"/>
    <x v="0"/>
    <s v="3. Pendente de decisão"/>
    <s v="NOK"/>
    <s v="Alterar especificação  caso a LT passe a reportar os 1os titulares da Contabilidade."/>
    <s v="Na OSI foram reportados os 1os titulares da Contabilidade, o que para alguns casos, são diferentes do que está na CL01. Apenas será necessário ajustar este campo caso a LT passe a reportar os 1os titulares da Contabilidade."/>
    <s v="Sim"/>
    <d v="2024-06-07T00:00:00"/>
    <x v="4"/>
    <s v="NOK"/>
    <m/>
    <m/>
    <m/>
    <x v="5"/>
  </r>
  <r>
    <s v="INSTRUMENT"/>
    <s v="DT_PRFRMNG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INSTRUMENT"/>
    <s v="IFRS9_BHVRL_MTRTY"/>
    <x v="0"/>
    <s v="2. Alterar especificação"/>
    <s v="OK"/>
    <s v="Alterar especificação. Necessidade de alteração da fonte para fins de reconciliação"/>
    <s v="Em curso. Aguardamos resposta da equipa de Imparidade. Sempre que o campo for nulo colocar 111111111 valor de NA"/>
    <s v="Sim"/>
    <d v="2025-01-13T00:00:00"/>
    <x v="8"/>
    <s v="OK"/>
    <s v="Alteração de fonte e tabelas reporting para tabelas terminadas em 7_8_x000a_"/>
    <d v="2024-08-30T00:00:00"/>
    <m/>
    <x v="1"/>
  </r>
  <r>
    <s v="INSTRUMENT"/>
    <s v="DT_PST_D"/>
    <x v="0"/>
    <s v="7. Analisar controlos e completude"/>
    <s v="NOK"/>
    <s v="Controlos NOK"/>
    <m/>
    <s v="Não"/>
    <d v="2024-06-07T00:00:00"/>
    <x v="5"/>
    <s v="NOK"/>
    <m/>
    <m/>
    <m/>
    <x v="6"/>
  </r>
  <r>
    <s v="ENTITY"/>
    <s v="DT_RFRNC"/>
    <x v="0"/>
    <s v="9. Concluído"/>
    <s v="OK"/>
    <s v="Concluido, controlos OK"/>
    <m/>
    <s v="Campo Fechado"/>
    <d v="2024-06-07T00:00:00"/>
    <x v="0"/>
    <s v="OK"/>
    <m/>
    <m/>
    <m/>
    <x v="0"/>
  </r>
  <r>
    <s v="INSTR_ENTITY"/>
    <s v="DT_RFRNC"/>
    <x v="0"/>
    <s v="9. Concluído"/>
    <s v="OK"/>
    <s v="Concluido, controlos OK"/>
    <m/>
    <s v="Campo Fechado"/>
    <d v="2024-06-07T00:00:00"/>
    <x v="0"/>
    <s v="OK"/>
    <m/>
    <m/>
    <m/>
    <x v="0"/>
  </r>
  <r>
    <s v="INSTR_PROTECTION"/>
    <s v="DT_RFRNC"/>
    <x v="0"/>
    <s v="9. Concluído"/>
    <s v="OK"/>
    <s v="Concluido, controlos OK"/>
    <m/>
    <s v="Campo Fechado"/>
    <d v="2024-06-07T00:00:00"/>
    <x v="0"/>
    <s v="OK"/>
    <m/>
    <m/>
    <m/>
    <x v="0"/>
  </r>
  <r>
    <s v="INSTRUMENT"/>
    <s v="DT_RFRNC"/>
    <x v="0"/>
    <s v="9. Concluído"/>
    <s v="OK"/>
    <s v="Concluido, controlos OK"/>
    <m/>
    <s v="Campo Fechado"/>
    <d v="2024-06-07T00:00:00"/>
    <x v="0"/>
    <s v="OK"/>
    <m/>
    <m/>
    <m/>
    <x v="0"/>
  </r>
  <r>
    <s v="PROTECTION"/>
    <s v="DT_RFRNC"/>
    <x v="0"/>
    <s v="9. Concluído"/>
    <s v="OK"/>
    <s v="Concluido, controlos OK"/>
    <m/>
    <s v="Campo Fechado"/>
    <d v="2024-06-07T00:00:00"/>
    <x v="0"/>
    <s v="OK"/>
    <m/>
    <m/>
    <m/>
    <x v="0"/>
  </r>
  <r>
    <s v="INSTRUMENT"/>
    <s v="DT_STRT_GP_PPAL"/>
    <x v="0"/>
    <s v="7. Analisar controlos e completude"/>
    <s v="NOK"/>
    <s v="Controlos NOK"/>
    <m/>
    <s v="Não"/>
    <d v="2024-06-07T00:00:00"/>
    <x v="5"/>
    <s v="NOK"/>
    <m/>
    <m/>
    <m/>
    <x v="6"/>
  </r>
  <r>
    <s v="INSTRUMENT"/>
    <s v="DT_STRT_INTRST_ONLY"/>
    <x v="0"/>
    <s v="7. Analisar controlos e completude"/>
    <s v="NOK"/>
    <s v="Controlos NOK"/>
    <m/>
    <s v="Não"/>
    <d v="2024-06-07T00:00:00"/>
    <x v="5"/>
    <s v="NOK"/>
    <m/>
    <m/>
    <m/>
    <x v="6"/>
  </r>
  <r>
    <s v="INSTRUMENT"/>
    <s v="DT_VLTN"/>
    <x v="1"/>
    <s v="9. Concluído"/>
    <s v="OK"/>
    <s v="Concluido, controlos OK"/>
    <m/>
    <s v="Campo Fechado"/>
    <d v="2024-06-07T00:00:00"/>
    <x v="0"/>
    <s v="OK"/>
    <m/>
    <m/>
    <m/>
    <x v="0"/>
  </r>
  <r>
    <s v="INSTRUMENT"/>
    <s v="POCI"/>
    <x v="0"/>
    <s v="9. Concluído"/>
    <s v="OK"/>
    <s v="Concluido, controlos OK"/>
    <m/>
    <s v="Campo Fechado"/>
    <d v="2024-08-16T00:00:00"/>
    <x v="2"/>
    <m/>
    <s v="Alterar especificação para a tabela de Contabilidade FR004 campo Flag_POCI. Campo estava a mapear informação das tabelas de Imparidade, no entanto ficou definido que o Owner da informação deveria ser Contabilidade, neste sentido é necessário alterar a fonte para a tabela da Contabilidade"/>
    <m/>
    <m/>
    <x v="0"/>
  </r>
  <r>
    <s v="INSTRUMENT"/>
    <s v="EAD"/>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 &quot;nas várias chaves FR, onde &quot;saldo capital&quot; é obtido através das contas cargabal, cruzamento fr802 e cruzamento com matriz de contas 805 para o nome perimentro corporativo_x000a_Verificamos que o aprovisionamento do campo está correto de acordo com as regras especificadas"/>
    <d v="2024-02-16T00:00:00"/>
    <d v="2024-05-24T00:00:00"/>
    <x v="1"/>
  </r>
  <r>
    <s v="INSTRUMENT"/>
    <s v="EBA_CMPLNT_MRTR_ST_C19"/>
    <x v="1"/>
    <s v="9. Concluído"/>
    <s v="OK"/>
    <s v="Concluido, controlos OK"/>
    <m/>
    <s v="Campo Fechado"/>
    <d v="2024-06-07T00:00:00"/>
    <x v="0"/>
    <s v="OK"/>
    <m/>
    <m/>
    <m/>
    <x v="0"/>
  </r>
  <r>
    <s v="INSTRUMENT"/>
    <s v="OTSTNDNG_NMNL_AMNT_INSTRMNT_PRVS"/>
    <x v="0"/>
    <s v="5.2 Em testes - Incidência"/>
    <s v="OK"/>
    <s v="Campo com incidência"/>
    <s v="Diferenças na fonte_x000a__x000a_Regra utilizada na OSI:_x000a_cast(NVL((LT02_PRVS.GRSS_CRRYNG_AMNT_INSTRMNT_PRVS - NVL(ACCRD_T1.ACCRD_INTRST_INSTRMNT_PRVS,0)) ,11111111111.00) as decimal(21,2)) as  OTSTNDNG_NMNL_AMNT_INSTRMNT_PRVS"/>
    <s v="Sim"/>
    <d v="2024-06-28T00:00:00"/>
    <x v="2"/>
    <s v="NOK"/>
    <s v="Campo está a assumir apenas valores negativos, 0.00, MISS ou N/A. É necessário replicar o cálculo da LT001 para um ano atrás. LCM pediu para que o campo fonte fosse criado diretamente na LT001, eliminando a necessidade de replicar o calculo da LT001 para um ano antes da data de referência._x000a_Alteração de especificação aquando da entrega dos campos da LT001 da equipa de IT"/>
    <m/>
    <m/>
    <x v="5"/>
  </r>
  <r>
    <s v="INSTRUMENT"/>
    <s v="INSTLMNT_PAY"/>
    <x v="1"/>
    <s v="2. Alterar especificação"/>
    <s v="OK"/>
    <s v="Campo especificado, mas com pouca qualidade de dados"/>
    <m/>
    <s v="Não"/>
    <d v="2024-06-07T00:00:00"/>
    <x v="2"/>
    <s v="OK"/>
    <m/>
    <m/>
    <m/>
    <x v="7"/>
  </r>
  <r>
    <s v="ENTITY"/>
    <s v="EC_GRP_ID"/>
    <x v="1"/>
    <s v="1. Especificar"/>
    <s v="OK"/>
    <s v="Em especificação (Campos Novos)"/>
    <m/>
    <s v="Não"/>
    <d v="2024-06-07T00:00:00"/>
    <x v="3"/>
    <s v="OK"/>
    <m/>
    <m/>
    <m/>
    <x v="4"/>
  </r>
  <r>
    <s v="ENTITY"/>
    <s v="EC_GRP_NM"/>
    <x v="1"/>
    <s v="1. Especificar"/>
    <s v="OK"/>
    <s v="Em especificação (Campos Novos)"/>
    <m/>
    <s v="Não"/>
    <d v="2024-06-07T00:00:00"/>
    <x v="3"/>
    <s v="OK"/>
    <m/>
    <m/>
    <m/>
    <x v="4"/>
  </r>
  <r>
    <s v="ENTITY"/>
    <s v="ECNMC_ACTVTY"/>
    <x v="0"/>
    <s v="9. Concluído"/>
    <s v="OK"/>
    <s v="Concluido, controlos OK"/>
    <m/>
    <s v="Campo Fechado"/>
    <d v="2024-06-07T00:00:00"/>
    <x v="0"/>
    <s v="OK"/>
    <m/>
    <m/>
    <m/>
    <x v="0"/>
  </r>
  <r>
    <s v="INSTRUMENT"/>
    <s v="EIR"/>
    <x v="0"/>
    <s v="7. Analisar controlos e completude"/>
    <s v="NOK"/>
    <s v="Controlos NOK"/>
    <m/>
    <s v="Não"/>
    <d v="2024-06-07T00:00:00"/>
    <x v="5"/>
    <s v="NOK"/>
    <m/>
    <m/>
    <m/>
    <x v="6"/>
  </r>
  <r>
    <s v="INSTRUMENT"/>
    <s v="EIR_INCPTN"/>
    <x v="0"/>
    <s v="7. Analisar controlos e completude"/>
    <s v="NOK"/>
    <s v="Controlos NOK"/>
    <m/>
    <s v="Não"/>
    <d v="2024-06-07T00:00:00"/>
    <x v="5"/>
    <s v="NOK"/>
    <m/>
    <m/>
    <m/>
    <x v="6"/>
  </r>
  <r>
    <s v="INSTRUMENT"/>
    <s v="ELGBLTY_ECB"/>
    <x v="1"/>
    <s v="9. Concluído"/>
    <s v="OK"/>
    <s v="Concluido, controlos OK"/>
    <m/>
    <s v="Campo Fechado"/>
    <d v="2024-06-07T00:00:00"/>
    <x v="0"/>
    <s v="OK"/>
    <m/>
    <m/>
    <m/>
    <x v="0"/>
  </r>
  <r>
    <s v="ENTITY"/>
    <s v="EMPLYMNT_STTS"/>
    <x v="1"/>
    <s v="9. Concluído"/>
    <s v="OK"/>
    <s v="Concluido, controlos OK"/>
    <m/>
    <s v="Campo Fechado"/>
    <d v="2024-06-07T00:00:00"/>
    <x v="0"/>
    <s v="OK"/>
    <m/>
    <m/>
    <m/>
    <x v="0"/>
  </r>
  <r>
    <s v="ENTITY"/>
    <s v="EMPLYMNT_STTS_INTRNL"/>
    <x v="1"/>
    <s v="9. Concluído"/>
    <s v="OK"/>
    <s v="Concluido, controlos OK"/>
    <m/>
    <s v="Campo Fechado"/>
    <d v="2024-06-07T00:00:00"/>
    <x v="0"/>
    <s v="OK"/>
    <m/>
    <m/>
    <m/>
    <x v="0"/>
  </r>
  <r>
    <s v="ENTITY"/>
    <s v="ENTRPRS_SZ_LE"/>
    <x v="0"/>
    <s v="7. Analisar controlos e completude"/>
    <s v="NOK"/>
    <s v="Controlos NOK"/>
    <m/>
    <s v="Não"/>
    <d v="2024-06-07T00:00:00"/>
    <x v="5"/>
    <s v="NOK"/>
    <m/>
    <m/>
    <m/>
    <x v="6"/>
  </r>
  <r>
    <s v="ENTITY"/>
    <s v="ENTTY_ID"/>
    <x v="0"/>
    <s v="7. Analisar controlos e completude"/>
    <s v="NOK"/>
    <s v="Controlos NOK"/>
    <m/>
    <s v="Não"/>
    <d v="2024-06-07T00:00:00"/>
    <x v="5"/>
    <s v="NOK"/>
    <m/>
    <m/>
    <m/>
    <x v="6"/>
  </r>
  <r>
    <s v="INSTR_ENTITY"/>
    <s v="ENTTY_ID"/>
    <x v="0"/>
    <s v="7. Analisar controlos e completude"/>
    <s v="NOK"/>
    <s v="Controlos NOK"/>
    <m/>
    <s v="Não"/>
    <d v="2024-06-07T00:00:00"/>
    <x v="5"/>
    <s v="NOK"/>
    <m/>
    <m/>
    <m/>
    <x v="6"/>
  </r>
  <r>
    <s v="ENTITY"/>
    <s v="ENTTY_NM"/>
    <x v="0"/>
    <s v="9. Concluído"/>
    <s v="OK"/>
    <s v="Concluido, controlos OK"/>
    <m/>
    <s v="Campo Fechado"/>
    <d v="2024-06-07T00:00:00"/>
    <x v="0"/>
    <s v="OK"/>
    <m/>
    <m/>
    <m/>
    <x v="0"/>
  </r>
  <r>
    <s v="ENTITY"/>
    <s v="EQTY"/>
    <x v="0"/>
    <s v="2. Alterar especificação"/>
    <s v="OK"/>
    <s v="Em especificação (Financial Statments CIB)"/>
    <s v="Campo implementação, mas com falta de informação para o segmento de clientes CIB"/>
    <s v="Não"/>
    <d v="2024-06-07T00:00:00"/>
    <x v="2"/>
    <s v="OK"/>
    <m/>
    <m/>
    <m/>
    <x v="2"/>
  </r>
  <r>
    <s v="ENTITY"/>
    <s v="EQTY_PRVS"/>
    <x v="0"/>
    <s v="2. Alterar especificação"/>
    <s v="OK"/>
    <s v="Em especificação (Financial Statments CIB)"/>
    <s v="Campo implementação, mas com falta de informação para o segmento de clientes CIB"/>
    <s v="Não"/>
    <d v="2024-06-07T00:00:00"/>
    <x v="2"/>
    <s v="OK"/>
    <m/>
    <m/>
    <m/>
    <x v="2"/>
  </r>
  <r>
    <s v="INSTRUMENT"/>
    <s v="EXPCTD_LSS_CRR"/>
    <x v="1"/>
    <s v="4.1 Em implementação - Re-especificação"/>
    <s v="OK"/>
    <s v="Aguarda implementação de IT"/>
    <m/>
    <s v="Não"/>
    <d v="2024-06-17T00:00:00"/>
    <x v="8"/>
    <s v="OK"/>
    <m/>
    <d v="2024-02-02T00:00:00"/>
    <d v="2024-03-28T00:00:00"/>
    <x v="4"/>
  </r>
  <r>
    <s v="INSTRUMENT"/>
    <s v="EXPSR_IN_SCP"/>
    <x v="0"/>
    <s v="9. Concluído"/>
    <s v="OK"/>
    <s v="Concluido, controlos OK"/>
    <m/>
    <s v="Campo Fechado"/>
    <d v="2024-06-07T00:00:00"/>
    <x v="0"/>
    <s v="OK"/>
    <m/>
    <m/>
    <m/>
    <x v="0"/>
  </r>
  <r>
    <s v="INSTRUMENT"/>
    <s v="FRBRNC_STTS_INSTRMNT"/>
    <x v="0"/>
    <s v="2. Alterar especificação"/>
    <s v="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OK"/>
    <m/>
    <m/>
    <m/>
    <x v="2"/>
  </r>
  <r>
    <s v="ENTITY"/>
    <s v="EXTRNL_RTNG_PRVS"/>
    <x v="0"/>
    <s v="2. Alterar especificação"/>
    <s v="OK"/>
    <s v="Alterar especificação para casos em informação na fonte."/>
    <s v="Quando não existe informação na fonte em vez de MISS substituir por NA"/>
    <s v="Sim"/>
    <d v="2024-06-07T00:00:00"/>
    <x v="2"/>
    <s v="OK"/>
    <m/>
    <m/>
    <m/>
    <x v="3"/>
  </r>
  <r>
    <s v="ENTITY"/>
    <s v="EXTRNL_RTNG_NM"/>
    <x v="0"/>
    <s v="2. Alterar especificação"/>
    <s v="NOK"/>
    <s v="Alterar especificação para casos em informação na fonte."/>
    <s v="Quando não existe informação na fonte em vez de MISS substituir por NA"/>
    <s v="Sim"/>
    <d v="2024-06-07T00:00:00"/>
    <x v="2"/>
    <s v="NOK"/>
    <m/>
    <m/>
    <m/>
    <x v="3"/>
  </r>
  <r>
    <s v="INSTRUMENT"/>
    <s v="FLD_SYNDCTN"/>
    <x v="1"/>
    <s v="6. Outros Desenvolvimentos"/>
    <s v="OK"/>
    <s v="Em implementação IT BST (Sindicados)"/>
    <s v="Aguarda desenvolvimentos nas plataformas Loan IQ e Mercurio"/>
    <s v="Não"/>
    <d v="2024-06-07T00:00:00"/>
    <x v="9"/>
    <s v="OK"/>
    <m/>
    <m/>
    <m/>
    <x v="2"/>
  </r>
  <r>
    <s v="ENTITY"/>
    <s v="FLG_BNKRPTCY_IN_GRP"/>
    <x v="0"/>
    <s v="9. Concluído"/>
    <s v="OK"/>
    <s v="Concluido, controlos OK"/>
    <m/>
    <s v="Campo Fechado"/>
    <d v="2024-06-07T00:00:00"/>
    <x v="0"/>
    <s v="OK"/>
    <m/>
    <m/>
    <m/>
    <x v="0"/>
  </r>
  <r>
    <s v="ENTITY"/>
    <s v="FLG_HGH_CDS"/>
    <x v="0"/>
    <s v="9. Concluído"/>
    <s v="OK"/>
    <s v="Concluido, controlos OK"/>
    <m/>
    <s v="Campo Fechado"/>
    <d v="2024-06-07T00:00:00"/>
    <x v="0"/>
    <s v="OK"/>
    <m/>
    <m/>
    <m/>
    <x v="0"/>
  </r>
  <r>
    <s v="ENTITY"/>
    <s v="FLG_ISDA_CRDT_EVNT"/>
    <x v="0"/>
    <s v="9. Concluído"/>
    <s v="OK"/>
    <s v="Concluido, controlos OK"/>
    <m/>
    <s v="Campo Fechado"/>
    <d v="2024-06-07T00:00:00"/>
    <x v="0"/>
    <s v="OK"/>
    <m/>
    <m/>
    <m/>
    <x v="0"/>
  </r>
  <r>
    <s v="INSTRUMENT"/>
    <s v="FLG_LBO"/>
    <x v="1"/>
    <s v="9. Concluído"/>
    <s v="OK"/>
    <s v="Concluido, controlos OK"/>
    <m/>
    <s v="Campo Fechado"/>
    <d v="2024-06-07T00:00:00"/>
    <x v="0"/>
    <s v="OK"/>
    <m/>
    <m/>
    <m/>
    <x v="0"/>
  </r>
  <r>
    <s v="ENTITY"/>
    <s v="FLG_NN_ACCRL"/>
    <x v="0"/>
    <s v="9. Concluído"/>
    <s v="OK"/>
    <s v="Concluido, controlos OK"/>
    <m/>
    <s v="Campo Fechado"/>
    <d v="2024-06-07T00:00:00"/>
    <x v="0"/>
    <s v="OK"/>
    <m/>
    <m/>
    <m/>
    <x v="0"/>
  </r>
  <r>
    <s v="ENTITY"/>
    <s v="FLG_RQST_BNKRPTCY"/>
    <x v="0"/>
    <s v="9. Concluído"/>
    <s v="OK"/>
    <s v="Concluido, controlos OK"/>
    <m/>
    <s v="Campo Fechado"/>
    <d v="2024-06-07T00:00:00"/>
    <x v="0"/>
    <s v="OK"/>
    <m/>
    <m/>
    <m/>
    <x v="0"/>
  </r>
  <r>
    <s v="ENTITY"/>
    <s v="FLG_RQST_DSTRSSD_RSTRCTRNG"/>
    <x v="0"/>
    <s v="1. Especificar"/>
    <s v="NOK"/>
    <s v="Em especificação, rever fonte"/>
    <m/>
    <s v="Não"/>
    <d v="2024-06-07T00:00:00"/>
    <x v="3"/>
    <s v="NOK"/>
    <m/>
    <m/>
    <m/>
    <x v="2"/>
  </r>
  <r>
    <s v="ENTITY"/>
    <s v="FLG_RQST_EMRGNCY_FNDNG"/>
    <x v="0"/>
    <s v="9. Concluído"/>
    <s v="OK"/>
    <s v="Concluido, controlos OK"/>
    <m/>
    <s v="Campo Fechado"/>
    <d v="2024-06-07T00:00:00"/>
    <x v="0"/>
    <s v="OK"/>
    <m/>
    <m/>
    <m/>
    <x v="0"/>
  </r>
  <r>
    <s v="ENTITY"/>
    <s v="FLG_SLL_WTH_LSS"/>
    <x v="0"/>
    <s v="9. Concluído"/>
    <s v="OK"/>
    <s v="Concluido, controlos OK"/>
    <m/>
    <s v="Campo Fechado"/>
    <d v="2024-06-07T00:00:00"/>
    <x v="0"/>
    <s v="OK"/>
    <m/>
    <m/>
    <m/>
    <x v="0"/>
  </r>
  <r>
    <s v="ENTITY"/>
    <s v="FR_CSH_FLW"/>
    <x v="0"/>
    <s v="1. Especificar"/>
    <s v="OK"/>
    <s v="Em especificação (Campos Novos)"/>
    <m/>
    <s v="Não"/>
    <d v="2024-06-07T00:00:00"/>
    <x v="3"/>
    <s v="OK"/>
    <m/>
    <m/>
    <m/>
    <x v="4"/>
  </r>
  <r>
    <s v="ENTITY"/>
    <s v="FR_CSH_FLW_T1"/>
    <x v="0"/>
    <s v="1. Especificar"/>
    <s v="OK"/>
    <s v="Em especificação (Campos Novos)"/>
    <m/>
    <s v="Não"/>
    <d v="2024-06-07T00:00:00"/>
    <x v="3"/>
    <s v="OK"/>
    <m/>
    <m/>
    <m/>
    <x v="4"/>
  </r>
  <r>
    <s v="ENTITY"/>
    <s v="FR_CSH_FLW_T2"/>
    <x v="0"/>
    <s v="1. Especificar"/>
    <s v="OK"/>
    <s v="Em especificação (Campos Novos)"/>
    <m/>
    <s v="Não"/>
    <d v="2024-06-07T00:00:00"/>
    <x v="3"/>
    <s v="OK"/>
    <m/>
    <m/>
    <m/>
    <x v="4"/>
  </r>
  <r>
    <s v="ENTITY"/>
    <s v="FR_CSH_FLW_T3"/>
    <x v="0"/>
    <s v="1. Especificar"/>
    <s v="OK"/>
    <s v="Em especificação (Campos Novos)"/>
    <m/>
    <s v="Não"/>
    <d v="2024-06-07T00:00:00"/>
    <x v="3"/>
    <s v="OK"/>
    <m/>
    <m/>
    <m/>
    <x v="4"/>
  </r>
  <r>
    <s v="INSTRUMENT"/>
    <s v="FRBRNC_STTS_C19"/>
    <x v="1"/>
    <s v="9. Concluído"/>
    <s v="OK"/>
    <s v="Concluido, controlos OK"/>
    <m/>
    <s v="Campo Fechado"/>
    <d v="2024-06-07T00:00:00"/>
    <x v="0"/>
    <s v="OK"/>
    <m/>
    <m/>
    <m/>
    <x v="0"/>
  </r>
  <r>
    <s v="ENTITY"/>
    <s v="EXTRNL_RTNG"/>
    <x v="0"/>
    <s v="2. Alterar especificação"/>
    <s v="OK"/>
    <s v="Alterar especificação para casos em informação na fonte."/>
    <s v="Quando não existe informação na fonte em vez de MISS substituir por NA"/>
    <s v="Sim"/>
    <d v="2024-06-07T00:00:00"/>
    <x v="2"/>
    <s v="OK"/>
    <m/>
    <m/>
    <m/>
    <x v="3"/>
  </r>
  <r>
    <s v="ENTITY"/>
    <s v="GCC_PRNT_ID"/>
    <x v="0"/>
    <s v="9. Concluído"/>
    <s v="OK"/>
    <s v="Concluido, controlos OK"/>
    <m/>
    <s v="Campo Fechado"/>
    <d v="2024-06-07T00:00:00"/>
    <x v="0"/>
    <s v="OK"/>
    <m/>
    <m/>
    <m/>
    <x v="0"/>
  </r>
  <r>
    <s v="ENTITY"/>
    <s v="GCC_PRNT_NM"/>
    <x v="0"/>
    <s v="9. Concluído"/>
    <s v="OK"/>
    <s v="Concluido, controlos OK"/>
    <m/>
    <s v="Campo Fechado"/>
    <d v="2024-06-07T00:00:00"/>
    <x v="0"/>
    <s v="OK"/>
    <m/>
    <m/>
    <m/>
    <x v="0"/>
  </r>
  <r>
    <s v="ENTITY"/>
    <s v="GDWILL"/>
    <x v="0"/>
    <s v="9. Concluído"/>
    <s v="OK"/>
    <s v="Concluido, controlos OK"/>
    <m/>
    <s v="Campo Fechado"/>
    <d v="2024-06-07T00:00:00"/>
    <x v="0"/>
    <s v="OK"/>
    <m/>
    <m/>
    <m/>
    <x v="0"/>
  </r>
  <r>
    <s v="ENTITY"/>
    <s v="GDWILL_PRVS"/>
    <x v="0"/>
    <s v="9. Concluído"/>
    <s v="OK"/>
    <s v="Concluido, controlos OK"/>
    <m/>
    <s v="Campo Fechado"/>
    <d v="2024-06-07T00:00:00"/>
    <x v="0"/>
    <s v="OK"/>
    <m/>
    <m/>
    <m/>
    <x v="0"/>
  </r>
  <r>
    <s v="INSTRUMENT"/>
    <s v="GRC_PRD_CPTL_INTRST_C19"/>
    <x v="1"/>
    <s v="9. Concluído"/>
    <s v="OK"/>
    <s v="Concluido, controlos OK"/>
    <m/>
    <s v="Campo Fechado"/>
    <d v="2024-06-07T00:00:00"/>
    <x v="0"/>
    <s v="OK"/>
    <m/>
    <m/>
    <m/>
    <x v="0"/>
  </r>
  <r>
    <s v="INSTRUMENT"/>
    <s v="GRNTR_ID"/>
    <x v="1"/>
    <s v="9. Concluído"/>
    <s v="OK"/>
    <s v="Concluido, controlos OK"/>
    <m/>
    <s v="Campo Fechado"/>
    <d v="2024-06-07T00:00:00"/>
    <x v="0"/>
    <s v="OK"/>
    <m/>
    <m/>
    <m/>
    <x v="0"/>
  </r>
  <r>
    <s v="INSTRUMENT"/>
    <s v="GRNTR_ID_TYP"/>
    <x v="1"/>
    <s v="9. Concluído"/>
    <s v="OK"/>
    <s v="Concluido, controlos OK"/>
    <m/>
    <s v="Campo Fechado"/>
    <d v="2024-06-07T00:00:00"/>
    <x v="0"/>
    <s v="OK"/>
    <m/>
    <m/>
    <m/>
    <x v="0"/>
  </r>
  <r>
    <s v="ENTITY"/>
    <s v="GRP_EBITDA"/>
    <x v="0"/>
    <s v="9. Concluído"/>
    <s v="OK"/>
    <s v="Concluido, controlos OK"/>
    <m/>
    <s v="Campo Fechado"/>
    <d v="2024-06-07T00:00:00"/>
    <x v="0"/>
    <s v="OK"/>
    <m/>
    <m/>
    <m/>
    <x v="0"/>
  </r>
  <r>
    <s v="ENTITY"/>
    <s v="GRP_EQTY"/>
    <x v="0"/>
    <s v="9. Concluído"/>
    <s v="OK"/>
    <s v="Concluido, controlos OK"/>
    <m/>
    <s v="Campo Fechado"/>
    <d v="2024-06-07T00:00:00"/>
    <x v="0"/>
    <s v="OK"/>
    <m/>
    <m/>
    <m/>
    <x v="0"/>
  </r>
  <r>
    <s v="ENTITY"/>
    <s v="GRP_NT_DBT"/>
    <x v="0"/>
    <s v="9. Concluído"/>
    <s v="OK"/>
    <s v="Concluido, controlos OK"/>
    <m/>
    <s v="Campo Fechado"/>
    <d v="2024-06-07T00:00:00"/>
    <x v="0"/>
    <s v="OK"/>
    <m/>
    <m/>
    <m/>
    <x v="0"/>
  </r>
  <r>
    <s v="ENTITY"/>
    <s v="GRP_TTL_DBT"/>
    <x v="1"/>
    <s v="2. Alterar especificação"/>
    <s v="OK"/>
    <s v="Em especificação (Financial Statments CIB)"/>
    <s v="Campo implementação, mas com falta de informação para o segmento de clientes CIB"/>
    <s v="Não"/>
    <d v="2024-06-07T00:00:00"/>
    <x v="2"/>
    <s v="OK"/>
    <m/>
    <m/>
    <m/>
    <x v="2"/>
  </r>
  <r>
    <s v="INSTRUMENT"/>
    <s v="GRSS_CRRYNG_AMNT_INSTRMNT"/>
    <x v="0"/>
    <s v="9. Concluído"/>
    <s v="OK"/>
    <s v="Concluido, controlos OK"/>
    <m/>
    <s v="Campo Fechado"/>
    <d v="2024-06-07T00:00:00"/>
    <x v="0"/>
    <s v="OK"/>
    <m/>
    <m/>
    <m/>
    <x v="0"/>
  </r>
  <r>
    <s v="INSTRUMENT"/>
    <s v="HEDGE_ID"/>
    <x v="1"/>
    <s v="9. Concluído"/>
    <s v="OK"/>
    <s v="Concluido, controlos OK"/>
    <m/>
    <s v="Campo Fechado"/>
    <d v="2024-06-07T00:00:00"/>
    <x v="0"/>
    <s v="OK"/>
    <m/>
    <m/>
    <m/>
    <x v="0"/>
  </r>
  <r>
    <s v="PROTECTION"/>
    <s v="HRCT_MV"/>
    <x v="0"/>
    <s v="9. Concluído"/>
    <s v="OK"/>
    <s v="Concluido, controlos OK"/>
    <m/>
    <s v="Campo Fechado"/>
    <d v="2024-06-07T00:00:00"/>
    <x v="0"/>
    <s v="OK"/>
    <m/>
    <m/>
    <m/>
    <x v="0"/>
  </r>
  <r>
    <s v="INSTRUMENT"/>
    <s v="IDCMB"/>
    <x v="1"/>
    <s v="5.1 Em testes - Re-especificação"/>
    <s v="NOK"/>
    <s v="Em testes pela equipa de CDO"/>
    <m/>
    <s v="Sim"/>
    <d v="2024-06-07T00:00:00"/>
    <x v="8"/>
    <s v="NOK"/>
    <m/>
    <d v="2024-02-06T00:00:00"/>
    <d v="2024-02-08T00:00:00"/>
    <x v="4"/>
  </r>
  <r>
    <s v="ENTITY"/>
    <s v="EBITDA_PRVS"/>
    <x v="0"/>
    <s v="2. Alterar especificação"/>
    <s v="OK"/>
    <s v="Alterar especificação (Luis Bastos enviou nova metodologia do campo)"/>
    <m/>
    <s v="Não"/>
    <d v="2024-06-07T00:00:00"/>
    <x v="2"/>
    <s v="OK"/>
    <m/>
    <m/>
    <m/>
    <x v="2"/>
  </r>
  <r>
    <s v="INSTRUMENT"/>
    <s v="IFRS9_CCF"/>
    <x v="0"/>
    <s v="9. Concluído"/>
    <s v="OK"/>
    <s v="Concluido, controlos OK"/>
    <m/>
    <s v="Campo Fechado"/>
    <d v="2024-06-07T00:00:00"/>
    <x v="0"/>
    <s v="OK"/>
    <s v="Campo Imparidade"/>
    <m/>
    <m/>
    <x v="0"/>
  </r>
  <r>
    <s v="INSTRUMENT"/>
    <s v="IFRS9_EAD"/>
    <x v="0"/>
    <s v="7. Analisar controlos e completude"/>
    <s v="NOK"/>
    <s v="Controlos NOK"/>
    <m/>
    <s v="Não"/>
    <d v="2024-06-07T00:00:00"/>
    <x v="5"/>
    <s v="NOK"/>
    <s v="Campo Imparidade"/>
    <m/>
    <m/>
    <x v="6"/>
  </r>
  <r>
    <s v="INSTRUMENT"/>
    <s v="IFRS9_LGD"/>
    <x v="0"/>
    <s v="9. Concluído"/>
    <s v="OK"/>
    <s v="Concluido, controlos OK"/>
    <m/>
    <s v="Campo Fechado"/>
    <d v="2024-06-07T00:00:00"/>
    <x v="0"/>
    <s v="OK"/>
    <s v="Campo Imparidade"/>
    <m/>
    <m/>
    <x v="0"/>
  </r>
  <r>
    <s v="INSTRUMENT"/>
    <s v="IMPRMNT_ASSSSMNT_MTHD"/>
    <x v="0"/>
    <s v="9. Concluído"/>
    <s v="OK"/>
    <s v="Concluido, controlos OK"/>
    <m/>
    <s v="Campo Fechado"/>
    <d v="2024-06-07T00:00:00"/>
    <x v="0"/>
    <s v="OK"/>
    <m/>
    <m/>
    <m/>
    <x v="0"/>
  </r>
  <r>
    <s v="INSTRUMENT"/>
    <s v="IMPRMNT_CLCLTN_MTHD"/>
    <x v="0"/>
    <s v="7. Analisar controlos e completude"/>
    <s v="NOK"/>
    <s v="Controlos NOK"/>
    <m/>
    <s v="Não"/>
    <d v="2024-06-07T00:00:00"/>
    <x v="5"/>
    <s v="NOK"/>
    <m/>
    <m/>
    <m/>
    <x v="6"/>
  </r>
  <r>
    <s v="INSTRUMENT"/>
    <s v="IMPRMNT_STTS"/>
    <x v="0"/>
    <s v="3. Pendente de decisão"/>
    <s v="NOK"/>
    <s v="Rever com a Corporação se a nova code list foi apenas para a OSI (relativamente ao tema dos POCI)."/>
    <m/>
    <s v="Sim"/>
    <d v="2025-01-13T00:00:00"/>
    <x v="8"/>
    <s v="NOK"/>
    <s v="Alteração da fonte das tabela de Imparidade Reporting para as 8_7 e alteração da data a partir da qual a fonte passa a ser as tabelas de Contabilidade"/>
    <d v="2024-09-27T00:00:00"/>
    <m/>
    <x v="5"/>
  </r>
  <r>
    <s v="INSTRUMENT"/>
    <s v="IMPRMNT_STTS_PRVS"/>
    <x v="0"/>
    <s v="3. Pendente de decisão"/>
    <s v="OK"/>
    <s v="Verificar necessidade de alteração da fonte para fins de reconciliação. Rever Fonte"/>
    <s v="Rever fonte. Confirmar com LCM que a informação deverá estar de acordo com IFRS9/Imparidade, mantendo a metodologia da OSI (ir apenas à tabela FR004 na data de referência, as restantes datas ir à tabela de IFRS9)"/>
    <s v="Sim"/>
    <d v="2025-01-13T00:00:00"/>
    <x v="8"/>
    <s v="OK"/>
    <s v="Alteração da fonte das tabela de Imparidade Reporting para as 8_7 e alteração da data a partir da qual a fonte passa a ser as tabelas de Contabilidade"/>
    <d v="2024-09-27T00:00:00"/>
    <m/>
    <x v="5"/>
  </r>
  <r>
    <s v="ENTITY"/>
    <s v="INCM_SC"/>
    <x v="1"/>
    <s v="1. Especificar"/>
    <s v="OK"/>
    <s v="Em especificação (Salários)"/>
    <m/>
    <s v="Não"/>
    <d v="2024-06-07T00:00:00"/>
    <x v="3"/>
    <s v="OK"/>
    <m/>
    <m/>
    <m/>
    <x v="2"/>
  </r>
  <r>
    <s v="ENTITY"/>
    <s v="EBITDA"/>
    <x v="0"/>
    <s v="2. Alterar especificação"/>
    <s v="OK"/>
    <s v="Alterar especificação (Luis Bastos enviou nova metodologia do campo)"/>
    <m/>
    <s v="Não"/>
    <d v="2024-06-07T00:00:00"/>
    <x v="2"/>
    <s v="OK"/>
    <m/>
    <m/>
    <m/>
    <x v="2"/>
  </r>
  <r>
    <s v="INSTRUMENT"/>
    <s v="INSTR_SNRTY_CLSS"/>
    <x v="1"/>
    <s v="9. Concluído"/>
    <s v="OK"/>
    <s v="Concluido, controlos OK"/>
    <m/>
    <s v="Campo Fechado"/>
    <d v="2024-06-07T00:00:00"/>
    <x v="0"/>
    <s v="OK"/>
    <m/>
    <m/>
    <m/>
    <x v="0"/>
  </r>
  <r>
    <s v="INSTRUMENT"/>
    <s v="INSTRMNT_CLSS"/>
    <x v="1"/>
    <s v="9. Concluído"/>
    <s v="OK"/>
    <s v="Concluido, controlos OK"/>
    <m/>
    <s v="Campo Fechado"/>
    <d v="2024-06-07T00:00:00"/>
    <x v="0"/>
    <s v="OK"/>
    <m/>
    <m/>
    <m/>
    <x v="0"/>
  </r>
  <r>
    <s v="INSTR_ENTITY"/>
    <s v="INSTRMNT_ID"/>
    <x v="0"/>
    <s v="9. Concluído"/>
    <s v="OK"/>
    <s v="Concluido, controlos OK"/>
    <m/>
    <s v="Campo Fechado"/>
    <d v="2024-06-07T00:00:00"/>
    <x v="0"/>
    <s v="OK"/>
    <m/>
    <m/>
    <m/>
    <x v="0"/>
  </r>
  <r>
    <s v="INSTR_PROTECTION"/>
    <s v="INSTRMNT_ID"/>
    <x v="0"/>
    <s v="9. Concluído"/>
    <s v="OK"/>
    <s v="Concluido, controlos OK"/>
    <m/>
    <s v="Campo Fechado"/>
    <d v="2024-06-07T00:00:00"/>
    <x v="0"/>
    <s v="OK"/>
    <m/>
    <m/>
    <m/>
    <x v="0"/>
  </r>
  <r>
    <s v="INSTRUMENT"/>
    <s v="INSTRMNT_ID"/>
    <x v="0"/>
    <s v="9. Concluído"/>
    <s v="OK"/>
    <s v="Concluido, controlos OK"/>
    <m/>
    <s v="Campo Fechado"/>
    <d v="2024-06-07T00:00:00"/>
    <x v="0"/>
    <s v="OK"/>
    <m/>
    <m/>
    <m/>
    <x v="0"/>
  </r>
  <r>
    <s v="ENTITY"/>
    <s v="INTRNL_RTNG"/>
    <x v="0"/>
    <s v="5.1 Em testes - Re-especificação"/>
    <s v="NOK"/>
    <s v="Em testes"/>
    <m/>
    <s v="Sim"/>
    <d v="2024-06-07T00:00:00"/>
    <x v="8"/>
    <s v="NOK"/>
    <s v="Campo entregue durante a OSI"/>
    <d v="2024-02-16T00:00:00"/>
    <d v="2024-05-24T00:00:00"/>
    <x v="1"/>
  </r>
  <r>
    <s v="INSTRUMENT"/>
    <s v="INTRNL_RTNG"/>
    <x v="0"/>
    <s v="5.1 Em testes - Re-especificação"/>
    <s v="NOK"/>
    <s v="Em testes"/>
    <m/>
    <s v="Sim"/>
    <d v="2024-06-07T00:00:00"/>
    <x v="8"/>
    <s v="NOK"/>
    <s v="Campo entregue durante a OSI"/>
    <d v="2024-02-16T00:00:00"/>
    <d v="2024-05-24T00:00:00"/>
    <x v="1"/>
  </r>
  <r>
    <s v="INSTRUMENT"/>
    <s v="INTRNL_RTNG_INCPTN"/>
    <x v="0"/>
    <s v="5.2 Em testes - Incidência"/>
    <s v="NOK"/>
    <s v="Alterar especificação, campo com incidência. Controlos NOK"/>
    <s v="Na LT apenas foi especifido os restantes internal ratings, estando em falta o internal rating à data de inception."/>
    <s v="Não"/>
    <d v="2024-06-07T00:00:00"/>
    <x v="1"/>
    <s v="NOK"/>
    <m/>
    <m/>
    <m/>
    <x v="2"/>
  </r>
  <r>
    <s v="ENTITY"/>
    <s v="INTRNL_RTNG_PRVS"/>
    <x v="0"/>
    <s v="5.1 Em testes - Re-especificação"/>
    <s v="OK"/>
    <s v="Em testes, campo entregue por IT durante a OSI. Testar e validar controlos"/>
    <m/>
    <s v="Sim"/>
    <d v="2024-06-07T00:00:00"/>
    <x v="8"/>
    <s v="OK"/>
    <s v="Campo entregue durante a OSI"/>
    <d v="2024-02-16T00:00:00"/>
    <d v="2024-05-24T00:00:00"/>
    <x v="1"/>
  </r>
  <r>
    <s v="ENTITY"/>
    <s v="INTRNL_SGMNT"/>
    <x v="0"/>
    <s v="9. Concluído"/>
    <s v="OK"/>
    <s v="Concluido, controlos OK"/>
    <m/>
    <s v="Campo Fechado"/>
    <d v="2024-06-07T00:00:00"/>
    <x v="0"/>
    <s v="OK"/>
    <m/>
    <m/>
    <m/>
    <x v="0"/>
  </r>
  <r>
    <s v="INSTRUMENT"/>
    <s v="INTRNL_SGMNT"/>
    <x v="0"/>
    <s v="9. Concluído"/>
    <s v="OK"/>
    <s v="Concluido, controlos OK"/>
    <m/>
    <s v="Campo Fechado"/>
    <d v="2024-06-07T00:00:00"/>
    <x v="0"/>
    <s v="OK"/>
    <m/>
    <m/>
    <m/>
    <x v="0"/>
  </r>
  <r>
    <s v="INSTRUMENT"/>
    <s v="INTRNL_SGMNT_CAT_MSTA"/>
    <x v="1"/>
    <s v="9. Concluído"/>
    <s v="OK"/>
    <s v="Concluido, controlos OK"/>
    <m/>
    <s v="Campo Fechado"/>
    <d v="2024-06-07T00:00:00"/>
    <x v="0"/>
    <s v="OK"/>
    <m/>
    <m/>
    <m/>
    <x v="0"/>
  </r>
  <r>
    <s v="INSTRUMENT"/>
    <s v="INTRNL_SGMNT_CATGSUB"/>
    <x v="1"/>
    <s v="9. Concluído"/>
    <s v="OK"/>
    <s v="Concluido, controlos OK"/>
    <m/>
    <s v="Campo Fechado"/>
    <d v="2024-06-07T00:00:00"/>
    <x v="0"/>
    <s v="OK"/>
    <m/>
    <m/>
    <m/>
    <x v="0"/>
  </r>
  <r>
    <s v="INSTRUMENT"/>
    <s v="INTRNL_SGMNT_IFRS9"/>
    <x v="1"/>
    <s v="9. Concluído"/>
    <s v="OK"/>
    <s v="Concluido, controlos OK"/>
    <m/>
    <s v="Campo Fechado"/>
    <d v="2024-06-07T00:00:00"/>
    <x v="0"/>
    <s v="OK"/>
    <s v="Campo Imparidade"/>
    <m/>
    <m/>
    <x v="0"/>
  </r>
  <r>
    <s v="ENTITY"/>
    <s v="INTRNL_UNT"/>
    <x v="0"/>
    <s v="9. Concluído"/>
    <s v="OK"/>
    <s v="Concluido, controlos OK"/>
    <m/>
    <s v="Campo Fechado"/>
    <d v="2024-06-07T00:00:00"/>
    <x v="0"/>
    <s v="OK"/>
    <m/>
    <m/>
    <m/>
    <x v="0"/>
  </r>
  <r>
    <s v="INSTRUMENT"/>
    <s v="INTRNL_UNT"/>
    <x v="0"/>
    <s v="9. Concluído"/>
    <s v="OK"/>
    <s v="Concluido, controlos OK"/>
    <m/>
    <s v="Campo Fechado"/>
    <d v="2024-06-07T00:00:00"/>
    <x v="0"/>
    <s v="OK"/>
    <m/>
    <m/>
    <m/>
    <x v="0"/>
  </r>
  <r>
    <s v="INSTRUMENT"/>
    <s v="INTRST_RT_RST_FRQNCY"/>
    <x v="0"/>
    <s v="9. Concluído"/>
    <s v="OK"/>
    <s v="Concluido, controlos OK"/>
    <m/>
    <s v="Campo Fechado"/>
    <d v="2024-06-07T00:00:00"/>
    <x v="0"/>
    <s v="OK"/>
    <m/>
    <m/>
    <m/>
    <x v="0"/>
  </r>
  <r>
    <s v="INSTRUMENT"/>
    <s v="ISIN"/>
    <x v="1"/>
    <s v="9. Concluído"/>
    <s v="OK"/>
    <s v="Concluido, controlos OK"/>
    <m/>
    <s v="Campo Fechado"/>
    <d v="2024-06-07T00:00:00"/>
    <x v="0"/>
    <s v="OK"/>
    <m/>
    <m/>
    <m/>
    <x v="0"/>
  </r>
  <r>
    <s v="INSTRUMENT"/>
    <s v="ISIN_SCRTSTN"/>
    <x v="1"/>
    <s v="9. Concluído"/>
    <s v="OK"/>
    <s v="Concluido, controlos OK"/>
    <m/>
    <s v="Campo Fechado"/>
    <d v="2024-06-07T00:00:00"/>
    <x v="0"/>
    <s v="OK"/>
    <m/>
    <m/>
    <m/>
    <x v="0"/>
  </r>
  <r>
    <s v="INSTRUMENT"/>
    <s v="ISSR_CNTRY"/>
    <x v="1"/>
    <s v="9. Concluído"/>
    <s v="OK"/>
    <s v="Concluido, controlos OK"/>
    <m/>
    <s v="Campo Fechado"/>
    <d v="2024-06-07T00:00:00"/>
    <x v="0"/>
    <s v="OK"/>
    <m/>
    <m/>
    <m/>
    <x v="0"/>
  </r>
  <r>
    <s v="INSTRUMENT"/>
    <s v="ISSR_ESA_2010"/>
    <x v="1"/>
    <s v="7. Analisar controlos e completude"/>
    <s v="NOK"/>
    <s v="Controlos NOK"/>
    <m/>
    <s v="Não"/>
    <d v="2024-06-07T00:00:00"/>
    <x v="5"/>
    <s v="NOK"/>
    <m/>
    <m/>
    <m/>
    <x v="6"/>
  </r>
  <r>
    <s v="INSTRUMENT"/>
    <s v="ISSR_ID"/>
    <x v="1"/>
    <s v="9. Concluído"/>
    <s v="OK"/>
    <s v="Concluido, controlos OK"/>
    <m/>
    <s v="Campo Fechado"/>
    <d v="2024-06-07T00:00:00"/>
    <x v="0"/>
    <s v="OK"/>
    <m/>
    <m/>
    <m/>
    <x v="0"/>
  </r>
  <r>
    <s v="INSTRUMENT"/>
    <s v="ISSR_ID_TYP"/>
    <x v="1"/>
    <s v="9. Concluído"/>
    <s v="OK"/>
    <s v="Concluido, controlos OK"/>
    <m/>
    <s v="Campo Fechado"/>
    <d v="2024-06-07T00:00:00"/>
    <x v="0"/>
    <s v="OK"/>
    <m/>
    <m/>
    <m/>
    <x v="0"/>
  </r>
  <r>
    <s v="INSTRUMENT"/>
    <s v="ISSR_NACE_SCTR"/>
    <x v="1"/>
    <s v="9. Concluído"/>
    <s v="OK"/>
    <s v="Concluido, controlos OK"/>
    <m/>
    <s v="Campo Fechado"/>
    <d v="2024-06-07T00:00:00"/>
    <x v="0"/>
    <s v="OK"/>
    <m/>
    <m/>
    <m/>
    <x v="0"/>
  </r>
  <r>
    <s v="INSTRUMENT"/>
    <s v="ISSR_RTNG"/>
    <x v="1"/>
    <s v="8. Concluído - sem dados"/>
    <s v="OK"/>
    <s v="Campo especificado, mas sem dados. Campo marcado com MISS ou NA"/>
    <m/>
    <s v="Campo Fechado"/>
    <d v="2024-06-07T00:00:00"/>
    <x v="6"/>
    <s v="OK"/>
    <m/>
    <m/>
    <m/>
    <x v="7"/>
  </r>
  <r>
    <s v="INSTRUMENT"/>
    <s v="ISSR_RTNG_SRC"/>
    <x v="1"/>
    <s v="8. Concluído - sem dados"/>
    <s v="OK"/>
    <s v="Campo especificado, mas sem dados. Campo marcado com MISS ou NA"/>
    <m/>
    <s v="Campo Fechado"/>
    <d v="2024-06-07T00:00:00"/>
    <x v="6"/>
    <s v="OK"/>
    <m/>
    <m/>
    <m/>
    <x v="7"/>
  </r>
  <r>
    <s v="INSTRUMENT"/>
    <s v="ISSR_TYP"/>
    <x v="1"/>
    <s v="9. Concluído"/>
    <s v="OK"/>
    <s v="Concluido, controlos OK"/>
    <m/>
    <s v="Campo Fechado"/>
    <d v="2024-06-07T00:00:00"/>
    <x v="0"/>
    <s v="OK"/>
    <m/>
    <m/>
    <m/>
    <x v="0"/>
  </r>
  <r>
    <s v="INSTR_ENTITY"/>
    <s v="JNT_LBLTY_AMNT"/>
    <x v="0"/>
    <s v="9. Concluído"/>
    <s v="OK"/>
    <s v="Concluido, controlos OK"/>
    <m/>
    <s v="Campo Fechado"/>
    <d v="2024-06-07T00:00:00"/>
    <x v="0"/>
    <s v="OK"/>
    <m/>
    <m/>
    <m/>
    <x v="0"/>
  </r>
  <r>
    <s v="INSTRUMENT"/>
    <s v="LCL_INSTMRNT_ID"/>
    <x v="1"/>
    <s v="7. Analisar controlos e completude"/>
    <s v="NOK"/>
    <s v="Controlos NOK"/>
    <m/>
    <s v="Não"/>
    <d v="2024-06-07T00:00:00"/>
    <x v="5"/>
    <s v="NOK"/>
    <m/>
    <m/>
    <m/>
    <x v="6"/>
  </r>
  <r>
    <s v="INSTRUMENT"/>
    <s v="LCR_BFFR_CTGRY"/>
    <x v="1"/>
    <s v="9. Concluído"/>
    <s v="OK"/>
    <s v="Concluido, controlos OK"/>
    <m/>
    <s v="Campo Fechado"/>
    <d v="2024-06-07T00:00:00"/>
    <x v="0"/>
    <s v="OK"/>
    <m/>
    <m/>
    <m/>
    <x v="0"/>
  </r>
  <r>
    <s v="INSTRUMENT"/>
    <s v="LCRE"/>
    <x v="0"/>
    <s v="3. Pendente de decisão"/>
    <s v="OK"/>
    <s v="Verificar necessidade de alteração da fonte para fins de reconciliação. Rever Fonte"/>
    <s v="Ficheiro enviado pela área. Rever se é necessário alterar a especificação de modo a estar de acordo com imparidade. Foi decisão que a informação a reportar deveria reconciliar com a informação de imparidade e por essa mesma razão não se utilizou os dados da LT"/>
    <s v="Sim"/>
    <d v="2024-06-07T00:00:00"/>
    <x v="4"/>
    <s v="OK"/>
    <m/>
    <m/>
    <m/>
    <x v="5"/>
  </r>
  <r>
    <s v="ENTITY"/>
    <s v="LEI"/>
    <x v="0"/>
    <s v="9. Concluído"/>
    <s v="OK"/>
    <s v="Concluido, controlos OK"/>
    <m/>
    <s v="Campo Fechado"/>
    <d v="2024-06-07T00:00:00"/>
    <x v="0"/>
    <s v="OK"/>
    <m/>
    <m/>
    <m/>
    <x v="0"/>
  </r>
  <r>
    <s v="INSTRUMENT"/>
    <s v="LGD"/>
    <x v="0"/>
    <s v="9. Concluído"/>
    <s v="OK"/>
    <s v="Concluido, controlos OK"/>
    <m/>
    <s v="Campo Fechado"/>
    <d v="2024-06-07T00:00:00"/>
    <x v="0"/>
    <s v="OK"/>
    <m/>
    <m/>
    <m/>
    <x v="0"/>
  </r>
  <r>
    <s v="INSTRUMENT"/>
    <s v="LGL_PRCDNG_STTS"/>
    <x v="0"/>
    <s v="9. Concluído"/>
    <s v="OK"/>
    <s v="Concluido, controlos OK"/>
    <m/>
    <s v="Campo Fechado"/>
    <d v="2024-06-07T00:00:00"/>
    <x v="0"/>
    <s v="OK"/>
    <m/>
    <m/>
    <m/>
    <x v="0"/>
  </r>
  <r>
    <s v="ENTITY"/>
    <s v="LGL_PRCDNG_STTS_LE"/>
    <x v="0"/>
    <s v="7. Analisar controlos e completude"/>
    <s v="NOK"/>
    <s v="Controlos NOK"/>
    <m/>
    <s v="Não"/>
    <d v="2024-06-07T00:00:00"/>
    <x v="5"/>
    <s v="NOK"/>
    <m/>
    <m/>
    <m/>
    <x v="6"/>
  </r>
  <r>
    <s v="INSTRUMENT"/>
    <s v="LND_DRGTN"/>
    <x v="1"/>
    <s v="9. Concluído"/>
    <s v="OK"/>
    <s v="Concluido, controlos OK"/>
    <m/>
    <s v="Campo Fechado"/>
    <d v="2024-06-07T00:00:00"/>
    <x v="0"/>
    <s v="OK"/>
    <m/>
    <m/>
    <m/>
    <x v="0"/>
  </r>
  <r>
    <s v="INSTRUMENT"/>
    <s v="LSTI"/>
    <x v="1"/>
    <s v="1. Especificar"/>
    <s v="OK"/>
    <s v="Em especificação (Campos Novos)"/>
    <m/>
    <s v="Não"/>
    <d v="2024-06-07T00:00:00"/>
    <x v="3"/>
    <s v="OK"/>
    <m/>
    <m/>
    <m/>
    <x v="4"/>
  </r>
  <r>
    <s v="ENTITY"/>
    <s v="LTI"/>
    <x v="1"/>
    <s v="1. Especificar"/>
    <s v="NOK"/>
    <s v="Em especificação (Salários)"/>
    <m/>
    <s v="Não"/>
    <d v="2024-06-07T00:00:00"/>
    <x v="3"/>
    <s v="NOK"/>
    <m/>
    <m/>
    <m/>
    <x v="2"/>
  </r>
  <r>
    <s v="INSTRUMENT"/>
    <s v="LTI_INSTRMNT"/>
    <x v="1"/>
    <s v="1. Especificar"/>
    <s v="OK"/>
    <s v="Em especificação (Campos Novos)"/>
    <m/>
    <s v="Não"/>
    <d v="2024-06-07T00:00:00"/>
    <x v="3"/>
    <s v="OK"/>
    <m/>
    <m/>
    <m/>
    <x v="4"/>
  </r>
  <r>
    <s v="INSTRUMENT"/>
    <s v="LTV"/>
    <x v="0"/>
    <s v="7. Analisar controlos e completude"/>
    <s v="NOK"/>
    <s v="Controlos NOK"/>
    <m/>
    <s v="Não"/>
    <d v="2024-06-07T00:00:00"/>
    <x v="5"/>
    <s v="NOK"/>
    <m/>
    <m/>
    <m/>
    <x v="6"/>
  </r>
  <r>
    <s v="INSTRUMENT"/>
    <s v="LTV_INCPTN"/>
    <x v="0"/>
    <s v="9. Concluído"/>
    <s v="OK"/>
    <s v="Concluido, controlos OK"/>
    <m/>
    <s v="Campo Fechado"/>
    <d v="2024-06-07T00:00:00"/>
    <x v="0"/>
    <s v="OK"/>
    <m/>
    <m/>
    <m/>
    <x v="0"/>
  </r>
  <r>
    <s v="INSTRUMENT"/>
    <s v="LTV_NPE"/>
    <x v="0"/>
    <s v="5.1 Em testes - Re-especificação"/>
    <s v="OK"/>
    <s v="Em testes. Campo depende do campo PRFRMNG_STTS. Não é necessário alterar a especificação do mesmo, apenas testar  se o campo PRFRMNG_STTS for alterado."/>
    <m/>
    <s v="Sim"/>
    <d v="2024-06-07T00:00:00"/>
    <x v="8"/>
    <s v="OK"/>
    <m/>
    <d v="2022-05-16T00:00:00"/>
    <d v="2022-05-27T00:00:00"/>
    <x v="5"/>
  </r>
  <r>
    <s v="ENTITY"/>
    <s v="LVRG"/>
    <x v="0"/>
    <s v="9. Concluído"/>
    <s v="OK"/>
    <s v="Concluido, controlos OK"/>
    <m/>
    <s v="Campo Fechado"/>
    <d v="2024-06-07T00:00:00"/>
    <x v="0"/>
    <s v="OK"/>
    <m/>
    <m/>
    <m/>
    <x v="0"/>
  </r>
  <r>
    <s v="INSTRUMENT"/>
    <s v="LVRG_FNNC_FLG"/>
    <x v="1"/>
    <s v="9. Concluído"/>
    <s v="OK"/>
    <s v="Concluido, controlos OK"/>
    <m/>
    <s v="Campo Fechado"/>
    <d v="2024-06-07T00:00:00"/>
    <x v="0"/>
    <s v="OK"/>
    <m/>
    <m/>
    <m/>
    <x v="0"/>
  </r>
  <r>
    <s v="ENTITY"/>
    <s v="LVRG_PRVS"/>
    <x v="0"/>
    <s v="9. Concluído"/>
    <s v="OK"/>
    <s v="Concluido, controlos OK"/>
    <m/>
    <s v="Campo Fechado"/>
    <d v="2024-06-07T00:00:00"/>
    <x v="0"/>
    <s v="OK"/>
    <m/>
    <m/>
    <m/>
    <x v="0"/>
  </r>
  <r>
    <s v="INSTR_ENTITY"/>
    <s v="MN_ENTTY_ID"/>
    <x v="0"/>
    <s v="5.2 Em testes - Incidência"/>
    <s v="OK"/>
    <s v="Campo com incidências. Verificar necessidade de alteração da fonte para fins de reconciliação._x000a_Campo novo, enviado para especificação em Fevereiro e entregue por IT em Março (durante a OSI), no entanto campo está com incidências nas garantias prestadas (detetadas no decurso da OSI)"/>
    <s v="Rever se os 1os titulares devem ser os da FR ou os da CL001 (clientes)"/>
    <s v="Sim"/>
    <d v="2024-06-07T00:00:00"/>
    <x v="1"/>
    <s v="OK"/>
    <m/>
    <d v="2024-02-02T00:00:00"/>
    <d v="2024-03-21T00:00:00"/>
    <x v="5"/>
  </r>
  <r>
    <s v="PROTECTION"/>
    <s v="MN_PRPS"/>
    <x v="1"/>
    <s v="7. Analisar controlos e completude"/>
    <s v="NOK"/>
    <s v="Controlos NOK"/>
    <m/>
    <s v="Não"/>
    <d v="2024-06-07T00:00:00"/>
    <x v="5"/>
    <s v="NOK"/>
    <m/>
    <m/>
    <m/>
    <x v="6"/>
  </r>
  <r>
    <s v="ENTITY"/>
    <s v="MNTHL_INCM"/>
    <x v="1"/>
    <s v="1. Especificar"/>
    <s v="OK"/>
    <s v="Em especificação (Salários)"/>
    <m/>
    <s v="Não"/>
    <d v="2024-06-07T00:00:00"/>
    <x v="3"/>
    <s v="OK"/>
    <m/>
    <m/>
    <m/>
    <x v="2"/>
  </r>
  <r>
    <s v="ENTITY"/>
    <s v="MNTHL_INCM_SLR"/>
    <x v="1"/>
    <s v="1. Especificar"/>
    <s v="NOK"/>
    <s v="Em especificação (Salários)"/>
    <m/>
    <s v="Não"/>
    <d v="2024-06-07T00:00:00"/>
    <x v="3"/>
    <s v="NOK"/>
    <m/>
    <m/>
    <m/>
    <x v="2"/>
  </r>
  <r>
    <s v="ENTITY"/>
    <s v="MNTHL_TRNVR"/>
    <x v="1"/>
    <s v="1. Especificar"/>
    <s v="OK"/>
    <s v="Em especificação (Salários)"/>
    <m/>
    <s v="Não"/>
    <d v="2024-06-07T00:00:00"/>
    <x v="3"/>
    <s v="OK"/>
    <m/>
    <m/>
    <m/>
    <x v="2"/>
  </r>
  <r>
    <s v="INSTRUMENT"/>
    <s v="MTRTY_LTST_FRBRNC_MSR_C19"/>
    <x v="1"/>
    <s v="9. Concluído"/>
    <s v="OK"/>
    <s v="Concluido, controlos OK"/>
    <m/>
    <s v="Campo Fechado"/>
    <d v="2024-06-07T00:00:00"/>
    <x v="0"/>
    <s v="OK"/>
    <m/>
    <m/>
    <m/>
    <x v="0"/>
  </r>
  <r>
    <s v="INSTRUMENT"/>
    <s v="MTRTY_LTST_MRTR_C19"/>
    <x v="1"/>
    <s v="9. Concluído"/>
    <s v="OK"/>
    <s v="Concluido, controlos OK"/>
    <m/>
    <s v="Campo Fechado"/>
    <d v="2024-06-07T00:00:00"/>
    <x v="0"/>
    <s v="OK"/>
    <m/>
    <m/>
    <m/>
    <x v="0"/>
  </r>
  <r>
    <s v="INSTRUMENT"/>
    <s v="NMBR_FRBRNC_MSRS"/>
    <x v="0"/>
    <s v="9. Concluído"/>
    <s v="OK"/>
    <s v="Concluido, controlos OK"/>
    <m/>
    <s v="Campo Fechado"/>
    <d v="2024-06-07T00:00:00"/>
    <x v="0"/>
    <s v="OK"/>
    <m/>
    <m/>
    <m/>
    <x v="0"/>
  </r>
  <r>
    <s v="ENTITY"/>
    <s v="NT_INCM"/>
    <x v="0"/>
    <s v="2. Alterar especificação"/>
    <s v="OK"/>
    <s v="Em especificação (Financial Statments CIB)"/>
    <s v="Campo implementação, mas com falta de informação para o segmento de clientes CIB"/>
    <s v="Não"/>
    <d v="2024-06-07T00:00:00"/>
    <x v="2"/>
    <s v="OK"/>
    <m/>
    <m/>
    <m/>
    <x v="2"/>
  </r>
  <r>
    <s v="ENTITY"/>
    <s v="NT_INCM_PRVS"/>
    <x v="0"/>
    <s v="2. Alterar especificação"/>
    <s v="OK"/>
    <s v="Em especificação (Financial Statments CIB)"/>
    <s v="Campo implementação, mas com falta de informação para o segmento de clientes CIB"/>
    <s v="Não"/>
    <d v="2024-06-07T00:00:00"/>
    <x v="2"/>
    <s v="OK"/>
    <m/>
    <m/>
    <m/>
    <x v="2"/>
  </r>
  <r>
    <s v="INSTRUMENT"/>
    <s v="RWA_MTHD"/>
    <x v="0"/>
    <s v="5.1 Em testes - Re-especificação"/>
    <s v="OK"/>
    <s v="Em testes, campo entregue por IT durante a OSI. Testar e validar controlos"/>
    <s v="Alteração de formato de 11111111.00 para 11111111"/>
    <s v="Campo Fechado"/>
    <d v="2024-06-20T00:00:00"/>
    <x v="0"/>
    <s v="OK"/>
    <s v="Incidência relativamente ao formatos corrigida. Controlos testados e OK"/>
    <m/>
    <d v="2024-06-20T00:00:00"/>
    <x v="0"/>
  </r>
  <r>
    <s v="INSTRUMENT"/>
    <s v="OBSRVD_AGNT_ID"/>
    <x v="0"/>
    <s v="9. Concluído"/>
    <s v="OK"/>
    <s v="Concluido, controlos OK"/>
    <m/>
    <s v="Campo Fechado"/>
    <d v="2024-06-07T00:00:00"/>
    <x v="0"/>
    <s v="OK"/>
    <m/>
    <m/>
    <m/>
    <x v="0"/>
  </r>
  <r>
    <s v="INSTRUMENT"/>
    <s v="OBSRVD_AGNT_NM"/>
    <x v="0"/>
    <s v="9. Concluído"/>
    <s v="OK"/>
    <s v="Concluido, controlos OK"/>
    <m/>
    <s v="Campo Fechado"/>
    <d v="2024-06-07T00:00:00"/>
    <x v="0"/>
    <s v="OK"/>
    <m/>
    <m/>
    <m/>
    <x v="0"/>
  </r>
  <r>
    <s v="INSTRUMENT"/>
    <s v="OFF_BLNC_SHT_AMNT_INSTRMNT"/>
    <x v="0"/>
    <s v="7. Analisar controlos e completude"/>
    <s v="NOK"/>
    <s v="Controlos NOK"/>
    <m/>
    <s v="Não"/>
    <d v="2024-06-07T00:00:00"/>
    <x v="5"/>
    <s v="NOK"/>
    <m/>
    <m/>
    <m/>
    <x v="6"/>
  </r>
  <r>
    <s v="INSTRUMENT"/>
    <s v="OFF_BLNC_SHT_AMNT_INSTRMNT_PRVS"/>
    <x v="0"/>
    <s v="5.2 Em testes - Incidência"/>
    <s v="OK"/>
    <s v="Campo com incidência"/>
    <s v="MISS deviam estar a ser reportados como NA ou zero"/>
    <s v="Sim"/>
    <d v="2025-01-13T00:00:00"/>
    <x v="8"/>
    <s v="OK"/>
    <s v="Campo está a assumir apenas valores 0.00, MISS ou N/A. É necessário replicar o cálculo da LT001 para um ano atrás. LCM pediu para que o campo fonte fosse criado diretamente na LT001, eliminando a necessidade de replicar o calculo da LT001 para um ano antes da data de referência."/>
    <d v="2024-06-28T00:00:00"/>
    <m/>
    <x v="1"/>
  </r>
  <r>
    <s v="PROTECTION"/>
    <s v="DT_ORGNL_PRTCTN_VL"/>
    <x v="0"/>
    <s v="5.2 Em testes - Incidência"/>
    <s v="NOK"/>
    <s v="Campo com incidência e controlos NOK"/>
    <s v="1) Campo com incidência, data igual à data da protection_vl 2) Alteração de formatos MISS"/>
    <s v="Campo Fechado"/>
    <d v="2025-01-13T00:00:00"/>
    <x v="0"/>
    <s v="OK"/>
    <m/>
    <d v="2024-09-20T00:00:00"/>
    <d v="2024-12-20T00:00:00"/>
    <x v="1"/>
  </r>
  <r>
    <s v="ENTITY"/>
    <s v="OSI_ID"/>
    <x v="0"/>
    <s v="9. Concluído"/>
    <s v="OK"/>
    <s v="Concluido, controlos OK"/>
    <m/>
    <s v="Campo Fechado"/>
    <d v="2024-06-07T00:00:00"/>
    <x v="0"/>
    <s v="OK"/>
    <m/>
    <m/>
    <m/>
    <x v="0"/>
  </r>
  <r>
    <s v="INSTRUMENT"/>
    <s v="OTSTNDNG_NMNL_AMNT_INSTRMNT"/>
    <x v="0"/>
    <s v="7. Analisar controlos e completude"/>
    <s v="NOK"/>
    <s v="Controlos NOK"/>
    <m/>
    <s v="Não"/>
    <d v="2024-06-07T00:00:00"/>
    <x v="5"/>
    <s v="NOK"/>
    <m/>
    <m/>
    <m/>
    <x v="6"/>
  </r>
  <r>
    <s v="INSTRUMENT"/>
    <s v="DT_FRBRNC_STTS_PRV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ENTITY"/>
    <s v="OWND_BY_SPNSR"/>
    <x v="1"/>
    <s v="9. Concluído"/>
    <s v="OK"/>
    <s v="Concluido, controlos OK"/>
    <m/>
    <s v="Campo Fechado"/>
    <d v="2024-06-07T00:00:00"/>
    <x v="0"/>
    <s v="OK"/>
    <m/>
    <m/>
    <m/>
    <x v="0"/>
  </r>
  <r>
    <s v="INSTRUMENT"/>
    <s v="PBLC_GRNT_SCHM_C19_NM"/>
    <x v="1"/>
    <s v="9. Concluído"/>
    <s v="OK"/>
    <s v="Concluido, controlos OK"/>
    <m/>
    <s v="Campo Fechado"/>
    <d v="2024-06-07T00:00:00"/>
    <x v="0"/>
    <s v="OK"/>
    <m/>
    <m/>
    <m/>
    <x v="0"/>
  </r>
  <r>
    <s v="INSTRUMENT"/>
    <s v="PD_CRR_INCPTN"/>
    <x v="0"/>
    <s v="5.2 Em testes - Incidência"/>
    <s v="OK"/>
    <s v="Campo com incidência"/>
    <s v="Campo com incidência. Confirmar com Tecnologia que o campo está alterado com base no que foi identificado na OSI"/>
    <s v="Não"/>
    <d v="2024-06-07T00:00:00"/>
    <x v="1"/>
    <s v="OK"/>
    <m/>
    <d v="2024-02-16T00:00:00"/>
    <d v="2024-05-27T00:00:00"/>
    <x v="2"/>
  </r>
  <r>
    <s v="ENTITY"/>
    <s v="PD_CRR_RD"/>
    <x v="0"/>
    <s v="7. Analisar controlos e completude"/>
    <s v="NOK"/>
    <s v="Controlos NOK"/>
    <m/>
    <s v="Não"/>
    <d v="2024-06-07T00:00:00"/>
    <x v="5"/>
    <s v="NOK"/>
    <m/>
    <m/>
    <m/>
    <x v="6"/>
  </r>
  <r>
    <s v="INSTRUMENT"/>
    <s v="PD_CRR_RD"/>
    <x v="0"/>
    <s v="7. Analisar controlos e completude"/>
    <s v="NOK"/>
    <s v="Controlos NOK"/>
    <m/>
    <s v="Não"/>
    <d v="2024-06-07T00:00:00"/>
    <x v="5"/>
    <s v="NOK"/>
    <m/>
    <m/>
    <m/>
    <x v="6"/>
  </r>
  <r>
    <s v="ENTITY"/>
    <s v="PD_CRR_RD_T1"/>
    <x v="1"/>
    <s v="5.1 Em testes - Re-especificação"/>
    <s v="NOK"/>
    <s v="Em testes"/>
    <m/>
    <s v="Sim"/>
    <d v="2024-06-07T00:00:00"/>
    <x v="8"/>
    <s v="NOK"/>
    <m/>
    <d v="2022-07-08T00:00:00"/>
    <d v="2023-12-07T00:00:00"/>
    <x v="1"/>
  </r>
  <r>
    <s v="INSTRUMENT"/>
    <s v="PD_CRR_RD_T1"/>
    <x v="1"/>
    <s v="5.1 Em testes - Re-especificação"/>
    <s v="NOK"/>
    <s v="Em testes"/>
    <m/>
    <s v="Sim"/>
    <d v="2024-06-07T00:00:00"/>
    <x v="8"/>
    <s v="NOK"/>
    <m/>
    <d v="2023-12-21T00:00:00"/>
    <d v="2024-02-08T00:00:00"/>
    <x v="1"/>
  </r>
  <r>
    <s v="INSTRUMENT"/>
    <s v="PD_IFRS9_12M_INCPTN"/>
    <x v="0"/>
    <s v="9. Concluído"/>
    <s v="OK"/>
    <s v="Concluido, controlos OK"/>
    <m/>
    <s v="Campo Fechado"/>
    <d v="2024-06-07T00:00:00"/>
    <x v="0"/>
    <s v="OK"/>
    <s v="Campo Imparidade"/>
    <m/>
    <m/>
    <x v="0"/>
  </r>
  <r>
    <s v="ENTITY"/>
    <s v="PD_IFRS9_12M_RD"/>
    <x v="0"/>
    <s v="3. Pendente de decisão"/>
    <s v="NOK"/>
    <s v="Controlos NOK justificados no âmbito da OSI. _x000a_1) Contratos fora do universo de IFRS9 2) Clientes que não são primeiros titulares de nenhum contrato_x000a_Alterar especificação  caso a LT passe a reportar os 1os titulares da Contabilidade."/>
    <m/>
    <s v="Não"/>
    <d v="2024-06-07T00:00:00"/>
    <x v="4"/>
    <s v="NOK"/>
    <s v="Campo Imparidade"/>
    <m/>
    <m/>
    <x v="6"/>
  </r>
  <r>
    <s v="INSTRUMENT"/>
    <s v="PD_IFRS9_12M_RD"/>
    <x v="0"/>
    <s v="7. Analisar controlos e completude"/>
    <s v="NOK"/>
    <m/>
    <m/>
    <s v="Sim"/>
    <d v="2024-06-07T00:00:00"/>
    <x v="5"/>
    <s v="NOK"/>
    <s v="Campo Imparidade"/>
    <m/>
    <m/>
    <x v="5"/>
  </r>
  <r>
    <s v="ENTITY"/>
    <s v="PD_IFRS9_12M_RD_T1"/>
    <x v="1"/>
    <s v="7. Analisar controlos e completude"/>
    <s v="NOK"/>
    <s v="Controlos NOK"/>
    <m/>
    <s v="Não"/>
    <d v="2024-06-07T00:00:00"/>
    <x v="5"/>
    <s v="NOK"/>
    <s v="Campo Imparidade"/>
    <m/>
    <m/>
    <x v="6"/>
  </r>
  <r>
    <s v="INSTRUMENT"/>
    <s v="PD_IFRS9_12M_RD_T1"/>
    <x v="0"/>
    <s v="7. Analisar controlos e completude"/>
    <s v="NOK"/>
    <s v="Controlos NOK"/>
    <m/>
    <s v="Não"/>
    <d v="2024-06-07T00:00:00"/>
    <x v="5"/>
    <s v="NOK"/>
    <s v="Campo Imparidade"/>
    <m/>
    <m/>
    <x v="6"/>
  </r>
  <r>
    <s v="INSTRUMENT"/>
    <s v="PD_IFRS9_LFTM_INCPTN"/>
    <x v="0"/>
    <s v="9. Concluído"/>
    <s v="OK"/>
    <s v="Concluido, controlos OK"/>
    <m/>
    <s v="Campo Fechado"/>
    <d v="2024-06-07T00:00:00"/>
    <x v="0"/>
    <s v="OK"/>
    <s v="Campo Imparidade"/>
    <m/>
    <m/>
    <x v="0"/>
  </r>
  <r>
    <s v="INSTRUMENT"/>
    <s v="PD_IFRS9_RMNNG_LFTM_INCPTN"/>
    <x v="0"/>
    <s v="9. Concluído"/>
    <s v="OK"/>
    <s v="Concluido, controlos OK"/>
    <m/>
    <s v="Campo Fechado"/>
    <d v="2024-06-07T00:00:00"/>
    <x v="0"/>
    <s v="OK"/>
    <s v="Campo Imparidade"/>
    <m/>
    <m/>
    <x v="0"/>
  </r>
  <r>
    <s v="INSTRUMENT"/>
    <s v="PD_IFRS9_RMNNG_LFTM_RD"/>
    <x v="0"/>
    <s v="9. Concluído"/>
    <s v="OK"/>
    <s v="Concluido, controlos OK"/>
    <m/>
    <s v="Campo Fechado"/>
    <d v="2024-06-07T00:00:00"/>
    <x v="0"/>
    <s v="OK"/>
    <s v="Campo Imparidade"/>
    <m/>
    <m/>
    <x v="0"/>
  </r>
  <r>
    <s v="INSTRUMENT"/>
    <s v="PMNT_PBLC_GRNT_SCHM_C19"/>
    <x v="1"/>
    <s v="9. Concluído"/>
    <s v="OK"/>
    <s v="Concluido, controlos OK"/>
    <m/>
    <s v="Campo Fechado"/>
    <d v="2024-06-07T00:00:00"/>
    <x v="0"/>
    <s v="OK"/>
    <m/>
    <m/>
    <m/>
    <x v="0"/>
  </r>
  <r>
    <s v="INSTRUMENT"/>
    <s v="DT_FRBRNC_STTS"/>
    <x v="0"/>
    <s v="2. Alterar especificação"/>
    <s v="NOK"/>
    <s v="Alterar especificação (alteração da fonte para a FR004)"/>
    <s v="Na OSI fomos diretamente à RMN85, em âmbito da LT foi alinhado que iriamos à FR004 e que esta por sua vez iria à RMN85.  Na OSI foram adicionados os contratos com FRBRNC_STTS='9' (ficheiro com os ACC disponibilizado por Graça Vale), atualmente não existe esta informação automatizada."/>
    <s v="Não"/>
    <d v="2024-06-07T00:00:00"/>
    <x v="2"/>
    <s v="NOK"/>
    <m/>
    <m/>
    <m/>
    <x v="2"/>
  </r>
  <r>
    <s v="INSTRUMENT"/>
    <s v="PRCH_UNDR_RSL_AGR"/>
    <x v="1"/>
    <s v="9. Concluído"/>
    <s v="OK"/>
    <s v="Concluido, controlos OK"/>
    <m/>
    <s v="Campo Fechado"/>
    <d v="2024-06-07T00:00:00"/>
    <x v="0"/>
    <s v="OK"/>
    <m/>
    <m/>
    <m/>
    <x v="0"/>
  </r>
  <r>
    <s v="INSTRUMENT"/>
    <s v="PRDCT"/>
    <x v="0"/>
    <s v="9. Concluído"/>
    <s v="OK"/>
    <s v="Concluido, controlos OK"/>
    <m/>
    <s v="Campo Fechado"/>
    <d v="2024-06-07T00:00:00"/>
    <x v="0"/>
    <s v="OK"/>
    <m/>
    <m/>
    <m/>
    <x v="0"/>
  </r>
  <r>
    <s v="INSTRUMENT"/>
    <s v="PRDNTL_PRTFL"/>
    <x v="1"/>
    <s v="9. Concluído"/>
    <s v="OK"/>
    <s v="Concluido, controlos OK"/>
    <m/>
    <s v="Campo Fechado"/>
    <d v="2024-06-07T00:00:00"/>
    <x v="0"/>
    <s v="OK"/>
    <m/>
    <m/>
    <m/>
    <x v="0"/>
  </r>
  <r>
    <s v="INSTRUMENT"/>
    <s v="PRFRMNG_STTS"/>
    <x v="0"/>
    <s v="3. Pendente de decisão"/>
    <s v="NOK"/>
    <s v="Verificar necessidade de alteração da fonte para fins de reconciliação. Rever Fonte"/>
    <m/>
    <s v="Sim"/>
    <d v="2025-01-13T00:00:00"/>
    <x v="8"/>
    <s v="NOK"/>
    <s v="Alteração da fonte das tabela de Imparidade Reporting para as 8_7 e alteração da data a partir da qual a fonte passa a ser as tabelas de Contabilidade"/>
    <d v="2024-09-27T00:00:00"/>
    <m/>
    <x v="5"/>
  </r>
  <r>
    <s v="ENTITY"/>
    <s v="PRFRMNG_STTS_LE"/>
    <x v="0"/>
    <s v="9. Concluído"/>
    <s v="OK"/>
    <s v="Concluido, controlos OK"/>
    <m/>
    <s v="Campo Fechado"/>
    <d v="2024-06-07T00:00:00"/>
    <x v="0"/>
    <s v="OK"/>
    <m/>
    <m/>
    <m/>
    <x v="0"/>
  </r>
  <r>
    <s v="INSTRUMENT"/>
    <s v="PRFRMNG_STTS_PRVS"/>
    <x v="0"/>
    <s v="5.1 Em testes - Re-especificação"/>
    <s v="OK"/>
    <s v="Em testes. Campo depende do campo PRFRMNG_STTS. Não é necessário alterar a especificação do mesmo, apenas testar  se o campo PRFRMNG_STTS for alterado."/>
    <m/>
    <s v="Sim"/>
    <d v="2025-01-13T00:00:00"/>
    <x v="8"/>
    <s v="OK"/>
    <s v="Alteração da fonte das tabela de Imparidade Reporting para as 8_7 e alteração da data a partir da qual a fonte passa a ser as tabelas de Contabilidade"/>
    <d v="2024-09-27T00:00:00"/>
    <m/>
    <x v="5"/>
  </r>
  <r>
    <s v="INSTRUMENT"/>
    <s v="PRJCT_FNNC_LN"/>
    <x v="0"/>
    <s v="9. Concluído"/>
    <s v="OK"/>
    <s v="Concluido, controlos OK"/>
    <m/>
    <s v="Campo Fechado"/>
    <d v="2024-06-07T00:00:00"/>
    <x v="0"/>
    <s v="OK"/>
    <m/>
    <m/>
    <m/>
    <x v="0"/>
  </r>
  <r>
    <s v="PROTECTION"/>
    <s v="PRM_LCTN"/>
    <x v="1"/>
    <s v="5.1 Em testes - Re-especificação"/>
    <s v="NOK"/>
    <s v="Em testes"/>
    <m/>
    <s v="Campo Fechado"/>
    <d v="2025-01-13T00:00:00"/>
    <x v="0"/>
    <s v="OK"/>
    <s v="100220 Casos que deviam ser N e estão a ser reportados MISS"/>
    <d v="2024-06-28T00:00:00"/>
    <d v="2024-12-20T00:00:00"/>
    <x v="1"/>
  </r>
  <r>
    <s v="INSTRUMENT"/>
    <s v="PRMRY_ASST_CLSSF"/>
    <x v="1"/>
    <s v="9. Concluído"/>
    <s v="OK"/>
    <s v="Concluido, controlos OK"/>
    <m/>
    <s v="Campo Fechado"/>
    <d v="2024-06-07T00:00:00"/>
    <x v="0"/>
    <s v="OK"/>
    <m/>
    <m/>
    <m/>
    <x v="0"/>
  </r>
  <r>
    <s v="INSTRUMENT"/>
    <s v="PRPS"/>
    <x v="0"/>
    <s v="9. Concluído"/>
    <s v="OK"/>
    <s v="Concluido, controlos OK"/>
    <m/>
    <s v="Campo Fechado"/>
    <d v="2024-06-07T00:00:00"/>
    <x v="0"/>
    <s v="OK"/>
    <m/>
    <m/>
    <m/>
    <x v="0"/>
  </r>
  <r>
    <s v="ENTITY"/>
    <s v="PRSN_TYP"/>
    <x v="1"/>
    <s v="4.1 Em implementação - Re-especificação"/>
    <s v="OK"/>
    <s v="Aguarda implementação de IT"/>
    <m/>
    <s v="Não"/>
    <d v="2024-06-17T00:00:00"/>
    <x v="8"/>
    <s v="OK"/>
    <m/>
    <d v="2024-01-12T00:00:00"/>
    <d v="2024-03-21T00:00:00"/>
    <x v="4"/>
  </r>
  <r>
    <s v="INSTRUMENT"/>
    <s v="PRT_LCR_BFFR"/>
    <x v="1"/>
    <s v="9. Concluído"/>
    <s v="OK"/>
    <s v="Concluido, controlos OK"/>
    <m/>
    <s v="Campo Fechado"/>
    <d v="2024-06-07T00:00:00"/>
    <x v="0"/>
    <s v="OK"/>
    <m/>
    <m/>
    <m/>
    <x v="0"/>
  </r>
  <r>
    <s v="INSTR_PROTECTION"/>
    <s v="PRTCTN_ALLCTD_VL"/>
    <x v="0"/>
    <s v="9. Concluído"/>
    <s v="OK"/>
    <s v="Concluido, controlos OK"/>
    <m/>
    <s v="Campo Fechado"/>
    <d v="2024-06-07T00:00:00"/>
    <x v="0"/>
    <s v="OK"/>
    <m/>
    <m/>
    <m/>
    <x v="0"/>
  </r>
  <r>
    <s v="PROTECTION"/>
    <s v="PRTCTN_CLLD"/>
    <x v="0"/>
    <s v="7. Analisar controlos e completude"/>
    <s v="NOK"/>
    <s v="Controlos NOK"/>
    <m/>
    <s v="Não"/>
    <d v="2024-06-07T00:00:00"/>
    <x v="5"/>
    <s v="NOK"/>
    <m/>
    <m/>
    <m/>
    <x v="6"/>
  </r>
  <r>
    <s v="PROTECTION"/>
    <s v="PRTCTN_FRCD_SL_VL"/>
    <x v="0"/>
    <s v="9. Concluído"/>
    <s v="OK"/>
    <s v="Concluido, controlos OK"/>
    <m/>
    <s v="Campo Fechado"/>
    <d v="2024-06-07T00:00:00"/>
    <x v="0"/>
    <s v="OK"/>
    <m/>
    <m/>
    <m/>
    <x v="0"/>
  </r>
  <r>
    <s v="INSTR_PROTECTION"/>
    <s v="PRTCTN_ID"/>
    <x v="0"/>
    <s v="7. Analisar controlos e completude"/>
    <s v="NOK"/>
    <s v="Controlos NOK"/>
    <m/>
    <s v="Não"/>
    <d v="2024-06-07T00:00:00"/>
    <x v="5"/>
    <s v="NOK"/>
    <m/>
    <m/>
    <m/>
    <x v="6"/>
  </r>
  <r>
    <s v="PROTECTION"/>
    <s v="PRTCTN_ID"/>
    <x v="0"/>
    <s v="7. Analisar controlos e completude"/>
    <s v="NOK"/>
    <s v="Controlos NOK"/>
    <m/>
    <s v="Não"/>
    <d v="2024-06-07T00:00:00"/>
    <x v="5"/>
    <s v="NOK"/>
    <m/>
    <m/>
    <m/>
    <x v="6"/>
  </r>
  <r>
    <s v="PROTECTION"/>
    <s v="PRTCTN_PRVDR_ID"/>
    <x v="0"/>
    <s v="7. Analisar controlos e completude"/>
    <s v="NOK"/>
    <s v="Controlos NOK"/>
    <m/>
    <s v="Não"/>
    <d v="2024-06-07T00:00:00"/>
    <x v="5"/>
    <s v="NOK"/>
    <m/>
    <m/>
    <m/>
    <x v="6"/>
  </r>
  <r>
    <s v="PROTECTION"/>
    <s v="PRTCTN_TYP_PBLC_GRNT_SCHM_C19"/>
    <x v="1"/>
    <s v="7. Analisar controlos e completude"/>
    <s v="NOK"/>
    <s v="Controlos NOK"/>
    <m/>
    <s v="Não"/>
    <d v="2024-06-07T00:00:00"/>
    <x v="5"/>
    <s v="NOK"/>
    <m/>
    <m/>
    <m/>
    <x v="6"/>
  </r>
  <r>
    <s v="ENTITY"/>
    <s v="DT_EXTRNL_RTNG"/>
    <x v="0"/>
    <s v="2. Alterar especificação"/>
    <s v="OK"/>
    <s v="Alterar especificação para casos em informação na fonte."/>
    <s v="Quando não existe informação na fonte em vez de MISS substituir por NA"/>
    <s v="Sim"/>
    <d v="2024-06-07T00:00:00"/>
    <x v="2"/>
    <s v="OK"/>
    <m/>
    <m/>
    <m/>
    <x v="3"/>
  </r>
  <r>
    <s v="PROTECTION"/>
    <s v="ORGNL_PRTCTN_VL"/>
    <x v="0"/>
    <s v="5.2 Em testes - Incidência"/>
    <s v="OK"/>
    <s v="Campo com incidência"/>
    <s v="1) Campo com incidência, está a reportar apenas valores de MISS e N/A"/>
    <s v="Sim"/>
    <d v="2025-01-13T00:00:00"/>
    <x v="8"/>
    <s v="NOK"/>
    <s v="14 casos com valor original da proteção a zero"/>
    <d v="2024-09-20T00:00:00"/>
    <m/>
    <x v="1"/>
  </r>
  <r>
    <s v="PROTECTION"/>
    <s v="PRTCTN_VL_PRVS"/>
    <x v="0"/>
    <s v="9. Concluído"/>
    <s v="OK"/>
    <s v="Concluido, controlos OK"/>
    <m/>
    <s v="Campo Fechado"/>
    <d v="2024-06-07T00:00:00"/>
    <x v="0"/>
    <s v="OK"/>
    <m/>
    <m/>
    <m/>
    <x v="0"/>
  </r>
  <r>
    <s v="PROTECTION"/>
    <s v="PRTCTN_VLTN_APPRCH"/>
    <x v="0"/>
    <s v="7. Analisar controlos e completude"/>
    <s v="NOK"/>
    <s v="Controlos NOK"/>
    <m/>
    <s v="Não"/>
    <d v="2024-06-07T00:00:00"/>
    <x v="5"/>
    <s v="NOK"/>
    <m/>
    <m/>
    <m/>
    <x v="6"/>
  </r>
  <r>
    <s v="INSTRUMENT"/>
    <s v="PRVSNS_OFF_BLNC_SHT"/>
    <x v="0"/>
    <s v="9. Concluído"/>
    <s v="OK"/>
    <s v="Concluido, controlos OK"/>
    <m/>
    <s v="Campo Fechado"/>
    <d v="2024-06-07T00:00:00"/>
    <x v="0"/>
    <s v="OK"/>
    <m/>
    <m/>
    <m/>
    <x v="0"/>
  </r>
  <r>
    <s v="INSTRUMENT"/>
    <s v="PYMNT_FRQNCY"/>
    <x v="0"/>
    <s v="5.2 Em testes - Incidência"/>
    <s v="OK"/>
    <s v="Campo com incidência. Verificar necessidade de alteração da fonte para fins de reconciliação"/>
    <s v="Utilizada informação de imparidade, sempre que não exista reportar info da LT, tendo em conta que caso TYP-AMRTSTN seja 4 este campo também deverá ser igual a 4. Este último critério não está atualmente a ser aplicado na LT. Rever se devemos utilizar a informação de IFRS9 ou manter a de alm"/>
    <s v="Sim"/>
    <d v="2024-06-07T00:00:00"/>
    <x v="1"/>
    <s v="OK"/>
    <m/>
    <m/>
    <m/>
    <x v="5"/>
  </r>
  <r>
    <s v="INSTRUMENT"/>
    <s v="PYMNT_INTRST_ONLY"/>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RCRS"/>
    <x v="0"/>
    <s v="9. Concluído"/>
    <s v="OK"/>
    <s v="Concluido, controlos OK"/>
    <m/>
    <s v="Campo Fechado"/>
    <d v="2024-06-07T00:00:00"/>
    <x v="0"/>
    <s v="OK"/>
    <m/>
    <m/>
    <m/>
    <x v="0"/>
  </r>
  <r>
    <s v="INSTRUMENT"/>
    <s v="RCVD_AMRTSTN_12M"/>
    <x v="0"/>
    <s v="7. Analisar controlos e completude"/>
    <s v="NOK"/>
    <s v="Controlos NOK"/>
    <m/>
    <s v="Não"/>
    <d v="2024-06-07T00:00:00"/>
    <x v="5"/>
    <s v="NOK"/>
    <m/>
    <m/>
    <m/>
    <x v="6"/>
  </r>
  <r>
    <s v="INSTRUMENT"/>
    <s v="RCVD_AMRTSTN_24M"/>
    <x v="0"/>
    <s v="9. Concluído"/>
    <s v="OK"/>
    <s v="Concluido, controlos OK"/>
    <m/>
    <s v="Campo Fechado"/>
    <d v="2024-06-07T00:00:00"/>
    <x v="0"/>
    <s v="OK"/>
    <m/>
    <m/>
    <m/>
    <x v="0"/>
  </r>
  <r>
    <s v="PROTECTION"/>
    <s v="DT_CNSTRCTN_STTS"/>
    <x v="1"/>
    <s v="2. Alterar especificação"/>
    <s v="NOK"/>
    <s v="Campo dependente do MUG"/>
    <s v="Criação de uma tabela auxiliar de histórico dos estados de construção numa ótica diária"/>
    <s v="Sim"/>
    <d v="2024-10-03T00:00:00"/>
    <x v="2"/>
    <s v="NOK"/>
    <m/>
    <m/>
    <m/>
    <x v="1"/>
  </r>
  <r>
    <s v="INSTRUMENT"/>
    <s v="DFLT_STTS_INSTRMNT"/>
    <x v="0"/>
    <s v="2. Alterar especificação"/>
    <s v="NOK"/>
    <s v="É necessário adicionar este campo como obrigatório  para as linhas manuais (CMAH) e rever com a Leonor a tabela de parametrização (a área identificou incidências de acordo com o GUIA). Na OSI apenas foi adicionado a informação para ajustes manuais."/>
    <m/>
    <s v="Sim"/>
    <d v="2024-06-07T00:00:00"/>
    <x v="2"/>
    <s v="NOK"/>
    <m/>
    <m/>
    <m/>
    <x v="1"/>
  </r>
  <r>
    <s v="INSTRUMENT"/>
    <s v="CMMTMNT_INSTRMNT"/>
    <x v="0"/>
    <s v="2. Alterar especificação"/>
    <s v="OK"/>
    <s v="Alterar especificação (Área enviou nova metodologia do campo)"/>
    <s v="Nova metodologia identificada pelo Rafael Pessoa durante OSI IFRS9, é necessário alterar a especificação para GRSS_CRRYNG_AMNT_INSTRMNT - OFF_BLNC_SHT_AMNT_INSTRMNT"/>
    <s v="Não"/>
    <d v="2024-06-07T00:00:00"/>
    <x v="2"/>
    <s v="OK"/>
    <m/>
    <m/>
    <m/>
    <x v="2"/>
  </r>
  <r>
    <s v="INSTRUMENT"/>
    <s v="RFRNC_RT"/>
    <x v="1"/>
    <s v="9. Concluído"/>
    <s v="OK"/>
    <s v="Concluido, controlos OK"/>
    <m/>
    <s v="Campo Fechado"/>
    <d v="2024-06-07T00:00:00"/>
    <x v="0"/>
    <s v="OK"/>
    <m/>
    <m/>
    <m/>
    <x v="0"/>
  </r>
  <r>
    <s v="PROTECTION"/>
    <s v="RL_ESTT_ADDRSS"/>
    <x v="1"/>
    <s v="7. Analisar controlos e completude"/>
    <s v="NOK"/>
    <s v="Controlos NOK"/>
    <m/>
    <s v="Não"/>
    <d v="2024-06-07T00:00:00"/>
    <x v="5"/>
    <s v="NOK"/>
    <m/>
    <m/>
    <m/>
    <x v="6"/>
  </r>
  <r>
    <s v="INSTRUMENT"/>
    <s v="CMLTV_RCVRS_SNC_DFLT_INSTRMNT"/>
    <x v="0"/>
    <s v="2. Alterar especificação"/>
    <s v="OK"/>
    <s v="Campo especificado, mas sem dados. Campo marcado com MISS ou NA"/>
    <m/>
    <s v="Não"/>
    <d v="2024-06-07T00:00:00"/>
    <x v="2"/>
    <s v="OK"/>
    <m/>
    <m/>
    <m/>
    <x v="7"/>
  </r>
  <r>
    <s v="PROTECTION"/>
    <s v="RL_ESTT_CLLTRL_LCTN_INT"/>
    <x v="1"/>
    <s v="7. Analisar controlos e completude"/>
    <s v="NOK"/>
    <s v="Controlos NOK"/>
    <m/>
    <s v="Não"/>
    <d v="2024-06-07T00:00:00"/>
    <x v="5"/>
    <s v="NOK"/>
    <m/>
    <m/>
    <m/>
    <x v="6"/>
  </r>
  <r>
    <s v="PROTECTION"/>
    <s v="RL_ESTT_CTY"/>
    <x v="1"/>
    <s v="7. Analisar controlos e completude"/>
    <s v="NOK"/>
    <s v="Controlos NOK"/>
    <m/>
    <s v="Não"/>
    <d v="2024-06-07T00:00:00"/>
    <x v="5"/>
    <s v="NOK"/>
    <m/>
    <m/>
    <m/>
    <x v="6"/>
  </r>
  <r>
    <s v="PROTECTION"/>
    <s v="RL_ESTT_PST_CD"/>
    <x v="0"/>
    <s v="7. Analisar controlos e completude"/>
    <s v="NOK"/>
    <s v="Controlos NOK"/>
    <m/>
    <s v="Não"/>
    <d v="2024-06-07T00:00:00"/>
    <x v="5"/>
    <s v="NOK"/>
    <m/>
    <m/>
    <m/>
    <x v="6"/>
  </r>
  <r>
    <s v="INSTRUMENT"/>
    <s v="RRE_FNRP18"/>
    <x v="1"/>
    <s v="9. Concluído"/>
    <s v="OK"/>
    <s v="Concluido, controlos OK"/>
    <m/>
    <s v="Campo Fechado"/>
    <d v="2024-06-07T00:00:00"/>
    <x v="0"/>
    <s v="OK"/>
    <m/>
    <m/>
    <m/>
    <x v="0"/>
  </r>
  <r>
    <s v="ENTITY"/>
    <s v="RTNG_MTHD"/>
    <x v="0"/>
    <s v="5.1 Em testes - Re-especificação"/>
    <s v="NOK"/>
    <s v="Em testes, campo entregue por IT durante a OSI. Testar e validar controlos"/>
    <m/>
    <s v="Sim"/>
    <d v="2024-06-07T00:00:00"/>
    <x v="8"/>
    <s v="NOK"/>
    <m/>
    <d v="2024-02-16T00:00:00"/>
    <d v="2024-03-21T00:00:00"/>
    <x v="3"/>
  </r>
  <r>
    <s v="INSTRUMENT"/>
    <s v="RTNG_MTHD"/>
    <x v="0"/>
    <s v="5.1 Em testes - Re-especificação"/>
    <s v="NOK"/>
    <s v="Em testes, campo entregue por IT durante a OSI. Testar e validar controlos"/>
    <m/>
    <s v="Sim"/>
    <d v="2024-06-07T00:00:00"/>
    <x v="8"/>
    <s v="NOK"/>
    <m/>
    <d v="2024-02-16T00:00:00"/>
    <d v="2024-03-21T00:00:00"/>
    <x v="3"/>
  </r>
  <r>
    <s v="ENTITY"/>
    <s v="RTNG_SCL"/>
    <x v="0"/>
    <s v="9. Concluído"/>
    <s v="OK"/>
    <s v="Concluido, controlos OK"/>
    <m/>
    <s v="Campo Fechado"/>
    <d v="2024-06-07T00:00:00"/>
    <x v="0"/>
    <s v="OK"/>
    <m/>
    <m/>
    <m/>
    <x v="0"/>
  </r>
  <r>
    <s v="INSTRUMENT"/>
    <s v="RTNG_SCL"/>
    <x v="0"/>
    <s v="9. Concluído"/>
    <s v="OK"/>
    <s v="Concluido, controlos OK"/>
    <m/>
    <s v="Campo Fechado"/>
    <d v="2024-06-07T00:00:00"/>
    <x v="0"/>
    <s v="OK"/>
    <m/>
    <m/>
    <m/>
    <x v="0"/>
  </r>
  <r>
    <s v="INSTRUMENT"/>
    <s v="RTNTN_SHR"/>
    <x v="1"/>
    <s v="6. Outros Desenvolvimentos"/>
    <s v="OK"/>
    <s v="Em implementação IT BST (Sindicados)"/>
    <s v="Aguarda desenvolvimentos nas plataformas Loan IQ e Mercurio"/>
    <s v="Não"/>
    <d v="2024-06-07T00:00:00"/>
    <x v="9"/>
    <s v="OK"/>
    <m/>
    <m/>
    <m/>
    <x v="2"/>
  </r>
  <r>
    <s v="INSTRUMENT"/>
    <s v="RWA"/>
    <x v="0"/>
    <s v="5.1 Em testes - Re-especificação"/>
    <s v="OK"/>
    <s v="Em testes. Campo com incidências, mas corrigida na LT no âmbito da OSI."/>
    <m/>
    <s v="Sim"/>
    <d v="2024-06-20T00:00:00"/>
    <x v="8"/>
    <s v="NOK"/>
    <s v="Campo com incidência para um contrato que tem valores de ead e rwa negativos._x000a_A fonte (CT013) tem um valor muito superior, isto significa que provavelmente existem várias chaves FR para uma chave BDR. Fomos ao tradutor verificar e de facto existem 10 chaves FR para uma BDR_x000a_Sabemos que os campos EAD e RWA são desagragados pelo &quot;saldo capital&quot; nas várias chaves FR, onde &quot;saldo capital&quot; é obtido através das contas cargabal, cruzamento fr802 e cruzamento com matriz de contas CT805 para o nome perimentro corporativo_x000a_Verificamos que o aprovisionamento do campo está correto de acordo com as regras especificadas"/>
    <d v="2024-02-16T00:00:00"/>
    <d v="2024-03-21T00:00:00"/>
    <x v="1"/>
  </r>
  <r>
    <s v="INSTRUMENT"/>
    <s v="DT_LGL_FNL_MTRTY"/>
    <x v="0"/>
    <s v="5.2 Em testes - Incidência"/>
    <s v="NOK"/>
    <s v="Controlos NOK e com Incidência nos formatos. "/>
    <s v="Alterarção formato de 99999999 para 1111-11-11."/>
    <s v="Sim"/>
    <d v="2024-06-07T00:00:00"/>
    <x v="1"/>
    <s v="NOK"/>
    <m/>
    <m/>
    <m/>
    <x v="1"/>
  </r>
  <r>
    <s v="INSTRUMENT"/>
    <s v="SBJCT_PBLC_GRNT_SCHM_C19"/>
    <x v="1"/>
    <s v="9. Concluído"/>
    <s v="OK"/>
    <s v="Concluido, controlos OK"/>
    <m/>
    <s v="Campo Fechado"/>
    <d v="2024-06-07T00:00:00"/>
    <x v="0"/>
    <s v="OK"/>
    <m/>
    <m/>
    <m/>
    <x v="0"/>
  </r>
  <r>
    <s v="INSTRUMENT"/>
    <s v="DT_NXT_INTRST_RT_RST"/>
    <x v="0"/>
    <s v="5.2 Em testes - Incidência"/>
    <s v="NOK"/>
    <s v="Controlos NOK e com Incidência nos formatos."/>
    <s v=" Alteração formato de 0001-01-01 para 0000-00-00."/>
    <s v="Sim"/>
    <d v="2024-06-07T00:00:00"/>
    <x v="1"/>
    <s v="NOK"/>
    <m/>
    <m/>
    <m/>
    <x v="1"/>
  </r>
  <r>
    <s v="INSTRUMENT"/>
    <s v="SME_FNRP18"/>
    <x v="0"/>
    <s v="9. Concluído"/>
    <s v="OK"/>
    <s v="Concluido, controlos OK"/>
    <m/>
    <s v="Campo Fechado"/>
    <d v="2024-06-07T00:00:00"/>
    <x v="0"/>
    <s v="OK"/>
    <m/>
    <m/>
    <m/>
    <x v="0"/>
  </r>
  <r>
    <s v="ENTITY"/>
    <s v="SNGL_PRPS_VHCL"/>
    <x v="1"/>
    <s v="9. Concluído"/>
    <s v="OK"/>
    <s v="Concluido, controlos OK"/>
    <m/>
    <s v="Campo Fechado"/>
    <d v="2024-06-07T00:00:00"/>
    <x v="0"/>
    <s v="OK"/>
    <m/>
    <m/>
    <m/>
    <x v="0"/>
  </r>
  <r>
    <s v="INSTRUMENT"/>
    <s v="SPCLTV_LNDNG"/>
    <x v="1"/>
    <s v="7. Analisar controlos e completude"/>
    <s v="NOK"/>
    <s v="Controlos NOK"/>
    <m/>
    <s v="Não"/>
    <d v="2024-06-07T00:00:00"/>
    <x v="5"/>
    <s v="NOK"/>
    <m/>
    <m/>
    <m/>
    <x v="6"/>
  </r>
  <r>
    <s v="INSTRUMENT"/>
    <s v="SPNSR_NM"/>
    <x v="1"/>
    <s v="8. Concluído - sem dados"/>
    <s v="OK"/>
    <s v="Campo especificado, mas sem dados. Campo marcado com MISS ou NA"/>
    <m/>
    <s v="Campo Fechado"/>
    <d v="2024-06-07T00:00:00"/>
    <x v="6"/>
    <s v="OK"/>
    <m/>
    <m/>
    <m/>
    <x v="7"/>
  </r>
  <r>
    <s v="INSTRUMENT"/>
    <s v="SPRD"/>
    <x v="1"/>
    <s v="9. Concluído"/>
    <s v="OK"/>
    <s v="Concluido, controlos OK"/>
    <m/>
    <s v="Campo Fechado"/>
    <d v="2024-06-07T00:00:00"/>
    <x v="0"/>
    <s v="OK"/>
    <m/>
    <m/>
    <m/>
    <x v="0"/>
  </r>
  <r>
    <s v="INSTRUMENT"/>
    <s v="SRCS_ENCMBRNC"/>
    <x v="1"/>
    <s v="9. Concluído"/>
    <s v="OK"/>
    <s v="Concluido, controlos OK"/>
    <m/>
    <s v="Campo Fechado"/>
    <d v="2024-06-07T00:00:00"/>
    <x v="0"/>
    <s v="OK"/>
    <m/>
    <m/>
    <m/>
    <x v="0"/>
  </r>
  <r>
    <s v="INSTRUMENT"/>
    <s v="STTS_UNDRWRTTN_TRNSCTN"/>
    <x v="1"/>
    <s v="6. Outros Desenvolvimentos"/>
    <s v="OK"/>
    <s v="Em implementação IT BST (Sindicados)"/>
    <s v="Aguarda desenvolvimentos nas plataformas Loan IQ e Mercurio"/>
    <s v="Não"/>
    <d v="2024-06-07T00:00:00"/>
    <x v="9"/>
    <s v="OK"/>
    <m/>
    <m/>
    <m/>
    <x v="2"/>
  </r>
  <r>
    <s v="INSTRUMENT"/>
    <s v="SUBPORTFOLIO_ID"/>
    <x v="0"/>
    <s v="9. Concluído"/>
    <s v="OK"/>
    <s v="Concluido, controlos OK"/>
    <m/>
    <s v="Campo Fechado"/>
    <d v="2024-06-07T00:00:00"/>
    <x v="0"/>
    <s v="OK"/>
    <m/>
    <m/>
    <m/>
    <x v="0"/>
  </r>
  <r>
    <s v="INSTRUMENT"/>
    <s v="SYNDCT_RL"/>
    <x v="1"/>
    <s v="6. Outros Desenvolvimentos"/>
    <s v="OK"/>
    <s v="Em implementação IT BST (Sindicados)"/>
    <s v="Aguarda desenvolvimentos nas plataformas Loan IQ e Mercurio"/>
    <s v="Não"/>
    <d v="2024-06-07T00:00:00"/>
    <x v="9"/>
    <s v="OK"/>
    <m/>
    <m/>
    <m/>
    <x v="2"/>
  </r>
  <r>
    <s v="INSTRUMENT"/>
    <s v="SYNDCTD_AGNT"/>
    <x v="0"/>
    <s v="6. Outros Desenvolvimentos"/>
    <s v="OK"/>
    <s v="Em implementação IT BST (Sindicados)"/>
    <s v="Aguarda desenvolvimentos nas plataformas Loan IQ e Mercurio"/>
    <s v="Não"/>
    <d v="2024-06-07T00:00:00"/>
    <x v="9"/>
    <s v="OK"/>
    <m/>
    <m/>
    <m/>
    <x v="2"/>
  </r>
  <r>
    <s v="INSTRUMENT"/>
    <s v="SYNDCTD_CNTRCT_ID"/>
    <x v="0"/>
    <s v="6. Outros Desenvolvimentos"/>
    <s v="OK"/>
    <s v="Em implementação IT BST (Sindicados)"/>
    <s v="Aguarda desenvolvimentos nas plataformas Loan IQ e Mercurio"/>
    <s v="Não"/>
    <d v="2024-06-07T00:00:00"/>
    <x v="9"/>
    <s v="OK"/>
    <m/>
    <m/>
    <m/>
    <x v="2"/>
  </r>
  <r>
    <s v="INSTRUMENT"/>
    <s v="SYNDCTD_LNDRS"/>
    <x v="0"/>
    <s v="6. Outros Desenvolvimentos"/>
    <s v="OK"/>
    <s v="Em implementação IT BST (Sindicados)"/>
    <s v="Aguarda desenvolvimentos nas plataformas Loan IQ e Mercurio"/>
    <s v="Não"/>
    <d v="2024-06-07T00:00:00"/>
    <x v="9"/>
    <s v="OK"/>
    <m/>
    <m/>
    <m/>
    <x v="2"/>
  </r>
  <r>
    <s v="INSTRUMENT"/>
    <s v="SYNDCTD_SHR"/>
    <x v="0"/>
    <s v="6. Outros Desenvolvimentos"/>
    <s v="OK"/>
    <s v="Em implementação IT BST (Sindicados)"/>
    <s v="Aguarda desenvolvimentos nas plataformas Loan IQ e Mercurio"/>
    <s v="Não"/>
    <d v="2024-06-07T00:00:00"/>
    <x v="9"/>
    <s v="OK"/>
    <m/>
    <m/>
    <m/>
    <x v="2"/>
  </r>
  <r>
    <s v="INSTRUMENT"/>
    <s v="SYNDCTN_TYP"/>
    <x v="1"/>
    <s v="6. Outros Desenvolvimentos"/>
    <s v="OK"/>
    <s v="Em implementação IT BST (Sindicados)"/>
    <s v="Aguarda desenvolvimentos nas plataformas Loan IQ e Mercurio"/>
    <s v="Não"/>
    <d v="2024-06-07T00:00:00"/>
    <x v="9"/>
    <s v="OK"/>
    <m/>
    <m/>
    <m/>
    <x v="2"/>
  </r>
  <r>
    <s v="ENTITY"/>
    <s v="TAX_ID"/>
    <x v="1"/>
    <s v="7. Analisar controlos e completude"/>
    <s v="NOK"/>
    <s v="Campo especificado, mas com problemas a montante"/>
    <m/>
    <s v="Não"/>
    <d v="2024-06-07T00:00:00"/>
    <x v="5"/>
    <s v="NOK"/>
    <m/>
    <m/>
    <m/>
    <x v="6"/>
  </r>
  <r>
    <s v="PROTECTION"/>
    <s v="TAX_ID"/>
    <x v="1"/>
    <s v="7. Analisar controlos e completude"/>
    <s v="NOK"/>
    <s v="Concluido, controlos por parte de Riscos"/>
    <m/>
    <s v="Não"/>
    <d v="2024-06-07T00:00:00"/>
    <x v="5"/>
    <s v="NOK"/>
    <m/>
    <m/>
    <m/>
    <x v="6"/>
  </r>
  <r>
    <s v="INSTR_PROTECTION"/>
    <s v="THRD_PRTY_PRRTY_CLMS"/>
    <x v="0"/>
    <s v="9. Concluído"/>
    <s v="OK"/>
    <s v="Concluido, controlos OK"/>
    <m/>
    <s v="Campo Fechado"/>
    <d v="2024-06-07T00:00:00"/>
    <x v="0"/>
    <s v="OK"/>
    <m/>
    <m/>
    <m/>
    <x v="0"/>
  </r>
  <r>
    <s v="INSTRUMENT"/>
    <s v="TRNCH"/>
    <x v="1"/>
    <s v="6. Outros Desenvolvimentos"/>
    <s v="OK"/>
    <s v="Em implementação IT BST (Sindicados)"/>
    <s v="Aguarda desenvolvimentos nas plataformas Loan IQ e Mercurio"/>
    <s v="Não"/>
    <d v="2024-06-07T00:00:00"/>
    <x v="9"/>
    <s v="OK"/>
    <m/>
    <m/>
    <m/>
    <x v="2"/>
  </r>
  <r>
    <s v="ENTITY"/>
    <s v="TTL_DBT"/>
    <x v="0"/>
    <s v="2. Alterar especificação"/>
    <s v="OK"/>
    <s v="Em especificação (Financial Statments CIB)"/>
    <s v="Campo implementação, mas com falta de informação para o segmento de clientes CIB"/>
    <s v="Não"/>
    <d v="2024-06-07T00:00:00"/>
    <x v="2"/>
    <s v="OK"/>
    <m/>
    <m/>
    <m/>
    <x v="2"/>
  </r>
  <r>
    <s v="ENTITY"/>
    <s v="TTL_DBT_PRVS"/>
    <x v="0"/>
    <s v="2. Alterar especificação"/>
    <s v="OK"/>
    <s v="Em especificação (Financial Statments CIB)"/>
    <s v="Campo implementação, mas com falta de informação para o segmento de clientes CIB"/>
    <s v="Não"/>
    <d v="2024-06-07T00:00:00"/>
    <x v="2"/>
    <s v="OK"/>
    <m/>
    <m/>
    <m/>
    <x v="2"/>
  </r>
  <r>
    <s v="INSTRUMENT"/>
    <s v="ACCRD_INTRST_INSTRMNT"/>
    <x v="0"/>
    <s v="2. Alterar especificação"/>
    <s v="OK"/>
    <s v="Alterar especificação (Área enviou nova metodologia do campo)"/>
    <m/>
    <s v="Não"/>
    <d v="2024-06-07T00:00:00"/>
    <x v="2"/>
    <s v="OK"/>
    <m/>
    <m/>
    <m/>
    <x v="2"/>
  </r>
  <r>
    <s v="ENTITY"/>
    <s v="TTL_LVRG_RT"/>
    <x v="1"/>
    <s v="9. Concluído"/>
    <s v="OK"/>
    <s v="Concluido, controlos OK"/>
    <m/>
    <s v="Campo Fechado"/>
    <d v="2024-06-07T00:00:00"/>
    <x v="0"/>
    <s v="OK"/>
    <m/>
    <m/>
    <m/>
    <x v="0"/>
  </r>
  <r>
    <s v="ENTITY"/>
    <s v="TTL_LVRG_RT_PRVS"/>
    <x v="1"/>
    <s v="9. Concluído"/>
    <s v="OK"/>
    <s v="Concluido, controlos OK"/>
    <m/>
    <s v="Campo Fechado"/>
    <d v="2024-06-07T00:00:00"/>
    <x v="0"/>
    <s v="OK"/>
    <m/>
    <m/>
    <m/>
    <x v="0"/>
  </r>
  <r>
    <s v="INSTRUMENT"/>
    <s v="TYP_AMRTSTN"/>
    <x v="0"/>
    <s v="3. Pendente de decisão"/>
    <s v="NOK"/>
    <s v="Verificar necessidade de alteração da fonte para fins de reconciliação. Rever Fonte"/>
    <s v="Foi decisão que a informação a reportar deveria reconciliar com a informação de imparidade e por essa mesma razão não se utilizou os dados da LT. Rever se devemos utilizar a informação de IFRS9 ou manter a de alm"/>
    <s v="Sim"/>
    <d v="2024-06-07T00:00:00"/>
    <x v="4"/>
    <s v="NOK"/>
    <m/>
    <m/>
    <m/>
    <x v="5"/>
  </r>
  <r>
    <s v="INSTRUMENT"/>
    <s v="TYP_CMPLNT_MRTR_C19"/>
    <x v="1"/>
    <s v="9. Concluído"/>
    <s v="OK"/>
    <s v="Concluido, controlos OK"/>
    <m/>
    <s v="Campo Fechado"/>
    <d v="2024-06-07T00:00:00"/>
    <x v="0"/>
    <s v="OK"/>
    <m/>
    <m/>
    <m/>
    <x v="0"/>
  </r>
  <r>
    <s v="INSTRUMENT"/>
    <s v="TYP_CRE_OPRTN"/>
    <x v="1"/>
    <s v="7. Analisar controlos e completude"/>
    <s v="NOK"/>
    <s v="Controlos NOK"/>
    <m/>
    <s v="Não"/>
    <d v="2024-06-07T00:00:00"/>
    <x v="5"/>
    <s v="NOK"/>
    <m/>
    <m/>
    <m/>
    <x v="6"/>
  </r>
  <r>
    <s v="INSTRUMENT"/>
    <s v="TYP_INSTRMNT"/>
    <x v="0"/>
    <s v="9. Concluído"/>
    <s v="OK"/>
    <s v="Concluido, controlos OK"/>
    <m/>
    <s v="Campo Fechado"/>
    <d v="2024-06-07T00:00:00"/>
    <x v="0"/>
    <s v="OK"/>
    <m/>
    <m/>
    <m/>
    <x v="0"/>
  </r>
  <r>
    <s v="INSTRUMENT"/>
    <s v="TYP_INTRST_RT"/>
    <x v="0"/>
    <s v="9. Concluído"/>
    <s v="OK"/>
    <s v="Concluido, controlos OK"/>
    <m/>
    <s v="Campo Fechado"/>
    <d v="2024-06-07T00:00:00"/>
    <x v="0"/>
    <s v="OK"/>
    <m/>
    <m/>
    <m/>
    <x v="0"/>
  </r>
  <r>
    <s v="PROTECTION"/>
    <s v="PRTCTN_VL"/>
    <x v="0"/>
    <s v="5.2 Em testes - Incidência"/>
    <s v="OK"/>
    <s v="Campo com incidência"/>
    <s v="Incidências: Casos em que valor é 0"/>
    <s v="Sim"/>
    <d v="2024-09-27T00:00:00"/>
    <x v="1"/>
    <s v="NOK"/>
    <s v="44 garantias com valor zero."/>
    <m/>
    <m/>
    <x v="1"/>
  </r>
  <r>
    <s v="PROTECTION"/>
    <s v="PRTCTN_VL_NPE"/>
    <x v="0"/>
    <s v="5.1 Em testes - Re-especificação"/>
    <s v="OK"/>
    <s v="Campo depende do histórico do PRFRMNG_STTS. Não é necessário alterar a especificação do mesmo, apenas testar se a metodologia do campo PRFRMNG_STTS for alterada. "/>
    <m/>
    <s v="Sim"/>
    <d v="2024-10-03T00:00:00"/>
    <x v="8"/>
    <s v="OK"/>
    <m/>
    <m/>
    <m/>
    <x v="5"/>
  </r>
  <r>
    <s v="PROTECTION"/>
    <s v="TYP_PRTCTN_INTRNL"/>
    <x v="0"/>
    <s v="7. Analisar controlos e completude"/>
    <s v="NOK"/>
    <s v="Controlos NOK"/>
    <m/>
    <s v="Não"/>
    <d v="2024-06-07T00:00:00"/>
    <x v="5"/>
    <s v="NOK"/>
    <m/>
    <m/>
    <m/>
    <x v="6"/>
  </r>
  <r>
    <s v="PROTECTION"/>
    <s v="TYP_PRTCTN_VL"/>
    <x v="0"/>
    <s v="7. Analisar controlos e completude"/>
    <s v="NOK"/>
    <s v="Controlos NOK"/>
    <m/>
    <s v="Não"/>
    <d v="2024-06-07T00:00:00"/>
    <x v="5"/>
    <s v="NOK"/>
    <m/>
    <m/>
    <m/>
    <x v="6"/>
  </r>
  <r>
    <s v="INSTRUMENT"/>
    <s v="TYPE_OF_PLCMNT"/>
    <x v="1"/>
    <s v="9. Concluído"/>
    <s v="OK"/>
    <s v="Concluido, controlos OK"/>
    <m/>
    <s v="Campo Fechado"/>
    <d v="2024-06-07T00:00:00"/>
    <x v="0"/>
    <s v="OK"/>
    <m/>
    <m/>
    <m/>
    <x v="0"/>
  </r>
  <r>
    <s v="INSTRUMENT"/>
    <s v="VLTN_CRRNCY"/>
    <x v="1"/>
    <s v="9. Concluído"/>
    <s v="OK"/>
    <s v="Concluido, controlos OK"/>
    <m/>
    <s v="Campo Fechado"/>
    <d v="2024-06-07T00:00:00"/>
    <x v="0"/>
    <s v="OK"/>
    <m/>
    <m/>
    <m/>
    <x v="0"/>
  </r>
  <r>
    <s v="INSTRUMENT"/>
    <s v="VLTN_TYP"/>
    <x v="1"/>
    <s v="9. Concluído"/>
    <s v="OK"/>
    <s v="Concluido, controlos OK"/>
    <m/>
    <s v="Campo Fechado"/>
    <d v="2024-06-07T00:00:00"/>
    <x v="0"/>
    <s v="OK"/>
    <m/>
    <m/>
    <m/>
    <x v="0"/>
  </r>
  <r>
    <s v="ENTITY"/>
    <s v="WTCH_LST"/>
    <x v="0"/>
    <s v="9. Concluído"/>
    <s v="OK"/>
    <s v="Concluido, controlos OK"/>
    <m/>
    <s v="Campo Fechado"/>
    <d v="2024-06-07T00:00:00"/>
    <x v="0"/>
    <s v="OK"/>
    <m/>
    <m/>
    <m/>
    <x v="0"/>
  </r>
  <r>
    <s v="PROTECTION"/>
    <s v="YR_CNSTRCTN"/>
    <x v="1"/>
    <s v="1. Especificar"/>
    <s v="OK"/>
    <s v="Em especificação (Campos Novos)"/>
    <m/>
    <s v="Não"/>
    <d v="2024-06-07T00:00:00"/>
    <x v="3"/>
    <s v="OK"/>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4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26" firstHeaderRow="1" firstDataRow="1" firstDataCol="1" rowPageCount="1" colPageCount="1"/>
  <pivotFields count="15">
    <pivotField showAll="0"/>
    <pivotField showAll="0"/>
    <pivotField axis="axisRow" showAll="0">
      <items count="3">
        <item x="1"/>
        <item x="0"/>
        <item t="default"/>
      </items>
    </pivotField>
    <pivotField showAll="0"/>
    <pivotField showAll="0"/>
    <pivotField showAll="0"/>
    <pivotField showAll="0"/>
    <pivotField showAll="0"/>
    <pivotField numFmtId="14" showAll="0"/>
    <pivotField axis="axisPage" multipleItemSelectionAllowed="1" showAll="0">
      <items count="16">
        <item x="3"/>
        <item m="1" x="14"/>
        <item x="2"/>
        <item x="4"/>
        <item m="1" x="12"/>
        <item m="1" x="13"/>
        <item m="1" x="11"/>
        <item x="5"/>
        <item x="6"/>
        <item x="0"/>
        <item x="1"/>
        <item x="7"/>
        <item x="8"/>
        <item m="1" x="10"/>
        <item x="9"/>
        <item t="default"/>
      </items>
    </pivotField>
    <pivotField showAll="0"/>
    <pivotField showAll="0"/>
    <pivotField showAll="0"/>
    <pivotField showAll="0"/>
    <pivotField axis="axisRow" dataField="1" showAll="0">
      <items count="21">
        <item m="1" x="8"/>
        <item m="1" x="17"/>
        <item m="1" x="11"/>
        <item m="1" x="16"/>
        <item m="1" x="12"/>
        <item x="3"/>
        <item x="6"/>
        <item m="1" x="15"/>
        <item m="1" x="14"/>
        <item m="1" x="10"/>
        <item m="1" x="9"/>
        <item m="1" x="19"/>
        <item m="1" x="13"/>
        <item x="2"/>
        <item m="1" x="18"/>
        <item x="4"/>
        <item x="1"/>
        <item x="5"/>
        <item x="7"/>
        <item x="0"/>
        <item t="default"/>
      </items>
    </pivotField>
  </pivotFields>
  <rowFields count="2">
    <field x="2"/>
    <field x="14"/>
  </rowFields>
  <rowItems count="17">
    <i>
      <x/>
    </i>
    <i r="1">
      <x v="6"/>
    </i>
    <i r="1">
      <x v="13"/>
    </i>
    <i r="1">
      <x v="15"/>
    </i>
    <i r="1">
      <x v="16"/>
    </i>
    <i r="1">
      <x v="18"/>
    </i>
    <i r="1">
      <x v="19"/>
    </i>
    <i>
      <x v="1"/>
    </i>
    <i r="1">
      <x v="5"/>
    </i>
    <i r="1">
      <x v="6"/>
    </i>
    <i r="1">
      <x v="13"/>
    </i>
    <i r="1">
      <x v="15"/>
    </i>
    <i r="1">
      <x v="16"/>
    </i>
    <i r="1">
      <x v="17"/>
    </i>
    <i r="1">
      <x v="18"/>
    </i>
    <i r="1">
      <x v="19"/>
    </i>
    <i t="grand">
      <x/>
    </i>
  </rowItems>
  <colItems count="1">
    <i/>
  </colItems>
  <pageFields count="1">
    <pageField fld="9" hier="-1"/>
  </pageFields>
  <dataFields count="1">
    <dataField name="Count of Categorização" fld="14" subtotal="count" baseField="0" baseItem="0"/>
  </dataFields>
  <formats count="13">
    <format dxfId="12">
      <pivotArea dataOnly="0" labelOnly="1" fieldPosition="0">
        <references count="2">
          <reference field="2" count="1" selected="0">
            <x v="1"/>
          </reference>
          <reference field="14" count="1">
            <x v="10"/>
          </reference>
        </references>
      </pivotArea>
    </format>
    <format dxfId="11">
      <pivotArea dataOnly="0" labelOnly="1" fieldPosition="0">
        <references count="2">
          <reference field="2" count="1" selected="0">
            <x v="0"/>
          </reference>
          <reference field="14" count="1">
            <x v="10"/>
          </reference>
        </references>
      </pivotArea>
    </format>
    <format dxfId="10">
      <pivotArea dataOnly="0" labelOnly="1" fieldPosition="0">
        <references count="1">
          <reference field="2" count="1">
            <x v="1"/>
          </reference>
        </references>
      </pivotArea>
    </format>
    <format dxfId="9">
      <pivotArea dataOnly="0" labelOnly="1" fieldPosition="0">
        <references count="2">
          <reference field="2" count="1" selected="0">
            <x v="0"/>
          </reference>
          <reference field="14" count="5">
            <x v="6"/>
            <x v="13"/>
            <x v="15"/>
            <x v="16"/>
            <x v="18"/>
          </reference>
        </references>
      </pivotArea>
    </format>
    <format dxfId="8">
      <pivotArea dataOnly="0" labelOnly="1" fieldPosition="0">
        <references count="2">
          <reference field="2" count="1" selected="0">
            <x v="1"/>
          </reference>
          <reference field="14" count="7">
            <x v="0"/>
            <x v="5"/>
            <x v="6"/>
            <x v="13"/>
            <x v="15"/>
            <x v="16"/>
            <x v="17"/>
          </reference>
        </references>
      </pivotArea>
    </format>
    <format dxfId="7">
      <pivotArea collapsedLevelsAreSubtotals="1" fieldPosition="0">
        <references count="2">
          <reference field="2" count="1" selected="0">
            <x v="0"/>
          </reference>
          <reference field="14" count="1">
            <x v="16"/>
          </reference>
        </references>
      </pivotArea>
    </format>
    <format dxfId="6">
      <pivotArea dataOnly="0" labelOnly="1" fieldPosition="0">
        <references count="2">
          <reference field="2" count="1" selected="0">
            <x v="0"/>
          </reference>
          <reference field="14" count="1">
            <x v="16"/>
          </reference>
        </references>
      </pivotArea>
    </format>
    <format dxfId="5">
      <pivotArea collapsedLevelsAreSubtotals="1" fieldPosition="0">
        <references count="2">
          <reference field="2" count="1" selected="0">
            <x v="1"/>
          </reference>
          <reference field="14" count="1">
            <x v="5"/>
          </reference>
        </references>
      </pivotArea>
    </format>
    <format dxfId="4">
      <pivotArea dataOnly="0" labelOnly="1" fieldPosition="0">
        <references count="2">
          <reference field="2" count="1" selected="0">
            <x v="1"/>
          </reference>
          <reference field="14" count="1">
            <x v="5"/>
          </reference>
        </references>
      </pivotArea>
    </format>
    <format dxfId="3">
      <pivotArea collapsedLevelsAreSubtotals="1" fieldPosition="0">
        <references count="2">
          <reference field="2" count="1" selected="0">
            <x v="1"/>
          </reference>
          <reference field="14" count="2">
            <x v="16"/>
            <x v="17"/>
          </reference>
        </references>
      </pivotArea>
    </format>
    <format dxfId="2">
      <pivotArea dataOnly="0" labelOnly="1" fieldPosition="0">
        <references count="2">
          <reference field="2" count="1" selected="0">
            <x v="1"/>
          </reference>
          <reference field="14" count="2">
            <x v="16"/>
            <x v="17"/>
          </reference>
        </references>
      </pivotArea>
    </format>
    <format dxfId="1">
      <pivotArea collapsedLevelsAreSubtotals="1" fieldPosition="0">
        <references count="2">
          <reference field="2" count="1" selected="0">
            <x v="1"/>
          </reference>
          <reference field="14" count="1">
            <x v="5"/>
          </reference>
        </references>
      </pivotArea>
    </format>
    <format dxfId="0">
      <pivotArea dataOnly="0" labelOnly="1" fieldPosition="0">
        <references count="2">
          <reference field="2" count="1" selected="0">
            <x v="1"/>
          </reference>
          <reference field="1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9ACFC-963B-4792-9D61-9481D3AA110D}" name="PivotTable10" cacheId="4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ick Win" colHeaderCaption="OSI VS FORA OSI">
  <location ref="I12:O18" firstHeaderRow="1" firstDataRow="3" firstDataCol="1" rowPageCount="1" colPageCount="1"/>
  <pivotFields count="23">
    <pivotField showAll="0"/>
    <pivotField dataField="1" showAll="0"/>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x="0"/>
        <item h="1" x="3"/>
        <item h="1" x="2"/>
        <item t="default"/>
      </items>
    </pivotField>
    <pivotField showAll="0"/>
  </pivotFields>
  <rowFields count="1">
    <field x="7"/>
  </rowFields>
  <rowItems count="4">
    <i>
      <x/>
    </i>
    <i>
      <x v="1"/>
    </i>
    <i>
      <x v="2"/>
    </i>
    <i t="grand">
      <x/>
    </i>
  </rowItems>
  <colFields count="2">
    <field x="2"/>
    <field x="-2"/>
  </colFields>
  <colItems count="6">
    <i>
      <x/>
      <x/>
    </i>
    <i r="1" i="1">
      <x v="1"/>
    </i>
    <i>
      <x v="1"/>
      <x/>
    </i>
    <i r="1" i="1">
      <x v="1"/>
    </i>
    <i t="grand">
      <x/>
    </i>
    <i t="grand" i="1">
      <x/>
    </i>
  </colItems>
  <pageFields count="1">
    <pageField fld="21" hier="-1"/>
  </pageFields>
  <dataFields count="2">
    <dataField name="#" fld="1" subtotal="count" baseField="5" baseItem="0"/>
    <dataField name="%" fld="1" subtotal="count" showDataAs="percentOfTotal" baseField="5" baseItem="0" numFmtId="10"/>
  </dataFields>
  <formats count="10">
    <format dxfId="22">
      <pivotArea outline="0" collapsedLevelsAreSubtotals="1" fieldPosition="0">
        <references count="2">
          <reference field="4294967294" count="1" selected="0">
            <x v="1"/>
          </reference>
          <reference field="2" count="1" selected="0">
            <x v="1"/>
          </reference>
        </references>
      </pivotArea>
    </format>
    <format dxfId="21">
      <pivotArea outline="0" collapsedLevelsAreSubtotals="1" fieldPosition="0">
        <references count="2">
          <reference field="4294967294" count="1" selected="0">
            <x v="1"/>
          </reference>
          <reference field="2" count="1" selected="0">
            <x v="0"/>
          </reference>
        </references>
      </pivotArea>
    </format>
    <format dxfId="20">
      <pivotArea field="2" grandCol="1" outline="0" collapsedLevelsAreSubtotals="1" axis="axisCol" fieldPosition="0">
        <references count="1">
          <reference field="4294967294" count="1" selected="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2">
          <reference field="4294967294" count="2">
            <x v="0"/>
            <x v="1"/>
          </reference>
          <reference field="2" count="1" selected="0">
            <x v="0"/>
          </reference>
        </references>
      </pivotArea>
    </format>
    <format dxfId="16">
      <pivotArea dataOnly="0" labelOnly="1" outline="0" fieldPosition="0">
        <references count="2">
          <reference field="4294967294" count="2">
            <x v="0"/>
            <x v="1"/>
          </reference>
          <reference field="2" count="1" selected="0">
            <x v="1"/>
          </reference>
        </references>
      </pivotArea>
    </format>
    <format dxfId="15">
      <pivotArea dataOnly="0" labelOnly="1" fieldPosition="0">
        <references count="1">
          <reference field="2" count="0"/>
        </references>
      </pivotArea>
    </format>
    <format dxfId="14">
      <pivotArea field="2" dataOnly="0" labelOnly="1" grandCol="1" outline="0" axis="axisCol" fieldPosition="0">
        <references count="1">
          <reference field="4294967294" count="1" selected="0">
            <x v="0"/>
          </reference>
        </references>
      </pivotArea>
    </format>
    <format dxfId="13">
      <pivotArea field="2"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1F7AD5-90B1-4E17-A458-AEFE904E4957}" name="PivotTable7" cacheId="4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Atual" colHeaderCaption="">
  <location ref="C12:F23" firstHeaderRow="1" firstDataRow="2" firstDataCol="1" rowPageCount="1" colPageCount="1"/>
  <pivotFields count="23">
    <pivotField showAll="0"/>
    <pivotField showAll="0"/>
    <pivotField axis="axisCol" showAll="0">
      <items count="3">
        <item x="1"/>
        <item x="0"/>
        <item t="default"/>
      </items>
    </pivotField>
    <pivotField showAll="0"/>
    <pivotField showAll="0"/>
    <pivotField showAll="0"/>
    <pivotField showAll="0"/>
    <pivotField showAll="0"/>
    <pivotField numFmtId="14" showAll="0"/>
    <pivotField axis="axisRow" dataField="1" showAll="0">
      <items count="11">
        <item x="3"/>
        <item x="2"/>
        <item x="4"/>
        <item x="7"/>
        <item x="8"/>
        <item x="1"/>
        <item x="9"/>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5">
        <item x="1"/>
        <item x="0"/>
        <item x="3"/>
        <item x="2"/>
        <item t="default"/>
      </items>
    </pivotField>
    <pivotField showAll="0"/>
  </pivotFields>
  <rowFields count="1">
    <field x="9"/>
  </rowFields>
  <rowItems count="10">
    <i>
      <x/>
    </i>
    <i>
      <x v="1"/>
    </i>
    <i>
      <x v="2"/>
    </i>
    <i>
      <x v="3"/>
    </i>
    <i>
      <x v="4"/>
    </i>
    <i>
      <x v="5"/>
    </i>
    <i>
      <x v="7"/>
    </i>
    <i>
      <x v="8"/>
    </i>
    <i>
      <x v="9"/>
    </i>
    <i t="grand">
      <x/>
    </i>
  </rowItems>
  <colFields count="1">
    <field x="2"/>
  </colFields>
  <colItems count="3">
    <i>
      <x/>
    </i>
    <i>
      <x v="1"/>
    </i>
    <i t="grand">
      <x/>
    </i>
  </colItems>
  <pageFields count="1">
    <pageField fld="21" item="1" hier="-1"/>
  </pageFields>
  <dataFields count="1">
    <dataField name="Count of Status Atual" fld="9" subtotal="count" baseField="0" baseItem="0"/>
  </dataFields>
  <formats count="3">
    <format dxfId="25">
      <pivotArea field="21" type="button" dataOnly="0" labelOnly="1" outline="0" axis="axisPage" fieldPosition="0"/>
    </format>
    <format dxfId="24">
      <pivotArea type="all" dataOnly="0" outline="0" fieldPosition="0"/>
    </format>
    <format dxfId="23">
      <pivotArea dataOnly="0" labelOnly="1" outline="0" fieldPosition="0">
        <references count="1">
          <reference field="2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6"/>
  <sheetViews>
    <sheetView showGridLines="0" topLeftCell="A8" zoomScaleNormal="100" workbookViewId="0">
      <selection activeCell="L17" sqref="L17"/>
    </sheetView>
  </sheetViews>
  <sheetFormatPr defaultRowHeight="14.4" x14ac:dyDescent="0.3"/>
  <cols>
    <col min="1" max="1" width="3.21875" customWidth="1"/>
    <col min="2" max="2" width="5.109375" customWidth="1"/>
    <col min="3" max="3" width="35.44140625" bestFit="1" customWidth="1"/>
    <col min="4" max="4" width="8" bestFit="1" customWidth="1"/>
    <col min="5" max="5" width="4" bestFit="1" customWidth="1"/>
    <col min="6" max="6" width="10.5546875" bestFit="1" customWidth="1"/>
    <col min="7" max="7" width="10.77734375" customWidth="1"/>
    <col min="8" max="8" width="8.5546875" bestFit="1" customWidth="1"/>
    <col min="9" max="9" width="15.5546875" bestFit="1" customWidth="1"/>
    <col min="10" max="10" width="17.6640625" bestFit="1" customWidth="1"/>
    <col min="11" max="11" width="8.44140625" customWidth="1"/>
    <col min="12" max="12" width="10.21875" customWidth="1"/>
    <col min="13" max="13" width="4.5546875" bestFit="1" customWidth="1"/>
    <col min="14" max="14" width="11.21875" customWidth="1"/>
    <col min="15" max="15" width="7.21875" bestFit="1" customWidth="1"/>
    <col min="16" max="16" width="6.6640625" bestFit="1" customWidth="1"/>
    <col min="17" max="17" width="8.5546875" bestFit="1" customWidth="1"/>
    <col min="18" max="18" width="0" style="12" hidden="1" customWidth="1"/>
    <col min="21" max="21" width="55.77734375" bestFit="1" customWidth="1"/>
    <col min="22" max="22" width="21.77734375" bestFit="1" customWidth="1"/>
    <col min="23" max="24" width="4.21875" bestFit="1" customWidth="1"/>
    <col min="25" max="25" width="10.5546875" bestFit="1" customWidth="1"/>
  </cols>
  <sheetData>
    <row r="1" spans="1:35" ht="15" customHeight="1" x14ac:dyDescent="0.3">
      <c r="A1" s="1"/>
      <c r="B1" s="1"/>
      <c r="C1" s="1"/>
      <c r="E1" s="1"/>
      <c r="F1" s="1"/>
      <c r="G1" s="1"/>
      <c r="H1" s="1"/>
      <c r="I1" s="1"/>
      <c r="J1" s="1"/>
      <c r="K1" s="1"/>
      <c r="L1" s="1"/>
      <c r="M1" s="1"/>
      <c r="N1" s="1"/>
      <c r="O1" s="1"/>
      <c r="P1" s="1"/>
      <c r="Q1" s="1"/>
      <c r="R1" s="13"/>
      <c r="S1" s="1"/>
      <c r="T1" s="1"/>
      <c r="U1" s="1"/>
      <c r="V1" s="1"/>
      <c r="W1" s="1"/>
      <c r="X1" s="1"/>
      <c r="Y1" s="1"/>
      <c r="Z1" s="1"/>
      <c r="AA1" s="1"/>
      <c r="AB1" s="1"/>
      <c r="AC1" s="1"/>
      <c r="AD1" s="1"/>
      <c r="AE1" s="1"/>
      <c r="AF1" s="1"/>
      <c r="AG1" s="1"/>
      <c r="AH1" s="1"/>
    </row>
    <row r="2" spans="1:35" ht="34.5" customHeight="1" x14ac:dyDescent="0.3">
      <c r="A2" s="1"/>
      <c r="B2" s="1"/>
      <c r="C2" s="3"/>
      <c r="E2" s="1"/>
      <c r="F2" s="1"/>
      <c r="G2" s="1"/>
      <c r="H2" s="1"/>
      <c r="I2" s="1"/>
      <c r="J2" s="1"/>
      <c r="K2" s="1"/>
      <c r="L2" s="1"/>
      <c r="M2" s="1"/>
      <c r="N2" s="1"/>
      <c r="O2" s="1"/>
      <c r="P2" s="1"/>
      <c r="Q2" s="1"/>
      <c r="R2" s="13"/>
      <c r="S2" s="1"/>
      <c r="T2" s="1"/>
      <c r="U2" s="1"/>
      <c r="V2" s="1"/>
      <c r="W2" s="1"/>
      <c r="X2" s="1"/>
      <c r="Y2" s="1"/>
      <c r="Z2" s="1"/>
      <c r="AA2" s="1"/>
      <c r="AB2" s="1"/>
      <c r="AC2" s="1"/>
      <c r="AD2" s="1"/>
      <c r="AE2" s="4"/>
      <c r="AF2" s="1"/>
      <c r="AG2" s="1"/>
      <c r="AH2" s="1"/>
      <c r="AI2" s="1"/>
    </row>
    <row r="3" spans="1:35" ht="2.25" customHeight="1" x14ac:dyDescent="0.3">
      <c r="A3" s="5"/>
      <c r="B3" s="5"/>
      <c r="C3" s="5"/>
      <c r="D3" s="5"/>
      <c r="E3" s="5"/>
      <c r="F3" s="5"/>
      <c r="G3" s="5"/>
      <c r="H3" s="5"/>
      <c r="I3" s="5"/>
      <c r="J3" s="5"/>
      <c r="K3" s="5"/>
      <c r="L3" s="5"/>
      <c r="M3" s="5"/>
      <c r="N3" s="5"/>
      <c r="O3" s="5"/>
      <c r="P3" s="5"/>
      <c r="Q3" s="5"/>
      <c r="R3" s="14"/>
      <c r="S3" s="5"/>
      <c r="T3" s="5"/>
      <c r="U3" s="5"/>
      <c r="V3" s="5"/>
      <c r="W3" s="5"/>
      <c r="X3" s="5"/>
      <c r="Y3" s="5"/>
      <c r="Z3" s="5"/>
      <c r="AA3" s="5"/>
      <c r="AB3" s="5"/>
      <c r="AC3" s="5"/>
      <c r="AD3" s="5"/>
      <c r="AE3" s="5"/>
      <c r="AF3" s="5"/>
      <c r="AG3" s="5"/>
      <c r="AH3" s="5"/>
      <c r="AI3" s="5"/>
    </row>
    <row r="4" spans="1:35" ht="15" customHeight="1" x14ac:dyDescent="0.3">
      <c r="A4" s="1"/>
      <c r="B4" s="1"/>
      <c r="C4" s="1"/>
      <c r="E4" s="1"/>
      <c r="F4" s="1"/>
      <c r="G4" s="1"/>
      <c r="H4" s="1"/>
      <c r="I4" s="1"/>
      <c r="J4" s="1"/>
      <c r="K4" s="1"/>
      <c r="L4" s="1"/>
      <c r="M4" s="1"/>
      <c r="N4" s="1"/>
      <c r="O4" s="1"/>
      <c r="P4" s="1"/>
      <c r="Q4" s="1"/>
      <c r="R4" s="13"/>
      <c r="S4" s="1"/>
      <c r="T4" s="1"/>
      <c r="U4" s="1"/>
      <c r="V4" s="1"/>
      <c r="W4" s="1"/>
      <c r="X4" s="1"/>
      <c r="Y4" s="1"/>
      <c r="Z4" s="1"/>
      <c r="AA4" s="1"/>
      <c r="AB4" s="1"/>
      <c r="AC4" s="1"/>
      <c r="AD4" s="1"/>
      <c r="AE4" s="1"/>
      <c r="AF4" s="1"/>
      <c r="AG4" s="1"/>
      <c r="AH4" s="1"/>
      <c r="AI4" s="1"/>
    </row>
    <row r="7" spans="1:35" x14ac:dyDescent="0.3">
      <c r="U7" s="22" t="s">
        <v>751</v>
      </c>
      <c r="V7" t="s">
        <v>1057</v>
      </c>
    </row>
    <row r="9" spans="1:35" x14ac:dyDescent="0.3">
      <c r="U9" s="22" t="s">
        <v>3</v>
      </c>
      <c r="V9" t="s">
        <v>4</v>
      </c>
    </row>
    <row r="10" spans="1:35" x14ac:dyDescent="0.3">
      <c r="C10" s="80" t="s">
        <v>1058</v>
      </c>
      <c r="D10" s="82" t="s">
        <v>983</v>
      </c>
      <c r="I10" s="69" t="s">
        <v>1058</v>
      </c>
      <c r="J10" s="70" t="s">
        <v>983</v>
      </c>
      <c r="U10" s="7" t="s">
        <v>0</v>
      </c>
      <c r="V10">
        <v>119</v>
      </c>
    </row>
    <row r="11" spans="1:35" x14ac:dyDescent="0.3">
      <c r="R11" s="12" t="s">
        <v>8</v>
      </c>
      <c r="U11" s="12" t="s">
        <v>9</v>
      </c>
      <c r="V11">
        <v>16</v>
      </c>
    </row>
    <row r="12" spans="1:35" x14ac:dyDescent="0.3">
      <c r="C12" s="81" t="s">
        <v>1059</v>
      </c>
      <c r="D12" s="72" t="s">
        <v>1060</v>
      </c>
      <c r="E12" s="73"/>
      <c r="F12" s="74"/>
      <c r="I12" s="71"/>
      <c r="J12" s="72" t="s">
        <v>1064</v>
      </c>
      <c r="K12" s="73"/>
      <c r="L12" s="73"/>
      <c r="M12" s="73"/>
      <c r="N12" s="73"/>
      <c r="O12" s="74"/>
      <c r="R12" s="12" t="s">
        <v>12</v>
      </c>
      <c r="U12" s="12" t="s">
        <v>13</v>
      </c>
      <c r="V12">
        <v>14</v>
      </c>
    </row>
    <row r="13" spans="1:35" x14ac:dyDescent="0.3">
      <c r="C13" s="77" t="s">
        <v>751</v>
      </c>
      <c r="D13" t="s">
        <v>0</v>
      </c>
      <c r="E13" t="s">
        <v>1</v>
      </c>
      <c r="F13" s="76" t="s">
        <v>18</v>
      </c>
      <c r="I13" s="75"/>
      <c r="J13" s="48" t="s">
        <v>0</v>
      </c>
      <c r="K13" s="48"/>
      <c r="L13" s="48" t="s">
        <v>1</v>
      </c>
      <c r="M13" s="48"/>
      <c r="N13" s="48" t="s">
        <v>2</v>
      </c>
      <c r="O13" s="88" t="s">
        <v>1062</v>
      </c>
      <c r="R13" s="12" t="s">
        <v>16</v>
      </c>
      <c r="U13" s="12" t="s">
        <v>17</v>
      </c>
      <c r="V13">
        <v>9</v>
      </c>
    </row>
    <row r="14" spans="1:35" x14ac:dyDescent="0.3">
      <c r="C14" s="78" t="s">
        <v>6</v>
      </c>
      <c r="D14">
        <v>9</v>
      </c>
      <c r="E14">
        <v>1</v>
      </c>
      <c r="F14" s="76">
        <v>10</v>
      </c>
      <c r="I14" s="77" t="s">
        <v>1061</v>
      </c>
      <c r="J14" s="48" t="s">
        <v>5</v>
      </c>
      <c r="K14" s="48" t="s">
        <v>1063</v>
      </c>
      <c r="L14" s="48" t="s">
        <v>5</v>
      </c>
      <c r="M14" s="48" t="s">
        <v>1063</v>
      </c>
      <c r="N14" s="48"/>
      <c r="O14" s="88"/>
      <c r="U14" s="23" t="s">
        <v>19</v>
      </c>
      <c r="V14" s="11">
        <v>5</v>
      </c>
    </row>
    <row r="15" spans="1:35" x14ac:dyDescent="0.3">
      <c r="C15" s="78" t="s">
        <v>10</v>
      </c>
      <c r="D15">
        <v>3</v>
      </c>
      <c r="E15">
        <v>14</v>
      </c>
      <c r="F15" s="76">
        <v>17</v>
      </c>
      <c r="I15" s="78" t="s">
        <v>7</v>
      </c>
      <c r="J15" s="48">
        <v>69</v>
      </c>
      <c r="K15" s="83">
        <v>0.26436781609195403</v>
      </c>
      <c r="L15" s="48">
        <v>96</v>
      </c>
      <c r="M15" s="83">
        <v>0.36781609195402298</v>
      </c>
      <c r="N15" s="48">
        <v>165</v>
      </c>
      <c r="O15" s="84">
        <v>0.63218390804597702</v>
      </c>
      <c r="U15" s="12" t="s">
        <v>20</v>
      </c>
      <c r="V15">
        <v>10</v>
      </c>
    </row>
    <row r="16" spans="1:35" x14ac:dyDescent="0.3">
      <c r="C16" s="78" t="s">
        <v>14</v>
      </c>
      <c r="E16">
        <v>2</v>
      </c>
      <c r="F16" s="76">
        <v>2</v>
      </c>
      <c r="I16" s="78" t="s">
        <v>11</v>
      </c>
      <c r="J16" s="48">
        <v>30</v>
      </c>
      <c r="K16" s="83">
        <v>0.11494252873563218</v>
      </c>
      <c r="L16" s="48">
        <v>40</v>
      </c>
      <c r="M16" s="83">
        <v>0.1532567049808429</v>
      </c>
      <c r="N16" s="48">
        <v>70</v>
      </c>
      <c r="O16" s="84">
        <v>0.26819923371647508</v>
      </c>
      <c r="U16" s="12" t="s">
        <v>55</v>
      </c>
      <c r="V16">
        <v>65</v>
      </c>
    </row>
    <row r="17" spans="3:22" x14ac:dyDescent="0.3">
      <c r="C17" s="78" t="s">
        <v>829</v>
      </c>
      <c r="D17">
        <v>1</v>
      </c>
      <c r="F17" s="76">
        <v>1</v>
      </c>
      <c r="I17" s="78" t="s">
        <v>15</v>
      </c>
      <c r="J17" s="48">
        <v>3</v>
      </c>
      <c r="K17" s="83">
        <v>1.1494252873563218E-2</v>
      </c>
      <c r="L17" s="48">
        <v>23</v>
      </c>
      <c r="M17" s="83">
        <v>8.8122605363984668E-2</v>
      </c>
      <c r="N17" s="48">
        <v>26</v>
      </c>
      <c r="O17" s="84">
        <v>9.9616858237547887E-2</v>
      </c>
      <c r="U17" s="7" t="s">
        <v>1</v>
      </c>
      <c r="V17">
        <v>227</v>
      </c>
    </row>
    <row r="18" spans="3:22" x14ac:dyDescent="0.3">
      <c r="C18" s="78" t="s">
        <v>831</v>
      </c>
      <c r="D18">
        <v>4</v>
      </c>
      <c r="E18">
        <v>18</v>
      </c>
      <c r="F18" s="76">
        <v>22</v>
      </c>
      <c r="I18" s="79" t="s">
        <v>18</v>
      </c>
      <c r="J18" s="85">
        <v>102</v>
      </c>
      <c r="K18" s="86">
        <v>0.39080459770114945</v>
      </c>
      <c r="L18" s="85">
        <v>159</v>
      </c>
      <c r="M18" s="86">
        <v>0.60919540229885061</v>
      </c>
      <c r="N18" s="85">
        <v>261</v>
      </c>
      <c r="O18" s="87">
        <v>1</v>
      </c>
      <c r="U18" s="23" t="s">
        <v>22</v>
      </c>
      <c r="V18" s="11">
        <v>8</v>
      </c>
    </row>
    <row r="19" spans="3:22" x14ac:dyDescent="0.3">
      <c r="C19" s="78" t="s">
        <v>832</v>
      </c>
      <c r="E19">
        <v>3</v>
      </c>
      <c r="F19" s="76">
        <v>3</v>
      </c>
      <c r="U19" s="12" t="s">
        <v>9</v>
      </c>
      <c r="V19">
        <v>41</v>
      </c>
    </row>
    <row r="20" spans="3:22" x14ac:dyDescent="0.3">
      <c r="C20" s="78" t="s">
        <v>21</v>
      </c>
      <c r="D20">
        <v>16</v>
      </c>
      <c r="E20">
        <v>26</v>
      </c>
      <c r="F20" s="76">
        <v>42</v>
      </c>
      <c r="U20" s="12" t="s">
        <v>13</v>
      </c>
      <c r="V20">
        <v>37</v>
      </c>
    </row>
    <row r="21" spans="3:22" x14ac:dyDescent="0.3">
      <c r="C21" s="78" t="s">
        <v>23</v>
      </c>
      <c r="D21">
        <v>6</v>
      </c>
      <c r="E21">
        <v>1</v>
      </c>
      <c r="F21" s="76">
        <v>7</v>
      </c>
      <c r="U21" s="12" t="s">
        <v>17</v>
      </c>
      <c r="V21">
        <v>6</v>
      </c>
    </row>
    <row r="22" spans="3:22" x14ac:dyDescent="0.3">
      <c r="C22" s="78" t="s">
        <v>24</v>
      </c>
      <c r="D22">
        <v>63</v>
      </c>
      <c r="E22">
        <v>94</v>
      </c>
      <c r="F22" s="76">
        <v>157</v>
      </c>
      <c r="U22" s="23" t="s">
        <v>19</v>
      </c>
      <c r="V22" s="11">
        <v>21</v>
      </c>
    </row>
    <row r="23" spans="3:22" x14ac:dyDescent="0.3">
      <c r="C23" s="79" t="s">
        <v>18</v>
      </c>
      <c r="D23" s="89">
        <v>102</v>
      </c>
      <c r="E23" s="89">
        <v>159</v>
      </c>
      <c r="F23" s="90">
        <v>261</v>
      </c>
      <c r="U23" s="23" t="s">
        <v>25</v>
      </c>
      <c r="V23" s="11">
        <v>24</v>
      </c>
    </row>
    <row r="24" spans="3:22" x14ac:dyDescent="0.3">
      <c r="U24" s="12" t="s">
        <v>20</v>
      </c>
      <c r="V24">
        <v>2</v>
      </c>
    </row>
    <row r="25" spans="3:22" x14ac:dyDescent="0.3">
      <c r="U25" s="12" t="s">
        <v>55</v>
      </c>
      <c r="V25">
        <v>88</v>
      </c>
    </row>
    <row r="26" spans="3:22" x14ac:dyDescent="0.3">
      <c r="U26" s="7" t="s">
        <v>18</v>
      </c>
      <c r="V26">
        <v>346</v>
      </c>
    </row>
  </sheetData>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4"/>
  <sheetViews>
    <sheetView showGridLines="0" topLeftCell="E2" zoomScaleNormal="90" workbookViewId="0">
      <selection activeCell="C23" sqref="C23"/>
    </sheetView>
  </sheetViews>
  <sheetFormatPr defaultColWidth="0" defaultRowHeight="14.4" customHeight="1" x14ac:dyDescent="0.3"/>
  <cols>
    <col min="1" max="1" width="3.2187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20.109375" bestFit="1" customWidth="1"/>
    <col min="10" max="20" width="19.88671875" customWidth="1"/>
    <col min="21" max="22" width="3.33203125" customWidth="1"/>
    <col min="23" max="23" width="13.5546875" hidden="1" customWidth="1"/>
    <col min="24" max="24" width="22.7773437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40"/>
      <c r="C5" s="40"/>
      <c r="D5" s="40"/>
      <c r="E5" s="40"/>
      <c r="F5" s="40"/>
      <c r="H5" s="40"/>
      <c r="I5" s="40"/>
      <c r="J5" s="40"/>
      <c r="K5" s="40"/>
      <c r="L5" s="40"/>
      <c r="M5" s="40"/>
      <c r="N5" s="40"/>
      <c r="O5" s="40"/>
      <c r="P5" s="40"/>
      <c r="Q5" s="40"/>
      <c r="R5" s="40"/>
      <c r="S5" s="40"/>
      <c r="T5" s="40"/>
      <c r="U5" s="40"/>
    </row>
    <row r="6" spans="1:32" x14ac:dyDescent="0.3">
      <c r="B6" s="40"/>
      <c r="C6" s="40"/>
      <c r="D6" s="40"/>
      <c r="E6" s="40"/>
      <c r="F6" s="40"/>
      <c r="H6" s="40"/>
      <c r="I6" s="40"/>
      <c r="J6" s="40"/>
      <c r="K6" s="40"/>
      <c r="L6" s="40"/>
      <c r="M6" s="40"/>
      <c r="N6" s="40"/>
      <c r="O6" s="40"/>
      <c r="P6" s="40"/>
      <c r="Q6" s="40"/>
      <c r="R6" s="40"/>
      <c r="S6" s="40"/>
      <c r="T6" s="40"/>
      <c r="U6" s="40"/>
    </row>
    <row r="7" spans="1:32" x14ac:dyDescent="0.3">
      <c r="B7" s="40"/>
      <c r="C7" s="40"/>
      <c r="D7" s="40"/>
      <c r="E7" s="40"/>
      <c r="F7" s="40"/>
      <c r="H7" s="40"/>
      <c r="I7" s="40"/>
      <c r="J7" s="40"/>
      <c r="K7" s="40"/>
      <c r="L7" s="40"/>
      <c r="M7" s="40"/>
      <c r="N7" s="40"/>
      <c r="O7" s="40"/>
      <c r="P7" s="40"/>
      <c r="Q7" s="40"/>
      <c r="R7" s="40"/>
      <c r="S7" s="40"/>
      <c r="T7" s="40"/>
      <c r="U7" s="40"/>
    </row>
    <row r="8" spans="1:32" x14ac:dyDescent="0.3">
      <c r="B8" s="46">
        <v>2</v>
      </c>
      <c r="C8" s="46" t="s">
        <v>26</v>
      </c>
      <c r="D8" s="46">
        <v>11</v>
      </c>
      <c r="E8" s="46" t="s">
        <v>26</v>
      </c>
      <c r="F8" s="46"/>
      <c r="H8" s="40"/>
      <c r="I8" s="40"/>
      <c r="J8" s="40"/>
      <c r="K8" s="40"/>
      <c r="L8" s="40"/>
      <c r="M8" s="40"/>
      <c r="N8" s="40"/>
      <c r="O8" s="40"/>
      <c r="P8" s="40"/>
      <c r="Q8" s="40"/>
      <c r="R8" s="40"/>
      <c r="S8" s="40"/>
      <c r="T8" s="40"/>
      <c r="U8" s="40"/>
    </row>
    <row r="9" spans="1:32" x14ac:dyDescent="0.3">
      <c r="B9" s="40"/>
      <c r="C9" s="47" t="s">
        <v>32</v>
      </c>
      <c r="D9" s="40"/>
      <c r="E9" s="46" t="s">
        <v>865</v>
      </c>
      <c r="F9" s="47"/>
      <c r="H9" s="40"/>
      <c r="I9" s="40"/>
      <c r="J9" s="40"/>
      <c r="K9" s="40"/>
      <c r="L9" s="40"/>
      <c r="M9" s="40"/>
      <c r="N9" s="40"/>
      <c r="O9" s="40"/>
      <c r="P9" s="40"/>
      <c r="Q9" s="40"/>
      <c r="R9" s="40"/>
      <c r="S9" s="40"/>
      <c r="T9" s="40"/>
      <c r="U9" s="40"/>
    </row>
    <row r="10" spans="1:32" x14ac:dyDescent="0.3">
      <c r="B10" s="46"/>
      <c r="C10" s="47" t="s">
        <v>30</v>
      </c>
      <c r="D10" s="40"/>
      <c r="E10" s="47" t="s">
        <v>264</v>
      </c>
      <c r="F10" s="47"/>
      <c r="H10" s="40"/>
      <c r="I10" s="40"/>
      <c r="J10" s="40"/>
      <c r="K10" s="40"/>
      <c r="L10" s="40"/>
      <c r="M10" s="40"/>
      <c r="N10" s="40"/>
      <c r="O10" s="40"/>
      <c r="P10" s="40"/>
      <c r="Q10" s="40"/>
      <c r="R10" s="40"/>
      <c r="S10" s="40"/>
      <c r="T10" s="40"/>
      <c r="U10" s="40"/>
    </row>
    <row r="11" spans="1:32" x14ac:dyDescent="0.3">
      <c r="B11" s="40"/>
      <c r="C11" s="47"/>
      <c r="D11" s="40"/>
      <c r="E11" s="47" t="s">
        <v>359</v>
      </c>
      <c r="F11" s="47"/>
      <c r="H11" s="40"/>
      <c r="I11" s="40"/>
      <c r="J11" s="40"/>
      <c r="K11" s="40"/>
      <c r="L11" s="40"/>
      <c r="M11" s="40"/>
      <c r="N11" s="40"/>
      <c r="O11" s="40"/>
      <c r="P11" s="40"/>
      <c r="Q11" s="40"/>
      <c r="R11" s="40"/>
      <c r="S11" s="40"/>
      <c r="T11" s="40"/>
      <c r="U11" s="40"/>
    </row>
    <row r="12" spans="1:32" x14ac:dyDescent="0.3">
      <c r="B12" s="40"/>
      <c r="C12" s="47"/>
      <c r="D12" s="40"/>
      <c r="E12" s="47" t="s">
        <v>266</v>
      </c>
      <c r="F12" s="40"/>
      <c r="H12" s="40"/>
      <c r="I12" s="40"/>
      <c r="J12" s="40"/>
      <c r="K12" s="40"/>
      <c r="L12" s="40"/>
      <c r="M12" s="40"/>
      <c r="N12" s="40"/>
      <c r="O12" s="40"/>
      <c r="P12" s="40"/>
      <c r="Q12" s="40"/>
      <c r="R12" s="40"/>
      <c r="S12" s="40"/>
      <c r="T12" s="40"/>
      <c r="U12" s="40"/>
    </row>
    <row r="13" spans="1:32" x14ac:dyDescent="0.3">
      <c r="B13" s="40"/>
      <c r="C13" s="40"/>
      <c r="D13" s="40"/>
      <c r="E13" s="47" t="s">
        <v>361</v>
      </c>
      <c r="F13" s="40"/>
      <c r="H13" s="40"/>
      <c r="I13" s="40"/>
      <c r="J13" s="40"/>
      <c r="K13" s="40"/>
      <c r="L13" s="40"/>
      <c r="M13" s="40"/>
      <c r="N13" s="40"/>
      <c r="O13" s="40"/>
      <c r="P13" s="40"/>
      <c r="Q13" s="40"/>
      <c r="R13" s="40"/>
      <c r="S13" s="40"/>
      <c r="T13" s="40"/>
      <c r="U13" s="40"/>
    </row>
    <row r="14" spans="1:32" x14ac:dyDescent="0.3">
      <c r="B14" s="40"/>
      <c r="C14" s="40"/>
      <c r="D14" s="40"/>
      <c r="E14" s="47" t="s">
        <v>135</v>
      </c>
      <c r="F14" s="40"/>
      <c r="H14" s="40"/>
      <c r="I14" s="40"/>
      <c r="J14" s="40"/>
      <c r="K14" s="40"/>
      <c r="L14" s="40"/>
      <c r="M14" s="40"/>
      <c r="N14" s="40"/>
      <c r="O14" s="40"/>
      <c r="P14" s="40"/>
      <c r="Q14" s="40"/>
      <c r="R14" s="40"/>
      <c r="S14" s="40"/>
      <c r="T14" s="40"/>
      <c r="U14" s="40"/>
    </row>
    <row r="15" spans="1:32" x14ac:dyDescent="0.3">
      <c r="B15" s="40"/>
      <c r="C15" s="46"/>
      <c r="D15" s="40"/>
      <c r="E15" s="47" t="s">
        <v>138</v>
      </c>
      <c r="F15" s="40"/>
      <c r="H15" s="40"/>
      <c r="I15" s="40"/>
      <c r="J15" s="40"/>
      <c r="K15" s="40"/>
      <c r="L15" s="40"/>
      <c r="M15" s="40"/>
      <c r="N15" s="40"/>
      <c r="O15" s="40"/>
      <c r="P15" s="40"/>
      <c r="Q15" s="40"/>
      <c r="R15" s="40"/>
      <c r="S15" s="40"/>
      <c r="T15" s="40"/>
      <c r="U15" s="40"/>
    </row>
    <row r="16" spans="1:32" x14ac:dyDescent="0.3">
      <c r="B16" s="40"/>
      <c r="C16" s="47"/>
      <c r="D16" s="40"/>
      <c r="E16" s="47" t="s">
        <v>141</v>
      </c>
      <c r="F16" s="46"/>
      <c r="H16" s="40"/>
      <c r="I16" s="40"/>
      <c r="J16" s="40"/>
      <c r="K16" s="40"/>
      <c r="L16" s="40"/>
      <c r="M16" s="40"/>
      <c r="N16" s="40"/>
      <c r="O16" s="40"/>
      <c r="P16" s="40"/>
      <c r="Q16" s="40"/>
      <c r="R16" s="40"/>
      <c r="S16" s="40"/>
      <c r="T16" s="40"/>
      <c r="U16" s="40"/>
    </row>
    <row r="17" spans="2:21" x14ac:dyDescent="0.3">
      <c r="B17" s="40"/>
      <c r="C17" s="47"/>
      <c r="D17" s="40"/>
      <c r="E17" s="47" t="s">
        <v>170</v>
      </c>
      <c r="F17" s="47"/>
      <c r="H17" s="40"/>
      <c r="I17" s="40"/>
      <c r="J17" s="40"/>
      <c r="K17" s="40"/>
      <c r="L17" s="40"/>
      <c r="M17" s="40"/>
      <c r="N17" s="40"/>
      <c r="O17" s="40"/>
      <c r="P17" s="40"/>
      <c r="Q17" s="40"/>
      <c r="R17" s="40"/>
      <c r="S17" s="40"/>
      <c r="T17" s="40"/>
      <c r="U17" s="40"/>
    </row>
    <row r="18" spans="2:21" x14ac:dyDescent="0.3">
      <c r="B18" s="40"/>
      <c r="C18" s="47"/>
      <c r="D18" s="40"/>
      <c r="E18" s="47" t="s">
        <v>172</v>
      </c>
      <c r="F18" s="47"/>
      <c r="H18" s="40"/>
      <c r="I18" s="40"/>
      <c r="J18" s="40"/>
      <c r="K18" s="40"/>
      <c r="L18" s="40"/>
      <c r="M18" s="40"/>
      <c r="N18" s="40"/>
      <c r="O18" s="40"/>
      <c r="P18" s="40"/>
      <c r="Q18" s="40"/>
      <c r="R18" s="40"/>
      <c r="S18" s="40"/>
      <c r="T18" s="40"/>
      <c r="U18" s="40"/>
    </row>
    <row r="19" spans="2:21" x14ac:dyDescent="0.3">
      <c r="B19" s="40"/>
      <c r="C19" s="47"/>
      <c r="D19" s="40"/>
      <c r="E19" s="47" t="s">
        <v>186</v>
      </c>
      <c r="F19" s="47"/>
      <c r="H19" s="40"/>
      <c r="I19" s="40"/>
      <c r="J19" s="40"/>
      <c r="K19" s="40"/>
      <c r="L19" s="40"/>
      <c r="M19" s="40"/>
      <c r="N19" s="40"/>
      <c r="O19" s="40"/>
      <c r="P19" s="40"/>
      <c r="Q19" s="40"/>
      <c r="R19" s="40"/>
      <c r="S19" s="40"/>
      <c r="T19" s="40"/>
      <c r="U19" s="40"/>
    </row>
    <row r="20" spans="2:21" x14ac:dyDescent="0.3">
      <c r="B20" s="40"/>
      <c r="C20" s="47"/>
      <c r="D20" s="40"/>
      <c r="E20" s="47" t="s">
        <v>188</v>
      </c>
      <c r="F20" s="47"/>
      <c r="H20" s="40"/>
      <c r="I20" s="40"/>
      <c r="J20" s="40"/>
      <c r="K20" s="40"/>
      <c r="L20" s="40"/>
      <c r="M20" s="40"/>
      <c r="N20" s="40"/>
      <c r="O20" s="40"/>
      <c r="P20" s="40"/>
      <c r="Q20" s="40"/>
      <c r="R20" s="40"/>
      <c r="S20" s="40"/>
      <c r="T20" s="40"/>
      <c r="U20" s="40"/>
    </row>
    <row r="21" spans="2:21" x14ac:dyDescent="0.3">
      <c r="B21" s="40"/>
      <c r="C21" s="40"/>
      <c r="D21" s="40"/>
      <c r="E21" s="40"/>
      <c r="F21" s="47"/>
      <c r="H21" s="40"/>
      <c r="I21" s="40"/>
      <c r="J21" s="40"/>
      <c r="K21" s="40"/>
      <c r="L21" s="40"/>
      <c r="M21" s="40"/>
      <c r="N21" s="40"/>
      <c r="O21" s="40"/>
      <c r="P21" s="40"/>
      <c r="Q21" s="40"/>
      <c r="R21" s="40"/>
      <c r="S21" s="40"/>
      <c r="T21" s="40"/>
      <c r="U21" s="40"/>
    </row>
    <row r="22" spans="2:21" x14ac:dyDescent="0.3">
      <c r="B22" s="40"/>
      <c r="C22" s="40"/>
      <c r="D22" s="40"/>
      <c r="E22" s="47"/>
      <c r="F22" s="47"/>
      <c r="H22" s="40"/>
      <c r="I22" s="40"/>
      <c r="J22" s="40"/>
      <c r="K22" s="40"/>
      <c r="L22" s="40"/>
      <c r="M22" s="40"/>
      <c r="N22" s="40"/>
      <c r="O22" s="40"/>
      <c r="P22" s="40"/>
      <c r="Q22" s="40"/>
      <c r="R22" s="40"/>
      <c r="S22" s="40"/>
      <c r="T22" s="40"/>
      <c r="U22" s="40"/>
    </row>
    <row r="23" spans="2:21" x14ac:dyDescent="0.3">
      <c r="B23" s="40"/>
      <c r="C23" s="40"/>
      <c r="D23" s="40"/>
      <c r="E23" s="40"/>
      <c r="F23" s="40"/>
      <c r="H23" s="40"/>
      <c r="I23" s="40"/>
      <c r="J23" s="40"/>
      <c r="K23" s="40"/>
      <c r="L23" s="40"/>
      <c r="M23" s="40"/>
      <c r="N23" s="40"/>
      <c r="O23" s="40"/>
      <c r="P23" s="40"/>
      <c r="Q23" s="40"/>
      <c r="R23" s="40"/>
      <c r="S23" s="40"/>
      <c r="T23" s="40"/>
      <c r="U23" s="40"/>
    </row>
    <row r="24" spans="2:21" x14ac:dyDescent="0.3">
      <c r="B24" s="40"/>
      <c r="C24" s="40"/>
      <c r="D24" s="40"/>
      <c r="E24" s="40"/>
      <c r="F24" s="40"/>
      <c r="H24" s="40"/>
      <c r="I24" s="40"/>
      <c r="J24" s="40"/>
      <c r="K24" s="40"/>
      <c r="L24" s="40"/>
      <c r="M24" s="40"/>
      <c r="N24" s="40"/>
      <c r="O24" s="40"/>
      <c r="P24" s="40"/>
      <c r="Q24" s="40"/>
      <c r="R24" s="40"/>
      <c r="S24" s="40"/>
      <c r="T24" s="40"/>
      <c r="U24" s="40"/>
    </row>
    <row r="25" spans="2:21" x14ac:dyDescent="0.3">
      <c r="B25" s="40"/>
      <c r="C25" s="40"/>
      <c r="D25" s="40"/>
      <c r="E25" s="40"/>
      <c r="F25" s="40"/>
      <c r="H25" s="40"/>
      <c r="I25" s="40"/>
      <c r="J25" s="40"/>
      <c r="K25" s="40"/>
      <c r="L25" s="40"/>
      <c r="M25" s="40"/>
      <c r="N25" s="40"/>
      <c r="O25" s="40"/>
      <c r="P25" s="40"/>
      <c r="Q25" s="40"/>
      <c r="R25" s="40"/>
      <c r="S25" s="40"/>
      <c r="T25" s="40"/>
      <c r="U25" s="40"/>
    </row>
    <row r="26" spans="2:21" x14ac:dyDescent="0.3">
      <c r="B26" s="40"/>
      <c r="C26" s="40"/>
      <c r="D26" s="40"/>
      <c r="E26" s="40"/>
      <c r="F26" s="40"/>
      <c r="H26" s="40"/>
      <c r="I26" s="40"/>
      <c r="J26" s="40"/>
      <c r="K26" s="40"/>
      <c r="L26" s="40"/>
      <c r="M26" s="40"/>
      <c r="N26" s="40"/>
      <c r="O26" s="40"/>
      <c r="P26" s="40"/>
      <c r="Q26" s="40"/>
      <c r="R26" s="40"/>
      <c r="S26" s="40"/>
      <c r="T26" s="40"/>
      <c r="U26" s="40"/>
    </row>
    <row r="27" spans="2:21" ht="43.2" x14ac:dyDescent="0.3">
      <c r="B27" s="40"/>
      <c r="C27" s="40"/>
      <c r="D27" s="40"/>
      <c r="E27" s="40"/>
      <c r="F27" s="40"/>
      <c r="H27" s="40"/>
      <c r="I27" s="40"/>
      <c r="J27" s="49" t="s">
        <v>6</v>
      </c>
      <c r="K27" s="49" t="s">
        <v>10</v>
      </c>
      <c r="L27" s="49" t="s">
        <v>14</v>
      </c>
      <c r="M27" s="49" t="s">
        <v>829</v>
      </c>
      <c r="N27" s="49" t="s">
        <v>830</v>
      </c>
      <c r="O27" s="49" t="s">
        <v>831</v>
      </c>
      <c r="P27" s="49" t="s">
        <v>832</v>
      </c>
      <c r="Q27" s="49" t="s">
        <v>833</v>
      </c>
      <c r="R27" s="49" t="s">
        <v>21</v>
      </c>
      <c r="S27" s="49" t="s">
        <v>23</v>
      </c>
      <c r="T27" s="49" t="s">
        <v>24</v>
      </c>
      <c r="U27" s="50"/>
    </row>
    <row r="28" spans="2:21" x14ac:dyDescent="0.3">
      <c r="B28" s="40"/>
      <c r="C28" s="40"/>
      <c r="D28" s="40"/>
      <c r="E28" s="40"/>
      <c r="F28" s="40"/>
      <c r="H28" s="40"/>
      <c r="I28" s="45" t="s">
        <v>751</v>
      </c>
      <c r="J28" s="41">
        <f>COUNTIF(Detalhe!$K:$K,J27)</f>
        <v>50</v>
      </c>
      <c r="K28" s="41">
        <f>COUNTIF(Detalhe!$K:$K,K27)</f>
        <v>41</v>
      </c>
      <c r="L28" s="41">
        <f>COUNTIF(Detalhe!$K:$K,L27)</f>
        <v>8</v>
      </c>
      <c r="M28" s="41">
        <f>COUNTIF(Detalhe!$K:$K,M27)</f>
        <v>1</v>
      </c>
      <c r="N28" s="41">
        <f>COUNTIF(Detalhe!$K:$K,N27)</f>
        <v>0</v>
      </c>
      <c r="O28" s="41">
        <f>COUNTIF(Detalhe!$K:$K,O27)</f>
        <v>32</v>
      </c>
      <c r="P28" s="41">
        <f>COUNTIF(Detalhe!$K:$K,P27)</f>
        <v>9</v>
      </c>
      <c r="Q28" s="41">
        <f>COUNTIF(Detalhe!$K:$K,Q27)</f>
        <v>10</v>
      </c>
      <c r="R28" s="41">
        <f>COUNTIF(Detalhe!$K:$K,R27)</f>
        <v>57</v>
      </c>
      <c r="S28" s="41">
        <f>COUNTIF(Detalhe!$K:$K,S27)</f>
        <v>10</v>
      </c>
      <c r="T28" s="41">
        <f>COUNTIF(Detalhe!$K:$K,T27)</f>
        <v>161</v>
      </c>
      <c r="U28" s="51"/>
    </row>
    <row r="29" spans="2:21" x14ac:dyDescent="0.3">
      <c r="B29" s="40"/>
      <c r="C29" s="40"/>
      <c r="D29" s="40"/>
      <c r="E29" s="40"/>
      <c r="F29" s="40"/>
      <c r="H29" s="40"/>
      <c r="I29" s="45" t="s">
        <v>834</v>
      </c>
      <c r="J29" s="42">
        <f>COUNTIF(Detalhe!$E:$E,J27)</f>
        <v>50</v>
      </c>
      <c r="K29" s="42">
        <f>COUNTIF(Detalhe!$E:$E,K27)</f>
        <v>42</v>
      </c>
      <c r="L29" s="42">
        <f>COUNTIF(Detalhe!$E:$E,L27)</f>
        <v>17</v>
      </c>
      <c r="M29" s="42">
        <f>COUNTIF(Detalhe!$E:$E,M27)</f>
        <v>4</v>
      </c>
      <c r="N29" s="42">
        <f>COUNTIF(Detalhe!$E:$E,N27)</f>
        <v>0</v>
      </c>
      <c r="O29" s="42">
        <f>COUNTIF(Detalhe!$E:$E,O27)</f>
        <v>21</v>
      </c>
      <c r="P29" s="42">
        <f>COUNTIF(Detalhe!$E:$E,P27)</f>
        <v>17</v>
      </c>
      <c r="Q29" s="42">
        <f>COUNTIF(Detalhe!$E:$E,Q27)</f>
        <v>10</v>
      </c>
      <c r="R29" s="42">
        <f>COUNTIF(Detalhe!$E:$E,R27)</f>
        <v>57</v>
      </c>
      <c r="S29" s="42">
        <f>COUNTIF(Detalhe!$E:$E,S27)</f>
        <v>10</v>
      </c>
      <c r="T29" s="42">
        <f>COUNTIF(Detalhe!$E:$E,T27)</f>
        <v>151</v>
      </c>
      <c r="U29" s="52"/>
    </row>
    <row r="30" spans="2:21" x14ac:dyDescent="0.3">
      <c r="B30" s="40"/>
      <c r="C30" s="40"/>
      <c r="D30" s="40"/>
      <c r="E30" s="40"/>
      <c r="F30" s="40"/>
      <c r="H30" s="40"/>
      <c r="I30" s="45" t="s">
        <v>771</v>
      </c>
      <c r="J30" s="43" t="str" cm="1">
        <f t="array" ref="J30">_xlfn.IFS(J28&gt;J29, "↑",J28&lt;J29, "↓",J28=J29, "=")</f>
        <v>=</v>
      </c>
      <c r="K30" s="44" t="str" cm="1">
        <f t="array" ref="K30">_xlfn.IFS(K28&gt;K29, "↑",K28&lt;K29, "↓",K28=K29, "=")</f>
        <v>↓</v>
      </c>
      <c r="L30" s="44" t="str" cm="1">
        <f t="array" ref="L30">_xlfn.IFS(L28&gt;L29, "↑",L28&lt;L29, "↓",L28=L29, "=")</f>
        <v>↓</v>
      </c>
      <c r="M30" s="44" t="str" cm="1">
        <f t="array" ref="M30">_xlfn.IFS(M28&gt;M29, "↑",M28&lt;M29, "↓",M28=M29, "=")</f>
        <v>↓</v>
      </c>
      <c r="N30" s="44" t="str" cm="1">
        <f t="array" ref="N30">_xlfn.IFS(N28&gt;N29, "↑",N28&lt;N29, "↓",N28=N29, "=")</f>
        <v>=</v>
      </c>
      <c r="O30" s="44" t="str" cm="1">
        <f t="array" ref="O30">_xlfn.IFS(O28&gt;O29, "↑",O28&lt;O29, "↓",O28=O29, "=")</f>
        <v>↑</v>
      </c>
      <c r="P30" s="44" t="str" cm="1">
        <f t="array" ref="P30">_xlfn.IFS(P28&gt;P29, "↑",P28&lt;P29, "↓",P28=P29, "=")</f>
        <v>↓</v>
      </c>
      <c r="Q30" s="43" t="str" cm="1">
        <f t="array" ref="Q30">_xlfn.IFS(Q28&gt;Q29, "↑",Q28&lt;Q29, "↓",Q28=Q29, "=")</f>
        <v>=</v>
      </c>
      <c r="R30" s="44" t="str" cm="1">
        <f t="array" ref="R30">_xlfn.IFS(R28&gt;R29, "↑",R28&lt;R29, "↓",R28=R29, "=")</f>
        <v>=</v>
      </c>
      <c r="S30" s="43" t="str" cm="1">
        <f t="array" ref="S30">_xlfn.IFS(S28&gt;S29, "↑",S28&lt;S29, "↓",S28=S29, "=")</f>
        <v>=</v>
      </c>
      <c r="T30" s="44" t="str" cm="1">
        <f t="array" ref="T30">_xlfn.IFS(T28&gt;T29, "↑",T28&lt;T29, "↓",T28=T29, "=")</f>
        <v>↑</v>
      </c>
      <c r="U30" s="52"/>
    </row>
    <row r="31" spans="2:21" x14ac:dyDescent="0.3">
      <c r="B31" s="40"/>
      <c r="C31" s="40"/>
      <c r="D31" s="40"/>
      <c r="E31" s="40"/>
      <c r="F31" s="40"/>
      <c r="H31" s="40"/>
      <c r="I31" s="45" t="s">
        <v>749</v>
      </c>
      <c r="J31" s="41">
        <f t="shared" ref="J31:T31" si="0">J28-J29</f>
        <v>0</v>
      </c>
      <c r="K31" s="41">
        <f t="shared" si="0"/>
        <v>-1</v>
      </c>
      <c r="L31" s="41">
        <f t="shared" si="0"/>
        <v>-9</v>
      </c>
      <c r="M31" s="41">
        <f t="shared" si="0"/>
        <v>-3</v>
      </c>
      <c r="N31" s="41">
        <f>N28-N29</f>
        <v>0</v>
      </c>
      <c r="O31" s="41">
        <f t="shared" si="0"/>
        <v>11</v>
      </c>
      <c r="P31" s="41">
        <f t="shared" si="0"/>
        <v>-8</v>
      </c>
      <c r="Q31" s="41">
        <f t="shared" ref="Q31" si="1">Q28-Q29</f>
        <v>0</v>
      </c>
      <c r="R31" s="41">
        <f t="shared" si="0"/>
        <v>0</v>
      </c>
      <c r="S31" s="41">
        <f t="shared" si="0"/>
        <v>0</v>
      </c>
      <c r="T31" s="41">
        <f t="shared" si="0"/>
        <v>10</v>
      </c>
      <c r="U31" s="52"/>
    </row>
    <row r="32" spans="2:21" x14ac:dyDescent="0.3">
      <c r="B32" s="40"/>
      <c r="C32" s="40"/>
      <c r="D32" s="40"/>
      <c r="E32" s="40"/>
      <c r="F32" s="40"/>
      <c r="H32" s="40"/>
      <c r="I32" s="40"/>
      <c r="J32" s="40"/>
      <c r="K32" s="40"/>
      <c r="L32" s="40"/>
      <c r="M32" s="40"/>
      <c r="N32" s="40"/>
      <c r="O32" s="40"/>
      <c r="P32" s="40"/>
      <c r="Q32" s="40"/>
      <c r="R32" s="40"/>
      <c r="S32" s="40"/>
      <c r="T32" s="40"/>
      <c r="U32" s="40"/>
    </row>
    <row r="33" spans="1:13" x14ac:dyDescent="0.3"/>
    <row r="34" spans="1:13" x14ac:dyDescent="0.3">
      <c r="J34" t="s">
        <v>969</v>
      </c>
    </row>
    <row r="35" spans="1:13" hidden="1" x14ac:dyDescent="0.3">
      <c r="C35" s="15">
        <v>45555</v>
      </c>
    </row>
    <row r="36" spans="1:13" s="1" customFormat="1" ht="14.4" hidden="1" customHeight="1" x14ac:dyDescent="0.3">
      <c r="A36"/>
      <c r="B36" s="20" t="s">
        <v>836</v>
      </c>
      <c r="C36" s="20"/>
      <c r="D36" s="20" t="s">
        <v>837</v>
      </c>
      <c r="E36" s="53"/>
      <c r="F36" s="53"/>
      <c r="G36" s="53"/>
      <c r="H36" s="53"/>
      <c r="I36" s="20" t="s">
        <v>838</v>
      </c>
      <c r="J36" s="53"/>
      <c r="K36" s="53"/>
      <c r="L36" s="53"/>
      <c r="M36" s="53"/>
    </row>
    <row r="37" spans="1:13" ht="14.4" hidden="1" customHeight="1" x14ac:dyDescent="0.3">
      <c r="B37" s="91" t="s">
        <v>30</v>
      </c>
      <c r="C37" s="91"/>
      <c r="D37" s="54" t="s">
        <v>840</v>
      </c>
      <c r="E37" s="54"/>
      <c r="F37" s="54"/>
      <c r="G37" s="54"/>
      <c r="H37" s="54"/>
      <c r="I37" s="92" t="s">
        <v>852</v>
      </c>
      <c r="J37" s="92"/>
      <c r="K37" s="92"/>
      <c r="L37" s="92"/>
      <c r="M37" s="92"/>
    </row>
    <row r="38" spans="1:13" ht="14.4" hidden="1" customHeight="1" x14ac:dyDescent="0.3">
      <c r="B38" s="91" t="s">
        <v>32</v>
      </c>
      <c r="C38" s="91"/>
      <c r="D38" t="s">
        <v>839</v>
      </c>
      <c r="I38" s="92" t="s">
        <v>852</v>
      </c>
      <c r="J38" s="92"/>
      <c r="K38" s="92"/>
      <c r="L38" s="92"/>
      <c r="M38" s="92"/>
    </row>
    <row r="39" spans="1:13" ht="14.4" hidden="1" customHeight="1" x14ac:dyDescent="0.3">
      <c r="B39" s="91" t="s">
        <v>148</v>
      </c>
      <c r="C39" s="91"/>
      <c r="D39" t="s">
        <v>841</v>
      </c>
      <c r="E39" s="29"/>
      <c r="F39" s="29"/>
      <c r="G39" s="29"/>
      <c r="H39" s="29"/>
      <c r="I39" t="s">
        <v>853</v>
      </c>
    </row>
    <row r="40" spans="1:13" ht="14.4" hidden="1" customHeight="1" x14ac:dyDescent="0.3">
      <c r="B40" s="91" t="s">
        <v>148</v>
      </c>
      <c r="C40" s="91"/>
      <c r="D40" t="s">
        <v>851</v>
      </c>
      <c r="I40" t="s">
        <v>854</v>
      </c>
    </row>
    <row r="41" spans="1:13" ht="14.4" hidden="1" customHeight="1" x14ac:dyDescent="0.3">
      <c r="B41" s="91" t="s">
        <v>842</v>
      </c>
      <c r="C41" s="91"/>
      <c r="D41" t="s">
        <v>843</v>
      </c>
      <c r="I41" s="29" t="s">
        <v>855</v>
      </c>
    </row>
    <row r="42" spans="1:13" ht="14.4" hidden="1" customHeight="1" x14ac:dyDescent="0.3">
      <c r="B42" s="91" t="s">
        <v>845</v>
      </c>
      <c r="C42" s="91"/>
      <c r="D42" t="s">
        <v>844</v>
      </c>
      <c r="I42" t="s">
        <v>862</v>
      </c>
    </row>
    <row r="43" spans="1:13" ht="14.4" hidden="1" customHeight="1" x14ac:dyDescent="0.3">
      <c r="B43" s="91" t="s">
        <v>33</v>
      </c>
      <c r="C43" s="91"/>
      <c r="D43" t="s">
        <v>861</v>
      </c>
    </row>
    <row r="44" spans="1:13" ht="14.4" hidden="1" customHeight="1" x14ac:dyDescent="0.3">
      <c r="B44" s="91" t="s">
        <v>33</v>
      </c>
      <c r="C44" s="91"/>
      <c r="D44" t="s">
        <v>847</v>
      </c>
    </row>
    <row r="45" spans="1:13" ht="14.4" hidden="1" customHeight="1" x14ac:dyDescent="0.3">
      <c r="B45" s="91" t="s">
        <v>33</v>
      </c>
      <c r="C45" s="91"/>
      <c r="D45" t="s">
        <v>848</v>
      </c>
    </row>
    <row r="46" spans="1:13" ht="14.4" hidden="1" customHeight="1" x14ac:dyDescent="0.3">
      <c r="B46" s="91" t="s">
        <v>33</v>
      </c>
      <c r="C46" s="91"/>
      <c r="D46" t="s">
        <v>849</v>
      </c>
    </row>
    <row r="47" spans="1:13" ht="14.4" hidden="1" customHeight="1" x14ac:dyDescent="0.3">
      <c r="B47" s="91" t="s">
        <v>33</v>
      </c>
      <c r="C47" s="91"/>
      <c r="D47" t="s">
        <v>850</v>
      </c>
    </row>
    <row r="48" spans="1:13" ht="14.4" hidden="1" customHeight="1" x14ac:dyDescent="0.3">
      <c r="B48" s="91"/>
      <c r="C48" s="91"/>
    </row>
    <row r="49" spans="2:10" ht="14.4" customHeight="1" x14ac:dyDescent="0.3">
      <c r="B49" s="91"/>
      <c r="C49" s="91"/>
      <c r="J49" t="s">
        <v>971</v>
      </c>
    </row>
    <row r="50" spans="2:10" ht="14.4" customHeight="1" x14ac:dyDescent="0.3">
      <c r="B50" s="91"/>
      <c r="C50" s="91"/>
      <c r="J50" t="s">
        <v>970</v>
      </c>
    </row>
    <row r="51" spans="2:10" ht="14.4" customHeight="1" x14ac:dyDescent="0.3">
      <c r="B51" s="91"/>
      <c r="C51" s="91"/>
      <c r="J51" t="s">
        <v>972</v>
      </c>
    </row>
    <row r="52" spans="2:10" ht="14.4" customHeight="1" x14ac:dyDescent="0.3">
      <c r="B52" s="91"/>
      <c r="C52" s="91"/>
      <c r="J52" t="s">
        <v>973</v>
      </c>
    </row>
    <row r="53" spans="2:10" ht="14.4" customHeight="1" x14ac:dyDescent="0.3">
      <c r="B53" s="91"/>
      <c r="C53" s="91"/>
      <c r="J53" t="s">
        <v>974</v>
      </c>
    </row>
    <row r="54" spans="2:10" ht="14.4" customHeight="1" x14ac:dyDescent="0.3">
      <c r="J54" t="s">
        <v>975</v>
      </c>
    </row>
  </sheetData>
  <mergeCells count="19">
    <mergeCell ref="B37:C37"/>
    <mergeCell ref="B38:C38"/>
    <mergeCell ref="I37:M37"/>
    <mergeCell ref="I38:M38"/>
    <mergeCell ref="B42:C42"/>
    <mergeCell ref="B43:C43"/>
    <mergeCell ref="B39:C39"/>
    <mergeCell ref="B40:C40"/>
    <mergeCell ref="B41:C41"/>
    <mergeCell ref="B50:C50"/>
    <mergeCell ref="B51:C51"/>
    <mergeCell ref="B52:C52"/>
    <mergeCell ref="B53:C53"/>
    <mergeCell ref="B44:C44"/>
    <mergeCell ref="B45:C45"/>
    <mergeCell ref="B46:C46"/>
    <mergeCell ref="B47:C47"/>
    <mergeCell ref="B48:C48"/>
    <mergeCell ref="B49:C4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26B2-CBFE-4450-8602-2EC5200FB855}">
  <dimension ref="B2:G14"/>
  <sheetViews>
    <sheetView workbookViewId="0">
      <selection activeCell="E14" sqref="E14"/>
    </sheetView>
  </sheetViews>
  <sheetFormatPr defaultRowHeight="14.4" x14ac:dyDescent="0.3"/>
  <cols>
    <col min="2" max="2" width="29" bestFit="1" customWidth="1"/>
    <col min="3" max="3" width="11.109375" bestFit="1" customWidth="1"/>
    <col min="5" max="5" width="10.44140625" bestFit="1" customWidth="1"/>
    <col min="6" max="6" width="13.6640625" customWidth="1"/>
    <col min="7" max="7" width="10.109375" bestFit="1" customWidth="1"/>
    <col min="8" max="8" width="13.21875" bestFit="1" customWidth="1"/>
  </cols>
  <sheetData>
    <row r="2" spans="2:7" x14ac:dyDescent="0.3">
      <c r="B2" t="s">
        <v>752</v>
      </c>
      <c r="C2" t="s">
        <v>750</v>
      </c>
      <c r="E2" t="s">
        <v>751</v>
      </c>
      <c r="F2" t="s">
        <v>769</v>
      </c>
      <c r="G2" t="s">
        <v>749</v>
      </c>
    </row>
    <row r="3" spans="2:7" x14ac:dyDescent="0.3">
      <c r="B3" t="s">
        <v>6</v>
      </c>
      <c r="C3">
        <f>COUNTIFS(Detalhe!E:E,B3,Detalhe!W:W,"PM")</f>
        <v>10</v>
      </c>
      <c r="D3" s="6">
        <f t="shared" ref="D3:D13" si="0">C3/$C$14</f>
        <v>3.8314176245210725E-2</v>
      </c>
      <c r="E3">
        <f>COUNTIFS(Detalhe!K:K,B3,Detalhe!W:W,"PM")</f>
        <v>10</v>
      </c>
      <c r="F3" s="6">
        <f t="shared" ref="F3:F13" si="1">E3/$E$14</f>
        <v>3.8314176245210725E-2</v>
      </c>
      <c r="G3">
        <f t="shared" ref="G3:G13" si="2">E3-C3</f>
        <v>0</v>
      </c>
    </row>
    <row r="4" spans="2:7" x14ac:dyDescent="0.3">
      <c r="B4" t="s">
        <v>10</v>
      </c>
      <c r="C4">
        <f>COUNTIFS(Detalhe!E:E,B4,Detalhe!W:W,"PM")</f>
        <v>18</v>
      </c>
      <c r="D4" s="6">
        <f t="shared" si="0"/>
        <v>6.8965517241379309E-2</v>
      </c>
      <c r="E4">
        <f>COUNTIFS(Detalhe!K:K,B4,Detalhe!W:W,"PM")</f>
        <v>17</v>
      </c>
      <c r="F4" s="6">
        <f t="shared" si="1"/>
        <v>6.5134099616858232E-2</v>
      </c>
      <c r="G4">
        <f t="shared" si="2"/>
        <v>-1</v>
      </c>
    </row>
    <row r="5" spans="2:7" x14ac:dyDescent="0.3">
      <c r="B5" t="s">
        <v>14</v>
      </c>
      <c r="C5">
        <f>COUNTIFS(Detalhe!E:E,B5,Detalhe!W:W,"PM")</f>
        <v>11</v>
      </c>
      <c r="D5" s="6">
        <f t="shared" si="0"/>
        <v>4.2145593869731802E-2</v>
      </c>
      <c r="E5">
        <f>COUNTIFS(Detalhe!K:K,B5,Detalhe!W:W,"PM")</f>
        <v>2</v>
      </c>
      <c r="F5" s="6">
        <f t="shared" si="1"/>
        <v>7.6628352490421452E-3</v>
      </c>
      <c r="G5">
        <f t="shared" si="2"/>
        <v>-9</v>
      </c>
    </row>
    <row r="6" spans="2:7" x14ac:dyDescent="0.3">
      <c r="B6" t="s">
        <v>829</v>
      </c>
      <c r="C6">
        <f>COUNTIFS(Detalhe!E:E,B6,Detalhe!W:W,"PM")</f>
        <v>4</v>
      </c>
      <c r="D6" s="6">
        <f t="shared" si="0"/>
        <v>1.532567049808429E-2</v>
      </c>
      <c r="E6">
        <f>COUNTIFS(Detalhe!K:K,B6,Detalhe!W:W,"PM")</f>
        <v>1</v>
      </c>
      <c r="F6" s="6">
        <f t="shared" si="1"/>
        <v>3.8314176245210726E-3</v>
      </c>
      <c r="G6">
        <f t="shared" si="2"/>
        <v>-3</v>
      </c>
    </row>
    <row r="7" spans="2:7" x14ac:dyDescent="0.3">
      <c r="B7" t="s">
        <v>830</v>
      </c>
      <c r="C7">
        <f>COUNTIFS(Detalhe!E:E,B7,Detalhe!W:W,"PM")</f>
        <v>0</v>
      </c>
      <c r="D7" s="6">
        <f t="shared" si="0"/>
        <v>0</v>
      </c>
      <c r="E7">
        <f>COUNTIFS(Detalhe!K:K,B7,Detalhe!W:W,"PM")</f>
        <v>0</v>
      </c>
      <c r="F7" s="6">
        <f t="shared" si="1"/>
        <v>0</v>
      </c>
      <c r="G7">
        <f t="shared" si="2"/>
        <v>0</v>
      </c>
    </row>
    <row r="8" spans="2:7" x14ac:dyDescent="0.3">
      <c r="B8" t="s">
        <v>831</v>
      </c>
      <c r="C8">
        <f>COUNTIFS(Detalhe!E:E,B8,Detalhe!W:W,"PM")</f>
        <v>11</v>
      </c>
      <c r="D8" s="6">
        <f t="shared" si="0"/>
        <v>4.2145593869731802E-2</v>
      </c>
      <c r="E8">
        <f>COUNTIFS(Detalhe!K:K,B8,Detalhe!W:W,"PM")</f>
        <v>22</v>
      </c>
      <c r="F8" s="6">
        <f t="shared" si="1"/>
        <v>8.4291187739463605E-2</v>
      </c>
      <c r="G8">
        <f t="shared" si="2"/>
        <v>11</v>
      </c>
    </row>
    <row r="9" spans="2:7" x14ac:dyDescent="0.3">
      <c r="B9" t="s">
        <v>832</v>
      </c>
      <c r="C9">
        <f>COUNTIFS(Detalhe!E:E,B9,Detalhe!W:W,"PM")</f>
        <v>11</v>
      </c>
      <c r="D9" s="6">
        <f t="shared" si="0"/>
        <v>4.2145593869731802E-2</v>
      </c>
      <c r="E9">
        <f>COUNTIFS(Detalhe!K:K,B9,Detalhe!W:W,"PM")</f>
        <v>3</v>
      </c>
      <c r="F9" s="6">
        <f t="shared" si="1"/>
        <v>1.1494252873563218E-2</v>
      </c>
      <c r="G9">
        <f t="shared" si="2"/>
        <v>-8</v>
      </c>
    </row>
    <row r="10" spans="2:7" x14ac:dyDescent="0.3">
      <c r="B10" t="s">
        <v>833</v>
      </c>
      <c r="C10">
        <f>COUNTIFS(Detalhe!E:E,B10,Detalhe!W:W,"PM")</f>
        <v>0</v>
      </c>
      <c r="D10" s="6">
        <f t="shared" ref="D10" si="3">C10/$C$14</f>
        <v>0</v>
      </c>
      <c r="E10">
        <f>COUNTIFS(Detalhe!K:K,B10,Detalhe!W:W,"PM")</f>
        <v>0</v>
      </c>
      <c r="F10" s="6">
        <f t="shared" ref="F10" si="4">E10/$E$14</f>
        <v>0</v>
      </c>
      <c r="G10">
        <f t="shared" ref="G10" si="5">E10-C10</f>
        <v>0</v>
      </c>
    </row>
    <row r="11" spans="2:7" x14ac:dyDescent="0.3">
      <c r="B11" t="s">
        <v>21</v>
      </c>
      <c r="C11">
        <f>COUNTIFS(Detalhe!E:E,B11,Detalhe!W:W,"PM")</f>
        <v>42</v>
      </c>
      <c r="D11" s="6">
        <f t="shared" si="0"/>
        <v>0.16091954022988506</v>
      </c>
      <c r="E11">
        <f>COUNTIFS(Detalhe!K:K,B11,Detalhe!W:W,"PM")</f>
        <v>42</v>
      </c>
      <c r="F11" s="6">
        <f t="shared" si="1"/>
        <v>0.16091954022988506</v>
      </c>
      <c r="G11">
        <f t="shared" si="2"/>
        <v>0</v>
      </c>
    </row>
    <row r="12" spans="2:7" x14ac:dyDescent="0.3">
      <c r="B12" t="s">
        <v>23</v>
      </c>
      <c r="C12">
        <f>COUNTIFS(Detalhe!E:E,B12,Detalhe!W:W,"PM")</f>
        <v>7</v>
      </c>
      <c r="D12" s="6">
        <f t="shared" si="0"/>
        <v>2.681992337164751E-2</v>
      </c>
      <c r="E12">
        <f>COUNTIFS(Detalhe!K:K,B12,Detalhe!W:W,"PM")</f>
        <v>7</v>
      </c>
      <c r="F12" s="6">
        <f t="shared" si="1"/>
        <v>2.681992337164751E-2</v>
      </c>
      <c r="G12">
        <f t="shared" si="2"/>
        <v>0</v>
      </c>
    </row>
    <row r="13" spans="2:7" x14ac:dyDescent="0.3">
      <c r="B13" t="s">
        <v>24</v>
      </c>
      <c r="C13">
        <f>COUNTIFS(Detalhe!E:E,B13,Detalhe!W:W,"PM")</f>
        <v>147</v>
      </c>
      <c r="D13" s="6">
        <f t="shared" si="0"/>
        <v>0.56321839080459768</v>
      </c>
      <c r="E13">
        <f>COUNTIFS(Detalhe!K:K,B13,Detalhe!W:W,"PM")</f>
        <v>157</v>
      </c>
      <c r="F13" s="6">
        <f t="shared" si="1"/>
        <v>0.6015325670498084</v>
      </c>
      <c r="G13">
        <f t="shared" si="2"/>
        <v>10</v>
      </c>
    </row>
    <row r="14" spans="2:7" x14ac:dyDescent="0.3">
      <c r="C14">
        <f>SUM(C3:C13)</f>
        <v>261</v>
      </c>
      <c r="E14">
        <f>SUM(E3:E13)</f>
        <v>261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F3F0-FFBE-43CB-92FC-94D3DF7D83DD}">
  <dimension ref="A1:AH48"/>
  <sheetViews>
    <sheetView showGridLines="0" tabSelected="1" topLeftCell="F19" zoomScale="70" zoomScaleNormal="104" workbookViewId="0">
      <selection activeCell="J44" sqref="J44"/>
    </sheetView>
  </sheetViews>
  <sheetFormatPr defaultColWidth="0" defaultRowHeight="14.4" customHeight="1" x14ac:dyDescent="0.3"/>
  <cols>
    <col min="1" max="1" width="3.21875" customWidth="1"/>
    <col min="2" max="2" width="7.5546875" customWidth="1"/>
    <col min="3" max="3" width="22.6640625" customWidth="1"/>
    <col min="4" max="4" width="8.88671875" customWidth="1"/>
    <col min="5" max="5" width="24.109375" customWidth="1"/>
    <col min="6" max="6" width="11.44140625" customWidth="1"/>
    <col min="7" max="7" width="5.6640625" customWidth="1"/>
    <col min="8" max="8" width="3.33203125" customWidth="1"/>
    <col min="9" max="9" width="36.6640625" bestFit="1" customWidth="1"/>
    <col min="10" max="20" width="19.88671875" customWidth="1"/>
    <col min="21" max="22" width="3.33203125" customWidth="1"/>
    <col min="23" max="23" width="13.5546875" hidden="1" customWidth="1"/>
    <col min="24" max="24" width="22.77734375" hidden="1" customWidth="1"/>
    <col min="25" max="25" width="18.109375" hidden="1" customWidth="1"/>
    <col min="26" max="34" width="0" hidden="1" customWidth="1"/>
    <col min="35" max="16384" width="8.88671875" hidden="1"/>
  </cols>
  <sheetData>
    <row r="1" spans="1:32" ht="15" customHeight="1" x14ac:dyDescent="0.3">
      <c r="B1" s="1"/>
      <c r="C1" s="1"/>
      <c r="E1" s="1"/>
      <c r="F1" s="1"/>
      <c r="G1" s="1"/>
      <c r="H1" s="1"/>
      <c r="I1" s="1"/>
      <c r="J1" s="1"/>
      <c r="K1" s="1"/>
      <c r="L1" s="1"/>
      <c r="M1" s="1"/>
      <c r="N1" s="1"/>
      <c r="O1" s="13"/>
      <c r="P1" s="1"/>
      <c r="Q1" s="1"/>
      <c r="R1" s="1"/>
      <c r="S1" s="1"/>
      <c r="T1" s="1"/>
      <c r="U1" s="1"/>
      <c r="V1" s="1"/>
      <c r="W1" s="1"/>
      <c r="X1" s="1"/>
      <c r="Y1" s="1"/>
      <c r="Z1" s="1"/>
      <c r="AA1" s="1"/>
      <c r="AB1" s="1"/>
      <c r="AC1" s="1"/>
      <c r="AD1" s="1"/>
      <c r="AE1" s="1"/>
    </row>
    <row r="2" spans="1:32" ht="34.5" customHeight="1" x14ac:dyDescent="0.3">
      <c r="B2" s="1"/>
      <c r="C2" s="1"/>
      <c r="E2" s="1"/>
      <c r="F2" s="1"/>
      <c r="G2" s="1"/>
      <c r="H2" s="1"/>
      <c r="I2" s="1"/>
      <c r="J2" s="1"/>
      <c r="K2" s="1"/>
      <c r="L2" s="1"/>
      <c r="M2" s="1"/>
      <c r="N2" s="1"/>
      <c r="O2" s="13"/>
      <c r="P2" s="1"/>
      <c r="Q2" s="1"/>
      <c r="R2" s="1"/>
      <c r="S2" s="1"/>
      <c r="T2" s="1"/>
      <c r="U2" s="1"/>
      <c r="V2" s="1"/>
      <c r="W2" s="1"/>
      <c r="X2" s="1"/>
      <c r="Y2" s="1"/>
      <c r="Z2" s="1"/>
      <c r="AA2" s="1"/>
      <c r="AB2" s="4"/>
      <c r="AC2" s="1"/>
      <c r="AD2" s="1"/>
      <c r="AE2" s="1"/>
      <c r="AF2" s="1"/>
    </row>
    <row r="3" spans="1:32" ht="2.25" customHeight="1" x14ac:dyDescent="0.3">
      <c r="A3" s="5"/>
      <c r="B3" s="5"/>
      <c r="C3" s="5"/>
      <c r="D3" s="5"/>
      <c r="E3" s="5"/>
      <c r="F3" s="5"/>
      <c r="G3" s="5"/>
      <c r="H3" s="5"/>
      <c r="I3" s="5"/>
      <c r="J3" s="5"/>
      <c r="K3" s="5"/>
      <c r="L3" s="5"/>
      <c r="M3" s="5"/>
      <c r="N3" s="5"/>
      <c r="O3" s="14"/>
      <c r="P3" s="5"/>
      <c r="Q3" s="5"/>
      <c r="R3" s="5"/>
      <c r="S3" s="5"/>
      <c r="T3" s="5"/>
      <c r="U3" s="5"/>
      <c r="V3" s="5"/>
      <c r="W3" s="5"/>
      <c r="X3" s="5"/>
      <c r="Y3" s="5"/>
      <c r="Z3" s="5"/>
      <c r="AA3" s="5"/>
      <c r="AB3" s="5"/>
      <c r="AC3" s="5"/>
      <c r="AD3" s="5"/>
      <c r="AE3" s="5"/>
      <c r="AF3" s="5"/>
    </row>
    <row r="4" spans="1:32" ht="15" customHeight="1" x14ac:dyDescent="0.3">
      <c r="B4" s="1"/>
      <c r="C4" s="1"/>
      <c r="E4" s="1"/>
      <c r="F4" s="1"/>
      <c r="G4" s="1"/>
      <c r="H4" s="1"/>
      <c r="I4" s="1"/>
      <c r="J4" s="1"/>
      <c r="K4" s="1"/>
      <c r="L4" s="1"/>
      <c r="M4" s="1"/>
      <c r="N4" s="1"/>
      <c r="O4" s="13"/>
      <c r="P4" s="1"/>
      <c r="Q4" s="1"/>
      <c r="R4" s="1"/>
      <c r="S4" s="1"/>
      <c r="T4" s="1"/>
      <c r="U4" s="1"/>
      <c r="V4" s="1"/>
      <c r="W4" s="1"/>
      <c r="X4" s="1"/>
      <c r="Y4" s="1"/>
      <c r="Z4" s="1"/>
      <c r="AA4" s="1"/>
      <c r="AB4" s="1"/>
      <c r="AC4" s="1"/>
      <c r="AD4" s="1"/>
      <c r="AE4" s="1"/>
      <c r="AF4" s="1"/>
    </row>
    <row r="5" spans="1:32" x14ac:dyDescent="0.3">
      <c r="B5" s="40"/>
      <c r="C5" s="40"/>
      <c r="D5" s="40"/>
      <c r="E5" s="40"/>
      <c r="F5" s="40"/>
      <c r="H5" s="40"/>
      <c r="I5" s="40"/>
      <c r="J5" s="40"/>
      <c r="K5" s="40"/>
      <c r="L5" s="40"/>
      <c r="M5" s="40"/>
      <c r="N5" s="40"/>
      <c r="O5" s="40"/>
      <c r="P5" s="40"/>
      <c r="Q5" s="40"/>
      <c r="R5" s="40"/>
      <c r="S5" s="40"/>
      <c r="T5" s="40"/>
      <c r="U5" s="40"/>
    </row>
    <row r="6" spans="1:32" x14ac:dyDescent="0.3">
      <c r="B6" s="40"/>
      <c r="C6" s="40"/>
      <c r="D6" s="40"/>
      <c r="E6" s="40"/>
      <c r="F6" s="40"/>
      <c r="H6" s="40"/>
      <c r="I6" s="40"/>
      <c r="J6" s="40"/>
      <c r="K6" s="40"/>
      <c r="L6" s="40"/>
      <c r="M6" s="40"/>
      <c r="N6" s="40"/>
      <c r="O6" s="40"/>
      <c r="P6" s="40"/>
      <c r="Q6" s="40"/>
      <c r="R6" s="40"/>
      <c r="S6" s="40"/>
      <c r="T6" s="40"/>
      <c r="U6" s="40"/>
    </row>
    <row r="7" spans="1:32" x14ac:dyDescent="0.3">
      <c r="B7" s="40"/>
      <c r="C7" s="40"/>
      <c r="D7" s="40"/>
      <c r="E7" s="40"/>
      <c r="F7" s="40"/>
      <c r="H7" s="40"/>
      <c r="I7" s="40"/>
      <c r="J7" s="40"/>
      <c r="K7" s="40"/>
      <c r="L7" s="40"/>
      <c r="M7" s="40"/>
      <c r="N7" s="40"/>
      <c r="O7" s="40"/>
      <c r="P7" s="40"/>
      <c r="Q7" s="40"/>
      <c r="R7" s="40"/>
      <c r="S7" s="40"/>
      <c r="T7" s="40"/>
      <c r="U7" s="40"/>
    </row>
    <row r="8" spans="1:32" x14ac:dyDescent="0.3">
      <c r="B8" s="46">
        <v>2</v>
      </c>
      <c r="C8" s="46" t="s">
        <v>26</v>
      </c>
      <c r="D8" s="46">
        <v>11</v>
      </c>
      <c r="E8" s="46" t="s">
        <v>26</v>
      </c>
      <c r="F8" s="46"/>
      <c r="H8" s="40"/>
      <c r="I8" s="40"/>
      <c r="J8" s="40"/>
      <c r="K8" s="40"/>
      <c r="L8" s="40"/>
      <c r="M8" s="40"/>
      <c r="N8" s="40"/>
      <c r="O8" s="40"/>
      <c r="P8" s="40"/>
      <c r="Q8" s="40"/>
      <c r="R8" s="40"/>
      <c r="S8" s="40"/>
      <c r="T8" s="40"/>
      <c r="U8" s="40"/>
    </row>
    <row r="9" spans="1:32" x14ac:dyDescent="0.3">
      <c r="B9" s="40"/>
      <c r="C9" s="47" t="s">
        <v>32</v>
      </c>
      <c r="D9" s="40"/>
      <c r="E9" s="46" t="s">
        <v>865</v>
      </c>
      <c r="F9" s="47"/>
      <c r="H9" s="40"/>
      <c r="I9" s="40"/>
      <c r="J9" s="40"/>
      <c r="K9" s="40"/>
      <c r="L9" s="40"/>
      <c r="M9" s="40"/>
      <c r="N9" s="40"/>
      <c r="O9" s="40"/>
      <c r="P9" s="40"/>
      <c r="Q9" s="40"/>
      <c r="R9" s="40"/>
      <c r="S9" s="40"/>
      <c r="T9" s="40"/>
      <c r="U9" s="40"/>
    </row>
    <row r="10" spans="1:32" x14ac:dyDescent="0.3">
      <c r="B10" s="46"/>
      <c r="C10" s="47" t="s">
        <v>30</v>
      </c>
      <c r="D10" s="40"/>
      <c r="E10" s="47" t="s">
        <v>264</v>
      </c>
      <c r="F10" s="47"/>
      <c r="H10" s="40"/>
      <c r="I10" s="40"/>
      <c r="J10" s="40"/>
      <c r="K10" s="40"/>
      <c r="L10" s="40"/>
      <c r="M10" s="40"/>
      <c r="N10" s="40"/>
      <c r="O10" s="40"/>
      <c r="P10" s="40"/>
      <c r="Q10" s="40"/>
      <c r="R10" s="40"/>
      <c r="S10" s="40"/>
      <c r="T10" s="40"/>
      <c r="U10" s="40"/>
    </row>
    <row r="11" spans="1:32" x14ac:dyDescent="0.3">
      <c r="B11" s="40"/>
      <c r="C11" s="47"/>
      <c r="D11" s="40"/>
      <c r="E11" s="47" t="s">
        <v>359</v>
      </c>
      <c r="F11" s="47"/>
      <c r="H11" s="40"/>
      <c r="I11" s="40"/>
      <c r="J11" s="40"/>
      <c r="K11" s="40"/>
      <c r="L11" s="40"/>
      <c r="M11" s="40"/>
      <c r="N11" s="40"/>
      <c r="O11" s="40"/>
      <c r="P11" s="40"/>
      <c r="Q11" s="40"/>
      <c r="R11" s="40"/>
      <c r="S11" s="40"/>
      <c r="T11" s="40"/>
      <c r="U11" s="40"/>
    </row>
    <row r="12" spans="1:32" x14ac:dyDescent="0.3">
      <c r="B12" s="40"/>
      <c r="C12" s="47"/>
      <c r="D12" s="40"/>
      <c r="E12" s="47" t="s">
        <v>266</v>
      </c>
      <c r="F12" s="40"/>
      <c r="H12" s="40"/>
      <c r="I12" s="40"/>
      <c r="J12" s="40"/>
      <c r="K12" s="40"/>
      <c r="L12" s="40"/>
      <c r="M12" s="40"/>
      <c r="N12" s="40"/>
      <c r="O12" s="40"/>
      <c r="P12" s="40"/>
      <c r="Q12" s="40"/>
      <c r="R12" s="40"/>
      <c r="S12" s="40"/>
      <c r="T12" s="40"/>
      <c r="U12" s="40"/>
    </row>
    <row r="13" spans="1:32" x14ac:dyDescent="0.3">
      <c r="B13" s="40"/>
      <c r="C13" s="40"/>
      <c r="D13" s="40"/>
      <c r="E13" s="47" t="s">
        <v>361</v>
      </c>
      <c r="F13" s="40"/>
      <c r="H13" s="40"/>
      <c r="I13" s="40"/>
      <c r="J13" s="40"/>
      <c r="K13" s="40"/>
      <c r="L13" s="40"/>
      <c r="M13" s="40"/>
      <c r="N13" s="40"/>
      <c r="O13" s="40"/>
      <c r="P13" s="40"/>
      <c r="Q13" s="40"/>
      <c r="R13" s="40"/>
      <c r="S13" s="40"/>
      <c r="T13" s="40"/>
      <c r="U13" s="40"/>
    </row>
    <row r="14" spans="1:32" x14ac:dyDescent="0.3">
      <c r="B14" s="40"/>
      <c r="C14" s="40"/>
      <c r="D14" s="40"/>
      <c r="E14" s="47" t="s">
        <v>135</v>
      </c>
      <c r="F14" s="40"/>
      <c r="H14" s="40"/>
      <c r="I14" s="40"/>
      <c r="J14" s="40"/>
      <c r="K14" s="40"/>
      <c r="L14" s="40"/>
      <c r="M14" s="40"/>
      <c r="N14" s="40"/>
      <c r="O14" s="40"/>
      <c r="P14" s="40"/>
      <c r="Q14" s="40"/>
      <c r="R14" s="40"/>
      <c r="S14" s="40"/>
      <c r="T14" s="40"/>
      <c r="U14" s="40"/>
    </row>
    <row r="15" spans="1:32" x14ac:dyDescent="0.3">
      <c r="B15" s="40"/>
      <c r="C15" s="46"/>
      <c r="D15" s="40"/>
      <c r="E15" s="47" t="s">
        <v>138</v>
      </c>
      <c r="F15" s="40"/>
      <c r="H15" s="40"/>
      <c r="I15" s="40"/>
      <c r="J15" s="40"/>
      <c r="K15" s="40"/>
      <c r="L15" s="40"/>
      <c r="M15" s="40"/>
      <c r="N15" s="40"/>
      <c r="O15" s="40"/>
      <c r="P15" s="40"/>
      <c r="Q15" s="40"/>
      <c r="R15" s="40"/>
      <c r="S15" s="40"/>
      <c r="T15" s="40"/>
      <c r="U15" s="40"/>
    </row>
    <row r="16" spans="1:32" x14ac:dyDescent="0.3">
      <c r="B16" s="40"/>
      <c r="C16" s="47"/>
      <c r="D16" s="40"/>
      <c r="E16" s="47" t="s">
        <v>141</v>
      </c>
      <c r="F16" s="46"/>
      <c r="H16" s="40"/>
      <c r="I16" s="40"/>
      <c r="J16" s="40"/>
      <c r="K16" s="40"/>
      <c r="L16" s="40"/>
      <c r="M16" s="40"/>
      <c r="N16" s="40"/>
      <c r="O16" s="40"/>
      <c r="P16" s="40"/>
      <c r="Q16" s="40"/>
      <c r="R16" s="40"/>
      <c r="S16" s="40"/>
      <c r="T16" s="40"/>
      <c r="U16" s="40"/>
    </row>
    <row r="17" spans="2:21" x14ac:dyDescent="0.3">
      <c r="B17" s="40"/>
      <c r="C17" s="47"/>
      <c r="D17" s="40"/>
      <c r="E17" s="47" t="s">
        <v>170</v>
      </c>
      <c r="F17" s="47"/>
      <c r="H17" s="40"/>
      <c r="I17" s="40"/>
      <c r="J17" s="40"/>
      <c r="K17" s="40"/>
      <c r="L17" s="40"/>
      <c r="M17" s="40"/>
      <c r="N17" s="40"/>
      <c r="O17" s="40"/>
      <c r="P17" s="40"/>
      <c r="Q17" s="40"/>
      <c r="R17" s="40"/>
      <c r="S17" s="40"/>
      <c r="T17" s="40"/>
      <c r="U17" s="40"/>
    </row>
    <row r="18" spans="2:21" x14ac:dyDescent="0.3">
      <c r="B18" s="40"/>
      <c r="C18" s="47"/>
      <c r="D18" s="40"/>
      <c r="E18" s="47" t="s">
        <v>172</v>
      </c>
      <c r="F18" s="47"/>
      <c r="H18" s="40"/>
      <c r="I18" s="40"/>
      <c r="J18" s="40"/>
      <c r="K18" s="40"/>
      <c r="L18" s="40"/>
      <c r="M18" s="40"/>
      <c r="N18" s="40"/>
      <c r="O18" s="40"/>
      <c r="P18" s="40"/>
      <c r="Q18" s="40"/>
      <c r="R18" s="40"/>
      <c r="S18" s="40"/>
      <c r="T18" s="40"/>
      <c r="U18" s="40"/>
    </row>
    <row r="19" spans="2:21" x14ac:dyDescent="0.3">
      <c r="B19" s="40"/>
      <c r="C19" s="47"/>
      <c r="D19" s="40"/>
      <c r="E19" s="47" t="s">
        <v>186</v>
      </c>
      <c r="F19" s="47"/>
      <c r="H19" s="40"/>
      <c r="I19" s="40"/>
      <c r="J19" s="40"/>
      <c r="K19" s="40"/>
      <c r="L19" s="40"/>
      <c r="M19" s="40"/>
      <c r="N19" s="40"/>
      <c r="O19" s="40"/>
      <c r="P19" s="40"/>
      <c r="Q19" s="40"/>
      <c r="R19" s="40"/>
      <c r="S19" s="40"/>
      <c r="T19" s="40"/>
      <c r="U19" s="40"/>
    </row>
    <row r="20" spans="2:21" x14ac:dyDescent="0.3">
      <c r="B20" s="40"/>
      <c r="C20" s="47"/>
      <c r="D20" s="40"/>
      <c r="E20" s="47" t="s">
        <v>188</v>
      </c>
      <c r="F20" s="47"/>
      <c r="H20" s="40"/>
      <c r="I20" s="40"/>
      <c r="J20" s="40"/>
      <c r="K20" s="40"/>
      <c r="L20" s="40"/>
      <c r="M20" s="40"/>
      <c r="N20" s="40"/>
      <c r="O20" s="40"/>
      <c r="P20" s="40"/>
      <c r="Q20" s="40"/>
      <c r="R20" s="40"/>
      <c r="S20" s="40"/>
      <c r="T20" s="40"/>
      <c r="U20" s="40"/>
    </row>
    <row r="21" spans="2:21" x14ac:dyDescent="0.3">
      <c r="B21" s="40"/>
      <c r="C21" s="40"/>
      <c r="D21" s="40"/>
      <c r="E21" s="40"/>
      <c r="F21" s="47"/>
      <c r="H21" s="40"/>
      <c r="I21" s="40"/>
      <c r="J21" s="40"/>
      <c r="K21" s="40"/>
      <c r="L21" s="40"/>
      <c r="M21" s="40"/>
      <c r="N21" s="40"/>
      <c r="O21" s="40"/>
      <c r="P21" s="40"/>
      <c r="Q21" s="40"/>
      <c r="R21" s="40"/>
      <c r="S21" s="40"/>
      <c r="T21" s="40"/>
      <c r="U21" s="40"/>
    </row>
    <row r="22" spans="2:21" x14ac:dyDescent="0.3">
      <c r="B22" s="40"/>
      <c r="C22" s="40"/>
      <c r="D22" s="40"/>
      <c r="E22" s="47"/>
      <c r="F22" s="47"/>
      <c r="H22" s="40"/>
      <c r="I22" s="40"/>
      <c r="J22" s="40"/>
      <c r="K22" s="40"/>
      <c r="L22" s="40"/>
      <c r="M22" s="40"/>
      <c r="N22" s="40"/>
      <c r="O22" s="40"/>
      <c r="P22" s="40"/>
      <c r="Q22" s="40"/>
      <c r="R22" s="40"/>
      <c r="S22" s="40"/>
      <c r="T22" s="40"/>
      <c r="U22" s="40"/>
    </row>
    <row r="23" spans="2:21" x14ac:dyDescent="0.3">
      <c r="B23" s="40"/>
      <c r="C23" s="40"/>
      <c r="D23" s="40"/>
      <c r="E23" s="40"/>
      <c r="F23" s="40"/>
      <c r="H23" s="40"/>
      <c r="I23" s="40"/>
      <c r="J23" s="40"/>
      <c r="K23" s="40"/>
      <c r="L23" s="40"/>
      <c r="M23" s="40"/>
      <c r="N23" s="40"/>
      <c r="O23" s="40"/>
      <c r="P23" s="40"/>
      <c r="Q23" s="40"/>
      <c r="R23" s="40"/>
      <c r="S23" s="40"/>
      <c r="T23" s="40"/>
      <c r="U23" s="40"/>
    </row>
    <row r="24" spans="2:21" x14ac:dyDescent="0.3">
      <c r="B24" s="40"/>
      <c r="C24" s="40"/>
      <c r="D24" s="40"/>
      <c r="E24" s="40"/>
      <c r="F24" s="40"/>
      <c r="H24" s="40"/>
      <c r="I24" s="40"/>
      <c r="J24" s="40"/>
      <c r="K24" s="40"/>
      <c r="L24" s="40"/>
      <c r="M24" s="40"/>
      <c r="N24" s="40"/>
      <c r="O24" s="40"/>
      <c r="P24" s="40"/>
      <c r="Q24" s="40"/>
      <c r="R24" s="40"/>
      <c r="S24" s="40"/>
      <c r="T24" s="40"/>
      <c r="U24" s="40"/>
    </row>
    <row r="25" spans="2:21" x14ac:dyDescent="0.3">
      <c r="B25" s="40"/>
      <c r="C25" s="40"/>
      <c r="D25" s="40"/>
      <c r="E25" s="40"/>
      <c r="F25" s="40"/>
      <c r="H25" s="40"/>
      <c r="I25" s="40"/>
      <c r="J25" s="40"/>
      <c r="K25" s="40"/>
      <c r="L25" s="40"/>
      <c r="M25" s="40"/>
      <c r="N25" s="40"/>
      <c r="O25" s="40"/>
      <c r="P25" s="40"/>
      <c r="Q25" s="40"/>
      <c r="R25" s="40"/>
      <c r="S25" s="40"/>
      <c r="T25" s="40"/>
      <c r="U25" s="40"/>
    </row>
    <row r="26" spans="2:21" x14ac:dyDescent="0.3">
      <c r="B26" s="40"/>
      <c r="C26" s="40"/>
      <c r="D26" s="40"/>
      <c r="E26" s="40"/>
      <c r="F26" s="40"/>
      <c r="H26" s="40"/>
      <c r="I26" s="40"/>
      <c r="J26" s="40"/>
      <c r="K26" s="40"/>
      <c r="L26" s="40"/>
      <c r="M26" s="40"/>
      <c r="N26" s="40"/>
      <c r="O26" s="40"/>
      <c r="P26" s="40"/>
      <c r="Q26" s="40"/>
      <c r="R26" s="40"/>
      <c r="S26" s="40"/>
      <c r="T26" s="40"/>
      <c r="U26" s="40"/>
    </row>
    <row r="27" spans="2:21" ht="43.2" x14ac:dyDescent="0.3">
      <c r="B27" s="40"/>
      <c r="C27" s="40"/>
      <c r="D27" s="40"/>
      <c r="E27" s="40"/>
      <c r="F27" s="40"/>
      <c r="H27" s="40"/>
      <c r="I27" s="40"/>
      <c r="J27" s="49" t="s">
        <v>6</v>
      </c>
      <c r="K27" s="49" t="s">
        <v>10</v>
      </c>
      <c r="L27" s="49" t="s">
        <v>14</v>
      </c>
      <c r="M27" s="49" t="s">
        <v>829</v>
      </c>
      <c r="N27" s="49" t="s">
        <v>830</v>
      </c>
      <c r="O27" s="49" t="s">
        <v>831</v>
      </c>
      <c r="P27" s="49" t="s">
        <v>832</v>
      </c>
      <c r="Q27" s="49" t="s">
        <v>833</v>
      </c>
      <c r="R27" s="49" t="s">
        <v>21</v>
      </c>
      <c r="S27" s="49" t="s">
        <v>23</v>
      </c>
      <c r="T27" s="49" t="s">
        <v>24</v>
      </c>
      <c r="U27" s="50"/>
    </row>
    <row r="28" spans="2:21" x14ac:dyDescent="0.3">
      <c r="B28" s="40"/>
      <c r="C28" s="40"/>
      <c r="D28" s="40"/>
      <c r="E28" s="40"/>
      <c r="F28" s="40"/>
      <c r="H28" s="40"/>
      <c r="I28" s="45" t="s">
        <v>751</v>
      </c>
      <c r="J28" s="41">
        <f>COUNTIFS(Detalhe!$K:$K,J27,Detalhe!$W:$W,"PM")</f>
        <v>10</v>
      </c>
      <c r="K28" s="41">
        <f>COUNTIFS(Detalhe!$K:$K,K27,Detalhe!$W:$W,"PM")</f>
        <v>17</v>
      </c>
      <c r="L28" s="41">
        <f>COUNTIFS(Detalhe!$K:$K,L27,Detalhe!$W:$W,"PM")</f>
        <v>2</v>
      </c>
      <c r="M28" s="41">
        <f>COUNTIFS(Detalhe!$K:$K,M27,Detalhe!$W:$W,"PM")</f>
        <v>1</v>
      </c>
      <c r="N28" s="41">
        <f>COUNTIFS(Detalhe!$K:$K,N27,Detalhe!$W:$W,"PM")</f>
        <v>0</v>
      </c>
      <c r="O28" s="41">
        <f>COUNTIFS(Detalhe!$K:$K,O27,Detalhe!$W:$W,"PM")</f>
        <v>22</v>
      </c>
      <c r="P28" s="41">
        <f>COUNTIFS(Detalhe!$K:$K,P27,Detalhe!$W:$W,"PM")</f>
        <v>3</v>
      </c>
      <c r="Q28" s="41">
        <f>COUNTIFS(Detalhe!$K:$K,Q27,Detalhe!$W:$W,"PM")</f>
        <v>0</v>
      </c>
      <c r="R28" s="41">
        <f>COUNTIFS(Detalhe!$K:$K,R27,Detalhe!$W:$W,"PM")</f>
        <v>42</v>
      </c>
      <c r="S28" s="41">
        <f>COUNTIFS(Detalhe!$K:$K,S27,Detalhe!$W:$W,"PM")</f>
        <v>7</v>
      </c>
      <c r="T28" s="41">
        <f>COUNTIFS(Detalhe!$K:$K,T27,Detalhe!$W:$W,"PM")</f>
        <v>157</v>
      </c>
      <c r="U28" s="51"/>
    </row>
    <row r="29" spans="2:21" x14ac:dyDescent="0.3">
      <c r="B29" s="40"/>
      <c r="C29" s="40"/>
      <c r="D29" s="40"/>
      <c r="E29" s="40"/>
      <c r="F29" s="40"/>
      <c r="H29" s="40"/>
      <c r="I29" s="45" t="s">
        <v>834</v>
      </c>
      <c r="J29" s="42">
        <f>COUNTIFS(Detalhe!$E:$E,J27,Detalhe!$W:$W,"PM")</f>
        <v>10</v>
      </c>
      <c r="K29" s="42">
        <f>COUNTIFS(Detalhe!$E:$E,K27,Detalhe!$W:$W,"PM")</f>
        <v>18</v>
      </c>
      <c r="L29" s="42">
        <f>COUNTIFS(Detalhe!$E:$E,L27,Detalhe!$W:$W,"PM")</f>
        <v>11</v>
      </c>
      <c r="M29" s="42">
        <f>COUNTIFS(Detalhe!$E:$E,M27,Detalhe!$W:$W,"PM")</f>
        <v>4</v>
      </c>
      <c r="N29" s="42">
        <f>COUNTIFS(Detalhe!$E:$E,N27,Detalhe!$W:$W,"PM")</f>
        <v>0</v>
      </c>
      <c r="O29" s="42">
        <f>COUNTIFS(Detalhe!$E:$E,O27,Detalhe!$W:$W,"PM")</f>
        <v>11</v>
      </c>
      <c r="P29" s="42">
        <f>COUNTIFS(Detalhe!$E:$E,P27,Detalhe!$W:$W,"PM")</f>
        <v>11</v>
      </c>
      <c r="Q29" s="42">
        <f>COUNTIFS(Detalhe!$E:$E,Q27,Detalhe!$W:$W,"PM")</f>
        <v>0</v>
      </c>
      <c r="R29" s="42">
        <f>COUNTIFS(Detalhe!$E:$E,R27,Detalhe!$W:$W,"PM")</f>
        <v>42</v>
      </c>
      <c r="S29" s="42">
        <f>COUNTIFS(Detalhe!$E:$E,S27,Detalhe!$W:$W,"PM")</f>
        <v>7</v>
      </c>
      <c r="T29" s="42">
        <f>COUNTIFS(Detalhe!$E:$E,T27,Detalhe!$W:$W,"PM")</f>
        <v>147</v>
      </c>
      <c r="U29" s="52"/>
    </row>
    <row r="30" spans="2:21" x14ac:dyDescent="0.3">
      <c r="B30" s="40"/>
      <c r="C30" s="40"/>
      <c r="D30" s="40"/>
      <c r="E30" s="40"/>
      <c r="F30" s="40"/>
      <c r="H30" s="40"/>
      <c r="I30" s="45" t="s">
        <v>771</v>
      </c>
      <c r="J30" s="43" t="str" cm="1">
        <f t="array" ref="J30">_xlfn.IFS(J28&gt;J29, "↑",J28&lt;J29, "↓",J28=J29, "=")</f>
        <v>=</v>
      </c>
      <c r="K30" s="44" t="str" cm="1">
        <f t="array" ref="K30">_xlfn.IFS(K28&gt;K29, "↑",K28&lt;K29, "↓",K28=K29, "=")</f>
        <v>↓</v>
      </c>
      <c r="L30" s="44" t="str" cm="1">
        <f t="array" ref="L30">_xlfn.IFS(L28&gt;L29, "↑",L28&lt;L29, "↓",L28=L29, "=")</f>
        <v>↓</v>
      </c>
      <c r="M30" s="44" t="str" cm="1">
        <f t="array" ref="M30">_xlfn.IFS(M28&gt;M29, "↑",M28&lt;M29, "↓",M28=M29, "=")</f>
        <v>↓</v>
      </c>
      <c r="N30" s="44" t="str" cm="1">
        <f t="array" ref="N30">_xlfn.IFS(N28&gt;N29, "↑",N28&lt;N29, "↓",N28=N29, "=")</f>
        <v>=</v>
      </c>
      <c r="O30" s="44" t="str" cm="1">
        <f t="array" ref="O30">_xlfn.IFS(O28&gt;O29, "↑",O28&lt;O29, "↓",O28=O29, "=")</f>
        <v>↑</v>
      </c>
      <c r="P30" s="44" t="str" cm="1">
        <f t="array" ref="P30">_xlfn.IFS(P28&gt;P29, "↑",P28&lt;P29, "↓",P28=P29, "=")</f>
        <v>↓</v>
      </c>
      <c r="Q30" s="43" t="str" cm="1">
        <f t="array" ref="Q30">_xlfn.IFS(Q28&gt;Q29, "↑",Q28&lt;Q29, "↓",Q28=Q29, "=")</f>
        <v>=</v>
      </c>
      <c r="R30" s="44" t="str" cm="1">
        <f t="array" ref="R30">_xlfn.IFS(R28&gt;R29, "↑",R28&lt;R29, "↓",R28=R29, "=")</f>
        <v>=</v>
      </c>
      <c r="S30" s="43" t="str" cm="1">
        <f t="array" ref="S30">_xlfn.IFS(S28&gt;S29, "↑",S28&lt;S29, "↓",S28=S29, "=")</f>
        <v>=</v>
      </c>
      <c r="T30" s="44" t="str" cm="1">
        <f t="array" ref="T30">_xlfn.IFS(T28&gt;T29, "↑",T28&lt;T29, "↓",T28=T29, "=")</f>
        <v>↑</v>
      </c>
      <c r="U30" s="52"/>
    </row>
    <row r="31" spans="2:21" x14ac:dyDescent="0.3">
      <c r="B31" s="40"/>
      <c r="C31" s="40"/>
      <c r="D31" s="40"/>
      <c r="E31" s="40"/>
      <c r="F31" s="40"/>
      <c r="H31" s="40"/>
      <c r="I31" s="45" t="s">
        <v>749</v>
      </c>
      <c r="J31" s="41">
        <f t="shared" ref="J31:T31" si="0">J28-J29</f>
        <v>0</v>
      </c>
      <c r="K31" s="41">
        <f t="shared" si="0"/>
        <v>-1</v>
      </c>
      <c r="L31" s="41">
        <f t="shared" si="0"/>
        <v>-9</v>
      </c>
      <c r="M31" s="41">
        <f t="shared" si="0"/>
        <v>-3</v>
      </c>
      <c r="N31" s="41">
        <f>N28-N29</f>
        <v>0</v>
      </c>
      <c r="O31" s="41">
        <f t="shared" si="0"/>
        <v>11</v>
      </c>
      <c r="P31" s="41">
        <f t="shared" si="0"/>
        <v>-8</v>
      </c>
      <c r="Q31" s="41">
        <f t="shared" si="0"/>
        <v>0</v>
      </c>
      <c r="R31" s="41">
        <f t="shared" si="0"/>
        <v>0</v>
      </c>
      <c r="S31" s="41">
        <f t="shared" si="0"/>
        <v>0</v>
      </c>
      <c r="T31" s="41">
        <f t="shared" si="0"/>
        <v>10</v>
      </c>
      <c r="U31" s="52"/>
    </row>
    <row r="32" spans="2:21" x14ac:dyDescent="0.3">
      <c r="B32" s="40"/>
      <c r="C32" s="40"/>
      <c r="D32" s="40"/>
      <c r="E32" s="40"/>
      <c r="F32" s="40"/>
      <c r="H32" s="40"/>
      <c r="I32" s="40"/>
      <c r="J32" s="40"/>
      <c r="K32" s="40"/>
      <c r="L32" s="40"/>
      <c r="M32" s="40"/>
      <c r="N32" s="40"/>
      <c r="O32" s="40"/>
      <c r="P32" s="40"/>
      <c r="Q32" s="40"/>
      <c r="R32" s="40"/>
      <c r="S32" s="40"/>
      <c r="T32" s="40"/>
      <c r="U32" s="40"/>
    </row>
    <row r="33" spans="2:21" x14ac:dyDescent="0.3"/>
    <row r="34" spans="2:21" x14ac:dyDescent="0.3">
      <c r="H34" s="40"/>
      <c r="I34" s="40"/>
      <c r="J34" s="40"/>
      <c r="K34" s="40"/>
      <c r="L34" s="40"/>
      <c r="M34" s="40"/>
      <c r="N34" s="40"/>
      <c r="O34" s="40"/>
      <c r="P34" s="40"/>
      <c r="Q34" s="40"/>
      <c r="R34" s="40"/>
      <c r="S34" s="40"/>
      <c r="T34" s="40"/>
      <c r="U34" s="40"/>
    </row>
    <row r="35" spans="2:21" ht="14.4" customHeight="1" x14ac:dyDescent="0.3">
      <c r="H35" s="40"/>
      <c r="I35" s="56" t="s">
        <v>1040</v>
      </c>
      <c r="J35" s="40"/>
      <c r="K35" s="40"/>
      <c r="L35" s="40"/>
      <c r="M35" s="40"/>
      <c r="N35" s="40"/>
      <c r="O35" s="40"/>
      <c r="P35" s="40"/>
      <c r="Q35" s="40"/>
      <c r="R35" s="40"/>
      <c r="S35" s="40"/>
      <c r="T35" s="40"/>
      <c r="U35" s="40"/>
    </row>
    <row r="36" spans="2:21" ht="14.4" customHeight="1" x14ac:dyDescent="0.3">
      <c r="B36" s="91"/>
      <c r="C36" s="91"/>
      <c r="H36" s="40"/>
      <c r="I36" s="40"/>
      <c r="J36" s="40"/>
      <c r="K36" s="40"/>
      <c r="L36" s="40"/>
      <c r="M36" s="40"/>
      <c r="N36" s="40"/>
      <c r="O36" s="40"/>
      <c r="P36" s="40"/>
      <c r="Q36" s="40"/>
      <c r="R36" s="40"/>
      <c r="S36" s="40"/>
      <c r="T36" s="40"/>
      <c r="U36" s="40"/>
    </row>
    <row r="37" spans="2:21" ht="14.4" customHeight="1" x14ac:dyDescent="0.3">
      <c r="B37" s="91"/>
      <c r="C37" s="91"/>
      <c r="H37" s="40"/>
      <c r="I37" s="57" t="s">
        <v>6</v>
      </c>
      <c r="J37" s="63" t="s">
        <v>1038</v>
      </c>
      <c r="K37" s="64"/>
      <c r="L37" s="64"/>
      <c r="M37" s="64"/>
      <c r="N37" s="64"/>
      <c r="O37" s="64"/>
      <c r="P37" s="64"/>
      <c r="Q37" s="64"/>
      <c r="R37" s="64"/>
      <c r="S37" s="64"/>
      <c r="T37" s="60"/>
      <c r="U37" s="40"/>
    </row>
    <row r="38" spans="2:21" ht="14.4" customHeight="1" x14ac:dyDescent="0.3">
      <c r="B38" s="91"/>
      <c r="C38" s="91"/>
      <c r="H38" s="40"/>
      <c r="I38" s="57" t="s">
        <v>10</v>
      </c>
      <c r="J38" s="59" t="s">
        <v>1039</v>
      </c>
      <c r="K38" s="65"/>
      <c r="L38" s="65"/>
      <c r="M38" s="65"/>
      <c r="N38" s="65"/>
      <c r="O38" s="65"/>
      <c r="P38" s="65"/>
      <c r="Q38" s="65"/>
      <c r="R38" s="65"/>
      <c r="S38" s="65"/>
      <c r="T38" s="66"/>
      <c r="U38" s="40"/>
    </row>
    <row r="39" spans="2:21" ht="14.4" customHeight="1" x14ac:dyDescent="0.3">
      <c r="B39" s="91"/>
      <c r="C39" s="91"/>
      <c r="H39" s="40"/>
      <c r="I39" s="57" t="s">
        <v>14</v>
      </c>
      <c r="J39" s="59" t="s">
        <v>1056</v>
      </c>
      <c r="K39" s="65"/>
      <c r="L39" s="65"/>
      <c r="M39" s="65"/>
      <c r="N39" s="65"/>
      <c r="O39" s="65"/>
      <c r="P39" s="65"/>
      <c r="Q39" s="65"/>
      <c r="R39" s="65"/>
      <c r="S39" s="65"/>
      <c r="T39" s="66"/>
      <c r="U39" s="40"/>
    </row>
    <row r="40" spans="2:21" ht="14.4" customHeight="1" x14ac:dyDescent="0.3">
      <c r="B40" s="91"/>
      <c r="C40" s="91"/>
      <c r="H40" s="40"/>
      <c r="I40" s="57" t="s">
        <v>829</v>
      </c>
      <c r="J40" s="59" t="s">
        <v>1041</v>
      </c>
      <c r="K40" s="65"/>
      <c r="L40" s="65"/>
      <c r="M40" s="65"/>
      <c r="N40" s="65"/>
      <c r="O40" s="65"/>
      <c r="P40" s="65"/>
      <c r="Q40" s="65"/>
      <c r="R40" s="65"/>
      <c r="S40" s="65"/>
      <c r="T40" s="66"/>
      <c r="U40" s="40"/>
    </row>
    <row r="41" spans="2:21" ht="14.4" customHeight="1" x14ac:dyDescent="0.3">
      <c r="H41" s="40"/>
      <c r="I41" s="57" t="s">
        <v>830</v>
      </c>
      <c r="J41" s="59" t="s">
        <v>1042</v>
      </c>
      <c r="K41" s="65"/>
      <c r="L41" s="65"/>
      <c r="M41" s="65"/>
      <c r="N41" s="65"/>
      <c r="O41" s="65"/>
      <c r="P41" s="65"/>
      <c r="Q41" s="65"/>
      <c r="R41" s="65"/>
      <c r="S41" s="65"/>
      <c r="T41" s="66"/>
      <c r="U41" s="40"/>
    </row>
    <row r="42" spans="2:21" ht="14.4" customHeight="1" x14ac:dyDescent="0.3">
      <c r="H42" s="40"/>
      <c r="I42" s="57" t="s">
        <v>831</v>
      </c>
      <c r="J42" s="68" t="s">
        <v>1043</v>
      </c>
      <c r="K42" s="65"/>
      <c r="L42" s="65"/>
      <c r="M42" s="65"/>
      <c r="N42" s="65"/>
      <c r="O42" s="65"/>
      <c r="P42" s="65"/>
      <c r="Q42" s="65"/>
      <c r="R42" s="65"/>
      <c r="S42" s="65"/>
      <c r="T42" s="66"/>
      <c r="U42" s="40"/>
    </row>
    <row r="43" spans="2:21" ht="14.4" customHeight="1" x14ac:dyDescent="0.3">
      <c r="H43" s="40"/>
      <c r="I43" s="57" t="s">
        <v>832</v>
      </c>
      <c r="J43" s="68" t="s">
        <v>1044</v>
      </c>
      <c r="K43" s="65"/>
      <c r="L43" s="65"/>
      <c r="M43" s="65"/>
      <c r="N43" s="65"/>
      <c r="O43" s="65"/>
      <c r="P43" s="65"/>
      <c r="Q43" s="65"/>
      <c r="R43" s="65"/>
      <c r="S43" s="65"/>
      <c r="T43" s="66"/>
      <c r="U43" s="40"/>
    </row>
    <row r="44" spans="2:21" ht="14.4" customHeight="1" x14ac:dyDescent="0.3">
      <c r="H44" s="40"/>
      <c r="I44" s="67" t="s">
        <v>833</v>
      </c>
      <c r="J44" s="59" t="s">
        <v>1045</v>
      </c>
      <c r="K44" s="65"/>
      <c r="L44" s="65"/>
      <c r="M44" s="65"/>
      <c r="N44" s="65"/>
      <c r="O44" s="65"/>
      <c r="P44" s="65"/>
      <c r="Q44" s="65"/>
      <c r="R44" s="65"/>
      <c r="S44" s="65"/>
      <c r="T44" s="66"/>
      <c r="U44" s="40"/>
    </row>
    <row r="45" spans="2:21" ht="14.4" customHeight="1" x14ac:dyDescent="0.3">
      <c r="H45" s="40"/>
      <c r="I45" s="57" t="s">
        <v>21</v>
      </c>
      <c r="J45" s="59" t="s">
        <v>1046</v>
      </c>
      <c r="K45" s="65"/>
      <c r="L45" s="65"/>
      <c r="M45" s="65"/>
      <c r="N45" s="65"/>
      <c r="O45" s="65"/>
      <c r="P45" s="65"/>
      <c r="Q45" s="65"/>
      <c r="R45" s="65"/>
      <c r="S45" s="65"/>
      <c r="T45" s="66"/>
      <c r="U45" s="40"/>
    </row>
    <row r="46" spans="2:21" ht="14.4" customHeight="1" x14ac:dyDescent="0.3">
      <c r="H46" s="40"/>
      <c r="I46" s="57" t="s">
        <v>23</v>
      </c>
      <c r="J46" s="59" t="s">
        <v>1047</v>
      </c>
      <c r="K46" s="65"/>
      <c r="L46" s="65"/>
      <c r="M46" s="65"/>
      <c r="N46" s="65"/>
      <c r="O46" s="65"/>
      <c r="P46" s="65"/>
      <c r="Q46" s="65"/>
      <c r="R46" s="65"/>
      <c r="S46" s="65"/>
      <c r="T46" s="66"/>
      <c r="U46" s="40"/>
    </row>
    <row r="47" spans="2:21" ht="14.4" customHeight="1" x14ac:dyDescent="0.3">
      <c r="H47" s="40"/>
      <c r="I47" s="57" t="s">
        <v>24</v>
      </c>
      <c r="J47" s="61" t="s">
        <v>1048</v>
      </c>
      <c r="K47" s="58"/>
      <c r="L47" s="58"/>
      <c r="M47" s="58"/>
      <c r="N47" s="58"/>
      <c r="O47" s="58"/>
      <c r="P47" s="58"/>
      <c r="Q47" s="58"/>
      <c r="R47" s="58"/>
      <c r="S47" s="58"/>
      <c r="T47" s="62"/>
      <c r="U47" s="40"/>
    </row>
    <row r="48" spans="2:21" ht="14.4" customHeight="1" x14ac:dyDescent="0.3">
      <c r="H48" s="40"/>
      <c r="I48" s="40"/>
      <c r="J48" s="40"/>
      <c r="K48" s="40"/>
      <c r="L48" s="40"/>
      <c r="M48" s="40"/>
      <c r="N48" s="40"/>
      <c r="O48" s="40"/>
      <c r="P48" s="40"/>
      <c r="Q48" s="40"/>
      <c r="R48" s="40"/>
      <c r="S48" s="40"/>
      <c r="T48" s="40"/>
      <c r="U48" s="40"/>
    </row>
  </sheetData>
  <mergeCells count="5">
    <mergeCell ref="B40:C40"/>
    <mergeCell ref="B36:C36"/>
    <mergeCell ref="B37:C37"/>
    <mergeCell ref="B38:C38"/>
    <mergeCell ref="B39:C3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Y384"/>
  <sheetViews>
    <sheetView showGridLines="0" zoomScale="90" zoomScaleNormal="90" workbookViewId="0">
      <pane xSplit="3" ySplit="5" topLeftCell="I6" activePane="bottomRight" state="frozen"/>
      <selection pane="topRight" activeCell="C1" sqref="C1"/>
      <selection pane="bottomLeft" activeCell="A6" sqref="A6"/>
      <selection pane="bottomRight" activeCell="K6" sqref="K6"/>
    </sheetView>
  </sheetViews>
  <sheetFormatPr defaultRowHeight="14.4" outlineLevelCol="1" x14ac:dyDescent="0.3"/>
  <cols>
    <col min="1" max="1" width="2.77734375" customWidth="1"/>
    <col min="2" max="2" width="17.44140625" bestFit="1" customWidth="1"/>
    <col min="3" max="3" width="36.21875" customWidth="1"/>
    <col min="4" max="4" width="10.77734375" customWidth="1"/>
    <col min="5" max="5" width="30.77734375" bestFit="1" customWidth="1"/>
    <col min="6" max="6" width="27.5546875" bestFit="1" customWidth="1"/>
    <col min="7" max="8" width="50.77734375" customWidth="1" outlineLevel="1"/>
    <col min="9" max="9" width="15" bestFit="1" customWidth="1"/>
    <col min="10" max="10" width="24.77734375" bestFit="1" customWidth="1"/>
    <col min="11" max="11" width="30.77734375" bestFit="1" customWidth="1"/>
    <col min="12" max="12" width="22.5546875" customWidth="1"/>
    <col min="13" max="13" width="12.21875" bestFit="1" customWidth="1"/>
    <col min="14" max="14" width="12.21875" customWidth="1"/>
    <col min="15" max="15" width="15.109375" customWidth="1"/>
    <col min="16" max="16" width="13.44140625" hidden="1" customWidth="1"/>
    <col min="17" max="17" width="22.6640625" bestFit="1" customWidth="1"/>
    <col min="18" max="18" width="16.33203125" bestFit="1" customWidth="1"/>
    <col min="19" max="19" width="11.21875" bestFit="1" customWidth="1"/>
    <col min="20" max="20" width="12.88671875" bestFit="1" customWidth="1"/>
    <col min="21" max="21" width="9.21875" bestFit="1" customWidth="1"/>
    <col min="22" max="22" width="16.6640625" bestFit="1" customWidth="1"/>
    <col min="23" max="23" width="13.88671875" bestFit="1" customWidth="1"/>
  </cols>
  <sheetData>
    <row r="2" spans="1:25" x14ac:dyDescent="0.3">
      <c r="C2" s="10" t="s">
        <v>36</v>
      </c>
    </row>
    <row r="3" spans="1:25" x14ac:dyDescent="0.3">
      <c r="C3" s="11" t="s">
        <v>37</v>
      </c>
    </row>
    <row r="5" spans="1:25" s="2" customFormat="1" ht="28.8" x14ac:dyDescent="0.3">
      <c r="B5" s="20" t="s">
        <v>38</v>
      </c>
      <c r="C5" s="20" t="s">
        <v>39</v>
      </c>
      <c r="D5" s="20" t="s">
        <v>40</v>
      </c>
      <c r="E5" s="8" t="s">
        <v>41</v>
      </c>
      <c r="F5" s="8" t="s">
        <v>1020</v>
      </c>
      <c r="G5" s="8" t="s">
        <v>43</v>
      </c>
      <c r="H5" s="8" t="s">
        <v>44</v>
      </c>
      <c r="I5" s="16" t="s">
        <v>42</v>
      </c>
      <c r="J5" s="16" t="s">
        <v>45</v>
      </c>
      <c r="K5" s="16" t="s">
        <v>751</v>
      </c>
      <c r="L5" s="19" t="s">
        <v>46</v>
      </c>
      <c r="M5" s="16" t="s">
        <v>47</v>
      </c>
      <c r="N5" s="19" t="s">
        <v>48</v>
      </c>
      <c r="O5" s="19" t="s">
        <v>49</v>
      </c>
      <c r="P5" s="21" t="s">
        <v>50</v>
      </c>
      <c r="Q5" s="20" t="s">
        <v>976</v>
      </c>
      <c r="R5" s="20" t="s">
        <v>977</v>
      </c>
      <c r="S5" s="20" t="s">
        <v>978</v>
      </c>
      <c r="T5" s="20" t="s">
        <v>979</v>
      </c>
      <c r="U5" s="20" t="s">
        <v>980</v>
      </c>
      <c r="V5" s="20" t="s">
        <v>981</v>
      </c>
      <c r="W5" s="20" t="s">
        <v>1058</v>
      </c>
      <c r="X5" s="20" t="s">
        <v>982</v>
      </c>
      <c r="Y5" s="2" t="s">
        <v>1065</v>
      </c>
    </row>
    <row r="6" spans="1:25" x14ac:dyDescent="0.3">
      <c r="A6" s="55" t="str">
        <f>B6&amp;"_"&amp;C6</f>
        <v>INSTRUMENT_ACCMLTD_CHNGS_FV_CR_INSTRMNT</v>
      </c>
      <c r="B6" t="s">
        <v>659</v>
      </c>
      <c r="C6" t="s">
        <v>52</v>
      </c>
      <c r="D6" t="s">
        <v>1</v>
      </c>
      <c r="E6" t="s">
        <v>24</v>
      </c>
      <c r="F6" t="s">
        <v>53</v>
      </c>
      <c r="G6" t="s">
        <v>54</v>
      </c>
      <c r="I6" t="s">
        <v>7</v>
      </c>
      <c r="J6" s="15">
        <v>45450</v>
      </c>
      <c r="K6" t="s">
        <v>24</v>
      </c>
      <c r="L6" t="str">
        <f t="shared" ref="L6:L11" si="0">F6</f>
        <v>OK</v>
      </c>
      <c r="P6" t="s">
        <v>55</v>
      </c>
      <c r="Q6" t="s">
        <v>1023</v>
      </c>
      <c r="R6" t="s">
        <v>1023</v>
      </c>
      <c r="S6" t="s">
        <v>1023</v>
      </c>
      <c r="T6" t="s">
        <v>1024</v>
      </c>
      <c r="U6" t="s">
        <v>1024</v>
      </c>
      <c r="V6" t="s">
        <v>1024</v>
      </c>
      <c r="W6" t="s">
        <v>983</v>
      </c>
      <c r="X6">
        <v>0</v>
      </c>
    </row>
    <row r="7" spans="1:25" x14ac:dyDescent="0.3">
      <c r="A7" s="55" t="str">
        <f t="shared" ref="A7:A69" si="1">B7&amp;"_"&amp;C7</f>
        <v>INSTRUMENT_ACCMLTD_IMPRMNT_INSTRMNT</v>
      </c>
      <c r="B7" t="s">
        <v>659</v>
      </c>
      <c r="C7" t="s">
        <v>56</v>
      </c>
      <c r="D7" t="s">
        <v>1</v>
      </c>
      <c r="E7" t="s">
        <v>24</v>
      </c>
      <c r="F7" t="s">
        <v>53</v>
      </c>
      <c r="G7" t="s">
        <v>54</v>
      </c>
      <c r="I7" t="s">
        <v>7</v>
      </c>
      <c r="J7" s="15">
        <v>45450</v>
      </c>
      <c r="K7" t="s">
        <v>24</v>
      </c>
      <c r="L7" t="str">
        <f t="shared" si="0"/>
        <v>OK</v>
      </c>
      <c r="P7" t="s">
        <v>55</v>
      </c>
      <c r="Q7" t="s">
        <v>1023</v>
      </c>
      <c r="R7" t="s">
        <v>1023</v>
      </c>
      <c r="S7" t="s">
        <v>1023</v>
      </c>
      <c r="T7" t="s">
        <v>1024</v>
      </c>
      <c r="U7" t="s">
        <v>1024</v>
      </c>
      <c r="V7" t="s">
        <v>1023</v>
      </c>
      <c r="W7" t="s">
        <v>983</v>
      </c>
      <c r="X7" t="s">
        <v>1025</v>
      </c>
    </row>
    <row r="8" spans="1:25" x14ac:dyDescent="0.3">
      <c r="A8" s="55" t="str">
        <f t="shared" si="1"/>
        <v>INSTRUMENT_ACCMLTD_IMPRMNT_INSTRMNT_PRVS</v>
      </c>
      <c r="B8" t="s">
        <v>659</v>
      </c>
      <c r="C8" s="10" t="s">
        <v>57</v>
      </c>
      <c r="D8" t="s">
        <v>1</v>
      </c>
      <c r="E8" t="s">
        <v>832</v>
      </c>
      <c r="F8" t="s">
        <v>53</v>
      </c>
      <c r="G8" t="s">
        <v>58</v>
      </c>
      <c r="I8" t="s">
        <v>15</v>
      </c>
      <c r="J8" s="15">
        <v>45450</v>
      </c>
      <c r="K8" t="s">
        <v>832</v>
      </c>
      <c r="L8" t="str">
        <f t="shared" si="0"/>
        <v>OK</v>
      </c>
      <c r="P8" t="s">
        <v>19</v>
      </c>
      <c r="Q8" t="s">
        <v>1023</v>
      </c>
      <c r="R8" t="s">
        <v>1024</v>
      </c>
      <c r="S8" t="s">
        <v>1024</v>
      </c>
      <c r="T8" t="s">
        <v>1024</v>
      </c>
      <c r="U8" t="s">
        <v>1024</v>
      </c>
      <c r="V8" t="s">
        <v>1023</v>
      </c>
      <c r="W8" t="s">
        <v>1022</v>
      </c>
      <c r="X8" t="s">
        <v>1026</v>
      </c>
    </row>
    <row r="9" spans="1:25" x14ac:dyDescent="0.3">
      <c r="A9" s="55" t="str">
        <f t="shared" si="1"/>
        <v>INSTRUMENT_ACCMLTD_WRTFFS_INSTRMNT</v>
      </c>
      <c r="B9" t="s">
        <v>659</v>
      </c>
      <c r="C9" t="s">
        <v>59</v>
      </c>
      <c r="D9" t="s">
        <v>1</v>
      </c>
      <c r="E9" t="s">
        <v>24</v>
      </c>
      <c r="F9" t="s">
        <v>53</v>
      </c>
      <c r="G9" t="s">
        <v>54</v>
      </c>
      <c r="I9" t="s">
        <v>7</v>
      </c>
      <c r="J9" s="15">
        <v>45450</v>
      </c>
      <c r="K9" t="s">
        <v>24</v>
      </c>
      <c r="L9" t="str">
        <f t="shared" si="0"/>
        <v>OK</v>
      </c>
      <c r="P9" t="s">
        <v>55</v>
      </c>
      <c r="Q9" t="s">
        <v>1023</v>
      </c>
      <c r="R9" t="s">
        <v>1024</v>
      </c>
      <c r="S9" t="s">
        <v>1024</v>
      </c>
      <c r="T9" t="s">
        <v>1024</v>
      </c>
      <c r="U9" t="s">
        <v>1024</v>
      </c>
      <c r="V9" t="s">
        <v>1023</v>
      </c>
      <c r="W9" t="s">
        <v>983</v>
      </c>
      <c r="X9" t="s">
        <v>1025</v>
      </c>
    </row>
    <row r="10" spans="1:25" x14ac:dyDescent="0.3">
      <c r="A10" s="55" t="str">
        <f t="shared" si="1"/>
        <v>INSTRUMENT_ACCNTNG_CLSSFCTN</v>
      </c>
      <c r="B10" t="s">
        <v>659</v>
      </c>
      <c r="C10" t="s">
        <v>60</v>
      </c>
      <c r="D10" t="s">
        <v>1</v>
      </c>
      <c r="E10" t="s">
        <v>24</v>
      </c>
      <c r="F10" t="s">
        <v>53</v>
      </c>
      <c r="G10" t="s">
        <v>54</v>
      </c>
      <c r="I10" t="s">
        <v>7</v>
      </c>
      <c r="J10" s="15">
        <v>45450</v>
      </c>
      <c r="K10" t="s">
        <v>24</v>
      </c>
      <c r="L10" t="str">
        <f t="shared" si="0"/>
        <v>OK</v>
      </c>
      <c r="P10" t="s">
        <v>55</v>
      </c>
      <c r="Q10" t="s">
        <v>1023</v>
      </c>
      <c r="R10" t="s">
        <v>1023</v>
      </c>
      <c r="S10" t="s">
        <v>1023</v>
      </c>
      <c r="T10" t="s">
        <v>1024</v>
      </c>
      <c r="U10" t="s">
        <v>1024</v>
      </c>
      <c r="V10" t="s">
        <v>1023</v>
      </c>
      <c r="W10" t="s">
        <v>983</v>
      </c>
      <c r="X10" t="s">
        <v>1025</v>
      </c>
    </row>
    <row r="11" spans="1:25" x14ac:dyDescent="0.3">
      <c r="A11" s="55" t="str">
        <f t="shared" si="1"/>
        <v>ENTITY_ACCNTNG_FRMWRK_SL</v>
      </c>
      <c r="B11" t="s">
        <v>867</v>
      </c>
      <c r="C11" t="s">
        <v>62</v>
      </c>
      <c r="D11" t="s">
        <v>1</v>
      </c>
      <c r="E11" t="s">
        <v>10</v>
      </c>
      <c r="F11" t="s">
        <v>53</v>
      </c>
      <c r="G11" t="s">
        <v>63</v>
      </c>
      <c r="H11" t="s">
        <v>856</v>
      </c>
      <c r="I11" t="s">
        <v>11</v>
      </c>
      <c r="J11" s="15">
        <v>45450</v>
      </c>
      <c r="K11" t="s">
        <v>10</v>
      </c>
      <c r="L11" t="str">
        <f t="shared" si="0"/>
        <v>OK</v>
      </c>
      <c r="P11" t="s">
        <v>13</v>
      </c>
      <c r="Q11" t="s">
        <v>1023</v>
      </c>
      <c r="R11" t="s">
        <v>1024</v>
      </c>
      <c r="S11" t="s">
        <v>1024</v>
      </c>
      <c r="T11" t="s">
        <v>1024</v>
      </c>
      <c r="U11" t="s">
        <v>1024</v>
      </c>
      <c r="V11" t="s">
        <v>1023</v>
      </c>
      <c r="W11" t="s">
        <v>984</v>
      </c>
      <c r="X11" t="s">
        <v>1027</v>
      </c>
    </row>
    <row r="12" spans="1:25" x14ac:dyDescent="0.3">
      <c r="A12" s="55" t="str">
        <f t="shared" si="1"/>
        <v>INSTRUMENT_TYP_MRTGG</v>
      </c>
      <c r="B12" t="s">
        <v>659</v>
      </c>
      <c r="C12" s="10" t="s">
        <v>28</v>
      </c>
      <c r="D12" t="s">
        <v>1</v>
      </c>
      <c r="E12" t="s">
        <v>14</v>
      </c>
      <c r="F12" t="s">
        <v>67</v>
      </c>
      <c r="G12" t="s">
        <v>189</v>
      </c>
      <c r="I12" t="s">
        <v>15</v>
      </c>
      <c r="J12" s="15">
        <v>45568</v>
      </c>
      <c r="K12" t="s">
        <v>10</v>
      </c>
      <c r="L12" t="str">
        <f t="shared" ref="L12:L34" si="2">F12</f>
        <v>NOK</v>
      </c>
      <c r="M12" t="s">
        <v>190</v>
      </c>
      <c r="P12" t="s">
        <v>22</v>
      </c>
      <c r="Q12" t="s">
        <v>1023</v>
      </c>
      <c r="R12" t="s">
        <v>1024</v>
      </c>
      <c r="S12" t="s">
        <v>1024</v>
      </c>
      <c r="T12" t="s">
        <v>1024</v>
      </c>
      <c r="U12" t="s">
        <v>1024</v>
      </c>
      <c r="V12" t="s">
        <v>1024</v>
      </c>
      <c r="W12" t="s">
        <v>983</v>
      </c>
      <c r="X12">
        <v>0</v>
      </c>
    </row>
    <row r="13" spans="1:25" x14ac:dyDescent="0.3">
      <c r="A13" s="55" t="str">
        <f t="shared" si="1"/>
        <v>INSTRUMENT_AMNT_D_AT_MTRTY</v>
      </c>
      <c r="B13" t="s">
        <v>659</v>
      </c>
      <c r="C13" t="s">
        <v>66</v>
      </c>
      <c r="D13" t="s">
        <v>1</v>
      </c>
      <c r="E13" t="s">
        <v>6</v>
      </c>
      <c r="F13" t="s">
        <v>67</v>
      </c>
      <c r="G13" t="s">
        <v>68</v>
      </c>
      <c r="I13" t="s">
        <v>11</v>
      </c>
      <c r="J13" s="15">
        <v>45450</v>
      </c>
      <c r="K13" t="s">
        <v>6</v>
      </c>
      <c r="L13" t="str">
        <f t="shared" si="2"/>
        <v>NOK</v>
      </c>
      <c r="P13" t="s">
        <v>17</v>
      </c>
      <c r="Q13" t="s">
        <v>1023</v>
      </c>
      <c r="R13" t="s">
        <v>1024</v>
      </c>
      <c r="S13" t="s">
        <v>1024</v>
      </c>
      <c r="T13" t="s">
        <v>1024</v>
      </c>
      <c r="U13" t="s">
        <v>1024</v>
      </c>
      <c r="V13" t="s">
        <v>1023</v>
      </c>
      <c r="W13" t="s">
        <v>1022</v>
      </c>
      <c r="X13" t="s">
        <v>1028</v>
      </c>
    </row>
    <row r="14" spans="1:25" x14ac:dyDescent="0.3">
      <c r="A14" s="55" t="str">
        <f t="shared" si="1"/>
        <v>ENTITY_ANNL_TRNVR_LE</v>
      </c>
      <c r="B14" t="s">
        <v>867</v>
      </c>
      <c r="C14" t="s">
        <v>69</v>
      </c>
      <c r="D14" t="s">
        <v>1</v>
      </c>
      <c r="E14" t="s">
        <v>10</v>
      </c>
      <c r="F14" t="s">
        <v>53</v>
      </c>
      <c r="G14" t="s">
        <v>63</v>
      </c>
      <c r="H14" t="s">
        <v>856</v>
      </c>
      <c r="I14" t="s">
        <v>11</v>
      </c>
      <c r="J14" s="15">
        <v>45450</v>
      </c>
      <c r="K14" t="s">
        <v>10</v>
      </c>
      <c r="L14" t="str">
        <f t="shared" si="2"/>
        <v>OK</v>
      </c>
      <c r="P14" t="s">
        <v>13</v>
      </c>
      <c r="Q14" t="s">
        <v>1023</v>
      </c>
      <c r="R14" t="s">
        <v>1024</v>
      </c>
      <c r="S14" t="s">
        <v>1023</v>
      </c>
      <c r="T14" t="s">
        <v>1024</v>
      </c>
      <c r="U14" t="s">
        <v>1024</v>
      </c>
      <c r="V14" t="s">
        <v>1023</v>
      </c>
      <c r="W14" t="s">
        <v>984</v>
      </c>
      <c r="X14" t="s">
        <v>1027</v>
      </c>
    </row>
    <row r="15" spans="1:25" x14ac:dyDescent="0.3">
      <c r="A15" s="55" t="str">
        <f t="shared" si="1"/>
        <v>ENTITY_ANNL_TRNVR_LE_BDR</v>
      </c>
      <c r="B15" t="s">
        <v>867</v>
      </c>
      <c r="C15" t="s">
        <v>70</v>
      </c>
      <c r="D15" t="s">
        <v>0</v>
      </c>
      <c r="E15" t="s">
        <v>24</v>
      </c>
      <c r="F15" t="s">
        <v>53</v>
      </c>
      <c r="G15" t="s">
        <v>54</v>
      </c>
      <c r="I15" t="s">
        <v>7</v>
      </c>
      <c r="J15" s="15">
        <v>45450</v>
      </c>
      <c r="K15" t="s">
        <v>24</v>
      </c>
      <c r="L15" t="str">
        <f t="shared" si="2"/>
        <v>OK</v>
      </c>
      <c r="P15" t="s">
        <v>55</v>
      </c>
      <c r="Q15" t="s">
        <v>1023</v>
      </c>
      <c r="R15" t="s">
        <v>1024</v>
      </c>
      <c r="S15" t="s">
        <v>1024</v>
      </c>
      <c r="T15" t="s">
        <v>1024</v>
      </c>
      <c r="U15" t="s">
        <v>1024</v>
      </c>
      <c r="V15" t="s">
        <v>1024</v>
      </c>
      <c r="W15" t="s">
        <v>983</v>
      </c>
      <c r="X15">
        <v>0</v>
      </c>
    </row>
    <row r="16" spans="1:25" x14ac:dyDescent="0.3">
      <c r="A16" s="55" t="str">
        <f t="shared" si="1"/>
        <v>ENTITY_ANNL_TRNVR_PRVS</v>
      </c>
      <c r="B16" t="s">
        <v>867</v>
      </c>
      <c r="C16" t="s">
        <v>71</v>
      </c>
      <c r="D16" t="s">
        <v>1</v>
      </c>
      <c r="E16" t="s">
        <v>10</v>
      </c>
      <c r="F16" t="s">
        <v>53</v>
      </c>
      <c r="G16" t="s">
        <v>63</v>
      </c>
      <c r="H16" t="s">
        <v>856</v>
      </c>
      <c r="I16" t="s">
        <v>11</v>
      </c>
      <c r="J16" s="15">
        <v>45450</v>
      </c>
      <c r="K16" t="s">
        <v>10</v>
      </c>
      <c r="L16" t="str">
        <f t="shared" si="2"/>
        <v>OK</v>
      </c>
      <c r="P16" t="s">
        <v>13</v>
      </c>
      <c r="Q16" t="s">
        <v>1023</v>
      </c>
      <c r="R16" t="s">
        <v>1024</v>
      </c>
      <c r="S16" t="s">
        <v>1024</v>
      </c>
      <c r="T16" t="s">
        <v>1024</v>
      </c>
      <c r="U16" t="s">
        <v>1024</v>
      </c>
      <c r="V16" t="s">
        <v>1023</v>
      </c>
      <c r="W16" t="s">
        <v>984</v>
      </c>
      <c r="X16" t="s">
        <v>1027</v>
      </c>
    </row>
    <row r="17" spans="1:24" x14ac:dyDescent="0.3">
      <c r="A17" s="55" t="str">
        <f t="shared" si="1"/>
        <v>ENTITY_ANNL_TRNVR_PRVS_BDR</v>
      </c>
      <c r="B17" t="s">
        <v>867</v>
      </c>
      <c r="C17" t="s">
        <v>72</v>
      </c>
      <c r="D17" t="s">
        <v>0</v>
      </c>
      <c r="E17" t="s">
        <v>24</v>
      </c>
      <c r="F17" t="s">
        <v>53</v>
      </c>
      <c r="G17" t="s">
        <v>54</v>
      </c>
      <c r="I17" t="s">
        <v>7</v>
      </c>
      <c r="J17" s="15">
        <v>45450</v>
      </c>
      <c r="K17" t="s">
        <v>24</v>
      </c>
      <c r="L17" t="str">
        <f t="shared" si="2"/>
        <v>OK</v>
      </c>
      <c r="P17" t="s">
        <v>55</v>
      </c>
      <c r="Q17" t="s">
        <v>1023</v>
      </c>
      <c r="R17" t="s">
        <v>1024</v>
      </c>
      <c r="S17" t="s">
        <v>1024</v>
      </c>
      <c r="T17" t="s">
        <v>1024</v>
      </c>
      <c r="U17" t="s">
        <v>1024</v>
      </c>
      <c r="V17" t="s">
        <v>1024</v>
      </c>
      <c r="W17" t="s">
        <v>983</v>
      </c>
      <c r="X17">
        <v>0</v>
      </c>
    </row>
    <row r="18" spans="1:24" x14ac:dyDescent="0.3">
      <c r="A18" s="55" t="str">
        <f t="shared" si="1"/>
        <v>INSTRUMENT_ANNLSD_AGRD_RT</v>
      </c>
      <c r="B18" t="s">
        <v>659</v>
      </c>
      <c r="C18" s="11" t="s">
        <v>73</v>
      </c>
      <c r="D18" t="s">
        <v>1</v>
      </c>
      <c r="E18" t="s">
        <v>14</v>
      </c>
      <c r="F18" t="s">
        <v>53</v>
      </c>
      <c r="G18" t="s">
        <v>74</v>
      </c>
      <c r="H18" t="s">
        <v>75</v>
      </c>
      <c r="I18" t="s">
        <v>15</v>
      </c>
      <c r="J18" s="15">
        <v>45450</v>
      </c>
      <c r="K18" t="s">
        <v>14</v>
      </c>
      <c r="L18" t="str">
        <f t="shared" si="2"/>
        <v>OK</v>
      </c>
      <c r="P18" t="s">
        <v>25</v>
      </c>
      <c r="Q18" t="s">
        <v>1023</v>
      </c>
      <c r="R18" t="s">
        <v>1024</v>
      </c>
      <c r="S18" t="s">
        <v>1023</v>
      </c>
      <c r="T18" t="s">
        <v>1024</v>
      </c>
      <c r="U18" t="s">
        <v>1024</v>
      </c>
      <c r="V18" t="s">
        <v>1024</v>
      </c>
      <c r="W18" t="s">
        <v>983</v>
      </c>
      <c r="X18">
        <v>0</v>
      </c>
    </row>
    <row r="19" spans="1:24" x14ac:dyDescent="0.3">
      <c r="A19" s="55" t="str">
        <f t="shared" si="1"/>
        <v>PROTECTION_APPRSL_CRRNCY</v>
      </c>
      <c r="B19" t="s">
        <v>870</v>
      </c>
      <c r="C19" t="s">
        <v>77</v>
      </c>
      <c r="D19" t="s">
        <v>1</v>
      </c>
      <c r="E19" t="s">
        <v>21</v>
      </c>
      <c r="F19" t="s">
        <v>67</v>
      </c>
      <c r="G19" t="s">
        <v>78</v>
      </c>
      <c r="I19" t="s">
        <v>11</v>
      </c>
      <c r="J19" s="15">
        <v>45450</v>
      </c>
      <c r="K19" t="s">
        <v>21</v>
      </c>
      <c r="L19" t="str">
        <f t="shared" si="2"/>
        <v>NOK</v>
      </c>
      <c r="P19" t="s">
        <v>9</v>
      </c>
      <c r="Q19" t="s">
        <v>1023</v>
      </c>
      <c r="R19" t="s">
        <v>1024</v>
      </c>
      <c r="S19" t="s">
        <v>1024</v>
      </c>
      <c r="T19" t="s">
        <v>1024</v>
      </c>
      <c r="U19" t="s">
        <v>1024</v>
      </c>
      <c r="V19" t="s">
        <v>1024</v>
      </c>
      <c r="W19" t="s">
        <v>983</v>
      </c>
      <c r="X19">
        <v>0</v>
      </c>
    </row>
    <row r="20" spans="1:24" x14ac:dyDescent="0.3">
      <c r="A20" s="55" t="str">
        <f t="shared" si="1"/>
        <v>PROTECTION_APPRSR</v>
      </c>
      <c r="B20" t="s">
        <v>870</v>
      </c>
      <c r="C20" t="s">
        <v>79</v>
      </c>
      <c r="D20" t="s">
        <v>1</v>
      </c>
      <c r="E20" t="s">
        <v>21</v>
      </c>
      <c r="F20" t="s">
        <v>67</v>
      </c>
      <c r="G20" t="s">
        <v>78</v>
      </c>
      <c r="I20" t="s">
        <v>11</v>
      </c>
      <c r="J20" s="15">
        <v>45450</v>
      </c>
      <c r="K20" t="s">
        <v>21</v>
      </c>
      <c r="L20" t="str">
        <f t="shared" si="2"/>
        <v>NOK</v>
      </c>
      <c r="P20" t="s">
        <v>9</v>
      </c>
      <c r="Q20" t="s">
        <v>1023</v>
      </c>
      <c r="R20" t="s">
        <v>1024</v>
      </c>
      <c r="S20" t="s">
        <v>1024</v>
      </c>
      <c r="T20" t="s">
        <v>1024</v>
      </c>
      <c r="U20" t="s">
        <v>1024</v>
      </c>
      <c r="V20" t="s">
        <v>1024</v>
      </c>
      <c r="W20" t="s">
        <v>983</v>
      </c>
      <c r="X20">
        <v>0</v>
      </c>
    </row>
    <row r="21" spans="1:24" x14ac:dyDescent="0.3">
      <c r="A21" s="55" t="str">
        <f t="shared" si="1"/>
        <v>INSTRUMENT_ARRRS_INSTRMNT</v>
      </c>
      <c r="B21" t="s">
        <v>659</v>
      </c>
      <c r="C21" t="s">
        <v>80</v>
      </c>
      <c r="D21" t="s">
        <v>1</v>
      </c>
      <c r="E21" t="s">
        <v>21</v>
      </c>
      <c r="F21" t="s">
        <v>67</v>
      </c>
      <c r="G21" t="s">
        <v>78</v>
      </c>
      <c r="I21" t="s">
        <v>11</v>
      </c>
      <c r="J21" s="15">
        <v>45450</v>
      </c>
      <c r="K21" t="s">
        <v>21</v>
      </c>
      <c r="L21" t="str">
        <f t="shared" si="2"/>
        <v>NOK</v>
      </c>
      <c r="P21" t="s">
        <v>9</v>
      </c>
      <c r="Q21" t="s">
        <v>1023</v>
      </c>
      <c r="R21" t="s">
        <v>1024</v>
      </c>
      <c r="S21" t="s">
        <v>1024</v>
      </c>
      <c r="T21" t="s">
        <v>1024</v>
      </c>
      <c r="U21" t="s">
        <v>1024</v>
      </c>
      <c r="V21" t="s">
        <v>1023</v>
      </c>
      <c r="W21" t="s">
        <v>1022</v>
      </c>
      <c r="X21" t="s">
        <v>1029</v>
      </c>
    </row>
    <row r="22" spans="1:24" x14ac:dyDescent="0.3">
      <c r="A22" s="55" t="str">
        <f t="shared" si="1"/>
        <v>INSTRUMENT_ARRRS_INSTRMNT_12M</v>
      </c>
      <c r="B22" t="s">
        <v>659</v>
      </c>
      <c r="C22" t="s">
        <v>81</v>
      </c>
      <c r="D22" t="s">
        <v>1</v>
      </c>
      <c r="E22" t="s">
        <v>21</v>
      </c>
      <c r="F22" t="s">
        <v>67</v>
      </c>
      <c r="G22" t="s">
        <v>78</v>
      </c>
      <c r="I22" t="s">
        <v>11</v>
      </c>
      <c r="J22" s="15">
        <v>45450</v>
      </c>
      <c r="K22" t="s">
        <v>21</v>
      </c>
      <c r="L22" t="str">
        <f t="shared" si="2"/>
        <v>NOK</v>
      </c>
      <c r="P22" t="s">
        <v>9</v>
      </c>
      <c r="Q22" t="s">
        <v>1023</v>
      </c>
      <c r="R22" t="s">
        <v>1024</v>
      </c>
      <c r="S22" t="s">
        <v>1024</v>
      </c>
      <c r="T22" t="s">
        <v>1024</v>
      </c>
      <c r="U22" t="s">
        <v>1024</v>
      </c>
      <c r="V22" t="s">
        <v>1024</v>
      </c>
      <c r="W22" t="s">
        <v>983</v>
      </c>
      <c r="X22">
        <v>0</v>
      </c>
    </row>
    <row r="23" spans="1:24" x14ac:dyDescent="0.3">
      <c r="A23" s="55" t="str">
        <f t="shared" si="1"/>
        <v>INSTRUMENT_ASST_SCRT_CLSS</v>
      </c>
      <c r="B23" t="s">
        <v>659</v>
      </c>
      <c r="C23" t="s">
        <v>82</v>
      </c>
      <c r="D23" t="s">
        <v>0</v>
      </c>
      <c r="E23" t="s">
        <v>24</v>
      </c>
      <c r="F23" t="s">
        <v>53</v>
      </c>
      <c r="G23" t="s">
        <v>54</v>
      </c>
      <c r="I23" t="s">
        <v>7</v>
      </c>
      <c r="J23" s="15">
        <v>45450</v>
      </c>
      <c r="K23" t="s">
        <v>24</v>
      </c>
      <c r="L23" t="str">
        <f t="shared" si="2"/>
        <v>OK</v>
      </c>
      <c r="P23" t="s">
        <v>55</v>
      </c>
      <c r="Q23" t="s">
        <v>1023</v>
      </c>
      <c r="R23" t="s">
        <v>1024</v>
      </c>
      <c r="S23" t="s">
        <v>1024</v>
      </c>
      <c r="T23" t="s">
        <v>1024</v>
      </c>
      <c r="U23" t="s">
        <v>1024</v>
      </c>
      <c r="V23" t="s">
        <v>1024</v>
      </c>
      <c r="W23" t="s">
        <v>983</v>
      </c>
      <c r="X23">
        <v>0</v>
      </c>
    </row>
    <row r="24" spans="1:24" x14ac:dyDescent="0.3">
      <c r="A24" s="55" t="str">
        <f t="shared" si="1"/>
        <v>INSTRUMENT_BRCHD_CVNNTS</v>
      </c>
      <c r="B24" t="s">
        <v>659</v>
      </c>
      <c r="C24" t="s">
        <v>83</v>
      </c>
      <c r="D24" t="s">
        <v>1</v>
      </c>
      <c r="E24" t="s">
        <v>23</v>
      </c>
      <c r="F24" t="s">
        <v>53</v>
      </c>
      <c r="G24" t="s">
        <v>84</v>
      </c>
      <c r="I24" t="s">
        <v>7</v>
      </c>
      <c r="J24" s="15">
        <v>45450</v>
      </c>
      <c r="K24" t="s">
        <v>23</v>
      </c>
      <c r="L24" t="str">
        <f t="shared" si="2"/>
        <v>OK</v>
      </c>
      <c r="P24" t="s">
        <v>20</v>
      </c>
      <c r="Q24" t="s">
        <v>1023</v>
      </c>
      <c r="R24" t="s">
        <v>1024</v>
      </c>
      <c r="S24" t="s">
        <v>1024</v>
      </c>
      <c r="T24" t="s">
        <v>1024</v>
      </c>
      <c r="U24" t="s">
        <v>1024</v>
      </c>
      <c r="V24" t="s">
        <v>1023</v>
      </c>
      <c r="W24" t="s">
        <v>983</v>
      </c>
      <c r="X24" t="s">
        <v>1025</v>
      </c>
    </row>
    <row r="25" spans="1:24" x14ac:dyDescent="0.3">
      <c r="A25" s="55" t="str">
        <f t="shared" si="1"/>
        <v>ENTITY_CAPEX</v>
      </c>
      <c r="B25" t="s">
        <v>867</v>
      </c>
      <c r="C25" t="s">
        <v>85</v>
      </c>
      <c r="D25" t="s">
        <v>1</v>
      </c>
      <c r="E25" t="s">
        <v>10</v>
      </c>
      <c r="F25" t="s">
        <v>53</v>
      </c>
      <c r="G25" t="s">
        <v>63</v>
      </c>
      <c r="H25" t="s">
        <v>856</v>
      </c>
      <c r="I25" t="s">
        <v>11</v>
      </c>
      <c r="J25" s="15">
        <v>45450</v>
      </c>
      <c r="K25" t="s">
        <v>10</v>
      </c>
      <c r="L25" t="str">
        <f t="shared" si="2"/>
        <v>OK</v>
      </c>
      <c r="P25" t="s">
        <v>13</v>
      </c>
      <c r="Q25" t="s">
        <v>1023</v>
      </c>
      <c r="R25" t="s">
        <v>1024</v>
      </c>
      <c r="S25" t="s">
        <v>1024</v>
      </c>
      <c r="T25" t="s">
        <v>1024</v>
      </c>
      <c r="U25" t="s">
        <v>1024</v>
      </c>
      <c r="V25" t="s">
        <v>1024</v>
      </c>
      <c r="W25" t="s">
        <v>983</v>
      </c>
      <c r="X25">
        <v>0</v>
      </c>
    </row>
    <row r="26" spans="1:24" x14ac:dyDescent="0.3">
      <c r="A26" s="55" t="str">
        <f t="shared" si="1"/>
        <v>ENTITY_CAPEX_PRVS</v>
      </c>
      <c r="B26" t="s">
        <v>867</v>
      </c>
      <c r="C26" t="s">
        <v>86</v>
      </c>
      <c r="D26" t="s">
        <v>1</v>
      </c>
      <c r="E26" t="s">
        <v>10</v>
      </c>
      <c r="F26" t="s">
        <v>53</v>
      </c>
      <c r="G26" t="s">
        <v>63</v>
      </c>
      <c r="H26" t="s">
        <v>856</v>
      </c>
      <c r="I26" t="s">
        <v>11</v>
      </c>
      <c r="J26" s="15">
        <v>45450</v>
      </c>
      <c r="K26" t="s">
        <v>10</v>
      </c>
      <c r="L26" t="str">
        <f t="shared" si="2"/>
        <v>OK</v>
      </c>
      <c r="P26" t="s">
        <v>13</v>
      </c>
      <c r="Q26" t="s">
        <v>1023</v>
      </c>
      <c r="R26" t="s">
        <v>1024</v>
      </c>
      <c r="S26" t="s">
        <v>1024</v>
      </c>
      <c r="T26" t="s">
        <v>1024</v>
      </c>
      <c r="U26" t="s">
        <v>1024</v>
      </c>
      <c r="V26" t="s">
        <v>1024</v>
      </c>
      <c r="W26" t="s">
        <v>983</v>
      </c>
      <c r="X26">
        <v>0</v>
      </c>
    </row>
    <row r="27" spans="1:24" x14ac:dyDescent="0.3">
      <c r="A27" s="55" t="str">
        <f t="shared" si="1"/>
        <v>INSTRUMENT_CCF</v>
      </c>
      <c r="B27" t="s">
        <v>659</v>
      </c>
      <c r="C27" t="s">
        <v>87</v>
      </c>
      <c r="D27" t="s">
        <v>1</v>
      </c>
      <c r="E27" t="s">
        <v>24</v>
      </c>
      <c r="F27" t="s">
        <v>53</v>
      </c>
      <c r="G27" t="s">
        <v>54</v>
      </c>
      <c r="I27" t="s">
        <v>7</v>
      </c>
      <c r="J27" s="15">
        <v>45450</v>
      </c>
      <c r="K27" t="s">
        <v>24</v>
      </c>
      <c r="L27" t="str">
        <f t="shared" si="2"/>
        <v>OK</v>
      </c>
      <c r="P27" t="s">
        <v>55</v>
      </c>
      <c r="Q27" t="s">
        <v>1023</v>
      </c>
      <c r="R27" t="s">
        <v>1023</v>
      </c>
      <c r="S27" t="s">
        <v>1024</v>
      </c>
      <c r="T27" t="s">
        <v>1024</v>
      </c>
      <c r="U27" t="s">
        <v>1024</v>
      </c>
      <c r="V27" t="s">
        <v>1023</v>
      </c>
      <c r="W27" t="s">
        <v>983</v>
      </c>
      <c r="X27" t="s">
        <v>1025</v>
      </c>
    </row>
    <row r="28" spans="1:24" x14ac:dyDescent="0.3">
      <c r="A28" s="55" t="str">
        <f t="shared" si="1"/>
        <v>INSTRUMENT_CHNNL_ORGNTN</v>
      </c>
      <c r="B28" t="s">
        <v>659</v>
      </c>
      <c r="C28" t="s">
        <v>88</v>
      </c>
      <c r="D28" t="s">
        <v>0</v>
      </c>
      <c r="E28" t="s">
        <v>829</v>
      </c>
      <c r="F28" t="s">
        <v>67</v>
      </c>
      <c r="G28" t="s">
        <v>89</v>
      </c>
      <c r="I28" t="s">
        <v>11</v>
      </c>
      <c r="J28" s="15">
        <v>45450</v>
      </c>
      <c r="K28" t="s">
        <v>829</v>
      </c>
      <c r="L28" t="str">
        <f t="shared" si="2"/>
        <v>NOK</v>
      </c>
      <c r="N28" s="15">
        <v>45296</v>
      </c>
      <c r="P28" t="s">
        <v>13</v>
      </c>
      <c r="Q28" t="s">
        <v>1023</v>
      </c>
      <c r="R28" t="s">
        <v>1024</v>
      </c>
      <c r="S28" t="s">
        <v>1024</v>
      </c>
      <c r="T28" t="s">
        <v>1024</v>
      </c>
      <c r="U28" t="s">
        <v>1024</v>
      </c>
      <c r="V28" t="s">
        <v>1024</v>
      </c>
      <c r="W28" t="s">
        <v>983</v>
      </c>
      <c r="X28">
        <v>0</v>
      </c>
    </row>
    <row r="29" spans="1:24" x14ac:dyDescent="0.3">
      <c r="A29" s="55" t="str">
        <f t="shared" si="1"/>
        <v>ENTITY_CLLCTN_MD</v>
      </c>
      <c r="B29" t="s">
        <v>867</v>
      </c>
      <c r="C29" t="s">
        <v>90</v>
      </c>
      <c r="D29" t="s">
        <v>0</v>
      </c>
      <c r="E29" t="s">
        <v>24</v>
      </c>
      <c r="F29" t="s">
        <v>53</v>
      </c>
      <c r="G29" t="s">
        <v>54</v>
      </c>
      <c r="I29" t="s">
        <v>7</v>
      </c>
      <c r="J29" s="15">
        <v>45450</v>
      </c>
      <c r="K29" t="s">
        <v>24</v>
      </c>
      <c r="L29" t="str">
        <f t="shared" si="2"/>
        <v>OK</v>
      </c>
      <c r="P29" t="s">
        <v>55</v>
      </c>
      <c r="Q29" t="s">
        <v>1023</v>
      </c>
      <c r="R29" t="s">
        <v>1024</v>
      </c>
      <c r="S29" t="s">
        <v>1024</v>
      </c>
      <c r="T29" t="s">
        <v>1024</v>
      </c>
      <c r="U29" t="s">
        <v>1024</v>
      </c>
      <c r="V29" t="s">
        <v>1024</v>
      </c>
      <c r="W29" t="s">
        <v>983</v>
      </c>
      <c r="X29">
        <v>0</v>
      </c>
    </row>
    <row r="30" spans="1:24" x14ac:dyDescent="0.3">
      <c r="A30" s="55" t="str">
        <f t="shared" si="1"/>
        <v>ENTITY_TTL_INTRST_PD</v>
      </c>
      <c r="B30" t="s">
        <v>867</v>
      </c>
      <c r="C30" t="s">
        <v>436</v>
      </c>
      <c r="D30" t="s">
        <v>0</v>
      </c>
      <c r="E30" t="s">
        <v>10</v>
      </c>
      <c r="F30" t="s">
        <v>67</v>
      </c>
      <c r="G30" t="s">
        <v>389</v>
      </c>
      <c r="I30" t="s">
        <v>11</v>
      </c>
      <c r="J30" s="15">
        <v>45450</v>
      </c>
      <c r="K30" t="s">
        <v>10</v>
      </c>
      <c r="L30" t="str">
        <f t="shared" si="2"/>
        <v>NOK</v>
      </c>
      <c r="P30" t="s">
        <v>13</v>
      </c>
      <c r="Q30" t="s">
        <v>1023</v>
      </c>
      <c r="R30" t="s">
        <v>1024</v>
      </c>
      <c r="S30" t="s">
        <v>1024</v>
      </c>
      <c r="T30" t="s">
        <v>1024</v>
      </c>
      <c r="U30" t="s">
        <v>1024</v>
      </c>
      <c r="V30" t="s">
        <v>1023</v>
      </c>
      <c r="W30" t="s">
        <v>1022</v>
      </c>
      <c r="X30" t="s">
        <v>1028</v>
      </c>
    </row>
    <row r="31" spans="1:24" x14ac:dyDescent="0.3">
      <c r="A31" s="55" t="str">
        <f t="shared" si="1"/>
        <v>INSTRUMENT_CMMTMNT_INCPTN_INSTRMNT</v>
      </c>
      <c r="B31" t="s">
        <v>659</v>
      </c>
      <c r="C31" t="s">
        <v>92</v>
      </c>
      <c r="D31" t="s">
        <v>1</v>
      </c>
      <c r="E31" t="s">
        <v>21</v>
      </c>
      <c r="F31" t="s">
        <v>67</v>
      </c>
      <c r="G31" t="s">
        <v>93</v>
      </c>
      <c r="I31" t="s">
        <v>11</v>
      </c>
      <c r="J31" s="15">
        <v>45450</v>
      </c>
      <c r="K31" t="s">
        <v>21</v>
      </c>
      <c r="L31" t="str">
        <f t="shared" si="2"/>
        <v>NOK</v>
      </c>
      <c r="P31" t="s">
        <v>9</v>
      </c>
      <c r="Q31" t="s">
        <v>1023</v>
      </c>
      <c r="R31" t="s">
        <v>1024</v>
      </c>
      <c r="S31" t="s">
        <v>1024</v>
      </c>
      <c r="T31" t="s">
        <v>1024</v>
      </c>
      <c r="U31" t="s">
        <v>1024</v>
      </c>
      <c r="V31" t="s">
        <v>1024</v>
      </c>
      <c r="W31" t="s">
        <v>983</v>
      </c>
      <c r="X31">
        <v>0</v>
      </c>
    </row>
    <row r="32" spans="1:24" x14ac:dyDescent="0.3">
      <c r="A32" s="55" t="str">
        <f t="shared" si="1"/>
        <v>PROTECTION_RL_ESTT_CLLTRL_LCTN</v>
      </c>
      <c r="B32" t="s">
        <v>870</v>
      </c>
      <c r="C32" t="s">
        <v>397</v>
      </c>
      <c r="D32" t="s">
        <v>1</v>
      </c>
      <c r="E32" t="s">
        <v>10</v>
      </c>
      <c r="F32" t="s">
        <v>67</v>
      </c>
      <c r="G32" t="s">
        <v>398</v>
      </c>
      <c r="I32" t="s">
        <v>11</v>
      </c>
      <c r="J32" s="15">
        <v>45450</v>
      </c>
      <c r="K32" t="s">
        <v>10</v>
      </c>
      <c r="L32" t="str">
        <f t="shared" si="2"/>
        <v>NOK</v>
      </c>
      <c r="P32" t="s">
        <v>13</v>
      </c>
      <c r="Q32" t="s">
        <v>1023</v>
      </c>
      <c r="R32" t="s">
        <v>1024</v>
      </c>
      <c r="S32" t="s">
        <v>1023</v>
      </c>
      <c r="T32" t="s">
        <v>1024</v>
      </c>
      <c r="U32" t="s">
        <v>1023</v>
      </c>
      <c r="V32" t="s">
        <v>1024</v>
      </c>
      <c r="W32" t="s">
        <v>983</v>
      </c>
      <c r="X32">
        <v>0</v>
      </c>
    </row>
    <row r="33" spans="1:24" s="9" customFormat="1" x14ac:dyDescent="0.3">
      <c r="A33" s="55" t="str">
        <f t="shared" si="1"/>
        <v>INSTRUMENT_CMPLNT_MRTR_C19_NM</v>
      </c>
      <c r="B33" t="s">
        <v>659</v>
      </c>
      <c r="C33" t="s">
        <v>95</v>
      </c>
      <c r="D33" t="s">
        <v>0</v>
      </c>
      <c r="E33" t="s">
        <v>24</v>
      </c>
      <c r="F33" t="s">
        <v>53</v>
      </c>
      <c r="G33" t="s">
        <v>54</v>
      </c>
      <c r="H33"/>
      <c r="I33" t="s">
        <v>7</v>
      </c>
      <c r="J33" s="15">
        <v>45450</v>
      </c>
      <c r="K33" t="s">
        <v>24</v>
      </c>
      <c r="L33" t="str">
        <f t="shared" si="2"/>
        <v>OK</v>
      </c>
      <c r="P33" t="s">
        <v>55</v>
      </c>
      <c r="Q33" t="s">
        <v>1023</v>
      </c>
      <c r="R33" t="s">
        <v>1024</v>
      </c>
      <c r="S33" t="s">
        <v>1024</v>
      </c>
      <c r="T33" t="s">
        <v>1024</v>
      </c>
      <c r="U33" t="s">
        <v>1024</v>
      </c>
      <c r="V33" t="s">
        <v>1024</v>
      </c>
      <c r="W33" t="s">
        <v>983</v>
      </c>
      <c r="X33">
        <v>0</v>
      </c>
    </row>
    <row r="34" spans="1:24" x14ac:dyDescent="0.3">
      <c r="A34" s="55" t="str">
        <f t="shared" si="1"/>
        <v>INSTRUMENT_CNSMPTN_FNRP18</v>
      </c>
      <c r="B34" t="s">
        <v>659</v>
      </c>
      <c r="C34" t="s">
        <v>97</v>
      </c>
      <c r="D34" t="s">
        <v>0</v>
      </c>
      <c r="E34" t="s">
        <v>24</v>
      </c>
      <c r="F34" t="s">
        <v>53</v>
      </c>
      <c r="G34" t="s">
        <v>54</v>
      </c>
      <c r="I34" t="s">
        <v>7</v>
      </c>
      <c r="J34" s="15">
        <v>45450</v>
      </c>
      <c r="K34" t="s">
        <v>24</v>
      </c>
      <c r="L34" t="str">
        <f t="shared" si="2"/>
        <v>OK</v>
      </c>
      <c r="P34" t="s">
        <v>55</v>
      </c>
      <c r="Q34" t="s">
        <v>1023</v>
      </c>
      <c r="R34" t="s">
        <v>1024</v>
      </c>
      <c r="S34" t="s">
        <v>1024</v>
      </c>
      <c r="T34" t="s">
        <v>1024</v>
      </c>
      <c r="U34" t="s">
        <v>1024</v>
      </c>
      <c r="V34" t="s">
        <v>1024</v>
      </c>
      <c r="W34" t="s">
        <v>983</v>
      </c>
      <c r="X34">
        <v>0</v>
      </c>
    </row>
    <row r="35" spans="1:24" x14ac:dyDescent="0.3">
      <c r="A35" s="55" t="str">
        <f t="shared" si="1"/>
        <v>PROTECTION_DT_APPRSL_PRVS</v>
      </c>
      <c r="B35" t="s">
        <v>870</v>
      </c>
      <c r="C35" s="10" t="s">
        <v>27</v>
      </c>
      <c r="D35" t="s">
        <v>1</v>
      </c>
      <c r="E35" t="s">
        <v>832</v>
      </c>
      <c r="F35" t="s">
        <v>67</v>
      </c>
      <c r="G35" t="s">
        <v>143</v>
      </c>
      <c r="H35" t="s">
        <v>144</v>
      </c>
      <c r="I35" t="s">
        <v>7</v>
      </c>
      <c r="J35" s="15">
        <v>45670</v>
      </c>
      <c r="K35" t="s">
        <v>24</v>
      </c>
      <c r="L35" t="s">
        <v>53</v>
      </c>
      <c r="M35" t="s">
        <v>1036</v>
      </c>
      <c r="N35" s="15">
        <v>45485</v>
      </c>
      <c r="O35" s="15">
        <v>45646</v>
      </c>
      <c r="P35" t="s">
        <v>22</v>
      </c>
      <c r="Q35" t="s">
        <v>1023</v>
      </c>
      <c r="R35" t="s">
        <v>1024</v>
      </c>
      <c r="S35" t="s">
        <v>1024</v>
      </c>
      <c r="T35" t="s">
        <v>1024</v>
      </c>
      <c r="U35" t="s">
        <v>1024</v>
      </c>
      <c r="V35" t="s">
        <v>1024</v>
      </c>
      <c r="W35" t="s">
        <v>983</v>
      </c>
      <c r="X35">
        <v>0</v>
      </c>
    </row>
    <row r="36" spans="1:24" x14ac:dyDescent="0.3">
      <c r="A36" s="55" t="str">
        <f t="shared" si="1"/>
        <v>INSTRUMENT_CNTRCT_ID</v>
      </c>
      <c r="B36" t="s">
        <v>659</v>
      </c>
      <c r="C36" t="s">
        <v>100</v>
      </c>
      <c r="D36" t="s">
        <v>1</v>
      </c>
      <c r="E36" t="s">
        <v>24</v>
      </c>
      <c r="F36" t="s">
        <v>53</v>
      </c>
      <c r="G36" t="s">
        <v>54</v>
      </c>
      <c r="I36" t="s">
        <v>7</v>
      </c>
      <c r="J36" s="15">
        <v>45450</v>
      </c>
      <c r="K36" t="s">
        <v>24</v>
      </c>
      <c r="L36" t="str">
        <f t="shared" ref="L36:L70" si="3">F36</f>
        <v>OK</v>
      </c>
      <c r="P36" t="s">
        <v>55</v>
      </c>
      <c r="Q36" t="s">
        <v>1023</v>
      </c>
      <c r="R36" t="s">
        <v>1024</v>
      </c>
      <c r="S36" t="s">
        <v>1024</v>
      </c>
      <c r="T36" t="s">
        <v>1024</v>
      </c>
      <c r="U36" t="s">
        <v>1024</v>
      </c>
      <c r="V36" t="s">
        <v>1024</v>
      </c>
      <c r="W36" t="s">
        <v>983</v>
      </c>
      <c r="X36">
        <v>0</v>
      </c>
    </row>
    <row r="37" spans="1:24" x14ac:dyDescent="0.3">
      <c r="A37" s="55" t="str">
        <f t="shared" si="1"/>
        <v>INSTRUMENT_CNTRCT_ID_BDR</v>
      </c>
      <c r="B37" t="s">
        <v>659</v>
      </c>
      <c r="C37" t="s">
        <v>101</v>
      </c>
      <c r="D37" t="s">
        <v>0</v>
      </c>
      <c r="E37" t="s">
        <v>24</v>
      </c>
      <c r="F37" t="s">
        <v>53</v>
      </c>
      <c r="G37" t="s">
        <v>54</v>
      </c>
      <c r="I37" t="s">
        <v>7</v>
      </c>
      <c r="J37" s="15">
        <v>45450</v>
      </c>
      <c r="K37" t="s">
        <v>24</v>
      </c>
      <c r="L37" t="str">
        <f t="shared" si="3"/>
        <v>OK</v>
      </c>
      <c r="P37" t="s">
        <v>55</v>
      </c>
      <c r="Q37" t="s">
        <v>1023</v>
      </c>
      <c r="R37" t="s">
        <v>1024</v>
      </c>
      <c r="S37" t="s">
        <v>1024</v>
      </c>
      <c r="T37" t="s">
        <v>1024</v>
      </c>
      <c r="U37" t="s">
        <v>1024</v>
      </c>
      <c r="V37" t="s">
        <v>1024</v>
      </c>
      <c r="W37" t="s">
        <v>983</v>
      </c>
      <c r="X37">
        <v>0</v>
      </c>
    </row>
    <row r="38" spans="1:24" x14ac:dyDescent="0.3">
      <c r="A38" s="55" t="str">
        <f t="shared" si="1"/>
        <v>ENTITY_CNTRY</v>
      </c>
      <c r="B38" t="s">
        <v>867</v>
      </c>
      <c r="C38" t="s">
        <v>102</v>
      </c>
      <c r="D38" t="s">
        <v>1</v>
      </c>
      <c r="E38" t="s">
        <v>24</v>
      </c>
      <c r="F38" t="s">
        <v>53</v>
      </c>
      <c r="G38" t="s">
        <v>54</v>
      </c>
      <c r="I38" t="s">
        <v>7</v>
      </c>
      <c r="J38" s="15">
        <v>45450</v>
      </c>
      <c r="K38" t="s">
        <v>24</v>
      </c>
      <c r="L38" t="str">
        <f t="shared" si="3"/>
        <v>OK</v>
      </c>
      <c r="P38" t="s">
        <v>55</v>
      </c>
      <c r="Q38" t="s">
        <v>1023</v>
      </c>
      <c r="R38" t="s">
        <v>1024</v>
      </c>
      <c r="S38" t="s">
        <v>1023</v>
      </c>
      <c r="T38" t="s">
        <v>1024</v>
      </c>
      <c r="U38" t="s">
        <v>1023</v>
      </c>
      <c r="V38" t="s">
        <v>1023</v>
      </c>
      <c r="W38" t="s">
        <v>983</v>
      </c>
      <c r="X38" t="s">
        <v>1025</v>
      </c>
    </row>
    <row r="39" spans="1:24" x14ac:dyDescent="0.3">
      <c r="A39" s="55" t="str">
        <f t="shared" si="1"/>
        <v>ENTITY_COD_SOC</v>
      </c>
      <c r="B39" t="s">
        <v>867</v>
      </c>
      <c r="C39" t="s">
        <v>103</v>
      </c>
      <c r="D39" t="s">
        <v>1</v>
      </c>
      <c r="E39" t="s">
        <v>24</v>
      </c>
      <c r="F39" t="s">
        <v>53</v>
      </c>
      <c r="G39" t="s">
        <v>54</v>
      </c>
      <c r="I39" t="s">
        <v>7</v>
      </c>
      <c r="J39" s="15">
        <v>45450</v>
      </c>
      <c r="K39" t="s">
        <v>24</v>
      </c>
      <c r="L39" t="str">
        <f t="shared" si="3"/>
        <v>OK</v>
      </c>
      <c r="P39" t="s">
        <v>55</v>
      </c>
      <c r="Q39" t="s">
        <v>1023</v>
      </c>
      <c r="R39" t="s">
        <v>1024</v>
      </c>
      <c r="S39" t="s">
        <v>1023</v>
      </c>
      <c r="T39" t="s">
        <v>1024</v>
      </c>
      <c r="U39" t="s">
        <v>1023</v>
      </c>
      <c r="V39" t="s">
        <v>1023</v>
      </c>
      <c r="W39" t="s">
        <v>983</v>
      </c>
      <c r="X39" t="s">
        <v>1025</v>
      </c>
    </row>
    <row r="40" spans="1:24" x14ac:dyDescent="0.3">
      <c r="A40" s="55" t="str">
        <f t="shared" si="1"/>
        <v>INSTR_ENTITY_COD_SOC</v>
      </c>
      <c r="B40" t="s">
        <v>868</v>
      </c>
      <c r="C40" t="s">
        <v>103</v>
      </c>
      <c r="D40" t="s">
        <v>1</v>
      </c>
      <c r="E40" t="s">
        <v>24</v>
      </c>
      <c r="F40" t="s">
        <v>53</v>
      </c>
      <c r="G40" t="s">
        <v>54</v>
      </c>
      <c r="I40" t="s">
        <v>7</v>
      </c>
      <c r="J40" s="15">
        <v>45450</v>
      </c>
      <c r="K40" t="s">
        <v>24</v>
      </c>
      <c r="L40" t="str">
        <f t="shared" si="3"/>
        <v>OK</v>
      </c>
      <c r="P40" t="s">
        <v>55</v>
      </c>
      <c r="Q40" t="s">
        <v>1023</v>
      </c>
      <c r="R40" t="s">
        <v>1024</v>
      </c>
      <c r="S40" t="s">
        <v>1023</v>
      </c>
      <c r="T40" t="s">
        <v>1024</v>
      </c>
      <c r="U40" t="s">
        <v>1024</v>
      </c>
      <c r="V40" t="s">
        <v>1023</v>
      </c>
      <c r="W40" t="s">
        <v>983</v>
      </c>
      <c r="X40" t="s">
        <v>1025</v>
      </c>
    </row>
    <row r="41" spans="1:24" x14ac:dyDescent="0.3">
      <c r="A41" s="55" t="str">
        <f t="shared" si="1"/>
        <v>INSTR_PROTECTION_COD_SOC</v>
      </c>
      <c r="B41" t="s">
        <v>869</v>
      </c>
      <c r="C41" t="s">
        <v>103</v>
      </c>
      <c r="D41" t="s">
        <v>1</v>
      </c>
      <c r="E41" t="s">
        <v>24</v>
      </c>
      <c r="F41" t="s">
        <v>53</v>
      </c>
      <c r="G41" t="s">
        <v>54</v>
      </c>
      <c r="I41" t="s">
        <v>7</v>
      </c>
      <c r="J41" s="15">
        <v>45450</v>
      </c>
      <c r="K41" t="s">
        <v>24</v>
      </c>
      <c r="L41" t="str">
        <f t="shared" si="3"/>
        <v>OK</v>
      </c>
      <c r="P41" t="s">
        <v>55</v>
      </c>
      <c r="Q41" t="s">
        <v>1023</v>
      </c>
      <c r="R41" t="s">
        <v>1023</v>
      </c>
      <c r="S41" t="s">
        <v>1023</v>
      </c>
      <c r="T41" t="s">
        <v>1024</v>
      </c>
      <c r="U41" t="s">
        <v>1024</v>
      </c>
      <c r="V41" t="s">
        <v>1024</v>
      </c>
      <c r="W41" t="s">
        <v>983</v>
      </c>
      <c r="X41">
        <v>0</v>
      </c>
    </row>
    <row r="42" spans="1:24" x14ac:dyDescent="0.3">
      <c r="A42" s="55" t="str">
        <f t="shared" si="1"/>
        <v>INSTRUMENT_COD_SOC</v>
      </c>
      <c r="B42" t="s">
        <v>659</v>
      </c>
      <c r="C42" t="s">
        <v>103</v>
      </c>
      <c r="D42" t="s">
        <v>1</v>
      </c>
      <c r="E42" t="s">
        <v>24</v>
      </c>
      <c r="F42" t="s">
        <v>53</v>
      </c>
      <c r="G42" t="s">
        <v>54</v>
      </c>
      <c r="I42" t="s">
        <v>7</v>
      </c>
      <c r="J42" s="15">
        <v>45450</v>
      </c>
      <c r="K42" t="s">
        <v>24</v>
      </c>
      <c r="L42" t="str">
        <f t="shared" si="3"/>
        <v>OK</v>
      </c>
      <c r="P42" t="s">
        <v>55</v>
      </c>
      <c r="Q42" t="s">
        <v>1023</v>
      </c>
      <c r="R42" t="s">
        <v>1023</v>
      </c>
      <c r="S42" t="s">
        <v>1023</v>
      </c>
      <c r="T42" t="s">
        <v>1024</v>
      </c>
      <c r="U42" t="s">
        <v>1023</v>
      </c>
      <c r="V42" t="s">
        <v>1023</v>
      </c>
      <c r="W42" t="s">
        <v>983</v>
      </c>
      <c r="X42" t="s">
        <v>1025</v>
      </c>
    </row>
    <row r="43" spans="1:24" x14ac:dyDescent="0.3">
      <c r="A43" s="55" t="str">
        <f t="shared" si="1"/>
        <v>PROTECTION_COD_SOC</v>
      </c>
      <c r="B43" t="s">
        <v>870</v>
      </c>
      <c r="C43" t="s">
        <v>103</v>
      </c>
      <c r="D43" t="s">
        <v>1</v>
      </c>
      <c r="E43" t="s">
        <v>24</v>
      </c>
      <c r="F43" t="s">
        <v>53</v>
      </c>
      <c r="G43" t="s">
        <v>54</v>
      </c>
      <c r="I43" t="s">
        <v>7</v>
      </c>
      <c r="J43" s="15">
        <v>45450</v>
      </c>
      <c r="K43" t="s">
        <v>24</v>
      </c>
      <c r="L43" t="str">
        <f t="shared" si="3"/>
        <v>OK</v>
      </c>
      <c r="P43" t="s">
        <v>55</v>
      </c>
      <c r="Q43" t="s">
        <v>1023</v>
      </c>
      <c r="R43" t="s">
        <v>1023</v>
      </c>
      <c r="S43" t="s">
        <v>1023</v>
      </c>
      <c r="T43" t="s">
        <v>1024</v>
      </c>
      <c r="U43" t="s">
        <v>1023</v>
      </c>
      <c r="V43" t="s">
        <v>1024</v>
      </c>
      <c r="W43" t="s">
        <v>983</v>
      </c>
      <c r="X43">
        <v>0</v>
      </c>
    </row>
    <row r="44" spans="1:24" x14ac:dyDescent="0.3">
      <c r="A44" s="55" t="str">
        <f t="shared" si="1"/>
        <v>INSTRUMENT_COD_SOC_INTRGRP</v>
      </c>
      <c r="B44" t="s">
        <v>659</v>
      </c>
      <c r="C44" t="s">
        <v>104</v>
      </c>
      <c r="D44" t="s">
        <v>1</v>
      </c>
      <c r="E44" t="s">
        <v>829</v>
      </c>
      <c r="F44" t="s">
        <v>67</v>
      </c>
      <c r="G44" t="s">
        <v>89</v>
      </c>
      <c r="I44" t="s">
        <v>11</v>
      </c>
      <c r="J44" s="15">
        <v>45460</v>
      </c>
      <c r="K44" t="s">
        <v>831</v>
      </c>
      <c r="L44" t="str">
        <f t="shared" si="3"/>
        <v>NOK</v>
      </c>
      <c r="N44" s="15">
        <v>45303</v>
      </c>
      <c r="O44" s="15">
        <v>45379</v>
      </c>
      <c r="P44" t="s">
        <v>17</v>
      </c>
      <c r="Q44" t="s">
        <v>1023</v>
      </c>
      <c r="R44" t="s">
        <v>1023</v>
      </c>
      <c r="S44" t="s">
        <v>1024</v>
      </c>
      <c r="T44" t="s">
        <v>1024</v>
      </c>
      <c r="U44" t="s">
        <v>1024</v>
      </c>
      <c r="V44" t="s">
        <v>1024</v>
      </c>
      <c r="W44" t="s">
        <v>983</v>
      </c>
      <c r="X44">
        <v>0</v>
      </c>
    </row>
    <row r="45" spans="1:24" x14ac:dyDescent="0.3">
      <c r="A45" s="55" t="str">
        <f t="shared" si="1"/>
        <v>INSTRUMENT_CPN_CRRNCY</v>
      </c>
      <c r="B45" t="s">
        <v>659</v>
      </c>
      <c r="C45" t="s">
        <v>105</v>
      </c>
      <c r="D45" t="s">
        <v>0</v>
      </c>
      <c r="E45" t="s">
        <v>24</v>
      </c>
      <c r="F45" t="s">
        <v>53</v>
      </c>
      <c r="G45" t="s">
        <v>54</v>
      </c>
      <c r="I45" t="s">
        <v>7</v>
      </c>
      <c r="J45" s="15">
        <v>45450</v>
      </c>
      <c r="K45" t="s">
        <v>24</v>
      </c>
      <c r="L45" t="str">
        <f t="shared" si="3"/>
        <v>OK</v>
      </c>
      <c r="P45" t="s">
        <v>55</v>
      </c>
      <c r="Q45" t="s">
        <v>1023</v>
      </c>
      <c r="R45" t="s">
        <v>1024</v>
      </c>
      <c r="S45" t="s">
        <v>1024</v>
      </c>
      <c r="T45" t="s">
        <v>1024</v>
      </c>
      <c r="U45" t="s">
        <v>1024</v>
      </c>
      <c r="V45" t="s">
        <v>1024</v>
      </c>
      <c r="W45" t="s">
        <v>983</v>
      </c>
      <c r="X45">
        <v>0</v>
      </c>
    </row>
    <row r="46" spans="1:24" x14ac:dyDescent="0.3">
      <c r="A46" s="55" t="str">
        <f t="shared" si="1"/>
        <v>INSTRUMENT_CPN_RT_FXD</v>
      </c>
      <c r="B46" t="s">
        <v>659</v>
      </c>
      <c r="C46" t="s">
        <v>985</v>
      </c>
      <c r="D46" t="s">
        <v>0</v>
      </c>
      <c r="E46" t="s">
        <v>24</v>
      </c>
      <c r="F46" t="s">
        <v>53</v>
      </c>
      <c r="G46" t="s">
        <v>54</v>
      </c>
      <c r="I46" t="s">
        <v>7</v>
      </c>
      <c r="J46" s="15">
        <v>45450</v>
      </c>
      <c r="K46" t="s">
        <v>24</v>
      </c>
      <c r="L46" t="str">
        <f t="shared" si="3"/>
        <v>OK</v>
      </c>
      <c r="P46" t="s">
        <v>55</v>
      </c>
      <c r="Q46" t="s">
        <v>1023</v>
      </c>
      <c r="R46" t="s">
        <v>1024</v>
      </c>
      <c r="S46" t="s">
        <v>1024</v>
      </c>
      <c r="T46" t="s">
        <v>1024</v>
      </c>
      <c r="U46" t="s">
        <v>1024</v>
      </c>
      <c r="V46" t="s">
        <v>1024</v>
      </c>
      <c r="W46" t="s">
        <v>983</v>
      </c>
      <c r="X46">
        <v>0</v>
      </c>
    </row>
    <row r="47" spans="1:24" x14ac:dyDescent="0.3">
      <c r="A47" s="55" t="str">
        <f t="shared" si="1"/>
        <v>ENTITY_CR_FLG</v>
      </c>
      <c r="B47" t="s">
        <v>867</v>
      </c>
      <c r="C47" t="s">
        <v>106</v>
      </c>
      <c r="D47" t="s">
        <v>0</v>
      </c>
      <c r="E47" t="s">
        <v>21</v>
      </c>
      <c r="F47" t="s">
        <v>67</v>
      </c>
      <c r="G47" t="s">
        <v>78</v>
      </c>
      <c r="I47" t="s">
        <v>11</v>
      </c>
      <c r="J47" s="15">
        <v>45450</v>
      </c>
      <c r="K47" t="s">
        <v>21</v>
      </c>
      <c r="L47" t="str">
        <f t="shared" si="3"/>
        <v>NOK</v>
      </c>
      <c r="P47" t="s">
        <v>9</v>
      </c>
      <c r="Q47" t="s">
        <v>1023</v>
      </c>
      <c r="R47" t="s">
        <v>1024</v>
      </c>
      <c r="S47" t="s">
        <v>1024</v>
      </c>
      <c r="T47" t="s">
        <v>1024</v>
      </c>
      <c r="U47" t="s">
        <v>1024</v>
      </c>
      <c r="V47" t="s">
        <v>1024</v>
      </c>
      <c r="W47" t="s">
        <v>983</v>
      </c>
      <c r="X47">
        <v>0</v>
      </c>
    </row>
    <row r="48" spans="1:24" x14ac:dyDescent="0.3">
      <c r="A48" s="55" t="str">
        <f t="shared" si="1"/>
        <v>INSTRUMENT_CRE_FNRP18</v>
      </c>
      <c r="B48" t="s">
        <v>659</v>
      </c>
      <c r="C48" t="s">
        <v>107</v>
      </c>
      <c r="D48" t="s">
        <v>1</v>
      </c>
      <c r="E48" t="s">
        <v>24</v>
      </c>
      <c r="F48" t="s">
        <v>53</v>
      </c>
      <c r="G48" t="s">
        <v>54</v>
      </c>
      <c r="I48" t="s">
        <v>7</v>
      </c>
      <c r="J48" s="15">
        <v>45450</v>
      </c>
      <c r="K48" t="s">
        <v>24</v>
      </c>
      <c r="L48" t="str">
        <f t="shared" si="3"/>
        <v>OK</v>
      </c>
      <c r="P48" t="s">
        <v>55</v>
      </c>
      <c r="Q48" t="s">
        <v>1023</v>
      </c>
      <c r="R48" t="s">
        <v>1024</v>
      </c>
      <c r="S48" t="s">
        <v>1024</v>
      </c>
      <c r="T48" t="s">
        <v>1024</v>
      </c>
      <c r="U48" t="s">
        <v>1024</v>
      </c>
      <c r="V48" t="s">
        <v>1024</v>
      </c>
      <c r="W48" t="s">
        <v>983</v>
      </c>
      <c r="X48">
        <v>0</v>
      </c>
    </row>
    <row r="49" spans="1:24" x14ac:dyDescent="0.3">
      <c r="A49" s="55" t="str">
        <f t="shared" si="1"/>
        <v>PROTECTION_CRE_INCM_CRRNCY</v>
      </c>
      <c r="B49" t="s">
        <v>870</v>
      </c>
      <c r="C49" t="s">
        <v>108</v>
      </c>
      <c r="D49" t="s">
        <v>0</v>
      </c>
      <c r="E49" t="s">
        <v>23</v>
      </c>
      <c r="F49" t="s">
        <v>67</v>
      </c>
      <c r="G49" t="s">
        <v>109</v>
      </c>
      <c r="I49" t="s">
        <v>7</v>
      </c>
      <c r="J49" s="15">
        <v>45450</v>
      </c>
      <c r="K49" t="s">
        <v>23</v>
      </c>
      <c r="L49" t="str">
        <f t="shared" si="3"/>
        <v>NOK</v>
      </c>
      <c r="P49" t="s">
        <v>20</v>
      </c>
      <c r="Q49" t="s">
        <v>1023</v>
      </c>
      <c r="R49" t="s">
        <v>1024</v>
      </c>
      <c r="S49" t="s">
        <v>1024</v>
      </c>
      <c r="T49" t="s">
        <v>1024</v>
      </c>
      <c r="U49" t="s">
        <v>1024</v>
      </c>
      <c r="V49" t="s">
        <v>1024</v>
      </c>
      <c r="W49" t="s">
        <v>983</v>
      </c>
      <c r="X49">
        <v>0</v>
      </c>
    </row>
    <row r="50" spans="1:24" x14ac:dyDescent="0.3">
      <c r="A50" s="55" t="str">
        <f t="shared" si="1"/>
        <v>PROTECTION_CRE_YRLY_EXPNSS</v>
      </c>
      <c r="B50" t="s">
        <v>870</v>
      </c>
      <c r="C50" t="s">
        <v>110</v>
      </c>
      <c r="D50" t="s">
        <v>0</v>
      </c>
      <c r="E50" t="s">
        <v>23</v>
      </c>
      <c r="F50" t="s">
        <v>53</v>
      </c>
      <c r="G50" t="s">
        <v>109</v>
      </c>
      <c r="I50" t="s">
        <v>7</v>
      </c>
      <c r="J50" s="15">
        <v>45450</v>
      </c>
      <c r="K50" t="s">
        <v>23</v>
      </c>
      <c r="L50" t="str">
        <f t="shared" si="3"/>
        <v>OK</v>
      </c>
      <c r="P50" t="s">
        <v>20</v>
      </c>
      <c r="Q50" t="s">
        <v>1023</v>
      </c>
      <c r="R50" t="s">
        <v>1024</v>
      </c>
      <c r="S50" t="s">
        <v>1024</v>
      </c>
      <c r="T50" t="s">
        <v>1024</v>
      </c>
      <c r="U50" t="s">
        <v>1024</v>
      </c>
      <c r="V50" t="s">
        <v>1024</v>
      </c>
      <c r="W50" t="s">
        <v>983</v>
      </c>
      <c r="X50">
        <v>0</v>
      </c>
    </row>
    <row r="51" spans="1:24" x14ac:dyDescent="0.3">
      <c r="A51" s="55" t="str">
        <f t="shared" si="1"/>
        <v>PROTECTION_CRE_YRLY_INCM</v>
      </c>
      <c r="B51" t="s">
        <v>870</v>
      </c>
      <c r="C51" t="s">
        <v>111</v>
      </c>
      <c r="D51" t="s">
        <v>0</v>
      </c>
      <c r="E51" t="s">
        <v>23</v>
      </c>
      <c r="F51" t="s">
        <v>53</v>
      </c>
      <c r="G51" t="s">
        <v>109</v>
      </c>
      <c r="I51" t="s">
        <v>7</v>
      </c>
      <c r="J51" s="15">
        <v>45450</v>
      </c>
      <c r="K51" t="s">
        <v>23</v>
      </c>
      <c r="L51" t="str">
        <f t="shared" si="3"/>
        <v>OK</v>
      </c>
      <c r="P51" t="s">
        <v>20</v>
      </c>
      <c r="Q51" t="s">
        <v>1023</v>
      </c>
      <c r="R51" t="s">
        <v>1024</v>
      </c>
      <c r="S51" t="s">
        <v>1024</v>
      </c>
      <c r="T51" t="s">
        <v>1024</v>
      </c>
      <c r="U51" t="s">
        <v>1024</v>
      </c>
      <c r="V51" t="s">
        <v>1024</v>
      </c>
      <c r="W51" t="s">
        <v>983</v>
      </c>
      <c r="X51">
        <v>0</v>
      </c>
    </row>
    <row r="52" spans="1:24" x14ac:dyDescent="0.3">
      <c r="A52" s="55" t="str">
        <f t="shared" si="1"/>
        <v>INSTRUMENT_CRRLTN_CFFCNT</v>
      </c>
      <c r="B52" t="s">
        <v>659</v>
      </c>
      <c r="C52" t="s">
        <v>112</v>
      </c>
      <c r="D52" t="s">
        <v>0</v>
      </c>
      <c r="E52" t="s">
        <v>21</v>
      </c>
      <c r="F52" t="s">
        <v>67</v>
      </c>
      <c r="G52" t="s">
        <v>78</v>
      </c>
      <c r="I52" t="s">
        <v>11</v>
      </c>
      <c r="J52" s="15">
        <v>45450</v>
      </c>
      <c r="K52" t="s">
        <v>21</v>
      </c>
      <c r="L52" t="str">
        <f t="shared" si="3"/>
        <v>NOK</v>
      </c>
      <c r="P52" t="s">
        <v>9</v>
      </c>
      <c r="Q52" t="s">
        <v>1023</v>
      </c>
      <c r="R52" t="s">
        <v>1024</v>
      </c>
      <c r="S52" t="s">
        <v>1024</v>
      </c>
      <c r="T52" t="s">
        <v>1024</v>
      </c>
      <c r="U52" t="s">
        <v>1024</v>
      </c>
      <c r="V52" t="s">
        <v>1024</v>
      </c>
      <c r="W52" t="s">
        <v>983</v>
      </c>
      <c r="X52">
        <v>0</v>
      </c>
    </row>
    <row r="53" spans="1:24" x14ac:dyDescent="0.3">
      <c r="A53" s="55" t="str">
        <f t="shared" si="1"/>
        <v>INSTRUMENT_CRRNCY_DNMNTN</v>
      </c>
      <c r="B53" t="s">
        <v>659</v>
      </c>
      <c r="C53" t="s">
        <v>113</v>
      </c>
      <c r="D53" t="s">
        <v>1</v>
      </c>
      <c r="E53" t="s">
        <v>24</v>
      </c>
      <c r="F53" t="s">
        <v>53</v>
      </c>
      <c r="G53" t="s">
        <v>54</v>
      </c>
      <c r="I53" t="s">
        <v>7</v>
      </c>
      <c r="J53" s="15">
        <v>45450</v>
      </c>
      <c r="K53" t="s">
        <v>24</v>
      </c>
      <c r="L53" t="str">
        <f t="shared" si="3"/>
        <v>OK</v>
      </c>
      <c r="P53" t="s">
        <v>55</v>
      </c>
      <c r="Q53" t="s">
        <v>1023</v>
      </c>
      <c r="R53" t="s">
        <v>1024</v>
      </c>
      <c r="S53" t="s">
        <v>1024</v>
      </c>
      <c r="T53" t="s">
        <v>1024</v>
      </c>
      <c r="U53" t="s">
        <v>1024</v>
      </c>
      <c r="V53" t="s">
        <v>1023</v>
      </c>
      <c r="W53" t="s">
        <v>983</v>
      </c>
      <c r="X53" t="s">
        <v>1025</v>
      </c>
    </row>
    <row r="54" spans="1:24" x14ac:dyDescent="0.3">
      <c r="A54" s="55" t="str">
        <f t="shared" si="1"/>
        <v>INSTRUMENT_CRRYNG_AMNT_INSTRMNT</v>
      </c>
      <c r="B54" t="s">
        <v>659</v>
      </c>
      <c r="C54" t="s">
        <v>114</v>
      </c>
      <c r="D54" t="s">
        <v>1</v>
      </c>
      <c r="E54" t="s">
        <v>24</v>
      </c>
      <c r="F54" t="s">
        <v>53</v>
      </c>
      <c r="G54" t="s">
        <v>54</v>
      </c>
      <c r="I54" t="s">
        <v>7</v>
      </c>
      <c r="J54" s="15">
        <v>45450</v>
      </c>
      <c r="K54" t="s">
        <v>24</v>
      </c>
      <c r="L54" t="str">
        <f t="shared" si="3"/>
        <v>OK</v>
      </c>
      <c r="P54" t="s">
        <v>55</v>
      </c>
      <c r="Q54" t="s">
        <v>1023</v>
      </c>
      <c r="R54" t="s">
        <v>1024</v>
      </c>
      <c r="S54" t="s">
        <v>1024</v>
      </c>
      <c r="T54" t="s">
        <v>1024</v>
      </c>
      <c r="U54" t="s">
        <v>1024</v>
      </c>
      <c r="V54" t="s">
        <v>1023</v>
      </c>
      <c r="W54" t="s">
        <v>983</v>
      </c>
      <c r="X54" t="s">
        <v>1025</v>
      </c>
    </row>
    <row r="55" spans="1:24" x14ac:dyDescent="0.3">
      <c r="A55" s="55" t="str">
        <f t="shared" si="1"/>
        <v>ENTITY_CSH</v>
      </c>
      <c r="B55" t="s">
        <v>867</v>
      </c>
      <c r="C55" t="s">
        <v>115</v>
      </c>
      <c r="D55" t="s">
        <v>1</v>
      </c>
      <c r="E55" t="s">
        <v>10</v>
      </c>
      <c r="F55" t="s">
        <v>53</v>
      </c>
      <c r="G55" t="s">
        <v>63</v>
      </c>
      <c r="H55" t="s">
        <v>856</v>
      </c>
      <c r="I55" t="s">
        <v>11</v>
      </c>
      <c r="J55" s="15">
        <v>45450</v>
      </c>
      <c r="K55" t="s">
        <v>10</v>
      </c>
      <c r="L55" t="str">
        <f t="shared" si="3"/>
        <v>OK</v>
      </c>
      <c r="P55" t="s">
        <v>13</v>
      </c>
      <c r="Q55" t="s">
        <v>1023</v>
      </c>
      <c r="R55" t="s">
        <v>1024</v>
      </c>
      <c r="S55" t="s">
        <v>1024</v>
      </c>
      <c r="T55" t="s">
        <v>1024</v>
      </c>
      <c r="U55" t="s">
        <v>1024</v>
      </c>
      <c r="V55" t="s">
        <v>1024</v>
      </c>
      <c r="W55" t="s">
        <v>983</v>
      </c>
      <c r="X55">
        <v>0</v>
      </c>
    </row>
    <row r="56" spans="1:24" x14ac:dyDescent="0.3">
      <c r="A56" s="55" t="str">
        <f t="shared" si="1"/>
        <v>ENTITY_CSH_PRVS</v>
      </c>
      <c r="B56" t="s">
        <v>867</v>
      </c>
      <c r="C56" t="s">
        <v>116</v>
      </c>
      <c r="D56" t="s">
        <v>1</v>
      </c>
      <c r="E56" t="s">
        <v>10</v>
      </c>
      <c r="F56" t="s">
        <v>53</v>
      </c>
      <c r="G56" t="s">
        <v>63</v>
      </c>
      <c r="H56" t="s">
        <v>856</v>
      </c>
      <c r="I56" t="s">
        <v>11</v>
      </c>
      <c r="J56" s="15">
        <v>45450</v>
      </c>
      <c r="K56" t="s">
        <v>10</v>
      </c>
      <c r="L56" t="str">
        <f t="shared" si="3"/>
        <v>OK</v>
      </c>
      <c r="P56" t="s">
        <v>13</v>
      </c>
      <c r="Q56" t="s">
        <v>1023</v>
      </c>
      <c r="R56" t="s">
        <v>1024</v>
      </c>
      <c r="S56" t="s">
        <v>1024</v>
      </c>
      <c r="T56" t="s">
        <v>1024</v>
      </c>
      <c r="U56" t="s">
        <v>1024</v>
      </c>
      <c r="V56" t="s">
        <v>1024</v>
      </c>
      <c r="W56" t="s">
        <v>983</v>
      </c>
      <c r="X56">
        <v>0</v>
      </c>
    </row>
    <row r="57" spans="1:24" x14ac:dyDescent="0.3">
      <c r="A57" s="55" t="str">
        <f t="shared" si="1"/>
        <v>INSTRUMENT_CSH_SWP_TRP</v>
      </c>
      <c r="B57" t="s">
        <v>659</v>
      </c>
      <c r="C57" t="s">
        <v>117</v>
      </c>
      <c r="D57" t="s">
        <v>1</v>
      </c>
      <c r="E57" t="s">
        <v>24</v>
      </c>
      <c r="F57" t="s">
        <v>53</v>
      </c>
      <c r="G57" t="s">
        <v>54</v>
      </c>
      <c r="I57" t="s">
        <v>7</v>
      </c>
      <c r="J57" s="15">
        <v>45450</v>
      </c>
      <c r="K57" t="s">
        <v>24</v>
      </c>
      <c r="L57" t="str">
        <f t="shared" si="3"/>
        <v>OK</v>
      </c>
      <c r="P57" t="s">
        <v>55</v>
      </c>
      <c r="Q57" t="s">
        <v>1023</v>
      </c>
      <c r="R57" t="s">
        <v>1024</v>
      </c>
      <c r="S57" t="s">
        <v>1024</v>
      </c>
      <c r="T57" t="s">
        <v>1024</v>
      </c>
      <c r="U57" t="s">
        <v>1024</v>
      </c>
      <c r="V57" t="s">
        <v>1023</v>
      </c>
      <c r="W57" t="s">
        <v>983</v>
      </c>
      <c r="X57" t="s">
        <v>1025</v>
      </c>
    </row>
    <row r="58" spans="1:24" x14ac:dyDescent="0.3">
      <c r="A58" s="55" t="str">
        <f t="shared" si="1"/>
        <v>INSTRUMENT_CVNNT_STTS</v>
      </c>
      <c r="B58" t="s">
        <v>659</v>
      </c>
      <c r="C58" t="s">
        <v>118</v>
      </c>
      <c r="D58" t="s">
        <v>0</v>
      </c>
      <c r="E58" t="s">
        <v>23</v>
      </c>
      <c r="F58" t="s">
        <v>53</v>
      </c>
      <c r="G58" t="s">
        <v>84</v>
      </c>
      <c r="I58" t="s">
        <v>7</v>
      </c>
      <c r="J58" s="15">
        <v>45450</v>
      </c>
      <c r="K58" t="s">
        <v>23</v>
      </c>
      <c r="L58" t="str">
        <f t="shared" si="3"/>
        <v>OK</v>
      </c>
      <c r="P58" t="s">
        <v>20</v>
      </c>
      <c r="Q58" t="s">
        <v>1023</v>
      </c>
      <c r="R58" t="s">
        <v>1024</v>
      </c>
      <c r="S58" t="s">
        <v>1024</v>
      </c>
      <c r="T58" t="s">
        <v>1024</v>
      </c>
      <c r="U58" t="s">
        <v>1024</v>
      </c>
      <c r="V58" t="s">
        <v>1023</v>
      </c>
      <c r="W58" t="s">
        <v>984</v>
      </c>
      <c r="X58" t="s">
        <v>1030</v>
      </c>
    </row>
    <row r="59" spans="1:24" x14ac:dyDescent="0.3">
      <c r="A59" s="55" t="str">
        <f t="shared" si="1"/>
        <v>INSTRUMENT_CVNNT_TYP</v>
      </c>
      <c r="B59" t="s">
        <v>659</v>
      </c>
      <c r="C59" t="s">
        <v>119</v>
      </c>
      <c r="D59" t="s">
        <v>0</v>
      </c>
      <c r="E59" t="s">
        <v>24</v>
      </c>
      <c r="F59" t="s">
        <v>53</v>
      </c>
      <c r="G59" t="s">
        <v>54</v>
      </c>
      <c r="I59" t="s">
        <v>7</v>
      </c>
      <c r="J59" s="15">
        <v>45450</v>
      </c>
      <c r="K59" t="s">
        <v>24</v>
      </c>
      <c r="L59" t="str">
        <f t="shared" si="3"/>
        <v>OK</v>
      </c>
      <c r="P59" t="s">
        <v>55</v>
      </c>
      <c r="Q59" t="s">
        <v>1023</v>
      </c>
      <c r="R59" t="s">
        <v>1024</v>
      </c>
      <c r="S59" t="s">
        <v>1024</v>
      </c>
      <c r="T59" t="s">
        <v>1024</v>
      </c>
      <c r="U59" t="s">
        <v>1024</v>
      </c>
      <c r="V59" t="s">
        <v>1023</v>
      </c>
      <c r="W59" t="s">
        <v>984</v>
      </c>
      <c r="X59" t="s">
        <v>1030</v>
      </c>
    </row>
    <row r="60" spans="1:24" x14ac:dyDescent="0.3">
      <c r="A60" s="55" t="str">
        <f t="shared" si="1"/>
        <v>ENTITY_DBT_RPYMNT_CPCTY_SNR_DBT</v>
      </c>
      <c r="B60" t="s">
        <v>867</v>
      </c>
      <c r="C60" t="s">
        <v>120</v>
      </c>
      <c r="D60" t="s">
        <v>0</v>
      </c>
      <c r="E60" t="s">
        <v>23</v>
      </c>
      <c r="F60" t="s">
        <v>53</v>
      </c>
      <c r="G60" t="s">
        <v>84</v>
      </c>
      <c r="I60" t="s">
        <v>7</v>
      </c>
      <c r="J60" s="15">
        <v>45450</v>
      </c>
      <c r="K60" t="s">
        <v>23</v>
      </c>
      <c r="L60" t="str">
        <f t="shared" si="3"/>
        <v>OK</v>
      </c>
      <c r="P60" t="s">
        <v>20</v>
      </c>
      <c r="Q60" t="s">
        <v>1023</v>
      </c>
      <c r="R60" t="s">
        <v>1024</v>
      </c>
      <c r="S60" t="s">
        <v>1024</v>
      </c>
      <c r="T60" t="s">
        <v>1024</v>
      </c>
      <c r="U60" t="s">
        <v>1024</v>
      </c>
      <c r="V60" t="s">
        <v>1023</v>
      </c>
      <c r="W60" t="s">
        <v>984</v>
      </c>
      <c r="X60" t="s">
        <v>1030</v>
      </c>
    </row>
    <row r="61" spans="1:24" x14ac:dyDescent="0.3">
      <c r="A61" s="55" t="str">
        <f t="shared" si="1"/>
        <v>ENTITY_DBT_RPYMNT_CPCTY_TTL</v>
      </c>
      <c r="B61" t="s">
        <v>867</v>
      </c>
      <c r="C61" t="s">
        <v>121</v>
      </c>
      <c r="D61" t="s">
        <v>0</v>
      </c>
      <c r="E61" t="s">
        <v>24</v>
      </c>
      <c r="F61" t="s">
        <v>53</v>
      </c>
      <c r="G61" t="s">
        <v>54</v>
      </c>
      <c r="I61" t="s">
        <v>7</v>
      </c>
      <c r="J61" s="15">
        <v>45450</v>
      </c>
      <c r="K61" t="s">
        <v>24</v>
      </c>
      <c r="L61" t="str">
        <f t="shared" si="3"/>
        <v>OK</v>
      </c>
      <c r="P61" t="s">
        <v>55</v>
      </c>
      <c r="Q61" t="s">
        <v>1023</v>
      </c>
      <c r="R61" t="s">
        <v>1024</v>
      </c>
      <c r="S61" t="s">
        <v>1024</v>
      </c>
      <c r="T61" t="s">
        <v>1024</v>
      </c>
      <c r="U61" t="s">
        <v>1024</v>
      </c>
      <c r="V61" t="s">
        <v>1023</v>
      </c>
      <c r="W61" t="s">
        <v>983</v>
      </c>
      <c r="X61" t="s">
        <v>1025</v>
      </c>
    </row>
    <row r="62" spans="1:24" x14ac:dyDescent="0.3">
      <c r="A62" s="55" t="str">
        <f t="shared" si="1"/>
        <v>ENTITY_DBT_SRVC_RT</v>
      </c>
      <c r="B62" t="s">
        <v>867</v>
      </c>
      <c r="C62" t="s">
        <v>122</v>
      </c>
      <c r="D62" t="s">
        <v>1</v>
      </c>
      <c r="E62" t="s">
        <v>10</v>
      </c>
      <c r="F62" t="s">
        <v>53</v>
      </c>
      <c r="G62" t="s">
        <v>63</v>
      </c>
      <c r="H62" t="s">
        <v>856</v>
      </c>
      <c r="I62" t="s">
        <v>11</v>
      </c>
      <c r="J62" s="15">
        <v>45450</v>
      </c>
      <c r="K62" t="s">
        <v>10</v>
      </c>
      <c r="L62" t="str">
        <f t="shared" si="3"/>
        <v>OK</v>
      </c>
      <c r="P62" t="s">
        <v>13</v>
      </c>
      <c r="Q62" t="s">
        <v>1023</v>
      </c>
      <c r="R62" t="s">
        <v>1024</v>
      </c>
      <c r="S62" t="s">
        <v>1024</v>
      </c>
      <c r="T62" t="s">
        <v>1024</v>
      </c>
      <c r="U62" t="s">
        <v>1024</v>
      </c>
      <c r="V62" t="s">
        <v>1024</v>
      </c>
      <c r="W62" t="s">
        <v>983</v>
      </c>
      <c r="X62">
        <v>0</v>
      </c>
    </row>
    <row r="63" spans="1:24" x14ac:dyDescent="0.3">
      <c r="A63" s="55" t="str">
        <f t="shared" si="1"/>
        <v>ENTITY_DBT_SRVC_RT_12M</v>
      </c>
      <c r="B63" t="s">
        <v>867</v>
      </c>
      <c r="C63" t="s">
        <v>123</v>
      </c>
      <c r="D63" t="s">
        <v>1</v>
      </c>
      <c r="E63" t="s">
        <v>10</v>
      </c>
      <c r="F63" t="s">
        <v>53</v>
      </c>
      <c r="G63" t="s">
        <v>63</v>
      </c>
      <c r="H63" t="s">
        <v>856</v>
      </c>
      <c r="I63" t="s">
        <v>11</v>
      </c>
      <c r="J63" s="15">
        <v>45450</v>
      </c>
      <c r="K63" t="s">
        <v>10</v>
      </c>
      <c r="L63" t="str">
        <f t="shared" si="3"/>
        <v>OK</v>
      </c>
      <c r="P63" t="s">
        <v>13</v>
      </c>
      <c r="Q63" t="s">
        <v>1023</v>
      </c>
      <c r="R63" t="s">
        <v>1024</v>
      </c>
      <c r="S63" t="s">
        <v>1024</v>
      </c>
      <c r="T63" t="s">
        <v>1024</v>
      </c>
      <c r="U63" t="s">
        <v>1024</v>
      </c>
      <c r="V63" t="s">
        <v>1024</v>
      </c>
      <c r="W63" t="s">
        <v>983</v>
      </c>
      <c r="X63">
        <v>0</v>
      </c>
    </row>
    <row r="64" spans="1:24" x14ac:dyDescent="0.3">
      <c r="A64" s="55" t="str">
        <f t="shared" si="1"/>
        <v>INSTRUMENT_DBT_YLD</v>
      </c>
      <c r="B64" t="s">
        <v>659</v>
      </c>
      <c r="C64" t="s">
        <v>124</v>
      </c>
      <c r="D64" t="s">
        <v>0</v>
      </c>
      <c r="E64" t="s">
        <v>23</v>
      </c>
      <c r="F64" t="s">
        <v>53</v>
      </c>
      <c r="G64" t="s">
        <v>54</v>
      </c>
      <c r="I64" t="s">
        <v>7</v>
      </c>
      <c r="J64" s="15">
        <v>45450</v>
      </c>
      <c r="K64" t="s">
        <v>23</v>
      </c>
      <c r="L64" t="str">
        <f t="shared" si="3"/>
        <v>OK</v>
      </c>
      <c r="P64" t="s">
        <v>20</v>
      </c>
      <c r="Q64" t="s">
        <v>1023</v>
      </c>
      <c r="R64" t="s">
        <v>1024</v>
      </c>
      <c r="S64" t="s">
        <v>1024</v>
      </c>
      <c r="T64" t="s">
        <v>1024</v>
      </c>
      <c r="U64" t="s">
        <v>1024</v>
      </c>
      <c r="V64" t="s">
        <v>1024</v>
      </c>
      <c r="W64" t="s">
        <v>983</v>
      </c>
      <c r="X64">
        <v>0</v>
      </c>
    </row>
    <row r="65" spans="1:24" x14ac:dyDescent="0.3">
      <c r="A65" s="55" t="str">
        <f t="shared" si="1"/>
        <v>ENTITY_DCSD</v>
      </c>
      <c r="B65" t="s">
        <v>867</v>
      </c>
      <c r="C65" t="s">
        <v>125</v>
      </c>
      <c r="D65" t="s">
        <v>0</v>
      </c>
      <c r="E65" t="s">
        <v>24</v>
      </c>
      <c r="F65" t="s">
        <v>53</v>
      </c>
      <c r="G65" t="s">
        <v>54</v>
      </c>
      <c r="I65" t="s">
        <v>7</v>
      </c>
      <c r="J65" s="15">
        <v>45450</v>
      </c>
      <c r="K65" t="s">
        <v>24</v>
      </c>
      <c r="L65" t="str">
        <f t="shared" si="3"/>
        <v>OK</v>
      </c>
      <c r="P65" t="s">
        <v>55</v>
      </c>
      <c r="Q65" t="s">
        <v>1023</v>
      </c>
      <c r="R65" t="s">
        <v>1024</v>
      </c>
      <c r="S65" t="s">
        <v>1024</v>
      </c>
      <c r="T65" t="s">
        <v>1024</v>
      </c>
      <c r="U65" t="s">
        <v>1024</v>
      </c>
      <c r="V65" t="s">
        <v>1024</v>
      </c>
      <c r="W65" t="s">
        <v>983</v>
      </c>
      <c r="X65">
        <v>0</v>
      </c>
    </row>
    <row r="66" spans="1:24" x14ac:dyDescent="0.3">
      <c r="A66" s="55" t="str">
        <f t="shared" si="1"/>
        <v>ENTITY_DFLT_STTS</v>
      </c>
      <c r="B66" t="s">
        <v>867</v>
      </c>
      <c r="C66" s="10" t="s">
        <v>126</v>
      </c>
      <c r="D66" t="s">
        <v>1</v>
      </c>
      <c r="E66" t="s">
        <v>14</v>
      </c>
      <c r="F66" t="s">
        <v>67</v>
      </c>
      <c r="G66" t="s">
        <v>127</v>
      </c>
      <c r="H66" t="s">
        <v>128</v>
      </c>
      <c r="I66" t="s">
        <v>15</v>
      </c>
      <c r="J66" s="15">
        <v>45450</v>
      </c>
      <c r="K66" t="s">
        <v>14</v>
      </c>
      <c r="L66" t="str">
        <f t="shared" si="3"/>
        <v>NOK</v>
      </c>
      <c r="P66" t="s">
        <v>25</v>
      </c>
      <c r="Q66" t="s">
        <v>1023</v>
      </c>
      <c r="R66" t="s">
        <v>1024</v>
      </c>
      <c r="S66" t="s">
        <v>1024</v>
      </c>
      <c r="T66" t="s">
        <v>1024</v>
      </c>
      <c r="U66" t="s">
        <v>1024</v>
      </c>
      <c r="V66" t="s">
        <v>1023</v>
      </c>
      <c r="W66" t="s">
        <v>1022</v>
      </c>
      <c r="X66" t="s">
        <v>1031</v>
      </c>
    </row>
    <row r="67" spans="1:24" x14ac:dyDescent="0.3">
      <c r="A67" s="55" t="str">
        <f t="shared" si="1"/>
        <v>INSTRUMENT_RFNNC_PRPS</v>
      </c>
      <c r="B67" t="s">
        <v>659</v>
      </c>
      <c r="C67" t="s">
        <v>392</v>
      </c>
      <c r="D67" t="s">
        <v>1</v>
      </c>
      <c r="E67" t="s">
        <v>10</v>
      </c>
      <c r="F67" t="s">
        <v>53</v>
      </c>
      <c r="G67" t="s">
        <v>393</v>
      </c>
      <c r="H67" t="s">
        <v>394</v>
      </c>
      <c r="I67" t="s">
        <v>11</v>
      </c>
      <c r="J67" s="15">
        <v>45450</v>
      </c>
      <c r="K67" t="s">
        <v>10</v>
      </c>
      <c r="L67" t="str">
        <f t="shared" si="3"/>
        <v>OK</v>
      </c>
      <c r="P67" t="s">
        <v>13</v>
      </c>
      <c r="Q67" t="s">
        <v>1023</v>
      </c>
      <c r="R67" t="s">
        <v>1024</v>
      </c>
      <c r="S67" t="s">
        <v>1024</v>
      </c>
      <c r="T67" t="s">
        <v>1024</v>
      </c>
      <c r="U67" t="s">
        <v>1024</v>
      </c>
      <c r="V67" t="s">
        <v>1024</v>
      </c>
      <c r="W67" t="s">
        <v>983</v>
      </c>
      <c r="X67">
        <v>0</v>
      </c>
    </row>
    <row r="68" spans="1:24" x14ac:dyDescent="0.3">
      <c r="A68" s="55" t="str">
        <f t="shared" si="1"/>
        <v>INSTRUMENT_DPD</v>
      </c>
      <c r="B68" t="s">
        <v>659</v>
      </c>
      <c r="C68" t="s">
        <v>131</v>
      </c>
      <c r="D68" t="s">
        <v>1</v>
      </c>
      <c r="E68" t="s">
        <v>21</v>
      </c>
      <c r="F68" t="s">
        <v>67</v>
      </c>
      <c r="G68" t="s">
        <v>78</v>
      </c>
      <c r="I68" t="s">
        <v>11</v>
      </c>
      <c r="J68" s="15">
        <v>45450</v>
      </c>
      <c r="K68" t="s">
        <v>21</v>
      </c>
      <c r="L68" t="str">
        <f t="shared" si="3"/>
        <v>NOK</v>
      </c>
      <c r="P68" t="s">
        <v>9</v>
      </c>
      <c r="Q68" t="s">
        <v>1023</v>
      </c>
      <c r="R68" t="s">
        <v>1024</v>
      </c>
      <c r="S68" t="s">
        <v>1024</v>
      </c>
      <c r="T68" t="s">
        <v>1024</v>
      </c>
      <c r="U68" t="s">
        <v>1024</v>
      </c>
      <c r="V68" t="s">
        <v>1023</v>
      </c>
      <c r="W68" t="s">
        <v>1022</v>
      </c>
      <c r="X68" t="s">
        <v>1029</v>
      </c>
    </row>
    <row r="69" spans="1:24" x14ac:dyDescent="0.3">
      <c r="A69" s="55" t="str">
        <f t="shared" si="1"/>
        <v>INSTRUMENT_DPD_12M</v>
      </c>
      <c r="B69" t="s">
        <v>659</v>
      </c>
      <c r="C69" t="s">
        <v>132</v>
      </c>
      <c r="D69" t="s">
        <v>1</v>
      </c>
      <c r="E69" t="s">
        <v>21</v>
      </c>
      <c r="F69" t="s">
        <v>67</v>
      </c>
      <c r="G69" t="s">
        <v>78</v>
      </c>
      <c r="I69" t="s">
        <v>11</v>
      </c>
      <c r="J69" s="15">
        <v>45450</v>
      </c>
      <c r="K69" t="s">
        <v>21</v>
      </c>
      <c r="L69" t="str">
        <f t="shared" si="3"/>
        <v>NOK</v>
      </c>
      <c r="P69" t="s">
        <v>9</v>
      </c>
      <c r="Q69" t="s">
        <v>1023</v>
      </c>
      <c r="R69" t="s">
        <v>1024</v>
      </c>
      <c r="S69" t="s">
        <v>1024</v>
      </c>
      <c r="T69" t="s">
        <v>1024</v>
      </c>
      <c r="U69" t="s">
        <v>1024</v>
      </c>
      <c r="V69" t="s">
        <v>1024</v>
      </c>
      <c r="W69" t="s">
        <v>983</v>
      </c>
      <c r="X69">
        <v>0</v>
      </c>
    </row>
    <row r="70" spans="1:24" x14ac:dyDescent="0.3">
      <c r="A70" s="55" t="str">
        <f t="shared" ref="A70:A133" si="4">B70&amp;"_"&amp;C70</f>
        <v>INSTRUMENT_DPD_12M_FRBRNC_STTS</v>
      </c>
      <c r="B70" t="s">
        <v>659</v>
      </c>
      <c r="C70" t="s">
        <v>133</v>
      </c>
      <c r="D70" t="s">
        <v>1</v>
      </c>
      <c r="E70" t="s">
        <v>831</v>
      </c>
      <c r="F70" t="s">
        <v>67</v>
      </c>
      <c r="G70" t="s">
        <v>134</v>
      </c>
      <c r="I70" t="s">
        <v>11</v>
      </c>
      <c r="J70" s="15">
        <v>45450</v>
      </c>
      <c r="K70" t="s">
        <v>831</v>
      </c>
      <c r="L70" t="str">
        <f t="shared" si="3"/>
        <v>NOK</v>
      </c>
      <c r="N70" s="15">
        <v>44679</v>
      </c>
      <c r="O70" s="15">
        <v>44700</v>
      </c>
      <c r="P70" t="s">
        <v>13</v>
      </c>
      <c r="Q70" t="s">
        <v>1023</v>
      </c>
      <c r="R70" t="s">
        <v>1024</v>
      </c>
      <c r="S70" t="s">
        <v>1024</v>
      </c>
      <c r="T70" t="s">
        <v>1024</v>
      </c>
      <c r="U70" t="s">
        <v>1024</v>
      </c>
      <c r="V70" t="s">
        <v>1024</v>
      </c>
      <c r="W70" t="s">
        <v>983</v>
      </c>
      <c r="X70">
        <v>0</v>
      </c>
    </row>
    <row r="71" spans="1:24" x14ac:dyDescent="0.3">
      <c r="A71" s="55" t="str">
        <f t="shared" si="4"/>
        <v>INSTRUMENT_DPD_12M_PRFRMNG_STTS</v>
      </c>
      <c r="B71" t="s">
        <v>659</v>
      </c>
      <c r="C71" s="11" t="s">
        <v>135</v>
      </c>
      <c r="D71" t="s">
        <v>1</v>
      </c>
      <c r="E71" t="s">
        <v>831</v>
      </c>
      <c r="F71" t="s">
        <v>67</v>
      </c>
      <c r="G71" t="s">
        <v>136</v>
      </c>
      <c r="I71" t="s">
        <v>15</v>
      </c>
      <c r="J71" s="15">
        <v>45670</v>
      </c>
      <c r="K71" t="s">
        <v>831</v>
      </c>
      <c r="L71" t="s">
        <v>53</v>
      </c>
      <c r="M71" t="s">
        <v>1049</v>
      </c>
      <c r="N71" s="15">
        <v>45562</v>
      </c>
      <c r="O71" s="15"/>
      <c r="P71" t="s">
        <v>25</v>
      </c>
      <c r="Q71" t="s">
        <v>1023</v>
      </c>
      <c r="R71" t="s">
        <v>1024</v>
      </c>
      <c r="S71" t="s">
        <v>1024</v>
      </c>
      <c r="T71" t="s">
        <v>1024</v>
      </c>
      <c r="U71" t="s">
        <v>1024</v>
      </c>
      <c r="V71" t="s">
        <v>1024</v>
      </c>
      <c r="W71" t="s">
        <v>983</v>
      </c>
      <c r="X71">
        <v>0</v>
      </c>
    </row>
    <row r="72" spans="1:24" x14ac:dyDescent="0.3">
      <c r="A72" s="55" t="str">
        <f t="shared" si="4"/>
        <v>INSTRUMENT_DPD_24M_FRBRNC_STTS</v>
      </c>
      <c r="B72" t="s">
        <v>659</v>
      </c>
      <c r="C72" t="s">
        <v>137</v>
      </c>
      <c r="D72" t="s">
        <v>1</v>
      </c>
      <c r="E72" t="s">
        <v>21</v>
      </c>
      <c r="F72" t="s">
        <v>67</v>
      </c>
      <c r="G72" t="s">
        <v>78</v>
      </c>
      <c r="I72" t="s">
        <v>11</v>
      </c>
      <c r="J72" s="15">
        <v>45450</v>
      </c>
      <c r="K72" t="s">
        <v>21</v>
      </c>
      <c r="L72" t="str">
        <f>F72</f>
        <v>NOK</v>
      </c>
      <c r="N72" s="15"/>
      <c r="O72" s="15"/>
      <c r="P72" t="s">
        <v>9</v>
      </c>
      <c r="Q72" t="s">
        <v>1023</v>
      </c>
      <c r="R72" t="s">
        <v>1024</v>
      </c>
      <c r="S72" t="s">
        <v>1024</v>
      </c>
      <c r="T72" t="s">
        <v>1024</v>
      </c>
      <c r="U72" t="s">
        <v>1024</v>
      </c>
      <c r="V72" t="s">
        <v>1024</v>
      </c>
      <c r="W72" t="s">
        <v>983</v>
      </c>
      <c r="X72">
        <v>0</v>
      </c>
    </row>
    <row r="73" spans="1:24" x14ac:dyDescent="0.3">
      <c r="A73" s="55" t="str">
        <f t="shared" si="4"/>
        <v>INSTRUMENT_DPD_24M_PRFRMNG_STTS</v>
      </c>
      <c r="B73" t="s">
        <v>659</v>
      </c>
      <c r="C73" s="11" t="s">
        <v>138</v>
      </c>
      <c r="D73" t="s">
        <v>1</v>
      </c>
      <c r="E73" t="s">
        <v>831</v>
      </c>
      <c r="F73" t="s">
        <v>67</v>
      </c>
      <c r="G73" t="s">
        <v>139</v>
      </c>
      <c r="I73" t="s">
        <v>15</v>
      </c>
      <c r="J73" s="15">
        <v>45670</v>
      </c>
      <c r="K73" t="s">
        <v>831</v>
      </c>
      <c r="L73" t="s">
        <v>53</v>
      </c>
      <c r="M73" t="s">
        <v>1049</v>
      </c>
      <c r="N73" s="15">
        <v>45562</v>
      </c>
      <c r="O73" s="15"/>
      <c r="P73" t="s">
        <v>25</v>
      </c>
      <c r="Q73" t="s">
        <v>1023</v>
      </c>
      <c r="R73" t="s">
        <v>1024</v>
      </c>
      <c r="S73" t="s">
        <v>1024</v>
      </c>
      <c r="T73" t="s">
        <v>1024</v>
      </c>
      <c r="U73" t="s">
        <v>1024</v>
      </c>
      <c r="V73" t="s">
        <v>1024</v>
      </c>
      <c r="W73" t="s">
        <v>983</v>
      </c>
      <c r="X73">
        <v>0</v>
      </c>
    </row>
    <row r="74" spans="1:24" x14ac:dyDescent="0.3">
      <c r="A74" s="55" t="str">
        <f t="shared" si="4"/>
        <v>INSTRUMENT_DPD_FRBRNC_STTS</v>
      </c>
      <c r="B74" t="s">
        <v>659</v>
      </c>
      <c r="C74" t="s">
        <v>140</v>
      </c>
      <c r="D74" t="s">
        <v>1</v>
      </c>
      <c r="E74" t="s">
        <v>21</v>
      </c>
      <c r="F74" t="s">
        <v>67</v>
      </c>
      <c r="G74" t="s">
        <v>78</v>
      </c>
      <c r="I74" t="s">
        <v>11</v>
      </c>
      <c r="J74" s="15">
        <v>45450</v>
      </c>
      <c r="K74" t="s">
        <v>21</v>
      </c>
      <c r="L74" t="str">
        <f>F74</f>
        <v>NOK</v>
      </c>
      <c r="N74" s="15"/>
      <c r="O74" s="15"/>
      <c r="P74" t="s">
        <v>9</v>
      </c>
      <c r="Q74" t="s">
        <v>1023</v>
      </c>
      <c r="R74" t="s">
        <v>1024</v>
      </c>
      <c r="S74" t="s">
        <v>1024</v>
      </c>
      <c r="T74" t="s">
        <v>1024</v>
      </c>
      <c r="U74" t="s">
        <v>1024</v>
      </c>
      <c r="V74" t="s">
        <v>1024</v>
      </c>
      <c r="W74" t="s">
        <v>983</v>
      </c>
      <c r="X74">
        <v>0</v>
      </c>
    </row>
    <row r="75" spans="1:24" x14ac:dyDescent="0.3">
      <c r="A75" s="55" t="str">
        <f t="shared" si="4"/>
        <v>INSTRUMENT_DPD_PRFRMNG_STTS</v>
      </c>
      <c r="B75" t="s">
        <v>659</v>
      </c>
      <c r="C75" s="11" t="s">
        <v>141</v>
      </c>
      <c r="D75" t="s">
        <v>1</v>
      </c>
      <c r="E75" t="s">
        <v>831</v>
      </c>
      <c r="F75" t="s">
        <v>53</v>
      </c>
      <c r="G75" t="s">
        <v>139</v>
      </c>
      <c r="I75" t="s">
        <v>15</v>
      </c>
      <c r="J75" s="15">
        <v>45670</v>
      </c>
      <c r="K75" t="s">
        <v>831</v>
      </c>
      <c r="L75" t="str">
        <f>F75</f>
        <v>OK</v>
      </c>
      <c r="M75" t="s">
        <v>1049</v>
      </c>
      <c r="N75" s="15">
        <v>45562</v>
      </c>
      <c r="O75" s="15"/>
      <c r="P75" t="s">
        <v>25</v>
      </c>
      <c r="Q75" t="s">
        <v>1023</v>
      </c>
      <c r="R75" t="s">
        <v>1024</v>
      </c>
      <c r="S75" t="s">
        <v>1024</v>
      </c>
      <c r="T75" t="s">
        <v>1024</v>
      </c>
      <c r="U75" t="s">
        <v>1024</v>
      </c>
      <c r="V75" t="s">
        <v>1024</v>
      </c>
      <c r="W75" t="s">
        <v>983</v>
      </c>
      <c r="X75">
        <v>0</v>
      </c>
    </row>
    <row r="76" spans="1:24" x14ac:dyDescent="0.3">
      <c r="A76" s="55" t="str">
        <f t="shared" si="4"/>
        <v>INSTRUMENT_DSTI</v>
      </c>
      <c r="B76" t="s">
        <v>659</v>
      </c>
      <c r="C76" t="s">
        <v>142</v>
      </c>
      <c r="D76" t="s">
        <v>0</v>
      </c>
      <c r="E76" t="s">
        <v>6</v>
      </c>
      <c r="F76" t="s">
        <v>53</v>
      </c>
      <c r="G76" t="s">
        <v>96</v>
      </c>
      <c r="I76" t="s">
        <v>11</v>
      </c>
      <c r="J76" s="15">
        <v>45450</v>
      </c>
      <c r="K76" t="s">
        <v>6</v>
      </c>
      <c r="L76" t="str">
        <f>F76</f>
        <v>OK</v>
      </c>
      <c r="P76" t="s">
        <v>17</v>
      </c>
      <c r="Q76" t="s">
        <v>1023</v>
      </c>
      <c r="R76" t="s">
        <v>1024</v>
      </c>
      <c r="S76" t="s">
        <v>1024</v>
      </c>
      <c r="T76" t="s">
        <v>1024</v>
      </c>
      <c r="U76" t="s">
        <v>1024</v>
      </c>
      <c r="V76" t="s">
        <v>1024</v>
      </c>
      <c r="W76" t="s">
        <v>983</v>
      </c>
      <c r="X76">
        <v>0</v>
      </c>
    </row>
    <row r="77" spans="1:24" x14ac:dyDescent="0.3">
      <c r="A77" s="55" t="str">
        <f t="shared" si="4"/>
        <v>PROTECTION_TYP_PRTCTN</v>
      </c>
      <c r="B77" t="s">
        <v>870</v>
      </c>
      <c r="C77" s="10" t="s">
        <v>29</v>
      </c>
      <c r="D77" t="s">
        <v>1</v>
      </c>
      <c r="E77" t="s">
        <v>10</v>
      </c>
      <c r="F77" t="s">
        <v>67</v>
      </c>
      <c r="G77" t="s">
        <v>178</v>
      </c>
      <c r="H77" t="s">
        <v>859</v>
      </c>
      <c r="I77" t="s">
        <v>7</v>
      </c>
      <c r="J77" s="15">
        <v>45670</v>
      </c>
      <c r="K77" t="s">
        <v>24</v>
      </c>
      <c r="L77" t="s">
        <v>53</v>
      </c>
      <c r="M77" t="s">
        <v>802</v>
      </c>
      <c r="N77" s="15">
        <v>45492</v>
      </c>
      <c r="O77" s="15">
        <v>45646</v>
      </c>
      <c r="P77" t="s">
        <v>19</v>
      </c>
      <c r="Q77" t="s">
        <v>1023</v>
      </c>
      <c r="R77" t="s">
        <v>1023</v>
      </c>
      <c r="S77" t="s">
        <v>1023</v>
      </c>
      <c r="T77" t="s">
        <v>1024</v>
      </c>
      <c r="U77" t="s">
        <v>1023</v>
      </c>
      <c r="V77" t="s">
        <v>1024</v>
      </c>
      <c r="W77" t="s">
        <v>983</v>
      </c>
      <c r="X77">
        <v>0</v>
      </c>
    </row>
    <row r="78" spans="1:24" x14ac:dyDescent="0.3">
      <c r="A78" s="55" t="str">
        <f t="shared" si="4"/>
        <v>ENTITY_DT_BRTH</v>
      </c>
      <c r="B78" t="s">
        <v>867</v>
      </c>
      <c r="C78" t="s">
        <v>145</v>
      </c>
      <c r="D78" t="s">
        <v>0</v>
      </c>
      <c r="E78" t="s">
        <v>21</v>
      </c>
      <c r="F78" t="s">
        <v>67</v>
      </c>
      <c r="G78" t="s">
        <v>78</v>
      </c>
      <c r="I78" t="s">
        <v>11</v>
      </c>
      <c r="J78" s="15">
        <v>45450</v>
      </c>
      <c r="K78" t="s">
        <v>21</v>
      </c>
      <c r="L78" t="str">
        <f>F78</f>
        <v>NOK</v>
      </c>
      <c r="P78" t="s">
        <v>9</v>
      </c>
      <c r="Q78" t="s">
        <v>1023</v>
      </c>
      <c r="R78" t="s">
        <v>1024</v>
      </c>
      <c r="S78" t="s">
        <v>1024</v>
      </c>
      <c r="T78" t="s">
        <v>1024</v>
      </c>
      <c r="U78" t="s">
        <v>1024</v>
      </c>
      <c r="V78" t="s">
        <v>1024</v>
      </c>
      <c r="W78" t="s">
        <v>983</v>
      </c>
      <c r="X78">
        <v>0</v>
      </c>
    </row>
    <row r="79" spans="1:24" x14ac:dyDescent="0.3">
      <c r="A79" s="55" t="str">
        <f t="shared" si="4"/>
        <v>INSTRUMENT_DT_CMPLNT_MRTR_STTS_C19</v>
      </c>
      <c r="B79" t="s">
        <v>659</v>
      </c>
      <c r="C79" t="s">
        <v>146</v>
      </c>
      <c r="D79" t="s">
        <v>0</v>
      </c>
      <c r="E79" t="s">
        <v>24</v>
      </c>
      <c r="F79" t="s">
        <v>53</v>
      </c>
      <c r="G79" t="s">
        <v>54</v>
      </c>
      <c r="I79" t="s">
        <v>7</v>
      </c>
      <c r="J79" s="15">
        <v>45450</v>
      </c>
      <c r="K79" t="s">
        <v>24</v>
      </c>
      <c r="L79" t="str">
        <f>F79</f>
        <v>OK</v>
      </c>
      <c r="P79" t="s">
        <v>55</v>
      </c>
      <c r="Q79" t="s">
        <v>1023</v>
      </c>
      <c r="R79" t="s">
        <v>1024</v>
      </c>
      <c r="S79" t="s">
        <v>1024</v>
      </c>
      <c r="T79" t="s">
        <v>1024</v>
      </c>
      <c r="U79" t="s">
        <v>1024</v>
      </c>
      <c r="V79" t="s">
        <v>1024</v>
      </c>
      <c r="W79" t="s">
        <v>983</v>
      </c>
      <c r="X79">
        <v>0</v>
      </c>
    </row>
    <row r="80" spans="1:24" x14ac:dyDescent="0.3">
      <c r="A80" s="55" t="str">
        <f t="shared" si="4"/>
        <v>INSTRUMENT_DT_CMPLNT_MRTR_STTS_PRVS_C19</v>
      </c>
      <c r="B80" t="s">
        <v>659</v>
      </c>
      <c r="C80" t="s">
        <v>147</v>
      </c>
      <c r="D80" t="s">
        <v>0</v>
      </c>
      <c r="E80" t="s">
        <v>24</v>
      </c>
      <c r="F80" t="s">
        <v>53</v>
      </c>
      <c r="G80" t="s">
        <v>54</v>
      </c>
      <c r="I80" t="s">
        <v>7</v>
      </c>
      <c r="J80" s="15">
        <v>45450</v>
      </c>
      <c r="K80" t="s">
        <v>24</v>
      </c>
      <c r="L80" t="str">
        <f>F80</f>
        <v>OK</v>
      </c>
      <c r="P80" t="s">
        <v>55</v>
      </c>
      <c r="Q80" t="s">
        <v>1023</v>
      </c>
      <c r="R80" t="s">
        <v>1024</v>
      </c>
      <c r="S80" t="s">
        <v>1024</v>
      </c>
      <c r="T80" t="s">
        <v>1024</v>
      </c>
      <c r="U80" t="s">
        <v>1024</v>
      </c>
      <c r="V80" t="s">
        <v>1024</v>
      </c>
      <c r="W80" t="s">
        <v>983</v>
      </c>
      <c r="X80">
        <v>0</v>
      </c>
    </row>
    <row r="81" spans="1:24" x14ac:dyDescent="0.3">
      <c r="A81" s="55" t="str">
        <f t="shared" si="4"/>
        <v>PROTECTION_DT_PRTCTN_VL</v>
      </c>
      <c r="B81" t="s">
        <v>870</v>
      </c>
      <c r="C81" s="10" t="s">
        <v>34</v>
      </c>
      <c r="D81" t="s">
        <v>1</v>
      </c>
      <c r="E81" t="s">
        <v>832</v>
      </c>
      <c r="F81" t="s">
        <v>67</v>
      </c>
      <c r="G81" t="s">
        <v>444</v>
      </c>
      <c r="H81" t="s">
        <v>445</v>
      </c>
      <c r="I81" t="s">
        <v>7</v>
      </c>
      <c r="J81" s="15">
        <v>45670</v>
      </c>
      <c r="K81" t="s">
        <v>24</v>
      </c>
      <c r="L81" t="s">
        <v>53</v>
      </c>
      <c r="M81" t="s">
        <v>1037</v>
      </c>
      <c r="N81" s="15">
        <v>45492</v>
      </c>
      <c r="O81" s="15">
        <v>45646</v>
      </c>
      <c r="P81" t="s">
        <v>19</v>
      </c>
      <c r="Q81" t="s">
        <v>1023</v>
      </c>
      <c r="R81" t="s">
        <v>1024</v>
      </c>
      <c r="S81" t="s">
        <v>1024</v>
      </c>
      <c r="T81" t="s">
        <v>1024</v>
      </c>
      <c r="U81" t="s">
        <v>1024</v>
      </c>
      <c r="V81" t="s">
        <v>1024</v>
      </c>
      <c r="W81" t="s">
        <v>983</v>
      </c>
      <c r="X81">
        <v>0</v>
      </c>
    </row>
    <row r="82" spans="1:24" x14ac:dyDescent="0.3">
      <c r="A82" s="55" t="str">
        <f t="shared" si="4"/>
        <v>ENTITY_DT_DFLT_STTS</v>
      </c>
      <c r="B82" t="s">
        <v>867</v>
      </c>
      <c r="C82" s="10" t="s">
        <v>149</v>
      </c>
      <c r="D82" t="s">
        <v>1</v>
      </c>
      <c r="E82" t="s">
        <v>14</v>
      </c>
      <c r="F82" t="s">
        <v>67</v>
      </c>
      <c r="G82" t="s">
        <v>127</v>
      </c>
      <c r="H82" t="s">
        <v>150</v>
      </c>
      <c r="I82" t="s">
        <v>15</v>
      </c>
      <c r="J82" s="15">
        <v>45450</v>
      </c>
      <c r="K82" t="s">
        <v>14</v>
      </c>
      <c r="L82" t="str">
        <f t="shared" ref="L82:L87" si="5">F82</f>
        <v>NOK</v>
      </c>
      <c r="P82" t="s">
        <v>25</v>
      </c>
      <c r="Q82" t="s">
        <v>1023</v>
      </c>
      <c r="R82" t="s">
        <v>1024</v>
      </c>
      <c r="S82" t="s">
        <v>1024</v>
      </c>
      <c r="T82" t="s">
        <v>1024</v>
      </c>
      <c r="U82" t="s">
        <v>1024</v>
      </c>
      <c r="V82" t="s">
        <v>1023</v>
      </c>
      <c r="W82" t="s">
        <v>1022</v>
      </c>
      <c r="X82" t="s">
        <v>1031</v>
      </c>
    </row>
    <row r="83" spans="1:24" x14ac:dyDescent="0.3">
      <c r="A83" s="55" t="str">
        <f t="shared" si="4"/>
        <v>INSTRUMENT_DT_DFLT_STTS_INSTRMNT</v>
      </c>
      <c r="B83" t="s">
        <v>659</v>
      </c>
      <c r="C83" t="s">
        <v>151</v>
      </c>
      <c r="D83" t="s">
        <v>1</v>
      </c>
      <c r="E83" t="s">
        <v>832</v>
      </c>
      <c r="F83" t="s">
        <v>67</v>
      </c>
      <c r="G83" t="s">
        <v>152</v>
      </c>
      <c r="H83" t="s">
        <v>150</v>
      </c>
      <c r="I83" t="s">
        <v>11</v>
      </c>
      <c r="J83" s="15">
        <v>45450</v>
      </c>
      <c r="K83" t="s">
        <v>832</v>
      </c>
      <c r="L83" t="str">
        <f t="shared" si="5"/>
        <v>NOK</v>
      </c>
      <c r="O83" s="15"/>
      <c r="P83" t="s">
        <v>13</v>
      </c>
      <c r="Q83" t="s">
        <v>1023</v>
      </c>
      <c r="R83" t="s">
        <v>1024</v>
      </c>
      <c r="S83" t="s">
        <v>1024</v>
      </c>
      <c r="T83" t="s">
        <v>1024</v>
      </c>
      <c r="U83" t="s">
        <v>1024</v>
      </c>
      <c r="V83" t="s">
        <v>1023</v>
      </c>
      <c r="W83" t="s">
        <v>1022</v>
      </c>
      <c r="X83" t="s">
        <v>1026</v>
      </c>
    </row>
    <row r="84" spans="1:24" x14ac:dyDescent="0.3">
      <c r="A84" s="55" t="str">
        <f t="shared" si="4"/>
        <v>INSTRUMENT_DT_END_GP_PPAL</v>
      </c>
      <c r="B84" t="s">
        <v>659</v>
      </c>
      <c r="C84" t="s">
        <v>153</v>
      </c>
      <c r="D84" t="s">
        <v>1</v>
      </c>
      <c r="E84" t="s">
        <v>21</v>
      </c>
      <c r="F84" t="s">
        <v>67</v>
      </c>
      <c r="G84" t="s">
        <v>78</v>
      </c>
      <c r="I84" t="s">
        <v>11</v>
      </c>
      <c r="J84" s="15">
        <v>45450</v>
      </c>
      <c r="K84" t="s">
        <v>21</v>
      </c>
      <c r="L84" t="str">
        <f t="shared" si="5"/>
        <v>NOK</v>
      </c>
      <c r="P84" t="s">
        <v>9</v>
      </c>
      <c r="Q84" t="s">
        <v>1023</v>
      </c>
      <c r="R84" t="s">
        <v>1024</v>
      </c>
      <c r="S84" t="s">
        <v>1024</v>
      </c>
      <c r="T84" t="s">
        <v>1024</v>
      </c>
      <c r="U84" t="s">
        <v>1024</v>
      </c>
      <c r="V84" t="s">
        <v>1024</v>
      </c>
      <c r="W84" t="s">
        <v>983</v>
      </c>
      <c r="X84">
        <v>0</v>
      </c>
    </row>
    <row r="85" spans="1:24" x14ac:dyDescent="0.3">
      <c r="A85" s="55" t="str">
        <f t="shared" si="4"/>
        <v>INSTRUMENT_DT_END_GP_PPAL_C19</v>
      </c>
      <c r="B85" t="s">
        <v>659</v>
      </c>
      <c r="C85" t="s">
        <v>154</v>
      </c>
      <c r="D85" t="s">
        <v>0</v>
      </c>
      <c r="E85" t="s">
        <v>24</v>
      </c>
      <c r="F85" t="s">
        <v>53</v>
      </c>
      <c r="G85" t="s">
        <v>54</v>
      </c>
      <c r="I85" t="s">
        <v>7</v>
      </c>
      <c r="J85" s="15">
        <v>45450</v>
      </c>
      <c r="K85" t="s">
        <v>24</v>
      </c>
      <c r="L85" t="str">
        <f t="shared" si="5"/>
        <v>OK</v>
      </c>
      <c r="P85" t="s">
        <v>55</v>
      </c>
      <c r="Q85" t="s">
        <v>1023</v>
      </c>
      <c r="R85" t="s">
        <v>1024</v>
      </c>
      <c r="S85" t="s">
        <v>1024</v>
      </c>
      <c r="T85" t="s">
        <v>1024</v>
      </c>
      <c r="U85" t="s">
        <v>1024</v>
      </c>
      <c r="V85" t="s">
        <v>1024</v>
      </c>
      <c r="W85" t="s">
        <v>983</v>
      </c>
      <c r="X85">
        <v>0</v>
      </c>
    </row>
    <row r="86" spans="1:24" x14ac:dyDescent="0.3">
      <c r="A86" s="55" t="str">
        <f t="shared" si="4"/>
        <v>INSTRUMENT_DT_END_INTRST_ONLY</v>
      </c>
      <c r="B86" t="s">
        <v>659</v>
      </c>
      <c r="C86" t="s">
        <v>155</v>
      </c>
      <c r="D86" t="s">
        <v>1</v>
      </c>
      <c r="E86" t="s">
        <v>21</v>
      </c>
      <c r="F86" t="s">
        <v>67</v>
      </c>
      <c r="G86" t="s">
        <v>78</v>
      </c>
      <c r="I86" t="s">
        <v>11</v>
      </c>
      <c r="J86" s="15">
        <v>45450</v>
      </c>
      <c r="K86" t="s">
        <v>21</v>
      </c>
      <c r="L86" t="str">
        <f t="shared" si="5"/>
        <v>NOK</v>
      </c>
      <c r="P86" t="s">
        <v>9</v>
      </c>
      <c r="Q86" t="s">
        <v>1023</v>
      </c>
      <c r="R86" t="s">
        <v>1024</v>
      </c>
      <c r="S86" t="s">
        <v>1024</v>
      </c>
      <c r="T86" t="s">
        <v>1024</v>
      </c>
      <c r="U86" t="s">
        <v>1024</v>
      </c>
      <c r="V86" t="s">
        <v>1024</v>
      </c>
      <c r="W86" t="s">
        <v>983</v>
      </c>
      <c r="X86">
        <v>0</v>
      </c>
    </row>
    <row r="87" spans="1:24" x14ac:dyDescent="0.3">
      <c r="A87" s="55" t="str">
        <f t="shared" si="4"/>
        <v>INSTRUMENT_DT_END_INTRST_ONLY_C19</v>
      </c>
      <c r="B87" t="s">
        <v>659</v>
      </c>
      <c r="C87" t="s">
        <v>156</v>
      </c>
      <c r="D87" t="s">
        <v>0</v>
      </c>
      <c r="E87" t="s">
        <v>24</v>
      </c>
      <c r="F87" t="s">
        <v>53</v>
      </c>
      <c r="G87" t="s">
        <v>54</v>
      </c>
      <c r="I87" t="s">
        <v>7</v>
      </c>
      <c r="J87" s="15">
        <v>45450</v>
      </c>
      <c r="K87" t="s">
        <v>24</v>
      </c>
      <c r="L87" t="str">
        <f t="shared" si="5"/>
        <v>OK</v>
      </c>
      <c r="P87" t="s">
        <v>55</v>
      </c>
      <c r="Q87" t="s">
        <v>1023</v>
      </c>
      <c r="R87" t="s">
        <v>1024</v>
      </c>
      <c r="S87" t="s">
        <v>1024</v>
      </c>
      <c r="T87" t="s">
        <v>1024</v>
      </c>
      <c r="U87" t="s">
        <v>1024</v>
      </c>
      <c r="V87" t="s">
        <v>1024</v>
      </c>
      <c r="W87" t="s">
        <v>983</v>
      </c>
      <c r="X87">
        <v>0</v>
      </c>
    </row>
    <row r="88" spans="1:24" x14ac:dyDescent="0.3">
      <c r="A88" s="55" t="str">
        <f t="shared" si="4"/>
        <v>PROTECTION_CNSTRCTN_STTS</v>
      </c>
      <c r="B88" t="s">
        <v>870</v>
      </c>
      <c r="C88" s="11" t="s">
        <v>98</v>
      </c>
      <c r="D88" t="s">
        <v>0</v>
      </c>
      <c r="E88" t="s">
        <v>10</v>
      </c>
      <c r="F88" t="s">
        <v>67</v>
      </c>
      <c r="G88" t="s">
        <v>99</v>
      </c>
      <c r="H88" t="s">
        <v>859</v>
      </c>
      <c r="I88" t="s">
        <v>7</v>
      </c>
      <c r="J88" s="15">
        <v>45670</v>
      </c>
      <c r="K88" t="s">
        <v>24</v>
      </c>
      <c r="L88" t="s">
        <v>53</v>
      </c>
      <c r="N88" s="15">
        <v>45513</v>
      </c>
      <c r="O88" s="15">
        <v>45646</v>
      </c>
      <c r="P88" t="s">
        <v>19</v>
      </c>
      <c r="Q88" t="s">
        <v>1023</v>
      </c>
      <c r="R88" t="s">
        <v>1024</v>
      </c>
      <c r="S88" t="s">
        <v>1024</v>
      </c>
      <c r="T88" t="s">
        <v>1024</v>
      </c>
      <c r="U88" t="s">
        <v>1024</v>
      </c>
      <c r="V88" t="s">
        <v>1024</v>
      </c>
      <c r="W88" t="s">
        <v>983</v>
      </c>
      <c r="X88">
        <v>0</v>
      </c>
    </row>
    <row r="89" spans="1:24" x14ac:dyDescent="0.3">
      <c r="A89" s="55" t="str">
        <f t="shared" si="4"/>
        <v>ENTITY_DT_FNNCL_STTMTS</v>
      </c>
      <c r="B89" t="s">
        <v>867</v>
      </c>
      <c r="C89" t="s">
        <v>160</v>
      </c>
      <c r="D89" t="s">
        <v>1</v>
      </c>
      <c r="E89" t="s">
        <v>10</v>
      </c>
      <c r="F89" t="s">
        <v>67</v>
      </c>
      <c r="G89" t="s">
        <v>63</v>
      </c>
      <c r="H89" t="s">
        <v>856</v>
      </c>
      <c r="I89" t="s">
        <v>11</v>
      </c>
      <c r="J89" s="15">
        <v>45450</v>
      </c>
      <c r="K89" t="s">
        <v>10</v>
      </c>
      <c r="L89" t="str">
        <f t="shared" ref="L89:L101" si="6">F89</f>
        <v>NOK</v>
      </c>
      <c r="P89" t="s">
        <v>13</v>
      </c>
      <c r="Q89" t="s">
        <v>1023</v>
      </c>
      <c r="R89" t="s">
        <v>1024</v>
      </c>
      <c r="S89" t="s">
        <v>1024</v>
      </c>
      <c r="T89" t="s">
        <v>1024</v>
      </c>
      <c r="U89" t="s">
        <v>1024</v>
      </c>
      <c r="V89" t="s">
        <v>1023</v>
      </c>
      <c r="W89" t="s">
        <v>984</v>
      </c>
      <c r="X89" t="s">
        <v>1027</v>
      </c>
    </row>
    <row r="90" spans="1:24" x14ac:dyDescent="0.3">
      <c r="A90" s="55" t="str">
        <f t="shared" si="4"/>
        <v>ENTITY_DT_FNNCL_STTMTS_PRVS</v>
      </c>
      <c r="B90" t="s">
        <v>867</v>
      </c>
      <c r="C90" t="s">
        <v>161</v>
      </c>
      <c r="D90" t="s">
        <v>1</v>
      </c>
      <c r="E90" t="s">
        <v>10</v>
      </c>
      <c r="F90" t="s">
        <v>67</v>
      </c>
      <c r="G90" t="s">
        <v>63</v>
      </c>
      <c r="H90" t="s">
        <v>856</v>
      </c>
      <c r="I90" t="s">
        <v>11</v>
      </c>
      <c r="J90" s="15">
        <v>45450</v>
      </c>
      <c r="K90" t="s">
        <v>10</v>
      </c>
      <c r="L90" t="str">
        <f t="shared" si="6"/>
        <v>NOK</v>
      </c>
      <c r="P90" t="s">
        <v>13</v>
      </c>
      <c r="Q90" t="s">
        <v>1023</v>
      </c>
      <c r="R90" t="s">
        <v>1024</v>
      </c>
      <c r="S90" t="s">
        <v>1024</v>
      </c>
      <c r="T90" t="s">
        <v>1024</v>
      </c>
      <c r="U90" t="s">
        <v>1024</v>
      </c>
      <c r="V90" t="s">
        <v>1023</v>
      </c>
      <c r="W90" t="s">
        <v>984</v>
      </c>
      <c r="X90" t="s">
        <v>1027</v>
      </c>
    </row>
    <row r="91" spans="1:24" x14ac:dyDescent="0.3">
      <c r="A91" s="55" t="str">
        <f t="shared" si="4"/>
        <v>INSTRUMENT_RCVD_INTRST_24M</v>
      </c>
      <c r="B91" t="s">
        <v>659</v>
      </c>
      <c r="C91" t="s">
        <v>390</v>
      </c>
      <c r="D91" t="s">
        <v>1</v>
      </c>
      <c r="E91" t="s">
        <v>10</v>
      </c>
      <c r="F91" t="s">
        <v>53</v>
      </c>
      <c r="G91" t="s">
        <v>391</v>
      </c>
      <c r="I91" t="s">
        <v>11</v>
      </c>
      <c r="J91" s="15">
        <v>45450</v>
      </c>
      <c r="K91" t="s">
        <v>10</v>
      </c>
      <c r="L91" t="str">
        <f t="shared" si="6"/>
        <v>OK</v>
      </c>
      <c r="P91" t="s">
        <v>13</v>
      </c>
      <c r="Q91" t="s">
        <v>1023</v>
      </c>
      <c r="R91" t="s">
        <v>1024</v>
      </c>
      <c r="S91" t="s">
        <v>1024</v>
      </c>
      <c r="T91" t="s">
        <v>1024</v>
      </c>
      <c r="U91" t="s">
        <v>1024</v>
      </c>
      <c r="V91" t="s">
        <v>1023</v>
      </c>
      <c r="W91" t="s">
        <v>1022</v>
      </c>
      <c r="X91" t="s">
        <v>1028</v>
      </c>
    </row>
    <row r="92" spans="1:24" x14ac:dyDescent="0.3">
      <c r="A92" s="55" t="str">
        <f t="shared" si="4"/>
        <v>INSTRUMENT_DT_FRBRNC_STTS_C19</v>
      </c>
      <c r="B92" t="s">
        <v>659</v>
      </c>
      <c r="C92" t="s">
        <v>165</v>
      </c>
      <c r="D92" t="s">
        <v>0</v>
      </c>
      <c r="E92" t="s">
        <v>24</v>
      </c>
      <c r="F92" t="s">
        <v>53</v>
      </c>
      <c r="G92" t="s">
        <v>54</v>
      </c>
      <c r="I92" t="s">
        <v>7</v>
      </c>
      <c r="J92" s="15">
        <v>45450</v>
      </c>
      <c r="K92" t="s">
        <v>24</v>
      </c>
      <c r="L92" t="str">
        <f t="shared" si="6"/>
        <v>OK</v>
      </c>
      <c r="P92" t="s">
        <v>55</v>
      </c>
      <c r="Q92" t="s">
        <v>1023</v>
      </c>
      <c r="R92" t="s">
        <v>1024</v>
      </c>
      <c r="S92" t="s">
        <v>1024</v>
      </c>
      <c r="T92" t="s">
        <v>1024</v>
      </c>
      <c r="U92" t="s">
        <v>1024</v>
      </c>
      <c r="V92" t="s">
        <v>1024</v>
      </c>
      <c r="W92" t="s">
        <v>983</v>
      </c>
      <c r="X92">
        <v>0</v>
      </c>
    </row>
    <row r="93" spans="1:24" x14ac:dyDescent="0.3">
      <c r="A93" s="55" t="str">
        <f t="shared" si="4"/>
        <v>INSTRUMENT_RCVD_INTRST_12M</v>
      </c>
      <c r="B93" t="s">
        <v>659</v>
      </c>
      <c r="C93" t="s">
        <v>388</v>
      </c>
      <c r="D93" t="s">
        <v>1</v>
      </c>
      <c r="E93" t="s">
        <v>10</v>
      </c>
      <c r="F93" t="s">
        <v>67</v>
      </c>
      <c r="G93" t="s">
        <v>389</v>
      </c>
      <c r="I93" t="s">
        <v>11</v>
      </c>
      <c r="J93" s="15">
        <v>45450</v>
      </c>
      <c r="K93" t="s">
        <v>10</v>
      </c>
      <c r="L93" t="str">
        <f t="shared" si="6"/>
        <v>NOK</v>
      </c>
      <c r="P93" t="s">
        <v>13</v>
      </c>
      <c r="Q93" t="s">
        <v>1023</v>
      </c>
      <c r="R93" t="s">
        <v>1024</v>
      </c>
      <c r="S93" t="s">
        <v>1024</v>
      </c>
      <c r="T93" t="s">
        <v>1024</v>
      </c>
      <c r="U93" t="s">
        <v>1024</v>
      </c>
      <c r="V93" t="s">
        <v>1023</v>
      </c>
      <c r="W93" t="s">
        <v>1022</v>
      </c>
      <c r="X93" t="s">
        <v>1028</v>
      </c>
    </row>
    <row r="94" spans="1:24" x14ac:dyDescent="0.3">
      <c r="A94" s="55" t="str">
        <f t="shared" si="4"/>
        <v>INSTRUMENT_DT_FRBRNC_STTS_PRVS_C19</v>
      </c>
      <c r="B94" t="s">
        <v>659</v>
      </c>
      <c r="C94" t="s">
        <v>167</v>
      </c>
      <c r="D94" t="s">
        <v>0</v>
      </c>
      <c r="E94" t="s">
        <v>24</v>
      </c>
      <c r="F94" t="s">
        <v>53</v>
      </c>
      <c r="G94" t="s">
        <v>54</v>
      </c>
      <c r="I94" t="s">
        <v>7</v>
      </c>
      <c r="J94" s="15">
        <v>45450</v>
      </c>
      <c r="K94" t="s">
        <v>24</v>
      </c>
      <c r="L94" t="str">
        <f t="shared" si="6"/>
        <v>OK</v>
      </c>
      <c r="P94" t="s">
        <v>55</v>
      </c>
      <c r="Q94" t="s">
        <v>1023</v>
      </c>
      <c r="R94" t="s">
        <v>1024</v>
      </c>
      <c r="S94" t="s">
        <v>1024</v>
      </c>
      <c r="T94" t="s">
        <v>1024</v>
      </c>
      <c r="U94" t="s">
        <v>1024</v>
      </c>
      <c r="V94" t="s">
        <v>1024</v>
      </c>
      <c r="W94" t="s">
        <v>983</v>
      </c>
      <c r="X94">
        <v>0</v>
      </c>
    </row>
    <row r="95" spans="1:24" x14ac:dyDescent="0.3">
      <c r="A95" s="55" t="str">
        <f t="shared" si="4"/>
        <v>PROTECTION_DT_FRST_USG</v>
      </c>
      <c r="B95" t="s">
        <v>870</v>
      </c>
      <c r="C95" t="s">
        <v>168</v>
      </c>
      <c r="D95" t="s">
        <v>0</v>
      </c>
      <c r="E95" t="s">
        <v>21</v>
      </c>
      <c r="F95" t="s">
        <v>67</v>
      </c>
      <c r="G95" t="s">
        <v>169</v>
      </c>
      <c r="I95" t="s">
        <v>11</v>
      </c>
      <c r="J95" s="15">
        <v>45450</v>
      </c>
      <c r="K95" t="s">
        <v>21</v>
      </c>
      <c r="L95" t="str">
        <f t="shared" si="6"/>
        <v>NOK</v>
      </c>
      <c r="P95" t="s">
        <v>9</v>
      </c>
      <c r="Q95" t="s">
        <v>1023</v>
      </c>
      <c r="R95" t="s">
        <v>1024</v>
      </c>
      <c r="S95" t="s">
        <v>1024</v>
      </c>
      <c r="T95" t="s">
        <v>1024</v>
      </c>
      <c r="U95" t="s">
        <v>1024</v>
      </c>
      <c r="V95" t="s">
        <v>1024</v>
      </c>
      <c r="W95" t="s">
        <v>983</v>
      </c>
      <c r="X95">
        <v>0</v>
      </c>
    </row>
    <row r="96" spans="1:24" x14ac:dyDescent="0.3">
      <c r="A96" s="55" t="str">
        <f t="shared" si="4"/>
        <v>INSTRUMENT_DT_IMPRMNT_STTS</v>
      </c>
      <c r="B96" t="s">
        <v>659</v>
      </c>
      <c r="C96" s="11" t="s">
        <v>170</v>
      </c>
      <c r="D96" t="s">
        <v>1</v>
      </c>
      <c r="E96" t="s">
        <v>14</v>
      </c>
      <c r="F96" t="s">
        <v>67</v>
      </c>
      <c r="G96" t="s">
        <v>74</v>
      </c>
      <c r="H96" t="s">
        <v>171</v>
      </c>
      <c r="I96" t="s">
        <v>15</v>
      </c>
      <c r="J96" s="15">
        <v>45670</v>
      </c>
      <c r="K96" t="s">
        <v>831</v>
      </c>
      <c r="L96" t="str">
        <f t="shared" si="6"/>
        <v>NOK</v>
      </c>
      <c r="M96" t="s">
        <v>1035</v>
      </c>
      <c r="N96" s="15">
        <v>45562</v>
      </c>
      <c r="P96" t="s">
        <v>25</v>
      </c>
      <c r="Q96" t="s">
        <v>1023</v>
      </c>
      <c r="R96" t="s">
        <v>1024</v>
      </c>
      <c r="S96" t="s">
        <v>1024</v>
      </c>
      <c r="T96" t="s">
        <v>1024</v>
      </c>
      <c r="U96" t="s">
        <v>1024</v>
      </c>
      <c r="V96" t="s">
        <v>1023</v>
      </c>
      <c r="W96" t="s">
        <v>983</v>
      </c>
      <c r="X96" t="s">
        <v>1032</v>
      </c>
    </row>
    <row r="97" spans="1:24" x14ac:dyDescent="0.3">
      <c r="A97" s="55" t="str">
        <f t="shared" si="4"/>
        <v>INSTRUMENT_DT_IMPRMNT_STTS_PRVS</v>
      </c>
      <c r="B97" t="s">
        <v>659</v>
      </c>
      <c r="C97" s="11" t="s">
        <v>172</v>
      </c>
      <c r="D97" t="s">
        <v>1</v>
      </c>
      <c r="E97" t="s">
        <v>14</v>
      </c>
      <c r="F97" t="s">
        <v>67</v>
      </c>
      <c r="G97" t="s">
        <v>74</v>
      </c>
      <c r="H97" t="s">
        <v>171</v>
      </c>
      <c r="I97" t="s">
        <v>15</v>
      </c>
      <c r="J97" s="15">
        <v>45670</v>
      </c>
      <c r="K97" t="s">
        <v>831</v>
      </c>
      <c r="L97" t="str">
        <f t="shared" si="6"/>
        <v>NOK</v>
      </c>
      <c r="M97" t="s">
        <v>1035</v>
      </c>
      <c r="N97" s="15">
        <v>45562</v>
      </c>
      <c r="P97" t="s">
        <v>25</v>
      </c>
      <c r="Q97" t="s">
        <v>1023</v>
      </c>
      <c r="R97" t="s">
        <v>1024</v>
      </c>
      <c r="S97" t="s">
        <v>1024</v>
      </c>
      <c r="T97" t="s">
        <v>1024</v>
      </c>
      <c r="U97" t="s">
        <v>1024</v>
      </c>
      <c r="V97" t="s">
        <v>1024</v>
      </c>
      <c r="W97" t="s">
        <v>983</v>
      </c>
      <c r="X97">
        <v>0</v>
      </c>
    </row>
    <row r="98" spans="1:24" x14ac:dyDescent="0.3">
      <c r="A98" s="55" t="str">
        <f t="shared" si="4"/>
        <v>INSTRUMENT_DT_INCPTN</v>
      </c>
      <c r="B98" t="s">
        <v>659</v>
      </c>
      <c r="C98" t="s">
        <v>173</v>
      </c>
      <c r="D98" t="s">
        <v>1</v>
      </c>
      <c r="E98" t="s">
        <v>21</v>
      </c>
      <c r="F98" t="s">
        <v>67</v>
      </c>
      <c r="G98" t="s">
        <v>78</v>
      </c>
      <c r="I98" t="s">
        <v>11</v>
      </c>
      <c r="J98" s="15">
        <v>45450</v>
      </c>
      <c r="K98" t="s">
        <v>21</v>
      </c>
      <c r="L98" t="str">
        <f t="shared" si="6"/>
        <v>NOK</v>
      </c>
      <c r="P98" t="s">
        <v>9</v>
      </c>
      <c r="Q98" t="s">
        <v>1023</v>
      </c>
      <c r="R98" t="s">
        <v>1024</v>
      </c>
      <c r="S98" t="s">
        <v>1023</v>
      </c>
      <c r="T98" t="s">
        <v>1024</v>
      </c>
      <c r="U98" t="s">
        <v>1024</v>
      </c>
      <c r="V98" t="s">
        <v>1023</v>
      </c>
      <c r="W98" t="s">
        <v>1022</v>
      </c>
      <c r="X98" t="s">
        <v>1029</v>
      </c>
    </row>
    <row r="99" spans="1:24" x14ac:dyDescent="0.3">
      <c r="A99" s="55" t="str">
        <f t="shared" si="4"/>
        <v>ENTITY_DT_INTRNL_RTNG</v>
      </c>
      <c r="B99" t="s">
        <v>867</v>
      </c>
      <c r="C99" s="10" t="s">
        <v>174</v>
      </c>
      <c r="D99" t="s">
        <v>1</v>
      </c>
      <c r="E99" t="s">
        <v>831</v>
      </c>
      <c r="F99" t="s">
        <v>67</v>
      </c>
      <c r="G99" t="s">
        <v>175</v>
      </c>
      <c r="I99" t="s">
        <v>15</v>
      </c>
      <c r="J99" s="15">
        <v>45450</v>
      </c>
      <c r="K99" t="s">
        <v>831</v>
      </c>
      <c r="L99" t="str">
        <f t="shared" si="6"/>
        <v>NOK</v>
      </c>
      <c r="M99" t="s">
        <v>846</v>
      </c>
      <c r="N99" s="15">
        <v>45338</v>
      </c>
      <c r="O99" s="15">
        <v>45436</v>
      </c>
      <c r="P99" t="s">
        <v>19</v>
      </c>
      <c r="Q99" t="s">
        <v>1023</v>
      </c>
      <c r="R99" t="s">
        <v>1024</v>
      </c>
      <c r="S99" t="s">
        <v>1024</v>
      </c>
      <c r="T99" t="s">
        <v>1024</v>
      </c>
      <c r="U99" t="s">
        <v>1024</v>
      </c>
      <c r="V99" t="s">
        <v>1023</v>
      </c>
      <c r="W99" t="s">
        <v>1022</v>
      </c>
      <c r="X99" t="s">
        <v>1026</v>
      </c>
    </row>
    <row r="100" spans="1:24" x14ac:dyDescent="0.3">
      <c r="A100" s="55" t="str">
        <f t="shared" si="4"/>
        <v>INSTRUMENT_DT_INTRNL_RTNG</v>
      </c>
      <c r="B100" t="s">
        <v>659</v>
      </c>
      <c r="C100" s="10" t="s">
        <v>174</v>
      </c>
      <c r="D100" t="s">
        <v>1</v>
      </c>
      <c r="E100" t="s">
        <v>831</v>
      </c>
      <c r="F100" t="s">
        <v>67</v>
      </c>
      <c r="G100" t="s">
        <v>176</v>
      </c>
      <c r="I100" t="s">
        <v>15</v>
      </c>
      <c r="J100" s="15">
        <v>45450</v>
      </c>
      <c r="K100" t="s">
        <v>831</v>
      </c>
      <c r="L100" t="str">
        <f t="shared" si="6"/>
        <v>NOK</v>
      </c>
      <c r="M100" t="s">
        <v>846</v>
      </c>
      <c r="N100" s="15">
        <v>45338</v>
      </c>
      <c r="O100" s="15">
        <v>45436</v>
      </c>
      <c r="P100" t="s">
        <v>19</v>
      </c>
      <c r="Q100" t="s">
        <v>1023</v>
      </c>
      <c r="R100" t="s">
        <v>1024</v>
      </c>
      <c r="S100" t="s">
        <v>1024</v>
      </c>
      <c r="T100" t="s">
        <v>1024</v>
      </c>
      <c r="U100" t="s">
        <v>1024</v>
      </c>
      <c r="V100" t="s">
        <v>1023</v>
      </c>
      <c r="W100" t="s">
        <v>1022</v>
      </c>
      <c r="X100" t="s">
        <v>1026</v>
      </c>
    </row>
    <row r="101" spans="1:24" x14ac:dyDescent="0.3">
      <c r="A101" s="55" t="str">
        <f t="shared" si="4"/>
        <v>ENTITY_DT_INTTN_LGL_PRCDNGS_LE</v>
      </c>
      <c r="B101" t="s">
        <v>867</v>
      </c>
      <c r="C101" t="s">
        <v>177</v>
      </c>
      <c r="D101" t="s">
        <v>1</v>
      </c>
      <c r="E101" t="s">
        <v>24</v>
      </c>
      <c r="F101" t="s">
        <v>53</v>
      </c>
      <c r="G101" t="s">
        <v>54</v>
      </c>
      <c r="I101" t="s">
        <v>7</v>
      </c>
      <c r="J101" s="15">
        <v>45450</v>
      </c>
      <c r="K101" t="s">
        <v>24</v>
      </c>
      <c r="L101" t="str">
        <f t="shared" si="6"/>
        <v>OK</v>
      </c>
      <c r="P101" t="s">
        <v>55</v>
      </c>
      <c r="Q101" t="s">
        <v>1023</v>
      </c>
      <c r="R101" t="s">
        <v>1024</v>
      </c>
      <c r="S101" t="s">
        <v>1024</v>
      </c>
      <c r="T101" t="s">
        <v>1024</v>
      </c>
      <c r="U101" t="s">
        <v>1024</v>
      </c>
      <c r="V101" t="s">
        <v>1023</v>
      </c>
      <c r="W101" t="s">
        <v>983</v>
      </c>
      <c r="X101" t="s">
        <v>1025</v>
      </c>
    </row>
    <row r="102" spans="1:24" x14ac:dyDescent="0.3">
      <c r="A102" s="55" t="str">
        <f t="shared" si="4"/>
        <v>PROTECTION_DVLPMNT_STTS</v>
      </c>
      <c r="B102" t="s">
        <v>870</v>
      </c>
      <c r="C102" s="10" t="s">
        <v>31</v>
      </c>
      <c r="D102" t="s">
        <v>1</v>
      </c>
      <c r="E102" t="s">
        <v>10</v>
      </c>
      <c r="F102" t="s">
        <v>67</v>
      </c>
      <c r="G102" t="s">
        <v>196</v>
      </c>
      <c r="H102" t="s">
        <v>859</v>
      </c>
      <c r="I102" t="s">
        <v>7</v>
      </c>
      <c r="J102" s="15">
        <v>45670</v>
      </c>
      <c r="K102" t="s">
        <v>24</v>
      </c>
      <c r="L102" t="s">
        <v>53</v>
      </c>
      <c r="M102" t="s">
        <v>804</v>
      </c>
      <c r="N102" s="15">
        <v>45513</v>
      </c>
      <c r="O102" s="15">
        <v>45646</v>
      </c>
      <c r="P102" t="s">
        <v>19</v>
      </c>
      <c r="Q102" t="s">
        <v>1023</v>
      </c>
      <c r="R102" t="s">
        <v>1024</v>
      </c>
      <c r="S102" t="s">
        <v>1024</v>
      </c>
      <c r="T102" t="s">
        <v>1024</v>
      </c>
      <c r="U102" t="s">
        <v>1024</v>
      </c>
      <c r="V102" t="s">
        <v>1024</v>
      </c>
      <c r="W102" t="s">
        <v>983</v>
      </c>
      <c r="X102">
        <v>0</v>
      </c>
    </row>
    <row r="103" spans="1:24" x14ac:dyDescent="0.3">
      <c r="A103" s="55" t="str">
        <f t="shared" si="4"/>
        <v>PROTECTION_DT_LST_FLL_APPRSL</v>
      </c>
      <c r="B103" t="s">
        <v>870</v>
      </c>
      <c r="C103" s="10" t="s">
        <v>179</v>
      </c>
      <c r="D103" t="s">
        <v>1</v>
      </c>
      <c r="E103" t="s">
        <v>832</v>
      </c>
      <c r="F103" t="s">
        <v>67</v>
      </c>
      <c r="G103" t="s">
        <v>143</v>
      </c>
      <c r="H103" t="s">
        <v>144</v>
      </c>
      <c r="I103" t="s">
        <v>7</v>
      </c>
      <c r="J103" s="15">
        <v>45670</v>
      </c>
      <c r="K103" t="s">
        <v>24</v>
      </c>
      <c r="L103" t="s">
        <v>53</v>
      </c>
      <c r="M103" t="s">
        <v>180</v>
      </c>
      <c r="N103" s="15">
        <v>45471</v>
      </c>
      <c r="O103" s="15">
        <v>45646</v>
      </c>
      <c r="P103" t="s">
        <v>19</v>
      </c>
      <c r="Q103" t="s">
        <v>1023</v>
      </c>
      <c r="R103" t="s">
        <v>1024</v>
      </c>
      <c r="S103" t="s">
        <v>1024</v>
      </c>
      <c r="T103" t="s">
        <v>1024</v>
      </c>
      <c r="U103" t="s">
        <v>1024</v>
      </c>
      <c r="V103" t="s">
        <v>1024</v>
      </c>
      <c r="W103" t="s">
        <v>983</v>
      </c>
      <c r="X103">
        <v>0</v>
      </c>
    </row>
    <row r="104" spans="1:24" x14ac:dyDescent="0.3">
      <c r="A104" s="55" t="str">
        <f t="shared" si="4"/>
        <v>PROTECTION_DT_MTRTY_PRTCTN</v>
      </c>
      <c r="B104" t="s">
        <v>870</v>
      </c>
      <c r="C104" t="s">
        <v>181</v>
      </c>
      <c r="D104" t="s">
        <v>1</v>
      </c>
      <c r="E104" t="s">
        <v>21</v>
      </c>
      <c r="F104" t="s">
        <v>67</v>
      </c>
      <c r="G104" t="s">
        <v>169</v>
      </c>
      <c r="I104" t="s">
        <v>11</v>
      </c>
      <c r="J104" s="15">
        <v>45450</v>
      </c>
      <c r="K104" t="s">
        <v>21</v>
      </c>
      <c r="L104" t="str">
        <f>F104</f>
        <v>NOK</v>
      </c>
      <c r="P104" t="s">
        <v>9</v>
      </c>
      <c r="Q104" t="s">
        <v>1023</v>
      </c>
      <c r="R104" t="s">
        <v>1024</v>
      </c>
      <c r="S104" t="s">
        <v>1024</v>
      </c>
      <c r="T104" t="s">
        <v>1024</v>
      </c>
      <c r="U104" t="s">
        <v>1024</v>
      </c>
      <c r="V104" t="s">
        <v>1024</v>
      </c>
      <c r="W104" t="s">
        <v>983</v>
      </c>
      <c r="X104">
        <v>0</v>
      </c>
    </row>
    <row r="105" spans="1:24" x14ac:dyDescent="0.3">
      <c r="A105" s="55" t="str">
        <f t="shared" si="4"/>
        <v>INSTRUMENT_SICR_ASSSSMNT_MTHD</v>
      </c>
      <c r="B105" t="s">
        <v>659</v>
      </c>
      <c r="C105" s="10" t="s">
        <v>182</v>
      </c>
      <c r="D105" t="s">
        <v>1</v>
      </c>
      <c r="E105" t="s">
        <v>14</v>
      </c>
      <c r="F105" t="s">
        <v>53</v>
      </c>
      <c r="G105" t="s">
        <v>183</v>
      </c>
      <c r="I105" t="s">
        <v>7</v>
      </c>
      <c r="J105" s="15">
        <v>45471</v>
      </c>
      <c r="K105" t="s">
        <v>24</v>
      </c>
      <c r="L105" t="str">
        <f>F105</f>
        <v>OK</v>
      </c>
      <c r="M105" t="s">
        <v>184</v>
      </c>
      <c r="O105" s="48" t="s">
        <v>803</v>
      </c>
      <c r="P105" t="s">
        <v>55</v>
      </c>
      <c r="Q105" t="s">
        <v>1023</v>
      </c>
      <c r="R105" t="s">
        <v>1024</v>
      </c>
      <c r="S105" t="s">
        <v>1024</v>
      </c>
      <c r="T105" t="s">
        <v>1024</v>
      </c>
      <c r="U105" t="s">
        <v>1024</v>
      </c>
      <c r="V105" t="s">
        <v>1023</v>
      </c>
      <c r="W105" t="s">
        <v>983</v>
      </c>
      <c r="X105" t="s">
        <v>1025</v>
      </c>
    </row>
    <row r="106" spans="1:24" x14ac:dyDescent="0.3">
      <c r="A106" s="55" t="str">
        <f t="shared" si="4"/>
        <v>INSTRUMENT_DT_ORGNL_MTRTY</v>
      </c>
      <c r="B106" t="s">
        <v>659</v>
      </c>
      <c r="C106" t="s">
        <v>185</v>
      </c>
      <c r="D106" t="s">
        <v>1</v>
      </c>
      <c r="E106" t="s">
        <v>21</v>
      </c>
      <c r="F106" t="s">
        <v>67</v>
      </c>
      <c r="G106" t="s">
        <v>78</v>
      </c>
      <c r="I106" t="s">
        <v>11</v>
      </c>
      <c r="J106" s="15">
        <v>45450</v>
      </c>
      <c r="K106" t="s">
        <v>21</v>
      </c>
      <c r="L106" t="str">
        <f>F106</f>
        <v>NOK</v>
      </c>
      <c r="P106" t="s">
        <v>9</v>
      </c>
      <c r="Q106" t="s">
        <v>1023</v>
      </c>
      <c r="R106" t="s">
        <v>1024</v>
      </c>
      <c r="S106" t="s">
        <v>1024</v>
      </c>
      <c r="T106" t="s">
        <v>1024</v>
      </c>
      <c r="U106" t="s">
        <v>1024</v>
      </c>
      <c r="V106" t="s">
        <v>1023</v>
      </c>
      <c r="W106" t="s">
        <v>1022</v>
      </c>
      <c r="X106" t="s">
        <v>1029</v>
      </c>
    </row>
    <row r="107" spans="1:24" x14ac:dyDescent="0.3">
      <c r="A107" s="55" t="str">
        <f t="shared" si="4"/>
        <v>PROTECTION_NTNL_ID</v>
      </c>
      <c r="B107" t="s">
        <v>870</v>
      </c>
      <c r="C107" s="10" t="s">
        <v>35</v>
      </c>
      <c r="D107" t="s">
        <v>1</v>
      </c>
      <c r="E107" t="s">
        <v>832</v>
      </c>
      <c r="F107" t="s">
        <v>67</v>
      </c>
      <c r="G107" t="s">
        <v>446</v>
      </c>
      <c r="I107" t="s">
        <v>7</v>
      </c>
      <c r="J107" s="15">
        <v>45670</v>
      </c>
      <c r="K107" t="s">
        <v>24</v>
      </c>
      <c r="L107" t="s">
        <v>53</v>
      </c>
      <c r="N107" s="15">
        <v>45513</v>
      </c>
      <c r="O107" s="15">
        <v>45646</v>
      </c>
      <c r="P107" t="s">
        <v>19</v>
      </c>
      <c r="Q107" t="s">
        <v>1023</v>
      </c>
      <c r="R107" t="s">
        <v>1024</v>
      </c>
      <c r="S107" t="s">
        <v>1024</v>
      </c>
      <c r="T107" t="s">
        <v>1024</v>
      </c>
      <c r="U107" t="s">
        <v>1024</v>
      </c>
      <c r="V107" t="s">
        <v>1024</v>
      </c>
      <c r="W107" t="s">
        <v>983</v>
      </c>
      <c r="X107">
        <v>0</v>
      </c>
    </row>
    <row r="108" spans="1:24" x14ac:dyDescent="0.3">
      <c r="A108" s="55" t="str">
        <f t="shared" si="4"/>
        <v>INSTRUMENT_DT_PRFRMNG_STTS</v>
      </c>
      <c r="B108" t="s">
        <v>659</v>
      </c>
      <c r="C108" s="11" t="s">
        <v>186</v>
      </c>
      <c r="D108" t="s">
        <v>1</v>
      </c>
      <c r="E108" t="s">
        <v>14</v>
      </c>
      <c r="F108" t="s">
        <v>53</v>
      </c>
      <c r="G108" t="s">
        <v>74</v>
      </c>
      <c r="H108" t="s">
        <v>171</v>
      </c>
      <c r="I108" t="s">
        <v>15</v>
      </c>
      <c r="J108" s="15">
        <v>45670</v>
      </c>
      <c r="K108" t="s">
        <v>831</v>
      </c>
      <c r="L108" t="str">
        <f>F108</f>
        <v>OK</v>
      </c>
      <c r="M108" t="s">
        <v>1035</v>
      </c>
      <c r="N108" s="15">
        <v>45562</v>
      </c>
      <c r="P108" t="s">
        <v>25</v>
      </c>
      <c r="Q108" t="s">
        <v>1023</v>
      </c>
      <c r="R108" t="s">
        <v>1024</v>
      </c>
      <c r="S108" t="s">
        <v>1024</v>
      </c>
      <c r="T108" t="s">
        <v>1024</v>
      </c>
      <c r="U108" t="s">
        <v>1024</v>
      </c>
      <c r="V108" t="s">
        <v>1023</v>
      </c>
      <c r="W108" t="s">
        <v>983</v>
      </c>
      <c r="X108" t="s">
        <v>1032</v>
      </c>
    </row>
    <row r="109" spans="1:24" x14ac:dyDescent="0.3">
      <c r="A109" s="55" t="str">
        <f t="shared" si="4"/>
        <v>ENTITY_DT_PRFRMNG_STTS_LE</v>
      </c>
      <c r="B109" t="s">
        <v>867</v>
      </c>
      <c r="C109" s="11" t="s">
        <v>187</v>
      </c>
      <c r="D109" t="s">
        <v>1</v>
      </c>
      <c r="E109" t="s">
        <v>14</v>
      </c>
      <c r="F109" t="s">
        <v>67</v>
      </c>
      <c r="G109" t="s">
        <v>127</v>
      </c>
      <c r="H109" t="s">
        <v>150</v>
      </c>
      <c r="I109" t="s">
        <v>15</v>
      </c>
      <c r="J109" s="15">
        <v>45450</v>
      </c>
      <c r="K109" t="s">
        <v>14</v>
      </c>
      <c r="L109" t="str">
        <f>F109</f>
        <v>NOK</v>
      </c>
      <c r="P109" t="s">
        <v>25</v>
      </c>
      <c r="Q109" t="s">
        <v>1023</v>
      </c>
      <c r="R109" t="s">
        <v>1024</v>
      </c>
      <c r="S109" t="s">
        <v>1024</v>
      </c>
      <c r="T109" t="s">
        <v>1024</v>
      </c>
      <c r="U109" t="s">
        <v>1024</v>
      </c>
      <c r="V109" t="s">
        <v>1023</v>
      </c>
      <c r="W109" t="s">
        <v>1022</v>
      </c>
      <c r="X109" t="s">
        <v>1031</v>
      </c>
    </row>
    <row r="110" spans="1:24" x14ac:dyDescent="0.3">
      <c r="A110" s="55" t="str">
        <f t="shared" si="4"/>
        <v>INSTRUMENT_DT_PRFRMNG_STTS_PRVS</v>
      </c>
      <c r="B110" t="s">
        <v>659</v>
      </c>
      <c r="C110" s="11" t="s">
        <v>188</v>
      </c>
      <c r="D110" t="s">
        <v>1</v>
      </c>
      <c r="E110" t="s">
        <v>14</v>
      </c>
      <c r="F110" t="s">
        <v>53</v>
      </c>
      <c r="G110" t="s">
        <v>74</v>
      </c>
      <c r="H110" t="s">
        <v>171</v>
      </c>
      <c r="I110" t="s">
        <v>15</v>
      </c>
      <c r="J110" s="15">
        <v>45670</v>
      </c>
      <c r="K110" t="s">
        <v>831</v>
      </c>
      <c r="L110" t="str">
        <f>F110</f>
        <v>OK</v>
      </c>
      <c r="M110" t="s">
        <v>1035</v>
      </c>
      <c r="N110" s="15">
        <v>45562</v>
      </c>
      <c r="P110" t="s">
        <v>25</v>
      </c>
      <c r="Q110" t="s">
        <v>1023</v>
      </c>
      <c r="R110" t="s">
        <v>1024</v>
      </c>
      <c r="S110" t="s">
        <v>1024</v>
      </c>
      <c r="T110" t="s">
        <v>1024</v>
      </c>
      <c r="U110" t="s">
        <v>1024</v>
      </c>
      <c r="V110" t="s">
        <v>1023</v>
      </c>
      <c r="W110" t="s">
        <v>983</v>
      </c>
      <c r="X110" t="s">
        <v>1032</v>
      </c>
    </row>
    <row r="111" spans="1:24" x14ac:dyDescent="0.3">
      <c r="A111" s="55" t="str">
        <f t="shared" si="4"/>
        <v>INSTRUMENT_IFRS9_BHVRL_MTRTY</v>
      </c>
      <c r="B111" t="s">
        <v>659</v>
      </c>
      <c r="C111" s="10" t="s">
        <v>157</v>
      </c>
      <c r="D111" t="s">
        <v>1</v>
      </c>
      <c r="E111" t="s">
        <v>10</v>
      </c>
      <c r="F111" t="s">
        <v>53</v>
      </c>
      <c r="G111" t="s">
        <v>158</v>
      </c>
      <c r="H111" t="s">
        <v>159</v>
      </c>
      <c r="I111" t="s">
        <v>15</v>
      </c>
      <c r="J111" s="15">
        <v>45670</v>
      </c>
      <c r="K111" t="s">
        <v>831</v>
      </c>
      <c r="L111" t="s">
        <v>53</v>
      </c>
      <c r="M111" t="s">
        <v>835</v>
      </c>
      <c r="N111" s="15">
        <v>45534</v>
      </c>
      <c r="O111" s="15"/>
      <c r="P111" t="s">
        <v>19</v>
      </c>
      <c r="Q111" t="s">
        <v>1023</v>
      </c>
      <c r="R111" t="s">
        <v>1024</v>
      </c>
      <c r="S111" t="s">
        <v>1023</v>
      </c>
      <c r="T111" t="s">
        <v>1024</v>
      </c>
      <c r="U111" t="s">
        <v>1024</v>
      </c>
      <c r="V111" t="s">
        <v>1023</v>
      </c>
      <c r="W111" t="s">
        <v>983</v>
      </c>
      <c r="X111" t="s">
        <v>1032</v>
      </c>
    </row>
    <row r="112" spans="1:24" x14ac:dyDescent="0.3">
      <c r="A112" s="55" t="str">
        <f t="shared" si="4"/>
        <v>INSTRUMENT_DT_PST_D</v>
      </c>
      <c r="B112" t="s">
        <v>659</v>
      </c>
      <c r="C112" t="s">
        <v>191</v>
      </c>
      <c r="D112" t="s">
        <v>1</v>
      </c>
      <c r="E112" t="s">
        <v>21</v>
      </c>
      <c r="F112" t="s">
        <v>67</v>
      </c>
      <c r="G112" t="s">
        <v>78</v>
      </c>
      <c r="I112" t="s">
        <v>11</v>
      </c>
      <c r="J112" s="15">
        <v>45450</v>
      </c>
      <c r="K112" t="s">
        <v>21</v>
      </c>
      <c r="L112" t="str">
        <f t="shared" ref="L112:L120" si="7">F112</f>
        <v>NOK</v>
      </c>
      <c r="P112" t="s">
        <v>9</v>
      </c>
      <c r="Q112" t="s">
        <v>1023</v>
      </c>
      <c r="R112" t="s">
        <v>1024</v>
      </c>
      <c r="S112" t="s">
        <v>1024</v>
      </c>
      <c r="T112" t="s">
        <v>1024</v>
      </c>
      <c r="U112" t="s">
        <v>1024</v>
      </c>
      <c r="V112" t="s">
        <v>1023</v>
      </c>
      <c r="W112" t="s">
        <v>1022</v>
      </c>
      <c r="X112" t="s">
        <v>1029</v>
      </c>
    </row>
    <row r="113" spans="1:24" x14ac:dyDescent="0.3">
      <c r="A113" s="55" t="str">
        <f t="shared" si="4"/>
        <v>ENTITY_DT_RFRNC</v>
      </c>
      <c r="B113" t="s">
        <v>867</v>
      </c>
      <c r="C113" t="s">
        <v>192</v>
      </c>
      <c r="D113" t="s">
        <v>1</v>
      </c>
      <c r="E113" t="s">
        <v>24</v>
      </c>
      <c r="F113" t="s">
        <v>53</v>
      </c>
      <c r="G113" t="s">
        <v>54</v>
      </c>
      <c r="I113" t="s">
        <v>7</v>
      </c>
      <c r="J113" s="15">
        <v>45450</v>
      </c>
      <c r="K113" t="s">
        <v>24</v>
      </c>
      <c r="L113" t="str">
        <f t="shared" si="7"/>
        <v>OK</v>
      </c>
      <c r="P113" t="s">
        <v>55</v>
      </c>
      <c r="Q113" t="s">
        <v>1023</v>
      </c>
      <c r="R113" t="s">
        <v>1024</v>
      </c>
      <c r="S113" t="s">
        <v>1023</v>
      </c>
      <c r="T113" t="s">
        <v>1024</v>
      </c>
      <c r="U113" t="s">
        <v>1024</v>
      </c>
      <c r="V113" t="s">
        <v>1023</v>
      </c>
      <c r="W113" t="s">
        <v>983</v>
      </c>
      <c r="X113" t="s">
        <v>1025</v>
      </c>
    </row>
    <row r="114" spans="1:24" x14ac:dyDescent="0.3">
      <c r="A114" s="55" t="str">
        <f t="shared" si="4"/>
        <v>INSTR_ENTITY_DT_RFRNC</v>
      </c>
      <c r="B114" t="s">
        <v>868</v>
      </c>
      <c r="C114" t="s">
        <v>192</v>
      </c>
      <c r="D114" t="s">
        <v>1</v>
      </c>
      <c r="E114" t="s">
        <v>24</v>
      </c>
      <c r="F114" t="s">
        <v>53</v>
      </c>
      <c r="G114" t="s">
        <v>54</v>
      </c>
      <c r="I114" t="s">
        <v>7</v>
      </c>
      <c r="J114" s="15">
        <v>45450</v>
      </c>
      <c r="K114" t="s">
        <v>24</v>
      </c>
      <c r="L114" t="str">
        <f t="shared" si="7"/>
        <v>OK</v>
      </c>
      <c r="P114" t="s">
        <v>55</v>
      </c>
      <c r="Q114" t="s">
        <v>1023</v>
      </c>
      <c r="R114" t="s">
        <v>1024</v>
      </c>
      <c r="S114" t="s">
        <v>1023</v>
      </c>
      <c r="T114" t="s">
        <v>1024</v>
      </c>
      <c r="U114" t="s">
        <v>1024</v>
      </c>
      <c r="V114" t="s">
        <v>1023</v>
      </c>
      <c r="W114" t="s">
        <v>983</v>
      </c>
      <c r="X114" t="s">
        <v>1025</v>
      </c>
    </row>
    <row r="115" spans="1:24" x14ac:dyDescent="0.3">
      <c r="A115" s="55" t="str">
        <f t="shared" si="4"/>
        <v>INSTR_PROTECTION_DT_RFRNC</v>
      </c>
      <c r="B115" t="s">
        <v>869</v>
      </c>
      <c r="C115" t="s">
        <v>192</v>
      </c>
      <c r="D115" t="s">
        <v>1</v>
      </c>
      <c r="E115" t="s">
        <v>24</v>
      </c>
      <c r="F115" t="s">
        <v>53</v>
      </c>
      <c r="G115" t="s">
        <v>54</v>
      </c>
      <c r="I115" t="s">
        <v>7</v>
      </c>
      <c r="J115" s="15">
        <v>45450</v>
      </c>
      <c r="K115" t="s">
        <v>24</v>
      </c>
      <c r="L115" t="str">
        <f t="shared" si="7"/>
        <v>OK</v>
      </c>
      <c r="P115" t="s">
        <v>55</v>
      </c>
      <c r="Q115" t="s">
        <v>1023</v>
      </c>
      <c r="R115" t="s">
        <v>1023</v>
      </c>
      <c r="S115" t="s">
        <v>1023</v>
      </c>
      <c r="T115" t="s">
        <v>1024</v>
      </c>
      <c r="U115" t="s">
        <v>1024</v>
      </c>
      <c r="V115" t="s">
        <v>1024</v>
      </c>
      <c r="W115" t="s">
        <v>983</v>
      </c>
      <c r="X115">
        <v>0</v>
      </c>
    </row>
    <row r="116" spans="1:24" x14ac:dyDescent="0.3">
      <c r="A116" s="55" t="str">
        <f t="shared" si="4"/>
        <v>INSTRUMENT_DT_RFRNC</v>
      </c>
      <c r="B116" t="s">
        <v>659</v>
      </c>
      <c r="C116" t="s">
        <v>192</v>
      </c>
      <c r="D116" t="s">
        <v>1</v>
      </c>
      <c r="E116" t="s">
        <v>24</v>
      </c>
      <c r="F116" t="s">
        <v>53</v>
      </c>
      <c r="G116" t="s">
        <v>54</v>
      </c>
      <c r="I116" t="s">
        <v>7</v>
      </c>
      <c r="J116" s="15">
        <v>45450</v>
      </c>
      <c r="K116" t="s">
        <v>24</v>
      </c>
      <c r="L116" t="str">
        <f t="shared" si="7"/>
        <v>OK</v>
      </c>
      <c r="P116" t="s">
        <v>55</v>
      </c>
      <c r="Q116" t="s">
        <v>1023</v>
      </c>
      <c r="R116" t="s">
        <v>1023</v>
      </c>
      <c r="S116" t="s">
        <v>1023</v>
      </c>
      <c r="T116" t="s">
        <v>1024</v>
      </c>
      <c r="U116" t="s">
        <v>1023</v>
      </c>
      <c r="V116" t="s">
        <v>1023</v>
      </c>
      <c r="W116" t="s">
        <v>983</v>
      </c>
      <c r="X116" t="s">
        <v>1025</v>
      </c>
    </row>
    <row r="117" spans="1:24" x14ac:dyDescent="0.3">
      <c r="A117" s="55" t="str">
        <f t="shared" si="4"/>
        <v>PROTECTION_DT_RFRNC</v>
      </c>
      <c r="B117" t="s">
        <v>870</v>
      </c>
      <c r="C117" t="s">
        <v>192</v>
      </c>
      <c r="D117" t="s">
        <v>1</v>
      </c>
      <c r="E117" t="s">
        <v>24</v>
      </c>
      <c r="F117" t="s">
        <v>53</v>
      </c>
      <c r="G117" t="s">
        <v>54</v>
      </c>
      <c r="I117" t="s">
        <v>7</v>
      </c>
      <c r="J117" s="15">
        <v>45450</v>
      </c>
      <c r="K117" t="s">
        <v>24</v>
      </c>
      <c r="L117" t="str">
        <f t="shared" si="7"/>
        <v>OK</v>
      </c>
      <c r="P117" t="s">
        <v>55</v>
      </c>
      <c r="Q117" t="s">
        <v>1023</v>
      </c>
      <c r="R117" t="s">
        <v>1023</v>
      </c>
      <c r="S117" t="s">
        <v>1023</v>
      </c>
      <c r="T117" t="s">
        <v>1024</v>
      </c>
      <c r="U117" t="s">
        <v>1023</v>
      </c>
      <c r="V117" t="s">
        <v>1024</v>
      </c>
      <c r="W117" t="s">
        <v>983</v>
      </c>
      <c r="X117">
        <v>0</v>
      </c>
    </row>
    <row r="118" spans="1:24" x14ac:dyDescent="0.3">
      <c r="A118" s="55" t="str">
        <f t="shared" si="4"/>
        <v>INSTRUMENT_DT_STRT_GP_PPAL</v>
      </c>
      <c r="B118" t="s">
        <v>659</v>
      </c>
      <c r="C118" t="s">
        <v>193</v>
      </c>
      <c r="D118" t="s">
        <v>1</v>
      </c>
      <c r="E118" t="s">
        <v>21</v>
      </c>
      <c r="F118" t="s">
        <v>67</v>
      </c>
      <c r="G118" t="s">
        <v>78</v>
      </c>
      <c r="I118" t="s">
        <v>11</v>
      </c>
      <c r="J118" s="15">
        <v>45450</v>
      </c>
      <c r="K118" t="s">
        <v>21</v>
      </c>
      <c r="L118" t="str">
        <f t="shared" si="7"/>
        <v>NOK</v>
      </c>
      <c r="P118" t="s">
        <v>9</v>
      </c>
      <c r="Q118" t="s">
        <v>1023</v>
      </c>
      <c r="R118" t="s">
        <v>1024</v>
      </c>
      <c r="S118" t="s">
        <v>1024</v>
      </c>
      <c r="T118" t="s">
        <v>1024</v>
      </c>
      <c r="U118" t="s">
        <v>1024</v>
      </c>
      <c r="V118" t="s">
        <v>1024</v>
      </c>
      <c r="W118" t="s">
        <v>983</v>
      </c>
      <c r="X118">
        <v>0</v>
      </c>
    </row>
    <row r="119" spans="1:24" x14ac:dyDescent="0.3">
      <c r="A119" s="55" t="str">
        <f t="shared" si="4"/>
        <v>INSTRUMENT_DT_STRT_INTRST_ONLY</v>
      </c>
      <c r="B119" t="s">
        <v>659</v>
      </c>
      <c r="C119" t="s">
        <v>194</v>
      </c>
      <c r="D119" t="s">
        <v>1</v>
      </c>
      <c r="E119" t="s">
        <v>21</v>
      </c>
      <c r="F119" t="s">
        <v>67</v>
      </c>
      <c r="G119" t="s">
        <v>78</v>
      </c>
      <c r="I119" t="s">
        <v>11</v>
      </c>
      <c r="J119" s="15">
        <v>45450</v>
      </c>
      <c r="K119" t="s">
        <v>21</v>
      </c>
      <c r="L119" t="str">
        <f t="shared" si="7"/>
        <v>NOK</v>
      </c>
      <c r="P119" t="s">
        <v>9</v>
      </c>
      <c r="Q119" t="s">
        <v>1023</v>
      </c>
      <c r="R119" t="s">
        <v>1024</v>
      </c>
      <c r="S119" t="s">
        <v>1024</v>
      </c>
      <c r="T119" t="s">
        <v>1024</v>
      </c>
      <c r="U119" t="s">
        <v>1024</v>
      </c>
      <c r="V119" t="s">
        <v>1024</v>
      </c>
      <c r="W119" t="s">
        <v>983</v>
      </c>
      <c r="X119">
        <v>0</v>
      </c>
    </row>
    <row r="120" spans="1:24" x14ac:dyDescent="0.3">
      <c r="A120" s="55" t="str">
        <f t="shared" si="4"/>
        <v>INSTRUMENT_DT_VLTN</v>
      </c>
      <c r="B120" t="s">
        <v>659</v>
      </c>
      <c r="C120" t="s">
        <v>195</v>
      </c>
      <c r="D120" t="s">
        <v>0</v>
      </c>
      <c r="E120" t="s">
        <v>24</v>
      </c>
      <c r="F120" t="s">
        <v>53</v>
      </c>
      <c r="G120" t="s">
        <v>54</v>
      </c>
      <c r="I120" t="s">
        <v>7</v>
      </c>
      <c r="J120" s="15">
        <v>45450</v>
      </c>
      <c r="K120" t="s">
        <v>24</v>
      </c>
      <c r="L120" t="str">
        <f t="shared" si="7"/>
        <v>OK</v>
      </c>
      <c r="P120" t="s">
        <v>55</v>
      </c>
      <c r="Q120" t="s">
        <v>1023</v>
      </c>
      <c r="R120" t="s">
        <v>1024</v>
      </c>
      <c r="S120" t="s">
        <v>1024</v>
      </c>
      <c r="T120" t="s">
        <v>1024</v>
      </c>
      <c r="U120" t="s">
        <v>1024</v>
      </c>
      <c r="V120" t="s">
        <v>1024</v>
      </c>
      <c r="W120" t="s">
        <v>983</v>
      </c>
      <c r="X120">
        <v>0</v>
      </c>
    </row>
    <row r="121" spans="1:24" x14ac:dyDescent="0.3">
      <c r="A121" s="55" t="str">
        <f t="shared" si="4"/>
        <v>INSTRUMENT_POCI</v>
      </c>
      <c r="B121" t="s">
        <v>659</v>
      </c>
      <c r="C121" s="10" t="s">
        <v>355</v>
      </c>
      <c r="D121" t="s">
        <v>1</v>
      </c>
      <c r="E121" t="s">
        <v>24</v>
      </c>
      <c r="F121" t="s">
        <v>53</v>
      </c>
      <c r="G121" t="s">
        <v>54</v>
      </c>
      <c r="I121" t="s">
        <v>7</v>
      </c>
      <c r="J121" s="15">
        <v>45520</v>
      </c>
      <c r="K121" t="s">
        <v>10</v>
      </c>
      <c r="M121" t="s">
        <v>681</v>
      </c>
      <c r="N121" s="15"/>
      <c r="O121" s="15"/>
      <c r="P121" t="s">
        <v>55</v>
      </c>
      <c r="Q121" t="s">
        <v>1023</v>
      </c>
      <c r="R121" t="s">
        <v>1024</v>
      </c>
      <c r="S121" t="s">
        <v>1024</v>
      </c>
      <c r="T121" t="s">
        <v>1024</v>
      </c>
      <c r="U121" t="s">
        <v>1024</v>
      </c>
      <c r="V121" t="s">
        <v>1024</v>
      </c>
      <c r="W121" t="s">
        <v>983</v>
      </c>
      <c r="X121">
        <v>0</v>
      </c>
    </row>
    <row r="122" spans="1:24" x14ac:dyDescent="0.3">
      <c r="A122" s="55" t="str">
        <f t="shared" si="4"/>
        <v>INSTRUMENT_EAD</v>
      </c>
      <c r="B122" t="s">
        <v>659</v>
      </c>
      <c r="C122" s="10" t="s">
        <v>197</v>
      </c>
      <c r="D122" t="s">
        <v>1</v>
      </c>
      <c r="E122" t="s">
        <v>831</v>
      </c>
      <c r="F122" t="s">
        <v>53</v>
      </c>
      <c r="G122" t="s">
        <v>198</v>
      </c>
      <c r="I122" t="s">
        <v>15</v>
      </c>
      <c r="J122" s="15">
        <v>45463</v>
      </c>
      <c r="K122" t="s">
        <v>831</v>
      </c>
      <c r="L122" t="s">
        <v>67</v>
      </c>
      <c r="M122" t="s">
        <v>199</v>
      </c>
      <c r="N122" s="15">
        <v>45338</v>
      </c>
      <c r="O122" s="15">
        <v>45436</v>
      </c>
      <c r="P122" t="s">
        <v>19</v>
      </c>
      <c r="Q122" t="s">
        <v>1023</v>
      </c>
      <c r="R122" t="s">
        <v>1023</v>
      </c>
      <c r="S122" t="s">
        <v>1024</v>
      </c>
      <c r="T122" t="s">
        <v>1024</v>
      </c>
      <c r="U122" t="s">
        <v>1023</v>
      </c>
      <c r="V122" t="s">
        <v>1023</v>
      </c>
      <c r="W122" t="s">
        <v>1022</v>
      </c>
      <c r="X122" t="s">
        <v>1026</v>
      </c>
    </row>
    <row r="123" spans="1:24" x14ac:dyDescent="0.3">
      <c r="A123" s="55" t="str">
        <f t="shared" si="4"/>
        <v>INSTRUMENT_EBA_CMPLNT_MRTR_ST_C19</v>
      </c>
      <c r="B123" t="s">
        <v>659</v>
      </c>
      <c r="C123" t="s">
        <v>200</v>
      </c>
      <c r="D123" t="s">
        <v>0</v>
      </c>
      <c r="E123" t="s">
        <v>24</v>
      </c>
      <c r="F123" t="s">
        <v>53</v>
      </c>
      <c r="G123" t="s">
        <v>54</v>
      </c>
      <c r="I123" t="s">
        <v>7</v>
      </c>
      <c r="J123" s="15">
        <v>45450</v>
      </c>
      <c r="K123" t="s">
        <v>24</v>
      </c>
      <c r="L123" t="str">
        <f>F123</f>
        <v>OK</v>
      </c>
      <c r="P123" t="s">
        <v>55</v>
      </c>
      <c r="Q123" t="s">
        <v>1023</v>
      </c>
      <c r="R123" t="s">
        <v>1024</v>
      </c>
      <c r="S123" t="s">
        <v>1024</v>
      </c>
      <c r="T123" t="s">
        <v>1024</v>
      </c>
      <c r="U123" t="s">
        <v>1024</v>
      </c>
      <c r="V123" t="s">
        <v>1024</v>
      </c>
      <c r="W123" t="s">
        <v>983</v>
      </c>
      <c r="X123">
        <v>0</v>
      </c>
    </row>
    <row r="124" spans="1:24" x14ac:dyDescent="0.3">
      <c r="A124" s="55" t="str">
        <f t="shared" si="4"/>
        <v>INSTRUMENT_OTSTNDNG_NMNL_AMNT_INSTRMNT_PRVS</v>
      </c>
      <c r="B124" t="s">
        <v>659</v>
      </c>
      <c r="C124" s="11" t="s">
        <v>340</v>
      </c>
      <c r="D124" t="s">
        <v>1</v>
      </c>
      <c r="E124" t="s">
        <v>832</v>
      </c>
      <c r="F124" t="s">
        <v>53</v>
      </c>
      <c r="G124" t="s">
        <v>334</v>
      </c>
      <c r="H124" t="s">
        <v>341</v>
      </c>
      <c r="I124" t="s">
        <v>15</v>
      </c>
      <c r="J124" s="15">
        <v>45471</v>
      </c>
      <c r="K124" t="s">
        <v>10</v>
      </c>
      <c r="L124" t="s">
        <v>67</v>
      </c>
      <c r="M124" t="s">
        <v>805</v>
      </c>
      <c r="N124" s="15"/>
      <c r="O124" s="15"/>
      <c r="P124" t="s">
        <v>25</v>
      </c>
      <c r="Q124" t="s">
        <v>1023</v>
      </c>
      <c r="R124" t="s">
        <v>1024</v>
      </c>
      <c r="S124" t="s">
        <v>1024</v>
      </c>
      <c r="T124" t="s">
        <v>1024</v>
      </c>
      <c r="U124" t="s">
        <v>1024</v>
      </c>
      <c r="V124" t="s">
        <v>1024</v>
      </c>
      <c r="W124" t="s">
        <v>983</v>
      </c>
      <c r="X124">
        <v>0</v>
      </c>
    </row>
    <row r="125" spans="1:24" x14ac:dyDescent="0.3">
      <c r="A125" s="55" t="str">
        <f t="shared" si="4"/>
        <v>INSTRUMENT_INSTLMNT_PAY</v>
      </c>
      <c r="B125" t="s">
        <v>659</v>
      </c>
      <c r="C125" t="s">
        <v>269</v>
      </c>
      <c r="D125" t="s">
        <v>0</v>
      </c>
      <c r="E125" t="s">
        <v>10</v>
      </c>
      <c r="F125" t="s">
        <v>53</v>
      </c>
      <c r="G125" t="s">
        <v>270</v>
      </c>
      <c r="I125" t="s">
        <v>11</v>
      </c>
      <c r="J125" s="15">
        <v>45450</v>
      </c>
      <c r="K125" t="s">
        <v>10</v>
      </c>
      <c r="L125" t="str">
        <f t="shared" ref="L125:L156" si="8">F125</f>
        <v>OK</v>
      </c>
      <c r="P125" t="s">
        <v>20</v>
      </c>
      <c r="Q125" t="s">
        <v>1023</v>
      </c>
      <c r="R125" t="s">
        <v>1024</v>
      </c>
      <c r="S125" t="s">
        <v>1024</v>
      </c>
      <c r="T125" t="s">
        <v>1024</v>
      </c>
      <c r="U125" t="s">
        <v>1024</v>
      </c>
      <c r="V125" t="s">
        <v>1024</v>
      </c>
      <c r="W125" t="s">
        <v>983</v>
      </c>
      <c r="X125">
        <v>0</v>
      </c>
    </row>
    <row r="126" spans="1:24" x14ac:dyDescent="0.3">
      <c r="A126" s="55" t="str">
        <f t="shared" si="4"/>
        <v>ENTITY_EC_GRP_ID</v>
      </c>
      <c r="B126" t="s">
        <v>867</v>
      </c>
      <c r="C126" t="s">
        <v>204</v>
      </c>
      <c r="D126" t="s">
        <v>0</v>
      </c>
      <c r="E126" t="s">
        <v>6</v>
      </c>
      <c r="F126" t="s">
        <v>53</v>
      </c>
      <c r="G126" t="s">
        <v>96</v>
      </c>
      <c r="I126" t="s">
        <v>11</v>
      </c>
      <c r="J126" s="15">
        <v>45450</v>
      </c>
      <c r="K126" t="s">
        <v>6</v>
      </c>
      <c r="L126" t="str">
        <f t="shared" si="8"/>
        <v>OK</v>
      </c>
      <c r="P126" t="s">
        <v>17</v>
      </c>
      <c r="Q126" t="s">
        <v>1023</v>
      </c>
      <c r="R126" t="s">
        <v>1024</v>
      </c>
      <c r="S126" t="s">
        <v>1024</v>
      </c>
      <c r="T126" t="s">
        <v>1024</v>
      </c>
      <c r="U126" t="s">
        <v>1024</v>
      </c>
      <c r="V126" t="s">
        <v>1023</v>
      </c>
      <c r="W126" t="s">
        <v>1022</v>
      </c>
      <c r="X126" t="s">
        <v>1028</v>
      </c>
    </row>
    <row r="127" spans="1:24" x14ac:dyDescent="0.3">
      <c r="A127" s="55" t="str">
        <f t="shared" si="4"/>
        <v>ENTITY_EC_GRP_NM</v>
      </c>
      <c r="B127" t="s">
        <v>867</v>
      </c>
      <c r="C127" t="s">
        <v>205</v>
      </c>
      <c r="D127" t="s">
        <v>0</v>
      </c>
      <c r="E127" t="s">
        <v>6</v>
      </c>
      <c r="F127" t="s">
        <v>53</v>
      </c>
      <c r="G127" t="s">
        <v>96</v>
      </c>
      <c r="I127" t="s">
        <v>11</v>
      </c>
      <c r="J127" s="15">
        <v>45450</v>
      </c>
      <c r="K127" t="s">
        <v>6</v>
      </c>
      <c r="L127" t="str">
        <f t="shared" si="8"/>
        <v>OK</v>
      </c>
      <c r="P127" t="s">
        <v>17</v>
      </c>
      <c r="Q127" t="s">
        <v>1023</v>
      </c>
      <c r="R127" t="s">
        <v>1024</v>
      </c>
      <c r="S127" t="s">
        <v>1023</v>
      </c>
      <c r="T127" t="s">
        <v>1024</v>
      </c>
      <c r="U127" t="s">
        <v>1024</v>
      </c>
      <c r="V127" t="s">
        <v>1023</v>
      </c>
      <c r="W127" t="s">
        <v>1022</v>
      </c>
      <c r="X127" t="s">
        <v>1028</v>
      </c>
    </row>
    <row r="128" spans="1:24" x14ac:dyDescent="0.3">
      <c r="A128" s="55" t="str">
        <f t="shared" si="4"/>
        <v>ENTITY_ECNMC_ACTVTY</v>
      </c>
      <c r="B128" t="s">
        <v>867</v>
      </c>
      <c r="C128" t="s">
        <v>206</v>
      </c>
      <c r="D128" t="s">
        <v>1</v>
      </c>
      <c r="E128" t="s">
        <v>24</v>
      </c>
      <c r="F128" t="s">
        <v>53</v>
      </c>
      <c r="G128" t="s">
        <v>54</v>
      </c>
      <c r="I128" t="s">
        <v>7</v>
      </c>
      <c r="J128" s="15">
        <v>45450</v>
      </c>
      <c r="K128" t="s">
        <v>24</v>
      </c>
      <c r="L128" t="str">
        <f t="shared" si="8"/>
        <v>OK</v>
      </c>
      <c r="P128" t="s">
        <v>55</v>
      </c>
      <c r="Q128" t="s">
        <v>1023</v>
      </c>
      <c r="R128" t="s">
        <v>1024</v>
      </c>
      <c r="S128" t="s">
        <v>1023</v>
      </c>
      <c r="T128" t="s">
        <v>1024</v>
      </c>
      <c r="U128" t="s">
        <v>1023</v>
      </c>
      <c r="V128" t="s">
        <v>1023</v>
      </c>
      <c r="W128" t="s">
        <v>983</v>
      </c>
      <c r="X128" t="s">
        <v>1025</v>
      </c>
    </row>
    <row r="129" spans="1:24" x14ac:dyDescent="0.3">
      <c r="A129" s="55" t="str">
        <f t="shared" si="4"/>
        <v>INSTRUMENT_EIR</v>
      </c>
      <c r="B129" t="s">
        <v>659</v>
      </c>
      <c r="C129" t="s">
        <v>207</v>
      </c>
      <c r="D129" t="s">
        <v>1</v>
      </c>
      <c r="E129" t="s">
        <v>21</v>
      </c>
      <c r="F129" t="s">
        <v>67</v>
      </c>
      <c r="G129" t="s">
        <v>78</v>
      </c>
      <c r="I129" t="s">
        <v>11</v>
      </c>
      <c r="J129" s="15">
        <v>45450</v>
      </c>
      <c r="K129" t="s">
        <v>21</v>
      </c>
      <c r="L129" t="str">
        <f t="shared" si="8"/>
        <v>NOK</v>
      </c>
      <c r="P129" t="s">
        <v>9</v>
      </c>
      <c r="Q129" t="s">
        <v>1023</v>
      </c>
      <c r="R129" t="s">
        <v>1024</v>
      </c>
      <c r="S129" t="s">
        <v>1024</v>
      </c>
      <c r="T129" t="s">
        <v>1024</v>
      </c>
      <c r="U129" t="s">
        <v>1024</v>
      </c>
      <c r="V129" t="s">
        <v>1023</v>
      </c>
      <c r="W129" t="s">
        <v>1022</v>
      </c>
      <c r="X129" t="s">
        <v>1029</v>
      </c>
    </row>
    <row r="130" spans="1:24" x14ac:dyDescent="0.3">
      <c r="A130" s="55" t="str">
        <f t="shared" si="4"/>
        <v>INSTRUMENT_EIR_INCPTN</v>
      </c>
      <c r="B130" t="s">
        <v>659</v>
      </c>
      <c r="C130" t="s">
        <v>208</v>
      </c>
      <c r="D130" t="s">
        <v>1</v>
      </c>
      <c r="E130" t="s">
        <v>21</v>
      </c>
      <c r="F130" t="s">
        <v>67</v>
      </c>
      <c r="G130" t="s">
        <v>78</v>
      </c>
      <c r="I130" t="s">
        <v>11</v>
      </c>
      <c r="J130" s="15">
        <v>45450</v>
      </c>
      <c r="K130" t="s">
        <v>21</v>
      </c>
      <c r="L130" t="str">
        <f t="shared" si="8"/>
        <v>NOK</v>
      </c>
      <c r="P130" t="s">
        <v>9</v>
      </c>
      <c r="Q130" t="s">
        <v>1023</v>
      </c>
      <c r="R130" t="s">
        <v>1024</v>
      </c>
      <c r="S130" t="s">
        <v>1023</v>
      </c>
      <c r="T130" t="s">
        <v>1024</v>
      </c>
      <c r="U130" t="s">
        <v>1024</v>
      </c>
      <c r="V130" t="s">
        <v>1024</v>
      </c>
      <c r="W130" t="s">
        <v>983</v>
      </c>
      <c r="X130">
        <v>0</v>
      </c>
    </row>
    <row r="131" spans="1:24" x14ac:dyDescent="0.3">
      <c r="A131" s="55" t="str">
        <f t="shared" si="4"/>
        <v>INSTRUMENT_ELGBLTY_ECB</v>
      </c>
      <c r="B131" t="s">
        <v>659</v>
      </c>
      <c r="C131" t="s">
        <v>209</v>
      </c>
      <c r="D131" t="s">
        <v>0</v>
      </c>
      <c r="E131" t="s">
        <v>24</v>
      </c>
      <c r="F131" t="s">
        <v>53</v>
      </c>
      <c r="G131" t="s">
        <v>54</v>
      </c>
      <c r="I131" t="s">
        <v>7</v>
      </c>
      <c r="J131" s="15">
        <v>45450</v>
      </c>
      <c r="K131" t="s">
        <v>24</v>
      </c>
      <c r="L131" t="str">
        <f t="shared" si="8"/>
        <v>OK</v>
      </c>
      <c r="P131" t="s">
        <v>55</v>
      </c>
      <c r="Q131" t="s">
        <v>1023</v>
      </c>
      <c r="R131" t="s">
        <v>1024</v>
      </c>
      <c r="S131" t="s">
        <v>1024</v>
      </c>
      <c r="T131" t="s">
        <v>1024</v>
      </c>
      <c r="U131" t="s">
        <v>1024</v>
      </c>
      <c r="V131" t="s">
        <v>1024</v>
      </c>
      <c r="W131" t="s">
        <v>983</v>
      </c>
      <c r="X131">
        <v>0</v>
      </c>
    </row>
    <row r="132" spans="1:24" x14ac:dyDescent="0.3">
      <c r="A132" s="55" t="str">
        <f t="shared" si="4"/>
        <v>ENTITY_EMPLYMNT_STTS</v>
      </c>
      <c r="B132" t="s">
        <v>867</v>
      </c>
      <c r="C132" t="s">
        <v>210</v>
      </c>
      <c r="D132" t="s">
        <v>0</v>
      </c>
      <c r="E132" t="s">
        <v>24</v>
      </c>
      <c r="F132" t="s">
        <v>53</v>
      </c>
      <c r="G132" t="s">
        <v>54</v>
      </c>
      <c r="I132" t="s">
        <v>7</v>
      </c>
      <c r="J132" s="15">
        <v>45450</v>
      </c>
      <c r="K132" t="s">
        <v>24</v>
      </c>
      <c r="L132" t="str">
        <f t="shared" si="8"/>
        <v>OK</v>
      </c>
      <c r="P132" t="s">
        <v>55</v>
      </c>
      <c r="Q132" t="s">
        <v>1023</v>
      </c>
      <c r="R132" t="s">
        <v>1024</v>
      </c>
      <c r="S132" t="s">
        <v>1024</v>
      </c>
      <c r="T132" t="s">
        <v>1024</v>
      </c>
      <c r="U132" t="s">
        <v>1024</v>
      </c>
      <c r="V132" t="s">
        <v>1024</v>
      </c>
      <c r="W132" t="s">
        <v>983</v>
      </c>
      <c r="X132">
        <v>0</v>
      </c>
    </row>
    <row r="133" spans="1:24" x14ac:dyDescent="0.3">
      <c r="A133" s="55" t="str">
        <f t="shared" si="4"/>
        <v>ENTITY_EMPLYMNT_STTS_INTRNL</v>
      </c>
      <c r="B133" t="s">
        <v>867</v>
      </c>
      <c r="C133" t="s">
        <v>211</v>
      </c>
      <c r="D133" t="s">
        <v>0</v>
      </c>
      <c r="E133" t="s">
        <v>24</v>
      </c>
      <c r="F133" t="s">
        <v>53</v>
      </c>
      <c r="G133" t="s">
        <v>54</v>
      </c>
      <c r="I133" t="s">
        <v>7</v>
      </c>
      <c r="J133" s="15">
        <v>45450</v>
      </c>
      <c r="K133" t="s">
        <v>24</v>
      </c>
      <c r="L133" t="str">
        <f t="shared" si="8"/>
        <v>OK</v>
      </c>
      <c r="P133" t="s">
        <v>55</v>
      </c>
      <c r="Q133" t="s">
        <v>1023</v>
      </c>
      <c r="R133" t="s">
        <v>1024</v>
      </c>
      <c r="S133" t="s">
        <v>1024</v>
      </c>
      <c r="T133" t="s">
        <v>1024</v>
      </c>
      <c r="U133" t="s">
        <v>1024</v>
      </c>
      <c r="V133" t="s">
        <v>1024</v>
      </c>
      <c r="W133" t="s">
        <v>983</v>
      </c>
      <c r="X133">
        <v>0</v>
      </c>
    </row>
    <row r="134" spans="1:24" x14ac:dyDescent="0.3">
      <c r="A134" s="55" t="str">
        <f t="shared" ref="A134:A197" si="9">B134&amp;"_"&amp;C134</f>
        <v>ENTITY_ENTRPRS_SZ_LE</v>
      </c>
      <c r="B134" t="s">
        <v>867</v>
      </c>
      <c r="C134" t="s">
        <v>212</v>
      </c>
      <c r="D134" t="s">
        <v>1</v>
      </c>
      <c r="E134" t="s">
        <v>21</v>
      </c>
      <c r="F134" t="s">
        <v>67</v>
      </c>
      <c r="G134" t="s">
        <v>78</v>
      </c>
      <c r="I134" t="s">
        <v>11</v>
      </c>
      <c r="J134" s="15">
        <v>45450</v>
      </c>
      <c r="K134" t="s">
        <v>21</v>
      </c>
      <c r="L134" t="str">
        <f t="shared" si="8"/>
        <v>NOK</v>
      </c>
      <c r="P134" t="s">
        <v>9</v>
      </c>
      <c r="Q134" t="s">
        <v>1023</v>
      </c>
      <c r="R134" t="s">
        <v>1024</v>
      </c>
      <c r="S134" t="s">
        <v>1024</v>
      </c>
      <c r="T134" t="s">
        <v>1024</v>
      </c>
      <c r="U134" t="s">
        <v>1024</v>
      </c>
      <c r="V134" t="s">
        <v>1024</v>
      </c>
      <c r="W134" t="s">
        <v>983</v>
      </c>
      <c r="X134">
        <v>0</v>
      </c>
    </row>
    <row r="135" spans="1:24" x14ac:dyDescent="0.3">
      <c r="A135" s="55" t="str">
        <f t="shared" si="9"/>
        <v>ENTITY_ENTTY_ID</v>
      </c>
      <c r="B135" t="s">
        <v>867</v>
      </c>
      <c r="C135" t="s">
        <v>213</v>
      </c>
      <c r="D135" t="s">
        <v>1</v>
      </c>
      <c r="E135" t="s">
        <v>21</v>
      </c>
      <c r="F135" t="s">
        <v>67</v>
      </c>
      <c r="G135" t="s">
        <v>78</v>
      </c>
      <c r="I135" t="s">
        <v>11</v>
      </c>
      <c r="J135" s="15">
        <v>45450</v>
      </c>
      <c r="K135" t="s">
        <v>21</v>
      </c>
      <c r="L135" t="str">
        <f t="shared" si="8"/>
        <v>NOK</v>
      </c>
      <c r="P135" t="s">
        <v>9</v>
      </c>
      <c r="Q135" t="s">
        <v>1023</v>
      </c>
      <c r="R135" t="s">
        <v>1024</v>
      </c>
      <c r="S135" t="s">
        <v>1023</v>
      </c>
      <c r="T135" t="s">
        <v>1024</v>
      </c>
      <c r="U135" t="s">
        <v>1023</v>
      </c>
      <c r="V135" t="s">
        <v>1023</v>
      </c>
      <c r="W135" t="s">
        <v>1022</v>
      </c>
      <c r="X135" t="s">
        <v>1029</v>
      </c>
    </row>
    <row r="136" spans="1:24" x14ac:dyDescent="0.3">
      <c r="A136" s="55" t="str">
        <f t="shared" si="9"/>
        <v>INSTR_ENTITY_ENTTY_ID</v>
      </c>
      <c r="B136" t="s">
        <v>868</v>
      </c>
      <c r="C136" t="s">
        <v>213</v>
      </c>
      <c r="D136" t="s">
        <v>1</v>
      </c>
      <c r="E136" t="s">
        <v>21</v>
      </c>
      <c r="F136" t="s">
        <v>67</v>
      </c>
      <c r="G136" t="s">
        <v>78</v>
      </c>
      <c r="I136" t="s">
        <v>11</v>
      </c>
      <c r="J136" s="15">
        <v>45450</v>
      </c>
      <c r="K136" t="s">
        <v>21</v>
      </c>
      <c r="L136" t="str">
        <f t="shared" si="8"/>
        <v>NOK</v>
      </c>
      <c r="P136" t="s">
        <v>9</v>
      </c>
      <c r="Q136" t="s">
        <v>1023</v>
      </c>
      <c r="R136" t="s">
        <v>1024</v>
      </c>
      <c r="S136" t="s">
        <v>1023</v>
      </c>
      <c r="T136" t="s">
        <v>1024</v>
      </c>
      <c r="U136" t="s">
        <v>1024</v>
      </c>
      <c r="V136" t="s">
        <v>1023</v>
      </c>
      <c r="W136" t="s">
        <v>1022</v>
      </c>
      <c r="X136" t="s">
        <v>1029</v>
      </c>
    </row>
    <row r="137" spans="1:24" x14ac:dyDescent="0.3">
      <c r="A137" s="55" t="str">
        <f t="shared" si="9"/>
        <v>ENTITY_ENTTY_NM</v>
      </c>
      <c r="B137" t="s">
        <v>867</v>
      </c>
      <c r="C137" t="s">
        <v>214</v>
      </c>
      <c r="D137" t="s">
        <v>1</v>
      </c>
      <c r="E137" t="s">
        <v>24</v>
      </c>
      <c r="F137" t="s">
        <v>53</v>
      </c>
      <c r="G137" t="s">
        <v>54</v>
      </c>
      <c r="I137" t="s">
        <v>7</v>
      </c>
      <c r="J137" s="15">
        <v>45450</v>
      </c>
      <c r="K137" t="s">
        <v>24</v>
      </c>
      <c r="L137" t="str">
        <f t="shared" si="8"/>
        <v>OK</v>
      </c>
      <c r="P137" t="s">
        <v>55</v>
      </c>
      <c r="Q137" t="s">
        <v>1023</v>
      </c>
      <c r="R137" t="s">
        <v>1024</v>
      </c>
      <c r="S137" t="s">
        <v>1023</v>
      </c>
      <c r="T137" t="s">
        <v>1024</v>
      </c>
      <c r="U137" t="s">
        <v>1024</v>
      </c>
      <c r="V137" t="s">
        <v>1023</v>
      </c>
      <c r="W137" t="s">
        <v>983</v>
      </c>
      <c r="X137" t="s">
        <v>1025</v>
      </c>
    </row>
    <row r="138" spans="1:24" x14ac:dyDescent="0.3">
      <c r="A138" s="55" t="str">
        <f t="shared" si="9"/>
        <v>ENTITY_EQTY</v>
      </c>
      <c r="B138" t="s">
        <v>867</v>
      </c>
      <c r="C138" t="s">
        <v>215</v>
      </c>
      <c r="D138" t="s">
        <v>1</v>
      </c>
      <c r="E138" t="s">
        <v>10</v>
      </c>
      <c r="F138" t="s">
        <v>53</v>
      </c>
      <c r="G138" t="s">
        <v>63</v>
      </c>
      <c r="H138" t="s">
        <v>856</v>
      </c>
      <c r="I138" t="s">
        <v>11</v>
      </c>
      <c r="J138" s="15">
        <v>45450</v>
      </c>
      <c r="K138" t="s">
        <v>10</v>
      </c>
      <c r="L138" t="str">
        <f t="shared" si="8"/>
        <v>OK</v>
      </c>
      <c r="P138" t="s">
        <v>13</v>
      </c>
      <c r="Q138" t="s">
        <v>1023</v>
      </c>
      <c r="R138" t="s">
        <v>1024</v>
      </c>
      <c r="S138" t="s">
        <v>1023</v>
      </c>
      <c r="T138" t="s">
        <v>1024</v>
      </c>
      <c r="U138" t="s">
        <v>1024</v>
      </c>
      <c r="V138" t="s">
        <v>1023</v>
      </c>
      <c r="W138" t="s">
        <v>984</v>
      </c>
      <c r="X138" t="s">
        <v>1027</v>
      </c>
    </row>
    <row r="139" spans="1:24" x14ac:dyDescent="0.3">
      <c r="A139" s="55" t="str">
        <f t="shared" si="9"/>
        <v>ENTITY_EQTY_PRVS</v>
      </c>
      <c r="B139" t="s">
        <v>867</v>
      </c>
      <c r="C139" t="s">
        <v>216</v>
      </c>
      <c r="D139" t="s">
        <v>1</v>
      </c>
      <c r="E139" t="s">
        <v>10</v>
      </c>
      <c r="F139" t="s">
        <v>53</v>
      </c>
      <c r="G139" t="s">
        <v>63</v>
      </c>
      <c r="H139" t="s">
        <v>856</v>
      </c>
      <c r="I139" t="s">
        <v>11</v>
      </c>
      <c r="J139" s="15">
        <v>45450</v>
      </c>
      <c r="K139" t="s">
        <v>10</v>
      </c>
      <c r="L139" t="str">
        <f t="shared" si="8"/>
        <v>OK</v>
      </c>
      <c r="P139" t="s">
        <v>13</v>
      </c>
      <c r="Q139" t="s">
        <v>1023</v>
      </c>
      <c r="R139" t="s">
        <v>1024</v>
      </c>
      <c r="S139" t="s">
        <v>1024</v>
      </c>
      <c r="T139" t="s">
        <v>1024</v>
      </c>
      <c r="U139" t="s">
        <v>1024</v>
      </c>
      <c r="V139" t="s">
        <v>1023</v>
      </c>
      <c r="W139" t="s">
        <v>984</v>
      </c>
      <c r="X139" t="s">
        <v>1027</v>
      </c>
    </row>
    <row r="140" spans="1:24" x14ac:dyDescent="0.3">
      <c r="A140" s="55" t="str">
        <f t="shared" si="9"/>
        <v>INSTRUMENT_EXPCTD_LSS_CRR</v>
      </c>
      <c r="B140" t="s">
        <v>659</v>
      </c>
      <c r="C140" t="s">
        <v>217</v>
      </c>
      <c r="D140" t="s">
        <v>0</v>
      </c>
      <c r="E140" t="s">
        <v>829</v>
      </c>
      <c r="F140" t="s">
        <v>53</v>
      </c>
      <c r="G140" t="s">
        <v>89</v>
      </c>
      <c r="I140" t="s">
        <v>11</v>
      </c>
      <c r="J140" s="15">
        <v>45460</v>
      </c>
      <c r="K140" t="s">
        <v>831</v>
      </c>
      <c r="L140" t="str">
        <f t="shared" si="8"/>
        <v>OK</v>
      </c>
      <c r="N140" s="15">
        <v>45324</v>
      </c>
      <c r="O140" s="15">
        <v>45379</v>
      </c>
      <c r="P140" t="s">
        <v>17</v>
      </c>
      <c r="Q140" t="s">
        <v>1023</v>
      </c>
      <c r="R140" t="s">
        <v>1024</v>
      </c>
      <c r="S140" t="s">
        <v>1024</v>
      </c>
      <c r="T140" t="s">
        <v>1024</v>
      </c>
      <c r="U140" t="s">
        <v>1024</v>
      </c>
      <c r="V140" t="s">
        <v>1024</v>
      </c>
      <c r="W140" t="s">
        <v>983</v>
      </c>
      <c r="X140">
        <v>0</v>
      </c>
    </row>
    <row r="141" spans="1:24" x14ac:dyDescent="0.3">
      <c r="A141" s="55" t="str">
        <f t="shared" si="9"/>
        <v>INSTRUMENT_EXPSR_IN_SCP</v>
      </c>
      <c r="B141" t="s">
        <v>659</v>
      </c>
      <c r="C141" t="s">
        <v>218</v>
      </c>
      <c r="D141" t="s">
        <v>1</v>
      </c>
      <c r="E141" t="s">
        <v>24</v>
      </c>
      <c r="F141" t="s">
        <v>53</v>
      </c>
      <c r="G141" t="s">
        <v>54</v>
      </c>
      <c r="I141" t="s">
        <v>7</v>
      </c>
      <c r="J141" s="15">
        <v>45450</v>
      </c>
      <c r="K141" t="s">
        <v>24</v>
      </c>
      <c r="L141" t="str">
        <f t="shared" si="8"/>
        <v>OK</v>
      </c>
      <c r="P141" t="s">
        <v>55</v>
      </c>
      <c r="Q141" t="s">
        <v>1023</v>
      </c>
      <c r="R141" t="s">
        <v>1024</v>
      </c>
      <c r="S141" t="s">
        <v>1024</v>
      </c>
      <c r="T141" t="s">
        <v>1024</v>
      </c>
      <c r="U141" t="s">
        <v>1024</v>
      </c>
      <c r="V141" t="s">
        <v>1023</v>
      </c>
      <c r="W141" t="s">
        <v>983</v>
      </c>
      <c r="X141" t="s">
        <v>1025</v>
      </c>
    </row>
    <row r="142" spans="1:24" x14ac:dyDescent="0.3">
      <c r="A142" s="55" t="str">
        <f t="shared" si="9"/>
        <v>INSTRUMENT_FRBRNC_STTS_INSTRMNT</v>
      </c>
      <c r="B142" t="s">
        <v>659</v>
      </c>
      <c r="C142" t="s">
        <v>241</v>
      </c>
      <c r="D142" t="s">
        <v>1</v>
      </c>
      <c r="E142" t="s">
        <v>10</v>
      </c>
      <c r="F142" t="s">
        <v>53</v>
      </c>
      <c r="G142" t="s">
        <v>163</v>
      </c>
      <c r="H142" t="s">
        <v>164</v>
      </c>
      <c r="I142" t="s">
        <v>11</v>
      </c>
      <c r="J142" s="15">
        <v>45450</v>
      </c>
      <c r="K142" t="s">
        <v>10</v>
      </c>
      <c r="L142" t="str">
        <f t="shared" si="8"/>
        <v>OK</v>
      </c>
      <c r="P142" t="s">
        <v>13</v>
      </c>
      <c r="Q142" t="s">
        <v>1023</v>
      </c>
      <c r="R142" t="s">
        <v>1024</v>
      </c>
      <c r="S142" t="s">
        <v>1023</v>
      </c>
      <c r="T142" t="s">
        <v>1024</v>
      </c>
      <c r="U142" t="s">
        <v>1024</v>
      </c>
      <c r="V142" t="s">
        <v>1023</v>
      </c>
      <c r="W142" t="s">
        <v>1022</v>
      </c>
      <c r="X142" t="s">
        <v>1028</v>
      </c>
    </row>
    <row r="143" spans="1:24" x14ac:dyDescent="0.3">
      <c r="A143" s="55" t="str">
        <f t="shared" si="9"/>
        <v>ENTITY_EXTRNL_RTNG_PRVS</v>
      </c>
      <c r="B143" t="s">
        <v>867</v>
      </c>
      <c r="C143" s="10" t="s">
        <v>258</v>
      </c>
      <c r="D143" t="s">
        <v>1</v>
      </c>
      <c r="E143" t="s">
        <v>10</v>
      </c>
      <c r="F143" t="s">
        <v>53</v>
      </c>
      <c r="G143" t="s">
        <v>220</v>
      </c>
      <c r="H143" t="s">
        <v>221</v>
      </c>
      <c r="I143" t="s">
        <v>15</v>
      </c>
      <c r="J143" s="15">
        <v>45450</v>
      </c>
      <c r="K143" t="s">
        <v>10</v>
      </c>
      <c r="L143" t="str">
        <f t="shared" si="8"/>
        <v>OK</v>
      </c>
      <c r="P143" t="s">
        <v>22</v>
      </c>
      <c r="Q143" t="s">
        <v>1023</v>
      </c>
      <c r="R143" t="s">
        <v>1024</v>
      </c>
      <c r="S143" t="s">
        <v>1024</v>
      </c>
      <c r="T143" t="s">
        <v>1024</v>
      </c>
      <c r="U143" t="s">
        <v>1024</v>
      </c>
      <c r="V143" t="s">
        <v>1023</v>
      </c>
      <c r="W143" t="s">
        <v>1022</v>
      </c>
      <c r="X143" t="s">
        <v>1028</v>
      </c>
    </row>
    <row r="144" spans="1:24" x14ac:dyDescent="0.3">
      <c r="A144" s="55" t="str">
        <f t="shared" si="9"/>
        <v>ENTITY_EXTRNL_RTNG_NM</v>
      </c>
      <c r="B144" t="s">
        <v>867</v>
      </c>
      <c r="C144" s="10" t="s">
        <v>223</v>
      </c>
      <c r="D144" t="s">
        <v>1</v>
      </c>
      <c r="E144" t="s">
        <v>10</v>
      </c>
      <c r="F144" t="s">
        <v>67</v>
      </c>
      <c r="G144" t="s">
        <v>220</v>
      </c>
      <c r="H144" t="s">
        <v>221</v>
      </c>
      <c r="I144" t="s">
        <v>15</v>
      </c>
      <c r="J144" s="15">
        <v>45450</v>
      </c>
      <c r="K144" t="s">
        <v>10</v>
      </c>
      <c r="L144" t="str">
        <f t="shared" si="8"/>
        <v>NOK</v>
      </c>
      <c r="P144" t="s">
        <v>22</v>
      </c>
      <c r="Q144" t="s">
        <v>1023</v>
      </c>
      <c r="R144" t="s">
        <v>1024</v>
      </c>
      <c r="S144" t="s">
        <v>1024</v>
      </c>
      <c r="T144" t="s">
        <v>1024</v>
      </c>
      <c r="U144" t="s">
        <v>1024</v>
      </c>
      <c r="V144" t="s">
        <v>1023</v>
      </c>
      <c r="W144" t="s">
        <v>1022</v>
      </c>
      <c r="X144" t="s">
        <v>1028</v>
      </c>
    </row>
    <row r="145" spans="1:24" x14ac:dyDescent="0.3">
      <c r="A145" s="55" t="str">
        <f t="shared" si="9"/>
        <v>INSTRUMENT_FLD_SYNDCTN</v>
      </c>
      <c r="B145" t="s">
        <v>659</v>
      </c>
      <c r="C145" t="s">
        <v>224</v>
      </c>
      <c r="D145" t="s">
        <v>0</v>
      </c>
      <c r="E145" t="s">
        <v>833</v>
      </c>
      <c r="F145" t="s">
        <v>53</v>
      </c>
      <c r="G145" t="s">
        <v>225</v>
      </c>
      <c r="H145" t="s">
        <v>860</v>
      </c>
      <c r="I145" t="s">
        <v>11</v>
      </c>
      <c r="J145" s="15">
        <v>45450</v>
      </c>
      <c r="K145" t="s">
        <v>833</v>
      </c>
      <c r="L145" t="str">
        <f t="shared" si="8"/>
        <v>OK</v>
      </c>
      <c r="P145" t="s">
        <v>13</v>
      </c>
      <c r="Q145" t="s">
        <v>1023</v>
      </c>
      <c r="R145" t="s">
        <v>1024</v>
      </c>
      <c r="S145" t="s">
        <v>1024</v>
      </c>
      <c r="T145" t="s">
        <v>1024</v>
      </c>
      <c r="U145" t="s">
        <v>1024</v>
      </c>
      <c r="V145" t="s">
        <v>1023</v>
      </c>
      <c r="W145" t="s">
        <v>1022</v>
      </c>
      <c r="X145" t="s">
        <v>1033</v>
      </c>
    </row>
    <row r="146" spans="1:24" x14ac:dyDescent="0.3">
      <c r="A146" s="55" t="str">
        <f t="shared" si="9"/>
        <v>ENTITY_FLG_BNKRPTCY_IN_GRP</v>
      </c>
      <c r="B146" t="s">
        <v>867</v>
      </c>
      <c r="C146" t="s">
        <v>226</v>
      </c>
      <c r="D146" t="s">
        <v>1</v>
      </c>
      <c r="E146" t="s">
        <v>24</v>
      </c>
      <c r="F146" t="s">
        <v>53</v>
      </c>
      <c r="G146" t="s">
        <v>54</v>
      </c>
      <c r="I146" t="s">
        <v>7</v>
      </c>
      <c r="J146" s="15">
        <v>45450</v>
      </c>
      <c r="K146" t="s">
        <v>24</v>
      </c>
      <c r="L146" t="str">
        <f t="shared" si="8"/>
        <v>OK</v>
      </c>
      <c r="P146" t="s">
        <v>55</v>
      </c>
      <c r="Q146" t="s">
        <v>1023</v>
      </c>
      <c r="R146" t="s">
        <v>1024</v>
      </c>
      <c r="S146" t="s">
        <v>1024</v>
      </c>
      <c r="T146" t="s">
        <v>1024</v>
      </c>
      <c r="U146" t="s">
        <v>1024</v>
      </c>
      <c r="V146" t="s">
        <v>1024</v>
      </c>
      <c r="W146" t="s">
        <v>983</v>
      </c>
      <c r="X146">
        <v>0</v>
      </c>
    </row>
    <row r="147" spans="1:24" x14ac:dyDescent="0.3">
      <c r="A147" s="55" t="str">
        <f t="shared" si="9"/>
        <v>ENTITY_FLG_HGH_CDS</v>
      </c>
      <c r="B147" t="s">
        <v>867</v>
      </c>
      <c r="C147" t="s">
        <v>227</v>
      </c>
      <c r="D147" t="s">
        <v>1</v>
      </c>
      <c r="E147" t="s">
        <v>24</v>
      </c>
      <c r="F147" t="s">
        <v>53</v>
      </c>
      <c r="G147" t="s">
        <v>54</v>
      </c>
      <c r="I147" t="s">
        <v>7</v>
      </c>
      <c r="J147" s="15">
        <v>45450</v>
      </c>
      <c r="K147" t="s">
        <v>24</v>
      </c>
      <c r="L147" t="str">
        <f t="shared" si="8"/>
        <v>OK</v>
      </c>
      <c r="P147" t="s">
        <v>55</v>
      </c>
      <c r="Q147" t="s">
        <v>1023</v>
      </c>
      <c r="R147" t="s">
        <v>1024</v>
      </c>
      <c r="S147" t="s">
        <v>1024</v>
      </c>
      <c r="T147" t="s">
        <v>1024</v>
      </c>
      <c r="U147" t="s">
        <v>1024</v>
      </c>
      <c r="V147" t="s">
        <v>1024</v>
      </c>
      <c r="W147" t="s">
        <v>983</v>
      </c>
      <c r="X147">
        <v>0</v>
      </c>
    </row>
    <row r="148" spans="1:24" x14ac:dyDescent="0.3">
      <c r="A148" s="55" t="str">
        <f t="shared" si="9"/>
        <v>ENTITY_FLG_ISDA_CRDT_EVNT</v>
      </c>
      <c r="B148" t="s">
        <v>867</v>
      </c>
      <c r="C148" t="s">
        <v>228</v>
      </c>
      <c r="D148" t="s">
        <v>1</v>
      </c>
      <c r="E148" t="s">
        <v>24</v>
      </c>
      <c r="F148" t="s">
        <v>53</v>
      </c>
      <c r="G148" t="s">
        <v>54</v>
      </c>
      <c r="I148" t="s">
        <v>7</v>
      </c>
      <c r="J148" s="15">
        <v>45450</v>
      </c>
      <c r="K148" t="s">
        <v>24</v>
      </c>
      <c r="L148" t="str">
        <f t="shared" si="8"/>
        <v>OK</v>
      </c>
      <c r="P148" t="s">
        <v>55</v>
      </c>
      <c r="Q148" t="s">
        <v>1023</v>
      </c>
      <c r="R148" t="s">
        <v>1024</v>
      </c>
      <c r="S148" t="s">
        <v>1024</v>
      </c>
      <c r="T148" t="s">
        <v>1024</v>
      </c>
      <c r="U148" t="s">
        <v>1024</v>
      </c>
      <c r="V148" t="s">
        <v>1024</v>
      </c>
      <c r="W148" t="s">
        <v>983</v>
      </c>
      <c r="X148">
        <v>0</v>
      </c>
    </row>
    <row r="149" spans="1:24" x14ac:dyDescent="0.3">
      <c r="A149" s="55" t="str">
        <f t="shared" si="9"/>
        <v>INSTRUMENT_FLG_LBO</v>
      </c>
      <c r="B149" t="s">
        <v>659</v>
      </c>
      <c r="C149" t="s">
        <v>229</v>
      </c>
      <c r="D149" t="s">
        <v>0</v>
      </c>
      <c r="E149" t="s">
        <v>24</v>
      </c>
      <c r="F149" t="s">
        <v>53</v>
      </c>
      <c r="G149" t="s">
        <v>54</v>
      </c>
      <c r="I149" t="s">
        <v>7</v>
      </c>
      <c r="J149" s="15">
        <v>45450</v>
      </c>
      <c r="K149" t="s">
        <v>24</v>
      </c>
      <c r="L149" t="str">
        <f t="shared" si="8"/>
        <v>OK</v>
      </c>
      <c r="P149" t="s">
        <v>55</v>
      </c>
      <c r="Q149" t="s">
        <v>1023</v>
      </c>
      <c r="R149" t="s">
        <v>1024</v>
      </c>
      <c r="S149" t="s">
        <v>1024</v>
      </c>
      <c r="T149" t="s">
        <v>1024</v>
      </c>
      <c r="U149" t="s">
        <v>1024</v>
      </c>
      <c r="V149" t="s">
        <v>1023</v>
      </c>
      <c r="W149" t="s">
        <v>984</v>
      </c>
      <c r="X149" t="s">
        <v>1030</v>
      </c>
    </row>
    <row r="150" spans="1:24" x14ac:dyDescent="0.3">
      <c r="A150" s="55" t="str">
        <f t="shared" si="9"/>
        <v>ENTITY_FLG_NN_ACCRL</v>
      </c>
      <c r="B150" t="s">
        <v>867</v>
      </c>
      <c r="C150" t="s">
        <v>230</v>
      </c>
      <c r="D150" t="s">
        <v>1</v>
      </c>
      <c r="E150" t="s">
        <v>24</v>
      </c>
      <c r="F150" t="s">
        <v>53</v>
      </c>
      <c r="G150" t="s">
        <v>54</v>
      </c>
      <c r="I150" t="s">
        <v>7</v>
      </c>
      <c r="J150" s="15">
        <v>45450</v>
      </c>
      <c r="K150" t="s">
        <v>24</v>
      </c>
      <c r="L150" t="str">
        <f t="shared" si="8"/>
        <v>OK</v>
      </c>
      <c r="P150" t="s">
        <v>55</v>
      </c>
      <c r="Q150" t="s">
        <v>1023</v>
      </c>
      <c r="R150" t="s">
        <v>1024</v>
      </c>
      <c r="S150" t="s">
        <v>1024</v>
      </c>
      <c r="T150" t="s">
        <v>1024</v>
      </c>
      <c r="U150" t="s">
        <v>1024</v>
      </c>
      <c r="V150" t="s">
        <v>1024</v>
      </c>
      <c r="W150" t="s">
        <v>983</v>
      </c>
      <c r="X150">
        <v>0</v>
      </c>
    </row>
    <row r="151" spans="1:24" x14ac:dyDescent="0.3">
      <c r="A151" s="55" t="str">
        <f t="shared" si="9"/>
        <v>ENTITY_FLG_RQST_BNKRPTCY</v>
      </c>
      <c r="B151" t="s">
        <v>867</v>
      </c>
      <c r="C151" t="s">
        <v>231</v>
      </c>
      <c r="D151" t="s">
        <v>1</v>
      </c>
      <c r="E151" t="s">
        <v>24</v>
      </c>
      <c r="F151" t="s">
        <v>53</v>
      </c>
      <c r="G151" t="s">
        <v>54</v>
      </c>
      <c r="I151" t="s">
        <v>7</v>
      </c>
      <c r="J151" s="15">
        <v>45450</v>
      </c>
      <c r="K151" t="s">
        <v>24</v>
      </c>
      <c r="L151" t="str">
        <f t="shared" si="8"/>
        <v>OK</v>
      </c>
      <c r="P151" t="s">
        <v>55</v>
      </c>
      <c r="Q151" t="s">
        <v>1023</v>
      </c>
      <c r="R151" t="s">
        <v>1024</v>
      </c>
      <c r="S151" t="s">
        <v>1024</v>
      </c>
      <c r="T151" t="s">
        <v>1024</v>
      </c>
      <c r="U151" t="s">
        <v>1024</v>
      </c>
      <c r="V151" t="s">
        <v>1024</v>
      </c>
      <c r="W151" t="s">
        <v>983</v>
      </c>
      <c r="X151">
        <v>0</v>
      </c>
    </row>
    <row r="152" spans="1:24" x14ac:dyDescent="0.3">
      <c r="A152" s="55" t="str">
        <f t="shared" si="9"/>
        <v>ENTITY_FLG_RQST_DSTRSSD_RSTRCTRNG</v>
      </c>
      <c r="B152" t="s">
        <v>867</v>
      </c>
      <c r="C152" t="s">
        <v>232</v>
      </c>
      <c r="D152" t="s">
        <v>1</v>
      </c>
      <c r="E152" t="s">
        <v>6</v>
      </c>
      <c r="F152" t="s">
        <v>67</v>
      </c>
      <c r="G152" t="s">
        <v>233</v>
      </c>
      <c r="I152" t="s">
        <v>11</v>
      </c>
      <c r="J152" s="15">
        <v>45450</v>
      </c>
      <c r="K152" t="s">
        <v>6</v>
      </c>
      <c r="L152" t="str">
        <f t="shared" si="8"/>
        <v>NOK</v>
      </c>
      <c r="P152" t="s">
        <v>13</v>
      </c>
      <c r="Q152" t="s">
        <v>1023</v>
      </c>
      <c r="R152" t="s">
        <v>1024</v>
      </c>
      <c r="S152" t="s">
        <v>1024</v>
      </c>
      <c r="T152" t="s">
        <v>1024</v>
      </c>
      <c r="U152" t="s">
        <v>1024</v>
      </c>
      <c r="V152" t="s">
        <v>1024</v>
      </c>
      <c r="W152" t="s">
        <v>983</v>
      </c>
      <c r="X152">
        <v>0</v>
      </c>
    </row>
    <row r="153" spans="1:24" x14ac:dyDescent="0.3">
      <c r="A153" s="55" t="str">
        <f t="shared" si="9"/>
        <v>ENTITY_FLG_RQST_EMRGNCY_FNDNG</v>
      </c>
      <c r="B153" t="s">
        <v>867</v>
      </c>
      <c r="C153" t="s">
        <v>234</v>
      </c>
      <c r="D153" t="s">
        <v>1</v>
      </c>
      <c r="E153" t="s">
        <v>24</v>
      </c>
      <c r="F153" t="s">
        <v>53</v>
      </c>
      <c r="G153" t="s">
        <v>54</v>
      </c>
      <c r="I153" t="s">
        <v>7</v>
      </c>
      <c r="J153" s="15">
        <v>45450</v>
      </c>
      <c r="K153" t="s">
        <v>24</v>
      </c>
      <c r="L153" t="str">
        <f t="shared" si="8"/>
        <v>OK</v>
      </c>
      <c r="P153" t="s">
        <v>55</v>
      </c>
      <c r="Q153" t="s">
        <v>1023</v>
      </c>
      <c r="R153" t="s">
        <v>1024</v>
      </c>
      <c r="S153" t="s">
        <v>1024</v>
      </c>
      <c r="T153" t="s">
        <v>1024</v>
      </c>
      <c r="U153" t="s">
        <v>1024</v>
      </c>
      <c r="V153" t="s">
        <v>1023</v>
      </c>
      <c r="W153" t="s">
        <v>983</v>
      </c>
      <c r="X153" t="s">
        <v>1025</v>
      </c>
    </row>
    <row r="154" spans="1:24" x14ac:dyDescent="0.3">
      <c r="A154" s="55" t="str">
        <f t="shared" si="9"/>
        <v>ENTITY_FLG_SLL_WTH_LSS</v>
      </c>
      <c r="B154" t="s">
        <v>867</v>
      </c>
      <c r="C154" t="s">
        <v>235</v>
      </c>
      <c r="D154" t="s">
        <v>1</v>
      </c>
      <c r="E154" t="s">
        <v>24</v>
      </c>
      <c r="F154" t="s">
        <v>53</v>
      </c>
      <c r="G154" t="s">
        <v>54</v>
      </c>
      <c r="I154" t="s">
        <v>7</v>
      </c>
      <c r="J154" s="15">
        <v>45450</v>
      </c>
      <c r="K154" t="s">
        <v>24</v>
      </c>
      <c r="L154" t="str">
        <f t="shared" si="8"/>
        <v>OK</v>
      </c>
      <c r="P154" t="s">
        <v>55</v>
      </c>
      <c r="Q154" t="s">
        <v>1023</v>
      </c>
      <c r="R154" t="s">
        <v>1024</v>
      </c>
      <c r="S154" t="s">
        <v>1024</v>
      </c>
      <c r="T154" t="s">
        <v>1024</v>
      </c>
      <c r="U154" t="s">
        <v>1024</v>
      </c>
      <c r="V154" t="s">
        <v>1024</v>
      </c>
      <c r="W154" t="s">
        <v>983</v>
      </c>
      <c r="X154">
        <v>0</v>
      </c>
    </row>
    <row r="155" spans="1:24" x14ac:dyDescent="0.3">
      <c r="A155" s="55" t="str">
        <f t="shared" si="9"/>
        <v>ENTITY_FR_CSH_FLW</v>
      </c>
      <c r="B155" t="s">
        <v>867</v>
      </c>
      <c r="C155" t="s">
        <v>236</v>
      </c>
      <c r="D155" t="s">
        <v>1</v>
      </c>
      <c r="E155" t="s">
        <v>6</v>
      </c>
      <c r="F155" t="s">
        <v>53</v>
      </c>
      <c r="G155" t="s">
        <v>96</v>
      </c>
      <c r="I155" t="s">
        <v>11</v>
      </c>
      <c r="J155" s="15">
        <v>45450</v>
      </c>
      <c r="K155" t="s">
        <v>6</v>
      </c>
      <c r="L155" t="str">
        <f t="shared" si="8"/>
        <v>OK</v>
      </c>
      <c r="P155" t="s">
        <v>17</v>
      </c>
      <c r="Q155" t="s">
        <v>1023</v>
      </c>
      <c r="R155" t="s">
        <v>1024</v>
      </c>
      <c r="S155" t="s">
        <v>1024</v>
      </c>
      <c r="T155" t="s">
        <v>1024</v>
      </c>
      <c r="U155" t="s">
        <v>1024</v>
      </c>
      <c r="V155" t="s">
        <v>1023</v>
      </c>
      <c r="W155" t="s">
        <v>1022</v>
      </c>
      <c r="X155" t="s">
        <v>1028</v>
      </c>
    </row>
    <row r="156" spans="1:24" x14ac:dyDescent="0.3">
      <c r="A156" s="55" t="str">
        <f t="shared" si="9"/>
        <v>ENTITY_FR_CSH_FLW_T1</v>
      </c>
      <c r="B156" t="s">
        <v>867</v>
      </c>
      <c r="C156" t="s">
        <v>237</v>
      </c>
      <c r="D156" t="s">
        <v>1</v>
      </c>
      <c r="E156" t="s">
        <v>6</v>
      </c>
      <c r="F156" t="s">
        <v>53</v>
      </c>
      <c r="G156" t="s">
        <v>96</v>
      </c>
      <c r="I156" t="s">
        <v>11</v>
      </c>
      <c r="J156" s="15">
        <v>45450</v>
      </c>
      <c r="K156" t="s">
        <v>6</v>
      </c>
      <c r="L156" t="str">
        <f t="shared" si="8"/>
        <v>OK</v>
      </c>
      <c r="P156" t="s">
        <v>17</v>
      </c>
      <c r="Q156" t="s">
        <v>1023</v>
      </c>
      <c r="R156" t="s">
        <v>1024</v>
      </c>
      <c r="S156" t="s">
        <v>1024</v>
      </c>
      <c r="T156" t="s">
        <v>1024</v>
      </c>
      <c r="U156" t="s">
        <v>1024</v>
      </c>
      <c r="V156" t="s">
        <v>1023</v>
      </c>
      <c r="W156" t="s">
        <v>1022</v>
      </c>
      <c r="X156" t="s">
        <v>1028</v>
      </c>
    </row>
    <row r="157" spans="1:24" x14ac:dyDescent="0.3">
      <c r="A157" s="55" t="str">
        <f t="shared" si="9"/>
        <v>ENTITY_FR_CSH_FLW_T2</v>
      </c>
      <c r="B157" t="s">
        <v>867</v>
      </c>
      <c r="C157" t="s">
        <v>238</v>
      </c>
      <c r="D157" t="s">
        <v>1</v>
      </c>
      <c r="E157" t="s">
        <v>6</v>
      </c>
      <c r="F157" t="s">
        <v>53</v>
      </c>
      <c r="G157" t="s">
        <v>96</v>
      </c>
      <c r="I157" t="s">
        <v>11</v>
      </c>
      <c r="J157" s="15">
        <v>45450</v>
      </c>
      <c r="K157" t="s">
        <v>6</v>
      </c>
      <c r="L157" t="str">
        <f t="shared" ref="L157:L188" si="10">F157</f>
        <v>OK</v>
      </c>
      <c r="P157" t="s">
        <v>17</v>
      </c>
      <c r="Q157" t="s">
        <v>1023</v>
      </c>
      <c r="R157" t="s">
        <v>1024</v>
      </c>
      <c r="S157" t="s">
        <v>1024</v>
      </c>
      <c r="T157" t="s">
        <v>1024</v>
      </c>
      <c r="U157" t="s">
        <v>1024</v>
      </c>
      <c r="V157" t="s">
        <v>1023</v>
      </c>
      <c r="W157" t="s">
        <v>1022</v>
      </c>
      <c r="X157" t="s">
        <v>1028</v>
      </c>
    </row>
    <row r="158" spans="1:24" x14ac:dyDescent="0.3">
      <c r="A158" s="55" t="str">
        <f t="shared" si="9"/>
        <v>ENTITY_FR_CSH_FLW_T3</v>
      </c>
      <c r="B158" t="s">
        <v>867</v>
      </c>
      <c r="C158" t="s">
        <v>239</v>
      </c>
      <c r="D158" t="s">
        <v>1</v>
      </c>
      <c r="E158" t="s">
        <v>6</v>
      </c>
      <c r="F158" t="s">
        <v>53</v>
      </c>
      <c r="G158" t="s">
        <v>96</v>
      </c>
      <c r="I158" t="s">
        <v>11</v>
      </c>
      <c r="J158" s="15">
        <v>45450</v>
      </c>
      <c r="K158" t="s">
        <v>6</v>
      </c>
      <c r="L158" t="str">
        <f t="shared" si="10"/>
        <v>OK</v>
      </c>
      <c r="P158" t="s">
        <v>17</v>
      </c>
      <c r="Q158" t="s">
        <v>1023</v>
      </c>
      <c r="R158" t="s">
        <v>1024</v>
      </c>
      <c r="S158" t="s">
        <v>1024</v>
      </c>
      <c r="T158" t="s">
        <v>1024</v>
      </c>
      <c r="U158" t="s">
        <v>1024</v>
      </c>
      <c r="V158" t="s">
        <v>1023</v>
      </c>
      <c r="W158" t="s">
        <v>1022</v>
      </c>
      <c r="X158" t="s">
        <v>1028</v>
      </c>
    </row>
    <row r="159" spans="1:24" x14ac:dyDescent="0.3">
      <c r="A159" s="55" t="str">
        <f t="shared" si="9"/>
        <v>INSTRUMENT_FRBRNC_STTS_C19</v>
      </c>
      <c r="B159" t="s">
        <v>659</v>
      </c>
      <c r="C159" t="s">
        <v>240</v>
      </c>
      <c r="D159" t="s">
        <v>0</v>
      </c>
      <c r="E159" t="s">
        <v>24</v>
      </c>
      <c r="F159" t="s">
        <v>53</v>
      </c>
      <c r="G159" t="s">
        <v>54</v>
      </c>
      <c r="I159" t="s">
        <v>7</v>
      </c>
      <c r="J159" s="15">
        <v>45450</v>
      </c>
      <c r="K159" t="s">
        <v>24</v>
      </c>
      <c r="L159" t="str">
        <f t="shared" si="10"/>
        <v>OK</v>
      </c>
      <c r="P159" t="s">
        <v>55</v>
      </c>
      <c r="Q159" t="s">
        <v>1023</v>
      </c>
      <c r="R159" t="s">
        <v>1024</v>
      </c>
      <c r="S159" t="s">
        <v>1024</v>
      </c>
      <c r="T159" t="s">
        <v>1024</v>
      </c>
      <c r="U159" t="s">
        <v>1024</v>
      </c>
      <c r="V159" t="s">
        <v>1024</v>
      </c>
      <c r="W159" t="s">
        <v>983</v>
      </c>
      <c r="X159">
        <v>0</v>
      </c>
    </row>
    <row r="160" spans="1:24" x14ac:dyDescent="0.3">
      <c r="A160" s="55" t="str">
        <f t="shared" si="9"/>
        <v>ENTITY_EXTRNL_RTNG</v>
      </c>
      <c r="B160" t="s">
        <v>867</v>
      </c>
      <c r="C160" s="10" t="s">
        <v>222</v>
      </c>
      <c r="D160" t="s">
        <v>1</v>
      </c>
      <c r="E160" t="s">
        <v>10</v>
      </c>
      <c r="F160" t="s">
        <v>53</v>
      </c>
      <c r="G160" t="s">
        <v>220</v>
      </c>
      <c r="H160" t="s">
        <v>221</v>
      </c>
      <c r="I160" t="s">
        <v>15</v>
      </c>
      <c r="J160" s="15">
        <v>45450</v>
      </c>
      <c r="K160" t="s">
        <v>10</v>
      </c>
      <c r="L160" t="str">
        <f t="shared" si="10"/>
        <v>OK</v>
      </c>
      <c r="P160" t="s">
        <v>22</v>
      </c>
      <c r="Q160" t="s">
        <v>1023</v>
      </c>
      <c r="R160" t="s">
        <v>1024</v>
      </c>
      <c r="S160" t="s">
        <v>1024</v>
      </c>
      <c r="T160" t="s">
        <v>1024</v>
      </c>
      <c r="U160" t="s">
        <v>1024</v>
      </c>
      <c r="V160" t="s">
        <v>1023</v>
      </c>
      <c r="W160" t="s">
        <v>1022</v>
      </c>
      <c r="X160" t="s">
        <v>1028</v>
      </c>
    </row>
    <row r="161" spans="1:24" x14ac:dyDescent="0.3">
      <c r="A161" s="55" t="str">
        <f t="shared" si="9"/>
        <v>ENTITY_GCC_PRNT_ID</v>
      </c>
      <c r="B161" t="s">
        <v>867</v>
      </c>
      <c r="C161" t="s">
        <v>242</v>
      </c>
      <c r="D161" t="s">
        <v>1</v>
      </c>
      <c r="E161" t="s">
        <v>24</v>
      </c>
      <c r="F161" t="s">
        <v>53</v>
      </c>
      <c r="G161" t="s">
        <v>54</v>
      </c>
      <c r="I161" t="s">
        <v>7</v>
      </c>
      <c r="J161" s="15">
        <v>45450</v>
      </c>
      <c r="K161" t="s">
        <v>24</v>
      </c>
      <c r="L161" t="str">
        <f t="shared" si="10"/>
        <v>OK</v>
      </c>
      <c r="P161" t="s">
        <v>55</v>
      </c>
      <c r="Q161" t="s">
        <v>1023</v>
      </c>
      <c r="R161" t="s">
        <v>1024</v>
      </c>
      <c r="S161" t="s">
        <v>1024</v>
      </c>
      <c r="T161" t="s">
        <v>1024</v>
      </c>
      <c r="U161" t="s">
        <v>1024</v>
      </c>
      <c r="V161" t="s">
        <v>1023</v>
      </c>
      <c r="W161" t="s">
        <v>983</v>
      </c>
      <c r="X161" t="s">
        <v>1025</v>
      </c>
    </row>
    <row r="162" spans="1:24" x14ac:dyDescent="0.3">
      <c r="A162" s="55" t="str">
        <f t="shared" si="9"/>
        <v>ENTITY_GCC_PRNT_NM</v>
      </c>
      <c r="B162" t="s">
        <v>867</v>
      </c>
      <c r="C162" t="s">
        <v>243</v>
      </c>
      <c r="D162" t="s">
        <v>1</v>
      </c>
      <c r="E162" t="s">
        <v>24</v>
      </c>
      <c r="F162" t="s">
        <v>53</v>
      </c>
      <c r="G162" t="s">
        <v>54</v>
      </c>
      <c r="I162" t="s">
        <v>7</v>
      </c>
      <c r="J162" s="15">
        <v>45450</v>
      </c>
      <c r="K162" t="s">
        <v>24</v>
      </c>
      <c r="L162" t="str">
        <f t="shared" si="10"/>
        <v>OK</v>
      </c>
      <c r="P162" t="s">
        <v>55</v>
      </c>
      <c r="Q162" t="s">
        <v>1023</v>
      </c>
      <c r="R162" t="s">
        <v>1024</v>
      </c>
      <c r="S162" t="s">
        <v>1024</v>
      </c>
      <c r="T162" t="s">
        <v>1024</v>
      </c>
      <c r="U162" t="s">
        <v>1024</v>
      </c>
      <c r="V162" t="s">
        <v>1023</v>
      </c>
      <c r="W162" t="s">
        <v>983</v>
      </c>
      <c r="X162" t="s">
        <v>1025</v>
      </c>
    </row>
    <row r="163" spans="1:24" x14ac:dyDescent="0.3">
      <c r="A163" s="55" t="str">
        <f t="shared" si="9"/>
        <v>ENTITY_GDWILL</v>
      </c>
      <c r="B163" t="s">
        <v>867</v>
      </c>
      <c r="C163" t="s">
        <v>244</v>
      </c>
      <c r="D163" t="s">
        <v>1</v>
      </c>
      <c r="E163" t="s">
        <v>24</v>
      </c>
      <c r="F163" t="s">
        <v>53</v>
      </c>
      <c r="G163" t="s">
        <v>54</v>
      </c>
      <c r="I163" t="s">
        <v>7</v>
      </c>
      <c r="J163" s="15">
        <v>45450</v>
      </c>
      <c r="K163" t="s">
        <v>24</v>
      </c>
      <c r="L163" t="str">
        <f t="shared" si="10"/>
        <v>OK</v>
      </c>
      <c r="P163" t="s">
        <v>55</v>
      </c>
      <c r="Q163" t="s">
        <v>1023</v>
      </c>
      <c r="R163" t="s">
        <v>1024</v>
      </c>
      <c r="S163" t="s">
        <v>1024</v>
      </c>
      <c r="T163" t="s">
        <v>1024</v>
      </c>
      <c r="U163" t="s">
        <v>1024</v>
      </c>
      <c r="V163" t="s">
        <v>1024</v>
      </c>
      <c r="W163" t="s">
        <v>983</v>
      </c>
      <c r="X163">
        <v>0</v>
      </c>
    </row>
    <row r="164" spans="1:24" x14ac:dyDescent="0.3">
      <c r="A164" s="55" t="str">
        <f t="shared" si="9"/>
        <v>ENTITY_GDWILL_PRVS</v>
      </c>
      <c r="B164" t="s">
        <v>867</v>
      </c>
      <c r="C164" t="s">
        <v>245</v>
      </c>
      <c r="D164" t="s">
        <v>1</v>
      </c>
      <c r="E164" t="s">
        <v>24</v>
      </c>
      <c r="F164" t="s">
        <v>53</v>
      </c>
      <c r="G164" t="s">
        <v>54</v>
      </c>
      <c r="I164" t="s">
        <v>7</v>
      </c>
      <c r="J164" s="15">
        <v>45450</v>
      </c>
      <c r="K164" t="s">
        <v>24</v>
      </c>
      <c r="L164" t="str">
        <f t="shared" si="10"/>
        <v>OK</v>
      </c>
      <c r="P164" t="s">
        <v>55</v>
      </c>
      <c r="Q164" t="s">
        <v>1023</v>
      </c>
      <c r="R164" t="s">
        <v>1024</v>
      </c>
      <c r="S164" t="s">
        <v>1024</v>
      </c>
      <c r="T164" t="s">
        <v>1024</v>
      </c>
      <c r="U164" t="s">
        <v>1024</v>
      </c>
      <c r="V164" t="s">
        <v>1024</v>
      </c>
      <c r="W164" t="s">
        <v>983</v>
      </c>
      <c r="X164">
        <v>0</v>
      </c>
    </row>
    <row r="165" spans="1:24" x14ac:dyDescent="0.3">
      <c r="A165" s="55" t="str">
        <f t="shared" si="9"/>
        <v>INSTRUMENT_GRC_PRD_CPTL_INTRST_C19</v>
      </c>
      <c r="B165" t="s">
        <v>659</v>
      </c>
      <c r="C165" t="s">
        <v>246</v>
      </c>
      <c r="D165" t="s">
        <v>0</v>
      </c>
      <c r="E165" t="s">
        <v>24</v>
      </c>
      <c r="F165" t="s">
        <v>53</v>
      </c>
      <c r="G165" t="s">
        <v>54</v>
      </c>
      <c r="I165" t="s">
        <v>7</v>
      </c>
      <c r="J165" s="15">
        <v>45450</v>
      </c>
      <c r="K165" t="s">
        <v>24</v>
      </c>
      <c r="L165" t="str">
        <f t="shared" si="10"/>
        <v>OK</v>
      </c>
      <c r="P165" t="s">
        <v>55</v>
      </c>
      <c r="Q165" t="s">
        <v>1023</v>
      </c>
      <c r="R165" t="s">
        <v>1024</v>
      </c>
      <c r="S165" t="s">
        <v>1024</v>
      </c>
      <c r="T165" t="s">
        <v>1024</v>
      </c>
      <c r="U165" t="s">
        <v>1024</v>
      </c>
      <c r="V165" t="s">
        <v>1024</v>
      </c>
      <c r="W165" t="s">
        <v>983</v>
      </c>
      <c r="X165">
        <v>0</v>
      </c>
    </row>
    <row r="166" spans="1:24" x14ac:dyDescent="0.3">
      <c r="A166" s="55" t="str">
        <f t="shared" si="9"/>
        <v>INSTRUMENT_GRNTR_ID</v>
      </c>
      <c r="B166" t="s">
        <v>659</v>
      </c>
      <c r="C166" t="s">
        <v>247</v>
      </c>
      <c r="D166" t="s">
        <v>0</v>
      </c>
      <c r="E166" t="s">
        <v>24</v>
      </c>
      <c r="F166" t="s">
        <v>53</v>
      </c>
      <c r="G166" t="s">
        <v>54</v>
      </c>
      <c r="I166" t="s">
        <v>7</v>
      </c>
      <c r="J166" s="15">
        <v>45450</v>
      </c>
      <c r="K166" t="s">
        <v>24</v>
      </c>
      <c r="L166" t="str">
        <f t="shared" si="10"/>
        <v>OK</v>
      </c>
      <c r="P166" t="s">
        <v>55</v>
      </c>
      <c r="Q166" t="s">
        <v>1023</v>
      </c>
      <c r="R166" t="s">
        <v>1024</v>
      </c>
      <c r="S166" t="s">
        <v>1024</v>
      </c>
      <c r="T166" t="s">
        <v>1024</v>
      </c>
      <c r="U166" t="s">
        <v>1024</v>
      </c>
      <c r="V166" t="s">
        <v>1024</v>
      </c>
      <c r="W166" t="s">
        <v>983</v>
      </c>
      <c r="X166">
        <v>0</v>
      </c>
    </row>
    <row r="167" spans="1:24" x14ac:dyDescent="0.3">
      <c r="A167" s="55" t="str">
        <f t="shared" si="9"/>
        <v>INSTRUMENT_GRNTR_ID_TYP</v>
      </c>
      <c r="B167" t="s">
        <v>659</v>
      </c>
      <c r="C167" t="s">
        <v>248</v>
      </c>
      <c r="D167" t="s">
        <v>0</v>
      </c>
      <c r="E167" t="s">
        <v>24</v>
      </c>
      <c r="F167" t="s">
        <v>53</v>
      </c>
      <c r="G167" t="s">
        <v>54</v>
      </c>
      <c r="I167" t="s">
        <v>7</v>
      </c>
      <c r="J167" s="15">
        <v>45450</v>
      </c>
      <c r="K167" t="s">
        <v>24</v>
      </c>
      <c r="L167" t="str">
        <f t="shared" si="10"/>
        <v>OK</v>
      </c>
      <c r="P167" t="s">
        <v>55</v>
      </c>
      <c r="Q167" t="s">
        <v>1023</v>
      </c>
      <c r="R167" t="s">
        <v>1024</v>
      </c>
      <c r="S167" t="s">
        <v>1024</v>
      </c>
      <c r="T167" t="s">
        <v>1024</v>
      </c>
      <c r="U167" t="s">
        <v>1024</v>
      </c>
      <c r="V167" t="s">
        <v>1024</v>
      </c>
      <c r="W167" t="s">
        <v>983</v>
      </c>
      <c r="X167">
        <v>0</v>
      </c>
    </row>
    <row r="168" spans="1:24" x14ac:dyDescent="0.3">
      <c r="A168" s="55" t="str">
        <f t="shared" si="9"/>
        <v>ENTITY_GRP_EBITDA</v>
      </c>
      <c r="B168" t="s">
        <v>867</v>
      </c>
      <c r="C168" t="s">
        <v>249</v>
      </c>
      <c r="D168" t="s">
        <v>1</v>
      </c>
      <c r="E168" t="s">
        <v>24</v>
      </c>
      <c r="F168" t="s">
        <v>53</v>
      </c>
      <c r="G168" t="s">
        <v>54</v>
      </c>
      <c r="I168" t="s">
        <v>7</v>
      </c>
      <c r="J168" s="15">
        <v>45450</v>
      </c>
      <c r="K168" t="s">
        <v>24</v>
      </c>
      <c r="L168" t="str">
        <f t="shared" si="10"/>
        <v>OK</v>
      </c>
      <c r="P168" t="s">
        <v>55</v>
      </c>
      <c r="Q168" t="s">
        <v>1023</v>
      </c>
      <c r="R168" t="s">
        <v>1024</v>
      </c>
      <c r="S168" t="s">
        <v>1024</v>
      </c>
      <c r="T168" t="s">
        <v>1024</v>
      </c>
      <c r="U168" t="s">
        <v>1024</v>
      </c>
      <c r="V168" t="s">
        <v>1023</v>
      </c>
      <c r="W168" t="s">
        <v>983</v>
      </c>
      <c r="X168" t="s">
        <v>1025</v>
      </c>
    </row>
    <row r="169" spans="1:24" x14ac:dyDescent="0.3">
      <c r="A169" s="55" t="str">
        <f t="shared" si="9"/>
        <v>ENTITY_GRP_EQTY</v>
      </c>
      <c r="B169" t="s">
        <v>867</v>
      </c>
      <c r="C169" t="s">
        <v>250</v>
      </c>
      <c r="D169" t="s">
        <v>1</v>
      </c>
      <c r="E169" t="s">
        <v>24</v>
      </c>
      <c r="F169" t="s">
        <v>53</v>
      </c>
      <c r="G169" t="s">
        <v>54</v>
      </c>
      <c r="I169" t="s">
        <v>7</v>
      </c>
      <c r="J169" s="15">
        <v>45450</v>
      </c>
      <c r="K169" t="s">
        <v>24</v>
      </c>
      <c r="L169" t="str">
        <f t="shared" si="10"/>
        <v>OK</v>
      </c>
      <c r="P169" t="s">
        <v>55</v>
      </c>
      <c r="Q169" t="s">
        <v>1023</v>
      </c>
      <c r="R169" t="s">
        <v>1024</v>
      </c>
      <c r="S169" t="s">
        <v>1023</v>
      </c>
      <c r="T169" t="s">
        <v>1024</v>
      </c>
      <c r="U169" t="s">
        <v>1024</v>
      </c>
      <c r="V169" t="s">
        <v>1023</v>
      </c>
      <c r="W169" t="s">
        <v>983</v>
      </c>
      <c r="X169" t="s">
        <v>1025</v>
      </c>
    </row>
    <row r="170" spans="1:24" x14ac:dyDescent="0.3">
      <c r="A170" s="55" t="str">
        <f t="shared" si="9"/>
        <v>ENTITY_GRP_NT_DBT</v>
      </c>
      <c r="B170" t="s">
        <v>867</v>
      </c>
      <c r="C170" t="s">
        <v>251</v>
      </c>
      <c r="D170" t="s">
        <v>1</v>
      </c>
      <c r="E170" t="s">
        <v>24</v>
      </c>
      <c r="F170" t="s">
        <v>53</v>
      </c>
      <c r="G170" t="s">
        <v>54</v>
      </c>
      <c r="I170" t="s">
        <v>7</v>
      </c>
      <c r="J170" s="15">
        <v>45450</v>
      </c>
      <c r="K170" t="s">
        <v>24</v>
      </c>
      <c r="L170" t="str">
        <f t="shared" si="10"/>
        <v>OK</v>
      </c>
      <c r="P170" t="s">
        <v>55</v>
      </c>
      <c r="Q170" t="s">
        <v>1023</v>
      </c>
      <c r="R170" t="s">
        <v>1024</v>
      </c>
      <c r="S170" t="s">
        <v>1024</v>
      </c>
      <c r="T170" t="s">
        <v>1024</v>
      </c>
      <c r="U170" t="s">
        <v>1024</v>
      </c>
      <c r="V170" t="s">
        <v>1023</v>
      </c>
      <c r="W170" t="s">
        <v>983</v>
      </c>
      <c r="X170" t="s">
        <v>1025</v>
      </c>
    </row>
    <row r="171" spans="1:24" x14ac:dyDescent="0.3">
      <c r="A171" s="55" t="str">
        <f t="shared" si="9"/>
        <v>ENTITY_GRP_TTL_DBT</v>
      </c>
      <c r="B171" t="s">
        <v>867</v>
      </c>
      <c r="C171" t="s">
        <v>252</v>
      </c>
      <c r="D171" t="s">
        <v>0</v>
      </c>
      <c r="E171" t="s">
        <v>10</v>
      </c>
      <c r="F171" t="s">
        <v>53</v>
      </c>
      <c r="G171" t="s">
        <v>63</v>
      </c>
      <c r="H171" t="s">
        <v>856</v>
      </c>
      <c r="I171" t="s">
        <v>11</v>
      </c>
      <c r="J171" s="15">
        <v>45450</v>
      </c>
      <c r="K171" t="s">
        <v>10</v>
      </c>
      <c r="L171" t="str">
        <f t="shared" si="10"/>
        <v>OK</v>
      </c>
      <c r="P171" t="s">
        <v>13</v>
      </c>
      <c r="Q171" t="s">
        <v>1023</v>
      </c>
      <c r="R171" t="s">
        <v>1024</v>
      </c>
      <c r="S171" t="s">
        <v>1023</v>
      </c>
      <c r="T171" t="s">
        <v>1024</v>
      </c>
      <c r="U171" t="s">
        <v>1024</v>
      </c>
      <c r="V171" t="s">
        <v>1024</v>
      </c>
      <c r="W171" t="s">
        <v>983</v>
      </c>
      <c r="X171">
        <v>0</v>
      </c>
    </row>
    <row r="172" spans="1:24" x14ac:dyDescent="0.3">
      <c r="A172" s="55" t="str">
        <f t="shared" si="9"/>
        <v>INSTRUMENT_GRSS_CRRYNG_AMNT_INSTRMNT</v>
      </c>
      <c r="B172" t="s">
        <v>659</v>
      </c>
      <c r="C172" t="s">
        <v>253</v>
      </c>
      <c r="D172" t="s">
        <v>1</v>
      </c>
      <c r="E172" t="s">
        <v>24</v>
      </c>
      <c r="F172" t="s">
        <v>53</v>
      </c>
      <c r="G172" t="s">
        <v>54</v>
      </c>
      <c r="I172" t="s">
        <v>7</v>
      </c>
      <c r="J172" s="15">
        <v>45450</v>
      </c>
      <c r="K172" t="s">
        <v>24</v>
      </c>
      <c r="L172" t="str">
        <f t="shared" si="10"/>
        <v>OK</v>
      </c>
      <c r="P172" t="s">
        <v>55</v>
      </c>
      <c r="Q172" t="s">
        <v>1023</v>
      </c>
      <c r="R172" t="s">
        <v>1023</v>
      </c>
      <c r="S172" t="s">
        <v>1023</v>
      </c>
      <c r="T172" t="s">
        <v>1024</v>
      </c>
      <c r="U172" t="s">
        <v>1023</v>
      </c>
      <c r="V172" t="s">
        <v>1023</v>
      </c>
      <c r="W172" t="s">
        <v>983</v>
      </c>
      <c r="X172" t="s">
        <v>1025</v>
      </c>
    </row>
    <row r="173" spans="1:24" x14ac:dyDescent="0.3">
      <c r="A173" s="55" t="str">
        <f t="shared" si="9"/>
        <v>INSTRUMENT_HEDGE_ID</v>
      </c>
      <c r="B173" t="s">
        <v>659</v>
      </c>
      <c r="C173" t="s">
        <v>254</v>
      </c>
      <c r="D173" t="s">
        <v>0</v>
      </c>
      <c r="E173" t="s">
        <v>24</v>
      </c>
      <c r="F173" t="s">
        <v>53</v>
      </c>
      <c r="G173" t="s">
        <v>54</v>
      </c>
      <c r="I173" t="s">
        <v>7</v>
      </c>
      <c r="J173" s="15">
        <v>45450</v>
      </c>
      <c r="K173" t="s">
        <v>24</v>
      </c>
      <c r="L173" t="str">
        <f t="shared" si="10"/>
        <v>OK</v>
      </c>
      <c r="P173" t="s">
        <v>55</v>
      </c>
      <c r="Q173" t="s">
        <v>1023</v>
      </c>
      <c r="R173" t="s">
        <v>1024</v>
      </c>
      <c r="S173" t="s">
        <v>1024</v>
      </c>
      <c r="T173" t="s">
        <v>1024</v>
      </c>
      <c r="U173" t="s">
        <v>1024</v>
      </c>
      <c r="V173" t="s">
        <v>1024</v>
      </c>
      <c r="W173" t="s">
        <v>983</v>
      </c>
      <c r="X173">
        <v>0</v>
      </c>
    </row>
    <row r="174" spans="1:24" x14ac:dyDescent="0.3">
      <c r="A174" s="55" t="str">
        <f t="shared" si="9"/>
        <v>PROTECTION_HRCT_MV</v>
      </c>
      <c r="B174" t="s">
        <v>870</v>
      </c>
      <c r="C174" t="s">
        <v>255</v>
      </c>
      <c r="D174" t="s">
        <v>1</v>
      </c>
      <c r="E174" t="s">
        <v>24</v>
      </c>
      <c r="F174" t="s">
        <v>53</v>
      </c>
      <c r="G174" t="s">
        <v>54</v>
      </c>
      <c r="I174" t="s">
        <v>7</v>
      </c>
      <c r="J174" s="15">
        <v>45450</v>
      </c>
      <c r="K174" t="s">
        <v>24</v>
      </c>
      <c r="L174" t="str">
        <f t="shared" si="10"/>
        <v>OK</v>
      </c>
      <c r="P174" t="s">
        <v>55</v>
      </c>
      <c r="Q174" t="s">
        <v>1023</v>
      </c>
      <c r="R174" t="s">
        <v>1024</v>
      </c>
      <c r="S174" t="s">
        <v>1024</v>
      </c>
      <c r="T174" t="s">
        <v>1024</v>
      </c>
      <c r="U174" t="s">
        <v>1024</v>
      </c>
      <c r="V174" t="s">
        <v>1024</v>
      </c>
      <c r="W174" t="s">
        <v>983</v>
      </c>
      <c r="X174">
        <v>0</v>
      </c>
    </row>
    <row r="175" spans="1:24" x14ac:dyDescent="0.3">
      <c r="A175" s="55" t="str">
        <f t="shared" si="9"/>
        <v>INSTRUMENT_IDCMB</v>
      </c>
      <c r="B175" t="s">
        <v>659</v>
      </c>
      <c r="C175" s="11" t="s">
        <v>256</v>
      </c>
      <c r="D175" t="s">
        <v>0</v>
      </c>
      <c r="E175" t="s">
        <v>831</v>
      </c>
      <c r="F175" t="s">
        <v>67</v>
      </c>
      <c r="G175" t="s">
        <v>257</v>
      </c>
      <c r="I175" t="s">
        <v>15</v>
      </c>
      <c r="J175" s="15">
        <v>45450</v>
      </c>
      <c r="K175" t="s">
        <v>831</v>
      </c>
      <c r="L175" t="str">
        <f t="shared" si="10"/>
        <v>NOK</v>
      </c>
      <c r="N175" s="15">
        <v>45328</v>
      </c>
      <c r="O175" s="15">
        <v>45330</v>
      </c>
      <c r="P175" t="s">
        <v>17</v>
      </c>
      <c r="Q175" t="s">
        <v>1023</v>
      </c>
      <c r="R175" t="s">
        <v>1023</v>
      </c>
      <c r="S175" t="s">
        <v>1023</v>
      </c>
      <c r="T175" t="s">
        <v>1024</v>
      </c>
      <c r="U175" t="s">
        <v>1023</v>
      </c>
      <c r="V175" t="s">
        <v>1023</v>
      </c>
      <c r="W175" t="s">
        <v>1022</v>
      </c>
      <c r="X175" t="s">
        <v>1026</v>
      </c>
    </row>
    <row r="176" spans="1:24" x14ac:dyDescent="0.3">
      <c r="A176" s="55" t="str">
        <f t="shared" si="9"/>
        <v>ENTITY_EBITDA_PRVS</v>
      </c>
      <c r="B176" t="s">
        <v>867</v>
      </c>
      <c r="C176" t="s">
        <v>203</v>
      </c>
      <c r="D176" t="s">
        <v>1</v>
      </c>
      <c r="E176" t="s">
        <v>10</v>
      </c>
      <c r="F176" t="s">
        <v>53</v>
      </c>
      <c r="G176" t="s">
        <v>202</v>
      </c>
      <c r="I176" t="s">
        <v>11</v>
      </c>
      <c r="J176" s="15">
        <v>45450</v>
      </c>
      <c r="K176" t="s">
        <v>10</v>
      </c>
      <c r="L176" t="str">
        <f t="shared" si="10"/>
        <v>OK</v>
      </c>
      <c r="P176" t="s">
        <v>13</v>
      </c>
      <c r="Q176" t="s">
        <v>1023</v>
      </c>
      <c r="R176" t="s">
        <v>1024</v>
      </c>
      <c r="S176" t="s">
        <v>1024</v>
      </c>
      <c r="T176" t="s">
        <v>1024</v>
      </c>
      <c r="U176" t="s">
        <v>1024</v>
      </c>
      <c r="V176" t="s">
        <v>1023</v>
      </c>
      <c r="W176" t="s">
        <v>984</v>
      </c>
      <c r="X176" t="s">
        <v>1027</v>
      </c>
    </row>
    <row r="177" spans="1:24" x14ac:dyDescent="0.3">
      <c r="A177" s="55" t="str">
        <f t="shared" si="9"/>
        <v>INSTRUMENT_IFRS9_CCF</v>
      </c>
      <c r="B177" t="s">
        <v>659</v>
      </c>
      <c r="C177" t="s">
        <v>259</v>
      </c>
      <c r="D177" t="s">
        <v>1</v>
      </c>
      <c r="E177" t="s">
        <v>24</v>
      </c>
      <c r="F177" t="s">
        <v>53</v>
      </c>
      <c r="G177" t="s">
        <v>54</v>
      </c>
      <c r="I177" t="s">
        <v>7</v>
      </c>
      <c r="J177" s="15">
        <v>45450</v>
      </c>
      <c r="K177" t="s">
        <v>24</v>
      </c>
      <c r="L177" t="str">
        <f t="shared" si="10"/>
        <v>OK</v>
      </c>
      <c r="M177" t="s">
        <v>866</v>
      </c>
      <c r="P177" t="s">
        <v>55</v>
      </c>
      <c r="Q177" t="s">
        <v>1023</v>
      </c>
      <c r="R177" t="s">
        <v>1024</v>
      </c>
      <c r="S177" t="s">
        <v>1024</v>
      </c>
      <c r="T177" t="s">
        <v>1024</v>
      </c>
      <c r="U177" t="s">
        <v>1024</v>
      </c>
      <c r="V177" t="s">
        <v>1024</v>
      </c>
      <c r="W177" t="s">
        <v>983</v>
      </c>
      <c r="X177">
        <v>0</v>
      </c>
    </row>
    <row r="178" spans="1:24" x14ac:dyDescent="0.3">
      <c r="A178" s="55" t="str">
        <f t="shared" si="9"/>
        <v>INSTRUMENT_IFRS9_EAD</v>
      </c>
      <c r="B178" t="s">
        <v>659</v>
      </c>
      <c r="C178" t="s">
        <v>260</v>
      </c>
      <c r="D178" t="s">
        <v>1</v>
      </c>
      <c r="E178" t="s">
        <v>21</v>
      </c>
      <c r="F178" t="s">
        <v>67</v>
      </c>
      <c r="G178" t="s">
        <v>78</v>
      </c>
      <c r="I178" t="s">
        <v>11</v>
      </c>
      <c r="J178" s="15">
        <v>45450</v>
      </c>
      <c r="K178" t="s">
        <v>21</v>
      </c>
      <c r="L178" t="str">
        <f t="shared" si="10"/>
        <v>NOK</v>
      </c>
      <c r="M178" t="s">
        <v>866</v>
      </c>
      <c r="P178" t="s">
        <v>9</v>
      </c>
      <c r="Q178" t="s">
        <v>1023</v>
      </c>
      <c r="R178" t="s">
        <v>1024</v>
      </c>
      <c r="S178" t="s">
        <v>1024</v>
      </c>
      <c r="T178" t="s">
        <v>1024</v>
      </c>
      <c r="U178" t="s">
        <v>1024</v>
      </c>
      <c r="V178" t="s">
        <v>1024</v>
      </c>
      <c r="W178" t="s">
        <v>983</v>
      </c>
      <c r="X178">
        <v>0</v>
      </c>
    </row>
    <row r="179" spans="1:24" x14ac:dyDescent="0.3">
      <c r="A179" s="55" t="str">
        <f t="shared" si="9"/>
        <v>INSTRUMENT_IFRS9_LGD</v>
      </c>
      <c r="B179" t="s">
        <v>659</v>
      </c>
      <c r="C179" t="s">
        <v>261</v>
      </c>
      <c r="D179" t="s">
        <v>1</v>
      </c>
      <c r="E179" t="s">
        <v>24</v>
      </c>
      <c r="F179" t="s">
        <v>53</v>
      </c>
      <c r="G179" t="s">
        <v>54</v>
      </c>
      <c r="I179" t="s">
        <v>7</v>
      </c>
      <c r="J179" s="15">
        <v>45450</v>
      </c>
      <c r="K179" t="s">
        <v>24</v>
      </c>
      <c r="L179" t="str">
        <f t="shared" si="10"/>
        <v>OK</v>
      </c>
      <c r="M179" t="s">
        <v>866</v>
      </c>
      <c r="P179" t="s">
        <v>55</v>
      </c>
      <c r="Q179" t="s">
        <v>1023</v>
      </c>
      <c r="R179" t="s">
        <v>1024</v>
      </c>
      <c r="S179" t="s">
        <v>1024</v>
      </c>
      <c r="T179" t="s">
        <v>1024</v>
      </c>
      <c r="U179" t="s">
        <v>1024</v>
      </c>
      <c r="V179" t="s">
        <v>1024</v>
      </c>
      <c r="W179" t="s">
        <v>983</v>
      </c>
      <c r="X179">
        <v>0</v>
      </c>
    </row>
    <row r="180" spans="1:24" x14ac:dyDescent="0.3">
      <c r="A180" s="55" t="str">
        <f t="shared" si="9"/>
        <v>INSTRUMENT_IMPRMNT_ASSSSMNT_MTHD</v>
      </c>
      <c r="B180" t="s">
        <v>659</v>
      </c>
      <c r="C180" t="s">
        <v>262</v>
      </c>
      <c r="D180" t="s">
        <v>1</v>
      </c>
      <c r="E180" t="s">
        <v>24</v>
      </c>
      <c r="F180" t="s">
        <v>53</v>
      </c>
      <c r="G180" t="s">
        <v>54</v>
      </c>
      <c r="I180" t="s">
        <v>7</v>
      </c>
      <c r="J180" s="15">
        <v>45450</v>
      </c>
      <c r="K180" t="s">
        <v>24</v>
      </c>
      <c r="L180" t="str">
        <f t="shared" si="10"/>
        <v>OK</v>
      </c>
      <c r="P180" t="s">
        <v>55</v>
      </c>
      <c r="Q180" t="s">
        <v>1023</v>
      </c>
      <c r="R180" t="s">
        <v>1024</v>
      </c>
      <c r="S180" t="s">
        <v>1024</v>
      </c>
      <c r="T180" t="s">
        <v>1024</v>
      </c>
      <c r="U180" t="s">
        <v>1024</v>
      </c>
      <c r="V180" t="s">
        <v>1023</v>
      </c>
      <c r="W180" t="s">
        <v>983</v>
      </c>
      <c r="X180" t="s">
        <v>1025</v>
      </c>
    </row>
    <row r="181" spans="1:24" x14ac:dyDescent="0.3">
      <c r="A181" s="55" t="str">
        <f t="shared" si="9"/>
        <v>INSTRUMENT_IMPRMNT_CLCLTN_MTHD</v>
      </c>
      <c r="B181" t="s">
        <v>659</v>
      </c>
      <c r="C181" t="s">
        <v>263</v>
      </c>
      <c r="D181" t="s">
        <v>1</v>
      </c>
      <c r="E181" t="s">
        <v>21</v>
      </c>
      <c r="F181" t="s">
        <v>67</v>
      </c>
      <c r="G181" t="s">
        <v>78</v>
      </c>
      <c r="I181" t="s">
        <v>11</v>
      </c>
      <c r="J181" s="15">
        <v>45450</v>
      </c>
      <c r="K181" t="s">
        <v>21</v>
      </c>
      <c r="L181" t="str">
        <f t="shared" si="10"/>
        <v>NOK</v>
      </c>
      <c r="P181" t="s">
        <v>9</v>
      </c>
      <c r="Q181" t="s">
        <v>1023</v>
      </c>
      <c r="R181" t="s">
        <v>1024</v>
      </c>
      <c r="S181" t="s">
        <v>1024</v>
      </c>
      <c r="T181" t="s">
        <v>1024</v>
      </c>
      <c r="U181" t="s">
        <v>1024</v>
      </c>
      <c r="V181" t="s">
        <v>1024</v>
      </c>
      <c r="W181" t="s">
        <v>983</v>
      </c>
      <c r="X181">
        <v>0</v>
      </c>
    </row>
    <row r="182" spans="1:24" x14ac:dyDescent="0.3">
      <c r="A182" s="55" t="str">
        <f t="shared" si="9"/>
        <v>INSTRUMENT_IMPRMNT_STTS</v>
      </c>
      <c r="B182" t="s">
        <v>659</v>
      </c>
      <c r="C182" s="11" t="s">
        <v>264</v>
      </c>
      <c r="D182" t="s">
        <v>1</v>
      </c>
      <c r="E182" t="s">
        <v>14</v>
      </c>
      <c r="F182" t="s">
        <v>67</v>
      </c>
      <c r="G182" t="s">
        <v>265</v>
      </c>
      <c r="I182" t="s">
        <v>15</v>
      </c>
      <c r="J182" s="15">
        <v>45670</v>
      </c>
      <c r="K182" t="s">
        <v>831</v>
      </c>
      <c r="L182" t="str">
        <f t="shared" si="10"/>
        <v>NOK</v>
      </c>
      <c r="M182" t="s">
        <v>1035</v>
      </c>
      <c r="N182" s="15">
        <v>45562</v>
      </c>
      <c r="P182" t="s">
        <v>25</v>
      </c>
      <c r="Q182" t="s">
        <v>1023</v>
      </c>
      <c r="R182" t="s">
        <v>1023</v>
      </c>
      <c r="S182" t="s">
        <v>1023</v>
      </c>
      <c r="T182" t="s">
        <v>1024</v>
      </c>
      <c r="U182" t="s">
        <v>1024</v>
      </c>
      <c r="V182" t="s">
        <v>1023</v>
      </c>
      <c r="W182" t="s">
        <v>983</v>
      </c>
      <c r="X182" t="s">
        <v>1032</v>
      </c>
    </row>
    <row r="183" spans="1:24" x14ac:dyDescent="0.3">
      <c r="A183" s="55" t="str">
        <f t="shared" si="9"/>
        <v>INSTRUMENT_IMPRMNT_STTS_PRVS</v>
      </c>
      <c r="B183" t="s">
        <v>659</v>
      </c>
      <c r="C183" s="11" t="s">
        <v>266</v>
      </c>
      <c r="D183" t="s">
        <v>1</v>
      </c>
      <c r="E183" t="s">
        <v>14</v>
      </c>
      <c r="F183" t="s">
        <v>53</v>
      </c>
      <c r="G183" t="s">
        <v>74</v>
      </c>
      <c r="H183" t="s">
        <v>171</v>
      </c>
      <c r="I183" t="s">
        <v>15</v>
      </c>
      <c r="J183" s="15">
        <v>45670</v>
      </c>
      <c r="K183" t="s">
        <v>831</v>
      </c>
      <c r="L183" t="str">
        <f t="shared" si="10"/>
        <v>OK</v>
      </c>
      <c r="M183" t="s">
        <v>1035</v>
      </c>
      <c r="N183" s="15">
        <v>45562</v>
      </c>
      <c r="P183" t="s">
        <v>25</v>
      </c>
      <c r="Q183" t="s">
        <v>1023</v>
      </c>
      <c r="R183" t="s">
        <v>1024</v>
      </c>
      <c r="S183" t="s">
        <v>1024</v>
      </c>
      <c r="T183" t="s">
        <v>1024</v>
      </c>
      <c r="U183" t="s">
        <v>1024</v>
      </c>
      <c r="V183" t="s">
        <v>1023</v>
      </c>
      <c r="W183" t="s">
        <v>983</v>
      </c>
      <c r="X183" t="s">
        <v>1032</v>
      </c>
    </row>
    <row r="184" spans="1:24" x14ac:dyDescent="0.3">
      <c r="A184" s="55" t="str">
        <f t="shared" si="9"/>
        <v>ENTITY_INCM_SC</v>
      </c>
      <c r="B184" t="s">
        <v>867</v>
      </c>
      <c r="C184" t="s">
        <v>267</v>
      </c>
      <c r="D184" t="s">
        <v>0</v>
      </c>
      <c r="E184" t="s">
        <v>6</v>
      </c>
      <c r="F184" t="s">
        <v>53</v>
      </c>
      <c r="G184" t="s">
        <v>268</v>
      </c>
      <c r="I184" t="s">
        <v>11</v>
      </c>
      <c r="J184" s="15">
        <v>45450</v>
      </c>
      <c r="K184" t="s">
        <v>6</v>
      </c>
      <c r="L184" t="str">
        <f t="shared" si="10"/>
        <v>OK</v>
      </c>
      <c r="P184" t="s">
        <v>13</v>
      </c>
      <c r="Q184" t="s">
        <v>1023</v>
      </c>
      <c r="R184" t="s">
        <v>1024</v>
      </c>
      <c r="S184" t="s">
        <v>1024</v>
      </c>
      <c r="T184" t="s">
        <v>1024</v>
      </c>
      <c r="U184" t="s">
        <v>1024</v>
      </c>
      <c r="V184" t="s">
        <v>1024</v>
      </c>
      <c r="W184" t="s">
        <v>983</v>
      </c>
      <c r="X184">
        <v>0</v>
      </c>
    </row>
    <row r="185" spans="1:24" x14ac:dyDescent="0.3">
      <c r="A185" s="55" t="str">
        <f t="shared" si="9"/>
        <v>ENTITY_EBITDA</v>
      </c>
      <c r="B185" t="s">
        <v>867</v>
      </c>
      <c r="C185" t="s">
        <v>201</v>
      </c>
      <c r="D185" t="s">
        <v>1</v>
      </c>
      <c r="E185" t="s">
        <v>10</v>
      </c>
      <c r="F185" t="s">
        <v>53</v>
      </c>
      <c r="G185" t="s">
        <v>202</v>
      </c>
      <c r="I185" t="s">
        <v>11</v>
      </c>
      <c r="J185" s="15">
        <v>45450</v>
      </c>
      <c r="K185" t="s">
        <v>10</v>
      </c>
      <c r="L185" t="str">
        <f t="shared" si="10"/>
        <v>OK</v>
      </c>
      <c r="P185" t="s">
        <v>13</v>
      </c>
      <c r="Q185" t="s">
        <v>1023</v>
      </c>
      <c r="R185" t="s">
        <v>1024</v>
      </c>
      <c r="S185" t="s">
        <v>1024</v>
      </c>
      <c r="T185" t="s">
        <v>1024</v>
      </c>
      <c r="U185" t="s">
        <v>1024</v>
      </c>
      <c r="V185" t="s">
        <v>1023</v>
      </c>
      <c r="W185" t="s">
        <v>984</v>
      </c>
      <c r="X185" t="s">
        <v>1027</v>
      </c>
    </row>
    <row r="186" spans="1:24" x14ac:dyDescent="0.3">
      <c r="A186" s="55" t="str">
        <f t="shared" si="9"/>
        <v>INSTRUMENT_INSTR_SNRTY_CLSS</v>
      </c>
      <c r="B186" t="s">
        <v>659</v>
      </c>
      <c r="C186" t="s">
        <v>271</v>
      </c>
      <c r="D186" t="s">
        <v>0</v>
      </c>
      <c r="E186" t="s">
        <v>24</v>
      </c>
      <c r="F186" t="s">
        <v>53</v>
      </c>
      <c r="G186" t="s">
        <v>54</v>
      </c>
      <c r="I186" t="s">
        <v>7</v>
      </c>
      <c r="J186" s="15">
        <v>45450</v>
      </c>
      <c r="K186" t="s">
        <v>24</v>
      </c>
      <c r="L186" t="str">
        <f t="shared" si="10"/>
        <v>OK</v>
      </c>
      <c r="P186" t="s">
        <v>55</v>
      </c>
      <c r="Q186" t="s">
        <v>1023</v>
      </c>
      <c r="R186" t="s">
        <v>1024</v>
      </c>
      <c r="S186" t="s">
        <v>1024</v>
      </c>
      <c r="T186" t="s">
        <v>1024</v>
      </c>
      <c r="U186" t="s">
        <v>1024</v>
      </c>
      <c r="V186" t="s">
        <v>1023</v>
      </c>
      <c r="W186" t="s">
        <v>983</v>
      </c>
      <c r="X186" t="s">
        <v>1025</v>
      </c>
    </row>
    <row r="187" spans="1:24" x14ac:dyDescent="0.3">
      <c r="A187" s="55" t="str">
        <f t="shared" si="9"/>
        <v>INSTRUMENT_INSTRMNT_CLSS</v>
      </c>
      <c r="B187" t="s">
        <v>659</v>
      </c>
      <c r="C187" t="s">
        <v>272</v>
      </c>
      <c r="D187" t="s">
        <v>0</v>
      </c>
      <c r="E187" t="s">
        <v>24</v>
      </c>
      <c r="F187" t="s">
        <v>53</v>
      </c>
      <c r="G187" t="s">
        <v>54</v>
      </c>
      <c r="I187" t="s">
        <v>7</v>
      </c>
      <c r="J187" s="15">
        <v>45450</v>
      </c>
      <c r="K187" t="s">
        <v>24</v>
      </c>
      <c r="L187" t="str">
        <f t="shared" si="10"/>
        <v>OK</v>
      </c>
      <c r="P187" t="s">
        <v>55</v>
      </c>
      <c r="Q187" t="s">
        <v>1023</v>
      </c>
      <c r="R187" t="s">
        <v>1024</v>
      </c>
      <c r="S187" t="s">
        <v>1024</v>
      </c>
      <c r="T187" t="s">
        <v>1024</v>
      </c>
      <c r="U187" t="s">
        <v>1024</v>
      </c>
      <c r="V187" t="s">
        <v>1024</v>
      </c>
      <c r="W187" t="s">
        <v>983</v>
      </c>
      <c r="X187">
        <v>0</v>
      </c>
    </row>
    <row r="188" spans="1:24" x14ac:dyDescent="0.3">
      <c r="A188" s="55" t="str">
        <f t="shared" si="9"/>
        <v>INSTR_ENTITY_INSTRMNT_ID</v>
      </c>
      <c r="B188" t="s">
        <v>868</v>
      </c>
      <c r="C188" t="s">
        <v>273</v>
      </c>
      <c r="D188" t="s">
        <v>1</v>
      </c>
      <c r="E188" t="s">
        <v>24</v>
      </c>
      <c r="F188" t="s">
        <v>53</v>
      </c>
      <c r="G188" t="s">
        <v>54</v>
      </c>
      <c r="I188" t="s">
        <v>7</v>
      </c>
      <c r="J188" s="15">
        <v>45450</v>
      </c>
      <c r="K188" t="s">
        <v>24</v>
      </c>
      <c r="L188" t="str">
        <f t="shared" si="10"/>
        <v>OK</v>
      </c>
      <c r="P188" t="s">
        <v>55</v>
      </c>
      <c r="Q188" t="s">
        <v>1023</v>
      </c>
      <c r="R188" t="s">
        <v>1024</v>
      </c>
      <c r="S188" t="s">
        <v>1023</v>
      </c>
      <c r="T188" t="s">
        <v>1024</v>
      </c>
      <c r="U188" t="s">
        <v>1024</v>
      </c>
      <c r="V188" t="s">
        <v>1023</v>
      </c>
      <c r="W188" t="s">
        <v>983</v>
      </c>
      <c r="X188" t="s">
        <v>1025</v>
      </c>
    </row>
    <row r="189" spans="1:24" x14ac:dyDescent="0.3">
      <c r="A189" s="55" t="str">
        <f t="shared" si="9"/>
        <v>INSTR_PROTECTION_INSTRMNT_ID</v>
      </c>
      <c r="B189" t="s">
        <v>869</v>
      </c>
      <c r="C189" t="s">
        <v>273</v>
      </c>
      <c r="D189" t="s">
        <v>1</v>
      </c>
      <c r="E189" t="s">
        <v>24</v>
      </c>
      <c r="F189" t="s">
        <v>53</v>
      </c>
      <c r="G189" t="s">
        <v>54</v>
      </c>
      <c r="I189" t="s">
        <v>7</v>
      </c>
      <c r="J189" s="15">
        <v>45450</v>
      </c>
      <c r="K189" t="s">
        <v>24</v>
      </c>
      <c r="L189" t="str">
        <f t="shared" ref="L189:L220" si="11">F189</f>
        <v>OK</v>
      </c>
      <c r="P189" t="s">
        <v>55</v>
      </c>
      <c r="Q189" t="s">
        <v>1023</v>
      </c>
      <c r="R189" t="s">
        <v>1023</v>
      </c>
      <c r="S189" t="s">
        <v>1023</v>
      </c>
      <c r="T189" t="s">
        <v>1024</v>
      </c>
      <c r="U189" t="s">
        <v>1024</v>
      </c>
      <c r="V189" t="s">
        <v>1024</v>
      </c>
      <c r="W189" t="s">
        <v>983</v>
      </c>
      <c r="X189">
        <v>0</v>
      </c>
    </row>
    <row r="190" spans="1:24" x14ac:dyDescent="0.3">
      <c r="A190" s="55" t="str">
        <f t="shared" si="9"/>
        <v>INSTRUMENT_INSTRMNT_ID</v>
      </c>
      <c r="B190" t="s">
        <v>659</v>
      </c>
      <c r="C190" t="s">
        <v>273</v>
      </c>
      <c r="D190" t="s">
        <v>1</v>
      </c>
      <c r="E190" t="s">
        <v>24</v>
      </c>
      <c r="F190" t="s">
        <v>53</v>
      </c>
      <c r="G190" t="s">
        <v>54</v>
      </c>
      <c r="I190" t="s">
        <v>7</v>
      </c>
      <c r="J190" s="15">
        <v>45450</v>
      </c>
      <c r="K190" t="s">
        <v>24</v>
      </c>
      <c r="L190" t="str">
        <f t="shared" si="11"/>
        <v>OK</v>
      </c>
      <c r="P190" t="s">
        <v>55</v>
      </c>
      <c r="Q190" t="s">
        <v>1023</v>
      </c>
      <c r="R190" t="s">
        <v>1023</v>
      </c>
      <c r="S190" t="s">
        <v>1023</v>
      </c>
      <c r="T190" t="s">
        <v>1024</v>
      </c>
      <c r="U190" t="s">
        <v>1023</v>
      </c>
      <c r="V190" t="s">
        <v>1023</v>
      </c>
      <c r="W190" t="s">
        <v>983</v>
      </c>
      <c r="X190" t="s">
        <v>1025</v>
      </c>
    </row>
    <row r="191" spans="1:24" x14ac:dyDescent="0.3">
      <c r="A191" s="55" t="str">
        <f t="shared" si="9"/>
        <v>ENTITY_INTRNL_RTNG</v>
      </c>
      <c r="B191" t="s">
        <v>867</v>
      </c>
      <c r="C191" s="10" t="s">
        <v>274</v>
      </c>
      <c r="D191" t="s">
        <v>1</v>
      </c>
      <c r="E191" t="s">
        <v>831</v>
      </c>
      <c r="F191" t="s">
        <v>67</v>
      </c>
      <c r="G191" t="s">
        <v>275</v>
      </c>
      <c r="I191" t="s">
        <v>15</v>
      </c>
      <c r="J191" s="15">
        <v>45450</v>
      </c>
      <c r="K191" t="s">
        <v>831</v>
      </c>
      <c r="L191" t="str">
        <f t="shared" si="11"/>
        <v>NOK</v>
      </c>
      <c r="M191" t="s">
        <v>846</v>
      </c>
      <c r="N191" s="15">
        <v>45338</v>
      </c>
      <c r="O191" s="15">
        <v>45436</v>
      </c>
      <c r="P191" t="s">
        <v>19</v>
      </c>
      <c r="Q191" t="s">
        <v>1023</v>
      </c>
      <c r="R191" t="s">
        <v>1024</v>
      </c>
      <c r="S191" t="s">
        <v>1024</v>
      </c>
      <c r="T191" t="s">
        <v>1024</v>
      </c>
      <c r="U191" t="s">
        <v>1024</v>
      </c>
      <c r="V191" t="s">
        <v>1023</v>
      </c>
      <c r="W191" t="s">
        <v>1022</v>
      </c>
      <c r="X191" t="s">
        <v>1026</v>
      </c>
    </row>
    <row r="192" spans="1:24" x14ac:dyDescent="0.3">
      <c r="A192" s="55" t="str">
        <f t="shared" si="9"/>
        <v>INSTRUMENT_INTRNL_RTNG</v>
      </c>
      <c r="B192" t="s">
        <v>659</v>
      </c>
      <c r="C192" s="10" t="s">
        <v>274</v>
      </c>
      <c r="D192" t="s">
        <v>1</v>
      </c>
      <c r="E192" t="s">
        <v>831</v>
      </c>
      <c r="F192" t="s">
        <v>67</v>
      </c>
      <c r="G192" t="s">
        <v>275</v>
      </c>
      <c r="I192" t="s">
        <v>15</v>
      </c>
      <c r="J192" s="15">
        <v>45450</v>
      </c>
      <c r="K192" t="s">
        <v>831</v>
      </c>
      <c r="L192" t="str">
        <f t="shared" si="11"/>
        <v>NOK</v>
      </c>
      <c r="M192" t="s">
        <v>846</v>
      </c>
      <c r="N192" s="15">
        <v>45338</v>
      </c>
      <c r="O192" s="15">
        <v>45436</v>
      </c>
      <c r="P192" t="s">
        <v>19</v>
      </c>
      <c r="Q192" t="s">
        <v>1023</v>
      </c>
      <c r="R192" t="s">
        <v>1024</v>
      </c>
      <c r="S192" t="s">
        <v>1024</v>
      </c>
      <c r="T192" t="s">
        <v>1024</v>
      </c>
      <c r="U192" t="s">
        <v>1024</v>
      </c>
      <c r="V192" t="s">
        <v>1023</v>
      </c>
      <c r="W192" t="s">
        <v>1022</v>
      </c>
      <c r="X192" t="s">
        <v>1026</v>
      </c>
    </row>
    <row r="193" spans="1:24" x14ac:dyDescent="0.3">
      <c r="A193" s="55" t="str">
        <f t="shared" si="9"/>
        <v>INSTRUMENT_INTRNL_RTNG_INCPTN</v>
      </c>
      <c r="B193" t="s">
        <v>659</v>
      </c>
      <c r="C193" t="s">
        <v>276</v>
      </c>
      <c r="D193" t="s">
        <v>1</v>
      </c>
      <c r="E193" t="s">
        <v>832</v>
      </c>
      <c r="F193" t="s">
        <v>67</v>
      </c>
      <c r="G193" t="s">
        <v>277</v>
      </c>
      <c r="H193" t="s">
        <v>278</v>
      </c>
      <c r="I193" t="s">
        <v>11</v>
      </c>
      <c r="J193" s="15">
        <v>45450</v>
      </c>
      <c r="K193" t="s">
        <v>832</v>
      </c>
      <c r="L193" t="str">
        <f t="shared" si="11"/>
        <v>NOK</v>
      </c>
      <c r="P193" t="s">
        <v>13</v>
      </c>
      <c r="Q193" t="s">
        <v>1023</v>
      </c>
      <c r="R193" t="s">
        <v>1024</v>
      </c>
      <c r="S193" t="s">
        <v>1024</v>
      </c>
      <c r="T193" t="s">
        <v>1024</v>
      </c>
      <c r="U193" t="s">
        <v>1024</v>
      </c>
      <c r="V193" t="s">
        <v>1023</v>
      </c>
      <c r="W193" t="s">
        <v>1022</v>
      </c>
      <c r="X193" t="s">
        <v>1026</v>
      </c>
    </row>
    <row r="194" spans="1:24" x14ac:dyDescent="0.3">
      <c r="A194" s="55" t="str">
        <f t="shared" si="9"/>
        <v>ENTITY_INTRNL_RTNG_PRVS</v>
      </c>
      <c r="B194" t="s">
        <v>867</v>
      </c>
      <c r="C194" s="10" t="s">
        <v>279</v>
      </c>
      <c r="D194" t="s">
        <v>1</v>
      </c>
      <c r="E194" t="s">
        <v>831</v>
      </c>
      <c r="F194" t="s">
        <v>53</v>
      </c>
      <c r="G194" t="s">
        <v>176</v>
      </c>
      <c r="I194" t="s">
        <v>15</v>
      </c>
      <c r="J194" s="15">
        <v>45450</v>
      </c>
      <c r="K194" t="s">
        <v>831</v>
      </c>
      <c r="L194" t="str">
        <f t="shared" si="11"/>
        <v>OK</v>
      </c>
      <c r="M194" t="s">
        <v>846</v>
      </c>
      <c r="N194" s="15">
        <v>45338</v>
      </c>
      <c r="O194" s="15">
        <v>45436</v>
      </c>
      <c r="P194" t="s">
        <v>19</v>
      </c>
      <c r="Q194" t="s">
        <v>1023</v>
      </c>
      <c r="R194" t="s">
        <v>1024</v>
      </c>
      <c r="S194" t="s">
        <v>1024</v>
      </c>
      <c r="T194" t="s">
        <v>1024</v>
      </c>
      <c r="U194" t="s">
        <v>1024</v>
      </c>
      <c r="V194" t="s">
        <v>1023</v>
      </c>
      <c r="W194" t="s">
        <v>1022</v>
      </c>
      <c r="X194" t="s">
        <v>1026</v>
      </c>
    </row>
    <row r="195" spans="1:24" x14ac:dyDescent="0.3">
      <c r="A195" s="55" t="str">
        <f t="shared" si="9"/>
        <v>ENTITY_INTRNL_SGMNT</v>
      </c>
      <c r="B195" t="s">
        <v>867</v>
      </c>
      <c r="C195" t="s">
        <v>280</v>
      </c>
      <c r="D195" t="s">
        <v>1</v>
      </c>
      <c r="E195" t="s">
        <v>24</v>
      </c>
      <c r="F195" t="s">
        <v>53</v>
      </c>
      <c r="G195" t="s">
        <v>54</v>
      </c>
      <c r="I195" t="s">
        <v>7</v>
      </c>
      <c r="J195" s="15">
        <v>45450</v>
      </c>
      <c r="K195" t="s">
        <v>24</v>
      </c>
      <c r="L195" t="str">
        <f t="shared" si="11"/>
        <v>OK</v>
      </c>
      <c r="P195" t="s">
        <v>55</v>
      </c>
      <c r="Q195" t="s">
        <v>1023</v>
      </c>
      <c r="R195" t="s">
        <v>1024</v>
      </c>
      <c r="S195" t="s">
        <v>1024</v>
      </c>
      <c r="T195" t="s">
        <v>1024</v>
      </c>
      <c r="U195" t="s">
        <v>1024</v>
      </c>
      <c r="V195" t="s">
        <v>1023</v>
      </c>
      <c r="W195" t="s">
        <v>983</v>
      </c>
      <c r="X195" t="s">
        <v>1025</v>
      </c>
    </row>
    <row r="196" spans="1:24" x14ac:dyDescent="0.3">
      <c r="A196" s="55" t="str">
        <f t="shared" si="9"/>
        <v>INSTRUMENT_INTRNL_SGMNT</v>
      </c>
      <c r="B196" t="s">
        <v>659</v>
      </c>
      <c r="C196" t="s">
        <v>280</v>
      </c>
      <c r="D196" t="s">
        <v>1</v>
      </c>
      <c r="E196" t="s">
        <v>24</v>
      </c>
      <c r="F196" t="s">
        <v>53</v>
      </c>
      <c r="G196" t="s">
        <v>54</v>
      </c>
      <c r="I196" t="s">
        <v>7</v>
      </c>
      <c r="J196" s="15">
        <v>45450</v>
      </c>
      <c r="K196" t="s">
        <v>24</v>
      </c>
      <c r="L196" t="str">
        <f t="shared" si="11"/>
        <v>OK</v>
      </c>
      <c r="P196" t="s">
        <v>55</v>
      </c>
      <c r="Q196" t="s">
        <v>1023</v>
      </c>
      <c r="R196" t="s">
        <v>1024</v>
      </c>
      <c r="S196" t="s">
        <v>1024</v>
      </c>
      <c r="T196" t="s">
        <v>1024</v>
      </c>
      <c r="U196" t="s">
        <v>1023</v>
      </c>
      <c r="V196" t="s">
        <v>1023</v>
      </c>
      <c r="W196" t="s">
        <v>983</v>
      </c>
      <c r="X196" t="s">
        <v>1025</v>
      </c>
    </row>
    <row r="197" spans="1:24" x14ac:dyDescent="0.3">
      <c r="A197" s="55" t="str">
        <f t="shared" si="9"/>
        <v>INSTRUMENT_INTRNL_SGMNT_CAT_MSTA</v>
      </c>
      <c r="B197" t="s">
        <v>659</v>
      </c>
      <c r="C197" t="s">
        <v>281</v>
      </c>
      <c r="D197" t="s">
        <v>0</v>
      </c>
      <c r="E197" t="s">
        <v>24</v>
      </c>
      <c r="F197" t="s">
        <v>53</v>
      </c>
      <c r="G197" t="s">
        <v>54</v>
      </c>
      <c r="I197" t="s">
        <v>7</v>
      </c>
      <c r="J197" s="15">
        <v>45450</v>
      </c>
      <c r="K197" t="s">
        <v>24</v>
      </c>
      <c r="L197" t="str">
        <f t="shared" si="11"/>
        <v>OK</v>
      </c>
      <c r="P197" t="s">
        <v>55</v>
      </c>
      <c r="Q197" t="s">
        <v>1023</v>
      </c>
      <c r="R197" t="s">
        <v>1024</v>
      </c>
      <c r="S197" t="s">
        <v>1024</v>
      </c>
      <c r="T197" t="s">
        <v>1024</v>
      </c>
      <c r="U197" t="s">
        <v>1023</v>
      </c>
      <c r="V197" t="s">
        <v>1024</v>
      </c>
      <c r="W197" t="s">
        <v>983</v>
      </c>
      <c r="X197">
        <v>0</v>
      </c>
    </row>
    <row r="198" spans="1:24" x14ac:dyDescent="0.3">
      <c r="A198" s="55" t="str">
        <f t="shared" ref="A198:A261" si="12">B198&amp;"_"&amp;C198</f>
        <v>INSTRUMENT_INTRNL_SGMNT_CATGSUB</v>
      </c>
      <c r="B198" t="s">
        <v>659</v>
      </c>
      <c r="C198" t="s">
        <v>282</v>
      </c>
      <c r="D198" t="s">
        <v>0</v>
      </c>
      <c r="E198" t="s">
        <v>24</v>
      </c>
      <c r="F198" t="s">
        <v>53</v>
      </c>
      <c r="G198" t="s">
        <v>54</v>
      </c>
      <c r="I198" t="s">
        <v>7</v>
      </c>
      <c r="J198" s="15">
        <v>45450</v>
      </c>
      <c r="K198" t="s">
        <v>24</v>
      </c>
      <c r="L198" t="str">
        <f t="shared" si="11"/>
        <v>OK</v>
      </c>
      <c r="P198" t="s">
        <v>55</v>
      </c>
      <c r="Q198" t="s">
        <v>1023</v>
      </c>
      <c r="R198" t="s">
        <v>1024</v>
      </c>
      <c r="S198" t="s">
        <v>1024</v>
      </c>
      <c r="T198" t="s">
        <v>1024</v>
      </c>
      <c r="U198" t="s">
        <v>1023</v>
      </c>
      <c r="V198" t="s">
        <v>1024</v>
      </c>
      <c r="W198" t="s">
        <v>983</v>
      </c>
      <c r="X198">
        <v>0</v>
      </c>
    </row>
    <row r="199" spans="1:24" x14ac:dyDescent="0.3">
      <c r="A199" s="55" t="str">
        <f t="shared" si="12"/>
        <v>INSTRUMENT_INTRNL_SGMNT_IFRS9</v>
      </c>
      <c r="B199" t="s">
        <v>659</v>
      </c>
      <c r="C199" t="s">
        <v>283</v>
      </c>
      <c r="D199" t="s">
        <v>0</v>
      </c>
      <c r="E199" t="s">
        <v>24</v>
      </c>
      <c r="F199" t="s">
        <v>53</v>
      </c>
      <c r="G199" t="s">
        <v>54</v>
      </c>
      <c r="I199" t="s">
        <v>7</v>
      </c>
      <c r="J199" s="15">
        <v>45450</v>
      </c>
      <c r="K199" t="s">
        <v>24</v>
      </c>
      <c r="L199" t="str">
        <f t="shared" si="11"/>
        <v>OK</v>
      </c>
      <c r="M199" t="s">
        <v>866</v>
      </c>
      <c r="P199" t="s">
        <v>55</v>
      </c>
      <c r="Q199" t="s">
        <v>1023</v>
      </c>
      <c r="R199" t="s">
        <v>1024</v>
      </c>
      <c r="S199" t="s">
        <v>1024</v>
      </c>
      <c r="T199" t="s">
        <v>1024</v>
      </c>
      <c r="U199" t="s">
        <v>1024</v>
      </c>
      <c r="V199" t="s">
        <v>1024</v>
      </c>
      <c r="W199" t="s">
        <v>983</v>
      </c>
      <c r="X199">
        <v>0</v>
      </c>
    </row>
    <row r="200" spans="1:24" x14ac:dyDescent="0.3">
      <c r="A200" s="55" t="str">
        <f t="shared" si="12"/>
        <v>ENTITY_INTRNL_UNT</v>
      </c>
      <c r="B200" t="s">
        <v>867</v>
      </c>
      <c r="C200" t="s">
        <v>284</v>
      </c>
      <c r="D200" t="s">
        <v>1</v>
      </c>
      <c r="E200" t="s">
        <v>24</v>
      </c>
      <c r="F200" t="s">
        <v>53</v>
      </c>
      <c r="G200" t="s">
        <v>54</v>
      </c>
      <c r="I200" t="s">
        <v>7</v>
      </c>
      <c r="J200" s="15">
        <v>45450</v>
      </c>
      <c r="K200" t="s">
        <v>24</v>
      </c>
      <c r="L200" t="str">
        <f t="shared" si="11"/>
        <v>OK</v>
      </c>
      <c r="P200" t="s">
        <v>55</v>
      </c>
      <c r="Q200" t="s">
        <v>1023</v>
      </c>
      <c r="R200" t="s">
        <v>1024</v>
      </c>
      <c r="S200" t="s">
        <v>1024</v>
      </c>
      <c r="T200" t="s">
        <v>1024</v>
      </c>
      <c r="U200" t="s">
        <v>1024</v>
      </c>
      <c r="V200" t="s">
        <v>1023</v>
      </c>
      <c r="W200" t="s">
        <v>983</v>
      </c>
      <c r="X200" t="s">
        <v>1025</v>
      </c>
    </row>
    <row r="201" spans="1:24" x14ac:dyDescent="0.3">
      <c r="A201" s="55" t="str">
        <f t="shared" si="12"/>
        <v>INSTRUMENT_INTRNL_UNT</v>
      </c>
      <c r="B201" t="s">
        <v>659</v>
      </c>
      <c r="C201" t="s">
        <v>284</v>
      </c>
      <c r="D201" t="s">
        <v>1</v>
      </c>
      <c r="E201" t="s">
        <v>24</v>
      </c>
      <c r="F201" t="s">
        <v>53</v>
      </c>
      <c r="G201" t="s">
        <v>54</v>
      </c>
      <c r="I201" t="s">
        <v>7</v>
      </c>
      <c r="J201" s="15">
        <v>45450</v>
      </c>
      <c r="K201" t="s">
        <v>24</v>
      </c>
      <c r="L201" t="str">
        <f t="shared" si="11"/>
        <v>OK</v>
      </c>
      <c r="P201" t="s">
        <v>55</v>
      </c>
      <c r="Q201" t="s">
        <v>1023</v>
      </c>
      <c r="R201" t="s">
        <v>1024</v>
      </c>
      <c r="S201" t="s">
        <v>1024</v>
      </c>
      <c r="T201" t="s">
        <v>1024</v>
      </c>
      <c r="U201" t="s">
        <v>1024</v>
      </c>
      <c r="V201" t="s">
        <v>1023</v>
      </c>
      <c r="W201" t="s">
        <v>983</v>
      </c>
      <c r="X201" t="s">
        <v>1025</v>
      </c>
    </row>
    <row r="202" spans="1:24" x14ac:dyDescent="0.3">
      <c r="A202" s="55" t="str">
        <f t="shared" si="12"/>
        <v>INSTRUMENT_INTRST_RT_RST_FRQNCY</v>
      </c>
      <c r="B202" t="s">
        <v>659</v>
      </c>
      <c r="C202" t="s">
        <v>285</v>
      </c>
      <c r="D202" t="s">
        <v>1</v>
      </c>
      <c r="E202" t="s">
        <v>24</v>
      </c>
      <c r="F202" t="s">
        <v>53</v>
      </c>
      <c r="G202" t="s">
        <v>54</v>
      </c>
      <c r="I202" t="s">
        <v>7</v>
      </c>
      <c r="J202" s="15">
        <v>45450</v>
      </c>
      <c r="K202" t="s">
        <v>24</v>
      </c>
      <c r="L202" t="str">
        <f t="shared" si="11"/>
        <v>OK</v>
      </c>
      <c r="P202" t="s">
        <v>55</v>
      </c>
      <c r="Q202" t="s">
        <v>1023</v>
      </c>
      <c r="R202" t="s">
        <v>1024</v>
      </c>
      <c r="S202" t="s">
        <v>1024</v>
      </c>
      <c r="T202" t="s">
        <v>1024</v>
      </c>
      <c r="U202" t="s">
        <v>1024</v>
      </c>
      <c r="V202" t="s">
        <v>1024</v>
      </c>
      <c r="W202" t="s">
        <v>983</v>
      </c>
      <c r="X202">
        <v>0</v>
      </c>
    </row>
    <row r="203" spans="1:24" x14ac:dyDescent="0.3">
      <c r="A203" s="55" t="str">
        <f t="shared" si="12"/>
        <v>INSTRUMENT_ISIN</v>
      </c>
      <c r="B203" t="s">
        <v>659</v>
      </c>
      <c r="C203" t="s">
        <v>286</v>
      </c>
      <c r="D203" t="s">
        <v>0</v>
      </c>
      <c r="E203" t="s">
        <v>24</v>
      </c>
      <c r="F203" t="s">
        <v>53</v>
      </c>
      <c r="G203" t="s">
        <v>54</v>
      </c>
      <c r="I203" t="s">
        <v>7</v>
      </c>
      <c r="J203" s="15">
        <v>45450</v>
      </c>
      <c r="K203" t="s">
        <v>24</v>
      </c>
      <c r="L203" t="str">
        <f t="shared" si="11"/>
        <v>OK</v>
      </c>
      <c r="P203" t="s">
        <v>55</v>
      </c>
      <c r="Q203" t="s">
        <v>1023</v>
      </c>
      <c r="R203" t="s">
        <v>1024</v>
      </c>
      <c r="S203" t="s">
        <v>1024</v>
      </c>
      <c r="T203" t="s">
        <v>1024</v>
      </c>
      <c r="U203" t="s">
        <v>1024</v>
      </c>
      <c r="V203" t="s">
        <v>1024</v>
      </c>
      <c r="W203" t="s">
        <v>983</v>
      </c>
      <c r="X203">
        <v>0</v>
      </c>
    </row>
    <row r="204" spans="1:24" x14ac:dyDescent="0.3">
      <c r="A204" s="55" t="str">
        <f t="shared" si="12"/>
        <v>INSTRUMENT_ISIN_SCRTSTN</v>
      </c>
      <c r="B204" t="s">
        <v>659</v>
      </c>
      <c r="C204" t="s">
        <v>287</v>
      </c>
      <c r="D204" t="s">
        <v>0</v>
      </c>
      <c r="E204" t="s">
        <v>24</v>
      </c>
      <c r="F204" t="s">
        <v>53</v>
      </c>
      <c r="G204" t="s">
        <v>54</v>
      </c>
      <c r="I204" t="s">
        <v>7</v>
      </c>
      <c r="J204" s="15">
        <v>45450</v>
      </c>
      <c r="K204" t="s">
        <v>24</v>
      </c>
      <c r="L204" t="str">
        <f t="shared" si="11"/>
        <v>OK</v>
      </c>
      <c r="P204" t="s">
        <v>55</v>
      </c>
      <c r="Q204" t="s">
        <v>1023</v>
      </c>
      <c r="R204" t="s">
        <v>1024</v>
      </c>
      <c r="S204" t="s">
        <v>1024</v>
      </c>
      <c r="T204" t="s">
        <v>1024</v>
      </c>
      <c r="U204" t="s">
        <v>1024</v>
      </c>
      <c r="V204" t="s">
        <v>1024</v>
      </c>
      <c r="W204" t="s">
        <v>983</v>
      </c>
      <c r="X204">
        <v>0</v>
      </c>
    </row>
    <row r="205" spans="1:24" x14ac:dyDescent="0.3">
      <c r="A205" s="55" t="str">
        <f t="shared" si="12"/>
        <v>INSTRUMENT_ISSR_CNTRY</v>
      </c>
      <c r="B205" t="s">
        <v>659</v>
      </c>
      <c r="C205" t="s">
        <v>288</v>
      </c>
      <c r="D205" t="s">
        <v>0</v>
      </c>
      <c r="E205" t="s">
        <v>24</v>
      </c>
      <c r="F205" t="s">
        <v>53</v>
      </c>
      <c r="G205" t="s">
        <v>54</v>
      </c>
      <c r="I205" t="s">
        <v>7</v>
      </c>
      <c r="J205" s="15">
        <v>45450</v>
      </c>
      <c r="K205" t="s">
        <v>24</v>
      </c>
      <c r="L205" t="str">
        <f t="shared" si="11"/>
        <v>OK</v>
      </c>
      <c r="P205" t="s">
        <v>55</v>
      </c>
      <c r="Q205" t="s">
        <v>1023</v>
      </c>
      <c r="R205" t="s">
        <v>1024</v>
      </c>
      <c r="S205" t="s">
        <v>1023</v>
      </c>
      <c r="T205" t="s">
        <v>1024</v>
      </c>
      <c r="U205" t="s">
        <v>1024</v>
      </c>
      <c r="V205" t="s">
        <v>1024</v>
      </c>
      <c r="W205" t="s">
        <v>983</v>
      </c>
      <c r="X205">
        <v>0</v>
      </c>
    </row>
    <row r="206" spans="1:24" x14ac:dyDescent="0.3">
      <c r="A206" s="55" t="str">
        <f t="shared" si="12"/>
        <v>INSTRUMENT_ISSR_ESA_2010</v>
      </c>
      <c r="B206" t="s">
        <v>659</v>
      </c>
      <c r="C206" t="s">
        <v>289</v>
      </c>
      <c r="D206" t="s">
        <v>0</v>
      </c>
      <c r="E206" t="s">
        <v>21</v>
      </c>
      <c r="F206" t="s">
        <v>67</v>
      </c>
      <c r="G206" t="s">
        <v>78</v>
      </c>
      <c r="I206" t="s">
        <v>11</v>
      </c>
      <c r="J206" s="15">
        <v>45450</v>
      </c>
      <c r="K206" t="s">
        <v>21</v>
      </c>
      <c r="L206" t="str">
        <f t="shared" si="11"/>
        <v>NOK</v>
      </c>
      <c r="P206" t="s">
        <v>9</v>
      </c>
      <c r="Q206" t="s">
        <v>1023</v>
      </c>
      <c r="R206" t="s">
        <v>1024</v>
      </c>
      <c r="S206" t="s">
        <v>1024</v>
      </c>
      <c r="T206" t="s">
        <v>1024</v>
      </c>
      <c r="U206" t="s">
        <v>1024</v>
      </c>
      <c r="V206" t="s">
        <v>1024</v>
      </c>
      <c r="W206" t="s">
        <v>983</v>
      </c>
      <c r="X206">
        <v>0</v>
      </c>
    </row>
    <row r="207" spans="1:24" x14ac:dyDescent="0.3">
      <c r="A207" s="55" t="str">
        <f t="shared" si="12"/>
        <v>INSTRUMENT_ISSR_ID</v>
      </c>
      <c r="B207" t="s">
        <v>659</v>
      </c>
      <c r="C207" t="s">
        <v>290</v>
      </c>
      <c r="D207" t="s">
        <v>0</v>
      </c>
      <c r="E207" t="s">
        <v>24</v>
      </c>
      <c r="F207" t="s">
        <v>53</v>
      </c>
      <c r="G207" t="s">
        <v>54</v>
      </c>
      <c r="I207" t="s">
        <v>7</v>
      </c>
      <c r="J207" s="15">
        <v>45450</v>
      </c>
      <c r="K207" t="s">
        <v>24</v>
      </c>
      <c r="L207" t="str">
        <f t="shared" si="11"/>
        <v>OK</v>
      </c>
      <c r="P207" t="s">
        <v>55</v>
      </c>
      <c r="Q207" t="s">
        <v>1023</v>
      </c>
      <c r="R207" t="s">
        <v>1024</v>
      </c>
      <c r="S207" t="s">
        <v>1024</v>
      </c>
      <c r="T207" t="s">
        <v>1024</v>
      </c>
      <c r="U207" t="s">
        <v>1024</v>
      </c>
      <c r="V207" t="s">
        <v>1024</v>
      </c>
      <c r="W207" t="s">
        <v>983</v>
      </c>
      <c r="X207">
        <v>0</v>
      </c>
    </row>
    <row r="208" spans="1:24" x14ac:dyDescent="0.3">
      <c r="A208" s="55" t="str">
        <f t="shared" si="12"/>
        <v>INSTRUMENT_ISSR_ID_TYP</v>
      </c>
      <c r="B208" t="s">
        <v>659</v>
      </c>
      <c r="C208" t="s">
        <v>291</v>
      </c>
      <c r="D208" t="s">
        <v>0</v>
      </c>
      <c r="E208" t="s">
        <v>24</v>
      </c>
      <c r="F208" t="s">
        <v>53</v>
      </c>
      <c r="G208" t="s">
        <v>54</v>
      </c>
      <c r="I208" t="s">
        <v>7</v>
      </c>
      <c r="J208" s="15">
        <v>45450</v>
      </c>
      <c r="K208" t="s">
        <v>24</v>
      </c>
      <c r="L208" t="str">
        <f t="shared" si="11"/>
        <v>OK</v>
      </c>
      <c r="P208" t="s">
        <v>55</v>
      </c>
      <c r="Q208" t="s">
        <v>1023</v>
      </c>
      <c r="R208" t="s">
        <v>1024</v>
      </c>
      <c r="S208" t="s">
        <v>1024</v>
      </c>
      <c r="T208" t="s">
        <v>1024</v>
      </c>
      <c r="U208" t="s">
        <v>1024</v>
      </c>
      <c r="V208" t="s">
        <v>1024</v>
      </c>
      <c r="W208" t="s">
        <v>983</v>
      </c>
      <c r="X208">
        <v>0</v>
      </c>
    </row>
    <row r="209" spans="1:24" x14ac:dyDescent="0.3">
      <c r="A209" s="55" t="str">
        <f t="shared" si="12"/>
        <v>INSTRUMENT_ISSR_NACE_SCTR</v>
      </c>
      <c r="B209" t="s">
        <v>659</v>
      </c>
      <c r="C209" t="s">
        <v>292</v>
      </c>
      <c r="D209" t="s">
        <v>0</v>
      </c>
      <c r="E209" t="s">
        <v>24</v>
      </c>
      <c r="F209" t="s">
        <v>53</v>
      </c>
      <c r="G209" t="s">
        <v>54</v>
      </c>
      <c r="I209" t="s">
        <v>7</v>
      </c>
      <c r="J209" s="15">
        <v>45450</v>
      </c>
      <c r="K209" t="s">
        <v>24</v>
      </c>
      <c r="L209" t="str">
        <f t="shared" si="11"/>
        <v>OK</v>
      </c>
      <c r="P209" t="s">
        <v>55</v>
      </c>
      <c r="Q209" t="s">
        <v>1023</v>
      </c>
      <c r="R209" t="s">
        <v>1024</v>
      </c>
      <c r="S209" t="s">
        <v>1023</v>
      </c>
      <c r="T209" t="s">
        <v>1024</v>
      </c>
      <c r="U209" t="s">
        <v>1024</v>
      </c>
      <c r="V209" t="s">
        <v>1024</v>
      </c>
      <c r="W209" t="s">
        <v>983</v>
      </c>
      <c r="X209">
        <v>0</v>
      </c>
    </row>
    <row r="210" spans="1:24" x14ac:dyDescent="0.3">
      <c r="A210" s="55" t="str">
        <f t="shared" si="12"/>
        <v>INSTRUMENT_ISSR_RTNG</v>
      </c>
      <c r="B210" t="s">
        <v>659</v>
      </c>
      <c r="C210" t="s">
        <v>293</v>
      </c>
      <c r="D210" t="s">
        <v>0</v>
      </c>
      <c r="E210" t="s">
        <v>23</v>
      </c>
      <c r="F210" t="s">
        <v>53</v>
      </c>
      <c r="G210" t="s">
        <v>84</v>
      </c>
      <c r="I210" t="s">
        <v>7</v>
      </c>
      <c r="J210" s="15">
        <v>45450</v>
      </c>
      <c r="K210" t="s">
        <v>23</v>
      </c>
      <c r="L210" t="str">
        <f t="shared" si="11"/>
        <v>OK</v>
      </c>
      <c r="P210" t="s">
        <v>20</v>
      </c>
      <c r="Q210" t="s">
        <v>1023</v>
      </c>
      <c r="R210" t="s">
        <v>1024</v>
      </c>
      <c r="S210" t="s">
        <v>1024</v>
      </c>
      <c r="T210" t="s">
        <v>1024</v>
      </c>
      <c r="U210" t="s">
        <v>1024</v>
      </c>
      <c r="V210" t="s">
        <v>1024</v>
      </c>
      <c r="W210" t="s">
        <v>983</v>
      </c>
      <c r="X210">
        <v>0</v>
      </c>
    </row>
    <row r="211" spans="1:24" x14ac:dyDescent="0.3">
      <c r="A211" s="55" t="str">
        <f t="shared" si="12"/>
        <v>INSTRUMENT_ISSR_RTNG_SRC</v>
      </c>
      <c r="B211" t="s">
        <v>659</v>
      </c>
      <c r="C211" t="s">
        <v>294</v>
      </c>
      <c r="D211" t="s">
        <v>0</v>
      </c>
      <c r="E211" t="s">
        <v>23</v>
      </c>
      <c r="F211" t="s">
        <v>53</v>
      </c>
      <c r="G211" t="s">
        <v>84</v>
      </c>
      <c r="I211" t="s">
        <v>7</v>
      </c>
      <c r="J211" s="15">
        <v>45450</v>
      </c>
      <c r="K211" t="s">
        <v>23</v>
      </c>
      <c r="L211" t="str">
        <f t="shared" si="11"/>
        <v>OK</v>
      </c>
      <c r="P211" t="s">
        <v>20</v>
      </c>
      <c r="Q211" t="s">
        <v>1023</v>
      </c>
      <c r="R211" t="s">
        <v>1024</v>
      </c>
      <c r="S211" t="s">
        <v>1024</v>
      </c>
      <c r="T211" t="s">
        <v>1024</v>
      </c>
      <c r="U211" t="s">
        <v>1024</v>
      </c>
      <c r="V211" t="s">
        <v>1024</v>
      </c>
      <c r="W211" t="s">
        <v>983</v>
      </c>
      <c r="X211">
        <v>0</v>
      </c>
    </row>
    <row r="212" spans="1:24" x14ac:dyDescent="0.3">
      <c r="A212" s="55" t="str">
        <f t="shared" si="12"/>
        <v>INSTRUMENT_ISSR_TYP</v>
      </c>
      <c r="B212" t="s">
        <v>659</v>
      </c>
      <c r="C212" t="s">
        <v>295</v>
      </c>
      <c r="D212" t="s">
        <v>0</v>
      </c>
      <c r="E212" t="s">
        <v>24</v>
      </c>
      <c r="F212" t="s">
        <v>53</v>
      </c>
      <c r="G212" t="s">
        <v>54</v>
      </c>
      <c r="I212" t="s">
        <v>7</v>
      </c>
      <c r="J212" s="15">
        <v>45450</v>
      </c>
      <c r="K212" t="s">
        <v>24</v>
      </c>
      <c r="L212" t="str">
        <f t="shared" si="11"/>
        <v>OK</v>
      </c>
      <c r="P212" t="s">
        <v>55</v>
      </c>
      <c r="Q212" t="s">
        <v>1023</v>
      </c>
      <c r="R212" t="s">
        <v>1024</v>
      </c>
      <c r="S212" t="s">
        <v>1024</v>
      </c>
      <c r="T212" t="s">
        <v>1024</v>
      </c>
      <c r="U212" t="s">
        <v>1024</v>
      </c>
      <c r="V212" t="s">
        <v>1024</v>
      </c>
      <c r="W212" t="s">
        <v>983</v>
      </c>
      <c r="X212">
        <v>0</v>
      </c>
    </row>
    <row r="213" spans="1:24" x14ac:dyDescent="0.3">
      <c r="A213" s="55" t="str">
        <f t="shared" si="12"/>
        <v>INSTR_ENTITY_JNT_LBLTY_AMNT</v>
      </c>
      <c r="B213" t="s">
        <v>868</v>
      </c>
      <c r="C213" t="s">
        <v>296</v>
      </c>
      <c r="D213" t="s">
        <v>1</v>
      </c>
      <c r="E213" t="s">
        <v>24</v>
      </c>
      <c r="F213" t="s">
        <v>53</v>
      </c>
      <c r="G213" t="s">
        <v>54</v>
      </c>
      <c r="I213" t="s">
        <v>7</v>
      </c>
      <c r="J213" s="15">
        <v>45450</v>
      </c>
      <c r="K213" t="s">
        <v>24</v>
      </c>
      <c r="L213" t="str">
        <f t="shared" si="11"/>
        <v>OK</v>
      </c>
      <c r="P213" t="s">
        <v>55</v>
      </c>
      <c r="Q213" t="s">
        <v>1023</v>
      </c>
      <c r="R213" t="s">
        <v>1024</v>
      </c>
      <c r="S213" t="s">
        <v>1024</v>
      </c>
      <c r="T213" t="s">
        <v>1024</v>
      </c>
      <c r="U213" t="s">
        <v>1024</v>
      </c>
      <c r="V213" t="s">
        <v>1023</v>
      </c>
      <c r="W213" t="s">
        <v>983</v>
      </c>
      <c r="X213" t="s">
        <v>1025</v>
      </c>
    </row>
    <row r="214" spans="1:24" x14ac:dyDescent="0.3">
      <c r="A214" s="55" t="str">
        <f t="shared" si="12"/>
        <v>INSTRUMENT_LCL_INSTMRNT_ID</v>
      </c>
      <c r="B214" t="s">
        <v>659</v>
      </c>
      <c r="C214" t="s">
        <v>297</v>
      </c>
      <c r="D214" t="s">
        <v>0</v>
      </c>
      <c r="E214" t="s">
        <v>21</v>
      </c>
      <c r="F214" t="s">
        <v>67</v>
      </c>
      <c r="G214" t="s">
        <v>78</v>
      </c>
      <c r="I214" t="s">
        <v>11</v>
      </c>
      <c r="J214" s="15">
        <v>45450</v>
      </c>
      <c r="K214" t="s">
        <v>21</v>
      </c>
      <c r="L214" t="str">
        <f t="shared" si="11"/>
        <v>NOK</v>
      </c>
      <c r="P214" t="s">
        <v>9</v>
      </c>
      <c r="Q214" t="s">
        <v>1023</v>
      </c>
      <c r="R214" t="s">
        <v>1023</v>
      </c>
      <c r="S214" t="s">
        <v>1023</v>
      </c>
      <c r="T214" t="s">
        <v>1024</v>
      </c>
      <c r="U214" t="s">
        <v>1024</v>
      </c>
      <c r="V214" t="s">
        <v>1024</v>
      </c>
      <c r="W214" t="s">
        <v>983</v>
      </c>
      <c r="X214">
        <v>0</v>
      </c>
    </row>
    <row r="215" spans="1:24" x14ac:dyDescent="0.3">
      <c r="A215" s="55" t="str">
        <f t="shared" si="12"/>
        <v>INSTRUMENT_LCR_BFFR_CTGRY</v>
      </c>
      <c r="B215" t="s">
        <v>659</v>
      </c>
      <c r="C215" t="s">
        <v>298</v>
      </c>
      <c r="D215" t="s">
        <v>0</v>
      </c>
      <c r="E215" t="s">
        <v>24</v>
      </c>
      <c r="F215" t="s">
        <v>53</v>
      </c>
      <c r="G215" t="s">
        <v>54</v>
      </c>
      <c r="I215" t="s">
        <v>7</v>
      </c>
      <c r="J215" s="15">
        <v>45450</v>
      </c>
      <c r="K215" t="s">
        <v>24</v>
      </c>
      <c r="L215" t="str">
        <f t="shared" si="11"/>
        <v>OK</v>
      </c>
      <c r="P215" t="s">
        <v>55</v>
      </c>
      <c r="Q215" t="s">
        <v>1023</v>
      </c>
      <c r="R215" t="s">
        <v>1024</v>
      </c>
      <c r="S215" t="s">
        <v>1024</v>
      </c>
      <c r="T215" t="s">
        <v>1024</v>
      </c>
      <c r="U215" t="s">
        <v>1024</v>
      </c>
      <c r="V215" t="s">
        <v>1024</v>
      </c>
      <c r="W215" t="s">
        <v>983</v>
      </c>
      <c r="X215">
        <v>0</v>
      </c>
    </row>
    <row r="216" spans="1:24" x14ac:dyDescent="0.3">
      <c r="A216" s="55" t="str">
        <f t="shared" si="12"/>
        <v>INSTRUMENT_LCRE</v>
      </c>
      <c r="B216" t="s">
        <v>659</v>
      </c>
      <c r="C216" s="11" t="s">
        <v>299</v>
      </c>
      <c r="D216" t="s">
        <v>1</v>
      </c>
      <c r="E216" t="s">
        <v>14</v>
      </c>
      <c r="F216" t="s">
        <v>53</v>
      </c>
      <c r="G216" t="s">
        <v>74</v>
      </c>
      <c r="H216" t="s">
        <v>300</v>
      </c>
      <c r="I216" t="s">
        <v>15</v>
      </c>
      <c r="J216" s="15">
        <v>45450</v>
      </c>
      <c r="K216" t="s">
        <v>14</v>
      </c>
      <c r="L216" t="str">
        <f t="shared" si="11"/>
        <v>OK</v>
      </c>
      <c r="P216" t="s">
        <v>25</v>
      </c>
      <c r="Q216" t="s">
        <v>1023</v>
      </c>
      <c r="R216" t="s">
        <v>1024</v>
      </c>
      <c r="S216" t="s">
        <v>1024</v>
      </c>
      <c r="T216" t="s">
        <v>1024</v>
      </c>
      <c r="U216" t="s">
        <v>1024</v>
      </c>
      <c r="V216" t="s">
        <v>1024</v>
      </c>
      <c r="W216" t="s">
        <v>983</v>
      </c>
      <c r="X216">
        <v>0</v>
      </c>
    </row>
    <row r="217" spans="1:24" x14ac:dyDescent="0.3">
      <c r="A217" s="55" t="str">
        <f t="shared" si="12"/>
        <v>ENTITY_LEI</v>
      </c>
      <c r="B217" t="s">
        <v>867</v>
      </c>
      <c r="C217" t="s">
        <v>301</v>
      </c>
      <c r="D217" t="s">
        <v>1</v>
      </c>
      <c r="E217" t="s">
        <v>24</v>
      </c>
      <c r="F217" t="s">
        <v>53</v>
      </c>
      <c r="G217" t="s">
        <v>54</v>
      </c>
      <c r="I217" t="s">
        <v>7</v>
      </c>
      <c r="J217" s="15">
        <v>45450</v>
      </c>
      <c r="K217" t="s">
        <v>24</v>
      </c>
      <c r="L217" t="str">
        <f t="shared" si="11"/>
        <v>OK</v>
      </c>
      <c r="P217" t="s">
        <v>55</v>
      </c>
      <c r="Q217" t="s">
        <v>1023</v>
      </c>
      <c r="R217" t="s">
        <v>1024</v>
      </c>
      <c r="S217" t="s">
        <v>1023</v>
      </c>
      <c r="T217" t="s">
        <v>1024</v>
      </c>
      <c r="U217" t="s">
        <v>1024</v>
      </c>
      <c r="V217" t="s">
        <v>1023</v>
      </c>
      <c r="W217" t="s">
        <v>983</v>
      </c>
      <c r="X217" t="s">
        <v>1025</v>
      </c>
    </row>
    <row r="218" spans="1:24" x14ac:dyDescent="0.3">
      <c r="A218" s="55" t="str">
        <f t="shared" si="12"/>
        <v>INSTRUMENT_LGD</v>
      </c>
      <c r="B218" t="s">
        <v>659</v>
      </c>
      <c r="C218" t="s">
        <v>302</v>
      </c>
      <c r="D218" t="s">
        <v>1</v>
      </c>
      <c r="E218" t="s">
        <v>24</v>
      </c>
      <c r="F218" t="s">
        <v>53</v>
      </c>
      <c r="G218" t="s">
        <v>54</v>
      </c>
      <c r="I218" t="s">
        <v>7</v>
      </c>
      <c r="J218" s="15">
        <v>45450</v>
      </c>
      <c r="K218" t="s">
        <v>24</v>
      </c>
      <c r="L218" t="str">
        <f t="shared" si="11"/>
        <v>OK</v>
      </c>
      <c r="P218" t="s">
        <v>55</v>
      </c>
      <c r="Q218" t="s">
        <v>1023</v>
      </c>
      <c r="R218" t="s">
        <v>1024</v>
      </c>
      <c r="S218" t="s">
        <v>1024</v>
      </c>
      <c r="T218" t="s">
        <v>1024</v>
      </c>
      <c r="U218" t="s">
        <v>1024</v>
      </c>
      <c r="V218" t="s">
        <v>1023</v>
      </c>
      <c r="W218" t="s">
        <v>983</v>
      </c>
      <c r="X218" t="s">
        <v>1025</v>
      </c>
    </row>
    <row r="219" spans="1:24" x14ac:dyDescent="0.3">
      <c r="A219" s="55" t="str">
        <f t="shared" si="12"/>
        <v>INSTRUMENT_LGL_PRCDNG_STTS</v>
      </c>
      <c r="B219" t="s">
        <v>659</v>
      </c>
      <c r="C219" t="s">
        <v>303</v>
      </c>
      <c r="D219" t="s">
        <v>1</v>
      </c>
      <c r="E219" t="s">
        <v>24</v>
      </c>
      <c r="F219" t="s">
        <v>53</v>
      </c>
      <c r="G219" t="s">
        <v>54</v>
      </c>
      <c r="I219" t="s">
        <v>7</v>
      </c>
      <c r="J219" s="15">
        <v>45450</v>
      </c>
      <c r="K219" t="s">
        <v>24</v>
      </c>
      <c r="L219" t="str">
        <f t="shared" si="11"/>
        <v>OK</v>
      </c>
      <c r="P219" t="s">
        <v>55</v>
      </c>
      <c r="Q219" t="s">
        <v>1023</v>
      </c>
      <c r="R219" t="s">
        <v>1024</v>
      </c>
      <c r="S219" t="s">
        <v>1024</v>
      </c>
      <c r="T219" t="s">
        <v>1024</v>
      </c>
      <c r="U219" t="s">
        <v>1024</v>
      </c>
      <c r="V219" t="s">
        <v>1024</v>
      </c>
      <c r="W219" t="s">
        <v>983</v>
      </c>
      <c r="X219">
        <v>0</v>
      </c>
    </row>
    <row r="220" spans="1:24" x14ac:dyDescent="0.3">
      <c r="A220" s="55" t="str">
        <f t="shared" si="12"/>
        <v>ENTITY_LGL_PRCDNG_STTS_LE</v>
      </c>
      <c r="B220" t="s">
        <v>867</v>
      </c>
      <c r="C220" t="s">
        <v>304</v>
      </c>
      <c r="D220" t="s">
        <v>1</v>
      </c>
      <c r="E220" t="s">
        <v>21</v>
      </c>
      <c r="F220" t="s">
        <v>67</v>
      </c>
      <c r="G220" t="s">
        <v>78</v>
      </c>
      <c r="I220" t="s">
        <v>11</v>
      </c>
      <c r="J220" s="15">
        <v>45450</v>
      </c>
      <c r="K220" t="s">
        <v>21</v>
      </c>
      <c r="L220" t="str">
        <f t="shared" si="11"/>
        <v>NOK</v>
      </c>
      <c r="P220" t="s">
        <v>9</v>
      </c>
      <c r="Q220" t="s">
        <v>1023</v>
      </c>
      <c r="R220" t="s">
        <v>1024</v>
      </c>
      <c r="S220" t="s">
        <v>1024</v>
      </c>
      <c r="T220" t="s">
        <v>1024</v>
      </c>
      <c r="U220" t="s">
        <v>1024</v>
      </c>
      <c r="V220" t="s">
        <v>1023</v>
      </c>
      <c r="W220" t="s">
        <v>1022</v>
      </c>
      <c r="X220" t="s">
        <v>1029</v>
      </c>
    </row>
    <row r="221" spans="1:24" x14ac:dyDescent="0.3">
      <c r="A221" s="55" t="str">
        <f t="shared" si="12"/>
        <v>INSTRUMENT_LND_DRGTN</v>
      </c>
      <c r="B221" t="s">
        <v>659</v>
      </c>
      <c r="C221" t="s">
        <v>305</v>
      </c>
      <c r="D221" t="s">
        <v>0</v>
      </c>
      <c r="E221" t="s">
        <v>24</v>
      </c>
      <c r="F221" t="s">
        <v>53</v>
      </c>
      <c r="G221" t="s">
        <v>54</v>
      </c>
      <c r="I221" t="s">
        <v>7</v>
      </c>
      <c r="J221" s="15">
        <v>45450</v>
      </c>
      <c r="K221" t="s">
        <v>24</v>
      </c>
      <c r="L221" t="str">
        <f t="shared" ref="L221:L245" si="13">F221</f>
        <v>OK</v>
      </c>
      <c r="P221" t="s">
        <v>55</v>
      </c>
      <c r="Q221" t="s">
        <v>1023</v>
      </c>
      <c r="R221" t="s">
        <v>1024</v>
      </c>
      <c r="S221" t="s">
        <v>1024</v>
      </c>
      <c r="T221" t="s">
        <v>1024</v>
      </c>
      <c r="U221" t="s">
        <v>1024</v>
      </c>
      <c r="V221" t="s">
        <v>1024</v>
      </c>
      <c r="W221" t="s">
        <v>983</v>
      </c>
      <c r="X221">
        <v>0</v>
      </c>
    </row>
    <row r="222" spans="1:24" x14ac:dyDescent="0.3">
      <c r="A222" s="55" t="str">
        <f t="shared" si="12"/>
        <v>INSTRUMENT_LSTI</v>
      </c>
      <c r="B222" t="s">
        <v>659</v>
      </c>
      <c r="C222" t="s">
        <v>306</v>
      </c>
      <c r="D222" t="s">
        <v>0</v>
      </c>
      <c r="E222" t="s">
        <v>6</v>
      </c>
      <c r="F222" t="s">
        <v>53</v>
      </c>
      <c r="G222" t="s">
        <v>96</v>
      </c>
      <c r="I222" t="s">
        <v>11</v>
      </c>
      <c r="J222" s="15">
        <v>45450</v>
      </c>
      <c r="K222" t="s">
        <v>6</v>
      </c>
      <c r="L222" t="str">
        <f t="shared" si="13"/>
        <v>OK</v>
      </c>
      <c r="P222" t="s">
        <v>17</v>
      </c>
      <c r="Q222" t="s">
        <v>1023</v>
      </c>
      <c r="R222" t="s">
        <v>1024</v>
      </c>
      <c r="S222" t="s">
        <v>1024</v>
      </c>
      <c r="T222" t="s">
        <v>1024</v>
      </c>
      <c r="U222" t="s">
        <v>1024</v>
      </c>
      <c r="V222" t="s">
        <v>1024</v>
      </c>
      <c r="W222" t="s">
        <v>983</v>
      </c>
      <c r="X222">
        <v>0</v>
      </c>
    </row>
    <row r="223" spans="1:24" x14ac:dyDescent="0.3">
      <c r="A223" s="55" t="str">
        <f t="shared" si="12"/>
        <v>ENTITY_LTI</v>
      </c>
      <c r="B223" t="s">
        <v>867</v>
      </c>
      <c r="C223" t="s">
        <v>307</v>
      </c>
      <c r="D223" t="s">
        <v>0</v>
      </c>
      <c r="E223" t="s">
        <v>6</v>
      </c>
      <c r="F223" t="s">
        <v>67</v>
      </c>
      <c r="G223" t="s">
        <v>268</v>
      </c>
      <c r="I223" t="s">
        <v>11</v>
      </c>
      <c r="J223" s="15">
        <v>45450</v>
      </c>
      <c r="K223" t="s">
        <v>6</v>
      </c>
      <c r="L223" t="str">
        <f t="shared" si="13"/>
        <v>NOK</v>
      </c>
      <c r="P223" t="s">
        <v>13</v>
      </c>
      <c r="Q223" t="s">
        <v>1023</v>
      </c>
      <c r="R223" t="s">
        <v>1024</v>
      </c>
      <c r="S223" t="s">
        <v>1024</v>
      </c>
      <c r="T223" t="s">
        <v>1024</v>
      </c>
      <c r="U223" t="s">
        <v>1024</v>
      </c>
      <c r="V223" t="s">
        <v>1024</v>
      </c>
      <c r="W223" t="s">
        <v>983</v>
      </c>
      <c r="X223">
        <v>0</v>
      </c>
    </row>
    <row r="224" spans="1:24" x14ac:dyDescent="0.3">
      <c r="A224" s="55" t="str">
        <f t="shared" si="12"/>
        <v>INSTRUMENT_LTI_INSTRMNT</v>
      </c>
      <c r="B224" t="s">
        <v>659</v>
      </c>
      <c r="C224" t="s">
        <v>308</v>
      </c>
      <c r="D224" t="s">
        <v>0</v>
      </c>
      <c r="E224" t="s">
        <v>6</v>
      </c>
      <c r="F224" t="s">
        <v>53</v>
      </c>
      <c r="G224" t="s">
        <v>96</v>
      </c>
      <c r="I224" t="s">
        <v>11</v>
      </c>
      <c r="J224" s="15">
        <v>45450</v>
      </c>
      <c r="K224" t="s">
        <v>6</v>
      </c>
      <c r="L224" t="str">
        <f t="shared" si="13"/>
        <v>OK</v>
      </c>
      <c r="P224" t="s">
        <v>17</v>
      </c>
      <c r="Q224" t="s">
        <v>1023</v>
      </c>
      <c r="R224" t="s">
        <v>1024</v>
      </c>
      <c r="S224" t="s">
        <v>1024</v>
      </c>
      <c r="T224" t="s">
        <v>1024</v>
      </c>
      <c r="U224" t="s">
        <v>1024</v>
      </c>
      <c r="V224" t="s">
        <v>1024</v>
      </c>
      <c r="W224" t="s">
        <v>983</v>
      </c>
      <c r="X224">
        <v>0</v>
      </c>
    </row>
    <row r="225" spans="1:24" x14ac:dyDescent="0.3">
      <c r="A225" s="55" t="str">
        <f t="shared" si="12"/>
        <v>INSTRUMENT_LTV</v>
      </c>
      <c r="B225" t="s">
        <v>659</v>
      </c>
      <c r="C225" t="s">
        <v>309</v>
      </c>
      <c r="D225" t="s">
        <v>1</v>
      </c>
      <c r="E225" t="s">
        <v>21</v>
      </c>
      <c r="F225" t="s">
        <v>67</v>
      </c>
      <c r="G225" t="s">
        <v>78</v>
      </c>
      <c r="I225" t="s">
        <v>11</v>
      </c>
      <c r="J225" s="15">
        <v>45450</v>
      </c>
      <c r="K225" t="s">
        <v>21</v>
      </c>
      <c r="L225" t="str">
        <f t="shared" si="13"/>
        <v>NOK</v>
      </c>
      <c r="P225" t="s">
        <v>9</v>
      </c>
      <c r="Q225" t="s">
        <v>1023</v>
      </c>
      <c r="R225" t="s">
        <v>1024</v>
      </c>
      <c r="S225" t="s">
        <v>1023</v>
      </c>
      <c r="T225" t="s">
        <v>1024</v>
      </c>
      <c r="U225" t="s">
        <v>1024</v>
      </c>
      <c r="V225" t="s">
        <v>1024</v>
      </c>
      <c r="W225" t="s">
        <v>983</v>
      </c>
      <c r="X225">
        <v>0</v>
      </c>
    </row>
    <row r="226" spans="1:24" x14ac:dyDescent="0.3">
      <c r="A226" s="55" t="str">
        <f t="shared" si="12"/>
        <v>INSTRUMENT_LTV_INCPTN</v>
      </c>
      <c r="B226" t="s">
        <v>659</v>
      </c>
      <c r="C226" t="s">
        <v>310</v>
      </c>
      <c r="D226" t="s">
        <v>1</v>
      </c>
      <c r="E226" t="s">
        <v>24</v>
      </c>
      <c r="F226" t="s">
        <v>53</v>
      </c>
      <c r="G226" t="s">
        <v>54</v>
      </c>
      <c r="I226" t="s">
        <v>7</v>
      </c>
      <c r="J226" s="15">
        <v>45450</v>
      </c>
      <c r="K226" t="s">
        <v>24</v>
      </c>
      <c r="L226" t="str">
        <f t="shared" si="13"/>
        <v>OK</v>
      </c>
      <c r="P226" t="s">
        <v>55</v>
      </c>
      <c r="Q226" t="s">
        <v>1023</v>
      </c>
      <c r="R226" t="s">
        <v>1024</v>
      </c>
      <c r="S226" t="s">
        <v>1023</v>
      </c>
      <c r="T226" t="s">
        <v>1024</v>
      </c>
      <c r="U226" t="s">
        <v>1024</v>
      </c>
      <c r="V226" t="s">
        <v>1024</v>
      </c>
      <c r="W226" t="s">
        <v>983</v>
      </c>
      <c r="X226">
        <v>0</v>
      </c>
    </row>
    <row r="227" spans="1:24" x14ac:dyDescent="0.3">
      <c r="A227" s="55" t="str">
        <f t="shared" si="12"/>
        <v>INSTRUMENT_LTV_NPE</v>
      </c>
      <c r="B227" t="s">
        <v>659</v>
      </c>
      <c r="C227" s="11" t="s">
        <v>311</v>
      </c>
      <c r="D227" t="s">
        <v>1</v>
      </c>
      <c r="E227" t="s">
        <v>831</v>
      </c>
      <c r="F227" t="s">
        <v>53</v>
      </c>
      <c r="G227" t="s">
        <v>139</v>
      </c>
      <c r="I227" t="s">
        <v>15</v>
      </c>
      <c r="J227" s="15">
        <v>45450</v>
      </c>
      <c r="K227" t="s">
        <v>831</v>
      </c>
      <c r="L227" t="str">
        <f t="shared" si="13"/>
        <v>OK</v>
      </c>
      <c r="N227" s="15">
        <v>44697</v>
      </c>
      <c r="O227" s="15">
        <v>44708</v>
      </c>
      <c r="P227" t="s">
        <v>25</v>
      </c>
      <c r="Q227" t="s">
        <v>1023</v>
      </c>
      <c r="R227" t="s">
        <v>1024</v>
      </c>
      <c r="S227" t="s">
        <v>1024</v>
      </c>
      <c r="T227" t="s">
        <v>1024</v>
      </c>
      <c r="U227" t="s">
        <v>1024</v>
      </c>
      <c r="V227" t="s">
        <v>1024</v>
      </c>
      <c r="W227" t="s">
        <v>983</v>
      </c>
      <c r="X227">
        <v>0</v>
      </c>
    </row>
    <row r="228" spans="1:24" x14ac:dyDescent="0.3">
      <c r="A228" s="55" t="str">
        <f t="shared" si="12"/>
        <v>ENTITY_LVRG</v>
      </c>
      <c r="B228" t="s">
        <v>867</v>
      </c>
      <c r="C228" t="s">
        <v>312</v>
      </c>
      <c r="D228" t="s">
        <v>1</v>
      </c>
      <c r="E228" t="s">
        <v>24</v>
      </c>
      <c r="F228" t="s">
        <v>53</v>
      </c>
      <c r="G228" t="s">
        <v>54</v>
      </c>
      <c r="I228" t="s">
        <v>7</v>
      </c>
      <c r="J228" s="15">
        <v>45450</v>
      </c>
      <c r="K228" t="s">
        <v>24</v>
      </c>
      <c r="L228" t="str">
        <f t="shared" si="13"/>
        <v>OK</v>
      </c>
      <c r="N228" s="15"/>
      <c r="O228" s="15"/>
      <c r="P228" t="s">
        <v>55</v>
      </c>
      <c r="Q228" t="s">
        <v>1023</v>
      </c>
      <c r="R228" t="s">
        <v>1024</v>
      </c>
      <c r="S228" t="s">
        <v>1024</v>
      </c>
      <c r="T228" t="s">
        <v>1024</v>
      </c>
      <c r="U228" t="s">
        <v>1024</v>
      </c>
      <c r="V228" t="s">
        <v>1023</v>
      </c>
      <c r="W228" t="s">
        <v>983</v>
      </c>
      <c r="X228" t="s">
        <v>1025</v>
      </c>
    </row>
    <row r="229" spans="1:24" x14ac:dyDescent="0.3">
      <c r="A229" s="55" t="str">
        <f t="shared" si="12"/>
        <v>INSTRUMENT_LVRG_FNNC_FLG</v>
      </c>
      <c r="B229" t="s">
        <v>659</v>
      </c>
      <c r="C229" t="s">
        <v>313</v>
      </c>
      <c r="D229" t="s">
        <v>0</v>
      </c>
      <c r="E229" t="s">
        <v>24</v>
      </c>
      <c r="F229" t="s">
        <v>53</v>
      </c>
      <c r="G229" t="s">
        <v>54</v>
      </c>
      <c r="I229" t="s">
        <v>7</v>
      </c>
      <c r="J229" s="15">
        <v>45450</v>
      </c>
      <c r="K229" t="s">
        <v>24</v>
      </c>
      <c r="L229" t="str">
        <f t="shared" si="13"/>
        <v>OK</v>
      </c>
      <c r="N229" s="15"/>
      <c r="O229" s="15"/>
      <c r="P229" t="s">
        <v>55</v>
      </c>
      <c r="Q229" t="s">
        <v>1023</v>
      </c>
      <c r="R229" t="s">
        <v>1024</v>
      </c>
      <c r="S229" t="s">
        <v>1024</v>
      </c>
      <c r="T229" t="s">
        <v>1024</v>
      </c>
      <c r="U229" t="s">
        <v>1024</v>
      </c>
      <c r="V229" t="s">
        <v>1023</v>
      </c>
      <c r="W229" t="s">
        <v>984</v>
      </c>
      <c r="X229" t="s">
        <v>1030</v>
      </c>
    </row>
    <row r="230" spans="1:24" x14ac:dyDescent="0.3">
      <c r="A230" s="55" t="str">
        <f t="shared" si="12"/>
        <v>ENTITY_LVRG_PRVS</v>
      </c>
      <c r="B230" t="s">
        <v>867</v>
      </c>
      <c r="C230" t="s">
        <v>314</v>
      </c>
      <c r="D230" t="s">
        <v>1</v>
      </c>
      <c r="E230" t="s">
        <v>24</v>
      </c>
      <c r="F230" t="s">
        <v>53</v>
      </c>
      <c r="G230" t="s">
        <v>54</v>
      </c>
      <c r="I230" t="s">
        <v>7</v>
      </c>
      <c r="J230" s="15">
        <v>45450</v>
      </c>
      <c r="K230" t="s">
        <v>24</v>
      </c>
      <c r="L230" t="str">
        <f t="shared" si="13"/>
        <v>OK</v>
      </c>
      <c r="N230" s="15"/>
      <c r="O230" s="15"/>
      <c r="P230" t="s">
        <v>55</v>
      </c>
      <c r="Q230" t="s">
        <v>1023</v>
      </c>
      <c r="R230" t="s">
        <v>1024</v>
      </c>
      <c r="S230" t="s">
        <v>1024</v>
      </c>
      <c r="T230" t="s">
        <v>1024</v>
      </c>
      <c r="U230" t="s">
        <v>1024</v>
      </c>
      <c r="V230" t="s">
        <v>1023</v>
      </c>
      <c r="W230" t="s">
        <v>983</v>
      </c>
      <c r="X230" t="s">
        <v>1025</v>
      </c>
    </row>
    <row r="231" spans="1:24" x14ac:dyDescent="0.3">
      <c r="A231" s="55" t="str">
        <f t="shared" si="12"/>
        <v>INSTR_ENTITY_MN_ENTTY_ID</v>
      </c>
      <c r="B231" t="s">
        <v>868</v>
      </c>
      <c r="C231" s="11" t="s">
        <v>315</v>
      </c>
      <c r="D231" t="s">
        <v>1</v>
      </c>
      <c r="E231" t="s">
        <v>832</v>
      </c>
      <c r="F231" t="s">
        <v>53</v>
      </c>
      <c r="G231" t="s">
        <v>316</v>
      </c>
      <c r="H231" t="s">
        <v>317</v>
      </c>
      <c r="I231" t="s">
        <v>15</v>
      </c>
      <c r="J231" s="15">
        <v>45450</v>
      </c>
      <c r="K231" t="s">
        <v>832</v>
      </c>
      <c r="L231" t="str">
        <f t="shared" si="13"/>
        <v>OK</v>
      </c>
      <c r="N231" s="15">
        <v>45324</v>
      </c>
      <c r="O231" s="15">
        <v>45372</v>
      </c>
      <c r="P231" t="s">
        <v>25</v>
      </c>
      <c r="Q231" t="s">
        <v>1023</v>
      </c>
      <c r="R231" t="s">
        <v>1024</v>
      </c>
      <c r="S231" t="s">
        <v>1023</v>
      </c>
      <c r="T231" t="s">
        <v>1024</v>
      </c>
      <c r="U231" t="s">
        <v>1024</v>
      </c>
      <c r="V231" t="s">
        <v>1023</v>
      </c>
      <c r="W231" t="s">
        <v>1022</v>
      </c>
      <c r="X231" t="s">
        <v>1026</v>
      </c>
    </row>
    <row r="232" spans="1:24" x14ac:dyDescent="0.3">
      <c r="A232" s="55" t="str">
        <f t="shared" si="12"/>
        <v>PROTECTION_MN_PRPS</v>
      </c>
      <c r="B232" t="s">
        <v>870</v>
      </c>
      <c r="C232" t="s">
        <v>318</v>
      </c>
      <c r="D232" t="s">
        <v>0</v>
      </c>
      <c r="E232" t="s">
        <v>21</v>
      </c>
      <c r="F232" t="s">
        <v>67</v>
      </c>
      <c r="G232" t="s">
        <v>78</v>
      </c>
      <c r="I232" t="s">
        <v>11</v>
      </c>
      <c r="J232" s="15">
        <v>45450</v>
      </c>
      <c r="K232" t="s">
        <v>21</v>
      </c>
      <c r="L232" t="str">
        <f t="shared" si="13"/>
        <v>NOK</v>
      </c>
      <c r="N232" s="15"/>
      <c r="O232" s="15"/>
      <c r="P232" t="s">
        <v>9</v>
      </c>
      <c r="Q232" t="s">
        <v>1023</v>
      </c>
      <c r="R232" t="s">
        <v>1024</v>
      </c>
      <c r="S232" t="s">
        <v>1024</v>
      </c>
      <c r="T232" t="s">
        <v>1024</v>
      </c>
      <c r="U232" t="s">
        <v>1024</v>
      </c>
      <c r="V232" t="s">
        <v>1024</v>
      </c>
      <c r="W232" t="s">
        <v>983</v>
      </c>
      <c r="X232">
        <v>0</v>
      </c>
    </row>
    <row r="233" spans="1:24" x14ac:dyDescent="0.3">
      <c r="A233" s="55" t="str">
        <f t="shared" si="12"/>
        <v>ENTITY_MNTHL_INCM</v>
      </c>
      <c r="B233" t="s">
        <v>867</v>
      </c>
      <c r="C233" t="s">
        <v>319</v>
      </c>
      <c r="D233" t="s">
        <v>0</v>
      </c>
      <c r="E233" t="s">
        <v>6</v>
      </c>
      <c r="F233" t="s">
        <v>53</v>
      </c>
      <c r="G233" t="s">
        <v>268</v>
      </c>
      <c r="I233" t="s">
        <v>11</v>
      </c>
      <c r="J233" s="15">
        <v>45450</v>
      </c>
      <c r="K233" t="s">
        <v>6</v>
      </c>
      <c r="L233" t="str">
        <f t="shared" si="13"/>
        <v>OK</v>
      </c>
      <c r="N233" s="15"/>
      <c r="O233" s="15"/>
      <c r="P233" t="s">
        <v>13</v>
      </c>
      <c r="Q233" t="s">
        <v>1023</v>
      </c>
      <c r="R233" t="s">
        <v>1024</v>
      </c>
      <c r="S233" t="s">
        <v>1024</v>
      </c>
      <c r="T233" t="s">
        <v>1024</v>
      </c>
      <c r="U233" t="s">
        <v>1024</v>
      </c>
      <c r="V233" t="s">
        <v>1024</v>
      </c>
      <c r="W233" t="s">
        <v>983</v>
      </c>
      <c r="X233">
        <v>0</v>
      </c>
    </row>
    <row r="234" spans="1:24" x14ac:dyDescent="0.3">
      <c r="A234" s="55" t="str">
        <f t="shared" si="12"/>
        <v>ENTITY_MNTHL_INCM_SLR</v>
      </c>
      <c r="B234" t="s">
        <v>867</v>
      </c>
      <c r="C234" t="s">
        <v>320</v>
      </c>
      <c r="D234" t="s">
        <v>0</v>
      </c>
      <c r="E234" t="s">
        <v>6</v>
      </c>
      <c r="F234" t="s">
        <v>67</v>
      </c>
      <c r="G234" t="s">
        <v>268</v>
      </c>
      <c r="I234" t="s">
        <v>11</v>
      </c>
      <c r="J234" s="15">
        <v>45450</v>
      </c>
      <c r="K234" t="s">
        <v>6</v>
      </c>
      <c r="L234" t="str">
        <f t="shared" si="13"/>
        <v>NOK</v>
      </c>
      <c r="N234" s="15"/>
      <c r="O234" s="15"/>
      <c r="P234" t="s">
        <v>13</v>
      </c>
      <c r="Q234" t="s">
        <v>1023</v>
      </c>
      <c r="R234" t="s">
        <v>1024</v>
      </c>
      <c r="S234" t="s">
        <v>1024</v>
      </c>
      <c r="T234" t="s">
        <v>1024</v>
      </c>
      <c r="U234" t="s">
        <v>1024</v>
      </c>
      <c r="V234" t="s">
        <v>1024</v>
      </c>
      <c r="W234" t="s">
        <v>983</v>
      </c>
      <c r="X234">
        <v>0</v>
      </c>
    </row>
    <row r="235" spans="1:24" x14ac:dyDescent="0.3">
      <c r="A235" s="55" t="str">
        <f t="shared" si="12"/>
        <v>ENTITY_MNTHL_TRNVR</v>
      </c>
      <c r="B235" t="s">
        <v>867</v>
      </c>
      <c r="C235" t="s">
        <v>321</v>
      </c>
      <c r="D235" t="s">
        <v>0</v>
      </c>
      <c r="E235" t="s">
        <v>6</v>
      </c>
      <c r="F235" t="s">
        <v>53</v>
      </c>
      <c r="G235" t="s">
        <v>268</v>
      </c>
      <c r="I235" t="s">
        <v>11</v>
      </c>
      <c r="J235" s="15">
        <v>45450</v>
      </c>
      <c r="K235" t="s">
        <v>6</v>
      </c>
      <c r="L235" t="str">
        <f t="shared" si="13"/>
        <v>OK</v>
      </c>
      <c r="N235" s="15"/>
      <c r="O235" s="15"/>
      <c r="P235" t="s">
        <v>13</v>
      </c>
      <c r="Q235" t="s">
        <v>1023</v>
      </c>
      <c r="R235" t="s">
        <v>1024</v>
      </c>
      <c r="S235" t="s">
        <v>1024</v>
      </c>
      <c r="T235" t="s">
        <v>1024</v>
      </c>
      <c r="U235" t="s">
        <v>1024</v>
      </c>
      <c r="V235" t="s">
        <v>1024</v>
      </c>
      <c r="W235" t="s">
        <v>983</v>
      </c>
      <c r="X235">
        <v>0</v>
      </c>
    </row>
    <row r="236" spans="1:24" x14ac:dyDescent="0.3">
      <c r="A236" s="55" t="str">
        <f t="shared" si="12"/>
        <v>INSTRUMENT_MTRTY_LTST_FRBRNC_MSR_C19</v>
      </c>
      <c r="B236" t="s">
        <v>659</v>
      </c>
      <c r="C236" t="s">
        <v>322</v>
      </c>
      <c r="D236" t="s">
        <v>0</v>
      </c>
      <c r="E236" t="s">
        <v>24</v>
      </c>
      <c r="F236" t="s">
        <v>53</v>
      </c>
      <c r="G236" t="s">
        <v>54</v>
      </c>
      <c r="I236" t="s">
        <v>7</v>
      </c>
      <c r="J236" s="15">
        <v>45450</v>
      </c>
      <c r="K236" t="s">
        <v>24</v>
      </c>
      <c r="L236" t="str">
        <f t="shared" si="13"/>
        <v>OK</v>
      </c>
      <c r="N236" s="15"/>
      <c r="O236" s="15"/>
      <c r="P236" t="s">
        <v>55</v>
      </c>
      <c r="Q236" t="s">
        <v>1023</v>
      </c>
      <c r="R236" t="s">
        <v>1024</v>
      </c>
      <c r="S236" t="s">
        <v>1024</v>
      </c>
      <c r="T236" t="s">
        <v>1024</v>
      </c>
      <c r="U236" t="s">
        <v>1024</v>
      </c>
      <c r="V236" t="s">
        <v>1024</v>
      </c>
      <c r="W236" t="s">
        <v>983</v>
      </c>
      <c r="X236">
        <v>0</v>
      </c>
    </row>
    <row r="237" spans="1:24" x14ac:dyDescent="0.3">
      <c r="A237" s="55" t="str">
        <f t="shared" si="12"/>
        <v>INSTRUMENT_MTRTY_LTST_MRTR_C19</v>
      </c>
      <c r="B237" t="s">
        <v>659</v>
      </c>
      <c r="C237" t="s">
        <v>323</v>
      </c>
      <c r="D237" t="s">
        <v>0</v>
      </c>
      <c r="E237" t="s">
        <v>24</v>
      </c>
      <c r="F237" t="s">
        <v>53</v>
      </c>
      <c r="G237" t="s">
        <v>54</v>
      </c>
      <c r="I237" t="s">
        <v>7</v>
      </c>
      <c r="J237" s="15">
        <v>45450</v>
      </c>
      <c r="K237" t="s">
        <v>24</v>
      </c>
      <c r="L237" t="str">
        <f t="shared" si="13"/>
        <v>OK</v>
      </c>
      <c r="N237" s="15"/>
      <c r="O237" s="15"/>
      <c r="P237" t="s">
        <v>55</v>
      </c>
      <c r="Q237" t="s">
        <v>1023</v>
      </c>
      <c r="R237" t="s">
        <v>1024</v>
      </c>
      <c r="S237" t="s">
        <v>1024</v>
      </c>
      <c r="T237" t="s">
        <v>1024</v>
      </c>
      <c r="U237" t="s">
        <v>1024</v>
      </c>
      <c r="V237" t="s">
        <v>1024</v>
      </c>
      <c r="W237" t="s">
        <v>983</v>
      </c>
      <c r="X237">
        <v>0</v>
      </c>
    </row>
    <row r="238" spans="1:24" x14ac:dyDescent="0.3">
      <c r="A238" s="55" t="str">
        <f t="shared" si="12"/>
        <v>INSTRUMENT_NMBR_FRBRNC_MSRS</v>
      </c>
      <c r="B238" t="s">
        <v>659</v>
      </c>
      <c r="C238" t="s">
        <v>324</v>
      </c>
      <c r="D238" t="s">
        <v>1</v>
      </c>
      <c r="E238" t="s">
        <v>24</v>
      </c>
      <c r="F238" t="s">
        <v>53</v>
      </c>
      <c r="G238" t="s">
        <v>54</v>
      </c>
      <c r="I238" t="s">
        <v>7</v>
      </c>
      <c r="J238" s="15">
        <v>45450</v>
      </c>
      <c r="K238" t="s">
        <v>24</v>
      </c>
      <c r="L238" t="str">
        <f t="shared" si="13"/>
        <v>OK</v>
      </c>
      <c r="N238" s="15"/>
      <c r="O238" s="15"/>
      <c r="P238" t="s">
        <v>55</v>
      </c>
      <c r="Q238" t="s">
        <v>1023</v>
      </c>
      <c r="R238" t="s">
        <v>1024</v>
      </c>
      <c r="S238" t="s">
        <v>1024</v>
      </c>
      <c r="T238" t="s">
        <v>1024</v>
      </c>
      <c r="U238" t="s">
        <v>1024</v>
      </c>
      <c r="V238" t="s">
        <v>1023</v>
      </c>
      <c r="W238" t="s">
        <v>983</v>
      </c>
      <c r="X238" t="s">
        <v>1025</v>
      </c>
    </row>
    <row r="239" spans="1:24" x14ac:dyDescent="0.3">
      <c r="A239" s="55" t="str">
        <f t="shared" si="12"/>
        <v>ENTITY_NT_INCM</v>
      </c>
      <c r="B239" t="s">
        <v>867</v>
      </c>
      <c r="C239" t="s">
        <v>325</v>
      </c>
      <c r="D239" t="s">
        <v>1</v>
      </c>
      <c r="E239" t="s">
        <v>10</v>
      </c>
      <c r="F239" t="s">
        <v>53</v>
      </c>
      <c r="G239" t="s">
        <v>63</v>
      </c>
      <c r="H239" t="s">
        <v>856</v>
      </c>
      <c r="I239" t="s">
        <v>11</v>
      </c>
      <c r="J239" s="15">
        <v>45450</v>
      </c>
      <c r="K239" t="s">
        <v>10</v>
      </c>
      <c r="L239" t="str">
        <f t="shared" si="13"/>
        <v>OK</v>
      </c>
      <c r="N239" s="15"/>
      <c r="O239" s="15"/>
      <c r="P239" t="s">
        <v>13</v>
      </c>
      <c r="Q239" t="s">
        <v>1023</v>
      </c>
      <c r="R239" t="s">
        <v>1024</v>
      </c>
      <c r="S239" t="s">
        <v>1024</v>
      </c>
      <c r="T239" t="s">
        <v>1024</v>
      </c>
      <c r="U239" t="s">
        <v>1024</v>
      </c>
      <c r="V239" t="s">
        <v>1023</v>
      </c>
      <c r="W239" t="s">
        <v>984</v>
      </c>
      <c r="X239" t="s">
        <v>1027</v>
      </c>
    </row>
    <row r="240" spans="1:24" x14ac:dyDescent="0.3">
      <c r="A240" s="55" t="str">
        <f t="shared" si="12"/>
        <v>ENTITY_NT_INCM_PRVS</v>
      </c>
      <c r="B240" t="s">
        <v>867</v>
      </c>
      <c r="C240" t="s">
        <v>326</v>
      </c>
      <c r="D240" t="s">
        <v>1</v>
      </c>
      <c r="E240" t="s">
        <v>10</v>
      </c>
      <c r="F240" t="s">
        <v>53</v>
      </c>
      <c r="G240" t="s">
        <v>63</v>
      </c>
      <c r="H240" t="s">
        <v>856</v>
      </c>
      <c r="I240" t="s">
        <v>11</v>
      </c>
      <c r="J240" s="15">
        <v>45450</v>
      </c>
      <c r="K240" t="s">
        <v>10</v>
      </c>
      <c r="L240" t="str">
        <f t="shared" si="13"/>
        <v>OK</v>
      </c>
      <c r="N240" s="15"/>
      <c r="O240" s="15"/>
      <c r="P240" t="s">
        <v>13</v>
      </c>
      <c r="Q240" t="s">
        <v>1023</v>
      </c>
      <c r="R240" t="s">
        <v>1024</v>
      </c>
      <c r="S240" t="s">
        <v>1024</v>
      </c>
      <c r="T240" t="s">
        <v>1024</v>
      </c>
      <c r="U240" t="s">
        <v>1024</v>
      </c>
      <c r="V240" t="s">
        <v>1023</v>
      </c>
      <c r="W240" t="s">
        <v>984</v>
      </c>
      <c r="X240" t="s">
        <v>1027</v>
      </c>
    </row>
    <row r="241" spans="1:24" x14ac:dyDescent="0.3">
      <c r="A241" s="55" t="str">
        <f t="shared" si="12"/>
        <v>INSTRUMENT_RWA_MTHD</v>
      </c>
      <c r="B241" t="s">
        <v>659</v>
      </c>
      <c r="C241" s="10" t="s">
        <v>327</v>
      </c>
      <c r="D241" t="s">
        <v>1</v>
      </c>
      <c r="E241" t="s">
        <v>831</v>
      </c>
      <c r="F241" t="s">
        <v>53</v>
      </c>
      <c r="G241" t="s">
        <v>176</v>
      </c>
      <c r="H241" t="s">
        <v>328</v>
      </c>
      <c r="I241" t="s">
        <v>7</v>
      </c>
      <c r="J241" s="15">
        <v>45463</v>
      </c>
      <c r="K241" t="s">
        <v>24</v>
      </c>
      <c r="L241" t="str">
        <f t="shared" si="13"/>
        <v>OK</v>
      </c>
      <c r="M241" t="s">
        <v>329</v>
      </c>
      <c r="N241" s="15"/>
      <c r="O241" s="15">
        <v>45463</v>
      </c>
      <c r="P241" t="s">
        <v>55</v>
      </c>
      <c r="Q241" t="s">
        <v>1023</v>
      </c>
      <c r="R241" t="s">
        <v>1024</v>
      </c>
      <c r="S241" t="s">
        <v>1024</v>
      </c>
      <c r="T241" t="s">
        <v>1024</v>
      </c>
      <c r="U241" t="s">
        <v>1024</v>
      </c>
      <c r="V241" t="s">
        <v>1023</v>
      </c>
      <c r="W241" t="s">
        <v>983</v>
      </c>
      <c r="X241" t="s">
        <v>1025</v>
      </c>
    </row>
    <row r="242" spans="1:24" x14ac:dyDescent="0.3">
      <c r="A242" s="55" t="str">
        <f t="shared" si="12"/>
        <v>INSTRUMENT_OBSRVD_AGNT_ID</v>
      </c>
      <c r="B242" t="s">
        <v>659</v>
      </c>
      <c r="C242" t="s">
        <v>330</v>
      </c>
      <c r="D242" t="s">
        <v>1</v>
      </c>
      <c r="E242" t="s">
        <v>24</v>
      </c>
      <c r="F242" t="s">
        <v>53</v>
      </c>
      <c r="G242" t="s">
        <v>54</v>
      </c>
      <c r="I242" t="s">
        <v>7</v>
      </c>
      <c r="J242" s="15">
        <v>45450</v>
      </c>
      <c r="K242" t="s">
        <v>24</v>
      </c>
      <c r="L242" t="str">
        <f t="shared" si="13"/>
        <v>OK</v>
      </c>
      <c r="N242" s="15"/>
      <c r="O242" s="15"/>
      <c r="P242" t="s">
        <v>55</v>
      </c>
      <c r="Q242" t="s">
        <v>1023</v>
      </c>
      <c r="R242" t="s">
        <v>1024</v>
      </c>
      <c r="S242" t="s">
        <v>1024</v>
      </c>
      <c r="T242" t="s">
        <v>1024</v>
      </c>
      <c r="U242" t="s">
        <v>1024</v>
      </c>
      <c r="V242" t="s">
        <v>1023</v>
      </c>
      <c r="W242" t="s">
        <v>983</v>
      </c>
      <c r="X242" t="s">
        <v>1025</v>
      </c>
    </row>
    <row r="243" spans="1:24" x14ac:dyDescent="0.3">
      <c r="A243" s="55" t="str">
        <f t="shared" si="12"/>
        <v>INSTRUMENT_OBSRVD_AGNT_NM</v>
      </c>
      <c r="B243" t="s">
        <v>659</v>
      </c>
      <c r="C243" t="s">
        <v>331</v>
      </c>
      <c r="D243" t="s">
        <v>1</v>
      </c>
      <c r="E243" t="s">
        <v>24</v>
      </c>
      <c r="F243" t="s">
        <v>53</v>
      </c>
      <c r="G243" t="s">
        <v>54</v>
      </c>
      <c r="I243" t="s">
        <v>7</v>
      </c>
      <c r="J243" s="15">
        <v>45450</v>
      </c>
      <c r="K243" t="s">
        <v>24</v>
      </c>
      <c r="L243" t="str">
        <f t="shared" si="13"/>
        <v>OK</v>
      </c>
      <c r="N243" s="15"/>
      <c r="O243" s="15"/>
      <c r="P243" t="s">
        <v>55</v>
      </c>
      <c r="Q243" t="s">
        <v>1023</v>
      </c>
      <c r="R243" t="s">
        <v>1024</v>
      </c>
      <c r="S243" t="s">
        <v>1024</v>
      </c>
      <c r="T243" t="s">
        <v>1024</v>
      </c>
      <c r="U243" t="s">
        <v>1024</v>
      </c>
      <c r="V243" t="s">
        <v>1023</v>
      </c>
      <c r="W243" t="s">
        <v>983</v>
      </c>
      <c r="X243" t="s">
        <v>1025</v>
      </c>
    </row>
    <row r="244" spans="1:24" x14ac:dyDescent="0.3">
      <c r="A244" s="55" t="str">
        <f t="shared" si="12"/>
        <v>INSTRUMENT_OFF_BLNC_SHT_AMNT_INSTRMNT</v>
      </c>
      <c r="B244" t="s">
        <v>659</v>
      </c>
      <c r="C244" t="s">
        <v>332</v>
      </c>
      <c r="D244" t="s">
        <v>1</v>
      </c>
      <c r="E244" t="s">
        <v>21</v>
      </c>
      <c r="F244" t="s">
        <v>67</v>
      </c>
      <c r="G244" t="s">
        <v>78</v>
      </c>
      <c r="I244" t="s">
        <v>11</v>
      </c>
      <c r="J244" s="15">
        <v>45450</v>
      </c>
      <c r="K244" t="s">
        <v>21</v>
      </c>
      <c r="L244" t="str">
        <f t="shared" si="13"/>
        <v>NOK</v>
      </c>
      <c r="N244" s="15"/>
      <c r="O244" s="15"/>
      <c r="P244" t="s">
        <v>9</v>
      </c>
      <c r="Q244" t="s">
        <v>1023</v>
      </c>
      <c r="R244" t="s">
        <v>1023</v>
      </c>
      <c r="S244" t="s">
        <v>1024</v>
      </c>
      <c r="T244" t="s">
        <v>1024</v>
      </c>
      <c r="U244" t="s">
        <v>1023</v>
      </c>
      <c r="V244" t="s">
        <v>1023</v>
      </c>
      <c r="W244" t="s">
        <v>1022</v>
      </c>
      <c r="X244" t="s">
        <v>1029</v>
      </c>
    </row>
    <row r="245" spans="1:24" x14ac:dyDescent="0.3">
      <c r="A245" s="55" t="str">
        <f t="shared" si="12"/>
        <v>INSTRUMENT_OFF_BLNC_SHT_AMNT_INSTRMNT_PRVS</v>
      </c>
      <c r="B245" t="s">
        <v>659</v>
      </c>
      <c r="C245" s="10" t="s">
        <v>333</v>
      </c>
      <c r="D245" t="s">
        <v>1</v>
      </c>
      <c r="E245" t="s">
        <v>832</v>
      </c>
      <c r="F245" t="s">
        <v>53</v>
      </c>
      <c r="G245" t="s">
        <v>334</v>
      </c>
      <c r="H245" t="s">
        <v>335</v>
      </c>
      <c r="I245" t="s">
        <v>15</v>
      </c>
      <c r="J245" s="15">
        <v>45670</v>
      </c>
      <c r="K245" t="s">
        <v>831</v>
      </c>
      <c r="L245" t="str">
        <f t="shared" si="13"/>
        <v>OK</v>
      </c>
      <c r="M245" t="s">
        <v>336</v>
      </c>
      <c r="N245" s="15">
        <v>45471</v>
      </c>
      <c r="O245" s="15"/>
      <c r="P245" t="s">
        <v>19</v>
      </c>
      <c r="Q245" t="s">
        <v>1023</v>
      </c>
      <c r="R245" t="s">
        <v>1024</v>
      </c>
      <c r="S245" t="s">
        <v>1024</v>
      </c>
      <c r="T245" t="s">
        <v>1024</v>
      </c>
      <c r="U245" t="s">
        <v>1024</v>
      </c>
      <c r="V245" t="s">
        <v>1024</v>
      </c>
      <c r="W245" t="s">
        <v>983</v>
      </c>
      <c r="X245">
        <v>0</v>
      </c>
    </row>
    <row r="246" spans="1:24" x14ac:dyDescent="0.3">
      <c r="A246" s="55" t="str">
        <f t="shared" si="12"/>
        <v>PROTECTION_DT_ORGNL_PRTCTN_VL</v>
      </c>
      <c r="B246" t="s">
        <v>870</v>
      </c>
      <c r="C246" s="10" t="s">
        <v>30</v>
      </c>
      <c r="D246" t="s">
        <v>1</v>
      </c>
      <c r="E246" t="s">
        <v>832</v>
      </c>
      <c r="F246" t="s">
        <v>67</v>
      </c>
      <c r="G246" t="s">
        <v>143</v>
      </c>
      <c r="H246" t="s">
        <v>144</v>
      </c>
      <c r="I246" t="s">
        <v>7</v>
      </c>
      <c r="J246" s="15">
        <v>45670</v>
      </c>
      <c r="K246" t="s">
        <v>24</v>
      </c>
      <c r="L246" t="s">
        <v>53</v>
      </c>
      <c r="N246" s="15">
        <v>45555</v>
      </c>
      <c r="O246" s="15">
        <v>45646</v>
      </c>
      <c r="P246" t="s">
        <v>19</v>
      </c>
      <c r="Q246" t="s">
        <v>1023</v>
      </c>
      <c r="R246" t="s">
        <v>1024</v>
      </c>
      <c r="S246" t="s">
        <v>1024</v>
      </c>
      <c r="T246" t="s">
        <v>1024</v>
      </c>
      <c r="U246" t="s">
        <v>1024</v>
      </c>
      <c r="V246" t="s">
        <v>1024</v>
      </c>
      <c r="W246" t="s">
        <v>983</v>
      </c>
      <c r="X246">
        <v>0</v>
      </c>
    </row>
    <row r="247" spans="1:24" x14ac:dyDescent="0.3">
      <c r="A247" s="55" t="str">
        <f t="shared" si="12"/>
        <v>ENTITY_OSI_ID</v>
      </c>
      <c r="B247" t="s">
        <v>867</v>
      </c>
      <c r="C247" t="s">
        <v>338</v>
      </c>
      <c r="D247" t="s">
        <v>1</v>
      </c>
      <c r="E247" t="s">
        <v>24</v>
      </c>
      <c r="F247" t="s">
        <v>53</v>
      </c>
      <c r="G247" t="s">
        <v>54</v>
      </c>
      <c r="I247" t="s">
        <v>7</v>
      </c>
      <c r="J247" s="15">
        <v>45450</v>
      </c>
      <c r="K247" t="s">
        <v>24</v>
      </c>
      <c r="L247" t="str">
        <f t="shared" ref="L247:L273" si="14">F247</f>
        <v>OK</v>
      </c>
      <c r="N247" s="15"/>
      <c r="O247" s="15"/>
      <c r="P247" t="s">
        <v>55</v>
      </c>
      <c r="Q247" t="s">
        <v>1023</v>
      </c>
      <c r="R247" t="s">
        <v>1024</v>
      </c>
      <c r="S247" t="s">
        <v>1024</v>
      </c>
      <c r="T247" t="s">
        <v>1024</v>
      </c>
      <c r="U247" t="s">
        <v>1024</v>
      </c>
      <c r="V247" t="s">
        <v>1023</v>
      </c>
      <c r="W247" t="s">
        <v>983</v>
      </c>
      <c r="X247" t="s">
        <v>1025</v>
      </c>
    </row>
    <row r="248" spans="1:24" x14ac:dyDescent="0.3">
      <c r="A248" s="55" t="str">
        <f t="shared" si="12"/>
        <v>INSTRUMENT_OTSTNDNG_NMNL_AMNT_INSTRMNT</v>
      </c>
      <c r="B248" t="s">
        <v>659</v>
      </c>
      <c r="C248" t="s">
        <v>339</v>
      </c>
      <c r="D248" t="s">
        <v>1</v>
      </c>
      <c r="E248" t="s">
        <v>21</v>
      </c>
      <c r="F248" t="s">
        <v>67</v>
      </c>
      <c r="G248" t="s">
        <v>78</v>
      </c>
      <c r="I248" t="s">
        <v>11</v>
      </c>
      <c r="J248" s="15">
        <v>45450</v>
      </c>
      <c r="K248" t="s">
        <v>21</v>
      </c>
      <c r="L248" t="str">
        <f t="shared" si="14"/>
        <v>NOK</v>
      </c>
      <c r="N248" s="15"/>
      <c r="O248" s="15"/>
      <c r="P248" t="s">
        <v>9</v>
      </c>
      <c r="Q248" t="s">
        <v>1023</v>
      </c>
      <c r="R248" t="s">
        <v>1024</v>
      </c>
      <c r="S248" t="s">
        <v>1024</v>
      </c>
      <c r="T248" t="s">
        <v>1024</v>
      </c>
      <c r="U248" t="s">
        <v>1024</v>
      </c>
      <c r="V248" t="s">
        <v>1023</v>
      </c>
      <c r="W248" t="s">
        <v>1022</v>
      </c>
      <c r="X248" t="s">
        <v>1029</v>
      </c>
    </row>
    <row r="249" spans="1:24" x14ac:dyDescent="0.3">
      <c r="A249" s="55" t="str">
        <f t="shared" si="12"/>
        <v>INSTRUMENT_DT_FRBRNC_STTS_PRVS</v>
      </c>
      <c r="B249" t="s">
        <v>659</v>
      </c>
      <c r="C249" t="s">
        <v>166</v>
      </c>
      <c r="D249" t="s">
        <v>1</v>
      </c>
      <c r="E249" t="s">
        <v>10</v>
      </c>
      <c r="F249" t="s">
        <v>67</v>
      </c>
      <c r="G249" t="s">
        <v>163</v>
      </c>
      <c r="H249" t="s">
        <v>164</v>
      </c>
      <c r="I249" t="s">
        <v>11</v>
      </c>
      <c r="J249" s="15">
        <v>45450</v>
      </c>
      <c r="K249" t="s">
        <v>10</v>
      </c>
      <c r="L249" t="str">
        <f t="shared" si="14"/>
        <v>NOK</v>
      </c>
      <c r="P249" t="s">
        <v>13</v>
      </c>
      <c r="Q249" t="s">
        <v>1023</v>
      </c>
      <c r="R249" t="s">
        <v>1024</v>
      </c>
      <c r="S249" t="s">
        <v>1024</v>
      </c>
      <c r="T249" t="s">
        <v>1024</v>
      </c>
      <c r="U249" t="s">
        <v>1024</v>
      </c>
      <c r="V249" t="s">
        <v>1024</v>
      </c>
      <c r="W249" t="s">
        <v>983</v>
      </c>
      <c r="X249">
        <v>0</v>
      </c>
    </row>
    <row r="250" spans="1:24" x14ac:dyDescent="0.3">
      <c r="A250" s="55" t="str">
        <f t="shared" si="12"/>
        <v>ENTITY_OWND_BY_SPNSR</v>
      </c>
      <c r="B250" t="s">
        <v>867</v>
      </c>
      <c r="C250" t="s">
        <v>342</v>
      </c>
      <c r="D250" t="s">
        <v>0</v>
      </c>
      <c r="E250" t="s">
        <v>24</v>
      </c>
      <c r="F250" t="s">
        <v>53</v>
      </c>
      <c r="G250" t="s">
        <v>54</v>
      </c>
      <c r="I250" t="s">
        <v>7</v>
      </c>
      <c r="J250" s="15">
        <v>45450</v>
      </c>
      <c r="K250" t="s">
        <v>24</v>
      </c>
      <c r="L250" t="str">
        <f t="shared" si="14"/>
        <v>OK</v>
      </c>
      <c r="N250" s="15"/>
      <c r="O250" s="15"/>
      <c r="P250" t="s">
        <v>55</v>
      </c>
      <c r="Q250" t="s">
        <v>1023</v>
      </c>
      <c r="R250" t="s">
        <v>1024</v>
      </c>
      <c r="S250" t="s">
        <v>1024</v>
      </c>
      <c r="T250" t="s">
        <v>1024</v>
      </c>
      <c r="U250" t="s">
        <v>1024</v>
      </c>
      <c r="V250" t="s">
        <v>1023</v>
      </c>
      <c r="W250" t="s">
        <v>984</v>
      </c>
      <c r="X250" t="s">
        <v>1030</v>
      </c>
    </row>
    <row r="251" spans="1:24" x14ac:dyDescent="0.3">
      <c r="A251" s="55" t="str">
        <f t="shared" si="12"/>
        <v>INSTRUMENT_PBLC_GRNT_SCHM_C19_NM</v>
      </c>
      <c r="B251" t="s">
        <v>659</v>
      </c>
      <c r="C251" t="s">
        <v>343</v>
      </c>
      <c r="D251" t="s">
        <v>0</v>
      </c>
      <c r="E251" t="s">
        <v>24</v>
      </c>
      <c r="F251" t="s">
        <v>53</v>
      </c>
      <c r="G251" t="s">
        <v>54</v>
      </c>
      <c r="I251" t="s">
        <v>7</v>
      </c>
      <c r="J251" s="15">
        <v>45450</v>
      </c>
      <c r="K251" t="s">
        <v>24</v>
      </c>
      <c r="L251" t="str">
        <f t="shared" si="14"/>
        <v>OK</v>
      </c>
      <c r="N251" s="15"/>
      <c r="O251" s="15"/>
      <c r="P251" t="s">
        <v>55</v>
      </c>
      <c r="Q251" t="s">
        <v>1023</v>
      </c>
      <c r="R251" t="s">
        <v>1024</v>
      </c>
      <c r="S251" t="s">
        <v>1024</v>
      </c>
      <c r="T251" t="s">
        <v>1024</v>
      </c>
      <c r="U251" t="s">
        <v>1024</v>
      </c>
      <c r="V251" t="s">
        <v>1024</v>
      </c>
      <c r="W251" t="s">
        <v>983</v>
      </c>
      <c r="X251">
        <v>0</v>
      </c>
    </row>
    <row r="252" spans="1:24" x14ac:dyDescent="0.3">
      <c r="A252" s="55" t="str">
        <f t="shared" si="12"/>
        <v>INSTRUMENT_PD_CRR_INCPTN</v>
      </c>
      <c r="B252" t="s">
        <v>659</v>
      </c>
      <c r="C252" t="s">
        <v>344</v>
      </c>
      <c r="D252" t="s">
        <v>1</v>
      </c>
      <c r="E252" t="s">
        <v>832</v>
      </c>
      <c r="F252" t="s">
        <v>53</v>
      </c>
      <c r="G252" t="s">
        <v>334</v>
      </c>
      <c r="H252" t="s">
        <v>345</v>
      </c>
      <c r="I252" t="s">
        <v>11</v>
      </c>
      <c r="J252" s="15">
        <v>45450</v>
      </c>
      <c r="K252" t="s">
        <v>832</v>
      </c>
      <c r="L252" t="str">
        <f t="shared" si="14"/>
        <v>OK</v>
      </c>
      <c r="N252" s="15">
        <v>45338</v>
      </c>
      <c r="O252" s="15">
        <v>45439</v>
      </c>
      <c r="P252" t="s">
        <v>13</v>
      </c>
      <c r="Q252" t="s">
        <v>1023</v>
      </c>
      <c r="R252" t="s">
        <v>1024</v>
      </c>
      <c r="S252" t="s">
        <v>1024</v>
      </c>
      <c r="T252" t="s">
        <v>1024</v>
      </c>
      <c r="U252" t="s">
        <v>1024</v>
      </c>
      <c r="V252" t="s">
        <v>1023</v>
      </c>
      <c r="W252" t="s">
        <v>1022</v>
      </c>
      <c r="X252" t="s">
        <v>1026</v>
      </c>
    </row>
    <row r="253" spans="1:24" x14ac:dyDescent="0.3">
      <c r="A253" s="55" t="str">
        <f t="shared" si="12"/>
        <v>ENTITY_PD_CRR_RD</v>
      </c>
      <c r="B253" t="s">
        <v>867</v>
      </c>
      <c r="C253" t="s">
        <v>346</v>
      </c>
      <c r="D253" t="s">
        <v>1</v>
      </c>
      <c r="E253" t="s">
        <v>21</v>
      </c>
      <c r="F253" t="s">
        <v>67</v>
      </c>
      <c r="G253" t="s">
        <v>78</v>
      </c>
      <c r="I253" t="s">
        <v>11</v>
      </c>
      <c r="J253" s="15">
        <v>45450</v>
      </c>
      <c r="K253" t="s">
        <v>21</v>
      </c>
      <c r="L253" t="str">
        <f t="shared" si="14"/>
        <v>NOK</v>
      </c>
      <c r="N253" s="15"/>
      <c r="O253" s="15"/>
      <c r="P253" t="s">
        <v>9</v>
      </c>
      <c r="Q253" t="s">
        <v>1023</v>
      </c>
      <c r="R253" t="s">
        <v>1024</v>
      </c>
      <c r="S253" t="s">
        <v>1024</v>
      </c>
      <c r="T253" t="s">
        <v>1024</v>
      </c>
      <c r="U253" t="s">
        <v>1024</v>
      </c>
      <c r="V253" t="s">
        <v>1023</v>
      </c>
      <c r="W253" t="s">
        <v>1022</v>
      </c>
      <c r="X253" t="s">
        <v>1029</v>
      </c>
    </row>
    <row r="254" spans="1:24" x14ac:dyDescent="0.3">
      <c r="A254" s="55" t="str">
        <f t="shared" si="12"/>
        <v>INSTRUMENT_PD_CRR_RD</v>
      </c>
      <c r="B254" t="s">
        <v>659</v>
      </c>
      <c r="C254" t="s">
        <v>346</v>
      </c>
      <c r="D254" t="s">
        <v>1</v>
      </c>
      <c r="E254" t="s">
        <v>21</v>
      </c>
      <c r="F254" t="s">
        <v>67</v>
      </c>
      <c r="G254" t="s">
        <v>78</v>
      </c>
      <c r="I254" t="s">
        <v>11</v>
      </c>
      <c r="J254" s="15">
        <v>45450</v>
      </c>
      <c r="K254" t="s">
        <v>21</v>
      </c>
      <c r="L254" t="str">
        <f t="shared" si="14"/>
        <v>NOK</v>
      </c>
      <c r="N254" s="15"/>
      <c r="O254" s="15"/>
      <c r="P254" t="s">
        <v>9</v>
      </c>
      <c r="Q254" t="s">
        <v>1023</v>
      </c>
      <c r="R254" t="s">
        <v>1024</v>
      </c>
      <c r="S254" t="s">
        <v>1024</v>
      </c>
      <c r="T254" t="s">
        <v>1024</v>
      </c>
      <c r="U254" t="s">
        <v>1024</v>
      </c>
      <c r="V254" t="s">
        <v>1023</v>
      </c>
      <c r="W254" t="s">
        <v>1022</v>
      </c>
      <c r="X254" t="s">
        <v>1029</v>
      </c>
    </row>
    <row r="255" spans="1:24" x14ac:dyDescent="0.3">
      <c r="A255" s="55" t="str">
        <f t="shared" si="12"/>
        <v>ENTITY_PD_CRR_RD_T1</v>
      </c>
      <c r="B255" t="s">
        <v>867</v>
      </c>
      <c r="C255" s="11" t="s">
        <v>347</v>
      </c>
      <c r="D255" t="s">
        <v>0</v>
      </c>
      <c r="E255" t="s">
        <v>831</v>
      </c>
      <c r="F255" t="s">
        <v>67</v>
      </c>
      <c r="G255" t="s">
        <v>275</v>
      </c>
      <c r="I255" t="s">
        <v>15</v>
      </c>
      <c r="J255" s="15">
        <v>45450</v>
      </c>
      <c r="K255" t="s">
        <v>831</v>
      </c>
      <c r="L255" t="str">
        <f t="shared" si="14"/>
        <v>NOK</v>
      </c>
      <c r="N255" s="15">
        <v>44750</v>
      </c>
      <c r="O255" s="15">
        <v>45267</v>
      </c>
      <c r="P255" t="s">
        <v>19</v>
      </c>
      <c r="Q255" t="s">
        <v>1023</v>
      </c>
      <c r="R255" t="s">
        <v>1024</v>
      </c>
      <c r="S255" t="s">
        <v>1024</v>
      </c>
      <c r="T255" t="s">
        <v>1024</v>
      </c>
      <c r="U255" t="s">
        <v>1024</v>
      </c>
      <c r="V255" t="s">
        <v>1024</v>
      </c>
      <c r="W255" t="s">
        <v>983</v>
      </c>
      <c r="X255">
        <v>0</v>
      </c>
    </row>
    <row r="256" spans="1:24" x14ac:dyDescent="0.3">
      <c r="A256" s="55" t="str">
        <f t="shared" si="12"/>
        <v>INSTRUMENT_PD_CRR_RD_T1</v>
      </c>
      <c r="B256" t="s">
        <v>659</v>
      </c>
      <c r="C256" s="11" t="s">
        <v>347</v>
      </c>
      <c r="D256" t="s">
        <v>0</v>
      </c>
      <c r="E256" t="s">
        <v>831</v>
      </c>
      <c r="F256" t="s">
        <v>67</v>
      </c>
      <c r="G256" t="s">
        <v>275</v>
      </c>
      <c r="I256" t="s">
        <v>15</v>
      </c>
      <c r="J256" s="15">
        <v>45450</v>
      </c>
      <c r="K256" t="s">
        <v>831</v>
      </c>
      <c r="L256" t="str">
        <f t="shared" si="14"/>
        <v>NOK</v>
      </c>
      <c r="N256" s="15">
        <v>45281</v>
      </c>
      <c r="O256" s="15">
        <v>45330</v>
      </c>
      <c r="P256" t="s">
        <v>19</v>
      </c>
      <c r="Q256" t="s">
        <v>1023</v>
      </c>
      <c r="R256" t="s">
        <v>1024</v>
      </c>
      <c r="S256" t="s">
        <v>1024</v>
      </c>
      <c r="T256" t="s">
        <v>1024</v>
      </c>
      <c r="U256" t="s">
        <v>1024</v>
      </c>
      <c r="V256" t="s">
        <v>1024</v>
      </c>
      <c r="W256" t="s">
        <v>983</v>
      </c>
      <c r="X256">
        <v>0</v>
      </c>
    </row>
    <row r="257" spans="1:24" x14ac:dyDescent="0.3">
      <c r="A257" s="55" t="str">
        <f t="shared" si="12"/>
        <v>INSTRUMENT_PD_IFRS9_12M_INCPTN</v>
      </c>
      <c r="B257" t="s">
        <v>659</v>
      </c>
      <c r="C257" t="s">
        <v>348</v>
      </c>
      <c r="D257" t="s">
        <v>1</v>
      </c>
      <c r="E257" t="s">
        <v>24</v>
      </c>
      <c r="F257" t="s">
        <v>53</v>
      </c>
      <c r="G257" t="s">
        <v>54</v>
      </c>
      <c r="I257" t="s">
        <v>7</v>
      </c>
      <c r="J257" s="15">
        <v>45450</v>
      </c>
      <c r="K257" t="s">
        <v>24</v>
      </c>
      <c r="L257" t="str">
        <f t="shared" si="14"/>
        <v>OK</v>
      </c>
      <c r="M257" t="s">
        <v>866</v>
      </c>
      <c r="N257" s="15"/>
      <c r="O257" s="15"/>
      <c r="P257" t="s">
        <v>55</v>
      </c>
      <c r="Q257" t="s">
        <v>1023</v>
      </c>
      <c r="R257" t="s">
        <v>1024</v>
      </c>
      <c r="S257" t="s">
        <v>1024</v>
      </c>
      <c r="T257" t="s">
        <v>1024</v>
      </c>
      <c r="U257" t="s">
        <v>1024</v>
      </c>
      <c r="V257" t="s">
        <v>1023</v>
      </c>
      <c r="W257" t="s">
        <v>983</v>
      </c>
      <c r="X257" t="s">
        <v>1025</v>
      </c>
    </row>
    <row r="258" spans="1:24" x14ac:dyDescent="0.3">
      <c r="A258" s="55" t="str">
        <f t="shared" si="12"/>
        <v>ENTITY_PD_IFRS9_12M_RD</v>
      </c>
      <c r="B258" t="s">
        <v>867</v>
      </c>
      <c r="C258" t="s">
        <v>349</v>
      </c>
      <c r="D258" t="s">
        <v>1</v>
      </c>
      <c r="E258" t="s">
        <v>14</v>
      </c>
      <c r="F258" t="s">
        <v>67</v>
      </c>
      <c r="G258" t="s">
        <v>864</v>
      </c>
      <c r="I258" t="s">
        <v>11</v>
      </c>
      <c r="J258" s="15">
        <v>45450</v>
      </c>
      <c r="K258" t="s">
        <v>14</v>
      </c>
      <c r="L258" t="str">
        <f t="shared" si="14"/>
        <v>NOK</v>
      </c>
      <c r="M258" t="s">
        <v>866</v>
      </c>
      <c r="N258" s="15"/>
      <c r="O258" s="15"/>
      <c r="P258" t="s">
        <v>9</v>
      </c>
      <c r="Q258" t="s">
        <v>1023</v>
      </c>
      <c r="R258" t="s">
        <v>1024</v>
      </c>
      <c r="S258" t="s">
        <v>1024</v>
      </c>
      <c r="T258" t="s">
        <v>1024</v>
      </c>
      <c r="U258" t="s">
        <v>1024</v>
      </c>
      <c r="V258" t="s">
        <v>1023</v>
      </c>
      <c r="W258" t="s">
        <v>1022</v>
      </c>
      <c r="X258" t="s">
        <v>1031</v>
      </c>
    </row>
    <row r="259" spans="1:24" x14ac:dyDescent="0.3">
      <c r="A259" s="55" t="str">
        <f t="shared" si="12"/>
        <v>INSTRUMENT_PD_IFRS9_12M_RD</v>
      </c>
      <c r="B259" t="s">
        <v>659</v>
      </c>
      <c r="C259" s="11" t="s">
        <v>349</v>
      </c>
      <c r="D259" t="s">
        <v>1</v>
      </c>
      <c r="E259" t="s">
        <v>21</v>
      </c>
      <c r="F259" t="s">
        <v>67</v>
      </c>
      <c r="I259" t="s">
        <v>15</v>
      </c>
      <c r="J259" s="15">
        <v>45450</v>
      </c>
      <c r="K259" t="s">
        <v>21</v>
      </c>
      <c r="L259" t="str">
        <f t="shared" si="14"/>
        <v>NOK</v>
      </c>
      <c r="M259" t="s">
        <v>866</v>
      </c>
      <c r="N259" s="15"/>
      <c r="O259" s="15"/>
      <c r="P259" t="s">
        <v>25</v>
      </c>
      <c r="Q259" t="s">
        <v>1023</v>
      </c>
      <c r="R259" t="s">
        <v>1024</v>
      </c>
      <c r="S259" t="s">
        <v>1024</v>
      </c>
      <c r="T259" t="s">
        <v>1024</v>
      </c>
      <c r="U259" t="s">
        <v>1024</v>
      </c>
      <c r="V259" t="s">
        <v>1023</v>
      </c>
      <c r="W259" t="s">
        <v>1022</v>
      </c>
      <c r="X259" t="s">
        <v>1029</v>
      </c>
    </row>
    <row r="260" spans="1:24" x14ac:dyDescent="0.3">
      <c r="A260" s="55" t="str">
        <f t="shared" si="12"/>
        <v>ENTITY_PD_IFRS9_12M_RD_T1</v>
      </c>
      <c r="B260" t="s">
        <v>867</v>
      </c>
      <c r="C260" t="s">
        <v>350</v>
      </c>
      <c r="D260" t="s">
        <v>0</v>
      </c>
      <c r="E260" t="s">
        <v>21</v>
      </c>
      <c r="F260" t="s">
        <v>67</v>
      </c>
      <c r="G260" t="s">
        <v>78</v>
      </c>
      <c r="I260" t="s">
        <v>11</v>
      </c>
      <c r="J260" s="15">
        <v>45450</v>
      </c>
      <c r="K260" t="s">
        <v>21</v>
      </c>
      <c r="L260" t="str">
        <f t="shared" si="14"/>
        <v>NOK</v>
      </c>
      <c r="M260" t="s">
        <v>866</v>
      </c>
      <c r="N260" s="15"/>
      <c r="O260" s="15"/>
      <c r="P260" t="s">
        <v>9</v>
      </c>
      <c r="Q260" t="s">
        <v>1023</v>
      </c>
      <c r="R260" t="s">
        <v>1024</v>
      </c>
      <c r="S260" t="s">
        <v>1024</v>
      </c>
      <c r="T260" t="s">
        <v>1024</v>
      </c>
      <c r="U260" t="s">
        <v>1024</v>
      </c>
      <c r="V260" t="s">
        <v>1024</v>
      </c>
      <c r="W260" t="s">
        <v>983</v>
      </c>
      <c r="X260">
        <v>0</v>
      </c>
    </row>
    <row r="261" spans="1:24" x14ac:dyDescent="0.3">
      <c r="A261" s="55" t="str">
        <f t="shared" si="12"/>
        <v>INSTRUMENT_PD_IFRS9_12M_RD_T1</v>
      </c>
      <c r="B261" t="s">
        <v>659</v>
      </c>
      <c r="C261" t="s">
        <v>350</v>
      </c>
      <c r="D261" t="s">
        <v>1</v>
      </c>
      <c r="E261" t="s">
        <v>21</v>
      </c>
      <c r="F261" t="s">
        <v>67</v>
      </c>
      <c r="G261" t="s">
        <v>78</v>
      </c>
      <c r="I261" t="s">
        <v>11</v>
      </c>
      <c r="J261" s="15">
        <v>45450</v>
      </c>
      <c r="K261" t="s">
        <v>21</v>
      </c>
      <c r="L261" t="str">
        <f t="shared" si="14"/>
        <v>NOK</v>
      </c>
      <c r="M261" t="s">
        <v>866</v>
      </c>
      <c r="N261" s="15"/>
      <c r="O261" s="15"/>
      <c r="P261" t="s">
        <v>9</v>
      </c>
      <c r="Q261" t="s">
        <v>1023</v>
      </c>
      <c r="R261" t="s">
        <v>1024</v>
      </c>
      <c r="S261" t="s">
        <v>1024</v>
      </c>
      <c r="T261" t="s">
        <v>1024</v>
      </c>
      <c r="U261" t="s">
        <v>1024</v>
      </c>
      <c r="V261" t="s">
        <v>1024</v>
      </c>
      <c r="W261" t="s">
        <v>983</v>
      </c>
      <c r="X261">
        <v>0</v>
      </c>
    </row>
    <row r="262" spans="1:24" x14ac:dyDescent="0.3">
      <c r="A262" s="55" t="str">
        <f t="shared" ref="A262:A324" si="15">B262&amp;"_"&amp;C262</f>
        <v>INSTRUMENT_PD_IFRS9_LFTM_INCPTN</v>
      </c>
      <c r="B262" t="s">
        <v>659</v>
      </c>
      <c r="C262" t="s">
        <v>351</v>
      </c>
      <c r="D262" t="s">
        <v>1</v>
      </c>
      <c r="E262" t="s">
        <v>24</v>
      </c>
      <c r="F262" t="s">
        <v>53</v>
      </c>
      <c r="G262" t="s">
        <v>54</v>
      </c>
      <c r="I262" t="s">
        <v>7</v>
      </c>
      <c r="J262" s="15">
        <v>45450</v>
      </c>
      <c r="K262" t="s">
        <v>24</v>
      </c>
      <c r="L262" t="str">
        <f t="shared" si="14"/>
        <v>OK</v>
      </c>
      <c r="M262" t="s">
        <v>866</v>
      </c>
      <c r="N262" s="15"/>
      <c r="O262" s="15"/>
      <c r="P262" t="s">
        <v>55</v>
      </c>
      <c r="Q262" t="s">
        <v>1023</v>
      </c>
      <c r="R262" t="s">
        <v>1024</v>
      </c>
      <c r="S262" t="s">
        <v>1024</v>
      </c>
      <c r="T262" t="s">
        <v>1024</v>
      </c>
      <c r="U262" t="s">
        <v>1024</v>
      </c>
      <c r="V262" t="s">
        <v>1023</v>
      </c>
      <c r="W262" t="s">
        <v>983</v>
      </c>
      <c r="X262" t="s">
        <v>1025</v>
      </c>
    </row>
    <row r="263" spans="1:24" x14ac:dyDescent="0.3">
      <c r="A263" s="55" t="str">
        <f t="shared" si="15"/>
        <v>INSTRUMENT_PD_IFRS9_RMNNG_LFTM_INCPTN</v>
      </c>
      <c r="B263" t="s">
        <v>659</v>
      </c>
      <c r="C263" t="s">
        <v>352</v>
      </c>
      <c r="D263" t="s">
        <v>1</v>
      </c>
      <c r="E263" t="s">
        <v>24</v>
      </c>
      <c r="F263" t="s">
        <v>53</v>
      </c>
      <c r="G263" t="s">
        <v>54</v>
      </c>
      <c r="I263" t="s">
        <v>7</v>
      </c>
      <c r="J263" s="15">
        <v>45450</v>
      </c>
      <c r="K263" t="s">
        <v>24</v>
      </c>
      <c r="L263" t="str">
        <f t="shared" si="14"/>
        <v>OK</v>
      </c>
      <c r="M263" t="s">
        <v>866</v>
      </c>
      <c r="N263" s="15"/>
      <c r="O263" s="15"/>
      <c r="P263" t="s">
        <v>55</v>
      </c>
      <c r="Q263" t="s">
        <v>1023</v>
      </c>
      <c r="R263" t="s">
        <v>1024</v>
      </c>
      <c r="S263" t="s">
        <v>1024</v>
      </c>
      <c r="T263" t="s">
        <v>1024</v>
      </c>
      <c r="U263" t="s">
        <v>1024</v>
      </c>
      <c r="V263" t="s">
        <v>1023</v>
      </c>
      <c r="W263" t="s">
        <v>983</v>
      </c>
      <c r="X263" t="s">
        <v>1025</v>
      </c>
    </row>
    <row r="264" spans="1:24" x14ac:dyDescent="0.3">
      <c r="A264" s="55" t="str">
        <f t="shared" si="15"/>
        <v>INSTRUMENT_PD_IFRS9_RMNNG_LFTM_RD</v>
      </c>
      <c r="B264" t="s">
        <v>659</v>
      </c>
      <c r="C264" t="s">
        <v>353</v>
      </c>
      <c r="D264" t="s">
        <v>1</v>
      </c>
      <c r="E264" t="s">
        <v>24</v>
      </c>
      <c r="F264" t="s">
        <v>53</v>
      </c>
      <c r="G264" t="s">
        <v>54</v>
      </c>
      <c r="I264" t="s">
        <v>7</v>
      </c>
      <c r="J264" s="15">
        <v>45450</v>
      </c>
      <c r="K264" t="s">
        <v>24</v>
      </c>
      <c r="L264" t="str">
        <f t="shared" si="14"/>
        <v>OK</v>
      </c>
      <c r="M264" t="s">
        <v>866</v>
      </c>
      <c r="N264" s="15"/>
      <c r="O264" s="15"/>
      <c r="P264" t="s">
        <v>55</v>
      </c>
      <c r="Q264" t="s">
        <v>1023</v>
      </c>
      <c r="R264" t="s">
        <v>1024</v>
      </c>
      <c r="S264" t="s">
        <v>1024</v>
      </c>
      <c r="T264" t="s">
        <v>1024</v>
      </c>
      <c r="U264" t="s">
        <v>1024</v>
      </c>
      <c r="V264" t="s">
        <v>1023</v>
      </c>
      <c r="W264" t="s">
        <v>983</v>
      </c>
      <c r="X264" t="s">
        <v>1025</v>
      </c>
    </row>
    <row r="265" spans="1:24" x14ac:dyDescent="0.3">
      <c r="A265" s="55" t="str">
        <f t="shared" si="15"/>
        <v>INSTRUMENT_PMNT_PBLC_GRNT_SCHM_C19</v>
      </c>
      <c r="B265" t="s">
        <v>659</v>
      </c>
      <c r="C265" t="s">
        <v>354</v>
      </c>
      <c r="D265" t="s">
        <v>0</v>
      </c>
      <c r="E265" t="s">
        <v>24</v>
      </c>
      <c r="F265" t="s">
        <v>53</v>
      </c>
      <c r="G265" t="s">
        <v>54</v>
      </c>
      <c r="I265" t="s">
        <v>7</v>
      </c>
      <c r="J265" s="15">
        <v>45450</v>
      </c>
      <c r="K265" t="s">
        <v>24</v>
      </c>
      <c r="L265" t="str">
        <f t="shared" si="14"/>
        <v>OK</v>
      </c>
      <c r="N265" s="15"/>
      <c r="O265" s="15"/>
      <c r="P265" t="s">
        <v>55</v>
      </c>
      <c r="Q265" t="s">
        <v>1023</v>
      </c>
      <c r="R265" t="s">
        <v>1024</v>
      </c>
      <c r="S265" t="s">
        <v>1024</v>
      </c>
      <c r="T265" t="s">
        <v>1024</v>
      </c>
      <c r="U265" t="s">
        <v>1024</v>
      </c>
      <c r="V265" t="s">
        <v>1024</v>
      </c>
      <c r="W265" t="s">
        <v>983</v>
      </c>
      <c r="X265">
        <v>0</v>
      </c>
    </row>
    <row r="266" spans="1:24" x14ac:dyDescent="0.3">
      <c r="A266" s="55" t="str">
        <f t="shared" si="15"/>
        <v>INSTRUMENT_DT_FRBRNC_STTS</v>
      </c>
      <c r="B266" t="s">
        <v>659</v>
      </c>
      <c r="C266" t="s">
        <v>162</v>
      </c>
      <c r="D266" t="s">
        <v>1</v>
      </c>
      <c r="E266" t="s">
        <v>10</v>
      </c>
      <c r="F266" t="s">
        <v>67</v>
      </c>
      <c r="G266" t="s">
        <v>163</v>
      </c>
      <c r="H266" t="s">
        <v>164</v>
      </c>
      <c r="I266" t="s">
        <v>11</v>
      </c>
      <c r="J266" s="15">
        <v>45450</v>
      </c>
      <c r="K266" t="s">
        <v>10</v>
      </c>
      <c r="L266" t="str">
        <f t="shared" si="14"/>
        <v>NOK</v>
      </c>
      <c r="P266" t="s">
        <v>13</v>
      </c>
      <c r="Q266" t="s">
        <v>1023</v>
      </c>
      <c r="R266" t="s">
        <v>1024</v>
      </c>
      <c r="S266" t="s">
        <v>1024</v>
      </c>
      <c r="T266" t="s">
        <v>1024</v>
      </c>
      <c r="U266" t="s">
        <v>1024</v>
      </c>
      <c r="V266" t="s">
        <v>1023</v>
      </c>
      <c r="W266" t="s">
        <v>1022</v>
      </c>
      <c r="X266" t="s">
        <v>1028</v>
      </c>
    </row>
    <row r="267" spans="1:24" x14ac:dyDescent="0.3">
      <c r="A267" s="55" t="str">
        <f t="shared" si="15"/>
        <v>INSTRUMENT_PRCH_UNDR_RSL_AGR</v>
      </c>
      <c r="B267" t="s">
        <v>659</v>
      </c>
      <c r="C267" t="s">
        <v>356</v>
      </c>
      <c r="D267" t="s">
        <v>0</v>
      </c>
      <c r="E267" t="s">
        <v>24</v>
      </c>
      <c r="F267" t="s">
        <v>53</v>
      </c>
      <c r="G267" t="s">
        <v>54</v>
      </c>
      <c r="I267" t="s">
        <v>7</v>
      </c>
      <c r="J267" s="15">
        <v>45450</v>
      </c>
      <c r="K267" t="s">
        <v>24</v>
      </c>
      <c r="L267" t="str">
        <f t="shared" si="14"/>
        <v>OK</v>
      </c>
      <c r="N267" s="15"/>
      <c r="O267" s="15"/>
      <c r="P267" t="s">
        <v>55</v>
      </c>
      <c r="Q267" t="s">
        <v>1023</v>
      </c>
      <c r="R267" t="s">
        <v>1024</v>
      </c>
      <c r="S267" t="s">
        <v>1024</v>
      </c>
      <c r="T267" t="s">
        <v>1024</v>
      </c>
      <c r="U267" t="s">
        <v>1024</v>
      </c>
      <c r="V267" t="s">
        <v>1024</v>
      </c>
      <c r="W267" t="s">
        <v>983</v>
      </c>
      <c r="X267">
        <v>0</v>
      </c>
    </row>
    <row r="268" spans="1:24" x14ac:dyDescent="0.3">
      <c r="A268" s="55" t="str">
        <f t="shared" si="15"/>
        <v>INSTRUMENT_PRDCT</v>
      </c>
      <c r="B268" t="s">
        <v>659</v>
      </c>
      <c r="C268" t="s">
        <v>357</v>
      </c>
      <c r="D268" t="s">
        <v>1</v>
      </c>
      <c r="E268" t="s">
        <v>24</v>
      </c>
      <c r="F268" t="s">
        <v>53</v>
      </c>
      <c r="G268" t="s">
        <v>54</v>
      </c>
      <c r="I268" t="s">
        <v>7</v>
      </c>
      <c r="J268" s="15">
        <v>45450</v>
      </c>
      <c r="K268" t="s">
        <v>24</v>
      </c>
      <c r="L268" t="str">
        <f t="shared" si="14"/>
        <v>OK</v>
      </c>
      <c r="N268" s="15"/>
      <c r="O268" s="15"/>
      <c r="P268" t="s">
        <v>55</v>
      </c>
      <c r="Q268" t="s">
        <v>1023</v>
      </c>
      <c r="R268" t="s">
        <v>1024</v>
      </c>
      <c r="S268" t="s">
        <v>1024</v>
      </c>
      <c r="T268" t="s">
        <v>1023</v>
      </c>
      <c r="U268" t="s">
        <v>1024</v>
      </c>
      <c r="V268" t="s">
        <v>1024</v>
      </c>
      <c r="W268" t="s">
        <v>983</v>
      </c>
      <c r="X268">
        <v>0</v>
      </c>
    </row>
    <row r="269" spans="1:24" x14ac:dyDescent="0.3">
      <c r="A269" s="55" t="str">
        <f t="shared" si="15"/>
        <v>INSTRUMENT_PRDNTL_PRTFL</v>
      </c>
      <c r="B269" t="s">
        <v>659</v>
      </c>
      <c r="C269" t="s">
        <v>358</v>
      </c>
      <c r="D269" t="s">
        <v>0</v>
      </c>
      <c r="E269" t="s">
        <v>24</v>
      </c>
      <c r="F269" t="s">
        <v>53</v>
      </c>
      <c r="G269" t="s">
        <v>54</v>
      </c>
      <c r="I269" t="s">
        <v>7</v>
      </c>
      <c r="J269" s="15">
        <v>45450</v>
      </c>
      <c r="K269" t="s">
        <v>24</v>
      </c>
      <c r="L269" t="str">
        <f t="shared" si="14"/>
        <v>OK</v>
      </c>
      <c r="N269" s="15"/>
      <c r="O269" s="15"/>
      <c r="P269" t="s">
        <v>55</v>
      </c>
      <c r="Q269" t="s">
        <v>1023</v>
      </c>
      <c r="R269" t="s">
        <v>1024</v>
      </c>
      <c r="S269" t="s">
        <v>1024</v>
      </c>
      <c r="T269" t="s">
        <v>1024</v>
      </c>
      <c r="U269" t="s">
        <v>1024</v>
      </c>
      <c r="V269" t="s">
        <v>1023</v>
      </c>
      <c r="W269" t="s">
        <v>983</v>
      </c>
      <c r="X269" t="s">
        <v>1025</v>
      </c>
    </row>
    <row r="270" spans="1:24" x14ac:dyDescent="0.3">
      <c r="A270" s="55" t="str">
        <f t="shared" si="15"/>
        <v>INSTRUMENT_PRFRMNG_STTS</v>
      </c>
      <c r="B270" t="s">
        <v>659</v>
      </c>
      <c r="C270" s="11" t="s">
        <v>359</v>
      </c>
      <c r="D270" t="s">
        <v>1</v>
      </c>
      <c r="E270" t="s">
        <v>14</v>
      </c>
      <c r="F270" t="s">
        <v>67</v>
      </c>
      <c r="G270" t="s">
        <v>74</v>
      </c>
      <c r="I270" t="s">
        <v>15</v>
      </c>
      <c r="J270" s="15">
        <v>45670</v>
      </c>
      <c r="K270" t="s">
        <v>831</v>
      </c>
      <c r="L270" t="str">
        <f t="shared" si="14"/>
        <v>NOK</v>
      </c>
      <c r="M270" t="s">
        <v>1035</v>
      </c>
      <c r="N270" s="15">
        <v>45562</v>
      </c>
      <c r="O270" s="15"/>
      <c r="P270" t="s">
        <v>25</v>
      </c>
      <c r="Q270" t="s">
        <v>1023</v>
      </c>
      <c r="R270" t="s">
        <v>1023</v>
      </c>
      <c r="S270" t="s">
        <v>1023</v>
      </c>
      <c r="T270" t="s">
        <v>1024</v>
      </c>
      <c r="U270" t="s">
        <v>1024</v>
      </c>
      <c r="V270" t="s">
        <v>1023</v>
      </c>
      <c r="W270" t="s">
        <v>983</v>
      </c>
      <c r="X270" t="s">
        <v>1032</v>
      </c>
    </row>
    <row r="271" spans="1:24" x14ac:dyDescent="0.3">
      <c r="A271" s="55" t="str">
        <f t="shared" si="15"/>
        <v>ENTITY_PRFRMNG_STTS_LE</v>
      </c>
      <c r="B271" t="s">
        <v>867</v>
      </c>
      <c r="C271" t="s">
        <v>360</v>
      </c>
      <c r="D271" t="s">
        <v>1</v>
      </c>
      <c r="E271" t="s">
        <v>24</v>
      </c>
      <c r="F271" t="s">
        <v>53</v>
      </c>
      <c r="G271" t="s">
        <v>54</v>
      </c>
      <c r="I271" t="s">
        <v>7</v>
      </c>
      <c r="J271" s="15">
        <v>45450</v>
      </c>
      <c r="K271" t="s">
        <v>24</v>
      </c>
      <c r="L271" t="str">
        <f t="shared" si="14"/>
        <v>OK</v>
      </c>
      <c r="N271" s="15"/>
      <c r="O271" s="15"/>
      <c r="P271" t="s">
        <v>55</v>
      </c>
      <c r="Q271" t="s">
        <v>1023</v>
      </c>
      <c r="R271" t="s">
        <v>1024</v>
      </c>
      <c r="S271" t="s">
        <v>1024</v>
      </c>
      <c r="T271" t="s">
        <v>1024</v>
      </c>
      <c r="U271" t="s">
        <v>1024</v>
      </c>
      <c r="V271" t="s">
        <v>1023</v>
      </c>
      <c r="W271" t="s">
        <v>983</v>
      </c>
      <c r="X271" t="s">
        <v>1025</v>
      </c>
    </row>
    <row r="272" spans="1:24" x14ac:dyDescent="0.3">
      <c r="A272" s="55" t="str">
        <f t="shared" si="15"/>
        <v>INSTRUMENT_PRFRMNG_STTS_PRVS</v>
      </c>
      <c r="B272" t="s">
        <v>659</v>
      </c>
      <c r="C272" s="11" t="s">
        <v>361</v>
      </c>
      <c r="D272" t="s">
        <v>1</v>
      </c>
      <c r="E272" t="s">
        <v>831</v>
      </c>
      <c r="F272" t="s">
        <v>53</v>
      </c>
      <c r="G272" t="s">
        <v>139</v>
      </c>
      <c r="I272" t="s">
        <v>15</v>
      </c>
      <c r="J272" s="15">
        <v>45670</v>
      </c>
      <c r="K272" t="s">
        <v>831</v>
      </c>
      <c r="L272" t="str">
        <f t="shared" si="14"/>
        <v>OK</v>
      </c>
      <c r="M272" t="s">
        <v>1035</v>
      </c>
      <c r="N272" s="15">
        <v>45562</v>
      </c>
      <c r="O272" s="15"/>
      <c r="P272" t="s">
        <v>25</v>
      </c>
      <c r="Q272" t="s">
        <v>1023</v>
      </c>
      <c r="R272" t="s">
        <v>1024</v>
      </c>
      <c r="S272" t="s">
        <v>1024</v>
      </c>
      <c r="T272" t="s">
        <v>1024</v>
      </c>
      <c r="U272" t="s">
        <v>1024</v>
      </c>
      <c r="V272" t="s">
        <v>1023</v>
      </c>
      <c r="W272" t="s">
        <v>983</v>
      </c>
      <c r="X272" t="s">
        <v>1032</v>
      </c>
    </row>
    <row r="273" spans="1:24" x14ac:dyDescent="0.3">
      <c r="A273" s="55" t="str">
        <f t="shared" si="15"/>
        <v>INSTRUMENT_PRJCT_FNNC_LN</v>
      </c>
      <c r="B273" t="s">
        <v>659</v>
      </c>
      <c r="C273" t="s">
        <v>362</v>
      </c>
      <c r="D273" t="s">
        <v>1</v>
      </c>
      <c r="E273" t="s">
        <v>24</v>
      </c>
      <c r="F273" t="s">
        <v>53</v>
      </c>
      <c r="G273" t="s">
        <v>54</v>
      </c>
      <c r="I273" t="s">
        <v>7</v>
      </c>
      <c r="J273" s="15">
        <v>45450</v>
      </c>
      <c r="K273" t="s">
        <v>24</v>
      </c>
      <c r="L273" t="str">
        <f t="shared" si="14"/>
        <v>OK</v>
      </c>
      <c r="P273" t="s">
        <v>55</v>
      </c>
      <c r="Q273" t="s">
        <v>1023</v>
      </c>
      <c r="R273" t="s">
        <v>1024</v>
      </c>
      <c r="S273" t="s">
        <v>1023</v>
      </c>
      <c r="T273" t="s">
        <v>1024</v>
      </c>
      <c r="U273" t="s">
        <v>1024</v>
      </c>
      <c r="V273" t="s">
        <v>1024</v>
      </c>
      <c r="W273" t="s">
        <v>983</v>
      </c>
      <c r="X273">
        <v>0</v>
      </c>
    </row>
    <row r="274" spans="1:24" x14ac:dyDescent="0.3">
      <c r="A274" s="55" t="str">
        <f>B274&amp;"_"&amp;C274</f>
        <v>PROTECTION_PRM_LCTN</v>
      </c>
      <c r="B274" t="s">
        <v>870</v>
      </c>
      <c r="C274" s="10" t="s">
        <v>363</v>
      </c>
      <c r="D274" t="s">
        <v>0</v>
      </c>
      <c r="E274" t="s">
        <v>831</v>
      </c>
      <c r="F274" t="s">
        <v>67</v>
      </c>
      <c r="G274" t="s">
        <v>275</v>
      </c>
      <c r="I274" t="s">
        <v>7</v>
      </c>
      <c r="J274" s="15">
        <v>45670</v>
      </c>
      <c r="K274" t="s">
        <v>24</v>
      </c>
      <c r="L274" t="s">
        <v>53</v>
      </c>
      <c r="M274" t="s">
        <v>364</v>
      </c>
      <c r="N274" s="15">
        <v>45471</v>
      </c>
      <c r="O274" s="15">
        <v>45646</v>
      </c>
      <c r="P274" t="s">
        <v>19</v>
      </c>
      <c r="Q274" t="s">
        <v>1023</v>
      </c>
      <c r="R274" t="s">
        <v>1024</v>
      </c>
      <c r="S274" t="s">
        <v>1024</v>
      </c>
      <c r="T274" t="s">
        <v>1024</v>
      </c>
      <c r="U274" t="s">
        <v>1024</v>
      </c>
      <c r="V274" t="s">
        <v>1024</v>
      </c>
      <c r="W274" t="s">
        <v>983</v>
      </c>
      <c r="X274">
        <v>0</v>
      </c>
    </row>
    <row r="275" spans="1:24" x14ac:dyDescent="0.3">
      <c r="A275" s="55" t="str">
        <f t="shared" si="15"/>
        <v>INSTRUMENT_PRMRY_ASST_CLSSF</v>
      </c>
      <c r="B275" t="s">
        <v>659</v>
      </c>
      <c r="C275" t="s">
        <v>365</v>
      </c>
      <c r="D275" t="s">
        <v>0</v>
      </c>
      <c r="E275" t="s">
        <v>24</v>
      </c>
      <c r="F275" t="s">
        <v>53</v>
      </c>
      <c r="G275" t="s">
        <v>54</v>
      </c>
      <c r="I275" t="s">
        <v>7</v>
      </c>
      <c r="J275" s="15">
        <v>45450</v>
      </c>
      <c r="K275" t="s">
        <v>24</v>
      </c>
      <c r="L275" t="str">
        <f t="shared" ref="L275:L286" si="16">F275</f>
        <v>OK</v>
      </c>
      <c r="P275" t="s">
        <v>55</v>
      </c>
      <c r="Q275" t="s">
        <v>1023</v>
      </c>
      <c r="R275" t="s">
        <v>1024</v>
      </c>
      <c r="S275" t="s">
        <v>1023</v>
      </c>
      <c r="T275" t="s">
        <v>1024</v>
      </c>
      <c r="U275" t="s">
        <v>1024</v>
      </c>
      <c r="V275" t="s">
        <v>1024</v>
      </c>
      <c r="W275" t="s">
        <v>983</v>
      </c>
      <c r="X275">
        <v>0</v>
      </c>
    </row>
    <row r="276" spans="1:24" x14ac:dyDescent="0.3">
      <c r="A276" s="55" t="str">
        <f t="shared" si="15"/>
        <v>INSTRUMENT_PRPS</v>
      </c>
      <c r="B276" t="s">
        <v>659</v>
      </c>
      <c r="C276" t="s">
        <v>366</v>
      </c>
      <c r="D276" t="s">
        <v>1</v>
      </c>
      <c r="E276" t="s">
        <v>24</v>
      </c>
      <c r="F276" t="s">
        <v>53</v>
      </c>
      <c r="G276" t="s">
        <v>54</v>
      </c>
      <c r="I276" t="s">
        <v>7</v>
      </c>
      <c r="J276" s="15">
        <v>45450</v>
      </c>
      <c r="K276" t="s">
        <v>24</v>
      </c>
      <c r="L276" t="str">
        <f t="shared" si="16"/>
        <v>OK</v>
      </c>
      <c r="P276" t="s">
        <v>55</v>
      </c>
      <c r="Q276" t="s">
        <v>1023</v>
      </c>
      <c r="R276" t="s">
        <v>1024</v>
      </c>
      <c r="S276" t="s">
        <v>1024</v>
      </c>
      <c r="T276" t="s">
        <v>1024</v>
      </c>
      <c r="U276" t="s">
        <v>1024</v>
      </c>
      <c r="V276" t="s">
        <v>1023</v>
      </c>
      <c r="W276" t="s">
        <v>983</v>
      </c>
      <c r="X276" t="s">
        <v>1025</v>
      </c>
    </row>
    <row r="277" spans="1:24" x14ac:dyDescent="0.3">
      <c r="A277" s="55" t="str">
        <f t="shared" si="15"/>
        <v>ENTITY_PRSN_TYP</v>
      </c>
      <c r="B277" t="s">
        <v>867</v>
      </c>
      <c r="C277" t="s">
        <v>367</v>
      </c>
      <c r="D277" t="s">
        <v>0</v>
      </c>
      <c r="E277" t="s">
        <v>829</v>
      </c>
      <c r="F277" t="s">
        <v>53</v>
      </c>
      <c r="G277" t="s">
        <v>89</v>
      </c>
      <c r="I277" t="s">
        <v>11</v>
      </c>
      <c r="J277" s="15">
        <v>45460</v>
      </c>
      <c r="K277" t="s">
        <v>831</v>
      </c>
      <c r="L277" t="str">
        <f t="shared" si="16"/>
        <v>OK</v>
      </c>
      <c r="N277" s="15">
        <v>45303</v>
      </c>
      <c r="O277" s="15">
        <v>45372</v>
      </c>
      <c r="P277" t="s">
        <v>17</v>
      </c>
      <c r="Q277" t="s">
        <v>1023</v>
      </c>
      <c r="R277" t="s">
        <v>1024</v>
      </c>
      <c r="S277" t="s">
        <v>1024</v>
      </c>
      <c r="T277" t="s">
        <v>1024</v>
      </c>
      <c r="U277" t="s">
        <v>1024</v>
      </c>
      <c r="V277" t="s">
        <v>1024</v>
      </c>
      <c r="W277" t="s">
        <v>983</v>
      </c>
      <c r="X277">
        <v>0</v>
      </c>
    </row>
    <row r="278" spans="1:24" x14ac:dyDescent="0.3">
      <c r="A278" s="55" t="str">
        <f t="shared" si="15"/>
        <v>INSTRUMENT_PRT_LCR_BFFR</v>
      </c>
      <c r="B278" t="s">
        <v>659</v>
      </c>
      <c r="C278" t="s">
        <v>368</v>
      </c>
      <c r="D278" t="s">
        <v>0</v>
      </c>
      <c r="E278" t="s">
        <v>24</v>
      </c>
      <c r="F278" t="s">
        <v>53</v>
      </c>
      <c r="G278" t="s">
        <v>54</v>
      </c>
      <c r="I278" t="s">
        <v>7</v>
      </c>
      <c r="J278" s="15">
        <v>45450</v>
      </c>
      <c r="K278" t="s">
        <v>24</v>
      </c>
      <c r="L278" t="str">
        <f t="shared" si="16"/>
        <v>OK</v>
      </c>
      <c r="P278" t="s">
        <v>55</v>
      </c>
      <c r="Q278" t="s">
        <v>1023</v>
      </c>
      <c r="R278" t="s">
        <v>1024</v>
      </c>
      <c r="S278" t="s">
        <v>1024</v>
      </c>
      <c r="T278" t="s">
        <v>1024</v>
      </c>
      <c r="U278" t="s">
        <v>1024</v>
      </c>
      <c r="V278" t="s">
        <v>1024</v>
      </c>
      <c r="W278" t="s">
        <v>983</v>
      </c>
      <c r="X278">
        <v>0</v>
      </c>
    </row>
    <row r="279" spans="1:24" x14ac:dyDescent="0.3">
      <c r="A279" s="55" t="str">
        <f t="shared" si="15"/>
        <v>INSTR_PROTECTION_PRTCTN_ALLCTD_VL</v>
      </c>
      <c r="B279" t="s">
        <v>869</v>
      </c>
      <c r="C279" t="s">
        <v>369</v>
      </c>
      <c r="D279" t="s">
        <v>1</v>
      </c>
      <c r="E279" t="s">
        <v>24</v>
      </c>
      <c r="F279" t="s">
        <v>53</v>
      </c>
      <c r="G279" t="s">
        <v>54</v>
      </c>
      <c r="I279" t="s">
        <v>7</v>
      </c>
      <c r="J279" s="15">
        <v>45450</v>
      </c>
      <c r="K279" t="s">
        <v>24</v>
      </c>
      <c r="L279" t="str">
        <f t="shared" si="16"/>
        <v>OK</v>
      </c>
      <c r="P279" t="s">
        <v>55</v>
      </c>
      <c r="Q279" t="s">
        <v>1023</v>
      </c>
      <c r="R279" t="s">
        <v>1024</v>
      </c>
      <c r="S279" t="s">
        <v>1023</v>
      </c>
      <c r="T279" t="s">
        <v>1024</v>
      </c>
      <c r="U279" t="s">
        <v>1024</v>
      </c>
      <c r="V279" t="s">
        <v>1024</v>
      </c>
      <c r="W279" t="s">
        <v>983</v>
      </c>
      <c r="X279">
        <v>0</v>
      </c>
    </row>
    <row r="280" spans="1:24" x14ac:dyDescent="0.3">
      <c r="A280" s="55" t="str">
        <f t="shared" si="15"/>
        <v>PROTECTION_PRTCTN_CLLD</v>
      </c>
      <c r="B280" t="s">
        <v>870</v>
      </c>
      <c r="C280" t="s">
        <v>370</v>
      </c>
      <c r="D280" t="s">
        <v>1</v>
      </c>
      <c r="E280" t="s">
        <v>21</v>
      </c>
      <c r="F280" t="s">
        <v>67</v>
      </c>
      <c r="G280" t="s">
        <v>78</v>
      </c>
      <c r="I280" t="s">
        <v>11</v>
      </c>
      <c r="J280" s="15">
        <v>45450</v>
      </c>
      <c r="K280" t="s">
        <v>21</v>
      </c>
      <c r="L280" t="str">
        <f t="shared" si="16"/>
        <v>NOK</v>
      </c>
      <c r="P280" t="s">
        <v>9</v>
      </c>
      <c r="Q280" t="s">
        <v>1023</v>
      </c>
      <c r="R280" t="s">
        <v>1024</v>
      </c>
      <c r="S280" t="s">
        <v>1024</v>
      </c>
      <c r="T280" t="s">
        <v>1024</v>
      </c>
      <c r="U280" t="s">
        <v>1024</v>
      </c>
      <c r="V280" t="s">
        <v>1024</v>
      </c>
      <c r="W280" t="s">
        <v>983</v>
      </c>
      <c r="X280">
        <v>0</v>
      </c>
    </row>
    <row r="281" spans="1:24" x14ac:dyDescent="0.3">
      <c r="A281" s="55" t="str">
        <f t="shared" si="15"/>
        <v>PROTECTION_PRTCTN_FRCD_SL_VL</v>
      </c>
      <c r="B281" t="s">
        <v>870</v>
      </c>
      <c r="C281" t="s">
        <v>371</v>
      </c>
      <c r="D281" t="s">
        <v>1</v>
      </c>
      <c r="E281" t="s">
        <v>24</v>
      </c>
      <c r="F281" t="s">
        <v>53</v>
      </c>
      <c r="G281" t="s">
        <v>54</v>
      </c>
      <c r="I281" t="s">
        <v>7</v>
      </c>
      <c r="J281" s="15">
        <v>45450</v>
      </c>
      <c r="K281" t="s">
        <v>24</v>
      </c>
      <c r="L281" t="str">
        <f t="shared" si="16"/>
        <v>OK</v>
      </c>
      <c r="P281" t="s">
        <v>55</v>
      </c>
      <c r="Q281" t="s">
        <v>1023</v>
      </c>
      <c r="R281" t="s">
        <v>1024</v>
      </c>
      <c r="S281" t="s">
        <v>1024</v>
      </c>
      <c r="T281" t="s">
        <v>1024</v>
      </c>
      <c r="U281" t="s">
        <v>1024</v>
      </c>
      <c r="V281" t="s">
        <v>1024</v>
      </c>
      <c r="W281" t="s">
        <v>983</v>
      </c>
      <c r="X281">
        <v>0</v>
      </c>
    </row>
    <row r="282" spans="1:24" x14ac:dyDescent="0.3">
      <c r="A282" s="55" t="str">
        <f t="shared" si="15"/>
        <v>INSTR_PROTECTION_PRTCTN_ID</v>
      </c>
      <c r="B282" t="s">
        <v>869</v>
      </c>
      <c r="C282" t="s">
        <v>372</v>
      </c>
      <c r="D282" t="s">
        <v>1</v>
      </c>
      <c r="E282" t="s">
        <v>21</v>
      </c>
      <c r="F282" t="s">
        <v>67</v>
      </c>
      <c r="G282" t="s">
        <v>78</v>
      </c>
      <c r="I282" t="s">
        <v>11</v>
      </c>
      <c r="J282" s="15">
        <v>45450</v>
      </c>
      <c r="K282" t="s">
        <v>21</v>
      </c>
      <c r="L282" t="str">
        <f t="shared" si="16"/>
        <v>NOK</v>
      </c>
      <c r="P282" t="s">
        <v>9</v>
      </c>
      <c r="Q282" t="s">
        <v>1023</v>
      </c>
      <c r="R282" t="s">
        <v>1023</v>
      </c>
      <c r="S282" t="s">
        <v>1023</v>
      </c>
      <c r="T282" t="s">
        <v>1024</v>
      </c>
      <c r="U282" t="s">
        <v>1024</v>
      </c>
      <c r="V282" t="s">
        <v>1024</v>
      </c>
      <c r="W282" t="s">
        <v>983</v>
      </c>
      <c r="X282">
        <v>0</v>
      </c>
    </row>
    <row r="283" spans="1:24" x14ac:dyDescent="0.3">
      <c r="A283" s="55" t="str">
        <f t="shared" si="15"/>
        <v>PROTECTION_PRTCTN_ID</v>
      </c>
      <c r="B283" t="s">
        <v>870</v>
      </c>
      <c r="C283" t="s">
        <v>372</v>
      </c>
      <c r="D283" t="s">
        <v>1</v>
      </c>
      <c r="E283" t="s">
        <v>21</v>
      </c>
      <c r="F283" t="s">
        <v>67</v>
      </c>
      <c r="G283" t="s">
        <v>78</v>
      </c>
      <c r="I283" t="s">
        <v>11</v>
      </c>
      <c r="J283" s="15">
        <v>45450</v>
      </c>
      <c r="K283" t="s">
        <v>21</v>
      </c>
      <c r="L283" t="str">
        <f t="shared" si="16"/>
        <v>NOK</v>
      </c>
      <c r="P283" t="s">
        <v>9</v>
      </c>
      <c r="Q283" t="s">
        <v>1023</v>
      </c>
      <c r="R283" t="s">
        <v>1023</v>
      </c>
      <c r="S283" t="s">
        <v>1023</v>
      </c>
      <c r="T283" t="s">
        <v>1024</v>
      </c>
      <c r="U283" t="s">
        <v>1023</v>
      </c>
      <c r="V283" t="s">
        <v>1024</v>
      </c>
      <c r="W283" t="s">
        <v>983</v>
      </c>
      <c r="X283">
        <v>0</v>
      </c>
    </row>
    <row r="284" spans="1:24" x14ac:dyDescent="0.3">
      <c r="A284" s="55" t="str">
        <f t="shared" si="15"/>
        <v>PROTECTION_PRTCTN_PRVDR_ID</v>
      </c>
      <c r="B284" t="s">
        <v>870</v>
      </c>
      <c r="C284" t="s">
        <v>373</v>
      </c>
      <c r="D284" t="s">
        <v>1</v>
      </c>
      <c r="E284" t="s">
        <v>21</v>
      </c>
      <c r="F284" t="s">
        <v>67</v>
      </c>
      <c r="G284" t="s">
        <v>78</v>
      </c>
      <c r="I284" t="s">
        <v>11</v>
      </c>
      <c r="J284" s="15">
        <v>45450</v>
      </c>
      <c r="K284" t="s">
        <v>21</v>
      </c>
      <c r="L284" t="str">
        <f t="shared" si="16"/>
        <v>NOK</v>
      </c>
      <c r="P284" t="s">
        <v>9</v>
      </c>
      <c r="Q284" t="s">
        <v>1023</v>
      </c>
      <c r="R284" t="s">
        <v>1024</v>
      </c>
      <c r="S284" t="s">
        <v>1024</v>
      </c>
      <c r="T284" t="s">
        <v>1024</v>
      </c>
      <c r="U284" t="s">
        <v>1024</v>
      </c>
      <c r="V284" t="s">
        <v>1024</v>
      </c>
      <c r="W284" t="s">
        <v>983</v>
      </c>
      <c r="X284">
        <v>0</v>
      </c>
    </row>
    <row r="285" spans="1:24" x14ac:dyDescent="0.3">
      <c r="A285" s="55" t="str">
        <f t="shared" si="15"/>
        <v>PROTECTION_PRTCTN_TYP_PBLC_GRNT_SCHM_C19</v>
      </c>
      <c r="B285" t="s">
        <v>870</v>
      </c>
      <c r="C285" t="s">
        <v>374</v>
      </c>
      <c r="D285" t="s">
        <v>0</v>
      </c>
      <c r="E285" t="s">
        <v>21</v>
      </c>
      <c r="F285" t="s">
        <v>67</v>
      </c>
      <c r="G285" t="s">
        <v>78</v>
      </c>
      <c r="I285" t="s">
        <v>11</v>
      </c>
      <c r="J285" s="15">
        <v>45450</v>
      </c>
      <c r="K285" t="s">
        <v>21</v>
      </c>
      <c r="L285" t="str">
        <f t="shared" si="16"/>
        <v>NOK</v>
      </c>
      <c r="P285" t="s">
        <v>9</v>
      </c>
      <c r="Q285" t="s">
        <v>1023</v>
      </c>
      <c r="R285" t="s">
        <v>1024</v>
      </c>
      <c r="S285" t="s">
        <v>1024</v>
      </c>
      <c r="T285" t="s">
        <v>1024</v>
      </c>
      <c r="U285" t="s">
        <v>1024</v>
      </c>
      <c r="V285" t="s">
        <v>1024</v>
      </c>
      <c r="W285" t="s">
        <v>983</v>
      </c>
      <c r="X285">
        <v>0</v>
      </c>
    </row>
    <row r="286" spans="1:24" x14ac:dyDescent="0.3">
      <c r="A286" s="55" t="str">
        <f t="shared" si="15"/>
        <v>ENTITY_DT_EXTRNL_RTNG</v>
      </c>
      <c r="B286" t="s">
        <v>867</v>
      </c>
      <c r="C286" s="10" t="s">
        <v>219</v>
      </c>
      <c r="D286" t="s">
        <v>1</v>
      </c>
      <c r="E286" t="s">
        <v>10</v>
      </c>
      <c r="F286" t="s">
        <v>53</v>
      </c>
      <c r="G286" t="s">
        <v>220</v>
      </c>
      <c r="H286" t="s">
        <v>221</v>
      </c>
      <c r="I286" t="s">
        <v>15</v>
      </c>
      <c r="J286" s="15">
        <v>45450</v>
      </c>
      <c r="K286" t="s">
        <v>10</v>
      </c>
      <c r="L286" t="str">
        <f t="shared" si="16"/>
        <v>OK</v>
      </c>
      <c r="P286" t="s">
        <v>22</v>
      </c>
      <c r="Q286" t="s">
        <v>1023</v>
      </c>
      <c r="R286" t="s">
        <v>1024</v>
      </c>
      <c r="S286" t="s">
        <v>1024</v>
      </c>
      <c r="T286" t="s">
        <v>1024</v>
      </c>
      <c r="U286" t="s">
        <v>1024</v>
      </c>
      <c r="V286" t="s">
        <v>1023</v>
      </c>
      <c r="W286" t="s">
        <v>1022</v>
      </c>
      <c r="X286" t="s">
        <v>1028</v>
      </c>
    </row>
    <row r="287" spans="1:24" x14ac:dyDescent="0.3">
      <c r="A287" s="55" t="str">
        <f t="shared" si="15"/>
        <v>PROTECTION_ORGNL_PRTCTN_VL</v>
      </c>
      <c r="B287" t="s">
        <v>870</v>
      </c>
      <c r="C287" s="10" t="s">
        <v>32</v>
      </c>
      <c r="D287" t="s">
        <v>1</v>
      </c>
      <c r="E287" t="s">
        <v>832</v>
      </c>
      <c r="F287" t="s">
        <v>53</v>
      </c>
      <c r="G287" t="s">
        <v>334</v>
      </c>
      <c r="H287" t="s">
        <v>337</v>
      </c>
      <c r="I287" t="s">
        <v>15</v>
      </c>
      <c r="J287" s="15">
        <v>45670</v>
      </c>
      <c r="K287" t="s">
        <v>831</v>
      </c>
      <c r="L287" t="s">
        <v>67</v>
      </c>
      <c r="M287" t="s">
        <v>827</v>
      </c>
      <c r="N287" s="15">
        <v>45555</v>
      </c>
      <c r="P287" t="s">
        <v>19</v>
      </c>
      <c r="Q287" t="s">
        <v>1023</v>
      </c>
      <c r="R287" t="s">
        <v>1024</v>
      </c>
      <c r="S287" t="s">
        <v>1023</v>
      </c>
      <c r="T287" t="s">
        <v>1024</v>
      </c>
      <c r="U287" t="s">
        <v>1024</v>
      </c>
      <c r="V287" t="s">
        <v>1024</v>
      </c>
      <c r="W287" t="s">
        <v>983</v>
      </c>
      <c r="X287">
        <v>0</v>
      </c>
    </row>
    <row r="288" spans="1:24" x14ac:dyDescent="0.3">
      <c r="A288" s="55" t="str">
        <f t="shared" si="15"/>
        <v>PROTECTION_PRTCTN_VL_PRVS</v>
      </c>
      <c r="B288" t="s">
        <v>870</v>
      </c>
      <c r="C288" t="s">
        <v>377</v>
      </c>
      <c r="D288" t="s">
        <v>1</v>
      </c>
      <c r="E288" t="s">
        <v>24</v>
      </c>
      <c r="F288" t="s">
        <v>53</v>
      </c>
      <c r="G288" t="s">
        <v>54</v>
      </c>
      <c r="I288" t="s">
        <v>7</v>
      </c>
      <c r="J288" s="15">
        <v>45450</v>
      </c>
      <c r="K288" t="s">
        <v>24</v>
      </c>
      <c r="L288" t="str">
        <f t="shared" ref="L288:L310" si="17">F288</f>
        <v>OK</v>
      </c>
      <c r="P288" t="s">
        <v>55</v>
      </c>
      <c r="Q288" t="s">
        <v>1023</v>
      </c>
      <c r="R288" t="s">
        <v>1024</v>
      </c>
      <c r="S288" t="s">
        <v>1024</v>
      </c>
      <c r="T288" t="s">
        <v>1024</v>
      </c>
      <c r="U288" t="s">
        <v>1024</v>
      </c>
      <c r="V288" t="s">
        <v>1024</v>
      </c>
      <c r="W288" t="s">
        <v>983</v>
      </c>
      <c r="X288">
        <v>0</v>
      </c>
    </row>
    <row r="289" spans="1:24" x14ac:dyDescent="0.3">
      <c r="A289" s="55" t="str">
        <f t="shared" si="15"/>
        <v>PROTECTION_PRTCTN_VLTN_APPRCH</v>
      </c>
      <c r="B289" t="s">
        <v>870</v>
      </c>
      <c r="C289" t="s">
        <v>378</v>
      </c>
      <c r="D289" t="s">
        <v>1</v>
      </c>
      <c r="E289" t="s">
        <v>21</v>
      </c>
      <c r="F289" t="s">
        <v>67</v>
      </c>
      <c r="G289" t="s">
        <v>78</v>
      </c>
      <c r="I289" t="s">
        <v>11</v>
      </c>
      <c r="J289" s="15">
        <v>45450</v>
      </c>
      <c r="K289" t="s">
        <v>21</v>
      </c>
      <c r="L289" t="str">
        <f t="shared" si="17"/>
        <v>NOK</v>
      </c>
      <c r="P289" t="s">
        <v>9</v>
      </c>
      <c r="Q289" t="s">
        <v>1023</v>
      </c>
      <c r="R289" t="s">
        <v>1024</v>
      </c>
      <c r="S289" t="s">
        <v>1024</v>
      </c>
      <c r="T289" t="s">
        <v>1024</v>
      </c>
      <c r="U289" t="s">
        <v>1024</v>
      </c>
      <c r="V289" t="s">
        <v>1024</v>
      </c>
      <c r="W289" t="s">
        <v>983</v>
      </c>
      <c r="X289">
        <v>0</v>
      </c>
    </row>
    <row r="290" spans="1:24" x14ac:dyDescent="0.3">
      <c r="A290" s="55" t="str">
        <f t="shared" si="15"/>
        <v>INSTRUMENT_PRVSNS_OFF_BLNC_SHT</v>
      </c>
      <c r="B290" t="s">
        <v>659</v>
      </c>
      <c r="C290" t="s">
        <v>379</v>
      </c>
      <c r="D290" t="s">
        <v>1</v>
      </c>
      <c r="E290" t="s">
        <v>24</v>
      </c>
      <c r="F290" t="s">
        <v>53</v>
      </c>
      <c r="G290" t="s">
        <v>54</v>
      </c>
      <c r="I290" t="s">
        <v>7</v>
      </c>
      <c r="J290" s="15">
        <v>45450</v>
      </c>
      <c r="K290" t="s">
        <v>24</v>
      </c>
      <c r="L290" t="str">
        <f t="shared" si="17"/>
        <v>OK</v>
      </c>
      <c r="P290" t="s">
        <v>55</v>
      </c>
      <c r="Q290" t="s">
        <v>1023</v>
      </c>
      <c r="R290" t="s">
        <v>1023</v>
      </c>
      <c r="S290" t="s">
        <v>1024</v>
      </c>
      <c r="T290" t="s">
        <v>1024</v>
      </c>
      <c r="U290" t="s">
        <v>1024</v>
      </c>
      <c r="V290" t="s">
        <v>1024</v>
      </c>
      <c r="W290" t="s">
        <v>983</v>
      </c>
      <c r="X290">
        <v>0</v>
      </c>
    </row>
    <row r="291" spans="1:24" x14ac:dyDescent="0.3">
      <c r="A291" s="55" t="str">
        <f t="shared" si="15"/>
        <v>INSTRUMENT_PYMNT_FRQNCY</v>
      </c>
      <c r="B291" t="s">
        <v>659</v>
      </c>
      <c r="C291" s="11" t="s">
        <v>380</v>
      </c>
      <c r="D291" t="s">
        <v>1</v>
      </c>
      <c r="E291" t="s">
        <v>832</v>
      </c>
      <c r="F291" t="s">
        <v>53</v>
      </c>
      <c r="G291" t="s">
        <v>381</v>
      </c>
      <c r="H291" t="s">
        <v>382</v>
      </c>
      <c r="I291" t="s">
        <v>15</v>
      </c>
      <c r="J291" s="15">
        <v>45450</v>
      </c>
      <c r="K291" t="s">
        <v>832</v>
      </c>
      <c r="L291" t="str">
        <f t="shared" si="17"/>
        <v>OK</v>
      </c>
      <c r="P291" t="s">
        <v>25</v>
      </c>
      <c r="Q291" t="s">
        <v>1023</v>
      </c>
      <c r="R291" t="s">
        <v>1024</v>
      </c>
      <c r="S291" t="s">
        <v>1024</v>
      </c>
      <c r="T291" t="s">
        <v>1024</v>
      </c>
      <c r="U291" t="s">
        <v>1024</v>
      </c>
      <c r="V291" t="s">
        <v>1024</v>
      </c>
      <c r="W291" t="s">
        <v>983</v>
      </c>
      <c r="X291">
        <v>0</v>
      </c>
    </row>
    <row r="292" spans="1:24" x14ac:dyDescent="0.3">
      <c r="A292" s="55" t="str">
        <f t="shared" si="15"/>
        <v>INSTRUMENT_PYMNT_INTRST_ONLY</v>
      </c>
      <c r="B292" t="s">
        <v>659</v>
      </c>
      <c r="C292" s="11" t="s">
        <v>383</v>
      </c>
      <c r="D292" t="s">
        <v>1</v>
      </c>
      <c r="E292" t="s">
        <v>14</v>
      </c>
      <c r="F292" t="s">
        <v>67</v>
      </c>
      <c r="G292" t="s">
        <v>74</v>
      </c>
      <c r="H292" t="s">
        <v>384</v>
      </c>
      <c r="I292" t="s">
        <v>15</v>
      </c>
      <c r="J292" s="15">
        <v>45450</v>
      </c>
      <c r="K292" t="s">
        <v>14</v>
      </c>
      <c r="L292" t="str">
        <f t="shared" si="17"/>
        <v>NOK</v>
      </c>
      <c r="P292" t="s">
        <v>25</v>
      </c>
      <c r="Q292" t="s">
        <v>1023</v>
      </c>
      <c r="R292" t="s">
        <v>1024</v>
      </c>
      <c r="S292" t="s">
        <v>1024</v>
      </c>
      <c r="T292" t="s">
        <v>1024</v>
      </c>
      <c r="U292" t="s">
        <v>1024</v>
      </c>
      <c r="V292" t="s">
        <v>1023</v>
      </c>
      <c r="W292" t="s">
        <v>1022</v>
      </c>
      <c r="X292" t="s">
        <v>1031</v>
      </c>
    </row>
    <row r="293" spans="1:24" x14ac:dyDescent="0.3">
      <c r="A293" s="55" t="str">
        <f t="shared" si="15"/>
        <v>INSTRUMENT_RCRS</v>
      </c>
      <c r="B293" t="s">
        <v>659</v>
      </c>
      <c r="C293" t="s">
        <v>385</v>
      </c>
      <c r="D293" t="s">
        <v>1</v>
      </c>
      <c r="E293" t="s">
        <v>24</v>
      </c>
      <c r="F293" t="s">
        <v>53</v>
      </c>
      <c r="G293" t="s">
        <v>54</v>
      </c>
      <c r="I293" t="s">
        <v>7</v>
      </c>
      <c r="J293" s="15">
        <v>45450</v>
      </c>
      <c r="K293" t="s">
        <v>24</v>
      </c>
      <c r="L293" t="str">
        <f t="shared" si="17"/>
        <v>OK</v>
      </c>
      <c r="P293" t="s">
        <v>55</v>
      </c>
      <c r="Q293" t="s">
        <v>1023</v>
      </c>
      <c r="R293" t="s">
        <v>1024</v>
      </c>
      <c r="S293" t="s">
        <v>1024</v>
      </c>
      <c r="T293" t="s">
        <v>1024</v>
      </c>
      <c r="U293" t="s">
        <v>1024</v>
      </c>
      <c r="V293" t="s">
        <v>1024</v>
      </c>
      <c r="W293" t="s">
        <v>983</v>
      </c>
      <c r="X293">
        <v>0</v>
      </c>
    </row>
    <row r="294" spans="1:24" x14ac:dyDescent="0.3">
      <c r="A294" s="55" t="str">
        <f t="shared" si="15"/>
        <v>INSTRUMENT_RCVD_AMRTSTN_12M</v>
      </c>
      <c r="B294" t="s">
        <v>659</v>
      </c>
      <c r="C294" t="s">
        <v>386</v>
      </c>
      <c r="D294" t="s">
        <v>1</v>
      </c>
      <c r="E294" t="s">
        <v>21</v>
      </c>
      <c r="F294" t="s">
        <v>67</v>
      </c>
      <c r="G294" t="s">
        <v>78</v>
      </c>
      <c r="I294" t="s">
        <v>11</v>
      </c>
      <c r="J294" s="15">
        <v>45450</v>
      </c>
      <c r="K294" t="s">
        <v>21</v>
      </c>
      <c r="L294" t="str">
        <f t="shared" si="17"/>
        <v>NOK</v>
      </c>
      <c r="P294" t="s">
        <v>9</v>
      </c>
      <c r="Q294" t="s">
        <v>1023</v>
      </c>
      <c r="R294" t="s">
        <v>1024</v>
      </c>
      <c r="S294" t="s">
        <v>1024</v>
      </c>
      <c r="T294" t="s">
        <v>1024</v>
      </c>
      <c r="U294" t="s">
        <v>1024</v>
      </c>
      <c r="V294" t="s">
        <v>1023</v>
      </c>
      <c r="W294" t="s">
        <v>1022</v>
      </c>
      <c r="X294" t="s">
        <v>1029</v>
      </c>
    </row>
    <row r="295" spans="1:24" x14ac:dyDescent="0.3">
      <c r="A295" s="55" t="str">
        <f t="shared" si="15"/>
        <v>INSTRUMENT_RCVD_AMRTSTN_24M</v>
      </c>
      <c r="B295" t="s">
        <v>659</v>
      </c>
      <c r="C295" t="s">
        <v>387</v>
      </c>
      <c r="D295" t="s">
        <v>1</v>
      </c>
      <c r="E295" t="s">
        <v>24</v>
      </c>
      <c r="F295" t="s">
        <v>53</v>
      </c>
      <c r="G295" t="s">
        <v>54</v>
      </c>
      <c r="I295" t="s">
        <v>7</v>
      </c>
      <c r="J295" s="15">
        <v>45450</v>
      </c>
      <c r="K295" t="s">
        <v>24</v>
      </c>
      <c r="L295" t="str">
        <f t="shared" si="17"/>
        <v>OK</v>
      </c>
      <c r="P295" t="s">
        <v>55</v>
      </c>
      <c r="Q295" t="s">
        <v>1023</v>
      </c>
      <c r="R295" t="s">
        <v>1024</v>
      </c>
      <c r="S295" t="s">
        <v>1024</v>
      </c>
      <c r="T295" t="s">
        <v>1024</v>
      </c>
      <c r="U295" t="s">
        <v>1024</v>
      </c>
      <c r="V295" t="s">
        <v>1023</v>
      </c>
      <c r="W295" t="s">
        <v>983</v>
      </c>
      <c r="X295" t="s">
        <v>1025</v>
      </c>
    </row>
    <row r="296" spans="1:24" x14ac:dyDescent="0.3">
      <c r="A296" s="55" t="str">
        <f t="shared" si="15"/>
        <v>PROTECTION_DT_CNSTRCTN_STTS</v>
      </c>
      <c r="B296" t="s">
        <v>870</v>
      </c>
      <c r="C296" s="11" t="s">
        <v>148</v>
      </c>
      <c r="D296" t="s">
        <v>0</v>
      </c>
      <c r="E296" t="s">
        <v>10</v>
      </c>
      <c r="F296" t="s">
        <v>67</v>
      </c>
      <c r="G296" t="s">
        <v>99</v>
      </c>
      <c r="H296" t="s">
        <v>858</v>
      </c>
      <c r="I296" t="s">
        <v>15</v>
      </c>
      <c r="J296" s="15">
        <v>45568</v>
      </c>
      <c r="K296" t="s">
        <v>10</v>
      </c>
      <c r="L296" t="str">
        <f t="shared" si="17"/>
        <v>NOK</v>
      </c>
      <c r="P296" t="s">
        <v>19</v>
      </c>
      <c r="Q296" t="s">
        <v>1023</v>
      </c>
      <c r="R296" t="s">
        <v>1024</v>
      </c>
      <c r="S296" t="s">
        <v>1024</v>
      </c>
      <c r="T296" t="s">
        <v>1024</v>
      </c>
      <c r="U296" t="s">
        <v>1024</v>
      </c>
      <c r="V296" t="s">
        <v>1024</v>
      </c>
      <c r="W296" t="s">
        <v>983</v>
      </c>
      <c r="X296">
        <v>0</v>
      </c>
    </row>
    <row r="297" spans="1:24" x14ac:dyDescent="0.3">
      <c r="A297" s="55" t="str">
        <f t="shared" si="15"/>
        <v>INSTRUMENT_DFLT_STTS_INSTRMNT</v>
      </c>
      <c r="B297" t="s">
        <v>659</v>
      </c>
      <c r="C297" s="11" t="s">
        <v>129</v>
      </c>
      <c r="D297" t="s">
        <v>1</v>
      </c>
      <c r="E297" t="s">
        <v>10</v>
      </c>
      <c r="F297" t="s">
        <v>67</v>
      </c>
      <c r="G297" t="s">
        <v>130</v>
      </c>
      <c r="I297" t="s">
        <v>15</v>
      </c>
      <c r="J297" s="15">
        <v>45450</v>
      </c>
      <c r="K297" t="s">
        <v>10</v>
      </c>
      <c r="L297" t="str">
        <f t="shared" si="17"/>
        <v>NOK</v>
      </c>
      <c r="P297" t="s">
        <v>19</v>
      </c>
      <c r="Q297" t="s">
        <v>1023</v>
      </c>
      <c r="R297" t="s">
        <v>1023</v>
      </c>
      <c r="S297" t="s">
        <v>1023</v>
      </c>
      <c r="T297" t="s">
        <v>1024</v>
      </c>
      <c r="U297" t="s">
        <v>1024</v>
      </c>
      <c r="V297" t="s">
        <v>1023</v>
      </c>
      <c r="W297" t="s">
        <v>1022</v>
      </c>
      <c r="X297" t="s">
        <v>1028</v>
      </c>
    </row>
    <row r="298" spans="1:24" x14ac:dyDescent="0.3">
      <c r="A298" s="55" t="str">
        <f t="shared" si="15"/>
        <v>INSTRUMENT_CMMTMNT_INSTRMNT</v>
      </c>
      <c r="B298" t="s">
        <v>659</v>
      </c>
      <c r="C298" t="s">
        <v>94</v>
      </c>
      <c r="D298" t="s">
        <v>1</v>
      </c>
      <c r="E298" t="s">
        <v>10</v>
      </c>
      <c r="F298" t="s">
        <v>53</v>
      </c>
      <c r="G298" t="s">
        <v>65</v>
      </c>
      <c r="H298" t="s">
        <v>857</v>
      </c>
      <c r="I298" t="s">
        <v>11</v>
      </c>
      <c r="J298" s="15">
        <v>45450</v>
      </c>
      <c r="K298" t="s">
        <v>10</v>
      </c>
      <c r="L298" t="str">
        <f t="shared" si="17"/>
        <v>OK</v>
      </c>
      <c r="P298" t="s">
        <v>13</v>
      </c>
      <c r="Q298" t="s">
        <v>1023</v>
      </c>
      <c r="R298" t="s">
        <v>1024</v>
      </c>
      <c r="S298" t="s">
        <v>1024</v>
      </c>
      <c r="T298" t="s">
        <v>1024</v>
      </c>
      <c r="U298" t="s">
        <v>1024</v>
      </c>
      <c r="V298" t="s">
        <v>1024</v>
      </c>
      <c r="W298" t="s">
        <v>983</v>
      </c>
      <c r="X298">
        <v>0</v>
      </c>
    </row>
    <row r="299" spans="1:24" x14ac:dyDescent="0.3">
      <c r="A299" s="55" t="str">
        <f t="shared" si="15"/>
        <v>INSTRUMENT_RFRNC_RT</v>
      </c>
      <c r="B299" t="s">
        <v>659</v>
      </c>
      <c r="C299" t="s">
        <v>395</v>
      </c>
      <c r="D299" t="s">
        <v>0</v>
      </c>
      <c r="E299" t="s">
        <v>24</v>
      </c>
      <c r="F299" t="s">
        <v>53</v>
      </c>
      <c r="G299" t="s">
        <v>54</v>
      </c>
      <c r="I299" t="s">
        <v>7</v>
      </c>
      <c r="J299" s="15">
        <v>45450</v>
      </c>
      <c r="K299" t="s">
        <v>24</v>
      </c>
      <c r="L299" t="str">
        <f t="shared" si="17"/>
        <v>OK</v>
      </c>
      <c r="P299" t="s">
        <v>55</v>
      </c>
      <c r="Q299" t="s">
        <v>1023</v>
      </c>
      <c r="R299" t="s">
        <v>1024</v>
      </c>
      <c r="S299" t="s">
        <v>1024</v>
      </c>
      <c r="T299" t="s">
        <v>1024</v>
      </c>
      <c r="U299" t="s">
        <v>1024</v>
      </c>
      <c r="V299" t="s">
        <v>1024</v>
      </c>
      <c r="W299" t="s">
        <v>983</v>
      </c>
      <c r="X299">
        <v>0</v>
      </c>
    </row>
    <row r="300" spans="1:24" x14ac:dyDescent="0.3">
      <c r="A300" s="55" t="str">
        <f t="shared" si="15"/>
        <v>PROTECTION_RL_ESTT_ADDRSS</v>
      </c>
      <c r="B300" t="s">
        <v>870</v>
      </c>
      <c r="C300" t="s">
        <v>396</v>
      </c>
      <c r="D300" t="s">
        <v>0</v>
      </c>
      <c r="E300" t="s">
        <v>21</v>
      </c>
      <c r="F300" t="s">
        <v>67</v>
      </c>
      <c r="G300" t="s">
        <v>78</v>
      </c>
      <c r="I300" t="s">
        <v>11</v>
      </c>
      <c r="J300" s="15">
        <v>45450</v>
      </c>
      <c r="K300" t="s">
        <v>21</v>
      </c>
      <c r="L300" t="str">
        <f t="shared" si="17"/>
        <v>NOK</v>
      </c>
      <c r="P300" t="s">
        <v>9</v>
      </c>
      <c r="Q300" t="s">
        <v>1023</v>
      </c>
      <c r="R300" t="s">
        <v>1024</v>
      </c>
      <c r="S300" t="s">
        <v>1024</v>
      </c>
      <c r="T300" t="s">
        <v>1024</v>
      </c>
      <c r="U300" t="s">
        <v>1023</v>
      </c>
      <c r="V300" t="s">
        <v>1024</v>
      </c>
      <c r="W300" t="s">
        <v>983</v>
      </c>
      <c r="X300">
        <v>0</v>
      </c>
    </row>
    <row r="301" spans="1:24" x14ac:dyDescent="0.3">
      <c r="A301" s="55" t="str">
        <f t="shared" si="15"/>
        <v>INSTRUMENT_CMLTV_RCVRS_SNC_DFLT_INSTRMNT</v>
      </c>
      <c r="B301" t="s">
        <v>659</v>
      </c>
      <c r="C301" t="s">
        <v>91</v>
      </c>
      <c r="D301" t="s">
        <v>1</v>
      </c>
      <c r="E301" t="s">
        <v>10</v>
      </c>
      <c r="F301" t="s">
        <v>53</v>
      </c>
      <c r="G301" t="s">
        <v>84</v>
      </c>
      <c r="I301" t="s">
        <v>11</v>
      </c>
      <c r="J301" s="15">
        <v>45450</v>
      </c>
      <c r="K301" t="s">
        <v>10</v>
      </c>
      <c r="L301" t="str">
        <f t="shared" si="17"/>
        <v>OK</v>
      </c>
      <c r="P301" t="s">
        <v>20</v>
      </c>
      <c r="Q301" t="s">
        <v>1023</v>
      </c>
      <c r="R301" t="s">
        <v>1024</v>
      </c>
      <c r="S301" t="s">
        <v>1024</v>
      </c>
      <c r="T301" t="s">
        <v>1024</v>
      </c>
      <c r="U301" t="s">
        <v>1024</v>
      </c>
      <c r="V301" t="s">
        <v>1024</v>
      </c>
      <c r="W301" t="s">
        <v>983</v>
      </c>
      <c r="X301">
        <v>0</v>
      </c>
    </row>
    <row r="302" spans="1:24" x14ac:dyDescent="0.3">
      <c r="A302" s="55" t="str">
        <f t="shared" si="15"/>
        <v>PROTECTION_RL_ESTT_CLLTRL_LCTN_INT</v>
      </c>
      <c r="B302" t="s">
        <v>870</v>
      </c>
      <c r="C302" t="s">
        <v>399</v>
      </c>
      <c r="D302" t="s">
        <v>0</v>
      </c>
      <c r="E302" t="s">
        <v>21</v>
      </c>
      <c r="F302" t="s">
        <v>67</v>
      </c>
      <c r="G302" t="s">
        <v>78</v>
      </c>
      <c r="I302" t="s">
        <v>11</v>
      </c>
      <c r="J302" s="15">
        <v>45450</v>
      </c>
      <c r="K302" t="s">
        <v>21</v>
      </c>
      <c r="L302" t="str">
        <f t="shared" si="17"/>
        <v>NOK</v>
      </c>
      <c r="P302" t="s">
        <v>9</v>
      </c>
      <c r="Q302" t="s">
        <v>1023</v>
      </c>
      <c r="R302" t="s">
        <v>1024</v>
      </c>
      <c r="S302" t="s">
        <v>1024</v>
      </c>
      <c r="T302" t="s">
        <v>1024</v>
      </c>
      <c r="U302" t="s">
        <v>1023</v>
      </c>
      <c r="V302" t="s">
        <v>1024</v>
      </c>
      <c r="W302" t="s">
        <v>983</v>
      </c>
      <c r="X302">
        <v>0</v>
      </c>
    </row>
    <row r="303" spans="1:24" x14ac:dyDescent="0.3">
      <c r="A303" s="55" t="str">
        <f t="shared" si="15"/>
        <v>PROTECTION_RL_ESTT_CTY</v>
      </c>
      <c r="B303" t="s">
        <v>870</v>
      </c>
      <c r="C303" t="s">
        <v>400</v>
      </c>
      <c r="D303" t="s">
        <v>0</v>
      </c>
      <c r="E303" t="s">
        <v>21</v>
      </c>
      <c r="F303" t="s">
        <v>67</v>
      </c>
      <c r="G303" t="s">
        <v>78</v>
      </c>
      <c r="I303" t="s">
        <v>11</v>
      </c>
      <c r="J303" s="15">
        <v>45450</v>
      </c>
      <c r="K303" t="s">
        <v>21</v>
      </c>
      <c r="L303" t="str">
        <f t="shared" si="17"/>
        <v>NOK</v>
      </c>
      <c r="P303" t="s">
        <v>9</v>
      </c>
      <c r="Q303" t="s">
        <v>1023</v>
      </c>
      <c r="R303" t="s">
        <v>1024</v>
      </c>
      <c r="S303" t="s">
        <v>1024</v>
      </c>
      <c r="T303" t="s">
        <v>1024</v>
      </c>
      <c r="U303" t="s">
        <v>1023</v>
      </c>
      <c r="V303" t="s">
        <v>1024</v>
      </c>
      <c r="W303" t="s">
        <v>983</v>
      </c>
      <c r="X303">
        <v>0</v>
      </c>
    </row>
    <row r="304" spans="1:24" x14ac:dyDescent="0.3">
      <c r="A304" s="55" t="str">
        <f t="shared" si="15"/>
        <v>PROTECTION_RL_ESTT_PST_CD</v>
      </c>
      <c r="B304" t="s">
        <v>870</v>
      </c>
      <c r="C304" t="s">
        <v>401</v>
      </c>
      <c r="D304" t="s">
        <v>1</v>
      </c>
      <c r="E304" t="s">
        <v>21</v>
      </c>
      <c r="F304" t="s">
        <v>67</v>
      </c>
      <c r="G304" t="s">
        <v>78</v>
      </c>
      <c r="I304" t="s">
        <v>11</v>
      </c>
      <c r="J304" s="15">
        <v>45450</v>
      </c>
      <c r="K304" t="s">
        <v>21</v>
      </c>
      <c r="L304" t="str">
        <f t="shared" si="17"/>
        <v>NOK</v>
      </c>
      <c r="P304" t="s">
        <v>9</v>
      </c>
      <c r="Q304" t="s">
        <v>1023</v>
      </c>
      <c r="R304" t="s">
        <v>1024</v>
      </c>
      <c r="S304" t="s">
        <v>1023</v>
      </c>
      <c r="T304" t="s">
        <v>1024</v>
      </c>
      <c r="U304" t="s">
        <v>1023</v>
      </c>
      <c r="V304" t="s">
        <v>1024</v>
      </c>
      <c r="W304" t="s">
        <v>983</v>
      </c>
      <c r="X304">
        <v>0</v>
      </c>
    </row>
    <row r="305" spans="1:24" x14ac:dyDescent="0.3">
      <c r="A305" s="55" t="str">
        <f t="shared" si="15"/>
        <v>INSTRUMENT_RRE_FNRP18</v>
      </c>
      <c r="B305" t="s">
        <v>659</v>
      </c>
      <c r="C305" t="s">
        <v>402</v>
      </c>
      <c r="D305" t="s">
        <v>0</v>
      </c>
      <c r="E305" t="s">
        <v>24</v>
      </c>
      <c r="F305" t="s">
        <v>53</v>
      </c>
      <c r="G305" t="s">
        <v>54</v>
      </c>
      <c r="I305" t="s">
        <v>7</v>
      </c>
      <c r="J305" s="15">
        <v>45450</v>
      </c>
      <c r="K305" t="s">
        <v>24</v>
      </c>
      <c r="L305" t="str">
        <f t="shared" si="17"/>
        <v>OK</v>
      </c>
      <c r="P305" t="s">
        <v>55</v>
      </c>
      <c r="Q305" t="s">
        <v>1023</v>
      </c>
      <c r="R305" t="s">
        <v>1024</v>
      </c>
      <c r="S305" t="s">
        <v>1024</v>
      </c>
      <c r="T305" t="s">
        <v>1024</v>
      </c>
      <c r="U305" t="s">
        <v>1024</v>
      </c>
      <c r="V305" t="s">
        <v>1024</v>
      </c>
      <c r="W305" t="s">
        <v>983</v>
      </c>
      <c r="X305">
        <v>0</v>
      </c>
    </row>
    <row r="306" spans="1:24" x14ac:dyDescent="0.3">
      <c r="A306" s="55" t="str">
        <f t="shared" si="15"/>
        <v>ENTITY_RTNG_MTHD</v>
      </c>
      <c r="B306" t="s">
        <v>867</v>
      </c>
      <c r="C306" s="10" t="s">
        <v>403</v>
      </c>
      <c r="D306" t="s">
        <v>1</v>
      </c>
      <c r="E306" t="s">
        <v>831</v>
      </c>
      <c r="F306" t="s">
        <v>67</v>
      </c>
      <c r="G306" t="s">
        <v>176</v>
      </c>
      <c r="I306" t="s">
        <v>15</v>
      </c>
      <c r="J306" s="15">
        <v>45450</v>
      </c>
      <c r="K306" t="s">
        <v>831</v>
      </c>
      <c r="L306" t="str">
        <f t="shared" si="17"/>
        <v>NOK</v>
      </c>
      <c r="N306" s="15">
        <v>45338</v>
      </c>
      <c r="O306" s="15">
        <v>45372</v>
      </c>
      <c r="P306" t="s">
        <v>22</v>
      </c>
      <c r="Q306" t="s">
        <v>1023</v>
      </c>
      <c r="R306" t="s">
        <v>1024</v>
      </c>
      <c r="S306" t="s">
        <v>1024</v>
      </c>
      <c r="T306" t="s">
        <v>1024</v>
      </c>
      <c r="U306" t="s">
        <v>1024</v>
      </c>
      <c r="V306" t="s">
        <v>1023</v>
      </c>
      <c r="W306" t="s">
        <v>1022</v>
      </c>
      <c r="X306" t="s">
        <v>1026</v>
      </c>
    </row>
    <row r="307" spans="1:24" x14ac:dyDescent="0.3">
      <c r="A307" s="55" t="str">
        <f t="shared" si="15"/>
        <v>INSTRUMENT_RTNG_MTHD</v>
      </c>
      <c r="B307" t="s">
        <v>659</v>
      </c>
      <c r="C307" s="10" t="s">
        <v>403</v>
      </c>
      <c r="D307" t="s">
        <v>1</v>
      </c>
      <c r="E307" t="s">
        <v>831</v>
      </c>
      <c r="F307" t="s">
        <v>67</v>
      </c>
      <c r="G307" t="s">
        <v>176</v>
      </c>
      <c r="I307" t="s">
        <v>15</v>
      </c>
      <c r="J307" s="15">
        <v>45450</v>
      </c>
      <c r="K307" t="s">
        <v>831</v>
      </c>
      <c r="L307" t="str">
        <f t="shared" si="17"/>
        <v>NOK</v>
      </c>
      <c r="N307" s="15">
        <v>45338</v>
      </c>
      <c r="O307" s="15">
        <v>45372</v>
      </c>
      <c r="P307" t="s">
        <v>22</v>
      </c>
      <c r="Q307" t="s">
        <v>1023</v>
      </c>
      <c r="R307" t="s">
        <v>1024</v>
      </c>
      <c r="S307" t="s">
        <v>1024</v>
      </c>
      <c r="T307" t="s">
        <v>1024</v>
      </c>
      <c r="U307" t="s">
        <v>1024</v>
      </c>
      <c r="V307" t="s">
        <v>1023</v>
      </c>
      <c r="W307" t="s">
        <v>1022</v>
      </c>
      <c r="X307" t="s">
        <v>1026</v>
      </c>
    </row>
    <row r="308" spans="1:24" x14ac:dyDescent="0.3">
      <c r="A308" s="55" t="str">
        <f t="shared" si="15"/>
        <v>ENTITY_RTNG_SCL</v>
      </c>
      <c r="B308" t="s">
        <v>867</v>
      </c>
      <c r="C308" t="s">
        <v>404</v>
      </c>
      <c r="D308" t="s">
        <v>1</v>
      </c>
      <c r="E308" t="s">
        <v>24</v>
      </c>
      <c r="F308" t="s">
        <v>53</v>
      </c>
      <c r="G308" t="s">
        <v>54</v>
      </c>
      <c r="I308" t="s">
        <v>7</v>
      </c>
      <c r="J308" s="15">
        <v>45450</v>
      </c>
      <c r="K308" t="s">
        <v>24</v>
      </c>
      <c r="L308" t="str">
        <f t="shared" si="17"/>
        <v>OK</v>
      </c>
      <c r="P308" t="s">
        <v>55</v>
      </c>
      <c r="Q308" t="s">
        <v>1023</v>
      </c>
      <c r="R308" t="s">
        <v>1024</v>
      </c>
      <c r="S308" t="s">
        <v>1024</v>
      </c>
      <c r="T308" t="s">
        <v>1024</v>
      </c>
      <c r="U308" t="s">
        <v>1024</v>
      </c>
      <c r="V308" t="s">
        <v>1023</v>
      </c>
      <c r="W308" t="s">
        <v>983</v>
      </c>
      <c r="X308" t="s">
        <v>1025</v>
      </c>
    </row>
    <row r="309" spans="1:24" x14ac:dyDescent="0.3">
      <c r="A309" s="55" t="str">
        <f t="shared" si="15"/>
        <v>INSTRUMENT_RTNG_SCL</v>
      </c>
      <c r="B309" t="s">
        <v>659</v>
      </c>
      <c r="C309" t="s">
        <v>404</v>
      </c>
      <c r="D309" t="s">
        <v>1</v>
      </c>
      <c r="E309" t="s">
        <v>24</v>
      </c>
      <c r="F309" t="s">
        <v>53</v>
      </c>
      <c r="G309" t="s">
        <v>54</v>
      </c>
      <c r="I309" t="s">
        <v>7</v>
      </c>
      <c r="J309" s="15">
        <v>45450</v>
      </c>
      <c r="K309" t="s">
        <v>24</v>
      </c>
      <c r="L309" t="str">
        <f t="shared" si="17"/>
        <v>OK</v>
      </c>
      <c r="P309" t="s">
        <v>55</v>
      </c>
      <c r="Q309" t="s">
        <v>1023</v>
      </c>
      <c r="R309" t="s">
        <v>1024</v>
      </c>
      <c r="S309" t="s">
        <v>1024</v>
      </c>
      <c r="T309" t="s">
        <v>1024</v>
      </c>
      <c r="U309" t="s">
        <v>1024</v>
      </c>
      <c r="V309" t="s">
        <v>1023</v>
      </c>
      <c r="W309" t="s">
        <v>983</v>
      </c>
      <c r="X309" t="s">
        <v>1025</v>
      </c>
    </row>
    <row r="310" spans="1:24" x14ac:dyDescent="0.3">
      <c r="A310" s="55" t="str">
        <f t="shared" si="15"/>
        <v>INSTRUMENT_RTNTN_SHR</v>
      </c>
      <c r="B310" t="s">
        <v>659</v>
      </c>
      <c r="C310" t="s">
        <v>405</v>
      </c>
      <c r="D310" t="s">
        <v>0</v>
      </c>
      <c r="E310" t="s">
        <v>833</v>
      </c>
      <c r="F310" t="s">
        <v>53</v>
      </c>
      <c r="G310" t="s">
        <v>225</v>
      </c>
      <c r="H310" t="s">
        <v>860</v>
      </c>
      <c r="I310" t="s">
        <v>11</v>
      </c>
      <c r="J310" s="15">
        <v>45450</v>
      </c>
      <c r="K310" t="s">
        <v>833</v>
      </c>
      <c r="L310" t="str">
        <f t="shared" si="17"/>
        <v>OK</v>
      </c>
      <c r="P310" t="s">
        <v>13</v>
      </c>
      <c r="Q310" t="s">
        <v>1023</v>
      </c>
      <c r="R310" t="s">
        <v>1024</v>
      </c>
      <c r="S310" t="s">
        <v>1024</v>
      </c>
      <c r="T310" t="s">
        <v>1024</v>
      </c>
      <c r="U310" t="s">
        <v>1024</v>
      </c>
      <c r="V310" t="s">
        <v>1023</v>
      </c>
      <c r="W310" t="s">
        <v>1022</v>
      </c>
      <c r="X310" t="s">
        <v>1033</v>
      </c>
    </row>
    <row r="311" spans="1:24" x14ac:dyDescent="0.3">
      <c r="A311" s="55" t="str">
        <f t="shared" si="15"/>
        <v>INSTRUMENT_RWA</v>
      </c>
      <c r="B311" t="s">
        <v>659</v>
      </c>
      <c r="C311" s="10" t="s">
        <v>406</v>
      </c>
      <c r="D311" t="s">
        <v>1</v>
      </c>
      <c r="E311" t="s">
        <v>831</v>
      </c>
      <c r="F311" t="s">
        <v>53</v>
      </c>
      <c r="G311" t="s">
        <v>198</v>
      </c>
      <c r="I311" t="s">
        <v>15</v>
      </c>
      <c r="J311" s="15">
        <v>45463</v>
      </c>
      <c r="K311" t="s">
        <v>831</v>
      </c>
      <c r="L311" t="s">
        <v>67</v>
      </c>
      <c r="M311" t="s">
        <v>407</v>
      </c>
      <c r="N311" s="15">
        <v>45338</v>
      </c>
      <c r="O311" s="15">
        <v>45372</v>
      </c>
      <c r="P311" t="s">
        <v>19</v>
      </c>
      <c r="Q311" t="s">
        <v>1023</v>
      </c>
      <c r="R311" t="s">
        <v>1023</v>
      </c>
      <c r="S311" t="s">
        <v>1024</v>
      </c>
      <c r="T311" t="s">
        <v>1024</v>
      </c>
      <c r="U311" t="s">
        <v>1024</v>
      </c>
      <c r="V311" t="s">
        <v>1023</v>
      </c>
      <c r="W311" t="s">
        <v>1022</v>
      </c>
      <c r="X311" t="s">
        <v>1026</v>
      </c>
    </row>
    <row r="312" spans="1:24" x14ac:dyDescent="0.3">
      <c r="A312" s="55" t="str">
        <f t="shared" si="15"/>
        <v>INSTRUMENT_DT_LGL_FNL_MTRTY</v>
      </c>
      <c r="B312" t="s">
        <v>659</v>
      </c>
      <c r="C312" s="10" t="s">
        <v>408</v>
      </c>
      <c r="D312" t="s">
        <v>1</v>
      </c>
      <c r="E312" t="s">
        <v>832</v>
      </c>
      <c r="F312" t="s">
        <v>67</v>
      </c>
      <c r="G312" t="s">
        <v>409</v>
      </c>
      <c r="H312" t="s">
        <v>410</v>
      </c>
      <c r="I312" t="s">
        <v>15</v>
      </c>
      <c r="J312" s="15">
        <v>45450</v>
      </c>
      <c r="K312" t="s">
        <v>832</v>
      </c>
      <c r="L312" t="str">
        <f t="shared" ref="L312:L335" si="18">F312</f>
        <v>NOK</v>
      </c>
      <c r="N312" s="15"/>
      <c r="P312" t="s">
        <v>19</v>
      </c>
      <c r="Q312" t="s">
        <v>1023</v>
      </c>
      <c r="R312" t="s">
        <v>1024</v>
      </c>
      <c r="S312" t="s">
        <v>1023</v>
      </c>
      <c r="T312" t="s">
        <v>1024</v>
      </c>
      <c r="U312" t="s">
        <v>1024</v>
      </c>
      <c r="V312" t="s">
        <v>1023</v>
      </c>
      <c r="W312" t="s">
        <v>1022</v>
      </c>
      <c r="X312" t="s">
        <v>1026</v>
      </c>
    </row>
    <row r="313" spans="1:24" x14ac:dyDescent="0.3">
      <c r="A313" s="55" t="str">
        <f t="shared" si="15"/>
        <v>INSTRUMENT_SBJCT_PBLC_GRNT_SCHM_C19</v>
      </c>
      <c r="B313" t="s">
        <v>659</v>
      </c>
      <c r="C313" t="s">
        <v>411</v>
      </c>
      <c r="D313" t="s">
        <v>0</v>
      </c>
      <c r="E313" t="s">
        <v>24</v>
      </c>
      <c r="F313" t="s">
        <v>53</v>
      </c>
      <c r="G313" t="s">
        <v>54</v>
      </c>
      <c r="I313" t="s">
        <v>7</v>
      </c>
      <c r="J313" s="15">
        <v>45450</v>
      </c>
      <c r="K313" t="s">
        <v>24</v>
      </c>
      <c r="L313" t="str">
        <f t="shared" si="18"/>
        <v>OK</v>
      </c>
      <c r="P313" t="s">
        <v>55</v>
      </c>
      <c r="Q313" t="s">
        <v>1023</v>
      </c>
      <c r="R313" t="s">
        <v>1024</v>
      </c>
      <c r="S313" t="s">
        <v>1024</v>
      </c>
      <c r="T313" t="s">
        <v>1024</v>
      </c>
      <c r="U313" t="s">
        <v>1024</v>
      </c>
      <c r="V313" t="s">
        <v>1024</v>
      </c>
      <c r="W313" t="s">
        <v>983</v>
      </c>
      <c r="X313">
        <v>0</v>
      </c>
    </row>
    <row r="314" spans="1:24" x14ac:dyDescent="0.3">
      <c r="A314" s="55" t="str">
        <f t="shared" si="15"/>
        <v>INSTRUMENT_DT_NXT_INTRST_RT_RST</v>
      </c>
      <c r="B314" t="s">
        <v>659</v>
      </c>
      <c r="C314" s="10" t="s">
        <v>412</v>
      </c>
      <c r="D314" t="s">
        <v>1</v>
      </c>
      <c r="E314" t="s">
        <v>832</v>
      </c>
      <c r="F314" t="s">
        <v>67</v>
      </c>
      <c r="G314" t="s">
        <v>413</v>
      </c>
      <c r="H314" t="s">
        <v>414</v>
      </c>
      <c r="I314" t="s">
        <v>15</v>
      </c>
      <c r="J314" s="15">
        <v>45450</v>
      </c>
      <c r="K314" t="s">
        <v>832</v>
      </c>
      <c r="L314" t="str">
        <f t="shared" si="18"/>
        <v>NOK</v>
      </c>
      <c r="P314" t="s">
        <v>19</v>
      </c>
      <c r="Q314" t="s">
        <v>1023</v>
      </c>
      <c r="R314" t="s">
        <v>1024</v>
      </c>
      <c r="S314" t="s">
        <v>1024</v>
      </c>
      <c r="T314" t="s">
        <v>1024</v>
      </c>
      <c r="U314" t="s">
        <v>1024</v>
      </c>
      <c r="V314" t="s">
        <v>1024</v>
      </c>
      <c r="W314" t="s">
        <v>983</v>
      </c>
      <c r="X314">
        <v>0</v>
      </c>
    </row>
    <row r="315" spans="1:24" x14ac:dyDescent="0.3">
      <c r="A315" s="55" t="str">
        <f t="shared" si="15"/>
        <v>INSTRUMENT_SME_FNRP18</v>
      </c>
      <c r="B315" t="s">
        <v>659</v>
      </c>
      <c r="C315" t="s">
        <v>415</v>
      </c>
      <c r="D315" t="s">
        <v>1</v>
      </c>
      <c r="E315" t="s">
        <v>24</v>
      </c>
      <c r="F315" t="s">
        <v>53</v>
      </c>
      <c r="G315" t="s">
        <v>54</v>
      </c>
      <c r="I315" t="s">
        <v>7</v>
      </c>
      <c r="J315" s="15">
        <v>45450</v>
      </c>
      <c r="K315" t="s">
        <v>24</v>
      </c>
      <c r="L315" t="str">
        <f t="shared" si="18"/>
        <v>OK</v>
      </c>
      <c r="P315" t="s">
        <v>55</v>
      </c>
      <c r="Q315" t="s">
        <v>1023</v>
      </c>
      <c r="R315" t="s">
        <v>1024</v>
      </c>
      <c r="S315" t="s">
        <v>1024</v>
      </c>
      <c r="T315" t="s">
        <v>1024</v>
      </c>
      <c r="U315" t="s">
        <v>1024</v>
      </c>
      <c r="V315" t="s">
        <v>1024</v>
      </c>
      <c r="W315" t="s">
        <v>983</v>
      </c>
      <c r="X315">
        <v>0</v>
      </c>
    </row>
    <row r="316" spans="1:24" x14ac:dyDescent="0.3">
      <c r="A316" s="55" t="str">
        <f t="shared" si="15"/>
        <v>ENTITY_SNGL_PRPS_VHCL</v>
      </c>
      <c r="B316" t="s">
        <v>867</v>
      </c>
      <c r="C316" t="s">
        <v>416</v>
      </c>
      <c r="D316" t="s">
        <v>0</v>
      </c>
      <c r="E316" t="s">
        <v>24</v>
      </c>
      <c r="F316" t="s">
        <v>53</v>
      </c>
      <c r="G316" t="s">
        <v>54</v>
      </c>
      <c r="I316" t="s">
        <v>7</v>
      </c>
      <c r="J316" s="15">
        <v>45450</v>
      </c>
      <c r="K316" t="s">
        <v>24</v>
      </c>
      <c r="L316" t="str">
        <f t="shared" si="18"/>
        <v>OK</v>
      </c>
      <c r="P316" t="s">
        <v>55</v>
      </c>
      <c r="Q316" t="s">
        <v>1023</v>
      </c>
      <c r="R316" t="s">
        <v>1024</v>
      </c>
      <c r="S316" t="s">
        <v>1024</v>
      </c>
      <c r="T316" t="s">
        <v>1024</v>
      </c>
      <c r="U316" t="s">
        <v>1024</v>
      </c>
      <c r="V316" t="s">
        <v>1024</v>
      </c>
      <c r="W316" t="s">
        <v>983</v>
      </c>
      <c r="X316">
        <v>0</v>
      </c>
    </row>
    <row r="317" spans="1:24" x14ac:dyDescent="0.3">
      <c r="A317" s="55" t="str">
        <f t="shared" si="15"/>
        <v>INSTRUMENT_SPCLTV_LNDNG</v>
      </c>
      <c r="B317" t="s">
        <v>659</v>
      </c>
      <c r="C317" t="s">
        <v>417</v>
      </c>
      <c r="D317" t="s">
        <v>0</v>
      </c>
      <c r="E317" t="s">
        <v>21</v>
      </c>
      <c r="F317" t="s">
        <v>67</v>
      </c>
      <c r="G317" t="s">
        <v>78</v>
      </c>
      <c r="I317" t="s">
        <v>11</v>
      </c>
      <c r="J317" s="15">
        <v>45450</v>
      </c>
      <c r="K317" t="s">
        <v>21</v>
      </c>
      <c r="L317" t="str">
        <f t="shared" si="18"/>
        <v>NOK</v>
      </c>
      <c r="P317" t="s">
        <v>9</v>
      </c>
      <c r="Q317" t="s">
        <v>1023</v>
      </c>
      <c r="R317" t="s">
        <v>1024</v>
      </c>
      <c r="S317" t="s">
        <v>1024</v>
      </c>
      <c r="T317" t="s">
        <v>1024</v>
      </c>
      <c r="U317" t="s">
        <v>1024</v>
      </c>
      <c r="V317" t="s">
        <v>1024</v>
      </c>
      <c r="W317" t="s">
        <v>983</v>
      </c>
      <c r="X317">
        <v>0</v>
      </c>
    </row>
    <row r="318" spans="1:24" x14ac:dyDescent="0.3">
      <c r="A318" s="55" t="str">
        <f t="shared" si="15"/>
        <v>INSTRUMENT_SPNSR_NM</v>
      </c>
      <c r="B318" t="s">
        <v>659</v>
      </c>
      <c r="C318" t="s">
        <v>418</v>
      </c>
      <c r="D318" t="s">
        <v>0</v>
      </c>
      <c r="E318" t="s">
        <v>23</v>
      </c>
      <c r="F318" t="s">
        <v>53</v>
      </c>
      <c r="G318" t="s">
        <v>84</v>
      </c>
      <c r="I318" t="s">
        <v>7</v>
      </c>
      <c r="J318" s="15">
        <v>45450</v>
      </c>
      <c r="K318" t="s">
        <v>23</v>
      </c>
      <c r="L318" t="str">
        <f t="shared" si="18"/>
        <v>OK</v>
      </c>
      <c r="P318" t="s">
        <v>20</v>
      </c>
      <c r="Q318" t="s">
        <v>1023</v>
      </c>
      <c r="R318" t="s">
        <v>1024</v>
      </c>
      <c r="S318" t="s">
        <v>1024</v>
      </c>
      <c r="T318" t="s">
        <v>1024</v>
      </c>
      <c r="U318" t="s">
        <v>1024</v>
      </c>
      <c r="V318" t="s">
        <v>1023</v>
      </c>
      <c r="W318" t="s">
        <v>984</v>
      </c>
      <c r="X318" t="s">
        <v>1030</v>
      </c>
    </row>
    <row r="319" spans="1:24" x14ac:dyDescent="0.3">
      <c r="A319" s="55" t="str">
        <f t="shared" si="15"/>
        <v>INSTRUMENT_SPRD</v>
      </c>
      <c r="B319" t="s">
        <v>659</v>
      </c>
      <c r="C319" t="s">
        <v>419</v>
      </c>
      <c r="D319" t="s">
        <v>0</v>
      </c>
      <c r="E319" t="s">
        <v>24</v>
      </c>
      <c r="F319" t="s">
        <v>53</v>
      </c>
      <c r="G319" t="s">
        <v>54</v>
      </c>
      <c r="I319" t="s">
        <v>7</v>
      </c>
      <c r="J319" s="15">
        <v>45450</v>
      </c>
      <c r="K319" t="s">
        <v>24</v>
      </c>
      <c r="L319" t="str">
        <f t="shared" si="18"/>
        <v>OK</v>
      </c>
      <c r="P319" t="s">
        <v>55</v>
      </c>
      <c r="Q319" t="s">
        <v>1023</v>
      </c>
      <c r="R319" t="s">
        <v>1024</v>
      </c>
      <c r="S319" t="s">
        <v>1024</v>
      </c>
      <c r="T319" t="s">
        <v>1024</v>
      </c>
      <c r="U319" t="s">
        <v>1024</v>
      </c>
      <c r="V319" t="s">
        <v>1024</v>
      </c>
      <c r="W319" t="s">
        <v>983</v>
      </c>
      <c r="X319">
        <v>0</v>
      </c>
    </row>
    <row r="320" spans="1:24" x14ac:dyDescent="0.3">
      <c r="A320" s="55" t="str">
        <f t="shared" si="15"/>
        <v>INSTRUMENT_SRCS_ENCMBRNC</v>
      </c>
      <c r="B320" t="s">
        <v>659</v>
      </c>
      <c r="C320" t="s">
        <v>420</v>
      </c>
      <c r="D320" t="s">
        <v>0</v>
      </c>
      <c r="E320" t="s">
        <v>24</v>
      </c>
      <c r="F320" t="s">
        <v>53</v>
      </c>
      <c r="G320" t="s">
        <v>54</v>
      </c>
      <c r="I320" t="s">
        <v>7</v>
      </c>
      <c r="J320" s="15">
        <v>45450</v>
      </c>
      <c r="K320" t="s">
        <v>24</v>
      </c>
      <c r="L320" t="str">
        <f t="shared" si="18"/>
        <v>OK</v>
      </c>
      <c r="P320" t="s">
        <v>55</v>
      </c>
      <c r="Q320" t="s">
        <v>1023</v>
      </c>
      <c r="R320" t="s">
        <v>1024</v>
      </c>
      <c r="S320" t="s">
        <v>1024</v>
      </c>
      <c r="T320" t="s">
        <v>1024</v>
      </c>
      <c r="U320" t="s">
        <v>1024</v>
      </c>
      <c r="V320" t="s">
        <v>1024</v>
      </c>
      <c r="W320" t="s">
        <v>983</v>
      </c>
      <c r="X320">
        <v>0</v>
      </c>
    </row>
    <row r="321" spans="1:24" x14ac:dyDescent="0.3">
      <c r="A321" s="55" t="str">
        <f t="shared" si="15"/>
        <v>INSTRUMENT_STTS_UNDRWRTTN_TRNSCTN</v>
      </c>
      <c r="B321" t="s">
        <v>659</v>
      </c>
      <c r="C321" t="s">
        <v>421</v>
      </c>
      <c r="D321" t="s">
        <v>0</v>
      </c>
      <c r="E321" t="s">
        <v>833</v>
      </c>
      <c r="F321" t="s">
        <v>53</v>
      </c>
      <c r="G321" t="s">
        <v>225</v>
      </c>
      <c r="H321" t="s">
        <v>860</v>
      </c>
      <c r="I321" t="s">
        <v>11</v>
      </c>
      <c r="J321" s="15">
        <v>45450</v>
      </c>
      <c r="K321" t="s">
        <v>833</v>
      </c>
      <c r="L321" t="str">
        <f t="shared" si="18"/>
        <v>OK</v>
      </c>
      <c r="P321" t="s">
        <v>13</v>
      </c>
      <c r="Q321" t="s">
        <v>1023</v>
      </c>
      <c r="R321" t="s">
        <v>1024</v>
      </c>
      <c r="S321" t="s">
        <v>1024</v>
      </c>
      <c r="T321" t="s">
        <v>1024</v>
      </c>
      <c r="U321" t="s">
        <v>1024</v>
      </c>
      <c r="V321" t="s">
        <v>1023</v>
      </c>
      <c r="W321" t="s">
        <v>1022</v>
      </c>
      <c r="X321" t="s">
        <v>1033</v>
      </c>
    </row>
    <row r="322" spans="1:24" x14ac:dyDescent="0.3">
      <c r="A322" s="55" t="str">
        <f t="shared" si="15"/>
        <v>INSTRUMENT_SUBPORTFOLIO_ID</v>
      </c>
      <c r="B322" t="s">
        <v>659</v>
      </c>
      <c r="C322" t="s">
        <v>422</v>
      </c>
      <c r="D322" t="s">
        <v>1</v>
      </c>
      <c r="E322" t="s">
        <v>24</v>
      </c>
      <c r="F322" t="s">
        <v>53</v>
      </c>
      <c r="G322" t="s">
        <v>54</v>
      </c>
      <c r="I322" t="s">
        <v>7</v>
      </c>
      <c r="J322" s="15">
        <v>45450</v>
      </c>
      <c r="K322" t="s">
        <v>24</v>
      </c>
      <c r="L322" t="str">
        <f t="shared" si="18"/>
        <v>OK</v>
      </c>
      <c r="P322" t="s">
        <v>55</v>
      </c>
      <c r="Q322" t="s">
        <v>1023</v>
      </c>
      <c r="R322" t="s">
        <v>1023</v>
      </c>
      <c r="S322" t="s">
        <v>1023</v>
      </c>
      <c r="T322" t="s">
        <v>1024</v>
      </c>
      <c r="U322" t="s">
        <v>1023</v>
      </c>
      <c r="V322" t="s">
        <v>1023</v>
      </c>
      <c r="W322" t="s">
        <v>983</v>
      </c>
      <c r="X322" t="s">
        <v>1025</v>
      </c>
    </row>
    <row r="323" spans="1:24" x14ac:dyDescent="0.3">
      <c r="A323" s="55" t="str">
        <f t="shared" si="15"/>
        <v>INSTRUMENT_SYNDCT_RL</v>
      </c>
      <c r="B323" t="s">
        <v>659</v>
      </c>
      <c r="C323" t="s">
        <v>423</v>
      </c>
      <c r="D323" t="s">
        <v>0</v>
      </c>
      <c r="E323" t="s">
        <v>833</v>
      </c>
      <c r="F323" t="s">
        <v>53</v>
      </c>
      <c r="G323" t="s">
        <v>225</v>
      </c>
      <c r="H323" t="s">
        <v>860</v>
      </c>
      <c r="I323" t="s">
        <v>11</v>
      </c>
      <c r="J323" s="15">
        <v>45450</v>
      </c>
      <c r="K323" t="s">
        <v>833</v>
      </c>
      <c r="L323" t="str">
        <f t="shared" si="18"/>
        <v>OK</v>
      </c>
      <c r="P323" t="s">
        <v>13</v>
      </c>
      <c r="Q323" t="s">
        <v>1023</v>
      </c>
      <c r="R323" t="s">
        <v>1024</v>
      </c>
      <c r="S323" t="s">
        <v>1024</v>
      </c>
      <c r="T323" t="s">
        <v>1024</v>
      </c>
      <c r="U323" t="s">
        <v>1024</v>
      </c>
      <c r="V323" t="s">
        <v>1023</v>
      </c>
      <c r="W323" t="s">
        <v>1022</v>
      </c>
      <c r="X323" t="s">
        <v>1033</v>
      </c>
    </row>
    <row r="324" spans="1:24" x14ac:dyDescent="0.3">
      <c r="A324" s="55" t="str">
        <f t="shared" si="15"/>
        <v>INSTRUMENT_SYNDCTD_AGNT</v>
      </c>
      <c r="B324" t="s">
        <v>659</v>
      </c>
      <c r="C324" t="s">
        <v>424</v>
      </c>
      <c r="D324" t="s">
        <v>1</v>
      </c>
      <c r="E324" t="s">
        <v>833</v>
      </c>
      <c r="F324" t="s">
        <v>53</v>
      </c>
      <c r="G324" t="s">
        <v>225</v>
      </c>
      <c r="H324" t="s">
        <v>860</v>
      </c>
      <c r="I324" t="s">
        <v>11</v>
      </c>
      <c r="J324" s="15">
        <v>45450</v>
      </c>
      <c r="K324" t="s">
        <v>833</v>
      </c>
      <c r="L324" t="str">
        <f t="shared" si="18"/>
        <v>OK</v>
      </c>
      <c r="P324" t="s">
        <v>13</v>
      </c>
      <c r="Q324" t="s">
        <v>1023</v>
      </c>
      <c r="R324" t="s">
        <v>1024</v>
      </c>
      <c r="S324" t="s">
        <v>1024</v>
      </c>
      <c r="T324" t="s">
        <v>1024</v>
      </c>
      <c r="U324" t="s">
        <v>1024</v>
      </c>
      <c r="V324" t="s">
        <v>1023</v>
      </c>
      <c r="W324" t="s">
        <v>1022</v>
      </c>
      <c r="X324" t="s">
        <v>1033</v>
      </c>
    </row>
    <row r="325" spans="1:24" x14ac:dyDescent="0.3">
      <c r="A325" s="55" t="str">
        <f t="shared" ref="A325:A384" si="19">B325&amp;"_"&amp;C325</f>
        <v>INSTRUMENT_SYNDCTD_CNTRCT_ID</v>
      </c>
      <c r="B325" t="s">
        <v>659</v>
      </c>
      <c r="C325" t="s">
        <v>425</v>
      </c>
      <c r="D325" t="s">
        <v>1</v>
      </c>
      <c r="E325" t="s">
        <v>833</v>
      </c>
      <c r="F325" t="s">
        <v>53</v>
      </c>
      <c r="G325" t="s">
        <v>225</v>
      </c>
      <c r="H325" t="s">
        <v>860</v>
      </c>
      <c r="I325" t="s">
        <v>11</v>
      </c>
      <c r="J325" s="15">
        <v>45450</v>
      </c>
      <c r="K325" t="s">
        <v>833</v>
      </c>
      <c r="L325" t="str">
        <f t="shared" si="18"/>
        <v>OK</v>
      </c>
      <c r="P325" t="s">
        <v>13</v>
      </c>
      <c r="Q325" t="s">
        <v>1023</v>
      </c>
      <c r="R325" t="s">
        <v>1024</v>
      </c>
      <c r="S325" t="s">
        <v>1024</v>
      </c>
      <c r="T325" t="s">
        <v>1024</v>
      </c>
      <c r="U325" t="s">
        <v>1024</v>
      </c>
      <c r="V325" t="s">
        <v>1023</v>
      </c>
      <c r="W325" t="s">
        <v>1022</v>
      </c>
      <c r="X325" t="s">
        <v>1033</v>
      </c>
    </row>
    <row r="326" spans="1:24" x14ac:dyDescent="0.3">
      <c r="A326" s="55" t="str">
        <f t="shared" si="19"/>
        <v>INSTRUMENT_SYNDCTD_LNDRS</v>
      </c>
      <c r="B326" t="s">
        <v>659</v>
      </c>
      <c r="C326" t="s">
        <v>426</v>
      </c>
      <c r="D326" t="s">
        <v>1</v>
      </c>
      <c r="E326" t="s">
        <v>833</v>
      </c>
      <c r="F326" t="s">
        <v>53</v>
      </c>
      <c r="G326" t="s">
        <v>225</v>
      </c>
      <c r="H326" t="s">
        <v>860</v>
      </c>
      <c r="I326" t="s">
        <v>11</v>
      </c>
      <c r="J326" s="15">
        <v>45450</v>
      </c>
      <c r="K326" t="s">
        <v>833</v>
      </c>
      <c r="L326" t="str">
        <f t="shared" si="18"/>
        <v>OK</v>
      </c>
      <c r="P326" t="s">
        <v>13</v>
      </c>
      <c r="Q326" t="s">
        <v>1023</v>
      </c>
      <c r="R326" t="s">
        <v>1024</v>
      </c>
      <c r="S326" t="s">
        <v>1024</v>
      </c>
      <c r="T326" t="s">
        <v>1024</v>
      </c>
      <c r="U326" t="s">
        <v>1024</v>
      </c>
      <c r="V326" t="s">
        <v>1023</v>
      </c>
      <c r="W326" t="s">
        <v>1022</v>
      </c>
      <c r="X326" t="s">
        <v>1033</v>
      </c>
    </row>
    <row r="327" spans="1:24" x14ac:dyDescent="0.3">
      <c r="A327" s="55" t="str">
        <f t="shared" si="19"/>
        <v>INSTRUMENT_SYNDCTD_SHR</v>
      </c>
      <c r="B327" t="s">
        <v>659</v>
      </c>
      <c r="C327" t="s">
        <v>427</v>
      </c>
      <c r="D327" t="s">
        <v>1</v>
      </c>
      <c r="E327" t="s">
        <v>833</v>
      </c>
      <c r="F327" t="s">
        <v>53</v>
      </c>
      <c r="G327" t="s">
        <v>225</v>
      </c>
      <c r="H327" t="s">
        <v>860</v>
      </c>
      <c r="I327" t="s">
        <v>11</v>
      </c>
      <c r="J327" s="15">
        <v>45450</v>
      </c>
      <c r="K327" t="s">
        <v>833</v>
      </c>
      <c r="L327" t="str">
        <f t="shared" si="18"/>
        <v>OK</v>
      </c>
      <c r="P327" t="s">
        <v>13</v>
      </c>
      <c r="Q327" t="s">
        <v>1023</v>
      </c>
      <c r="R327" t="s">
        <v>1024</v>
      </c>
      <c r="S327" t="s">
        <v>1024</v>
      </c>
      <c r="T327" t="s">
        <v>1024</v>
      </c>
      <c r="U327" t="s">
        <v>1024</v>
      </c>
      <c r="V327" t="s">
        <v>1023</v>
      </c>
      <c r="W327" t="s">
        <v>1022</v>
      </c>
      <c r="X327" t="s">
        <v>1033</v>
      </c>
    </row>
    <row r="328" spans="1:24" x14ac:dyDescent="0.3">
      <c r="A328" s="55" t="str">
        <f t="shared" si="19"/>
        <v>INSTRUMENT_SYNDCTN_TYP</v>
      </c>
      <c r="B328" t="s">
        <v>659</v>
      </c>
      <c r="C328" t="s">
        <v>428</v>
      </c>
      <c r="D328" t="s">
        <v>0</v>
      </c>
      <c r="E328" t="s">
        <v>833</v>
      </c>
      <c r="F328" t="s">
        <v>53</v>
      </c>
      <c r="G328" t="s">
        <v>225</v>
      </c>
      <c r="H328" t="s">
        <v>860</v>
      </c>
      <c r="I328" t="s">
        <v>11</v>
      </c>
      <c r="J328" s="15">
        <v>45450</v>
      </c>
      <c r="K328" t="s">
        <v>833</v>
      </c>
      <c r="L328" t="str">
        <f t="shared" si="18"/>
        <v>OK</v>
      </c>
      <c r="P328" t="s">
        <v>13</v>
      </c>
      <c r="Q328" t="s">
        <v>1023</v>
      </c>
      <c r="R328" t="s">
        <v>1024</v>
      </c>
      <c r="S328" t="s">
        <v>1024</v>
      </c>
      <c r="T328" t="s">
        <v>1024</v>
      </c>
      <c r="U328" t="s">
        <v>1024</v>
      </c>
      <c r="V328" t="s">
        <v>1023</v>
      </c>
      <c r="W328" t="s">
        <v>1022</v>
      </c>
      <c r="X328" t="s">
        <v>1033</v>
      </c>
    </row>
    <row r="329" spans="1:24" x14ac:dyDescent="0.3">
      <c r="A329" s="55" t="str">
        <f t="shared" si="19"/>
        <v>ENTITY_TAX_ID</v>
      </c>
      <c r="B329" t="s">
        <v>867</v>
      </c>
      <c r="C329" t="s">
        <v>429</v>
      </c>
      <c r="D329" t="s">
        <v>0</v>
      </c>
      <c r="E329" t="s">
        <v>21</v>
      </c>
      <c r="F329" t="s">
        <v>67</v>
      </c>
      <c r="G329" t="s">
        <v>430</v>
      </c>
      <c r="I329" t="s">
        <v>11</v>
      </c>
      <c r="J329" s="15">
        <v>45450</v>
      </c>
      <c r="K329" t="s">
        <v>21</v>
      </c>
      <c r="L329" t="str">
        <f t="shared" si="18"/>
        <v>NOK</v>
      </c>
      <c r="P329" t="s">
        <v>9</v>
      </c>
      <c r="Q329" t="s">
        <v>1023</v>
      </c>
      <c r="R329" t="s">
        <v>1024</v>
      </c>
      <c r="S329" t="s">
        <v>1024</v>
      </c>
      <c r="T329" t="s">
        <v>1024</v>
      </c>
      <c r="U329" t="s">
        <v>1024</v>
      </c>
      <c r="V329" t="s">
        <v>1024</v>
      </c>
      <c r="W329" t="s">
        <v>983</v>
      </c>
      <c r="X329">
        <v>0</v>
      </c>
    </row>
    <row r="330" spans="1:24" x14ac:dyDescent="0.3">
      <c r="A330" s="55" t="str">
        <f t="shared" si="19"/>
        <v>PROTECTION_TAX_ID</v>
      </c>
      <c r="B330" t="s">
        <v>870</v>
      </c>
      <c r="C330" t="s">
        <v>429</v>
      </c>
      <c r="D330" t="s">
        <v>0</v>
      </c>
      <c r="E330" t="s">
        <v>21</v>
      </c>
      <c r="F330" t="s">
        <v>67</v>
      </c>
      <c r="G330" t="s">
        <v>431</v>
      </c>
      <c r="I330" t="s">
        <v>11</v>
      </c>
      <c r="J330" s="15">
        <v>45450</v>
      </c>
      <c r="K330" t="s">
        <v>21</v>
      </c>
      <c r="L330" t="str">
        <f t="shared" si="18"/>
        <v>NOK</v>
      </c>
      <c r="P330" t="s">
        <v>9</v>
      </c>
      <c r="Q330" t="s">
        <v>1023</v>
      </c>
      <c r="R330" t="s">
        <v>1024</v>
      </c>
      <c r="S330" t="s">
        <v>1024</v>
      </c>
      <c r="T330" t="s">
        <v>1024</v>
      </c>
      <c r="U330" t="s">
        <v>1024</v>
      </c>
      <c r="V330" t="s">
        <v>1024</v>
      </c>
      <c r="W330" t="s">
        <v>983</v>
      </c>
      <c r="X330">
        <v>0</v>
      </c>
    </row>
    <row r="331" spans="1:24" x14ac:dyDescent="0.3">
      <c r="A331" s="55" t="str">
        <f t="shared" si="19"/>
        <v>INSTR_PROTECTION_THRD_PRTY_PRRTY_CLMS</v>
      </c>
      <c r="B331" t="s">
        <v>869</v>
      </c>
      <c r="C331" t="s">
        <v>432</v>
      </c>
      <c r="D331" t="s">
        <v>1</v>
      </c>
      <c r="E331" t="s">
        <v>24</v>
      </c>
      <c r="F331" t="s">
        <v>53</v>
      </c>
      <c r="G331" t="s">
        <v>54</v>
      </c>
      <c r="I331" t="s">
        <v>7</v>
      </c>
      <c r="J331" s="15">
        <v>45450</v>
      </c>
      <c r="K331" t="s">
        <v>24</v>
      </c>
      <c r="L331" t="str">
        <f t="shared" si="18"/>
        <v>OK</v>
      </c>
      <c r="P331" t="s">
        <v>55</v>
      </c>
      <c r="Q331" t="s">
        <v>1023</v>
      </c>
      <c r="R331" t="s">
        <v>1024</v>
      </c>
      <c r="S331" t="s">
        <v>1024</v>
      </c>
      <c r="T331" t="s">
        <v>1024</v>
      </c>
      <c r="U331" t="s">
        <v>1024</v>
      </c>
      <c r="V331" t="s">
        <v>1024</v>
      </c>
      <c r="W331" t="s">
        <v>983</v>
      </c>
      <c r="X331">
        <v>0</v>
      </c>
    </row>
    <row r="332" spans="1:24" x14ac:dyDescent="0.3">
      <c r="A332" s="55" t="str">
        <f t="shared" si="19"/>
        <v>INSTRUMENT_TRNCH</v>
      </c>
      <c r="B332" t="s">
        <v>659</v>
      </c>
      <c r="C332" t="s">
        <v>433</v>
      </c>
      <c r="D332" t="s">
        <v>0</v>
      </c>
      <c r="E332" t="s">
        <v>833</v>
      </c>
      <c r="F332" t="s">
        <v>53</v>
      </c>
      <c r="G332" t="s">
        <v>225</v>
      </c>
      <c r="H332" t="s">
        <v>860</v>
      </c>
      <c r="I332" t="s">
        <v>11</v>
      </c>
      <c r="J332" s="15">
        <v>45450</v>
      </c>
      <c r="K332" t="s">
        <v>833</v>
      </c>
      <c r="L332" t="str">
        <f t="shared" si="18"/>
        <v>OK</v>
      </c>
      <c r="P332" t="s">
        <v>13</v>
      </c>
      <c r="Q332" t="s">
        <v>1023</v>
      </c>
      <c r="R332" t="s">
        <v>1024</v>
      </c>
      <c r="S332" t="s">
        <v>1024</v>
      </c>
      <c r="T332" t="s">
        <v>1024</v>
      </c>
      <c r="U332" t="s">
        <v>1024</v>
      </c>
      <c r="V332" t="s">
        <v>1023</v>
      </c>
      <c r="W332" t="s">
        <v>1022</v>
      </c>
      <c r="X332" t="s">
        <v>1033</v>
      </c>
    </row>
    <row r="333" spans="1:24" x14ac:dyDescent="0.3">
      <c r="A333" s="55" t="str">
        <f t="shared" si="19"/>
        <v>ENTITY_TTL_DBT</v>
      </c>
      <c r="B333" t="s">
        <v>867</v>
      </c>
      <c r="C333" t="s">
        <v>434</v>
      </c>
      <c r="D333" t="s">
        <v>1</v>
      </c>
      <c r="E333" t="s">
        <v>10</v>
      </c>
      <c r="F333" t="s">
        <v>53</v>
      </c>
      <c r="G333" t="s">
        <v>63</v>
      </c>
      <c r="H333" t="s">
        <v>856</v>
      </c>
      <c r="I333" t="s">
        <v>11</v>
      </c>
      <c r="J333" s="15">
        <v>45450</v>
      </c>
      <c r="K333" t="s">
        <v>10</v>
      </c>
      <c r="L333" t="str">
        <f t="shared" si="18"/>
        <v>OK</v>
      </c>
      <c r="P333" t="s">
        <v>13</v>
      </c>
      <c r="Q333" t="s">
        <v>1023</v>
      </c>
      <c r="R333" t="s">
        <v>1024</v>
      </c>
      <c r="S333" t="s">
        <v>1023</v>
      </c>
      <c r="T333" t="s">
        <v>1024</v>
      </c>
      <c r="U333" t="s">
        <v>1024</v>
      </c>
      <c r="V333" t="s">
        <v>1023</v>
      </c>
      <c r="W333" t="s">
        <v>984</v>
      </c>
      <c r="X333" t="s">
        <v>1027</v>
      </c>
    </row>
    <row r="334" spans="1:24" x14ac:dyDescent="0.3">
      <c r="A334" s="55" t="str">
        <f t="shared" si="19"/>
        <v>ENTITY_TTL_DBT_PRVS</v>
      </c>
      <c r="B334" t="s">
        <v>867</v>
      </c>
      <c r="C334" t="s">
        <v>435</v>
      </c>
      <c r="D334" t="s">
        <v>1</v>
      </c>
      <c r="E334" t="s">
        <v>10</v>
      </c>
      <c r="F334" t="s">
        <v>53</v>
      </c>
      <c r="G334" t="s">
        <v>63</v>
      </c>
      <c r="H334" t="s">
        <v>856</v>
      </c>
      <c r="I334" t="s">
        <v>11</v>
      </c>
      <c r="J334" s="15">
        <v>45450</v>
      </c>
      <c r="K334" t="s">
        <v>10</v>
      </c>
      <c r="L334" t="str">
        <f t="shared" si="18"/>
        <v>OK</v>
      </c>
      <c r="P334" t="s">
        <v>13</v>
      </c>
      <c r="Q334" t="s">
        <v>1023</v>
      </c>
      <c r="R334" t="s">
        <v>1024</v>
      </c>
      <c r="S334" t="s">
        <v>1024</v>
      </c>
      <c r="T334" t="s">
        <v>1024</v>
      </c>
      <c r="U334" t="s">
        <v>1024</v>
      </c>
      <c r="V334" t="s">
        <v>1023</v>
      </c>
      <c r="W334" t="s">
        <v>984</v>
      </c>
      <c r="X334" t="s">
        <v>1027</v>
      </c>
    </row>
    <row r="335" spans="1:24" x14ac:dyDescent="0.3">
      <c r="A335" s="55" t="str">
        <f t="shared" si="19"/>
        <v>INSTRUMENT_ACCRD_INTRST_INSTRMNT</v>
      </c>
      <c r="B335" t="s">
        <v>659</v>
      </c>
      <c r="C335" t="s">
        <v>64</v>
      </c>
      <c r="D335" t="s">
        <v>1</v>
      </c>
      <c r="E335" t="s">
        <v>10</v>
      </c>
      <c r="F335" t="s">
        <v>53</v>
      </c>
      <c r="G335" t="s">
        <v>65</v>
      </c>
      <c r="I335" t="s">
        <v>11</v>
      </c>
      <c r="J335" s="15">
        <v>45450</v>
      </c>
      <c r="K335" t="s">
        <v>10</v>
      </c>
      <c r="L335" t="str">
        <f t="shared" si="18"/>
        <v>OK</v>
      </c>
      <c r="P335" t="s">
        <v>13</v>
      </c>
      <c r="Q335" t="s">
        <v>1023</v>
      </c>
      <c r="R335" t="s">
        <v>1024</v>
      </c>
      <c r="S335" t="s">
        <v>1024</v>
      </c>
      <c r="T335" t="s">
        <v>1024</v>
      </c>
      <c r="U335" t="s">
        <v>1024</v>
      </c>
      <c r="V335" t="s">
        <v>1023</v>
      </c>
      <c r="W335" t="s">
        <v>1022</v>
      </c>
      <c r="X335" t="s">
        <v>1028</v>
      </c>
    </row>
    <row r="336" spans="1:24" x14ac:dyDescent="0.3">
      <c r="A336" s="55" t="str">
        <f t="shared" si="19"/>
        <v>ENTITY_TTL_LVRG_RT</v>
      </c>
      <c r="B336" t="s">
        <v>867</v>
      </c>
      <c r="C336" t="s">
        <v>437</v>
      </c>
      <c r="D336" t="s">
        <v>0</v>
      </c>
      <c r="E336" t="s">
        <v>24</v>
      </c>
      <c r="F336" t="s">
        <v>53</v>
      </c>
      <c r="G336" t="s">
        <v>54</v>
      </c>
      <c r="I336" t="s">
        <v>7</v>
      </c>
      <c r="J336" s="15">
        <v>45450</v>
      </c>
      <c r="K336" t="s">
        <v>24</v>
      </c>
      <c r="L336" t="str">
        <f t="shared" ref="L336:L342" si="20">F336</f>
        <v>OK</v>
      </c>
      <c r="P336" t="s">
        <v>55</v>
      </c>
      <c r="Q336" t="s">
        <v>1023</v>
      </c>
      <c r="R336" t="s">
        <v>1024</v>
      </c>
      <c r="S336" t="s">
        <v>1024</v>
      </c>
      <c r="T336" t="s">
        <v>1024</v>
      </c>
      <c r="U336" t="s">
        <v>1024</v>
      </c>
      <c r="V336" t="s">
        <v>1023</v>
      </c>
      <c r="W336" t="s">
        <v>983</v>
      </c>
      <c r="X336" t="s">
        <v>1025</v>
      </c>
    </row>
    <row r="337" spans="1:24" x14ac:dyDescent="0.3">
      <c r="A337" s="55" t="str">
        <f t="shared" si="19"/>
        <v>ENTITY_TTL_LVRG_RT_PRVS</v>
      </c>
      <c r="B337" t="s">
        <v>867</v>
      </c>
      <c r="C337" t="s">
        <v>438</v>
      </c>
      <c r="D337" t="s">
        <v>0</v>
      </c>
      <c r="E337" t="s">
        <v>24</v>
      </c>
      <c r="F337" t="s">
        <v>53</v>
      </c>
      <c r="G337" t="s">
        <v>54</v>
      </c>
      <c r="I337" t="s">
        <v>7</v>
      </c>
      <c r="J337" s="15">
        <v>45450</v>
      </c>
      <c r="K337" t="s">
        <v>24</v>
      </c>
      <c r="L337" t="str">
        <f t="shared" si="20"/>
        <v>OK</v>
      </c>
      <c r="P337" t="s">
        <v>55</v>
      </c>
      <c r="Q337" t="s">
        <v>1023</v>
      </c>
      <c r="R337" t="s">
        <v>1024</v>
      </c>
      <c r="S337" t="s">
        <v>1024</v>
      </c>
      <c r="T337" t="s">
        <v>1024</v>
      </c>
      <c r="U337" t="s">
        <v>1024</v>
      </c>
      <c r="V337" t="s">
        <v>1023</v>
      </c>
      <c r="W337" t="s">
        <v>983</v>
      </c>
      <c r="X337" t="s">
        <v>1025</v>
      </c>
    </row>
    <row r="338" spans="1:24" x14ac:dyDescent="0.3">
      <c r="A338" s="55" t="str">
        <f t="shared" si="19"/>
        <v>INSTRUMENT_TYP_AMRTSTN</v>
      </c>
      <c r="B338" t="s">
        <v>659</v>
      </c>
      <c r="C338" s="11" t="s">
        <v>439</v>
      </c>
      <c r="D338" t="s">
        <v>1</v>
      </c>
      <c r="E338" t="s">
        <v>14</v>
      </c>
      <c r="F338" t="s">
        <v>67</v>
      </c>
      <c r="G338" t="s">
        <v>74</v>
      </c>
      <c r="H338" t="s">
        <v>384</v>
      </c>
      <c r="I338" t="s">
        <v>15</v>
      </c>
      <c r="J338" s="15">
        <v>45450</v>
      </c>
      <c r="K338" t="s">
        <v>14</v>
      </c>
      <c r="L338" t="str">
        <f t="shared" si="20"/>
        <v>NOK</v>
      </c>
      <c r="P338" t="s">
        <v>25</v>
      </c>
      <c r="Q338" t="s">
        <v>1023</v>
      </c>
      <c r="R338" t="s">
        <v>1024</v>
      </c>
      <c r="S338" t="s">
        <v>1024</v>
      </c>
      <c r="T338" t="s">
        <v>1024</v>
      </c>
      <c r="U338" t="s">
        <v>1024</v>
      </c>
      <c r="V338" t="s">
        <v>1023</v>
      </c>
      <c r="W338" t="s">
        <v>1022</v>
      </c>
      <c r="X338" t="s">
        <v>1031</v>
      </c>
    </row>
    <row r="339" spans="1:24" x14ac:dyDescent="0.3">
      <c r="A339" s="55" t="str">
        <f t="shared" si="19"/>
        <v>INSTRUMENT_TYP_CMPLNT_MRTR_C19</v>
      </c>
      <c r="B339" t="s">
        <v>659</v>
      </c>
      <c r="C339" t="s">
        <v>440</v>
      </c>
      <c r="D339" t="s">
        <v>0</v>
      </c>
      <c r="E339" t="s">
        <v>24</v>
      </c>
      <c r="F339" t="s">
        <v>53</v>
      </c>
      <c r="G339" t="s">
        <v>54</v>
      </c>
      <c r="I339" t="s">
        <v>7</v>
      </c>
      <c r="J339" s="15">
        <v>45450</v>
      </c>
      <c r="K339" t="s">
        <v>24</v>
      </c>
      <c r="L339" t="str">
        <f t="shared" si="20"/>
        <v>OK</v>
      </c>
      <c r="P339" t="s">
        <v>55</v>
      </c>
      <c r="Q339" t="s">
        <v>1023</v>
      </c>
      <c r="R339" t="s">
        <v>1024</v>
      </c>
      <c r="S339" t="s">
        <v>1024</v>
      </c>
      <c r="T339" t="s">
        <v>1024</v>
      </c>
      <c r="U339" t="s">
        <v>1024</v>
      </c>
      <c r="V339" t="s">
        <v>1024</v>
      </c>
      <c r="W339" t="s">
        <v>983</v>
      </c>
      <c r="X339">
        <v>0</v>
      </c>
    </row>
    <row r="340" spans="1:24" x14ac:dyDescent="0.3">
      <c r="A340" s="55" t="str">
        <f t="shared" si="19"/>
        <v>INSTRUMENT_TYP_CRE_OPRTN</v>
      </c>
      <c r="B340" t="s">
        <v>659</v>
      </c>
      <c r="C340" t="s">
        <v>441</v>
      </c>
      <c r="D340" t="s">
        <v>0</v>
      </c>
      <c r="E340" t="s">
        <v>21</v>
      </c>
      <c r="F340" t="s">
        <v>67</v>
      </c>
      <c r="G340" t="s">
        <v>78</v>
      </c>
      <c r="I340" t="s">
        <v>11</v>
      </c>
      <c r="J340" s="15">
        <v>45450</v>
      </c>
      <c r="K340" t="s">
        <v>21</v>
      </c>
      <c r="L340" t="str">
        <f t="shared" si="20"/>
        <v>NOK</v>
      </c>
      <c r="P340" t="s">
        <v>9</v>
      </c>
      <c r="Q340" t="s">
        <v>1023</v>
      </c>
      <c r="R340" t="s">
        <v>1024</v>
      </c>
      <c r="S340" t="s">
        <v>1024</v>
      </c>
      <c r="T340" t="s">
        <v>1024</v>
      </c>
      <c r="U340" t="s">
        <v>1024</v>
      </c>
      <c r="V340" t="s">
        <v>1024</v>
      </c>
      <c r="W340" t="s">
        <v>983</v>
      </c>
      <c r="X340">
        <v>0</v>
      </c>
    </row>
    <row r="341" spans="1:24" x14ac:dyDescent="0.3">
      <c r="A341" s="55" t="str">
        <f t="shared" si="19"/>
        <v>INSTRUMENT_TYP_INSTRMNT</v>
      </c>
      <c r="B341" t="s">
        <v>659</v>
      </c>
      <c r="C341" t="s">
        <v>442</v>
      </c>
      <c r="D341" t="s">
        <v>1</v>
      </c>
      <c r="E341" t="s">
        <v>24</v>
      </c>
      <c r="F341" t="s">
        <v>53</v>
      </c>
      <c r="G341" t="s">
        <v>54</v>
      </c>
      <c r="I341" t="s">
        <v>7</v>
      </c>
      <c r="J341" s="15">
        <v>45450</v>
      </c>
      <c r="K341" t="s">
        <v>24</v>
      </c>
      <c r="L341" t="str">
        <f t="shared" si="20"/>
        <v>OK</v>
      </c>
      <c r="P341" t="s">
        <v>55</v>
      </c>
      <c r="Q341" t="s">
        <v>1023</v>
      </c>
      <c r="R341" t="s">
        <v>1023</v>
      </c>
      <c r="S341" t="s">
        <v>1023</v>
      </c>
      <c r="T341" t="s">
        <v>1024</v>
      </c>
      <c r="U341" t="s">
        <v>1024</v>
      </c>
      <c r="V341" t="s">
        <v>1023</v>
      </c>
      <c r="W341" t="s">
        <v>983</v>
      </c>
      <c r="X341" t="s">
        <v>1025</v>
      </c>
    </row>
    <row r="342" spans="1:24" x14ac:dyDescent="0.3">
      <c r="A342" s="55" t="str">
        <f t="shared" si="19"/>
        <v>INSTRUMENT_TYP_INTRST_RT</v>
      </c>
      <c r="B342" t="s">
        <v>659</v>
      </c>
      <c r="C342" t="s">
        <v>443</v>
      </c>
      <c r="D342" t="s">
        <v>1</v>
      </c>
      <c r="E342" t="s">
        <v>24</v>
      </c>
      <c r="F342" t="s">
        <v>53</v>
      </c>
      <c r="G342" t="s">
        <v>54</v>
      </c>
      <c r="I342" t="s">
        <v>7</v>
      </c>
      <c r="J342" s="15">
        <v>45450</v>
      </c>
      <c r="K342" t="s">
        <v>24</v>
      </c>
      <c r="L342" t="str">
        <f t="shared" si="20"/>
        <v>OK</v>
      </c>
      <c r="P342" t="s">
        <v>55</v>
      </c>
      <c r="Q342" t="s">
        <v>1023</v>
      </c>
      <c r="R342" t="s">
        <v>1024</v>
      </c>
      <c r="S342" t="s">
        <v>1024</v>
      </c>
      <c r="T342" t="s">
        <v>1024</v>
      </c>
      <c r="U342" t="s">
        <v>1024</v>
      </c>
      <c r="V342" t="s">
        <v>1024</v>
      </c>
      <c r="W342" t="s">
        <v>983</v>
      </c>
      <c r="X342">
        <v>0</v>
      </c>
    </row>
    <row r="343" spans="1:24" x14ac:dyDescent="0.3">
      <c r="A343" s="55" t="str">
        <f t="shared" si="19"/>
        <v>PROTECTION_PRTCTN_VL</v>
      </c>
      <c r="B343" t="s">
        <v>870</v>
      </c>
      <c r="C343" s="10" t="s">
        <v>33</v>
      </c>
      <c r="D343" t="s">
        <v>1</v>
      </c>
      <c r="E343" t="s">
        <v>832</v>
      </c>
      <c r="F343" t="s">
        <v>53</v>
      </c>
      <c r="G343" t="s">
        <v>334</v>
      </c>
      <c r="H343" t="s">
        <v>770</v>
      </c>
      <c r="I343" t="s">
        <v>15</v>
      </c>
      <c r="J343" s="15">
        <v>45562</v>
      </c>
      <c r="K343" t="s">
        <v>832</v>
      </c>
      <c r="L343" t="s">
        <v>67</v>
      </c>
      <c r="M343" t="s">
        <v>863</v>
      </c>
      <c r="P343" t="s">
        <v>19</v>
      </c>
      <c r="Q343" t="s">
        <v>1023</v>
      </c>
      <c r="R343" t="s">
        <v>1023</v>
      </c>
      <c r="S343" t="s">
        <v>1023</v>
      </c>
      <c r="T343" t="s">
        <v>1024</v>
      </c>
      <c r="U343" t="s">
        <v>1024</v>
      </c>
      <c r="V343" t="s">
        <v>1024</v>
      </c>
      <c r="W343" t="s">
        <v>983</v>
      </c>
      <c r="X343">
        <v>0</v>
      </c>
    </row>
    <row r="344" spans="1:24" x14ac:dyDescent="0.3">
      <c r="A344" s="55" t="str">
        <f t="shared" si="19"/>
        <v>PROTECTION_PRTCTN_VL_NPE</v>
      </c>
      <c r="B344" t="s">
        <v>870</v>
      </c>
      <c r="C344" s="11" t="s">
        <v>375</v>
      </c>
      <c r="D344" t="s">
        <v>1</v>
      </c>
      <c r="E344" t="s">
        <v>831</v>
      </c>
      <c r="F344" t="s">
        <v>53</v>
      </c>
      <c r="G344" t="s">
        <v>376</v>
      </c>
      <c r="I344" t="s">
        <v>15</v>
      </c>
      <c r="J344" s="15">
        <v>45568</v>
      </c>
      <c r="K344" t="s">
        <v>831</v>
      </c>
      <c r="L344" t="str">
        <f>F344</f>
        <v>OK</v>
      </c>
      <c r="P344" t="s">
        <v>25</v>
      </c>
      <c r="Q344" t="s">
        <v>1023</v>
      </c>
      <c r="R344" t="s">
        <v>1024</v>
      </c>
      <c r="S344" t="s">
        <v>1024</v>
      </c>
      <c r="T344" t="s">
        <v>1024</v>
      </c>
      <c r="U344" t="s">
        <v>1024</v>
      </c>
      <c r="V344" t="s">
        <v>1024</v>
      </c>
      <c r="W344" t="s">
        <v>983</v>
      </c>
      <c r="X344">
        <v>0</v>
      </c>
    </row>
    <row r="345" spans="1:24" x14ac:dyDescent="0.3">
      <c r="A345" s="55" t="str">
        <f t="shared" si="19"/>
        <v>PROTECTION_TYP_PRTCTN_INTRNL</v>
      </c>
      <c r="B345" t="s">
        <v>870</v>
      </c>
      <c r="C345" t="s">
        <v>447</v>
      </c>
      <c r="D345" t="s">
        <v>1</v>
      </c>
      <c r="E345" t="s">
        <v>21</v>
      </c>
      <c r="F345" t="s">
        <v>67</v>
      </c>
      <c r="G345" t="s">
        <v>78</v>
      </c>
      <c r="I345" t="s">
        <v>11</v>
      </c>
      <c r="J345" s="15">
        <v>45450</v>
      </c>
      <c r="K345" t="s">
        <v>21</v>
      </c>
      <c r="L345" t="str">
        <f t="shared" ref="L345:L351" si="21">F345</f>
        <v>NOK</v>
      </c>
      <c r="P345" t="s">
        <v>9</v>
      </c>
      <c r="Q345" t="s">
        <v>1023</v>
      </c>
      <c r="R345" t="s">
        <v>1024</v>
      </c>
      <c r="S345" t="s">
        <v>1024</v>
      </c>
      <c r="T345" t="s">
        <v>1024</v>
      </c>
      <c r="U345" t="s">
        <v>1024</v>
      </c>
      <c r="V345" t="s">
        <v>1024</v>
      </c>
      <c r="W345" t="s">
        <v>983</v>
      </c>
      <c r="X345">
        <v>0</v>
      </c>
    </row>
    <row r="346" spans="1:24" x14ac:dyDescent="0.3">
      <c r="A346" s="55" t="str">
        <f t="shared" si="19"/>
        <v>PROTECTION_TYP_PRTCTN_VL</v>
      </c>
      <c r="B346" t="s">
        <v>870</v>
      </c>
      <c r="C346" t="s">
        <v>448</v>
      </c>
      <c r="D346" t="s">
        <v>1</v>
      </c>
      <c r="E346" t="s">
        <v>21</v>
      </c>
      <c r="F346" t="s">
        <v>67</v>
      </c>
      <c r="G346" t="s">
        <v>78</v>
      </c>
      <c r="I346" t="s">
        <v>11</v>
      </c>
      <c r="J346" s="15">
        <v>45450</v>
      </c>
      <c r="K346" t="s">
        <v>21</v>
      </c>
      <c r="L346" t="str">
        <f t="shared" si="21"/>
        <v>NOK</v>
      </c>
      <c r="P346" t="s">
        <v>9</v>
      </c>
      <c r="Q346" t="s">
        <v>1023</v>
      </c>
      <c r="R346" t="s">
        <v>1024</v>
      </c>
      <c r="S346" t="s">
        <v>1024</v>
      </c>
      <c r="T346" t="s">
        <v>1024</v>
      </c>
      <c r="U346" t="s">
        <v>1024</v>
      </c>
      <c r="V346" t="s">
        <v>1024</v>
      </c>
      <c r="W346" t="s">
        <v>983</v>
      </c>
      <c r="X346">
        <v>0</v>
      </c>
    </row>
    <row r="347" spans="1:24" x14ac:dyDescent="0.3">
      <c r="A347" s="55" t="str">
        <f t="shared" si="19"/>
        <v>INSTRUMENT_TYPE_OF_PLCMNT</v>
      </c>
      <c r="B347" t="s">
        <v>659</v>
      </c>
      <c r="C347" t="s">
        <v>449</v>
      </c>
      <c r="D347" t="s">
        <v>0</v>
      </c>
      <c r="E347" t="s">
        <v>24</v>
      </c>
      <c r="F347" t="s">
        <v>53</v>
      </c>
      <c r="G347" t="s">
        <v>54</v>
      </c>
      <c r="I347" t="s">
        <v>7</v>
      </c>
      <c r="J347" s="15">
        <v>45450</v>
      </c>
      <c r="K347" t="s">
        <v>24</v>
      </c>
      <c r="L347" t="str">
        <f t="shared" si="21"/>
        <v>OK</v>
      </c>
      <c r="P347" t="s">
        <v>55</v>
      </c>
      <c r="Q347" t="s">
        <v>1023</v>
      </c>
      <c r="R347" t="s">
        <v>1024</v>
      </c>
      <c r="S347" t="s">
        <v>1024</v>
      </c>
      <c r="T347" t="s">
        <v>1024</v>
      </c>
      <c r="U347" t="s">
        <v>1024</v>
      </c>
      <c r="V347" t="s">
        <v>1024</v>
      </c>
      <c r="W347" t="s">
        <v>983</v>
      </c>
      <c r="X347">
        <v>0</v>
      </c>
    </row>
    <row r="348" spans="1:24" x14ac:dyDescent="0.3">
      <c r="A348" s="55" t="str">
        <f t="shared" si="19"/>
        <v>INSTRUMENT_VLTN_CRRNCY</v>
      </c>
      <c r="B348" t="s">
        <v>659</v>
      </c>
      <c r="C348" t="s">
        <v>450</v>
      </c>
      <c r="D348" t="s">
        <v>0</v>
      </c>
      <c r="E348" t="s">
        <v>24</v>
      </c>
      <c r="F348" t="s">
        <v>53</v>
      </c>
      <c r="G348" t="s">
        <v>54</v>
      </c>
      <c r="I348" t="s">
        <v>7</v>
      </c>
      <c r="J348" s="15">
        <v>45450</v>
      </c>
      <c r="K348" t="s">
        <v>24</v>
      </c>
      <c r="L348" t="str">
        <f t="shared" si="21"/>
        <v>OK</v>
      </c>
      <c r="P348" t="s">
        <v>55</v>
      </c>
      <c r="Q348" t="s">
        <v>1023</v>
      </c>
      <c r="R348" t="s">
        <v>1024</v>
      </c>
      <c r="S348" t="s">
        <v>1024</v>
      </c>
      <c r="T348" t="s">
        <v>1024</v>
      </c>
      <c r="U348" t="s">
        <v>1024</v>
      </c>
      <c r="V348" t="s">
        <v>1024</v>
      </c>
      <c r="W348" t="s">
        <v>983</v>
      </c>
      <c r="X348">
        <v>0</v>
      </c>
    </row>
    <row r="349" spans="1:24" x14ac:dyDescent="0.3">
      <c r="A349" s="55" t="str">
        <f t="shared" si="19"/>
        <v>INSTRUMENT_VLTN_TYP</v>
      </c>
      <c r="B349" t="s">
        <v>659</v>
      </c>
      <c r="C349" t="s">
        <v>451</v>
      </c>
      <c r="D349" t="s">
        <v>0</v>
      </c>
      <c r="E349" t="s">
        <v>24</v>
      </c>
      <c r="F349" t="s">
        <v>53</v>
      </c>
      <c r="G349" t="s">
        <v>54</v>
      </c>
      <c r="I349" t="s">
        <v>7</v>
      </c>
      <c r="J349" s="15">
        <v>45450</v>
      </c>
      <c r="K349" t="s">
        <v>24</v>
      </c>
      <c r="L349" t="str">
        <f t="shared" si="21"/>
        <v>OK</v>
      </c>
      <c r="P349" t="s">
        <v>55</v>
      </c>
      <c r="Q349" t="s">
        <v>1023</v>
      </c>
      <c r="R349" t="s">
        <v>1024</v>
      </c>
      <c r="S349" t="s">
        <v>1024</v>
      </c>
      <c r="T349" t="s">
        <v>1024</v>
      </c>
      <c r="U349" t="s">
        <v>1024</v>
      </c>
      <c r="V349" t="s">
        <v>1024</v>
      </c>
      <c r="W349" t="s">
        <v>983</v>
      </c>
      <c r="X349">
        <v>0</v>
      </c>
    </row>
    <row r="350" spans="1:24" x14ac:dyDescent="0.3">
      <c r="A350" s="55" t="str">
        <f t="shared" si="19"/>
        <v>ENTITY_WTCH_LST</v>
      </c>
      <c r="B350" t="s">
        <v>867</v>
      </c>
      <c r="C350" t="s">
        <v>452</v>
      </c>
      <c r="D350" t="s">
        <v>1</v>
      </c>
      <c r="E350" t="s">
        <v>24</v>
      </c>
      <c r="F350" t="s">
        <v>53</v>
      </c>
      <c r="G350" t="s">
        <v>54</v>
      </c>
      <c r="I350" t="s">
        <v>7</v>
      </c>
      <c r="J350" s="15">
        <v>45450</v>
      </c>
      <c r="K350" t="s">
        <v>24</v>
      </c>
      <c r="L350" t="str">
        <f t="shared" si="21"/>
        <v>OK</v>
      </c>
      <c r="P350" t="s">
        <v>55</v>
      </c>
      <c r="Q350" t="s">
        <v>1023</v>
      </c>
      <c r="R350" t="s">
        <v>1024</v>
      </c>
      <c r="S350" t="s">
        <v>1024</v>
      </c>
      <c r="T350" t="s">
        <v>1024</v>
      </c>
      <c r="U350" t="s">
        <v>1024</v>
      </c>
      <c r="V350" t="s">
        <v>1023</v>
      </c>
      <c r="W350" t="s">
        <v>983</v>
      </c>
      <c r="X350" t="s">
        <v>1025</v>
      </c>
    </row>
    <row r="351" spans="1:24" x14ac:dyDescent="0.3">
      <c r="A351" s="55" t="str">
        <f t="shared" si="19"/>
        <v>PROTECTION_YR_CNSTRCTN</v>
      </c>
      <c r="B351" t="s">
        <v>870</v>
      </c>
      <c r="C351" t="s">
        <v>453</v>
      </c>
      <c r="D351" t="s">
        <v>0</v>
      </c>
      <c r="E351" t="s">
        <v>6</v>
      </c>
      <c r="F351" t="s">
        <v>53</v>
      </c>
      <c r="G351" t="s">
        <v>96</v>
      </c>
      <c r="I351" t="s">
        <v>11</v>
      </c>
      <c r="J351" s="15">
        <v>45450</v>
      </c>
      <c r="K351" t="s">
        <v>6</v>
      </c>
      <c r="L351" t="str">
        <f t="shared" si="21"/>
        <v>OK</v>
      </c>
      <c r="P351" t="s">
        <v>17</v>
      </c>
      <c r="Q351" t="s">
        <v>1023</v>
      </c>
      <c r="R351" t="s">
        <v>1024</v>
      </c>
      <c r="S351" t="s">
        <v>1023</v>
      </c>
      <c r="T351" t="s">
        <v>1024</v>
      </c>
      <c r="U351" t="s">
        <v>1023</v>
      </c>
      <c r="V351" t="s">
        <v>1024</v>
      </c>
      <c r="W351" t="s">
        <v>983</v>
      </c>
      <c r="X351">
        <v>0</v>
      </c>
    </row>
    <row r="352" spans="1:24" x14ac:dyDescent="0.3">
      <c r="A352" s="55" t="str">
        <f t="shared" si="19"/>
        <v>ENTITY_ADDRSS_CTY</v>
      </c>
      <c r="B352" t="s">
        <v>867</v>
      </c>
      <c r="C352" t="s">
        <v>986</v>
      </c>
      <c r="D352" t="s">
        <v>0</v>
      </c>
      <c r="E352" t="s">
        <v>6</v>
      </c>
      <c r="I352" t="s">
        <v>11</v>
      </c>
      <c r="J352" s="15">
        <v>45667</v>
      </c>
      <c r="K352" t="s">
        <v>6</v>
      </c>
      <c r="Q352" t="s">
        <v>1023</v>
      </c>
      <c r="R352" t="s">
        <v>1024</v>
      </c>
      <c r="S352" t="s">
        <v>1024</v>
      </c>
      <c r="T352" t="s">
        <v>1024</v>
      </c>
      <c r="U352" t="s">
        <v>1024</v>
      </c>
      <c r="V352" t="s">
        <v>1024</v>
      </c>
      <c r="W352" t="s">
        <v>1021</v>
      </c>
      <c r="X352">
        <v>0</v>
      </c>
    </row>
    <row r="353" spans="1:24" x14ac:dyDescent="0.3">
      <c r="A353" s="55" t="str">
        <f t="shared" si="19"/>
        <v>ENTITY_ADDRSS_STRT</v>
      </c>
      <c r="B353" t="s">
        <v>867</v>
      </c>
      <c r="C353" t="s">
        <v>987</v>
      </c>
      <c r="D353" t="s">
        <v>0</v>
      </c>
      <c r="E353" t="s">
        <v>6</v>
      </c>
      <c r="I353" t="s">
        <v>11</v>
      </c>
      <c r="J353" s="15">
        <v>45667</v>
      </c>
      <c r="K353" t="s">
        <v>6</v>
      </c>
      <c r="Q353" t="s">
        <v>1023</v>
      </c>
      <c r="R353" t="s">
        <v>1024</v>
      </c>
      <c r="S353" t="s">
        <v>1024</v>
      </c>
      <c r="T353" t="s">
        <v>1024</v>
      </c>
      <c r="U353" t="s">
        <v>1024</v>
      </c>
      <c r="V353" t="s">
        <v>1024</v>
      </c>
      <c r="W353" t="s">
        <v>1021</v>
      </c>
      <c r="X353">
        <v>0</v>
      </c>
    </row>
    <row r="354" spans="1:24" x14ac:dyDescent="0.3">
      <c r="A354" s="55" t="str">
        <f t="shared" si="19"/>
        <v>ENTITY_DT_ENTRPRS_SZ</v>
      </c>
      <c r="B354" t="s">
        <v>867</v>
      </c>
      <c r="C354" t="s">
        <v>988</v>
      </c>
      <c r="D354" t="s">
        <v>0</v>
      </c>
      <c r="E354" t="s">
        <v>6</v>
      </c>
      <c r="I354" t="s">
        <v>11</v>
      </c>
      <c r="J354" s="15">
        <v>45667</v>
      </c>
      <c r="K354" t="s">
        <v>6</v>
      </c>
      <c r="Q354" t="s">
        <v>1023</v>
      </c>
      <c r="R354" t="s">
        <v>1024</v>
      </c>
      <c r="S354" t="s">
        <v>1024</v>
      </c>
      <c r="T354" t="s">
        <v>1024</v>
      </c>
      <c r="U354" t="s">
        <v>1024</v>
      </c>
      <c r="V354" t="s">
        <v>1024</v>
      </c>
      <c r="W354" t="s">
        <v>1021</v>
      </c>
      <c r="X354">
        <v>0</v>
      </c>
    </row>
    <row r="355" spans="1:24" x14ac:dyDescent="0.3">
      <c r="A355" s="55" t="str">
        <f t="shared" si="19"/>
        <v>ENTITY_NMBR_EMPLYS</v>
      </c>
      <c r="B355" t="s">
        <v>867</v>
      </c>
      <c r="C355" t="s">
        <v>989</v>
      </c>
      <c r="D355" t="s">
        <v>0</v>
      </c>
      <c r="E355" t="s">
        <v>6</v>
      </c>
      <c r="I355" t="s">
        <v>11</v>
      </c>
      <c r="J355" s="15">
        <v>45667</v>
      </c>
      <c r="K355" t="s">
        <v>6</v>
      </c>
      <c r="Q355" t="s">
        <v>1023</v>
      </c>
      <c r="R355" t="s">
        <v>1024</v>
      </c>
      <c r="S355" t="s">
        <v>1024</v>
      </c>
      <c r="T355" t="s">
        <v>1024</v>
      </c>
      <c r="U355" t="s">
        <v>1024</v>
      </c>
      <c r="V355" t="s">
        <v>1024</v>
      </c>
      <c r="W355" t="s">
        <v>1021</v>
      </c>
      <c r="X355">
        <v>0</v>
      </c>
    </row>
    <row r="356" spans="1:24" x14ac:dyDescent="0.3">
      <c r="A356" s="55" t="str">
        <f t="shared" si="19"/>
        <v>ENTITY_LGL_FRM</v>
      </c>
      <c r="B356" t="s">
        <v>867</v>
      </c>
      <c r="C356" t="s">
        <v>990</v>
      </c>
      <c r="D356" t="s">
        <v>0</v>
      </c>
      <c r="E356" t="s">
        <v>6</v>
      </c>
      <c r="I356" t="s">
        <v>11</v>
      </c>
      <c r="J356" s="15">
        <v>45667</v>
      </c>
      <c r="K356" t="s">
        <v>6</v>
      </c>
      <c r="Q356" t="s">
        <v>1023</v>
      </c>
      <c r="R356" t="s">
        <v>1024</v>
      </c>
      <c r="S356" t="s">
        <v>1024</v>
      </c>
      <c r="T356" t="s">
        <v>1024</v>
      </c>
      <c r="U356" t="s">
        <v>1024</v>
      </c>
      <c r="V356" t="s">
        <v>1024</v>
      </c>
      <c r="W356" t="s">
        <v>1021</v>
      </c>
      <c r="X356">
        <v>0</v>
      </c>
    </row>
    <row r="357" spans="1:24" x14ac:dyDescent="0.3">
      <c r="A357" s="55" t="str">
        <f t="shared" si="19"/>
        <v>ENTITY_HD_OFFC_UNDRTKNG_ID</v>
      </c>
      <c r="B357" t="s">
        <v>867</v>
      </c>
      <c r="C357" t="s">
        <v>991</v>
      </c>
      <c r="D357" t="s">
        <v>0</v>
      </c>
      <c r="E357" t="s">
        <v>6</v>
      </c>
      <c r="I357" t="s">
        <v>11</v>
      </c>
      <c r="J357" s="15">
        <v>45667</v>
      </c>
      <c r="K357" t="s">
        <v>6</v>
      </c>
      <c r="Q357" t="s">
        <v>1023</v>
      </c>
      <c r="R357" t="s">
        <v>1024</v>
      </c>
      <c r="S357" t="s">
        <v>1024</v>
      </c>
      <c r="T357" t="s">
        <v>1024</v>
      </c>
      <c r="U357" t="s">
        <v>1024</v>
      </c>
      <c r="V357" t="s">
        <v>1024</v>
      </c>
      <c r="W357" t="s">
        <v>1021</v>
      </c>
      <c r="X357">
        <v>0</v>
      </c>
    </row>
    <row r="358" spans="1:24" x14ac:dyDescent="0.3">
      <c r="A358" s="55" t="str">
        <f t="shared" si="19"/>
        <v>ENTITY_IMMDT_PRNT_UNDRTKNG_ID</v>
      </c>
      <c r="B358" t="s">
        <v>867</v>
      </c>
      <c r="C358" t="s">
        <v>992</v>
      </c>
      <c r="D358" t="s">
        <v>0</v>
      </c>
      <c r="E358" t="s">
        <v>6</v>
      </c>
      <c r="I358" t="s">
        <v>11</v>
      </c>
      <c r="J358" s="15">
        <v>45667</v>
      </c>
      <c r="K358" t="s">
        <v>6</v>
      </c>
      <c r="Q358" t="s">
        <v>1023</v>
      </c>
      <c r="R358" t="s">
        <v>1024</v>
      </c>
      <c r="S358" t="s">
        <v>1024</v>
      </c>
      <c r="T358" t="s">
        <v>1024</v>
      </c>
      <c r="U358" t="s">
        <v>1024</v>
      </c>
      <c r="V358" t="s">
        <v>1024</v>
      </c>
      <c r="W358" t="s">
        <v>1021</v>
      </c>
      <c r="X358">
        <v>0</v>
      </c>
    </row>
    <row r="359" spans="1:24" x14ac:dyDescent="0.3">
      <c r="A359" s="55" t="str">
        <f t="shared" si="19"/>
        <v>ENTITY_ULTMT_PRNT_UNDRTKNG_ID</v>
      </c>
      <c r="B359" t="s">
        <v>867</v>
      </c>
      <c r="C359" t="s">
        <v>993</v>
      </c>
      <c r="D359" t="s">
        <v>0</v>
      </c>
      <c r="E359" t="s">
        <v>6</v>
      </c>
      <c r="I359" t="s">
        <v>11</v>
      </c>
      <c r="J359" s="15">
        <v>45667</v>
      </c>
      <c r="K359" t="s">
        <v>6</v>
      </c>
      <c r="Q359" t="s">
        <v>1023</v>
      </c>
      <c r="R359" t="s">
        <v>1024</v>
      </c>
      <c r="S359" t="s">
        <v>1024</v>
      </c>
      <c r="T359" t="s">
        <v>1024</v>
      </c>
      <c r="U359" t="s">
        <v>1024</v>
      </c>
      <c r="V359" t="s">
        <v>1024</v>
      </c>
      <c r="W359" t="s">
        <v>1021</v>
      </c>
      <c r="X359">
        <v>0</v>
      </c>
    </row>
    <row r="360" spans="1:24" x14ac:dyDescent="0.3">
      <c r="A360" s="55" t="str">
        <f t="shared" si="19"/>
        <v>ENTITY_TTL_ASSTS</v>
      </c>
      <c r="B360" t="s">
        <v>867</v>
      </c>
      <c r="C360" t="s">
        <v>994</v>
      </c>
      <c r="D360" t="s">
        <v>0</v>
      </c>
      <c r="E360" t="s">
        <v>6</v>
      </c>
      <c r="I360" t="s">
        <v>11</v>
      </c>
      <c r="J360" s="15">
        <v>45667</v>
      </c>
      <c r="K360" t="s">
        <v>6</v>
      </c>
      <c r="Q360" t="s">
        <v>1023</v>
      </c>
      <c r="R360" t="s">
        <v>1024</v>
      </c>
      <c r="S360" t="s">
        <v>1024</v>
      </c>
      <c r="T360" t="s">
        <v>1024</v>
      </c>
      <c r="U360" t="s">
        <v>1024</v>
      </c>
      <c r="V360" t="s">
        <v>1024</v>
      </c>
      <c r="W360" t="s">
        <v>1021</v>
      </c>
      <c r="X360">
        <v>0</v>
      </c>
    </row>
    <row r="361" spans="1:24" x14ac:dyDescent="0.3">
      <c r="A361" s="55" t="str">
        <f t="shared" si="19"/>
        <v>ENTITY_ENTTY_ID_BDR</v>
      </c>
      <c r="B361" t="s">
        <v>867</v>
      </c>
      <c r="C361" t="s">
        <v>995</v>
      </c>
      <c r="D361" t="s">
        <v>0</v>
      </c>
      <c r="E361" t="s">
        <v>6</v>
      </c>
      <c r="I361" t="s">
        <v>11</v>
      </c>
      <c r="J361" s="15">
        <v>45667</v>
      </c>
      <c r="K361" t="s">
        <v>6</v>
      </c>
      <c r="Q361" t="s">
        <v>1023</v>
      </c>
      <c r="R361" t="s">
        <v>1024</v>
      </c>
      <c r="S361" t="s">
        <v>1024</v>
      </c>
      <c r="T361" t="s">
        <v>1024</v>
      </c>
      <c r="U361" t="s">
        <v>1024</v>
      </c>
      <c r="V361" t="s">
        <v>1024</v>
      </c>
      <c r="W361" t="s">
        <v>1021</v>
      </c>
      <c r="X361">
        <v>0</v>
      </c>
    </row>
    <row r="362" spans="1:24" x14ac:dyDescent="0.3">
      <c r="A362" s="55" t="str">
        <f t="shared" si="19"/>
        <v>INSTRUMENT_CPN_RT_FLTNG</v>
      </c>
      <c r="B362" t="s">
        <v>659</v>
      </c>
      <c r="C362" t="s">
        <v>996</v>
      </c>
      <c r="D362" t="s">
        <v>0</v>
      </c>
      <c r="E362" t="s">
        <v>6</v>
      </c>
      <c r="I362" t="s">
        <v>11</v>
      </c>
      <c r="J362" s="15">
        <v>45667</v>
      </c>
      <c r="K362" t="s">
        <v>6</v>
      </c>
      <c r="Q362" t="s">
        <v>1023</v>
      </c>
      <c r="R362" t="s">
        <v>1024</v>
      </c>
      <c r="S362" t="s">
        <v>1024</v>
      </c>
      <c r="T362" t="s">
        <v>1024</v>
      </c>
      <c r="U362" t="s">
        <v>1024</v>
      </c>
      <c r="V362" t="s">
        <v>1024</v>
      </c>
      <c r="W362" t="s">
        <v>1021</v>
      </c>
      <c r="X362">
        <v>0</v>
      </c>
    </row>
    <row r="363" spans="1:24" x14ac:dyDescent="0.3">
      <c r="A363" s="55" t="str">
        <f t="shared" si="19"/>
        <v>INSTRUMENT_INTRST_RT_CP</v>
      </c>
      <c r="B363" t="s">
        <v>659</v>
      </c>
      <c r="C363" t="s">
        <v>997</v>
      </c>
      <c r="D363" t="s">
        <v>0</v>
      </c>
      <c r="E363" t="s">
        <v>6</v>
      </c>
      <c r="I363" t="s">
        <v>11</v>
      </c>
      <c r="J363" s="15">
        <v>45667</v>
      </c>
      <c r="K363" t="s">
        <v>6</v>
      </c>
      <c r="Q363" t="s">
        <v>1023</v>
      </c>
      <c r="R363" t="s">
        <v>1024</v>
      </c>
      <c r="S363" t="s">
        <v>1024</v>
      </c>
      <c r="T363" t="s">
        <v>1024</v>
      </c>
      <c r="U363" t="s">
        <v>1024</v>
      </c>
      <c r="V363" t="s">
        <v>1024</v>
      </c>
      <c r="W363" t="s">
        <v>1021</v>
      </c>
      <c r="X363">
        <v>0</v>
      </c>
    </row>
    <row r="364" spans="1:24" x14ac:dyDescent="0.3">
      <c r="A364" s="55" t="str">
        <f t="shared" si="19"/>
        <v>INSTRUMENT_INTRST_RT_FLR</v>
      </c>
      <c r="B364" t="s">
        <v>659</v>
      </c>
      <c r="C364" t="s">
        <v>998</v>
      </c>
      <c r="D364" t="s">
        <v>0</v>
      </c>
      <c r="E364" t="s">
        <v>6</v>
      </c>
      <c r="I364" t="s">
        <v>11</v>
      </c>
      <c r="J364" s="15">
        <v>45667</v>
      </c>
      <c r="K364" t="s">
        <v>6</v>
      </c>
      <c r="Q364" t="s">
        <v>1023</v>
      </c>
      <c r="R364" t="s">
        <v>1024</v>
      </c>
      <c r="S364" t="s">
        <v>1024</v>
      </c>
      <c r="T364" t="s">
        <v>1024</v>
      </c>
      <c r="U364" t="s">
        <v>1024</v>
      </c>
      <c r="V364" t="s">
        <v>1024</v>
      </c>
      <c r="W364" t="s">
        <v>1021</v>
      </c>
      <c r="X364">
        <v>0</v>
      </c>
    </row>
    <row r="365" spans="1:24" x14ac:dyDescent="0.3">
      <c r="A365" s="55" t="str">
        <f t="shared" si="19"/>
        <v>INSTRUMENT_NMNL_INTRST_RT_FEE</v>
      </c>
      <c r="B365" t="s">
        <v>659</v>
      </c>
      <c r="C365" t="s">
        <v>999</v>
      </c>
      <c r="D365" t="s">
        <v>0</v>
      </c>
      <c r="E365" t="s">
        <v>6</v>
      </c>
      <c r="I365" t="s">
        <v>11</v>
      </c>
      <c r="J365" s="15">
        <v>45667</v>
      </c>
      <c r="K365" t="s">
        <v>6</v>
      </c>
      <c r="Q365" t="s">
        <v>1023</v>
      </c>
      <c r="R365" t="s">
        <v>1024</v>
      </c>
      <c r="S365" t="s">
        <v>1024</v>
      </c>
      <c r="T365" t="s">
        <v>1024</v>
      </c>
      <c r="U365" t="s">
        <v>1024</v>
      </c>
      <c r="V365" t="s">
        <v>1024</v>
      </c>
      <c r="W365" t="s">
        <v>1021</v>
      </c>
      <c r="X365">
        <v>0</v>
      </c>
    </row>
    <row r="366" spans="1:24" x14ac:dyDescent="0.3">
      <c r="A366" s="55" t="str">
        <f t="shared" si="19"/>
        <v>INSTRUMENT_DT_STTLMNT</v>
      </c>
      <c r="B366" t="s">
        <v>659</v>
      </c>
      <c r="C366" t="s">
        <v>1000</v>
      </c>
      <c r="D366" t="s">
        <v>0</v>
      </c>
      <c r="E366" t="s">
        <v>6</v>
      </c>
      <c r="I366" t="s">
        <v>11</v>
      </c>
      <c r="J366" s="15">
        <v>45667</v>
      </c>
      <c r="K366" t="s">
        <v>6</v>
      </c>
      <c r="Q366" t="s">
        <v>1023</v>
      </c>
      <c r="R366" t="s">
        <v>1024</v>
      </c>
      <c r="S366" t="s">
        <v>1024</v>
      </c>
      <c r="T366" t="s">
        <v>1024</v>
      </c>
      <c r="U366" t="s">
        <v>1024</v>
      </c>
      <c r="V366" t="s">
        <v>1024</v>
      </c>
      <c r="W366" t="s">
        <v>1021</v>
      </c>
      <c r="X366">
        <v>0</v>
      </c>
    </row>
    <row r="367" spans="1:24" x14ac:dyDescent="0.3">
      <c r="A367" s="55" t="str">
        <f t="shared" si="19"/>
        <v>INSTRUMENT_TRNSFRRD_AMNT</v>
      </c>
      <c r="B367" t="s">
        <v>659</v>
      </c>
      <c r="C367" t="s">
        <v>1001</v>
      </c>
      <c r="D367" t="s">
        <v>0</v>
      </c>
      <c r="E367" t="s">
        <v>6</v>
      </c>
      <c r="I367" t="s">
        <v>11</v>
      </c>
      <c r="J367" s="15">
        <v>45667</v>
      </c>
      <c r="K367" t="s">
        <v>6</v>
      </c>
      <c r="Q367" t="s">
        <v>1023</v>
      </c>
      <c r="R367" t="s">
        <v>1024</v>
      </c>
      <c r="S367" t="s">
        <v>1024</v>
      </c>
      <c r="T367" t="s">
        <v>1024</v>
      </c>
      <c r="U367" t="s">
        <v>1024</v>
      </c>
      <c r="V367" t="s">
        <v>1024</v>
      </c>
      <c r="W367" t="s">
        <v>1021</v>
      </c>
      <c r="X367">
        <v>0</v>
      </c>
    </row>
    <row r="368" spans="1:24" x14ac:dyDescent="0.3">
      <c r="A368" s="55" t="str">
        <f t="shared" si="19"/>
        <v>INSTRUMENT_TYP_SCRTZTN</v>
      </c>
      <c r="B368" t="s">
        <v>659</v>
      </c>
      <c r="C368" t="s">
        <v>1002</v>
      </c>
      <c r="D368" t="s">
        <v>0</v>
      </c>
      <c r="E368" t="s">
        <v>6</v>
      </c>
      <c r="I368" t="s">
        <v>11</v>
      </c>
      <c r="J368" s="15">
        <v>45667</v>
      </c>
      <c r="K368" t="s">
        <v>6</v>
      </c>
      <c r="Q368" t="s">
        <v>1023</v>
      </c>
      <c r="R368" t="s">
        <v>1024</v>
      </c>
      <c r="S368" t="s">
        <v>1024</v>
      </c>
      <c r="T368" t="s">
        <v>1024</v>
      </c>
      <c r="U368" t="s">
        <v>1024</v>
      </c>
      <c r="V368" t="s">
        <v>1024</v>
      </c>
      <c r="W368" t="s">
        <v>1021</v>
      </c>
      <c r="X368">
        <v>0</v>
      </c>
    </row>
    <row r="369" spans="1:24" x14ac:dyDescent="0.3">
      <c r="A369" s="55" t="str">
        <f t="shared" si="19"/>
        <v>INSTRUMENT_TYP_OFF_BLNC_PRDCT</v>
      </c>
      <c r="B369" t="s">
        <v>659</v>
      </c>
      <c r="C369" t="s">
        <v>1003</v>
      </c>
      <c r="D369" t="s">
        <v>0</v>
      </c>
      <c r="E369" t="s">
        <v>6</v>
      </c>
      <c r="I369" t="s">
        <v>11</v>
      </c>
      <c r="J369" s="15">
        <v>45667</v>
      </c>
      <c r="K369" t="s">
        <v>6</v>
      </c>
      <c r="Q369" t="s">
        <v>1023</v>
      </c>
      <c r="R369" t="s">
        <v>1023</v>
      </c>
      <c r="S369" t="s">
        <v>1023</v>
      </c>
      <c r="T369" t="s">
        <v>1024</v>
      </c>
      <c r="U369" t="s">
        <v>1024</v>
      </c>
      <c r="V369" t="s">
        <v>1023</v>
      </c>
      <c r="W369" t="s">
        <v>1022</v>
      </c>
      <c r="X369" t="s">
        <v>1034</v>
      </c>
    </row>
    <row r="370" spans="1:24" x14ac:dyDescent="0.3">
      <c r="A370" s="55" t="str">
        <f t="shared" si="19"/>
        <v>INSTRUMENT_BLNC_SHT_RCGNTN</v>
      </c>
      <c r="B370" t="s">
        <v>659</v>
      </c>
      <c r="C370" t="s">
        <v>1004</v>
      </c>
      <c r="D370" t="s">
        <v>0</v>
      </c>
      <c r="E370" t="s">
        <v>6</v>
      </c>
      <c r="I370" t="s">
        <v>11</v>
      </c>
      <c r="J370" s="15">
        <v>45667</v>
      </c>
      <c r="K370" t="s">
        <v>6</v>
      </c>
      <c r="Q370" t="s">
        <v>1023</v>
      </c>
      <c r="R370" t="s">
        <v>1024</v>
      </c>
      <c r="S370" t="s">
        <v>1024</v>
      </c>
      <c r="T370" t="s">
        <v>1024</v>
      </c>
      <c r="U370" t="s">
        <v>1024</v>
      </c>
      <c r="V370" t="s">
        <v>1024</v>
      </c>
      <c r="W370" t="s">
        <v>1021</v>
      </c>
      <c r="X370">
        <v>0</v>
      </c>
    </row>
    <row r="371" spans="1:24" x14ac:dyDescent="0.3">
      <c r="A371" s="55" t="str">
        <f t="shared" si="19"/>
        <v>INSTRUMENT_FLG_DFLT</v>
      </c>
      <c r="B371" t="s">
        <v>659</v>
      </c>
      <c r="C371" t="s">
        <v>1005</v>
      </c>
      <c r="D371" t="s">
        <v>0</v>
      </c>
      <c r="E371" t="s">
        <v>6</v>
      </c>
      <c r="I371" t="s">
        <v>11</v>
      </c>
      <c r="J371" s="15">
        <v>45667</v>
      </c>
      <c r="K371" t="s">
        <v>6</v>
      </c>
      <c r="Q371" t="s">
        <v>1023</v>
      </c>
      <c r="R371" t="s">
        <v>1024</v>
      </c>
      <c r="S371" t="s">
        <v>1024</v>
      </c>
      <c r="T371" t="s">
        <v>1024</v>
      </c>
      <c r="U371" t="s">
        <v>1024</v>
      </c>
      <c r="V371" t="s">
        <v>1024</v>
      </c>
      <c r="W371" t="s">
        <v>1021</v>
      </c>
      <c r="X371">
        <v>0</v>
      </c>
    </row>
    <row r="372" spans="1:24" x14ac:dyDescent="0.3">
      <c r="A372" s="55" t="str">
        <f t="shared" si="19"/>
        <v>INSTRUMENT_FLG_HGH_RSK</v>
      </c>
      <c r="B372" t="s">
        <v>659</v>
      </c>
      <c r="C372" t="s">
        <v>1006</v>
      </c>
      <c r="D372" t="s">
        <v>0</v>
      </c>
      <c r="E372" t="s">
        <v>6</v>
      </c>
      <c r="I372" t="s">
        <v>11</v>
      </c>
      <c r="J372" s="15">
        <v>45667</v>
      </c>
      <c r="K372" t="s">
        <v>6</v>
      </c>
      <c r="Q372" t="s">
        <v>1023</v>
      </c>
      <c r="R372" t="s">
        <v>1024</v>
      </c>
      <c r="S372" t="s">
        <v>1024</v>
      </c>
      <c r="T372" t="s">
        <v>1024</v>
      </c>
      <c r="U372" t="s">
        <v>1024</v>
      </c>
      <c r="V372" t="s">
        <v>1024</v>
      </c>
      <c r="W372" t="s">
        <v>1021</v>
      </c>
      <c r="X372">
        <v>0</v>
      </c>
    </row>
    <row r="373" spans="1:24" x14ac:dyDescent="0.3">
      <c r="A373" s="55" t="str">
        <f t="shared" si="19"/>
        <v>INSTRUMENT_PRTNR</v>
      </c>
      <c r="B373" t="s">
        <v>659</v>
      </c>
      <c r="C373" t="s">
        <v>1007</v>
      </c>
      <c r="D373" t="s">
        <v>0</v>
      </c>
      <c r="E373" t="s">
        <v>6</v>
      </c>
      <c r="I373" t="s">
        <v>11</v>
      </c>
      <c r="J373" s="15">
        <v>45667</v>
      </c>
      <c r="K373" t="s">
        <v>6</v>
      </c>
      <c r="Q373" t="s">
        <v>1023</v>
      </c>
      <c r="R373" t="s">
        <v>1024</v>
      </c>
      <c r="S373" t="s">
        <v>1024</v>
      </c>
      <c r="T373" t="s">
        <v>1023</v>
      </c>
      <c r="U373" t="s">
        <v>1024</v>
      </c>
      <c r="V373" t="s">
        <v>1024</v>
      </c>
      <c r="W373" t="s">
        <v>1021</v>
      </c>
      <c r="X373">
        <v>0</v>
      </c>
    </row>
    <row r="374" spans="1:24" x14ac:dyDescent="0.3">
      <c r="A374" s="55" t="str">
        <f t="shared" si="19"/>
        <v>INSTRUMENT_INCNTVS</v>
      </c>
      <c r="B374" t="s">
        <v>659</v>
      </c>
      <c r="C374" t="s">
        <v>1008</v>
      </c>
      <c r="D374" t="s">
        <v>0</v>
      </c>
      <c r="E374" t="s">
        <v>6</v>
      </c>
      <c r="I374" t="s">
        <v>11</v>
      </c>
      <c r="J374" s="15">
        <v>45667</v>
      </c>
      <c r="K374" t="s">
        <v>6</v>
      </c>
      <c r="Q374" t="s">
        <v>1023</v>
      </c>
      <c r="R374" t="s">
        <v>1024</v>
      </c>
      <c r="S374" t="s">
        <v>1024</v>
      </c>
      <c r="T374" t="s">
        <v>1023</v>
      </c>
      <c r="U374" t="s">
        <v>1024</v>
      </c>
      <c r="V374" t="s">
        <v>1024</v>
      </c>
      <c r="W374" t="s">
        <v>1021</v>
      </c>
      <c r="X374">
        <v>0</v>
      </c>
    </row>
    <row r="375" spans="1:24" x14ac:dyDescent="0.3">
      <c r="A375" s="55" t="str">
        <f t="shared" si="19"/>
        <v>INSTRUMENT_OTHR_OPRTNG_INCM</v>
      </c>
      <c r="B375" t="s">
        <v>659</v>
      </c>
      <c r="C375" t="s">
        <v>1009</v>
      </c>
      <c r="D375" t="s">
        <v>0</v>
      </c>
      <c r="E375" t="s">
        <v>6</v>
      </c>
      <c r="I375" t="s">
        <v>11</v>
      </c>
      <c r="J375" s="15">
        <v>45667</v>
      </c>
      <c r="K375" t="s">
        <v>6</v>
      </c>
      <c r="Q375" t="s">
        <v>1023</v>
      </c>
      <c r="R375" t="s">
        <v>1024</v>
      </c>
      <c r="S375" t="s">
        <v>1024</v>
      </c>
      <c r="T375" t="s">
        <v>1023</v>
      </c>
      <c r="U375" t="s">
        <v>1024</v>
      </c>
      <c r="V375" t="s">
        <v>1024</v>
      </c>
      <c r="W375" t="s">
        <v>1021</v>
      </c>
      <c r="X375">
        <v>0</v>
      </c>
    </row>
    <row r="376" spans="1:24" x14ac:dyDescent="0.3">
      <c r="A376" s="55" t="str">
        <f t="shared" si="19"/>
        <v>INSTRUMENT_RFRRL_FS</v>
      </c>
      <c r="B376" t="s">
        <v>659</v>
      </c>
      <c r="C376" t="s">
        <v>1010</v>
      </c>
      <c r="D376" t="s">
        <v>0</v>
      </c>
      <c r="E376" t="s">
        <v>6</v>
      </c>
      <c r="I376" t="s">
        <v>11</v>
      </c>
      <c r="J376" s="15">
        <v>45667</v>
      </c>
      <c r="K376" t="s">
        <v>6</v>
      </c>
      <c r="Q376" t="s">
        <v>1023</v>
      </c>
      <c r="R376" t="s">
        <v>1024</v>
      </c>
      <c r="S376" t="s">
        <v>1024</v>
      </c>
      <c r="T376" t="s">
        <v>1023</v>
      </c>
      <c r="U376" t="s">
        <v>1024</v>
      </c>
      <c r="V376" t="s">
        <v>1024</v>
      </c>
      <c r="W376" t="s">
        <v>1021</v>
      </c>
      <c r="X376">
        <v>0</v>
      </c>
    </row>
    <row r="377" spans="1:24" x14ac:dyDescent="0.3">
      <c r="A377" s="55" t="str">
        <f t="shared" si="19"/>
        <v>INSTRUMENT_INSRNC_CMSSNS</v>
      </c>
      <c r="B377" t="s">
        <v>659</v>
      </c>
      <c r="C377" t="s">
        <v>1011</v>
      </c>
      <c r="D377" t="s">
        <v>0</v>
      </c>
      <c r="E377" t="s">
        <v>6</v>
      </c>
      <c r="I377" t="s">
        <v>11</v>
      </c>
      <c r="J377" s="15">
        <v>45667</v>
      </c>
      <c r="K377" t="s">
        <v>6</v>
      </c>
      <c r="Q377" t="s">
        <v>1023</v>
      </c>
      <c r="R377" t="s">
        <v>1024</v>
      </c>
      <c r="S377" t="s">
        <v>1024</v>
      </c>
      <c r="T377" t="s">
        <v>1023</v>
      </c>
      <c r="U377" t="s">
        <v>1024</v>
      </c>
      <c r="V377" t="s">
        <v>1024</v>
      </c>
      <c r="W377" t="s">
        <v>1021</v>
      </c>
      <c r="X377">
        <v>0</v>
      </c>
    </row>
    <row r="378" spans="1:24" x14ac:dyDescent="0.3">
      <c r="A378" s="55" t="str">
        <f t="shared" si="19"/>
        <v>INSTRUMENT_OTHR_INCM_AND_CHRGS</v>
      </c>
      <c r="B378" t="s">
        <v>659</v>
      </c>
      <c r="C378" t="s">
        <v>1012</v>
      </c>
      <c r="D378" t="s">
        <v>0</v>
      </c>
      <c r="E378" t="s">
        <v>6</v>
      </c>
      <c r="I378" t="s">
        <v>11</v>
      </c>
      <c r="J378" s="15">
        <v>45667</v>
      </c>
      <c r="K378" t="s">
        <v>6</v>
      </c>
      <c r="Q378" t="s">
        <v>1023</v>
      </c>
      <c r="R378" t="s">
        <v>1024</v>
      </c>
      <c r="S378" t="s">
        <v>1024</v>
      </c>
      <c r="T378" t="s">
        <v>1023</v>
      </c>
      <c r="U378" t="s">
        <v>1024</v>
      </c>
      <c r="V378" t="s">
        <v>1024</v>
      </c>
      <c r="W378" t="s">
        <v>1021</v>
      </c>
      <c r="X378">
        <v>0</v>
      </c>
    </row>
    <row r="379" spans="1:24" x14ac:dyDescent="0.3">
      <c r="A379" s="55" t="str">
        <f t="shared" si="19"/>
        <v>INSTRUMENT_TX_ON_PRFT</v>
      </c>
      <c r="B379" t="s">
        <v>659</v>
      </c>
      <c r="C379" t="s">
        <v>1013</v>
      </c>
      <c r="D379" t="s">
        <v>0</v>
      </c>
      <c r="E379" t="s">
        <v>6</v>
      </c>
      <c r="I379" t="s">
        <v>11</v>
      </c>
      <c r="J379" s="15">
        <v>45667</v>
      </c>
      <c r="K379" t="s">
        <v>6</v>
      </c>
      <c r="Q379" t="s">
        <v>1023</v>
      </c>
      <c r="R379" t="s">
        <v>1024</v>
      </c>
      <c r="S379" t="s">
        <v>1024</v>
      </c>
      <c r="T379" t="s">
        <v>1023</v>
      </c>
      <c r="U379" t="s">
        <v>1024</v>
      </c>
      <c r="V379" t="s">
        <v>1024</v>
      </c>
      <c r="W379" t="s">
        <v>1021</v>
      </c>
      <c r="X379">
        <v>0</v>
      </c>
    </row>
    <row r="380" spans="1:24" x14ac:dyDescent="0.3">
      <c r="A380" s="55" t="str">
        <f t="shared" si="19"/>
        <v>PROTECTION_LND_AR</v>
      </c>
      <c r="B380" t="s">
        <v>870</v>
      </c>
      <c r="C380" t="s">
        <v>1014</v>
      </c>
      <c r="D380" t="s">
        <v>0</v>
      </c>
      <c r="E380" t="s">
        <v>6</v>
      </c>
      <c r="I380" t="s">
        <v>11</v>
      </c>
      <c r="J380" s="15">
        <v>45667</v>
      </c>
      <c r="K380" t="s">
        <v>6</v>
      </c>
      <c r="Q380" t="s">
        <v>1023</v>
      </c>
      <c r="R380" t="s">
        <v>1024</v>
      </c>
      <c r="S380" t="s">
        <v>1024</v>
      </c>
      <c r="T380" t="s">
        <v>1024</v>
      </c>
      <c r="U380" t="s">
        <v>1024</v>
      </c>
      <c r="V380" t="s">
        <v>1024</v>
      </c>
      <c r="W380" t="s">
        <v>1021</v>
      </c>
      <c r="X380">
        <v>0</v>
      </c>
    </row>
    <row r="381" spans="1:24" x14ac:dyDescent="0.3">
      <c r="A381" s="55" t="str">
        <f t="shared" si="19"/>
        <v>PROTECTION_LN_PSTN</v>
      </c>
      <c r="B381" t="s">
        <v>870</v>
      </c>
      <c r="C381" t="s">
        <v>1015</v>
      </c>
      <c r="D381" t="s">
        <v>0</v>
      </c>
      <c r="E381" t="s">
        <v>6</v>
      </c>
      <c r="I381" t="s">
        <v>11</v>
      </c>
      <c r="J381" s="15">
        <v>45667</v>
      </c>
      <c r="K381" t="s">
        <v>6</v>
      </c>
      <c r="Q381" t="s">
        <v>1023</v>
      </c>
      <c r="R381" t="s">
        <v>1024</v>
      </c>
      <c r="S381" t="s">
        <v>1024</v>
      </c>
      <c r="T381" t="s">
        <v>1024</v>
      </c>
      <c r="U381" t="s">
        <v>1024</v>
      </c>
      <c r="V381" t="s">
        <v>1024</v>
      </c>
      <c r="W381" t="s">
        <v>1021</v>
      </c>
      <c r="X381">
        <v>0</v>
      </c>
    </row>
    <row r="382" spans="1:24" x14ac:dyDescent="0.3">
      <c r="A382" s="55" t="str">
        <f t="shared" si="19"/>
        <v>PROTECTION_RL_ESTT_LNGTD</v>
      </c>
      <c r="B382" t="s">
        <v>870</v>
      </c>
      <c r="C382" t="s">
        <v>1016</v>
      </c>
      <c r="D382" t="s">
        <v>0</v>
      </c>
      <c r="E382" t="s">
        <v>6</v>
      </c>
      <c r="I382" t="s">
        <v>11</v>
      </c>
      <c r="J382" s="15">
        <v>45667</v>
      </c>
      <c r="K382" t="s">
        <v>6</v>
      </c>
      <c r="Q382" t="s">
        <v>1023</v>
      </c>
      <c r="R382" t="s">
        <v>1024</v>
      </c>
      <c r="S382" t="s">
        <v>1024</v>
      </c>
      <c r="T382" t="s">
        <v>1024</v>
      </c>
      <c r="U382" t="s">
        <v>1024</v>
      </c>
      <c r="V382" t="s">
        <v>1024</v>
      </c>
      <c r="W382" t="s">
        <v>1021</v>
      </c>
      <c r="X382">
        <v>0</v>
      </c>
    </row>
    <row r="383" spans="1:24" x14ac:dyDescent="0.3">
      <c r="A383" s="55" t="str">
        <f t="shared" si="19"/>
        <v>PROTECTION_RL_ESTT_LTTD</v>
      </c>
      <c r="B383" t="s">
        <v>870</v>
      </c>
      <c r="C383" t="s">
        <v>1017</v>
      </c>
      <c r="D383" t="s">
        <v>0</v>
      </c>
      <c r="E383" t="s">
        <v>6</v>
      </c>
      <c r="I383" t="s">
        <v>11</v>
      </c>
      <c r="J383" s="15">
        <v>45667</v>
      </c>
      <c r="K383" t="s">
        <v>6</v>
      </c>
      <c r="Q383" t="s">
        <v>1023</v>
      </c>
      <c r="R383" t="s">
        <v>1024</v>
      </c>
      <c r="S383" t="s">
        <v>1024</v>
      </c>
      <c r="T383" t="s">
        <v>1024</v>
      </c>
      <c r="U383" t="s">
        <v>1024</v>
      </c>
      <c r="V383" t="s">
        <v>1024</v>
      </c>
      <c r="W383" t="s">
        <v>1021</v>
      </c>
      <c r="X383">
        <v>0</v>
      </c>
    </row>
    <row r="384" spans="1:24" x14ac:dyDescent="0.3">
      <c r="A384" s="55" t="str">
        <f t="shared" si="19"/>
        <v>INSTR_ACTIVITY_PRCNTG_ACTVTY</v>
      </c>
      <c r="B384" t="s">
        <v>1019</v>
      </c>
      <c r="C384" t="s">
        <v>1018</v>
      </c>
      <c r="D384" t="s">
        <v>0</v>
      </c>
      <c r="E384" t="s">
        <v>6</v>
      </c>
      <c r="I384" t="s">
        <v>11</v>
      </c>
      <c r="J384" s="15">
        <v>45667</v>
      </c>
      <c r="K384" t="s">
        <v>6</v>
      </c>
      <c r="Q384" t="s">
        <v>1023</v>
      </c>
      <c r="R384" t="s">
        <v>1023</v>
      </c>
      <c r="S384" t="s">
        <v>1023</v>
      </c>
      <c r="T384" t="s">
        <v>1024</v>
      </c>
      <c r="U384" t="s">
        <v>1024</v>
      </c>
      <c r="V384" t="s">
        <v>1024</v>
      </c>
      <c r="W384" t="s">
        <v>1021</v>
      </c>
      <c r="X384">
        <v>0</v>
      </c>
    </row>
  </sheetData>
  <autoFilter ref="B5:X384" xr:uid="{00000000-0001-0000-0200-000000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5"/>
  <sheetViews>
    <sheetView zoomScale="70" zoomScaleNormal="70" workbookViewId="0">
      <pane ySplit="1" topLeftCell="A176" activePane="bottomLeft" state="frozen"/>
      <selection activeCell="C1" sqref="C1"/>
      <selection pane="bottomLeft" activeCell="I196" sqref="I196"/>
    </sheetView>
  </sheetViews>
  <sheetFormatPr defaultRowHeight="14.4" x14ac:dyDescent="0.3"/>
  <cols>
    <col min="1" max="1" width="9.77734375" bestFit="1" customWidth="1"/>
    <col min="2" max="2" width="37.21875" bestFit="1" customWidth="1"/>
    <col min="3" max="3" width="15.77734375" bestFit="1" customWidth="1"/>
    <col min="4" max="4" width="83.33203125" customWidth="1"/>
    <col min="5" max="5" width="15.21875" bestFit="1" customWidth="1"/>
    <col min="6" max="6" width="15.21875" customWidth="1"/>
    <col min="8" max="8" width="42.21875" customWidth="1"/>
  </cols>
  <sheetData>
    <row r="1" spans="1:9" x14ac:dyDescent="0.3">
      <c r="A1" s="2" t="s">
        <v>454</v>
      </c>
      <c r="B1" s="2" t="s">
        <v>455</v>
      </c>
      <c r="C1" s="2" t="s">
        <v>456</v>
      </c>
      <c r="D1" s="2" t="s">
        <v>457</v>
      </c>
      <c r="E1" s="2" t="s">
        <v>458</v>
      </c>
      <c r="F1" s="2" t="s">
        <v>459</v>
      </c>
      <c r="G1" s="2" t="s">
        <v>41</v>
      </c>
      <c r="H1" s="2" t="s">
        <v>460</v>
      </c>
      <c r="I1" s="2" t="s">
        <v>461</v>
      </c>
    </row>
    <row r="2" spans="1:9" x14ac:dyDescent="0.3">
      <c r="A2" t="s">
        <v>51</v>
      </c>
      <c r="B2" t="s">
        <v>327</v>
      </c>
      <c r="C2" t="s">
        <v>462</v>
      </c>
      <c r="D2" t="s">
        <v>463</v>
      </c>
      <c r="E2" s="15">
        <v>45460</v>
      </c>
      <c r="F2" s="15">
        <v>45443</v>
      </c>
      <c r="G2" t="s">
        <v>53</v>
      </c>
      <c r="I2" t="s">
        <v>464</v>
      </c>
    </row>
    <row r="3" spans="1:9" x14ac:dyDescent="0.3">
      <c r="A3" t="s">
        <v>51</v>
      </c>
      <c r="B3" t="s">
        <v>327</v>
      </c>
      <c r="C3" t="s">
        <v>465</v>
      </c>
      <c r="D3" t="s">
        <v>466</v>
      </c>
      <c r="E3" s="15">
        <v>45460</v>
      </c>
      <c r="F3" s="15">
        <v>45443</v>
      </c>
      <c r="G3" t="s">
        <v>53</v>
      </c>
      <c r="I3" t="s">
        <v>467</v>
      </c>
    </row>
    <row r="4" spans="1:9" x14ac:dyDescent="0.3">
      <c r="A4" t="s">
        <v>51</v>
      </c>
      <c r="B4" t="s">
        <v>327</v>
      </c>
      <c r="C4" t="s">
        <v>465</v>
      </c>
      <c r="D4" t="s">
        <v>468</v>
      </c>
      <c r="E4" s="15">
        <v>45460</v>
      </c>
      <c r="F4" s="15">
        <v>45443</v>
      </c>
      <c r="G4" t="s">
        <v>53</v>
      </c>
      <c r="I4" t="s">
        <v>469</v>
      </c>
    </row>
    <row r="5" spans="1:9" x14ac:dyDescent="0.3">
      <c r="A5" t="s">
        <v>51</v>
      </c>
      <c r="B5" t="s">
        <v>327</v>
      </c>
      <c r="C5" t="s">
        <v>470</v>
      </c>
      <c r="D5" t="s">
        <v>471</v>
      </c>
      <c r="E5" s="15">
        <v>45460</v>
      </c>
      <c r="F5" s="15">
        <v>45443</v>
      </c>
      <c r="G5" t="s">
        <v>53</v>
      </c>
      <c r="I5" t="s">
        <v>472</v>
      </c>
    </row>
    <row r="6" spans="1:9" x14ac:dyDescent="0.3">
      <c r="A6" t="s">
        <v>51</v>
      </c>
      <c r="B6" t="s">
        <v>327</v>
      </c>
      <c r="C6" t="s">
        <v>470</v>
      </c>
      <c r="D6" t="s">
        <v>473</v>
      </c>
      <c r="E6" s="15">
        <v>45460</v>
      </c>
      <c r="F6" s="15">
        <v>45443</v>
      </c>
      <c r="G6" t="s">
        <v>53</v>
      </c>
      <c r="I6" t="s">
        <v>474</v>
      </c>
    </row>
    <row r="7" spans="1:9" x14ac:dyDescent="0.3">
      <c r="A7" t="s">
        <v>51</v>
      </c>
      <c r="B7" t="s">
        <v>327</v>
      </c>
      <c r="C7" t="s">
        <v>470</v>
      </c>
      <c r="D7" t="s">
        <v>475</v>
      </c>
      <c r="E7" s="15">
        <v>45460</v>
      </c>
      <c r="F7" s="15">
        <v>45443</v>
      </c>
      <c r="G7" t="s">
        <v>53</v>
      </c>
      <c r="I7" t="s">
        <v>467</v>
      </c>
    </row>
    <row r="8" spans="1:9" x14ac:dyDescent="0.3">
      <c r="A8" t="s">
        <v>51</v>
      </c>
      <c r="B8" t="s">
        <v>406</v>
      </c>
      <c r="C8" t="s">
        <v>462</v>
      </c>
      <c r="D8" t="s">
        <v>463</v>
      </c>
      <c r="E8" s="15">
        <v>45460</v>
      </c>
      <c r="F8" s="15">
        <v>45443</v>
      </c>
      <c r="G8" t="s">
        <v>53</v>
      </c>
      <c r="I8" t="s">
        <v>476</v>
      </c>
    </row>
    <row r="9" spans="1:9" x14ac:dyDescent="0.3">
      <c r="A9" t="s">
        <v>51</v>
      </c>
      <c r="B9" t="s">
        <v>406</v>
      </c>
      <c r="C9" t="s">
        <v>465</v>
      </c>
      <c r="D9" t="s">
        <v>468</v>
      </c>
      <c r="E9" s="15">
        <v>45460</v>
      </c>
      <c r="F9" s="15">
        <v>45443</v>
      </c>
      <c r="G9" t="s">
        <v>53</v>
      </c>
      <c r="I9" t="s">
        <v>469</v>
      </c>
    </row>
    <row r="10" spans="1:9" x14ac:dyDescent="0.3">
      <c r="A10" t="s">
        <v>51</v>
      </c>
      <c r="B10" t="s">
        <v>406</v>
      </c>
      <c r="C10" t="s">
        <v>470</v>
      </c>
      <c r="D10" t="s">
        <v>477</v>
      </c>
      <c r="E10" s="15">
        <v>45460</v>
      </c>
      <c r="F10" s="15">
        <v>45443</v>
      </c>
      <c r="G10" t="s">
        <v>53</v>
      </c>
      <c r="I10" t="s">
        <v>478</v>
      </c>
    </row>
    <row r="11" spans="1:9" x14ac:dyDescent="0.3">
      <c r="A11" t="s">
        <v>51</v>
      </c>
      <c r="B11" t="s">
        <v>406</v>
      </c>
      <c r="C11" t="s">
        <v>470</v>
      </c>
      <c r="D11" t="s">
        <v>479</v>
      </c>
      <c r="E11" s="15">
        <v>45460</v>
      </c>
      <c r="F11" s="15">
        <v>45443</v>
      </c>
      <c r="G11" t="s">
        <v>67</v>
      </c>
      <c r="H11" t="s">
        <v>480</v>
      </c>
      <c r="I11" t="s">
        <v>481</v>
      </c>
    </row>
    <row r="12" spans="1:9" x14ac:dyDescent="0.3">
      <c r="A12" t="s">
        <v>51</v>
      </c>
      <c r="B12" t="s">
        <v>406</v>
      </c>
      <c r="C12" t="s">
        <v>470</v>
      </c>
      <c r="D12" s="17" t="s">
        <v>482</v>
      </c>
      <c r="E12" s="15">
        <v>45462</v>
      </c>
      <c r="F12" s="15">
        <v>45443</v>
      </c>
      <c r="G12" t="s">
        <v>53</v>
      </c>
      <c r="H12" t="s">
        <v>483</v>
      </c>
      <c r="I12" t="s">
        <v>484</v>
      </c>
    </row>
    <row r="13" spans="1:9" x14ac:dyDescent="0.3">
      <c r="A13" t="s">
        <v>51</v>
      </c>
      <c r="B13" t="s">
        <v>406</v>
      </c>
      <c r="C13" t="s">
        <v>470</v>
      </c>
      <c r="D13" s="17" t="s">
        <v>485</v>
      </c>
      <c r="E13" s="15">
        <v>45462</v>
      </c>
      <c r="F13" s="15">
        <v>45443</v>
      </c>
      <c r="G13" t="s">
        <v>53</v>
      </c>
      <c r="I13" t="s">
        <v>486</v>
      </c>
    </row>
    <row r="14" spans="1:9" x14ac:dyDescent="0.3">
      <c r="A14" t="s">
        <v>51</v>
      </c>
      <c r="B14" t="s">
        <v>197</v>
      </c>
      <c r="C14" t="s">
        <v>462</v>
      </c>
      <c r="D14" t="s">
        <v>463</v>
      </c>
      <c r="E14" s="15">
        <v>45460</v>
      </c>
      <c r="F14" s="15">
        <v>45443</v>
      </c>
      <c r="G14" t="s">
        <v>53</v>
      </c>
      <c r="I14" t="s">
        <v>487</v>
      </c>
    </row>
    <row r="15" spans="1:9" x14ac:dyDescent="0.3">
      <c r="A15" t="s">
        <v>51</v>
      </c>
      <c r="B15" t="s">
        <v>197</v>
      </c>
      <c r="C15" t="s">
        <v>465</v>
      </c>
      <c r="D15" t="s">
        <v>468</v>
      </c>
      <c r="E15" s="15">
        <v>45460</v>
      </c>
      <c r="F15" s="15">
        <v>45443</v>
      </c>
      <c r="G15" t="s">
        <v>53</v>
      </c>
      <c r="I15" t="s">
        <v>469</v>
      </c>
    </row>
    <row r="16" spans="1:9" x14ac:dyDescent="0.3">
      <c r="A16" t="s">
        <v>51</v>
      </c>
      <c r="B16" t="s">
        <v>197</v>
      </c>
      <c r="C16" t="s">
        <v>470</v>
      </c>
      <c r="D16" t="s">
        <v>477</v>
      </c>
      <c r="E16" s="15">
        <v>45460</v>
      </c>
      <c r="F16" s="15">
        <v>45443</v>
      </c>
      <c r="G16" t="s">
        <v>53</v>
      </c>
      <c r="I16" t="s">
        <v>478</v>
      </c>
    </row>
    <row r="17" spans="1:9" x14ac:dyDescent="0.3">
      <c r="A17" t="s">
        <v>51</v>
      </c>
      <c r="B17" t="s">
        <v>197</v>
      </c>
      <c r="C17" t="s">
        <v>470</v>
      </c>
      <c r="D17" t="s">
        <v>479</v>
      </c>
      <c r="E17" s="15">
        <v>45460</v>
      </c>
      <c r="F17" s="15">
        <v>45443</v>
      </c>
      <c r="G17" t="s">
        <v>67</v>
      </c>
      <c r="H17" t="s">
        <v>480</v>
      </c>
      <c r="I17" t="s">
        <v>488</v>
      </c>
    </row>
    <row r="18" spans="1:9" x14ac:dyDescent="0.3">
      <c r="A18" t="s">
        <v>51</v>
      </c>
      <c r="B18" t="s">
        <v>197</v>
      </c>
      <c r="C18" t="s">
        <v>470</v>
      </c>
      <c r="D18" s="17" t="s">
        <v>482</v>
      </c>
      <c r="E18" s="15">
        <v>45462</v>
      </c>
      <c r="F18" s="15">
        <v>45443</v>
      </c>
      <c r="G18" t="s">
        <v>53</v>
      </c>
      <c r="H18" t="s">
        <v>483</v>
      </c>
      <c r="I18" t="s">
        <v>484</v>
      </c>
    </row>
    <row r="19" spans="1:9" x14ac:dyDescent="0.3">
      <c r="A19" t="s">
        <v>51</v>
      </c>
      <c r="B19" t="s">
        <v>197</v>
      </c>
      <c r="C19" t="s">
        <v>470</v>
      </c>
      <c r="D19" s="17" t="s">
        <v>485</v>
      </c>
      <c r="E19" s="15">
        <v>45462</v>
      </c>
      <c r="F19" s="15">
        <v>45443</v>
      </c>
      <c r="G19" t="s">
        <v>53</v>
      </c>
      <c r="I19" t="s">
        <v>486</v>
      </c>
    </row>
    <row r="20" spans="1:9" x14ac:dyDescent="0.3">
      <c r="A20" t="s">
        <v>76</v>
      </c>
      <c r="B20" t="s">
        <v>363</v>
      </c>
      <c r="C20" t="s">
        <v>489</v>
      </c>
      <c r="D20" t="s">
        <v>490</v>
      </c>
      <c r="E20" s="15">
        <v>45464</v>
      </c>
      <c r="F20" s="15">
        <v>45443</v>
      </c>
      <c r="G20" t="s">
        <v>67</v>
      </c>
      <c r="H20" t="s">
        <v>364</v>
      </c>
      <c r="I20" t="s">
        <v>491</v>
      </c>
    </row>
    <row r="21" spans="1:9" x14ac:dyDescent="0.3">
      <c r="A21" t="s">
        <v>76</v>
      </c>
      <c r="B21" t="s">
        <v>363</v>
      </c>
      <c r="C21" t="s">
        <v>465</v>
      </c>
      <c r="D21" t="s">
        <v>492</v>
      </c>
      <c r="E21" s="15">
        <v>45464</v>
      </c>
      <c r="F21" s="15">
        <v>45443</v>
      </c>
      <c r="G21" t="s">
        <v>67</v>
      </c>
      <c r="H21" t="s">
        <v>364</v>
      </c>
      <c r="I21" t="s">
        <v>493</v>
      </c>
    </row>
    <row r="22" spans="1:9" x14ac:dyDescent="0.3">
      <c r="A22" t="s">
        <v>76</v>
      </c>
      <c r="B22" t="s">
        <v>363</v>
      </c>
      <c r="C22" t="s">
        <v>470</v>
      </c>
      <c r="D22" t="s">
        <v>494</v>
      </c>
      <c r="E22" s="15">
        <v>45464</v>
      </c>
      <c r="F22" s="15">
        <v>45443</v>
      </c>
      <c r="G22" t="s">
        <v>53</v>
      </c>
      <c r="I22" t="s">
        <v>495</v>
      </c>
    </row>
    <row r="23" spans="1:9" x14ac:dyDescent="0.3">
      <c r="A23" t="s">
        <v>76</v>
      </c>
      <c r="B23" t="s">
        <v>363</v>
      </c>
      <c r="C23" t="s">
        <v>470</v>
      </c>
      <c r="D23" t="s">
        <v>496</v>
      </c>
      <c r="E23" s="15">
        <v>45468</v>
      </c>
      <c r="F23" s="15">
        <v>45443</v>
      </c>
      <c r="G23" t="s">
        <v>53</v>
      </c>
      <c r="H23" t="s">
        <v>497</v>
      </c>
      <c r="I23" t="s">
        <v>498</v>
      </c>
    </row>
    <row r="24" spans="1:9" x14ac:dyDescent="0.3">
      <c r="A24" t="s">
        <v>76</v>
      </c>
      <c r="B24" t="s">
        <v>363</v>
      </c>
      <c r="C24" t="s">
        <v>470</v>
      </c>
      <c r="D24" t="s">
        <v>499</v>
      </c>
      <c r="E24" s="15">
        <v>45468</v>
      </c>
      <c r="F24" s="15">
        <v>45443</v>
      </c>
      <c r="G24" t="s">
        <v>53</v>
      </c>
      <c r="I24" t="s">
        <v>500</v>
      </c>
    </row>
    <row r="25" spans="1:9" x14ac:dyDescent="0.3">
      <c r="A25" t="s">
        <v>51</v>
      </c>
      <c r="B25" t="s">
        <v>333</v>
      </c>
      <c r="C25" t="s">
        <v>465</v>
      </c>
      <c r="D25" t="s">
        <v>492</v>
      </c>
      <c r="E25" s="15">
        <v>45463</v>
      </c>
      <c r="F25" s="15">
        <v>45443</v>
      </c>
      <c r="G25" t="s">
        <v>67</v>
      </c>
      <c r="H25" t="s">
        <v>501</v>
      </c>
      <c r="I25" t="s">
        <v>502</v>
      </c>
    </row>
    <row r="26" spans="1:9" x14ac:dyDescent="0.3">
      <c r="A26" t="s">
        <v>51</v>
      </c>
      <c r="B26" t="s">
        <v>340</v>
      </c>
      <c r="C26" t="s">
        <v>465</v>
      </c>
      <c r="D26" t="s">
        <v>492</v>
      </c>
      <c r="E26" s="15">
        <v>45463</v>
      </c>
      <c r="F26" s="15">
        <v>45443</v>
      </c>
      <c r="G26" t="s">
        <v>67</v>
      </c>
      <c r="I26" s="18"/>
    </row>
    <row r="27" spans="1:9" x14ac:dyDescent="0.3">
      <c r="A27" t="s">
        <v>76</v>
      </c>
      <c r="B27" t="s">
        <v>179</v>
      </c>
      <c r="C27" t="s">
        <v>465</v>
      </c>
      <c r="D27" t="s">
        <v>492</v>
      </c>
      <c r="E27" s="15">
        <v>45468</v>
      </c>
      <c r="F27" s="15">
        <v>45443</v>
      </c>
      <c r="G27" t="s">
        <v>67</v>
      </c>
      <c r="H27" t="s">
        <v>180</v>
      </c>
      <c r="I27" t="s">
        <v>687</v>
      </c>
    </row>
    <row r="28" spans="1:9" x14ac:dyDescent="0.3">
      <c r="A28" t="s">
        <v>76</v>
      </c>
      <c r="B28" t="s">
        <v>179</v>
      </c>
      <c r="C28" t="s">
        <v>489</v>
      </c>
      <c r="D28" s="29" t="s">
        <v>490</v>
      </c>
      <c r="E28" s="15">
        <v>45467</v>
      </c>
      <c r="F28" s="15">
        <v>45443</v>
      </c>
      <c r="G28" t="s">
        <v>53</v>
      </c>
      <c r="I28" t="s">
        <v>503</v>
      </c>
    </row>
    <row r="29" spans="1:9" x14ac:dyDescent="0.3">
      <c r="A29" t="s">
        <v>76</v>
      </c>
      <c r="B29" t="s">
        <v>179</v>
      </c>
      <c r="C29" t="s">
        <v>470</v>
      </c>
      <c r="D29" t="s">
        <v>504</v>
      </c>
      <c r="E29" s="15">
        <v>45467</v>
      </c>
      <c r="F29" s="15">
        <v>45443</v>
      </c>
      <c r="G29" t="s">
        <v>53</v>
      </c>
      <c r="I29" t="s">
        <v>505</v>
      </c>
    </row>
    <row r="30" spans="1:9" x14ac:dyDescent="0.3">
      <c r="A30" t="s">
        <v>76</v>
      </c>
      <c r="B30" t="s">
        <v>179</v>
      </c>
      <c r="C30" t="s">
        <v>470</v>
      </c>
      <c r="D30" t="s">
        <v>506</v>
      </c>
      <c r="E30" s="15">
        <v>45467</v>
      </c>
      <c r="F30" s="15">
        <v>45443</v>
      </c>
      <c r="G30" t="s">
        <v>53</v>
      </c>
      <c r="I30" t="s">
        <v>507</v>
      </c>
    </row>
    <row r="31" spans="1:9" x14ac:dyDescent="0.3">
      <c r="A31" t="s">
        <v>76</v>
      </c>
      <c r="B31" t="s">
        <v>179</v>
      </c>
      <c r="C31" t="s">
        <v>470</v>
      </c>
      <c r="D31" t="s">
        <v>508</v>
      </c>
      <c r="E31" s="15">
        <v>45467</v>
      </c>
      <c r="F31" s="15">
        <v>45443</v>
      </c>
      <c r="G31" t="s">
        <v>53</v>
      </c>
      <c r="I31" t="s">
        <v>509</v>
      </c>
    </row>
    <row r="32" spans="1:9" x14ac:dyDescent="0.3">
      <c r="A32" t="s">
        <v>76</v>
      </c>
      <c r="B32" t="s">
        <v>179</v>
      </c>
      <c r="C32" t="s">
        <v>470</v>
      </c>
      <c r="D32" t="s">
        <v>510</v>
      </c>
      <c r="E32" s="15">
        <v>45471</v>
      </c>
      <c r="F32" s="15">
        <v>45443</v>
      </c>
    </row>
    <row r="33" spans="1:9" x14ac:dyDescent="0.3">
      <c r="A33" t="s">
        <v>51</v>
      </c>
      <c r="B33" t="s">
        <v>28</v>
      </c>
      <c r="C33" t="s">
        <v>465</v>
      </c>
      <c r="D33" t="s">
        <v>511</v>
      </c>
      <c r="E33" s="15">
        <v>45468</v>
      </c>
      <c r="F33" s="15">
        <v>45443</v>
      </c>
      <c r="G33" t="s">
        <v>67</v>
      </c>
      <c r="I33" t="s">
        <v>512</v>
      </c>
    </row>
    <row r="34" spans="1:9" x14ac:dyDescent="0.3">
      <c r="A34" t="s">
        <v>51</v>
      </c>
      <c r="B34" t="s">
        <v>28</v>
      </c>
      <c r="C34" t="s">
        <v>470</v>
      </c>
      <c r="D34" t="s">
        <v>513</v>
      </c>
      <c r="E34" s="15">
        <v>45468</v>
      </c>
      <c r="F34" s="15">
        <v>45443</v>
      </c>
      <c r="G34" t="s">
        <v>67</v>
      </c>
      <c r="H34" t="s">
        <v>514</v>
      </c>
      <c r="I34" t="s">
        <v>515</v>
      </c>
    </row>
    <row r="35" spans="1:9" x14ac:dyDescent="0.3">
      <c r="A35" t="s">
        <v>51</v>
      </c>
      <c r="B35" t="s">
        <v>28</v>
      </c>
      <c r="C35" t="s">
        <v>470</v>
      </c>
      <c r="D35" t="s">
        <v>516</v>
      </c>
      <c r="E35" s="15">
        <v>45468</v>
      </c>
      <c r="F35" s="15">
        <v>45443</v>
      </c>
      <c r="G35" t="s">
        <v>67</v>
      </c>
      <c r="H35" t="s">
        <v>517</v>
      </c>
      <c r="I35" t="s">
        <v>518</v>
      </c>
    </row>
    <row r="36" spans="1:9" x14ac:dyDescent="0.3">
      <c r="A36" t="s">
        <v>51</v>
      </c>
      <c r="B36" t="s">
        <v>28</v>
      </c>
      <c r="C36" t="s">
        <v>470</v>
      </c>
      <c r="D36" t="s">
        <v>519</v>
      </c>
      <c r="E36" s="15">
        <v>45468</v>
      </c>
      <c r="F36" s="15">
        <v>45443</v>
      </c>
      <c r="G36" t="s">
        <v>67</v>
      </c>
      <c r="H36" t="s">
        <v>517</v>
      </c>
      <c r="I36" t="s">
        <v>520</v>
      </c>
    </row>
    <row r="37" spans="1:9" x14ac:dyDescent="0.3">
      <c r="A37" t="s">
        <v>51</v>
      </c>
      <c r="B37" t="s">
        <v>28</v>
      </c>
      <c r="C37" t="s">
        <v>470</v>
      </c>
      <c r="D37" t="s">
        <v>519</v>
      </c>
      <c r="E37" s="15">
        <v>45469</v>
      </c>
      <c r="F37" s="15">
        <v>45443</v>
      </c>
      <c r="G37" t="s">
        <v>67</v>
      </c>
      <c r="H37" t="s">
        <v>514</v>
      </c>
      <c r="I37" t="s">
        <v>521</v>
      </c>
    </row>
    <row r="38" spans="1:9" x14ac:dyDescent="0.3">
      <c r="A38" t="s">
        <v>51</v>
      </c>
      <c r="B38" t="s">
        <v>182</v>
      </c>
      <c r="C38" t="s">
        <v>470</v>
      </c>
      <c r="D38" t="s">
        <v>522</v>
      </c>
      <c r="E38" s="15">
        <v>45468</v>
      </c>
      <c r="F38" s="15">
        <v>45443</v>
      </c>
      <c r="G38" t="s">
        <v>53</v>
      </c>
      <c r="I38" t="s">
        <v>523</v>
      </c>
    </row>
    <row r="39" spans="1:9" x14ac:dyDescent="0.3">
      <c r="A39" t="s">
        <v>51</v>
      </c>
      <c r="B39" t="s">
        <v>182</v>
      </c>
      <c r="C39" t="s">
        <v>470</v>
      </c>
      <c r="D39" t="s">
        <v>524</v>
      </c>
      <c r="E39" s="15">
        <v>45468</v>
      </c>
      <c r="F39" s="15">
        <v>45443</v>
      </c>
      <c r="G39" t="s">
        <v>53</v>
      </c>
      <c r="I39" t="s">
        <v>523</v>
      </c>
    </row>
    <row r="40" spans="1:9" x14ac:dyDescent="0.3">
      <c r="A40" t="s">
        <v>51</v>
      </c>
      <c r="B40" t="s">
        <v>182</v>
      </c>
      <c r="C40" t="s">
        <v>470</v>
      </c>
      <c r="D40" t="s">
        <v>525</v>
      </c>
      <c r="E40" s="15">
        <v>45468</v>
      </c>
      <c r="F40" s="15">
        <v>45443</v>
      </c>
      <c r="G40" t="s">
        <v>53</v>
      </c>
      <c r="I40" t="s">
        <v>523</v>
      </c>
    </row>
    <row r="41" spans="1:9" x14ac:dyDescent="0.3">
      <c r="A41" t="s">
        <v>76</v>
      </c>
      <c r="B41" t="s">
        <v>29</v>
      </c>
      <c r="C41" t="s">
        <v>465</v>
      </c>
      <c r="D41" t="s">
        <v>511</v>
      </c>
      <c r="E41" s="15">
        <v>45461</v>
      </c>
      <c r="F41" s="15">
        <v>45443</v>
      </c>
      <c r="G41" t="s">
        <v>53</v>
      </c>
      <c r="I41" t="s">
        <v>733</v>
      </c>
    </row>
    <row r="42" spans="1:9" x14ac:dyDescent="0.3">
      <c r="A42" t="s">
        <v>76</v>
      </c>
      <c r="B42" t="s">
        <v>29</v>
      </c>
      <c r="C42" t="s">
        <v>470</v>
      </c>
      <c r="D42" t="s">
        <v>526</v>
      </c>
      <c r="E42" s="15">
        <v>45470</v>
      </c>
      <c r="F42" s="15">
        <v>45443</v>
      </c>
      <c r="G42" t="s">
        <v>53</v>
      </c>
      <c r="I42" t="s">
        <v>734</v>
      </c>
    </row>
    <row r="43" spans="1:9" x14ac:dyDescent="0.3">
      <c r="A43" t="s">
        <v>76</v>
      </c>
      <c r="B43" t="s">
        <v>29</v>
      </c>
      <c r="C43" t="s">
        <v>470</v>
      </c>
      <c r="D43" t="s">
        <v>527</v>
      </c>
      <c r="E43" s="15">
        <v>45470</v>
      </c>
      <c r="F43" s="15">
        <v>45443</v>
      </c>
      <c r="G43" t="s">
        <v>53</v>
      </c>
      <c r="I43" t="s">
        <v>735</v>
      </c>
    </row>
    <row r="44" spans="1:9" x14ac:dyDescent="0.3">
      <c r="A44" t="s">
        <v>76</v>
      </c>
      <c r="B44" t="s">
        <v>29</v>
      </c>
      <c r="C44" t="s">
        <v>470</v>
      </c>
      <c r="D44" t="s">
        <v>528</v>
      </c>
      <c r="E44" s="15">
        <v>45470</v>
      </c>
      <c r="F44" s="15">
        <v>45443</v>
      </c>
      <c r="G44" t="s">
        <v>53</v>
      </c>
      <c r="H44" t="s">
        <v>529</v>
      </c>
      <c r="I44" t="s">
        <v>736</v>
      </c>
    </row>
    <row r="45" spans="1:9" x14ac:dyDescent="0.3">
      <c r="A45" t="s">
        <v>76</v>
      </c>
      <c r="B45" t="s">
        <v>29</v>
      </c>
      <c r="C45" t="s">
        <v>470</v>
      </c>
      <c r="D45" t="s">
        <v>530</v>
      </c>
      <c r="E45" s="15">
        <v>45470</v>
      </c>
      <c r="F45" s="15">
        <v>45443</v>
      </c>
      <c r="G45" t="s">
        <v>67</v>
      </c>
      <c r="H45" t="s">
        <v>738</v>
      </c>
      <c r="I45" t="s">
        <v>737</v>
      </c>
    </row>
    <row r="46" spans="1:9" x14ac:dyDescent="0.3">
      <c r="A46" t="s">
        <v>76</v>
      </c>
      <c r="B46" t="s">
        <v>29</v>
      </c>
      <c r="C46" t="s">
        <v>470</v>
      </c>
      <c r="D46" t="s">
        <v>531</v>
      </c>
      <c r="E46" s="15">
        <v>45470</v>
      </c>
      <c r="F46" s="15">
        <v>45443</v>
      </c>
      <c r="G46" t="s">
        <v>53</v>
      </c>
      <c r="H46" t="s">
        <v>740</v>
      </c>
      <c r="I46" t="s">
        <v>739</v>
      </c>
    </row>
    <row r="47" spans="1:9" x14ac:dyDescent="0.3">
      <c r="A47" t="s">
        <v>51</v>
      </c>
      <c r="B47" t="s">
        <v>182</v>
      </c>
      <c r="C47" t="s">
        <v>470</v>
      </c>
      <c r="D47" t="s">
        <v>492</v>
      </c>
      <c r="E47" s="15">
        <v>45468</v>
      </c>
      <c r="F47" s="15">
        <v>45443</v>
      </c>
      <c r="G47" t="s">
        <v>53</v>
      </c>
      <c r="I47" t="s">
        <v>523</v>
      </c>
    </row>
    <row r="48" spans="1:9" x14ac:dyDescent="0.3">
      <c r="A48" t="s">
        <v>76</v>
      </c>
      <c r="B48" t="s">
        <v>29</v>
      </c>
      <c r="C48" t="s">
        <v>470</v>
      </c>
      <c r="D48" t="s">
        <v>532</v>
      </c>
      <c r="E48" s="15">
        <v>45477</v>
      </c>
      <c r="F48" s="15">
        <v>45443</v>
      </c>
      <c r="G48" t="s">
        <v>53</v>
      </c>
      <c r="I48" t="s">
        <v>741</v>
      </c>
    </row>
    <row r="49" spans="1:9" x14ac:dyDescent="0.3">
      <c r="A49" t="s">
        <v>76</v>
      </c>
      <c r="B49" t="s">
        <v>27</v>
      </c>
      <c r="C49" t="s">
        <v>470</v>
      </c>
      <c r="D49" t="s">
        <v>533</v>
      </c>
      <c r="E49" s="15">
        <v>45478</v>
      </c>
      <c r="F49" s="15">
        <v>45443</v>
      </c>
      <c r="G49" t="s">
        <v>53</v>
      </c>
      <c r="I49" t="s">
        <v>534</v>
      </c>
    </row>
    <row r="50" spans="1:9" x14ac:dyDescent="0.3">
      <c r="A50" t="s">
        <v>76</v>
      </c>
      <c r="B50" t="s">
        <v>27</v>
      </c>
      <c r="C50" t="s">
        <v>470</v>
      </c>
      <c r="D50" t="s">
        <v>535</v>
      </c>
      <c r="E50" s="15">
        <v>45478</v>
      </c>
      <c r="F50" s="15">
        <v>45443</v>
      </c>
      <c r="G50" t="s">
        <v>67</v>
      </c>
      <c r="H50" t="s">
        <v>536</v>
      </c>
      <c r="I50" t="s">
        <v>537</v>
      </c>
    </row>
    <row r="51" spans="1:9" x14ac:dyDescent="0.3">
      <c r="A51" t="s">
        <v>76</v>
      </c>
      <c r="B51" t="s">
        <v>27</v>
      </c>
      <c r="C51" t="s">
        <v>470</v>
      </c>
      <c r="D51" t="s">
        <v>538</v>
      </c>
      <c r="E51" s="15">
        <v>45478</v>
      </c>
      <c r="F51" s="15">
        <v>45443</v>
      </c>
      <c r="G51" t="s">
        <v>53</v>
      </c>
      <c r="I51" t="s">
        <v>539</v>
      </c>
    </row>
    <row r="52" spans="1:9" x14ac:dyDescent="0.3">
      <c r="A52" t="s">
        <v>76</v>
      </c>
      <c r="B52" t="s">
        <v>27</v>
      </c>
      <c r="C52" t="s">
        <v>470</v>
      </c>
      <c r="D52" t="s">
        <v>540</v>
      </c>
      <c r="E52" s="15">
        <v>45478</v>
      </c>
      <c r="F52" s="15">
        <v>45443</v>
      </c>
      <c r="G52" t="s">
        <v>67</v>
      </c>
      <c r="H52" t="s">
        <v>541</v>
      </c>
      <c r="I52" t="s">
        <v>542</v>
      </c>
    </row>
    <row r="53" spans="1:9" x14ac:dyDescent="0.3">
      <c r="A53" t="s">
        <v>76</v>
      </c>
      <c r="B53" t="s">
        <v>27</v>
      </c>
      <c r="C53" t="s">
        <v>470</v>
      </c>
      <c r="D53" t="s">
        <v>543</v>
      </c>
      <c r="E53" s="15">
        <v>45478</v>
      </c>
      <c r="F53" s="15">
        <v>45443</v>
      </c>
      <c r="G53" t="s">
        <v>53</v>
      </c>
      <c r="I53" t="s">
        <v>544</v>
      </c>
    </row>
    <row r="54" spans="1:9" x14ac:dyDescent="0.3">
      <c r="A54" t="s">
        <v>76</v>
      </c>
      <c r="B54" t="s">
        <v>27</v>
      </c>
      <c r="C54" t="s">
        <v>470</v>
      </c>
      <c r="D54" t="s">
        <v>545</v>
      </c>
      <c r="E54" s="15">
        <v>45478</v>
      </c>
      <c r="F54" s="15">
        <v>45443</v>
      </c>
      <c r="G54" t="s">
        <v>53</v>
      </c>
      <c r="I54" t="s">
        <v>546</v>
      </c>
    </row>
    <row r="55" spans="1:9" x14ac:dyDescent="0.3">
      <c r="A55" t="s">
        <v>51</v>
      </c>
      <c r="B55" t="s">
        <v>264</v>
      </c>
      <c r="C55" t="s">
        <v>470</v>
      </c>
      <c r="D55" t="s">
        <v>547</v>
      </c>
      <c r="E55" s="15">
        <v>45481</v>
      </c>
      <c r="F55" s="15">
        <v>45443</v>
      </c>
      <c r="G55" t="s">
        <v>53</v>
      </c>
      <c r="I55" t="s">
        <v>548</v>
      </c>
    </row>
    <row r="56" spans="1:9" x14ac:dyDescent="0.3">
      <c r="A56" t="s">
        <v>51</v>
      </c>
      <c r="B56" t="s">
        <v>264</v>
      </c>
      <c r="C56" t="s">
        <v>470</v>
      </c>
      <c r="D56" t="s">
        <v>549</v>
      </c>
      <c r="E56" s="15">
        <v>45481</v>
      </c>
      <c r="F56" s="15">
        <v>45443</v>
      </c>
      <c r="G56" t="s">
        <v>53</v>
      </c>
      <c r="I56" t="s">
        <v>548</v>
      </c>
    </row>
    <row r="57" spans="1:9" x14ac:dyDescent="0.3">
      <c r="A57" t="s">
        <v>51</v>
      </c>
      <c r="B57" t="s">
        <v>264</v>
      </c>
      <c r="C57" t="s">
        <v>470</v>
      </c>
      <c r="D57" t="s">
        <v>550</v>
      </c>
      <c r="E57" s="15">
        <v>45481</v>
      </c>
      <c r="F57" s="15">
        <v>45443</v>
      </c>
      <c r="G57" t="s">
        <v>67</v>
      </c>
      <c r="H57" t="s">
        <v>551</v>
      </c>
      <c r="I57" t="s">
        <v>552</v>
      </c>
    </row>
    <row r="58" spans="1:9" x14ac:dyDescent="0.3">
      <c r="A58" t="s">
        <v>51</v>
      </c>
      <c r="B58" t="s">
        <v>264</v>
      </c>
      <c r="C58" t="s">
        <v>470</v>
      </c>
      <c r="D58" t="s">
        <v>553</v>
      </c>
      <c r="E58" s="15">
        <v>45481</v>
      </c>
      <c r="F58" s="15">
        <v>45443</v>
      </c>
      <c r="G58" t="s">
        <v>67</v>
      </c>
      <c r="H58" t="s">
        <v>554</v>
      </c>
      <c r="I58" t="s">
        <v>555</v>
      </c>
    </row>
    <row r="59" spans="1:9" x14ac:dyDescent="0.3">
      <c r="A59" t="s">
        <v>51</v>
      </c>
      <c r="B59" t="s">
        <v>264</v>
      </c>
      <c r="C59" t="s">
        <v>470</v>
      </c>
      <c r="D59" t="s">
        <v>556</v>
      </c>
      <c r="E59" s="15">
        <v>45481</v>
      </c>
      <c r="F59" s="15">
        <v>45443</v>
      </c>
      <c r="G59" t="s">
        <v>67</v>
      </c>
      <c r="H59" t="s">
        <v>557</v>
      </c>
      <c r="I59" t="s">
        <v>558</v>
      </c>
    </row>
    <row r="60" spans="1:9" x14ac:dyDescent="0.3">
      <c r="A60" t="s">
        <v>51</v>
      </c>
      <c r="B60" t="s">
        <v>264</v>
      </c>
      <c r="C60" t="s">
        <v>470</v>
      </c>
      <c r="D60" t="s">
        <v>559</v>
      </c>
      <c r="E60" s="15">
        <v>45481</v>
      </c>
      <c r="F60" s="15">
        <v>45443</v>
      </c>
      <c r="G60" t="s">
        <v>53</v>
      </c>
      <c r="I60" t="s">
        <v>560</v>
      </c>
    </row>
    <row r="61" spans="1:9" x14ac:dyDescent="0.3">
      <c r="A61" t="s">
        <v>76</v>
      </c>
      <c r="B61" t="s">
        <v>29</v>
      </c>
      <c r="C61" t="s">
        <v>470</v>
      </c>
      <c r="D61" t="s">
        <v>561</v>
      </c>
      <c r="E61" s="15">
        <v>45482</v>
      </c>
      <c r="F61" s="15">
        <v>45443</v>
      </c>
      <c r="G61" t="s">
        <v>53</v>
      </c>
      <c r="I61" t="s">
        <v>742</v>
      </c>
    </row>
    <row r="62" spans="1:9" x14ac:dyDescent="0.3">
      <c r="A62" t="s">
        <v>76</v>
      </c>
      <c r="B62" t="s">
        <v>29</v>
      </c>
      <c r="C62" t="s">
        <v>470</v>
      </c>
      <c r="D62" t="s">
        <v>562</v>
      </c>
      <c r="E62" s="15">
        <v>45482</v>
      </c>
      <c r="F62" s="15">
        <v>45443</v>
      </c>
      <c r="G62" t="s">
        <v>53</v>
      </c>
      <c r="H62" t="s">
        <v>563</v>
      </c>
      <c r="I62" t="s">
        <v>743</v>
      </c>
    </row>
    <row r="63" spans="1:9" x14ac:dyDescent="0.3">
      <c r="A63" t="s">
        <v>76</v>
      </c>
      <c r="B63" t="s">
        <v>29</v>
      </c>
      <c r="C63" t="s">
        <v>470</v>
      </c>
      <c r="D63" t="s">
        <v>564</v>
      </c>
      <c r="E63" s="15">
        <v>45482</v>
      </c>
      <c r="F63" s="15">
        <v>45443</v>
      </c>
      <c r="G63" t="s">
        <v>53</v>
      </c>
      <c r="I63" t="s">
        <v>744</v>
      </c>
    </row>
    <row r="64" spans="1:9" x14ac:dyDescent="0.3">
      <c r="A64" t="s">
        <v>76</v>
      </c>
      <c r="B64" t="s">
        <v>29</v>
      </c>
      <c r="C64" t="s">
        <v>470</v>
      </c>
      <c r="D64" t="s">
        <v>565</v>
      </c>
      <c r="E64" s="15">
        <v>45482</v>
      </c>
      <c r="F64" s="15">
        <v>45443</v>
      </c>
      <c r="G64" t="s">
        <v>53</v>
      </c>
      <c r="I64" t="s">
        <v>745</v>
      </c>
    </row>
    <row r="65" spans="1:9" x14ac:dyDescent="0.3">
      <c r="A65" t="s">
        <v>76</v>
      </c>
      <c r="B65" t="s">
        <v>29</v>
      </c>
      <c r="C65" t="s">
        <v>470</v>
      </c>
      <c r="D65" t="s">
        <v>566</v>
      </c>
      <c r="E65" s="15">
        <v>45482</v>
      </c>
      <c r="F65" s="15">
        <v>45443</v>
      </c>
      <c r="G65" t="s">
        <v>53</v>
      </c>
      <c r="I65" t="s">
        <v>746</v>
      </c>
    </row>
    <row r="66" spans="1:9" x14ac:dyDescent="0.3">
      <c r="A66" t="s">
        <v>76</v>
      </c>
      <c r="B66" t="s">
        <v>29</v>
      </c>
      <c r="C66" t="s">
        <v>470</v>
      </c>
      <c r="D66" t="s">
        <v>567</v>
      </c>
      <c r="E66" s="15">
        <v>45482</v>
      </c>
      <c r="F66" s="15">
        <v>45443</v>
      </c>
      <c r="G66" t="s">
        <v>53</v>
      </c>
      <c r="I66" t="s">
        <v>747</v>
      </c>
    </row>
    <row r="67" spans="1:9" x14ac:dyDescent="0.3">
      <c r="A67" t="s">
        <v>76</v>
      </c>
      <c r="B67" t="s">
        <v>29</v>
      </c>
      <c r="C67" t="s">
        <v>470</v>
      </c>
      <c r="D67" t="s">
        <v>568</v>
      </c>
      <c r="E67" s="15">
        <v>45482</v>
      </c>
      <c r="F67" s="15">
        <v>45443</v>
      </c>
      <c r="G67" t="s">
        <v>53</v>
      </c>
      <c r="I67" t="s">
        <v>748</v>
      </c>
    </row>
    <row r="68" spans="1:9" x14ac:dyDescent="0.3">
      <c r="A68" t="s">
        <v>76</v>
      </c>
      <c r="B68" t="s">
        <v>29</v>
      </c>
      <c r="C68" t="s">
        <v>470</v>
      </c>
      <c r="D68" t="s">
        <v>569</v>
      </c>
      <c r="E68" s="15">
        <v>45482</v>
      </c>
      <c r="F68" s="15">
        <v>45443</v>
      </c>
      <c r="H68" t="s">
        <v>570</v>
      </c>
    </row>
    <row r="69" spans="1:9" x14ac:dyDescent="0.3">
      <c r="A69" t="s">
        <v>76</v>
      </c>
      <c r="B69" t="s">
        <v>29</v>
      </c>
      <c r="C69" t="s">
        <v>470</v>
      </c>
      <c r="D69" t="s">
        <v>571</v>
      </c>
      <c r="E69" s="15">
        <v>45482</v>
      </c>
      <c r="F69" s="15">
        <v>45443</v>
      </c>
      <c r="H69" t="s">
        <v>572</v>
      </c>
    </row>
    <row r="70" spans="1:9" x14ac:dyDescent="0.3">
      <c r="A70" t="s">
        <v>76</v>
      </c>
      <c r="B70" t="s">
        <v>29</v>
      </c>
      <c r="C70" t="s">
        <v>470</v>
      </c>
      <c r="D70" t="s">
        <v>573</v>
      </c>
      <c r="E70" s="15">
        <v>45482</v>
      </c>
      <c r="F70" s="15">
        <v>45443</v>
      </c>
      <c r="H70" t="s">
        <v>574</v>
      </c>
    </row>
    <row r="71" spans="1:9" x14ac:dyDescent="0.3">
      <c r="A71" t="s">
        <v>76</v>
      </c>
      <c r="B71" t="s">
        <v>29</v>
      </c>
      <c r="C71" t="s">
        <v>470</v>
      </c>
      <c r="D71" t="s">
        <v>575</v>
      </c>
      <c r="E71" s="15">
        <v>45482</v>
      </c>
      <c r="F71" s="15">
        <v>45443</v>
      </c>
      <c r="H71" t="s">
        <v>576</v>
      </c>
    </row>
    <row r="72" spans="1:9" x14ac:dyDescent="0.3">
      <c r="A72" t="s">
        <v>76</v>
      </c>
      <c r="B72" t="s">
        <v>29</v>
      </c>
      <c r="C72" t="s">
        <v>470</v>
      </c>
      <c r="D72" t="s">
        <v>577</v>
      </c>
      <c r="E72" s="15">
        <v>45482</v>
      </c>
      <c r="F72" s="15">
        <v>45443</v>
      </c>
      <c r="H72" t="s">
        <v>576</v>
      </c>
    </row>
    <row r="73" spans="1:9" x14ac:dyDescent="0.3">
      <c r="A73" t="s">
        <v>76</v>
      </c>
      <c r="B73" t="s">
        <v>29</v>
      </c>
      <c r="C73" t="s">
        <v>470</v>
      </c>
      <c r="D73" t="s">
        <v>578</v>
      </c>
      <c r="E73" s="15">
        <v>45482</v>
      </c>
      <c r="F73" s="15">
        <v>45443</v>
      </c>
      <c r="H73" t="s">
        <v>576</v>
      </c>
    </row>
    <row r="74" spans="1:9" x14ac:dyDescent="0.3">
      <c r="A74" t="s">
        <v>76</v>
      </c>
      <c r="B74" t="s">
        <v>34</v>
      </c>
      <c r="C74" t="s">
        <v>465</v>
      </c>
      <c r="D74" t="s">
        <v>579</v>
      </c>
      <c r="E74" s="15">
        <v>45482</v>
      </c>
      <c r="F74" s="15">
        <v>45443</v>
      </c>
      <c r="G74" t="s">
        <v>53</v>
      </c>
      <c r="I74" t="s">
        <v>603</v>
      </c>
    </row>
    <row r="75" spans="1:9" x14ac:dyDescent="0.3">
      <c r="A75" t="s">
        <v>76</v>
      </c>
      <c r="B75" t="s">
        <v>34</v>
      </c>
      <c r="C75" t="s">
        <v>470</v>
      </c>
      <c r="D75" t="s">
        <v>580</v>
      </c>
      <c r="E75" s="15">
        <v>45482</v>
      </c>
      <c r="F75" s="15">
        <v>45443</v>
      </c>
      <c r="G75" t="s">
        <v>53</v>
      </c>
      <c r="I75" t="s">
        <v>604</v>
      </c>
    </row>
    <row r="76" spans="1:9" x14ac:dyDescent="0.3">
      <c r="A76" t="s">
        <v>76</v>
      </c>
      <c r="B76" t="s">
        <v>34</v>
      </c>
      <c r="C76" t="s">
        <v>470</v>
      </c>
      <c r="D76" t="s">
        <v>581</v>
      </c>
      <c r="E76" s="15">
        <v>45482</v>
      </c>
      <c r="F76" s="15">
        <v>45443</v>
      </c>
      <c r="G76" t="s">
        <v>53</v>
      </c>
      <c r="I76" t="s">
        <v>605</v>
      </c>
    </row>
    <row r="77" spans="1:9" x14ac:dyDescent="0.3">
      <c r="A77" t="s">
        <v>76</v>
      </c>
      <c r="B77" t="s">
        <v>34</v>
      </c>
      <c r="C77" t="s">
        <v>470</v>
      </c>
      <c r="D77" t="s">
        <v>582</v>
      </c>
      <c r="E77" s="15">
        <v>45482</v>
      </c>
      <c r="F77" s="15">
        <v>45443</v>
      </c>
      <c r="G77" t="s">
        <v>53</v>
      </c>
      <c r="H77" t="s">
        <v>610</v>
      </c>
      <c r="I77" t="s">
        <v>609</v>
      </c>
    </row>
    <row r="78" spans="1:9" x14ac:dyDescent="0.3">
      <c r="A78" t="s">
        <v>76</v>
      </c>
      <c r="B78" t="s">
        <v>34</v>
      </c>
      <c r="C78" t="s">
        <v>470</v>
      </c>
      <c r="D78" t="s">
        <v>583</v>
      </c>
      <c r="E78" s="15">
        <v>45482</v>
      </c>
      <c r="F78" s="15">
        <v>45443</v>
      </c>
      <c r="G78" t="s">
        <v>53</v>
      </c>
      <c r="I78" t="s">
        <v>606</v>
      </c>
    </row>
    <row r="79" spans="1:9" x14ac:dyDescent="0.3">
      <c r="A79" t="s">
        <v>76</v>
      </c>
      <c r="B79" t="s">
        <v>34</v>
      </c>
      <c r="C79" t="s">
        <v>470</v>
      </c>
      <c r="D79" t="s">
        <v>584</v>
      </c>
      <c r="E79" s="15">
        <v>45482</v>
      </c>
      <c r="F79" s="15">
        <v>45443</v>
      </c>
      <c r="G79" t="s">
        <v>53</v>
      </c>
      <c r="I79" t="s">
        <v>607</v>
      </c>
    </row>
    <row r="80" spans="1:9" x14ac:dyDescent="0.3">
      <c r="A80" t="s">
        <v>76</v>
      </c>
      <c r="B80" t="s">
        <v>34</v>
      </c>
      <c r="C80" t="s">
        <v>470</v>
      </c>
      <c r="D80" t="s">
        <v>585</v>
      </c>
      <c r="E80" s="15">
        <v>45482</v>
      </c>
      <c r="F80" s="15">
        <v>45443</v>
      </c>
      <c r="G80" t="s">
        <v>53</v>
      </c>
      <c r="I80" t="s">
        <v>608</v>
      </c>
    </row>
    <row r="81" spans="1:9" x14ac:dyDescent="0.3">
      <c r="A81" t="s">
        <v>76</v>
      </c>
      <c r="B81" t="s">
        <v>33</v>
      </c>
      <c r="C81" t="s">
        <v>465</v>
      </c>
      <c r="D81" t="s">
        <v>492</v>
      </c>
      <c r="E81" s="15">
        <v>45482</v>
      </c>
      <c r="F81" s="15">
        <v>45443</v>
      </c>
      <c r="G81" t="s">
        <v>53</v>
      </c>
      <c r="I81" t="s">
        <v>595</v>
      </c>
    </row>
    <row r="82" spans="1:9" x14ac:dyDescent="0.3">
      <c r="A82" t="s">
        <v>76</v>
      </c>
      <c r="B82" t="s">
        <v>33</v>
      </c>
      <c r="C82" t="s">
        <v>470</v>
      </c>
      <c r="D82" t="s">
        <v>587</v>
      </c>
      <c r="E82" s="15">
        <v>45483</v>
      </c>
      <c r="F82" s="15">
        <v>45443</v>
      </c>
      <c r="G82" t="s">
        <v>53</v>
      </c>
      <c r="I82" t="s">
        <v>597</v>
      </c>
    </row>
    <row r="83" spans="1:9" x14ac:dyDescent="0.3">
      <c r="A83" t="s">
        <v>76</v>
      </c>
      <c r="B83" t="s">
        <v>33</v>
      </c>
      <c r="C83" t="s">
        <v>470</v>
      </c>
      <c r="D83" t="s">
        <v>588</v>
      </c>
      <c r="E83" s="15">
        <v>45483</v>
      </c>
      <c r="F83" s="15">
        <v>45443</v>
      </c>
      <c r="G83" t="s">
        <v>53</v>
      </c>
      <c r="I83" t="s">
        <v>596</v>
      </c>
    </row>
    <row r="84" spans="1:9" x14ac:dyDescent="0.3">
      <c r="A84" t="s">
        <v>76</v>
      </c>
      <c r="B84" t="s">
        <v>33</v>
      </c>
      <c r="C84" t="s">
        <v>470</v>
      </c>
      <c r="D84" t="s">
        <v>589</v>
      </c>
      <c r="E84" s="15">
        <v>45483</v>
      </c>
      <c r="F84" s="15">
        <v>45443</v>
      </c>
      <c r="G84" t="s">
        <v>53</v>
      </c>
      <c r="I84" t="s">
        <v>598</v>
      </c>
    </row>
    <row r="85" spans="1:9" x14ac:dyDescent="0.3">
      <c r="A85" t="s">
        <v>76</v>
      </c>
      <c r="B85" t="s">
        <v>33</v>
      </c>
      <c r="C85" t="s">
        <v>470</v>
      </c>
      <c r="D85" t="s">
        <v>590</v>
      </c>
      <c r="E85" s="15">
        <v>45483</v>
      </c>
      <c r="F85" s="15">
        <v>45443</v>
      </c>
      <c r="G85" s="29" t="s">
        <v>67</v>
      </c>
      <c r="H85" t="s">
        <v>649</v>
      </c>
      <c r="I85" t="s">
        <v>602</v>
      </c>
    </row>
    <row r="86" spans="1:9" x14ac:dyDescent="0.3">
      <c r="A86" t="s">
        <v>76</v>
      </c>
      <c r="B86" t="s">
        <v>33</v>
      </c>
      <c r="C86" t="s">
        <v>470</v>
      </c>
      <c r="D86" t="s">
        <v>591</v>
      </c>
      <c r="E86" s="15">
        <v>45489</v>
      </c>
      <c r="F86" s="15">
        <v>45443</v>
      </c>
      <c r="G86" t="s">
        <v>53</v>
      </c>
      <c r="I86" t="s">
        <v>611</v>
      </c>
    </row>
    <row r="87" spans="1:9" x14ac:dyDescent="0.3">
      <c r="A87" t="s">
        <v>76</v>
      </c>
      <c r="B87" t="s">
        <v>33</v>
      </c>
      <c r="C87" t="s">
        <v>470</v>
      </c>
      <c r="D87" t="s">
        <v>592</v>
      </c>
      <c r="E87" s="15">
        <v>45483</v>
      </c>
      <c r="F87" s="15">
        <v>45443</v>
      </c>
      <c r="G87" t="s">
        <v>53</v>
      </c>
      <c r="I87" t="s">
        <v>599</v>
      </c>
    </row>
    <row r="88" spans="1:9" x14ac:dyDescent="0.3">
      <c r="A88" t="s">
        <v>76</v>
      </c>
      <c r="B88" t="s">
        <v>35</v>
      </c>
      <c r="C88" t="s">
        <v>465</v>
      </c>
      <c r="D88" t="s">
        <v>586</v>
      </c>
      <c r="E88" s="15">
        <v>45484</v>
      </c>
      <c r="F88" s="15">
        <v>45443</v>
      </c>
      <c r="G88" t="s">
        <v>67</v>
      </c>
      <c r="H88" t="s">
        <v>593</v>
      </c>
      <c r="I88" t="s">
        <v>594</v>
      </c>
    </row>
    <row r="89" spans="1:9" x14ac:dyDescent="0.3">
      <c r="A89" t="s">
        <v>51</v>
      </c>
      <c r="B89" t="s">
        <v>157</v>
      </c>
      <c r="C89" t="s">
        <v>470</v>
      </c>
      <c r="D89" t="s">
        <v>650</v>
      </c>
      <c r="E89" s="15">
        <v>45495</v>
      </c>
      <c r="F89" s="15">
        <v>45443</v>
      </c>
      <c r="G89" t="s">
        <v>53</v>
      </c>
      <c r="I89" t="s">
        <v>652</v>
      </c>
    </row>
    <row r="90" spans="1:9" x14ac:dyDescent="0.3">
      <c r="A90" t="s">
        <v>51</v>
      </c>
      <c r="B90" t="s">
        <v>157</v>
      </c>
      <c r="C90" t="s">
        <v>470</v>
      </c>
      <c r="D90" t="s">
        <v>651</v>
      </c>
      <c r="E90" s="15">
        <v>45495</v>
      </c>
      <c r="F90" s="15">
        <v>45443</v>
      </c>
      <c r="G90" t="s">
        <v>53</v>
      </c>
      <c r="H90" t="s">
        <v>654</v>
      </c>
      <c r="I90" t="s">
        <v>653</v>
      </c>
    </row>
    <row r="91" spans="1:9" x14ac:dyDescent="0.3">
      <c r="A91" t="s">
        <v>76</v>
      </c>
      <c r="B91" t="s">
        <v>35</v>
      </c>
      <c r="C91" t="s">
        <v>470</v>
      </c>
      <c r="D91" t="s">
        <v>728</v>
      </c>
      <c r="E91" s="15">
        <v>45502</v>
      </c>
      <c r="F91" s="15">
        <v>45443</v>
      </c>
      <c r="G91" t="s">
        <v>53</v>
      </c>
      <c r="H91" t="s">
        <v>753</v>
      </c>
      <c r="I91" t="s">
        <v>798</v>
      </c>
    </row>
    <row r="92" spans="1:9" x14ac:dyDescent="0.3">
      <c r="A92" t="s">
        <v>76</v>
      </c>
      <c r="B92" t="s">
        <v>35</v>
      </c>
      <c r="C92" t="s">
        <v>470</v>
      </c>
      <c r="D92" t="s">
        <v>729</v>
      </c>
      <c r="E92" s="15">
        <v>45502</v>
      </c>
      <c r="F92" s="15">
        <v>45443</v>
      </c>
      <c r="G92" t="s">
        <v>67</v>
      </c>
      <c r="H92" t="s">
        <v>754</v>
      </c>
      <c r="I92" t="s">
        <v>797</v>
      </c>
    </row>
    <row r="93" spans="1:9" x14ac:dyDescent="0.3">
      <c r="A93" t="s">
        <v>76</v>
      </c>
      <c r="B93" t="s">
        <v>35</v>
      </c>
      <c r="C93" t="s">
        <v>470</v>
      </c>
      <c r="D93" t="s">
        <v>730</v>
      </c>
      <c r="E93" s="15">
        <v>45502</v>
      </c>
      <c r="F93" s="15">
        <v>45443</v>
      </c>
      <c r="G93" t="s">
        <v>53</v>
      </c>
      <c r="H93" t="s">
        <v>753</v>
      </c>
      <c r="I93" t="s">
        <v>799</v>
      </c>
    </row>
    <row r="94" spans="1:9" x14ac:dyDescent="0.3">
      <c r="A94" t="s">
        <v>76</v>
      </c>
      <c r="B94" t="s">
        <v>35</v>
      </c>
      <c r="C94" t="s">
        <v>470</v>
      </c>
      <c r="D94" t="s">
        <v>731</v>
      </c>
      <c r="E94" s="15">
        <v>45502</v>
      </c>
      <c r="F94" s="15">
        <v>45443</v>
      </c>
      <c r="G94" t="s">
        <v>53</v>
      </c>
      <c r="H94" t="s">
        <v>753</v>
      </c>
      <c r="I94" t="s">
        <v>800</v>
      </c>
    </row>
    <row r="95" spans="1:9" x14ac:dyDescent="0.3">
      <c r="A95" t="s">
        <v>76</v>
      </c>
      <c r="B95" t="s">
        <v>35</v>
      </c>
      <c r="C95" t="s">
        <v>470</v>
      </c>
      <c r="D95" t="s">
        <v>732</v>
      </c>
      <c r="E95" s="15">
        <v>45502</v>
      </c>
      <c r="F95" s="15">
        <v>45443</v>
      </c>
      <c r="G95" t="s">
        <v>53</v>
      </c>
      <c r="H95" t="s">
        <v>753</v>
      </c>
      <c r="I95" t="s">
        <v>801</v>
      </c>
    </row>
    <row r="96" spans="1:9" x14ac:dyDescent="0.3">
      <c r="A96" t="s">
        <v>76</v>
      </c>
      <c r="B96" t="s">
        <v>98</v>
      </c>
      <c r="C96" t="s">
        <v>470</v>
      </c>
      <c r="D96" t="s">
        <v>772</v>
      </c>
      <c r="E96" s="15">
        <v>45509</v>
      </c>
      <c r="F96" s="15">
        <v>45443</v>
      </c>
      <c r="G96" t="s">
        <v>53</v>
      </c>
      <c r="I96" t="s">
        <v>781</v>
      </c>
    </row>
    <row r="97" spans="1:9" x14ac:dyDescent="0.3">
      <c r="A97" t="s">
        <v>76</v>
      </c>
      <c r="B97" t="s">
        <v>98</v>
      </c>
      <c r="C97" t="s">
        <v>470</v>
      </c>
      <c r="D97" t="s">
        <v>773</v>
      </c>
      <c r="E97" s="15">
        <v>45509</v>
      </c>
      <c r="F97" s="15">
        <v>45443</v>
      </c>
      <c r="G97" t="s">
        <v>53</v>
      </c>
      <c r="I97" t="s">
        <v>791</v>
      </c>
    </row>
    <row r="98" spans="1:9" x14ac:dyDescent="0.3">
      <c r="A98" t="s">
        <v>76</v>
      </c>
      <c r="B98" t="s">
        <v>98</v>
      </c>
      <c r="C98" t="s">
        <v>470</v>
      </c>
      <c r="D98" t="s">
        <v>774</v>
      </c>
      <c r="E98" s="15">
        <v>45509</v>
      </c>
      <c r="F98" s="15">
        <v>45443</v>
      </c>
      <c r="G98" t="s">
        <v>53</v>
      </c>
      <c r="I98" t="s">
        <v>792</v>
      </c>
    </row>
    <row r="99" spans="1:9" x14ac:dyDescent="0.3">
      <c r="A99" t="s">
        <v>76</v>
      </c>
      <c r="B99" t="s">
        <v>98</v>
      </c>
      <c r="C99" t="s">
        <v>470</v>
      </c>
      <c r="D99" t="s">
        <v>775</v>
      </c>
      <c r="E99" s="15">
        <v>45509</v>
      </c>
      <c r="F99" s="15">
        <v>45443</v>
      </c>
      <c r="G99" t="s">
        <v>53</v>
      </c>
      <c r="I99" t="s">
        <v>793</v>
      </c>
    </row>
    <row r="100" spans="1:9" x14ac:dyDescent="0.3">
      <c r="A100" t="s">
        <v>76</v>
      </c>
      <c r="B100" t="s">
        <v>98</v>
      </c>
      <c r="C100" t="s">
        <v>470</v>
      </c>
      <c r="D100" t="s">
        <v>776</v>
      </c>
      <c r="E100" s="15">
        <v>45509</v>
      </c>
      <c r="F100" s="15">
        <v>45443</v>
      </c>
      <c r="G100" t="s">
        <v>53</v>
      </c>
      <c r="I100" t="s">
        <v>794</v>
      </c>
    </row>
    <row r="101" spans="1:9" x14ac:dyDescent="0.3">
      <c r="A101" t="s">
        <v>76</v>
      </c>
      <c r="B101" t="s">
        <v>98</v>
      </c>
      <c r="C101" t="s">
        <v>470</v>
      </c>
      <c r="D101" t="s">
        <v>777</v>
      </c>
      <c r="E101" s="15">
        <v>45509</v>
      </c>
      <c r="F101" s="15">
        <v>45443</v>
      </c>
      <c r="G101" t="s">
        <v>53</v>
      </c>
      <c r="I101" t="s">
        <v>795</v>
      </c>
    </row>
    <row r="102" spans="1:9" x14ac:dyDescent="0.3">
      <c r="A102" t="s">
        <v>76</v>
      </c>
      <c r="B102" t="s">
        <v>98</v>
      </c>
      <c r="C102" t="s">
        <v>470</v>
      </c>
      <c r="D102" t="s">
        <v>778</v>
      </c>
      <c r="E102" s="15">
        <v>45509</v>
      </c>
      <c r="F102" s="15">
        <v>45443</v>
      </c>
      <c r="G102" t="s">
        <v>53</v>
      </c>
      <c r="H102" t="s">
        <v>783</v>
      </c>
      <c r="I102" t="s">
        <v>782</v>
      </c>
    </row>
    <row r="103" spans="1:9" x14ac:dyDescent="0.3">
      <c r="A103" t="s">
        <v>76</v>
      </c>
      <c r="B103" t="s">
        <v>98</v>
      </c>
      <c r="C103" t="s">
        <v>470</v>
      </c>
      <c r="D103" t="s">
        <v>779</v>
      </c>
      <c r="E103" s="15">
        <v>45509</v>
      </c>
      <c r="F103" s="15">
        <v>45443</v>
      </c>
      <c r="G103" t="s">
        <v>53</v>
      </c>
      <c r="I103" t="s">
        <v>784</v>
      </c>
    </row>
    <row r="104" spans="1:9" x14ac:dyDescent="0.3">
      <c r="A104" t="s">
        <v>76</v>
      </c>
      <c r="B104" t="s">
        <v>98</v>
      </c>
      <c r="C104" t="s">
        <v>470</v>
      </c>
      <c r="D104" t="s">
        <v>780</v>
      </c>
      <c r="H104" t="s">
        <v>796</v>
      </c>
    </row>
    <row r="105" spans="1:9" x14ac:dyDescent="0.3">
      <c r="A105" t="s">
        <v>76</v>
      </c>
      <c r="B105" t="s">
        <v>31</v>
      </c>
      <c r="C105" t="s">
        <v>470</v>
      </c>
      <c r="D105" t="s">
        <v>785</v>
      </c>
      <c r="E105" s="15">
        <v>45509</v>
      </c>
      <c r="F105" s="15">
        <v>45443</v>
      </c>
      <c r="G105" t="s">
        <v>53</v>
      </c>
      <c r="I105" t="s">
        <v>788</v>
      </c>
    </row>
    <row r="106" spans="1:9" x14ac:dyDescent="0.3">
      <c r="A106" t="s">
        <v>76</v>
      </c>
      <c r="B106" t="s">
        <v>31</v>
      </c>
      <c r="C106" t="s">
        <v>470</v>
      </c>
      <c r="D106" t="s">
        <v>786</v>
      </c>
      <c r="E106" s="15">
        <v>45509</v>
      </c>
      <c r="F106" s="15">
        <v>45443</v>
      </c>
      <c r="G106" t="s">
        <v>53</v>
      </c>
      <c r="I106" t="s">
        <v>789</v>
      </c>
    </row>
    <row r="107" spans="1:9" x14ac:dyDescent="0.3">
      <c r="A107" t="s">
        <v>76</v>
      </c>
      <c r="B107" t="s">
        <v>31</v>
      </c>
      <c r="C107" t="s">
        <v>470</v>
      </c>
      <c r="D107" t="s">
        <v>787</v>
      </c>
      <c r="E107" s="15">
        <v>45509</v>
      </c>
      <c r="F107" s="15">
        <v>45443</v>
      </c>
      <c r="G107" t="s">
        <v>53</v>
      </c>
      <c r="I107" t="s">
        <v>790</v>
      </c>
    </row>
    <row r="108" spans="1:9" x14ac:dyDescent="0.3">
      <c r="A108" t="s">
        <v>76</v>
      </c>
      <c r="B108" t="s">
        <v>30</v>
      </c>
      <c r="C108" t="s">
        <v>470</v>
      </c>
      <c r="D108" t="s">
        <v>806</v>
      </c>
      <c r="E108" s="15">
        <v>45541</v>
      </c>
      <c r="F108" s="15">
        <v>45443</v>
      </c>
      <c r="G108" t="s">
        <v>53</v>
      </c>
      <c r="I108" t="s">
        <v>822</v>
      </c>
    </row>
    <row r="109" spans="1:9" x14ac:dyDescent="0.3">
      <c r="A109" t="s">
        <v>76</v>
      </c>
      <c r="B109" t="s">
        <v>30</v>
      </c>
      <c r="C109" t="s">
        <v>470</v>
      </c>
      <c r="D109" t="s">
        <v>807</v>
      </c>
      <c r="E109" s="15">
        <v>45541</v>
      </c>
      <c r="F109" s="15">
        <v>45443</v>
      </c>
      <c r="G109" t="s">
        <v>53</v>
      </c>
      <c r="I109" t="s">
        <v>823</v>
      </c>
    </row>
    <row r="110" spans="1:9" x14ac:dyDescent="0.3">
      <c r="A110" t="s">
        <v>76</v>
      </c>
      <c r="B110" t="s">
        <v>30</v>
      </c>
      <c r="C110" t="s">
        <v>470</v>
      </c>
      <c r="D110" t="s">
        <v>808</v>
      </c>
      <c r="E110" s="15">
        <v>45541</v>
      </c>
      <c r="F110" s="15">
        <v>45443</v>
      </c>
      <c r="G110" t="s">
        <v>53</v>
      </c>
      <c r="H110" t="s">
        <v>813</v>
      </c>
      <c r="I110" t="s">
        <v>824</v>
      </c>
    </row>
    <row r="111" spans="1:9" x14ac:dyDescent="0.3">
      <c r="A111" t="s">
        <v>76</v>
      </c>
      <c r="B111" t="s">
        <v>30</v>
      </c>
      <c r="C111" t="s">
        <v>470</v>
      </c>
      <c r="D111" t="s">
        <v>809</v>
      </c>
      <c r="E111" s="15">
        <v>45541</v>
      </c>
      <c r="F111" s="15">
        <v>45443</v>
      </c>
      <c r="G111" t="s">
        <v>53</v>
      </c>
      <c r="I111" t="s">
        <v>825</v>
      </c>
    </row>
    <row r="112" spans="1:9" x14ac:dyDescent="0.3">
      <c r="A112" t="s">
        <v>76</v>
      </c>
      <c r="B112" t="s">
        <v>30</v>
      </c>
      <c r="C112" t="s">
        <v>470</v>
      </c>
      <c r="D112" t="s">
        <v>810</v>
      </c>
      <c r="E112" s="15">
        <v>45541</v>
      </c>
      <c r="F112" s="15">
        <v>45443</v>
      </c>
      <c r="G112" t="s">
        <v>53</v>
      </c>
      <c r="I112" t="s">
        <v>812</v>
      </c>
    </row>
    <row r="113" spans="1:12" x14ac:dyDescent="0.3">
      <c r="A113" t="s">
        <v>76</v>
      </c>
      <c r="B113" t="s">
        <v>30</v>
      </c>
      <c r="C113" t="s">
        <v>470</v>
      </c>
      <c r="D113" t="s">
        <v>811</v>
      </c>
      <c r="E113" s="15">
        <v>45541</v>
      </c>
      <c r="F113" s="15">
        <v>45443</v>
      </c>
      <c r="G113" t="s">
        <v>53</v>
      </c>
      <c r="H113" t="s">
        <v>813</v>
      </c>
      <c r="I113" t="s">
        <v>904</v>
      </c>
    </row>
    <row r="114" spans="1:12" x14ac:dyDescent="0.3">
      <c r="A114" t="s">
        <v>76</v>
      </c>
      <c r="B114" t="s">
        <v>32</v>
      </c>
      <c r="C114" t="s">
        <v>470</v>
      </c>
      <c r="D114" t="s">
        <v>814</v>
      </c>
      <c r="E114" s="15">
        <v>45544</v>
      </c>
      <c r="F114" s="15">
        <v>45443</v>
      </c>
      <c r="G114" t="s">
        <v>53</v>
      </c>
      <c r="I114" t="s">
        <v>819</v>
      </c>
    </row>
    <row r="115" spans="1:12" x14ac:dyDescent="0.3">
      <c r="A115" t="s">
        <v>76</v>
      </c>
      <c r="B115" t="s">
        <v>32</v>
      </c>
      <c r="C115" t="s">
        <v>470</v>
      </c>
      <c r="D115" t="s">
        <v>815</v>
      </c>
      <c r="E115" s="15">
        <v>45544</v>
      </c>
      <c r="F115" s="15">
        <v>45443</v>
      </c>
      <c r="G115" t="s">
        <v>53</v>
      </c>
      <c r="I115" t="s">
        <v>820</v>
      </c>
    </row>
    <row r="116" spans="1:12" x14ac:dyDescent="0.3">
      <c r="A116" t="s">
        <v>76</v>
      </c>
      <c r="B116" t="s">
        <v>32</v>
      </c>
      <c r="C116" t="s">
        <v>470</v>
      </c>
      <c r="D116" t="s">
        <v>816</v>
      </c>
      <c r="E116" s="15">
        <v>45544</v>
      </c>
      <c r="F116" s="15">
        <v>45443</v>
      </c>
      <c r="G116" t="s">
        <v>67</v>
      </c>
      <c r="H116" t="s">
        <v>827</v>
      </c>
      <c r="I116" t="s">
        <v>826</v>
      </c>
      <c r="L116" s="29"/>
    </row>
    <row r="117" spans="1:12" x14ac:dyDescent="0.3">
      <c r="A117" t="s">
        <v>76</v>
      </c>
      <c r="B117" t="s">
        <v>32</v>
      </c>
      <c r="C117" t="s">
        <v>470</v>
      </c>
      <c r="D117" t="s">
        <v>817</v>
      </c>
      <c r="E117" s="15">
        <v>45544</v>
      </c>
      <c r="F117" s="15">
        <v>45443</v>
      </c>
      <c r="G117" t="s">
        <v>53</v>
      </c>
      <c r="I117" t="s">
        <v>828</v>
      </c>
    </row>
    <row r="118" spans="1:12" x14ac:dyDescent="0.3">
      <c r="A118" t="s">
        <v>76</v>
      </c>
      <c r="B118" t="s">
        <v>32</v>
      </c>
      <c r="C118" t="s">
        <v>470</v>
      </c>
      <c r="D118" t="s">
        <v>818</v>
      </c>
      <c r="E118" s="15">
        <v>45544</v>
      </c>
      <c r="F118" s="15">
        <v>45443</v>
      </c>
      <c r="G118" t="s">
        <v>53</v>
      </c>
      <c r="I118" t="s">
        <v>821</v>
      </c>
    </row>
    <row r="119" spans="1:12" ht="409.6" x14ac:dyDescent="0.3">
      <c r="A119" t="s">
        <v>76</v>
      </c>
      <c r="B119" t="s">
        <v>29</v>
      </c>
      <c r="C119" t="s">
        <v>465</v>
      </c>
      <c r="D119" t="s">
        <v>896</v>
      </c>
      <c r="E119" s="15">
        <v>45629</v>
      </c>
      <c r="F119" s="15">
        <v>45565</v>
      </c>
      <c r="G119" t="s">
        <v>53</v>
      </c>
      <c r="I119" s="29" t="s">
        <v>878</v>
      </c>
    </row>
    <row r="120" spans="1:12" x14ac:dyDescent="0.3">
      <c r="A120" t="s">
        <v>76</v>
      </c>
      <c r="B120" t="s">
        <v>29</v>
      </c>
      <c r="C120" t="s">
        <v>470</v>
      </c>
      <c r="D120" t="s">
        <v>526</v>
      </c>
      <c r="E120" s="15">
        <v>45629</v>
      </c>
      <c r="F120" s="15">
        <v>45565</v>
      </c>
      <c r="G120" t="s">
        <v>53</v>
      </c>
      <c r="I120" t="s">
        <v>879</v>
      </c>
    </row>
    <row r="121" spans="1:12" x14ac:dyDescent="0.3">
      <c r="A121" t="s">
        <v>76</v>
      </c>
      <c r="B121" t="s">
        <v>29</v>
      </c>
      <c r="C121" t="s">
        <v>470</v>
      </c>
      <c r="D121" t="s">
        <v>527</v>
      </c>
      <c r="E121" s="15">
        <v>45629</v>
      </c>
      <c r="F121" s="15">
        <v>45565</v>
      </c>
      <c r="G121" t="s">
        <v>53</v>
      </c>
      <c r="I121" t="s">
        <v>880</v>
      </c>
    </row>
    <row r="122" spans="1:12" x14ac:dyDescent="0.3">
      <c r="A122" t="s">
        <v>76</v>
      </c>
      <c r="B122" t="s">
        <v>29</v>
      </c>
      <c r="C122" t="s">
        <v>470</v>
      </c>
      <c r="D122" t="s">
        <v>528</v>
      </c>
      <c r="E122" s="15">
        <v>45629</v>
      </c>
      <c r="F122" s="15">
        <v>45565</v>
      </c>
      <c r="G122" t="s">
        <v>53</v>
      </c>
      <c r="I122" t="s">
        <v>881</v>
      </c>
    </row>
    <row r="123" spans="1:12" x14ac:dyDescent="0.3">
      <c r="A123" t="s">
        <v>76</v>
      </c>
      <c r="B123" t="s">
        <v>29</v>
      </c>
      <c r="C123" t="s">
        <v>470</v>
      </c>
      <c r="D123" t="s">
        <v>530</v>
      </c>
      <c r="E123" s="15">
        <v>45629</v>
      </c>
      <c r="F123" s="15">
        <v>45565</v>
      </c>
      <c r="G123" t="s">
        <v>67</v>
      </c>
      <c r="H123" t="s">
        <v>883</v>
      </c>
      <c r="I123" t="s">
        <v>882</v>
      </c>
    </row>
    <row r="124" spans="1:12" x14ac:dyDescent="0.3">
      <c r="A124" t="s">
        <v>76</v>
      </c>
      <c r="B124" t="s">
        <v>29</v>
      </c>
      <c r="C124" t="s">
        <v>470</v>
      </c>
      <c r="D124" t="s">
        <v>532</v>
      </c>
      <c r="E124" s="15">
        <v>45629</v>
      </c>
      <c r="F124" s="15">
        <v>45565</v>
      </c>
      <c r="G124" t="s">
        <v>53</v>
      </c>
      <c r="I124" t="s">
        <v>884</v>
      </c>
    </row>
    <row r="125" spans="1:12" x14ac:dyDescent="0.3">
      <c r="A125" t="s">
        <v>76</v>
      </c>
      <c r="B125" t="s">
        <v>29</v>
      </c>
      <c r="C125" t="s">
        <v>470</v>
      </c>
      <c r="D125" t="s">
        <v>561</v>
      </c>
      <c r="E125" s="15">
        <v>45629</v>
      </c>
      <c r="F125" s="15">
        <v>45565</v>
      </c>
      <c r="G125" t="s">
        <v>53</v>
      </c>
      <c r="I125" t="s">
        <v>885</v>
      </c>
    </row>
    <row r="126" spans="1:12" x14ac:dyDescent="0.3">
      <c r="A126" t="s">
        <v>76</v>
      </c>
      <c r="B126" t="s">
        <v>29</v>
      </c>
      <c r="C126" t="s">
        <v>470</v>
      </c>
      <c r="D126" t="s">
        <v>562</v>
      </c>
      <c r="E126" s="15">
        <v>45629</v>
      </c>
      <c r="F126" s="15">
        <v>45565</v>
      </c>
      <c r="G126" t="s">
        <v>53</v>
      </c>
      <c r="H126" t="s">
        <v>563</v>
      </c>
      <c r="I126" t="s">
        <v>886</v>
      </c>
    </row>
    <row r="127" spans="1:12" x14ac:dyDescent="0.3">
      <c r="A127" t="s">
        <v>76</v>
      </c>
      <c r="B127" t="s">
        <v>29</v>
      </c>
      <c r="C127" t="s">
        <v>470</v>
      </c>
      <c r="D127" t="s">
        <v>564</v>
      </c>
      <c r="E127" s="15">
        <v>45629</v>
      </c>
      <c r="F127" s="15">
        <v>45565</v>
      </c>
      <c r="G127" t="s">
        <v>53</v>
      </c>
      <c r="I127" t="s">
        <v>887</v>
      </c>
    </row>
    <row r="128" spans="1:12" x14ac:dyDescent="0.3">
      <c r="A128" t="s">
        <v>76</v>
      </c>
      <c r="B128" t="s">
        <v>29</v>
      </c>
      <c r="C128" t="s">
        <v>470</v>
      </c>
      <c r="D128" t="s">
        <v>565</v>
      </c>
      <c r="E128" s="15">
        <v>45629</v>
      </c>
      <c r="F128" s="15">
        <v>45565</v>
      </c>
      <c r="G128" t="s">
        <v>53</v>
      </c>
      <c r="I128" t="s">
        <v>888</v>
      </c>
    </row>
    <row r="129" spans="1:9" x14ac:dyDescent="0.3">
      <c r="A129" t="s">
        <v>76</v>
      </c>
      <c r="B129" t="s">
        <v>29</v>
      </c>
      <c r="C129" t="s">
        <v>470</v>
      </c>
      <c r="D129" t="s">
        <v>566</v>
      </c>
      <c r="E129" s="15">
        <v>45629</v>
      </c>
      <c r="F129" s="15">
        <v>45565</v>
      </c>
      <c r="G129" t="s">
        <v>53</v>
      </c>
      <c r="I129" t="s">
        <v>889</v>
      </c>
    </row>
    <row r="130" spans="1:9" x14ac:dyDescent="0.3">
      <c r="A130" t="s">
        <v>76</v>
      </c>
      <c r="B130" t="s">
        <v>29</v>
      </c>
      <c r="C130" t="s">
        <v>470</v>
      </c>
      <c r="D130" t="s">
        <v>567</v>
      </c>
      <c r="E130" s="15">
        <v>45629</v>
      </c>
      <c r="F130" s="15">
        <v>45565</v>
      </c>
      <c r="G130" t="s">
        <v>67</v>
      </c>
      <c r="H130" t="s">
        <v>959</v>
      </c>
      <c r="I130" t="s">
        <v>890</v>
      </c>
    </row>
    <row r="131" spans="1:9" x14ac:dyDescent="0.3">
      <c r="A131" t="s">
        <v>76</v>
      </c>
      <c r="B131" t="s">
        <v>29</v>
      </c>
      <c r="C131" t="s">
        <v>470</v>
      </c>
      <c r="D131" t="s">
        <v>568</v>
      </c>
      <c r="E131" s="15">
        <v>45629</v>
      </c>
      <c r="F131" s="15">
        <v>45565</v>
      </c>
      <c r="G131" t="s">
        <v>67</v>
      </c>
      <c r="H131" t="s">
        <v>960</v>
      </c>
      <c r="I131" t="s">
        <v>891</v>
      </c>
    </row>
    <row r="132" spans="1:9" x14ac:dyDescent="0.3">
      <c r="A132" t="s">
        <v>76</v>
      </c>
      <c r="B132" t="s">
        <v>29</v>
      </c>
      <c r="C132" t="s">
        <v>470</v>
      </c>
      <c r="D132" t="s">
        <v>871</v>
      </c>
      <c r="E132" s="15">
        <v>45629</v>
      </c>
      <c r="F132" s="15">
        <v>45565</v>
      </c>
      <c r="G132" t="s">
        <v>67</v>
      </c>
      <c r="H132" t="s">
        <v>961</v>
      </c>
      <c r="I132" t="s">
        <v>892</v>
      </c>
    </row>
    <row r="133" spans="1:9" x14ac:dyDescent="0.3">
      <c r="A133" t="s">
        <v>76</v>
      </c>
      <c r="B133" t="s">
        <v>29</v>
      </c>
      <c r="C133" t="s">
        <v>470</v>
      </c>
      <c r="D133" t="s">
        <v>569</v>
      </c>
      <c r="E133" s="15">
        <v>45629</v>
      </c>
      <c r="F133" s="15">
        <v>45565</v>
      </c>
      <c r="H133" t="s">
        <v>570</v>
      </c>
    </row>
    <row r="134" spans="1:9" x14ac:dyDescent="0.3">
      <c r="A134" t="s">
        <v>76</v>
      </c>
      <c r="B134" t="s">
        <v>29</v>
      </c>
      <c r="C134" t="s">
        <v>470</v>
      </c>
      <c r="D134" t="s">
        <v>571</v>
      </c>
      <c r="E134" s="15">
        <v>45629</v>
      </c>
      <c r="F134" s="15">
        <v>45565</v>
      </c>
      <c r="H134" t="s">
        <v>572</v>
      </c>
    </row>
    <row r="135" spans="1:9" x14ac:dyDescent="0.3">
      <c r="A135" t="s">
        <v>76</v>
      </c>
      <c r="B135" t="s">
        <v>29</v>
      </c>
      <c r="C135" t="s">
        <v>470</v>
      </c>
      <c r="D135" t="s">
        <v>573</v>
      </c>
      <c r="E135" s="15">
        <v>45629</v>
      </c>
      <c r="F135" s="15">
        <v>45565</v>
      </c>
      <c r="H135" t="s">
        <v>574</v>
      </c>
    </row>
    <row r="136" spans="1:9" x14ac:dyDescent="0.3">
      <c r="A136" t="s">
        <v>76</v>
      </c>
      <c r="B136" t="s">
        <v>29</v>
      </c>
      <c r="C136" t="s">
        <v>470</v>
      </c>
      <c r="D136" t="s">
        <v>573</v>
      </c>
      <c r="E136" s="15">
        <v>45629</v>
      </c>
      <c r="F136" s="15">
        <v>45565</v>
      </c>
      <c r="H136" t="s">
        <v>574</v>
      </c>
    </row>
    <row r="137" spans="1:9" x14ac:dyDescent="0.3">
      <c r="A137" t="s">
        <v>76</v>
      </c>
      <c r="B137" t="s">
        <v>29</v>
      </c>
      <c r="C137" t="s">
        <v>470</v>
      </c>
      <c r="D137" t="s">
        <v>575</v>
      </c>
      <c r="E137" s="15">
        <v>45629</v>
      </c>
      <c r="F137" s="15">
        <v>45565</v>
      </c>
      <c r="H137" t="s">
        <v>893</v>
      </c>
    </row>
    <row r="138" spans="1:9" x14ac:dyDescent="0.3">
      <c r="A138" t="s">
        <v>76</v>
      </c>
      <c r="B138" t="s">
        <v>29</v>
      </c>
      <c r="C138" t="s">
        <v>470</v>
      </c>
      <c r="D138" t="s">
        <v>577</v>
      </c>
      <c r="E138" s="15">
        <v>45629</v>
      </c>
      <c r="F138" s="15">
        <v>45565</v>
      </c>
      <c r="H138" t="s">
        <v>893</v>
      </c>
    </row>
    <row r="139" spans="1:9" x14ac:dyDescent="0.3">
      <c r="A139" t="s">
        <v>76</v>
      </c>
      <c r="B139" t="s">
        <v>29</v>
      </c>
      <c r="C139" t="s">
        <v>470</v>
      </c>
      <c r="D139" t="s">
        <v>578</v>
      </c>
      <c r="E139" s="15">
        <v>45629</v>
      </c>
      <c r="F139" s="15">
        <v>45565</v>
      </c>
      <c r="H139" t="s">
        <v>893</v>
      </c>
    </row>
    <row r="140" spans="1:9" x14ac:dyDescent="0.3">
      <c r="A140" t="s">
        <v>76</v>
      </c>
      <c r="B140" t="s">
        <v>35</v>
      </c>
      <c r="C140" t="s">
        <v>465</v>
      </c>
      <c r="D140" t="s">
        <v>896</v>
      </c>
      <c r="E140" s="15">
        <v>45629</v>
      </c>
      <c r="F140" s="15">
        <v>45565</v>
      </c>
      <c r="G140" t="s">
        <v>53</v>
      </c>
      <c r="H140" t="s">
        <v>753</v>
      </c>
      <c r="I140" t="s">
        <v>926</v>
      </c>
    </row>
    <row r="141" spans="1:9" x14ac:dyDescent="0.3">
      <c r="A141" t="s">
        <v>76</v>
      </c>
      <c r="B141" t="s">
        <v>35</v>
      </c>
      <c r="C141" t="s">
        <v>465</v>
      </c>
      <c r="D141" t="s">
        <v>586</v>
      </c>
      <c r="E141" s="15">
        <v>45629</v>
      </c>
      <c r="F141" s="15">
        <v>45565</v>
      </c>
      <c r="G141" t="s">
        <v>53</v>
      </c>
      <c r="H141" t="s">
        <v>895</v>
      </c>
      <c r="I141" t="s">
        <v>894</v>
      </c>
    </row>
    <row r="142" spans="1:9" x14ac:dyDescent="0.3">
      <c r="A142" t="s">
        <v>76</v>
      </c>
      <c r="B142" t="s">
        <v>35</v>
      </c>
      <c r="C142" t="s">
        <v>470</v>
      </c>
      <c r="D142" t="s">
        <v>728</v>
      </c>
      <c r="E142" s="15">
        <v>45629</v>
      </c>
      <c r="F142" s="15">
        <v>45565</v>
      </c>
      <c r="G142" t="s">
        <v>53</v>
      </c>
      <c r="H142" t="s">
        <v>753</v>
      </c>
      <c r="I142" t="s">
        <v>927</v>
      </c>
    </row>
    <row r="143" spans="1:9" x14ac:dyDescent="0.3">
      <c r="A143" t="s">
        <v>76</v>
      </c>
      <c r="B143" t="s">
        <v>35</v>
      </c>
      <c r="C143" t="s">
        <v>470</v>
      </c>
      <c r="D143" t="s">
        <v>729</v>
      </c>
      <c r="E143" s="15">
        <v>45629</v>
      </c>
      <c r="F143" s="15">
        <v>45565</v>
      </c>
      <c r="G143" t="s">
        <v>53</v>
      </c>
      <c r="H143" t="s">
        <v>906</v>
      </c>
      <c r="I143" t="s">
        <v>928</v>
      </c>
    </row>
    <row r="144" spans="1:9" x14ac:dyDescent="0.3">
      <c r="A144" t="s">
        <v>76</v>
      </c>
      <c r="B144" t="s">
        <v>35</v>
      </c>
      <c r="C144" t="s">
        <v>470</v>
      </c>
      <c r="D144" t="s">
        <v>730</v>
      </c>
      <c r="E144" s="15">
        <v>45629</v>
      </c>
      <c r="F144" s="15">
        <v>45565</v>
      </c>
      <c r="G144" t="s">
        <v>53</v>
      </c>
      <c r="H144" t="s">
        <v>753</v>
      </c>
      <c r="I144" t="s">
        <v>929</v>
      </c>
    </row>
    <row r="145" spans="1:9" x14ac:dyDescent="0.3">
      <c r="A145" t="s">
        <v>76</v>
      </c>
      <c r="B145" t="s">
        <v>35</v>
      </c>
      <c r="C145" t="s">
        <v>470</v>
      </c>
      <c r="D145" t="s">
        <v>731</v>
      </c>
      <c r="E145" s="15">
        <v>45629</v>
      </c>
      <c r="F145" s="15">
        <v>45565</v>
      </c>
      <c r="G145" t="s">
        <v>53</v>
      </c>
      <c r="H145" t="s">
        <v>753</v>
      </c>
      <c r="I145" t="s">
        <v>930</v>
      </c>
    </row>
    <row r="146" spans="1:9" x14ac:dyDescent="0.3">
      <c r="A146" t="s">
        <v>76</v>
      </c>
      <c r="B146" t="s">
        <v>35</v>
      </c>
      <c r="C146" t="s">
        <v>470</v>
      </c>
      <c r="D146" t="s">
        <v>732</v>
      </c>
      <c r="E146" s="15">
        <v>45629</v>
      </c>
      <c r="F146" s="15">
        <v>45565</v>
      </c>
      <c r="G146" t="s">
        <v>67</v>
      </c>
      <c r="H146" t="s">
        <v>962</v>
      </c>
      <c r="I146" t="s">
        <v>897</v>
      </c>
    </row>
    <row r="147" spans="1:9" x14ac:dyDescent="0.3">
      <c r="A147" t="s">
        <v>76</v>
      </c>
      <c r="B147" t="s">
        <v>30</v>
      </c>
      <c r="C147" t="s">
        <v>465</v>
      </c>
      <c r="D147" t="s">
        <v>492</v>
      </c>
      <c r="E147" s="15">
        <v>45629</v>
      </c>
      <c r="F147" s="15">
        <v>45565</v>
      </c>
      <c r="G147" t="s">
        <v>53</v>
      </c>
      <c r="I147" t="s">
        <v>898</v>
      </c>
    </row>
    <row r="148" spans="1:9" x14ac:dyDescent="0.3">
      <c r="A148" t="s">
        <v>76</v>
      </c>
      <c r="B148" t="s">
        <v>30</v>
      </c>
      <c r="C148" t="s">
        <v>470</v>
      </c>
      <c r="D148" t="s">
        <v>806</v>
      </c>
      <c r="E148" s="15">
        <v>45629</v>
      </c>
      <c r="F148" s="15">
        <v>45565</v>
      </c>
      <c r="G148" t="s">
        <v>53</v>
      </c>
      <c r="I148" t="s">
        <v>900</v>
      </c>
    </row>
    <row r="149" spans="1:9" x14ac:dyDescent="0.3">
      <c r="A149" t="s">
        <v>76</v>
      </c>
      <c r="B149" t="s">
        <v>30</v>
      </c>
      <c r="C149" t="s">
        <v>470</v>
      </c>
      <c r="D149" t="s">
        <v>807</v>
      </c>
      <c r="E149" s="15">
        <v>45629</v>
      </c>
      <c r="F149" s="15">
        <v>45565</v>
      </c>
      <c r="G149" t="s">
        <v>67</v>
      </c>
      <c r="H149" t="s">
        <v>964</v>
      </c>
      <c r="I149" t="s">
        <v>899</v>
      </c>
    </row>
    <row r="150" spans="1:9" x14ac:dyDescent="0.3">
      <c r="A150" t="s">
        <v>76</v>
      </c>
      <c r="B150" t="s">
        <v>30</v>
      </c>
      <c r="C150" t="s">
        <v>470</v>
      </c>
      <c r="D150" t="s">
        <v>808</v>
      </c>
      <c r="E150" s="15">
        <v>45629</v>
      </c>
      <c r="F150" s="15">
        <v>45565</v>
      </c>
      <c r="G150" t="s">
        <v>67</v>
      </c>
      <c r="H150" t="s">
        <v>963</v>
      </c>
      <c r="I150" t="s">
        <v>901</v>
      </c>
    </row>
    <row r="151" spans="1:9" x14ac:dyDescent="0.3">
      <c r="A151" t="s">
        <v>76</v>
      </c>
      <c r="B151" t="s">
        <v>30</v>
      </c>
      <c r="C151" t="s">
        <v>470</v>
      </c>
      <c r="D151" t="s">
        <v>809</v>
      </c>
      <c r="E151" s="15">
        <v>45629</v>
      </c>
      <c r="F151" s="15">
        <v>45565</v>
      </c>
      <c r="G151" t="s">
        <v>53</v>
      </c>
      <c r="I151" t="s">
        <v>902</v>
      </c>
    </row>
    <row r="152" spans="1:9" x14ac:dyDescent="0.3">
      <c r="A152" t="s">
        <v>76</v>
      </c>
      <c r="B152" t="s">
        <v>30</v>
      </c>
      <c r="C152" t="s">
        <v>470</v>
      </c>
      <c r="D152" t="s">
        <v>810</v>
      </c>
      <c r="E152" s="15">
        <v>45629</v>
      </c>
      <c r="F152" s="15">
        <v>45565</v>
      </c>
      <c r="G152" t="s">
        <v>53</v>
      </c>
      <c r="I152" t="s">
        <v>903</v>
      </c>
    </row>
    <row r="153" spans="1:9" x14ac:dyDescent="0.3">
      <c r="A153" t="s">
        <v>76</v>
      </c>
      <c r="B153" t="s">
        <v>30</v>
      </c>
      <c r="C153" t="s">
        <v>470</v>
      </c>
      <c r="D153" t="s">
        <v>811</v>
      </c>
      <c r="E153" s="15">
        <v>45629</v>
      </c>
      <c r="F153" s="15">
        <v>45565</v>
      </c>
      <c r="G153" t="s">
        <v>53</v>
      </c>
      <c r="I153" t="s">
        <v>905</v>
      </c>
    </row>
    <row r="154" spans="1:9" x14ac:dyDescent="0.3">
      <c r="A154" t="s">
        <v>76</v>
      </c>
      <c r="B154" t="s">
        <v>34</v>
      </c>
      <c r="C154" t="s">
        <v>465</v>
      </c>
      <c r="D154" t="s">
        <v>492</v>
      </c>
      <c r="E154" s="15">
        <v>45630</v>
      </c>
      <c r="F154" s="15">
        <v>45565</v>
      </c>
      <c r="G154" t="s">
        <v>53</v>
      </c>
      <c r="I154" t="s">
        <v>910</v>
      </c>
    </row>
    <row r="155" spans="1:9" x14ac:dyDescent="0.3">
      <c r="A155" t="s">
        <v>76</v>
      </c>
      <c r="B155" t="s">
        <v>34</v>
      </c>
      <c r="C155" t="s">
        <v>470</v>
      </c>
      <c r="D155" t="s">
        <v>580</v>
      </c>
      <c r="E155" s="15">
        <v>45630</v>
      </c>
      <c r="F155" s="15">
        <v>45565</v>
      </c>
      <c r="G155" t="s">
        <v>53</v>
      </c>
      <c r="I155" t="s">
        <v>909</v>
      </c>
    </row>
    <row r="156" spans="1:9" x14ac:dyDescent="0.3">
      <c r="A156" t="s">
        <v>76</v>
      </c>
      <c r="B156" t="s">
        <v>34</v>
      </c>
      <c r="C156" t="s">
        <v>470</v>
      </c>
      <c r="D156" t="s">
        <v>581</v>
      </c>
      <c r="E156" s="15">
        <v>45630</v>
      </c>
      <c r="F156" s="15">
        <v>45565</v>
      </c>
      <c r="G156" t="s">
        <v>67</v>
      </c>
      <c r="H156" t="s">
        <v>965</v>
      </c>
      <c r="I156" t="s">
        <v>908</v>
      </c>
    </row>
    <row r="157" spans="1:9" x14ac:dyDescent="0.3">
      <c r="A157" t="s">
        <v>76</v>
      </c>
      <c r="B157" t="s">
        <v>34</v>
      </c>
      <c r="C157" t="s">
        <v>470</v>
      </c>
      <c r="D157" t="s">
        <v>582</v>
      </c>
      <c r="E157" s="15">
        <v>45630</v>
      </c>
      <c r="F157" s="15">
        <v>45565</v>
      </c>
      <c r="G157" t="s">
        <v>53</v>
      </c>
      <c r="I157" t="s">
        <v>911</v>
      </c>
    </row>
    <row r="158" spans="1:9" x14ac:dyDescent="0.3">
      <c r="A158" t="s">
        <v>76</v>
      </c>
      <c r="B158" t="s">
        <v>34</v>
      </c>
      <c r="C158" t="s">
        <v>470</v>
      </c>
      <c r="D158" t="s">
        <v>583</v>
      </c>
      <c r="E158" s="15">
        <v>45630</v>
      </c>
      <c r="F158" s="15">
        <v>45565</v>
      </c>
      <c r="G158" t="s">
        <v>53</v>
      </c>
      <c r="I158" t="s">
        <v>912</v>
      </c>
    </row>
    <row r="159" spans="1:9" x14ac:dyDescent="0.3">
      <c r="A159" t="s">
        <v>76</v>
      </c>
      <c r="B159" t="s">
        <v>34</v>
      </c>
      <c r="C159" t="s">
        <v>470</v>
      </c>
      <c r="D159" t="s">
        <v>584</v>
      </c>
      <c r="E159" s="15">
        <v>45630</v>
      </c>
      <c r="F159" s="15">
        <v>45565</v>
      </c>
      <c r="G159" t="s">
        <v>53</v>
      </c>
      <c r="I159" t="s">
        <v>913</v>
      </c>
    </row>
    <row r="160" spans="1:9" x14ac:dyDescent="0.3">
      <c r="A160" t="s">
        <v>76</v>
      </c>
      <c r="B160" t="s">
        <v>34</v>
      </c>
      <c r="C160" t="s">
        <v>470</v>
      </c>
      <c r="D160" t="s">
        <v>585</v>
      </c>
      <c r="E160" s="15">
        <v>45630</v>
      </c>
      <c r="F160" s="15">
        <v>45565</v>
      </c>
      <c r="G160" t="s">
        <v>53</v>
      </c>
      <c r="I160" t="s">
        <v>914</v>
      </c>
    </row>
    <row r="161" spans="1:9" x14ac:dyDescent="0.3">
      <c r="A161" t="s">
        <v>76</v>
      </c>
      <c r="B161" t="s">
        <v>98</v>
      </c>
      <c r="C161" t="s">
        <v>465</v>
      </c>
      <c r="D161" t="s">
        <v>492</v>
      </c>
      <c r="E161" s="15">
        <v>45630</v>
      </c>
      <c r="F161" s="15">
        <v>45473</v>
      </c>
      <c r="G161" t="s">
        <v>53</v>
      </c>
      <c r="I161" t="s">
        <v>915</v>
      </c>
    </row>
    <row r="162" spans="1:9" x14ac:dyDescent="0.3">
      <c r="A162" t="s">
        <v>76</v>
      </c>
      <c r="B162" t="s">
        <v>98</v>
      </c>
      <c r="C162" t="s">
        <v>470</v>
      </c>
      <c r="D162" t="s">
        <v>772</v>
      </c>
      <c r="E162" s="15">
        <v>45630</v>
      </c>
      <c r="F162" s="15">
        <v>45473</v>
      </c>
      <c r="G162" t="s">
        <v>53</v>
      </c>
      <c r="I162" t="s">
        <v>916</v>
      </c>
    </row>
    <row r="163" spans="1:9" x14ac:dyDescent="0.3">
      <c r="A163" t="s">
        <v>76</v>
      </c>
      <c r="B163" t="s">
        <v>98</v>
      </c>
      <c r="C163" t="s">
        <v>470</v>
      </c>
      <c r="D163" t="s">
        <v>773</v>
      </c>
      <c r="E163" s="15">
        <v>45630</v>
      </c>
      <c r="F163" s="15">
        <v>45473</v>
      </c>
      <c r="G163" t="s">
        <v>53</v>
      </c>
      <c r="I163" t="s">
        <v>917</v>
      </c>
    </row>
    <row r="164" spans="1:9" x14ac:dyDescent="0.3">
      <c r="A164" t="s">
        <v>76</v>
      </c>
      <c r="B164" t="s">
        <v>98</v>
      </c>
      <c r="C164" t="s">
        <v>470</v>
      </c>
      <c r="D164" t="s">
        <v>774</v>
      </c>
      <c r="E164" s="15">
        <v>45630</v>
      </c>
      <c r="F164" s="15">
        <v>45473</v>
      </c>
      <c r="G164" t="s">
        <v>53</v>
      </c>
      <c r="I164" t="s">
        <v>917</v>
      </c>
    </row>
    <row r="165" spans="1:9" x14ac:dyDescent="0.3">
      <c r="A165" t="s">
        <v>76</v>
      </c>
      <c r="B165" t="s">
        <v>98</v>
      </c>
      <c r="C165" t="s">
        <v>470</v>
      </c>
      <c r="D165" t="s">
        <v>775</v>
      </c>
      <c r="E165" s="15">
        <v>45630</v>
      </c>
      <c r="F165" s="15">
        <v>45473</v>
      </c>
      <c r="G165" t="s">
        <v>53</v>
      </c>
      <c r="I165" t="s">
        <v>918</v>
      </c>
    </row>
    <row r="166" spans="1:9" x14ac:dyDescent="0.3">
      <c r="A166" t="s">
        <v>76</v>
      </c>
      <c r="B166" t="s">
        <v>98</v>
      </c>
      <c r="C166" t="s">
        <v>470</v>
      </c>
      <c r="D166" t="s">
        <v>776</v>
      </c>
      <c r="E166" s="15">
        <v>45630</v>
      </c>
      <c r="F166" s="15">
        <v>45473</v>
      </c>
      <c r="G166" t="s">
        <v>53</v>
      </c>
      <c r="I166" t="s">
        <v>919</v>
      </c>
    </row>
    <row r="167" spans="1:9" x14ac:dyDescent="0.3">
      <c r="A167" t="s">
        <v>76</v>
      </c>
      <c r="B167" t="s">
        <v>98</v>
      </c>
      <c r="C167" t="s">
        <v>470</v>
      </c>
      <c r="D167" t="s">
        <v>777</v>
      </c>
      <c r="E167" s="15">
        <v>45630</v>
      </c>
      <c r="F167" s="15">
        <v>45473</v>
      </c>
      <c r="G167" t="s">
        <v>53</v>
      </c>
      <c r="I167" t="s">
        <v>920</v>
      </c>
    </row>
    <row r="168" spans="1:9" x14ac:dyDescent="0.3">
      <c r="A168" t="s">
        <v>76</v>
      </c>
      <c r="B168" t="s">
        <v>98</v>
      </c>
      <c r="C168" t="s">
        <v>470</v>
      </c>
      <c r="D168" t="s">
        <v>778</v>
      </c>
      <c r="E168" s="15">
        <v>45630</v>
      </c>
      <c r="F168" s="15">
        <v>45473</v>
      </c>
      <c r="G168" t="s">
        <v>53</v>
      </c>
      <c r="I168" t="s">
        <v>921</v>
      </c>
    </row>
    <row r="169" spans="1:9" x14ac:dyDescent="0.3">
      <c r="A169" t="s">
        <v>76</v>
      </c>
      <c r="B169" t="s">
        <v>98</v>
      </c>
      <c r="C169" t="s">
        <v>470</v>
      </c>
      <c r="D169" t="s">
        <v>779</v>
      </c>
      <c r="E169" s="15">
        <v>45630</v>
      </c>
      <c r="F169" s="15">
        <v>45473</v>
      </c>
      <c r="G169" t="s">
        <v>53</v>
      </c>
      <c r="I169" t="s">
        <v>968</v>
      </c>
    </row>
    <row r="170" spans="1:9" x14ac:dyDescent="0.3">
      <c r="A170" t="s">
        <v>76</v>
      </c>
      <c r="B170" t="s">
        <v>98</v>
      </c>
      <c r="C170" t="s">
        <v>470</v>
      </c>
      <c r="D170" t="s">
        <v>780</v>
      </c>
      <c r="E170" s="15">
        <v>45630</v>
      </c>
      <c r="F170" s="15">
        <v>45473</v>
      </c>
      <c r="H170" t="s">
        <v>796</v>
      </c>
    </row>
    <row r="171" spans="1:9" x14ac:dyDescent="0.3">
      <c r="A171" t="s">
        <v>76</v>
      </c>
      <c r="B171" t="s">
        <v>31</v>
      </c>
      <c r="C171" t="s">
        <v>465</v>
      </c>
      <c r="D171" t="s">
        <v>492</v>
      </c>
      <c r="E171" s="15">
        <v>45630</v>
      </c>
      <c r="F171" s="15">
        <v>45473</v>
      </c>
      <c r="G171" t="s">
        <v>53</v>
      </c>
      <c r="I171" t="s">
        <v>922</v>
      </c>
    </row>
    <row r="172" spans="1:9" x14ac:dyDescent="0.3">
      <c r="A172" t="s">
        <v>76</v>
      </c>
      <c r="B172" t="s">
        <v>31</v>
      </c>
      <c r="C172" t="s">
        <v>470</v>
      </c>
      <c r="D172" t="s">
        <v>785</v>
      </c>
      <c r="E172" s="15">
        <v>45630</v>
      </c>
      <c r="F172" s="15">
        <v>45473</v>
      </c>
      <c r="G172" t="s">
        <v>53</v>
      </c>
      <c r="I172" t="s">
        <v>925</v>
      </c>
    </row>
    <row r="173" spans="1:9" x14ac:dyDescent="0.3">
      <c r="A173" t="s">
        <v>76</v>
      </c>
      <c r="B173" t="s">
        <v>31</v>
      </c>
      <c r="C173" t="s">
        <v>470</v>
      </c>
      <c r="D173" t="s">
        <v>786</v>
      </c>
      <c r="E173" s="15">
        <v>45630</v>
      </c>
      <c r="F173" s="15">
        <v>45473</v>
      </c>
      <c r="G173" t="s">
        <v>53</v>
      </c>
      <c r="I173" t="s">
        <v>923</v>
      </c>
    </row>
    <row r="174" spans="1:9" x14ac:dyDescent="0.3">
      <c r="A174" t="s">
        <v>76</v>
      </c>
      <c r="B174" t="s">
        <v>31</v>
      </c>
      <c r="C174" t="s">
        <v>470</v>
      </c>
      <c r="D174" t="s">
        <v>787</v>
      </c>
      <c r="E174" s="15">
        <v>45630</v>
      </c>
      <c r="F174" s="15">
        <v>45473</v>
      </c>
      <c r="G174" t="s">
        <v>53</v>
      </c>
      <c r="I174" t="s">
        <v>924</v>
      </c>
    </row>
    <row r="175" spans="1:9" x14ac:dyDescent="0.3">
      <c r="A175" t="s">
        <v>76</v>
      </c>
      <c r="B175" t="s">
        <v>363</v>
      </c>
      <c r="C175" t="s">
        <v>465</v>
      </c>
      <c r="D175" t="s">
        <v>492</v>
      </c>
      <c r="E175" s="15">
        <v>45630</v>
      </c>
      <c r="F175" s="15">
        <v>45565</v>
      </c>
      <c r="G175" t="s">
        <v>53</v>
      </c>
      <c r="I175" t="s">
        <v>907</v>
      </c>
    </row>
    <row r="176" spans="1:9" x14ac:dyDescent="0.3">
      <c r="A176" t="s">
        <v>76</v>
      </c>
      <c r="B176" t="s">
        <v>363</v>
      </c>
      <c r="C176" t="s">
        <v>489</v>
      </c>
      <c r="D176" t="s">
        <v>490</v>
      </c>
      <c r="E176" s="15">
        <v>45630</v>
      </c>
      <c r="F176" s="15">
        <v>45565</v>
      </c>
      <c r="G176" t="s">
        <v>53</v>
      </c>
      <c r="I176" t="s">
        <v>876</v>
      </c>
    </row>
    <row r="177" spans="1:9" x14ac:dyDescent="0.3">
      <c r="A177" t="s">
        <v>76</v>
      </c>
      <c r="B177" t="s">
        <v>363</v>
      </c>
      <c r="C177" t="s">
        <v>470</v>
      </c>
      <c r="D177" t="s">
        <v>875</v>
      </c>
      <c r="E177" s="15">
        <v>45630</v>
      </c>
      <c r="F177" s="15">
        <v>45565</v>
      </c>
      <c r="G177" t="s">
        <v>53</v>
      </c>
      <c r="I177" t="s">
        <v>877</v>
      </c>
    </row>
    <row r="178" spans="1:9" x14ac:dyDescent="0.3">
      <c r="A178" t="s">
        <v>76</v>
      </c>
      <c r="B178" t="s">
        <v>363</v>
      </c>
      <c r="C178" t="s">
        <v>470</v>
      </c>
      <c r="D178" t="s">
        <v>496</v>
      </c>
      <c r="E178" s="15">
        <v>45630</v>
      </c>
      <c r="F178" s="15">
        <v>45565</v>
      </c>
      <c r="G178" t="s">
        <v>67</v>
      </c>
      <c r="H178" t="s">
        <v>966</v>
      </c>
      <c r="I178" t="s">
        <v>943</v>
      </c>
    </row>
    <row r="179" spans="1:9" x14ac:dyDescent="0.3">
      <c r="A179" t="s">
        <v>76</v>
      </c>
      <c r="B179" t="s">
        <v>363</v>
      </c>
      <c r="C179" t="s">
        <v>470</v>
      </c>
      <c r="D179" t="s">
        <v>499</v>
      </c>
      <c r="E179" s="15">
        <v>45630</v>
      </c>
      <c r="F179" s="15">
        <v>45565</v>
      </c>
      <c r="G179" t="s">
        <v>53</v>
      </c>
      <c r="I179" t="s">
        <v>944</v>
      </c>
    </row>
    <row r="180" spans="1:9" x14ac:dyDescent="0.3">
      <c r="A180" t="s">
        <v>76</v>
      </c>
      <c r="B180" t="s">
        <v>179</v>
      </c>
      <c r="C180" t="s">
        <v>465</v>
      </c>
      <c r="D180" t="s">
        <v>492</v>
      </c>
      <c r="E180" s="15">
        <v>45630</v>
      </c>
      <c r="F180" s="15">
        <v>45565</v>
      </c>
      <c r="G180" t="s">
        <v>53</v>
      </c>
      <c r="I180" t="s">
        <v>931</v>
      </c>
    </row>
    <row r="181" spans="1:9" x14ac:dyDescent="0.3">
      <c r="A181" t="s">
        <v>76</v>
      </c>
      <c r="B181" t="s">
        <v>179</v>
      </c>
      <c r="C181" t="s">
        <v>470</v>
      </c>
      <c r="D181" t="s">
        <v>872</v>
      </c>
      <c r="E181" s="15">
        <v>45630</v>
      </c>
      <c r="F181" s="15">
        <v>45565</v>
      </c>
      <c r="G181" t="s">
        <v>53</v>
      </c>
      <c r="I181" t="s">
        <v>932</v>
      </c>
    </row>
    <row r="182" spans="1:9" x14ac:dyDescent="0.3">
      <c r="A182" t="s">
        <v>76</v>
      </c>
      <c r="B182" t="s">
        <v>179</v>
      </c>
      <c r="C182" t="s">
        <v>470</v>
      </c>
      <c r="D182" t="s">
        <v>873</v>
      </c>
      <c r="E182" s="15">
        <v>45630</v>
      </c>
      <c r="F182" s="15">
        <v>45565</v>
      </c>
      <c r="G182" t="s">
        <v>67</v>
      </c>
      <c r="H182" t="s">
        <v>967</v>
      </c>
      <c r="I182" t="s">
        <v>933</v>
      </c>
    </row>
    <row r="183" spans="1:9" x14ac:dyDescent="0.3">
      <c r="A183" t="s">
        <v>76</v>
      </c>
      <c r="B183" t="s">
        <v>179</v>
      </c>
      <c r="C183" t="s">
        <v>470</v>
      </c>
      <c r="D183" t="s">
        <v>874</v>
      </c>
      <c r="E183" s="15">
        <v>45630</v>
      </c>
      <c r="F183" s="15">
        <v>45565</v>
      </c>
      <c r="G183" t="s">
        <v>67</v>
      </c>
      <c r="H183" t="s">
        <v>967</v>
      </c>
      <c r="I183" t="s">
        <v>934</v>
      </c>
    </row>
    <row r="184" spans="1:9" x14ac:dyDescent="0.3">
      <c r="A184" t="s">
        <v>76</v>
      </c>
      <c r="B184" t="s">
        <v>179</v>
      </c>
      <c r="C184" t="s">
        <v>470</v>
      </c>
      <c r="D184" t="s">
        <v>508</v>
      </c>
      <c r="E184" s="15">
        <v>45630</v>
      </c>
      <c r="F184" s="15">
        <v>45565</v>
      </c>
      <c r="G184" t="s">
        <v>53</v>
      </c>
      <c r="I184" t="s">
        <v>935</v>
      </c>
    </row>
    <row r="185" spans="1:9" x14ac:dyDescent="0.3">
      <c r="A185" s="29" t="s">
        <v>76</v>
      </c>
      <c r="B185" s="29" t="s">
        <v>27</v>
      </c>
      <c r="C185" t="s">
        <v>465</v>
      </c>
      <c r="D185" t="s">
        <v>492</v>
      </c>
      <c r="E185" s="15">
        <v>45630</v>
      </c>
      <c r="F185" s="15">
        <v>45565</v>
      </c>
      <c r="G185" t="s">
        <v>53</v>
      </c>
      <c r="I185" t="s">
        <v>936</v>
      </c>
    </row>
    <row r="186" spans="1:9" x14ac:dyDescent="0.3">
      <c r="A186" s="29" t="s">
        <v>76</v>
      </c>
      <c r="B186" s="29" t="s">
        <v>27</v>
      </c>
      <c r="C186" t="s">
        <v>470</v>
      </c>
      <c r="D186" t="s">
        <v>533</v>
      </c>
      <c r="E186" s="15">
        <v>45630</v>
      </c>
      <c r="F186" s="15">
        <v>45565</v>
      </c>
      <c r="G186" t="s">
        <v>53</v>
      </c>
      <c r="I186" t="s">
        <v>937</v>
      </c>
    </row>
    <row r="187" spans="1:9" x14ac:dyDescent="0.3">
      <c r="A187" s="29" t="s">
        <v>76</v>
      </c>
      <c r="B187" s="29" t="s">
        <v>27</v>
      </c>
      <c r="C187" t="s">
        <v>470</v>
      </c>
      <c r="D187" t="s">
        <v>535</v>
      </c>
      <c r="E187" s="15">
        <v>45630</v>
      </c>
      <c r="F187" s="15">
        <v>45565</v>
      </c>
      <c r="G187" t="s">
        <v>53</v>
      </c>
      <c r="I187" t="s">
        <v>938</v>
      </c>
    </row>
    <row r="188" spans="1:9" x14ac:dyDescent="0.3">
      <c r="A188" s="29" t="s">
        <v>76</v>
      </c>
      <c r="B188" s="29" t="s">
        <v>27</v>
      </c>
      <c r="C188" t="s">
        <v>470</v>
      </c>
      <c r="D188" t="s">
        <v>538</v>
      </c>
      <c r="E188" s="15">
        <v>45630</v>
      </c>
      <c r="F188" s="15">
        <v>45565</v>
      </c>
      <c r="G188" t="s">
        <v>53</v>
      </c>
      <c r="I188" t="s">
        <v>939</v>
      </c>
    </row>
    <row r="189" spans="1:9" x14ac:dyDescent="0.3">
      <c r="A189" s="29" t="s">
        <v>76</v>
      </c>
      <c r="B189" s="29" t="s">
        <v>27</v>
      </c>
      <c r="C189" t="s">
        <v>470</v>
      </c>
      <c r="D189" t="s">
        <v>540</v>
      </c>
      <c r="E189" s="15">
        <v>45630</v>
      </c>
      <c r="F189" s="15">
        <v>45565</v>
      </c>
      <c r="G189" t="s">
        <v>53</v>
      </c>
      <c r="I189" t="s">
        <v>940</v>
      </c>
    </row>
    <row r="190" spans="1:9" x14ac:dyDescent="0.3">
      <c r="A190" s="29" t="s">
        <v>76</v>
      </c>
      <c r="B190" s="29" t="s">
        <v>27</v>
      </c>
      <c r="C190" t="s">
        <v>470</v>
      </c>
      <c r="D190" t="s">
        <v>543</v>
      </c>
      <c r="E190" s="15">
        <v>45630</v>
      </c>
      <c r="F190" s="15">
        <v>45565</v>
      </c>
      <c r="G190" t="s">
        <v>53</v>
      </c>
      <c r="I190" t="s">
        <v>941</v>
      </c>
    </row>
    <row r="191" spans="1:9" x14ac:dyDescent="0.3">
      <c r="A191" s="29" t="s">
        <v>76</v>
      </c>
      <c r="B191" s="29" t="s">
        <v>27</v>
      </c>
      <c r="C191" t="s">
        <v>470</v>
      </c>
      <c r="D191" t="s">
        <v>545</v>
      </c>
      <c r="E191" s="15">
        <v>45630</v>
      </c>
      <c r="F191" s="15">
        <v>45565</v>
      </c>
      <c r="G191" t="s">
        <v>53</v>
      </c>
      <c r="I191" t="s">
        <v>942</v>
      </c>
    </row>
    <row r="192" spans="1:9" x14ac:dyDescent="0.3">
      <c r="A192" t="s">
        <v>76</v>
      </c>
      <c r="B192" t="s">
        <v>32</v>
      </c>
      <c r="C192" t="s">
        <v>465</v>
      </c>
      <c r="D192" t="s">
        <v>492</v>
      </c>
      <c r="E192" s="15">
        <v>45643</v>
      </c>
      <c r="F192" s="15">
        <v>45565</v>
      </c>
      <c r="G192" t="s">
        <v>67</v>
      </c>
      <c r="I192" t="s">
        <v>1050</v>
      </c>
    </row>
    <row r="193" spans="1:9" x14ac:dyDescent="0.3">
      <c r="A193" t="s">
        <v>76</v>
      </c>
      <c r="B193" t="s">
        <v>32</v>
      </c>
      <c r="C193" t="s">
        <v>470</v>
      </c>
      <c r="D193" t="s">
        <v>814</v>
      </c>
      <c r="E193" s="15">
        <v>45643</v>
      </c>
      <c r="F193" s="15">
        <v>45565</v>
      </c>
      <c r="G193" t="s">
        <v>67</v>
      </c>
      <c r="I193" t="s">
        <v>1051</v>
      </c>
    </row>
    <row r="194" spans="1:9" x14ac:dyDescent="0.3">
      <c r="A194" t="s">
        <v>76</v>
      </c>
      <c r="B194" t="s">
        <v>32</v>
      </c>
      <c r="C194" t="s">
        <v>470</v>
      </c>
      <c r="D194" t="s">
        <v>815</v>
      </c>
      <c r="E194" s="15">
        <v>45643</v>
      </c>
      <c r="F194" s="15">
        <v>45565</v>
      </c>
      <c r="G194" t="s">
        <v>53</v>
      </c>
      <c r="I194" t="s">
        <v>1052</v>
      </c>
    </row>
    <row r="195" spans="1:9" x14ac:dyDescent="0.3">
      <c r="A195" t="s">
        <v>76</v>
      </c>
      <c r="B195" t="s">
        <v>32</v>
      </c>
      <c r="C195" t="s">
        <v>470</v>
      </c>
      <c r="D195" t="s">
        <v>816</v>
      </c>
      <c r="E195" s="15">
        <v>45643</v>
      </c>
      <c r="F195" s="15">
        <v>45565</v>
      </c>
      <c r="G195" t="s">
        <v>67</v>
      </c>
      <c r="H195" t="s">
        <v>945</v>
      </c>
      <c r="I195" t="s">
        <v>1053</v>
      </c>
    </row>
    <row r="196" spans="1:9" x14ac:dyDescent="0.3">
      <c r="A196" t="s">
        <v>76</v>
      </c>
      <c r="B196" t="s">
        <v>32</v>
      </c>
      <c r="C196" t="s">
        <v>470</v>
      </c>
      <c r="D196" t="s">
        <v>817</v>
      </c>
      <c r="E196" s="15">
        <v>45643</v>
      </c>
      <c r="F196" s="15">
        <v>45565</v>
      </c>
      <c r="G196" t="s">
        <v>53</v>
      </c>
      <c r="I196" t="s">
        <v>1054</v>
      </c>
    </row>
    <row r="197" spans="1:9" x14ac:dyDescent="0.3">
      <c r="A197" t="s">
        <v>76</v>
      </c>
      <c r="B197" t="s">
        <v>32</v>
      </c>
      <c r="C197" t="s">
        <v>470</v>
      </c>
      <c r="D197" t="s">
        <v>818</v>
      </c>
      <c r="E197" s="15">
        <v>45643</v>
      </c>
      <c r="F197" s="15">
        <v>45565</v>
      </c>
      <c r="G197" t="s">
        <v>53</v>
      </c>
      <c r="I197" t="s">
        <v>1055</v>
      </c>
    </row>
    <row r="198" spans="1:9" x14ac:dyDescent="0.3">
      <c r="A198" s="29" t="s">
        <v>51</v>
      </c>
      <c r="B198" t="s">
        <v>333</v>
      </c>
      <c r="C198" t="s">
        <v>465</v>
      </c>
      <c r="D198" t="s">
        <v>492</v>
      </c>
      <c r="E198" s="15">
        <v>45644</v>
      </c>
      <c r="F198" s="15">
        <v>45565</v>
      </c>
      <c r="G198" t="s">
        <v>53</v>
      </c>
      <c r="I198" t="s">
        <v>950</v>
      </c>
    </row>
    <row r="199" spans="1:9" x14ac:dyDescent="0.3">
      <c r="A199" s="29" t="s">
        <v>51</v>
      </c>
      <c r="B199" t="s">
        <v>333</v>
      </c>
      <c r="C199" t="s">
        <v>470</v>
      </c>
      <c r="D199" t="s">
        <v>946</v>
      </c>
      <c r="E199" s="15">
        <v>45644</v>
      </c>
      <c r="F199" s="15">
        <v>45565</v>
      </c>
      <c r="G199" t="s">
        <v>53</v>
      </c>
      <c r="I199" t="s">
        <v>951</v>
      </c>
    </row>
    <row r="200" spans="1:9" x14ac:dyDescent="0.3">
      <c r="A200" s="29" t="s">
        <v>51</v>
      </c>
      <c r="B200" t="s">
        <v>333</v>
      </c>
      <c r="C200" t="s">
        <v>470</v>
      </c>
      <c r="D200" t="s">
        <v>947</v>
      </c>
      <c r="E200" s="15">
        <v>45644</v>
      </c>
      <c r="F200" s="15">
        <v>45565</v>
      </c>
      <c r="G200" t="s">
        <v>53</v>
      </c>
      <c r="I200" t="s">
        <v>952</v>
      </c>
    </row>
    <row r="201" spans="1:9" x14ac:dyDescent="0.3">
      <c r="A201" s="29" t="s">
        <v>51</v>
      </c>
      <c r="B201" t="s">
        <v>333</v>
      </c>
      <c r="C201" t="s">
        <v>470</v>
      </c>
      <c r="D201" t="s">
        <v>948</v>
      </c>
      <c r="E201" s="15">
        <v>45644</v>
      </c>
      <c r="F201" s="15">
        <v>45565</v>
      </c>
      <c r="G201" t="s">
        <v>53</v>
      </c>
      <c r="I201" t="s">
        <v>953</v>
      </c>
    </row>
    <row r="202" spans="1:9" x14ac:dyDescent="0.3">
      <c r="A202" s="29" t="s">
        <v>51</v>
      </c>
      <c r="B202" t="s">
        <v>333</v>
      </c>
      <c r="C202" t="s">
        <v>470</v>
      </c>
      <c r="D202" t="s">
        <v>949</v>
      </c>
      <c r="E202" s="15">
        <v>45644</v>
      </c>
      <c r="F202" s="15">
        <v>45565</v>
      </c>
      <c r="G202" t="s">
        <v>67</v>
      </c>
      <c r="H202" t="s">
        <v>958</v>
      </c>
      <c r="I202" t="s">
        <v>954</v>
      </c>
    </row>
    <row r="203" spans="1:9" x14ac:dyDescent="0.3">
      <c r="A203" s="29" t="s">
        <v>51</v>
      </c>
      <c r="B203" t="s">
        <v>157</v>
      </c>
      <c r="C203" t="s">
        <v>465</v>
      </c>
      <c r="D203" t="s">
        <v>492</v>
      </c>
      <c r="E203" s="15">
        <v>45644</v>
      </c>
      <c r="F203" s="15">
        <v>45565</v>
      </c>
      <c r="G203" t="s">
        <v>53</v>
      </c>
      <c r="I203" t="s">
        <v>955</v>
      </c>
    </row>
    <row r="204" spans="1:9" x14ac:dyDescent="0.3">
      <c r="A204" s="29" t="s">
        <v>51</v>
      </c>
      <c r="B204" t="s">
        <v>157</v>
      </c>
      <c r="C204" t="s">
        <v>470</v>
      </c>
      <c r="D204" t="s">
        <v>650</v>
      </c>
      <c r="E204" s="15">
        <v>45644</v>
      </c>
      <c r="F204" s="15">
        <v>45565</v>
      </c>
      <c r="G204" t="s">
        <v>53</v>
      </c>
      <c r="I204" t="s">
        <v>956</v>
      </c>
    </row>
    <row r="205" spans="1:9" x14ac:dyDescent="0.3">
      <c r="A205" s="29" t="s">
        <v>51</v>
      </c>
      <c r="B205" t="s">
        <v>157</v>
      </c>
      <c r="C205" t="s">
        <v>470</v>
      </c>
      <c r="D205" t="s">
        <v>651</v>
      </c>
      <c r="E205" s="15">
        <v>45644</v>
      </c>
      <c r="F205" s="15">
        <v>45565</v>
      </c>
      <c r="G205" t="s">
        <v>53</v>
      </c>
      <c r="I205" t="s">
        <v>957</v>
      </c>
    </row>
  </sheetData>
  <autoFilter ref="A1:I215" xr:uid="{00000000-0009-0000-0000-000003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DDDB5-79F6-4132-9942-378764F443DD}">
  <dimension ref="A1:I69"/>
  <sheetViews>
    <sheetView showGridLines="0" zoomScale="80" zoomScaleNormal="80" workbookViewId="0">
      <selection activeCell="D5" sqref="D5"/>
    </sheetView>
  </sheetViews>
  <sheetFormatPr defaultColWidth="8.88671875" defaultRowHeight="16.2" x14ac:dyDescent="0.4"/>
  <cols>
    <col min="1" max="1" width="9.5546875" style="32" bestFit="1" customWidth="1"/>
    <col min="2" max="3" width="31.44140625" style="24" customWidth="1"/>
    <col min="4" max="4" width="46.21875" style="24" bestFit="1" customWidth="1"/>
    <col min="5" max="5" width="50.6640625" style="32" bestFit="1" customWidth="1"/>
    <col min="6" max="6" width="13.6640625" style="32" customWidth="1"/>
    <col min="7" max="7" width="15.109375" style="32" customWidth="1"/>
    <col min="8" max="8" width="31.5546875" style="32" bestFit="1" customWidth="1"/>
    <col min="9" max="9" width="23.77734375" style="24" bestFit="1" customWidth="1"/>
    <col min="10" max="16384" width="8.88671875" style="24"/>
  </cols>
  <sheetData>
    <row r="1" spans="1:9" x14ac:dyDescent="0.4">
      <c r="A1" s="30" t="s">
        <v>454</v>
      </c>
      <c r="B1" s="28" t="s">
        <v>455</v>
      </c>
      <c r="C1" s="28" t="s">
        <v>43</v>
      </c>
      <c r="D1" s="28" t="s">
        <v>613</v>
      </c>
      <c r="E1" s="30" t="s">
        <v>614</v>
      </c>
      <c r="F1" s="30" t="s">
        <v>600</v>
      </c>
      <c r="G1" s="30" t="s">
        <v>612</v>
      </c>
      <c r="H1" s="30" t="s">
        <v>601</v>
      </c>
      <c r="I1" s="30" t="s">
        <v>655</v>
      </c>
    </row>
    <row r="2" spans="1:9" x14ac:dyDescent="0.4">
      <c r="A2" s="31" t="s">
        <v>51</v>
      </c>
      <c r="B2" s="25" t="s">
        <v>264</v>
      </c>
      <c r="C2" s="25" t="s">
        <v>708</v>
      </c>
      <c r="D2" s="25" t="s">
        <v>666</v>
      </c>
      <c r="E2" s="25" t="s">
        <v>680</v>
      </c>
      <c r="F2" s="31" t="s">
        <v>15</v>
      </c>
      <c r="G2" s="31" t="s">
        <v>15</v>
      </c>
      <c r="H2" s="31" t="s">
        <v>656</v>
      </c>
      <c r="I2" s="31" t="s">
        <v>658</v>
      </c>
    </row>
    <row r="3" spans="1:9" x14ac:dyDescent="0.4">
      <c r="A3" s="31" t="s">
        <v>51</v>
      </c>
      <c r="B3" s="25" t="s">
        <v>359</v>
      </c>
      <c r="C3" s="34" t="s">
        <v>690</v>
      </c>
      <c r="D3" s="25" t="s">
        <v>666</v>
      </c>
      <c r="E3" s="25" t="s">
        <v>680</v>
      </c>
      <c r="F3" s="31" t="s">
        <v>15</v>
      </c>
      <c r="G3" s="31" t="s">
        <v>15</v>
      </c>
      <c r="H3" s="31" t="s">
        <v>656</v>
      </c>
      <c r="I3" s="31" t="s">
        <v>658</v>
      </c>
    </row>
    <row r="4" spans="1:9" x14ac:dyDescent="0.4">
      <c r="A4" s="31" t="s">
        <v>51</v>
      </c>
      <c r="B4" s="25" t="s">
        <v>266</v>
      </c>
      <c r="C4" s="34" t="s">
        <v>691</v>
      </c>
      <c r="D4" s="25" t="s">
        <v>666</v>
      </c>
      <c r="E4" s="25" t="s">
        <v>680</v>
      </c>
      <c r="F4" s="31" t="s">
        <v>15</v>
      </c>
      <c r="G4" s="31" t="s">
        <v>15</v>
      </c>
      <c r="H4" s="31" t="s">
        <v>656</v>
      </c>
      <c r="I4" s="31" t="s">
        <v>658</v>
      </c>
    </row>
    <row r="5" spans="1:9" ht="32.4" x14ac:dyDescent="0.4">
      <c r="A5" s="31" t="s">
        <v>51</v>
      </c>
      <c r="B5" s="25" t="s">
        <v>355</v>
      </c>
      <c r="C5" s="34" t="s">
        <v>692</v>
      </c>
      <c r="D5" s="25" t="s">
        <v>624</v>
      </c>
      <c r="E5" s="25" t="s">
        <v>640</v>
      </c>
      <c r="F5" s="31" t="s">
        <v>15</v>
      </c>
      <c r="G5" s="31" t="s">
        <v>15</v>
      </c>
      <c r="H5" s="31" t="s">
        <v>656</v>
      </c>
      <c r="I5" s="31" t="s">
        <v>658</v>
      </c>
    </row>
    <row r="6" spans="1:9" x14ac:dyDescent="0.4">
      <c r="A6" s="31" t="s">
        <v>51</v>
      </c>
      <c r="B6" s="25" t="s">
        <v>361</v>
      </c>
      <c r="C6" s="34" t="s">
        <v>691</v>
      </c>
      <c r="D6" s="25" t="s">
        <v>666</v>
      </c>
      <c r="E6" s="25" t="s">
        <v>680</v>
      </c>
      <c r="F6" s="31" t="s">
        <v>15</v>
      </c>
      <c r="G6" s="31" t="s">
        <v>15</v>
      </c>
      <c r="H6" s="31" t="s">
        <v>656</v>
      </c>
      <c r="I6" s="31" t="s">
        <v>658</v>
      </c>
    </row>
    <row r="7" spans="1:9" ht="64.8" x14ac:dyDescent="0.4">
      <c r="A7" s="31" t="s">
        <v>51</v>
      </c>
      <c r="B7" s="25" t="s">
        <v>135</v>
      </c>
      <c r="C7" s="34" t="s">
        <v>693</v>
      </c>
      <c r="D7" s="25" t="s">
        <v>758</v>
      </c>
      <c r="E7" s="25" t="s">
        <v>759</v>
      </c>
      <c r="F7" s="31" t="s">
        <v>15</v>
      </c>
      <c r="G7" s="31" t="s">
        <v>15</v>
      </c>
      <c r="H7" s="31" t="s">
        <v>656</v>
      </c>
      <c r="I7" s="31" t="s">
        <v>658</v>
      </c>
    </row>
    <row r="8" spans="1:9" ht="64.8" x14ac:dyDescent="0.4">
      <c r="A8" s="31" t="s">
        <v>51</v>
      </c>
      <c r="B8" s="25" t="s">
        <v>138</v>
      </c>
      <c r="C8" s="34" t="s">
        <v>694</v>
      </c>
      <c r="D8" s="25" t="s">
        <v>758</v>
      </c>
      <c r="E8" s="25" t="s">
        <v>759</v>
      </c>
      <c r="F8" s="31" t="s">
        <v>15</v>
      </c>
      <c r="G8" s="31" t="s">
        <v>15</v>
      </c>
      <c r="H8" s="31" t="s">
        <v>656</v>
      </c>
      <c r="I8" s="31" t="s">
        <v>658</v>
      </c>
    </row>
    <row r="9" spans="1:9" ht="64.8" x14ac:dyDescent="0.4">
      <c r="A9" s="31" t="s">
        <v>51</v>
      </c>
      <c r="B9" s="25" t="s">
        <v>141</v>
      </c>
      <c r="C9" s="34" t="s">
        <v>695</v>
      </c>
      <c r="D9" s="25" t="s">
        <v>758</v>
      </c>
      <c r="E9" s="25" t="s">
        <v>759</v>
      </c>
      <c r="F9" s="31" t="s">
        <v>15</v>
      </c>
      <c r="G9" s="31" t="s">
        <v>15</v>
      </c>
      <c r="H9" s="31" t="s">
        <v>656</v>
      </c>
      <c r="I9" s="31" t="s">
        <v>658</v>
      </c>
    </row>
    <row r="10" spans="1:9" x14ac:dyDescent="0.4">
      <c r="A10" s="31" t="s">
        <v>51</v>
      </c>
      <c r="B10" s="25" t="s">
        <v>170</v>
      </c>
      <c r="C10" s="34" t="s">
        <v>696</v>
      </c>
      <c r="D10" s="25" t="s">
        <v>666</v>
      </c>
      <c r="E10" s="25" t="s">
        <v>680</v>
      </c>
      <c r="F10" s="31" t="s">
        <v>15</v>
      </c>
      <c r="G10" s="31" t="s">
        <v>15</v>
      </c>
      <c r="H10" s="31" t="s">
        <v>656</v>
      </c>
      <c r="I10" s="31" t="s">
        <v>658</v>
      </c>
    </row>
    <row r="11" spans="1:9" x14ac:dyDescent="0.4">
      <c r="A11" s="31" t="s">
        <v>51</v>
      </c>
      <c r="B11" s="25" t="s">
        <v>172</v>
      </c>
      <c r="C11" s="34" t="s">
        <v>697</v>
      </c>
      <c r="D11" s="25" t="s">
        <v>666</v>
      </c>
      <c r="E11" s="25" t="s">
        <v>680</v>
      </c>
      <c r="F11" s="31" t="s">
        <v>15</v>
      </c>
      <c r="G11" s="31" t="s">
        <v>15</v>
      </c>
      <c r="H11" s="31" t="s">
        <v>656</v>
      </c>
      <c r="I11" s="31" t="s">
        <v>658</v>
      </c>
    </row>
    <row r="12" spans="1:9" x14ac:dyDescent="0.4">
      <c r="A12" s="31" t="s">
        <v>51</v>
      </c>
      <c r="B12" s="25" t="s">
        <v>186</v>
      </c>
      <c r="C12" s="34" t="s">
        <v>698</v>
      </c>
      <c r="D12" s="25" t="s">
        <v>666</v>
      </c>
      <c r="E12" s="25" t="s">
        <v>680</v>
      </c>
      <c r="F12" s="31" t="s">
        <v>15</v>
      </c>
      <c r="G12" s="31" t="s">
        <v>15</v>
      </c>
      <c r="H12" s="31" t="s">
        <v>656</v>
      </c>
      <c r="I12" s="31" t="s">
        <v>658</v>
      </c>
    </row>
    <row r="13" spans="1:9" x14ac:dyDescent="0.4">
      <c r="A13" s="31" t="s">
        <v>51</v>
      </c>
      <c r="B13" s="25" t="s">
        <v>188</v>
      </c>
      <c r="C13" s="34" t="s">
        <v>699</v>
      </c>
      <c r="D13" s="25" t="s">
        <v>666</v>
      </c>
      <c r="E13" s="25" t="s">
        <v>680</v>
      </c>
      <c r="F13" s="31" t="s">
        <v>15</v>
      </c>
      <c r="G13" s="31" t="s">
        <v>15</v>
      </c>
      <c r="H13" s="31" t="s">
        <v>656</v>
      </c>
      <c r="I13" s="31" t="s">
        <v>658</v>
      </c>
    </row>
    <row r="14" spans="1:9" x14ac:dyDescent="0.4">
      <c r="A14" s="31" t="s">
        <v>51</v>
      </c>
      <c r="B14" s="25" t="s">
        <v>207</v>
      </c>
      <c r="C14" s="25"/>
      <c r="D14" s="25" t="s">
        <v>615</v>
      </c>
      <c r="E14" s="25" t="s">
        <v>626</v>
      </c>
      <c r="F14" s="31" t="s">
        <v>15</v>
      </c>
      <c r="G14" s="31" t="s">
        <v>11</v>
      </c>
      <c r="H14" s="31"/>
      <c r="I14" s="31"/>
    </row>
    <row r="15" spans="1:9" ht="48.6" x14ac:dyDescent="0.4">
      <c r="A15" s="31" t="s">
        <v>51</v>
      </c>
      <c r="B15" s="25" t="s">
        <v>208</v>
      </c>
      <c r="C15" s="25"/>
      <c r="D15" s="25" t="s">
        <v>625</v>
      </c>
      <c r="E15" s="25" t="s">
        <v>627</v>
      </c>
      <c r="F15" s="31" t="s">
        <v>15</v>
      </c>
      <c r="G15" s="31" t="s">
        <v>11</v>
      </c>
      <c r="H15" s="31"/>
      <c r="I15" s="31"/>
    </row>
    <row r="16" spans="1:9" x14ac:dyDescent="0.4">
      <c r="A16" s="31" t="s">
        <v>51</v>
      </c>
      <c r="B16" s="25" t="s">
        <v>259</v>
      </c>
      <c r="C16" s="25"/>
      <c r="D16" s="25" t="s">
        <v>615</v>
      </c>
      <c r="E16" s="25" t="s">
        <v>628</v>
      </c>
      <c r="F16" s="31" t="s">
        <v>15</v>
      </c>
      <c r="G16" s="31" t="s">
        <v>11</v>
      </c>
      <c r="H16" s="31"/>
      <c r="I16" s="31"/>
    </row>
    <row r="17" spans="1:9" x14ac:dyDescent="0.4">
      <c r="A17" s="31" t="s">
        <v>51</v>
      </c>
      <c r="B17" s="25" t="s">
        <v>260</v>
      </c>
      <c r="C17" s="25"/>
      <c r="D17" s="25" t="s">
        <v>616</v>
      </c>
      <c r="E17" s="25" t="s">
        <v>629</v>
      </c>
      <c r="F17" s="31" t="s">
        <v>15</v>
      </c>
      <c r="G17" s="31" t="s">
        <v>11</v>
      </c>
      <c r="H17" s="31"/>
      <c r="I17" s="31"/>
    </row>
    <row r="18" spans="1:9" x14ac:dyDescent="0.4">
      <c r="A18" s="31" t="s">
        <v>51</v>
      </c>
      <c r="B18" s="25" t="s">
        <v>261</v>
      </c>
      <c r="C18" s="25"/>
      <c r="D18" s="25" t="s">
        <v>615</v>
      </c>
      <c r="E18" s="25" t="s">
        <v>630</v>
      </c>
      <c r="F18" s="31" t="s">
        <v>15</v>
      </c>
      <c r="G18" s="31" t="s">
        <v>11</v>
      </c>
      <c r="H18" s="31"/>
      <c r="I18" s="31"/>
    </row>
    <row r="19" spans="1:9" x14ac:dyDescent="0.4">
      <c r="A19" s="31" t="s">
        <v>51</v>
      </c>
      <c r="B19" s="25" t="s">
        <v>262</v>
      </c>
      <c r="C19" s="25"/>
      <c r="D19" s="25" t="s">
        <v>617</v>
      </c>
      <c r="E19" s="25" t="s">
        <v>631</v>
      </c>
      <c r="F19" s="31" t="s">
        <v>15</v>
      </c>
      <c r="G19" s="31" t="s">
        <v>11</v>
      </c>
      <c r="H19" s="31"/>
      <c r="I19" s="31"/>
    </row>
    <row r="20" spans="1:9" ht="64.8" x14ac:dyDescent="0.4">
      <c r="A20" s="31" t="s">
        <v>51</v>
      </c>
      <c r="B20" s="25" t="s">
        <v>263</v>
      </c>
      <c r="C20" s="25"/>
      <c r="D20" s="25" t="s">
        <v>618</v>
      </c>
      <c r="E20" s="25" t="s">
        <v>632</v>
      </c>
      <c r="F20" s="31" t="s">
        <v>15</v>
      </c>
      <c r="G20" s="31" t="s">
        <v>11</v>
      </c>
      <c r="H20" s="31"/>
      <c r="I20" s="31"/>
    </row>
    <row r="21" spans="1:9" ht="32.4" x14ac:dyDescent="0.4">
      <c r="A21" s="31" t="s">
        <v>51</v>
      </c>
      <c r="B21" s="26" t="s">
        <v>283</v>
      </c>
      <c r="C21" s="26"/>
      <c r="D21" s="26" t="s">
        <v>619</v>
      </c>
      <c r="E21" s="26" t="s">
        <v>633</v>
      </c>
      <c r="F21" s="31" t="s">
        <v>15</v>
      </c>
      <c r="G21" s="31" t="s">
        <v>11</v>
      </c>
      <c r="H21" s="31"/>
      <c r="I21" s="31"/>
    </row>
    <row r="22" spans="1:9" ht="32.4" x14ac:dyDescent="0.4">
      <c r="A22" s="31" t="s">
        <v>51</v>
      </c>
      <c r="B22" s="25" t="s">
        <v>299</v>
      </c>
      <c r="C22" s="25" t="s">
        <v>727</v>
      </c>
      <c r="D22" s="25" t="s">
        <v>620</v>
      </c>
      <c r="E22" s="25" t="s">
        <v>642</v>
      </c>
      <c r="F22" s="31" t="s">
        <v>15</v>
      </c>
      <c r="G22" s="31" t="s">
        <v>15</v>
      </c>
      <c r="H22" s="31" t="s">
        <v>657</v>
      </c>
      <c r="I22" s="31"/>
    </row>
    <row r="23" spans="1:9" x14ac:dyDescent="0.4">
      <c r="A23" s="31" t="s">
        <v>51</v>
      </c>
      <c r="B23" s="25" t="s">
        <v>348</v>
      </c>
      <c r="C23" s="25"/>
      <c r="D23" s="25" t="s">
        <v>615</v>
      </c>
      <c r="E23" s="25" t="s">
        <v>634</v>
      </c>
      <c r="F23" s="31" t="s">
        <v>15</v>
      </c>
      <c r="G23" s="31" t="s">
        <v>11</v>
      </c>
      <c r="H23" s="31"/>
      <c r="I23" s="31"/>
    </row>
    <row r="24" spans="1:9" ht="32.4" x14ac:dyDescent="0.4">
      <c r="A24" s="31" t="s">
        <v>51</v>
      </c>
      <c r="B24" s="25" t="s">
        <v>349</v>
      </c>
      <c r="C24" s="25"/>
      <c r="D24" s="25" t="s">
        <v>621</v>
      </c>
      <c r="E24" s="25" t="s">
        <v>635</v>
      </c>
      <c r="F24" s="31" t="s">
        <v>15</v>
      </c>
      <c r="G24" s="31" t="s">
        <v>11</v>
      </c>
      <c r="H24" s="31"/>
      <c r="I24" s="31"/>
    </row>
    <row r="25" spans="1:9" ht="32.4" x14ac:dyDescent="0.4">
      <c r="A25" s="31" t="s">
        <v>51</v>
      </c>
      <c r="B25" s="25" t="s">
        <v>350</v>
      </c>
      <c r="C25" s="25"/>
      <c r="D25" s="25" t="s">
        <v>622</v>
      </c>
      <c r="E25" s="25" t="s">
        <v>636</v>
      </c>
      <c r="F25" s="31" t="s">
        <v>15</v>
      </c>
      <c r="G25" s="31" t="s">
        <v>11</v>
      </c>
      <c r="H25" s="31"/>
      <c r="I25" s="31"/>
    </row>
    <row r="26" spans="1:9" ht="48.6" x14ac:dyDescent="0.4">
      <c r="A26" s="31" t="s">
        <v>51</v>
      </c>
      <c r="B26" s="25" t="s">
        <v>351</v>
      </c>
      <c r="C26" s="25"/>
      <c r="D26" s="25" t="s">
        <v>623</v>
      </c>
      <c r="E26" s="25" t="s">
        <v>637</v>
      </c>
      <c r="F26" s="31" t="s">
        <v>15</v>
      </c>
      <c r="G26" s="31" t="s">
        <v>11</v>
      </c>
      <c r="H26" s="31"/>
      <c r="I26" s="31"/>
    </row>
    <row r="27" spans="1:9" x14ac:dyDescent="0.4">
      <c r="A27" s="31" t="s">
        <v>51</v>
      </c>
      <c r="B27" s="25" t="s">
        <v>352</v>
      </c>
      <c r="C27" s="25"/>
      <c r="D27" s="25" t="s">
        <v>615</v>
      </c>
      <c r="E27" s="25" t="s">
        <v>638</v>
      </c>
      <c r="F27" s="31" t="s">
        <v>15</v>
      </c>
      <c r="G27" s="31" t="s">
        <v>11</v>
      </c>
      <c r="H27" s="31"/>
      <c r="I27" s="31"/>
    </row>
    <row r="28" spans="1:9" ht="32.4" x14ac:dyDescent="0.4">
      <c r="A28" s="31" t="s">
        <v>51</v>
      </c>
      <c r="B28" s="25" t="s">
        <v>353</v>
      </c>
      <c r="C28" s="25"/>
      <c r="D28" s="25" t="s">
        <v>621</v>
      </c>
      <c r="E28" s="25" t="s">
        <v>639</v>
      </c>
      <c r="F28" s="31" t="s">
        <v>15</v>
      </c>
      <c r="G28" s="31" t="s">
        <v>11</v>
      </c>
      <c r="H28" s="31"/>
      <c r="I28" s="31"/>
    </row>
    <row r="29" spans="1:9" x14ac:dyDescent="0.4">
      <c r="A29" s="31" t="s">
        <v>51</v>
      </c>
      <c r="B29" s="25" t="s">
        <v>182</v>
      </c>
      <c r="C29" s="25"/>
      <c r="D29" s="25" t="s">
        <v>620</v>
      </c>
      <c r="E29" s="25" t="s">
        <v>641</v>
      </c>
      <c r="F29" s="31" t="s">
        <v>15</v>
      </c>
      <c r="G29" s="31" t="s">
        <v>11</v>
      </c>
      <c r="H29" s="31"/>
      <c r="I29" s="31"/>
    </row>
    <row r="30" spans="1:9" ht="32.4" x14ac:dyDescent="0.4">
      <c r="A30" s="31" t="s">
        <v>61</v>
      </c>
      <c r="B30" s="27" t="s">
        <v>349</v>
      </c>
      <c r="C30" s="27"/>
      <c r="D30" s="27" t="s">
        <v>643</v>
      </c>
      <c r="E30" s="27" t="s">
        <v>646</v>
      </c>
      <c r="F30" s="31" t="s">
        <v>15</v>
      </c>
      <c r="G30" s="31" t="s">
        <v>11</v>
      </c>
      <c r="H30" s="31"/>
      <c r="I30" s="31"/>
    </row>
    <row r="31" spans="1:9" ht="32.4" x14ac:dyDescent="0.4">
      <c r="A31" s="31" t="s">
        <v>61</v>
      </c>
      <c r="B31" s="27" t="s">
        <v>350</v>
      </c>
      <c r="C31" s="27"/>
      <c r="D31" s="27" t="s">
        <v>644</v>
      </c>
      <c r="E31" s="27" t="s">
        <v>645</v>
      </c>
      <c r="F31" s="31" t="s">
        <v>15</v>
      </c>
      <c r="G31" s="31" t="s">
        <v>11</v>
      </c>
      <c r="H31" s="31"/>
      <c r="I31" s="31"/>
    </row>
    <row r="32" spans="1:9" ht="48.6" x14ac:dyDescent="0.4">
      <c r="A32" s="31" t="s">
        <v>76</v>
      </c>
      <c r="B32" s="25" t="s">
        <v>255</v>
      </c>
      <c r="C32" s="25"/>
      <c r="D32" s="25" t="s">
        <v>647</v>
      </c>
      <c r="E32" s="25" t="s">
        <v>648</v>
      </c>
      <c r="F32" s="31" t="s">
        <v>15</v>
      </c>
      <c r="G32" s="31" t="s">
        <v>11</v>
      </c>
      <c r="H32" s="31"/>
      <c r="I32" s="31"/>
    </row>
    <row r="33" spans="1:9" ht="32.4" x14ac:dyDescent="0.4">
      <c r="A33" s="33" t="s">
        <v>659</v>
      </c>
      <c r="B33" s="34" t="s">
        <v>52</v>
      </c>
      <c r="C33" s="35" t="s">
        <v>700</v>
      </c>
      <c r="D33" s="34" t="s">
        <v>620</v>
      </c>
      <c r="E33" s="34" t="s">
        <v>682</v>
      </c>
      <c r="F33" s="33" t="s">
        <v>11</v>
      </c>
      <c r="G33" s="33" t="s">
        <v>15</v>
      </c>
      <c r="H33" s="31" t="s">
        <v>757</v>
      </c>
      <c r="I33" s="33" t="s">
        <v>612</v>
      </c>
    </row>
    <row r="34" spans="1:9" ht="32.4" x14ac:dyDescent="0.4">
      <c r="A34" s="33" t="s">
        <v>659</v>
      </c>
      <c r="B34" s="34" t="s">
        <v>56</v>
      </c>
      <c r="C34" s="34" t="s">
        <v>701</v>
      </c>
      <c r="D34" s="25" t="s">
        <v>661</v>
      </c>
      <c r="E34" s="25" t="s">
        <v>755</v>
      </c>
      <c r="F34" s="33" t="s">
        <v>11</v>
      </c>
      <c r="G34" s="33" t="s">
        <v>15</v>
      </c>
      <c r="H34" s="31" t="s">
        <v>757</v>
      </c>
      <c r="I34" s="33" t="s">
        <v>612</v>
      </c>
    </row>
    <row r="35" spans="1:9" ht="32.4" x14ac:dyDescent="0.4">
      <c r="A35" s="33" t="s">
        <v>659</v>
      </c>
      <c r="B35" s="34" t="s">
        <v>57</v>
      </c>
      <c r="C35" s="34" t="s">
        <v>702</v>
      </c>
      <c r="D35" s="25" t="s">
        <v>661</v>
      </c>
      <c r="E35" s="25" t="s">
        <v>755</v>
      </c>
      <c r="F35" s="33" t="s">
        <v>11</v>
      </c>
      <c r="G35" s="33" t="s">
        <v>15</v>
      </c>
      <c r="H35" s="31" t="s">
        <v>757</v>
      </c>
      <c r="I35" s="33" t="s">
        <v>612</v>
      </c>
    </row>
    <row r="36" spans="1:9" ht="32.4" x14ac:dyDescent="0.4">
      <c r="A36" s="33" t="s">
        <v>659</v>
      </c>
      <c r="B36" s="34" t="s">
        <v>59</v>
      </c>
      <c r="C36" s="34" t="s">
        <v>703</v>
      </c>
      <c r="D36" s="34" t="s">
        <v>661</v>
      </c>
      <c r="E36" s="25" t="s">
        <v>755</v>
      </c>
      <c r="F36" s="33" t="s">
        <v>11</v>
      </c>
      <c r="G36" s="33" t="s">
        <v>15</v>
      </c>
      <c r="H36" s="31" t="s">
        <v>757</v>
      </c>
      <c r="I36" s="33" t="s">
        <v>612</v>
      </c>
    </row>
    <row r="37" spans="1:9" ht="32.4" x14ac:dyDescent="0.4">
      <c r="A37" s="33" t="s">
        <v>659</v>
      </c>
      <c r="B37" s="34" t="s">
        <v>60</v>
      </c>
      <c r="C37" s="34" t="s">
        <v>704</v>
      </c>
      <c r="D37" s="25" t="s">
        <v>661</v>
      </c>
      <c r="E37" s="25" t="s">
        <v>755</v>
      </c>
      <c r="F37" s="33" t="s">
        <v>11</v>
      </c>
      <c r="G37" s="33" t="s">
        <v>15</v>
      </c>
      <c r="H37" s="31" t="s">
        <v>757</v>
      </c>
      <c r="I37" s="33" t="s">
        <v>612</v>
      </c>
    </row>
    <row r="38" spans="1:9" ht="32.4" x14ac:dyDescent="0.4">
      <c r="A38" s="33" t="s">
        <v>659</v>
      </c>
      <c r="B38" s="34" t="s">
        <v>64</v>
      </c>
      <c r="C38" s="34" t="s">
        <v>705</v>
      </c>
      <c r="D38" s="34" t="s">
        <v>661</v>
      </c>
      <c r="E38" s="25" t="s">
        <v>755</v>
      </c>
      <c r="F38" s="33" t="s">
        <v>11</v>
      </c>
      <c r="G38" s="33" t="s">
        <v>15</v>
      </c>
      <c r="H38" s="31" t="s">
        <v>757</v>
      </c>
      <c r="I38" s="33" t="s">
        <v>612</v>
      </c>
    </row>
    <row r="39" spans="1:9" ht="48.6" x14ac:dyDescent="0.4">
      <c r="A39" s="33" t="s">
        <v>659</v>
      </c>
      <c r="B39" s="34" t="s">
        <v>80</v>
      </c>
      <c r="C39" s="34" t="s">
        <v>706</v>
      </c>
      <c r="D39" s="34" t="s">
        <v>663</v>
      </c>
      <c r="E39" s="34" t="s">
        <v>686</v>
      </c>
      <c r="F39" s="33" t="s">
        <v>11</v>
      </c>
      <c r="G39" s="33" t="s">
        <v>15</v>
      </c>
      <c r="H39" s="31" t="s">
        <v>757</v>
      </c>
      <c r="I39" s="33" t="s">
        <v>612</v>
      </c>
    </row>
    <row r="40" spans="1:9" ht="48.6" x14ac:dyDescent="0.4">
      <c r="A40" s="33" t="s">
        <v>659</v>
      </c>
      <c r="B40" s="25" t="s">
        <v>81</v>
      </c>
      <c r="C40" s="25" t="s">
        <v>707</v>
      </c>
      <c r="D40" s="25" t="s">
        <v>663</v>
      </c>
      <c r="E40" s="25" t="s">
        <v>686</v>
      </c>
      <c r="F40" s="33" t="s">
        <v>11</v>
      </c>
      <c r="G40" s="33" t="s">
        <v>15</v>
      </c>
      <c r="H40" s="31" t="s">
        <v>757</v>
      </c>
      <c r="I40" s="33" t="s">
        <v>612</v>
      </c>
    </row>
    <row r="42" spans="1:9" x14ac:dyDescent="0.4">
      <c r="A42" s="33" t="s">
        <v>659</v>
      </c>
      <c r="B42" s="34" t="s">
        <v>113</v>
      </c>
      <c r="C42" s="34" t="s">
        <v>709</v>
      </c>
      <c r="D42" s="34" t="s">
        <v>666</v>
      </c>
      <c r="E42" s="34" t="s">
        <v>684</v>
      </c>
      <c r="F42" s="33" t="s">
        <v>11</v>
      </c>
      <c r="G42" s="33" t="s">
        <v>15</v>
      </c>
      <c r="H42" s="31" t="s">
        <v>757</v>
      </c>
      <c r="I42" s="33" t="s">
        <v>612</v>
      </c>
    </row>
    <row r="43" spans="1:9" ht="32.4" x14ac:dyDescent="0.4">
      <c r="A43" s="33" t="s">
        <v>659</v>
      </c>
      <c r="B43" s="34" t="s">
        <v>114</v>
      </c>
      <c r="C43" s="34" t="s">
        <v>710</v>
      </c>
      <c r="D43" s="25" t="s">
        <v>661</v>
      </c>
      <c r="E43" s="25" t="s">
        <v>755</v>
      </c>
      <c r="F43" s="33" t="s">
        <v>11</v>
      </c>
      <c r="G43" s="33" t="s">
        <v>15</v>
      </c>
      <c r="H43" s="31" t="s">
        <v>757</v>
      </c>
      <c r="I43" s="33" t="s">
        <v>612</v>
      </c>
    </row>
    <row r="44" spans="1:9" ht="48.6" x14ac:dyDescent="0.4">
      <c r="A44" s="33" t="s">
        <v>659</v>
      </c>
      <c r="B44" s="34" t="s">
        <v>132</v>
      </c>
      <c r="C44" s="34" t="s">
        <v>711</v>
      </c>
      <c r="D44" s="34" t="s">
        <v>688</v>
      </c>
      <c r="E44" s="34" t="s">
        <v>689</v>
      </c>
      <c r="F44" s="33" t="s">
        <v>11</v>
      </c>
      <c r="G44" s="33" t="s">
        <v>15</v>
      </c>
      <c r="H44" s="31" t="s">
        <v>757</v>
      </c>
      <c r="I44" s="33" t="s">
        <v>612</v>
      </c>
    </row>
    <row r="45" spans="1:9" ht="64.8" x14ac:dyDescent="0.4">
      <c r="A45" s="33" t="s">
        <v>659</v>
      </c>
      <c r="B45" s="34" t="s">
        <v>133</v>
      </c>
      <c r="C45" s="34" t="s">
        <v>712</v>
      </c>
      <c r="D45" s="34" t="s">
        <v>688</v>
      </c>
      <c r="E45" s="34" t="s">
        <v>756</v>
      </c>
      <c r="F45" s="33" t="s">
        <v>11</v>
      </c>
      <c r="G45" s="33" t="s">
        <v>15</v>
      </c>
      <c r="H45" s="31" t="s">
        <v>757</v>
      </c>
      <c r="I45" s="33" t="s">
        <v>612</v>
      </c>
    </row>
    <row r="46" spans="1:9" ht="64.8" x14ac:dyDescent="0.4">
      <c r="A46" s="33" t="s">
        <v>659</v>
      </c>
      <c r="B46" s="34" t="s">
        <v>137</v>
      </c>
      <c r="C46" s="34" t="s">
        <v>713</v>
      </c>
      <c r="D46" s="34" t="s">
        <v>688</v>
      </c>
      <c r="E46" s="34" t="s">
        <v>756</v>
      </c>
      <c r="F46" s="33" t="s">
        <v>11</v>
      </c>
      <c r="G46" s="33" t="s">
        <v>15</v>
      </c>
      <c r="H46" s="31" t="s">
        <v>757</v>
      </c>
      <c r="I46" s="33" t="s">
        <v>612</v>
      </c>
    </row>
    <row r="47" spans="1:9" ht="64.8" x14ac:dyDescent="0.4">
      <c r="A47" s="33" t="s">
        <v>659</v>
      </c>
      <c r="B47" s="34" t="s">
        <v>140</v>
      </c>
      <c r="C47" s="25" t="s">
        <v>714</v>
      </c>
      <c r="D47" s="34" t="s">
        <v>688</v>
      </c>
      <c r="E47" s="34" t="s">
        <v>756</v>
      </c>
      <c r="F47" s="33" t="s">
        <v>11</v>
      </c>
      <c r="G47" s="33" t="s">
        <v>15</v>
      </c>
      <c r="H47" s="31" t="s">
        <v>757</v>
      </c>
      <c r="I47" s="33" t="s">
        <v>612</v>
      </c>
    </row>
    <row r="48" spans="1:9" ht="48.6" x14ac:dyDescent="0.4">
      <c r="A48" s="33" t="s">
        <v>659</v>
      </c>
      <c r="B48" s="34" t="s">
        <v>191</v>
      </c>
      <c r="C48" s="34" t="s">
        <v>715</v>
      </c>
      <c r="D48" s="34" t="s">
        <v>663</v>
      </c>
      <c r="E48" s="34" t="s">
        <v>671</v>
      </c>
      <c r="F48" s="33" t="s">
        <v>11</v>
      </c>
      <c r="G48" s="33" t="s">
        <v>15</v>
      </c>
      <c r="H48" s="31" t="s">
        <v>757</v>
      </c>
      <c r="I48" s="33" t="s">
        <v>612</v>
      </c>
    </row>
    <row r="49" spans="1:9" ht="32.4" x14ac:dyDescent="0.4">
      <c r="A49" s="33" t="s">
        <v>659</v>
      </c>
      <c r="B49" s="34" t="s">
        <v>193</v>
      </c>
      <c r="C49" s="34" t="s">
        <v>716</v>
      </c>
      <c r="D49" s="34" t="s">
        <v>664</v>
      </c>
      <c r="E49" s="34" t="s">
        <v>672</v>
      </c>
      <c r="F49" s="33" t="s">
        <v>11</v>
      </c>
      <c r="G49" s="33" t="s">
        <v>11</v>
      </c>
      <c r="H49" s="31"/>
      <c r="I49" s="33"/>
    </row>
    <row r="50" spans="1:9" ht="32.4" x14ac:dyDescent="0.4">
      <c r="A50" s="33" t="s">
        <v>659</v>
      </c>
      <c r="B50" s="34" t="s">
        <v>194</v>
      </c>
      <c r="C50" s="35" t="s">
        <v>717</v>
      </c>
      <c r="D50" s="34" t="s">
        <v>664</v>
      </c>
      <c r="E50" s="34" t="s">
        <v>672</v>
      </c>
      <c r="F50" s="33" t="s">
        <v>11</v>
      </c>
      <c r="G50" s="33" t="s">
        <v>11</v>
      </c>
      <c r="H50" s="31"/>
      <c r="I50" s="33"/>
    </row>
    <row r="51" spans="1:9" x14ac:dyDescent="0.4">
      <c r="A51" s="33" t="s">
        <v>659</v>
      </c>
      <c r="B51" s="34" t="s">
        <v>253</v>
      </c>
      <c r="C51" s="34" t="s">
        <v>718</v>
      </c>
      <c r="D51" s="34" t="s">
        <v>660</v>
      </c>
      <c r="E51" s="34" t="s">
        <v>675</v>
      </c>
      <c r="F51" s="33" t="s">
        <v>11</v>
      </c>
      <c r="G51" s="33" t="s">
        <v>15</v>
      </c>
      <c r="H51" s="31" t="s">
        <v>757</v>
      </c>
      <c r="I51" s="33" t="s">
        <v>612</v>
      </c>
    </row>
    <row r="52" spans="1:9" x14ac:dyDescent="0.4">
      <c r="A52" s="33" t="s">
        <v>659</v>
      </c>
      <c r="B52" s="34" t="s">
        <v>280</v>
      </c>
      <c r="C52" s="34" t="s">
        <v>719</v>
      </c>
      <c r="D52" s="34" t="s">
        <v>666</v>
      </c>
      <c r="E52" s="34" t="s">
        <v>676</v>
      </c>
      <c r="F52" s="33" t="s">
        <v>11</v>
      </c>
      <c r="G52" s="33" t="s">
        <v>15</v>
      </c>
      <c r="H52" s="31" t="s">
        <v>757</v>
      </c>
      <c r="I52" s="33" t="s">
        <v>612</v>
      </c>
    </row>
    <row r="53" spans="1:9" x14ac:dyDescent="0.4">
      <c r="A53" s="33" t="s">
        <v>659</v>
      </c>
      <c r="B53" s="34" t="s">
        <v>309</v>
      </c>
      <c r="C53" s="34" t="s">
        <v>720</v>
      </c>
      <c r="D53" s="34" t="s">
        <v>667</v>
      </c>
      <c r="E53" s="34" t="s">
        <v>677</v>
      </c>
      <c r="F53" s="33" t="s">
        <v>11</v>
      </c>
      <c r="G53" s="33" t="s">
        <v>15</v>
      </c>
      <c r="H53" s="31" t="s">
        <v>757</v>
      </c>
      <c r="I53" s="33" t="s">
        <v>612</v>
      </c>
    </row>
    <row r="54" spans="1:9" x14ac:dyDescent="0.4">
      <c r="A54" s="33" t="s">
        <v>659</v>
      </c>
      <c r="B54" s="34" t="s">
        <v>310</v>
      </c>
      <c r="C54" s="36" t="s">
        <v>721</v>
      </c>
      <c r="D54" s="34" t="s">
        <v>667</v>
      </c>
      <c r="E54" s="34" t="s">
        <v>678</v>
      </c>
      <c r="F54" s="33" t="s">
        <v>11</v>
      </c>
      <c r="G54" s="33" t="s">
        <v>15</v>
      </c>
      <c r="H54" s="31" t="s">
        <v>757</v>
      </c>
      <c r="I54" s="33" t="s">
        <v>612</v>
      </c>
    </row>
    <row r="55" spans="1:9" ht="48.6" x14ac:dyDescent="0.4">
      <c r="A55" s="33" t="s">
        <v>659</v>
      </c>
      <c r="B55" s="34" t="s">
        <v>311</v>
      </c>
      <c r="C55" s="35" t="s">
        <v>722</v>
      </c>
      <c r="D55" s="34" t="s">
        <v>668</v>
      </c>
      <c r="E55" s="34" t="s">
        <v>679</v>
      </c>
      <c r="F55" s="33" t="s">
        <v>11</v>
      </c>
      <c r="G55" s="33" t="s">
        <v>15</v>
      </c>
      <c r="H55" s="31" t="s">
        <v>757</v>
      </c>
      <c r="I55" s="33" t="s">
        <v>612</v>
      </c>
    </row>
    <row r="56" spans="1:9" ht="32.4" x14ac:dyDescent="0.4">
      <c r="A56" s="33" t="s">
        <v>659</v>
      </c>
      <c r="B56" s="34" t="s">
        <v>332</v>
      </c>
      <c r="C56" s="34" t="s">
        <v>723</v>
      </c>
      <c r="D56" s="25" t="s">
        <v>661</v>
      </c>
      <c r="E56" s="25" t="s">
        <v>755</v>
      </c>
      <c r="F56" s="33" t="s">
        <v>11</v>
      </c>
      <c r="G56" s="33" t="s">
        <v>15</v>
      </c>
      <c r="H56" s="31" t="s">
        <v>757</v>
      </c>
      <c r="I56" s="33" t="s">
        <v>612</v>
      </c>
    </row>
    <row r="57" spans="1:9" ht="32.4" x14ac:dyDescent="0.4">
      <c r="A57" s="33" t="s">
        <v>659</v>
      </c>
      <c r="B57" s="34" t="s">
        <v>333</v>
      </c>
      <c r="C57" s="34" t="s">
        <v>723</v>
      </c>
      <c r="D57" s="25" t="s">
        <v>661</v>
      </c>
      <c r="E57" s="25" t="s">
        <v>755</v>
      </c>
      <c r="F57" s="33" t="s">
        <v>11</v>
      </c>
      <c r="G57" s="33" t="s">
        <v>15</v>
      </c>
      <c r="H57" s="31" t="s">
        <v>757</v>
      </c>
      <c r="I57" s="33" t="s">
        <v>612</v>
      </c>
    </row>
    <row r="58" spans="1:9" ht="32.4" x14ac:dyDescent="0.4">
      <c r="A58" s="33" t="s">
        <v>659</v>
      </c>
      <c r="B58" s="34" t="s">
        <v>339</v>
      </c>
      <c r="C58" s="34" t="s">
        <v>724</v>
      </c>
      <c r="D58" s="25" t="s">
        <v>661</v>
      </c>
      <c r="E58" s="25" t="s">
        <v>755</v>
      </c>
      <c r="F58" s="33" t="s">
        <v>11</v>
      </c>
      <c r="G58" s="33" t="s">
        <v>15</v>
      </c>
      <c r="H58" s="31" t="s">
        <v>757</v>
      </c>
      <c r="I58" s="33" t="s">
        <v>612</v>
      </c>
    </row>
    <row r="59" spans="1:9" ht="32.4" x14ac:dyDescent="0.4">
      <c r="A59" s="33" t="s">
        <v>659</v>
      </c>
      <c r="B59" s="34" t="s">
        <v>340</v>
      </c>
      <c r="C59" s="34" t="s">
        <v>725</v>
      </c>
      <c r="D59" s="25" t="s">
        <v>661</v>
      </c>
      <c r="E59" s="25" t="s">
        <v>755</v>
      </c>
      <c r="F59" s="33" t="s">
        <v>11</v>
      </c>
      <c r="G59" s="33" t="s">
        <v>15</v>
      </c>
      <c r="H59" s="31" t="s">
        <v>757</v>
      </c>
      <c r="I59" s="33" t="s">
        <v>612</v>
      </c>
    </row>
    <row r="60" spans="1:9" ht="32.4" x14ac:dyDescent="0.4">
      <c r="A60" s="33" t="s">
        <v>659</v>
      </c>
      <c r="B60" s="34" t="s">
        <v>379</v>
      </c>
      <c r="C60" s="34" t="s">
        <v>726</v>
      </c>
      <c r="D60" s="25" t="s">
        <v>661</v>
      </c>
      <c r="E60" s="25" t="s">
        <v>755</v>
      </c>
      <c r="F60" s="33" t="s">
        <v>11</v>
      </c>
      <c r="G60" s="33" t="s">
        <v>15</v>
      </c>
      <c r="H60" s="31" t="s">
        <v>757</v>
      </c>
      <c r="I60" s="33" t="s">
        <v>612</v>
      </c>
    </row>
    <row r="61" spans="1:9" x14ac:dyDescent="0.4">
      <c r="A61" s="37" t="s">
        <v>659</v>
      </c>
      <c r="B61" s="38" t="s">
        <v>440</v>
      </c>
      <c r="C61" s="38" t="s">
        <v>760</v>
      </c>
      <c r="D61" s="38" t="s">
        <v>662</v>
      </c>
      <c r="E61" s="38" t="s">
        <v>685</v>
      </c>
      <c r="F61" s="37" t="s">
        <v>11</v>
      </c>
      <c r="G61" s="37" t="s">
        <v>15</v>
      </c>
      <c r="H61" s="31" t="s">
        <v>757</v>
      </c>
      <c r="I61" s="33" t="s">
        <v>612</v>
      </c>
    </row>
    <row r="62" spans="1:9" ht="32.4" x14ac:dyDescent="0.4">
      <c r="A62" s="37" t="s">
        <v>659</v>
      </c>
      <c r="B62" s="38" t="s">
        <v>95</v>
      </c>
      <c r="C62" s="39" t="s">
        <v>761</v>
      </c>
      <c r="D62" s="38" t="s">
        <v>620</v>
      </c>
      <c r="E62" s="38" t="s">
        <v>683</v>
      </c>
      <c r="F62" s="37" t="s">
        <v>11</v>
      </c>
      <c r="G62" s="37" t="s">
        <v>15</v>
      </c>
      <c r="H62" s="31" t="s">
        <v>757</v>
      </c>
      <c r="I62" s="33" t="s">
        <v>612</v>
      </c>
    </row>
    <row r="63" spans="1:9" ht="32.4" x14ac:dyDescent="0.4">
      <c r="A63" s="37" t="s">
        <v>659</v>
      </c>
      <c r="B63" s="38" t="s">
        <v>146</v>
      </c>
      <c r="C63" s="39" t="s">
        <v>762</v>
      </c>
      <c r="D63" s="38" t="s">
        <v>662</v>
      </c>
      <c r="E63" s="38" t="s">
        <v>669</v>
      </c>
      <c r="F63" s="37" t="s">
        <v>11</v>
      </c>
      <c r="G63" s="37" t="s">
        <v>15</v>
      </c>
      <c r="H63" s="31" t="s">
        <v>757</v>
      </c>
      <c r="I63" s="33" t="s">
        <v>612</v>
      </c>
    </row>
    <row r="64" spans="1:9" ht="32.4" x14ac:dyDescent="0.4">
      <c r="A64" s="37" t="s">
        <v>659</v>
      </c>
      <c r="B64" s="38" t="s">
        <v>147</v>
      </c>
      <c r="C64" s="39" t="s">
        <v>763</v>
      </c>
      <c r="D64" s="38" t="s">
        <v>662</v>
      </c>
      <c r="E64" s="38" t="s">
        <v>669</v>
      </c>
      <c r="F64" s="37" t="s">
        <v>11</v>
      </c>
      <c r="G64" s="37" t="s">
        <v>15</v>
      </c>
      <c r="H64" s="31" t="s">
        <v>757</v>
      </c>
      <c r="I64" s="33" t="s">
        <v>612</v>
      </c>
    </row>
    <row r="65" spans="1:9" ht="32.4" x14ac:dyDescent="0.4">
      <c r="A65" s="37" t="s">
        <v>659</v>
      </c>
      <c r="B65" s="38" t="s">
        <v>154</v>
      </c>
      <c r="C65" s="39" t="s">
        <v>767</v>
      </c>
      <c r="D65" s="38" t="s">
        <v>662</v>
      </c>
      <c r="E65" s="38" t="s">
        <v>670</v>
      </c>
      <c r="F65" s="37" t="s">
        <v>11</v>
      </c>
      <c r="G65" s="37" t="s">
        <v>15</v>
      </c>
      <c r="H65" s="31" t="s">
        <v>757</v>
      </c>
      <c r="I65" s="33" t="s">
        <v>612</v>
      </c>
    </row>
    <row r="66" spans="1:9" ht="32.4" x14ac:dyDescent="0.4">
      <c r="A66" s="37" t="s">
        <v>659</v>
      </c>
      <c r="B66" s="39" t="s">
        <v>156</v>
      </c>
      <c r="C66" s="38" t="s">
        <v>768</v>
      </c>
      <c r="D66" s="38" t="s">
        <v>662</v>
      </c>
      <c r="E66" s="38" t="s">
        <v>670</v>
      </c>
      <c r="F66" s="37" t="s">
        <v>11</v>
      </c>
      <c r="G66" s="37" t="s">
        <v>15</v>
      </c>
      <c r="H66" s="31" t="s">
        <v>757</v>
      </c>
      <c r="I66" s="33" t="s">
        <v>612</v>
      </c>
    </row>
    <row r="67" spans="1:9" ht="64.8" x14ac:dyDescent="0.4">
      <c r="A67" s="37" t="s">
        <v>659</v>
      </c>
      <c r="B67" s="39" t="s">
        <v>200</v>
      </c>
      <c r="C67" s="39" t="s">
        <v>766</v>
      </c>
      <c r="D67" s="38" t="s">
        <v>665</v>
      </c>
      <c r="E67" s="38" t="s">
        <v>673</v>
      </c>
      <c r="F67" s="37" t="s">
        <v>11</v>
      </c>
      <c r="G67" s="37" t="s">
        <v>15</v>
      </c>
      <c r="H67" s="31" t="s">
        <v>757</v>
      </c>
      <c r="I67" s="33" t="s">
        <v>612</v>
      </c>
    </row>
    <row r="68" spans="1:9" x14ac:dyDescent="0.4">
      <c r="A68" s="37" t="s">
        <v>659</v>
      </c>
      <c r="B68" s="39" t="s">
        <v>246</v>
      </c>
      <c r="C68" s="38" t="s">
        <v>765</v>
      </c>
      <c r="D68" s="38" t="s">
        <v>662</v>
      </c>
      <c r="E68" s="38" t="s">
        <v>674</v>
      </c>
      <c r="F68" s="37" t="s">
        <v>11</v>
      </c>
      <c r="G68" s="37" t="s">
        <v>15</v>
      </c>
      <c r="H68" s="31" t="s">
        <v>757</v>
      </c>
      <c r="I68" s="33" t="s">
        <v>612</v>
      </c>
    </row>
    <row r="69" spans="1:9" ht="32.4" x14ac:dyDescent="0.4">
      <c r="A69" s="37" t="s">
        <v>659</v>
      </c>
      <c r="B69" s="39" t="s">
        <v>323</v>
      </c>
      <c r="C69" s="38" t="s">
        <v>764</v>
      </c>
      <c r="D69" s="38" t="s">
        <v>662</v>
      </c>
      <c r="E69" s="38" t="s">
        <v>670</v>
      </c>
      <c r="F69" s="37" t="s">
        <v>11</v>
      </c>
      <c r="G69" s="37" t="s">
        <v>15</v>
      </c>
      <c r="H69" s="31" t="s">
        <v>757</v>
      </c>
      <c r="I69" s="33" t="s">
        <v>612</v>
      </c>
    </row>
  </sheetData>
  <autoFilter ref="A1:J69" xr:uid="{206DDDB5-79F6-4132-9942-378764F443D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4D2493-E0DE-4382-AEED-2D104661F571}"/>
</file>

<file path=customXml/itemProps2.xml><?xml version="1.0" encoding="utf-8"?>
<ds:datastoreItem xmlns:ds="http://schemas.openxmlformats.org/officeDocument/2006/customXml" ds:itemID="{BD08B9EA-78A1-402B-9A17-848E2AB9FB5A}">
  <ds:schemaRefs>
    <ds:schemaRef ds:uri="http://purl.org/dc/terms/"/>
    <ds:schemaRef ds:uri="http://purl.org/dc/elements/1.1/"/>
    <ds:schemaRef ds:uri="http://schemas.openxmlformats.org/package/2006/metadata/core-properties"/>
    <ds:schemaRef ds:uri="http://purl.org/dc/dcmitype/"/>
    <ds:schemaRef ds:uri="http://schemas.microsoft.com/sharepoint/v3"/>
    <ds:schemaRef ds:uri="7b1ec8e5-5652-48eb-8550-a56a35f5f817"/>
    <ds:schemaRef ds:uri="http://schemas.microsoft.com/office/2006/documentManagement/types"/>
    <ds:schemaRef ds:uri="http://schemas.microsoft.com/office/infopath/2007/PartnerControls"/>
    <ds:schemaRef ds:uri="a9b50dc7-8f72-473c-8b7e-4a8c46ecad32"/>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3A9D5AD-5A66-43CE-BB4D-0F048F16D8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40</vt:i4>
      </vt:variant>
    </vt:vector>
  </HeadingPairs>
  <TitlesOfParts>
    <vt:vector size="47" baseType="lpstr">
      <vt:lpstr>Status</vt:lpstr>
      <vt:lpstr>PDS (old)</vt:lpstr>
      <vt:lpstr>Aux.</vt:lpstr>
      <vt:lpstr>PDS</vt:lpstr>
      <vt:lpstr>Detalhe</vt:lpstr>
      <vt:lpstr>Caderno Testes</vt:lpstr>
      <vt:lpstr>Campos IMP vs CNT</vt:lpstr>
      <vt:lpstr>'Campos IMP vs CNT'!_Hlk71900621</vt:lpstr>
      <vt:lpstr>'Campos IMP vs CNT'!_Toc164082158</vt:lpstr>
      <vt:lpstr>'Campos IMP vs CNT'!_Toc164082286</vt:lpstr>
      <vt:lpstr>'Campos IMP vs CNT'!_Toc164082298</vt:lpstr>
      <vt:lpstr>'Campos IMP vs CNT'!_Toc164082299</vt:lpstr>
      <vt:lpstr>'Campos IMP vs CNT'!_Toc164082302</vt:lpstr>
      <vt:lpstr>'Campos IMP vs CNT'!_Toc164082303</vt:lpstr>
      <vt:lpstr>'Campos IMP vs CNT'!_Toc164082304</vt:lpstr>
      <vt:lpstr>'Campos IMP vs CNT'!_Toc164082314</vt:lpstr>
      <vt:lpstr>'Campos IMP vs CNT'!_Toc164082315</vt:lpstr>
      <vt:lpstr>'Campos IMP vs CNT'!_Toc164082316</vt:lpstr>
      <vt:lpstr>'Campos IMP vs CNT'!_Toc164082319</vt:lpstr>
      <vt:lpstr>'Campos IMP vs CNT'!_Toc164082330</vt:lpstr>
      <vt:lpstr>'Campos IMP vs CNT'!_Toc164082331</vt:lpstr>
      <vt:lpstr>'Campos IMP vs CNT'!_Toc164082332</vt:lpstr>
      <vt:lpstr>'Campos IMP vs CNT'!_Toc164082333</vt:lpstr>
      <vt:lpstr>'Campos IMP vs CNT'!_Toc164082334</vt:lpstr>
      <vt:lpstr>'Campos IMP vs CNT'!_Toc164082339</vt:lpstr>
      <vt:lpstr>'Campos IMP vs CNT'!_Toc164082348</vt:lpstr>
      <vt:lpstr>'Campos IMP vs CNT'!_Toc164082349</vt:lpstr>
      <vt:lpstr>'Campos IMP vs CNT'!_Toc164082351</vt:lpstr>
      <vt:lpstr>'Campos IMP vs CNT'!_Toc164082352</vt:lpstr>
      <vt:lpstr>'Campos IMP vs CNT'!_Toc164082353</vt:lpstr>
      <vt:lpstr>'Campos IMP vs CNT'!_Toc164082359</vt:lpstr>
      <vt:lpstr>'Campos IMP vs CNT'!_Toc164082360</vt:lpstr>
      <vt:lpstr>'Campos IMP vs CNT'!_Toc164082361</vt:lpstr>
      <vt:lpstr>'Campos IMP vs CNT'!_Toc164082362</vt:lpstr>
      <vt:lpstr>'Campos IMP vs CNT'!_Toc164082363</vt:lpstr>
      <vt:lpstr>'Campos IMP vs CNT'!_Toc164082366</vt:lpstr>
      <vt:lpstr>'Campos IMP vs CNT'!_Toc164082367</vt:lpstr>
      <vt:lpstr>'Campos IMP vs CNT'!_Toc164082368</vt:lpstr>
      <vt:lpstr>'Campos IMP vs CNT'!_Toc164082369</vt:lpstr>
      <vt:lpstr>'Campos IMP vs CNT'!_Toc164082370</vt:lpstr>
      <vt:lpstr>'Campos IMP vs CNT'!_Toc164082371</vt:lpstr>
      <vt:lpstr>'Campos IMP vs CNT'!_Toc164082372</vt:lpstr>
      <vt:lpstr>'Campos IMP vs CNT'!_Toc164082373</vt:lpstr>
      <vt:lpstr>'Campos IMP vs CNT'!_Toc164082374</vt:lpstr>
      <vt:lpstr>'Campos IMP vs CNT'!_Toc164082375</vt:lpstr>
      <vt:lpstr>'Campos IMP vs CNT'!_Toc164082382</vt:lpstr>
      <vt:lpstr>'Campos IMP vs CNT'!_Toc164082383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Cristiana Serafim Stephani</dc:creator>
  <cp:keywords/>
  <dc:description/>
  <cp:lastModifiedBy>Gonçalo Mendes Baptista Filipe</cp:lastModifiedBy>
  <cp:revision/>
  <dcterms:created xsi:type="dcterms:W3CDTF">2024-05-23T09:46:15Z</dcterms:created>
  <dcterms:modified xsi:type="dcterms:W3CDTF">2025-01-29T12:02:08Z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2024-05-23T13:22:07Z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31e3cbb2-9e6e-4b62-8d7d-92b28613781b</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