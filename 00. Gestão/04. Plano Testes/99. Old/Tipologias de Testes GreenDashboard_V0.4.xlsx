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xr:revisionPtr revIDLastSave="26" documentId="11_5FB809A5CA6D1741563EF3096E0706277D9CBAE2" xr6:coauthVersionLast="47" xr6:coauthVersionMax="47" xr10:uidLastSave="{81551C2D-3984-48BD-88E2-DA1B25CC9340}"/>
  <bookViews>
    <workbookView xWindow="-120" yWindow="-16320" windowWidth="29040" windowHeight="15840" xr2:uid="{00000000-000D-0000-FFFF-FFFF00000000}"/>
  </bookViews>
  <sheets>
    <sheet name="1. Tipologias Testes GD" sheetId="1" r:id="rId1"/>
    <sheet name="2. Controlos Corporativos" sheetId="4" r:id="rId2"/>
    <sheet name="3. Plano" sheetId="6" r:id="rId3"/>
    <sheet name="Auxiliar" sheetId="3" r:id="rId4"/>
    <sheet name="Tipologias de Testes GD (2)" sheetId="2" r:id="rId5"/>
  </sheets>
  <definedNames>
    <definedName name="_xlnm._FilterDatabase" localSheetId="0" hidden="1">'1. Tipologias Testes GD'!$B$8:$E$145</definedName>
    <definedName name="_xlnm._FilterDatabase" localSheetId="1" hidden="1">'2. Controlos Corporativos'!$A$1:$K$222</definedName>
    <definedName name="_xlnm._FilterDatabase" localSheetId="2" hidden="1">'3. Plano'!$I$10:$I$11</definedName>
    <definedName name="_xlnm._FilterDatabase" localSheetId="4" hidden="1">'Tipologias de Testes GD (2)'!$B$8:$E$58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I25" i="1" l="1"/>
  <c r="I26" i="1"/>
  <c r="I149" i="1"/>
  <c r="I148" i="1"/>
  <c r="I147" i="1"/>
  <c r="I146" i="1"/>
  <c r="I145" i="1"/>
  <c r="I144" i="1"/>
  <c r="I143" i="1"/>
  <c r="I141" i="1"/>
  <c r="I139" i="1"/>
  <c r="I136" i="1"/>
  <c r="I133" i="1"/>
  <c r="I130" i="1"/>
  <c r="I127" i="1"/>
  <c r="I124" i="1"/>
  <c r="I122" i="1"/>
  <c r="I119" i="1"/>
  <c r="I116" i="1"/>
  <c r="I113" i="1"/>
  <c r="I111" i="1"/>
  <c r="I108" i="1"/>
  <c r="I105" i="1"/>
  <c r="I102" i="1"/>
  <c r="I99" i="1"/>
  <c r="I96" i="1"/>
  <c r="I93" i="1"/>
  <c r="I92" i="1"/>
  <c r="I90" i="1"/>
  <c r="I89" i="1"/>
  <c r="I88" i="1"/>
  <c r="I87" i="1"/>
  <c r="I85" i="1"/>
  <c r="I84" i="1"/>
  <c r="I82" i="1"/>
  <c r="I81" i="1"/>
  <c r="I80" i="1"/>
  <c r="I79" i="1"/>
  <c r="I78" i="1"/>
  <c r="I76" i="1"/>
  <c r="I75" i="1"/>
  <c r="I74" i="1"/>
  <c r="I73" i="1"/>
  <c r="I72" i="1"/>
  <c r="I70" i="1"/>
  <c r="I69" i="1"/>
  <c r="I68" i="1"/>
  <c r="I67" i="1"/>
  <c r="I65" i="1"/>
  <c r="I64" i="1"/>
  <c r="I63" i="1"/>
  <c r="I62" i="1"/>
  <c r="I61" i="1"/>
  <c r="I60"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3" i="1"/>
  <c r="I22" i="1"/>
  <c r="I21" i="1"/>
  <c r="I20" i="1"/>
  <c r="I19" i="1"/>
  <c r="I18" i="1"/>
  <c r="I17" i="1"/>
  <c r="I16" i="1"/>
  <c r="I15" i="1"/>
  <c r="I14" i="1"/>
  <c r="I13" i="1"/>
  <c r="I12" i="1"/>
  <c r="I11" i="1"/>
  <c r="I10" i="1"/>
  <c r="I9" i="1"/>
  <c r="J56" i="1"/>
  <c r="J57" i="1" s="1"/>
  <c r="J58" i="1" s="1"/>
  <c r="J52" i="1"/>
  <c r="J53" i="1" s="1"/>
  <c r="J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I150" i="1"/>
  <c r="I151" i="1" s="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<sst xmlns="http://schemas.openxmlformats.org/spreadsheetml/2006/main" count="3092" uniqueCount="639">
  <si>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</si>
  <si>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</si>
  <si>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</si>
  <si>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</si>
  <si>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</si>
  <si>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</si>
  <si>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</si>
  <si>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</si>
  <si>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</si>
  <si>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</si>
  <si>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</si>
  <si>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</si>
  <si>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</si>
  <si>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</si>
  <si>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</si>
  <si>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</si>
  <si>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</si>
  <si>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</si>
  <si>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</si>
  <si>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</si>
  <si>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</si>
  <si>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</si>
  <si>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</si>
  <si>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</si>
  <si>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</si>
  <si>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</si>
  <si>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</si>
  <si>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</si>
  <si>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</si>
  <si>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</si>
  <si>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</si>
  <si>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</si>
  <si>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</si>
  <si>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</si>
  <si>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</si>
  <si>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</si>
  <si>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</si>
  <si>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</si>
  <si>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</si>
  <si>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</si>
  <si>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</si>
  <si>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</si>
  <si>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</si>
  <si>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</si>
  <si>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</si>
  <si>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</si>
  <si>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</si>
  <si>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</si>
  <si>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</si>
  <si>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</si>
  <si>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</si>
  <si>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</si>
  <si>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</si>
  <si>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</si>
  <si>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</si>
  <si>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</si>
  <si>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</si>
  <si>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</si>
  <si>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</si>
  <si>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</si>
  <si>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</si>
  <si>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</si>
  <si>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</si>
  <si>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</si>
  <si>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</si>
  <si>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</si>
  <si>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</si>
  <si>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</si>
  <si>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</si>
  <si>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</si>
  <si>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</si>
  <si>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</si>
  <si>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</si>
  <si>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</si>
  <si>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</si>
  <si>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</si>
  <si>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</si>
  <si>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</si>
  <si>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</si>
  <si>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</si>
  <si>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</si>
  <si>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</si>
  <si>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</si>
  <si>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</si>
  <si>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</si>
  <si>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</si>
  <si>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</si>
  <si>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</si>
  <si>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</si>
  <si>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</si>
  <si>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</si>
  <si>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</si>
  <si>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</si>
  <si>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</si>
  <si>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</si>
  <si>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</si>
  <si>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</si>
  <si>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</si>
  <si>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</si>
  <si>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</si>
  <si>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</si>
  <si>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</si>
  <si>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</si>
  <si>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</si>
  <si>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</si>
  <si>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</si>
  <si>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</si>
  <si>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</si>
  <si>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</si>
  <si>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</si>
  <si>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</si>
  <si>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</si>
  <si>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</si>
  <si>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</si>
  <si>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</si>
  <si>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</si>
  <si>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</si>
  <si>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</si>
  <si>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</si>
  <si>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</si>
  <si>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</si>
  <si>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</si>
  <si>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</si>
  <si>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</si>
  <si>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</si>
  <si>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</si>
  <si>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</si>
  <si>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</si>
  <si>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</si>
  <si>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</si>
  <si>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</si>
  <si>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</si>
  <si>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</si>
  <si>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</si>
  <si>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</si>
  <si>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</si>
  <si>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</si>
  <si>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</si>
  <si>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</si>
  <si>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</si>
  <si>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</si>
  <si>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</si>
  <si>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</si>
  <si>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</si>
  <si>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</si>
  <si>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</si>
  <si>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</si>
  <si>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</si>
  <si>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</si>
  <si>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</si>
  <si>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</si>
  <si>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</si>
  <si>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</si>
  <si>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</si>
  <si>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</si>
  <si>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</si>
  <si>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</si>
  <si>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</si>
  <si>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</si>
  <si>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</si>
  <si>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</si>
  <si>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</si>
  <si>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</si>
  <si>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</si>
  <si>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</si>
  <si>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</si>
  <si>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</si>
  <si>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</si>
  <si>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</si>
  <si>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</si>
  <si>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</si>
  <si>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</si>
  <si>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</si>
  <si>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</si>
  <si>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</si>
  <si>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</si>
  <si>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</si>
  <si>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</si>
  <si>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</si>
  <si>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</si>
  <si>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</si>
  <si>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</si>
  <si>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</si>
  <si>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</si>
  <si>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</si>
  <si>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</si>
  <si>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</si>
  <si>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</si>
  <si>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</si>
  <si>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</si>
  <si>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</si>
  <si>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</si>
  <si>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</si>
  <si>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</si>
  <si>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</si>
  <si>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</si>
  <si>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</si>
  <si>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</si>
  <si>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</si>
  <si>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</si>
  <si>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</si>
  <si>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</si>
  <si>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</si>
  <si>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</si>
  <si>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</si>
  <si>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</si>
  <si>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</si>
  <si>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</si>
  <si>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</si>
  <si>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</si>
  <si>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</si>
  <si>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</si>
  <si>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</si>
  <si>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</si>
  <si>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</si>
  <si>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</si>
  <si>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</si>
  <si>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</si>
  <si>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</si>
  <si>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</si>
  <si>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</si>
  <si>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</si>
  <si>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</si>
  <si>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</si>
  <si>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</si>
  <si>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</si>
  <si>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</si>
  <si>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</si>
  <si>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</si>
  <si>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</si>
  <si>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</si>
  <si>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</si>
  <si>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</si>
  <si>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</si>
  <si>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</si>
  <si>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</si>
  <si>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</si>
  <si>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</si>
  <si>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</si>
  <si>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</si>
  <si>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</si>
  <si>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</si>
  <si>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</si>
  <si>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</si>
  <si>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</si>
  <si>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</si>
  <si>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</si>
  <si>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</si>
  <si>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</si>
  <si>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</si>
  <si>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</si>
  <si>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</si>
  <si>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</si>
  <si>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</si>
  <si>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</si>
  <si>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</si>
  <si>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</si>
  <si>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</si>
  <si>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</si>
  <si>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</si>
  <si>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</si>
  <si>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</si>
  <si>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</si>
  <si>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</si>
  <si>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</si>
  <si>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</si>
  <si>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</si>
  <si>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</si>
  <si>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</si>
  <si>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</si>
  <si>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</si>
  <si>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</si>
  <si>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</si>
  <si>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</si>
  <si>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</si>
  <si>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</si>
  <si>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</si>
  <si>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</si>
  <si>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</si>
  <si>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</si>
  <si>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</si>
  <si>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</si>
  <si>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</si>
  <si>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</si>
  <si>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</si>
  <si>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</si>
  <si>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</si>
  <si>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</si>
  <si>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</si>
  <si>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</si>
  <si>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</si>
  <si>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</si>
  <si>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</si>
  <si>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</si>
  <si>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</si>
  <si>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</si>
  <si>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</si>
  <si>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</si>
  <si>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</si>
  <si>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</si>
  <si>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</si>
  <si>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</si>
  <si>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</si>
  <si>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</si>
  <si>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</si>
  <si>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</si>
  <si>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</si>
  <si>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</si>
  <si>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</si>
  <si>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</si>
  <si>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</si>
  <si>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</si>
  <si>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</si>
  <si>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</si>
  <si>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</si>
  <si>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</si>
  <si>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</si>
  <si>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</si>
  <si>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</si>
  <si>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</si>
  <si>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</si>
  <si>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</si>
  <si>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</si>
  <si>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</si>
  <si>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</si>
  <si>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</si>
  <si>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</si>
  <si>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</si>
  <si>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</si>
  <si>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</si>
  <si>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</si>
  <si>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</si>
  <si>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</si>
  <si>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</si>
  <si>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</si>
  <si>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</si>
  <si>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</si>
  <si>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</si>
  <si>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</si>
  <si>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</si>
  <si>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</si>
  <si>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</si>
  <si>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</si>
  <si>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</si>
  <si>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</si>
  <si>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</si>
  <si>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</si>
  <si>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</si>
  <si>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</si>
  <si>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</si>
  <si>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</si>
  <si>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</si>
  <si>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</si>
  <si>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</si>
  <si>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</si>
  <si>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</si>
  <si>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</si>
  <si>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</si>
  <si>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</si>
  <si>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</si>
  <si>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</si>
  <si>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</si>
  <si>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</si>
  <si>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</si>
  <si>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</si>
  <si>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</si>
  <si>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</si>
  <si>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</si>
  <si>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</si>
  <si>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</si>
  <si>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</si>
  <si>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</si>
  <si>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</si>
  <si>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</si>
  <si>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</si>
  <si>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</si>
  <si>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</si>
  <si>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</si>
  <si>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</si>
  <si>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</si>
  <si>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</si>
  <si>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</si>
  <si>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</si>
  <si>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</si>
  <si>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</si>
  <si>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</si>
  <si>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</si>
  <si>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</si>
  <si>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</si>
  <si>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</si>
  <si>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</si>
  <si>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</si>
  <si>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</si>
  <si>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</si>
  <si>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</si>
  <si>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</si>
  <si>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</si>
  <si>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</si>
  <si>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</si>
  <si>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</si>
  <si>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</si>
  <si>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</si>
  <si>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</si>
  <si>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</si>
  <si>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</si>
  <si>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</si>
  <si>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</si>
  <si>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</si>
  <si>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</si>
  <si>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</si>
  <si>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</si>
  <si>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</si>
  <si>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</si>
  <si>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</si>
  <si>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</si>
  <si>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</si>
  <si>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</si>
  <si>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</si>
  <si>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</si>
  <si>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</si>
  <si>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</si>
  <si>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</si>
  <si>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</si>
  <si>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</si>
  <si>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</si>
  <si>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</si>
  <si>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</si>
  <si>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</si>
  <si>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</si>
  <si>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</si>
  <si>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</si>
  <si>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</si>
  <si>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</si>
  <si>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</si>
  <si>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</si>
  <si>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</si>
  <si>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</si>
  <si>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</si>
  <si>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</si>
  <si>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</si>
  <si>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</si>
  <si>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</si>
  <si>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</si>
  <si>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</si>
  <si>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</si>
  <si>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</si>
  <si>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</si>
  <si>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</si>
  <si>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</si>
  <si>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</si>
  <si>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</si>
  <si>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</si>
  <si>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</si>
  <si>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</si>
  <si>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</si>
  <si>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</si>
  <si>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</si>
  <si>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</si>
  <si>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</si>
  <si>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</si>
  <si>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</si>
  <si>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</si>
  <si>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</si>
  <si>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</si>
  <si>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</si>
  <si>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</si>
  <si>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</si>
  <si>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</si>
  <si>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</si>
  <si>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</si>
  <si>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</si>
  <si>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</si>
  <si>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</si>
  <si>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</si>
  <si>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</si>
  <si>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</si>
  <si>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</si>
  <si>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</si>
  <si>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</si>
  <si>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</si>
  <si>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</si>
  <si>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</si>
  <si>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</si>
  <si>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</si>
  <si>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</si>
  <si>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</si>
  <si>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</si>
  <si>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</si>
  <si>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</si>
  <si>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</si>
  <si>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</si>
  <si>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</si>
  <si>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</si>
  <si>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</si>
  <si>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</si>
  <si>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</si>
  <si>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</si>
  <si>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</si>
  <si>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</si>
  <si>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</si>
  <si>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</si>
  <si>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</si>
  <si>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</si>
  <si>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</si>
  <si>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</si>
  <si>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</si>
  <si>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</si>
  <si>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</si>
  <si>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</si>
  <si>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</si>
  <si>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</si>
  <si>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</si>
  <si>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</si>
  <si>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</si>
  <si>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</si>
  <si>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</si>
  <si>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</si>
  <si>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</si>
  <si>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</si>
  <si>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</si>
  <si>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</si>
  <si>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</si>
  <si>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</si>
  <si>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</si>
  <si>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</si>
  <si>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</si>
  <si>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</si>
  <si>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</si>
  <si>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</si>
  <si>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</si>
  <si>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</si>
  <si>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</si>
  <si>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</si>
  <si>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</si>
  <si>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</si>
  <si>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</si>
  <si>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</si>
  <si>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</si>
  <si>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</si>
  <si>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</si>
  <si>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</si>
  <si>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</si>
  <si>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</si>
  <si>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</si>
  <si>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</si>
  <si>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</si>
  <si>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</si>
  <si>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</si>
  <si>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</si>
  <si>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</si>
  <si>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</si>
  <si>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</si>
  <si>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</si>
  <si>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</si>
  <si>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</si>
  <si>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</si>
  <si>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</si>
  <si>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</si>
  <si>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</si>
  <si>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</si>
  <si>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</si>
  <si>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</si>
  <si>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</si>
  <si>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</si>
  <si>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</si>
  <si>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</si>
  <si>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</si>
  <si>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</si>
  <si>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</si>
  <si>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</si>
  <si>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</si>
  <si>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</si>
  <si>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</si>
  <si>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</si>
  <si>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</si>
  <si>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</si>
  <si>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</si>
  <si>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</si>
  <si>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</si>
  <si>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</si>
  <si>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</si>
  <si>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</si>
  <si>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</si>
  <si>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</si>
  <si>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</si>
  <si>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</si>
  <si>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</si>
  <si>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</si>
  <si>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</si>
  <si>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</si>
  <si>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</si>
  <si>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</si>
  <si>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</si>
  <si>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</si>
  <si>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</si>
  <si>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</si>
  <si>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</si>
  <si>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</si>
  <si>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</si>
  <si>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</si>
  <si>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</si>
  <si>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1. Validação de universo de contratos quando comparado âmbito "CDG" e "PM"
2. Controlos sobre o desdobramento de chaves nas relações FR-MIS</t>
  </si>
  <si>
    <t>Validar controlos corporativos e se a especificação cumpre os requisitos.</t>
  </si>
  <si>
    <t>6. Validação de formatos</t>
  </si>
  <si>
    <t>7. Validação de controlos corporativos</t>
  </si>
  <si>
    <t>Validação de formato de acordo com o que é esperado pela Corporação (incluindo validação de codelists, missing e default values)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</si>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</sst>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numFmts>
  <fonts count="27"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ont>
    <font>
      <sz val="11"/>
      <color rgb="FF000000"/>
      <name val="Santander Text"/>
    </font>
    <font>
      <b/>
      <sz val="12"/>
      <color theme="0"/>
      <name val="Arial"/>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86">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 fillId="0" borderId="5" xfId="0" applyFont="1" applyBorder="1" applyAlignment="1">
      <alignment vertical="center"/>
    </xf>
    <xf numFmtId="0" fontId="2" fillId="0" borderId="5" xfId="0" applyFont="1" applyBorder="1" applyAlignment="1">
      <alignment wrapText="1"/>
    </xf>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cellXfs>
  <cellStyles count="4">
    <cellStyle name="Normal" xfId="0" builtinId="0"/>
    <cellStyle name="Normal 2" xfId="3" xr:uid="{00000000-0005-0000-0000-000001000000}"/>
    <cellStyle name="Normal 3" xfId="2" xr:uid="{00000000-0005-0000-0000-000002000000}"/>
    <cellStyle name="Percent" xfId="1" builtinId="5"/>
  </cellStyles>
  <dxfs count="59">
    <dxf>
      <font>
        <b/>
        <i val="0"/>
        <strike val="0"/>
        <condense val="0"/>
        <extend val="0"/>
        <outline val="0"/>
        <shadow val="0"/>
        <u val="none"/>
        <vertAlign val="baseline"/>
        <sz val="12"/>
        <color theme="0"/>
        <name val="Santander Text"/>
        <family val="2"/>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numFmt numFmtId="0" formatCode="Genera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numFmt numFmtId="0" formatCode="Genera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78531EFF-FBE3-4545-8EB3-C1616219AE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406969</xdr:colOff>
      <xdr:row>3</xdr:row>
      <xdr:rowOff>57298</xdr:rowOff>
    </xdr:to>
    <xdr:pic>
      <xdr:nvPicPr>
        <xdr:cNvPr id="5" name="Graphic 267">
          <a:extLst>
            <a:ext uri="{FF2B5EF4-FFF2-40B4-BE49-F238E27FC236}">
              <a16:creationId xmlns:a16="http://schemas.microsoft.com/office/drawing/2014/main" id="{68E21318-8154-4CA3-85DC-81F87A6A3B90}"/>
            </a:ext>
          </a:extLst>
        </xdr:cNvPr>
        <xdr:cNvPicPr>
          <a:picLocks noChangeAspect="1"/>
        </xdr:cNvPicPr>
      </xdr:nvPicPr>
      <xdr:blipFill>
        <a:blip xmlns:r="http://schemas.openxmlformats.org/officeDocument/2006/relationships" r:embed="rId3"/>
        <a:stretch>
          <a:fillRect/>
        </a:stretch>
      </xdr:blipFill>
      <xdr:spPr>
        <a:xfrm>
          <a:off x="1579803" y="212912"/>
          <a:ext cx="933872" cy="415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29C793B6-D673-42BC-A254-5300F42FE8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8D719AE8-5A5A-440E-8F79-C8F1D135C20B}"/>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J150" totalsRowCount="1" headerRowDxfId="0" dataDxfId="57" headerRowBorderDxfId="58" tableBorderDxfId="56" totalsRowBorderDxfId="55">
  <autoFilter ref="B8:J149" xr:uid="{00000000-0009-0000-0100-000001000000}"/>
  <tableColumns count="9">
    <tableColumn id="1" xr3:uid="{00000000-0010-0000-0000-000001000000}" name="Âmbito" dataDxfId="54" totalsRowDxfId="53"/>
    <tableColumn id="2" xr3:uid="{00000000-0010-0000-0000-000002000000}" name="Origem" dataDxfId="52" totalsRowDxfId="51"/>
    <tableColumn id="3" xr3:uid="{00000000-0010-0000-0000-000003000000}" name="Campo" dataDxfId="50" totalsRowDxfId="49"/>
    <tableColumn id="4" xr3:uid="{00000000-0010-0000-0000-000004000000}" name="Status" dataDxfId="48" totalsRowDxfId="47"/>
    <tableColumn id="6" xr3:uid="{00000000-0010-0000-0000-000006000000}" name="Tipologia_Testes" dataDxfId="46" totalsRowDxfId="45"/>
    <tableColumn id="10" xr3:uid="{00000000-0010-0000-0000-00000A000000}" name="Necessidade de re-especificação? (campo)" dataDxfId="44" totalsRowDxfId="43"/>
    <tableColumn id="9" xr3:uid="{00000000-0010-0000-0000-000009000000}" name="Complexidade" dataDxfId="42" totalsRowDxfId="41"/>
    <tableColumn id="8" xr3:uid="{00000000-0010-0000-0000-000008000000}" name="Estimação (horas)" totalsRowFunction="custom" dataDxfId="40" totalsRowDxfId="39">
      <calculatedColumnFormula>INDEX(Auxiliar!$D$5:$F$11,MATCH(Table1[[#This Row],[Tipologia_Testes]],Auxiliar!$B$5:$B$11,0),MATCH(Table1[[#This Row],[Complexidade]],Auxiliar!$D$4:$F$4,0))</calculatedColumnFormula>
      <totalsRowFormula>SUMIF(Table1[Estimação (horas)],"&gt;0")</totalsRowFormula>
    </tableColumn>
    <tableColumn id="7" xr3:uid="{00000000-0010-0000-0000-000007000000}" name="Notas" dataDxfId="38" totalsRowDxfId="37"/>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10:I61" headerRowDxfId="36" dataDxfId="34" headerRowBorderDxfId="35" tableBorderDxfId="33" totalsRowBorderDxfId="32">
  <autoFilter ref="B10:I61" xr:uid="{00000000-0009-0000-0100-000002000000}">
    <filterColumn colId="3">
      <filters blank="1">
        <filter val="Em Correção"/>
        <filter val="Em Teste"/>
      </filters>
    </filterColumn>
  </autoFilter>
  <tableColumns count="8">
    <tableColumn id="1" xr3:uid="{00000000-0010-0000-0100-000001000000}" name="Âmbito" dataDxfId="31" totalsRowDxfId="30"/>
    <tableColumn id="2" xr3:uid="{00000000-0010-0000-0100-000002000000}" name="Origem" dataDxfId="29" totalsRowDxfId="28"/>
    <tableColumn id="3" xr3:uid="{00000000-0010-0000-0100-000003000000}" name="Campo" dataDxfId="27" totalsRowDxfId="26"/>
    <tableColumn id="4" xr3:uid="{00000000-0010-0000-0100-000004000000}" name="Status" dataDxfId="25" totalsRowDxfId="24"/>
    <tableColumn id="6" xr3:uid="{00000000-0010-0000-0100-000006000000}" name="Total Horas" dataDxfId="23" totalsRowDxfId="22">
      <calculatedColumnFormula>IF(Table13[[#This Row],[Status]]="Concluído",0,(SUMIFS(Table1[Estimação (horas)],Table1[Campo],Table13[[#This Row],[Campo]])))</calculatedColumnFormula>
    </tableColumn>
    <tableColumn id="7" xr3:uid="{00000000-0010-0000-0100-000007000000}" name="Column1" dataDxfId="21" totalsRowDxfId="20">
      <calculatedColumnFormula>Table13[[#This Row],[Total Horas]]/8</calculatedColumnFormula>
    </tableColumn>
    <tableColumn id="5" xr3:uid="{00000000-0010-0000-0100-000005000000}" name="Validação" dataDxfId="19" totalsRowDxfId="18">
      <calculatedColumnFormula>ROUND(Table13[[#This Row],[Column1]]-SUM(L11:BB11),2)</calculatedColumnFormula>
    </tableColumn>
    <tableColumn id="8" xr3:uid="{00000000-0010-0000-0100-000008000000}" name="Ordem" dataDxfId="17" totalsRowDxfId="16"/>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53"/>
  <sheetViews>
    <sheetView showGridLines="0" tabSelected="1" zoomScale="85" zoomScaleNormal="85" workbookViewId="0">
      <selection activeCell="B8" sqref="B8"/>
    </sheetView>
  </sheetViews>
  <sheetFormatPr defaultRowHeight="14.4" x14ac:dyDescent="0.3"/>
  <cols>
    <col min="1" max="1" width="2.77734375" customWidth="1"/>
    <col min="2" max="2" width="13.6640625" bestFit="1" customWidth="1"/>
    <col min="3" max="3" width="14.33203125" bestFit="1" customWidth="1"/>
    <col min="4" max="4" width="48.21875" bestFit="1" customWidth="1"/>
    <col min="5" max="5" width="12.21875" bestFit="1" customWidth="1"/>
    <col min="6" max="6" width="51.33203125" bestFit="1" customWidth="1"/>
    <col min="7" max="7" width="52.109375" bestFit="1" customWidth="1"/>
    <col min="8" max="8" width="20.77734375" customWidth="1"/>
    <col min="9" max="9" width="24.5546875" bestFit="1" customWidth="1"/>
    <col min="10" max="10" width="100.77734375" customWidth="1"/>
    <col min="11" max="11" width="10.77734375" customWidth="1"/>
    <col min="12" max="12" width="20.77734375" customWidth="1"/>
    <col min="13" max="13" width="33.5546875" customWidth="1"/>
    <col min="14" max="15" width="5.77734375" customWidth="1"/>
  </cols>
  <sheetData>
    <row r="1" spans="1:38" ht="16.2" customHeight="1" x14ac:dyDescent="0.3">
      <c r="Z1" s="26"/>
      <c r="AA1" s="26"/>
      <c r="AB1" s="26"/>
      <c r="AC1" s="26"/>
      <c r="AD1" s="26"/>
      <c r="AE1" s="26"/>
      <c r="AF1" s="26"/>
      <c r="AG1" s="26"/>
      <c r="AH1" s="26"/>
      <c r="AI1" s="26"/>
      <c r="AL1" s="26"/>
    </row>
    <row r="2" spans="1:38"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1"/>
      <c r="AB2" s="21"/>
      <c r="AC2" s="21"/>
      <c r="AD2" s="21"/>
      <c r="AE2" s="21"/>
      <c r="AF2" s="21"/>
      <c r="AG2" s="21"/>
      <c r="AH2" s="21"/>
      <c r="AI2" s="21"/>
      <c r="AJ2" s="21"/>
      <c r="AK2" s="21"/>
      <c r="AL2" s="21"/>
    </row>
    <row r="3" spans="1:38" x14ac:dyDescent="0.3">
      <c r="A3" s="25"/>
      <c r="B3" s="25"/>
      <c r="C3" s="25"/>
      <c r="D3" s="25"/>
      <c r="E3" s="25"/>
      <c r="F3" s="24"/>
      <c r="G3" s="24"/>
      <c r="H3" s="24"/>
      <c r="I3" s="24"/>
      <c r="J3" s="24"/>
      <c r="K3" s="24"/>
      <c r="L3" s="24"/>
      <c r="M3" s="24"/>
      <c r="N3" s="23"/>
      <c r="O3" s="23"/>
      <c r="P3" s="23"/>
      <c r="Q3" s="23"/>
      <c r="R3" s="23"/>
      <c r="S3" s="23"/>
      <c r="T3" s="23"/>
      <c r="U3" s="23"/>
      <c r="V3" s="23"/>
      <c r="W3" s="23"/>
      <c r="X3" s="23"/>
      <c r="Y3" s="23"/>
      <c r="Z3" s="23"/>
      <c r="AA3" s="21"/>
      <c r="AB3" s="21"/>
      <c r="AC3" s="21"/>
      <c r="AD3" s="21"/>
      <c r="AE3" s="21"/>
      <c r="AF3" s="21"/>
      <c r="AG3" s="21"/>
      <c r="AH3" s="21"/>
      <c r="AI3" s="21"/>
      <c r="AJ3" s="21"/>
      <c r="AK3" s="21"/>
      <c r="AL3" s="21"/>
    </row>
    <row r="4" spans="1:38"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1"/>
      <c r="AB4" s="21"/>
      <c r="AC4" s="21"/>
      <c r="AD4" s="21"/>
      <c r="AE4" s="21"/>
      <c r="AF4" s="21"/>
      <c r="AG4" s="21"/>
      <c r="AH4" s="21"/>
      <c r="AI4" s="21"/>
      <c r="AJ4" s="21"/>
      <c r="AK4" s="21"/>
      <c r="AL4" s="21"/>
    </row>
    <row r="5" spans="1:38"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8" spans="1:38" ht="15" customHeight="1" x14ac:dyDescent="0.5">
      <c r="B8" s="83" t="s">
        <v>85</v>
      </c>
      <c r="C8" s="84" t="s">
        <v>81</v>
      </c>
      <c r="D8" s="84" t="s">
        <v>80</v>
      </c>
      <c r="E8" s="85" t="s">
        <v>79</v>
      </c>
      <c r="F8" s="84" t="s">
        <v>89</v>
      </c>
      <c r="G8" s="84" t="s">
        <v>625</v>
      </c>
      <c r="H8" s="84" t="s">
        <v>609</v>
      </c>
      <c r="I8" s="84" t="s">
        <v>607</v>
      </c>
      <c r="J8" s="84" t="s">
        <v>596</v>
      </c>
    </row>
    <row r="9" spans="1:38" ht="17.399999999999999" x14ac:dyDescent="0.45">
      <c r="B9" s="29" t="s">
        <v>84</v>
      </c>
      <c r="C9" s="14" t="s">
        <v>86</v>
      </c>
      <c r="D9" s="14" t="s">
        <v>87</v>
      </c>
      <c r="E9" s="41"/>
      <c r="F9" s="33" t="s">
        <v>593</v>
      </c>
      <c r="G9" s="33" t="s">
        <v>619</v>
      </c>
      <c r="H9" s="33" t="s">
        <v>612</v>
      </c>
      <c r="I9" s="33">
        <f>INDEX(Auxiliar!$D$5:$F$11,MATCH(Table1[[#This Row],[Tipologia_Testes]],Auxiliar!$B$5:$B$11,0),MATCH(Table1[[#This Row],[Complexidade]],Auxiliar!$D$4:$F$4,0))</f>
        <v>8</v>
      </c>
      <c r="J9" s="33"/>
    </row>
    <row r="10" spans="1:38" ht="17.399999999999999" x14ac:dyDescent="0.45">
      <c r="B10" s="29" t="s">
        <v>84</v>
      </c>
      <c r="C10" s="14" t="s">
        <v>4</v>
      </c>
      <c r="D10" s="14" t="s">
        <v>74</v>
      </c>
      <c r="E10" s="15" t="s">
        <v>82</v>
      </c>
      <c r="F10" s="33" t="s">
        <v>594</v>
      </c>
      <c r="G10" s="33" t="s">
        <v>619</v>
      </c>
      <c r="H10" s="33" t="s">
        <v>612</v>
      </c>
      <c r="I10" s="33">
        <f>INDEX(Auxiliar!$D$5:$F$11,MATCH(Table1[[#This Row],[Tipologia_Testes]],Auxiliar!$B$5:$B$11,0),MATCH(Table1[[#This Row],[Complexidade]],Auxiliar!$D$4:$F$4,0))</f>
        <v>8</v>
      </c>
      <c r="J10" s="3"/>
    </row>
    <row r="11" spans="1:38" ht="17.399999999999999" x14ac:dyDescent="0.45">
      <c r="B11" s="29" t="s">
        <v>84</v>
      </c>
      <c r="C11" s="14" t="s">
        <v>4</v>
      </c>
      <c r="D11" s="14" t="s">
        <v>74</v>
      </c>
      <c r="E11" s="15" t="s">
        <v>82</v>
      </c>
      <c r="F11" s="33" t="s">
        <v>600</v>
      </c>
      <c r="G11" s="33" t="s">
        <v>619</v>
      </c>
      <c r="H11" s="33" t="s">
        <v>612</v>
      </c>
      <c r="I11" s="33">
        <f>INDEX(Auxiliar!$D$5:$F$11,MATCH(Table1[[#This Row],[Tipologia_Testes]],Auxiliar!$B$5:$B$11,0),MATCH(Table1[[#This Row],[Complexidade]],Auxiliar!$D$4:$F$4,0))</f>
        <v>8</v>
      </c>
      <c r="J11" s="3"/>
    </row>
    <row r="12" spans="1:38" ht="17.399999999999999" x14ac:dyDescent="0.45">
      <c r="B12" s="29" t="s">
        <v>84</v>
      </c>
      <c r="C12" s="14" t="s">
        <v>4</v>
      </c>
      <c r="D12" s="14" t="s">
        <v>74</v>
      </c>
      <c r="E12" s="15" t="s">
        <v>82</v>
      </c>
      <c r="F12" s="33" t="s">
        <v>595</v>
      </c>
      <c r="G12" s="33" t="s">
        <v>619</v>
      </c>
      <c r="H12" s="33" t="s">
        <v>612</v>
      </c>
      <c r="I12" s="33">
        <f>INDEX(Auxiliar!$D$5:$F$11,MATCH(Table1[[#This Row],[Tipologia_Testes]],Auxiliar!$B$5:$B$11,0),MATCH(Table1[[#This Row],[Complexidade]],Auxiliar!$D$4:$F$4,0))</f>
        <v>8</v>
      </c>
      <c r="J12" s="3" t="s">
        <v>621</v>
      </c>
    </row>
    <row r="13" spans="1:38" ht="17.399999999999999" x14ac:dyDescent="0.45">
      <c r="B13" s="29" t="s">
        <v>84</v>
      </c>
      <c r="C13" s="14" t="s">
        <v>4</v>
      </c>
      <c r="D13" s="14" t="s">
        <v>74</v>
      </c>
      <c r="E13" s="15" t="s">
        <v>82</v>
      </c>
      <c r="F13" s="33" t="s">
        <v>603</v>
      </c>
      <c r="G13" s="33" t="s">
        <v>619</v>
      </c>
      <c r="H13" s="33" t="s">
        <v>612</v>
      </c>
      <c r="I13" s="33">
        <f>INDEX(Auxiliar!$D$5:$F$11,MATCH(Table1[[#This Row],[Tipologia_Testes]],Auxiliar!$B$5:$B$11,0),MATCH(Table1[[#This Row],[Complexidade]],Auxiliar!$D$4:$F$4,0))</f>
        <v>0.1</v>
      </c>
      <c r="J13" s="3"/>
    </row>
    <row r="14" spans="1:38" ht="17.399999999999999" x14ac:dyDescent="0.45">
      <c r="B14" s="29" t="s">
        <v>84</v>
      </c>
      <c r="C14" s="14" t="s">
        <v>4</v>
      </c>
      <c r="D14" s="14" t="s">
        <v>74</v>
      </c>
      <c r="E14" s="15" t="s">
        <v>82</v>
      </c>
      <c r="F14" s="33" t="s">
        <v>604</v>
      </c>
      <c r="G14" s="33" t="s">
        <v>619</v>
      </c>
      <c r="H14" s="33" t="s">
        <v>612</v>
      </c>
      <c r="I14" s="33">
        <f>INDEX(Auxiliar!$D$5:$F$11,MATCH(Table1[[#This Row],[Tipologia_Testes]],Auxiliar!$B$5:$B$11,0),MATCH(Table1[[#This Row],[Complexidade]],Auxiliar!$D$4:$F$4,0))</f>
        <v>2</v>
      </c>
      <c r="J14" s="3"/>
    </row>
    <row r="15" spans="1:38" ht="17.399999999999999" x14ac:dyDescent="0.45">
      <c r="B15" s="29" t="s">
        <v>84</v>
      </c>
      <c r="C15" s="14" t="s">
        <v>42</v>
      </c>
      <c r="D15" s="14" t="s">
        <v>71</v>
      </c>
      <c r="E15" s="15" t="s">
        <v>82</v>
      </c>
      <c r="F15" s="33" t="s">
        <v>599</v>
      </c>
      <c r="G15" s="33" t="s">
        <v>622</v>
      </c>
      <c r="H15" s="33" t="s">
        <v>610</v>
      </c>
      <c r="I15" s="33">
        <f>INDEX(Auxiliar!$D$5:$F$11,MATCH(Table1[[#This Row],[Tipologia_Testes]],Auxiliar!$B$5:$B$11,0),MATCH(Table1[[#This Row],[Complexidade]],Auxiliar!$D$4:$F$4,0))</f>
        <v>1</v>
      </c>
      <c r="J15" s="3"/>
    </row>
    <row r="16" spans="1:38" ht="17.399999999999999" x14ac:dyDescent="0.45">
      <c r="B16" s="29" t="s">
        <v>84</v>
      </c>
      <c r="C16" s="14" t="s">
        <v>42</v>
      </c>
      <c r="D16" s="14" t="s">
        <v>68</v>
      </c>
      <c r="E16" s="15" t="s">
        <v>82</v>
      </c>
      <c r="F16" s="33" t="s">
        <v>599</v>
      </c>
      <c r="G16" s="33" t="s">
        <v>622</v>
      </c>
      <c r="H16" s="33" t="s">
        <v>610</v>
      </c>
      <c r="I16" s="33">
        <f>INDEX(Auxiliar!$D$5:$F$11,MATCH(Table1[[#This Row],[Tipologia_Testes]],Auxiliar!$B$5:$B$11,0),MATCH(Table1[[#This Row],[Complexidade]],Auxiliar!$D$4:$F$4,0))</f>
        <v>1</v>
      </c>
      <c r="J16" s="3"/>
    </row>
    <row r="17" spans="2:10" ht="17.399999999999999" x14ac:dyDescent="0.45">
      <c r="B17" s="29" t="s">
        <v>84</v>
      </c>
      <c r="C17" s="14" t="s">
        <v>42</v>
      </c>
      <c r="D17" s="14" t="s">
        <v>65</v>
      </c>
      <c r="E17" s="15" t="s">
        <v>82</v>
      </c>
      <c r="F17" s="33" t="s">
        <v>599</v>
      </c>
      <c r="G17" s="33" t="s">
        <v>622</v>
      </c>
      <c r="H17" s="33" t="s">
        <v>610</v>
      </c>
      <c r="I17" s="33">
        <f>INDEX(Auxiliar!$D$5:$F$11,MATCH(Table1[[#This Row],[Tipologia_Testes]],Auxiliar!$B$5:$B$11,0),MATCH(Table1[[#This Row],[Complexidade]],Auxiliar!$D$4:$F$4,0))</f>
        <v>1</v>
      </c>
      <c r="J17" s="3"/>
    </row>
    <row r="18" spans="2:10" ht="17.399999999999999" x14ac:dyDescent="0.45">
      <c r="B18" s="29" t="s">
        <v>84</v>
      </c>
      <c r="C18" s="14" t="s">
        <v>42</v>
      </c>
      <c r="D18" s="14" t="s">
        <v>62</v>
      </c>
      <c r="E18" s="15" t="s">
        <v>82</v>
      </c>
      <c r="F18" s="33" t="s">
        <v>599</v>
      </c>
      <c r="G18" s="33" t="s">
        <v>622</v>
      </c>
      <c r="H18" s="33" t="s">
        <v>610</v>
      </c>
      <c r="I18" s="33">
        <f>INDEX(Auxiliar!$D$5:$F$11,MATCH(Table1[[#This Row],[Tipologia_Testes]],Auxiliar!$B$5:$B$11,0),MATCH(Table1[[#This Row],[Complexidade]],Auxiliar!$D$4:$F$4,0))</f>
        <v>1</v>
      </c>
      <c r="J18" s="3"/>
    </row>
    <row r="19" spans="2:10" ht="17.399999999999999" x14ac:dyDescent="0.45">
      <c r="B19" s="29" t="s">
        <v>84</v>
      </c>
      <c r="C19" s="14" t="s">
        <v>42</v>
      </c>
      <c r="D19" s="14" t="s">
        <v>59</v>
      </c>
      <c r="E19" s="15" t="s">
        <v>82</v>
      </c>
      <c r="F19" s="33" t="s">
        <v>599</v>
      </c>
      <c r="G19" s="33" t="s">
        <v>622</v>
      </c>
      <c r="H19" s="33" t="s">
        <v>610</v>
      </c>
      <c r="I19" s="33">
        <f>INDEX(Auxiliar!$D$5:$F$11,MATCH(Table1[[#This Row],[Tipologia_Testes]],Auxiliar!$B$5:$B$11,0),MATCH(Table1[[#This Row],[Complexidade]],Auxiliar!$D$4:$F$4,0))</f>
        <v>1</v>
      </c>
      <c r="J19" s="3"/>
    </row>
    <row r="20" spans="2:10" ht="17.399999999999999" x14ac:dyDescent="0.45">
      <c r="B20" s="29" t="s">
        <v>84</v>
      </c>
      <c r="C20" s="3" t="s">
        <v>42</v>
      </c>
      <c r="D20" s="3" t="s">
        <v>56</v>
      </c>
      <c r="E20" s="8" t="s">
        <v>82</v>
      </c>
      <c r="F20" s="33" t="s">
        <v>599</v>
      </c>
      <c r="G20" s="33" t="s">
        <v>622</v>
      </c>
      <c r="H20" s="33" t="s">
        <v>610</v>
      </c>
      <c r="I20" s="33">
        <f>INDEX(Auxiliar!$D$5:$F$11,MATCH(Table1[[#This Row],[Tipologia_Testes]],Auxiliar!$B$5:$B$11,0),MATCH(Table1[[#This Row],[Complexidade]],Auxiliar!$D$4:$F$4,0))</f>
        <v>1</v>
      </c>
      <c r="J20" s="3"/>
    </row>
    <row r="21" spans="2:10" ht="17.399999999999999" x14ac:dyDescent="0.45">
      <c r="B21" s="29" t="s">
        <v>84</v>
      </c>
      <c r="C21" s="3" t="s">
        <v>42</v>
      </c>
      <c r="D21" s="3" t="s">
        <v>53</v>
      </c>
      <c r="E21" s="8" t="s">
        <v>82</v>
      </c>
      <c r="F21" s="33" t="s">
        <v>599</v>
      </c>
      <c r="G21" s="33" t="s">
        <v>622</v>
      </c>
      <c r="H21" s="33" t="s">
        <v>610</v>
      </c>
      <c r="I21" s="33">
        <f>INDEX(Auxiliar!$D$5:$F$11,MATCH(Table1[[#This Row],[Tipologia_Testes]],Auxiliar!$B$5:$B$11,0),MATCH(Table1[[#This Row],[Complexidade]],Auxiliar!$D$4:$F$4,0))</f>
        <v>1</v>
      </c>
      <c r="J21" s="3"/>
    </row>
    <row r="22" spans="2:10" ht="17.399999999999999" x14ac:dyDescent="0.45">
      <c r="B22" s="29" t="s">
        <v>84</v>
      </c>
      <c r="C22" s="3" t="s">
        <v>42</v>
      </c>
      <c r="D22" s="3" t="s">
        <v>52</v>
      </c>
      <c r="E22" s="8" t="s">
        <v>82</v>
      </c>
      <c r="F22" s="33" t="s">
        <v>599</v>
      </c>
      <c r="G22" s="33" t="s">
        <v>622</v>
      </c>
      <c r="H22" s="33" t="s">
        <v>610</v>
      </c>
      <c r="I22" s="33">
        <f>INDEX(Auxiliar!$D$5:$F$11,MATCH(Table1[[#This Row],[Tipologia_Testes]],Auxiliar!$B$5:$B$11,0),MATCH(Table1[[#This Row],[Complexidade]],Auxiliar!$D$4:$F$4,0))</f>
        <v>1</v>
      </c>
      <c r="J22" s="3"/>
    </row>
    <row r="23" spans="2:10" ht="17.399999999999999" x14ac:dyDescent="0.45">
      <c r="B23" s="29" t="s">
        <v>84</v>
      </c>
      <c r="C23" s="3" t="s">
        <v>42</v>
      </c>
      <c r="D23" s="3" t="s">
        <v>51</v>
      </c>
      <c r="E23" s="8" t="s">
        <v>82</v>
      </c>
      <c r="F23" s="33" t="s">
        <v>599</v>
      </c>
      <c r="G23" s="33" t="s">
        <v>622</v>
      </c>
      <c r="H23" s="33" t="s">
        <v>610</v>
      </c>
      <c r="I23" s="33">
        <f>INDEX(Auxiliar!$D$5:$F$11,MATCH(Table1[[#This Row],[Tipologia_Testes]],Auxiliar!$B$5:$B$11,0),MATCH(Table1[[#This Row],[Complexidade]],Auxiliar!$D$4:$F$4,0))</f>
        <v>1</v>
      </c>
      <c r="J23" s="3"/>
    </row>
    <row r="24" spans="2:10" ht="34.799999999999997" x14ac:dyDescent="0.45">
      <c r="B24" s="29" t="s">
        <v>84</v>
      </c>
      <c r="C24" s="3" t="s">
        <v>616</v>
      </c>
      <c r="D24" s="14" t="s">
        <v>50</v>
      </c>
      <c r="E24" s="15" t="s">
        <v>8</v>
      </c>
      <c r="F24" s="56" t="s">
        <v>594</v>
      </c>
      <c r="G24" s="57" t="s">
        <v>619</v>
      </c>
      <c r="H24" s="56" t="s">
        <v>612</v>
      </c>
      <c r="I24" s="55">
        <v>4</v>
      </c>
      <c r="J24" s="54" t="s">
        <v>627</v>
      </c>
    </row>
    <row r="25" spans="2:10" ht="17.399999999999999" x14ac:dyDescent="0.45">
      <c r="B25" s="29" t="s">
        <v>84</v>
      </c>
      <c r="C25" s="3" t="s">
        <v>616</v>
      </c>
      <c r="D25" s="3" t="s">
        <v>50</v>
      </c>
      <c r="E25" s="8" t="s">
        <v>8</v>
      </c>
      <c r="F25" s="33" t="s">
        <v>600</v>
      </c>
      <c r="G25" s="42" t="s">
        <v>619</v>
      </c>
      <c r="H25" s="33" t="s">
        <v>612</v>
      </c>
      <c r="I25" s="33">
        <f>INDEX(Auxiliar!$D$5:$F$11,MATCH(Table1[[#This Row],[Tipologia_Testes]],Auxiliar!$B$5:$B$11,0),MATCH(Table1[[#This Row],[Complexidade]],Auxiliar!$D$4:$F$4,0))</f>
        <v>8</v>
      </c>
      <c r="J25" s="3" t="s">
        <v>617</v>
      </c>
    </row>
    <row r="26" spans="2:10" ht="17.399999999999999" x14ac:dyDescent="0.45">
      <c r="B26" s="29" t="s">
        <v>84</v>
      </c>
      <c r="C26" s="3" t="s">
        <v>616</v>
      </c>
      <c r="D26" s="3" t="s">
        <v>50</v>
      </c>
      <c r="E26" s="8" t="s">
        <v>8</v>
      </c>
      <c r="F26" s="33" t="s">
        <v>603</v>
      </c>
      <c r="G26" s="42" t="s">
        <v>619</v>
      </c>
      <c r="H26" s="33" t="s">
        <v>612</v>
      </c>
      <c r="I26" s="33">
        <f>INDEX(Auxiliar!$D$5:$F$11,MATCH(Table1[[#This Row],[Tipologia_Testes]],Auxiliar!$B$5:$B$11,0),MATCH(Table1[[#This Row],[Complexidade]],Auxiliar!$D$4:$F$4,0))</f>
        <v>0.1</v>
      </c>
      <c r="J26" s="3" t="s">
        <v>617</v>
      </c>
    </row>
    <row r="27" spans="2:10" ht="17.399999999999999" x14ac:dyDescent="0.45">
      <c r="B27" s="29" t="s">
        <v>84</v>
      </c>
      <c r="C27" s="3" t="s">
        <v>42</v>
      </c>
      <c r="D27" s="3" t="s">
        <v>49</v>
      </c>
      <c r="E27" s="8" t="s">
        <v>82</v>
      </c>
      <c r="F27" s="33" t="s">
        <v>599</v>
      </c>
      <c r="G27" s="33" t="s">
        <v>622</v>
      </c>
      <c r="H27" s="33" t="s">
        <v>610</v>
      </c>
      <c r="I27" s="33">
        <f>INDEX(Auxiliar!$D$5:$F$11,MATCH(Table1[[#This Row],[Tipologia_Testes]],Auxiliar!$B$5:$B$11,0),MATCH(Table1[[#This Row],[Complexidade]],Auxiliar!$D$4:$F$4,0))</f>
        <v>1</v>
      </c>
      <c r="J27" s="3"/>
    </row>
    <row r="28" spans="2:10" ht="17.399999999999999" x14ac:dyDescent="0.45">
      <c r="B28" s="29" t="s">
        <v>84</v>
      </c>
      <c r="C28" s="3" t="s">
        <v>42</v>
      </c>
      <c r="D28" s="3" t="s">
        <v>48</v>
      </c>
      <c r="E28" s="8" t="s">
        <v>82</v>
      </c>
      <c r="F28" s="33" t="s">
        <v>599</v>
      </c>
      <c r="G28" s="33" t="s">
        <v>622</v>
      </c>
      <c r="H28" s="33" t="s">
        <v>610</v>
      </c>
      <c r="I28" s="33">
        <f>INDEX(Auxiliar!$D$5:$F$11,MATCH(Table1[[#This Row],[Tipologia_Testes]],Auxiliar!$B$5:$B$11,0),MATCH(Table1[[#This Row],[Complexidade]],Auxiliar!$D$4:$F$4,0))</f>
        <v>1</v>
      </c>
      <c r="J28" s="3"/>
    </row>
    <row r="29" spans="2:10" ht="17.399999999999999" x14ac:dyDescent="0.45">
      <c r="B29" s="29" t="s">
        <v>84</v>
      </c>
      <c r="C29" s="3" t="s">
        <v>42</v>
      </c>
      <c r="D29" s="3" t="s">
        <v>47</v>
      </c>
      <c r="E29" s="8" t="s">
        <v>82</v>
      </c>
      <c r="F29" s="33" t="s">
        <v>599</v>
      </c>
      <c r="G29" s="33" t="s">
        <v>622</v>
      </c>
      <c r="H29" s="33" t="s">
        <v>610</v>
      </c>
      <c r="I29" s="33">
        <f>INDEX(Auxiliar!$D$5:$F$11,MATCH(Table1[[#This Row],[Tipologia_Testes]],Auxiliar!$B$5:$B$11,0),MATCH(Table1[[#This Row],[Complexidade]],Auxiliar!$D$4:$F$4,0))</f>
        <v>1</v>
      </c>
      <c r="J29" s="3"/>
    </row>
    <row r="30" spans="2:10" ht="17.399999999999999" x14ac:dyDescent="0.45">
      <c r="B30" s="29" t="s">
        <v>84</v>
      </c>
      <c r="C30" s="3" t="s">
        <v>42</v>
      </c>
      <c r="D30" s="3" t="s">
        <v>46</v>
      </c>
      <c r="E30" s="8" t="s">
        <v>82</v>
      </c>
      <c r="F30" s="33" t="s">
        <v>599</v>
      </c>
      <c r="G30" s="33" t="s">
        <v>622</v>
      </c>
      <c r="H30" s="33" t="s">
        <v>610</v>
      </c>
      <c r="I30" s="33">
        <f>INDEX(Auxiliar!$D$5:$F$11,MATCH(Table1[[#This Row],[Tipologia_Testes]],Auxiliar!$B$5:$B$11,0),MATCH(Table1[[#This Row],[Complexidade]],Auxiliar!$D$4:$F$4,0))</f>
        <v>1</v>
      </c>
      <c r="J30" s="3"/>
    </row>
    <row r="31" spans="2:10" ht="17.399999999999999" x14ac:dyDescent="0.45">
      <c r="B31" s="29" t="s">
        <v>84</v>
      </c>
      <c r="C31" s="3" t="s">
        <v>42</v>
      </c>
      <c r="D31" s="3" t="s">
        <v>45</v>
      </c>
      <c r="E31" s="8" t="s">
        <v>82</v>
      </c>
      <c r="F31" s="33" t="s">
        <v>599</v>
      </c>
      <c r="G31" s="33" t="s">
        <v>622</v>
      </c>
      <c r="H31" s="33" t="s">
        <v>610</v>
      </c>
      <c r="I31" s="33">
        <f>INDEX(Auxiliar!$D$5:$F$11,MATCH(Table1[[#This Row],[Tipologia_Testes]],Auxiliar!$B$5:$B$11,0),MATCH(Table1[[#This Row],[Complexidade]],Auxiliar!$D$4:$F$4,0))</f>
        <v>1</v>
      </c>
      <c r="J31" s="3"/>
    </row>
    <row r="32" spans="2:10" ht="17.399999999999999" x14ac:dyDescent="0.45">
      <c r="B32" s="29" t="s">
        <v>84</v>
      </c>
      <c r="C32" s="3" t="s">
        <v>42</v>
      </c>
      <c r="D32" s="3" t="s">
        <v>44</v>
      </c>
      <c r="E32" s="8" t="s">
        <v>82</v>
      </c>
      <c r="F32" s="33" t="s">
        <v>599</v>
      </c>
      <c r="G32" s="33" t="s">
        <v>622</v>
      </c>
      <c r="H32" s="33" t="s">
        <v>610</v>
      </c>
      <c r="I32" s="33">
        <f>INDEX(Auxiliar!$D$5:$F$11,MATCH(Table1[[#This Row],[Tipologia_Testes]],Auxiliar!$B$5:$B$11,0),MATCH(Table1[[#This Row],[Complexidade]],Auxiliar!$D$4:$F$4,0))</f>
        <v>1</v>
      </c>
      <c r="J32" s="3"/>
    </row>
    <row r="33" spans="2:10" ht="17.399999999999999" x14ac:dyDescent="0.45">
      <c r="B33" s="29" t="s">
        <v>84</v>
      </c>
      <c r="C33" s="3" t="s">
        <v>42</v>
      </c>
      <c r="D33" s="3" t="s">
        <v>43</v>
      </c>
      <c r="E33" s="8" t="s">
        <v>82</v>
      </c>
      <c r="F33" s="33" t="s">
        <v>599</v>
      </c>
      <c r="G33" s="33" t="s">
        <v>622</v>
      </c>
      <c r="H33" s="33" t="s">
        <v>610</v>
      </c>
      <c r="I33" s="33">
        <f>INDEX(Auxiliar!$D$5:$F$11,MATCH(Table1[[#This Row],[Tipologia_Testes]],Auxiliar!$B$5:$B$11,0),MATCH(Table1[[#This Row],[Complexidade]],Auxiliar!$D$4:$F$4,0))</f>
        <v>1</v>
      </c>
      <c r="J33" s="3"/>
    </row>
    <row r="34" spans="2:10" ht="17.399999999999999" x14ac:dyDescent="0.45">
      <c r="B34" s="29" t="s">
        <v>84</v>
      </c>
      <c r="C34" s="10" t="s">
        <v>42</v>
      </c>
      <c r="D34" s="10" t="s">
        <v>41</v>
      </c>
      <c r="E34" s="9" t="s">
        <v>82</v>
      </c>
      <c r="F34" s="33" t="s">
        <v>599</v>
      </c>
      <c r="G34" s="33" t="s">
        <v>622</v>
      </c>
      <c r="H34" s="33" t="s">
        <v>610</v>
      </c>
      <c r="I34" s="33">
        <f>INDEX(Auxiliar!$D$5:$F$11,MATCH(Table1[[#This Row],[Tipologia_Testes]],Auxiliar!$B$5:$B$11,0),MATCH(Table1[[#This Row],[Complexidade]],Auxiliar!$D$4:$F$4,0))</f>
        <v>1</v>
      </c>
      <c r="J34" s="3"/>
    </row>
    <row r="35" spans="2:10" ht="17.399999999999999" x14ac:dyDescent="0.45">
      <c r="B35" s="29" t="s">
        <v>84</v>
      </c>
      <c r="C35" s="10" t="s">
        <v>36</v>
      </c>
      <c r="D35" s="10" t="s">
        <v>40</v>
      </c>
      <c r="E35" s="9" t="s">
        <v>82</v>
      </c>
      <c r="F35" s="33" t="s">
        <v>594</v>
      </c>
      <c r="G35" s="33" t="s">
        <v>622</v>
      </c>
      <c r="H35" s="33" t="s">
        <v>610</v>
      </c>
      <c r="I35" s="33">
        <f>INDEX(Auxiliar!$D$5:$F$11,MATCH(Table1[[#This Row],[Tipologia_Testes]],Auxiliar!$B$5:$B$11,0),MATCH(Table1[[#This Row],[Complexidade]],Auxiliar!$D$4:$F$4,0))</f>
        <v>2</v>
      </c>
      <c r="J35" s="3"/>
    </row>
    <row r="36" spans="2:10" ht="17.399999999999999" x14ac:dyDescent="0.45">
      <c r="B36" s="29" t="s">
        <v>84</v>
      </c>
      <c r="C36" s="10" t="s">
        <v>36</v>
      </c>
      <c r="D36" s="10" t="s">
        <v>40</v>
      </c>
      <c r="E36" s="9" t="s">
        <v>82</v>
      </c>
      <c r="F36" s="33" t="s">
        <v>600</v>
      </c>
      <c r="G36" s="33" t="s">
        <v>622</v>
      </c>
      <c r="H36" s="33" t="s">
        <v>610</v>
      </c>
      <c r="I36" s="33">
        <f>INDEX(Auxiliar!$D$5:$F$11,MATCH(Table1[[#This Row],[Tipologia_Testes]],Auxiliar!$B$5:$B$11,0),MATCH(Table1[[#This Row],[Complexidade]],Auxiliar!$D$4:$F$4,0))</f>
        <v>2</v>
      </c>
      <c r="J36" s="3"/>
    </row>
    <row r="37" spans="2:10" ht="17.399999999999999" x14ac:dyDescent="0.45">
      <c r="B37" s="29" t="s">
        <v>84</v>
      </c>
      <c r="C37" s="10" t="s">
        <v>36</v>
      </c>
      <c r="D37" s="10" t="s">
        <v>40</v>
      </c>
      <c r="E37" s="9" t="s">
        <v>82</v>
      </c>
      <c r="F37" s="33" t="s">
        <v>603</v>
      </c>
      <c r="G37" s="33" t="s">
        <v>622</v>
      </c>
      <c r="H37" s="33" t="s">
        <v>610</v>
      </c>
      <c r="I37" s="33">
        <f>INDEX(Auxiliar!$D$5:$F$11,MATCH(Table1[[#This Row],[Tipologia_Testes]],Auxiliar!$B$5:$B$11,0),MATCH(Table1[[#This Row],[Complexidade]],Auxiliar!$D$4:$F$4,0))</f>
        <v>0.1</v>
      </c>
      <c r="J37" s="3"/>
    </row>
    <row r="38" spans="2:10" ht="17.399999999999999" x14ac:dyDescent="0.45">
      <c r="B38" s="29" t="s">
        <v>84</v>
      </c>
      <c r="C38" s="10" t="s">
        <v>36</v>
      </c>
      <c r="D38" s="10" t="s">
        <v>40</v>
      </c>
      <c r="E38" s="9" t="s">
        <v>82</v>
      </c>
      <c r="F38" s="33" t="s">
        <v>604</v>
      </c>
      <c r="G38" s="33" t="s">
        <v>622</v>
      </c>
      <c r="H38" s="33" t="s">
        <v>610</v>
      </c>
      <c r="I38" s="33">
        <f>INDEX(Auxiliar!$D$5:$F$11,MATCH(Table1[[#This Row],[Tipologia_Testes]],Auxiliar!$B$5:$B$11,0),MATCH(Table1[[#This Row],[Complexidade]],Auxiliar!$D$4:$F$4,0))</f>
        <v>1</v>
      </c>
      <c r="J38" s="3"/>
    </row>
    <row r="39" spans="2:10" ht="17.399999999999999" x14ac:dyDescent="0.45">
      <c r="B39" s="29" t="s">
        <v>84</v>
      </c>
      <c r="C39" s="10" t="s">
        <v>36</v>
      </c>
      <c r="D39" s="10" t="s">
        <v>39</v>
      </c>
      <c r="E39" s="9" t="s">
        <v>82</v>
      </c>
      <c r="F39" s="33" t="s">
        <v>594</v>
      </c>
      <c r="G39" s="33" t="s">
        <v>622</v>
      </c>
      <c r="H39" s="33" t="s">
        <v>610</v>
      </c>
      <c r="I39" s="33">
        <f>INDEX(Auxiliar!$D$5:$F$11,MATCH(Table1[[#This Row],[Tipologia_Testes]],Auxiliar!$B$5:$B$11,0),MATCH(Table1[[#This Row],[Complexidade]],Auxiliar!$D$4:$F$4,0))</f>
        <v>2</v>
      </c>
      <c r="J39" s="3"/>
    </row>
    <row r="40" spans="2:10" ht="17.399999999999999" x14ac:dyDescent="0.45">
      <c r="B40" s="29" t="s">
        <v>84</v>
      </c>
      <c r="C40" s="10" t="s">
        <v>36</v>
      </c>
      <c r="D40" s="10" t="s">
        <v>39</v>
      </c>
      <c r="E40" s="9" t="s">
        <v>82</v>
      </c>
      <c r="F40" s="33" t="s">
        <v>600</v>
      </c>
      <c r="G40" s="33" t="s">
        <v>622</v>
      </c>
      <c r="H40" s="33" t="s">
        <v>610</v>
      </c>
      <c r="I40" s="33">
        <f>INDEX(Auxiliar!$D$5:$F$11,MATCH(Table1[[#This Row],[Tipologia_Testes]],Auxiliar!$B$5:$B$11,0),MATCH(Table1[[#This Row],[Complexidade]],Auxiliar!$D$4:$F$4,0))</f>
        <v>2</v>
      </c>
      <c r="J40" s="3"/>
    </row>
    <row r="41" spans="2:10" ht="17.399999999999999" x14ac:dyDescent="0.45">
      <c r="B41" s="29" t="s">
        <v>84</v>
      </c>
      <c r="C41" s="10" t="s">
        <v>36</v>
      </c>
      <c r="D41" s="10" t="s">
        <v>39</v>
      </c>
      <c r="E41" s="9" t="s">
        <v>82</v>
      </c>
      <c r="F41" s="33" t="s">
        <v>603</v>
      </c>
      <c r="G41" s="33" t="s">
        <v>622</v>
      </c>
      <c r="H41" s="33" t="s">
        <v>610</v>
      </c>
      <c r="I41" s="33">
        <f>INDEX(Auxiliar!$D$5:$F$11,MATCH(Table1[[#This Row],[Tipologia_Testes]],Auxiliar!$B$5:$B$11,0),MATCH(Table1[[#This Row],[Complexidade]],Auxiliar!$D$4:$F$4,0))</f>
        <v>0.1</v>
      </c>
      <c r="J41" s="3"/>
    </row>
    <row r="42" spans="2:10" ht="17.399999999999999" x14ac:dyDescent="0.45">
      <c r="B42" s="29" t="s">
        <v>84</v>
      </c>
      <c r="C42" s="10" t="s">
        <v>36</v>
      </c>
      <c r="D42" s="10" t="s">
        <v>39</v>
      </c>
      <c r="E42" s="9" t="s">
        <v>82</v>
      </c>
      <c r="F42" s="33" t="s">
        <v>604</v>
      </c>
      <c r="G42" s="33" t="s">
        <v>622</v>
      </c>
      <c r="H42" s="33" t="s">
        <v>610</v>
      </c>
      <c r="I42" s="33">
        <f>INDEX(Auxiliar!$D$5:$F$11,MATCH(Table1[[#This Row],[Tipologia_Testes]],Auxiliar!$B$5:$B$11,0),MATCH(Table1[[#This Row],[Complexidade]],Auxiliar!$D$4:$F$4,0))</f>
        <v>1</v>
      </c>
      <c r="J42" s="3"/>
    </row>
    <row r="43" spans="2:10" ht="17.399999999999999" x14ac:dyDescent="0.45">
      <c r="B43" s="29" t="s">
        <v>84</v>
      </c>
      <c r="C43" s="10" t="s">
        <v>36</v>
      </c>
      <c r="D43" s="10" t="s">
        <v>38</v>
      </c>
      <c r="E43" s="9" t="s">
        <v>82</v>
      </c>
      <c r="F43" s="33" t="s">
        <v>594</v>
      </c>
      <c r="G43" s="33" t="s">
        <v>622</v>
      </c>
      <c r="H43" s="33" t="s">
        <v>610</v>
      </c>
      <c r="I43" s="33">
        <f>INDEX(Auxiliar!$D$5:$F$11,MATCH(Table1[[#This Row],[Tipologia_Testes]],Auxiliar!$B$5:$B$11,0),MATCH(Table1[[#This Row],[Complexidade]],Auxiliar!$D$4:$F$4,0))</f>
        <v>2</v>
      </c>
      <c r="J43" s="3"/>
    </row>
    <row r="44" spans="2:10" ht="17.399999999999999" x14ac:dyDescent="0.45">
      <c r="B44" s="29" t="s">
        <v>84</v>
      </c>
      <c r="C44" s="10" t="s">
        <v>36</v>
      </c>
      <c r="D44" s="10" t="s">
        <v>38</v>
      </c>
      <c r="E44" s="9" t="s">
        <v>82</v>
      </c>
      <c r="F44" s="33" t="s">
        <v>600</v>
      </c>
      <c r="G44" s="33" t="s">
        <v>622</v>
      </c>
      <c r="H44" s="33" t="s">
        <v>610</v>
      </c>
      <c r="I44" s="33">
        <f>INDEX(Auxiliar!$D$5:$F$11,MATCH(Table1[[#This Row],[Tipologia_Testes]],Auxiliar!$B$5:$B$11,0),MATCH(Table1[[#This Row],[Complexidade]],Auxiliar!$D$4:$F$4,0))</f>
        <v>2</v>
      </c>
      <c r="J44" s="3"/>
    </row>
    <row r="45" spans="2:10" ht="17.399999999999999" x14ac:dyDescent="0.45">
      <c r="B45" s="29" t="s">
        <v>84</v>
      </c>
      <c r="C45" s="10" t="s">
        <v>36</v>
      </c>
      <c r="D45" s="10" t="s">
        <v>38</v>
      </c>
      <c r="E45" s="9" t="s">
        <v>82</v>
      </c>
      <c r="F45" s="33" t="s">
        <v>603</v>
      </c>
      <c r="G45" s="33" t="s">
        <v>622</v>
      </c>
      <c r="H45" s="33" t="s">
        <v>610</v>
      </c>
      <c r="I45" s="33">
        <f>INDEX(Auxiliar!$D$5:$F$11,MATCH(Table1[[#This Row],[Tipologia_Testes]],Auxiliar!$B$5:$B$11,0),MATCH(Table1[[#This Row],[Complexidade]],Auxiliar!$D$4:$F$4,0))</f>
        <v>0.1</v>
      </c>
      <c r="J45" s="3"/>
    </row>
    <row r="46" spans="2:10" ht="17.399999999999999" x14ac:dyDescent="0.45">
      <c r="B46" s="29" t="s">
        <v>84</v>
      </c>
      <c r="C46" s="10" t="s">
        <v>36</v>
      </c>
      <c r="D46" s="10" t="s">
        <v>38</v>
      </c>
      <c r="E46" s="9" t="s">
        <v>82</v>
      </c>
      <c r="F46" s="33" t="s">
        <v>604</v>
      </c>
      <c r="G46" s="33" t="s">
        <v>622</v>
      </c>
      <c r="H46" s="33" t="s">
        <v>610</v>
      </c>
      <c r="I46" s="33">
        <f>INDEX(Auxiliar!$D$5:$F$11,MATCH(Table1[[#This Row],[Tipologia_Testes]],Auxiliar!$B$5:$B$11,0),MATCH(Table1[[#This Row],[Complexidade]],Auxiliar!$D$4:$F$4,0))</f>
        <v>1</v>
      </c>
      <c r="J46" s="3"/>
    </row>
    <row r="47" spans="2:10" ht="17.399999999999999" x14ac:dyDescent="0.45">
      <c r="B47" s="29" t="s">
        <v>84</v>
      </c>
      <c r="C47" s="10" t="s">
        <v>36</v>
      </c>
      <c r="D47" s="10" t="s">
        <v>37</v>
      </c>
      <c r="E47" s="9" t="s">
        <v>82</v>
      </c>
      <c r="F47" s="33" t="s">
        <v>594</v>
      </c>
      <c r="G47" s="33" t="s">
        <v>622</v>
      </c>
      <c r="H47" s="33" t="s">
        <v>610</v>
      </c>
      <c r="I47" s="33">
        <f>INDEX(Auxiliar!$D$5:$F$11,MATCH(Table1[[#This Row],[Tipologia_Testes]],Auxiliar!$B$5:$B$11,0),MATCH(Table1[[#This Row],[Complexidade]],Auxiliar!$D$4:$F$4,0))</f>
        <v>2</v>
      </c>
      <c r="J47" s="3"/>
    </row>
    <row r="48" spans="2:10" ht="17.399999999999999" x14ac:dyDescent="0.45">
      <c r="B48" s="29" t="s">
        <v>84</v>
      </c>
      <c r="C48" s="10" t="s">
        <v>36</v>
      </c>
      <c r="D48" s="10" t="s">
        <v>37</v>
      </c>
      <c r="E48" s="9" t="s">
        <v>82</v>
      </c>
      <c r="F48" s="33" t="s">
        <v>600</v>
      </c>
      <c r="G48" s="33" t="s">
        <v>622</v>
      </c>
      <c r="H48" s="33" t="s">
        <v>610</v>
      </c>
      <c r="I48" s="33">
        <f>INDEX(Auxiliar!$D$5:$F$11,MATCH(Table1[[#This Row],[Tipologia_Testes]],Auxiliar!$B$5:$B$11,0),MATCH(Table1[[#This Row],[Complexidade]],Auxiliar!$D$4:$F$4,0))</f>
        <v>2</v>
      </c>
      <c r="J48" s="3"/>
    </row>
    <row r="49" spans="2:10" ht="17.399999999999999" x14ac:dyDescent="0.45">
      <c r="B49" s="29" t="s">
        <v>84</v>
      </c>
      <c r="C49" s="10" t="s">
        <v>36</v>
      </c>
      <c r="D49" s="10" t="s">
        <v>37</v>
      </c>
      <c r="E49" s="9" t="s">
        <v>82</v>
      </c>
      <c r="F49" s="33" t="s">
        <v>603</v>
      </c>
      <c r="G49" s="33" t="s">
        <v>622</v>
      </c>
      <c r="H49" s="33" t="s">
        <v>610</v>
      </c>
      <c r="I49" s="33">
        <f>INDEX(Auxiliar!$D$5:$F$11,MATCH(Table1[[#This Row],[Tipologia_Testes]],Auxiliar!$B$5:$B$11,0),MATCH(Table1[[#This Row],[Complexidade]],Auxiliar!$D$4:$F$4,0))</f>
        <v>0.1</v>
      </c>
      <c r="J49" s="3"/>
    </row>
    <row r="50" spans="2:10" ht="17.399999999999999" x14ac:dyDescent="0.45">
      <c r="B50" s="29" t="s">
        <v>84</v>
      </c>
      <c r="C50" s="10" t="s">
        <v>36</v>
      </c>
      <c r="D50" s="10" t="s">
        <v>37</v>
      </c>
      <c r="E50" s="9" t="s">
        <v>82</v>
      </c>
      <c r="F50" s="33" t="s">
        <v>604</v>
      </c>
      <c r="G50" s="33" t="s">
        <v>622</v>
      </c>
      <c r="H50" s="33" t="s">
        <v>610</v>
      </c>
      <c r="I50" s="33">
        <f>INDEX(Auxiliar!$D$5:$F$11,MATCH(Table1[[#This Row],[Tipologia_Testes]],Auxiliar!$B$5:$B$11,0),MATCH(Table1[[#This Row],[Complexidade]],Auxiliar!$D$4:$F$4,0))</f>
        <v>1</v>
      </c>
      <c r="J50" s="3"/>
    </row>
    <row r="51" spans="2:10" ht="17.399999999999999" x14ac:dyDescent="0.45">
      <c r="B51" s="29" t="s">
        <v>84</v>
      </c>
      <c r="C51" s="10" t="s">
        <v>36</v>
      </c>
      <c r="D51" s="10" t="s">
        <v>35</v>
      </c>
      <c r="E51" s="9" t="s">
        <v>82</v>
      </c>
      <c r="F51" s="33" t="s">
        <v>594</v>
      </c>
      <c r="G51" s="33" t="s">
        <v>622</v>
      </c>
      <c r="H51" s="33" t="s">
        <v>610</v>
      </c>
      <c r="I51" s="33">
        <f>INDEX(Auxiliar!$D$5:$F$11,MATCH(Table1[[#This Row],[Tipologia_Testes]],Auxiliar!$B$5:$B$11,0),MATCH(Table1[[#This Row],[Complexidade]],Auxiliar!$D$4:$F$4,0))</f>
        <v>2</v>
      </c>
      <c r="J51" s="3" t="s">
        <v>597</v>
      </c>
    </row>
    <row r="52" spans="2:10" ht="17.399999999999999" x14ac:dyDescent="0.45">
      <c r="B52" s="29" t="s">
        <v>84</v>
      </c>
      <c r="C52" s="10" t="s">
        <v>36</v>
      </c>
      <c r="D52" s="10" t="s">
        <v>35</v>
      </c>
      <c r="E52" s="9" t="s">
        <v>82</v>
      </c>
      <c r="F52" s="33" t="s">
        <v>600</v>
      </c>
      <c r="G52" s="33" t="s">
        <v>622</v>
      </c>
      <c r="H52" s="33" t="s">
        <v>610</v>
      </c>
      <c r="I52" s="33">
        <f>INDEX(Auxiliar!$D$5:$F$11,MATCH(Table1[[#This Row],[Tipologia_Testes]],Auxiliar!$B$5:$B$11,0),MATCH(Table1[[#This Row],[Complexidade]],Auxiliar!$D$4:$F$4,0))</f>
        <v>2</v>
      </c>
      <c r="J52" s="3" t="str">
        <f>J51</f>
        <v>27/03/2024 (Corp): Deve ser aprovisionado localmente com o valor correspondente de não aplicável (11111111111)</v>
      </c>
    </row>
    <row r="53" spans="2:10" ht="17.399999999999999" x14ac:dyDescent="0.45">
      <c r="B53" s="29" t="s">
        <v>84</v>
      </c>
      <c r="C53" s="10" t="s">
        <v>36</v>
      </c>
      <c r="D53" s="10" t="s">
        <v>35</v>
      </c>
      <c r="E53" s="9" t="s">
        <v>82</v>
      </c>
      <c r="F53" s="33" t="s">
        <v>603</v>
      </c>
      <c r="G53" s="33" t="s">
        <v>622</v>
      </c>
      <c r="H53" s="33" t="s">
        <v>610</v>
      </c>
      <c r="I53" s="33">
        <f>INDEX(Auxiliar!$D$5:$F$11,MATCH(Table1[[#This Row],[Tipologia_Testes]],Auxiliar!$B$5:$B$11,0),MATCH(Table1[[#This Row],[Complexidade]],Auxiliar!$D$4:$F$4,0))</f>
        <v>0.1</v>
      </c>
      <c r="J53" s="3" t="str">
        <f t="shared" ref="J53:J58" si="0">J52</f>
        <v>27/03/2024 (Corp): Deve ser aprovisionado localmente com o valor correspondente de não aplicável (11111111111)</v>
      </c>
    </row>
    <row r="54" spans="2:10" ht="17.399999999999999" x14ac:dyDescent="0.45">
      <c r="B54" s="29" t="s">
        <v>84</v>
      </c>
      <c r="C54" s="10" t="s">
        <v>36</v>
      </c>
      <c r="D54" s="10" t="s">
        <v>35</v>
      </c>
      <c r="E54" s="9" t="s">
        <v>82</v>
      </c>
      <c r="F54" s="33" t="s">
        <v>604</v>
      </c>
      <c r="G54" s="33" t="s">
        <v>622</v>
      </c>
      <c r="H54" s="33" t="s">
        <v>610</v>
      </c>
      <c r="I54" s="33">
        <f>INDEX(Auxiliar!$D$5:$F$11,MATCH(Table1[[#This Row],[Tipologia_Testes]],Auxiliar!$B$5:$B$11,0),MATCH(Table1[[#This Row],[Complexidade]],Auxiliar!$D$4:$F$4,0))</f>
        <v>1</v>
      </c>
      <c r="J54" s="3" t="str">
        <f t="shared" si="0"/>
        <v>27/03/2024 (Corp): Deve ser aprovisionado localmente com o valor correspondente de não aplicável (11111111111)</v>
      </c>
    </row>
    <row r="55" spans="2:10" ht="17.399999999999999" x14ac:dyDescent="0.45">
      <c r="B55" s="29" t="s">
        <v>84</v>
      </c>
      <c r="C55" s="27" t="s">
        <v>10</v>
      </c>
      <c r="D55" s="3" t="s">
        <v>33</v>
      </c>
      <c r="E55" s="8" t="s">
        <v>82</v>
      </c>
      <c r="F55" s="33" t="s">
        <v>594</v>
      </c>
      <c r="G55" s="33" t="s">
        <v>622</v>
      </c>
      <c r="H55" s="33" t="s">
        <v>610</v>
      </c>
      <c r="I55" s="33">
        <f>INDEX(Auxiliar!$D$5:$F$11,MATCH(Table1[[#This Row],[Tipologia_Testes]],Auxiliar!$B$5:$B$11,0),MATCH(Table1[[#This Row],[Complexidade]],Auxiliar!$D$4:$F$4,0))</f>
        <v>2</v>
      </c>
      <c r="J55" s="3" t="s">
        <v>598</v>
      </c>
    </row>
    <row r="56" spans="2:10" ht="17.399999999999999" x14ac:dyDescent="0.45">
      <c r="B56" s="29" t="s">
        <v>84</v>
      </c>
      <c r="C56" s="27" t="s">
        <v>10</v>
      </c>
      <c r="D56" s="3" t="s">
        <v>33</v>
      </c>
      <c r="E56" s="8" t="s">
        <v>82</v>
      </c>
      <c r="F56" s="33" t="s">
        <v>600</v>
      </c>
      <c r="G56" s="33" t="s">
        <v>622</v>
      </c>
      <c r="H56" s="33" t="s">
        <v>610</v>
      </c>
      <c r="I56" s="33">
        <f>INDEX(Auxiliar!$D$5:$F$11,MATCH(Table1[[#This Row],[Tipologia_Testes]],Auxiliar!$B$5:$B$11,0),MATCH(Table1[[#This Row],[Complexidade]],Auxiliar!$D$4:$F$4,0))</f>
        <v>2</v>
      </c>
      <c r="J56" s="3" t="str">
        <f t="shared" si="0"/>
        <v>27/03/2024 (Corp): O campo Internal transfer rate from off balance amounts não está incluído no âmbito de contratos do Santander Portugal. Assim, o campo deverá ser aprovisionado com o valor correspondente a não aplicável (11111111111).</v>
      </c>
    </row>
    <row r="57" spans="2:10" ht="17.399999999999999" x14ac:dyDescent="0.45">
      <c r="B57" s="29" t="s">
        <v>84</v>
      </c>
      <c r="C57" s="27" t="s">
        <v>10</v>
      </c>
      <c r="D57" s="3" t="s">
        <v>33</v>
      </c>
      <c r="E57" s="8" t="s">
        <v>82</v>
      </c>
      <c r="F57" s="33" t="s">
        <v>603</v>
      </c>
      <c r="G57" s="33" t="s">
        <v>622</v>
      </c>
      <c r="H57" s="33" t="s">
        <v>610</v>
      </c>
      <c r="I57" s="33">
        <f>INDEX(Auxiliar!$D$5:$F$11,MATCH(Table1[[#This Row],[Tipologia_Testes]],Auxiliar!$B$5:$B$11,0),MATCH(Table1[[#This Row],[Complexidade]],Auxiliar!$D$4:$F$4,0))</f>
        <v>0.1</v>
      </c>
      <c r="J57" s="3" t="str">
        <f t="shared" si="0"/>
        <v>27/03/2024 (Corp): O campo Internal transfer rate from off balance amounts não está incluído no âmbito de contratos do Santander Portugal. Assim, o campo deverá ser aprovisionado com o valor correspondente a não aplicável (11111111111).</v>
      </c>
    </row>
    <row r="58" spans="2:10" ht="17.399999999999999" x14ac:dyDescent="0.45">
      <c r="B58" s="29" t="s">
        <v>84</v>
      </c>
      <c r="C58" s="27" t="s">
        <v>10</v>
      </c>
      <c r="D58" s="3" t="s">
        <v>33</v>
      </c>
      <c r="E58" s="8" t="s">
        <v>82</v>
      </c>
      <c r="F58" s="33" t="s">
        <v>604</v>
      </c>
      <c r="G58" s="33" t="s">
        <v>622</v>
      </c>
      <c r="H58" s="33" t="s">
        <v>610</v>
      </c>
      <c r="I58" s="33">
        <f>INDEX(Auxiliar!$D$5:$F$11,MATCH(Table1[[#This Row],[Tipologia_Testes]],Auxiliar!$B$5:$B$11,0),MATCH(Table1[[#This Row],[Complexidade]],Auxiliar!$D$4:$F$4,0))</f>
        <v>1</v>
      </c>
      <c r="J58" s="3" t="str">
        <f t="shared" si="0"/>
        <v>27/03/2024 (Corp): O campo Internal transfer rate from off balance amounts não está incluído no âmbito de contratos do Santander Portugal. Assim, o campo deverá ser aprovisionado com o valor correspondente a não aplicável (11111111111).</v>
      </c>
    </row>
    <row r="59" spans="2:10" ht="34.799999999999997" x14ac:dyDescent="0.3">
      <c r="B59" s="29" t="s">
        <v>84</v>
      </c>
      <c r="C59" s="14" t="s">
        <v>10</v>
      </c>
      <c r="D59" s="14" t="s">
        <v>32</v>
      </c>
      <c r="E59" s="58" t="s">
        <v>8</v>
      </c>
      <c r="F59" s="56" t="s">
        <v>594</v>
      </c>
      <c r="G59" s="56" t="s">
        <v>619</v>
      </c>
      <c r="H59" s="56" t="s">
        <v>612</v>
      </c>
      <c r="I59" s="55">
        <v>4</v>
      </c>
      <c r="J59" s="59" t="s">
        <v>628</v>
      </c>
    </row>
    <row r="60" spans="2:10" ht="17.399999999999999" x14ac:dyDescent="0.45">
      <c r="B60" s="29" t="s">
        <v>84</v>
      </c>
      <c r="C60" s="3" t="s">
        <v>10</v>
      </c>
      <c r="D60" s="3" t="s">
        <v>32</v>
      </c>
      <c r="E60" s="3" t="s">
        <v>8</v>
      </c>
      <c r="F60" s="33" t="s">
        <v>600</v>
      </c>
      <c r="G60" s="33" t="s">
        <v>619</v>
      </c>
      <c r="H60" s="33" t="s">
        <v>612</v>
      </c>
      <c r="I60" s="33">
        <f>INDEX(Auxiliar!$D$5:$F$11,MATCH(Table1[[#This Row],[Tipologia_Testes]],Auxiliar!$B$5:$B$11,0),MATCH(Table1[[#This Row],[Complexidade]],Auxiliar!$D$4:$F$4,0))</f>
        <v>8</v>
      </c>
      <c r="J60" s="3" t="s">
        <v>618</v>
      </c>
    </row>
    <row r="61" spans="2:10" ht="17.399999999999999" x14ac:dyDescent="0.45">
      <c r="B61" s="29" t="s">
        <v>84</v>
      </c>
      <c r="C61" s="3" t="s">
        <v>10</v>
      </c>
      <c r="D61" s="3" t="s">
        <v>32</v>
      </c>
      <c r="E61" s="3" t="s">
        <v>8</v>
      </c>
      <c r="F61" s="44" t="s">
        <v>595</v>
      </c>
      <c r="G61" s="33" t="s">
        <v>619</v>
      </c>
      <c r="H61" s="33" t="s">
        <v>612</v>
      </c>
      <c r="I61" s="33">
        <f>INDEX(Auxiliar!$D$5:$F$11,MATCH(Table1[[#This Row],[Tipologia_Testes]],Auxiliar!$B$5:$B$11,0),MATCH(Table1[[#This Row],[Complexidade]],Auxiliar!$D$4:$F$4,0))</f>
        <v>8</v>
      </c>
      <c r="J61" s="3" t="s">
        <v>618</v>
      </c>
    </row>
    <row r="62" spans="2:10" ht="17.399999999999999" x14ac:dyDescent="0.45">
      <c r="B62" s="29" t="s">
        <v>84</v>
      </c>
      <c r="C62" s="3" t="s">
        <v>10</v>
      </c>
      <c r="D62" s="3" t="s">
        <v>32</v>
      </c>
      <c r="E62" s="3" t="s">
        <v>8</v>
      </c>
      <c r="F62" s="33" t="s">
        <v>603</v>
      </c>
      <c r="G62" s="33" t="s">
        <v>619</v>
      </c>
      <c r="H62" s="33" t="s">
        <v>612</v>
      </c>
      <c r="I62" s="33">
        <f>INDEX(Auxiliar!$D$5:$F$11,MATCH(Table1[[#This Row],[Tipologia_Testes]],Auxiliar!$B$5:$B$11,0),MATCH(Table1[[#This Row],[Complexidade]],Auxiliar!$D$4:$F$4,0))</f>
        <v>0.1</v>
      </c>
      <c r="J62" s="3" t="s">
        <v>618</v>
      </c>
    </row>
    <row r="63" spans="2:10" ht="17.399999999999999" x14ac:dyDescent="0.45">
      <c r="B63" s="29" t="s">
        <v>84</v>
      </c>
      <c r="C63" s="3" t="s">
        <v>10</v>
      </c>
      <c r="D63" s="3" t="s">
        <v>32</v>
      </c>
      <c r="E63" s="3" t="s">
        <v>8</v>
      </c>
      <c r="F63" s="33" t="s">
        <v>604</v>
      </c>
      <c r="G63" s="33" t="s">
        <v>619</v>
      </c>
      <c r="H63" s="33" t="s">
        <v>612</v>
      </c>
      <c r="I63" s="33">
        <f>INDEX(Auxiliar!$D$5:$F$11,MATCH(Table1[[#This Row],[Tipologia_Testes]],Auxiliar!$B$5:$B$11,0),MATCH(Table1[[#This Row],[Complexidade]],Auxiliar!$D$4:$F$4,0))</f>
        <v>2</v>
      </c>
      <c r="J63" s="3" t="s">
        <v>618</v>
      </c>
    </row>
    <row r="64" spans="2:10" ht="17.399999999999999" x14ac:dyDescent="0.45">
      <c r="B64" s="29" t="s">
        <v>84</v>
      </c>
      <c r="C64" s="3" t="s">
        <v>10</v>
      </c>
      <c r="D64" s="3" t="s">
        <v>31</v>
      </c>
      <c r="E64" s="4" t="s">
        <v>8</v>
      </c>
      <c r="F64" s="33" t="s">
        <v>594</v>
      </c>
      <c r="G64" s="33" t="s">
        <v>622</v>
      </c>
      <c r="H64" s="33" t="s">
        <v>611</v>
      </c>
      <c r="I64" s="33">
        <f>INDEX(Auxiliar!$D$5:$F$11,MATCH(Table1[[#This Row],[Tipologia_Testes]],Auxiliar!$B$5:$B$11,0),MATCH(Table1[[#This Row],[Complexidade]],Auxiliar!$D$4:$F$4,0))</f>
        <v>4</v>
      </c>
      <c r="J64" s="3"/>
    </row>
    <row r="65" spans="1:10" ht="17.399999999999999" x14ac:dyDescent="0.45">
      <c r="B65" s="29" t="s">
        <v>84</v>
      </c>
      <c r="C65" s="3" t="s">
        <v>10</v>
      </c>
      <c r="D65" s="3" t="s">
        <v>31</v>
      </c>
      <c r="E65" s="3" t="s">
        <v>8</v>
      </c>
      <c r="F65" s="33" t="s">
        <v>600</v>
      </c>
      <c r="G65" s="33" t="s">
        <v>622</v>
      </c>
      <c r="H65" s="33" t="s">
        <v>611</v>
      </c>
      <c r="I65" s="33">
        <f>INDEX(Auxiliar!$D$5:$F$11,MATCH(Table1[[#This Row],[Tipologia_Testes]],Auxiliar!$B$5:$B$11,0),MATCH(Table1[[#This Row],[Complexidade]],Auxiliar!$D$4:$F$4,0))</f>
        <v>4</v>
      </c>
      <c r="J65" s="3"/>
    </row>
    <row r="66" spans="1:10" ht="17.399999999999999" x14ac:dyDescent="0.45">
      <c r="B66" s="29" t="s">
        <v>84</v>
      </c>
      <c r="C66" s="3" t="s">
        <v>10</v>
      </c>
      <c r="D66" s="3" t="s">
        <v>31</v>
      </c>
      <c r="E66" s="3" t="s">
        <v>8</v>
      </c>
      <c r="F66" s="44" t="s">
        <v>595</v>
      </c>
      <c r="G66" s="44" t="s">
        <v>622</v>
      </c>
      <c r="H66" s="33" t="s">
        <v>611</v>
      </c>
      <c r="I66" s="33">
        <v>1</v>
      </c>
      <c r="J66" s="3" t="s">
        <v>623</v>
      </c>
    </row>
    <row r="67" spans="1:10" ht="17.399999999999999" x14ac:dyDescent="0.45">
      <c r="B67" s="29" t="s">
        <v>84</v>
      </c>
      <c r="C67" s="3" t="s">
        <v>10</v>
      </c>
      <c r="D67" s="3" t="s">
        <v>31</v>
      </c>
      <c r="E67" s="3" t="s">
        <v>8</v>
      </c>
      <c r="F67" s="33" t="s">
        <v>603</v>
      </c>
      <c r="G67" s="33" t="s">
        <v>622</v>
      </c>
      <c r="H67" s="33" t="s">
        <v>611</v>
      </c>
      <c r="I67" s="33">
        <f>INDEX(Auxiliar!$D$5:$F$11,MATCH(Table1[[#This Row],[Tipologia_Testes]],Auxiliar!$B$5:$B$11,0),MATCH(Table1[[#This Row],[Complexidade]],Auxiliar!$D$4:$F$4,0))</f>
        <v>0.1</v>
      </c>
      <c r="J67" s="3"/>
    </row>
    <row r="68" spans="1:10" ht="17.399999999999999" x14ac:dyDescent="0.45">
      <c r="B68" s="29" t="s">
        <v>84</v>
      </c>
      <c r="C68" s="3" t="s">
        <v>10</v>
      </c>
      <c r="D68" s="3" t="s">
        <v>31</v>
      </c>
      <c r="E68" s="3" t="s">
        <v>8</v>
      </c>
      <c r="F68" s="33" t="s">
        <v>604</v>
      </c>
      <c r="G68" s="33" t="s">
        <v>622</v>
      </c>
      <c r="H68" s="33" t="s">
        <v>610</v>
      </c>
      <c r="I68" s="33">
        <f>INDEX(Auxiliar!$D$5:$F$11,MATCH(Table1[[#This Row],[Tipologia_Testes]],Auxiliar!$B$5:$B$11,0),MATCH(Table1[[#This Row],[Complexidade]],Auxiliar!$D$4:$F$4,0))</f>
        <v>1</v>
      </c>
      <c r="J68" s="3"/>
    </row>
    <row r="69" spans="1:10" ht="17.399999999999999" x14ac:dyDescent="0.45">
      <c r="B69" s="29" t="s">
        <v>84</v>
      </c>
      <c r="C69" s="6" t="s">
        <v>10</v>
      </c>
      <c r="D69" s="6" t="s">
        <v>30</v>
      </c>
      <c r="E69" s="4" t="s">
        <v>8</v>
      </c>
      <c r="F69" s="33" t="s">
        <v>594</v>
      </c>
      <c r="G69" s="33" t="s">
        <v>622</v>
      </c>
      <c r="H69" s="33" t="s">
        <v>611</v>
      </c>
      <c r="I69" s="33">
        <f>INDEX(Auxiliar!$D$5:$F$11,MATCH(Table1[[#This Row],[Tipologia_Testes]],Auxiliar!$B$5:$B$11,0),MATCH(Table1[[#This Row],[Complexidade]],Auxiliar!$D$4:$F$4,0))</f>
        <v>4</v>
      </c>
      <c r="J69" s="3"/>
    </row>
    <row r="70" spans="1:10" ht="17.399999999999999" x14ac:dyDescent="0.45">
      <c r="B70" s="29" t="s">
        <v>84</v>
      </c>
      <c r="C70" s="3" t="s">
        <v>10</v>
      </c>
      <c r="D70" s="3" t="s">
        <v>30</v>
      </c>
      <c r="E70" s="3" t="s">
        <v>8</v>
      </c>
      <c r="F70" s="33" t="s">
        <v>600</v>
      </c>
      <c r="G70" s="33" t="s">
        <v>622</v>
      </c>
      <c r="H70" s="33" t="s">
        <v>611</v>
      </c>
      <c r="I70" s="33">
        <f>INDEX(Auxiliar!$D$5:$F$11,MATCH(Table1[[#This Row],[Tipologia_Testes]],Auxiliar!$B$5:$B$11,0),MATCH(Table1[[#This Row],[Complexidade]],Auxiliar!$D$4:$F$4,0))</f>
        <v>4</v>
      </c>
      <c r="J70" s="3"/>
    </row>
    <row r="71" spans="1:10" ht="17.399999999999999" x14ac:dyDescent="0.45">
      <c r="B71" s="29" t="s">
        <v>84</v>
      </c>
      <c r="C71" s="3" t="s">
        <v>10</v>
      </c>
      <c r="D71" s="3" t="s">
        <v>30</v>
      </c>
      <c r="E71" s="3" t="s">
        <v>8</v>
      </c>
      <c r="F71" s="44" t="s">
        <v>595</v>
      </c>
      <c r="G71" s="44" t="s">
        <v>622</v>
      </c>
      <c r="H71" s="33" t="s">
        <v>611</v>
      </c>
      <c r="I71" s="33">
        <v>1</v>
      </c>
      <c r="J71" s="3" t="s">
        <v>623</v>
      </c>
    </row>
    <row r="72" spans="1:10" ht="17.399999999999999" x14ac:dyDescent="0.45">
      <c r="A72" t="s">
        <v>90</v>
      </c>
      <c r="B72" s="29" t="s">
        <v>84</v>
      </c>
      <c r="C72" s="3" t="s">
        <v>10</v>
      </c>
      <c r="D72" s="3" t="s">
        <v>30</v>
      </c>
      <c r="E72" s="3" t="s">
        <v>8</v>
      </c>
      <c r="F72" s="33" t="s">
        <v>603</v>
      </c>
      <c r="G72" s="33" t="s">
        <v>622</v>
      </c>
      <c r="H72" s="33" t="s">
        <v>611</v>
      </c>
      <c r="I72" s="33">
        <f>INDEX(Auxiliar!$D$5:$F$11,MATCH(Table1[[#This Row],[Tipologia_Testes]],Auxiliar!$B$5:$B$11,0),MATCH(Table1[[#This Row],[Complexidade]],Auxiliar!$D$4:$F$4,0))</f>
        <v>0.1</v>
      </c>
      <c r="J72" s="3"/>
    </row>
    <row r="73" spans="1:10" ht="17.399999999999999" x14ac:dyDescent="0.45">
      <c r="A73" t="s">
        <v>90</v>
      </c>
      <c r="B73" s="29" t="s">
        <v>84</v>
      </c>
      <c r="C73" s="3" t="s">
        <v>10</v>
      </c>
      <c r="D73" s="3" t="s">
        <v>30</v>
      </c>
      <c r="E73" s="3" t="s">
        <v>8</v>
      </c>
      <c r="F73" s="33" t="s">
        <v>604</v>
      </c>
      <c r="G73" s="33" t="s">
        <v>622</v>
      </c>
      <c r="H73" s="33" t="s">
        <v>610</v>
      </c>
      <c r="I73" s="33">
        <f>INDEX(Auxiliar!$D$5:$F$11,MATCH(Table1[[#This Row],[Tipologia_Testes]],Auxiliar!$B$5:$B$11,0),MATCH(Table1[[#This Row],[Complexidade]],Auxiliar!$D$4:$F$4,0))</f>
        <v>1</v>
      </c>
      <c r="J73" s="3"/>
    </row>
    <row r="74" spans="1:10" ht="17.399999999999999" x14ac:dyDescent="0.45">
      <c r="A74" t="s">
        <v>90</v>
      </c>
      <c r="B74" s="29" t="s">
        <v>84</v>
      </c>
      <c r="C74" s="3" t="s">
        <v>10</v>
      </c>
      <c r="D74" s="3" t="s">
        <v>29</v>
      </c>
      <c r="E74" s="4" t="s">
        <v>8</v>
      </c>
      <c r="F74" s="33" t="s">
        <v>594</v>
      </c>
      <c r="G74" s="42" t="s">
        <v>622</v>
      </c>
      <c r="H74" s="33" t="s">
        <v>611</v>
      </c>
      <c r="I74" s="33">
        <f>INDEX(Auxiliar!$D$5:$F$11,MATCH(Table1[[#This Row],[Tipologia_Testes]],Auxiliar!$B$5:$B$11,0),MATCH(Table1[[#This Row],[Complexidade]],Auxiliar!$D$4:$F$4,0))</f>
        <v>4</v>
      </c>
      <c r="J74" s="3"/>
    </row>
    <row r="75" spans="1:10" ht="17.399999999999999" x14ac:dyDescent="0.45">
      <c r="A75" t="s">
        <v>90</v>
      </c>
      <c r="B75" s="29" t="s">
        <v>84</v>
      </c>
      <c r="C75" s="3" t="s">
        <v>10</v>
      </c>
      <c r="D75" s="3" t="s">
        <v>29</v>
      </c>
      <c r="E75" s="3" t="s">
        <v>8</v>
      </c>
      <c r="F75" s="33" t="s">
        <v>600</v>
      </c>
      <c r="G75" s="42" t="s">
        <v>622</v>
      </c>
      <c r="H75" s="33" t="s">
        <v>611</v>
      </c>
      <c r="I75" s="33">
        <f>INDEX(Auxiliar!$D$5:$F$11,MATCH(Table1[[#This Row],[Tipologia_Testes]],Auxiliar!$B$5:$B$11,0),MATCH(Table1[[#This Row],[Complexidade]],Auxiliar!$D$4:$F$4,0))</f>
        <v>4</v>
      </c>
      <c r="J75" s="3"/>
    </row>
    <row r="76" spans="1:10" ht="17.399999999999999" x14ac:dyDescent="0.45">
      <c r="A76" t="s">
        <v>90</v>
      </c>
      <c r="B76" s="29" t="s">
        <v>84</v>
      </c>
      <c r="C76" s="3" t="s">
        <v>10</v>
      </c>
      <c r="D76" s="3" t="s">
        <v>29</v>
      </c>
      <c r="E76" s="3" t="s">
        <v>8</v>
      </c>
      <c r="F76" s="44" t="s">
        <v>595</v>
      </c>
      <c r="G76" s="42" t="s">
        <v>622</v>
      </c>
      <c r="H76" s="33" t="s">
        <v>611</v>
      </c>
      <c r="I76" s="33">
        <f>INDEX(Auxiliar!$D$5:$F$11,MATCH(Table1[[#This Row],[Tipologia_Testes]],Auxiliar!$B$5:$B$11,0),MATCH(Table1[[#This Row],[Complexidade]],Auxiliar!$D$4:$F$4,0))</f>
        <v>4</v>
      </c>
      <c r="J76" s="3"/>
    </row>
    <row r="77" spans="1:10" ht="17.399999999999999" x14ac:dyDescent="0.45">
      <c r="A77" t="s">
        <v>90</v>
      </c>
      <c r="B77" s="29" t="s">
        <v>84</v>
      </c>
      <c r="C77" s="3" t="s">
        <v>10</v>
      </c>
      <c r="D77" s="3" t="s">
        <v>29</v>
      </c>
      <c r="E77" s="3" t="s">
        <v>8</v>
      </c>
      <c r="F77" s="33" t="s">
        <v>603</v>
      </c>
      <c r="G77" s="42" t="s">
        <v>622</v>
      </c>
      <c r="H77" s="33" t="s">
        <v>611</v>
      </c>
      <c r="I77" s="33">
        <v>0.1</v>
      </c>
      <c r="J77" s="3"/>
    </row>
    <row r="78" spans="1:10" ht="17.399999999999999" x14ac:dyDescent="0.45">
      <c r="B78" s="29" t="s">
        <v>84</v>
      </c>
      <c r="C78" s="3" t="s">
        <v>10</v>
      </c>
      <c r="D78" s="3" t="s">
        <v>29</v>
      </c>
      <c r="E78" s="3" t="s">
        <v>8</v>
      </c>
      <c r="F78" s="33" t="s">
        <v>604</v>
      </c>
      <c r="G78" s="42" t="s">
        <v>622</v>
      </c>
      <c r="H78" s="33" t="s">
        <v>611</v>
      </c>
      <c r="I78" s="33">
        <f>INDEX(Auxiliar!$D$5:$F$11,MATCH(Table1[[#This Row],[Tipologia_Testes]],Auxiliar!$B$5:$B$11,0),MATCH(Table1[[#This Row],[Complexidade]],Auxiliar!$D$4:$F$4,0))</f>
        <v>2</v>
      </c>
      <c r="J78" s="3"/>
    </row>
    <row r="79" spans="1:10" ht="17.399999999999999" x14ac:dyDescent="0.45">
      <c r="B79" s="29" t="s">
        <v>84</v>
      </c>
      <c r="C79" s="3" t="s">
        <v>10</v>
      </c>
      <c r="D79" s="3" t="s">
        <v>28</v>
      </c>
      <c r="E79" s="4" t="s">
        <v>8</v>
      </c>
      <c r="F79" s="33" t="s">
        <v>594</v>
      </c>
      <c r="G79" s="33" t="s">
        <v>622</v>
      </c>
      <c r="H79" s="33" t="s">
        <v>611</v>
      </c>
      <c r="I79" s="33">
        <f>INDEX(Auxiliar!$D$5:$F$11,MATCH(Table1[[#This Row],[Tipologia_Testes]],Auxiliar!$B$5:$B$11,0),MATCH(Table1[[#This Row],[Complexidade]],Auxiliar!$D$4:$F$4,0))</f>
        <v>4</v>
      </c>
      <c r="J79" s="3"/>
    </row>
    <row r="80" spans="1:10" ht="17.399999999999999" x14ac:dyDescent="0.45">
      <c r="B80" s="29" t="s">
        <v>84</v>
      </c>
      <c r="C80" s="3" t="s">
        <v>10</v>
      </c>
      <c r="D80" s="3" t="s">
        <v>28</v>
      </c>
      <c r="E80" s="3" t="s">
        <v>8</v>
      </c>
      <c r="F80" s="33" t="s">
        <v>600</v>
      </c>
      <c r="G80" s="33" t="s">
        <v>622</v>
      </c>
      <c r="H80" s="33" t="s">
        <v>611</v>
      </c>
      <c r="I80" s="33">
        <f>INDEX(Auxiliar!$D$5:$F$11,MATCH(Table1[[#This Row],[Tipologia_Testes]],Auxiliar!$B$5:$B$11,0),MATCH(Table1[[#This Row],[Complexidade]],Auxiliar!$D$4:$F$4,0))</f>
        <v>4</v>
      </c>
      <c r="J80" s="3"/>
    </row>
    <row r="81" spans="1:10" ht="17.399999999999999" x14ac:dyDescent="0.45">
      <c r="A81" t="s">
        <v>90</v>
      </c>
      <c r="B81" s="29" t="s">
        <v>84</v>
      </c>
      <c r="C81" s="3" t="s">
        <v>10</v>
      </c>
      <c r="D81" s="3" t="s">
        <v>28</v>
      </c>
      <c r="E81" s="3" t="s">
        <v>8</v>
      </c>
      <c r="F81" s="33" t="s">
        <v>603</v>
      </c>
      <c r="G81" s="33" t="s">
        <v>622</v>
      </c>
      <c r="H81" s="33" t="s">
        <v>611</v>
      </c>
      <c r="I81" s="33">
        <f>INDEX(Auxiliar!$D$5:$F$11,MATCH(Table1[[#This Row],[Tipologia_Testes]],Auxiliar!$B$5:$B$11,0),MATCH(Table1[[#This Row],[Complexidade]],Auxiliar!$D$4:$F$4,0))</f>
        <v>0.1</v>
      </c>
      <c r="J81" s="3"/>
    </row>
    <row r="82" spans="1:10" ht="17.399999999999999" x14ac:dyDescent="0.45">
      <c r="A82" t="s">
        <v>90</v>
      </c>
      <c r="B82" s="29" t="s">
        <v>84</v>
      </c>
      <c r="C82" s="3" t="s">
        <v>10</v>
      </c>
      <c r="D82" s="3" t="s">
        <v>28</v>
      </c>
      <c r="E82" s="3" t="s">
        <v>8</v>
      </c>
      <c r="F82" s="33" t="s">
        <v>604</v>
      </c>
      <c r="G82" s="33" t="s">
        <v>622</v>
      </c>
      <c r="H82" s="33" t="s">
        <v>611</v>
      </c>
      <c r="I82" s="33">
        <f>INDEX(Auxiliar!$D$5:$F$11,MATCH(Table1[[#This Row],[Tipologia_Testes]],Auxiliar!$B$5:$B$11,0),MATCH(Table1[[#This Row],[Complexidade]],Auxiliar!$D$4:$F$4,0))</f>
        <v>2</v>
      </c>
      <c r="J82" s="3"/>
    </row>
    <row r="83" spans="1:10" ht="17.399999999999999" x14ac:dyDescent="0.45">
      <c r="A83" t="s">
        <v>90</v>
      </c>
      <c r="B83" s="29" t="s">
        <v>84</v>
      </c>
      <c r="C83" s="3" t="s">
        <v>10</v>
      </c>
      <c r="D83" s="3" t="s">
        <v>27</v>
      </c>
      <c r="E83" s="3" t="s">
        <v>8</v>
      </c>
      <c r="F83" s="33" t="s">
        <v>600</v>
      </c>
      <c r="G83" s="33" t="s">
        <v>622</v>
      </c>
      <c r="H83" s="44" t="s">
        <v>610</v>
      </c>
      <c r="I83" s="33">
        <v>0.1</v>
      </c>
      <c r="J83" s="3" t="s">
        <v>626</v>
      </c>
    </row>
    <row r="84" spans="1:10" ht="17.399999999999999" x14ac:dyDescent="0.45">
      <c r="B84" s="29" t="s">
        <v>84</v>
      </c>
      <c r="C84" s="3" t="s">
        <v>10</v>
      </c>
      <c r="D84" s="3" t="s">
        <v>26</v>
      </c>
      <c r="E84" s="4" t="s">
        <v>8</v>
      </c>
      <c r="F84" s="44" t="s">
        <v>594</v>
      </c>
      <c r="G84" s="33" t="s">
        <v>622</v>
      </c>
      <c r="H84" s="44" t="s">
        <v>611</v>
      </c>
      <c r="I84" s="33">
        <f>INDEX(Auxiliar!$D$5:$F$11,MATCH(Table1[[#This Row],[Tipologia_Testes]],Auxiliar!$B$5:$B$11,0),MATCH(Table1[[#This Row],[Complexidade]],Auxiliar!$D$4:$F$4,0))</f>
        <v>4</v>
      </c>
      <c r="J84" s="3"/>
    </row>
    <row r="85" spans="1:10" ht="17.399999999999999" x14ac:dyDescent="0.45">
      <c r="A85" t="s">
        <v>90</v>
      </c>
      <c r="B85" s="29" t="s">
        <v>84</v>
      </c>
      <c r="C85" s="3" t="s">
        <v>10</v>
      </c>
      <c r="D85" s="3" t="s">
        <v>26</v>
      </c>
      <c r="E85" s="3" t="s">
        <v>8</v>
      </c>
      <c r="F85" s="44" t="s">
        <v>600</v>
      </c>
      <c r="G85" s="33" t="s">
        <v>622</v>
      </c>
      <c r="H85" s="44" t="s">
        <v>611</v>
      </c>
      <c r="I85" s="33">
        <f>INDEX(Auxiliar!$D$5:$F$11,MATCH(Table1[[#This Row],[Tipologia_Testes]],Auxiliar!$B$5:$B$11,0),MATCH(Table1[[#This Row],[Complexidade]],Auxiliar!$D$4:$F$4,0))</f>
        <v>4</v>
      </c>
      <c r="J85" s="3"/>
    </row>
    <row r="86" spans="1:10" ht="17.399999999999999" x14ac:dyDescent="0.45">
      <c r="B86" s="29" t="s">
        <v>84</v>
      </c>
      <c r="C86" s="3" t="s">
        <v>10</v>
      </c>
      <c r="D86" s="3" t="s">
        <v>26</v>
      </c>
      <c r="E86" s="3" t="s">
        <v>8</v>
      </c>
      <c r="F86" s="44" t="s">
        <v>595</v>
      </c>
      <c r="G86" s="33" t="s">
        <v>622</v>
      </c>
      <c r="H86" s="44" t="s">
        <v>611</v>
      </c>
      <c r="I86" s="33">
        <v>1</v>
      </c>
      <c r="J86" s="3"/>
    </row>
    <row r="87" spans="1:10" ht="17.399999999999999" x14ac:dyDescent="0.45">
      <c r="B87" s="29" t="s">
        <v>84</v>
      </c>
      <c r="C87" s="3" t="s">
        <v>10</v>
      </c>
      <c r="D87" s="3" t="s">
        <v>26</v>
      </c>
      <c r="E87" s="3" t="s">
        <v>8</v>
      </c>
      <c r="F87" s="44" t="s">
        <v>603</v>
      </c>
      <c r="G87" s="33" t="s">
        <v>622</v>
      </c>
      <c r="H87" s="44" t="s">
        <v>611</v>
      </c>
      <c r="I87" s="33">
        <f>INDEX(Auxiliar!$D$5:$F$11,MATCH(Table1[[#This Row],[Tipologia_Testes]],Auxiliar!$B$5:$B$11,0),MATCH(Table1[[#This Row],[Complexidade]],Auxiliar!$D$4:$F$4,0))</f>
        <v>0.1</v>
      </c>
      <c r="J87" s="3"/>
    </row>
    <row r="88" spans="1:10" ht="17.399999999999999" x14ac:dyDescent="0.45">
      <c r="B88" s="29" t="s">
        <v>84</v>
      </c>
      <c r="C88" s="3" t="s">
        <v>10</v>
      </c>
      <c r="D88" s="3" t="s">
        <v>26</v>
      </c>
      <c r="E88" s="3" t="s">
        <v>8</v>
      </c>
      <c r="F88" s="44" t="s">
        <v>604</v>
      </c>
      <c r="G88" s="33" t="s">
        <v>622</v>
      </c>
      <c r="H88" s="44" t="s">
        <v>610</v>
      </c>
      <c r="I88" s="33">
        <f>INDEX(Auxiliar!$D$5:$F$11,MATCH(Table1[[#This Row],[Tipologia_Testes]],Auxiliar!$B$5:$B$11,0),MATCH(Table1[[#This Row],[Complexidade]],Auxiliar!$D$4:$F$4,0))</f>
        <v>1</v>
      </c>
      <c r="J88" s="3"/>
    </row>
    <row r="89" spans="1:10" ht="17.399999999999999" x14ac:dyDescent="0.45">
      <c r="B89" s="29" t="s">
        <v>84</v>
      </c>
      <c r="C89" s="3" t="s">
        <v>10</v>
      </c>
      <c r="D89" s="3" t="s">
        <v>25</v>
      </c>
      <c r="E89" s="4" t="s">
        <v>8</v>
      </c>
      <c r="F89" s="44" t="s">
        <v>594</v>
      </c>
      <c r="G89" s="33" t="s">
        <v>622</v>
      </c>
      <c r="H89" s="44" t="s">
        <v>611</v>
      </c>
      <c r="I89" s="33">
        <f>INDEX(Auxiliar!$D$5:$F$11,MATCH(Table1[[#This Row],[Tipologia_Testes]],Auxiliar!$B$5:$B$11,0),MATCH(Table1[[#This Row],[Complexidade]],Auxiliar!$D$4:$F$4,0))</f>
        <v>4</v>
      </c>
      <c r="J89" s="3"/>
    </row>
    <row r="90" spans="1:10" ht="17.399999999999999" x14ac:dyDescent="0.45">
      <c r="B90" s="29" t="s">
        <v>84</v>
      </c>
      <c r="C90" s="3" t="s">
        <v>10</v>
      </c>
      <c r="D90" s="3" t="s">
        <v>25</v>
      </c>
      <c r="E90" s="3" t="s">
        <v>8</v>
      </c>
      <c r="F90" s="44" t="s">
        <v>600</v>
      </c>
      <c r="G90" s="33" t="s">
        <v>622</v>
      </c>
      <c r="H90" s="44" t="s">
        <v>611</v>
      </c>
      <c r="I90" s="33">
        <f>INDEX(Auxiliar!$D$5:$F$11,MATCH(Table1[[#This Row],[Tipologia_Testes]],Auxiliar!$B$5:$B$11,0),MATCH(Table1[[#This Row],[Complexidade]],Auxiliar!$D$4:$F$4,0))</f>
        <v>4</v>
      </c>
      <c r="J90" s="3"/>
    </row>
    <row r="91" spans="1:10" ht="17.399999999999999" x14ac:dyDescent="0.45">
      <c r="B91" s="29" t="s">
        <v>84</v>
      </c>
      <c r="C91" s="3" t="s">
        <v>10</v>
      </c>
      <c r="D91" s="3" t="s">
        <v>25</v>
      </c>
      <c r="E91" s="3" t="s">
        <v>8</v>
      </c>
      <c r="F91" s="44" t="s">
        <v>595</v>
      </c>
      <c r="G91" s="33" t="s">
        <v>622</v>
      </c>
      <c r="H91" s="44" t="s">
        <v>611</v>
      </c>
      <c r="I91" s="33">
        <v>1</v>
      </c>
      <c r="J91" s="3"/>
    </row>
    <row r="92" spans="1:10" ht="17.399999999999999" x14ac:dyDescent="0.45">
      <c r="B92" s="29" t="s">
        <v>84</v>
      </c>
      <c r="C92" s="3" t="s">
        <v>10</v>
      </c>
      <c r="D92" s="3" t="s">
        <v>25</v>
      </c>
      <c r="E92" s="3" t="s">
        <v>8</v>
      </c>
      <c r="F92" s="44" t="s">
        <v>603</v>
      </c>
      <c r="G92" s="33" t="s">
        <v>622</v>
      </c>
      <c r="H92" s="44" t="s">
        <v>611</v>
      </c>
      <c r="I92" s="33">
        <f>INDEX(Auxiliar!$D$5:$F$11,MATCH(Table1[[#This Row],[Tipologia_Testes]],Auxiliar!$B$5:$B$11,0),MATCH(Table1[[#This Row],[Complexidade]],Auxiliar!$D$4:$F$4,0))</f>
        <v>0.1</v>
      </c>
      <c r="J92" s="3"/>
    </row>
    <row r="93" spans="1:10" ht="17.399999999999999" x14ac:dyDescent="0.45">
      <c r="B93" s="29" t="s">
        <v>84</v>
      </c>
      <c r="C93" s="3" t="s">
        <v>10</v>
      </c>
      <c r="D93" s="3" t="s">
        <v>25</v>
      </c>
      <c r="E93" s="3" t="s">
        <v>8</v>
      </c>
      <c r="F93" s="44" t="s">
        <v>604</v>
      </c>
      <c r="G93" s="33" t="s">
        <v>622</v>
      </c>
      <c r="H93" s="44" t="s">
        <v>610</v>
      </c>
      <c r="I93" s="33">
        <f>INDEX(Auxiliar!$D$5:$F$11,MATCH(Table1[[#This Row],[Tipologia_Testes]],Auxiliar!$B$5:$B$11,0),MATCH(Table1[[#This Row],[Complexidade]],Auxiliar!$D$4:$F$4,0))</f>
        <v>1</v>
      </c>
      <c r="J93" s="3"/>
    </row>
    <row r="94" spans="1:10" ht="17.399999999999999" x14ac:dyDescent="0.45">
      <c r="B94" s="29" t="s">
        <v>84</v>
      </c>
      <c r="C94" s="3" t="s">
        <v>10</v>
      </c>
      <c r="D94" s="7" t="s">
        <v>92</v>
      </c>
      <c r="E94" s="3" t="s">
        <v>8</v>
      </c>
      <c r="F94" s="44" t="s">
        <v>600</v>
      </c>
      <c r="G94" s="33" t="s">
        <v>622</v>
      </c>
      <c r="H94" s="44" t="s">
        <v>610</v>
      </c>
      <c r="I94" s="33">
        <v>0.1</v>
      </c>
      <c r="J94" s="3" t="s">
        <v>626</v>
      </c>
    </row>
    <row r="95" spans="1:10" ht="17.399999999999999" x14ac:dyDescent="0.45">
      <c r="A95" t="s">
        <v>90</v>
      </c>
      <c r="B95" s="29" t="s">
        <v>84</v>
      </c>
      <c r="C95" s="3" t="s">
        <v>10</v>
      </c>
      <c r="D95" s="5" t="s">
        <v>23</v>
      </c>
      <c r="E95" s="4" t="s">
        <v>8</v>
      </c>
      <c r="F95" s="44" t="s">
        <v>594</v>
      </c>
      <c r="G95" s="33" t="s">
        <v>622</v>
      </c>
      <c r="H95" s="44" t="s">
        <v>612</v>
      </c>
      <c r="I95" s="63">
        <v>4</v>
      </c>
      <c r="J95" s="3" t="s">
        <v>629</v>
      </c>
    </row>
    <row r="96" spans="1:10" ht="17.399999999999999" x14ac:dyDescent="0.45">
      <c r="A96" t="s">
        <v>90</v>
      </c>
      <c r="B96" s="29" t="s">
        <v>84</v>
      </c>
      <c r="C96" s="3" t="s">
        <v>10</v>
      </c>
      <c r="D96" s="3" t="s">
        <v>23</v>
      </c>
      <c r="E96" s="3" t="s">
        <v>8</v>
      </c>
      <c r="F96" s="44" t="s">
        <v>600</v>
      </c>
      <c r="G96" s="33" t="s">
        <v>622</v>
      </c>
      <c r="H96" s="44" t="s">
        <v>612</v>
      </c>
      <c r="I96" s="33">
        <f>INDEX(Auxiliar!$D$5:$F$11,MATCH(Table1[[#This Row],[Tipologia_Testes]],Auxiliar!$B$5:$B$11,0),MATCH(Table1[[#This Row],[Complexidade]],Auxiliar!$D$4:$F$4,0))</f>
        <v>8</v>
      </c>
      <c r="J96" s="3"/>
    </row>
    <row r="97" spans="1:10" ht="17.399999999999999" x14ac:dyDescent="0.45">
      <c r="B97" s="29" t="s">
        <v>84</v>
      </c>
      <c r="C97" s="3" t="s">
        <v>10</v>
      </c>
      <c r="D97" s="3" t="s">
        <v>23</v>
      </c>
      <c r="E97" s="3" t="s">
        <v>8</v>
      </c>
      <c r="F97" s="44" t="s">
        <v>595</v>
      </c>
      <c r="G97" s="33" t="s">
        <v>622</v>
      </c>
      <c r="H97" s="44" t="s">
        <v>612</v>
      </c>
      <c r="I97" s="33">
        <v>1</v>
      </c>
      <c r="J97" s="3" t="s">
        <v>630</v>
      </c>
    </row>
    <row r="98" spans="1:10" ht="17.399999999999999" x14ac:dyDescent="0.45">
      <c r="B98" s="29" t="s">
        <v>84</v>
      </c>
      <c r="C98" s="3" t="s">
        <v>10</v>
      </c>
      <c r="D98" s="3" t="s">
        <v>23</v>
      </c>
      <c r="E98" s="3" t="s">
        <v>8</v>
      </c>
      <c r="F98" s="44" t="s">
        <v>603</v>
      </c>
      <c r="G98" s="33" t="s">
        <v>622</v>
      </c>
      <c r="H98" s="44" t="s">
        <v>612</v>
      </c>
      <c r="I98" s="33">
        <v>0.1</v>
      </c>
      <c r="J98" s="3" t="s">
        <v>631</v>
      </c>
    </row>
    <row r="99" spans="1:10" ht="17.399999999999999" x14ac:dyDescent="0.45">
      <c r="B99" s="29" t="s">
        <v>84</v>
      </c>
      <c r="C99" s="3" t="s">
        <v>10</v>
      </c>
      <c r="D99" s="3" t="s">
        <v>23</v>
      </c>
      <c r="E99" s="3" t="s">
        <v>8</v>
      </c>
      <c r="F99" s="44" t="s">
        <v>604</v>
      </c>
      <c r="G99" s="33" t="s">
        <v>622</v>
      </c>
      <c r="H99" s="44" t="s">
        <v>612</v>
      </c>
      <c r="I99" s="33">
        <f>INDEX(Auxiliar!$D$5:$F$11,MATCH(Table1[[#This Row],[Tipologia_Testes]],Auxiliar!$B$5:$B$11,0),MATCH(Table1[[#This Row],[Complexidade]],Auxiliar!$D$4:$F$4,0))</f>
        <v>2</v>
      </c>
      <c r="J99" s="3"/>
    </row>
    <row r="100" spans="1:10" ht="17.399999999999999" x14ac:dyDescent="0.45">
      <c r="B100" s="29" t="s">
        <v>84</v>
      </c>
      <c r="C100" s="3" t="s">
        <v>10</v>
      </c>
      <c r="D100" s="3" t="s">
        <v>93</v>
      </c>
      <c r="E100" s="3" t="s">
        <v>8</v>
      </c>
      <c r="F100" s="44" t="s">
        <v>600</v>
      </c>
      <c r="G100" s="33" t="s">
        <v>622</v>
      </c>
      <c r="H100" s="44" t="s">
        <v>610</v>
      </c>
      <c r="I100" s="33">
        <v>0.1</v>
      </c>
      <c r="J100" s="3" t="s">
        <v>626</v>
      </c>
    </row>
    <row r="101" spans="1:10" ht="17.399999999999999" x14ac:dyDescent="0.45">
      <c r="A101" t="s">
        <v>90</v>
      </c>
      <c r="B101" s="29" t="s">
        <v>84</v>
      </c>
      <c r="C101" s="3" t="s">
        <v>10</v>
      </c>
      <c r="D101" s="3" t="s">
        <v>21</v>
      </c>
      <c r="E101" s="4" t="s">
        <v>8</v>
      </c>
      <c r="F101" s="44" t="s">
        <v>594</v>
      </c>
      <c r="G101" s="33" t="s">
        <v>622</v>
      </c>
      <c r="H101" s="44" t="s">
        <v>612</v>
      </c>
      <c r="I101" s="63">
        <v>4</v>
      </c>
      <c r="J101" s="3" t="s">
        <v>629</v>
      </c>
    </row>
    <row r="102" spans="1:10" ht="17.399999999999999" x14ac:dyDescent="0.45">
      <c r="A102" t="s">
        <v>90</v>
      </c>
      <c r="B102" s="29" t="s">
        <v>84</v>
      </c>
      <c r="C102" s="3" t="s">
        <v>10</v>
      </c>
      <c r="D102" s="3" t="s">
        <v>21</v>
      </c>
      <c r="E102" s="3" t="s">
        <v>8</v>
      </c>
      <c r="F102" s="44" t="s">
        <v>600</v>
      </c>
      <c r="G102" s="33" t="s">
        <v>622</v>
      </c>
      <c r="H102" s="44" t="s">
        <v>612</v>
      </c>
      <c r="I102" s="33">
        <f>INDEX(Auxiliar!$D$5:$F$11,MATCH(Table1[[#This Row],[Tipologia_Testes]],Auxiliar!$B$5:$B$11,0),MATCH(Table1[[#This Row],[Complexidade]],Auxiliar!$D$4:$F$4,0))</f>
        <v>8</v>
      </c>
      <c r="J102" s="3"/>
    </row>
    <row r="103" spans="1:10" ht="17.399999999999999" x14ac:dyDescent="0.45">
      <c r="A103" t="s">
        <v>90</v>
      </c>
      <c r="B103" s="29" t="s">
        <v>84</v>
      </c>
      <c r="C103" s="3" t="s">
        <v>10</v>
      </c>
      <c r="D103" s="3" t="s">
        <v>21</v>
      </c>
      <c r="E103" s="3" t="s">
        <v>8</v>
      </c>
      <c r="F103" s="44" t="s">
        <v>595</v>
      </c>
      <c r="G103" s="33" t="s">
        <v>622</v>
      </c>
      <c r="H103" s="44" t="s">
        <v>612</v>
      </c>
      <c r="I103" s="33">
        <v>1</v>
      </c>
      <c r="J103" s="3" t="s">
        <v>630</v>
      </c>
    </row>
    <row r="104" spans="1:10" ht="17.399999999999999" x14ac:dyDescent="0.45">
      <c r="A104" t="s">
        <v>90</v>
      </c>
      <c r="B104" s="29" t="s">
        <v>84</v>
      </c>
      <c r="C104" s="3" t="s">
        <v>10</v>
      </c>
      <c r="D104" s="3" t="s">
        <v>21</v>
      </c>
      <c r="E104" s="3" t="s">
        <v>8</v>
      </c>
      <c r="F104" s="44" t="s">
        <v>603</v>
      </c>
      <c r="G104" s="33" t="s">
        <v>622</v>
      </c>
      <c r="H104" s="44" t="s">
        <v>612</v>
      </c>
      <c r="I104" s="33">
        <v>0.1</v>
      </c>
      <c r="J104" s="3" t="s">
        <v>631</v>
      </c>
    </row>
    <row r="105" spans="1:10" ht="17.399999999999999" x14ac:dyDescent="0.45">
      <c r="B105" s="29" t="s">
        <v>84</v>
      </c>
      <c r="C105" s="3" t="s">
        <v>10</v>
      </c>
      <c r="D105" s="3" t="s">
        <v>21</v>
      </c>
      <c r="E105" s="3" t="s">
        <v>8</v>
      </c>
      <c r="F105" s="44" t="s">
        <v>604</v>
      </c>
      <c r="G105" s="33" t="s">
        <v>622</v>
      </c>
      <c r="H105" s="44" t="s">
        <v>612</v>
      </c>
      <c r="I105" s="33">
        <f>INDEX(Auxiliar!$D$5:$F$11,MATCH(Table1[[#This Row],[Tipologia_Testes]],Auxiliar!$B$5:$B$11,0),MATCH(Table1[[#This Row],[Complexidade]],Auxiliar!$D$4:$F$4,0))</f>
        <v>2</v>
      </c>
      <c r="J105" s="3"/>
    </row>
    <row r="106" spans="1:10" ht="17.399999999999999" x14ac:dyDescent="0.45">
      <c r="B106" s="29" t="s">
        <v>84</v>
      </c>
      <c r="C106" s="3" t="s">
        <v>10</v>
      </c>
      <c r="D106" s="3" t="s">
        <v>94</v>
      </c>
      <c r="E106" s="3" t="s">
        <v>8</v>
      </c>
      <c r="F106" s="44" t="s">
        <v>600</v>
      </c>
      <c r="G106" s="33" t="s">
        <v>622</v>
      </c>
      <c r="H106" s="44" t="s">
        <v>610</v>
      </c>
      <c r="I106" s="33">
        <v>0.1</v>
      </c>
      <c r="J106" s="3" t="s">
        <v>626</v>
      </c>
    </row>
    <row r="107" spans="1:10" ht="17.399999999999999" x14ac:dyDescent="0.45">
      <c r="A107" t="s">
        <v>90</v>
      </c>
      <c r="B107" s="29" t="s">
        <v>84</v>
      </c>
      <c r="C107" s="6" t="s">
        <v>10</v>
      </c>
      <c r="D107" s="6" t="s">
        <v>19</v>
      </c>
      <c r="E107" s="4" t="s">
        <v>8</v>
      </c>
      <c r="F107" s="44" t="s">
        <v>594</v>
      </c>
      <c r="G107" s="33" t="s">
        <v>622</v>
      </c>
      <c r="H107" s="44" t="s">
        <v>612</v>
      </c>
      <c r="I107" s="63">
        <v>4</v>
      </c>
      <c r="J107" s="3" t="s">
        <v>629</v>
      </c>
    </row>
    <row r="108" spans="1:10" ht="17.399999999999999" x14ac:dyDescent="0.45">
      <c r="A108" t="s">
        <v>90</v>
      </c>
      <c r="B108" s="29" t="s">
        <v>84</v>
      </c>
      <c r="C108" s="3" t="s">
        <v>10</v>
      </c>
      <c r="D108" s="3" t="s">
        <v>19</v>
      </c>
      <c r="E108" s="3" t="s">
        <v>8</v>
      </c>
      <c r="F108" s="44" t="s">
        <v>600</v>
      </c>
      <c r="G108" s="33" t="s">
        <v>622</v>
      </c>
      <c r="H108" s="44" t="s">
        <v>612</v>
      </c>
      <c r="I108" s="33">
        <f>INDEX(Auxiliar!$D$5:$F$11,MATCH(Table1[[#This Row],[Tipologia_Testes]],Auxiliar!$B$5:$B$11,0),MATCH(Table1[[#This Row],[Complexidade]],Auxiliar!$D$4:$F$4,0))</f>
        <v>8</v>
      </c>
      <c r="J108" s="3"/>
    </row>
    <row r="109" spans="1:10" ht="17.399999999999999" x14ac:dyDescent="0.45">
      <c r="B109" s="29" t="s">
        <v>84</v>
      </c>
      <c r="C109" s="3" t="s">
        <v>10</v>
      </c>
      <c r="D109" s="3" t="s">
        <v>19</v>
      </c>
      <c r="E109" s="3" t="s">
        <v>8</v>
      </c>
      <c r="F109" s="44" t="s">
        <v>595</v>
      </c>
      <c r="G109" s="33" t="s">
        <v>622</v>
      </c>
      <c r="H109" s="44" t="s">
        <v>612</v>
      </c>
      <c r="I109" s="33">
        <v>1</v>
      </c>
      <c r="J109" s="3" t="s">
        <v>630</v>
      </c>
    </row>
    <row r="110" spans="1:10" ht="17.399999999999999" x14ac:dyDescent="0.45">
      <c r="B110" s="29" t="s">
        <v>84</v>
      </c>
      <c r="C110" s="3" t="s">
        <v>10</v>
      </c>
      <c r="D110" s="3" t="s">
        <v>19</v>
      </c>
      <c r="E110" s="3" t="s">
        <v>8</v>
      </c>
      <c r="F110" s="44" t="s">
        <v>603</v>
      </c>
      <c r="G110" s="33" t="s">
        <v>622</v>
      </c>
      <c r="H110" s="44" t="s">
        <v>612</v>
      </c>
      <c r="I110" s="33">
        <v>0.1</v>
      </c>
      <c r="J110" s="3" t="s">
        <v>631</v>
      </c>
    </row>
    <row r="111" spans="1:10" ht="17.399999999999999" x14ac:dyDescent="0.45">
      <c r="B111" s="29" t="s">
        <v>84</v>
      </c>
      <c r="C111" s="3" t="s">
        <v>10</v>
      </c>
      <c r="D111" s="3" t="s">
        <v>19</v>
      </c>
      <c r="E111" s="3" t="s">
        <v>8</v>
      </c>
      <c r="F111" s="44" t="s">
        <v>604</v>
      </c>
      <c r="G111" s="33" t="s">
        <v>622</v>
      </c>
      <c r="H111" s="44" t="s">
        <v>612</v>
      </c>
      <c r="I111" s="33">
        <f>INDEX(Auxiliar!$D$5:$F$11,MATCH(Table1[[#This Row],[Tipologia_Testes]],Auxiliar!$B$5:$B$11,0),MATCH(Table1[[#This Row],[Complexidade]],Auxiliar!$D$4:$F$4,0))</f>
        <v>2</v>
      </c>
      <c r="J111" s="3"/>
    </row>
    <row r="112" spans="1:10" ht="17.399999999999999" x14ac:dyDescent="0.45">
      <c r="B112" s="29" t="s">
        <v>84</v>
      </c>
      <c r="C112" s="6" t="s">
        <v>10</v>
      </c>
      <c r="D112" s="6" t="s">
        <v>18</v>
      </c>
      <c r="E112" s="4" t="s">
        <v>8</v>
      </c>
      <c r="F112" s="44" t="s">
        <v>594</v>
      </c>
      <c r="G112" s="33" t="s">
        <v>622</v>
      </c>
      <c r="H112" s="44" t="s">
        <v>612</v>
      </c>
      <c r="I112" s="63">
        <v>4</v>
      </c>
      <c r="J112" s="3" t="s">
        <v>629</v>
      </c>
    </row>
    <row r="113" spans="1:10" ht="17.399999999999999" x14ac:dyDescent="0.45">
      <c r="A113" t="s">
        <v>90</v>
      </c>
      <c r="B113" s="29" t="s">
        <v>84</v>
      </c>
      <c r="C113" s="3" t="s">
        <v>10</v>
      </c>
      <c r="D113" s="3" t="s">
        <v>18</v>
      </c>
      <c r="E113" s="3" t="s">
        <v>8</v>
      </c>
      <c r="F113" s="44" t="s">
        <v>600</v>
      </c>
      <c r="G113" s="33" t="s">
        <v>622</v>
      </c>
      <c r="H113" s="44" t="s">
        <v>612</v>
      </c>
      <c r="I113" s="33">
        <f>INDEX(Auxiliar!$D$5:$F$11,MATCH(Table1[[#This Row],[Tipologia_Testes]],Auxiliar!$B$5:$B$11,0),MATCH(Table1[[#This Row],[Complexidade]],Auxiliar!$D$4:$F$4,0))</f>
        <v>8</v>
      </c>
      <c r="J113" s="3"/>
    </row>
    <row r="114" spans="1:10" ht="17.399999999999999" x14ac:dyDescent="0.45">
      <c r="B114" s="29" t="s">
        <v>84</v>
      </c>
      <c r="C114" s="3" t="s">
        <v>10</v>
      </c>
      <c r="D114" s="3" t="s">
        <v>18</v>
      </c>
      <c r="E114" s="3" t="s">
        <v>8</v>
      </c>
      <c r="F114" s="44" t="s">
        <v>595</v>
      </c>
      <c r="G114" s="33" t="s">
        <v>622</v>
      </c>
      <c r="H114" s="44" t="s">
        <v>612</v>
      </c>
      <c r="I114" s="33">
        <v>1</v>
      </c>
      <c r="J114" s="3" t="s">
        <v>630</v>
      </c>
    </row>
    <row r="115" spans="1:10" ht="17.399999999999999" x14ac:dyDescent="0.45">
      <c r="B115" s="29" t="s">
        <v>84</v>
      </c>
      <c r="C115" s="3" t="s">
        <v>10</v>
      </c>
      <c r="D115" s="3" t="s">
        <v>18</v>
      </c>
      <c r="E115" s="3" t="s">
        <v>8</v>
      </c>
      <c r="F115" s="44" t="s">
        <v>603</v>
      </c>
      <c r="G115" s="33" t="s">
        <v>622</v>
      </c>
      <c r="H115" s="44" t="s">
        <v>612</v>
      </c>
      <c r="I115" s="33">
        <v>0.1</v>
      </c>
      <c r="J115" s="3" t="s">
        <v>631</v>
      </c>
    </row>
    <row r="116" spans="1:10" ht="17.399999999999999" x14ac:dyDescent="0.45">
      <c r="B116" s="29" t="s">
        <v>84</v>
      </c>
      <c r="C116" s="3" t="s">
        <v>10</v>
      </c>
      <c r="D116" s="3" t="s">
        <v>18</v>
      </c>
      <c r="E116" s="3" t="s">
        <v>8</v>
      </c>
      <c r="F116" s="44" t="s">
        <v>604</v>
      </c>
      <c r="G116" s="33" t="s">
        <v>622</v>
      </c>
      <c r="H116" s="44" t="s">
        <v>612</v>
      </c>
      <c r="I116" s="33">
        <f>INDEX(Auxiliar!$D$5:$F$11,MATCH(Table1[[#This Row],[Tipologia_Testes]],Auxiliar!$B$5:$B$11,0),MATCH(Table1[[#This Row],[Complexidade]],Auxiliar!$D$4:$F$4,0))</f>
        <v>2</v>
      </c>
      <c r="J116" s="3"/>
    </row>
    <row r="117" spans="1:10" ht="17.399999999999999" x14ac:dyDescent="0.45">
      <c r="B117" s="29" t="s">
        <v>84</v>
      </c>
      <c r="C117" s="3" t="s">
        <v>10</v>
      </c>
      <c r="D117" s="3" t="s">
        <v>95</v>
      </c>
      <c r="E117" s="3" t="s">
        <v>8</v>
      </c>
      <c r="F117" s="44" t="s">
        <v>600</v>
      </c>
      <c r="G117" s="33" t="s">
        <v>622</v>
      </c>
      <c r="H117" s="44" t="s">
        <v>610</v>
      </c>
      <c r="I117" s="33">
        <v>0.1</v>
      </c>
      <c r="J117" s="3" t="s">
        <v>626</v>
      </c>
    </row>
    <row r="118" spans="1:10" ht="17.399999999999999" x14ac:dyDescent="0.45">
      <c r="B118" s="29" t="s">
        <v>84</v>
      </c>
      <c r="C118" s="3" t="s">
        <v>10</v>
      </c>
      <c r="D118" s="3" t="s">
        <v>16</v>
      </c>
      <c r="E118" s="4" t="s">
        <v>8</v>
      </c>
      <c r="F118" s="44" t="s">
        <v>594</v>
      </c>
      <c r="G118" s="33" t="s">
        <v>622</v>
      </c>
      <c r="H118" s="44" t="s">
        <v>612</v>
      </c>
      <c r="I118" s="63">
        <v>4</v>
      </c>
      <c r="J118" s="3" t="s">
        <v>629</v>
      </c>
    </row>
    <row r="119" spans="1:10" ht="17.399999999999999" x14ac:dyDescent="0.45">
      <c r="B119" s="29" t="s">
        <v>84</v>
      </c>
      <c r="C119" s="3" t="s">
        <v>10</v>
      </c>
      <c r="D119" s="3" t="s">
        <v>16</v>
      </c>
      <c r="E119" s="3" t="s">
        <v>8</v>
      </c>
      <c r="F119" s="44" t="s">
        <v>600</v>
      </c>
      <c r="G119" s="33" t="s">
        <v>622</v>
      </c>
      <c r="H119" s="44" t="s">
        <v>612</v>
      </c>
      <c r="I119" s="33">
        <f>INDEX(Auxiliar!$D$5:$F$11,MATCH(Table1[[#This Row],[Tipologia_Testes]],Auxiliar!$B$5:$B$11,0),MATCH(Table1[[#This Row],[Complexidade]],Auxiliar!$D$4:$F$4,0))</f>
        <v>8</v>
      </c>
      <c r="J119" s="3"/>
    </row>
    <row r="120" spans="1:10" ht="17.399999999999999" x14ac:dyDescent="0.45">
      <c r="B120" s="29" t="s">
        <v>84</v>
      </c>
      <c r="C120" s="3" t="s">
        <v>10</v>
      </c>
      <c r="D120" s="3" t="s">
        <v>16</v>
      </c>
      <c r="E120" s="3" t="s">
        <v>8</v>
      </c>
      <c r="F120" s="44" t="s">
        <v>595</v>
      </c>
      <c r="G120" s="33" t="s">
        <v>622</v>
      </c>
      <c r="H120" s="44" t="s">
        <v>612</v>
      </c>
      <c r="I120" s="33">
        <v>1</v>
      </c>
      <c r="J120" s="3" t="s">
        <v>630</v>
      </c>
    </row>
    <row r="121" spans="1:10" ht="17.399999999999999" x14ac:dyDescent="0.45">
      <c r="B121" s="29" t="s">
        <v>84</v>
      </c>
      <c r="C121" s="3" t="s">
        <v>10</v>
      </c>
      <c r="D121" s="3" t="s">
        <v>16</v>
      </c>
      <c r="E121" s="3" t="s">
        <v>8</v>
      </c>
      <c r="F121" s="44" t="s">
        <v>603</v>
      </c>
      <c r="G121" s="33" t="s">
        <v>622</v>
      </c>
      <c r="H121" s="44" t="s">
        <v>612</v>
      </c>
      <c r="I121" s="33">
        <v>0.1</v>
      </c>
      <c r="J121" s="3" t="s">
        <v>631</v>
      </c>
    </row>
    <row r="122" spans="1:10" ht="17.399999999999999" x14ac:dyDescent="0.45">
      <c r="B122" s="29" t="s">
        <v>84</v>
      </c>
      <c r="C122" s="3" t="s">
        <v>10</v>
      </c>
      <c r="D122" s="3" t="s">
        <v>16</v>
      </c>
      <c r="E122" s="3" t="s">
        <v>8</v>
      </c>
      <c r="F122" s="44" t="s">
        <v>604</v>
      </c>
      <c r="G122" s="33" t="s">
        <v>622</v>
      </c>
      <c r="H122" s="44" t="s">
        <v>612</v>
      </c>
      <c r="I122" s="33">
        <f>INDEX(Auxiliar!$D$5:$F$11,MATCH(Table1[[#This Row],[Tipologia_Testes]],Auxiliar!$B$5:$B$11,0),MATCH(Table1[[#This Row],[Complexidade]],Auxiliar!$D$4:$F$4,0))</f>
        <v>2</v>
      </c>
      <c r="J122" s="3"/>
    </row>
    <row r="123" spans="1:10" ht="17.399999999999999" x14ac:dyDescent="0.45">
      <c r="B123" s="29" t="s">
        <v>84</v>
      </c>
      <c r="C123" s="3" t="s">
        <v>10</v>
      </c>
      <c r="D123" s="5" t="s">
        <v>15</v>
      </c>
      <c r="E123" s="4" t="s">
        <v>8</v>
      </c>
      <c r="F123" s="44" t="s">
        <v>594</v>
      </c>
      <c r="G123" s="33" t="s">
        <v>622</v>
      </c>
      <c r="H123" s="44" t="s">
        <v>612</v>
      </c>
      <c r="I123" s="63">
        <v>4</v>
      </c>
      <c r="J123" s="3" t="s">
        <v>629</v>
      </c>
    </row>
    <row r="124" spans="1:10" ht="17.399999999999999" x14ac:dyDescent="0.45">
      <c r="B124" s="29" t="s">
        <v>84</v>
      </c>
      <c r="C124" s="3" t="s">
        <v>10</v>
      </c>
      <c r="D124" s="3" t="s">
        <v>15</v>
      </c>
      <c r="E124" s="3" t="s">
        <v>8</v>
      </c>
      <c r="F124" s="44" t="s">
        <v>600</v>
      </c>
      <c r="G124" s="33" t="s">
        <v>622</v>
      </c>
      <c r="H124" s="44" t="s">
        <v>612</v>
      </c>
      <c r="I124" s="33">
        <f>INDEX(Auxiliar!$D$5:$F$11,MATCH(Table1[[#This Row],[Tipologia_Testes]],Auxiliar!$B$5:$B$11,0),MATCH(Table1[[#This Row],[Complexidade]],Auxiliar!$D$4:$F$4,0))</f>
        <v>8</v>
      </c>
      <c r="J124" s="3"/>
    </row>
    <row r="125" spans="1:10" ht="17.399999999999999" x14ac:dyDescent="0.45">
      <c r="B125" s="29" t="s">
        <v>84</v>
      </c>
      <c r="C125" s="3" t="s">
        <v>10</v>
      </c>
      <c r="D125" s="3" t="s">
        <v>15</v>
      </c>
      <c r="E125" s="3" t="s">
        <v>8</v>
      </c>
      <c r="F125" s="44" t="s">
        <v>595</v>
      </c>
      <c r="G125" s="33" t="s">
        <v>622</v>
      </c>
      <c r="H125" s="44" t="s">
        <v>612</v>
      </c>
      <c r="I125" s="33">
        <v>1</v>
      </c>
      <c r="J125" s="3" t="s">
        <v>630</v>
      </c>
    </row>
    <row r="126" spans="1:10" ht="17.399999999999999" x14ac:dyDescent="0.45">
      <c r="B126" s="29" t="s">
        <v>84</v>
      </c>
      <c r="C126" s="3" t="s">
        <v>10</v>
      </c>
      <c r="D126" s="3" t="s">
        <v>15</v>
      </c>
      <c r="E126" s="3" t="s">
        <v>8</v>
      </c>
      <c r="F126" s="44" t="s">
        <v>603</v>
      </c>
      <c r="G126" s="33" t="s">
        <v>622</v>
      </c>
      <c r="H126" s="44" t="s">
        <v>612</v>
      </c>
      <c r="I126" s="33">
        <v>0.1</v>
      </c>
      <c r="J126" s="3" t="s">
        <v>631</v>
      </c>
    </row>
    <row r="127" spans="1:10" ht="17.399999999999999" x14ac:dyDescent="0.45">
      <c r="B127" s="29" t="s">
        <v>84</v>
      </c>
      <c r="C127" s="3" t="s">
        <v>10</v>
      </c>
      <c r="D127" s="3" t="s">
        <v>15</v>
      </c>
      <c r="E127" s="3" t="s">
        <v>8</v>
      </c>
      <c r="F127" s="44" t="s">
        <v>604</v>
      </c>
      <c r="G127" s="33" t="s">
        <v>622</v>
      </c>
      <c r="H127" s="44" t="s">
        <v>612</v>
      </c>
      <c r="I127" s="33">
        <f>INDEX(Auxiliar!$D$5:$F$11,MATCH(Table1[[#This Row],[Tipologia_Testes]],Auxiliar!$B$5:$B$11,0),MATCH(Table1[[#This Row],[Complexidade]],Auxiliar!$D$4:$F$4,0))</f>
        <v>2</v>
      </c>
      <c r="J127" s="3"/>
    </row>
    <row r="128" spans="1:10" ht="17.399999999999999" x14ac:dyDescent="0.45">
      <c r="B128" s="29" t="s">
        <v>84</v>
      </c>
      <c r="C128" s="3" t="s">
        <v>10</v>
      </c>
      <c r="D128" s="3" t="s">
        <v>96</v>
      </c>
      <c r="E128" s="3" t="s">
        <v>8</v>
      </c>
      <c r="F128" s="44" t="s">
        <v>600</v>
      </c>
      <c r="G128" s="33" t="s">
        <v>622</v>
      </c>
      <c r="H128" s="44" t="s">
        <v>610</v>
      </c>
      <c r="I128" s="33">
        <v>0.1</v>
      </c>
      <c r="J128" s="3" t="s">
        <v>626</v>
      </c>
    </row>
    <row r="129" spans="2:10" ht="17.399999999999999" x14ac:dyDescent="0.45">
      <c r="B129" s="29" t="s">
        <v>84</v>
      </c>
      <c r="C129" s="3" t="s">
        <v>10</v>
      </c>
      <c r="D129" s="3" t="s">
        <v>13</v>
      </c>
      <c r="E129" s="4" t="s">
        <v>8</v>
      </c>
      <c r="F129" s="44" t="s">
        <v>594</v>
      </c>
      <c r="G129" s="33" t="s">
        <v>622</v>
      </c>
      <c r="H129" s="44" t="s">
        <v>612</v>
      </c>
      <c r="I129" s="63">
        <v>4</v>
      </c>
      <c r="J129" s="3" t="s">
        <v>629</v>
      </c>
    </row>
    <row r="130" spans="2:10" ht="17.399999999999999" x14ac:dyDescent="0.45">
      <c r="B130" s="29" t="s">
        <v>84</v>
      </c>
      <c r="C130" s="3" t="s">
        <v>10</v>
      </c>
      <c r="D130" s="3" t="s">
        <v>13</v>
      </c>
      <c r="E130" s="3" t="s">
        <v>8</v>
      </c>
      <c r="F130" s="44" t="s">
        <v>600</v>
      </c>
      <c r="G130" s="33" t="s">
        <v>622</v>
      </c>
      <c r="H130" s="44" t="s">
        <v>612</v>
      </c>
      <c r="I130" s="33">
        <f>INDEX(Auxiliar!$D$5:$F$11,MATCH(Table1[[#This Row],[Tipologia_Testes]],Auxiliar!$B$5:$B$11,0),MATCH(Table1[[#This Row],[Complexidade]],Auxiliar!$D$4:$F$4,0))</f>
        <v>8</v>
      </c>
      <c r="J130" s="3"/>
    </row>
    <row r="131" spans="2:10" ht="17.399999999999999" x14ac:dyDescent="0.45">
      <c r="B131" s="29" t="s">
        <v>84</v>
      </c>
      <c r="C131" s="3" t="s">
        <v>10</v>
      </c>
      <c r="D131" s="3" t="s">
        <v>13</v>
      </c>
      <c r="E131" s="3" t="s">
        <v>8</v>
      </c>
      <c r="F131" s="44" t="s">
        <v>595</v>
      </c>
      <c r="G131" s="33" t="s">
        <v>622</v>
      </c>
      <c r="H131" s="44" t="s">
        <v>612</v>
      </c>
      <c r="I131" s="33">
        <v>1</v>
      </c>
      <c r="J131" s="3" t="s">
        <v>630</v>
      </c>
    </row>
    <row r="132" spans="2:10" ht="17.399999999999999" x14ac:dyDescent="0.45">
      <c r="B132" s="29" t="s">
        <v>84</v>
      </c>
      <c r="C132" s="3" t="s">
        <v>10</v>
      </c>
      <c r="D132" s="3" t="s">
        <v>13</v>
      </c>
      <c r="E132" s="3" t="s">
        <v>8</v>
      </c>
      <c r="F132" s="44" t="s">
        <v>603</v>
      </c>
      <c r="G132" s="33" t="s">
        <v>622</v>
      </c>
      <c r="H132" s="44" t="s">
        <v>612</v>
      </c>
      <c r="I132" s="33">
        <v>0.1</v>
      </c>
      <c r="J132" s="3" t="s">
        <v>631</v>
      </c>
    </row>
    <row r="133" spans="2:10" ht="17.399999999999999" x14ac:dyDescent="0.45">
      <c r="B133" s="29" t="s">
        <v>84</v>
      </c>
      <c r="C133" s="3" t="s">
        <v>10</v>
      </c>
      <c r="D133" s="3" t="s">
        <v>13</v>
      </c>
      <c r="E133" s="3" t="s">
        <v>8</v>
      </c>
      <c r="F133" s="44" t="s">
        <v>604</v>
      </c>
      <c r="G133" s="33" t="s">
        <v>622</v>
      </c>
      <c r="H133" s="44" t="s">
        <v>612</v>
      </c>
      <c r="I133" s="33">
        <f>INDEX(Auxiliar!$D$5:$F$11,MATCH(Table1[[#This Row],[Tipologia_Testes]],Auxiliar!$B$5:$B$11,0),MATCH(Table1[[#This Row],[Complexidade]],Auxiliar!$D$4:$F$4,0))</f>
        <v>2</v>
      </c>
      <c r="J133" s="3"/>
    </row>
    <row r="134" spans="2:10" ht="17.399999999999999" x14ac:dyDescent="0.45">
      <c r="B134" s="29" t="s">
        <v>84</v>
      </c>
      <c r="C134" s="3" t="s">
        <v>10</v>
      </c>
      <c r="D134" s="3" t="s">
        <v>91</v>
      </c>
      <c r="E134" s="3" t="s">
        <v>8</v>
      </c>
      <c r="F134" s="44" t="s">
        <v>600</v>
      </c>
      <c r="G134" s="33" t="s">
        <v>622</v>
      </c>
      <c r="H134" s="44" t="s">
        <v>610</v>
      </c>
      <c r="I134" s="33">
        <v>0.1</v>
      </c>
      <c r="J134" s="3" t="s">
        <v>626</v>
      </c>
    </row>
    <row r="135" spans="2:10" ht="17.399999999999999" x14ac:dyDescent="0.45">
      <c r="B135" s="29" t="s">
        <v>84</v>
      </c>
      <c r="C135" s="3" t="s">
        <v>10</v>
      </c>
      <c r="D135" s="3" t="s">
        <v>11</v>
      </c>
      <c r="E135" s="4" t="s">
        <v>8</v>
      </c>
      <c r="F135" s="44" t="s">
        <v>594</v>
      </c>
      <c r="G135" s="33" t="s">
        <v>622</v>
      </c>
      <c r="H135" s="44" t="s">
        <v>612</v>
      </c>
      <c r="I135" s="63">
        <v>4</v>
      </c>
      <c r="J135" s="3" t="s">
        <v>629</v>
      </c>
    </row>
    <row r="136" spans="2:10" ht="17.399999999999999" x14ac:dyDescent="0.45">
      <c r="B136" s="29" t="s">
        <v>84</v>
      </c>
      <c r="C136" s="3" t="s">
        <v>10</v>
      </c>
      <c r="D136" s="3" t="s">
        <v>11</v>
      </c>
      <c r="E136" s="3" t="s">
        <v>8</v>
      </c>
      <c r="F136" s="44" t="s">
        <v>600</v>
      </c>
      <c r="G136" s="33" t="s">
        <v>622</v>
      </c>
      <c r="H136" s="44" t="s">
        <v>612</v>
      </c>
      <c r="I136" s="33">
        <f>INDEX(Auxiliar!$D$5:$F$11,MATCH(Table1[[#This Row],[Tipologia_Testes]],Auxiliar!$B$5:$B$11,0),MATCH(Table1[[#This Row],[Complexidade]],Auxiliar!$D$4:$F$4,0))</f>
        <v>8</v>
      </c>
      <c r="J136" s="3"/>
    </row>
    <row r="137" spans="2:10" ht="17.399999999999999" x14ac:dyDescent="0.45">
      <c r="B137" s="29" t="s">
        <v>84</v>
      </c>
      <c r="C137" s="3" t="s">
        <v>10</v>
      </c>
      <c r="D137" s="3" t="s">
        <v>11</v>
      </c>
      <c r="E137" s="3" t="s">
        <v>8</v>
      </c>
      <c r="F137" s="44" t="s">
        <v>595</v>
      </c>
      <c r="G137" s="33" t="s">
        <v>622</v>
      </c>
      <c r="H137" s="44" t="s">
        <v>612</v>
      </c>
      <c r="I137" s="33">
        <v>1</v>
      </c>
      <c r="J137" s="3" t="s">
        <v>630</v>
      </c>
    </row>
    <row r="138" spans="2:10" ht="17.399999999999999" x14ac:dyDescent="0.45">
      <c r="B138" s="29" t="s">
        <v>84</v>
      </c>
      <c r="C138" s="3" t="s">
        <v>10</v>
      </c>
      <c r="D138" s="3" t="s">
        <v>11</v>
      </c>
      <c r="E138" s="3" t="s">
        <v>8</v>
      </c>
      <c r="F138" s="44" t="s">
        <v>603</v>
      </c>
      <c r="G138" s="33" t="s">
        <v>622</v>
      </c>
      <c r="H138" s="44" t="s">
        <v>612</v>
      </c>
      <c r="I138" s="33">
        <v>0.1</v>
      </c>
      <c r="J138" s="3" t="s">
        <v>631</v>
      </c>
    </row>
    <row r="139" spans="2:10" ht="17.399999999999999" x14ac:dyDescent="0.45">
      <c r="B139" s="29" t="s">
        <v>84</v>
      </c>
      <c r="C139" s="3" t="s">
        <v>10</v>
      </c>
      <c r="D139" s="3" t="s">
        <v>11</v>
      </c>
      <c r="E139" s="3" t="s">
        <v>8</v>
      </c>
      <c r="F139" s="44" t="s">
        <v>604</v>
      </c>
      <c r="G139" s="33" t="s">
        <v>622</v>
      </c>
      <c r="H139" s="44" t="s">
        <v>612</v>
      </c>
      <c r="I139" s="33">
        <f>INDEX(Auxiliar!$D$5:$F$11,MATCH(Table1[[#This Row],[Tipologia_Testes]],Auxiliar!$B$5:$B$11,0),MATCH(Table1[[#This Row],[Complexidade]],Auxiliar!$D$4:$F$4,0))</f>
        <v>2</v>
      </c>
      <c r="J139" s="3"/>
    </row>
    <row r="140" spans="2:10" ht="17.399999999999999" x14ac:dyDescent="0.45">
      <c r="B140" s="29" t="s">
        <v>84</v>
      </c>
      <c r="C140" s="3" t="s">
        <v>10</v>
      </c>
      <c r="D140" s="3" t="s">
        <v>97</v>
      </c>
      <c r="E140" s="3" t="s">
        <v>8</v>
      </c>
      <c r="F140" s="44" t="s">
        <v>600</v>
      </c>
      <c r="G140" s="33" t="s">
        <v>622</v>
      </c>
      <c r="H140" s="44" t="s">
        <v>610</v>
      </c>
      <c r="I140" s="33">
        <v>0.1</v>
      </c>
      <c r="J140" s="3" t="s">
        <v>626</v>
      </c>
    </row>
    <row r="141" spans="2:10" ht="17.399999999999999" x14ac:dyDescent="0.45">
      <c r="B141" s="29" t="s">
        <v>84</v>
      </c>
      <c r="C141" s="27" t="s">
        <v>10</v>
      </c>
      <c r="D141" s="3" t="s">
        <v>6</v>
      </c>
      <c r="E141" s="2" t="s">
        <v>83</v>
      </c>
      <c r="F141" s="44" t="s">
        <v>594</v>
      </c>
      <c r="G141" s="33" t="s">
        <v>619</v>
      </c>
      <c r="H141" s="44" t="s">
        <v>612</v>
      </c>
      <c r="I141" s="33">
        <f>INDEX(Auxiliar!$D$5:$F$11,MATCH(Table1[[#This Row],[Tipologia_Testes]],Auxiliar!$B$5:$B$11,0),MATCH(Table1[[#This Row],[Complexidade]],Auxiliar!$D$4:$F$4,0))</f>
        <v>8</v>
      </c>
      <c r="J141" s="3" t="s">
        <v>632</v>
      </c>
    </row>
    <row r="142" spans="2:10" ht="17.399999999999999" x14ac:dyDescent="0.45">
      <c r="B142" s="29" t="s">
        <v>84</v>
      </c>
      <c r="C142" s="27" t="s">
        <v>10</v>
      </c>
      <c r="D142" s="3" t="s">
        <v>6</v>
      </c>
      <c r="E142" s="3" t="s">
        <v>83</v>
      </c>
      <c r="F142" s="44" t="s">
        <v>600</v>
      </c>
      <c r="G142" s="33" t="s">
        <v>619</v>
      </c>
      <c r="H142" s="44" t="s">
        <v>612</v>
      </c>
      <c r="I142" s="33">
        <v>2</v>
      </c>
      <c r="J142" s="3" t="s">
        <v>632</v>
      </c>
    </row>
    <row r="143" spans="2:10" ht="17.399999999999999" x14ac:dyDescent="0.45">
      <c r="B143" s="29" t="s">
        <v>84</v>
      </c>
      <c r="C143" s="27" t="s">
        <v>10</v>
      </c>
      <c r="D143" s="3" t="s">
        <v>6</v>
      </c>
      <c r="E143" s="3" t="s">
        <v>83</v>
      </c>
      <c r="F143" s="44" t="s">
        <v>603</v>
      </c>
      <c r="G143" s="33" t="s">
        <v>619</v>
      </c>
      <c r="H143" s="44" t="s">
        <v>612</v>
      </c>
      <c r="I143" s="33">
        <f>INDEX(Auxiliar!$D$5:$F$11,MATCH(Table1[[#This Row],[Tipologia_Testes]],Auxiliar!$B$5:$B$11,0),MATCH(Table1[[#This Row],[Complexidade]],Auxiliar!$D$4:$F$4,0))</f>
        <v>0.1</v>
      </c>
      <c r="J143" s="3" t="s">
        <v>632</v>
      </c>
    </row>
    <row r="144" spans="2:10" ht="17.399999999999999" x14ac:dyDescent="0.45">
      <c r="B144" s="29" t="s">
        <v>84</v>
      </c>
      <c r="C144" s="27" t="s">
        <v>10</v>
      </c>
      <c r="D144" s="3" t="s">
        <v>6</v>
      </c>
      <c r="E144" s="3" t="s">
        <v>83</v>
      </c>
      <c r="F144" s="44" t="s">
        <v>604</v>
      </c>
      <c r="G144" s="33" t="s">
        <v>619</v>
      </c>
      <c r="H144" s="44" t="s">
        <v>612</v>
      </c>
      <c r="I144" s="33">
        <f>INDEX(Auxiliar!$D$5:$F$11,MATCH(Table1[[#This Row],[Tipologia_Testes]],Auxiliar!$B$5:$B$11,0),MATCH(Table1[[#This Row],[Complexidade]],Auxiliar!$D$4:$F$4,0))</f>
        <v>2</v>
      </c>
      <c r="J144" s="3" t="s">
        <v>632</v>
      </c>
    </row>
    <row r="145" spans="2:10" ht="17.399999999999999" x14ac:dyDescent="0.45">
      <c r="B145" s="29" t="s">
        <v>84</v>
      </c>
      <c r="C145" s="3" t="s">
        <v>4</v>
      </c>
      <c r="D145" s="3" t="s">
        <v>3</v>
      </c>
      <c r="E145" s="2" t="s">
        <v>83</v>
      </c>
      <c r="F145" s="44" t="s">
        <v>594</v>
      </c>
      <c r="G145" s="33" t="s">
        <v>622</v>
      </c>
      <c r="H145" s="44" t="s">
        <v>611</v>
      </c>
      <c r="I145" s="33">
        <f>INDEX(Auxiliar!$D$5:$F$11,MATCH(Table1[[#This Row],[Tipologia_Testes]],Auxiliar!$B$5:$B$11,0),MATCH(Table1[[#This Row],[Complexidade]],Auxiliar!$D$4:$F$4,0))</f>
        <v>4</v>
      </c>
      <c r="J145" s="3"/>
    </row>
    <row r="146" spans="2:10" ht="17.399999999999999" x14ac:dyDescent="0.45">
      <c r="B146" s="29" t="s">
        <v>84</v>
      </c>
      <c r="C146" s="3" t="s">
        <v>4</v>
      </c>
      <c r="D146" s="3" t="s">
        <v>3</v>
      </c>
      <c r="E146" s="3" t="s">
        <v>83</v>
      </c>
      <c r="F146" s="44" t="s">
        <v>600</v>
      </c>
      <c r="G146" s="33" t="s">
        <v>622</v>
      </c>
      <c r="H146" s="44" t="s">
        <v>611</v>
      </c>
      <c r="I146" s="33">
        <f>INDEX(Auxiliar!$D$5:$F$11,MATCH(Table1[[#This Row],[Tipologia_Testes]],Auxiliar!$B$5:$B$11,0),MATCH(Table1[[#This Row],[Complexidade]],Auxiliar!$D$4:$F$4,0))</f>
        <v>4</v>
      </c>
      <c r="J146" s="3"/>
    </row>
    <row r="147" spans="2:10" ht="17.399999999999999" x14ac:dyDescent="0.45">
      <c r="B147" s="29" t="s">
        <v>84</v>
      </c>
      <c r="C147" s="3" t="s">
        <v>4</v>
      </c>
      <c r="D147" s="3" t="s">
        <v>3</v>
      </c>
      <c r="E147" s="3" t="s">
        <v>83</v>
      </c>
      <c r="F147" s="44" t="s">
        <v>595</v>
      </c>
      <c r="G147" s="33" t="s">
        <v>622</v>
      </c>
      <c r="H147" s="44" t="s">
        <v>611</v>
      </c>
      <c r="I147" s="33">
        <f>INDEX(Auxiliar!$D$5:$F$11,MATCH(Table1[[#This Row],[Tipologia_Testes]],Auxiliar!$B$5:$B$11,0),MATCH(Table1[[#This Row],[Complexidade]],Auxiliar!$D$4:$F$4,0))</f>
        <v>4</v>
      </c>
      <c r="J147" s="3"/>
    </row>
    <row r="148" spans="2:10" ht="17.399999999999999" x14ac:dyDescent="0.45">
      <c r="B148" s="29" t="s">
        <v>84</v>
      </c>
      <c r="C148" s="3" t="s">
        <v>4</v>
      </c>
      <c r="D148" s="3" t="s">
        <v>3</v>
      </c>
      <c r="E148" s="3" t="s">
        <v>83</v>
      </c>
      <c r="F148" s="44" t="s">
        <v>603</v>
      </c>
      <c r="G148" s="33" t="s">
        <v>622</v>
      </c>
      <c r="H148" s="44" t="s">
        <v>611</v>
      </c>
      <c r="I148" s="33">
        <f>INDEX(Auxiliar!$D$5:$F$11,MATCH(Table1[[#This Row],[Tipologia_Testes]],Auxiliar!$B$5:$B$11,0),MATCH(Table1[[#This Row],[Complexidade]],Auxiliar!$D$4:$F$4,0))</f>
        <v>0.1</v>
      </c>
      <c r="J148" s="37"/>
    </row>
    <row r="149" spans="2:10" ht="17.399999999999999" x14ac:dyDescent="0.45">
      <c r="B149" s="43" t="s">
        <v>84</v>
      </c>
      <c r="C149" s="37" t="s">
        <v>4</v>
      </c>
      <c r="D149" s="37" t="s">
        <v>3</v>
      </c>
      <c r="E149" s="37" t="s">
        <v>83</v>
      </c>
      <c r="F149" s="44" t="s">
        <v>604</v>
      </c>
      <c r="G149" s="33" t="s">
        <v>622</v>
      </c>
      <c r="H149" s="44" t="s">
        <v>611</v>
      </c>
      <c r="I149" s="33">
        <f>INDEX(Auxiliar!$D$5:$F$11,MATCH(Table1[[#This Row],[Tipologia_Testes]],Auxiliar!$B$5:$B$11,0),MATCH(Table1[[#This Row],[Complexidade]],Auxiliar!$D$4:$F$4,0))</f>
        <v>2</v>
      </c>
      <c r="J149" s="37"/>
    </row>
    <row r="150" spans="2:10" ht="17.399999999999999" x14ac:dyDescent="0.45">
      <c r="B150" s="46"/>
      <c r="C150" s="47"/>
      <c r="D150" s="47"/>
      <c r="E150" s="47"/>
      <c r="F150" s="45"/>
      <c r="G150" s="45"/>
      <c r="H150" s="45"/>
      <c r="I150" s="45">
        <f>SUMIF(Table1[Estimação (horas)],"&gt;0")</f>
        <v>328.30000000000007</v>
      </c>
      <c r="J150" s="47"/>
    </row>
    <row r="151" spans="2:10" x14ac:dyDescent="0.3">
      <c r="I151">
        <f>Table1[[#Totals],[Estimação (horas)]]/8</f>
        <v>41.037500000000009</v>
      </c>
    </row>
    <row r="152" spans="2:10" x14ac:dyDescent="0.3">
      <c r="C152" t="s">
        <v>1</v>
      </c>
    </row>
    <row r="153" spans="2:10" x14ac:dyDescent="0.3">
      <c r="C153" t="s">
        <v>0</v>
      </c>
    </row>
  </sheetData>
  <phoneticPr fontId="17" type="noConversion"/>
  <conditionalFormatting sqref="D19">
    <cfRule type="timePeriod" dxfId="15" priority="5" timePeriod="lastMonth">
      <formula>AND(MONTH(D19)=MONTH(EDATE(TODAY(),0-1)),YEAR(D19)=YEAR(EDATE(TODAY(),0-1)))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0" operator="equal" id="{D956FC21-BD50-4E9D-9A0C-B2ADBE132D03}">
            <xm:f>Auxiliar!$B$21</xm:f>
            <x14:dxf>
              <font>
                <b/>
                <i val="0"/>
                <color theme="0" tint="-0.499984740745262"/>
              </font>
              <fill>
                <patternFill>
                  <bgColor theme="0" tint="-4.9989318521683403E-2"/>
                </patternFill>
              </fill>
            </x14:dxf>
          </x14:cfRule>
          <x14:cfRule type="containsText" priority="11" operator="containsText" id="{E018DDE6-2DE1-4E98-8647-F612680FDA42}">
            <xm:f>NOT(ISERROR(SEARCH(Auxiliar!$B$20,E9)))</xm:f>
            <xm:f>Auxiliar!$B$20</xm:f>
            <x14:dxf>
              <font>
                <b/>
                <i val="0"/>
                <color rgb="FFC00000"/>
              </font>
              <fill>
                <patternFill>
                  <bgColor theme="5" tint="0.79998168889431442"/>
                </patternFill>
              </fill>
            </x14:dxf>
          </x14:cfRule>
          <x14:cfRule type="containsText" priority="12" operator="containsText" id="{D81ABD6C-F0E6-46F4-9059-A31C0BF4E21B}">
            <xm:f>NOT(ISERROR(SEARCH(Auxiliar!$B$19,E9)))</xm:f>
            <xm:f>Auxiliar!$B$19</xm:f>
            <x14:dxf>
              <font>
                <b/>
                <i val="0"/>
                <color theme="7" tint="-0.24994659260841701"/>
              </font>
              <fill>
                <patternFill>
                  <bgColor theme="7" tint="0.79998168889431442"/>
                </patternFill>
              </fill>
            </x14:dxf>
          </x14:cfRule>
          <x14:cfRule type="containsText" priority="13" operator="containsText" id="{CCF17A3E-F7C6-439E-BF4B-E6DE1CFA910A}">
            <xm:f>NOT(ISERROR(SEARCH(Auxiliar!$B$17,E9)))</xm:f>
            <xm:f>Auxiliar!$B$17</xm:f>
            <x14:dxf>
              <font>
                <b/>
                <i val="0"/>
                <color theme="9"/>
              </font>
              <fill>
                <patternFill>
                  <bgColor theme="9" tint="0.79998168889431442"/>
                </patternFill>
              </fill>
            </x14:dxf>
          </x14:cfRule>
          <xm:sqref>E9:E149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Auxiliar!$B$5:$B$11</xm:f>
          </x14:formula1>
          <xm:sqref>F9:F149</xm:sqref>
        </x14:dataValidation>
        <x14:dataValidation type="list" allowBlank="1" showInputMessage="1" showErrorMessage="1" xr:uid="{00000000-0002-0000-0000-000001000000}">
          <x14:formula1>
            <xm:f>Auxiliar!$B$17:$B$21</xm:f>
          </x14:formula1>
          <xm:sqref>E9:E149</xm:sqref>
        </x14:dataValidation>
        <x14:dataValidation type="list" allowBlank="1" showInputMessage="1" showErrorMessage="1" xr:uid="{00000000-0002-0000-0000-000002000000}">
          <x14:formula1>
            <xm:f>Auxiliar!$D$4:$F$4</xm:f>
          </x14:formula1>
          <xm:sqref>H9:H149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2"/>
  <sheetViews>
    <sheetView workbookViewId="0"/>
  </sheetViews>
  <sheetFormatPr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
      <c r="A19" s="36" t="s">
        <v>6</v>
      </c>
      <c r="B19" s="34" t="s">
        <v>152</v>
      </c>
      <c r="C19" s="34" t="s">
        <v>153</v>
      </c>
      <c r="D19" s="34" t="s">
        <v>132</v>
      </c>
      <c r="E19" s="34" t="s">
        <v>154</v>
      </c>
      <c r="F19" s="34" t="s">
        <v>119</v>
      </c>
      <c r="G19" s="34" t="s">
        <v>129</v>
      </c>
      <c r="H19" s="34" t="s">
        <v>115</v>
      </c>
      <c r="I19" s="34">
        <v>2002411</v>
      </c>
      <c r="J19" s="34">
        <v>2002411</v>
      </c>
      <c r="K19" s="34">
        <v>100</v>
      </c>
    </row>
    <row r="20" spans="1:1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
      <c r="A55" s="36" t="s">
        <v>18</v>
      </c>
      <c r="B55" s="34" t="s">
        <v>232</v>
      </c>
      <c r="C55" s="34" t="s">
        <v>233</v>
      </c>
      <c r="D55" s="34" t="s">
        <v>132</v>
      </c>
      <c r="E55" s="34" t="s">
        <v>234</v>
      </c>
      <c r="F55" s="34" t="s">
        <v>184</v>
      </c>
      <c r="G55" s="34" t="s">
        <v>192</v>
      </c>
      <c r="H55" s="34" t="s">
        <v>113</v>
      </c>
      <c r="I55" s="34">
        <v>2003033</v>
      </c>
      <c r="J55" s="34">
        <v>0</v>
      </c>
      <c r="K55" s="34">
        <v>0</v>
      </c>
    </row>
    <row r="56" spans="1:1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
      <c r="A60" s="36" t="s">
        <v>15</v>
      </c>
      <c r="B60" s="34" t="s">
        <v>243</v>
      </c>
      <c r="C60" s="34" t="s">
        <v>244</v>
      </c>
      <c r="D60" s="34" t="s">
        <v>132</v>
      </c>
      <c r="E60" s="34" t="s">
        <v>245</v>
      </c>
      <c r="F60" s="34" t="s">
        <v>184</v>
      </c>
      <c r="G60" s="34" t="s">
        <v>192</v>
      </c>
      <c r="H60" s="34" t="s">
        <v>113</v>
      </c>
      <c r="I60" s="34">
        <v>2003033</v>
      </c>
      <c r="J60" s="34">
        <v>0</v>
      </c>
      <c r="K60" s="34">
        <v>0</v>
      </c>
    </row>
    <row r="61" spans="1:1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
      <c r="A68" s="36" t="s">
        <v>23</v>
      </c>
      <c r="B68" s="34" t="s">
        <v>260</v>
      </c>
      <c r="C68" s="34" t="s">
        <v>261</v>
      </c>
      <c r="D68" s="34" t="s">
        <v>132</v>
      </c>
      <c r="E68" s="34" t="s">
        <v>262</v>
      </c>
      <c r="F68" s="34" t="s">
        <v>184</v>
      </c>
      <c r="G68" s="34" t="s">
        <v>192</v>
      </c>
      <c r="H68" s="34" t="s">
        <v>113</v>
      </c>
      <c r="I68" s="34">
        <v>2003033</v>
      </c>
      <c r="J68" s="34">
        <v>0</v>
      </c>
      <c r="K68" s="34">
        <v>0</v>
      </c>
    </row>
    <row r="69" spans="1:11" x14ac:dyDescent="0.3">
      <c r="A69" s="36" t="s">
        <v>21</v>
      </c>
      <c r="B69" s="34" t="s">
        <v>263</v>
      </c>
      <c r="C69" s="34" t="s">
        <v>264</v>
      </c>
      <c r="D69" s="34" t="s">
        <v>132</v>
      </c>
      <c r="E69" s="34" t="s">
        <v>265</v>
      </c>
      <c r="F69" s="34" t="s">
        <v>184</v>
      </c>
      <c r="G69" s="34" t="s">
        <v>192</v>
      </c>
      <c r="H69" s="34" t="s">
        <v>113</v>
      </c>
      <c r="I69" s="34">
        <v>2003033</v>
      </c>
      <c r="J69" s="34">
        <v>0</v>
      </c>
      <c r="K69" s="34">
        <v>0</v>
      </c>
    </row>
    <row r="70" spans="1:1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
      <c r="A75" s="36" t="s">
        <v>95</v>
      </c>
      <c r="B75" s="34" t="s">
        <v>276</v>
      </c>
      <c r="C75" s="34" t="s">
        <v>277</v>
      </c>
      <c r="D75" s="34" t="s">
        <v>132</v>
      </c>
      <c r="E75" s="34" t="s">
        <v>278</v>
      </c>
      <c r="F75" s="34" t="s">
        <v>184</v>
      </c>
      <c r="G75" s="34" t="s">
        <v>192</v>
      </c>
      <c r="H75" s="34" t="s">
        <v>113</v>
      </c>
      <c r="I75" s="34">
        <v>2003033</v>
      </c>
      <c r="J75" s="34">
        <v>0</v>
      </c>
      <c r="K75" s="34">
        <v>0</v>
      </c>
    </row>
    <row r="76" spans="1:11" x14ac:dyDescent="0.3">
      <c r="A76" s="36" t="s">
        <v>96</v>
      </c>
      <c r="B76" s="34" t="s">
        <v>279</v>
      </c>
      <c r="C76" s="34" t="s">
        <v>280</v>
      </c>
      <c r="D76" s="34" t="s">
        <v>132</v>
      </c>
      <c r="E76" s="34" t="s">
        <v>281</v>
      </c>
      <c r="F76" s="34" t="s">
        <v>184</v>
      </c>
      <c r="G76" s="34" t="s">
        <v>192</v>
      </c>
      <c r="H76" s="34" t="s">
        <v>113</v>
      </c>
      <c r="I76" s="34">
        <v>2003033</v>
      </c>
      <c r="J76" s="34">
        <v>0</v>
      </c>
      <c r="K76" s="34">
        <v>0</v>
      </c>
    </row>
    <row r="77" spans="1:1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
      <c r="A79" s="36" t="s">
        <v>94</v>
      </c>
      <c r="B79" s="34" t="s">
        <v>286</v>
      </c>
      <c r="C79" s="34" t="s">
        <v>287</v>
      </c>
      <c r="D79" s="34" t="s">
        <v>132</v>
      </c>
      <c r="E79" s="34" t="s">
        <v>288</v>
      </c>
      <c r="F79" s="34" t="s">
        <v>184</v>
      </c>
      <c r="G79" s="34" t="s">
        <v>192</v>
      </c>
      <c r="H79" s="34" t="s">
        <v>113</v>
      </c>
      <c r="I79" s="34">
        <v>2003033</v>
      </c>
      <c r="J79" s="34">
        <v>0</v>
      </c>
      <c r="K79" s="34">
        <v>0</v>
      </c>
    </row>
    <row r="80" spans="1:11" x14ac:dyDescent="0.3">
      <c r="A80" s="36" t="s">
        <v>93</v>
      </c>
      <c r="B80" s="34" t="s">
        <v>289</v>
      </c>
      <c r="C80" s="34" t="s">
        <v>290</v>
      </c>
      <c r="D80" s="34" t="s">
        <v>132</v>
      </c>
      <c r="E80" s="34" t="s">
        <v>291</v>
      </c>
      <c r="F80" s="34" t="s">
        <v>184</v>
      </c>
      <c r="G80" s="34" t="s">
        <v>192</v>
      </c>
      <c r="H80" s="34" t="s">
        <v>113</v>
      </c>
      <c r="I80" s="34">
        <v>2003033</v>
      </c>
      <c r="J80" s="34">
        <v>0</v>
      </c>
      <c r="K80" s="34">
        <v>0</v>
      </c>
    </row>
    <row r="81" spans="1:11" x14ac:dyDescent="0.3">
      <c r="A81" s="36" t="s">
        <v>6</v>
      </c>
      <c r="B81" s="34" t="s">
        <v>292</v>
      </c>
      <c r="C81" s="34" t="s">
        <v>293</v>
      </c>
      <c r="D81" s="34" t="s">
        <v>132</v>
      </c>
      <c r="E81" s="34" t="s">
        <v>154</v>
      </c>
      <c r="F81" s="34" t="s">
        <v>177</v>
      </c>
      <c r="G81" s="34" t="s">
        <v>192</v>
      </c>
      <c r="H81" s="34" t="s">
        <v>115</v>
      </c>
      <c r="I81" s="34">
        <v>2003033</v>
      </c>
      <c r="J81" s="34">
        <v>2003033</v>
      </c>
      <c r="K81" s="34">
        <v>100</v>
      </c>
    </row>
    <row r="82" spans="1:1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
      <c r="A186" s="36" t="s">
        <v>18</v>
      </c>
      <c r="B186" s="34" t="s">
        <v>512</v>
      </c>
      <c r="C186" s="34" t="s">
        <v>513</v>
      </c>
      <c r="D186" s="34" t="s">
        <v>395</v>
      </c>
      <c r="E186" s="34" t="s">
        <v>234</v>
      </c>
      <c r="F186" s="34" t="s">
        <v>323</v>
      </c>
      <c r="G186" s="34" t="s">
        <v>396</v>
      </c>
      <c r="H186" s="34" t="s">
        <v>113</v>
      </c>
      <c r="I186" s="34">
        <v>0</v>
      </c>
      <c r="J186" s="34">
        <v>0</v>
      </c>
      <c r="K186" s="34">
        <v>0</v>
      </c>
    </row>
    <row r="187" spans="1:11" x14ac:dyDescent="0.3">
      <c r="A187" s="36" t="s">
        <v>18</v>
      </c>
      <c r="B187" s="34" t="s">
        <v>514</v>
      </c>
      <c r="C187" s="34" t="s">
        <v>515</v>
      </c>
      <c r="D187" s="34" t="s">
        <v>395</v>
      </c>
      <c r="E187" s="34" t="s">
        <v>234</v>
      </c>
      <c r="F187" s="34" t="s">
        <v>323</v>
      </c>
      <c r="G187" s="34" t="s">
        <v>396</v>
      </c>
      <c r="H187" s="34" t="s">
        <v>113</v>
      </c>
      <c r="I187" s="34">
        <v>0</v>
      </c>
      <c r="J187" s="34">
        <v>0</v>
      </c>
      <c r="K187" s="34">
        <v>0</v>
      </c>
    </row>
    <row r="188" spans="1:1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
      <c r="A191" s="36" t="s">
        <v>15</v>
      </c>
      <c r="B191" s="34" t="s">
        <v>522</v>
      </c>
      <c r="C191" s="34" t="s">
        <v>523</v>
      </c>
      <c r="D191" s="34" t="s">
        <v>395</v>
      </c>
      <c r="E191" s="34" t="s">
        <v>245</v>
      </c>
      <c r="F191" s="34" t="s">
        <v>323</v>
      </c>
      <c r="G191" s="34" t="s">
        <v>396</v>
      </c>
      <c r="H191" s="34" t="s">
        <v>113</v>
      </c>
      <c r="I191" s="34">
        <v>0</v>
      </c>
      <c r="J191" s="34">
        <v>0</v>
      </c>
      <c r="K191" s="34">
        <v>0</v>
      </c>
    </row>
    <row r="192" spans="1:11" x14ac:dyDescent="0.3">
      <c r="A192" s="36" t="s">
        <v>15</v>
      </c>
      <c r="B192" s="34" t="s">
        <v>524</v>
      </c>
      <c r="C192" s="34" t="s">
        <v>525</v>
      </c>
      <c r="D192" s="34" t="s">
        <v>395</v>
      </c>
      <c r="E192" s="34" t="s">
        <v>245</v>
      </c>
      <c r="F192" s="34" t="s">
        <v>323</v>
      </c>
      <c r="G192" s="34" t="s">
        <v>396</v>
      </c>
      <c r="H192" s="34" t="s">
        <v>113</v>
      </c>
      <c r="I192" s="34">
        <v>0</v>
      </c>
      <c r="J192" s="34">
        <v>0</v>
      </c>
      <c r="K192" s="34">
        <v>0</v>
      </c>
    </row>
    <row r="193" spans="1:1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
      <c r="A204" s="36" t="s">
        <v>23</v>
      </c>
      <c r="B204" s="34" t="s">
        <v>548</v>
      </c>
      <c r="C204" s="34" t="s">
        <v>549</v>
      </c>
      <c r="D204" s="34" t="s">
        <v>395</v>
      </c>
      <c r="E204" s="34" t="s">
        <v>262</v>
      </c>
      <c r="F204" s="34" t="s">
        <v>323</v>
      </c>
      <c r="G204" s="34" t="s">
        <v>396</v>
      </c>
      <c r="H204" s="34" t="s">
        <v>113</v>
      </c>
      <c r="I204" s="34">
        <v>0</v>
      </c>
      <c r="J204" s="34">
        <v>0</v>
      </c>
      <c r="K204" s="34">
        <v>0</v>
      </c>
    </row>
    <row r="205" spans="1:11" x14ac:dyDescent="0.3">
      <c r="A205" s="36" t="s">
        <v>23</v>
      </c>
      <c r="B205" s="34" t="s">
        <v>550</v>
      </c>
      <c r="C205" s="34" t="s">
        <v>551</v>
      </c>
      <c r="D205" s="34" t="s">
        <v>395</v>
      </c>
      <c r="E205" s="34" t="s">
        <v>262</v>
      </c>
      <c r="F205" s="34" t="s">
        <v>323</v>
      </c>
      <c r="G205" s="34" t="s">
        <v>396</v>
      </c>
      <c r="H205" s="34" t="s">
        <v>113</v>
      </c>
      <c r="I205" s="34">
        <v>0</v>
      </c>
      <c r="J205" s="34">
        <v>0</v>
      </c>
      <c r="K205" s="34">
        <v>0</v>
      </c>
    </row>
    <row r="206" spans="1:11" x14ac:dyDescent="0.3">
      <c r="A206" s="36" t="s">
        <v>23</v>
      </c>
      <c r="B206" s="34" t="s">
        <v>552</v>
      </c>
      <c r="C206" s="34" t="s">
        <v>553</v>
      </c>
      <c r="D206" s="34" t="s">
        <v>395</v>
      </c>
      <c r="E206" s="34" t="s">
        <v>262</v>
      </c>
      <c r="F206" s="34" t="s">
        <v>323</v>
      </c>
      <c r="G206" s="34" t="s">
        <v>396</v>
      </c>
      <c r="H206" s="34" t="s">
        <v>113</v>
      </c>
      <c r="I206" s="34">
        <v>0</v>
      </c>
      <c r="J206" s="34">
        <v>0</v>
      </c>
      <c r="K206" s="34">
        <v>0</v>
      </c>
    </row>
    <row r="207" spans="1:11" x14ac:dyDescent="0.3">
      <c r="A207" s="36" t="s">
        <v>21</v>
      </c>
      <c r="B207" s="34" t="s">
        <v>554</v>
      </c>
      <c r="C207" s="34" t="s">
        <v>555</v>
      </c>
      <c r="D207" s="34" t="s">
        <v>395</v>
      </c>
      <c r="E207" s="34" t="s">
        <v>265</v>
      </c>
      <c r="F207" s="34" t="s">
        <v>323</v>
      </c>
      <c r="G207" s="34" t="s">
        <v>396</v>
      </c>
      <c r="H207" s="34" t="s">
        <v>113</v>
      </c>
      <c r="I207" s="34">
        <v>0</v>
      </c>
      <c r="J207" s="34">
        <v>0</v>
      </c>
      <c r="K207" s="34">
        <v>0</v>
      </c>
    </row>
    <row r="208" spans="1:11" x14ac:dyDescent="0.3">
      <c r="A208" s="36" t="s">
        <v>21</v>
      </c>
      <c r="B208" s="34" t="s">
        <v>556</v>
      </c>
      <c r="C208" s="34" t="s">
        <v>557</v>
      </c>
      <c r="D208" s="34" t="s">
        <v>395</v>
      </c>
      <c r="E208" s="34" t="s">
        <v>265</v>
      </c>
      <c r="F208" s="34" t="s">
        <v>323</v>
      </c>
      <c r="G208" s="34" t="s">
        <v>396</v>
      </c>
      <c r="H208" s="34" t="s">
        <v>113</v>
      </c>
      <c r="I208" s="34">
        <v>0</v>
      </c>
      <c r="J208" s="34">
        <v>0</v>
      </c>
      <c r="K208" s="34">
        <v>0</v>
      </c>
    </row>
    <row r="209" spans="1:11" x14ac:dyDescent="0.3">
      <c r="A209" s="36" t="s">
        <v>21</v>
      </c>
      <c r="B209" s="34" t="s">
        <v>558</v>
      </c>
      <c r="C209" s="34" t="s">
        <v>559</v>
      </c>
      <c r="D209" s="34" t="s">
        <v>395</v>
      </c>
      <c r="E209" s="34" t="s">
        <v>265</v>
      </c>
      <c r="F209" s="34" t="s">
        <v>323</v>
      </c>
      <c r="G209" s="34" t="s">
        <v>396</v>
      </c>
      <c r="H209" s="34" t="s">
        <v>113</v>
      </c>
      <c r="I209" s="34">
        <v>0</v>
      </c>
      <c r="J209" s="34">
        <v>0</v>
      </c>
      <c r="K209" s="34">
        <v>0</v>
      </c>
    </row>
    <row r="210" spans="1:1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64"/>
  <sheetViews>
    <sheetView showGridLines="0" zoomScale="85" zoomScaleNormal="85" workbookViewId="0">
      <selection activeCell="D2" sqref="D2"/>
    </sheetView>
  </sheetViews>
  <sheetFormatPr defaultRowHeight="14.4" x14ac:dyDescent="0.3"/>
  <cols>
    <col min="1" max="1" width="2.77734375" customWidth="1"/>
    <col min="2" max="2" width="13.6640625" bestFit="1" customWidth="1"/>
    <col min="3" max="3" width="14.33203125" bestFit="1" customWidth="1"/>
    <col min="4" max="4" width="48.21875" bestFit="1" customWidth="1"/>
    <col min="5" max="5" width="16.109375" customWidth="1"/>
    <col min="6" max="6" width="14.21875" bestFit="1" customWidth="1"/>
    <col min="7" max="7" width="14.21875" customWidth="1"/>
    <col min="8" max="8" width="15.33203125" bestFit="1" customWidth="1"/>
    <col min="11" max="11" width="11.21875" bestFit="1" customWidth="1"/>
  </cols>
  <sheetData>
    <row r="1" spans="1:54" ht="16.2" customHeight="1" x14ac:dyDescent="0.3">
      <c r="U1" s="26"/>
      <c r="V1" s="26"/>
      <c r="W1" s="26"/>
      <c r="X1" s="26"/>
      <c r="Y1" s="26"/>
      <c r="Z1" s="26"/>
      <c r="AA1" s="26"/>
      <c r="AB1" s="26"/>
      <c r="AC1" s="26"/>
      <c r="AD1" s="26"/>
      <c r="AG1" s="26"/>
    </row>
    <row r="2" spans="1:54" x14ac:dyDescent="0.3">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
      <c r="K7" t="s">
        <v>637</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
      <c r="L8" s="67" t="s">
        <v>633</v>
      </c>
      <c r="M8" s="67"/>
      <c r="N8" s="67"/>
      <c r="O8" s="67"/>
      <c r="P8" s="67"/>
      <c r="Q8" s="67"/>
      <c r="R8" s="67"/>
      <c r="S8" s="67"/>
      <c r="T8" s="67"/>
      <c r="U8" s="67"/>
      <c r="V8" s="67"/>
      <c r="W8" s="67"/>
      <c r="X8" s="67"/>
      <c r="Y8" s="67"/>
      <c r="Z8" s="67"/>
      <c r="AA8" s="67"/>
      <c r="AB8" s="67"/>
      <c r="AC8" s="67"/>
      <c r="AD8" s="67"/>
      <c r="AE8" s="67"/>
      <c r="AF8" s="67" t="s">
        <v>634</v>
      </c>
      <c r="AG8" s="67"/>
      <c r="AH8" s="67"/>
      <c r="AI8" s="67"/>
      <c r="AJ8" s="67"/>
      <c r="AK8" s="67"/>
      <c r="AL8" s="67"/>
      <c r="AM8" s="67"/>
      <c r="AN8" s="67"/>
      <c r="AO8" s="67"/>
      <c r="AP8" s="67"/>
      <c r="AQ8" s="67"/>
      <c r="AR8" s="67"/>
      <c r="AS8" s="67"/>
      <c r="AT8" s="67"/>
      <c r="AU8" s="67"/>
      <c r="AV8" s="67"/>
      <c r="AW8" s="67"/>
      <c r="AX8" s="67"/>
      <c r="AY8" s="67"/>
      <c r="AZ8" s="67"/>
      <c r="BA8" s="67"/>
    </row>
    <row r="9" spans="1:54" x14ac:dyDescent="0.3">
      <c r="L9" s="74">
        <v>45477</v>
      </c>
      <c r="M9" s="78">
        <v>45478</v>
      </c>
      <c r="N9" s="75">
        <f t="shared" ref="N9:X9" si="1">WORKDAY(M9,1)</f>
        <v>45481</v>
      </c>
      <c r="O9" s="75">
        <f t="shared" si="1"/>
        <v>45482</v>
      </c>
      <c r="P9" s="75">
        <f t="shared" si="1"/>
        <v>45483</v>
      </c>
      <c r="Q9" s="75">
        <f t="shared" si="1"/>
        <v>45484</v>
      </c>
      <c r="R9" s="78">
        <f t="shared" si="1"/>
        <v>45485</v>
      </c>
      <c r="S9" s="75">
        <f t="shared" si="1"/>
        <v>45488</v>
      </c>
      <c r="T9" s="75">
        <f t="shared" si="1"/>
        <v>45489</v>
      </c>
      <c r="U9" s="75">
        <f t="shared" si="1"/>
        <v>45490</v>
      </c>
      <c r="V9" s="75">
        <f t="shared" si="1"/>
        <v>45491</v>
      </c>
      <c r="W9" s="78">
        <f t="shared" si="1"/>
        <v>45492</v>
      </c>
      <c r="X9" s="75">
        <f t="shared" si="1"/>
        <v>45495</v>
      </c>
      <c r="Y9" s="75">
        <f t="shared" ref="Y9:AE9" si="2">WORKDAY(X9,1)</f>
        <v>45496</v>
      </c>
      <c r="Z9" s="75">
        <f t="shared" si="2"/>
        <v>45497</v>
      </c>
      <c r="AA9" s="75">
        <f t="shared" si="2"/>
        <v>45498</v>
      </c>
      <c r="AB9" s="78">
        <f t="shared" si="2"/>
        <v>45499</v>
      </c>
      <c r="AC9" s="75">
        <f t="shared" si="2"/>
        <v>45502</v>
      </c>
      <c r="AD9" s="74">
        <f t="shared" si="2"/>
        <v>45503</v>
      </c>
      <c r="AE9" s="74">
        <f t="shared" si="2"/>
        <v>45504</v>
      </c>
      <c r="AF9" s="76">
        <v>1</v>
      </c>
      <c r="AG9" s="79">
        <v>2</v>
      </c>
      <c r="AH9" s="66"/>
      <c r="AI9" s="66"/>
      <c r="AJ9" s="66"/>
      <c r="AK9" s="66"/>
      <c r="AL9" s="66"/>
      <c r="AM9" s="66"/>
      <c r="AN9" s="66"/>
      <c r="AO9" s="66"/>
      <c r="AP9" s="66"/>
      <c r="AQ9" s="66"/>
      <c r="AR9" s="66"/>
      <c r="AS9" s="66"/>
      <c r="AT9" s="66"/>
      <c r="AU9" s="66"/>
      <c r="AV9" s="66"/>
      <c r="AW9" s="66"/>
      <c r="AX9" s="66"/>
      <c r="AY9" s="66"/>
      <c r="AZ9" s="66"/>
      <c r="BA9" s="66"/>
      <c r="BB9" s="66"/>
    </row>
    <row r="10" spans="1:54" ht="15" customHeight="1" x14ac:dyDescent="0.3">
      <c r="B10" s="30" t="s">
        <v>85</v>
      </c>
      <c r="C10" s="31" t="s">
        <v>81</v>
      </c>
      <c r="D10" s="31" t="s">
        <v>80</v>
      </c>
      <c r="E10" s="32" t="s">
        <v>79</v>
      </c>
      <c r="F10" s="53" t="s">
        <v>624</v>
      </c>
      <c r="G10" s="53" t="s">
        <v>635</v>
      </c>
      <c r="H10" s="69" t="s">
        <v>636</v>
      </c>
      <c r="I10" s="69" t="s">
        <v>638</v>
      </c>
      <c r="J10" s="73"/>
      <c r="L10" s="60"/>
      <c r="M10" s="26"/>
      <c r="R10" s="26"/>
      <c r="W10" s="26"/>
      <c r="AB10" s="26"/>
      <c r="AG10" s="80"/>
    </row>
    <row r="11" spans="1:54" ht="17.399999999999999" x14ac:dyDescent="0.45">
      <c r="B11" s="29" t="s">
        <v>84</v>
      </c>
      <c r="C11" s="14" t="s">
        <v>86</v>
      </c>
      <c r="D11" s="14" t="s">
        <v>87</v>
      </c>
      <c r="E11" s="41"/>
      <c r="F11" s="51">
        <f>IF(Table13[[#This Row],[Status]]="Concluído",0,(SUMIFS(Table1[Estimação (horas)],Table1[Campo],Table13[[#This Row],[Campo]])))</f>
        <v>8</v>
      </c>
      <c r="G11" s="51">
        <f>Table13[[#This Row],[Total Horas]]/8</f>
        <v>1</v>
      </c>
      <c r="H11" s="68">
        <f>ROUND(Table13[[#This Row],[Column1]]-SUM(L11:BB11),2)</f>
        <v>0</v>
      </c>
      <c r="I11" s="71">
        <v>1</v>
      </c>
      <c r="J11" s="73"/>
      <c r="L11" s="60"/>
      <c r="M11" s="26"/>
      <c r="P11">
        <v>1</v>
      </c>
      <c r="R11" s="26"/>
      <c r="W11" s="26"/>
      <c r="AB11" s="26"/>
      <c r="AG11" s="80"/>
    </row>
    <row r="12" spans="1:54" ht="17.399999999999999" hidden="1" x14ac:dyDescent="0.45">
      <c r="B12" s="29" t="s">
        <v>84</v>
      </c>
      <c r="C12" s="14" t="s">
        <v>4</v>
      </c>
      <c r="D12" s="14" t="s">
        <v>74</v>
      </c>
      <c r="E12" s="15" t="s">
        <v>82</v>
      </c>
      <c r="F12" s="50">
        <f>IF(Table13[[#This Row],[Status]]="Concluído",0,(SUMIFS(Table1[Estimação (horas)],Table1[Campo],Table13[[#This Row],[Campo]])))</f>
        <v>0</v>
      </c>
      <c r="G12" s="50">
        <f>Table13[[#This Row],[Total Horas]]/8</f>
        <v>0</v>
      </c>
      <c r="H12" s="65">
        <f>ROUND(Table13[[#This Row],[Column1]]-SUM(L12:BB12),2)</f>
        <v>0</v>
      </c>
      <c r="I12" s="70"/>
      <c r="J12" s="73"/>
      <c r="L12" s="60"/>
      <c r="M12" s="26"/>
      <c r="R12" s="26"/>
      <c r="W12" s="26"/>
      <c r="AB12" s="26"/>
      <c r="AG12" s="80"/>
    </row>
    <row r="13" spans="1:54" ht="17.399999999999999" hidden="1" x14ac:dyDescent="0.45">
      <c r="B13" s="29" t="s">
        <v>84</v>
      </c>
      <c r="C13" s="14" t="s">
        <v>42</v>
      </c>
      <c r="D13" s="14" t="s">
        <v>71</v>
      </c>
      <c r="E13" s="15" t="s">
        <v>82</v>
      </c>
      <c r="F13" s="50">
        <f>IF(Table13[[#This Row],[Status]]="Concluído",0,(SUMIFS(Table1[Estimação (horas)],Table1[Campo],Table13[[#This Row],[Campo]])))</f>
        <v>0</v>
      </c>
      <c r="G13" s="50">
        <f>Table13[[#This Row],[Total Horas]]/8</f>
        <v>0</v>
      </c>
      <c r="H13" s="65">
        <f>ROUND(Table13[[#This Row],[Column1]]-SUM(L13:BB13),2)</f>
        <v>0</v>
      </c>
      <c r="I13" s="70"/>
      <c r="J13" s="73"/>
      <c r="L13" s="60"/>
      <c r="M13" s="26"/>
      <c r="R13" s="26"/>
      <c r="W13" s="26"/>
      <c r="AB13" s="26"/>
      <c r="AG13" s="80"/>
    </row>
    <row r="14" spans="1:54" ht="17.399999999999999" hidden="1" x14ac:dyDescent="0.45">
      <c r="B14" s="29" t="s">
        <v>84</v>
      </c>
      <c r="C14" s="14" t="s">
        <v>42</v>
      </c>
      <c r="D14" s="14" t="s">
        <v>68</v>
      </c>
      <c r="E14" s="15" t="s">
        <v>82</v>
      </c>
      <c r="F14" s="50">
        <f>IF(Table13[[#This Row],[Status]]="Concluído",0,(SUMIFS(Table1[Estimação (horas)],Table1[Campo],Table13[[#This Row],[Campo]])))</f>
        <v>0</v>
      </c>
      <c r="G14" s="50">
        <f>Table13[[#This Row],[Total Horas]]/8</f>
        <v>0</v>
      </c>
      <c r="H14" s="65">
        <f>ROUND(Table13[[#This Row],[Column1]]-SUM(L14:BB14),2)</f>
        <v>0</v>
      </c>
      <c r="I14" s="70"/>
      <c r="J14" s="73"/>
      <c r="L14" s="60"/>
      <c r="M14" s="26"/>
      <c r="R14" s="26"/>
      <c r="W14" s="26"/>
      <c r="AB14" s="26"/>
      <c r="AG14" s="80"/>
    </row>
    <row r="15" spans="1:54" ht="17.399999999999999" hidden="1" x14ac:dyDescent="0.45">
      <c r="B15" s="29" t="s">
        <v>84</v>
      </c>
      <c r="C15" s="14" t="s">
        <v>42</v>
      </c>
      <c r="D15" s="14" t="s">
        <v>65</v>
      </c>
      <c r="E15" s="15" t="s">
        <v>82</v>
      </c>
      <c r="F15" s="50">
        <f>IF(Table13[[#This Row],[Status]]="Concluído",0,(SUMIFS(Table1[Estimação (horas)],Table1[Campo],Table13[[#This Row],[Campo]])))</f>
        <v>0</v>
      </c>
      <c r="G15" s="50">
        <f>Table13[[#This Row],[Total Horas]]/8</f>
        <v>0</v>
      </c>
      <c r="H15" s="65">
        <f>ROUND(Table13[[#This Row],[Column1]]-SUM(L15:BB15),2)</f>
        <v>0</v>
      </c>
      <c r="I15" s="70"/>
      <c r="J15" s="73"/>
      <c r="L15" s="60"/>
      <c r="M15" s="26"/>
      <c r="R15" s="26"/>
      <c r="W15" s="26"/>
      <c r="AB15" s="26"/>
      <c r="AG15" s="80"/>
    </row>
    <row r="16" spans="1:54" ht="17.399999999999999" hidden="1" x14ac:dyDescent="0.45">
      <c r="B16" s="29" t="s">
        <v>84</v>
      </c>
      <c r="C16" s="14" t="s">
        <v>42</v>
      </c>
      <c r="D16" s="14" t="s">
        <v>62</v>
      </c>
      <c r="E16" s="15" t="s">
        <v>82</v>
      </c>
      <c r="F16" s="50">
        <f>IF(Table13[[#This Row],[Status]]="Concluído",0,(SUMIFS(Table1[Estimação (horas)],Table1[Campo],Table13[[#This Row],[Campo]])))</f>
        <v>0</v>
      </c>
      <c r="G16" s="50">
        <f>Table13[[#This Row],[Total Horas]]/8</f>
        <v>0</v>
      </c>
      <c r="H16" s="65">
        <f>ROUND(Table13[[#This Row],[Column1]]-SUM(L16:BB16),2)</f>
        <v>0</v>
      </c>
      <c r="I16" s="70"/>
      <c r="J16" s="73"/>
      <c r="L16" s="60"/>
      <c r="M16" s="26"/>
      <c r="R16" s="26"/>
      <c r="W16" s="26"/>
      <c r="AB16" s="26"/>
      <c r="AG16" s="80"/>
    </row>
    <row r="17" spans="2:33" ht="17.399999999999999" hidden="1" x14ac:dyDescent="0.45">
      <c r="B17" s="29" t="s">
        <v>84</v>
      </c>
      <c r="C17" s="14" t="s">
        <v>42</v>
      </c>
      <c r="D17" s="14" t="s">
        <v>59</v>
      </c>
      <c r="E17" s="15" t="s">
        <v>82</v>
      </c>
      <c r="F17" s="50">
        <f>IF(Table13[[#This Row],[Status]]="Concluído",0,(SUMIFS(Table1[Estimação (horas)],Table1[Campo],Table13[[#This Row],[Campo]])))</f>
        <v>0</v>
      </c>
      <c r="G17" s="50">
        <f>Table13[[#This Row],[Total Horas]]/8</f>
        <v>0</v>
      </c>
      <c r="H17" s="65">
        <f>ROUND(Table13[[#This Row],[Column1]]-SUM(L17:BB17),2)</f>
        <v>0</v>
      </c>
      <c r="I17" s="70"/>
      <c r="J17" s="73"/>
      <c r="L17" s="60"/>
      <c r="M17" s="26"/>
      <c r="R17" s="26"/>
      <c r="W17" s="26"/>
      <c r="AB17" s="26"/>
      <c r="AG17" s="80"/>
    </row>
    <row r="18" spans="2:33" ht="17.399999999999999" hidden="1" customHeight="1" x14ac:dyDescent="0.45">
      <c r="B18" s="29" t="s">
        <v>84</v>
      </c>
      <c r="C18" s="3" t="s">
        <v>42</v>
      </c>
      <c r="D18" s="3" t="s">
        <v>56</v>
      </c>
      <c r="E18" s="8" t="s">
        <v>82</v>
      </c>
      <c r="F18" s="50">
        <f>IF(Table13[[#This Row],[Status]]="Concluído",0,(SUMIFS(Table1[Estimação (horas)],Table1[Campo],Table13[[#This Row],[Campo]])))</f>
        <v>0</v>
      </c>
      <c r="G18" s="50">
        <f>Table13[[#This Row],[Total Horas]]/8</f>
        <v>0</v>
      </c>
      <c r="H18" s="65">
        <f>ROUND(Table13[[#This Row],[Column1]]-SUM(L18:BB18),2)</f>
        <v>0</v>
      </c>
      <c r="I18" s="70"/>
      <c r="J18" s="73"/>
      <c r="L18" s="60"/>
      <c r="M18" s="26"/>
      <c r="R18" s="26"/>
      <c r="W18" s="26"/>
      <c r="AB18" s="26"/>
      <c r="AG18" s="80"/>
    </row>
    <row r="19" spans="2:33" ht="17.399999999999999" hidden="1" customHeight="1" x14ac:dyDescent="0.45">
      <c r="B19" s="29" t="s">
        <v>84</v>
      </c>
      <c r="C19" s="3" t="s">
        <v>42</v>
      </c>
      <c r="D19" s="3" t="s">
        <v>53</v>
      </c>
      <c r="E19" s="8" t="s">
        <v>82</v>
      </c>
      <c r="F19" s="50">
        <f>IF(Table13[[#This Row],[Status]]="Concluído",0,(SUMIFS(Table1[Estimação (horas)],Table1[Campo],Table13[[#This Row],[Campo]])))</f>
        <v>0</v>
      </c>
      <c r="G19" s="50">
        <f>Table13[[#This Row],[Total Horas]]/8</f>
        <v>0</v>
      </c>
      <c r="H19" s="65">
        <f>ROUND(Table13[[#This Row],[Column1]]-SUM(L19:BB19),2)</f>
        <v>0</v>
      </c>
      <c r="I19" s="70"/>
      <c r="J19" s="73"/>
      <c r="L19" s="60"/>
      <c r="M19" s="26"/>
      <c r="R19" s="26"/>
      <c r="W19" s="26"/>
      <c r="AB19" s="26"/>
      <c r="AG19" s="80"/>
    </row>
    <row r="20" spans="2:33" ht="17.399999999999999" hidden="1" customHeight="1" x14ac:dyDescent="0.45">
      <c r="B20" s="29" t="s">
        <v>84</v>
      </c>
      <c r="C20" s="3" t="s">
        <v>42</v>
      </c>
      <c r="D20" s="3" t="s">
        <v>52</v>
      </c>
      <c r="E20" s="8" t="s">
        <v>82</v>
      </c>
      <c r="F20" s="50">
        <f>IF(Table13[[#This Row],[Status]]="Concluído",0,(SUMIFS(Table1[Estimação (horas)],Table1[Campo],Table13[[#This Row],[Campo]])))</f>
        <v>0</v>
      </c>
      <c r="G20" s="50">
        <f>Table13[[#This Row],[Total Horas]]/8</f>
        <v>0</v>
      </c>
      <c r="H20" s="65">
        <f>ROUND(Table13[[#This Row],[Column1]]-SUM(L20:BB20),2)</f>
        <v>0</v>
      </c>
      <c r="I20" s="70"/>
      <c r="J20" s="73"/>
      <c r="L20" s="60"/>
      <c r="M20" s="26"/>
      <c r="R20" s="26"/>
      <c r="W20" s="26"/>
      <c r="AB20" s="26"/>
      <c r="AG20" s="80"/>
    </row>
    <row r="21" spans="2:33" ht="17.399999999999999" hidden="1" customHeight="1" x14ac:dyDescent="0.45">
      <c r="B21" s="29" t="s">
        <v>84</v>
      </c>
      <c r="C21" s="3" t="s">
        <v>42</v>
      </c>
      <c r="D21" s="3" t="s">
        <v>51</v>
      </c>
      <c r="E21" s="8" t="s">
        <v>82</v>
      </c>
      <c r="F21" s="50">
        <f>IF(Table13[[#This Row],[Status]]="Concluído",0,(SUMIFS(Table1[Estimação (horas)],Table1[Campo],Table13[[#This Row],[Campo]])))</f>
        <v>0</v>
      </c>
      <c r="G21" s="50">
        <f>Table13[[#This Row],[Total Horas]]/8</f>
        <v>0</v>
      </c>
      <c r="H21" s="65">
        <f>ROUND(Table13[[#This Row],[Column1]]-SUM(L21:BB21),2)</f>
        <v>0</v>
      </c>
      <c r="I21" s="70"/>
      <c r="J21" s="73"/>
      <c r="L21" s="60"/>
      <c r="M21" s="26"/>
      <c r="R21" s="26"/>
      <c r="W21" s="26"/>
      <c r="AB21" s="26"/>
      <c r="AG21" s="80"/>
    </row>
    <row r="22" spans="2:33" ht="17.399999999999999" x14ac:dyDescent="0.45">
      <c r="B22" s="29" t="s">
        <v>84</v>
      </c>
      <c r="C22" s="3" t="s">
        <v>10</v>
      </c>
      <c r="D22" s="3" t="s">
        <v>32</v>
      </c>
      <c r="E22" s="4" t="s">
        <v>8</v>
      </c>
      <c r="F22" s="50">
        <f>IF(Table13[[#This Row],[Status]]="Concluído",0,(SUMIFS(Table1[Estimação (horas)],Table1[Campo],Table13[[#This Row],[Campo]])))</f>
        <v>22.1</v>
      </c>
      <c r="G22" s="50">
        <f>Table13[[#This Row],[Total Horas]]/8</f>
        <v>2.7625000000000002</v>
      </c>
      <c r="H22" s="65">
        <f>ROUND(Table13[[#This Row],[Column1]]-SUM(M22:BB22),2)</f>
        <v>0.01</v>
      </c>
      <c r="I22" s="70">
        <v>2</v>
      </c>
      <c r="J22" s="73"/>
      <c r="L22" s="60">
        <v>1</v>
      </c>
      <c r="M22" s="26">
        <v>1</v>
      </c>
      <c r="N22">
        <v>0.5</v>
      </c>
      <c r="O22">
        <v>1</v>
      </c>
      <c r="P22">
        <v>0.25</v>
      </c>
      <c r="R22" s="26"/>
      <c r="W22" s="26"/>
      <c r="AB22" s="26"/>
      <c r="AG22" s="80"/>
    </row>
    <row r="23" spans="2:33" ht="17.399999999999999" hidden="1" x14ac:dyDescent="0.45">
      <c r="B23" s="29" t="s">
        <v>84</v>
      </c>
      <c r="C23" s="3" t="s">
        <v>42</v>
      </c>
      <c r="D23" s="3" t="s">
        <v>49</v>
      </c>
      <c r="E23" s="8" t="s">
        <v>82</v>
      </c>
      <c r="F23" s="50">
        <f>IF(Table13[[#This Row],[Status]]="Concluído",0,(SUMIFS(Table1[Estimação (horas)],Table1[Campo],Table13[[#This Row],[Campo]])))</f>
        <v>0</v>
      </c>
      <c r="G23" s="50">
        <f>Table13[[#This Row],[Total Horas]]/8</f>
        <v>0</v>
      </c>
      <c r="H23" s="65">
        <f>ROUND(Table13[[#This Row],[Column1]]-SUM(M23:BB23),2)</f>
        <v>0</v>
      </c>
      <c r="I23" s="70"/>
      <c r="J23" s="73"/>
      <c r="L23" s="60"/>
      <c r="M23" s="26"/>
      <c r="R23" s="26"/>
      <c r="W23" s="26"/>
      <c r="AB23" s="26"/>
      <c r="AG23" s="80"/>
    </row>
    <row r="24" spans="2:33" ht="17.399999999999999" hidden="1" x14ac:dyDescent="0.45">
      <c r="B24" s="29" t="s">
        <v>84</v>
      </c>
      <c r="C24" s="3" t="s">
        <v>42</v>
      </c>
      <c r="D24" s="3" t="s">
        <v>48</v>
      </c>
      <c r="E24" s="8" t="s">
        <v>82</v>
      </c>
      <c r="F24" s="50">
        <f>IF(Table13[[#This Row],[Status]]="Concluído",0,(SUMIFS(Table1[Estimação (horas)],Table1[Campo],Table13[[#This Row],[Campo]])))</f>
        <v>0</v>
      </c>
      <c r="G24" s="50">
        <f>Table13[[#This Row],[Total Horas]]/8</f>
        <v>0</v>
      </c>
      <c r="H24" s="65">
        <f>ROUND(Table13[[#This Row],[Column1]]-SUM(M24:BB24),2)</f>
        <v>0</v>
      </c>
      <c r="I24" s="70"/>
      <c r="J24" s="73"/>
      <c r="L24" s="60"/>
      <c r="M24" s="26"/>
      <c r="R24" s="26"/>
      <c r="W24" s="26"/>
      <c r="AB24" s="26"/>
      <c r="AG24" s="80"/>
    </row>
    <row r="25" spans="2:33" ht="17.399999999999999" hidden="1" x14ac:dyDescent="0.45">
      <c r="B25" s="29" t="s">
        <v>84</v>
      </c>
      <c r="C25" s="3" t="s">
        <v>42</v>
      </c>
      <c r="D25" s="3" t="s">
        <v>47</v>
      </c>
      <c r="E25" s="8" t="s">
        <v>82</v>
      </c>
      <c r="F25" s="50">
        <f>IF(Table13[[#This Row],[Status]]="Concluído",0,(SUMIFS(Table1[Estimação (horas)],Table1[Campo],Table13[[#This Row],[Campo]])))</f>
        <v>0</v>
      </c>
      <c r="G25" s="50">
        <f>Table13[[#This Row],[Total Horas]]/8</f>
        <v>0</v>
      </c>
      <c r="H25" s="65">
        <f>ROUND(Table13[[#This Row],[Column1]]-SUM(M25:BB25),2)</f>
        <v>0</v>
      </c>
      <c r="I25" s="70"/>
      <c r="J25" s="73"/>
      <c r="L25" s="60"/>
      <c r="M25" s="26"/>
      <c r="R25" s="26"/>
      <c r="W25" s="26"/>
      <c r="AB25" s="26"/>
      <c r="AG25" s="80"/>
    </row>
    <row r="26" spans="2:33" ht="17.399999999999999" hidden="1" x14ac:dyDescent="0.45">
      <c r="B26" s="29" t="s">
        <v>84</v>
      </c>
      <c r="C26" s="3" t="s">
        <v>42</v>
      </c>
      <c r="D26" s="3" t="s">
        <v>46</v>
      </c>
      <c r="E26" s="8" t="s">
        <v>82</v>
      </c>
      <c r="F26" s="50">
        <f>IF(Table13[[#This Row],[Status]]="Concluído",0,(SUMIFS(Table1[Estimação (horas)],Table1[Campo],Table13[[#This Row],[Campo]])))</f>
        <v>0</v>
      </c>
      <c r="G26" s="50">
        <f>Table13[[#This Row],[Total Horas]]/8</f>
        <v>0</v>
      </c>
      <c r="H26" s="65">
        <f>ROUND(Table13[[#This Row],[Column1]]-SUM(M26:BB26),2)</f>
        <v>0</v>
      </c>
      <c r="I26" s="70"/>
      <c r="J26" s="73"/>
      <c r="L26" s="60"/>
      <c r="M26" s="26"/>
      <c r="R26" s="26"/>
      <c r="W26" s="26"/>
      <c r="AB26" s="26"/>
      <c r="AG26" s="80"/>
    </row>
    <row r="27" spans="2:33" ht="17.399999999999999" hidden="1" x14ac:dyDescent="0.45">
      <c r="B27" s="29" t="s">
        <v>84</v>
      </c>
      <c r="C27" s="3" t="s">
        <v>42</v>
      </c>
      <c r="D27" s="3" t="s">
        <v>45</v>
      </c>
      <c r="E27" s="8" t="s">
        <v>82</v>
      </c>
      <c r="F27" s="50">
        <f>IF(Table13[[#This Row],[Status]]="Concluído",0,(SUMIFS(Table1[Estimação (horas)],Table1[Campo],Table13[[#This Row],[Campo]])))</f>
        <v>0</v>
      </c>
      <c r="G27" s="50">
        <f>Table13[[#This Row],[Total Horas]]/8</f>
        <v>0</v>
      </c>
      <c r="H27" s="65">
        <f>ROUND(Table13[[#This Row],[Column1]]-SUM(M27:BB27),2)</f>
        <v>0</v>
      </c>
      <c r="I27" s="70"/>
      <c r="J27" s="73"/>
      <c r="L27" s="60"/>
      <c r="M27" s="26"/>
      <c r="R27" s="26"/>
      <c r="W27" s="26"/>
      <c r="AB27" s="26"/>
      <c r="AG27" s="80"/>
    </row>
    <row r="28" spans="2:33" ht="17.399999999999999" hidden="1" x14ac:dyDescent="0.45">
      <c r="B28" s="29" t="s">
        <v>84</v>
      </c>
      <c r="C28" s="3" t="s">
        <v>42</v>
      </c>
      <c r="D28" s="3" t="s">
        <v>44</v>
      </c>
      <c r="E28" s="8" t="s">
        <v>82</v>
      </c>
      <c r="F28" s="50">
        <f>IF(Table13[[#This Row],[Status]]="Concluído",0,(SUMIFS(Table1[Estimação (horas)],Table1[Campo],Table13[[#This Row],[Campo]])))</f>
        <v>0</v>
      </c>
      <c r="G28" s="50">
        <f>Table13[[#This Row],[Total Horas]]/8</f>
        <v>0</v>
      </c>
      <c r="H28" s="65">
        <f>ROUND(Table13[[#This Row],[Column1]]-SUM(M28:BB28),2)</f>
        <v>0</v>
      </c>
      <c r="I28" s="70"/>
      <c r="J28" s="73"/>
      <c r="L28" s="60"/>
      <c r="M28" s="26"/>
      <c r="R28" s="26"/>
      <c r="W28" s="26"/>
      <c r="AB28" s="26"/>
      <c r="AG28" s="80"/>
    </row>
    <row r="29" spans="2:33" ht="17.399999999999999" hidden="1" x14ac:dyDescent="0.45">
      <c r="B29" s="29" t="s">
        <v>84</v>
      </c>
      <c r="C29" s="3" t="s">
        <v>42</v>
      </c>
      <c r="D29" s="3" t="s">
        <v>43</v>
      </c>
      <c r="E29" s="8" t="s">
        <v>82</v>
      </c>
      <c r="F29" s="50">
        <f>IF(Table13[[#This Row],[Status]]="Concluído",0,(SUMIFS(Table1[Estimação (horas)],Table1[Campo],Table13[[#This Row],[Campo]])))</f>
        <v>0</v>
      </c>
      <c r="G29" s="50">
        <f>Table13[[#This Row],[Total Horas]]/8</f>
        <v>0</v>
      </c>
      <c r="H29" s="65">
        <f>ROUND(Table13[[#This Row],[Column1]]-SUM(M29:BB29),2)</f>
        <v>0</v>
      </c>
      <c r="I29" s="70"/>
      <c r="J29" s="73"/>
      <c r="L29" s="60"/>
      <c r="M29" s="26"/>
      <c r="R29" s="26"/>
      <c r="W29" s="26"/>
      <c r="AB29" s="26"/>
      <c r="AG29" s="80"/>
    </row>
    <row r="30" spans="2:33" ht="17.399999999999999" hidden="1" x14ac:dyDescent="0.45">
      <c r="B30" s="29" t="s">
        <v>84</v>
      </c>
      <c r="C30" s="10" t="s">
        <v>42</v>
      </c>
      <c r="D30" s="10" t="s">
        <v>41</v>
      </c>
      <c r="E30" s="9" t="s">
        <v>82</v>
      </c>
      <c r="F30" s="50">
        <f>IF(Table13[[#This Row],[Status]]="Concluído",0,(SUMIFS(Table1[Estimação (horas)],Table1[Campo],Table13[[#This Row],[Campo]])))</f>
        <v>0</v>
      </c>
      <c r="G30" s="50">
        <f>Table13[[#This Row],[Total Horas]]/8</f>
        <v>0</v>
      </c>
      <c r="H30" s="65">
        <f>ROUND(Table13[[#This Row],[Column1]]-SUM(M30:BB30),2)</f>
        <v>0</v>
      </c>
      <c r="I30" s="70"/>
      <c r="J30" s="73"/>
      <c r="L30" s="60"/>
      <c r="M30" s="26"/>
      <c r="R30" s="26"/>
      <c r="W30" s="26"/>
      <c r="AB30" s="26"/>
      <c r="AG30" s="80"/>
    </row>
    <row r="31" spans="2:33" ht="17.399999999999999" hidden="1" x14ac:dyDescent="0.45">
      <c r="B31" s="29" t="s">
        <v>84</v>
      </c>
      <c r="C31" s="10" t="s">
        <v>36</v>
      </c>
      <c r="D31" s="10" t="s">
        <v>40</v>
      </c>
      <c r="E31" s="9" t="s">
        <v>82</v>
      </c>
      <c r="F31" s="50">
        <f>IF(Table13[[#This Row],[Status]]="Concluído",0,(SUMIFS(Table1[Estimação (horas)],Table1[Campo],Table13[[#This Row],[Campo]])))</f>
        <v>0</v>
      </c>
      <c r="G31" s="50">
        <f>Table13[[#This Row],[Total Horas]]/8</f>
        <v>0</v>
      </c>
      <c r="H31" s="65">
        <f>ROUND(Table13[[#This Row],[Column1]]-SUM(M31:BB31),2)</f>
        <v>0</v>
      </c>
      <c r="I31" s="70"/>
      <c r="J31" s="73"/>
      <c r="L31" s="60"/>
      <c r="M31" s="26"/>
      <c r="R31" s="26"/>
      <c r="W31" s="26"/>
      <c r="AB31" s="26"/>
      <c r="AG31" s="80"/>
    </row>
    <row r="32" spans="2:33" ht="17.399999999999999" hidden="1" x14ac:dyDescent="0.45">
      <c r="B32" s="29" t="s">
        <v>84</v>
      </c>
      <c r="C32" s="10" t="s">
        <v>36</v>
      </c>
      <c r="D32" s="10" t="s">
        <v>39</v>
      </c>
      <c r="E32" s="9" t="s">
        <v>82</v>
      </c>
      <c r="F32" s="50">
        <f>IF(Table13[[#This Row],[Status]]="Concluído",0,(SUMIFS(Table1[Estimação (horas)],Table1[Campo],Table13[[#This Row],[Campo]])))</f>
        <v>0</v>
      </c>
      <c r="G32" s="50">
        <f>Table13[[#This Row],[Total Horas]]/8</f>
        <v>0</v>
      </c>
      <c r="H32" s="65">
        <f>ROUND(Table13[[#This Row],[Column1]]-SUM(M32:BB32),2)</f>
        <v>0</v>
      </c>
      <c r="I32" s="70"/>
      <c r="J32" s="73"/>
      <c r="L32" s="60"/>
      <c r="M32" s="26"/>
      <c r="R32" s="26"/>
      <c r="W32" s="26"/>
      <c r="AB32" s="26"/>
      <c r="AG32" s="80"/>
    </row>
    <row r="33" spans="2:33" ht="17.399999999999999" hidden="1" x14ac:dyDescent="0.45">
      <c r="B33" s="29" t="s">
        <v>84</v>
      </c>
      <c r="C33" s="10" t="s">
        <v>36</v>
      </c>
      <c r="D33" s="10" t="s">
        <v>38</v>
      </c>
      <c r="E33" s="9" t="s">
        <v>82</v>
      </c>
      <c r="F33" s="50">
        <f>IF(Table13[[#This Row],[Status]]="Concluído",0,(SUMIFS(Table1[Estimação (horas)],Table1[Campo],Table13[[#This Row],[Campo]])))</f>
        <v>0</v>
      </c>
      <c r="G33" s="50">
        <f>Table13[[#This Row],[Total Horas]]/8</f>
        <v>0</v>
      </c>
      <c r="H33" s="65">
        <f>ROUND(Table13[[#This Row],[Column1]]-SUM(M33:BB33),2)</f>
        <v>0</v>
      </c>
      <c r="I33" s="70"/>
      <c r="J33" s="73"/>
      <c r="L33" s="60"/>
      <c r="M33" s="26"/>
      <c r="R33" s="26"/>
      <c r="W33" s="26"/>
      <c r="AB33" s="26"/>
      <c r="AG33" s="80"/>
    </row>
    <row r="34" spans="2:33" ht="17.399999999999999" hidden="1" x14ac:dyDescent="0.45">
      <c r="B34" s="29" t="s">
        <v>84</v>
      </c>
      <c r="C34" s="10" t="s">
        <v>36</v>
      </c>
      <c r="D34" s="10" t="s">
        <v>37</v>
      </c>
      <c r="E34" s="9" t="s">
        <v>82</v>
      </c>
      <c r="F34" s="50">
        <f>IF(Table13[[#This Row],[Status]]="Concluído",0,(SUMIFS(Table1[Estimação (horas)],Table1[Campo],Table13[[#This Row],[Campo]])))</f>
        <v>0</v>
      </c>
      <c r="G34" s="50">
        <f>Table13[[#This Row],[Total Horas]]/8</f>
        <v>0</v>
      </c>
      <c r="H34" s="65">
        <f>ROUND(Table13[[#This Row],[Column1]]-SUM(M34:BB34),2)</f>
        <v>0</v>
      </c>
      <c r="I34" s="70"/>
      <c r="J34" s="73"/>
      <c r="L34" s="60"/>
      <c r="M34" s="26"/>
      <c r="R34" s="26"/>
      <c r="W34" s="26"/>
      <c r="AB34" s="26"/>
      <c r="AG34" s="80"/>
    </row>
    <row r="35" spans="2:33" ht="17.399999999999999" hidden="1" x14ac:dyDescent="0.45">
      <c r="B35" s="29" t="s">
        <v>84</v>
      </c>
      <c r="C35" s="10" t="s">
        <v>36</v>
      </c>
      <c r="D35" s="10" t="s">
        <v>35</v>
      </c>
      <c r="E35" s="9" t="s">
        <v>82</v>
      </c>
      <c r="F35" s="50">
        <f>IF(Table13[[#This Row],[Status]]="Concluído",0,(SUMIFS(Table1[Estimação (horas)],Table1[Campo],Table13[[#This Row],[Campo]])))</f>
        <v>0</v>
      </c>
      <c r="G35" s="50">
        <f>Table13[[#This Row],[Total Horas]]/8</f>
        <v>0</v>
      </c>
      <c r="H35" s="65">
        <f>ROUND(Table13[[#This Row],[Column1]]-SUM(M35:BB35),2)</f>
        <v>0</v>
      </c>
      <c r="I35" s="70"/>
      <c r="J35" s="73"/>
      <c r="L35" s="60"/>
      <c r="M35" s="26"/>
      <c r="R35" s="26"/>
      <c r="W35" s="26"/>
      <c r="AB35" s="26"/>
      <c r="AG35" s="80"/>
    </row>
    <row r="36" spans="2:33" ht="17.399999999999999" hidden="1" x14ac:dyDescent="0.45">
      <c r="B36" s="29" t="s">
        <v>84</v>
      </c>
      <c r="C36" s="27" t="s">
        <v>10</v>
      </c>
      <c r="D36" s="3" t="s">
        <v>33</v>
      </c>
      <c r="E36" s="8" t="s">
        <v>82</v>
      </c>
      <c r="F36" s="50">
        <f>IF(Table13[[#This Row],[Status]]="Concluído",0,(SUMIFS(Table1[Estimação (horas)],Table1[Campo],Table13[[#This Row],[Campo]])))</f>
        <v>0</v>
      </c>
      <c r="G36" s="50">
        <f>Table13[[#This Row],[Total Horas]]/8</f>
        <v>0</v>
      </c>
      <c r="H36" s="65">
        <f>ROUND(Table13[[#This Row],[Column1]]-SUM(M36:BB36),2)</f>
        <v>0</v>
      </c>
      <c r="I36" s="70"/>
      <c r="J36" s="73"/>
      <c r="L36" s="60"/>
      <c r="M36" s="26"/>
      <c r="R36" s="26"/>
      <c r="W36" s="26"/>
      <c r="AB36" s="26"/>
      <c r="AG36" s="80"/>
    </row>
    <row r="37" spans="2:33" ht="17.399999999999999" x14ac:dyDescent="0.45">
      <c r="B37" s="29" t="s">
        <v>84</v>
      </c>
      <c r="C37" s="3" t="s">
        <v>616</v>
      </c>
      <c r="D37" s="3" t="s">
        <v>50</v>
      </c>
      <c r="E37" s="8" t="s">
        <v>8</v>
      </c>
      <c r="F37" s="50">
        <f>IF(Table13[[#This Row],[Status]]="Concluído",0,(SUMIFS(Table1[Estimação (horas)],Table1[Campo],Table13[[#This Row],[Campo]])))</f>
        <v>12.1</v>
      </c>
      <c r="G37" s="50">
        <f>Table13[[#This Row],[Total Horas]]/8</f>
        <v>1.5125</v>
      </c>
      <c r="H37" s="65">
        <f>ROUND(Table13[[#This Row],[Column1]]-SUM(M37:BB37),2)</f>
        <v>0.01</v>
      </c>
      <c r="I37" s="70">
        <v>3</v>
      </c>
      <c r="J37" s="73"/>
      <c r="L37" s="60">
        <v>0.2</v>
      </c>
      <c r="M37" s="26">
        <v>1</v>
      </c>
      <c r="N37">
        <v>0.5</v>
      </c>
      <c r="R37" s="26"/>
      <c r="W37" s="26"/>
      <c r="AB37" s="26"/>
      <c r="AG37" s="80"/>
    </row>
    <row r="38" spans="2:33" ht="17.399999999999999" x14ac:dyDescent="0.45">
      <c r="B38" s="29" t="s">
        <v>84</v>
      </c>
      <c r="C38" s="3" t="s">
        <v>10</v>
      </c>
      <c r="D38" s="7" t="s">
        <v>92</v>
      </c>
      <c r="E38" s="3" t="s">
        <v>8</v>
      </c>
      <c r="F38" s="50">
        <f>IF(Table13[[#This Row],[Status]]="Concluído",0,(SUMIFS(Table1[Estimação (horas)],Table1[Campo],Table13[[#This Row],[Campo]])))</f>
        <v>0.1</v>
      </c>
      <c r="G38" s="50">
        <f>Table13[[#This Row],[Total Horas]]/8</f>
        <v>1.2500000000000001E-2</v>
      </c>
      <c r="H38" s="65">
        <f>ROUND(Table13[[#This Row],[Column1]]-SUM(M38:BB38),2)</f>
        <v>0.01</v>
      </c>
      <c r="I38" s="70"/>
      <c r="J38" s="73"/>
      <c r="L38" s="60">
        <v>0.1</v>
      </c>
      <c r="M38" s="26"/>
      <c r="R38" s="26"/>
      <c r="W38" s="26"/>
      <c r="AB38" s="26"/>
      <c r="AG38" s="80"/>
    </row>
    <row r="39" spans="2:33" ht="17.399999999999999" x14ac:dyDescent="0.45">
      <c r="B39" s="29" t="s">
        <v>84</v>
      </c>
      <c r="C39" s="27" t="s">
        <v>10</v>
      </c>
      <c r="D39" s="3" t="s">
        <v>6</v>
      </c>
      <c r="E39" s="2" t="s">
        <v>83</v>
      </c>
      <c r="F39" s="50">
        <f>IF(Table13[[#This Row],[Status]]="Concluído",0,(SUMIFS(Table1[Estimação (horas)],Table1[Campo],Table13[[#This Row],[Campo]])))</f>
        <v>12.1</v>
      </c>
      <c r="G39" s="50">
        <f>Table13[[#This Row],[Total Horas]]/8</f>
        <v>1.5125</v>
      </c>
      <c r="H39" s="65">
        <f>ROUND(Table13[[#This Row],[Column1]]-SUM(M39:BB39),2)</f>
        <v>0.01</v>
      </c>
      <c r="I39" s="70">
        <v>4</v>
      </c>
      <c r="J39" s="73"/>
      <c r="L39" s="60"/>
      <c r="M39" s="26"/>
      <c r="P39">
        <v>0.25</v>
      </c>
      <c r="Q39">
        <v>1</v>
      </c>
      <c r="R39" s="26">
        <v>0.25</v>
      </c>
      <c r="W39" s="26"/>
      <c r="AB39" s="26"/>
      <c r="AG39" s="80"/>
    </row>
    <row r="40" spans="2:33" ht="17.399999999999999" x14ac:dyDescent="0.45">
      <c r="B40" s="29" t="s">
        <v>84</v>
      </c>
      <c r="C40" s="3" t="s">
        <v>10</v>
      </c>
      <c r="D40" s="3" t="s">
        <v>97</v>
      </c>
      <c r="E40" s="3" t="s">
        <v>8</v>
      </c>
      <c r="F40" s="50">
        <f>IF(Table13[[#This Row],[Status]]="Concluído",0,(SUMIFS(Table1[Estimação (horas)],Table1[Campo],Table13[[#This Row],[Campo]])))</f>
        <v>0.1</v>
      </c>
      <c r="G40" s="50">
        <f>Table13[[#This Row],[Total Horas]]/8</f>
        <v>1.2500000000000001E-2</v>
      </c>
      <c r="H40" s="65">
        <f>ROUND(Table13[[#This Row],[Column1]]-SUM(M40:BB40),2)</f>
        <v>0.01</v>
      </c>
      <c r="I40" s="70"/>
      <c r="J40" s="73"/>
      <c r="L40" s="60">
        <v>0.1</v>
      </c>
      <c r="M40" s="26"/>
      <c r="R40" s="26"/>
      <c r="W40" s="26"/>
      <c r="AB40" s="26"/>
      <c r="AG40" s="80"/>
    </row>
    <row r="41" spans="2:33" ht="17.399999999999999" x14ac:dyDescent="0.45">
      <c r="B41" s="29" t="s">
        <v>84</v>
      </c>
      <c r="C41" s="3" t="s">
        <v>10</v>
      </c>
      <c r="D41" s="3" t="s">
        <v>29</v>
      </c>
      <c r="E41" s="4" t="s">
        <v>8</v>
      </c>
      <c r="F41" s="50">
        <f>IF(Table13[[#This Row],[Status]]="Concluído",0,(SUMIFS(Table1[Estimação (horas)],Table1[Campo],Table13[[#This Row],[Campo]])))</f>
        <v>14.1</v>
      </c>
      <c r="G41" s="50">
        <f>Table13[[#This Row],[Total Horas]]/8</f>
        <v>1.7625</v>
      </c>
      <c r="H41" s="65">
        <f>ROUND(Table13[[#This Row],[Column1]]-SUM(M41:BB41),2)</f>
        <v>0.01</v>
      </c>
      <c r="I41" s="70">
        <v>5</v>
      </c>
      <c r="J41" s="73"/>
      <c r="L41" s="60"/>
      <c r="M41" s="26"/>
      <c r="Q41">
        <v>0.5</v>
      </c>
      <c r="R41" s="26">
        <v>1</v>
      </c>
      <c r="S41">
        <v>0.25</v>
      </c>
      <c r="W41" s="26"/>
      <c r="AB41" s="26"/>
      <c r="AG41" s="80"/>
    </row>
    <row r="42" spans="2:33" ht="17.399999999999999" x14ac:dyDescent="0.45">
      <c r="B42" s="29" t="s">
        <v>84</v>
      </c>
      <c r="C42" s="3" t="s">
        <v>10</v>
      </c>
      <c r="D42" s="3" t="s">
        <v>28</v>
      </c>
      <c r="E42" s="4" t="s">
        <v>8</v>
      </c>
      <c r="F42" s="50">
        <f>IF(Table13[[#This Row],[Status]]="Concluído",0,(SUMIFS(Table1[Estimação (horas)],Table1[Campo],Table13[[#This Row],[Campo]])))</f>
        <v>10.1</v>
      </c>
      <c r="G42" s="50">
        <f>Table13[[#This Row],[Total Horas]]/8</f>
        <v>1.2625</v>
      </c>
      <c r="H42" s="65">
        <f>ROUND(Table13[[#This Row],[Column1]]-SUM(M42:BB42),2)</f>
        <v>0.01</v>
      </c>
      <c r="I42" s="70">
        <v>6</v>
      </c>
      <c r="J42" s="73"/>
      <c r="L42" s="60"/>
      <c r="M42" s="26"/>
      <c r="R42" s="26">
        <v>0.25</v>
      </c>
      <c r="S42">
        <v>1</v>
      </c>
      <c r="W42" s="26"/>
      <c r="AB42" s="26"/>
      <c r="AG42" s="80"/>
    </row>
    <row r="43" spans="2:33" ht="17.399999999999999" x14ac:dyDescent="0.45">
      <c r="B43" s="29" t="s">
        <v>84</v>
      </c>
      <c r="C43" s="3" t="s">
        <v>4</v>
      </c>
      <c r="D43" s="3" t="s">
        <v>3</v>
      </c>
      <c r="E43" s="2" t="s">
        <v>83</v>
      </c>
      <c r="F43" s="52">
        <f>IF(Table13[[#This Row],[Status]]="Concluído",0,(SUMIFS(Table1[Estimação (horas)],Table1[Campo],Table13[[#This Row],[Campo]])))</f>
        <v>14.1</v>
      </c>
      <c r="G43" s="52">
        <f>Table13[[#This Row],[Total Horas]]/8</f>
        <v>1.7625</v>
      </c>
      <c r="H43" s="65">
        <f>ROUND(Table13[[#This Row],[Column1]]-SUM(M43:BB43),2)</f>
        <v>0.01</v>
      </c>
      <c r="I43" s="72">
        <v>7</v>
      </c>
      <c r="J43" s="73"/>
      <c r="L43" s="60"/>
      <c r="M43" s="26"/>
      <c r="R43" s="26"/>
      <c r="S43">
        <v>0.25</v>
      </c>
      <c r="T43">
        <v>1</v>
      </c>
      <c r="U43">
        <v>0.5</v>
      </c>
      <c r="W43" s="26"/>
      <c r="AB43" s="26"/>
      <c r="AG43" s="80"/>
    </row>
    <row r="44" spans="2:33" ht="17.399999999999999" x14ac:dyDescent="0.45">
      <c r="B44" s="29" t="s">
        <v>84</v>
      </c>
      <c r="C44" s="3" t="s">
        <v>10</v>
      </c>
      <c r="D44" s="3" t="s">
        <v>31</v>
      </c>
      <c r="E44" s="4" t="s">
        <v>8</v>
      </c>
      <c r="F44" s="50">
        <f>IF(Table13[[#This Row],[Status]]="Concluído",0,(SUMIFS(Table1[Estimação (horas)],Table1[Campo],Table13[[#This Row],[Campo]])))</f>
        <v>10.1</v>
      </c>
      <c r="G44" s="50">
        <f>Table13[[#This Row],[Total Horas]]/8</f>
        <v>1.2625</v>
      </c>
      <c r="H44" s="65">
        <f>ROUND(Table13[[#This Row],[Column1]]-SUM(M44:BB44),2)</f>
        <v>0.01</v>
      </c>
      <c r="I44" s="70">
        <v>8</v>
      </c>
      <c r="J44" s="73"/>
      <c r="L44" s="60"/>
      <c r="M44" s="26"/>
      <c r="R44" s="26"/>
      <c r="T44">
        <v>0.5</v>
      </c>
      <c r="U44">
        <v>0.75</v>
      </c>
      <c r="W44" s="26"/>
      <c r="AB44" s="26"/>
      <c r="AG44" s="80"/>
    </row>
    <row r="45" spans="2:33" ht="17.399999999999999" x14ac:dyDescent="0.45">
      <c r="B45" s="29" t="s">
        <v>84</v>
      </c>
      <c r="C45" s="3" t="s">
        <v>10</v>
      </c>
      <c r="D45" s="3" t="s">
        <v>96</v>
      </c>
      <c r="E45" s="3" t="s">
        <v>8</v>
      </c>
      <c r="F45" s="50">
        <f>IF(Table13[[#This Row],[Status]]="Concluído",0,(SUMIFS(Table1[Estimação (horas)],Table1[Campo],Table13[[#This Row],[Campo]])))</f>
        <v>0.1</v>
      </c>
      <c r="G45" s="50">
        <f>Table13[[#This Row],[Total Horas]]/8</f>
        <v>1.2500000000000001E-2</v>
      </c>
      <c r="H45" s="65">
        <f>ROUND(Table13[[#This Row],[Column1]]-SUM(M45:BB45),2)</f>
        <v>0.01</v>
      </c>
      <c r="I45" s="70"/>
      <c r="J45" s="73"/>
      <c r="L45" s="60">
        <v>0.1</v>
      </c>
      <c r="M45" s="26"/>
      <c r="R45" s="26"/>
      <c r="W45" s="26"/>
      <c r="AB45" s="26"/>
      <c r="AG45" s="80"/>
    </row>
    <row r="46" spans="2:33" ht="17.399999999999999" x14ac:dyDescent="0.45">
      <c r="B46" s="29" t="s">
        <v>84</v>
      </c>
      <c r="C46" s="3" t="s">
        <v>10</v>
      </c>
      <c r="D46" s="3" t="s">
        <v>25</v>
      </c>
      <c r="E46" s="4" t="s">
        <v>8</v>
      </c>
      <c r="F46" s="50">
        <f>IF(Table13[[#This Row],[Status]]="Concluído",0,(SUMIFS(Table1[Estimação (horas)],Table1[Campo],Table13[[#This Row],[Campo]])))</f>
        <v>10.1</v>
      </c>
      <c r="G46" s="50">
        <f>Table13[[#This Row],[Total Horas]]/8</f>
        <v>1.2625</v>
      </c>
      <c r="H46" s="65">
        <f>ROUND(Table13[[#This Row],[Column1]]-SUM(M46:BB46),2)</f>
        <v>0.01</v>
      </c>
      <c r="I46" s="70">
        <v>9</v>
      </c>
      <c r="J46" s="73"/>
      <c r="L46" s="60"/>
      <c r="M46" s="26"/>
      <c r="R46" s="26"/>
      <c r="U46">
        <v>0.25</v>
      </c>
      <c r="V46">
        <v>1</v>
      </c>
      <c r="W46" s="26"/>
      <c r="AB46" s="26"/>
      <c r="AG46" s="80"/>
    </row>
    <row r="47" spans="2:33" ht="17.399999999999999" x14ac:dyDescent="0.45">
      <c r="B47" s="29" t="s">
        <v>84</v>
      </c>
      <c r="C47" s="3" t="s">
        <v>10</v>
      </c>
      <c r="D47" s="3" t="s">
        <v>93</v>
      </c>
      <c r="E47" s="3" t="s">
        <v>8</v>
      </c>
      <c r="F47" s="50">
        <f>IF(Table13[[#This Row],[Status]]="Concluído",0,(SUMIFS(Table1[Estimação (horas)],Table1[Campo],Table13[[#This Row],[Campo]])))</f>
        <v>0.1</v>
      </c>
      <c r="G47" s="50">
        <f>Table13[[#This Row],[Total Horas]]/8</f>
        <v>1.2500000000000001E-2</v>
      </c>
      <c r="H47" s="65">
        <f>ROUND(Table13[[#This Row],[Column1]]-SUM(M47:BB47),2)</f>
        <v>0.01</v>
      </c>
      <c r="I47" s="70"/>
      <c r="J47" s="73"/>
      <c r="L47" s="60">
        <v>0.1</v>
      </c>
      <c r="M47" s="26"/>
      <c r="R47" s="26"/>
      <c r="W47" s="26"/>
      <c r="AB47" s="26"/>
      <c r="AG47" s="80"/>
    </row>
    <row r="48" spans="2:33" ht="17.399999999999999" x14ac:dyDescent="0.45">
      <c r="B48" s="29" t="s">
        <v>84</v>
      </c>
      <c r="C48" s="6" t="s">
        <v>10</v>
      </c>
      <c r="D48" s="6" t="s">
        <v>30</v>
      </c>
      <c r="E48" s="4" t="s">
        <v>8</v>
      </c>
      <c r="F48" s="50">
        <f>IF(Table13[[#This Row],[Status]]="Concluído",0,(SUMIFS(Table1[Estimação (horas)],Table1[Campo],Table13[[#This Row],[Campo]])))</f>
        <v>10.1</v>
      </c>
      <c r="G48" s="50">
        <f>Table13[[#This Row],[Total Horas]]/8</f>
        <v>1.2625</v>
      </c>
      <c r="H48" s="65">
        <f>ROUND(Table13[[#This Row],[Column1]]-SUM(M48:BB48),2)</f>
        <v>0.01</v>
      </c>
      <c r="I48" s="70">
        <v>10</v>
      </c>
      <c r="J48" s="73"/>
      <c r="L48" s="60"/>
      <c r="M48" s="26"/>
      <c r="R48" s="26"/>
      <c r="V48">
        <v>0.5</v>
      </c>
      <c r="W48" s="26">
        <v>0.75</v>
      </c>
      <c r="AB48" s="26"/>
      <c r="AG48" s="80"/>
    </row>
    <row r="49" spans="2:33" ht="17.399999999999999" x14ac:dyDescent="0.45">
      <c r="B49" s="29" t="s">
        <v>84</v>
      </c>
      <c r="C49" s="3" t="s">
        <v>10</v>
      </c>
      <c r="D49" s="3" t="s">
        <v>95</v>
      </c>
      <c r="E49" s="3" t="s">
        <v>8</v>
      </c>
      <c r="F49" s="50">
        <f>IF(Table13[[#This Row],[Status]]="Concluído",0,(SUMIFS(Table1[Estimação (horas)],Table1[Campo],Table13[[#This Row],[Campo]])))</f>
        <v>0.1</v>
      </c>
      <c r="G49" s="50">
        <f>Table13[[#This Row],[Total Horas]]/8</f>
        <v>1.2500000000000001E-2</v>
      </c>
      <c r="H49" s="65">
        <f>ROUND(Table13[[#This Row],[Column1]]-SUM(M49:BB49),2)</f>
        <v>0.01</v>
      </c>
      <c r="I49" s="70"/>
      <c r="J49" s="73"/>
      <c r="L49" s="60">
        <v>0.1</v>
      </c>
      <c r="M49" s="26"/>
      <c r="R49" s="26"/>
      <c r="W49" s="26"/>
      <c r="AB49" s="26"/>
      <c r="AG49" s="80"/>
    </row>
    <row r="50" spans="2:33" ht="17.399999999999999" x14ac:dyDescent="0.45">
      <c r="B50" s="29" t="s">
        <v>84</v>
      </c>
      <c r="C50" s="3" t="s">
        <v>10</v>
      </c>
      <c r="D50" s="3" t="s">
        <v>26</v>
      </c>
      <c r="E50" s="4" t="s">
        <v>8</v>
      </c>
      <c r="F50" s="50">
        <f>IF(Table13[[#This Row],[Status]]="Concluído",0,(SUMIFS(Table1[Estimação (horas)],Table1[Campo],Table13[[#This Row],[Campo]])))</f>
        <v>10.1</v>
      </c>
      <c r="G50" s="50">
        <f>Table13[[#This Row],[Total Horas]]/8</f>
        <v>1.2625</v>
      </c>
      <c r="H50" s="65">
        <f>ROUND(Table13[[#This Row],[Column1]]-SUM(M50:BB50),2)</f>
        <v>0.01</v>
      </c>
      <c r="I50" s="70">
        <v>11</v>
      </c>
      <c r="J50" s="73"/>
      <c r="L50" s="60"/>
      <c r="M50" s="26"/>
      <c r="R50" s="26"/>
      <c r="W50" s="26">
        <v>0.75</v>
      </c>
      <c r="X50">
        <v>0.5</v>
      </c>
      <c r="AB50" s="26"/>
      <c r="AG50" s="80"/>
    </row>
    <row r="51" spans="2:33" ht="17.399999999999999" x14ac:dyDescent="0.45">
      <c r="B51" s="29" t="s">
        <v>84</v>
      </c>
      <c r="C51" s="3" t="s">
        <v>10</v>
      </c>
      <c r="D51" s="3" t="s">
        <v>94</v>
      </c>
      <c r="E51" s="3" t="s">
        <v>8</v>
      </c>
      <c r="F51" s="50">
        <f>IF(Table13[[#This Row],[Status]]="Concluído",0,(SUMIFS(Table1[Estimação (horas)],Table1[Campo],Table13[[#This Row],[Campo]])))</f>
        <v>0.1</v>
      </c>
      <c r="G51" s="50">
        <f>Table13[[#This Row],[Total Horas]]/8</f>
        <v>1.2500000000000001E-2</v>
      </c>
      <c r="H51" s="65">
        <f>ROUND(Table13[[#This Row],[Column1]]-SUM(M51:BB51),2)</f>
        <v>0.01</v>
      </c>
      <c r="I51" s="70"/>
      <c r="J51" s="73"/>
      <c r="L51" s="60">
        <v>0.1</v>
      </c>
      <c r="M51" s="26"/>
      <c r="R51" s="26"/>
      <c r="W51" s="26"/>
      <c r="AB51" s="26"/>
      <c r="AG51" s="80"/>
    </row>
    <row r="52" spans="2:33" ht="17.399999999999999" x14ac:dyDescent="0.45">
      <c r="B52" s="29" t="s">
        <v>84</v>
      </c>
      <c r="C52" s="3" t="s">
        <v>10</v>
      </c>
      <c r="D52" s="3" t="s">
        <v>11</v>
      </c>
      <c r="E52" s="4" t="s">
        <v>8</v>
      </c>
      <c r="F52" s="50">
        <f>IF(Table13[[#This Row],[Status]]="Concluído",0,(SUMIFS(Table1[Estimação (horas)],Table1[Campo],Table13[[#This Row],[Campo]])))</f>
        <v>15.1</v>
      </c>
      <c r="G52" s="50">
        <f>Table13[[#This Row],[Total Horas]]/8</f>
        <v>1.8875</v>
      </c>
      <c r="H52" s="65">
        <f>ROUND(Table13[[#This Row],[Column1]]-SUM(M52:BB52),2)</f>
        <v>-0.01</v>
      </c>
      <c r="I52" s="70">
        <v>12</v>
      </c>
      <c r="J52" s="73"/>
      <c r="L52" s="60"/>
      <c r="M52" s="26"/>
      <c r="R52" s="26"/>
      <c r="W52" s="26"/>
      <c r="X52">
        <v>1</v>
      </c>
      <c r="Y52">
        <v>0.9</v>
      </c>
      <c r="AB52" s="26"/>
      <c r="AG52" s="80"/>
    </row>
    <row r="53" spans="2:33" ht="17.399999999999999" x14ac:dyDescent="0.45">
      <c r="B53" s="29" t="s">
        <v>84</v>
      </c>
      <c r="C53" s="3" t="s">
        <v>10</v>
      </c>
      <c r="D53" s="3" t="s">
        <v>91</v>
      </c>
      <c r="E53" s="3" t="s">
        <v>8</v>
      </c>
      <c r="F53" s="50">
        <f>IF(Table13[[#This Row],[Status]]="Concluído",0,(SUMIFS(Table1[Estimação (horas)],Table1[Campo],Table13[[#This Row],[Campo]])))</f>
        <v>0.1</v>
      </c>
      <c r="G53" s="50">
        <f>Table13[[#This Row],[Total Horas]]/8</f>
        <v>1.2500000000000001E-2</v>
      </c>
      <c r="H53" s="65">
        <f>ROUND(Table13[[#This Row],[Column1]]-SUM(M53:BB53),2)</f>
        <v>0.01</v>
      </c>
      <c r="I53" s="70"/>
      <c r="J53" s="73"/>
      <c r="L53" s="60">
        <v>0.1</v>
      </c>
      <c r="M53" s="26"/>
      <c r="R53" s="26"/>
      <c r="W53" s="26"/>
      <c r="AB53" s="26"/>
      <c r="AG53" s="80"/>
    </row>
    <row r="54" spans="2:33" ht="17.399999999999999" x14ac:dyDescent="0.45">
      <c r="B54" s="29" t="s">
        <v>84</v>
      </c>
      <c r="C54" s="3" t="s">
        <v>10</v>
      </c>
      <c r="D54" s="5" t="s">
        <v>15</v>
      </c>
      <c r="E54" s="4" t="s">
        <v>8</v>
      </c>
      <c r="F54" s="50">
        <f>IF(Table13[[#This Row],[Status]]="Concluído",0,(SUMIFS(Table1[Estimação (horas)],Table1[Campo],Table13[[#This Row],[Campo]])))</f>
        <v>15.1</v>
      </c>
      <c r="G54" s="50">
        <f>Table13[[#This Row],[Total Horas]]/8</f>
        <v>1.8875</v>
      </c>
      <c r="H54" s="65">
        <f>ROUND(Table13[[#This Row],[Column1]]-SUM(M54:BB54),2)</f>
        <v>-0.01</v>
      </c>
      <c r="I54" s="70">
        <v>13</v>
      </c>
      <c r="J54" s="73"/>
      <c r="L54" s="60"/>
      <c r="M54" s="26"/>
      <c r="R54" s="26"/>
      <c r="W54" s="26"/>
      <c r="Y54">
        <v>0.6</v>
      </c>
      <c r="Z54">
        <v>1</v>
      </c>
      <c r="AA54">
        <v>0.3</v>
      </c>
      <c r="AB54" s="26"/>
      <c r="AG54" s="80"/>
    </row>
    <row r="55" spans="2:33" ht="17.399999999999999" x14ac:dyDescent="0.45">
      <c r="B55" s="29" t="s">
        <v>84</v>
      </c>
      <c r="C55" s="3" t="s">
        <v>10</v>
      </c>
      <c r="D55" s="3" t="s">
        <v>27</v>
      </c>
      <c r="E55" s="3" t="s">
        <v>8</v>
      </c>
      <c r="F55" s="50">
        <f>IF(Table13[[#This Row],[Status]]="Concluído",0,(SUMIFS(Table1[Estimação (horas)],Table1[Campo],Table13[[#This Row],[Campo]])))</f>
        <v>0.1</v>
      </c>
      <c r="G55" s="50">
        <f>Table13[[#This Row],[Total Horas]]/8</f>
        <v>1.2500000000000001E-2</v>
      </c>
      <c r="H55" s="65">
        <f>ROUND(Table13[[#This Row],[Column1]]-SUM(L55:BB55),2)</f>
        <v>-0.09</v>
      </c>
      <c r="I55" s="70"/>
      <c r="J55" s="73"/>
      <c r="L55" s="60">
        <v>0.1</v>
      </c>
      <c r="M55" s="26"/>
      <c r="R55" s="26"/>
      <c r="W55" s="26"/>
      <c r="AB55" s="26"/>
      <c r="AG55" s="80"/>
    </row>
    <row r="56" spans="2:33" ht="17.399999999999999" x14ac:dyDescent="0.45">
      <c r="B56" s="29" t="s">
        <v>84</v>
      </c>
      <c r="C56" s="3" t="s">
        <v>10</v>
      </c>
      <c r="D56" s="3" t="s">
        <v>21</v>
      </c>
      <c r="E56" s="4" t="s">
        <v>8</v>
      </c>
      <c r="F56" s="50">
        <f>IF(Table13[[#This Row],[Status]]="Concluído",0,(SUMIFS(Table1[Estimação (horas)],Table1[Campo],Table13[[#This Row],[Campo]])))</f>
        <v>15.1</v>
      </c>
      <c r="G56" s="50">
        <f>Table13[[#This Row],[Total Horas]]/8</f>
        <v>1.8875</v>
      </c>
      <c r="H56" s="65">
        <f>ROUND(Table13[[#This Row],[Column1]]-SUM(L56:BB56),2)</f>
        <v>-0.01</v>
      </c>
      <c r="I56" s="70">
        <v>14</v>
      </c>
      <c r="J56" s="73"/>
      <c r="L56" s="60"/>
      <c r="M56" s="26"/>
      <c r="R56" s="26"/>
      <c r="W56" s="26"/>
      <c r="AA56">
        <v>0.7</v>
      </c>
      <c r="AB56" s="26">
        <v>1</v>
      </c>
      <c r="AC56">
        <v>0.2</v>
      </c>
      <c r="AG56" s="80"/>
    </row>
    <row r="57" spans="2:33" ht="17.399999999999999" x14ac:dyDescent="0.45">
      <c r="B57" s="29" t="s">
        <v>84</v>
      </c>
      <c r="C57" s="6" t="s">
        <v>10</v>
      </c>
      <c r="D57" s="6" t="s">
        <v>18</v>
      </c>
      <c r="E57" s="4" t="s">
        <v>8</v>
      </c>
      <c r="F57" s="50">
        <f>IF(Table13[[#This Row],[Status]]="Concluído",0,(SUMIFS(Table1[Estimação (horas)],Table1[Campo],Table13[[#This Row],[Campo]])))</f>
        <v>15.1</v>
      </c>
      <c r="G57" s="50">
        <f>Table13[[#This Row],[Total Horas]]/8</f>
        <v>1.8875</v>
      </c>
      <c r="H57" s="65">
        <f>ROUND(Table13[[#This Row],[Column1]]-SUM(L57:BB57),2)</f>
        <v>-0.01</v>
      </c>
      <c r="I57" s="70">
        <v>15</v>
      </c>
      <c r="J57" s="73"/>
      <c r="L57" s="60"/>
      <c r="M57" s="26"/>
      <c r="R57" s="26"/>
      <c r="W57" s="26"/>
      <c r="AB57" s="26"/>
      <c r="AC57">
        <v>1</v>
      </c>
      <c r="AD57">
        <v>0.9</v>
      </c>
      <c r="AG57" s="80"/>
    </row>
    <row r="58" spans="2:33" ht="17.399999999999999" x14ac:dyDescent="0.45">
      <c r="B58" s="29" t="s">
        <v>84</v>
      </c>
      <c r="C58" s="3" t="s">
        <v>10</v>
      </c>
      <c r="D58" s="5" t="s">
        <v>23</v>
      </c>
      <c r="E58" s="4" t="s">
        <v>8</v>
      </c>
      <c r="F58" s="50">
        <f>IF(Table13[[#This Row],[Status]]="Concluído",0,(SUMIFS(Table1[Estimação (horas)],Table1[Campo],Table13[[#This Row],[Campo]])))</f>
        <v>15.1</v>
      </c>
      <c r="G58" s="50">
        <f>Table13[[#This Row],[Total Horas]]/8</f>
        <v>1.8875</v>
      </c>
      <c r="H58" s="65">
        <f>ROUND(Table13[[#This Row],[Column1]]-SUM(L58:BB58),2)</f>
        <v>-0.01</v>
      </c>
      <c r="I58" s="70">
        <v>16</v>
      </c>
      <c r="J58" s="73"/>
      <c r="L58" s="60"/>
      <c r="M58" s="26"/>
      <c r="R58" s="26"/>
      <c r="W58" s="26"/>
      <c r="AB58" s="26"/>
      <c r="AC58">
        <v>1</v>
      </c>
      <c r="AD58">
        <v>0.9</v>
      </c>
      <c r="AG58" s="80"/>
    </row>
    <row r="59" spans="2:33" ht="17.399999999999999" x14ac:dyDescent="0.45">
      <c r="B59" s="29" t="s">
        <v>84</v>
      </c>
      <c r="C59" s="3" t="s">
        <v>10</v>
      </c>
      <c r="D59" s="3" t="s">
        <v>13</v>
      </c>
      <c r="E59" s="4" t="s">
        <v>8</v>
      </c>
      <c r="F59" s="50">
        <f>IF(Table13[[#This Row],[Status]]="Concluído",0,(SUMIFS(Table1[Estimação (horas)],Table1[Campo],Table13[[#This Row],[Campo]])))</f>
        <v>15.1</v>
      </c>
      <c r="G59" s="50">
        <f>Table13[[#This Row],[Total Horas]]/8</f>
        <v>1.8875</v>
      </c>
      <c r="H59" s="65">
        <f>ROUND(Table13[[#This Row],[Column1]]-SUM(L59:BB59),2)</f>
        <v>-0.01</v>
      </c>
      <c r="I59" s="70">
        <v>17</v>
      </c>
      <c r="J59" s="73"/>
      <c r="L59" s="60"/>
      <c r="M59" s="26"/>
      <c r="R59" s="26"/>
      <c r="W59" s="26"/>
      <c r="AB59" s="26"/>
      <c r="AC59">
        <v>0.3</v>
      </c>
      <c r="AD59">
        <v>0.7</v>
      </c>
      <c r="AE59">
        <v>0.9</v>
      </c>
      <c r="AG59" s="80"/>
    </row>
    <row r="60" spans="2:33" ht="17.399999999999999" x14ac:dyDescent="0.45">
      <c r="B60" s="29" t="s">
        <v>84</v>
      </c>
      <c r="C60" s="6" t="s">
        <v>10</v>
      </c>
      <c r="D60" s="6" t="s">
        <v>19</v>
      </c>
      <c r="E60" s="4" t="s">
        <v>8</v>
      </c>
      <c r="F60" s="50">
        <f>IF(Table13[[#This Row],[Status]]="Concluído",0,(SUMIFS(Table1[Estimação (horas)],Table1[Campo],Table13[[#This Row],[Campo]])))</f>
        <v>15.1</v>
      </c>
      <c r="G60" s="50">
        <f>Table13[[#This Row],[Total Horas]]/8</f>
        <v>1.8875</v>
      </c>
      <c r="H60" s="65">
        <f>ROUND(Table13[[#This Row],[Column1]]-SUM(L60:BB60),2)</f>
        <v>-0.01</v>
      </c>
      <c r="I60" s="70">
        <v>18</v>
      </c>
      <c r="J60" s="73"/>
      <c r="L60" s="60"/>
      <c r="M60" s="26"/>
      <c r="R60" s="26"/>
      <c r="W60" s="26"/>
      <c r="AB60" s="26"/>
      <c r="AE60">
        <v>1</v>
      </c>
      <c r="AF60">
        <v>0.9</v>
      </c>
      <c r="AG60" s="80"/>
    </row>
    <row r="61" spans="2:33" ht="17.399999999999999" x14ac:dyDescent="0.45">
      <c r="B61" s="29" t="s">
        <v>84</v>
      </c>
      <c r="C61" s="3" t="s">
        <v>10</v>
      </c>
      <c r="D61" s="3" t="s">
        <v>16</v>
      </c>
      <c r="E61" s="4" t="s">
        <v>8</v>
      </c>
      <c r="F61" s="50">
        <f>IF(Table13[[#This Row],[Status]]="Concluído",0,(SUMIFS(Table1[Estimação (horas)],Table1[Campo],Table13[[#This Row],[Campo]])))</f>
        <v>15.1</v>
      </c>
      <c r="G61" s="50">
        <f>Table13[[#This Row],[Total Horas]]/8</f>
        <v>1.8875</v>
      </c>
      <c r="H61" s="65">
        <f>ROUND(Table13[[#This Row],[Column1]]-SUM(L61:BB61),2)</f>
        <v>-0.01</v>
      </c>
      <c r="I61" s="70">
        <v>19</v>
      </c>
      <c r="J61" s="73"/>
      <c r="L61" s="61"/>
      <c r="M61" s="77"/>
      <c r="N61" s="62"/>
      <c r="O61" s="62"/>
      <c r="P61" s="62"/>
      <c r="Q61" s="62"/>
      <c r="R61" s="77"/>
      <c r="S61" s="62"/>
      <c r="T61" s="62"/>
      <c r="U61" s="62"/>
      <c r="V61" s="62"/>
      <c r="W61" s="77"/>
      <c r="X61" s="62"/>
      <c r="Y61" s="62"/>
      <c r="Z61" s="62"/>
      <c r="AA61" s="62"/>
      <c r="AB61" s="77"/>
      <c r="AC61" s="62"/>
      <c r="AD61" s="62"/>
      <c r="AE61" s="62">
        <v>0.6</v>
      </c>
      <c r="AF61" s="62">
        <v>1</v>
      </c>
      <c r="AG61" s="81">
        <v>0.3</v>
      </c>
    </row>
    <row r="62" spans="2:33" ht="17.399999999999999" customHeight="1" x14ac:dyDescent="0.3">
      <c r="F62">
        <f>SUM(Table13[Total Horas])</f>
        <v>254.59999999999991</v>
      </c>
    </row>
    <row r="63" spans="2:33" ht="17.399999999999999" customHeight="1" x14ac:dyDescent="0.35">
      <c r="F63" s="64">
        <f>F62/8/1.5</f>
        <v>21.216666666666658</v>
      </c>
      <c r="G63" s="64"/>
    </row>
    <row r="64" spans="2:33" ht="17.399999999999999" customHeight="1" x14ac:dyDescent="0.3"/>
  </sheetData>
  <conditionalFormatting sqref="D21">
    <cfRule type="timePeriod" dxfId="10"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Auxiliar!$B$21</xm:f>
            <x14:dxf>
              <font>
                <b/>
                <i val="0"/>
                <color theme="0" tint="-0.499984740745262"/>
              </font>
              <fill>
                <patternFill>
                  <bgColor theme="0" tint="-4.9989318521683403E-2"/>
                </patternFill>
              </fill>
            </x14:dxf>
          </x14:cfRule>
          <x14:cfRule type="containsText" priority="3" operator="containsText" id="{8FDF82F1-FFCA-4C27-879C-C20520C1AC26}">
            <xm:f>NOT(ISERROR(SEARCH(Auxiliar!$B$20,E11)))</xm:f>
            <xm:f>Auxiliar!$B$20</xm:f>
            <x14:dxf>
              <font>
                <b/>
                <i val="0"/>
                <color rgb="FFC00000"/>
              </font>
              <fill>
                <patternFill>
                  <bgColor theme="5" tint="0.79998168889431442"/>
                </patternFill>
              </fill>
            </x14:dxf>
          </x14:cfRule>
          <x14:cfRule type="containsText" priority="4" operator="containsText" id="{B76B57B6-8F90-41AE-B601-99CAF58DBCB1}">
            <xm:f>NOT(ISERROR(SEARCH(Auxiliar!$B$19,E11)))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NOT(ISERROR(SEARCH(Auxiliar!$B$17,E11)))</xm:f>
            <xm:f>Auxiliar!$B$17</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Auxiliar!$B$17:$B$21</xm:f>
          </x14:formula1>
          <xm:sqref>E11:E61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21"/>
  <sheetViews>
    <sheetView topLeftCell="A2" workbookViewId="0">
      <selection activeCell="C18" sqref="C18"/>
    </sheetView>
  </sheetViews>
  <sheetFormatPr defaultRowHeight="14.4" x14ac:dyDescent="0.3"/>
  <cols>
    <col min="2" max="2" width="50.109375" bestFit="1" customWidth="1"/>
    <col min="3" max="3" width="100.77734375" customWidth="1"/>
  </cols>
  <sheetData>
    <row r="2" spans="2:6" ht="17.399999999999999" x14ac:dyDescent="0.45">
      <c r="B2" s="38" t="s">
        <v>78</v>
      </c>
      <c r="D2" t="s">
        <v>608</v>
      </c>
    </row>
    <row r="3" spans="2:6" x14ac:dyDescent="0.3">
      <c r="D3" t="s">
        <v>609</v>
      </c>
    </row>
    <row r="4" spans="2:6" ht="15.6" x14ac:dyDescent="0.3">
      <c r="B4" s="17" t="s">
        <v>76</v>
      </c>
      <c r="C4" s="17" t="s">
        <v>75</v>
      </c>
      <c r="D4" t="s">
        <v>610</v>
      </c>
      <c r="E4" t="s">
        <v>611</v>
      </c>
      <c r="F4" t="s">
        <v>612</v>
      </c>
    </row>
    <row r="5" spans="2:6" ht="34.799999999999997" x14ac:dyDescent="0.45">
      <c r="B5" s="14" t="s">
        <v>593</v>
      </c>
      <c r="C5" s="16" t="s">
        <v>601</v>
      </c>
      <c r="D5">
        <v>8</v>
      </c>
      <c r="E5">
        <v>8</v>
      </c>
      <c r="F5">
        <v>8</v>
      </c>
    </row>
    <row r="6" spans="2:6" ht="34.799999999999997" x14ac:dyDescent="0.45">
      <c r="B6" s="14" t="s">
        <v>594</v>
      </c>
      <c r="C6" s="16" t="s">
        <v>614</v>
      </c>
      <c r="D6">
        <v>2</v>
      </c>
      <c r="E6">
        <v>4</v>
      </c>
      <c r="F6">
        <v>8</v>
      </c>
    </row>
    <row r="7" spans="2:6" ht="17.399999999999999" x14ac:dyDescent="0.45">
      <c r="B7" s="14" t="s">
        <v>600</v>
      </c>
      <c r="C7" s="16" t="s">
        <v>615</v>
      </c>
      <c r="D7">
        <v>2</v>
      </c>
      <c r="E7">
        <v>4</v>
      </c>
      <c r="F7">
        <v>8</v>
      </c>
    </row>
    <row r="8" spans="2:6" ht="17.399999999999999" x14ac:dyDescent="0.45">
      <c r="B8" s="14" t="s">
        <v>595</v>
      </c>
      <c r="C8" s="16" t="s">
        <v>613</v>
      </c>
      <c r="D8">
        <v>2</v>
      </c>
      <c r="E8">
        <v>4</v>
      </c>
      <c r="F8">
        <v>8</v>
      </c>
    </row>
    <row r="9" spans="2:6" ht="17.399999999999999" x14ac:dyDescent="0.45">
      <c r="B9" s="14" t="s">
        <v>599</v>
      </c>
      <c r="C9" s="16" t="s">
        <v>606</v>
      </c>
      <c r="D9">
        <v>1</v>
      </c>
      <c r="E9">
        <v>1</v>
      </c>
      <c r="F9">
        <v>1</v>
      </c>
    </row>
    <row r="10" spans="2:6" ht="34.799999999999997" x14ac:dyDescent="0.45">
      <c r="B10" s="14" t="s">
        <v>603</v>
      </c>
      <c r="C10" s="16" t="s">
        <v>605</v>
      </c>
      <c r="D10">
        <v>0.1</v>
      </c>
      <c r="E10">
        <v>0.1</v>
      </c>
      <c r="F10">
        <v>0.1</v>
      </c>
    </row>
    <row r="11" spans="2:6" ht="17.399999999999999" x14ac:dyDescent="0.45">
      <c r="B11" s="14" t="s">
        <v>604</v>
      </c>
      <c r="C11" s="16" t="s">
        <v>602</v>
      </c>
      <c r="D11">
        <v>1</v>
      </c>
      <c r="E11">
        <v>2</v>
      </c>
      <c r="F11">
        <v>2</v>
      </c>
    </row>
    <row r="12" spans="2:6" ht="17.399999999999999" x14ac:dyDescent="0.45">
      <c r="B12" s="48"/>
      <c r="C12" s="49"/>
    </row>
    <row r="15" spans="2:6" x14ac:dyDescent="0.3">
      <c r="B15" s="28" t="s">
        <v>79</v>
      </c>
    </row>
    <row r="17" spans="2:2" ht="17.399999999999999" x14ac:dyDescent="0.3">
      <c r="B17" s="39" t="s">
        <v>82</v>
      </c>
    </row>
    <row r="18" spans="2:2" ht="17.399999999999999" x14ac:dyDescent="0.3">
      <c r="B18" s="82" t="s">
        <v>620</v>
      </c>
    </row>
    <row r="19" spans="2:2" ht="17.399999999999999" x14ac:dyDescent="0.45">
      <c r="B19" s="3" t="s">
        <v>8</v>
      </c>
    </row>
    <row r="20" spans="2:2" ht="17.399999999999999" x14ac:dyDescent="0.45">
      <c r="B20" s="40" t="s">
        <v>83</v>
      </c>
    </row>
    <row r="21" spans="2:2" ht="17.399999999999999" x14ac:dyDescent="0.45">
      <c r="B21" s="3" t="s">
        <v>88</v>
      </c>
    </row>
  </sheetData>
  <conditionalFormatting sqref="B17:B21">
    <cfRule type="cellIs" dxfId="5" priority="1" operator="equal">
      <formula>$B$21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NOT(ISERROR(SEARCH($B$20,B17)))</xm:f>
            <xm:f>$B$20</xm:f>
            <x14:dxf>
              <font>
                <b/>
                <i val="0"/>
                <color rgb="FFC00000"/>
              </font>
              <fill>
                <patternFill>
                  <bgColor theme="5" tint="0.79998168889431442"/>
                </patternFill>
              </fill>
            </x14:dxf>
          </x14:cfRule>
          <x14:cfRule type="containsText" priority="3" operator="containsText" id="{B0574C7E-907B-4484-A1CC-EBB9AA1C8984}">
            <xm:f>NOT(ISERROR(SEARCH($B$19,B17)))</xm:f>
            <xm:f>$B$19</xm:f>
            <x14:dxf>
              <font>
                <b/>
                <i val="0"/>
                <color theme="7" tint="-0.24994659260841701"/>
              </font>
              <fill>
                <patternFill>
                  <bgColor theme="7" tint="0.79998168889431442"/>
                </patternFill>
              </fill>
            </x14:dxf>
          </x14:cfRule>
          <x14:cfRule type="containsText" priority="4" operator="containsText" id="{189E0EEA-8B4A-4A84-ABC7-266A6AAD0E7B}">
            <xm:f>NOT(ISERROR(SEARCH($B$17,B17)))</xm:f>
            <xm:f>$B$17</xm:f>
            <x14:dxf>
              <font>
                <b/>
                <i val="0"/>
                <color theme="9"/>
              </font>
              <fill>
                <patternFill>
                  <bgColor theme="9" tint="0.79998168889431442"/>
                </patternFill>
              </fill>
            </x14:dxf>
          </x14:cfRule>
          <xm:sqref>B17:B21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H63"/>
  <sheetViews>
    <sheetView showGridLines="0" zoomScale="80" zoomScaleNormal="80" workbookViewId="0">
      <selection activeCell="B9" sqref="B9"/>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1" priority="1" timePeriod="lastMonth">
      <formula>AND(MONTH(C14)=MONTH(EDATE(TODAY(),0-1)),YEAR(C14)=YEAR(EDATE(TODAY(),0-1)))</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D18020FD-8CED-4DD4-B6D2-53ED63C63BD2}"/>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http://purl.org/dc/terms/"/>
    <ds:schemaRef ds:uri="http://schemas.microsoft.com/sharepoint/v3"/>
    <ds:schemaRef ds:uri="http://www.w3.org/XML/1998/namespace"/>
    <ds:schemaRef ds:uri="0683c779-04fc-4b63-89c9-6c25ffa1c0a4"/>
    <ds:schemaRef ds:uri="http://purl.org/dc/elements/1.1/"/>
    <ds:schemaRef ds:uri="http://schemas.microsoft.com/office/infopath/2007/PartnerControls"/>
    <ds:schemaRef ds:uri="http://purl.org/dc/dcmitype/"/>
    <ds:schemaRef ds:uri="http://schemas.openxmlformats.org/package/2006/metadata/core-properties"/>
    <ds:schemaRef ds:uri="6ea7b29d-57ec-408d-9ea9-cf73b04f66d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Tipologias Testes GD</vt:lpstr>
      <vt:lpstr>2. Controlos Corporativos</vt:lpstr>
      <vt:lpstr>3. Plano</vt:lpstr>
      <vt:lpstr>Auxiliar</vt:lpstr>
      <vt:lpstr>Tipologias de Testes GD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dc:creator>
  <cp:lastModifiedBy>Nádia Genebra Ahmad</cp:lastModifiedBy>
  <cp:lastPrinted>2024-07-02T10:02:55Z</cp:lastPrinted>
  <dcterms:created xsi:type="dcterms:W3CDTF">2024-07-02T08:46:04Z</dcterms:created>
  <dcterms:modified xsi:type="dcterms:W3CDTF">2024-07-05T14:10:19Z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