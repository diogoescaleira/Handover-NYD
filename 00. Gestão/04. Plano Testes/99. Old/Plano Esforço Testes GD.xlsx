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 Equipa/"/>
    </mc:Choice>
  </mc:AlternateContent>
  <bookViews>
    <workbookView xWindow="0" yWindow="0" windowWidth="28800" windowHeight="11850"/>
  </bookViews>
  <sheets>
    <sheet name="Planificação" sheetId="2" r:id="rId1"/>
    <sheet name="Sheet1" sheetId="1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2" l="1"/>
  <c r="D13" i="2"/>
  <c r="D29" i="2"/>
  <c r="D28" i="2"/>
  <c r="D19" i="2"/>
  <c r="D20" i="2"/>
  <c r="D21" i="2"/>
  <c r="D23" i="2"/>
  <c r="D24" i="2"/>
  <c r="D25" i="2"/>
  <c r="D26" i="2"/>
  <c r="D27" i="2"/>
  <c r="D30" i="2"/>
  <c r="D31" i="2"/>
  <c r="D32" i="2"/>
  <c r="D34" i="2"/>
  <c r="D35" i="2"/>
  <c r="D37" i="2"/>
  <c r="D38" i="2"/>
  <c r="D15" i="2"/>
  <c r="D16" i="2"/>
  <c r="D17" i="2"/>
  <c r="I6" i="2" l="1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J11" i="2"/>
  <c r="K11" i="2" s="1"/>
  <c r="M11" i="2"/>
  <c r="N11" i="2" s="1"/>
  <c r="O11" i="2" s="1"/>
  <c r="P11" i="2" s="1"/>
  <c r="R11" i="2"/>
  <c r="S11" i="2" s="1"/>
  <c r="T11" i="2" s="1"/>
  <c r="U11" i="2" s="1"/>
  <c r="W11" i="2"/>
  <c r="X11" i="2" s="1"/>
  <c r="Y11" i="2" s="1"/>
  <c r="AA11" i="2" s="1"/>
  <c r="AC11" i="2"/>
  <c r="AD11" i="2" s="1"/>
  <c r="AE11" i="2" s="1"/>
  <c r="AH11" i="2" s="1"/>
  <c r="AJ11" i="2"/>
  <c r="AK11" i="2" s="1"/>
  <c r="AL11" i="2" s="1"/>
  <c r="AM11" i="2" s="1"/>
  <c r="AS11" i="2"/>
  <c r="AT11" i="2" s="1"/>
  <c r="AU11" i="2" s="1"/>
  <c r="AV11" i="2" s="1"/>
  <c r="AW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CI11" i="2" s="1"/>
  <c r="CJ11" i="2" s="1"/>
  <c r="CK11" i="2" s="1"/>
  <c r="CL11" i="2" s="1"/>
  <c r="CM11" i="2" s="1"/>
  <c r="CN11" i="2" s="1"/>
  <c r="CO11" i="2" s="1"/>
  <c r="CQ11" i="2"/>
  <c r="CR11" i="2" s="1"/>
  <c r="CS11" i="2" s="1"/>
  <c r="CT11" i="2" s="1"/>
  <c r="CU11" i="2" s="1"/>
  <c r="CV11" i="2" s="1"/>
  <c r="CW11" i="2" s="1"/>
  <c r="CX11" i="2" s="1"/>
  <c r="CY11" i="2" s="1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DJ11" i="2" s="1"/>
  <c r="DK11" i="2" s="1"/>
  <c r="DM11" i="2" s="1"/>
  <c r="DN11" i="2" s="1"/>
  <c r="DO11" i="2" s="1"/>
  <c r="DP11" i="2" s="1"/>
  <c r="DQ11" i="2" s="1"/>
  <c r="DR11" i="2" s="1"/>
  <c r="DS11" i="2" s="1"/>
  <c r="DT11" i="2" s="1"/>
  <c r="DU11" i="2" s="1"/>
  <c r="DV11" i="2" s="1"/>
  <c r="DW11" i="2" s="1"/>
  <c r="DX11" i="2" s="1"/>
  <c r="DY11" i="2" s="1"/>
  <c r="DZ11" i="2" s="1"/>
  <c r="EA11" i="2" s="1"/>
  <c r="EB11" i="2" s="1"/>
  <c r="EC11" i="2" s="1"/>
  <c r="ED11" i="2" s="1"/>
  <c r="EE11" i="2" s="1"/>
  <c r="EF11" i="2" s="1"/>
  <c r="EH11" i="2" s="1"/>
  <c r="EI11" i="2" s="1"/>
  <c r="EJ11" i="2" s="1"/>
  <c r="EK11" i="2" s="1"/>
  <c r="EL11" i="2" s="1"/>
  <c r="EM11" i="2" s="1"/>
  <c r="EN11" i="2" s="1"/>
  <c r="EO11" i="2" s="1"/>
  <c r="EP11" i="2" s="1"/>
  <c r="EQ11" i="2" s="1"/>
  <c r="ER11" i="2" s="1"/>
  <c r="ES11" i="2" s="1"/>
  <c r="ET11" i="2" s="1"/>
  <c r="EU11" i="2" s="1"/>
  <c r="EV11" i="2" s="1"/>
  <c r="EW11" i="2" s="1"/>
  <c r="EX11" i="2" s="1"/>
  <c r="EY11" i="2" s="1"/>
  <c r="EZ11" i="2" s="1"/>
  <c r="FA11" i="2" s="1"/>
  <c r="FB11" i="2" s="1"/>
  <c r="FC11" i="2" s="1"/>
  <c r="FD11" i="2" s="1"/>
  <c r="H24" i="2"/>
  <c r="H25" i="2"/>
  <c r="H26" i="2"/>
  <c r="H28" i="2"/>
  <c r="M1048496" i="2"/>
  <c r="O1048496" i="2" s="1"/>
  <c r="M1048498" i="2"/>
  <c r="O1048498" i="2" s="1"/>
  <c r="B24" i="2"/>
  <c r="B28" i="2"/>
  <c r="B37" i="2"/>
  <c r="B19" i="2"/>
  <c r="B23" i="2"/>
  <c r="B34" i="2"/>
  <c r="B38" i="2"/>
  <c r="B27" i="2"/>
  <c r="B35" i="2"/>
  <c r="B25" i="2"/>
  <c r="B26" i="2"/>
  <c r="D18" i="1" l="1"/>
  <c r="E18" i="1"/>
  <c r="E16" i="1" s="1"/>
  <c r="E15" i="1" s="1"/>
  <c r="E24" i="1" s="1"/>
  <c r="E25" i="1" s="1"/>
  <c r="E26" i="1" s="1"/>
  <c r="E19" i="1"/>
  <c r="E17" i="1"/>
  <c r="E21" i="1"/>
  <c r="D19" i="1"/>
  <c r="D17" i="1"/>
  <c r="E20" i="1"/>
  <c r="E22" i="1"/>
  <c r="E14" i="1"/>
  <c r="D21" i="1"/>
  <c r="D22" i="1"/>
  <c r="E13" i="1"/>
  <c r="E7" i="1"/>
  <c r="E11" i="1"/>
  <c r="E10" i="1" s="1"/>
  <c r="E8" i="1"/>
  <c r="E9" i="1"/>
  <c r="E6" i="1" l="1"/>
  <c r="E5" i="1" s="1"/>
</calcChain>
</file>

<file path=xl/comments1.xml><?xml version="1.0" encoding="utf-8"?>
<comments xmlns="http://schemas.openxmlformats.org/spreadsheetml/2006/main">
  <authors>
    <author>tc={11DBC03A-F4E9-4554-B014-3DA68B46788C}</author>
  </authors>
  <commentList>
    <comment ref="BF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sharedStrings.xml><?xml version="1.0" encoding="utf-8"?>
<sst xmlns="http://schemas.openxmlformats.org/spreadsheetml/2006/main" count="101" uniqueCount="74">
  <si>
    <t>Esforço</t>
  </si>
  <si>
    <t>nº horas</t>
  </si>
  <si>
    <t>nº  dias</t>
  </si>
  <si>
    <t>nº meses</t>
  </si>
  <si>
    <t>Tarefas Operacionais</t>
  </si>
  <si>
    <t>Horas</t>
  </si>
  <si>
    <t>LT Estrutural</t>
  </si>
  <si>
    <t>Melhorias DQ</t>
  </si>
  <si>
    <r>
      <t xml:space="preserve">Análises </t>
    </r>
    <r>
      <rPr>
        <i/>
        <sz val="10"/>
        <color rgb="FF000000"/>
        <rFont val="Santander Text"/>
        <family val="2"/>
      </rPr>
      <t>Ad-hoc</t>
    </r>
  </si>
  <si>
    <t>Documentação final</t>
  </si>
  <si>
    <t>Gestão de Projeto</t>
  </si>
  <si>
    <t>Documentação de Acompanhamento</t>
  </si>
  <si>
    <t>Reuniões de Acompanhamento</t>
  </si>
  <si>
    <t>Férias</t>
  </si>
  <si>
    <t>Iniciativas Internas</t>
  </si>
  <si>
    <t>Total</t>
  </si>
  <si>
    <t>+esquema de cores por nível de interesse</t>
  </si>
  <si>
    <t>Testes</t>
  </si>
  <si>
    <t>Testar implementações</t>
  </si>
  <si>
    <t>Sindicados CIB</t>
  </si>
  <si>
    <t>Incidências</t>
  </si>
  <si>
    <t>PDS Luís</t>
  </si>
  <si>
    <t>PDS Interno</t>
  </si>
  <si>
    <t>#Testes</t>
  </si>
  <si>
    <t>Caderno de testes</t>
  </si>
  <si>
    <t>Green Dashboard</t>
  </si>
  <si>
    <t>Autenticação</t>
  </si>
  <si>
    <t>2,5 dias de trabalho</t>
  </si>
  <si>
    <t>Menu</t>
  </si>
  <si>
    <t>Estrutural</t>
  </si>
  <si>
    <t>Testes Corporação</t>
  </si>
  <si>
    <t>Estimativa com base no #campos</t>
  </si>
  <si>
    <t>PdS Mensal Susana</t>
  </si>
  <si>
    <t>Meses</t>
  </si>
  <si>
    <t>Dias úteis</t>
  </si>
  <si>
    <t>Documentação Testes</t>
  </si>
  <si>
    <t>xxx</t>
  </si>
  <si>
    <t>xx</t>
  </si>
  <si>
    <t>x</t>
  </si>
  <si>
    <t>Em sumultâneo</t>
  </si>
  <si>
    <t>FTEs (#)</t>
  </si>
  <si>
    <t>Data Fim</t>
  </si>
  <si>
    <t>Data Início</t>
  </si>
  <si>
    <t>Nº dias</t>
  </si>
  <si>
    <t>Atividade</t>
  </si>
  <si>
    <t>ID</t>
  </si>
  <si>
    <t>Maio</t>
  </si>
  <si>
    <t>Abril</t>
  </si>
  <si>
    <t>Março</t>
  </si>
  <si>
    <t>Fevereiro</t>
  </si>
  <si>
    <t>Janeiro</t>
  </si>
  <si>
    <t>Dezembro</t>
  </si>
  <si>
    <t>Novembro</t>
  </si>
  <si>
    <t xml:space="preserve">Plano de Atividades </t>
  </si>
  <si>
    <t>Set-up do projeto</t>
  </si>
  <si>
    <t>Testes Aplicacionais</t>
  </si>
  <si>
    <t>Testes Dados</t>
  </si>
  <si>
    <t>Entregas Equipa Tecnologia</t>
  </si>
  <si>
    <t>Re-teste</t>
  </si>
  <si>
    <t>Execução Testes</t>
  </si>
  <si>
    <t>Elaboração Caderno de Testes</t>
  </si>
  <si>
    <t>Análise Documentção Funcional</t>
  </si>
  <si>
    <t>Pedido de Acessos</t>
  </si>
  <si>
    <t>Sprint 2 (10 campos)</t>
  </si>
  <si>
    <t>Sprint 1 (20 campos)</t>
  </si>
  <si>
    <t>Testes 8h por campo</t>
  </si>
  <si>
    <t>Re-teste 4h por campo</t>
  </si>
  <si>
    <t>Reuniões de Enquadramento</t>
  </si>
  <si>
    <t>Acompanhamento BST</t>
  </si>
  <si>
    <t>Pds LCM</t>
  </si>
  <si>
    <t>Pds Susana</t>
  </si>
  <si>
    <t>BS - Testes Green Dashboard</t>
  </si>
  <si>
    <t>Familiarização DataLake Hub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</si>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</sst>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"/>
  </numFmts>
  <fonts count="24">
    <font>
      <sz val="11"/>
      <color theme="1"/>
      <name val="Calibri"/>
      <family val="2"/>
      <scheme val="minor"/>
    </font>
    <font>
      <sz val="10"/>
      <color rgb="FF000000"/>
      <name val="Santander Text"/>
      <family val="2"/>
    </font>
    <font>
      <b/>
      <sz val="10"/>
      <color rgb="FFFFFFFF"/>
      <name val="Santander Text"/>
      <family val="2"/>
    </font>
    <font>
      <b/>
      <sz val="10"/>
      <color rgb="FF000000"/>
      <name val="Santander Text"/>
      <family val="2"/>
    </font>
    <font>
      <i/>
      <sz val="10"/>
      <color rgb="FF000000"/>
      <name val="Santander Text"/>
      <family val="2"/>
    </font>
    <font>
      <sz val="11"/>
      <color theme="1"/>
      <name val="Calibri"/>
      <family val="2"/>
      <scheme val="minor"/>
    </font>
    <font>
      <sz val="9"/>
      <color theme="1"/>
      <name val="Muli Light"/>
    </font>
    <font>
      <sz val="9"/>
      <color theme="0" tint="-0.14999847407452621"/>
      <name val="Muli Light"/>
    </font>
    <font>
      <b/>
      <sz val="9"/>
      <color theme="1"/>
      <name val="Muli Light"/>
    </font>
    <font>
      <sz val="11"/>
      <color theme="1"/>
      <name val="Muli Light"/>
    </font>
    <font>
      <b/>
      <sz val="9"/>
      <color theme="2"/>
      <name val="Muli Light"/>
    </font>
    <font>
      <sz val="10"/>
      <color theme="1"/>
      <name val="Arial"/>
      <family val="2"/>
    </font>
    <font>
      <sz val="10"/>
      <color theme="1"/>
      <name val="Muli Light"/>
    </font>
    <font>
      <b/>
      <sz val="11"/>
      <color theme="1"/>
      <name val="Muli Light"/>
    </font>
    <font>
      <sz val="8"/>
      <color theme="1"/>
      <name val="Muli Light"/>
    </font>
    <font>
      <sz val="8"/>
      <color theme="0"/>
      <name val="Muli Light"/>
    </font>
    <font>
      <sz val="9"/>
      <color theme="0"/>
      <name val="Muli Light"/>
    </font>
    <font>
      <sz val="8"/>
      <color theme="0" tint="-0.14999847407452621"/>
      <name val="Muli Light"/>
    </font>
    <font>
      <sz val="10"/>
      <color theme="1"/>
      <name val="Trebuchet MS"/>
      <family val="2"/>
    </font>
    <font>
      <sz val="9"/>
      <name val="Muli Light"/>
    </font>
    <font>
      <sz val="9"/>
      <color theme="1" tint="0.249977111117893"/>
      <name val="Muli Light"/>
    </font>
    <font>
      <b/>
      <sz val="10"/>
      <color theme="1"/>
      <name val="Muli Light"/>
    </font>
    <font>
      <b/>
      <sz val="9"/>
      <name val="Muli Light"/>
    </font>
    <font>
      <u/>
      <sz val="9"/>
      <color theme="1"/>
      <name val="Muli Light"/>
    </font>
  </fonts>
  <fills count="22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 style="hair">
        <color theme="0" tint="-0.14996795556505021"/>
      </top>
      <bottom/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2499465926084170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rgb="FFFFFFFF"/>
      </left>
      <right style="thin">
        <color theme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hair">
        <color theme="0" tint="-0.14993743705557422"/>
      </left>
      <right/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0691854609822"/>
      </left>
      <right/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thin">
        <color indexed="64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0691854609822"/>
      </right>
      <top/>
      <bottom style="hair">
        <color theme="0" tint="-0.14990691854609822"/>
      </bottom>
      <diagonal/>
    </border>
    <border>
      <left style="thin">
        <color indexed="64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11" fillId="0" borderId="0"/>
    <xf numFmtId="0" fontId="18" fillId="0" borderId="0"/>
  </cellStyleXfs>
  <cellXfs count="16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0" fontId="2" fillId="2" borderId="2" xfId="0" applyFont="1" applyFill="1" applyBorder="1"/>
    <xf numFmtId="0" fontId="1" fillId="0" borderId="0" xfId="0" applyFont="1" applyAlignment="1">
      <alignment horizontal="left" indent="1"/>
    </xf>
    <xf numFmtId="4" fontId="1" fillId="0" borderId="0" xfId="0" applyNumberFormat="1" applyFont="1"/>
    <xf numFmtId="0" fontId="1" fillId="0" borderId="2" xfId="0" applyFont="1" applyBorder="1"/>
    <xf numFmtId="0" fontId="3" fillId="5" borderId="1" xfId="0" applyFont="1" applyFill="1" applyBorder="1"/>
    <xf numFmtId="4" fontId="3" fillId="5" borderId="1" xfId="0" applyNumberFormat="1" applyFont="1" applyFill="1" applyBorder="1"/>
    <xf numFmtId="14" fontId="1" fillId="0" borderId="0" xfId="0" applyNumberFormat="1" applyFont="1"/>
    <xf numFmtId="3" fontId="3" fillId="4" borderId="1" xfId="0" applyNumberFormat="1" applyFont="1" applyFill="1" applyBorder="1"/>
    <xf numFmtId="164" fontId="1" fillId="0" borderId="0" xfId="0" applyNumberFormat="1" applyFont="1"/>
    <xf numFmtId="164" fontId="3" fillId="4" borderId="1" xfId="0" applyNumberFormat="1" applyFont="1" applyFill="1" applyBorder="1"/>
    <xf numFmtId="164" fontId="2" fillId="3" borderId="1" xfId="0" applyNumberFormat="1" applyFont="1" applyFill="1" applyBorder="1"/>
    <xf numFmtId="2" fontId="1" fillId="0" borderId="0" xfId="0" applyNumberFormat="1" applyFont="1" applyAlignment="1"/>
    <xf numFmtId="2" fontId="3" fillId="4" borderId="1" xfId="0" applyNumberFormat="1" applyFont="1" applyFill="1" applyBorder="1" applyAlignment="1"/>
    <xf numFmtId="164" fontId="0" fillId="0" borderId="0" xfId="0" applyNumberFormat="1"/>
    <xf numFmtId="164" fontId="1" fillId="0" borderId="0" xfId="0" applyNumberFormat="1" applyFont="1" applyAlignment="1"/>
    <xf numFmtId="0" fontId="1" fillId="0" borderId="0" xfId="0" applyFont="1" applyAlignment="1"/>
    <xf numFmtId="0" fontId="3" fillId="4" borderId="1" xfId="0" applyFont="1" applyFill="1" applyBorder="1" applyAlignment="1"/>
    <xf numFmtId="0" fontId="6" fillId="0" borderId="0" xfId="0" applyFont="1"/>
    <xf numFmtId="0" fontId="6" fillId="0" borderId="0" xfId="0" applyFont="1" applyFill="1"/>
    <xf numFmtId="0" fontId="6" fillId="0" borderId="0" xfId="0" applyFont="1" applyFill="1" applyBorder="1"/>
    <xf numFmtId="0" fontId="6" fillId="0" borderId="3" xfId="0" applyFont="1" applyFill="1" applyBorder="1"/>
    <xf numFmtId="0" fontId="7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1" xfId="0" applyFont="1" applyBorder="1" applyAlignment="1">
      <alignment horizontal="left" indent="2"/>
    </xf>
    <xf numFmtId="0" fontId="6" fillId="0" borderId="11" xfId="0" applyFont="1" applyBorder="1" applyAlignment="1">
      <alignment horizontal="left"/>
    </xf>
    <xf numFmtId="0" fontId="6" fillId="0" borderId="12" xfId="0" applyFont="1" applyBorder="1"/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left" indent="2"/>
    </xf>
    <xf numFmtId="0" fontId="6" fillId="0" borderId="12" xfId="0" applyFont="1" applyBorder="1" applyAlignment="1">
      <alignment horizontal="left"/>
    </xf>
    <xf numFmtId="0" fontId="8" fillId="0" borderId="0" xfId="0" applyFont="1" applyFill="1" applyBorder="1"/>
    <xf numFmtId="0" fontId="8" fillId="7" borderId="0" xfId="0" applyFont="1" applyFill="1"/>
    <xf numFmtId="0" fontId="8" fillId="7" borderId="13" xfId="0" applyFont="1" applyFill="1" applyBorder="1"/>
    <xf numFmtId="0" fontId="8" fillId="7" borderId="0" xfId="0" applyFont="1" applyFill="1" applyBorder="1"/>
    <xf numFmtId="0" fontId="8" fillId="7" borderId="14" xfId="0" applyFont="1" applyFill="1" applyBorder="1"/>
    <xf numFmtId="0" fontId="8" fillId="7" borderId="0" xfId="0" applyFont="1" applyFill="1" applyAlignment="1">
      <alignment horizontal="left" indent="1"/>
    </xf>
    <xf numFmtId="0" fontId="8" fillId="7" borderId="0" xfId="0" applyFont="1" applyFill="1" applyAlignment="1">
      <alignment horizontal="left"/>
    </xf>
    <xf numFmtId="0" fontId="6" fillId="8" borderId="0" xfId="0" applyFont="1" applyFill="1" applyBorder="1"/>
    <xf numFmtId="0" fontId="6" fillId="8" borderId="13" xfId="0" applyFont="1" applyFill="1" applyBorder="1"/>
    <xf numFmtId="0" fontId="6" fillId="8" borderId="14" xfId="0" applyFont="1" applyFill="1" applyBorder="1"/>
    <xf numFmtId="0" fontId="6" fillId="8" borderId="4" xfId="0" applyFont="1" applyFill="1" applyBorder="1"/>
    <xf numFmtId="0" fontId="8" fillId="8" borderId="4" xfId="0" applyFont="1" applyFill="1" applyBorder="1"/>
    <xf numFmtId="0" fontId="8" fillId="8" borderId="4" xfId="0" applyFont="1" applyFill="1" applyBorder="1" applyAlignment="1">
      <alignment horizontal="left"/>
    </xf>
    <xf numFmtId="0" fontId="6" fillId="0" borderId="15" xfId="0" applyFont="1" applyBorder="1"/>
    <xf numFmtId="0" fontId="6" fillId="0" borderId="15" xfId="0" applyFont="1" applyBorder="1" applyAlignment="1">
      <alignment horizontal="left" indent="2"/>
    </xf>
    <xf numFmtId="0" fontId="6" fillId="0" borderId="15" xfId="0" applyFont="1" applyBorder="1" applyAlignment="1">
      <alignment horizontal="left"/>
    </xf>
    <xf numFmtId="0" fontId="7" fillId="0" borderId="0" xfId="1" applyFont="1"/>
    <xf numFmtId="0" fontId="6" fillId="0" borderId="12" xfId="0" applyFont="1" applyBorder="1" applyAlignment="1">
      <alignment vertical="center"/>
    </xf>
    <xf numFmtId="0" fontId="6" fillId="0" borderId="0" xfId="1" applyFont="1"/>
    <xf numFmtId="0" fontId="6" fillId="0" borderId="16" xfId="0" applyFont="1" applyFill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8" borderId="12" xfId="0" applyFont="1" applyFill="1" applyBorder="1"/>
    <xf numFmtId="0" fontId="6" fillId="8" borderId="12" xfId="0" applyFont="1" applyFill="1" applyBorder="1" applyAlignment="1">
      <alignment horizontal="center" vertical="center"/>
    </xf>
    <xf numFmtId="0" fontId="8" fillId="8" borderId="12" xfId="0" applyFont="1" applyFill="1" applyBorder="1"/>
    <xf numFmtId="0" fontId="8" fillId="8" borderId="12" xfId="0" applyFont="1" applyFill="1" applyBorder="1" applyAlignment="1">
      <alignment horizontal="left"/>
    </xf>
    <xf numFmtId="0" fontId="9" fillId="0" borderId="0" xfId="0" applyFont="1"/>
    <xf numFmtId="165" fontId="9" fillId="0" borderId="0" xfId="2" applyNumberFormat="1" applyFont="1" applyFill="1" applyBorder="1" applyAlignment="1">
      <alignment horizontal="center" vertical="center"/>
    </xf>
    <xf numFmtId="165" fontId="9" fillId="0" borderId="21" xfId="2" applyNumberFormat="1" applyFont="1" applyBorder="1" applyAlignment="1">
      <alignment horizontal="center" vertical="center"/>
    </xf>
    <xf numFmtId="165" fontId="9" fillId="0" borderId="22" xfId="2" applyNumberFormat="1" applyFont="1" applyBorder="1" applyAlignment="1">
      <alignment horizontal="center" vertical="center"/>
    </xf>
    <xf numFmtId="165" fontId="9" fillId="0" borderId="23" xfId="2" applyNumberFormat="1" applyFont="1" applyBorder="1" applyAlignment="1">
      <alignment horizontal="center" vertical="center"/>
    </xf>
    <xf numFmtId="165" fontId="9" fillId="0" borderId="24" xfId="2" applyNumberFormat="1" applyFont="1" applyBorder="1" applyAlignment="1">
      <alignment horizontal="center" vertical="center"/>
    </xf>
    <xf numFmtId="165" fontId="9" fillId="0" borderId="25" xfId="2" applyNumberFormat="1" applyFont="1" applyBorder="1" applyAlignment="1">
      <alignment horizontal="center" vertical="center"/>
    </xf>
    <xf numFmtId="165" fontId="9" fillId="0" borderId="26" xfId="2" applyNumberFormat="1" applyFont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/>
    </xf>
    <xf numFmtId="165" fontId="9" fillId="6" borderId="28" xfId="2" applyNumberFormat="1" applyFont="1" applyFill="1" applyBorder="1" applyAlignment="1">
      <alignment horizontal="center" vertical="center"/>
    </xf>
    <xf numFmtId="165" fontId="9" fillId="6" borderId="25" xfId="2" applyNumberFormat="1" applyFont="1" applyFill="1" applyBorder="1" applyAlignment="1">
      <alignment horizontal="center" vertical="center"/>
    </xf>
    <xf numFmtId="165" fontId="9" fillId="6" borderId="26" xfId="2" applyNumberFormat="1" applyFont="1" applyFill="1" applyBorder="1" applyAlignment="1">
      <alignment horizontal="center" vertical="center"/>
    </xf>
    <xf numFmtId="165" fontId="9" fillId="6" borderId="27" xfId="2" applyNumberFormat="1" applyFont="1" applyFill="1" applyBorder="1" applyAlignment="1">
      <alignment horizontal="center" vertical="center"/>
    </xf>
    <xf numFmtId="0" fontId="10" fillId="9" borderId="29" xfId="1" applyFont="1" applyFill="1" applyBorder="1" applyAlignment="1">
      <alignment horizontal="center" vertical="center" wrapText="1" readingOrder="1"/>
    </xf>
    <xf numFmtId="0" fontId="10" fillId="9" borderId="30" xfId="1" applyFont="1" applyFill="1" applyBorder="1" applyAlignment="1">
      <alignment horizontal="center" vertical="center" wrapText="1" readingOrder="1"/>
    </xf>
    <xf numFmtId="0" fontId="12" fillId="0" borderId="0" xfId="3" applyFont="1"/>
    <xf numFmtId="0" fontId="9" fillId="0" borderId="0" xfId="2" applyFont="1" applyFill="1" applyBorder="1" applyAlignment="1">
      <alignment horizontal="left"/>
    </xf>
    <xf numFmtId="0" fontId="9" fillId="0" borderId="0" xfId="2" applyFont="1" applyAlignment="1">
      <alignment horizontal="left"/>
    </xf>
    <xf numFmtId="0" fontId="9" fillId="0" borderId="0" xfId="1" applyFont="1"/>
    <xf numFmtId="0" fontId="13" fillId="0" borderId="1" xfId="2" applyFont="1" applyFill="1" applyBorder="1" applyAlignment="1">
      <alignment horizontal="centerContinuous" vertical="center"/>
    </xf>
    <xf numFmtId="0" fontId="13" fillId="0" borderId="1" xfId="2" applyFont="1" applyBorder="1" applyAlignment="1">
      <alignment horizontal="centerContinuous" vertical="center"/>
    </xf>
    <xf numFmtId="0" fontId="13" fillId="0" borderId="31" xfId="2" applyFont="1" applyBorder="1" applyAlignment="1">
      <alignment horizontal="centerContinuous" vertical="center"/>
    </xf>
    <xf numFmtId="0" fontId="13" fillId="0" borderId="32" xfId="2" applyFont="1" applyBorder="1" applyAlignment="1">
      <alignment horizontal="centerContinuous" vertical="center"/>
    </xf>
    <xf numFmtId="0" fontId="13" fillId="0" borderId="2" xfId="2" applyFont="1" applyBorder="1" applyAlignment="1">
      <alignment horizontal="centerContinuous" vertical="center"/>
    </xf>
    <xf numFmtId="0" fontId="13" fillId="0" borderId="0" xfId="2" applyFont="1" applyFill="1" applyBorder="1" applyAlignment="1">
      <alignment horizontal="centerContinuous" vertical="center"/>
    </xf>
    <xf numFmtId="0" fontId="14" fillId="0" borderId="0" xfId="1" applyFont="1" applyFill="1" applyBorder="1"/>
    <xf numFmtId="0" fontId="14" fillId="0" borderId="0" xfId="1" applyFont="1"/>
    <xf numFmtId="0" fontId="15" fillId="0" borderId="0" xfId="1" applyFont="1" applyFill="1" applyBorder="1" applyAlignment="1">
      <alignment horizontal="centerContinuous"/>
    </xf>
    <xf numFmtId="0" fontId="15" fillId="9" borderId="0" xfId="1" applyFont="1" applyFill="1" applyAlignment="1">
      <alignment horizontal="centerContinuous"/>
    </xf>
    <xf numFmtId="0" fontId="16" fillId="9" borderId="0" xfId="1" applyFont="1" applyFill="1" applyAlignment="1">
      <alignment horizontal="centerContinuous"/>
    </xf>
    <xf numFmtId="0" fontId="14" fillId="0" borderId="0" xfId="1" applyFont="1" applyFill="1"/>
    <xf numFmtId="0" fontId="17" fillId="0" borderId="0" xfId="1" applyFont="1"/>
    <xf numFmtId="0" fontId="6" fillId="10" borderId="0" xfId="1" applyFont="1" applyFill="1" applyAlignment="1">
      <alignment horizontal="center"/>
    </xf>
    <xf numFmtId="0" fontId="16" fillId="10" borderId="0" xfId="4" applyFont="1" applyFill="1" applyAlignment="1" applyProtection="1">
      <alignment vertical="center"/>
      <protection locked="0"/>
    </xf>
    <xf numFmtId="0" fontId="19" fillId="7" borderId="0" xfId="4" applyFont="1" applyFill="1" applyAlignment="1" applyProtection="1">
      <alignment vertical="center"/>
      <protection locked="0"/>
    </xf>
    <xf numFmtId="0" fontId="19" fillId="7" borderId="0" xfId="4" applyFont="1" applyFill="1" applyAlignment="1" applyProtection="1">
      <alignment horizontal="centerContinuous" vertical="center"/>
      <protection locked="0"/>
    </xf>
    <xf numFmtId="0" fontId="20" fillId="7" borderId="0" xfId="4" applyFont="1" applyFill="1" applyAlignment="1" applyProtection="1">
      <alignment horizontal="centerContinuous" vertical="center"/>
      <protection locked="0"/>
    </xf>
    <xf numFmtId="0" fontId="12" fillId="7" borderId="0" xfId="4" applyFont="1" applyFill="1" applyAlignment="1" applyProtection="1">
      <alignment horizontal="centerContinuous" vertical="center"/>
      <protection locked="0"/>
    </xf>
    <xf numFmtId="0" fontId="8" fillId="7" borderId="0" xfId="4" applyFont="1" applyFill="1" applyAlignment="1" applyProtection="1">
      <alignment horizontal="centerContinuous" vertical="center"/>
      <protection locked="0"/>
    </xf>
    <xf numFmtId="0" fontId="21" fillId="7" borderId="0" xfId="3" applyFont="1" applyFill="1" applyAlignment="1">
      <alignment horizontal="centerContinuous" vertical="center"/>
    </xf>
    <xf numFmtId="0" fontId="22" fillId="7" borderId="0" xfId="4" applyFont="1" applyFill="1" applyAlignment="1" applyProtection="1">
      <alignment horizontal="center" vertical="center"/>
      <protection locked="0"/>
    </xf>
    <xf numFmtId="165" fontId="9" fillId="0" borderId="33" xfId="2" applyNumberFormat="1" applyFont="1" applyBorder="1" applyAlignment="1">
      <alignment horizontal="center" vertical="center"/>
    </xf>
    <xf numFmtId="0" fontId="6" fillId="0" borderId="34" xfId="0" applyFont="1" applyBorder="1"/>
    <xf numFmtId="0" fontId="6" fillId="0" borderId="35" xfId="0" applyFont="1" applyBorder="1"/>
    <xf numFmtId="0" fontId="8" fillId="12" borderId="0" xfId="0" applyFont="1" applyFill="1" applyBorder="1"/>
    <xf numFmtId="0" fontId="23" fillId="0" borderId="11" xfId="0" applyFont="1" applyBorder="1" applyAlignment="1">
      <alignment horizontal="left" indent="1"/>
    </xf>
    <xf numFmtId="0" fontId="6" fillId="0" borderId="5" xfId="0" applyFont="1" applyBorder="1" applyAlignment="1">
      <alignment horizontal="right"/>
    </xf>
    <xf numFmtId="0" fontId="6" fillId="15" borderId="5" xfId="0" applyFont="1" applyFill="1" applyBorder="1" applyAlignment="1">
      <alignment horizontal="right"/>
    </xf>
    <xf numFmtId="0" fontId="6" fillId="14" borderId="5" xfId="0" applyFont="1" applyFill="1" applyBorder="1"/>
    <xf numFmtId="0" fontId="6" fillId="15" borderId="5" xfId="0" applyFont="1" applyFill="1" applyBorder="1"/>
    <xf numFmtId="0" fontId="6" fillId="15" borderId="10" xfId="0" applyFont="1" applyFill="1" applyBorder="1"/>
    <xf numFmtId="0" fontId="6" fillId="15" borderId="9" xfId="0" applyFont="1" applyFill="1" applyBorder="1"/>
    <xf numFmtId="0" fontId="6" fillId="16" borderId="5" xfId="0" applyFont="1" applyFill="1" applyBorder="1" applyAlignment="1">
      <alignment horizontal="right"/>
    </xf>
    <xf numFmtId="0" fontId="6" fillId="16" borderId="36" xfId="0" applyFont="1" applyFill="1" applyBorder="1" applyAlignment="1">
      <alignment horizontal="right"/>
    </xf>
    <xf numFmtId="0" fontId="6" fillId="16" borderId="8" xfId="0" applyFont="1" applyFill="1" applyBorder="1" applyAlignment="1">
      <alignment horizontal="right"/>
    </xf>
    <xf numFmtId="0" fontId="6" fillId="18" borderId="5" xfId="0" applyFont="1" applyFill="1" applyBorder="1"/>
    <xf numFmtId="0" fontId="6" fillId="18" borderId="9" xfId="0" applyFont="1" applyFill="1" applyBorder="1"/>
    <xf numFmtId="0" fontId="6" fillId="18" borderId="10" xfId="0" applyFont="1" applyFill="1" applyBorder="1"/>
    <xf numFmtId="0" fontId="6" fillId="19" borderId="34" xfId="0" applyFont="1" applyFill="1" applyBorder="1"/>
    <xf numFmtId="0" fontId="6" fillId="19" borderId="19" xfId="0" applyFont="1" applyFill="1" applyBorder="1"/>
    <xf numFmtId="0" fontId="6" fillId="19" borderId="20" xfId="0" applyFont="1" applyFill="1" applyBorder="1"/>
    <xf numFmtId="0" fontId="6" fillId="19" borderId="17" xfId="0" applyFont="1" applyFill="1" applyBorder="1"/>
    <xf numFmtId="0" fontId="6" fillId="11" borderId="34" xfId="0" applyFont="1" applyFill="1" applyBorder="1"/>
    <xf numFmtId="0" fontId="6" fillId="17" borderId="20" xfId="0" applyFont="1" applyFill="1" applyBorder="1"/>
    <xf numFmtId="0" fontId="6" fillId="17" borderId="17" xfId="0" applyFont="1" applyFill="1" applyBorder="1"/>
    <xf numFmtId="0" fontId="6" fillId="8" borderId="20" xfId="0" applyFont="1" applyFill="1" applyBorder="1"/>
    <xf numFmtId="0" fontId="6" fillId="8" borderId="17" xfId="0" applyFont="1" applyFill="1" applyBorder="1"/>
    <xf numFmtId="0" fontId="6" fillId="8" borderId="19" xfId="0" applyFont="1" applyFill="1" applyBorder="1"/>
    <xf numFmtId="0" fontId="6" fillId="8" borderId="10" xfId="0" applyFont="1" applyFill="1" applyBorder="1"/>
    <xf numFmtId="0" fontId="6" fillId="8" borderId="5" xfId="0" applyFont="1" applyFill="1" applyBorder="1"/>
    <xf numFmtId="0" fontId="6" fillId="8" borderId="9" xfId="0" applyFont="1" applyFill="1" applyBorder="1"/>
    <xf numFmtId="0" fontId="8" fillId="8" borderId="14" xfId="0" applyFont="1" applyFill="1" applyBorder="1"/>
    <xf numFmtId="0" fontId="8" fillId="8" borderId="0" xfId="0" applyFont="1" applyFill="1" applyBorder="1"/>
    <xf numFmtId="0" fontId="8" fillId="8" borderId="13" xfId="0" applyFont="1" applyFill="1" applyBorder="1"/>
    <xf numFmtId="0" fontId="6" fillId="0" borderId="10" xfId="0" applyFont="1" applyBorder="1" applyAlignment="1">
      <alignment horizontal="right"/>
    </xf>
    <xf numFmtId="0" fontId="6" fillId="0" borderId="37" xfId="0" applyFont="1" applyBorder="1"/>
    <xf numFmtId="0" fontId="6" fillId="13" borderId="35" xfId="0" applyFont="1" applyFill="1" applyBorder="1"/>
    <xf numFmtId="0" fontId="6" fillId="13" borderId="38" xfId="0" applyFont="1" applyFill="1" applyBorder="1"/>
    <xf numFmtId="0" fontId="6" fillId="14" borderId="10" xfId="0" applyFont="1" applyFill="1" applyBorder="1"/>
    <xf numFmtId="0" fontId="6" fillId="13" borderId="0" xfId="0" applyFont="1" applyFill="1"/>
    <xf numFmtId="0" fontId="6" fillId="20" borderId="5" xfId="0" applyFont="1" applyFill="1" applyBorder="1"/>
    <xf numFmtId="0" fontId="6" fillId="20" borderId="9" xfId="0" applyFont="1" applyFill="1" applyBorder="1"/>
    <xf numFmtId="0" fontId="6" fillId="20" borderId="10" xfId="0" applyFont="1" applyFill="1" applyBorder="1" applyAlignment="1">
      <alignment horizontal="right"/>
    </xf>
    <xf numFmtId="0" fontId="6" fillId="20" borderId="5" xfId="0" applyFont="1" applyFill="1" applyBorder="1" applyAlignment="1">
      <alignment horizontal="right"/>
    </xf>
    <xf numFmtId="0" fontId="8" fillId="7" borderId="14" xfId="0" applyFont="1" applyFill="1" applyBorder="1" applyAlignment="1">
      <alignment horizontal="right"/>
    </xf>
    <xf numFmtId="0" fontId="8" fillId="7" borderId="0" xfId="0" applyFont="1" applyFill="1" applyBorder="1" applyAlignment="1">
      <alignment horizontal="right"/>
    </xf>
    <xf numFmtId="0" fontId="6" fillId="15" borderId="9" xfId="0" applyFont="1" applyFill="1" applyBorder="1" applyAlignment="1">
      <alignment horizontal="right"/>
    </xf>
    <xf numFmtId="0" fontId="6" fillId="18" borderId="5" xfId="0" applyFont="1" applyFill="1" applyBorder="1" applyAlignment="1">
      <alignment horizontal="right"/>
    </xf>
    <xf numFmtId="0" fontId="6" fillId="21" borderId="10" xfId="0" applyFont="1" applyFill="1" applyBorder="1" applyAlignment="1">
      <alignment horizontal="right"/>
    </xf>
    <xf numFmtId="0" fontId="6" fillId="21" borderId="5" xfId="0" applyFont="1" applyFill="1" applyBorder="1" applyAlignment="1">
      <alignment horizontal="right"/>
    </xf>
    <xf numFmtId="0" fontId="6" fillId="19" borderId="34" xfId="0" quotePrefix="1" applyFont="1" applyFill="1" applyBorder="1"/>
  </cellXfs>
  <cellStyles count="5">
    <cellStyle name="Normal" xfId="0" builtinId="0"/>
    <cellStyle name="Normal 2" xfId="3"/>
    <cellStyle name="Normal 2 18" xfId="4"/>
    <cellStyle name="Normal 2 2" xfId="1"/>
    <cellStyle name="Normal 36 3 2" xfId="2"/>
  </cellStyles>
  <dxfs count="76"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104775</xdr:rowOff>
    </xdr:from>
    <xdr:ext cx="999477" cy="509937"/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498"/>
  <sheetViews>
    <sheetView showGridLines="0" tabSelected="1" topLeftCell="A7" zoomScaleNormal="100" workbookViewId="0">
      <selection activeCell="DM33" sqref="DM33"/>
    </sheetView>
  </sheetViews>
  <sheetFormatPr defaultRowHeight="12" outlineLevelRow="1"/>
  <cols>
    <col min="1" max="1" width="3.7109375" style="24" customWidth="1"/>
    <col min="2" max="2" width="9.140625" style="24"/>
    <col min="3" max="3" width="70.7109375" style="24" customWidth="1"/>
    <col min="4" max="4" width="15.7109375" style="24" customWidth="1"/>
    <col min="5" max="7" width="15.7109375" style="24" hidden="1" customWidth="1"/>
    <col min="8" max="8" width="6.5703125" style="24" bestFit="1" customWidth="1"/>
    <col min="9" max="25" width="5.7109375" style="24" hidden="1" customWidth="1"/>
    <col min="26" max="26" width="0.5703125" style="24" hidden="1" customWidth="1"/>
    <col min="27" max="31" width="5.7109375" style="24" hidden="1" customWidth="1"/>
    <col min="32" max="49" width="5.7109375" style="24" customWidth="1"/>
    <col min="50" max="50" width="0.5703125" style="24" customWidth="1"/>
    <col min="51" max="88" width="5.7109375" style="24" customWidth="1"/>
    <col min="89" max="89" width="5.5703125" style="24" customWidth="1"/>
    <col min="90" max="115" width="5.7109375" style="24" customWidth="1"/>
    <col min="116" max="116" width="0.5703125" style="24" customWidth="1"/>
    <col min="117" max="136" width="5.7109375" style="24" customWidth="1"/>
    <col min="137" max="137" width="0.5703125" style="24" customWidth="1"/>
    <col min="138" max="160" width="5.7109375" style="24" customWidth="1"/>
    <col min="161" max="161" width="0.5703125" style="24" customWidth="1"/>
    <col min="162" max="16384" width="9.140625" style="24"/>
  </cols>
  <sheetData>
    <row r="1" spans="1:161" s="85" customFormat="1" ht="15" customHeight="1">
      <c r="A1" s="104"/>
      <c r="B1" s="104"/>
      <c r="C1" s="104"/>
      <c r="D1" s="110"/>
      <c r="E1" s="110"/>
      <c r="F1" s="110"/>
      <c r="G1" s="110"/>
      <c r="H1" s="110"/>
      <c r="I1" s="104"/>
      <c r="J1" s="104"/>
      <c r="K1" s="104"/>
      <c r="L1" s="110"/>
      <c r="M1" s="104"/>
      <c r="N1" s="104"/>
      <c r="O1" s="104"/>
      <c r="P1" s="104"/>
      <c r="Q1" s="110"/>
      <c r="R1" s="104"/>
      <c r="S1" s="104"/>
      <c r="T1" s="104"/>
      <c r="U1" s="104"/>
      <c r="V1" s="110"/>
      <c r="W1" s="104"/>
      <c r="X1" s="104"/>
      <c r="Y1" s="104"/>
      <c r="Z1" s="104"/>
      <c r="AA1" s="104"/>
      <c r="AB1" s="110"/>
      <c r="AC1" s="104"/>
      <c r="AD1" s="104"/>
      <c r="AE1" s="104"/>
      <c r="AF1" s="104"/>
      <c r="AG1" s="104"/>
      <c r="AH1" s="104"/>
      <c r="AI1" s="110"/>
      <c r="AJ1" s="104"/>
      <c r="AK1" s="104"/>
      <c r="AL1" s="104"/>
      <c r="AM1" s="104"/>
      <c r="AN1" s="110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10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10"/>
      <c r="CX1" s="104"/>
      <c r="CY1" s="104"/>
      <c r="CZ1" s="104"/>
      <c r="DA1" s="104"/>
      <c r="DB1" s="104"/>
      <c r="DC1" s="104"/>
      <c r="DD1" s="104"/>
      <c r="DE1" s="104"/>
      <c r="DF1" s="104"/>
      <c r="DG1" s="104"/>
      <c r="DH1" s="104"/>
      <c r="DI1" s="104"/>
      <c r="DJ1" s="104"/>
      <c r="DK1" s="104"/>
      <c r="DL1" s="104"/>
      <c r="DM1" s="104"/>
      <c r="DN1" s="104"/>
      <c r="DO1" s="104"/>
      <c r="DP1" s="104"/>
      <c r="DQ1" s="104"/>
      <c r="DR1" s="110"/>
      <c r="DS1" s="104"/>
      <c r="DT1" s="104"/>
      <c r="DU1" s="104"/>
      <c r="DV1" s="104"/>
      <c r="DW1" s="104"/>
      <c r="DX1" s="104"/>
      <c r="DY1" s="104"/>
      <c r="DZ1" s="104"/>
      <c r="EA1" s="104"/>
      <c r="EB1" s="104"/>
      <c r="EC1" s="104"/>
      <c r="ED1" s="104"/>
      <c r="EE1" s="104"/>
      <c r="EF1" s="104"/>
      <c r="EG1" s="104"/>
      <c r="EH1" s="104"/>
      <c r="EI1" s="104"/>
      <c r="EJ1" s="104"/>
      <c r="EK1" s="104"/>
      <c r="EL1" s="104"/>
      <c r="EM1" s="110"/>
      <c r="EN1" s="104"/>
      <c r="EO1" s="104"/>
      <c r="EP1" s="104"/>
      <c r="EQ1" s="104"/>
      <c r="ER1" s="104"/>
      <c r="ES1" s="104"/>
      <c r="ET1" s="104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</row>
    <row r="2" spans="1:161" s="85" customFormat="1" ht="15" customHeight="1">
      <c r="A2" s="105"/>
      <c r="B2" s="105"/>
      <c r="C2" s="109" t="s">
        <v>71</v>
      </c>
      <c r="D2" s="108"/>
      <c r="E2" s="108"/>
      <c r="F2" s="108"/>
      <c r="G2" s="108"/>
      <c r="H2" s="108"/>
      <c r="I2" s="105"/>
      <c r="J2" s="105"/>
      <c r="K2" s="105"/>
      <c r="L2" s="108"/>
      <c r="M2" s="105"/>
      <c r="N2" s="105"/>
      <c r="O2" s="105"/>
      <c r="P2" s="105"/>
      <c r="Q2" s="108"/>
      <c r="R2" s="105"/>
      <c r="S2" s="105"/>
      <c r="T2" s="105"/>
      <c r="U2" s="105"/>
      <c r="V2" s="108"/>
      <c r="W2" s="105"/>
      <c r="X2" s="105"/>
      <c r="Y2" s="105"/>
      <c r="Z2" s="105"/>
      <c r="AA2" s="105"/>
      <c r="AB2" s="108"/>
      <c r="AC2" s="105"/>
      <c r="AD2" s="105"/>
      <c r="AE2" s="105"/>
      <c r="AF2" s="105"/>
      <c r="AG2" s="105"/>
      <c r="AH2" s="105"/>
      <c r="AI2" s="108"/>
      <c r="AJ2" s="105"/>
      <c r="AK2" s="105"/>
      <c r="AL2" s="105"/>
      <c r="AM2" s="105"/>
      <c r="AN2" s="108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8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8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8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8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</row>
    <row r="3" spans="1:161" s="85" customFormat="1" ht="15" customHeight="1">
      <c r="A3" s="105"/>
      <c r="B3" s="105"/>
      <c r="C3" s="107" t="s">
        <v>53</v>
      </c>
      <c r="D3" s="106"/>
      <c r="E3" s="106"/>
      <c r="F3" s="106"/>
      <c r="G3" s="106"/>
      <c r="H3" s="106"/>
      <c r="I3" s="105"/>
      <c r="J3" s="105"/>
      <c r="K3" s="105"/>
      <c r="L3" s="106"/>
      <c r="M3" s="105"/>
      <c r="N3" s="105"/>
      <c r="O3" s="105"/>
      <c r="P3" s="105"/>
      <c r="Q3" s="106"/>
      <c r="R3" s="105"/>
      <c r="S3" s="105"/>
      <c r="T3" s="105"/>
      <c r="U3" s="105"/>
      <c r="V3" s="106"/>
      <c r="W3" s="105"/>
      <c r="X3" s="105"/>
      <c r="Y3" s="105"/>
      <c r="Z3" s="105"/>
      <c r="AA3" s="105"/>
      <c r="AB3" s="106"/>
      <c r="AC3" s="105"/>
      <c r="AD3" s="105"/>
      <c r="AE3" s="105"/>
      <c r="AF3" s="105"/>
      <c r="AG3" s="105"/>
      <c r="AH3" s="105"/>
      <c r="AI3" s="106"/>
      <c r="AJ3" s="105"/>
      <c r="AK3" s="105"/>
      <c r="AL3" s="105"/>
      <c r="AM3" s="105"/>
      <c r="AN3" s="106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6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6"/>
      <c r="CX3" s="105"/>
      <c r="CY3" s="105"/>
      <c r="CZ3" s="105"/>
      <c r="DA3" s="105"/>
      <c r="DB3" s="105"/>
      <c r="DC3" s="105"/>
      <c r="DD3" s="105"/>
      <c r="DE3" s="105"/>
      <c r="DF3" s="105"/>
      <c r="DG3" s="105"/>
      <c r="DH3" s="105"/>
      <c r="DI3" s="105"/>
      <c r="DJ3" s="105"/>
      <c r="DK3" s="105"/>
      <c r="DL3" s="105"/>
      <c r="DM3" s="105"/>
      <c r="DN3" s="105"/>
      <c r="DO3" s="105"/>
      <c r="DP3" s="105"/>
      <c r="DQ3" s="105"/>
      <c r="DR3" s="106"/>
      <c r="DS3" s="105"/>
      <c r="DT3" s="105"/>
      <c r="DU3" s="105"/>
      <c r="DV3" s="105"/>
      <c r="DW3" s="105"/>
      <c r="DX3" s="105"/>
      <c r="DY3" s="105"/>
      <c r="DZ3" s="105"/>
      <c r="EA3" s="105"/>
      <c r="EB3" s="105"/>
      <c r="EC3" s="105"/>
      <c r="ED3" s="105"/>
      <c r="EE3" s="105"/>
      <c r="EF3" s="105"/>
      <c r="EG3" s="105"/>
      <c r="EH3" s="105"/>
      <c r="EI3" s="105"/>
      <c r="EJ3" s="105"/>
      <c r="EK3" s="105"/>
      <c r="EL3" s="105"/>
      <c r="EM3" s="106"/>
      <c r="EN3" s="105"/>
      <c r="EO3" s="105"/>
      <c r="EP3" s="105"/>
      <c r="EQ3" s="105"/>
      <c r="ER3" s="105"/>
      <c r="ES3" s="105"/>
      <c r="ET3" s="105"/>
      <c r="EU3" s="105"/>
      <c r="EV3" s="105"/>
      <c r="EW3" s="105"/>
      <c r="EX3" s="105"/>
      <c r="EY3" s="105"/>
      <c r="EZ3" s="105"/>
      <c r="FA3" s="105"/>
      <c r="FB3" s="105"/>
      <c r="FC3" s="105"/>
      <c r="FD3" s="105"/>
      <c r="FE3" s="105"/>
    </row>
    <row r="4" spans="1:161" s="85" customFormat="1" ht="1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</row>
    <row r="5" spans="1:161" s="85" customFormat="1" ht="3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2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3"/>
      <c r="BK5" s="103"/>
      <c r="BL5" s="103"/>
      <c r="BM5" s="103"/>
      <c r="BN5" s="103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3"/>
      <c r="CD5" s="103"/>
      <c r="CE5" s="103"/>
      <c r="CF5" s="103"/>
      <c r="CG5" s="103"/>
      <c r="CH5" s="103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3"/>
      <c r="CX5" s="103"/>
      <c r="CY5" s="103"/>
      <c r="CZ5" s="103"/>
      <c r="DA5" s="103"/>
      <c r="DB5" s="103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3"/>
      <c r="DS5" s="103"/>
      <c r="DT5" s="103"/>
      <c r="DU5" s="103"/>
      <c r="DV5" s="103"/>
      <c r="DW5" s="103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3"/>
      <c r="EN5" s="103"/>
      <c r="EO5" s="103"/>
      <c r="EP5" s="103"/>
      <c r="EQ5" s="103"/>
      <c r="ER5" s="103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</row>
    <row r="6" spans="1:161" s="85" customFormat="1" ht="14.25">
      <c r="A6" s="88"/>
      <c r="B6" s="88"/>
      <c r="C6" s="88"/>
      <c r="D6" s="60"/>
      <c r="E6" s="60"/>
      <c r="F6" s="60"/>
      <c r="G6" s="60"/>
      <c r="H6" s="60"/>
      <c r="I6" s="101" t="b">
        <f>SUM(I17:I39)=4</f>
        <v>0</v>
      </c>
      <c r="J6" s="101" t="b">
        <f>SUM(J17:J39)=4</f>
        <v>0</v>
      </c>
      <c r="K6" s="101" t="b">
        <f>SUM(K17:K39)=4</f>
        <v>0</v>
      </c>
      <c r="L6" s="101" t="b">
        <f>SUM(L17:L39)=4</f>
        <v>0</v>
      </c>
      <c r="M6" s="101" t="b">
        <f>SUM(M17:M39)=4</f>
        <v>0</v>
      </c>
      <c r="N6" s="101" t="b">
        <f>SUM(N17:N39)=4</f>
        <v>0</v>
      </c>
      <c r="O6" s="101" t="b">
        <f>SUM(O17:O39)=4</f>
        <v>0</v>
      </c>
      <c r="P6" s="101" t="b">
        <f>SUM(P17:P39)=4</f>
        <v>0</v>
      </c>
      <c r="Q6" s="101" t="b">
        <f>SUM(Q17:Q39)=4</f>
        <v>0</v>
      </c>
      <c r="R6" s="101" t="b">
        <f>SUM(R17:R39)=4</f>
        <v>0</v>
      </c>
      <c r="S6" s="101" t="b">
        <f>SUM(S17:S39)=4</f>
        <v>0</v>
      </c>
      <c r="T6" s="101" t="b">
        <f>SUM(T17:T39)=4</f>
        <v>0</v>
      </c>
      <c r="U6" s="101" t="b">
        <f>SUM(U17:U39)=4</f>
        <v>0</v>
      </c>
      <c r="V6" s="101" t="b">
        <f>SUM(V17:V39)=4</f>
        <v>0</v>
      </c>
      <c r="W6" s="101" t="b">
        <f>SUM(W17:W39)=4</f>
        <v>0</v>
      </c>
      <c r="X6" s="101" t="b">
        <f>SUM(X17:X39)=4</f>
        <v>0</v>
      </c>
      <c r="Y6" s="101" t="b">
        <f>SUM(Y17:Y39)=4</f>
        <v>0</v>
      </c>
      <c r="Z6" s="101" t="b">
        <f>SUM(Z17:Z39)=4</f>
        <v>0</v>
      </c>
      <c r="AA6" s="101" t="b">
        <f>SUM(AA17:AA39)=4</f>
        <v>0</v>
      </c>
      <c r="AB6" s="101" t="b">
        <f>SUM(AB17:AB39)=4</f>
        <v>0</v>
      </c>
      <c r="AC6" s="101" t="b">
        <f>SUM(AC17:AC39)=4</f>
        <v>0</v>
      </c>
      <c r="AD6" s="101" t="b">
        <f>SUM(AD17:AD39)=4</f>
        <v>0</v>
      </c>
      <c r="AE6" s="101" t="b">
        <f>SUM(AE17:AE39)=4</f>
        <v>0</v>
      </c>
      <c r="AF6" s="101"/>
      <c r="AG6" s="101"/>
      <c r="AH6" s="101" t="b">
        <f>SUM(AH17:AH39)=4</f>
        <v>0</v>
      </c>
      <c r="AI6" s="101" t="b">
        <f>SUM(AI17:AI39)=4</f>
        <v>0</v>
      </c>
      <c r="AJ6" s="101" t="b">
        <f>SUM(AJ17:AJ39)=4</f>
        <v>0</v>
      </c>
      <c r="AK6" s="101" t="b">
        <f>SUM(AK17:AK39)=4</f>
        <v>0</v>
      </c>
      <c r="AL6" s="101" t="b">
        <f>SUM(AL17:AL39)=4</f>
        <v>0</v>
      </c>
      <c r="AM6" s="101" t="b">
        <f>SUM(AM17:AM39)=4</f>
        <v>0</v>
      </c>
      <c r="AN6" s="101" t="b">
        <f>SUM(AN17:AN39)=4</f>
        <v>0</v>
      </c>
      <c r="AO6" s="101" t="b">
        <f>SUM(AO17:AO39)=4</f>
        <v>0</v>
      </c>
      <c r="AP6" s="101" t="b">
        <f>SUM(AP17:AP39)=4</f>
        <v>0</v>
      </c>
      <c r="AQ6" s="101" t="b">
        <f>SUM(AQ17:AQ39)=4</f>
        <v>0</v>
      </c>
      <c r="AR6" s="101" t="b">
        <f>SUM(AR17:AR39)=4</f>
        <v>0</v>
      </c>
      <c r="AS6" s="101" t="b">
        <f>SUM(AS17:AS39)=4</f>
        <v>0</v>
      </c>
      <c r="AT6" s="101" t="b">
        <f>SUM(AT17:AT39)=4</f>
        <v>0</v>
      </c>
      <c r="AU6" s="101" t="b">
        <f>SUM(AU17:AU39)=4</f>
        <v>0</v>
      </c>
      <c r="AV6" s="101" t="b">
        <f>SUM(AV17:AV39)=4</f>
        <v>0</v>
      </c>
      <c r="AW6" s="101" t="b">
        <f>SUM(AW17:AW39)=4</f>
        <v>0</v>
      </c>
      <c r="AX6" s="101" t="b">
        <f>SUM(AX17:AX39)=4</f>
        <v>0</v>
      </c>
      <c r="AY6" s="101" t="b">
        <f>SUM(AY17:AY39)=4</f>
        <v>0</v>
      </c>
      <c r="AZ6" s="101" t="b">
        <f>SUM(AZ17:AZ39)=4</f>
        <v>0</v>
      </c>
      <c r="BA6" s="101" t="b">
        <f>SUM(BA17:BA39)=4</f>
        <v>0</v>
      </c>
      <c r="BB6" s="101" t="b">
        <f>SUM(BB17:BB39)=4</f>
        <v>0</v>
      </c>
      <c r="BC6" s="101" t="b">
        <f>SUM(BC17:BC39)=4</f>
        <v>0</v>
      </c>
      <c r="BD6" s="101" t="b">
        <f>SUM(BD17:BD39)=4</f>
        <v>0</v>
      </c>
      <c r="BE6" s="101" t="b">
        <f>SUM(BE17:BE39)=4</f>
        <v>0</v>
      </c>
      <c r="BF6" s="101" t="b">
        <f>SUM(BF17:BF39)=4</f>
        <v>0</v>
      </c>
      <c r="BG6" s="101" t="b">
        <f>SUM(BG17:BG39)=4</f>
        <v>0</v>
      </c>
      <c r="BH6" s="101" t="b">
        <f>SUM(BH17:BH39)=4</f>
        <v>0</v>
      </c>
      <c r="BI6" s="101" t="b">
        <f>SUM(BI17:BI39)=4</f>
        <v>0</v>
      </c>
      <c r="BJ6" s="101" t="b">
        <f>SUM(BJ17:BJ39)=4</f>
        <v>0</v>
      </c>
      <c r="BK6" s="101" t="b">
        <f>SUM(BK17:BK39)=4</f>
        <v>0</v>
      </c>
      <c r="BL6" s="101" t="b">
        <f>SUM(BL17:BL39)=4</f>
        <v>0</v>
      </c>
      <c r="BM6" s="101" t="b">
        <f>SUM(BM17:BM39)=4</f>
        <v>0</v>
      </c>
      <c r="BN6" s="101" t="b">
        <f>SUM(BN17:BN39)=4</f>
        <v>0</v>
      </c>
      <c r="BO6" s="101" t="b">
        <f>SUM(BO17:BO39)=4</f>
        <v>0</v>
      </c>
      <c r="BP6" s="101" t="b">
        <f>SUM(BP17:BP39)=4</f>
        <v>0</v>
      </c>
      <c r="BQ6" s="101" t="b">
        <f>SUM(BQ17:BQ39)=4</f>
        <v>0</v>
      </c>
      <c r="BR6" s="101" t="b">
        <f>SUM(BR17:BR39)=4</f>
        <v>0</v>
      </c>
      <c r="BS6" s="101" t="b">
        <f>SUM(BS17:BS39)=4</f>
        <v>0</v>
      </c>
      <c r="BT6" s="101" t="b">
        <f>SUM(BT17:BT39)=4</f>
        <v>0</v>
      </c>
      <c r="BU6" s="101" t="b">
        <f>SUM(BU17:BU39)=4</f>
        <v>0</v>
      </c>
      <c r="BV6" s="101" t="b">
        <f>SUM(BV17:BV39)=4</f>
        <v>0</v>
      </c>
      <c r="BW6" s="101" t="b">
        <f>SUM(BW17:BW39)=4</f>
        <v>0</v>
      </c>
      <c r="BX6" s="101" t="b">
        <f>SUM(BX17:BX39)=4</f>
        <v>0</v>
      </c>
      <c r="BY6" s="101" t="b">
        <f>SUM(BY17:BY39)=4</f>
        <v>0</v>
      </c>
      <c r="BZ6" s="101" t="b">
        <f>SUM(BZ17:BZ39)=4</f>
        <v>0</v>
      </c>
      <c r="CA6" s="101" t="b">
        <f>SUM(CA17:CA39)=4</f>
        <v>0</v>
      </c>
      <c r="CB6" s="101" t="b">
        <f>SUM(CB17:CB39)=4</f>
        <v>0</v>
      </c>
      <c r="CC6" s="101" t="b">
        <f>SUM(CC17:CC39)=4</f>
        <v>0</v>
      </c>
      <c r="CD6" s="101" t="b">
        <f>SUM(CD17:CD39)=4</f>
        <v>0</v>
      </c>
      <c r="CE6" s="101" t="b">
        <f>SUM(CE17:CE39)=4</f>
        <v>0</v>
      </c>
      <c r="CF6" s="101" t="b">
        <f>SUM(CF17:CF39)=4</f>
        <v>0</v>
      </c>
      <c r="CG6" s="101" t="b">
        <f>SUM(CG17:CG39)=4</f>
        <v>0</v>
      </c>
      <c r="CH6" s="101" t="b">
        <f>SUM(CH17:CH39)=4</f>
        <v>0</v>
      </c>
      <c r="CI6" s="101" t="b">
        <f>SUM(CI17:CI39)=4</f>
        <v>0</v>
      </c>
      <c r="CJ6" s="101" t="b">
        <f>SUM(CJ17:CJ39)=4</f>
        <v>0</v>
      </c>
      <c r="CK6" s="101" t="b">
        <f>SUM(CK17:CK39)=4</f>
        <v>0</v>
      </c>
      <c r="CL6" s="101" t="b">
        <f>SUM(CL17:CL39)=4</f>
        <v>0</v>
      </c>
      <c r="CM6" s="101" t="b">
        <f>SUM(CM17:CM39)=4</f>
        <v>0</v>
      </c>
      <c r="CN6" s="101" t="b">
        <f>SUM(CN17:CN39)=4</f>
        <v>0</v>
      </c>
      <c r="CO6" s="101" t="b">
        <f>SUM(CO17:CO39)=4</f>
        <v>0</v>
      </c>
      <c r="CP6" s="101" t="b">
        <f>SUM(CP17:CP39)=4</f>
        <v>0</v>
      </c>
      <c r="CQ6" s="101" t="b">
        <f>SUM(CQ17:CQ39)=4</f>
        <v>0</v>
      </c>
      <c r="CR6" s="101" t="b">
        <f>SUM(CR17:CR39)=4</f>
        <v>0</v>
      </c>
      <c r="CS6" s="101" t="b">
        <f>SUM(CS17:CS39)=4</f>
        <v>0</v>
      </c>
      <c r="CT6" s="101" t="b">
        <f>SUM(CT17:CT39)=4</f>
        <v>0</v>
      </c>
      <c r="CU6" s="101" t="b">
        <f>SUM(CU17:CU39)=4</f>
        <v>0</v>
      </c>
      <c r="CV6" s="101" t="b">
        <f>SUM(CV17:CV39)=4</f>
        <v>0</v>
      </c>
      <c r="CW6" s="101" t="b">
        <f>SUM(CW17:CW39)=4</f>
        <v>0</v>
      </c>
      <c r="CX6" s="101" t="b">
        <f>SUM(CX17:CX39)=4</f>
        <v>0</v>
      </c>
      <c r="CY6" s="101" t="b">
        <f>SUM(CY17:CY39)=4</f>
        <v>0</v>
      </c>
      <c r="CZ6" s="101" t="b">
        <f>SUM(CZ17:CZ39)=4</f>
        <v>0</v>
      </c>
      <c r="DA6" s="101" t="b">
        <f>SUM(DA17:DA39)=4</f>
        <v>0</v>
      </c>
      <c r="DB6" s="101" t="b">
        <f>SUM(DB17:DB39)=4</f>
        <v>0</v>
      </c>
      <c r="DC6" s="101" t="b">
        <f>SUM(DC17:DC39)=4</f>
        <v>0</v>
      </c>
      <c r="DD6" s="101" t="b">
        <f>SUM(DD17:DD39)=4</f>
        <v>0</v>
      </c>
      <c r="DE6" s="101" t="b">
        <f>SUM(DE17:DE39)=4</f>
        <v>0</v>
      </c>
      <c r="DF6" s="101" t="b">
        <f>SUM(DF17:DF39)=4</f>
        <v>0</v>
      </c>
      <c r="DG6" s="101" t="b">
        <f>SUM(DG17:DG39)=4</f>
        <v>0</v>
      </c>
      <c r="DH6" s="101" t="b">
        <f>SUM(DH17:DH39)=4</f>
        <v>0</v>
      </c>
      <c r="DI6" s="101" t="b">
        <f>SUM(DI17:DI39)=4</f>
        <v>0</v>
      </c>
      <c r="DJ6" s="101" t="b">
        <f>SUM(DJ17:DJ39)=4</f>
        <v>0</v>
      </c>
      <c r="DK6" s="101" t="b">
        <f>SUM(DK17:DK39)=4</f>
        <v>0</v>
      </c>
      <c r="DL6" s="101" t="b">
        <f>SUM(DL17:DL39)=4</f>
        <v>0</v>
      </c>
      <c r="DM6" s="101" t="b">
        <f>SUM(DM17:DM39)=4</f>
        <v>0</v>
      </c>
      <c r="DN6" s="101" t="b">
        <f>SUM(DN17:DN39)=4</f>
        <v>0</v>
      </c>
      <c r="DO6" s="101" t="b">
        <f>SUM(DO17:DO39)=4</f>
        <v>0</v>
      </c>
      <c r="DP6" s="101" t="b">
        <f>SUM(DP17:DP39)=4</f>
        <v>0</v>
      </c>
      <c r="DQ6" s="101" t="b">
        <f>SUM(DQ17:DQ39)=4</f>
        <v>0</v>
      </c>
      <c r="DR6" s="101" t="b">
        <f>SUM(DR17:DR39)=4</f>
        <v>0</v>
      </c>
      <c r="DS6" s="101" t="b">
        <f>SUM(DS17:DS39)=4</f>
        <v>0</v>
      </c>
      <c r="DT6" s="101" t="b">
        <f>SUM(DT17:DT39)=4</f>
        <v>0</v>
      </c>
      <c r="DU6" s="101" t="b">
        <f>SUM(DU17:DU39)=4</f>
        <v>0</v>
      </c>
      <c r="DV6" s="101" t="b">
        <f>SUM(DV17:DV39)=4</f>
        <v>0</v>
      </c>
      <c r="DW6" s="101" t="b">
        <f>SUM(DW17:DW39)=4</f>
        <v>0</v>
      </c>
      <c r="DX6" s="101" t="b">
        <f>SUM(DX17:DX39)=4</f>
        <v>0</v>
      </c>
      <c r="DY6" s="101" t="b">
        <f>SUM(DY17:DY39)=4</f>
        <v>0</v>
      </c>
      <c r="DZ6" s="101" t="b">
        <f>SUM(DZ17:DZ39)=4</f>
        <v>0</v>
      </c>
      <c r="EA6" s="101" t="b">
        <f>SUM(EA17:EA39)=4</f>
        <v>0</v>
      </c>
      <c r="EB6" s="101" t="b">
        <f>SUM(EB17:EB39)=4</f>
        <v>0</v>
      </c>
      <c r="EC6" s="101" t="b">
        <f>SUM(EC17:EC39)=4</f>
        <v>0</v>
      </c>
      <c r="ED6" s="101" t="b">
        <f>SUM(ED17:ED39)=4</f>
        <v>0</v>
      </c>
      <c r="EE6" s="101" t="b">
        <f>SUM(EE17:EE39)=4</f>
        <v>0</v>
      </c>
      <c r="EF6" s="101" t="b">
        <f>SUM(EF17:EF39)=4</f>
        <v>0</v>
      </c>
      <c r="EG6" s="101" t="b">
        <f>SUM(EG17:EG39)=4</f>
        <v>0</v>
      </c>
      <c r="EH6" s="101" t="b">
        <f>SUM(EH17:EH39)=4</f>
        <v>0</v>
      </c>
      <c r="EI6" s="101" t="b">
        <f>SUM(EI17:EI39)=4</f>
        <v>0</v>
      </c>
      <c r="EJ6" s="101" t="b">
        <f>SUM(EJ17:EJ39)=4</f>
        <v>0</v>
      </c>
      <c r="EK6" s="101" t="b">
        <f>SUM(EK17:EK39)=4</f>
        <v>0</v>
      </c>
      <c r="EL6" s="101" t="b">
        <f>SUM(EL17:EL39)=4</f>
        <v>0</v>
      </c>
      <c r="EM6" s="101" t="b">
        <f>SUM(EM17:EM39)=4</f>
        <v>0</v>
      </c>
      <c r="EN6" s="101" t="b">
        <f>SUM(EN17:EN39)=4</f>
        <v>0</v>
      </c>
      <c r="EO6" s="101" t="b">
        <f>SUM(EO17:EO39)=4</f>
        <v>0</v>
      </c>
      <c r="EP6" s="101" t="b">
        <f>SUM(EP17:EP39)=4</f>
        <v>0</v>
      </c>
      <c r="EQ6" s="101" t="b">
        <f>SUM(EQ17:EQ39)=4</f>
        <v>0</v>
      </c>
      <c r="ER6" s="101" t="b">
        <f>SUM(ER17:ER39)=4</f>
        <v>0</v>
      </c>
      <c r="ES6" s="101" t="b">
        <f>SUM(ES17:ES39)=4</f>
        <v>0</v>
      </c>
      <c r="ET6" s="101" t="b">
        <f>SUM(ET17:ET39)=4</f>
        <v>0</v>
      </c>
      <c r="EU6" s="101" t="b">
        <f>SUM(EU17:EU39)=4</f>
        <v>0</v>
      </c>
      <c r="EV6" s="101" t="b">
        <f>SUM(EV17:EV39)=4</f>
        <v>0</v>
      </c>
      <c r="EW6" s="101" t="b">
        <f>SUM(EW17:EW39)=4</f>
        <v>0</v>
      </c>
      <c r="EX6" s="101" t="b">
        <f>SUM(EX17:EX39)=4</f>
        <v>0</v>
      </c>
      <c r="EY6" s="101" t="b">
        <f>SUM(EY17:EY39)=4</f>
        <v>0</v>
      </c>
      <c r="EZ6" s="101" t="b">
        <f>SUM(EZ17:EZ39)=4</f>
        <v>0</v>
      </c>
      <c r="FA6" s="101" t="b">
        <f>SUM(FA17:FA39)=4</f>
        <v>0</v>
      </c>
      <c r="FB6" s="101" t="b">
        <f>SUM(FB17:FB39)=4</f>
        <v>0</v>
      </c>
      <c r="FC6" s="101" t="b">
        <f>SUM(FC17:FC39)=4</f>
        <v>0</v>
      </c>
      <c r="FD6" s="101" t="b">
        <f>SUM(FD17:FD39)=4</f>
        <v>0</v>
      </c>
      <c r="FE6" s="100"/>
    </row>
    <row r="7" spans="1:161" s="85" customFormat="1" ht="14.25">
      <c r="A7" s="88"/>
      <c r="B7" s="88"/>
      <c r="C7" s="88"/>
      <c r="D7" s="60"/>
      <c r="E7" s="60"/>
      <c r="F7" s="60"/>
      <c r="G7" s="60"/>
      <c r="H7" s="60"/>
      <c r="I7" s="99" t="s">
        <v>52</v>
      </c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60"/>
      <c r="AA7" s="99" t="s">
        <v>51</v>
      </c>
      <c r="AB7" s="99"/>
      <c r="AC7" s="99"/>
      <c r="AD7" s="99"/>
      <c r="AE7" s="99"/>
      <c r="AF7" s="99"/>
      <c r="AG7" s="99"/>
      <c r="AH7" s="99" t="s">
        <v>51</v>
      </c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7"/>
      <c r="AY7" s="98" t="s">
        <v>50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 t="s">
        <v>49</v>
      </c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 t="s">
        <v>48</v>
      </c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6"/>
      <c r="DM7" s="98" t="s">
        <v>47</v>
      </c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6"/>
      <c r="EH7" s="98" t="s">
        <v>46</v>
      </c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7"/>
    </row>
    <row r="8" spans="1:161" s="85" customFormat="1" ht="3" customHeight="1">
      <c r="A8" s="88"/>
      <c r="B8" s="88"/>
      <c r="C8" s="88"/>
      <c r="D8" s="60"/>
      <c r="E8" s="60"/>
      <c r="F8" s="60"/>
      <c r="G8" s="60"/>
      <c r="H8" s="60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5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5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5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/>
      <c r="DY8" s="96"/>
      <c r="DZ8" s="96"/>
      <c r="EA8" s="96"/>
      <c r="EB8" s="96"/>
      <c r="EC8" s="96"/>
      <c r="ED8" s="96"/>
      <c r="EE8" s="96"/>
      <c r="EF8" s="96"/>
      <c r="EG8" s="95"/>
      <c r="EH8" s="96"/>
      <c r="EI8" s="96"/>
      <c r="EJ8" s="96"/>
      <c r="EK8" s="96"/>
      <c r="EL8" s="96"/>
      <c r="EM8" s="96"/>
      <c r="EN8" s="96"/>
      <c r="EO8" s="96"/>
      <c r="EP8" s="96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5"/>
    </row>
    <row r="9" spans="1:161" s="85" customFormat="1" ht="15">
      <c r="A9" s="88"/>
      <c r="B9" s="88"/>
      <c r="C9" s="88"/>
      <c r="D9" s="60"/>
      <c r="E9" s="60"/>
      <c r="F9" s="60"/>
      <c r="G9" s="60"/>
      <c r="H9" s="60"/>
      <c r="I9" s="90"/>
      <c r="J9" s="90"/>
      <c r="K9" s="91"/>
      <c r="L9" s="92"/>
      <c r="M9" s="90"/>
      <c r="N9" s="90"/>
      <c r="O9" s="90"/>
      <c r="P9" s="91"/>
      <c r="Q9" s="92"/>
      <c r="R9" s="90"/>
      <c r="S9" s="90"/>
      <c r="T9" s="90"/>
      <c r="U9" s="91"/>
      <c r="V9" s="92"/>
      <c r="W9" s="90"/>
      <c r="X9" s="90"/>
      <c r="Y9" s="90"/>
      <c r="Z9" s="89"/>
      <c r="AA9" s="91"/>
      <c r="AB9" s="92"/>
      <c r="AC9" s="90"/>
      <c r="AD9" s="90"/>
      <c r="AE9" s="90"/>
      <c r="AF9" s="90"/>
      <c r="AG9" s="90"/>
      <c r="AH9" s="91"/>
      <c r="AI9" s="92"/>
      <c r="AJ9" s="90"/>
      <c r="AK9" s="90"/>
      <c r="AL9" s="90"/>
      <c r="AM9" s="91"/>
      <c r="AN9" s="92"/>
      <c r="AO9" s="90"/>
      <c r="AP9" s="90"/>
      <c r="AQ9" s="90"/>
      <c r="AR9" s="92"/>
      <c r="AS9" s="92"/>
      <c r="AT9" s="90"/>
      <c r="AU9" s="90"/>
      <c r="AV9" s="90"/>
      <c r="AW9" s="91"/>
      <c r="AX9" s="94"/>
      <c r="AY9" s="92"/>
      <c r="AZ9" s="90"/>
      <c r="BA9" s="90"/>
      <c r="BB9" s="90"/>
      <c r="BC9" s="91"/>
      <c r="BD9" s="90"/>
      <c r="BE9" s="90"/>
      <c r="BF9" s="90"/>
      <c r="BG9" s="90"/>
      <c r="BH9" s="91"/>
      <c r="BI9" s="90"/>
      <c r="BJ9" s="90"/>
      <c r="BK9" s="90"/>
      <c r="BL9" s="90"/>
      <c r="BM9" s="91"/>
      <c r="BN9" s="90"/>
      <c r="BO9" s="90"/>
      <c r="BP9" s="90"/>
      <c r="BQ9" s="90"/>
      <c r="BR9" s="91"/>
      <c r="BS9" s="90"/>
      <c r="BT9" s="90"/>
      <c r="BU9" s="90"/>
      <c r="BV9" s="90"/>
      <c r="BW9" s="91"/>
      <c r="BX9" s="90"/>
      <c r="BY9" s="90"/>
      <c r="BZ9" s="90"/>
      <c r="CA9" s="90"/>
      <c r="CB9" s="91"/>
      <c r="CC9" s="92"/>
      <c r="CD9" s="90"/>
      <c r="CE9" s="90"/>
      <c r="CF9" s="90"/>
      <c r="CG9" s="91"/>
      <c r="CH9" s="90"/>
      <c r="CI9" s="90"/>
      <c r="CJ9" s="90"/>
      <c r="CK9" s="90"/>
      <c r="CL9" s="91"/>
      <c r="CM9" s="92"/>
      <c r="CN9" s="90"/>
      <c r="CO9" s="90"/>
      <c r="CP9" s="90"/>
      <c r="CQ9" s="91"/>
      <c r="CR9" s="90"/>
      <c r="CS9" s="90"/>
      <c r="CT9" s="90"/>
      <c r="CU9" s="90"/>
      <c r="CV9" s="91"/>
      <c r="CW9" s="92"/>
      <c r="CX9" s="90"/>
      <c r="CY9" s="90"/>
      <c r="CZ9" s="90"/>
      <c r="DA9" s="91"/>
      <c r="DB9" s="90"/>
      <c r="DC9" s="90"/>
      <c r="DD9" s="90"/>
      <c r="DE9" s="90"/>
      <c r="DF9" s="91"/>
      <c r="DG9" s="90"/>
      <c r="DH9" s="90"/>
      <c r="DI9" s="90"/>
      <c r="DJ9" s="90"/>
      <c r="DK9" s="91"/>
      <c r="DL9" s="89"/>
      <c r="DM9" s="93"/>
      <c r="DN9" s="90"/>
      <c r="DO9" s="90"/>
      <c r="DP9" s="90"/>
      <c r="DQ9" s="91"/>
      <c r="DR9" s="92"/>
      <c r="DS9" s="90"/>
      <c r="DT9" s="90"/>
      <c r="DU9" s="90"/>
      <c r="DV9" s="91"/>
      <c r="DW9" s="90"/>
      <c r="DX9" s="90"/>
      <c r="DY9" s="90"/>
      <c r="DZ9" s="90"/>
      <c r="EA9" s="91"/>
      <c r="EB9" s="90"/>
      <c r="EC9" s="90"/>
      <c r="ED9" s="90"/>
      <c r="EE9" s="90"/>
      <c r="EF9" s="91"/>
      <c r="EG9" s="89"/>
      <c r="EH9" s="90"/>
      <c r="EI9" s="90"/>
      <c r="EJ9" s="90"/>
      <c r="EK9" s="90"/>
      <c r="EL9" s="91"/>
      <c r="EM9" s="92"/>
      <c r="EN9" s="90"/>
      <c r="EO9" s="90"/>
      <c r="EP9" s="90"/>
      <c r="EQ9" s="91"/>
      <c r="ER9" s="90"/>
      <c r="ES9" s="90"/>
      <c r="ET9" s="90"/>
      <c r="EU9" s="90"/>
      <c r="EV9" s="91"/>
      <c r="EW9" s="90"/>
      <c r="EX9" s="90"/>
      <c r="EY9" s="90"/>
      <c r="EZ9" s="90"/>
      <c r="FA9" s="91"/>
      <c r="FB9" s="90"/>
      <c r="FC9" s="90"/>
      <c r="FD9" s="90"/>
      <c r="FE9" s="89"/>
    </row>
    <row r="10" spans="1:161" s="85" customFormat="1" ht="3" customHeight="1">
      <c r="A10" s="88"/>
      <c r="B10" s="88"/>
      <c r="C10" s="88"/>
      <c r="D10" s="60"/>
      <c r="E10" s="60"/>
      <c r="F10" s="60"/>
      <c r="G10" s="60"/>
      <c r="H10" s="60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6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6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6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6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6"/>
    </row>
    <row r="11" spans="1:161" s="70" customFormat="1" ht="14.25">
      <c r="B11" s="84" t="s">
        <v>45</v>
      </c>
      <c r="C11" s="84" t="s">
        <v>44</v>
      </c>
      <c r="D11" s="84" t="s">
        <v>43</v>
      </c>
      <c r="E11" s="84" t="s">
        <v>42</v>
      </c>
      <c r="F11" s="84" t="s">
        <v>41</v>
      </c>
      <c r="G11" s="83" t="s">
        <v>40</v>
      </c>
      <c r="H11" s="60"/>
      <c r="I11" s="77">
        <v>45238</v>
      </c>
      <c r="J11" s="77">
        <f>I11+1</f>
        <v>45239</v>
      </c>
      <c r="K11" s="76">
        <f>J11+1</f>
        <v>45240</v>
      </c>
      <c r="L11" s="78">
        <v>45243</v>
      </c>
      <c r="M11" s="77">
        <f>L11+1</f>
        <v>45244</v>
      </c>
      <c r="N11" s="77">
        <f>M11+1</f>
        <v>45245</v>
      </c>
      <c r="O11" s="77">
        <f>N11+1</f>
        <v>45246</v>
      </c>
      <c r="P11" s="76">
        <f>O11+1</f>
        <v>45247</v>
      </c>
      <c r="Q11" s="78">
        <v>45250</v>
      </c>
      <c r="R11" s="77">
        <f>Q11+1</f>
        <v>45251</v>
      </c>
      <c r="S11" s="77">
        <f>R11+1</f>
        <v>45252</v>
      </c>
      <c r="T11" s="77">
        <f>S11+1</f>
        <v>45253</v>
      </c>
      <c r="U11" s="76">
        <f>T11+1</f>
        <v>45254</v>
      </c>
      <c r="V11" s="78">
        <v>45257</v>
      </c>
      <c r="W11" s="77">
        <f>V11+1</f>
        <v>45258</v>
      </c>
      <c r="X11" s="77">
        <f>W11+1</f>
        <v>45259</v>
      </c>
      <c r="Y11" s="77">
        <f>X11+1</f>
        <v>45260</v>
      </c>
      <c r="Z11" s="71"/>
      <c r="AA11" s="76">
        <f>Y11+1</f>
        <v>45261</v>
      </c>
      <c r="AB11" s="78">
        <v>45234</v>
      </c>
      <c r="AC11" s="77">
        <f>AB11+1</f>
        <v>45235</v>
      </c>
      <c r="AD11" s="77">
        <f>AC11+1</f>
        <v>45236</v>
      </c>
      <c r="AE11" s="77">
        <f>AD11+1</f>
        <v>45237</v>
      </c>
      <c r="AF11" s="111">
        <v>6</v>
      </c>
      <c r="AG11" s="111">
        <v>7</v>
      </c>
      <c r="AH11" s="76">
        <f>AE11+1</f>
        <v>45238</v>
      </c>
      <c r="AI11" s="78">
        <v>45241</v>
      </c>
      <c r="AJ11" s="77">
        <f>AI11+1</f>
        <v>45242</v>
      </c>
      <c r="AK11" s="77">
        <f>AJ11+1</f>
        <v>45243</v>
      </c>
      <c r="AL11" s="77">
        <f>AK11+1</f>
        <v>45244</v>
      </c>
      <c r="AM11" s="76">
        <f>AL11+1</f>
        <v>45245</v>
      </c>
      <c r="AN11" s="78">
        <v>45248</v>
      </c>
      <c r="AO11" s="77">
        <v>45249</v>
      </c>
      <c r="AP11" s="77">
        <v>45250</v>
      </c>
      <c r="AQ11" s="77">
        <v>45251</v>
      </c>
      <c r="AR11" s="82">
        <v>45252</v>
      </c>
      <c r="AS11" s="82">
        <f>AR11+3</f>
        <v>45255</v>
      </c>
      <c r="AT11" s="81">
        <f>AS11+1</f>
        <v>45256</v>
      </c>
      <c r="AU11" s="81">
        <f>AT11+1</f>
        <v>45257</v>
      </c>
      <c r="AV11" s="81">
        <f>AU11+1</f>
        <v>45258</v>
      </c>
      <c r="AW11" s="80">
        <f>AV11+1</f>
        <v>45259</v>
      </c>
      <c r="AX11" s="71"/>
      <c r="AY11" s="79">
        <f>AW11+2</f>
        <v>45261</v>
      </c>
      <c r="AZ11" s="77">
        <f>AY11+1</f>
        <v>45262</v>
      </c>
      <c r="BA11" s="77">
        <f>AZ11+1</f>
        <v>45263</v>
      </c>
      <c r="BB11" s="77">
        <f>BA11+1</f>
        <v>45264</v>
      </c>
      <c r="BC11" s="76">
        <f>BB11+1</f>
        <v>45265</v>
      </c>
      <c r="BD11" s="78">
        <f>BC11+3</f>
        <v>45268</v>
      </c>
      <c r="BE11" s="77">
        <f>BD11+1</f>
        <v>45269</v>
      </c>
      <c r="BF11" s="77">
        <f>BE11+1</f>
        <v>45270</v>
      </c>
      <c r="BG11" s="77">
        <f>BF11+1</f>
        <v>45271</v>
      </c>
      <c r="BH11" s="76">
        <f>BG11+1</f>
        <v>45272</v>
      </c>
      <c r="BI11" s="78">
        <f>BH11+3</f>
        <v>45275</v>
      </c>
      <c r="BJ11" s="77">
        <f>BI11+1</f>
        <v>45276</v>
      </c>
      <c r="BK11" s="77">
        <f>BJ11+1</f>
        <v>45277</v>
      </c>
      <c r="BL11" s="77">
        <f>BK11+1</f>
        <v>45278</v>
      </c>
      <c r="BM11" s="76">
        <f>BL11+1</f>
        <v>45279</v>
      </c>
      <c r="BN11" s="78">
        <f>BM11+3</f>
        <v>45282</v>
      </c>
      <c r="BO11" s="77">
        <f>BN11+1</f>
        <v>45283</v>
      </c>
      <c r="BP11" s="77">
        <f>BO11+1</f>
        <v>45284</v>
      </c>
      <c r="BQ11" s="77">
        <f>BP11+1</f>
        <v>45285</v>
      </c>
      <c r="BR11" s="76">
        <f>BQ11+1</f>
        <v>45286</v>
      </c>
      <c r="BS11" s="78">
        <f>BR11+3</f>
        <v>45289</v>
      </c>
      <c r="BT11" s="77">
        <f>BS11+1</f>
        <v>45290</v>
      </c>
      <c r="BU11" s="77">
        <f>BT11+1</f>
        <v>45291</v>
      </c>
      <c r="BV11" s="77">
        <f>BU11+1</f>
        <v>45292</v>
      </c>
      <c r="BW11" s="76">
        <f>BV11+1</f>
        <v>45293</v>
      </c>
      <c r="BX11" s="78">
        <f>BW11+3</f>
        <v>45296</v>
      </c>
      <c r="BY11" s="77">
        <f>BX11+1</f>
        <v>45297</v>
      </c>
      <c r="BZ11" s="77">
        <f>BY11+1</f>
        <v>45298</v>
      </c>
      <c r="CA11" s="77">
        <f>BZ11+1</f>
        <v>45299</v>
      </c>
      <c r="CB11" s="76">
        <f>CA11+1</f>
        <v>45300</v>
      </c>
      <c r="CC11" s="78">
        <f>CB11+3</f>
        <v>45303</v>
      </c>
      <c r="CD11" s="77">
        <f>CC11+1</f>
        <v>45304</v>
      </c>
      <c r="CE11" s="77">
        <f>CD11+1</f>
        <v>45305</v>
      </c>
      <c r="CF11" s="77">
        <f>CE11+1</f>
        <v>45306</v>
      </c>
      <c r="CG11" s="76">
        <f>CF11+1</f>
        <v>45307</v>
      </c>
      <c r="CH11" s="78">
        <f>CG11+3</f>
        <v>45310</v>
      </c>
      <c r="CI11" s="77">
        <f>CH11+1</f>
        <v>45311</v>
      </c>
      <c r="CJ11" s="77">
        <f>CI11+1</f>
        <v>45312</v>
      </c>
      <c r="CK11" s="77">
        <f>CJ11+1</f>
        <v>45313</v>
      </c>
      <c r="CL11" s="76">
        <f>CK11+1</f>
        <v>45314</v>
      </c>
      <c r="CM11" s="78">
        <f>CL11+3</f>
        <v>45317</v>
      </c>
      <c r="CN11" s="77">
        <f>CM11+1</f>
        <v>45318</v>
      </c>
      <c r="CO11" s="77">
        <f>CN11+1</f>
        <v>45319</v>
      </c>
      <c r="CP11" s="77">
        <v>1</v>
      </c>
      <c r="CQ11" s="76">
        <f>CP11+1</f>
        <v>2</v>
      </c>
      <c r="CR11" s="78">
        <f>CQ11+2</f>
        <v>4</v>
      </c>
      <c r="CS11" s="77">
        <f>CR11+1</f>
        <v>5</v>
      </c>
      <c r="CT11" s="77">
        <f>CS11+1</f>
        <v>6</v>
      </c>
      <c r="CU11" s="77">
        <f>CT11+1</f>
        <v>7</v>
      </c>
      <c r="CV11" s="76">
        <f>CU11+1</f>
        <v>8</v>
      </c>
      <c r="CW11" s="78">
        <f>CV11+3</f>
        <v>11</v>
      </c>
      <c r="CX11" s="77">
        <f>CW11+1</f>
        <v>12</v>
      </c>
      <c r="CY11" s="77">
        <f>CX11+1</f>
        <v>13</v>
      </c>
      <c r="CZ11" s="77">
        <f>CY11+1</f>
        <v>14</v>
      </c>
      <c r="DA11" s="76">
        <f>CZ11+1</f>
        <v>15</v>
      </c>
      <c r="DB11" s="78">
        <f>DA11+3</f>
        <v>18</v>
      </c>
      <c r="DC11" s="77">
        <f>DB11+1</f>
        <v>19</v>
      </c>
      <c r="DD11" s="77">
        <f>DC11+1</f>
        <v>20</v>
      </c>
      <c r="DE11" s="77">
        <f>DD11+1</f>
        <v>21</v>
      </c>
      <c r="DF11" s="76">
        <f>DE11+1</f>
        <v>22</v>
      </c>
      <c r="DG11" s="78">
        <f>DF11+3</f>
        <v>25</v>
      </c>
      <c r="DH11" s="77">
        <f>DG11+1</f>
        <v>26</v>
      </c>
      <c r="DI11" s="77">
        <f>DH11+1</f>
        <v>27</v>
      </c>
      <c r="DJ11" s="77">
        <f>DI11+1</f>
        <v>28</v>
      </c>
      <c r="DK11" s="76">
        <f>DJ11+1</f>
        <v>29</v>
      </c>
      <c r="DL11" s="71"/>
      <c r="DM11" s="78">
        <f>DK11+3</f>
        <v>32</v>
      </c>
      <c r="DN11" s="77">
        <f>DM11+1</f>
        <v>33</v>
      </c>
      <c r="DO11" s="77">
        <f>DN11+1</f>
        <v>34</v>
      </c>
      <c r="DP11" s="77">
        <f>DO11+1</f>
        <v>35</v>
      </c>
      <c r="DQ11" s="76">
        <f>DP11+1</f>
        <v>36</v>
      </c>
      <c r="DR11" s="78">
        <f>DQ11+3</f>
        <v>39</v>
      </c>
      <c r="DS11" s="77">
        <f>DR11+1</f>
        <v>40</v>
      </c>
      <c r="DT11" s="77">
        <f>DS11+1</f>
        <v>41</v>
      </c>
      <c r="DU11" s="77">
        <f>DT11+1</f>
        <v>42</v>
      </c>
      <c r="DV11" s="76">
        <f>DU11+1</f>
        <v>43</v>
      </c>
      <c r="DW11" s="75">
        <f>DV11+3</f>
        <v>46</v>
      </c>
      <c r="DX11" s="72">
        <f>DW11+1</f>
        <v>47</v>
      </c>
      <c r="DY11" s="72">
        <f>DX11+1</f>
        <v>48</v>
      </c>
      <c r="DZ11" s="72">
        <f>DY11+1</f>
        <v>49</v>
      </c>
      <c r="EA11" s="74">
        <f>DZ11+1</f>
        <v>50</v>
      </c>
      <c r="EB11" s="73">
        <f>EA11+3</f>
        <v>53</v>
      </c>
      <c r="EC11" s="72">
        <f>EB11+1</f>
        <v>54</v>
      </c>
      <c r="ED11" s="72">
        <f>EC11+1</f>
        <v>55</v>
      </c>
      <c r="EE11" s="72">
        <f>ED11+1</f>
        <v>56</v>
      </c>
      <c r="EF11" s="74">
        <f>EE11+1</f>
        <v>57</v>
      </c>
      <c r="EG11" s="71"/>
      <c r="EH11" s="73">
        <f>EF11+3</f>
        <v>60</v>
      </c>
      <c r="EI11" s="72">
        <f>EH11+1</f>
        <v>61</v>
      </c>
      <c r="EJ11" s="72">
        <f>EI11+1</f>
        <v>62</v>
      </c>
      <c r="EK11" s="72">
        <f>EJ11+1</f>
        <v>63</v>
      </c>
      <c r="EL11" s="74">
        <f>EK11+1</f>
        <v>64</v>
      </c>
      <c r="EM11" s="73">
        <f>EL11+2</f>
        <v>66</v>
      </c>
      <c r="EN11" s="72">
        <f>EM11+1</f>
        <v>67</v>
      </c>
      <c r="EO11" s="72">
        <f>EN11+1</f>
        <v>68</v>
      </c>
      <c r="EP11" s="72">
        <f>EO11+1</f>
        <v>69</v>
      </c>
      <c r="EQ11" s="74">
        <f>EP11+1</f>
        <v>70</v>
      </c>
      <c r="ER11" s="73">
        <f>EQ11+3</f>
        <v>73</v>
      </c>
      <c r="ES11" s="72">
        <f>ER11+1</f>
        <v>74</v>
      </c>
      <c r="ET11" s="72">
        <f>ES11+1</f>
        <v>75</v>
      </c>
      <c r="EU11" s="72">
        <f>ET11+1</f>
        <v>76</v>
      </c>
      <c r="EV11" s="74">
        <f>EU11+1</f>
        <v>77</v>
      </c>
      <c r="EW11" s="73">
        <f>EV11+3</f>
        <v>80</v>
      </c>
      <c r="EX11" s="72">
        <f>EW11+1</f>
        <v>81</v>
      </c>
      <c r="EY11" s="72">
        <f>EX11+1</f>
        <v>82</v>
      </c>
      <c r="EZ11" s="72">
        <f>EY11+1</f>
        <v>83</v>
      </c>
      <c r="FA11" s="74">
        <f>EZ11+1</f>
        <v>84</v>
      </c>
      <c r="FB11" s="73">
        <f>FA11+3</f>
        <v>87</v>
      </c>
      <c r="FC11" s="72">
        <f>FB11+1</f>
        <v>88</v>
      </c>
      <c r="FD11" s="72">
        <f>FC11+1</f>
        <v>89</v>
      </c>
      <c r="FE11" s="71"/>
    </row>
    <row r="12" spans="1:161" ht="16.350000000000001" customHeight="1">
      <c r="A12" s="28" t="s">
        <v>38</v>
      </c>
      <c r="B12" s="69">
        <v>0</v>
      </c>
      <c r="C12" s="68" t="s">
        <v>54</v>
      </c>
      <c r="D12" s="67"/>
      <c r="E12" s="66"/>
      <c r="F12" s="66"/>
      <c r="G12" s="66"/>
      <c r="H12" s="60"/>
      <c r="I12" s="49"/>
      <c r="J12" s="49"/>
      <c r="K12" s="50"/>
      <c r="L12" s="51"/>
      <c r="M12" s="49"/>
      <c r="N12" s="49"/>
      <c r="O12" s="49"/>
      <c r="P12" s="50"/>
      <c r="Q12" s="51"/>
      <c r="R12" s="49"/>
      <c r="S12" s="49"/>
      <c r="T12" s="49"/>
      <c r="U12" s="50"/>
      <c r="V12" s="51"/>
      <c r="W12" s="49"/>
      <c r="X12" s="49"/>
      <c r="Y12" s="49"/>
      <c r="Z12" s="26"/>
      <c r="AA12" s="50"/>
      <c r="AB12" s="51"/>
      <c r="AC12" s="49"/>
      <c r="AD12" s="49"/>
      <c r="AE12" s="49"/>
      <c r="AF12" s="49"/>
      <c r="AG12" s="49"/>
      <c r="AH12" s="50"/>
      <c r="AI12" s="51"/>
      <c r="AJ12" s="49"/>
      <c r="AK12" s="49"/>
      <c r="AL12" s="49"/>
      <c r="AM12" s="50"/>
      <c r="AN12" s="51"/>
      <c r="AO12" s="49"/>
      <c r="AP12" s="49"/>
      <c r="AQ12" s="49"/>
      <c r="AR12" s="51"/>
      <c r="AS12" s="51"/>
      <c r="AT12" s="49"/>
      <c r="AU12" s="49"/>
      <c r="AV12" s="49"/>
      <c r="AW12" s="50"/>
      <c r="AX12" s="49"/>
      <c r="AY12" s="51"/>
      <c r="AZ12" s="49"/>
      <c r="BA12" s="49"/>
      <c r="BB12" s="49"/>
      <c r="BC12" s="50"/>
      <c r="BD12" s="51"/>
      <c r="BE12" s="49"/>
      <c r="BF12" s="49"/>
      <c r="BG12" s="49"/>
      <c r="BH12" s="50"/>
      <c r="BI12" s="51"/>
      <c r="BJ12" s="49"/>
      <c r="BK12" s="49"/>
      <c r="BL12" s="49"/>
      <c r="BM12" s="50"/>
      <c r="BN12" s="51"/>
      <c r="BO12" s="49"/>
      <c r="BP12" s="49"/>
      <c r="BQ12" s="49"/>
      <c r="BR12" s="50"/>
      <c r="BS12" s="51"/>
      <c r="BT12" s="49"/>
      <c r="BU12" s="49"/>
      <c r="BV12" s="49"/>
      <c r="BW12" s="50"/>
      <c r="BX12" s="51"/>
      <c r="BY12" s="49"/>
      <c r="BZ12" s="49"/>
      <c r="CA12" s="49"/>
      <c r="CB12" s="50"/>
      <c r="CC12" s="51"/>
      <c r="CD12" s="49"/>
      <c r="CE12" s="49"/>
      <c r="CF12" s="49"/>
      <c r="CG12" s="50"/>
      <c r="CH12" s="51"/>
      <c r="CI12" s="49"/>
      <c r="CJ12" s="49"/>
      <c r="CK12" s="49"/>
      <c r="CL12" s="50"/>
      <c r="CM12" s="51"/>
      <c r="CN12" s="49"/>
      <c r="CO12" s="49"/>
      <c r="CP12" s="49"/>
      <c r="CQ12" s="50"/>
      <c r="CR12" s="51"/>
      <c r="CS12" s="49"/>
      <c r="CT12" s="49"/>
      <c r="CU12" s="49"/>
      <c r="CV12" s="50"/>
      <c r="CW12" s="51"/>
      <c r="CX12" s="49"/>
      <c r="CY12" s="49"/>
      <c r="CZ12" s="49"/>
      <c r="DA12" s="50"/>
      <c r="DB12" s="51"/>
      <c r="DC12" s="49"/>
      <c r="DD12" s="49"/>
      <c r="DE12" s="49"/>
      <c r="DF12" s="50"/>
      <c r="DG12" s="51"/>
      <c r="DH12" s="49"/>
      <c r="DI12" s="49"/>
      <c r="DJ12" s="49"/>
      <c r="DK12" s="50"/>
      <c r="DL12" s="26"/>
      <c r="DM12" s="51"/>
      <c r="DN12" s="49"/>
      <c r="DO12" s="49"/>
      <c r="DP12" s="49"/>
      <c r="DQ12" s="50"/>
      <c r="DR12" s="51"/>
      <c r="DS12" s="49"/>
      <c r="DT12" s="49"/>
      <c r="DU12" s="49"/>
      <c r="DV12" s="50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26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26"/>
    </row>
    <row r="13" spans="1:161" ht="16.350000000000001" customHeight="1" outlineLevel="1">
      <c r="A13" s="28"/>
      <c r="B13" s="41"/>
      <c r="C13" s="40" t="s">
        <v>62</v>
      </c>
      <c r="D13" s="39">
        <f>SUM(AF13:XFD13)</f>
        <v>0.5</v>
      </c>
      <c r="E13" s="38"/>
      <c r="F13" s="38"/>
      <c r="G13" s="38"/>
      <c r="H13" s="60"/>
      <c r="I13" s="62"/>
      <c r="J13" s="64"/>
      <c r="K13" s="64"/>
      <c r="L13" s="65"/>
      <c r="M13" s="62"/>
      <c r="N13" s="62"/>
      <c r="O13" s="62"/>
      <c r="P13" s="64"/>
      <c r="Q13" s="65"/>
      <c r="R13" s="62"/>
      <c r="S13" s="62"/>
      <c r="T13" s="62"/>
      <c r="U13" s="64"/>
      <c r="V13" s="65"/>
      <c r="W13" s="62"/>
      <c r="X13" s="62"/>
      <c r="Y13" s="62"/>
      <c r="Z13" s="26"/>
      <c r="AA13" s="64"/>
      <c r="AB13" s="65"/>
      <c r="AC13" s="62"/>
      <c r="AD13" s="62"/>
      <c r="AE13" s="62"/>
      <c r="AF13" s="132">
        <v>0.5</v>
      </c>
      <c r="AG13" s="112"/>
      <c r="AH13" s="64"/>
      <c r="AI13" s="65"/>
      <c r="AJ13" s="62"/>
      <c r="AK13" s="62"/>
      <c r="AL13" s="62"/>
      <c r="AM13" s="64"/>
      <c r="AN13" s="65"/>
      <c r="AO13" s="62"/>
      <c r="AP13" s="62"/>
      <c r="AQ13" s="62"/>
      <c r="AR13" s="135"/>
      <c r="AS13" s="135"/>
      <c r="AT13" s="136"/>
      <c r="AU13" s="136"/>
      <c r="AV13" s="136"/>
      <c r="AW13" s="137"/>
      <c r="AX13" s="49"/>
      <c r="AY13" s="135"/>
      <c r="AZ13" s="62"/>
      <c r="BA13" s="62"/>
      <c r="BB13" s="62"/>
      <c r="BC13" s="64"/>
      <c r="BD13" s="65"/>
      <c r="BE13" s="62"/>
      <c r="BF13" s="62"/>
      <c r="BG13" s="62"/>
      <c r="BH13" s="64"/>
      <c r="BI13" s="65"/>
      <c r="BJ13" s="62"/>
      <c r="BK13" s="62"/>
      <c r="BL13" s="62"/>
      <c r="BM13" s="64"/>
      <c r="BN13" s="65"/>
      <c r="BO13" s="62"/>
      <c r="BP13" s="62"/>
      <c r="BQ13" s="62"/>
      <c r="BR13" s="64"/>
      <c r="BS13" s="65"/>
      <c r="BT13" s="62"/>
      <c r="BU13" s="62"/>
      <c r="BV13" s="62"/>
      <c r="BW13" s="64"/>
      <c r="BX13" s="65"/>
      <c r="BY13" s="62"/>
      <c r="BZ13" s="62"/>
      <c r="CA13" s="62"/>
      <c r="CB13" s="64"/>
      <c r="CC13" s="65"/>
      <c r="CD13" s="62"/>
      <c r="CE13" s="62"/>
      <c r="CF13" s="62"/>
      <c r="CG13" s="64"/>
      <c r="CH13" s="65"/>
      <c r="CI13" s="62"/>
      <c r="CJ13" s="62"/>
      <c r="CK13" s="62"/>
      <c r="CL13" s="64"/>
      <c r="CM13" s="65"/>
      <c r="CN13" s="62"/>
      <c r="CO13" s="62"/>
      <c r="CP13" s="62"/>
      <c r="CQ13" s="64"/>
      <c r="CR13" s="65"/>
      <c r="CS13" s="62"/>
      <c r="CT13" s="62"/>
      <c r="CU13" s="62"/>
      <c r="CV13" s="64"/>
      <c r="CW13" s="65"/>
      <c r="CX13" s="62"/>
      <c r="CY13" s="62"/>
      <c r="CZ13" s="62"/>
      <c r="DA13" s="64"/>
      <c r="DB13" s="65"/>
      <c r="DC13" s="62"/>
      <c r="DD13" s="62"/>
      <c r="DE13" s="62"/>
      <c r="DF13" s="64"/>
      <c r="DG13" s="65"/>
      <c r="DH13" s="62"/>
      <c r="DI13" s="62"/>
      <c r="DJ13" s="62"/>
      <c r="DK13" s="64"/>
      <c r="DL13" s="26"/>
      <c r="DM13" s="65"/>
      <c r="DN13" s="62"/>
      <c r="DO13" s="62"/>
      <c r="DP13" s="62"/>
      <c r="DQ13" s="64"/>
      <c r="DR13" s="65"/>
      <c r="DS13" s="62"/>
      <c r="DT13" s="62"/>
      <c r="DU13" s="62"/>
      <c r="DV13" s="64"/>
      <c r="DW13" s="63"/>
      <c r="DX13" s="62"/>
      <c r="DY13" s="62"/>
      <c r="DZ13" s="62"/>
      <c r="EA13" s="62"/>
      <c r="EB13" s="62"/>
      <c r="EC13" s="62"/>
      <c r="ED13" s="62"/>
      <c r="EE13" s="62"/>
      <c r="EF13" s="62"/>
      <c r="EG13" s="61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1"/>
    </row>
    <row r="14" spans="1:161" ht="16.350000000000001" customHeight="1" outlineLevel="1">
      <c r="A14" s="28"/>
      <c r="B14" s="41"/>
      <c r="C14" s="40" t="s">
        <v>61</v>
      </c>
      <c r="D14" s="39">
        <f>SUM(AF14:XFD14)</f>
        <v>3</v>
      </c>
      <c r="E14" s="38"/>
      <c r="F14" s="38"/>
      <c r="G14" s="38"/>
      <c r="H14" s="60"/>
      <c r="I14" s="62"/>
      <c r="J14" s="64"/>
      <c r="K14" s="64"/>
      <c r="L14" s="65"/>
      <c r="M14" s="62"/>
      <c r="N14" s="62"/>
      <c r="O14" s="62"/>
      <c r="P14" s="64"/>
      <c r="Q14" s="65"/>
      <c r="R14" s="62"/>
      <c r="S14" s="62"/>
      <c r="T14" s="62"/>
      <c r="U14" s="64"/>
      <c r="V14" s="65"/>
      <c r="W14" s="62"/>
      <c r="X14" s="62"/>
      <c r="Y14" s="62"/>
      <c r="Z14" s="26"/>
      <c r="AA14" s="64"/>
      <c r="AB14" s="65"/>
      <c r="AC14" s="62"/>
      <c r="AD14" s="62"/>
      <c r="AE14" s="62"/>
      <c r="AF14" s="160">
        <v>0.5</v>
      </c>
      <c r="AG14" s="128">
        <v>1</v>
      </c>
      <c r="AH14" s="129">
        <v>1</v>
      </c>
      <c r="AI14" s="130">
        <v>0.25</v>
      </c>
      <c r="AJ14" s="131">
        <v>0.25</v>
      </c>
      <c r="AK14" s="62"/>
      <c r="AL14" s="62"/>
      <c r="AM14" s="64"/>
      <c r="AN14" s="65"/>
      <c r="AO14" s="62"/>
      <c r="AP14" s="62"/>
      <c r="AQ14" s="62"/>
      <c r="AR14" s="135"/>
      <c r="AS14" s="135"/>
      <c r="AT14" s="136"/>
      <c r="AU14" s="136"/>
      <c r="AV14" s="136"/>
      <c r="AW14" s="137"/>
      <c r="AX14" s="49"/>
      <c r="AY14" s="135"/>
      <c r="AZ14" s="62"/>
      <c r="BA14" s="62"/>
      <c r="BB14" s="62"/>
      <c r="BC14" s="64"/>
      <c r="BD14" s="65"/>
      <c r="BE14" s="62"/>
      <c r="BF14" s="62"/>
      <c r="BG14" s="62"/>
      <c r="BH14" s="64"/>
      <c r="BI14" s="65"/>
      <c r="BJ14" s="62"/>
      <c r="BK14" s="62"/>
      <c r="BL14" s="62"/>
      <c r="BM14" s="64"/>
      <c r="BN14" s="65"/>
      <c r="BO14" s="62"/>
      <c r="BP14" s="62"/>
      <c r="BQ14" s="62"/>
      <c r="BR14" s="64"/>
      <c r="BS14" s="65"/>
      <c r="BT14" s="62"/>
      <c r="BU14" s="62"/>
      <c r="BV14" s="62"/>
      <c r="BW14" s="64"/>
      <c r="BX14" s="65"/>
      <c r="BY14" s="62"/>
      <c r="BZ14" s="62"/>
      <c r="CA14" s="62"/>
      <c r="CB14" s="64"/>
      <c r="CC14" s="65"/>
      <c r="CD14" s="62"/>
      <c r="CE14" s="62"/>
      <c r="CF14" s="62"/>
      <c r="CG14" s="64"/>
      <c r="CH14" s="65"/>
      <c r="CI14" s="62"/>
      <c r="CJ14" s="62"/>
      <c r="CK14" s="62"/>
      <c r="CL14" s="64"/>
      <c r="CM14" s="65"/>
      <c r="CN14" s="62"/>
      <c r="CO14" s="62"/>
      <c r="CP14" s="62"/>
      <c r="CQ14" s="64"/>
      <c r="CR14" s="65"/>
      <c r="CS14" s="62"/>
      <c r="CT14" s="62"/>
      <c r="CU14" s="62"/>
      <c r="CV14" s="64"/>
      <c r="CW14" s="65"/>
      <c r="CX14" s="62"/>
      <c r="CY14" s="62"/>
      <c r="CZ14" s="62"/>
      <c r="DA14" s="64"/>
      <c r="DB14" s="65"/>
      <c r="DC14" s="62"/>
      <c r="DD14" s="62"/>
      <c r="DE14" s="62"/>
      <c r="DF14" s="64"/>
      <c r="DG14" s="65"/>
      <c r="DH14" s="62"/>
      <c r="DI14" s="62"/>
      <c r="DJ14" s="62"/>
      <c r="DK14" s="64"/>
      <c r="DL14" s="26"/>
      <c r="DM14" s="65"/>
      <c r="DN14" s="62"/>
      <c r="DO14" s="62"/>
      <c r="DP14" s="62"/>
      <c r="DQ14" s="64"/>
      <c r="DR14" s="65"/>
      <c r="DS14" s="62"/>
      <c r="DT14" s="62"/>
      <c r="DU14" s="62"/>
      <c r="DV14" s="64"/>
      <c r="DW14" s="63"/>
      <c r="DX14" s="62"/>
      <c r="DY14" s="62"/>
      <c r="DZ14" s="62"/>
      <c r="EA14" s="62"/>
      <c r="EB14" s="62"/>
      <c r="EC14" s="62"/>
      <c r="ED14" s="62"/>
      <c r="EE14" s="62"/>
      <c r="EF14" s="62"/>
      <c r="EG14" s="61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1"/>
    </row>
    <row r="15" spans="1:161" ht="16.350000000000001" customHeight="1" outlineLevel="1">
      <c r="A15" s="28"/>
      <c r="B15" s="41"/>
      <c r="C15" s="40" t="s">
        <v>67</v>
      </c>
      <c r="D15" s="39">
        <f>SUM(AF15:XFD15)</f>
        <v>0.5</v>
      </c>
      <c r="E15" s="38"/>
      <c r="F15" s="38"/>
      <c r="G15" s="38"/>
      <c r="H15" s="60"/>
      <c r="I15" s="62"/>
      <c r="J15" s="64"/>
      <c r="K15" s="64"/>
      <c r="L15" s="65"/>
      <c r="M15" s="62"/>
      <c r="N15" s="62"/>
      <c r="O15" s="62"/>
      <c r="P15" s="64"/>
      <c r="Q15" s="65"/>
      <c r="R15" s="62"/>
      <c r="S15" s="62"/>
      <c r="T15" s="62"/>
      <c r="U15" s="64"/>
      <c r="V15" s="65"/>
      <c r="W15" s="62"/>
      <c r="X15" s="62"/>
      <c r="Y15" s="62"/>
      <c r="Z15" s="26"/>
      <c r="AA15" s="64"/>
      <c r="AB15" s="65"/>
      <c r="AC15" s="62"/>
      <c r="AD15" s="62"/>
      <c r="AE15" s="62"/>
      <c r="AF15" s="112"/>
      <c r="AG15" s="112"/>
      <c r="AH15" s="64"/>
      <c r="AI15" s="133">
        <v>0.25</v>
      </c>
      <c r="AJ15" s="134">
        <v>0.25</v>
      </c>
      <c r="AK15" s="62"/>
      <c r="AL15" s="62"/>
      <c r="AM15" s="64"/>
      <c r="AN15" s="65"/>
      <c r="AO15" s="62"/>
      <c r="AP15" s="62"/>
      <c r="AQ15" s="62"/>
      <c r="AR15" s="135"/>
      <c r="AS15" s="135"/>
      <c r="AT15" s="136"/>
      <c r="AU15" s="136"/>
      <c r="AV15" s="136"/>
      <c r="AW15" s="137"/>
      <c r="AX15" s="49"/>
      <c r="AY15" s="135"/>
      <c r="AZ15" s="62"/>
      <c r="BA15" s="62"/>
      <c r="BB15" s="62"/>
      <c r="BC15" s="64"/>
      <c r="BD15" s="65"/>
      <c r="BE15" s="62"/>
      <c r="BF15" s="62"/>
      <c r="BG15" s="62"/>
      <c r="BH15" s="64"/>
      <c r="BI15" s="65"/>
      <c r="BJ15" s="62"/>
      <c r="BK15" s="62"/>
      <c r="BL15" s="62"/>
      <c r="BM15" s="64"/>
      <c r="BN15" s="65"/>
      <c r="BO15" s="62"/>
      <c r="BP15" s="62"/>
      <c r="BQ15" s="62"/>
      <c r="BR15" s="64"/>
      <c r="BS15" s="65"/>
      <c r="BT15" s="62"/>
      <c r="BU15" s="62"/>
      <c r="BV15" s="62"/>
      <c r="BW15" s="64"/>
      <c r="BX15" s="65"/>
      <c r="BY15" s="62"/>
      <c r="BZ15" s="62"/>
      <c r="CA15" s="62"/>
      <c r="CB15" s="64"/>
      <c r="CC15" s="65"/>
      <c r="CD15" s="62"/>
      <c r="CE15" s="62"/>
      <c r="CF15" s="62"/>
      <c r="CG15" s="64"/>
      <c r="CH15" s="65"/>
      <c r="CI15" s="62"/>
      <c r="CJ15" s="62"/>
      <c r="CK15" s="62"/>
      <c r="CL15" s="64"/>
      <c r="CM15" s="65"/>
      <c r="CN15" s="62"/>
      <c r="CO15" s="62"/>
      <c r="CP15" s="62"/>
      <c r="CQ15" s="64"/>
      <c r="CR15" s="65"/>
      <c r="CS15" s="62"/>
      <c r="CT15" s="62"/>
      <c r="CU15" s="62"/>
      <c r="CV15" s="64"/>
      <c r="CW15" s="65"/>
      <c r="CX15" s="62"/>
      <c r="CY15" s="62"/>
      <c r="CZ15" s="62"/>
      <c r="DA15" s="64"/>
      <c r="DB15" s="65"/>
      <c r="DC15" s="62"/>
      <c r="DD15" s="62"/>
      <c r="DE15" s="62"/>
      <c r="DF15" s="64"/>
      <c r="DG15" s="65"/>
      <c r="DH15" s="62"/>
      <c r="DI15" s="62"/>
      <c r="DJ15" s="62"/>
      <c r="DK15" s="64"/>
      <c r="DL15" s="26"/>
      <c r="DM15" s="65"/>
      <c r="DN15" s="62"/>
      <c r="DO15" s="62"/>
      <c r="DP15" s="62"/>
      <c r="DQ15" s="64"/>
      <c r="DR15" s="65"/>
      <c r="DS15" s="62"/>
      <c r="DT15" s="62"/>
      <c r="DU15" s="62"/>
      <c r="DV15" s="64"/>
      <c r="DW15" s="63"/>
      <c r="DX15" s="62"/>
      <c r="DY15" s="62"/>
      <c r="DZ15" s="62"/>
      <c r="EA15" s="62"/>
      <c r="EB15" s="62"/>
      <c r="EC15" s="62"/>
      <c r="ED15" s="62"/>
      <c r="EE15" s="62"/>
      <c r="EF15" s="62"/>
      <c r="EG15" s="61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1"/>
    </row>
    <row r="16" spans="1:161" ht="16.350000000000001" customHeight="1" outlineLevel="1">
      <c r="A16" s="28"/>
      <c r="B16" s="41"/>
      <c r="C16" s="40" t="s">
        <v>72</v>
      </c>
      <c r="D16" s="39">
        <f>SUM(AF16:XFD16)</f>
        <v>1.5</v>
      </c>
      <c r="E16" s="38"/>
      <c r="F16" s="38"/>
      <c r="G16" s="38"/>
      <c r="H16" s="60"/>
      <c r="I16" s="62"/>
      <c r="J16" s="64"/>
      <c r="K16" s="64"/>
      <c r="L16" s="65"/>
      <c r="M16" s="62"/>
      <c r="N16" s="62"/>
      <c r="O16" s="62"/>
      <c r="P16" s="64"/>
      <c r="Q16" s="65"/>
      <c r="R16" s="62"/>
      <c r="S16" s="62"/>
      <c r="T16" s="62"/>
      <c r="U16" s="64"/>
      <c r="V16" s="65"/>
      <c r="W16" s="62"/>
      <c r="X16" s="62"/>
      <c r="Y16" s="62"/>
      <c r="Z16" s="26"/>
      <c r="AA16" s="64"/>
      <c r="AB16" s="65"/>
      <c r="AC16" s="62"/>
      <c r="AD16" s="62"/>
      <c r="AE16" s="62"/>
      <c r="AF16" s="112"/>
      <c r="AG16" s="112"/>
      <c r="AH16" s="64"/>
      <c r="AI16" s="65"/>
      <c r="AJ16" s="62"/>
      <c r="AK16" s="131">
        <v>0.5</v>
      </c>
      <c r="AL16" s="131">
        <v>0.5</v>
      </c>
      <c r="AM16" s="129">
        <v>0.5</v>
      </c>
      <c r="AN16" s="65"/>
      <c r="AO16" s="62"/>
      <c r="AP16" s="62"/>
      <c r="AQ16" s="62"/>
      <c r="AR16" s="135"/>
      <c r="AS16" s="135"/>
      <c r="AT16" s="136"/>
      <c r="AU16" s="136"/>
      <c r="AV16" s="136"/>
      <c r="AW16" s="137"/>
      <c r="AX16" s="49"/>
      <c r="AY16" s="135"/>
      <c r="AZ16" s="62"/>
      <c r="BA16" s="62"/>
      <c r="BB16" s="62"/>
      <c r="BC16" s="64"/>
      <c r="BD16" s="65"/>
      <c r="BE16" s="62"/>
      <c r="BF16" s="62"/>
      <c r="BG16" s="62"/>
      <c r="BH16" s="64"/>
      <c r="BI16" s="65"/>
      <c r="BJ16" s="62"/>
      <c r="BK16" s="62"/>
      <c r="BL16" s="62"/>
      <c r="BM16" s="64"/>
      <c r="BN16" s="65"/>
      <c r="BO16" s="62"/>
      <c r="BP16" s="62"/>
      <c r="BQ16" s="62"/>
      <c r="BR16" s="64"/>
      <c r="BS16" s="65"/>
      <c r="BT16" s="62"/>
      <c r="BU16" s="62"/>
      <c r="BV16" s="62"/>
      <c r="BW16" s="64"/>
      <c r="BX16" s="65"/>
      <c r="BY16" s="62"/>
      <c r="BZ16" s="62"/>
      <c r="CA16" s="62"/>
      <c r="CB16" s="64"/>
      <c r="CC16" s="65"/>
      <c r="CD16" s="62"/>
      <c r="CE16" s="62"/>
      <c r="CF16" s="62"/>
      <c r="CG16" s="64"/>
      <c r="CH16" s="65"/>
      <c r="CI16" s="62"/>
      <c r="CJ16" s="62"/>
      <c r="CK16" s="62"/>
      <c r="CL16" s="64"/>
      <c r="CM16" s="65"/>
      <c r="CN16" s="62"/>
      <c r="CO16" s="62"/>
      <c r="CP16" s="62"/>
      <c r="CQ16" s="64"/>
      <c r="CR16" s="65"/>
      <c r="CS16" s="62"/>
      <c r="CT16" s="62"/>
      <c r="CU16" s="62"/>
      <c r="CV16" s="64"/>
      <c r="CW16" s="65"/>
      <c r="CX16" s="62"/>
      <c r="CY16" s="62"/>
      <c r="CZ16" s="62"/>
      <c r="DA16" s="64"/>
      <c r="DB16" s="65"/>
      <c r="DC16" s="62"/>
      <c r="DD16" s="62"/>
      <c r="DE16" s="62"/>
      <c r="DF16" s="64"/>
      <c r="DG16" s="65"/>
      <c r="DH16" s="62"/>
      <c r="DI16" s="62"/>
      <c r="DJ16" s="62"/>
      <c r="DK16" s="64"/>
      <c r="DL16" s="26"/>
      <c r="DM16" s="65"/>
      <c r="DN16" s="62"/>
      <c r="DO16" s="62"/>
      <c r="DP16" s="62"/>
      <c r="DQ16" s="64"/>
      <c r="DR16" s="65"/>
      <c r="DS16" s="62"/>
      <c r="DT16" s="62"/>
      <c r="DU16" s="62"/>
      <c r="DV16" s="64"/>
      <c r="DW16" s="63"/>
      <c r="DX16" s="62"/>
      <c r="DY16" s="62"/>
      <c r="DZ16" s="62"/>
      <c r="EA16" s="62"/>
      <c r="EB16" s="62"/>
      <c r="EC16" s="62"/>
      <c r="ED16" s="62"/>
      <c r="EE16" s="62"/>
      <c r="EF16" s="62"/>
      <c r="EG16" s="61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1"/>
    </row>
    <row r="17" spans="1:161" ht="16.350000000000001" customHeight="1" outlineLevel="1">
      <c r="A17" s="28" t="s">
        <v>36</v>
      </c>
      <c r="B17" s="41"/>
      <c r="C17" s="40"/>
      <c r="D17" s="39">
        <f>SUM(AF17:XFD17)</f>
        <v>0</v>
      </c>
      <c r="E17" s="38"/>
      <c r="F17" s="38"/>
      <c r="G17" s="38"/>
      <c r="H17" s="60"/>
      <c r="I17" s="62">
        <v>0.25</v>
      </c>
      <c r="J17" s="64">
        <v>0.25</v>
      </c>
      <c r="K17" s="64">
        <v>0.25</v>
      </c>
      <c r="L17" s="65">
        <v>0.25</v>
      </c>
      <c r="M17" s="62">
        <v>0.25</v>
      </c>
      <c r="N17" s="62">
        <v>0.25</v>
      </c>
      <c r="O17" s="62">
        <v>0.25</v>
      </c>
      <c r="P17" s="64">
        <v>0.25</v>
      </c>
      <c r="Q17" s="65">
        <v>0.25</v>
      </c>
      <c r="R17" s="62">
        <v>0.25</v>
      </c>
      <c r="S17" s="62">
        <v>0.25</v>
      </c>
      <c r="T17" s="62">
        <v>0.25</v>
      </c>
      <c r="U17" s="64">
        <v>0.25</v>
      </c>
      <c r="V17" s="65">
        <v>0.25</v>
      </c>
      <c r="W17" s="62">
        <v>0.25</v>
      </c>
      <c r="X17" s="62">
        <v>0.25</v>
      </c>
      <c r="Y17" s="62">
        <v>0.25</v>
      </c>
      <c r="Z17" s="26"/>
      <c r="AA17" s="64">
        <v>0.25</v>
      </c>
      <c r="AB17" s="65">
        <v>0.25</v>
      </c>
      <c r="AC17" s="62">
        <v>0.25</v>
      </c>
      <c r="AD17" s="62">
        <v>0.25</v>
      </c>
      <c r="AE17" s="62">
        <v>0.25</v>
      </c>
      <c r="AF17" s="112"/>
      <c r="AG17" s="112"/>
      <c r="AH17" s="64"/>
      <c r="AI17" s="65"/>
      <c r="AJ17" s="62"/>
      <c r="AK17" s="62"/>
      <c r="AL17" s="62"/>
      <c r="AM17" s="64"/>
      <c r="AN17" s="65"/>
      <c r="AO17" s="62"/>
      <c r="AP17" s="62"/>
      <c r="AQ17" s="62"/>
      <c r="AR17" s="135"/>
      <c r="AS17" s="135"/>
      <c r="AT17" s="136"/>
      <c r="AU17" s="136"/>
      <c r="AV17" s="136"/>
      <c r="AW17" s="137"/>
      <c r="AX17" s="49"/>
      <c r="AY17" s="135"/>
      <c r="AZ17" s="62"/>
      <c r="BA17" s="62"/>
      <c r="BB17" s="62"/>
      <c r="BC17" s="64"/>
      <c r="BD17" s="65"/>
      <c r="BE17" s="62"/>
      <c r="BF17" s="62"/>
      <c r="BG17" s="62"/>
      <c r="BH17" s="64"/>
      <c r="BI17" s="65"/>
      <c r="BJ17" s="62"/>
      <c r="BK17" s="62"/>
      <c r="BL17" s="62"/>
      <c r="BM17" s="64"/>
      <c r="BN17" s="65"/>
      <c r="BO17" s="62"/>
      <c r="BP17" s="62"/>
      <c r="BQ17" s="62"/>
      <c r="BR17" s="64"/>
      <c r="BS17" s="65"/>
      <c r="BT17" s="62"/>
      <c r="BU17" s="62"/>
      <c r="BV17" s="62"/>
      <c r="BW17" s="64"/>
      <c r="BX17" s="65"/>
      <c r="BY17" s="62"/>
      <c r="BZ17" s="62"/>
      <c r="CA17" s="62"/>
      <c r="CB17" s="64"/>
      <c r="CC17" s="65"/>
      <c r="CD17" s="62"/>
      <c r="CE17" s="62"/>
      <c r="CF17" s="62"/>
      <c r="CG17" s="64"/>
      <c r="CH17" s="65"/>
      <c r="CI17" s="62"/>
      <c r="CJ17" s="62"/>
      <c r="CK17" s="62"/>
      <c r="CL17" s="64"/>
      <c r="CM17" s="65"/>
      <c r="CN17" s="62"/>
      <c r="CO17" s="62"/>
      <c r="CP17" s="62"/>
      <c r="CQ17" s="64"/>
      <c r="CR17" s="65"/>
      <c r="CS17" s="62"/>
      <c r="CT17" s="62"/>
      <c r="CU17" s="62"/>
      <c r="CV17" s="64"/>
      <c r="CW17" s="65"/>
      <c r="CX17" s="62"/>
      <c r="CY17" s="62"/>
      <c r="CZ17" s="62"/>
      <c r="DA17" s="64"/>
      <c r="DB17" s="65"/>
      <c r="DC17" s="62"/>
      <c r="DD17" s="62"/>
      <c r="DE17" s="62"/>
      <c r="DF17" s="64"/>
      <c r="DG17" s="65"/>
      <c r="DH17" s="62"/>
      <c r="DI17" s="62"/>
      <c r="DJ17" s="62"/>
      <c r="DK17" s="64"/>
      <c r="DL17" s="26"/>
      <c r="DM17" s="65"/>
      <c r="DN17" s="62"/>
      <c r="DO17" s="62"/>
      <c r="DP17" s="62"/>
      <c r="DQ17" s="64"/>
      <c r="DR17" s="65"/>
      <c r="DS17" s="62"/>
      <c r="DT17" s="62"/>
      <c r="DU17" s="62"/>
      <c r="DV17" s="64"/>
      <c r="DW17" s="63"/>
      <c r="DX17" s="62"/>
      <c r="DY17" s="62"/>
      <c r="DZ17" s="62"/>
      <c r="EA17" s="62"/>
      <c r="EB17" s="62"/>
      <c r="EC17" s="62"/>
      <c r="ED17" s="62"/>
      <c r="EE17" s="62"/>
      <c r="EF17" s="62"/>
      <c r="EG17" s="61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1"/>
    </row>
    <row r="18" spans="1:161" ht="16.350000000000001" customHeight="1">
      <c r="A18" s="28" t="s">
        <v>38</v>
      </c>
      <c r="B18" s="69">
        <v>1</v>
      </c>
      <c r="C18" s="68" t="s">
        <v>60</v>
      </c>
      <c r="D18" s="49"/>
      <c r="E18" s="66"/>
      <c r="F18" s="66"/>
      <c r="G18" s="66"/>
      <c r="H18" s="60"/>
      <c r="I18" s="49"/>
      <c r="J18" s="49"/>
      <c r="K18" s="50"/>
      <c r="L18" s="51"/>
      <c r="M18" s="49"/>
      <c r="N18" s="49"/>
      <c r="O18" s="49"/>
      <c r="P18" s="50"/>
      <c r="Q18" s="51"/>
      <c r="R18" s="49"/>
      <c r="S18" s="49"/>
      <c r="T18" s="49"/>
      <c r="U18" s="50"/>
      <c r="V18" s="51"/>
      <c r="W18" s="49"/>
      <c r="X18" s="49"/>
      <c r="Y18" s="49"/>
      <c r="Z18" s="26"/>
      <c r="AA18" s="50"/>
      <c r="AB18" s="51"/>
      <c r="AC18" s="49"/>
      <c r="AD18" s="49"/>
      <c r="AE18" s="49"/>
      <c r="AF18" s="49"/>
      <c r="AG18" s="49"/>
      <c r="AH18" s="50"/>
      <c r="AI18" s="51"/>
      <c r="AJ18" s="49"/>
      <c r="AK18" s="49"/>
      <c r="AL18" s="49"/>
      <c r="AM18" s="50"/>
      <c r="AN18" s="51"/>
      <c r="AO18" s="49"/>
      <c r="AP18" s="49"/>
      <c r="AQ18" s="49"/>
      <c r="AR18" s="51"/>
      <c r="AS18" s="51"/>
      <c r="AT18" s="49"/>
      <c r="AU18" s="49"/>
      <c r="AV18" s="49"/>
      <c r="AW18" s="50"/>
      <c r="AX18" s="49"/>
      <c r="AY18" s="51"/>
      <c r="AZ18" s="49"/>
      <c r="BA18" s="49"/>
      <c r="BB18" s="49"/>
      <c r="BC18" s="50"/>
      <c r="BD18" s="51"/>
      <c r="BE18" s="49"/>
      <c r="BF18" s="49"/>
      <c r="BG18" s="49"/>
      <c r="BH18" s="50"/>
      <c r="BI18" s="51"/>
      <c r="BJ18" s="49"/>
      <c r="BK18" s="49"/>
      <c r="BL18" s="49"/>
      <c r="BM18" s="50"/>
      <c r="BN18" s="51"/>
      <c r="BO18" s="49"/>
      <c r="BP18" s="49"/>
      <c r="BQ18" s="49"/>
      <c r="BR18" s="50"/>
      <c r="BS18" s="51"/>
      <c r="BT18" s="49"/>
      <c r="BU18" s="49"/>
      <c r="BV18" s="49"/>
      <c r="BW18" s="50"/>
      <c r="BX18" s="51"/>
      <c r="BY18" s="49"/>
      <c r="BZ18" s="49"/>
      <c r="CA18" s="49"/>
      <c r="CB18" s="50"/>
      <c r="CC18" s="51"/>
      <c r="CD18" s="49"/>
      <c r="CE18" s="49"/>
      <c r="CF18" s="49"/>
      <c r="CG18" s="50"/>
      <c r="CH18" s="51"/>
      <c r="CI18" s="49"/>
      <c r="CJ18" s="49"/>
      <c r="CK18" s="49"/>
      <c r="CL18" s="50"/>
      <c r="CM18" s="51"/>
      <c r="CN18" s="49"/>
      <c r="CO18" s="49"/>
      <c r="CP18" s="49"/>
      <c r="CQ18" s="50"/>
      <c r="CR18" s="51"/>
      <c r="CS18" s="49"/>
      <c r="CT18" s="49"/>
      <c r="CU18" s="49"/>
      <c r="CV18" s="50"/>
      <c r="CW18" s="51"/>
      <c r="CX18" s="49"/>
      <c r="CY18" s="49"/>
      <c r="CZ18" s="49"/>
      <c r="DA18" s="50"/>
      <c r="DB18" s="51"/>
      <c r="DC18" s="49"/>
      <c r="DD18" s="49"/>
      <c r="DE18" s="49"/>
      <c r="DF18" s="50"/>
      <c r="DG18" s="51"/>
      <c r="DH18" s="49"/>
      <c r="DI18" s="49"/>
      <c r="DJ18" s="49"/>
      <c r="DK18" s="50"/>
      <c r="DL18" s="26"/>
      <c r="DM18" s="51"/>
      <c r="DN18" s="49"/>
      <c r="DO18" s="49"/>
      <c r="DP18" s="49"/>
      <c r="DQ18" s="50"/>
      <c r="DR18" s="51"/>
      <c r="DS18" s="49"/>
      <c r="DT18" s="49"/>
      <c r="DU18" s="49"/>
      <c r="DV18" s="50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26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26"/>
    </row>
    <row r="19" spans="1:161" ht="16.350000000000001" customHeight="1" outlineLevel="1">
      <c r="A19" s="28" t="s">
        <v>36</v>
      </c>
      <c r="B19" s="37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36" t="s">
        <v>55</v>
      </c>
      <c r="D19" s="39">
        <f>SUM(AF19:XFD19)</f>
        <v>2.5</v>
      </c>
      <c r="E19" s="35"/>
      <c r="F19" s="35"/>
      <c r="G19" s="35"/>
      <c r="H19" s="58"/>
      <c r="I19" s="29"/>
      <c r="J19" s="29"/>
      <c r="K19" s="33"/>
      <c r="L19" s="34"/>
      <c r="M19" s="29"/>
      <c r="N19" s="29"/>
      <c r="O19" s="29"/>
      <c r="P19" s="33"/>
      <c r="Q19" s="34"/>
      <c r="R19" s="29"/>
      <c r="S19" s="29"/>
      <c r="T19" s="29"/>
      <c r="U19" s="33"/>
      <c r="V19" s="34"/>
      <c r="W19" s="29"/>
      <c r="X19" s="29"/>
      <c r="Y19" s="29"/>
      <c r="Z19" s="26"/>
      <c r="AA19" s="33"/>
      <c r="AB19" s="34"/>
      <c r="AC19" s="29"/>
      <c r="AD19" s="29"/>
      <c r="AE19" s="29"/>
      <c r="AF19" s="113"/>
      <c r="AG19" s="113"/>
      <c r="AH19" s="33"/>
      <c r="AI19" s="34"/>
      <c r="AJ19" s="113"/>
      <c r="AK19" s="146">
        <v>0.5</v>
      </c>
      <c r="AL19" s="146">
        <v>0.5</v>
      </c>
      <c r="AM19" s="146">
        <v>0.5</v>
      </c>
      <c r="AN19" s="147">
        <v>0.25</v>
      </c>
      <c r="AO19" s="149">
        <v>0.25</v>
      </c>
      <c r="AP19" s="149">
        <v>0.25</v>
      </c>
      <c r="AQ19" s="149">
        <v>0.25</v>
      </c>
      <c r="AR19" s="138"/>
      <c r="AS19" s="138"/>
      <c r="AT19" s="139"/>
      <c r="AU19" s="139"/>
      <c r="AV19" s="139"/>
      <c r="AW19" s="140"/>
      <c r="AX19" s="49"/>
      <c r="AY19" s="138"/>
      <c r="AZ19" s="29"/>
      <c r="BA19" s="29"/>
      <c r="BB19" s="29"/>
      <c r="BC19" s="33"/>
      <c r="BD19" s="34"/>
      <c r="BE19" s="29"/>
      <c r="BF19" s="29"/>
      <c r="BG19" s="29"/>
      <c r="BH19" s="33"/>
      <c r="BI19" s="34"/>
      <c r="BJ19" s="29"/>
      <c r="BK19" s="29"/>
      <c r="BL19" s="29"/>
      <c r="BM19" s="33"/>
      <c r="BN19" s="34"/>
      <c r="BO19" s="29"/>
      <c r="BP19" s="29"/>
      <c r="BQ19" s="29"/>
      <c r="BR19" s="33"/>
      <c r="BS19" s="34"/>
      <c r="BT19" s="29"/>
      <c r="BU19" s="29"/>
      <c r="BV19" s="29"/>
      <c r="BW19" s="33"/>
      <c r="BX19" s="34"/>
      <c r="BY19" s="29"/>
      <c r="BZ19" s="29"/>
      <c r="CA19" s="29"/>
      <c r="CB19" s="33"/>
      <c r="CC19" s="34"/>
      <c r="CD19" s="29"/>
      <c r="CE19" s="29"/>
      <c r="CF19" s="29"/>
      <c r="CG19" s="33"/>
      <c r="CH19" s="34"/>
      <c r="CI19" s="29"/>
      <c r="CJ19" s="29"/>
      <c r="CK19" s="29"/>
      <c r="CL19" s="33"/>
      <c r="CM19" s="34"/>
      <c r="CN19" s="29"/>
      <c r="CO19" s="29"/>
      <c r="CP19" s="29"/>
      <c r="CQ19" s="33"/>
      <c r="CR19" s="34"/>
      <c r="CS19" s="29"/>
      <c r="CT19" s="29"/>
      <c r="CU19" s="29"/>
      <c r="CV19" s="33"/>
      <c r="CW19" s="34"/>
      <c r="CX19" s="29"/>
      <c r="CY19" s="29"/>
      <c r="CZ19" s="29"/>
      <c r="DA19" s="33"/>
      <c r="DB19" s="34"/>
      <c r="DC19" s="29"/>
      <c r="DD19" s="29"/>
      <c r="DE19" s="29"/>
      <c r="DF19" s="33"/>
      <c r="DG19" s="34"/>
      <c r="DH19" s="29"/>
      <c r="DI19" s="29"/>
      <c r="DJ19" s="29"/>
      <c r="DK19" s="33"/>
      <c r="DL19" s="26"/>
      <c r="DM19" s="34"/>
      <c r="DN19" s="29"/>
      <c r="DO19" s="29"/>
      <c r="DP19" s="29"/>
      <c r="DQ19" s="33"/>
      <c r="DR19" s="34"/>
      <c r="DS19" s="29"/>
      <c r="DT19" s="29"/>
      <c r="DU19" s="29"/>
      <c r="DV19" s="33"/>
      <c r="DW19" s="32"/>
      <c r="DX19" s="29"/>
      <c r="DY19" s="29"/>
      <c r="DZ19" s="29"/>
      <c r="EA19" s="29"/>
      <c r="EB19" s="29"/>
      <c r="EC19" s="29"/>
      <c r="ED19" s="29"/>
      <c r="EE19" s="29"/>
      <c r="EF19" s="29"/>
      <c r="EG19" s="27"/>
      <c r="EH19" s="29"/>
      <c r="EI19" s="29"/>
      <c r="EJ19" s="29"/>
      <c r="EK19" s="29"/>
      <c r="EL19" s="31"/>
      <c r="EM19" s="30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7"/>
    </row>
    <row r="20" spans="1:161" ht="16.350000000000001" customHeight="1" outlineLevel="1">
      <c r="A20" s="28"/>
      <c r="B20" s="37"/>
      <c r="C20" s="36" t="s">
        <v>56</v>
      </c>
      <c r="D20" s="39">
        <f>SUM(AF20:XFD20)</f>
        <v>2</v>
      </c>
      <c r="E20" s="35"/>
      <c r="F20" s="35"/>
      <c r="G20" s="35"/>
      <c r="H20" s="58"/>
      <c r="I20" s="29"/>
      <c r="J20" s="29"/>
      <c r="K20" s="33"/>
      <c r="L20" s="34"/>
      <c r="M20" s="29"/>
      <c r="N20" s="29"/>
      <c r="O20" s="29"/>
      <c r="P20" s="33"/>
      <c r="Q20" s="34"/>
      <c r="R20" s="29"/>
      <c r="S20" s="29"/>
      <c r="T20" s="29"/>
      <c r="U20" s="33"/>
      <c r="V20" s="34"/>
      <c r="W20" s="29"/>
      <c r="X20" s="29"/>
      <c r="Y20" s="29"/>
      <c r="Z20" s="26"/>
      <c r="AA20" s="33"/>
      <c r="AB20" s="34"/>
      <c r="AC20" s="29"/>
      <c r="AD20" s="29"/>
      <c r="AE20" s="29"/>
      <c r="AF20" s="113"/>
      <c r="AG20" s="113"/>
      <c r="AH20" s="33"/>
      <c r="AI20" s="34"/>
      <c r="AJ20" s="29"/>
      <c r="AK20" s="145"/>
      <c r="AL20" s="29"/>
      <c r="AM20" s="33"/>
      <c r="AN20" s="148">
        <v>0.5</v>
      </c>
      <c r="AO20" s="118">
        <v>0.5</v>
      </c>
      <c r="AP20" s="118">
        <v>0.5</v>
      </c>
      <c r="AQ20" s="118">
        <v>0.5</v>
      </c>
      <c r="AR20" s="138"/>
      <c r="AS20" s="138"/>
      <c r="AT20" s="139"/>
      <c r="AU20" s="139"/>
      <c r="AV20" s="139"/>
      <c r="AW20" s="140"/>
      <c r="AX20" s="49"/>
      <c r="AY20" s="138"/>
      <c r="AZ20" s="29"/>
      <c r="BA20" s="29"/>
      <c r="BB20" s="29"/>
      <c r="BC20" s="33"/>
      <c r="BD20" s="34"/>
      <c r="BE20" s="29"/>
      <c r="BF20" s="29"/>
      <c r="BG20" s="29"/>
      <c r="BH20" s="33"/>
      <c r="BI20" s="34"/>
      <c r="BJ20" s="29"/>
      <c r="BK20" s="29"/>
      <c r="BL20" s="29"/>
      <c r="BM20" s="33"/>
      <c r="BN20" s="34"/>
      <c r="BO20" s="29"/>
      <c r="BP20" s="29"/>
      <c r="BQ20" s="29"/>
      <c r="BR20" s="33"/>
      <c r="BS20" s="34"/>
      <c r="BT20" s="29"/>
      <c r="BU20" s="29"/>
      <c r="BV20" s="29"/>
      <c r="BW20" s="33"/>
      <c r="BX20" s="34"/>
      <c r="BY20" s="29"/>
      <c r="BZ20" s="29"/>
      <c r="CA20" s="29"/>
      <c r="CB20" s="33"/>
      <c r="CC20" s="34"/>
      <c r="CD20" s="29"/>
      <c r="CE20" s="29"/>
      <c r="CF20" s="29"/>
      <c r="CG20" s="33"/>
      <c r="CH20" s="34"/>
      <c r="CI20" s="29"/>
      <c r="CJ20" s="29"/>
      <c r="CK20" s="29"/>
      <c r="CL20" s="33"/>
      <c r="CM20" s="34"/>
      <c r="CN20" s="29"/>
      <c r="CO20" s="29"/>
      <c r="CP20" s="29"/>
      <c r="CQ20" s="33"/>
      <c r="CR20" s="34"/>
      <c r="CS20" s="29"/>
      <c r="CT20" s="29"/>
      <c r="CU20" s="29"/>
      <c r="CV20" s="33"/>
      <c r="CW20" s="34"/>
      <c r="CX20" s="29"/>
      <c r="CY20" s="29"/>
      <c r="CZ20" s="29"/>
      <c r="DA20" s="33"/>
      <c r="DB20" s="34"/>
      <c r="DC20" s="29"/>
      <c r="DD20" s="29"/>
      <c r="DE20" s="29"/>
      <c r="DF20" s="33"/>
      <c r="DG20" s="34"/>
      <c r="DH20" s="29"/>
      <c r="DI20" s="29"/>
      <c r="DJ20" s="29"/>
      <c r="DK20" s="33"/>
      <c r="DL20" s="26"/>
      <c r="DM20" s="34"/>
      <c r="DN20" s="29"/>
      <c r="DO20" s="29"/>
      <c r="DP20" s="29"/>
      <c r="DQ20" s="33"/>
      <c r="DR20" s="34"/>
      <c r="DS20" s="29"/>
      <c r="DT20" s="29"/>
      <c r="DU20" s="29"/>
      <c r="DV20" s="33"/>
      <c r="DW20" s="32"/>
      <c r="DX20" s="29"/>
      <c r="DY20" s="29"/>
      <c r="DZ20" s="29"/>
      <c r="EA20" s="29"/>
      <c r="EB20" s="29"/>
      <c r="EC20" s="29"/>
      <c r="ED20" s="29"/>
      <c r="EE20" s="29"/>
      <c r="EF20" s="29"/>
      <c r="EG20" s="27"/>
      <c r="EH20" s="29"/>
      <c r="EI20" s="29"/>
      <c r="EJ20" s="29"/>
      <c r="EK20" s="29"/>
      <c r="EL20" s="31"/>
      <c r="EM20" s="30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7"/>
    </row>
    <row r="21" spans="1:161" ht="16.350000000000001" customHeight="1" outlineLevel="1">
      <c r="A21" s="28"/>
      <c r="B21" s="37"/>
      <c r="C21" s="36"/>
      <c r="D21" s="39">
        <f>SUM(AF21:XFD21)</f>
        <v>0</v>
      </c>
      <c r="E21" s="35"/>
      <c r="F21" s="35"/>
      <c r="G21" s="35"/>
      <c r="H21" s="58"/>
      <c r="I21" s="29"/>
      <c r="J21" s="29"/>
      <c r="K21" s="33"/>
      <c r="L21" s="34"/>
      <c r="M21" s="29"/>
      <c r="N21" s="29"/>
      <c r="O21" s="29"/>
      <c r="P21" s="33"/>
      <c r="Q21" s="34"/>
      <c r="R21" s="29"/>
      <c r="S21" s="29"/>
      <c r="T21" s="29"/>
      <c r="U21" s="33"/>
      <c r="V21" s="34"/>
      <c r="W21" s="29"/>
      <c r="X21" s="29"/>
      <c r="Y21" s="29"/>
      <c r="Z21" s="26"/>
      <c r="AA21" s="33"/>
      <c r="AB21" s="34"/>
      <c r="AC21" s="29"/>
      <c r="AD21" s="29"/>
      <c r="AE21" s="29"/>
      <c r="AF21" s="113"/>
      <c r="AG21" s="113"/>
      <c r="AH21" s="33"/>
      <c r="AI21" s="34"/>
      <c r="AJ21" s="29"/>
      <c r="AK21" s="29"/>
      <c r="AL21" s="29"/>
      <c r="AM21" s="33"/>
      <c r="AN21" s="34"/>
      <c r="AO21" s="29"/>
      <c r="AP21" s="29"/>
      <c r="AQ21" s="29"/>
      <c r="AR21" s="138"/>
      <c r="AS21" s="138"/>
      <c r="AT21" s="139"/>
      <c r="AU21" s="139"/>
      <c r="AV21" s="139"/>
      <c r="AW21" s="140"/>
      <c r="AX21" s="49"/>
      <c r="AY21" s="138"/>
      <c r="AZ21" s="29"/>
      <c r="BA21" s="29"/>
      <c r="BB21" s="29"/>
      <c r="BC21" s="33"/>
      <c r="BD21" s="34"/>
      <c r="BE21" s="29"/>
      <c r="BF21" s="29"/>
      <c r="BG21" s="29"/>
      <c r="BH21" s="33"/>
      <c r="BI21" s="34"/>
      <c r="BJ21" s="29"/>
      <c r="BK21" s="29"/>
      <c r="BL21" s="29"/>
      <c r="BM21" s="33"/>
      <c r="BN21" s="34"/>
      <c r="BO21" s="29"/>
      <c r="BP21" s="29"/>
      <c r="BQ21" s="29"/>
      <c r="BR21" s="33"/>
      <c r="BS21" s="34"/>
      <c r="BT21" s="29"/>
      <c r="BU21" s="29"/>
      <c r="BV21" s="29"/>
      <c r="BW21" s="33"/>
      <c r="BX21" s="34"/>
      <c r="BY21" s="29"/>
      <c r="BZ21" s="29"/>
      <c r="CA21" s="29"/>
      <c r="CB21" s="33"/>
      <c r="CC21" s="34"/>
      <c r="CD21" s="29"/>
      <c r="CE21" s="29"/>
      <c r="CF21" s="29"/>
      <c r="CG21" s="33"/>
      <c r="CH21" s="34"/>
      <c r="CI21" s="29"/>
      <c r="CJ21" s="29"/>
      <c r="CK21" s="29"/>
      <c r="CL21" s="33"/>
      <c r="CM21" s="34"/>
      <c r="CN21" s="29"/>
      <c r="CO21" s="29"/>
      <c r="CP21" s="29"/>
      <c r="CQ21" s="33"/>
      <c r="CR21" s="34"/>
      <c r="CS21" s="29"/>
      <c r="CT21" s="29"/>
      <c r="CU21" s="29"/>
      <c r="CV21" s="33"/>
      <c r="CW21" s="34"/>
      <c r="CX21" s="29"/>
      <c r="CY21" s="29"/>
      <c r="CZ21" s="29"/>
      <c r="DA21" s="33"/>
      <c r="DB21" s="34"/>
      <c r="DC21" s="29"/>
      <c r="DD21" s="29"/>
      <c r="DE21" s="29"/>
      <c r="DF21" s="33"/>
      <c r="DG21" s="34"/>
      <c r="DH21" s="29"/>
      <c r="DI21" s="29"/>
      <c r="DJ21" s="29"/>
      <c r="DK21" s="33"/>
      <c r="DL21" s="26"/>
      <c r="DM21" s="34"/>
      <c r="DN21" s="29"/>
      <c r="DO21" s="29"/>
      <c r="DP21" s="29"/>
      <c r="DQ21" s="33"/>
      <c r="DR21" s="34"/>
      <c r="DS21" s="29"/>
      <c r="DT21" s="29"/>
      <c r="DU21" s="29"/>
      <c r="DV21" s="33"/>
      <c r="DW21" s="32"/>
      <c r="DX21" s="29"/>
      <c r="DY21" s="29"/>
      <c r="DZ21" s="29"/>
      <c r="EA21" s="29"/>
      <c r="EB21" s="29"/>
      <c r="EC21" s="29"/>
      <c r="ED21" s="29"/>
      <c r="EE21" s="29"/>
      <c r="EF21" s="29"/>
      <c r="EG21" s="27"/>
      <c r="EH21" s="29"/>
      <c r="EI21" s="29"/>
      <c r="EJ21" s="29"/>
      <c r="EK21" s="29"/>
      <c r="EL21" s="31"/>
      <c r="EM21" s="30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7"/>
    </row>
    <row r="22" spans="1:161" ht="16.350000000000001" customHeight="1">
      <c r="A22" s="28" t="s">
        <v>38</v>
      </c>
      <c r="B22" s="54">
        <v>2</v>
      </c>
      <c r="C22" s="53" t="s">
        <v>59</v>
      </c>
      <c r="D22" s="49"/>
      <c r="E22" s="52"/>
      <c r="F22" s="52"/>
      <c r="G22" s="52"/>
      <c r="H22" s="60"/>
      <c r="I22" s="49"/>
      <c r="J22" s="49"/>
      <c r="K22" s="50"/>
      <c r="L22" s="51"/>
      <c r="M22" s="49"/>
      <c r="N22" s="49"/>
      <c r="O22" s="49"/>
      <c r="P22" s="50"/>
      <c r="Q22" s="51"/>
      <c r="R22" s="49"/>
      <c r="S22" s="49"/>
      <c r="T22" s="49"/>
      <c r="U22" s="50"/>
      <c r="V22" s="51"/>
      <c r="W22" s="49"/>
      <c r="X22" s="49"/>
      <c r="Y22" s="49"/>
      <c r="Z22" s="26"/>
      <c r="AA22" s="50"/>
      <c r="AB22" s="51"/>
      <c r="AC22" s="49"/>
      <c r="AD22" s="49"/>
      <c r="AE22" s="49"/>
      <c r="AF22" s="49"/>
      <c r="AG22" s="49"/>
      <c r="AH22" s="50"/>
      <c r="AI22" s="51"/>
      <c r="AJ22" s="49"/>
      <c r="AK22" s="49"/>
      <c r="AL22" s="49"/>
      <c r="AM22" s="50"/>
      <c r="AN22" s="51"/>
      <c r="AO22" s="49"/>
      <c r="AP22" s="49"/>
      <c r="AQ22" s="49"/>
      <c r="AR22" s="51"/>
      <c r="AS22" s="51"/>
      <c r="AT22" s="49"/>
      <c r="AU22" s="49"/>
      <c r="AV22" s="49"/>
      <c r="AW22" s="50"/>
      <c r="AX22" s="49"/>
      <c r="AY22" s="51"/>
      <c r="AZ22" s="49"/>
      <c r="BA22" s="49"/>
      <c r="BB22" s="49"/>
      <c r="BC22" s="50"/>
      <c r="BD22" s="51"/>
      <c r="BE22" s="49"/>
      <c r="BF22" s="49"/>
      <c r="BG22" s="49"/>
      <c r="BH22" s="50"/>
      <c r="BI22" s="51"/>
      <c r="BJ22" s="49"/>
      <c r="BK22" s="49"/>
      <c r="BL22" s="49"/>
      <c r="BM22" s="50"/>
      <c r="BN22" s="51"/>
      <c r="BO22" s="49"/>
      <c r="BP22" s="49"/>
      <c r="BQ22" s="49"/>
      <c r="BR22" s="50"/>
      <c r="BS22" s="51"/>
      <c r="BT22" s="49"/>
      <c r="BU22" s="49"/>
      <c r="BV22" s="49"/>
      <c r="BW22" s="50"/>
      <c r="BX22" s="51"/>
      <c r="BY22" s="49"/>
      <c r="BZ22" s="49"/>
      <c r="CA22" s="49"/>
      <c r="CB22" s="50"/>
      <c r="CC22" s="51"/>
      <c r="CD22" s="49"/>
      <c r="CE22" s="49"/>
      <c r="CF22" s="49"/>
      <c r="CG22" s="50"/>
      <c r="CH22" s="51"/>
      <c r="CI22" s="49"/>
      <c r="CJ22" s="49"/>
      <c r="CK22" s="49"/>
      <c r="CL22" s="50"/>
      <c r="CM22" s="51"/>
      <c r="CN22" s="49"/>
      <c r="CO22" s="49"/>
      <c r="CP22" s="49"/>
      <c r="CQ22" s="50"/>
      <c r="CR22" s="51"/>
      <c r="CS22" s="49"/>
      <c r="CT22" s="49"/>
      <c r="CU22" s="49"/>
      <c r="CV22" s="50"/>
      <c r="CW22" s="51"/>
      <c r="CX22" s="49"/>
      <c r="CY22" s="49"/>
      <c r="CZ22" s="49"/>
      <c r="DA22" s="50"/>
      <c r="DB22" s="51"/>
      <c r="DC22" s="49"/>
      <c r="DD22" s="49"/>
      <c r="DE22" s="49"/>
      <c r="DF22" s="50"/>
      <c r="DG22" s="51"/>
      <c r="DH22" s="49"/>
      <c r="DI22" s="49"/>
      <c r="DJ22" s="49"/>
      <c r="DK22" s="50"/>
      <c r="DL22" s="26"/>
      <c r="DM22" s="51"/>
      <c r="DN22" s="49"/>
      <c r="DO22" s="49"/>
      <c r="DP22" s="49"/>
      <c r="DQ22" s="50"/>
      <c r="DR22" s="51"/>
      <c r="DS22" s="49"/>
      <c r="DT22" s="49"/>
      <c r="DU22" s="49"/>
      <c r="DV22" s="50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26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26"/>
    </row>
    <row r="23" spans="1:161" ht="16.350000000000001" customHeight="1">
      <c r="A23" s="28" t="s">
        <v>37</v>
      </c>
      <c r="B23" s="48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47" t="s">
        <v>55</v>
      </c>
      <c r="D23" s="39">
        <f>SUM(AF23:XFD23)</f>
        <v>0</v>
      </c>
      <c r="E23" s="43"/>
      <c r="F23" s="43"/>
      <c r="G23" s="43"/>
      <c r="H23" s="60"/>
      <c r="I23" s="45"/>
      <c r="J23" s="45"/>
      <c r="K23" s="44"/>
      <c r="L23" s="46"/>
      <c r="M23" s="45"/>
      <c r="N23" s="45"/>
      <c r="O23" s="45"/>
      <c r="P23" s="44"/>
      <c r="Q23" s="46"/>
      <c r="R23" s="45"/>
      <c r="S23" s="45"/>
      <c r="T23" s="45"/>
      <c r="U23" s="44"/>
      <c r="V23" s="46"/>
      <c r="W23" s="45"/>
      <c r="X23" s="45"/>
      <c r="Y23" s="45"/>
      <c r="Z23" s="42"/>
      <c r="AA23" s="44"/>
      <c r="AB23" s="46"/>
      <c r="AC23" s="45"/>
      <c r="AD23" s="45"/>
      <c r="AE23" s="45"/>
      <c r="AF23" s="45"/>
      <c r="AG23" s="45"/>
      <c r="AH23" s="44"/>
      <c r="AI23" s="46"/>
      <c r="AJ23" s="45"/>
      <c r="AK23" s="45"/>
      <c r="AL23" s="45"/>
      <c r="AM23" s="44"/>
      <c r="AN23" s="46"/>
      <c r="AO23" s="45"/>
      <c r="AP23" s="45"/>
      <c r="AQ23" s="45"/>
      <c r="AR23" s="141"/>
      <c r="AS23" s="141"/>
      <c r="AT23" s="142"/>
      <c r="AU23" s="142"/>
      <c r="AV23" s="142"/>
      <c r="AW23" s="143"/>
      <c r="AX23" s="142"/>
      <c r="AY23" s="141"/>
      <c r="AZ23" s="45"/>
      <c r="BA23" s="45"/>
      <c r="BB23" s="45"/>
      <c r="BC23" s="44"/>
      <c r="BD23" s="46"/>
      <c r="BE23" s="45"/>
      <c r="BF23" s="45"/>
      <c r="BG23" s="45"/>
      <c r="BH23" s="44"/>
      <c r="BI23" s="46"/>
      <c r="BJ23" s="45"/>
      <c r="BK23" s="45"/>
      <c r="BL23" s="45"/>
      <c r="BM23" s="44"/>
      <c r="BN23" s="46"/>
      <c r="BO23" s="45"/>
      <c r="BP23" s="45"/>
      <c r="BQ23" s="45"/>
      <c r="BR23" s="44"/>
      <c r="BS23" s="46"/>
      <c r="BT23" s="45"/>
      <c r="BU23" s="45"/>
      <c r="BV23" s="45"/>
      <c r="BW23" s="44"/>
      <c r="BX23" s="46"/>
      <c r="BY23" s="45"/>
      <c r="BZ23" s="45"/>
      <c r="CA23" s="45"/>
      <c r="CB23" s="44"/>
      <c r="CC23" s="46"/>
      <c r="CD23" s="45"/>
      <c r="CE23" s="45"/>
      <c r="CF23" s="45"/>
      <c r="CG23" s="44"/>
      <c r="CH23" s="46"/>
      <c r="CI23" s="45"/>
      <c r="CJ23" s="45"/>
      <c r="CK23" s="45"/>
      <c r="CL23" s="44"/>
      <c r="CM23" s="46"/>
      <c r="CN23" s="45"/>
      <c r="CO23" s="45"/>
      <c r="CP23" s="45"/>
      <c r="CQ23" s="44"/>
      <c r="CR23" s="46"/>
      <c r="CS23" s="45"/>
      <c r="CT23" s="45"/>
      <c r="CU23" s="45"/>
      <c r="CV23" s="44"/>
      <c r="CW23" s="46"/>
      <c r="CX23" s="45"/>
      <c r="CY23" s="45"/>
      <c r="CZ23" s="45"/>
      <c r="DA23" s="44"/>
      <c r="DB23" s="46"/>
      <c r="DC23" s="45"/>
      <c r="DD23" s="45"/>
      <c r="DE23" s="45"/>
      <c r="DF23" s="44"/>
      <c r="DG23" s="46"/>
      <c r="DH23" s="45"/>
      <c r="DI23" s="45"/>
      <c r="DJ23" s="45"/>
      <c r="DK23" s="44"/>
      <c r="DL23" s="42"/>
      <c r="DM23" s="46"/>
      <c r="DN23" s="45"/>
      <c r="DO23" s="45"/>
      <c r="DP23" s="45"/>
      <c r="DQ23" s="44"/>
      <c r="DR23" s="46"/>
      <c r="DS23" s="45"/>
      <c r="DT23" s="45"/>
      <c r="DU23" s="45"/>
      <c r="DV23" s="44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2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2"/>
    </row>
    <row r="24" spans="1:161" ht="16.350000000000001" customHeight="1" outlineLevel="1">
      <c r="A24" s="28" t="s">
        <v>36</v>
      </c>
      <c r="B24" s="41" t="e">
        <f ca="1">_xlfn.CONCAT(
IF(A23="",1,""),
IF(AND(A23&lt;&gt;"",LEN(A23)&gt;LEN(A24)),_xlfn.CONCAT(LEFT(B23,(LEN(#REF!)-1)*2),MID(B23,(LEN(#REF!)-1)*2 + 1,1)+1),""),
IF(AND(A23&lt;&gt;"",LEN(A23)&lt;LEN(A24)),_xlfn.CONCAT(B23,".",1),""),
IF(AND(A23&lt;&gt;"",LEN(A23)=LEN(A24)),_xlfn.CONCAT(LEFT(B23,LEN(B23)-1),RIGHT(B23,1)+1),""))</f>
        <v>#NAME?</v>
      </c>
      <c r="C24" s="40" t="s">
        <v>73</v>
      </c>
      <c r="D24" s="39">
        <f>SUM(AF24:XFD24)</f>
        <v>2</v>
      </c>
      <c r="E24" s="38"/>
      <c r="F24" s="38"/>
      <c r="G24" s="38"/>
      <c r="H24" s="58" t="b">
        <f>SUM(I24:EQ24)=D24</f>
        <v>1</v>
      </c>
      <c r="I24" s="29"/>
      <c r="J24" s="29"/>
      <c r="K24" s="33"/>
      <c r="L24" s="34"/>
      <c r="M24" s="29"/>
      <c r="N24" s="29"/>
      <c r="O24" s="29"/>
      <c r="P24" s="33"/>
      <c r="Q24" s="34"/>
      <c r="R24" s="29"/>
      <c r="S24" s="29"/>
      <c r="T24" s="29"/>
      <c r="U24" s="33"/>
      <c r="V24" s="34"/>
      <c r="W24" s="29"/>
      <c r="X24" s="29"/>
      <c r="Y24" s="29"/>
      <c r="Z24" s="26"/>
      <c r="AA24" s="33"/>
      <c r="AB24" s="34"/>
      <c r="AC24" s="29"/>
      <c r="AD24" s="29"/>
      <c r="AE24" s="29"/>
      <c r="AF24" s="113"/>
      <c r="AG24" s="113"/>
      <c r="AH24" s="33"/>
      <c r="AI24" s="34"/>
      <c r="AJ24" s="29"/>
      <c r="AK24" s="29"/>
      <c r="AL24" s="29"/>
      <c r="AM24" s="33"/>
      <c r="AN24" s="150">
        <v>0.25</v>
      </c>
      <c r="AO24" s="150">
        <v>0.25</v>
      </c>
      <c r="AP24" s="150">
        <v>0.25</v>
      </c>
      <c r="AQ24" s="151">
        <v>0.25</v>
      </c>
      <c r="AR24" s="138"/>
      <c r="AS24" s="138"/>
      <c r="AT24" s="139"/>
      <c r="AU24" s="139"/>
      <c r="AV24" s="139"/>
      <c r="AW24" s="140"/>
      <c r="AX24" s="49"/>
      <c r="AY24" s="138"/>
      <c r="AZ24" s="152">
        <v>0.25</v>
      </c>
      <c r="BA24" s="153">
        <v>0.25</v>
      </c>
      <c r="BB24" s="153">
        <v>0.25</v>
      </c>
      <c r="BC24" s="153">
        <v>0.25</v>
      </c>
      <c r="BD24" s="34"/>
      <c r="BE24" s="29"/>
      <c r="BF24" s="29"/>
      <c r="BG24" s="29"/>
      <c r="BH24" s="33"/>
      <c r="BI24" s="34"/>
      <c r="BJ24" s="29"/>
      <c r="BK24" s="29"/>
      <c r="BL24" s="29"/>
      <c r="BM24" s="33"/>
      <c r="BN24" s="34"/>
      <c r="BO24" s="29"/>
      <c r="BP24" s="29"/>
      <c r="BQ24" s="29"/>
      <c r="BR24" s="33"/>
      <c r="BS24" s="34"/>
      <c r="BT24" s="29"/>
      <c r="BU24" s="29"/>
      <c r="BV24" s="29"/>
      <c r="BW24" s="33"/>
      <c r="BX24" s="34"/>
      <c r="BY24" s="29"/>
      <c r="BZ24" s="29"/>
      <c r="CA24" s="29"/>
      <c r="CB24" s="33"/>
      <c r="CC24" s="34"/>
      <c r="CD24" s="29"/>
      <c r="CE24" s="29"/>
      <c r="CF24" s="29"/>
      <c r="CG24" s="33"/>
      <c r="CH24" s="34"/>
      <c r="CI24" s="29"/>
      <c r="CJ24" s="29"/>
      <c r="CK24" s="29"/>
      <c r="CL24" s="33"/>
      <c r="CM24" s="34"/>
      <c r="CN24" s="29"/>
      <c r="CO24" s="29"/>
      <c r="CP24" s="29"/>
      <c r="CQ24" s="33"/>
      <c r="CR24" s="34"/>
      <c r="CS24" s="29"/>
      <c r="CT24" s="29"/>
      <c r="CU24" s="29"/>
      <c r="CV24" s="33"/>
      <c r="CW24" s="34"/>
      <c r="CX24" s="29"/>
      <c r="CY24" s="29"/>
      <c r="CZ24" s="29"/>
      <c r="DA24" s="33"/>
      <c r="DB24" s="34"/>
      <c r="DC24" s="29"/>
      <c r="DD24" s="29"/>
      <c r="DE24" s="29"/>
      <c r="DF24" s="33"/>
      <c r="DG24" s="34"/>
      <c r="DH24" s="29"/>
      <c r="DI24" s="29"/>
      <c r="DJ24" s="29"/>
      <c r="DK24" s="33"/>
      <c r="DL24" s="26"/>
      <c r="DM24" s="34"/>
      <c r="DN24" s="29"/>
      <c r="DO24" s="29"/>
      <c r="DP24" s="29"/>
      <c r="DQ24" s="33"/>
      <c r="DR24" s="34"/>
      <c r="DS24" s="29"/>
      <c r="DT24" s="29"/>
      <c r="DU24" s="29"/>
      <c r="DV24" s="33"/>
      <c r="DW24" s="32"/>
      <c r="DX24" s="29"/>
      <c r="DY24" s="29"/>
      <c r="DZ24" s="29"/>
      <c r="EA24" s="29"/>
      <c r="EB24" s="29"/>
      <c r="EC24" s="29"/>
      <c r="ED24" s="29"/>
      <c r="EE24" s="29"/>
      <c r="EF24" s="29"/>
      <c r="EG24" s="27"/>
      <c r="EH24" s="29"/>
      <c r="EI24" s="29"/>
      <c r="EJ24" s="29"/>
      <c r="EK24" s="29"/>
      <c r="EL24" s="31"/>
      <c r="EM24" s="30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7"/>
    </row>
    <row r="25" spans="1:161" ht="16.350000000000001" customHeight="1" outlineLevel="1">
      <c r="A25" s="28" t="s">
        <v>36</v>
      </c>
      <c r="B25" s="37" t="e">
        <f ca="1">_xlfn.CONCAT(
IF(#REF!="",1,""),
IF(AND(#REF!&lt;&gt;"",LEN(#REF!)&gt;LEN(A25)),_xlfn.CONCAT(LEFT(#REF!,(LEN(#REF!)-1)*2),MID(#REF!,(LEN(#REF!)-1)*2 + 1,1)+1),""),
IF(AND(#REF!&lt;&gt;"",LEN(#REF!)&lt;LEN(A25)),_xlfn.CONCAT(#REF!,".",1),""),
IF(AND(#REF!&lt;&gt;"",LEN(#REF!)=LEN(A25)),_xlfn.CONCAT(LEFT(#REF!,LEN(#REF!)-1),RIGHT(#REF!,1)+1),""))</f>
        <v>#NAME?</v>
      </c>
      <c r="C25" s="115" t="s">
        <v>58</v>
      </c>
      <c r="D25" s="39">
        <f>SUM(AF25:XFD25)</f>
        <v>1</v>
      </c>
      <c r="E25" s="35"/>
      <c r="F25" s="35"/>
      <c r="G25" s="35"/>
      <c r="H25" s="58" t="b">
        <f>SUM(I25:EQ25)=D25</f>
        <v>1</v>
      </c>
      <c r="I25" s="29"/>
      <c r="J25" s="29"/>
      <c r="K25" s="33"/>
      <c r="L25" s="34"/>
      <c r="M25" s="29"/>
      <c r="N25" s="29"/>
      <c r="O25" s="29"/>
      <c r="P25" s="33"/>
      <c r="Q25" s="34"/>
      <c r="R25" s="29"/>
      <c r="S25" s="29"/>
      <c r="T25" s="29"/>
      <c r="U25" s="33"/>
      <c r="V25" s="34"/>
      <c r="W25" s="29"/>
      <c r="X25" s="29"/>
      <c r="Y25" s="29"/>
      <c r="Z25" s="26"/>
      <c r="AA25" s="33"/>
      <c r="AB25" s="34"/>
      <c r="AC25" s="29"/>
      <c r="AD25" s="29"/>
      <c r="AE25" s="29"/>
      <c r="AF25" s="113"/>
      <c r="AG25" s="113"/>
      <c r="AH25" s="33"/>
      <c r="AI25" s="34"/>
      <c r="AJ25" s="29"/>
      <c r="AK25" s="29"/>
      <c r="AL25" s="29"/>
      <c r="AM25" s="33"/>
      <c r="AN25" s="34"/>
      <c r="AO25" s="29"/>
      <c r="AP25" s="29"/>
      <c r="AQ25" s="29"/>
      <c r="AR25" s="138"/>
      <c r="AS25" s="138"/>
      <c r="AT25" s="139"/>
      <c r="AU25" s="139"/>
      <c r="AV25" s="139"/>
      <c r="AW25" s="140"/>
      <c r="AX25" s="49"/>
      <c r="AY25" s="138"/>
      <c r="AZ25" s="29"/>
      <c r="BA25" s="29"/>
      <c r="BB25" s="29"/>
      <c r="BC25" s="33"/>
      <c r="BD25" s="34"/>
      <c r="BE25" s="29"/>
      <c r="BF25" s="29"/>
      <c r="BG25" s="29"/>
      <c r="BH25" s="33"/>
      <c r="BI25" s="158">
        <v>0.25</v>
      </c>
      <c r="BJ25" s="159">
        <v>0.25</v>
      </c>
      <c r="BK25" s="159">
        <v>0.25</v>
      </c>
      <c r="BL25" s="159">
        <v>0.25</v>
      </c>
      <c r="BM25" s="33"/>
      <c r="BN25" s="34"/>
      <c r="BO25" s="29"/>
      <c r="BP25" s="29"/>
      <c r="BQ25" s="29"/>
      <c r="BR25" s="33"/>
      <c r="BS25" s="34"/>
      <c r="BT25" s="29"/>
      <c r="BU25" s="29"/>
      <c r="BV25" s="29"/>
      <c r="BW25" s="33"/>
      <c r="BX25" s="34"/>
      <c r="BY25" s="29"/>
      <c r="BZ25" s="29"/>
      <c r="CA25" s="29"/>
      <c r="CB25" s="33"/>
      <c r="CC25" s="34"/>
      <c r="CD25" s="29"/>
      <c r="CE25" s="29"/>
      <c r="CF25" s="29"/>
      <c r="CG25" s="33"/>
      <c r="CH25" s="34"/>
      <c r="CI25" s="29"/>
      <c r="CJ25" s="29"/>
      <c r="CK25" s="29"/>
      <c r="CL25" s="33"/>
      <c r="CM25" s="34"/>
      <c r="CN25" s="29"/>
      <c r="CO25" s="29"/>
      <c r="CP25" s="29"/>
      <c r="CQ25" s="33"/>
      <c r="CR25" s="34"/>
      <c r="CS25" s="29"/>
      <c r="CT25" s="29"/>
      <c r="CU25" s="29"/>
      <c r="CV25" s="33"/>
      <c r="CW25" s="34"/>
      <c r="CX25" s="29"/>
      <c r="CY25" s="29"/>
      <c r="CZ25" s="29"/>
      <c r="DA25" s="33"/>
      <c r="DB25" s="34"/>
      <c r="DC25" s="29"/>
      <c r="DD25" s="29"/>
      <c r="DE25" s="29"/>
      <c r="DF25" s="33"/>
      <c r="DG25" s="34"/>
      <c r="DH25" s="29"/>
      <c r="DI25" s="29"/>
      <c r="DJ25" s="29"/>
      <c r="DK25" s="33"/>
      <c r="DL25" s="26"/>
      <c r="DM25" s="34"/>
      <c r="DN25" s="29"/>
      <c r="DO25" s="29"/>
      <c r="DP25" s="29"/>
      <c r="DQ25" s="33"/>
      <c r="DR25" s="34"/>
      <c r="DS25" s="29"/>
      <c r="DT25" s="29"/>
      <c r="DU25" s="29"/>
      <c r="DV25" s="33"/>
      <c r="DW25" s="32"/>
      <c r="DX25" s="29"/>
      <c r="DY25" s="29"/>
      <c r="DZ25" s="29"/>
      <c r="EA25" s="29"/>
      <c r="EB25" s="29"/>
      <c r="EC25" s="29"/>
      <c r="ED25" s="29"/>
      <c r="EE25" s="29"/>
      <c r="EF25" s="29"/>
      <c r="EG25" s="27"/>
      <c r="EH25" s="29"/>
      <c r="EI25" s="29"/>
      <c r="EJ25" s="29"/>
      <c r="EK25" s="29"/>
      <c r="EL25" s="31"/>
      <c r="EM25" s="30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7"/>
    </row>
    <row r="26" spans="1:161" ht="16.350000000000001" customHeight="1" outlineLevel="1">
      <c r="A26" s="28" t="s">
        <v>36</v>
      </c>
      <c r="B26" s="57" t="e">
        <f ca="1">_xlfn.CONCAT(
IF(#REF!="",1,""),
IF(AND(#REF!&lt;&gt;"",LEN(#REF!)&gt;LEN(A26)),_xlfn.CONCAT(LEFT(#REF!,(LEN(#REF!)-1)*2),MID(#REF!,(LEN(#REF!)-1)*2 + 1,1)+1),""),
IF(AND(#REF!&lt;&gt;"",LEN(#REF!)&lt;LEN(A26)),_xlfn.CONCAT(#REF!,".",1),""),
IF(AND(#REF!&lt;&gt;"",LEN(#REF!)=LEN(A26)),_xlfn.CONCAT(LEFT(#REF!,LEN(#REF!)-1),RIGHT(#REF!,1)+1),""))</f>
        <v>#NAME?</v>
      </c>
      <c r="C26" s="56"/>
      <c r="D26" s="39">
        <f>SUM(AF26:XFD26)</f>
        <v>0</v>
      </c>
      <c r="E26" s="55"/>
      <c r="F26" s="55"/>
      <c r="G26" s="55"/>
      <c r="H26" s="58" t="b">
        <f>SUM(I26:EQ26)=D26</f>
        <v>1</v>
      </c>
      <c r="I26" s="29"/>
      <c r="J26" s="29"/>
      <c r="K26" s="33"/>
      <c r="L26" s="34"/>
      <c r="M26" s="29"/>
      <c r="N26" s="29"/>
      <c r="O26" s="29"/>
      <c r="P26" s="33"/>
      <c r="Q26" s="34"/>
      <c r="R26" s="29"/>
      <c r="S26" s="29"/>
      <c r="T26" s="29"/>
      <c r="U26" s="33"/>
      <c r="V26" s="34"/>
      <c r="W26" s="29"/>
      <c r="X26" s="29"/>
      <c r="Y26" s="29"/>
      <c r="Z26" s="26"/>
      <c r="AA26" s="33"/>
      <c r="AB26" s="34"/>
      <c r="AC26" s="29"/>
      <c r="AD26" s="29"/>
      <c r="AE26" s="29"/>
      <c r="AF26" s="113"/>
      <c r="AG26" s="113"/>
      <c r="AH26" s="33"/>
      <c r="AI26" s="34"/>
      <c r="AJ26" s="29"/>
      <c r="AK26" s="29"/>
      <c r="AL26" s="29"/>
      <c r="AM26" s="33"/>
      <c r="AN26" s="34"/>
      <c r="AO26" s="29"/>
      <c r="AP26" s="29"/>
      <c r="AQ26" s="29"/>
      <c r="AR26" s="138"/>
      <c r="AS26" s="138"/>
      <c r="AT26" s="139"/>
      <c r="AU26" s="139"/>
      <c r="AV26" s="139"/>
      <c r="AW26" s="140"/>
      <c r="AX26" s="49"/>
      <c r="AY26" s="138"/>
      <c r="AZ26" s="29"/>
      <c r="BA26" s="29"/>
      <c r="BB26" s="29"/>
      <c r="BC26" s="33"/>
      <c r="BD26" s="34"/>
      <c r="BE26" s="29"/>
      <c r="BF26" s="29"/>
      <c r="BG26" s="29"/>
      <c r="BH26" s="33"/>
      <c r="BI26" s="144"/>
      <c r="BJ26" s="116"/>
      <c r="BK26" s="116"/>
      <c r="BL26" s="116"/>
      <c r="BM26" s="33"/>
      <c r="BN26" s="34"/>
      <c r="BO26" s="29"/>
      <c r="BP26" s="29"/>
      <c r="BQ26" s="29"/>
      <c r="BR26" s="33"/>
      <c r="BS26" s="34"/>
      <c r="BT26" s="29"/>
      <c r="BU26" s="29"/>
      <c r="BV26" s="29"/>
      <c r="BW26" s="33"/>
      <c r="BX26" s="34"/>
      <c r="BY26" s="29"/>
      <c r="BZ26" s="29"/>
      <c r="CA26" s="29"/>
      <c r="CB26" s="33"/>
      <c r="CC26" s="34"/>
      <c r="CD26" s="29"/>
      <c r="CE26" s="29"/>
      <c r="CF26" s="29"/>
      <c r="CG26" s="33"/>
      <c r="CH26" s="34"/>
      <c r="CI26" s="29"/>
      <c r="CJ26" s="29"/>
      <c r="CK26" s="29"/>
      <c r="CL26" s="33"/>
      <c r="CM26" s="34"/>
      <c r="CN26" s="29"/>
      <c r="CO26" s="29"/>
      <c r="CP26" s="29"/>
      <c r="CQ26" s="33"/>
      <c r="CR26" s="34"/>
      <c r="CS26" s="29"/>
      <c r="CT26" s="29"/>
      <c r="CU26" s="29"/>
      <c r="CV26" s="33"/>
      <c r="CW26" s="34"/>
      <c r="CX26" s="29"/>
      <c r="CY26" s="29"/>
      <c r="CZ26" s="29"/>
      <c r="DA26" s="33"/>
      <c r="DB26" s="34"/>
      <c r="DC26" s="29"/>
      <c r="DD26" s="29"/>
      <c r="DE26" s="29"/>
      <c r="DF26" s="33"/>
      <c r="DG26" s="34"/>
      <c r="DH26" s="29"/>
      <c r="DI26" s="29"/>
      <c r="DJ26" s="29"/>
      <c r="DK26" s="33"/>
      <c r="DL26" s="26"/>
      <c r="DM26" s="34"/>
      <c r="DN26" s="29"/>
      <c r="DO26" s="29"/>
      <c r="DP26" s="29"/>
      <c r="DQ26" s="33"/>
      <c r="DR26" s="34"/>
      <c r="DS26" s="29"/>
      <c r="DT26" s="29"/>
      <c r="DU26" s="29"/>
      <c r="DV26" s="33"/>
      <c r="DW26" s="32"/>
      <c r="DX26" s="29"/>
      <c r="DY26" s="29"/>
      <c r="DZ26" s="29"/>
      <c r="EA26" s="29"/>
      <c r="EB26" s="29"/>
      <c r="EC26" s="29"/>
      <c r="ED26" s="29"/>
      <c r="EE26" s="29"/>
      <c r="EF26" s="29"/>
      <c r="EG26" s="27"/>
      <c r="EH26" s="29"/>
      <c r="EI26" s="29"/>
      <c r="EJ26" s="29"/>
      <c r="EK26" s="29"/>
      <c r="EL26" s="31"/>
      <c r="EM26" s="30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7"/>
    </row>
    <row r="27" spans="1:161" ht="16.350000000000001" customHeight="1">
      <c r="A27" s="28" t="s">
        <v>37</v>
      </c>
      <c r="B27" s="48" t="e">
        <f ca="1">_xlfn.CONCAT(
IF(A23="",1,""),
IF(AND(A23&lt;&gt;"",LEN(A23)&gt;LEN(A27)),_xlfn.CONCAT(LEFT(B23,(LEN(#REF!)-1)*2),MID(B23,(LEN(#REF!)-1)*2 + 1,1)+1),""),
IF(AND(A23&lt;&gt;"",LEN(A23)&lt;LEN(A27)),_xlfn.CONCAT(B23,".",1),""),
IF(AND(A23&lt;&gt;"",LEN(A23)=LEN(A27)),_xlfn.CONCAT(LEFT(B23,LEN(B23)-1),RIGHT(B23,1)+1),""))</f>
        <v>#NAME?</v>
      </c>
      <c r="C27" s="47" t="s">
        <v>56</v>
      </c>
      <c r="D27" s="39">
        <f>SUM(AF27:XFD27)</f>
        <v>0</v>
      </c>
      <c r="E27" s="43"/>
      <c r="F27" s="43"/>
      <c r="G27" s="43"/>
      <c r="H27" s="58"/>
      <c r="I27" s="45"/>
      <c r="J27" s="45"/>
      <c r="K27" s="44"/>
      <c r="L27" s="46"/>
      <c r="M27" s="45"/>
      <c r="N27" s="45"/>
      <c r="O27" s="45"/>
      <c r="P27" s="44"/>
      <c r="Q27" s="46"/>
      <c r="R27" s="45"/>
      <c r="S27" s="45"/>
      <c r="T27" s="45"/>
      <c r="U27" s="44"/>
      <c r="V27" s="46"/>
      <c r="W27" s="45"/>
      <c r="X27" s="45"/>
      <c r="Y27" s="45"/>
      <c r="Z27" s="42"/>
      <c r="AA27" s="44"/>
      <c r="AB27" s="46"/>
      <c r="AC27" s="45"/>
      <c r="AD27" s="45"/>
      <c r="AE27" s="45"/>
      <c r="AF27" s="45"/>
      <c r="AG27" s="45"/>
      <c r="AH27" s="44"/>
      <c r="AI27" s="46"/>
      <c r="AJ27" s="45"/>
      <c r="AK27" s="45"/>
      <c r="AL27" s="45"/>
      <c r="AM27" s="44"/>
      <c r="AN27" s="46"/>
      <c r="AO27" s="45"/>
      <c r="AP27" s="45"/>
      <c r="AQ27" s="45"/>
      <c r="AR27" s="141"/>
      <c r="AS27" s="141"/>
      <c r="AT27" s="142"/>
      <c r="AU27" s="142"/>
      <c r="AV27" s="142"/>
      <c r="AW27" s="143"/>
      <c r="AX27" s="142"/>
      <c r="AY27" s="141"/>
      <c r="AZ27" s="45"/>
      <c r="BA27" s="45"/>
      <c r="BB27" s="45"/>
      <c r="BC27" s="44"/>
      <c r="BD27" s="46"/>
      <c r="BE27" s="45"/>
      <c r="BF27" s="45"/>
      <c r="BG27" s="45"/>
      <c r="BH27" s="44"/>
      <c r="BI27" s="154"/>
      <c r="BJ27" s="155"/>
      <c r="BK27" s="155"/>
      <c r="BL27" s="155"/>
      <c r="BM27" s="44"/>
      <c r="BN27" s="46"/>
      <c r="BO27" s="45"/>
      <c r="BP27" s="45"/>
      <c r="BQ27" s="45"/>
      <c r="BR27" s="44"/>
      <c r="BS27" s="46"/>
      <c r="BT27" s="45"/>
      <c r="BU27" s="45"/>
      <c r="BV27" s="45"/>
      <c r="BW27" s="44"/>
      <c r="BX27" s="46"/>
      <c r="BY27" s="45"/>
      <c r="BZ27" s="45"/>
      <c r="CA27" s="45"/>
      <c r="CB27" s="44"/>
      <c r="CC27" s="46"/>
      <c r="CD27" s="45"/>
      <c r="CE27" s="45"/>
      <c r="CF27" s="45"/>
      <c r="CG27" s="44"/>
      <c r="CH27" s="46"/>
      <c r="CI27" s="45"/>
      <c r="CJ27" s="45"/>
      <c r="CK27" s="45"/>
      <c r="CL27" s="44"/>
      <c r="CM27" s="46"/>
      <c r="CN27" s="45"/>
      <c r="CO27" s="45"/>
      <c r="CP27" s="45"/>
      <c r="CQ27" s="44"/>
      <c r="CR27" s="46"/>
      <c r="CS27" s="45"/>
      <c r="CT27" s="45"/>
      <c r="CU27" s="45"/>
      <c r="CV27" s="44"/>
      <c r="CW27" s="46"/>
      <c r="CX27" s="45"/>
      <c r="CY27" s="45"/>
      <c r="CZ27" s="45"/>
      <c r="DA27" s="44"/>
      <c r="DB27" s="46"/>
      <c r="DC27" s="45"/>
      <c r="DD27" s="45"/>
      <c r="DE27" s="45"/>
      <c r="DF27" s="44"/>
      <c r="DG27" s="46"/>
      <c r="DH27" s="45"/>
      <c r="DI27" s="45"/>
      <c r="DJ27" s="45"/>
      <c r="DK27" s="44"/>
      <c r="DL27" s="42"/>
      <c r="DM27" s="46"/>
      <c r="DN27" s="45"/>
      <c r="DO27" s="45"/>
      <c r="DP27" s="45"/>
      <c r="DQ27" s="44"/>
      <c r="DR27" s="46"/>
      <c r="DS27" s="45"/>
      <c r="DT27" s="45"/>
      <c r="DU27" s="45"/>
      <c r="DV27" s="44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2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2"/>
    </row>
    <row r="28" spans="1:161" ht="16.350000000000001" customHeight="1" outlineLevel="1">
      <c r="A28" s="28" t="s">
        <v>36</v>
      </c>
      <c r="B28" s="41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0" t="s">
        <v>64</v>
      </c>
      <c r="D28" s="39">
        <f>SUM(AF28:EF28)</f>
        <v>20</v>
      </c>
      <c r="E28" s="59" t="s">
        <v>39</v>
      </c>
      <c r="F28" s="38"/>
      <c r="G28" s="38"/>
      <c r="H28" s="58" t="b">
        <f>SUM(I28:EI28)=D28</f>
        <v>1</v>
      </c>
      <c r="I28" s="29"/>
      <c r="J28" s="29"/>
      <c r="K28" s="33"/>
      <c r="L28" s="34"/>
      <c r="M28" s="29"/>
      <c r="N28" s="29"/>
      <c r="O28" s="29"/>
      <c r="P28" s="33"/>
      <c r="Q28" s="34"/>
      <c r="R28" s="29"/>
      <c r="S28" s="29"/>
      <c r="T28" s="29"/>
      <c r="U28" s="33"/>
      <c r="V28" s="34"/>
      <c r="W28" s="29"/>
      <c r="X28" s="29"/>
      <c r="Y28" s="29"/>
      <c r="Z28" s="26"/>
      <c r="AA28" s="33"/>
      <c r="AB28" s="34"/>
      <c r="AC28" s="29"/>
      <c r="AD28" s="29"/>
      <c r="AE28" s="29"/>
      <c r="AF28" s="113"/>
      <c r="AG28" s="114"/>
      <c r="AH28" s="33"/>
      <c r="AI28" s="34"/>
      <c r="AJ28" s="29"/>
      <c r="AK28" s="29"/>
      <c r="AL28" s="29"/>
      <c r="AM28" s="33"/>
      <c r="AN28" s="34"/>
      <c r="AO28" s="29"/>
      <c r="AP28" s="29"/>
      <c r="AQ28" s="29"/>
      <c r="AR28" s="138"/>
      <c r="AS28" s="138"/>
      <c r="AT28" s="139"/>
      <c r="AU28" s="139"/>
      <c r="AV28" s="139"/>
      <c r="AW28" s="140"/>
      <c r="AX28" s="49"/>
      <c r="AY28" s="138"/>
      <c r="AZ28" s="120">
        <v>0.5</v>
      </c>
      <c r="BA28" s="119">
        <v>0.5</v>
      </c>
      <c r="BB28" s="119">
        <v>1</v>
      </c>
      <c r="BC28" s="119">
        <v>1</v>
      </c>
      <c r="BD28" s="121">
        <v>1</v>
      </c>
      <c r="BE28" s="120">
        <v>1</v>
      </c>
      <c r="BF28" s="119">
        <v>1</v>
      </c>
      <c r="BG28" s="119">
        <v>1</v>
      </c>
      <c r="BH28" s="119">
        <v>1</v>
      </c>
      <c r="BI28" s="156">
        <v>0.75</v>
      </c>
      <c r="BJ28" s="117">
        <v>0.75</v>
      </c>
      <c r="BK28" s="117">
        <v>0.75</v>
      </c>
      <c r="BL28" s="156">
        <v>0.75</v>
      </c>
      <c r="BM28" s="120">
        <v>1</v>
      </c>
      <c r="BN28" s="119">
        <v>1</v>
      </c>
      <c r="BO28" s="119">
        <v>1</v>
      </c>
      <c r="BP28" s="119">
        <v>1</v>
      </c>
      <c r="BQ28" s="121">
        <v>1</v>
      </c>
      <c r="BR28" s="121">
        <v>1</v>
      </c>
      <c r="BS28" s="119">
        <v>1</v>
      </c>
      <c r="BT28" s="119">
        <v>1</v>
      </c>
      <c r="BU28" s="119">
        <v>1</v>
      </c>
      <c r="BV28" s="29"/>
      <c r="BW28" s="33"/>
      <c r="BX28" s="34"/>
      <c r="BY28" s="29"/>
      <c r="BZ28" s="29"/>
      <c r="CA28" s="29"/>
      <c r="CB28" s="33"/>
      <c r="CC28" s="34"/>
      <c r="CD28" s="29"/>
      <c r="CE28" s="29"/>
      <c r="CF28" s="29"/>
      <c r="CG28" s="33"/>
      <c r="CH28" s="34"/>
      <c r="CI28" s="29"/>
      <c r="CJ28" s="29"/>
      <c r="CK28" s="29"/>
      <c r="CL28" s="33"/>
      <c r="CM28" s="34"/>
      <c r="CN28" s="29"/>
      <c r="CO28" s="29"/>
      <c r="CP28" s="29"/>
      <c r="CQ28" s="33"/>
      <c r="CR28" s="34"/>
      <c r="CS28" s="29"/>
      <c r="CT28" s="29"/>
      <c r="CU28" s="29"/>
      <c r="CV28" s="33"/>
      <c r="CW28" s="34"/>
      <c r="CX28" s="29"/>
      <c r="CY28" s="29"/>
      <c r="CZ28" s="29"/>
      <c r="DA28" s="33"/>
      <c r="DB28" s="34"/>
      <c r="DC28" s="29"/>
      <c r="DD28" s="29"/>
      <c r="DE28" s="29"/>
      <c r="DF28" s="33"/>
      <c r="DG28" s="34"/>
      <c r="DH28" s="29"/>
      <c r="DI28" s="29"/>
      <c r="DJ28" s="29"/>
      <c r="DK28" s="33"/>
      <c r="DL28" s="26"/>
      <c r="DM28" s="34"/>
      <c r="DN28" s="29"/>
      <c r="DO28" s="29"/>
      <c r="DP28" s="29"/>
      <c r="DQ28" s="33"/>
      <c r="DR28" s="34"/>
      <c r="DS28" s="29"/>
      <c r="DT28" s="29"/>
      <c r="DU28" s="29"/>
      <c r="DV28" s="33"/>
      <c r="DW28" s="32"/>
      <c r="DX28" s="29"/>
      <c r="DY28" s="29"/>
      <c r="DZ28" s="29"/>
      <c r="EA28" s="29"/>
      <c r="EB28" s="29"/>
      <c r="EC28" s="29"/>
      <c r="ED28" s="29"/>
      <c r="EE28" s="29"/>
      <c r="EF28" s="29"/>
      <c r="EG28" s="27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7"/>
    </row>
    <row r="29" spans="1:161" ht="16.350000000000001" customHeight="1" outlineLevel="1">
      <c r="A29" s="28"/>
      <c r="B29" s="41"/>
      <c r="C29" s="40" t="s">
        <v>58</v>
      </c>
      <c r="D29" s="39">
        <f>SUM(AF29:XFD29)</f>
        <v>10</v>
      </c>
      <c r="E29" s="59"/>
      <c r="F29" s="38"/>
      <c r="G29" s="38"/>
      <c r="H29" s="58"/>
      <c r="I29" s="29"/>
      <c r="J29" s="29"/>
      <c r="K29" s="33"/>
      <c r="L29" s="34"/>
      <c r="M29" s="29"/>
      <c r="N29" s="29"/>
      <c r="O29" s="29"/>
      <c r="P29" s="33"/>
      <c r="Q29" s="34"/>
      <c r="R29" s="29"/>
      <c r="S29" s="29"/>
      <c r="T29" s="29"/>
      <c r="U29" s="33"/>
      <c r="V29" s="34"/>
      <c r="W29" s="29"/>
      <c r="X29" s="29"/>
      <c r="Y29" s="29"/>
      <c r="Z29" s="26"/>
      <c r="AA29" s="33"/>
      <c r="AB29" s="34"/>
      <c r="AC29" s="29"/>
      <c r="AD29" s="29"/>
      <c r="AE29" s="29"/>
      <c r="AF29" s="113"/>
      <c r="AG29" s="113"/>
      <c r="AH29" s="33"/>
      <c r="AI29" s="34"/>
      <c r="AJ29" s="29"/>
      <c r="AK29" s="29"/>
      <c r="AL29" s="29"/>
      <c r="AM29" s="33"/>
      <c r="AN29" s="34"/>
      <c r="AO29" s="29"/>
      <c r="AP29" s="29"/>
      <c r="AQ29" s="29"/>
      <c r="AR29" s="138"/>
      <c r="AS29" s="138"/>
      <c r="AT29" s="139"/>
      <c r="AU29" s="139"/>
      <c r="AV29" s="139"/>
      <c r="AW29" s="140"/>
      <c r="AX29" s="49"/>
      <c r="AY29" s="138"/>
      <c r="AZ29" s="29"/>
      <c r="BA29" s="29"/>
      <c r="BB29" s="29"/>
      <c r="BC29" s="33"/>
      <c r="BD29" s="34"/>
      <c r="BE29" s="29"/>
      <c r="BF29" s="29"/>
      <c r="BG29" s="29"/>
      <c r="BH29" s="33"/>
      <c r="BI29" s="34"/>
      <c r="BJ29" s="29"/>
      <c r="BK29" s="122"/>
      <c r="BL29" s="122"/>
      <c r="BM29" s="123"/>
      <c r="BN29" s="124"/>
      <c r="BO29" s="122"/>
      <c r="BP29" s="122"/>
      <c r="BQ29" s="122"/>
      <c r="BR29" s="123"/>
      <c r="BS29" s="124"/>
      <c r="BT29" s="122"/>
      <c r="BU29" s="29"/>
      <c r="BV29" s="119">
        <v>0.5</v>
      </c>
      <c r="BW29" s="119">
        <v>0.5</v>
      </c>
      <c r="BX29" s="119">
        <v>0.5</v>
      </c>
      <c r="BY29" s="119">
        <v>0.5</v>
      </c>
      <c r="BZ29" s="119">
        <v>0.5</v>
      </c>
      <c r="CA29" s="119">
        <v>0.5</v>
      </c>
      <c r="CB29" s="119">
        <v>0.5</v>
      </c>
      <c r="CC29" s="119">
        <v>0.5</v>
      </c>
      <c r="CD29" s="119">
        <v>0.5</v>
      </c>
      <c r="CE29" s="119">
        <v>0.5</v>
      </c>
      <c r="CF29" s="119">
        <v>0.5</v>
      </c>
      <c r="CG29" s="119">
        <v>0.5</v>
      </c>
      <c r="CH29" s="121">
        <v>0.5</v>
      </c>
      <c r="CI29" s="120">
        <v>0.5</v>
      </c>
      <c r="CJ29" s="119">
        <v>0.5</v>
      </c>
      <c r="CK29" s="119">
        <v>0.5</v>
      </c>
      <c r="CL29" s="119">
        <v>0.5</v>
      </c>
      <c r="CM29" s="121">
        <v>0.5</v>
      </c>
      <c r="CN29" s="120">
        <v>0.5</v>
      </c>
      <c r="CO29" s="119">
        <v>0.5</v>
      </c>
      <c r="CP29" s="29"/>
      <c r="CQ29" s="33"/>
      <c r="CR29" s="34"/>
      <c r="CS29" s="29"/>
      <c r="CT29" s="29"/>
      <c r="CU29" s="29"/>
      <c r="CV29" s="33"/>
      <c r="CW29" s="34"/>
      <c r="CX29" s="29"/>
      <c r="CY29" s="29"/>
      <c r="CZ29" s="29"/>
      <c r="DA29" s="33"/>
      <c r="DB29" s="34"/>
      <c r="DC29" s="29"/>
      <c r="DD29" s="29"/>
      <c r="DE29" s="29"/>
      <c r="DF29" s="33"/>
      <c r="DG29" s="34"/>
      <c r="DH29" s="29"/>
      <c r="DI29" s="29"/>
      <c r="DJ29" s="29"/>
      <c r="DK29" s="33"/>
      <c r="DL29" s="26"/>
      <c r="DM29" s="34"/>
      <c r="DN29" s="29"/>
      <c r="DO29" s="29"/>
      <c r="DP29" s="29"/>
      <c r="DQ29" s="33"/>
      <c r="DR29" s="34"/>
      <c r="DS29" s="29"/>
      <c r="DT29" s="29"/>
      <c r="DU29" s="29"/>
      <c r="DV29" s="33"/>
      <c r="DW29" s="32"/>
      <c r="DX29" s="29"/>
      <c r="DY29" s="29"/>
      <c r="DZ29" s="29"/>
      <c r="EA29" s="29"/>
      <c r="EB29" s="29"/>
      <c r="EC29" s="29"/>
      <c r="ED29" s="29"/>
      <c r="EE29" s="29"/>
      <c r="EF29" s="29"/>
      <c r="EG29" s="27"/>
      <c r="EH29" s="29"/>
      <c r="EI29" s="29"/>
      <c r="EJ29" s="29"/>
      <c r="EK29" s="29"/>
      <c r="EL29" s="31"/>
      <c r="EM29" s="30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7"/>
    </row>
    <row r="30" spans="1:161" ht="16.350000000000001" customHeight="1" outlineLevel="1">
      <c r="A30" s="28"/>
      <c r="B30" s="41"/>
      <c r="C30" s="40"/>
      <c r="D30" s="39">
        <f>SUM(AF30:XFD30)</f>
        <v>0</v>
      </c>
      <c r="E30" s="59"/>
      <c r="F30" s="38"/>
      <c r="G30" s="38"/>
      <c r="H30" s="58"/>
      <c r="I30" s="29"/>
      <c r="J30" s="29"/>
      <c r="K30" s="33"/>
      <c r="L30" s="34"/>
      <c r="M30" s="29"/>
      <c r="N30" s="29"/>
      <c r="O30" s="29"/>
      <c r="P30" s="33"/>
      <c r="Q30" s="34"/>
      <c r="R30" s="29"/>
      <c r="S30" s="29"/>
      <c r="T30" s="29"/>
      <c r="U30" s="33"/>
      <c r="V30" s="34"/>
      <c r="W30" s="29"/>
      <c r="X30" s="29"/>
      <c r="Y30" s="29"/>
      <c r="Z30" s="26"/>
      <c r="AA30" s="33"/>
      <c r="AB30" s="34"/>
      <c r="AC30" s="29"/>
      <c r="AD30" s="29"/>
      <c r="AE30" s="29"/>
      <c r="AF30" s="113"/>
      <c r="AG30" s="113"/>
      <c r="AH30" s="33"/>
      <c r="AI30" s="34"/>
      <c r="AJ30" s="29"/>
      <c r="AK30" s="29"/>
      <c r="AL30" s="29"/>
      <c r="AM30" s="33"/>
      <c r="AN30" s="34"/>
      <c r="AO30" s="29"/>
      <c r="AP30" s="29"/>
      <c r="AQ30" s="29"/>
      <c r="AR30" s="138"/>
      <c r="AS30" s="138"/>
      <c r="AT30" s="139"/>
      <c r="AU30" s="139"/>
      <c r="AV30" s="139"/>
      <c r="AW30" s="140"/>
      <c r="AX30" s="49"/>
      <c r="AY30" s="138"/>
      <c r="AZ30" s="29"/>
      <c r="BA30" s="29"/>
      <c r="BB30" s="29"/>
      <c r="BC30" s="33"/>
      <c r="BD30" s="34"/>
      <c r="BE30" s="29"/>
      <c r="BF30" s="29"/>
      <c r="BG30" s="29"/>
      <c r="BH30" s="33"/>
      <c r="BI30" s="34"/>
      <c r="BJ30" s="29"/>
      <c r="BK30" s="29"/>
      <c r="BL30" s="29"/>
      <c r="BM30" s="33"/>
      <c r="BN30" s="34"/>
      <c r="BO30" s="29"/>
      <c r="BP30" s="29"/>
      <c r="BQ30" s="29"/>
      <c r="BR30" s="33"/>
      <c r="BS30" s="34"/>
      <c r="BT30" s="29"/>
      <c r="BU30" s="29"/>
      <c r="BV30" s="29"/>
      <c r="BW30" s="33"/>
      <c r="BX30" s="34"/>
      <c r="BY30" s="29"/>
      <c r="BZ30" s="29"/>
      <c r="CA30" s="29"/>
      <c r="CB30" s="33"/>
      <c r="CC30" s="34"/>
      <c r="CD30" s="29"/>
      <c r="CE30" s="29"/>
      <c r="CF30" s="29"/>
      <c r="CG30" s="33"/>
      <c r="CH30" s="34"/>
      <c r="CI30" s="29"/>
      <c r="CJ30" s="29"/>
      <c r="CK30" s="29"/>
      <c r="CL30" s="33"/>
      <c r="CM30" s="34"/>
      <c r="CN30" s="29"/>
      <c r="CO30" s="29"/>
      <c r="CP30" s="29"/>
      <c r="CQ30" s="33"/>
      <c r="CR30" s="34"/>
      <c r="CS30" s="29"/>
      <c r="CT30" s="29"/>
      <c r="CU30" s="29"/>
      <c r="CV30" s="33"/>
      <c r="CW30" s="34"/>
      <c r="CX30" s="29"/>
      <c r="CY30" s="29"/>
      <c r="CZ30" s="29"/>
      <c r="DA30" s="33"/>
      <c r="DB30" s="34"/>
      <c r="DC30" s="29"/>
      <c r="DD30" s="29"/>
      <c r="DE30" s="29"/>
      <c r="DF30" s="33"/>
      <c r="DG30" s="34"/>
      <c r="DH30" s="29"/>
      <c r="DI30" s="29"/>
      <c r="DJ30" s="29"/>
      <c r="DK30" s="33"/>
      <c r="DL30" s="26"/>
      <c r="DM30" s="34"/>
      <c r="DN30" s="29"/>
      <c r="DO30" s="29"/>
      <c r="DP30" s="29"/>
      <c r="DQ30" s="33"/>
      <c r="DR30" s="34"/>
      <c r="DS30" s="29"/>
      <c r="DT30" s="29"/>
      <c r="DU30" s="29"/>
      <c r="DV30" s="33"/>
      <c r="DW30" s="32"/>
      <c r="DX30" s="29"/>
      <c r="DY30" s="29"/>
      <c r="DZ30" s="29"/>
      <c r="EA30" s="29"/>
      <c r="EB30" s="29"/>
      <c r="EC30" s="29"/>
      <c r="ED30" s="29"/>
      <c r="EE30" s="29"/>
      <c r="EF30" s="29"/>
      <c r="EG30" s="27"/>
      <c r="EH30" s="29"/>
      <c r="EI30" s="29"/>
      <c r="EJ30" s="29"/>
      <c r="EK30" s="29"/>
      <c r="EL30" s="31"/>
      <c r="EM30" s="30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7"/>
    </row>
    <row r="31" spans="1:161" ht="16.350000000000001" customHeight="1" outlineLevel="1">
      <c r="A31" s="28"/>
      <c r="B31" s="41"/>
      <c r="C31" s="40" t="s">
        <v>63</v>
      </c>
      <c r="D31" s="39">
        <f>SUM(AF31:XFD31)</f>
        <v>10</v>
      </c>
      <c r="E31" s="59"/>
      <c r="F31" s="38"/>
      <c r="G31" s="38"/>
      <c r="H31" s="58"/>
      <c r="I31" s="29"/>
      <c r="J31" s="29"/>
      <c r="K31" s="33"/>
      <c r="L31" s="34"/>
      <c r="M31" s="29"/>
      <c r="N31" s="29"/>
      <c r="O31" s="29"/>
      <c r="P31" s="33"/>
      <c r="Q31" s="34"/>
      <c r="R31" s="29"/>
      <c r="S31" s="29"/>
      <c r="T31" s="29"/>
      <c r="U31" s="33"/>
      <c r="V31" s="34"/>
      <c r="W31" s="29"/>
      <c r="X31" s="29"/>
      <c r="Y31" s="29"/>
      <c r="Z31" s="26"/>
      <c r="AA31" s="33"/>
      <c r="AB31" s="34"/>
      <c r="AC31" s="29"/>
      <c r="AD31" s="29"/>
      <c r="AE31" s="29"/>
      <c r="AF31" s="113"/>
      <c r="AG31" s="113"/>
      <c r="AH31" s="33"/>
      <c r="AI31" s="34"/>
      <c r="AJ31" s="29"/>
      <c r="AK31" s="29"/>
      <c r="AL31" s="29"/>
      <c r="AM31" s="33"/>
      <c r="AN31" s="34"/>
      <c r="AO31" s="114"/>
      <c r="AP31" s="29"/>
      <c r="AQ31" s="29"/>
      <c r="AR31" s="138"/>
      <c r="AS31" s="138"/>
      <c r="AT31" s="139"/>
      <c r="AU31" s="139"/>
      <c r="AV31" s="139"/>
      <c r="AW31" s="140"/>
      <c r="AX31" s="49"/>
      <c r="AY31" s="138"/>
      <c r="AZ31" s="29"/>
      <c r="BA31" s="29"/>
      <c r="BB31" s="29"/>
      <c r="BC31" s="33"/>
      <c r="BD31" s="34"/>
      <c r="BE31" s="29"/>
      <c r="BF31" s="29"/>
      <c r="BG31" s="29"/>
      <c r="BH31" s="33"/>
      <c r="BI31" s="34"/>
      <c r="BJ31" s="29"/>
      <c r="BK31" s="29"/>
      <c r="BL31" s="29"/>
      <c r="BM31" s="33"/>
      <c r="BN31" s="34"/>
      <c r="BO31" s="29"/>
      <c r="BP31" s="29"/>
      <c r="BQ31" s="29"/>
      <c r="BR31" s="33"/>
      <c r="BS31" s="34"/>
      <c r="BT31" s="29"/>
      <c r="BV31" s="126">
        <v>1</v>
      </c>
      <c r="BW31" s="127">
        <v>1</v>
      </c>
      <c r="BX31" s="125">
        <v>1</v>
      </c>
      <c r="BY31" s="125">
        <v>1</v>
      </c>
      <c r="BZ31" s="125">
        <v>1</v>
      </c>
      <c r="CA31" s="126">
        <v>1</v>
      </c>
      <c r="CB31" s="127">
        <v>1</v>
      </c>
      <c r="CC31" s="125">
        <v>1</v>
      </c>
      <c r="CD31" s="125">
        <v>1</v>
      </c>
      <c r="CE31" s="157">
        <v>0.5</v>
      </c>
      <c r="CF31" s="157">
        <v>0.5</v>
      </c>
      <c r="CG31" s="33"/>
      <c r="CH31" s="34"/>
      <c r="CI31" s="29"/>
      <c r="CJ31" s="29"/>
      <c r="CK31" s="29"/>
      <c r="CL31" s="33"/>
      <c r="CM31" s="34"/>
      <c r="CN31" s="29"/>
      <c r="CO31" s="29"/>
      <c r="CP31" s="29"/>
      <c r="CQ31" s="33"/>
      <c r="CR31" s="34"/>
      <c r="CS31" s="29"/>
      <c r="CT31" s="29"/>
      <c r="CU31" s="29"/>
      <c r="CV31" s="33"/>
      <c r="CW31" s="34"/>
      <c r="CX31" s="29"/>
      <c r="CY31" s="29"/>
      <c r="CZ31" s="29"/>
      <c r="DA31" s="33"/>
      <c r="DB31" s="34"/>
      <c r="DC31" s="29"/>
      <c r="DD31" s="29"/>
      <c r="DE31" s="29"/>
      <c r="DF31" s="33"/>
      <c r="DG31" s="34"/>
      <c r="DH31" s="29"/>
      <c r="DI31" s="29"/>
      <c r="DJ31" s="29"/>
      <c r="DK31" s="33"/>
      <c r="DL31" s="26"/>
      <c r="DM31" s="34"/>
      <c r="DN31" s="29"/>
      <c r="DO31" s="29"/>
      <c r="DP31" s="29"/>
      <c r="DQ31" s="33"/>
      <c r="DR31" s="34"/>
      <c r="DS31" s="29"/>
      <c r="DT31" s="29"/>
      <c r="DU31" s="29"/>
      <c r="DV31" s="33"/>
      <c r="DW31" s="32"/>
      <c r="DX31" s="29"/>
      <c r="DY31" s="29"/>
      <c r="DZ31" s="29"/>
      <c r="EA31" s="29"/>
      <c r="EB31" s="29"/>
      <c r="EC31" s="29"/>
      <c r="ED31" s="29"/>
      <c r="EE31" s="29"/>
      <c r="EF31" s="29"/>
      <c r="EG31" s="27"/>
      <c r="EH31" s="29"/>
      <c r="EI31" s="29"/>
      <c r="EJ31" s="29"/>
      <c r="EK31" s="29"/>
      <c r="EL31" s="31"/>
      <c r="EM31" s="30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7"/>
    </row>
    <row r="32" spans="1:161" ht="15.75" customHeight="1" outlineLevel="1">
      <c r="A32" s="28"/>
      <c r="B32" s="41"/>
      <c r="C32" s="40" t="s">
        <v>58</v>
      </c>
      <c r="D32" s="39">
        <f>SUM(AF32:XFD32)</f>
        <v>5</v>
      </c>
      <c r="E32" s="59"/>
      <c r="F32" s="38"/>
      <c r="G32" s="38"/>
      <c r="H32" s="58"/>
      <c r="I32" s="29"/>
      <c r="J32" s="29"/>
      <c r="K32" s="33"/>
      <c r="L32" s="34"/>
      <c r="M32" s="29"/>
      <c r="N32" s="29"/>
      <c r="O32" s="29"/>
      <c r="P32" s="33"/>
      <c r="Q32" s="34"/>
      <c r="R32" s="29"/>
      <c r="S32" s="29"/>
      <c r="T32" s="29"/>
      <c r="U32" s="33"/>
      <c r="V32" s="34"/>
      <c r="W32" s="29"/>
      <c r="X32" s="29"/>
      <c r="Y32" s="29"/>
      <c r="Z32" s="26"/>
      <c r="AA32" s="33"/>
      <c r="AB32" s="34"/>
      <c r="AC32" s="29"/>
      <c r="AD32" s="29"/>
      <c r="AE32" s="29"/>
      <c r="AF32" s="113"/>
      <c r="AG32" s="113"/>
      <c r="AH32" s="33"/>
      <c r="AI32" s="34"/>
      <c r="AJ32" s="29"/>
      <c r="AK32" s="29"/>
      <c r="AL32" s="29"/>
      <c r="AM32" s="33"/>
      <c r="AN32" s="34"/>
      <c r="AO32" s="29"/>
      <c r="AP32" s="29"/>
      <c r="AQ32" s="29"/>
      <c r="AR32" s="138"/>
      <c r="AS32" s="138"/>
      <c r="AT32" s="139"/>
      <c r="AU32" s="139"/>
      <c r="AV32" s="139"/>
      <c r="AW32" s="140"/>
      <c r="AX32" s="49"/>
      <c r="AY32" s="138"/>
      <c r="AZ32" s="29"/>
      <c r="BA32" s="29"/>
      <c r="BB32" s="29"/>
      <c r="BC32" s="33"/>
      <c r="BD32" s="34"/>
      <c r="BE32" s="29"/>
      <c r="BF32" s="29"/>
      <c r="BG32" s="29"/>
      <c r="BH32" s="33"/>
      <c r="BI32" s="34"/>
      <c r="BJ32" s="29"/>
      <c r="BK32" s="29"/>
      <c r="BL32" s="29"/>
      <c r="BM32" s="33"/>
      <c r="BN32" s="34"/>
      <c r="BO32" s="29"/>
      <c r="BP32" s="29"/>
      <c r="BQ32" s="29"/>
      <c r="BR32" s="33"/>
      <c r="BS32" s="34"/>
      <c r="BT32" s="29"/>
      <c r="BU32" s="29"/>
      <c r="BV32" s="29"/>
      <c r="BW32" s="33"/>
      <c r="BX32" s="34"/>
      <c r="BY32" s="29"/>
      <c r="BZ32" s="29"/>
      <c r="CA32" s="29"/>
      <c r="CB32" s="33"/>
      <c r="CC32" s="34"/>
      <c r="CD32" s="29"/>
      <c r="CE32" s="116"/>
      <c r="CF32" s="116"/>
      <c r="CG32" s="125">
        <v>0.5</v>
      </c>
      <c r="CH32" s="126">
        <v>0.5</v>
      </c>
      <c r="CI32" s="127">
        <v>0.5</v>
      </c>
      <c r="CJ32" s="125">
        <v>0.5</v>
      </c>
      <c r="CK32" s="125">
        <v>0.5</v>
      </c>
      <c r="CL32" s="125">
        <v>0.5</v>
      </c>
      <c r="CM32" s="126">
        <v>0.5</v>
      </c>
      <c r="CN32" s="127">
        <v>0.5</v>
      </c>
      <c r="CO32" s="125">
        <v>0.5</v>
      </c>
      <c r="CP32" s="125">
        <v>0.5</v>
      </c>
      <c r="CQ32" s="33"/>
      <c r="CR32" s="34"/>
      <c r="CS32" s="29"/>
      <c r="CT32" s="29"/>
      <c r="CU32" s="29"/>
      <c r="CV32" s="33"/>
      <c r="CW32" s="34"/>
      <c r="CX32" s="29"/>
      <c r="CY32" s="29"/>
      <c r="CZ32" s="29"/>
      <c r="DA32" s="33"/>
      <c r="DB32" s="34"/>
      <c r="DC32" s="29"/>
      <c r="DD32" s="29"/>
      <c r="DE32" s="29"/>
      <c r="DF32" s="33"/>
      <c r="DG32" s="34"/>
      <c r="DH32" s="29"/>
      <c r="DI32" s="29"/>
      <c r="DJ32" s="29"/>
      <c r="DK32" s="33"/>
      <c r="DL32" s="26"/>
      <c r="DM32" s="34"/>
      <c r="DN32" s="29"/>
      <c r="DO32" s="29"/>
      <c r="DP32" s="29"/>
      <c r="DQ32" s="33"/>
      <c r="DR32" s="34"/>
      <c r="DS32" s="29"/>
      <c r="DT32" s="29"/>
      <c r="DU32" s="29"/>
      <c r="DV32" s="33"/>
      <c r="DW32" s="32"/>
      <c r="DX32" s="29"/>
      <c r="DY32" s="29"/>
      <c r="DZ32" s="29"/>
      <c r="EA32" s="29"/>
      <c r="EB32" s="29"/>
      <c r="EC32" s="29"/>
      <c r="ED32" s="29"/>
      <c r="EE32" s="29"/>
      <c r="EF32" s="29"/>
      <c r="EG32" s="27"/>
      <c r="EH32" s="29"/>
      <c r="EI32" s="29"/>
      <c r="EJ32" s="29"/>
      <c r="EK32" s="29"/>
      <c r="EL32" s="31"/>
      <c r="EM32" s="30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7"/>
    </row>
    <row r="33" spans="1:161" ht="16.350000000000001" customHeight="1">
      <c r="A33" s="28" t="s">
        <v>38</v>
      </c>
      <c r="B33" s="54">
        <v>3</v>
      </c>
      <c r="C33" s="53" t="s">
        <v>57</v>
      </c>
      <c r="D33" s="49"/>
      <c r="E33" s="52"/>
      <c r="F33" s="52"/>
      <c r="G33" s="52"/>
      <c r="H33" s="58"/>
      <c r="I33" s="49"/>
      <c r="J33" s="49"/>
      <c r="K33" s="50"/>
      <c r="L33" s="51"/>
      <c r="M33" s="49"/>
      <c r="N33" s="49"/>
      <c r="O33" s="49"/>
      <c r="P33" s="50"/>
      <c r="Q33" s="51"/>
      <c r="R33" s="49"/>
      <c r="S33" s="49"/>
      <c r="T33" s="49"/>
      <c r="U33" s="50"/>
      <c r="V33" s="51"/>
      <c r="W33" s="49"/>
      <c r="X33" s="49"/>
      <c r="Y33" s="49"/>
      <c r="Z33" s="26"/>
      <c r="AA33" s="50"/>
      <c r="AB33" s="51"/>
      <c r="AC33" s="49"/>
      <c r="AD33" s="49"/>
      <c r="AE33" s="49"/>
      <c r="AF33" s="49"/>
      <c r="AG33" s="49"/>
      <c r="AH33" s="50"/>
      <c r="AI33" s="51"/>
      <c r="AJ33" s="49"/>
      <c r="AK33" s="49"/>
      <c r="AL33" s="49"/>
      <c r="AM33" s="50"/>
      <c r="AN33" s="51"/>
      <c r="AO33" s="49"/>
      <c r="AP33" s="49"/>
      <c r="AQ33" s="49"/>
      <c r="AR33" s="51"/>
      <c r="AS33" s="51"/>
      <c r="AT33" s="49"/>
      <c r="AU33" s="49"/>
      <c r="AV33" s="49"/>
      <c r="AW33" s="50"/>
      <c r="AX33" s="49"/>
      <c r="AY33" s="51"/>
      <c r="AZ33" s="49"/>
      <c r="BA33" s="49"/>
      <c r="BB33" s="49"/>
      <c r="BC33" s="50"/>
      <c r="BD33" s="51"/>
      <c r="BE33" s="49"/>
      <c r="BF33" s="49"/>
      <c r="BG33" s="49"/>
      <c r="BH33" s="50"/>
      <c r="BI33" s="51"/>
      <c r="BJ33" s="49"/>
      <c r="BK33" s="49"/>
      <c r="BL33" s="49"/>
      <c r="BM33" s="50"/>
      <c r="BN33" s="51"/>
      <c r="BO33" s="49"/>
      <c r="BP33" s="49"/>
      <c r="BQ33" s="49"/>
      <c r="BR33" s="50"/>
      <c r="BS33" s="51"/>
      <c r="BT33" s="49"/>
      <c r="BU33" s="49"/>
      <c r="BV33" s="49"/>
      <c r="BW33" s="50"/>
      <c r="BX33" s="51"/>
      <c r="BY33" s="49"/>
      <c r="BZ33" s="49"/>
      <c r="CA33" s="49"/>
      <c r="CB33" s="50"/>
      <c r="CC33" s="51"/>
      <c r="CD33" s="49"/>
      <c r="CE33" s="49"/>
      <c r="CF33" s="49"/>
      <c r="CG33" s="50"/>
      <c r="CH33" s="51"/>
      <c r="CI33" s="49"/>
      <c r="CJ33" s="49"/>
      <c r="CK33" s="49"/>
      <c r="CL33" s="50"/>
      <c r="CM33" s="51"/>
      <c r="CN33" s="49"/>
      <c r="CO33" s="49"/>
      <c r="CP33" s="49"/>
      <c r="CQ33" s="50"/>
      <c r="CR33" s="51"/>
      <c r="CS33" s="49"/>
      <c r="CT33" s="49"/>
      <c r="CU33" s="49"/>
      <c r="CV33" s="50"/>
      <c r="CW33" s="51"/>
      <c r="CX33" s="49"/>
      <c r="CY33" s="49"/>
      <c r="CZ33" s="49"/>
      <c r="DA33" s="50"/>
      <c r="DB33" s="51"/>
      <c r="DC33" s="49"/>
      <c r="DD33" s="49"/>
      <c r="DE33" s="49"/>
      <c r="DF33" s="50"/>
      <c r="DG33" s="51"/>
      <c r="DH33" s="49"/>
      <c r="DI33" s="49"/>
      <c r="DJ33" s="49"/>
      <c r="DK33" s="50"/>
      <c r="DL33" s="26"/>
      <c r="DM33" s="51"/>
      <c r="DN33" s="49"/>
      <c r="DO33" s="49"/>
      <c r="DP33" s="49"/>
      <c r="DQ33" s="50"/>
      <c r="DR33" s="51"/>
      <c r="DS33" s="49"/>
      <c r="DT33" s="49"/>
      <c r="DU33" s="49"/>
      <c r="DV33" s="50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26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26"/>
    </row>
    <row r="34" spans="1:161" ht="16.350000000000001" customHeight="1">
      <c r="A34" s="28" t="s">
        <v>37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7" t="s">
        <v>64</v>
      </c>
      <c r="D34" s="39">
        <f>SUM(AF34:XFD34)</f>
        <v>0</v>
      </c>
      <c r="E34" s="43"/>
      <c r="F34" s="43"/>
      <c r="G34" s="43"/>
      <c r="H34" s="58"/>
      <c r="I34" s="45"/>
      <c r="J34" s="45"/>
      <c r="K34" s="44"/>
      <c r="L34" s="46"/>
      <c r="M34" s="45"/>
      <c r="N34" s="45"/>
      <c r="O34" s="45"/>
      <c r="P34" s="44"/>
      <c r="Q34" s="46"/>
      <c r="R34" s="45"/>
      <c r="S34" s="45"/>
      <c r="T34" s="45"/>
      <c r="U34" s="44"/>
      <c r="V34" s="46"/>
      <c r="W34" s="45"/>
      <c r="X34" s="45"/>
      <c r="Y34" s="45"/>
      <c r="Z34" s="42"/>
      <c r="AA34" s="44"/>
      <c r="AB34" s="46"/>
      <c r="AC34" s="45"/>
      <c r="AD34" s="45"/>
      <c r="AE34" s="45"/>
      <c r="AF34" s="45"/>
      <c r="AG34" s="114"/>
      <c r="AH34" s="44"/>
      <c r="AI34" s="46"/>
      <c r="AJ34" s="45"/>
      <c r="AK34" s="45"/>
      <c r="AL34" s="45"/>
      <c r="AM34" s="44"/>
      <c r="AN34" s="46"/>
      <c r="AO34" s="45"/>
      <c r="AP34" s="45"/>
      <c r="AQ34" s="45"/>
      <c r="AR34" s="141"/>
      <c r="AS34" s="141"/>
      <c r="AT34" s="142"/>
      <c r="AU34" s="142"/>
      <c r="AV34" s="142"/>
      <c r="AW34" s="143"/>
      <c r="AX34" s="142"/>
      <c r="AY34" s="141"/>
      <c r="AZ34" s="45"/>
      <c r="BA34" s="45"/>
      <c r="BB34" s="45"/>
      <c r="BC34" s="44"/>
      <c r="BD34" s="46"/>
      <c r="BE34" s="45"/>
      <c r="BF34" s="45"/>
      <c r="BG34" s="45"/>
      <c r="BH34" s="44"/>
      <c r="BI34" s="46"/>
      <c r="BJ34" s="45"/>
      <c r="BK34" s="45"/>
      <c r="BL34" s="45"/>
      <c r="BM34" s="44"/>
      <c r="BN34" s="46"/>
      <c r="BO34" s="45"/>
      <c r="BP34" s="45"/>
      <c r="BQ34" s="45"/>
      <c r="BR34" s="44"/>
      <c r="BS34" s="46"/>
      <c r="BT34" s="45"/>
      <c r="BU34" s="45"/>
      <c r="BV34" s="45"/>
      <c r="BW34" s="44"/>
      <c r="BX34" s="46"/>
      <c r="BY34" s="45"/>
      <c r="BZ34" s="45"/>
      <c r="CA34" s="45"/>
      <c r="CB34" s="44"/>
      <c r="CC34" s="46"/>
      <c r="CD34" s="45"/>
      <c r="CE34" s="45"/>
      <c r="CF34" s="45"/>
      <c r="CG34" s="44"/>
      <c r="CH34" s="46"/>
      <c r="CI34" s="45"/>
      <c r="CJ34" s="45"/>
      <c r="CK34" s="45"/>
      <c r="CL34" s="44"/>
      <c r="CM34" s="46"/>
      <c r="CN34" s="45"/>
      <c r="CO34" s="45"/>
      <c r="CP34" s="45"/>
      <c r="CQ34" s="44"/>
      <c r="CR34" s="46"/>
      <c r="CS34" s="45"/>
      <c r="CT34" s="45"/>
      <c r="CU34" s="45"/>
      <c r="CV34" s="44"/>
      <c r="CW34" s="46"/>
      <c r="CX34" s="45"/>
      <c r="CY34" s="45"/>
      <c r="CZ34" s="45"/>
      <c r="DA34" s="44"/>
      <c r="DB34" s="46"/>
      <c r="DC34" s="45"/>
      <c r="DD34" s="45"/>
      <c r="DE34" s="45"/>
      <c r="DF34" s="44"/>
      <c r="DG34" s="46"/>
      <c r="DH34" s="45"/>
      <c r="DI34" s="45"/>
      <c r="DJ34" s="45"/>
      <c r="DK34" s="44"/>
      <c r="DL34" s="42"/>
      <c r="DM34" s="46"/>
      <c r="DN34" s="45"/>
      <c r="DO34" s="45"/>
      <c r="DP34" s="45"/>
      <c r="DQ34" s="44"/>
      <c r="DR34" s="46"/>
      <c r="DS34" s="45"/>
      <c r="DT34" s="45"/>
      <c r="DU34" s="45"/>
      <c r="DV34" s="44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2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2"/>
    </row>
    <row r="35" spans="1:161" ht="16.350000000000001" customHeight="1">
      <c r="A35" s="28" t="s">
        <v>37</v>
      </c>
      <c r="B35" s="48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47" t="s">
        <v>63</v>
      </c>
      <c r="D35" s="39">
        <f>SUM(AF35:XFD35)</f>
        <v>0</v>
      </c>
      <c r="E35" s="43"/>
      <c r="F35" s="43"/>
      <c r="G35" s="43"/>
      <c r="I35" s="45"/>
      <c r="J35" s="45"/>
      <c r="K35" s="44"/>
      <c r="L35" s="46"/>
      <c r="M35" s="45"/>
      <c r="N35" s="45"/>
      <c r="O35" s="45"/>
      <c r="P35" s="44"/>
      <c r="Q35" s="46"/>
      <c r="R35" s="45"/>
      <c r="S35" s="45"/>
      <c r="T35" s="45"/>
      <c r="U35" s="44"/>
      <c r="V35" s="46"/>
      <c r="W35" s="45"/>
      <c r="X35" s="45"/>
      <c r="Y35" s="45"/>
      <c r="Z35" s="42"/>
      <c r="AA35" s="44"/>
      <c r="AB35" s="46"/>
      <c r="AC35" s="45"/>
      <c r="AD35" s="45"/>
      <c r="AE35" s="45"/>
      <c r="AF35" s="45"/>
      <c r="AG35" s="45"/>
      <c r="AH35" s="44"/>
      <c r="AI35" s="46"/>
      <c r="AJ35" s="45"/>
      <c r="AK35" s="45"/>
      <c r="AL35" s="45"/>
      <c r="AM35" s="44"/>
      <c r="AN35" s="46"/>
      <c r="AO35" s="114"/>
      <c r="AP35" s="45"/>
      <c r="AQ35" s="45"/>
      <c r="AR35" s="141"/>
      <c r="AS35" s="141"/>
      <c r="AT35" s="142"/>
      <c r="AU35" s="142"/>
      <c r="AV35" s="142"/>
      <c r="AW35" s="143"/>
      <c r="AX35" s="142"/>
      <c r="AY35" s="141"/>
      <c r="AZ35" s="45"/>
      <c r="BA35" s="45"/>
      <c r="BB35" s="45"/>
      <c r="BC35" s="44"/>
      <c r="BD35" s="46"/>
      <c r="BE35" s="45"/>
      <c r="BF35" s="45"/>
      <c r="BG35" s="45"/>
      <c r="BH35" s="44"/>
      <c r="BI35" s="46"/>
      <c r="BJ35" s="45"/>
      <c r="BK35" s="45"/>
      <c r="BL35" s="45"/>
      <c r="BM35" s="44"/>
      <c r="BN35" s="46"/>
      <c r="BO35" s="45"/>
      <c r="BP35" s="45"/>
      <c r="BQ35" s="45"/>
      <c r="BR35" s="44"/>
      <c r="BS35" s="46"/>
      <c r="BT35" s="45"/>
      <c r="BU35" s="45"/>
      <c r="BV35" s="45"/>
      <c r="BW35" s="44"/>
      <c r="BX35" s="46"/>
      <c r="BY35" s="45"/>
      <c r="BZ35" s="45"/>
      <c r="CA35" s="45"/>
      <c r="CB35" s="44"/>
      <c r="CC35" s="46"/>
      <c r="CD35" s="45"/>
      <c r="CE35" s="45"/>
      <c r="CF35" s="45"/>
      <c r="CG35" s="44"/>
      <c r="CH35" s="46"/>
      <c r="CI35" s="45"/>
      <c r="CJ35" s="45"/>
      <c r="CK35" s="45"/>
      <c r="CL35" s="44"/>
      <c r="CM35" s="46"/>
      <c r="CN35" s="45"/>
      <c r="CO35" s="45"/>
      <c r="CP35" s="45"/>
      <c r="CQ35" s="44"/>
      <c r="CR35" s="46"/>
      <c r="CS35" s="45"/>
      <c r="CT35" s="45"/>
      <c r="CU35" s="45"/>
      <c r="CV35" s="44"/>
      <c r="CW35" s="46"/>
      <c r="CX35" s="45"/>
      <c r="CY35" s="45"/>
      <c r="CZ35" s="45"/>
      <c r="DA35" s="44"/>
      <c r="DB35" s="46"/>
      <c r="DC35" s="45"/>
      <c r="DD35" s="45"/>
      <c r="DE35" s="45"/>
      <c r="DF35" s="44"/>
      <c r="DG35" s="46"/>
      <c r="DH35" s="45"/>
      <c r="DI35" s="45"/>
      <c r="DJ35" s="45"/>
      <c r="DK35" s="44"/>
      <c r="DL35" s="42"/>
      <c r="DM35" s="46"/>
      <c r="DN35" s="45"/>
      <c r="DO35" s="45"/>
      <c r="DP35" s="45"/>
      <c r="DQ35" s="44"/>
      <c r="DR35" s="46"/>
      <c r="DS35" s="45"/>
      <c r="DT35" s="45"/>
      <c r="DU35" s="45"/>
      <c r="DV35" s="44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2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2"/>
    </row>
    <row r="36" spans="1:161" ht="16.350000000000001" customHeight="1">
      <c r="A36" s="28" t="s">
        <v>38</v>
      </c>
      <c r="B36" s="54">
        <v>4</v>
      </c>
      <c r="C36" s="53" t="s">
        <v>68</v>
      </c>
      <c r="D36" s="49"/>
      <c r="E36" s="52"/>
      <c r="F36" s="52"/>
      <c r="G36" s="52"/>
      <c r="H36" s="28"/>
      <c r="I36" s="49"/>
      <c r="J36" s="49"/>
      <c r="K36" s="50"/>
      <c r="L36" s="51"/>
      <c r="M36" s="49"/>
      <c r="N36" s="49"/>
      <c r="O36" s="49"/>
      <c r="P36" s="50"/>
      <c r="Q36" s="51"/>
      <c r="R36" s="49"/>
      <c r="S36" s="49"/>
      <c r="T36" s="49"/>
      <c r="U36" s="50"/>
      <c r="V36" s="51"/>
      <c r="W36" s="49"/>
      <c r="X36" s="49"/>
      <c r="Y36" s="49"/>
      <c r="Z36" s="26"/>
      <c r="AA36" s="50"/>
      <c r="AB36" s="51"/>
      <c r="AC36" s="49"/>
      <c r="AD36" s="49"/>
      <c r="AE36" s="49"/>
      <c r="AF36" s="49"/>
      <c r="AG36" s="49"/>
      <c r="AH36" s="50"/>
      <c r="AI36" s="51"/>
      <c r="AJ36" s="49"/>
      <c r="AK36" s="49"/>
      <c r="AL36" s="49"/>
      <c r="AM36" s="50"/>
      <c r="AN36" s="51"/>
      <c r="AO36" s="49"/>
      <c r="AP36" s="49"/>
      <c r="AQ36" s="49"/>
      <c r="AR36" s="51"/>
      <c r="AS36" s="51"/>
      <c r="AT36" s="49"/>
      <c r="AU36" s="49"/>
      <c r="AV36" s="49"/>
      <c r="AW36" s="50"/>
      <c r="AX36" s="49"/>
      <c r="AY36" s="51"/>
      <c r="AZ36" s="49"/>
      <c r="BA36" s="49"/>
      <c r="BB36" s="49"/>
      <c r="BC36" s="50"/>
      <c r="BD36" s="51"/>
      <c r="BE36" s="49"/>
      <c r="BF36" s="49"/>
      <c r="BG36" s="49"/>
      <c r="BH36" s="50"/>
      <c r="BI36" s="51"/>
      <c r="BJ36" s="49"/>
      <c r="BK36" s="49"/>
      <c r="BL36" s="49"/>
      <c r="BM36" s="50"/>
      <c r="BN36" s="51"/>
      <c r="BO36" s="49"/>
      <c r="BP36" s="49"/>
      <c r="BQ36" s="49"/>
      <c r="BR36" s="50"/>
      <c r="BS36" s="51"/>
      <c r="BT36" s="49"/>
      <c r="BU36" s="49"/>
      <c r="BV36" s="49"/>
      <c r="BW36" s="50"/>
      <c r="BX36" s="51"/>
      <c r="BY36" s="49"/>
      <c r="BZ36" s="49"/>
      <c r="CA36" s="49"/>
      <c r="CB36" s="50"/>
      <c r="CC36" s="51"/>
      <c r="CD36" s="49"/>
      <c r="CE36" s="49"/>
      <c r="CF36" s="49"/>
      <c r="CG36" s="50"/>
      <c r="CH36" s="51"/>
      <c r="CI36" s="49"/>
      <c r="CJ36" s="49"/>
      <c r="CK36" s="49"/>
      <c r="CL36" s="50"/>
      <c r="CM36" s="51"/>
      <c r="CN36" s="49"/>
      <c r="CO36" s="49"/>
      <c r="CP36" s="49"/>
      <c r="CQ36" s="50"/>
      <c r="CR36" s="51"/>
      <c r="CS36" s="49"/>
      <c r="CT36" s="49"/>
      <c r="CU36" s="49"/>
      <c r="CV36" s="50"/>
      <c r="CW36" s="51"/>
      <c r="CX36" s="49"/>
      <c r="CY36" s="49"/>
      <c r="CZ36" s="49"/>
      <c r="DA36" s="50"/>
      <c r="DB36" s="51"/>
      <c r="DC36" s="49"/>
      <c r="DD36" s="49"/>
      <c r="DE36" s="49"/>
      <c r="DF36" s="50"/>
      <c r="DG36" s="51"/>
      <c r="DH36" s="49"/>
      <c r="DI36" s="49"/>
      <c r="DJ36" s="49"/>
      <c r="DK36" s="50"/>
      <c r="DL36" s="26"/>
      <c r="DM36" s="51"/>
      <c r="DN36" s="49"/>
      <c r="DO36" s="49"/>
      <c r="DP36" s="49"/>
      <c r="DQ36" s="50"/>
      <c r="DR36" s="51"/>
      <c r="DS36" s="49"/>
      <c r="DT36" s="49"/>
      <c r="DU36" s="49"/>
      <c r="DV36" s="50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26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26"/>
    </row>
    <row r="37" spans="1:161" ht="16.350000000000001" customHeight="1">
      <c r="A37" s="28" t="s">
        <v>37</v>
      </c>
      <c r="B37" s="48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47" t="s">
        <v>69</v>
      </c>
      <c r="D37" s="39">
        <f>SUM(AF37:XFD37)</f>
        <v>0</v>
      </c>
      <c r="E37" s="43"/>
      <c r="F37" s="43"/>
      <c r="G37" s="43"/>
      <c r="H37" s="28"/>
      <c r="I37" s="45"/>
      <c r="J37" s="45"/>
      <c r="K37" s="44"/>
      <c r="L37" s="46"/>
      <c r="M37" s="45"/>
      <c r="N37" s="45"/>
      <c r="O37" s="45"/>
      <c r="P37" s="44"/>
      <c r="Q37" s="46"/>
      <c r="R37" s="45"/>
      <c r="S37" s="45"/>
      <c r="T37" s="45"/>
      <c r="U37" s="44"/>
      <c r="V37" s="46"/>
      <c r="W37" s="45"/>
      <c r="X37" s="45"/>
      <c r="Y37" s="45"/>
      <c r="Z37" s="42"/>
      <c r="AA37" s="44"/>
      <c r="AB37" s="46"/>
      <c r="AC37" s="45"/>
      <c r="AD37" s="45"/>
      <c r="AE37" s="45"/>
      <c r="AF37" s="45"/>
      <c r="AG37" s="45"/>
      <c r="AH37" s="44"/>
      <c r="AI37" s="46"/>
      <c r="AJ37" s="45"/>
      <c r="AK37" s="45"/>
      <c r="AL37" s="45"/>
      <c r="AM37" s="44"/>
      <c r="AN37" s="46"/>
      <c r="AO37" s="45"/>
      <c r="AP37" s="45"/>
      <c r="AQ37" s="45"/>
      <c r="AR37" s="141"/>
      <c r="AS37" s="141"/>
      <c r="AT37" s="142"/>
      <c r="AU37" s="142"/>
      <c r="AV37" s="142"/>
      <c r="AW37" s="143"/>
      <c r="AX37" s="142"/>
      <c r="AY37" s="141"/>
      <c r="AZ37" s="45"/>
      <c r="BA37" s="45"/>
      <c r="BB37" s="45"/>
      <c r="BC37" s="44"/>
      <c r="BD37" s="46"/>
      <c r="BE37" s="45"/>
      <c r="BF37" s="45"/>
      <c r="BG37" s="45"/>
      <c r="BH37" s="44"/>
      <c r="BI37" s="46"/>
      <c r="BJ37" s="45"/>
      <c r="BK37" s="45"/>
      <c r="BL37" s="45"/>
      <c r="BM37" s="44"/>
      <c r="BN37" s="46"/>
      <c r="BO37" s="45"/>
      <c r="BP37" s="45"/>
      <c r="BQ37" s="45"/>
      <c r="BR37" s="44"/>
      <c r="BS37" s="46"/>
      <c r="BT37" s="45"/>
      <c r="BU37" s="45"/>
      <c r="BV37" s="45"/>
      <c r="BW37" s="44"/>
      <c r="BX37" s="46"/>
      <c r="BY37" s="45"/>
      <c r="BZ37" s="45"/>
      <c r="CA37" s="45"/>
      <c r="CB37" s="44"/>
      <c r="CC37" s="46"/>
      <c r="CD37" s="45"/>
      <c r="CE37" s="45"/>
      <c r="CF37" s="45"/>
      <c r="CG37" s="44"/>
      <c r="CH37" s="46"/>
      <c r="CI37" s="45"/>
      <c r="CJ37" s="45"/>
      <c r="CK37" s="45"/>
      <c r="CL37" s="44"/>
      <c r="CM37" s="46"/>
      <c r="CN37" s="45"/>
      <c r="CO37" s="45"/>
      <c r="CP37" s="45"/>
      <c r="CQ37" s="44"/>
      <c r="CR37" s="46"/>
      <c r="CS37" s="45"/>
      <c r="CT37" s="45"/>
      <c r="CU37" s="45"/>
      <c r="CV37" s="44"/>
      <c r="CW37" s="46"/>
      <c r="CX37" s="45"/>
      <c r="CY37" s="45"/>
      <c r="CZ37" s="45"/>
      <c r="DA37" s="44"/>
      <c r="DB37" s="46"/>
      <c r="DC37" s="45"/>
      <c r="DD37" s="45"/>
      <c r="DE37" s="45"/>
      <c r="DF37" s="44"/>
      <c r="DG37" s="46"/>
      <c r="DH37" s="45"/>
      <c r="DI37" s="45"/>
      <c r="DJ37" s="45"/>
      <c r="DK37" s="44"/>
      <c r="DL37" s="42"/>
      <c r="DM37" s="46"/>
      <c r="DN37" s="45"/>
      <c r="DO37" s="45"/>
      <c r="DP37" s="45"/>
      <c r="DQ37" s="44"/>
      <c r="DR37" s="46"/>
      <c r="DS37" s="45"/>
      <c r="DT37" s="45"/>
      <c r="DU37" s="45"/>
      <c r="DV37" s="44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2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2"/>
    </row>
    <row r="38" spans="1:161" ht="16.350000000000001" customHeight="1">
      <c r="A38" s="28" t="s">
        <v>37</v>
      </c>
      <c r="B38" s="48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7" t="s">
        <v>70</v>
      </c>
      <c r="D38" s="39">
        <f>SUM(AF38:XFD38)</f>
        <v>0</v>
      </c>
      <c r="E38" s="43"/>
      <c r="F38" s="43"/>
      <c r="G38" s="43"/>
      <c r="I38" s="45"/>
      <c r="J38" s="45"/>
      <c r="K38" s="44"/>
      <c r="L38" s="46"/>
      <c r="M38" s="45"/>
      <c r="N38" s="45"/>
      <c r="O38" s="45"/>
      <c r="P38" s="44"/>
      <c r="Q38" s="46"/>
      <c r="R38" s="45"/>
      <c r="S38" s="45"/>
      <c r="T38" s="45"/>
      <c r="U38" s="44"/>
      <c r="V38" s="46"/>
      <c r="W38" s="45"/>
      <c r="X38" s="45"/>
      <c r="Y38" s="45"/>
      <c r="Z38" s="42"/>
      <c r="AA38" s="44"/>
      <c r="AB38" s="46"/>
      <c r="AC38" s="45"/>
      <c r="AD38" s="45"/>
      <c r="AE38" s="45"/>
      <c r="AF38" s="45"/>
      <c r="AG38" s="45"/>
      <c r="AH38" s="44"/>
      <c r="AI38" s="46"/>
      <c r="AJ38" s="45"/>
      <c r="AK38" s="45"/>
      <c r="AL38" s="45"/>
      <c r="AM38" s="44"/>
      <c r="AN38" s="46"/>
      <c r="AO38" s="45"/>
      <c r="AP38" s="45"/>
      <c r="AQ38" s="45"/>
      <c r="AR38" s="141"/>
      <c r="AS38" s="141"/>
      <c r="AT38" s="142"/>
      <c r="AU38" s="142"/>
      <c r="AV38" s="142"/>
      <c r="AW38" s="143"/>
      <c r="AX38" s="142"/>
      <c r="AY38" s="141"/>
      <c r="AZ38" s="45"/>
      <c r="BA38" s="45"/>
      <c r="BB38" s="45"/>
      <c r="BC38" s="44"/>
      <c r="BD38" s="46"/>
      <c r="BE38" s="45"/>
      <c r="BF38" s="45"/>
      <c r="BG38" s="45"/>
      <c r="BH38" s="44"/>
      <c r="BI38" s="46"/>
      <c r="BJ38" s="45"/>
      <c r="BK38" s="45"/>
      <c r="BL38" s="45"/>
      <c r="BM38" s="44"/>
      <c r="BN38" s="46"/>
      <c r="BO38" s="45"/>
      <c r="BP38" s="45"/>
      <c r="BQ38" s="45"/>
      <c r="BR38" s="44"/>
      <c r="BS38" s="46"/>
      <c r="BT38" s="45"/>
      <c r="BU38" s="45"/>
      <c r="BV38" s="45"/>
      <c r="BW38" s="44"/>
      <c r="BX38" s="46"/>
      <c r="BY38" s="45"/>
      <c r="BZ38" s="45"/>
      <c r="CA38" s="45"/>
      <c r="CB38" s="44"/>
      <c r="CC38" s="46"/>
      <c r="CD38" s="45"/>
      <c r="CE38" s="45"/>
      <c r="CF38" s="45"/>
      <c r="CG38" s="44"/>
      <c r="CH38" s="46"/>
      <c r="CI38" s="45"/>
      <c r="CJ38" s="45"/>
      <c r="CK38" s="45"/>
      <c r="CL38" s="44"/>
      <c r="CM38" s="46"/>
      <c r="CN38" s="45"/>
      <c r="CO38" s="45"/>
      <c r="CP38" s="45"/>
      <c r="CQ38" s="44"/>
      <c r="CR38" s="46"/>
      <c r="CS38" s="45"/>
      <c r="CT38" s="45"/>
      <c r="CU38" s="45"/>
      <c r="CV38" s="44"/>
      <c r="CW38" s="46"/>
      <c r="CX38" s="45"/>
      <c r="CY38" s="45"/>
      <c r="CZ38" s="45"/>
      <c r="DA38" s="44"/>
      <c r="DB38" s="46"/>
      <c r="DC38" s="45"/>
      <c r="DD38" s="45"/>
      <c r="DE38" s="45"/>
      <c r="DF38" s="44"/>
      <c r="DG38" s="46"/>
      <c r="DH38" s="45"/>
      <c r="DI38" s="45"/>
      <c r="DJ38" s="45"/>
      <c r="DK38" s="44"/>
      <c r="DL38" s="42"/>
      <c r="DM38" s="46"/>
      <c r="DN38" s="45"/>
      <c r="DO38" s="45"/>
      <c r="DP38" s="45"/>
      <c r="DQ38" s="44"/>
      <c r="DR38" s="46"/>
      <c r="DS38" s="45"/>
      <c r="DT38" s="45"/>
      <c r="DU38" s="45"/>
      <c r="DV38" s="44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2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2"/>
    </row>
    <row r="39" spans="1:161">
      <c r="Z39" s="26"/>
      <c r="AX39" s="26"/>
      <c r="DL39" s="26"/>
      <c r="EG39" s="26"/>
      <c r="FE39" s="26"/>
    </row>
    <row r="40" spans="1:161">
      <c r="Z40" s="26"/>
      <c r="AX40" s="26"/>
      <c r="DL40" s="26"/>
      <c r="EG40" s="26"/>
      <c r="FE40" s="26"/>
    </row>
    <row r="41" spans="1:161">
      <c r="Z41" s="25"/>
      <c r="AX41" s="25"/>
      <c r="DL41" s="25"/>
      <c r="EG41" s="25"/>
      <c r="FE41" s="25"/>
    </row>
    <row r="42" spans="1:161">
      <c r="Z42" s="25"/>
      <c r="AX42" s="25"/>
      <c r="DL42" s="25"/>
      <c r="EG42" s="25"/>
      <c r="FE42" s="25"/>
    </row>
    <row r="43" spans="1:161">
      <c r="Z43" s="25"/>
      <c r="AX43" s="25"/>
      <c r="DL43" s="25"/>
      <c r="EG43" s="25"/>
      <c r="FE43" s="25"/>
    </row>
    <row r="44" spans="1:161">
      <c r="Z44" s="25"/>
      <c r="AX44" s="25"/>
      <c r="DL44" s="25"/>
      <c r="EG44" s="25"/>
      <c r="FE44" s="25"/>
    </row>
    <row r="45" spans="1:161">
      <c r="Z45" s="25"/>
      <c r="AX45" s="25"/>
      <c r="DL45" s="25"/>
      <c r="EG45" s="25"/>
      <c r="FE45" s="25"/>
    </row>
    <row r="46" spans="1:161">
      <c r="Z46" s="25"/>
      <c r="AX46" s="25"/>
      <c r="DL46" s="25"/>
      <c r="EG46" s="25"/>
      <c r="FE46" s="25"/>
    </row>
    <row r="47" spans="1:161">
      <c r="Z47" s="25"/>
      <c r="AX47" s="25"/>
      <c r="DL47" s="25"/>
      <c r="EG47" s="25"/>
      <c r="FE47" s="25"/>
    </row>
    <row r="48" spans="1:161">
      <c r="Z48" s="25"/>
      <c r="AX48" s="25"/>
      <c r="DL48" s="25"/>
      <c r="EG48" s="25"/>
      <c r="FE48" s="25"/>
    </row>
    <row r="49" spans="26:161">
      <c r="Z49" s="25"/>
      <c r="AX49" s="25"/>
      <c r="DL49" s="25"/>
      <c r="EG49" s="25"/>
      <c r="FE49" s="25"/>
    </row>
    <row r="50" spans="26:161">
      <c r="Z50" s="25"/>
      <c r="AX50" s="25"/>
      <c r="DL50" s="25"/>
      <c r="EG50" s="25"/>
      <c r="FE50" s="25"/>
    </row>
    <row r="1048496" spans="13:15">
      <c r="M1048496" s="24">
        <f>3*33*8</f>
        <v>792</v>
      </c>
      <c r="O1048496" s="24">
        <f>M1048496/(4*8)</f>
        <v>24.75</v>
      </c>
    </row>
    <row r="1048498" spans="13:15">
      <c r="M1048498" s="24">
        <f>3*42*8</f>
        <v>1008</v>
      </c>
      <c r="O1048498" s="24">
        <f>M1048498/(4*8)</f>
        <v>31.5</v>
      </c>
    </row>
  </sheetData>
  <conditionalFormatting sqref="AN10:AQ11 I10:K11 AS10:BH11 BJ10:CB11">
    <cfRule type="cellIs" dxfId="75" priority="90" operator="equal">
      <formula>-3</formula>
    </cfRule>
  </conditionalFormatting>
  <conditionalFormatting sqref="AN10:AQ11 I10:K11 AS10:BH11 BJ10:CB11">
    <cfRule type="cellIs" dxfId="74" priority="89" operator="equal">
      <formula>-4</formula>
    </cfRule>
  </conditionalFormatting>
  <conditionalFormatting sqref="CC10:CO10 CR10:CV10">
    <cfRule type="cellIs" dxfId="73" priority="88" operator="equal">
      <formula>-3</formula>
    </cfRule>
  </conditionalFormatting>
  <conditionalFormatting sqref="CC10:CO10 CR10:CV10">
    <cfRule type="cellIs" dxfId="72" priority="87" operator="equal">
      <formula>-4</formula>
    </cfRule>
  </conditionalFormatting>
  <conditionalFormatting sqref="CW10:DK10 DM10:DQ10">
    <cfRule type="cellIs" dxfId="71" priority="86" operator="equal">
      <formula>-3</formula>
    </cfRule>
  </conditionalFormatting>
  <conditionalFormatting sqref="CW10:DK10 DM10:DQ10">
    <cfRule type="cellIs" dxfId="70" priority="85" operator="equal">
      <formula>-4</formula>
    </cfRule>
  </conditionalFormatting>
  <conditionalFormatting sqref="DR10:EL10">
    <cfRule type="cellIs" dxfId="69" priority="84" operator="equal">
      <formula>-3</formula>
    </cfRule>
  </conditionalFormatting>
  <conditionalFormatting sqref="DR10:EL10">
    <cfRule type="cellIs" dxfId="68" priority="83" operator="equal">
      <formula>-4</formula>
    </cfRule>
  </conditionalFormatting>
  <conditionalFormatting sqref="EM10:FE10">
    <cfRule type="cellIs" dxfId="67" priority="82" operator="equal">
      <formula>-3</formula>
    </cfRule>
  </conditionalFormatting>
  <conditionalFormatting sqref="EM10:FE10">
    <cfRule type="cellIs" dxfId="66" priority="81" operator="equal">
      <formula>-4</formula>
    </cfRule>
  </conditionalFormatting>
  <conditionalFormatting sqref="CC11:CG11">
    <cfRule type="cellIs" dxfId="65" priority="80" operator="equal">
      <formula>-3</formula>
    </cfRule>
  </conditionalFormatting>
  <conditionalFormatting sqref="CC11:CG11">
    <cfRule type="cellIs" dxfId="64" priority="79" operator="equal">
      <formula>-4</formula>
    </cfRule>
  </conditionalFormatting>
  <conditionalFormatting sqref="CH11:CL11">
    <cfRule type="cellIs" dxfId="63" priority="78" operator="equal">
      <formula>-3</formula>
    </cfRule>
  </conditionalFormatting>
  <conditionalFormatting sqref="CH11:CL11">
    <cfRule type="cellIs" dxfId="62" priority="77" operator="equal">
      <formula>-4</formula>
    </cfRule>
  </conditionalFormatting>
  <conditionalFormatting sqref="CM11:CO11">
    <cfRule type="cellIs" dxfId="61" priority="76" operator="equal">
      <formula>-3</formula>
    </cfRule>
  </conditionalFormatting>
  <conditionalFormatting sqref="CM11:CO11">
    <cfRule type="cellIs" dxfId="60" priority="75" operator="equal">
      <formula>-4</formula>
    </cfRule>
  </conditionalFormatting>
  <conditionalFormatting sqref="CR11:CV11">
    <cfRule type="cellIs" dxfId="59" priority="74" operator="equal">
      <formula>-3</formula>
    </cfRule>
  </conditionalFormatting>
  <conditionalFormatting sqref="CR11:CV11">
    <cfRule type="cellIs" dxfId="58" priority="73" operator="equal">
      <formula>-4</formula>
    </cfRule>
  </conditionalFormatting>
  <conditionalFormatting sqref="CW11:DA11">
    <cfRule type="cellIs" dxfId="57" priority="72" operator="equal">
      <formula>-3</formula>
    </cfRule>
  </conditionalFormatting>
  <conditionalFormatting sqref="CW11:DA11">
    <cfRule type="cellIs" dxfId="56" priority="71" operator="equal">
      <formula>-4</formula>
    </cfRule>
  </conditionalFormatting>
  <conditionalFormatting sqref="DB11:DF11">
    <cfRule type="cellIs" dxfId="55" priority="70" operator="equal">
      <formula>-3</formula>
    </cfRule>
  </conditionalFormatting>
  <conditionalFormatting sqref="DB11:DF11">
    <cfRule type="cellIs" dxfId="54" priority="69" operator="equal">
      <formula>-4</formula>
    </cfRule>
  </conditionalFormatting>
  <conditionalFormatting sqref="DG11:DK11">
    <cfRule type="cellIs" dxfId="53" priority="68" operator="equal">
      <formula>-3</formula>
    </cfRule>
  </conditionalFormatting>
  <conditionalFormatting sqref="DG11:DK11">
    <cfRule type="cellIs" dxfId="52" priority="67" operator="equal">
      <formula>-4</formula>
    </cfRule>
  </conditionalFormatting>
  <conditionalFormatting sqref="DM11:DQ11">
    <cfRule type="cellIs" dxfId="51" priority="66" operator="equal">
      <formula>-3</formula>
    </cfRule>
  </conditionalFormatting>
  <conditionalFormatting sqref="DM11:DQ11">
    <cfRule type="cellIs" dxfId="50" priority="65" operator="equal">
      <formula>-4</formula>
    </cfRule>
  </conditionalFormatting>
  <conditionalFormatting sqref="DR11:DV11">
    <cfRule type="cellIs" dxfId="49" priority="64" operator="equal">
      <formula>-3</formula>
    </cfRule>
  </conditionalFormatting>
  <conditionalFormatting sqref="DR11:DV11">
    <cfRule type="cellIs" dxfId="48" priority="63" operator="equal">
      <formula>-4</formula>
    </cfRule>
  </conditionalFormatting>
  <conditionalFormatting sqref="DW11:EA11">
    <cfRule type="cellIs" dxfId="47" priority="62" operator="equal">
      <formula>-3</formula>
    </cfRule>
  </conditionalFormatting>
  <conditionalFormatting sqref="DW11:EA11">
    <cfRule type="cellIs" dxfId="46" priority="61" operator="equal">
      <formula>-4</formula>
    </cfRule>
  </conditionalFormatting>
  <conditionalFormatting sqref="EB11:EG11">
    <cfRule type="cellIs" dxfId="45" priority="60" operator="equal">
      <formula>-3</formula>
    </cfRule>
  </conditionalFormatting>
  <conditionalFormatting sqref="EB11:EG11">
    <cfRule type="cellIs" dxfId="44" priority="59" operator="equal">
      <formula>-4</formula>
    </cfRule>
  </conditionalFormatting>
  <conditionalFormatting sqref="EH11:EL11">
    <cfRule type="cellIs" dxfId="43" priority="58" operator="equal">
      <formula>-3</formula>
    </cfRule>
  </conditionalFormatting>
  <conditionalFormatting sqref="EH11:EL11">
    <cfRule type="cellIs" dxfId="42" priority="57" operator="equal">
      <formula>-4</formula>
    </cfRule>
  </conditionalFormatting>
  <conditionalFormatting sqref="EM11:EQ11">
    <cfRule type="cellIs" dxfId="41" priority="56" operator="equal">
      <formula>-3</formula>
    </cfRule>
  </conditionalFormatting>
  <conditionalFormatting sqref="EM11:EQ11">
    <cfRule type="cellIs" dxfId="40" priority="55" operator="equal">
      <formula>-4</formula>
    </cfRule>
  </conditionalFormatting>
  <conditionalFormatting sqref="ER11:EV11">
    <cfRule type="cellIs" dxfId="39" priority="54" operator="equal">
      <formula>-3</formula>
    </cfRule>
  </conditionalFormatting>
  <conditionalFormatting sqref="ER11:EV11">
    <cfRule type="cellIs" dxfId="38" priority="53" operator="equal">
      <formula>-4</formula>
    </cfRule>
  </conditionalFormatting>
  <conditionalFormatting sqref="EW11:FA11">
    <cfRule type="cellIs" dxfId="37" priority="52" operator="equal">
      <formula>-3</formula>
    </cfRule>
  </conditionalFormatting>
  <conditionalFormatting sqref="EW11:FA11">
    <cfRule type="cellIs" dxfId="36" priority="51" operator="equal">
      <formula>-4</formula>
    </cfRule>
  </conditionalFormatting>
  <conditionalFormatting sqref="FB11:FE11">
    <cfRule type="cellIs" dxfId="35" priority="50" operator="equal">
      <formula>-3</formula>
    </cfRule>
  </conditionalFormatting>
  <conditionalFormatting sqref="FB11:FE11">
    <cfRule type="cellIs" dxfId="34" priority="49" operator="equal">
      <formula>-4</formula>
    </cfRule>
  </conditionalFormatting>
  <conditionalFormatting sqref="DL11">
    <cfRule type="cellIs" dxfId="33" priority="40" operator="equal">
      <formula>-3</formula>
    </cfRule>
  </conditionalFormatting>
  <conditionalFormatting sqref="DL11">
    <cfRule type="cellIs" dxfId="32" priority="39" operator="equal">
      <formula>-4</formula>
    </cfRule>
  </conditionalFormatting>
  <conditionalFormatting sqref="EG10:EG11">
    <cfRule type="cellIs" dxfId="31" priority="46" operator="equal">
      <formula>-3</formula>
    </cfRule>
  </conditionalFormatting>
  <conditionalFormatting sqref="EG10:EG11">
    <cfRule type="cellIs" dxfId="30" priority="45" operator="equal">
      <formula>-4</formula>
    </cfRule>
  </conditionalFormatting>
  <conditionalFormatting sqref="FE10:FE11">
    <cfRule type="cellIs" dxfId="29" priority="44" operator="equal">
      <formula>-3</formula>
    </cfRule>
  </conditionalFormatting>
  <conditionalFormatting sqref="FE10:FE11">
    <cfRule type="cellIs" dxfId="28" priority="43" operator="equal">
      <formula>-4</formula>
    </cfRule>
  </conditionalFormatting>
  <conditionalFormatting sqref="DL10">
    <cfRule type="cellIs" dxfId="27" priority="42" operator="equal">
      <formula>-3</formula>
    </cfRule>
  </conditionalFormatting>
  <conditionalFormatting sqref="DL10">
    <cfRule type="cellIs" dxfId="26" priority="41" operator="equal">
      <formula>-4</formula>
    </cfRule>
  </conditionalFormatting>
  <conditionalFormatting sqref="DL10:DL11">
    <cfRule type="cellIs" dxfId="25" priority="38" operator="equal">
      <formula>-3</formula>
    </cfRule>
  </conditionalFormatting>
  <conditionalFormatting sqref="DL10:DL11">
    <cfRule type="cellIs" dxfId="24" priority="37" operator="equal">
      <formula>-4</formula>
    </cfRule>
  </conditionalFormatting>
  <conditionalFormatting sqref="AI10:AM11">
    <cfRule type="cellIs" dxfId="23" priority="36" operator="equal">
      <formula>-3</formula>
    </cfRule>
  </conditionalFormatting>
  <conditionalFormatting sqref="AI10:AM11">
    <cfRule type="cellIs" dxfId="22" priority="35" operator="equal">
      <formula>-4</formula>
    </cfRule>
  </conditionalFormatting>
  <conditionalFormatting sqref="AB10:AH11">
    <cfRule type="cellIs" dxfId="21" priority="34" operator="equal">
      <formula>-3</formula>
    </cfRule>
  </conditionalFormatting>
  <conditionalFormatting sqref="AB10:AH11">
    <cfRule type="cellIs" dxfId="20" priority="33" operator="equal">
      <formula>-4</formula>
    </cfRule>
  </conditionalFormatting>
  <conditionalFormatting sqref="V10:Y11 AA10:AA11">
    <cfRule type="cellIs" dxfId="19" priority="32" operator="equal">
      <formula>-3</formula>
    </cfRule>
  </conditionalFormatting>
  <conditionalFormatting sqref="V10:Y11 AA10:AA11">
    <cfRule type="cellIs" dxfId="18" priority="31" operator="equal">
      <formula>-4</formula>
    </cfRule>
  </conditionalFormatting>
  <conditionalFormatting sqref="Q10:U11">
    <cfRule type="cellIs" dxfId="17" priority="30" operator="equal">
      <formula>-3</formula>
    </cfRule>
  </conditionalFormatting>
  <conditionalFormatting sqref="Q10:U11">
    <cfRule type="cellIs" dxfId="16" priority="29" operator="equal">
      <formula>-4</formula>
    </cfRule>
  </conditionalFormatting>
  <conditionalFormatting sqref="L10:P11">
    <cfRule type="cellIs" dxfId="15" priority="28" operator="equal">
      <formula>-3</formula>
    </cfRule>
  </conditionalFormatting>
  <conditionalFormatting sqref="L10:P11">
    <cfRule type="cellIs" dxfId="14" priority="27" operator="equal">
      <formula>-4</formula>
    </cfRule>
  </conditionalFormatting>
  <conditionalFormatting sqref="Z10:Z11">
    <cfRule type="cellIs" dxfId="13" priority="26" operator="equal">
      <formula>-3</formula>
    </cfRule>
  </conditionalFormatting>
  <conditionalFormatting sqref="Z10:Z11">
    <cfRule type="cellIs" dxfId="12" priority="25" operator="equal">
      <formula>-4</formula>
    </cfRule>
  </conditionalFormatting>
  <conditionalFormatting sqref="AR10:AR11">
    <cfRule type="cellIs" dxfId="11" priority="24" operator="equal">
      <formula>-3</formula>
    </cfRule>
  </conditionalFormatting>
  <conditionalFormatting sqref="AR10:AR11">
    <cfRule type="cellIs" dxfId="10" priority="23" operator="equal">
      <formula>-4</formula>
    </cfRule>
  </conditionalFormatting>
  <conditionalFormatting sqref="CP10">
    <cfRule type="cellIs" dxfId="9" priority="4" operator="equal">
      <formula>-3</formula>
    </cfRule>
  </conditionalFormatting>
  <conditionalFormatting sqref="CP10">
    <cfRule type="cellIs" dxfId="8" priority="3" operator="equal">
      <formula>-4</formula>
    </cfRule>
  </conditionalFormatting>
  <conditionalFormatting sqref="BI10:BI11">
    <cfRule type="cellIs" dxfId="7" priority="18" operator="equal">
      <formula>-3</formula>
    </cfRule>
  </conditionalFormatting>
  <conditionalFormatting sqref="BI10:BI11">
    <cfRule type="cellIs" dxfId="6" priority="17" operator="equal">
      <formula>-4</formula>
    </cfRule>
  </conditionalFormatting>
  <conditionalFormatting sqref="CP11">
    <cfRule type="cellIs" dxfId="5" priority="2" operator="equal">
      <formula>-3</formula>
    </cfRule>
  </conditionalFormatting>
  <conditionalFormatting sqref="CP11">
    <cfRule type="cellIs" dxfId="4" priority="1" operator="equal">
      <formula>-4</formula>
    </cfRule>
  </conditionalFormatting>
  <conditionalFormatting sqref="CQ10">
    <cfRule type="cellIs" dxfId="3" priority="8" operator="equal">
      <formula>-3</formula>
    </cfRule>
  </conditionalFormatting>
  <conditionalFormatting sqref="CQ10">
    <cfRule type="cellIs" dxfId="2" priority="7" operator="equal">
      <formula>-4</formula>
    </cfRule>
  </conditionalFormatting>
  <conditionalFormatting sqref="CQ11">
    <cfRule type="cellIs" dxfId="1" priority="6" operator="equal">
      <formula>-3</formula>
    </cfRule>
  </conditionalFormatting>
  <conditionalFormatting sqref="CQ11">
    <cfRule type="cellIs" dxfId="0" priority="5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72"/>
  <sheetViews>
    <sheetView showGridLines="0" workbookViewId="0">
      <selection activeCell="G24" sqref="G24"/>
    </sheetView>
  </sheetViews>
  <sheetFormatPr defaultRowHeight="15"/>
  <cols>
    <col min="2" max="2" width="31.140625" bestFit="1" customWidth="1"/>
    <col min="3" max="3" width="7" bestFit="1" customWidth="1"/>
    <col min="4" max="4" width="8.7109375" bestFit="1" customWidth="1"/>
    <col min="5" max="5" width="7.7109375" bestFit="1" customWidth="1"/>
    <col min="7" max="7" width="34.7109375" bestFit="1" customWidth="1"/>
    <col min="8" max="8" width="8" bestFit="1" customWidth="1"/>
    <col min="9" max="10" width="10.28515625" bestFit="1" customWidth="1"/>
    <col min="13" max="13" width="7" bestFit="1" customWidth="1"/>
    <col min="14" max="14" width="5.85546875" bestFit="1" customWidth="1"/>
    <col min="15" max="15" width="15.5703125" bestFit="1" customWidth="1"/>
  </cols>
  <sheetData>
    <row r="4" spans="2:15" ht="16.5">
      <c r="B4" s="1"/>
      <c r="C4" s="2" t="s">
        <v>0</v>
      </c>
      <c r="D4" s="2" t="s">
        <v>23</v>
      </c>
      <c r="E4" s="2" t="s">
        <v>1</v>
      </c>
      <c r="F4" s="1"/>
      <c r="G4" s="1"/>
      <c r="H4" s="2" t="s">
        <v>1</v>
      </c>
      <c r="I4" s="2" t="s">
        <v>2</v>
      </c>
      <c r="J4" s="2" t="s">
        <v>3</v>
      </c>
      <c r="K4" s="1"/>
      <c r="L4" s="1"/>
      <c r="M4" s="1"/>
      <c r="N4" s="1"/>
      <c r="O4" s="1"/>
    </row>
    <row r="5" spans="2:15" ht="16.5">
      <c r="B5" s="3" t="s">
        <v>25</v>
      </c>
      <c r="C5" s="3"/>
      <c r="D5" s="3"/>
      <c r="E5" s="4">
        <f>SUM(E6,E10,E13)</f>
        <v>332</v>
      </c>
      <c r="F5" s="1"/>
      <c r="G5" s="5" t="s">
        <v>4</v>
      </c>
      <c r="H5" s="6">
        <v>3212.3</v>
      </c>
      <c r="I5" s="5">
        <v>401.5</v>
      </c>
      <c r="J5" s="5">
        <v>18.3</v>
      </c>
      <c r="K5" s="1"/>
      <c r="L5" s="1"/>
      <c r="M5" s="7" t="s">
        <v>0</v>
      </c>
      <c r="N5" s="7" t="s">
        <v>5</v>
      </c>
      <c r="O5" s="1"/>
    </row>
    <row r="6" spans="2:15" ht="16.5">
      <c r="B6" s="5" t="s">
        <v>24</v>
      </c>
      <c r="C6" s="5"/>
      <c r="D6" s="5"/>
      <c r="E6" s="5">
        <f>SUM(E7:E9)</f>
        <v>26</v>
      </c>
      <c r="F6" s="1"/>
      <c r="G6" s="8" t="s">
        <v>6</v>
      </c>
      <c r="H6" s="9">
        <v>2843.1</v>
      </c>
      <c r="I6" s="1">
        <v>355.4</v>
      </c>
      <c r="J6" s="1">
        <v>16.2</v>
      </c>
      <c r="K6" s="1"/>
      <c r="L6" s="1"/>
      <c r="M6" s="10">
        <v>1</v>
      </c>
      <c r="N6" s="10">
        <v>0.5</v>
      </c>
      <c r="O6" s="1"/>
    </row>
    <row r="7" spans="2:15" ht="16.5">
      <c r="B7" s="8" t="s">
        <v>26</v>
      </c>
      <c r="C7" s="1">
        <v>1</v>
      </c>
      <c r="D7" s="22">
        <v>2</v>
      </c>
      <c r="E7" s="1">
        <f>VLOOKUP(C7,$M$6:$N$11,2,FALSE)*D7</f>
        <v>1</v>
      </c>
      <c r="F7" s="1"/>
      <c r="G7" s="8" t="s">
        <v>7</v>
      </c>
      <c r="H7" s="1">
        <v>369.2</v>
      </c>
      <c r="I7" s="1">
        <v>46.2</v>
      </c>
      <c r="J7" s="1">
        <v>2.1</v>
      </c>
      <c r="K7" s="1"/>
      <c r="L7" s="1"/>
      <c r="M7" s="10">
        <v>2</v>
      </c>
      <c r="N7" s="10">
        <v>1</v>
      </c>
      <c r="O7" s="1"/>
    </row>
    <row r="8" spans="2:15" ht="16.5">
      <c r="B8" s="8" t="s">
        <v>28</v>
      </c>
      <c r="C8" s="1">
        <v>2</v>
      </c>
      <c r="D8" s="22">
        <v>5</v>
      </c>
      <c r="E8" s="1">
        <f>VLOOKUP(C8,$M$6:$N$11,2,FALSE)*D8</f>
        <v>5</v>
      </c>
      <c r="F8" s="1"/>
      <c r="G8" s="8" t="s">
        <v>8</v>
      </c>
      <c r="H8" s="1">
        <v>40</v>
      </c>
      <c r="I8" s="1">
        <v>5</v>
      </c>
      <c r="J8" s="1">
        <v>0.2</v>
      </c>
      <c r="K8" s="1"/>
      <c r="L8" s="1"/>
      <c r="M8" s="10">
        <v>3</v>
      </c>
      <c r="N8" s="10">
        <v>2</v>
      </c>
      <c r="O8" s="1"/>
    </row>
    <row r="9" spans="2:15" ht="16.5">
      <c r="B9" s="8" t="s">
        <v>29</v>
      </c>
      <c r="C9" s="1">
        <v>3</v>
      </c>
      <c r="D9" s="22">
        <v>10</v>
      </c>
      <c r="E9" s="1">
        <f>VLOOKUP(C9,$M$6:$N$11,2,FALSE)*D9</f>
        <v>20</v>
      </c>
      <c r="F9" s="1"/>
      <c r="G9" s="8" t="s">
        <v>9</v>
      </c>
      <c r="H9" s="1">
        <v>80</v>
      </c>
      <c r="I9" s="1">
        <v>10</v>
      </c>
      <c r="J9" s="1">
        <v>0.5</v>
      </c>
      <c r="K9" s="1"/>
      <c r="L9" s="1"/>
      <c r="M9" s="10">
        <v>4</v>
      </c>
      <c r="N9" s="10">
        <v>4</v>
      </c>
      <c r="O9" s="1"/>
    </row>
    <row r="10" spans="2:15" ht="16.5">
      <c r="B10" s="5" t="s">
        <v>17</v>
      </c>
      <c r="C10" s="5"/>
      <c r="D10" s="23"/>
      <c r="E10" s="14">
        <f>SUM(E11:E12)</f>
        <v>58</v>
      </c>
      <c r="F10" s="1"/>
      <c r="G10" s="5" t="s">
        <v>10</v>
      </c>
      <c r="H10" s="5">
        <v>275.2</v>
      </c>
      <c r="I10" s="5">
        <v>34.4</v>
      </c>
      <c r="J10" s="5">
        <v>1.6</v>
      </c>
      <c r="K10" s="1"/>
      <c r="L10" s="1"/>
      <c r="M10" s="10">
        <v>5</v>
      </c>
      <c r="N10" s="10">
        <v>8</v>
      </c>
    </row>
    <row r="11" spans="2:15" ht="16.5">
      <c r="B11" s="8" t="s">
        <v>18</v>
      </c>
      <c r="C11" s="1">
        <v>1</v>
      </c>
      <c r="D11" s="22">
        <v>52</v>
      </c>
      <c r="E11" s="1">
        <f>VLOOKUP(C11,$M$6:$N$11,2,FALSE)*D11</f>
        <v>26</v>
      </c>
      <c r="F11" s="1"/>
      <c r="G11" s="8" t="s">
        <v>11</v>
      </c>
      <c r="H11" s="1">
        <v>73</v>
      </c>
      <c r="I11" s="1">
        <v>9.1</v>
      </c>
      <c r="J11" s="1">
        <v>0.4</v>
      </c>
      <c r="K11" s="1"/>
      <c r="L11" s="1"/>
      <c r="M11" s="10">
        <v>6</v>
      </c>
      <c r="N11" s="10">
        <v>20</v>
      </c>
      <c r="O11" s="1" t="s">
        <v>27</v>
      </c>
    </row>
    <row r="12" spans="2:15" ht="16.5">
      <c r="B12" s="8" t="s">
        <v>19</v>
      </c>
      <c r="C12" s="1">
        <v>13</v>
      </c>
      <c r="D12" s="22">
        <v>1</v>
      </c>
      <c r="E12" s="1">
        <v>32</v>
      </c>
      <c r="F12" s="1"/>
      <c r="G12" s="8" t="s">
        <v>12</v>
      </c>
      <c r="H12" s="1">
        <v>202.2</v>
      </c>
      <c r="I12" s="1">
        <v>25.3</v>
      </c>
      <c r="J12" s="1">
        <v>1.1000000000000001</v>
      </c>
      <c r="K12" s="1"/>
      <c r="L12" s="1"/>
      <c r="M12" s="1"/>
      <c r="N12" s="1"/>
      <c r="O12" s="1"/>
    </row>
    <row r="13" spans="2:15" ht="16.5">
      <c r="B13" s="5" t="s">
        <v>30</v>
      </c>
      <c r="C13" s="5"/>
      <c r="D13" s="23"/>
      <c r="E13" s="14">
        <f>SUM(E14)</f>
        <v>248</v>
      </c>
      <c r="F13" s="1"/>
      <c r="G13" s="5" t="s">
        <v>13</v>
      </c>
      <c r="H13" s="5">
        <v>36.5</v>
      </c>
      <c r="I13" s="5">
        <v>4.5999999999999996</v>
      </c>
      <c r="J13" s="5">
        <v>0.2</v>
      </c>
      <c r="K13" s="1"/>
      <c r="L13" s="1"/>
      <c r="M13" s="1"/>
      <c r="N13" s="1"/>
      <c r="O13" s="1"/>
    </row>
    <row r="14" spans="2:15" ht="16.5">
      <c r="B14" s="8" t="s">
        <v>31</v>
      </c>
      <c r="C14" s="1">
        <v>5</v>
      </c>
      <c r="D14" s="22">
        <v>31</v>
      </c>
      <c r="E14" s="1">
        <f>VLOOKUP(C14,$M$6:$N$11,2,FALSE)*D14</f>
        <v>248</v>
      </c>
      <c r="F14" s="1"/>
      <c r="G14" s="5" t="s">
        <v>14</v>
      </c>
      <c r="H14" s="5">
        <v>72</v>
      </c>
      <c r="I14" s="5">
        <v>9</v>
      </c>
      <c r="J14" s="5">
        <v>0.4</v>
      </c>
      <c r="K14" s="1"/>
      <c r="L14" s="1"/>
      <c r="M14" s="1"/>
      <c r="N14" s="1"/>
      <c r="O14" s="1"/>
    </row>
    <row r="15" spans="2:15" ht="16.5">
      <c r="B15" s="3" t="s">
        <v>10</v>
      </c>
      <c r="C15" s="3"/>
      <c r="D15" s="3"/>
      <c r="E15" s="17">
        <f>SUM(E16,E20)</f>
        <v>43.453125</v>
      </c>
      <c r="F15" s="1"/>
      <c r="G15" s="11" t="s">
        <v>15</v>
      </c>
      <c r="H15" s="12">
        <v>3596.1</v>
      </c>
      <c r="I15" s="11">
        <v>449.5</v>
      </c>
      <c r="J15" s="11">
        <v>20.399999999999999</v>
      </c>
      <c r="K15" s="1"/>
      <c r="L15" s="1"/>
      <c r="M15" s="1"/>
      <c r="N15" s="1"/>
      <c r="O15" s="1"/>
    </row>
    <row r="16" spans="2:15" ht="16.5">
      <c r="B16" s="5" t="s">
        <v>11</v>
      </c>
      <c r="C16" s="5"/>
      <c r="D16" s="5"/>
      <c r="E16" s="16">
        <f>SUM(E17:E19)</f>
        <v>27.890625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ht="16.5">
      <c r="B17" s="8" t="s">
        <v>32</v>
      </c>
      <c r="C17" s="1">
        <v>2</v>
      </c>
      <c r="D17" s="21">
        <f>$D$21/4</f>
        <v>2.59375</v>
      </c>
      <c r="E17" s="15">
        <f>VLOOKUP(C17,$M$6:$N$11,2,FALSE)*D17</f>
        <v>2.59375</v>
      </c>
      <c r="F17" s="1"/>
      <c r="G17" s="1"/>
      <c r="H17" s="1"/>
      <c r="I17" s="13">
        <v>45681</v>
      </c>
      <c r="J17" s="13">
        <v>45729</v>
      </c>
      <c r="K17" s="1"/>
      <c r="L17" s="1"/>
      <c r="M17" s="1"/>
      <c r="N17" s="1"/>
      <c r="O17" s="1"/>
    </row>
    <row r="18" spans="2:15" ht="16.5">
      <c r="B18" s="8" t="s">
        <v>35</v>
      </c>
      <c r="C18" s="1">
        <v>1</v>
      </c>
      <c r="D18" s="21">
        <f>SUM(D7:D9,D14)</f>
        <v>48</v>
      </c>
      <c r="E18" s="15">
        <f t="shared" ref="E18:E19" si="0">VLOOKUP(C18,$M$6:$N$11,2,FALSE)*D18</f>
        <v>24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ht="16.5">
      <c r="B19" s="8" t="s">
        <v>20</v>
      </c>
      <c r="C19" s="1">
        <v>1</v>
      </c>
      <c r="D19" s="21">
        <f t="shared" ref="D19" si="1">$D$21/4</f>
        <v>2.59375</v>
      </c>
      <c r="E19" s="15">
        <f t="shared" si="0"/>
        <v>1.296875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ht="16.5">
      <c r="B20" s="5" t="s">
        <v>12</v>
      </c>
      <c r="C20" s="5"/>
      <c r="D20" s="19"/>
      <c r="E20" s="16">
        <f>SUM(E21:E22)</f>
        <v>15.5625</v>
      </c>
      <c r="F20" s="1"/>
      <c r="G20" s="1" t="s">
        <v>16</v>
      </c>
      <c r="H20" s="1"/>
      <c r="I20" s="1"/>
      <c r="J20" s="1"/>
      <c r="K20" s="1"/>
      <c r="L20" s="1"/>
      <c r="M20" s="1"/>
      <c r="N20" s="1"/>
      <c r="O20" s="1"/>
    </row>
    <row r="21" spans="2:15" ht="16.5">
      <c r="B21" s="8" t="s">
        <v>21</v>
      </c>
      <c r="C21" s="1">
        <v>1</v>
      </c>
      <c r="D21" s="18">
        <f>$E$5/8/4</f>
        <v>10.375</v>
      </c>
      <c r="E21" s="15">
        <f>VLOOKUP(C21,$M$6:$N$11,2,FALSE)*D21</f>
        <v>5.1875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16.5">
      <c r="B22" s="8" t="s">
        <v>22</v>
      </c>
      <c r="C22" s="1">
        <v>2</v>
      </c>
      <c r="D22" s="18">
        <f>$E$5/8/4</f>
        <v>10.375</v>
      </c>
      <c r="E22" s="15">
        <f>VLOOKUP(C22,$M$6:$N$11,2,FALSE)*D22</f>
        <v>10.375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16.5"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ht="16.5">
      <c r="B24" s="3" t="s">
        <v>15</v>
      </c>
      <c r="C24" s="3"/>
      <c r="D24" s="3"/>
      <c r="E24" s="17">
        <f>SUM(E5,E15)</f>
        <v>375.453125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ht="16.5">
      <c r="B25" t="s">
        <v>34</v>
      </c>
      <c r="E25" s="20">
        <f>E24/8</f>
        <v>46.931640625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16.5">
      <c r="B26" t="s">
        <v>33</v>
      </c>
      <c r="E26" s="20">
        <f>E25/20</f>
        <v>2.3465820312500001</v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ht="16.5"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ht="16.5"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16.5"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16.5"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16.5"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16.5"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6:15" ht="16.5"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6:15" ht="16.5"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6:15" ht="16.5"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6:15" ht="16.5"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6:15" ht="16.5"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6:15" ht="16.5"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6:15" ht="16.5"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6:15" ht="16.5"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6:15" ht="16.5"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6:15" ht="16.5"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6:15" ht="16.5"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6:15" ht="16.5"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6:15" ht="16.5"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6:15" ht="16.5"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6:15" ht="16.5"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6:15" ht="16.5"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6:15" ht="16.5"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6:15" ht="16.5"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6:15" ht="16.5"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6:15" ht="16.5"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6:15" ht="16.5"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6:15" ht="16.5"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6:15" ht="16.5"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6:15" ht="16.5"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6:15" ht="16.5"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6:15" ht="16.5"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6:15" ht="16.5"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6:15" ht="16.5"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6:15" ht="16.5"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6:15" ht="16.5"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6:15" ht="16.5"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6:15" ht="16.5"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6:15" ht="16.5"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6:15" ht="16.5"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6:15" ht="16.5"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6:15" ht="16.5"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6:15" ht="16.5"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6:15" ht="16.5"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6:15" ht="16.5"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6:15" ht="16.5">
      <c r="F72" s="1"/>
      <c r="G72" s="1"/>
      <c r="H72" s="1"/>
      <c r="I72" s="1"/>
      <c r="J72" s="1"/>
      <c r="K72" s="1"/>
      <c r="L72" s="1"/>
      <c r="M72" s="1"/>
      <c r="N72" s="1"/>
      <c r="O7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B9"/>
  <sheetViews>
    <sheetView workbookViewId="0">
      <selection activeCell="B6" sqref="B1:B6"/>
    </sheetView>
  </sheetViews>
  <sheetFormatPr defaultRowHeight="15"/>
  <sheetData>
    <row r="8" spans="2:2">
      <c r="B8" t="s">
        <v>65</v>
      </c>
    </row>
    <row r="9" spans="2:2">
      <c r="B9" t="s">
        <v>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9080E226-A2D4-49F9-B82D-1E570F0C0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56FC59-F102-40A6-99B4-1546A7AA055F}"/>
</file>

<file path=customXml/itemProps3.xml><?xml version="1.0" encoding="utf-8"?>
<ds:datastoreItem xmlns:ds="http://schemas.openxmlformats.org/officeDocument/2006/customXml" ds:itemID="{58900800-3913-4524-9BB8-34F1E82855C9}">
  <ds:schemaRefs>
    <ds:schemaRef ds:uri="http://purl.org/dc/dcmitype/"/>
    <ds:schemaRef ds:uri="http://schemas.microsoft.com/sharepoint/v3"/>
    <ds:schemaRef ds:uri="http://schemas.microsoft.com/office/2006/documentManagement/types"/>
    <ds:schemaRef ds:uri="http://purl.org/dc/terms/"/>
    <ds:schemaRef ds:uri="http://schemas.microsoft.com/office/infopath/2007/PartnerControls"/>
    <ds:schemaRef ds:uri="0683c779-04fc-4b63-89c9-6c25ffa1c0a4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Planificação</vt:lpstr>
      <vt:lpstr>Sheet1</vt:lpstr>
      <vt:lpstr>Sheet3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Frade Jacinto</dc:creator>
  <cp:lastModifiedBy>Francisco Frade Jacinto</cp:lastModifiedBy>
  <dcterms:created xsi:type="dcterms:W3CDTF">2023-12-20T16:20:19Z</dcterms:created>
  <dcterms:modified xsi:type="dcterms:W3CDTF">2023-12-21T11:13:04Z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2023-12-20T16:32:22Z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8f99642b-4e21-44df-85af-b6828f042277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