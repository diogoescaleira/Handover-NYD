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e800421\Desktop\"/>
    </mc:Choice>
  </mc:AlternateContent>
  <xr:revisionPtr revIDLastSave="0" documentId="13_ncr:1_{6864CE92-BBDD-461F-82E8-3F909D731905}" xr6:coauthVersionLast="47" xr6:coauthVersionMax="47" xr10:uidLastSave="{00000000-0000-0000-0000-000000000000}"/>
  <bookViews>
    <workbookView xWindow="-120" yWindow="-16320" windowWidth="29040" windowHeight="15840" xr2:uid="{00000000-000D-0000-FFFF-FFFF00000000}"/>
  </bookViews>
  <sheets>
    <sheet name="1. Tipologias Testes GD" sheetId="1" r:id="rId1"/>
    <sheet name="2. Controlos Corporativos" sheetId="4" r:id="rId2"/>
    <sheet name="Auxiliar" sheetId="3" r:id="rId3"/>
    <sheet name="Tipologias de Testes GD (2)" sheetId="2" r:id="rId4"/>
  </sheets>
  <definedNames>
    <definedName name="_xlnm._FilterDatabase" localSheetId="0" hidden="1">'1. Tipologias Testes GD'!$B$8:$E$179</definedName>
    <definedName name="_xlnm._FilterDatabase" localSheetId="1" hidden="1">'2. Controlos Corporativos'!$A$1:$K$222</definedName>
    <definedName name="_xlnm._FilterDatabase" localSheetId="3" hidden="1">'Tipologias de Testes GD (2)'!$B$8:$E$58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1" l="1"/>
  <c r="I26"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4" i="1"/>
  <c r="I23" i="1"/>
  <c r="I22" i="1"/>
  <c r="I21" i="1"/>
  <c r="I20" i="1"/>
  <c r="I19" i="1"/>
  <c r="I18" i="1"/>
  <c r="I17" i="1"/>
  <c r="I16" i="1"/>
  <c r="I15" i="1"/>
  <c r="I14" i="1"/>
  <c r="I13" i="1"/>
  <c r="I12" i="1"/>
  <c r="I11" i="1"/>
  <c r="I10" i="1"/>
  <c r="I9" i="1"/>
  <c r="J56" i="1"/>
  <c r="J57" i="1" s="1"/>
  <c r="J58" i="1" s="1"/>
  <c r="J52" i="1"/>
  <c r="J53" i="1" s="1"/>
  <c r="J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sharedStrings.xml><?xml version="1.0" encoding="utf-8"?>
<sst xmlns="http://schemas.openxmlformats.org/spreadsheetml/2006/main" count="2758" uniqueCount="626">
  <si>
    <t>** Campo desconsiderado com a nova EF - instrmnt_id com sufixo do BSNSS_AREA e reporte de saldo com essa granularidade</t>
  </si>
  <si>
    <t>* Campo com Origem na Rentabilidade mas definido pela corporação</t>
  </si>
  <si>
    <t>1,2,3,6,7</t>
  </si>
  <si>
    <t>SSTNBL_INDCTR</t>
  </si>
  <si>
    <t>Modelo Verde</t>
  </si>
  <si>
    <t>1,2,3,4,6,7</t>
  </si>
  <si>
    <t>CNCLLD_INSTRMNT_STTS</t>
  </si>
  <si>
    <t>Calculado</t>
  </si>
  <si>
    <t>Em Teste</t>
  </si>
  <si>
    <t>GNS_FNNCL_TRNSCTN_EXCHNG_CCRR **</t>
  </si>
  <si>
    <t>Rentabilidade</t>
  </si>
  <si>
    <t>GNS_FNNCL_TRNSCTN_EXCHNG_DFFRNCS</t>
  </si>
  <si>
    <t>GRSS_INTRST_EXPNS_CCRR **</t>
  </si>
  <si>
    <t>GRSS_INTRST_EXPNS</t>
  </si>
  <si>
    <t>GRSS_CMMSSN_EXPNS_CCRR **</t>
  </si>
  <si>
    <t>GRSS_CMMSSN_EXPNS</t>
  </si>
  <si>
    <t>INTRNL_TRNSFR_RT</t>
  </si>
  <si>
    <t>GRSS_CMMSSN_INCM_CCRR **</t>
  </si>
  <si>
    <t>GRSS_CMMSSN_INCM</t>
  </si>
  <si>
    <t>GRSS_INTRST_INCM</t>
  </si>
  <si>
    <t>GRSS_CMMSSN_INCM_OFF_BLNC_CCRR **</t>
  </si>
  <si>
    <t>GRSS_CMMSSN_EXPNS_OFF_BLNC</t>
  </si>
  <si>
    <t>GRSS_CMMSSN_EXPNS_OFF_BLNC_CCRR **</t>
  </si>
  <si>
    <t>GRSS_CMMSSN_INCM_OFF_BLNC</t>
  </si>
  <si>
    <t>BSNSS_AREA_CCRR **</t>
  </si>
  <si>
    <t>AVRG_BLNC_OFF_BLNC</t>
  </si>
  <si>
    <t>NT_LN_LSS_PRVSN_OFF_BLNC</t>
  </si>
  <si>
    <t>GRSS_INTRST_INCM_CCRR</t>
  </si>
  <si>
    <t>NW_BSNSS</t>
  </si>
  <si>
    <t>MNGMNT_PRDCT</t>
  </si>
  <si>
    <t>NT_LN_LSS_PRVSN</t>
  </si>
  <si>
    <t>AVRG_BLNC</t>
  </si>
  <si>
    <t>BSNSS_AREA</t>
  </si>
  <si>
    <t>INTRNL_TRNSFR_RT_OFF_BLNC</t>
  </si>
  <si>
    <t>Rentabilidade*</t>
  </si>
  <si>
    <t>RWA_OFF_BLNC</t>
  </si>
  <si>
    <t>Corporativo</t>
  </si>
  <si>
    <t>COD_SOC_DSTNTN</t>
  </si>
  <si>
    <t>INTRBSNSS_ADJ_COD</t>
  </si>
  <si>
    <t>FLG_INTRBSNSS</t>
  </si>
  <si>
    <t>BSNSS_AREA_DSTNTN</t>
  </si>
  <si>
    <t>COD_SOC_INTRGRP</t>
  </si>
  <si>
    <t>LT ESTR</t>
  </si>
  <si>
    <t>RWA</t>
  </si>
  <si>
    <t>TYP_INSTRMNT</t>
  </si>
  <si>
    <t>SUBPORTFOLIO_ID</t>
  </si>
  <si>
    <t>PRVSNS_OFF_BLNC_SHT</t>
  </si>
  <si>
    <t>PRFRMNG_STTS</t>
  </si>
  <si>
    <t>OFF_BLNC_SHT_AMNT_INSTRMNT</t>
  </si>
  <si>
    <t>LCL_INSTMRNT_ID</t>
  </si>
  <si>
    <t>INSTRMNT_ID</t>
  </si>
  <si>
    <t>IMPRMNT_STTS</t>
  </si>
  <si>
    <t>IDCMB</t>
  </si>
  <si>
    <t>GRSS_CRRYNG_AMNT_INSTRMNT</t>
  </si>
  <si>
    <t>- Re-Teste dos campos com incidência aberta</t>
  </si>
  <si>
    <t>Re-Testes</t>
  </si>
  <si>
    <t>DT_RFRNC</t>
  </si>
  <si>
    <t>- Controlos sobre o desdobramento de chaves nas relações FR-MIS (N:N) 
- Controlos sobre o desdobramento de chaves nas relações MASTER-MIS (N:N)</t>
  </si>
  <si>
    <t>Controlos - Garantir Traçabilidade da tradução de chaves</t>
  </si>
  <si>
    <t>COD_SOC</t>
  </si>
  <si>
    <t>- Garantir que a informação do campo da LT-ESTR âmbito 'PM' está espelhado no âmbito 'CDG'.</t>
  </si>
  <si>
    <t>Testes de Informação LT ESTR - Comparação com 'PM'</t>
  </si>
  <si>
    <t>ACCNTNG_CLSSFCTN</t>
  </si>
  <si>
    <t>- Garantir que a informação do campo corporativo está de acordo com a info que a corporação espera receber.</t>
  </si>
  <si>
    <t>Testes de Informação Corporativa</t>
  </si>
  <si>
    <t>ACCMLTD_IMPRMNT_INSTRMNT</t>
  </si>
  <si>
    <t>- Garantir que as parametrizações carregadas se encontram OK;
- Validações e esclarecimentos funcionais junto do negócio/owner.</t>
  </si>
  <si>
    <t>Testes / Validações às parametrizações</t>
  </si>
  <si>
    <t>ACCMLTD_CHNGS_FV_CR_INSTRMNT</t>
  </si>
  <si>
    <t>- Garantir que o que está desenvolvido se encontra de acordo com a EF do campo;
- Validações e esclarecimentos funcionais junto do negócio/owner.</t>
  </si>
  <si>
    <t>Testes / Validações Funcionais - EF</t>
  </si>
  <si>
    <t>DFLT_STTS_INSTRMNT</t>
  </si>
  <si>
    <t>- Simulação da EF;  
- Testes de comparação com o desenvolvido por IT:
      - Validação de escolha de BSNSS_AREA e construção do instrmnt_id 
      - Validação de saldos associados ao campo em análise 
- Identificação da origem de incidências.</t>
  </si>
  <si>
    <r>
      <t xml:space="preserve">Testes </t>
    </r>
    <r>
      <rPr>
        <i/>
        <sz val="11"/>
        <color theme="1"/>
        <rFont val="Santander Text"/>
        <family val="2"/>
      </rPr>
      <t>End-to-End</t>
    </r>
    <r>
      <rPr>
        <sz val="11"/>
        <color theme="1"/>
        <rFont val="Santander Text"/>
        <family val="2"/>
      </rPr>
      <t xml:space="preserve"> / Amostragem</t>
    </r>
  </si>
  <si>
    <t>SSTNBL_CTGRY</t>
  </si>
  <si>
    <t>Descrição</t>
  </si>
  <si>
    <t>Categorização de Testes</t>
  </si>
  <si>
    <t>ID Categoria</t>
  </si>
  <si>
    <t>Tipologia de testes</t>
  </si>
  <si>
    <t>Status</t>
  </si>
  <si>
    <t>Campo</t>
  </si>
  <si>
    <t>Origem</t>
  </si>
  <si>
    <t>Concluído</t>
  </si>
  <si>
    <t>Em Correção</t>
  </si>
  <si>
    <t>GD</t>
  </si>
  <si>
    <t>Âmbito</t>
  </si>
  <si>
    <t>-</t>
  </si>
  <si>
    <t>n.a.</t>
  </si>
  <si>
    <t>Cancelado</t>
  </si>
  <si>
    <t>Tipologia_Testes</t>
  </si>
  <si>
    <t>**</t>
  </si>
  <si>
    <t>GRSS_INTRST_EXPNS_CCRR</t>
  </si>
  <si>
    <t>BSNSS_AREA_CCRR</t>
  </si>
  <si>
    <t>GRSS_CMMSSN_EXPNS_OFF_BLNC_CCRR</t>
  </si>
  <si>
    <t>GRSS_CMMSSN_INCM_OFF_BLNC_CCRR</t>
  </si>
  <si>
    <t>GRSS_CMMSSN_INCM_CCRR</t>
  </si>
  <si>
    <t>GRSS_CMMSSN_EXPNS_CCRR</t>
  </si>
  <si>
    <t>GNS_FNNCL_TRNSCTN_EXCHNG_CCRR</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</si>
  <si>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</si>
  <si>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</si>
  <si>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</si>
  <si>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</si>
  <si>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</si>
  <si>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</si>
  <si>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</si>
  <si>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</si>
  <si>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</si>
  <si>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</si>
  <si>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</si>
  <si>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</si>
  <si>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</si>
  <si>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NOT_NULL_CHAR</t>
  </si>
  <si>
    <t>LT_C_EN</t>
  </si>
  <si>
    <t>OK</t>
  </si>
  <si>
    <t>ENTITY</t>
  </si>
  <si>
    <t>KO</t>
  </si>
  <si>
    <t>LT_C_EN_009_01</t>
  </si>
  <si>
    <t>"Reference date." should be a Date not null (default values not allowed)</t>
  </si>
  <si>
    <t>NOT_NULL_DATE</t>
  </si>
  <si>
    <t>NOT_NULL_NA</t>
  </si>
  <si>
    <t>LT_C_IE_001_01</t>
  </si>
  <si>
    <t>INTRA_N1_IE</t>
  </si>
  <si>
    <t>LT_C_IE</t>
  </si>
  <si>
    <t>LT_C_IE_002_01</t>
  </si>
  <si>
    <t>"Reference date" should be a Date not null (default values not allowed)</t>
  </si>
  <si>
    <t>LT_C_IE_004_01</t>
  </si>
  <si>
    <t>"Instrument ID" should be a Char not null (default values not allowed)</t>
  </si>
  <si>
    <t>LT_C_IN_001_01</t>
  </si>
  <si>
    <t>INTRA_N1_IN</t>
  </si>
  <si>
    <t>LT_C_IN</t>
  </si>
  <si>
    <t>LT_C_IN_007_01</t>
  </si>
  <si>
    <t>LT_C_IN_008_01</t>
  </si>
  <si>
    <t>INSTRUMENT</t>
  </si>
  <si>
    <t>LT_C_IN_020_01</t>
  </si>
  <si>
    <t>"Default status of the instrument" should be a num not null  (default values for not applicable fields not allowed)</t>
  </si>
  <si>
    <t>NOT_NULL_NUM_NA</t>
  </si>
  <si>
    <t>LT_C_IN_044_01</t>
  </si>
  <si>
    <t>"Performing status" should be a num not null  (default values for not applicable fields not allowed)</t>
  </si>
  <si>
    <t>LT_C_IN_193_01</t>
  </si>
  <si>
    <t>"Local Instrument ID" should be a Char not null (default values not allowed)</t>
  </si>
  <si>
    <t>LT_C_IN_194_01</t>
  </si>
  <si>
    <t>"Sustainable Indicator" should be a Char not null (default values for not applicable fields not allowed)</t>
  </si>
  <si>
    <t>LT_C_IN_195_01</t>
  </si>
  <si>
    <t>"Sustainable Category" should be a Char not null (default values for not applicable fields not allowed)</t>
  </si>
  <si>
    <t>LT_C_IN_197_01</t>
  </si>
  <si>
    <t>"New Business" should be a Char not null (default values for not applicable fields not allowed)</t>
  </si>
  <si>
    <t>LT_C_IN_202_01</t>
  </si>
  <si>
    <t>"Business Area" should be a Char not null (default values for not applicable fields not allowed)</t>
  </si>
  <si>
    <t>LT_C_IN_206_01</t>
  </si>
  <si>
    <t>"Flag of interbusiness" should be a Char not null (default values for not applicable fields not allowed)</t>
  </si>
  <si>
    <t>LT_C_IN_222_01</t>
  </si>
  <si>
    <t>"Business Area related to CIB" should be a Char not null (default values for not applicable fields not allowed)</t>
  </si>
  <si>
    <t>LT_C_IN_245_01</t>
  </si>
  <si>
    <t>"Flag of instrument cancelled" should be a Char not null (default values for not applicable fields not allowed)</t>
  </si>
  <si>
    <t>FLG_INSTRMNT_CNCLLD</t>
  </si>
  <si>
    <t>LT_C_IN_246_01</t>
  </si>
  <si>
    <t>"IDCOMB" should be a Char not null (default values not allowed)</t>
  </si>
  <si>
    <t>LT_C_IP_001_01</t>
  </si>
  <si>
    <t>INTRA_N1_IP</t>
  </si>
  <si>
    <t>LT_C_IP</t>
  </si>
  <si>
    <t>LT_C_IP_002_01</t>
  </si>
  <si>
    <t>LT_C_IP_003_01</t>
  </si>
  <si>
    <t>LT_C_PR_001_01</t>
  </si>
  <si>
    <t>INTRA_N1_PR</t>
  </si>
  <si>
    <t>LT_C_PR</t>
  </si>
  <si>
    <t>LT_C_PR_003_01</t>
  </si>
  <si>
    <t>DUPLICATES PK</t>
  </si>
  <si>
    <t>LT_D_</t>
  </si>
  <si>
    <t>INSTR_ENTITY</t>
  </si>
  <si>
    <t>LT_D_IN_008_01</t>
  </si>
  <si>
    <t>Duplicates by "Instrument ID" in INSTRUMENT table</t>
  </si>
  <si>
    <t>LT_D_IP_003_01</t>
  </si>
  <si>
    <t>Duplicates by "Instrument ID" and "Protection ID" in INSTR_PROTECTION table</t>
  </si>
  <si>
    <t>INSTR_PROTECTION</t>
  </si>
  <si>
    <t>PROTECTION</t>
  </si>
  <si>
    <t>LT_F_EN_001_01</t>
  </si>
  <si>
    <t>"Entity code of the informing society." should match the information on the Codelist</t>
  </si>
  <si>
    <t>LISTA</t>
  </si>
  <si>
    <t>LT_F_EN</t>
  </si>
  <si>
    <t>FORMAT_DATE</t>
  </si>
  <si>
    <t>LT_F_EN_009_01</t>
  </si>
  <si>
    <t>"Reference date." must have a Date format (yyyy-mm-dd)</t>
  </si>
  <si>
    <t>FORMAT_CHAR</t>
  </si>
  <si>
    <t>"Performing status" should match the information on the Codelist</t>
  </si>
  <si>
    <t>FORMAT_NUM</t>
  </si>
  <si>
    <t>LT_F_IE_001_01</t>
  </si>
  <si>
    <t>LT_F_IE</t>
  </si>
  <si>
    <t>LT_F_IE_002_01</t>
  </si>
  <si>
    <t>"Reference date" must have a Date format (yyyy-mm-dd)</t>
  </si>
  <si>
    <t>LT_F_IE_004_01</t>
  </si>
  <si>
    <t>"Instrument ID" should have Char format (variable length allowed between 1 and 60 characters)</t>
  </si>
  <si>
    <t>LT_F_IN_001_01</t>
  </si>
  <si>
    <t>LT_F_IN</t>
  </si>
  <si>
    <t>LT_F_IN_002_01</t>
  </si>
  <si>
    <t>"Subportfolio ID" should match the information on the Codelist</t>
  </si>
  <si>
    <t>LT_F_IN_007_01</t>
  </si>
  <si>
    <t>LT_F_IN_008_01</t>
  </si>
  <si>
    <t>LT_F_IN_020_01</t>
  </si>
  <si>
    <t>"Default status of the instrument" should match the information on the Codelist</t>
  </si>
  <si>
    <t>LT_F_IN_034_01</t>
  </si>
  <si>
    <t>"Impairment status" should match the information on the Codelist</t>
  </si>
  <si>
    <t>LT_F_IN_044_01</t>
  </si>
  <si>
    <t>LT_F_IN_055_01</t>
  </si>
  <si>
    <t>"Type of instrument" should match the information on the Codelist</t>
  </si>
  <si>
    <t>LT_F_IN_060_01</t>
  </si>
  <si>
    <t>"Gross carrying amount" should have a Format numeric (2 decimal places)</t>
  </si>
  <si>
    <t>LT_F_IN_061_01</t>
  </si>
  <si>
    <t>"Accumulated changes in fair value due to credit risk" should have a Format numeric (2 decimal places)</t>
  </si>
  <si>
    <t>LT_F_IN_062_01</t>
  </si>
  <si>
    <t>"Accounting portfolio" should match the information on the Codelist</t>
  </si>
  <si>
    <t>LT_F_IN_078_01</t>
  </si>
  <si>
    <t>"Off-balance sheet amount" should have a Format numeric (2 decimal places)</t>
  </si>
  <si>
    <t>LT_F_IN_082_01</t>
  </si>
  <si>
    <t>"Provisions associated with off-balance sheet exposures " should have a Format numeric (2 decimal places)</t>
  </si>
  <si>
    <t>LT_F_IN_085_01</t>
  </si>
  <si>
    <t>"RWA" should have a Format numeric (2 decimal places)</t>
  </si>
  <si>
    <t>LT_F_IN_088_01</t>
  </si>
  <si>
    <t>"Sum of LLPs and other allowances" should have a Format numeric (2 decimal places)</t>
  </si>
  <si>
    <t>LT_F_IN_192_01</t>
  </si>
  <si>
    <t>"Cargabal society code of the intragroup exposure" should match the information on the Codelist</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</si>
  <si>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</si>
  <si>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</si>
  <si>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</si>
  <si>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</si>
  <si>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</si>
  <si>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</si>
  <si>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</si>
  <si>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</si>
  <si>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</si>
  <si>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</si>
  <si>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</si>
  <si>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</si>
  <si>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</si>
  <si>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</si>
  <si>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</si>
  <si>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</si>
  <si>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</si>
  <si>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LT_F_IN_201_01</t>
  </si>
  <si>
    <t>"Net loan-loss provisions" should have a Format numeric (2 decimal places)</t>
  </si>
  <si>
    <t>LT_F_IN_202_01</t>
  </si>
  <si>
    <t>"Business Area" should match the information on the Codelist</t>
  </si>
  <si>
    <t>LT_F_IN_203_01</t>
  </si>
  <si>
    <t>"Management Product" should match the information on the Codelist</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</si>
  <si>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</si>
  <si>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</si>
  <si>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</si>
  <si>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</si>
  <si>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</si>
  <si>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LT_F_IN_206_01</t>
  </si>
  <si>
    <t>"Flag of interbusiness" should match the information on the Codelist</t>
  </si>
  <si>
    <t>LT_F_IN_207_01</t>
  </si>
  <si>
    <t>"Interbusiness adjustment code" should match the information on the Codelist</t>
  </si>
  <si>
    <t>LT_F_IN_208_01</t>
  </si>
  <si>
    <t>"Cargabal identification code of the destination entity" should match the information on the Codelist</t>
  </si>
  <si>
    <t>LT_F_IN_209_01</t>
  </si>
  <si>
    <t>"Destination Business area" should match the information on the Codelist</t>
  </si>
  <si>
    <t>LT_F_IN_210_01</t>
  </si>
  <si>
    <t>"Average balance corresponding to undrawn balances committed" should have a Format numeric (2 decimal places)</t>
  </si>
  <si>
    <t>LT_F_IN_211_01</t>
  </si>
  <si>
    <t>"Internal transfer rate amount" corresponding to undrawn balances committed should have a Format numeric (2 decimal places)</t>
  </si>
  <si>
    <t>LT_F_IN_212_01</t>
  </si>
  <si>
    <t>"Gross fee and commission income corresponding to undrawn balances committed" should have a Format numeric (2 decimal places)</t>
  </si>
  <si>
    <t>GRSS_FEE_CMMSSN_INCM_OFF_BLNC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</si>
  <si>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</si>
  <si>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</si>
  <si>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</si>
  <si>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</si>
  <si>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</si>
  <si>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LT_F_IN_215_01</t>
  </si>
  <si>
    <t>"Gross Interest expense before distribution to SCIB under the Collabotarion Revenues distribution agreement" should have a Format numeric (2 decimal places)</t>
  </si>
  <si>
    <t>LT_F_IN_216_01</t>
  </si>
  <si>
    <t>"Net loan-loss provisions corresponding to undrawn balances committed" should have a Format numeric (2 decimal places)</t>
  </si>
  <si>
    <t>LT_F_IN_217_01</t>
  </si>
  <si>
    <t>"Gross Interest income distributed to SCIB under the Collabotarion Revenues distribution agreement" should have a Format numeric (2 decimal places)</t>
  </si>
  <si>
    <t>LT_F_IN_218_01</t>
  </si>
  <si>
    <t>"Gross Interest expense distributed to SCIB under the Collabotarion Revenues distribution agreement" should have a Format numeric (2 decimal places)</t>
  </si>
  <si>
    <t>LT_F_IN_219_01</t>
  </si>
  <si>
    <t>"Gross fee and commission income distributed to SCIB under the Collabotarion Revenues distribution agreement" should have a Format numeric (2 decimal places)</t>
  </si>
  <si>
    <t>GRSS_FEE_CMMSSN_INCM_CCRR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</si>
  <si>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</si>
  <si>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</si>
  <si>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</si>
  <si>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</si>
  <si>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</si>
  <si>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LT_F_IN_222_01</t>
  </si>
  <si>
    <t>"Business Area related to CIB" should match the information on the Codelist</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</si>
  <si>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</si>
  <si>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</si>
  <si>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</si>
  <si>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</si>
  <si>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</si>
  <si>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</si>
  <si>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</si>
  <si>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</si>
  <si>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</si>
  <si>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</si>
  <si>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</si>
  <si>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</si>
  <si>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</si>
  <si>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</si>
  <si>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</si>
  <si>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LT_F_PR</t>
  </si>
  <si>
    <t>LT_F_PR_003_01</t>
  </si>
  <si>
    <t>INTEGRITY PK CONSTRAINT</t>
  </si>
  <si>
    <t>LT_I_</t>
  </si>
  <si>
    <t>LT_I_IE_004_01</t>
  </si>
  <si>
    <t>Any "Instrument ID" in INSTR_ENTITY table must be linked to at least one record in INSTRUMENT table by "Instrument ID"</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</si>
  <si>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</si>
  <si>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</si>
  <si>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</si>
  <si>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</si>
  <si>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</si>
  <si>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</si>
  <si>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</si>
  <si>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</si>
  <si>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RELACION_NUM_DF</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</si>
  <si>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</si>
  <si>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</si>
  <si>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</si>
  <si>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</si>
  <si>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</si>
  <si>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</si>
  <si>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</si>
  <si>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REL_CAMPOS</t>
  </si>
  <si>
    <t>LT_K_IN_214_01</t>
  </si>
  <si>
    <t>"RWA Off Balance" can only be default values (since values will be populated using bank-internal masterscale)</t>
  </si>
  <si>
    <t>LT_K_IP_002_01</t>
  </si>
  <si>
    <t>LT_K_IP</t>
  </si>
  <si>
    <t>LT_K_PR_003_01</t>
  </si>
  <si>
    <t>LT_K_PR</t>
  </si>
  <si>
    <t>LT_O_EN</t>
  </si>
  <si>
    <t>LT_O_EN_009_01</t>
  </si>
  <si>
    <t>"Reference date" must be later than 01 December 2020</t>
  </si>
  <si>
    <t>LT_O_IE_002_01</t>
  </si>
  <si>
    <t>LT_O_IE</t>
  </si>
  <si>
    <t>LT_O_IN_007_01</t>
  </si>
  <si>
    <t>LT_O_IN</t>
  </si>
  <si>
    <t>LT_O_IN_060_01</t>
  </si>
  <si>
    <t>"Gross carrying amount" shall be larger or equal to 0; Negative values trigger attention</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</si>
  <si>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</si>
  <si>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</si>
  <si>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</si>
  <si>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</si>
  <si>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</si>
  <si>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</si>
  <si>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</si>
  <si>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</si>
  <si>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</si>
  <si>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</si>
  <si>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</si>
  <si>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</si>
  <si>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</si>
  <si>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</si>
  <si>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</si>
  <si>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</si>
  <si>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</si>
  <si>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</si>
  <si>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</si>
  <si>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</si>
  <si>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</si>
  <si>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</si>
  <si>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</si>
  <si>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</si>
  <si>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</si>
  <si>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</si>
  <si>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</si>
  <si>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</si>
  <si>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</si>
  <si>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</si>
  <si>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</si>
  <si>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</si>
  <si>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</si>
  <si>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</si>
  <si>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</si>
  <si>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</si>
  <si>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</si>
  <si>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</si>
  <si>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</si>
  <si>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</si>
  <si>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</si>
  <si>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</si>
  <si>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</si>
  <si>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</si>
  <si>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</si>
  <si>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</si>
  <si>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</si>
  <si>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</si>
  <si>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</si>
  <si>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</si>
  <si>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t>
  </si>
  <si>
    <t>LT_O_PR_003_01</t>
  </si>
  <si>
    <t>INTER_REL_P_X2</t>
  </si>
  <si>
    <t>INTER_REL_P_X3</t>
  </si>
  <si>
    <t>LT_R_IN_002_01</t>
  </si>
  <si>
    <t>If "Leverage finance flag" is set to 'Y' then "Subportfolio ID" must be classified as 'SNF - Non-financial corporations'</t>
  </si>
  <si>
    <t>INTRA_REL_P_IN</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</si>
  <si>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</si>
  <si>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</si>
  <si>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</si>
  <si>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</si>
  <si>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</si>
  <si>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</si>
  <si>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</si>
  <si>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</si>
  <si>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</si>
  <si>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</si>
  <si>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</si>
  <si>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</si>
  <si>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</si>
  <si>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</si>
  <si>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</si>
  <si>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</si>
  <si>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</si>
  <si>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</si>
  <si>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</si>
  <si>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</si>
  <si>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</si>
  <si>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</si>
  <si>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</si>
  <si>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</si>
  <si>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</si>
  <si>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</si>
  <si>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</si>
  <si>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</si>
  <si>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</si>
  <si>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</si>
  <si>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</si>
  <si>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</si>
  <si>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</si>
  <si>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</si>
  <si>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</si>
  <si>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</si>
  <si>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</si>
  <si>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</si>
  <si>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</si>
  <si>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</si>
  <si>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</si>
  <si>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</si>
  <si>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</si>
  <si>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</si>
  <si>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</si>
  <si>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</si>
  <si>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</si>
  <si>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</si>
  <si>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</si>
  <si>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</si>
  <si>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</si>
  <si>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</si>
  <si>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</si>
  <si>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</si>
  <si>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</si>
  <si>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</si>
  <si>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</si>
  <si>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</si>
  <si>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</si>
  <si>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</si>
  <si>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</si>
  <si>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</si>
  <si>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</si>
  <si>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</si>
  <si>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</si>
  <si>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</si>
  <si>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</si>
  <si>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</si>
  <si>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</si>
  <si>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</si>
  <si>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</si>
  <si>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</si>
  <si>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</si>
  <si>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</si>
  <si>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</si>
  <si>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</si>
  <si>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</si>
  <si>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</si>
  <si>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</si>
  <si>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</si>
  <si>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</si>
  <si>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</si>
  <si>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</si>
  <si>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</si>
  <si>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</si>
  <si>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</si>
  <si>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</si>
  <si>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</si>
  <si>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</si>
  <si>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</si>
  <si>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</si>
  <si>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</si>
  <si>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</si>
  <si>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</si>
  <si>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</si>
  <si>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</si>
  <si>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</si>
  <si>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</si>
  <si>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</si>
  <si>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</si>
  <si>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</si>
  <si>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</si>
  <si>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</si>
  <si>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</si>
  <si>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</si>
  <si>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</si>
  <si>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</si>
  <si>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</si>
  <si>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</si>
  <si>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</si>
  <si>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</si>
  <si>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</si>
  <si>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</si>
  <si>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</si>
  <si>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</si>
  <si>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</si>
  <si>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</si>
  <si>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</si>
  <si>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</si>
  <si>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</si>
  <si>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</si>
  <si>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</si>
  <si>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</si>
  <si>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</si>
  <si>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</si>
  <si>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</si>
  <si>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</si>
  <si>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</si>
  <si>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</si>
  <si>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</si>
  <si>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</si>
  <si>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</si>
  <si>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</si>
  <si>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</si>
  <si>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</si>
  <si>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</si>
  <si>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</si>
  <si>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</si>
  <si>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</si>
  <si>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</si>
  <si>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</si>
  <si>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</si>
  <si>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</si>
  <si>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</si>
  <si>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</si>
  <si>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</si>
  <si>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</si>
  <si>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</si>
  <si>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</si>
  <si>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</si>
  <si>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</si>
  <si>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</si>
  <si>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</si>
  <si>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</si>
  <si>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</si>
  <si>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</si>
  <si>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</si>
  <si>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</si>
  <si>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</si>
  <si>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</si>
  <si>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</si>
  <si>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</si>
  <si>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</si>
  <si>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</si>
  <si>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</si>
  <si>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</si>
  <si>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</si>
  <si>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</si>
  <si>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</si>
  <si>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</si>
  <si>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STRUCTURE</t>
  </si>
  <si>
    <t>LT_S_EN</t>
  </si>
  <si>
    <t>LT_S_EN_001_01</t>
  </si>
  <si>
    <t>"Entity code of the informing society" can only be informed as one value in ENTITY table</t>
  </si>
  <si>
    <t>LT_S_EN_009_01</t>
  </si>
  <si>
    <t>"Reference date" can only be informed as one value in ENTITY table</t>
  </si>
  <si>
    <t>LT_S_IE</t>
  </si>
  <si>
    <t>LT_S_IE_001_01</t>
  </si>
  <si>
    <t>"Entity code of the informing society" can only be informed as one value in INSTR_ENTITY table</t>
  </si>
  <si>
    <t>LT_S_IE_002_01</t>
  </si>
  <si>
    <t>"Reference date" can only be informed as one value in INSTR_ENTITY table</t>
  </si>
  <si>
    <t>LT_S_IN</t>
  </si>
  <si>
    <t>LT_S_IN_001_01</t>
  </si>
  <si>
    <t>"Entity code of the informing society" can only be informed as one value in INSTRUMENT table</t>
  </si>
  <si>
    <t>LT_S_IN_007_01</t>
  </si>
  <si>
    <t>"Reference date" can only be informed as one value in INSTRUMENT table</t>
  </si>
  <si>
    <t>LT_S_IP</t>
  </si>
  <si>
    <t>LT_S_IP_001_01</t>
  </si>
  <si>
    <t>"Entity code of the informing society" can only be informed as one value in INSTR_PROTECTION table</t>
  </si>
  <si>
    <t>LT_S_IP_002_01</t>
  </si>
  <si>
    <t>"Reference date" can only be informed as one value in INSTR_PROTECTION table</t>
  </si>
  <si>
    <t>LT_S_PR</t>
  </si>
  <si>
    <t>LT_S_PR_001_01</t>
  </si>
  <si>
    <t>"Entity code of the informing society" can only be informed as one value in PROTECTION table</t>
  </si>
  <si>
    <t>LT_S_PR_003_01</t>
  </si>
  <si>
    <t>"Reference date" can only be informed as one value in PROTECTION table</t>
  </si>
  <si>
    <t xml:space="preserve">Campo </t>
  </si>
  <si>
    <t>1. Teste de universo</t>
  </si>
  <si>
    <t>2. Simulação</t>
  </si>
  <si>
    <t>4. Validação de parametrizações</t>
  </si>
  <si>
    <t>Notas</t>
  </si>
  <si>
    <t>27/03/2024 (Corp): Deve ser aprovisionado localmente com o valor correspondente de não aplicável (11111111111)</t>
  </si>
  <si>
    <t>27/03/2024 (Corp): O campo Internal transfer rate from off balance amounts não está incluído no âmbito de contratos do Santander Portugal. Assim, o campo deverá ser aprovisionado com o valor correspondente a não aplicável (11111111111).</t>
  </si>
  <si>
    <t>5. Teste comparativos com LT</t>
  </si>
  <si>
    <t>3. Testes comparativos (Espec. VS Impl.)</t>
  </si>
  <si>
    <t>1. Validação de universo de contratos quando comparado âmbito "CDG" e "PM"
2. Controlos sobre o desdobramento de chaves nas relações FR-MIS</t>
  </si>
  <si>
    <t>Validar controlos corporativos e se a especificação cumpre os requisitos.</t>
  </si>
  <si>
    <t>6. Validação de formatos</t>
  </si>
  <si>
    <t>7. Validação de controlos corporativos</t>
  </si>
  <si>
    <t>Validação de formato de acordo com o que é esperado pela Corporação (incluindo validação de codelists, missing e default values)</t>
  </si>
  <si>
    <t>Garantir que a informação do campo da LT-ESTR âmbito 'PM' está espelhado no âmbito 'CDG'.</t>
  </si>
  <si>
    <t>Estimação (horas)</t>
  </si>
  <si>
    <t>Estimação Horas</t>
  </si>
  <si>
    <t>Complexidade</t>
  </si>
  <si>
    <t>Baixa</t>
  </si>
  <si>
    <t>Média</t>
  </si>
  <si>
    <t>Alta</t>
  </si>
  <si>
    <t xml:space="preserve">A partir da simulação realizada, comparar com as parametrizações implementadas por IT. </t>
  </si>
  <si>
    <t>Simulação da especificação funcional.
Suplementarmente, realizar reuniões de validações e esclarecimentos funcionais junto do negócio/owner.</t>
  </si>
  <si>
    <t xml:space="preserve">A partir da simulação realizada, comparar resultados com a implementação de IT. </t>
  </si>
  <si>
    <t>Necessidade de re-especificação?</t>
  </si>
  <si>
    <t>Outro</t>
  </si>
  <si>
    <t>Pendente de Business_area</t>
  </si>
  <si>
    <t>Pendente de decisão</t>
  </si>
  <si>
    <t>Sim</t>
  </si>
  <si>
    <t>Por iniciar</t>
  </si>
  <si>
    <t>I</t>
  </si>
  <si>
    <t>fciebiebvbvue</t>
  </si>
  <si>
    <t>N/A</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</si>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</sst>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1"/>
      <color theme="1"/>
      <name val="Santander Text"/>
      <family val="2"/>
    </font>
    <font>
      <sz val="11"/>
      <color rgb="FFC00000"/>
      <name val="Santander Text"/>
      <family val="2"/>
    </font>
    <font>
      <sz val="11"/>
      <color theme="7"/>
      <name val="Santander Text"/>
      <family val="2"/>
    </font>
    <font>
      <sz val="11"/>
      <name val="Santander Text"/>
      <family val="2"/>
    </font>
    <font>
      <sz val="11"/>
      <color rgb="FF00B050"/>
      <name val="Santander Text"/>
      <family val="2"/>
    </font>
    <font>
      <i/>
      <sz val="11"/>
      <color theme="1"/>
      <name val="Santander Text"/>
      <family val="2"/>
    </font>
    <font>
      <b/>
      <sz val="12"/>
      <name val="Arial"/>
      <family val="2"/>
    </font>
    <font>
      <b/>
      <sz val="12"/>
      <color theme="0"/>
      <name val="Arial"/>
      <family val="2"/>
    </font>
    <font>
      <b/>
      <i/>
      <sz val="12"/>
      <color theme="0"/>
      <name val="Arial"/>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Calibri"/>
      <family val="2"/>
      <scheme val="minor"/>
    </font>
    <font>
      <sz val="12"/>
      <color theme="1"/>
      <name val="Calibri"/>
      <family val="2"/>
      <scheme val="minor"/>
    </font>
    <font>
      <sz val="8"/>
      <name val="Calibri"/>
      <family val="2"/>
      <scheme val="minor"/>
    </font>
    <font>
      <b/>
      <sz val="12"/>
      <color theme="1"/>
      <name val="Calibri"/>
      <family val="2"/>
      <scheme val="minor"/>
    </font>
    <font>
      <b/>
      <sz val="11"/>
      <color rgb="FFFF0000"/>
      <name val="Santander Headline"/>
      <family val="2"/>
    </font>
  </fonts>
  <fills count="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4">
    <xf numFmtId="0" fontId="0" fillId="0" borderId="0"/>
    <xf numFmtId="9" fontId="1" fillId="0" borderId="0" applyFont="0" applyFill="0" applyBorder="0" applyAlignment="0" applyProtection="0"/>
    <xf numFmtId="0" fontId="1" fillId="0" borderId="0"/>
    <xf numFmtId="0" fontId="16" fillId="0" borderId="0"/>
  </cellStyleXfs>
  <cellXfs count="49">
    <xf numFmtId="0" fontId="0" fillId="0" borderId="0" xfId="0"/>
    <xf numFmtId="0" fontId="2" fillId="0" borderId="1" xfId="0" applyFont="1" applyBorder="1" applyAlignment="1">
      <alignment horizontal="center" vertical="center"/>
    </xf>
    <xf numFmtId="10" fontId="3" fillId="0" borderId="1" xfId="1" applyNumberFormat="1" applyFont="1" applyFill="1" applyBorder="1" applyAlignment="1">
      <alignment horizontal="left"/>
    </xf>
    <xf numFmtId="0" fontId="2" fillId="0" borderId="1" xfId="0" applyFont="1" applyBorder="1"/>
    <xf numFmtId="10" fontId="4" fillId="0" borderId="1" xfId="1" applyNumberFormat="1" applyFont="1" applyFill="1" applyBorder="1" applyAlignment="1">
      <alignment horizontal="left"/>
    </xf>
    <xf numFmtId="0" fontId="5" fillId="0" borderId="1" xfId="0" applyFont="1" applyBorder="1"/>
    <xf numFmtId="0" fontId="2" fillId="0" borderId="1" xfId="0" applyFont="1" applyBorder="1" applyAlignment="1">
      <alignment horizontal="left" vertical="center"/>
    </xf>
    <xf numFmtId="0" fontId="2" fillId="2" borderId="1" xfId="0" applyFont="1" applyFill="1" applyBorder="1"/>
    <xf numFmtId="10" fontId="6" fillId="0" borderId="1" xfId="1" applyNumberFormat="1" applyFont="1" applyFill="1" applyBorder="1" applyAlignment="1"/>
    <xf numFmtId="10" fontId="6" fillId="3" borderId="1" xfId="1" applyNumberFormat="1" applyFont="1" applyFill="1" applyBorder="1" applyAlignment="1"/>
    <xf numFmtId="0" fontId="2" fillId="3" borderId="1" xfId="0" applyFont="1" applyFill="1" applyBorder="1"/>
    <xf numFmtId="0" fontId="2" fillId="0" borderId="1" xfId="0" quotePrefix="1" applyFont="1" applyBorder="1"/>
    <xf numFmtId="0" fontId="2" fillId="0" borderId="1" xfId="0" applyFont="1" applyBorder="1" applyAlignment="1">
      <alignment horizontal="center"/>
    </xf>
    <xf numFmtId="0" fontId="2" fillId="0" borderId="1" xfId="0" quotePrefix="1" applyFont="1" applyBorder="1" applyAlignment="1">
      <alignment vertical="center" wrapText="1"/>
    </xf>
    <xf numFmtId="0" fontId="2" fillId="0" borderId="1" xfId="0" applyFont="1" applyBorder="1" applyAlignment="1">
      <alignment vertical="center"/>
    </xf>
    <xf numFmtId="10" fontId="6" fillId="0" borderId="1" xfId="1" applyNumberFormat="1" applyFont="1" applyFill="1" applyBorder="1" applyAlignment="1">
      <alignment vertical="center"/>
    </xf>
    <xf numFmtId="0" fontId="2" fillId="0" borderId="1" xfId="0" quotePrefix="1" applyFont="1" applyBorder="1" applyAlignment="1">
      <alignment wrapText="1"/>
    </xf>
    <xf numFmtId="0" fontId="8" fillId="2" borderId="1" xfId="0" applyFont="1" applyFill="1" applyBorder="1" applyAlignment="1">
      <alignment horizontal="left"/>
    </xf>
    <xf numFmtId="0" fontId="9" fillId="4" borderId="1" xfId="0" applyFont="1" applyFill="1" applyBorder="1" applyAlignment="1">
      <alignment horizontal="left"/>
    </xf>
    <xf numFmtId="0" fontId="10" fillId="4" borderId="1" xfId="0" applyFont="1" applyFill="1" applyBorder="1" applyAlignment="1">
      <alignment horizontal="left"/>
    </xf>
    <xf numFmtId="0" fontId="11" fillId="4" borderId="0" xfId="2" applyFont="1" applyFill="1" applyProtection="1">
      <protection hidden="1"/>
    </xf>
    <xf numFmtId="0" fontId="0" fillId="0" borderId="0" xfId="0" applyProtection="1">
      <protection hidden="1"/>
    </xf>
    <xf numFmtId="0" fontId="12" fillId="0" borderId="0" xfId="2" applyFont="1" applyProtection="1">
      <protection hidden="1"/>
    </xf>
    <xf numFmtId="14" fontId="13" fillId="0" borderId="0" xfId="0" applyNumberFormat="1" applyFont="1" applyAlignment="1" applyProtection="1">
      <alignment vertical="top"/>
      <protection hidden="1"/>
    </xf>
    <xf numFmtId="0" fontId="12" fillId="0" borderId="0" xfId="2" applyFont="1" applyAlignment="1" applyProtection="1">
      <alignment horizontal="centerContinuous"/>
      <protection hidden="1"/>
    </xf>
    <xf numFmtId="0" fontId="14" fillId="0" borderId="0" xfId="2" applyFont="1" applyAlignment="1" applyProtection="1">
      <alignment horizontal="left"/>
      <protection hidden="1"/>
    </xf>
    <xf numFmtId="0" fontId="0" fillId="5" borderId="0" xfId="0" applyFill="1"/>
    <xf numFmtId="0" fontId="2" fillId="6" borderId="1" xfId="0" applyFont="1" applyFill="1" applyBorder="1"/>
    <xf numFmtId="0" fontId="15" fillId="0" borderId="0" xfId="0" applyFont="1"/>
    <xf numFmtId="0" fontId="2" fillId="0" borderId="2" xfId="0" applyFont="1" applyBorder="1" applyAlignment="1">
      <alignment vertical="center"/>
    </xf>
    <xf numFmtId="0" fontId="9" fillId="4" borderId="3" xfId="0" applyFont="1" applyFill="1" applyBorder="1" applyAlignment="1">
      <alignment horizontal="left"/>
    </xf>
    <xf numFmtId="0" fontId="9" fillId="4" borderId="4" xfId="0" applyFont="1" applyFill="1" applyBorder="1" applyAlignment="1">
      <alignment horizontal="left"/>
    </xf>
    <xf numFmtId="0" fontId="10" fillId="4" borderId="4" xfId="0" applyFont="1" applyFill="1" applyBorder="1" applyAlignment="1">
      <alignment horizontal="left"/>
    </xf>
    <xf numFmtId="0" fontId="2" fillId="0" borderId="4" xfId="0" applyFont="1" applyBorder="1"/>
    <xf numFmtId="0" fontId="16" fillId="0" borderId="0" xfId="3"/>
    <xf numFmtId="0" fontId="18" fillId="7" borderId="0" xfId="3" applyFont="1" applyFill="1"/>
    <xf numFmtId="0" fontId="16" fillId="7" borderId="0" xfId="3" applyFill="1"/>
    <xf numFmtId="0" fontId="2" fillId="0" borderId="7" xfId="0" applyFont="1" applyBorder="1"/>
    <xf numFmtId="0" fontId="19" fillId="0" borderId="0" xfId="0" applyFont="1"/>
    <xf numFmtId="10" fontId="6" fillId="0" borderId="1" xfId="1" applyNumberFormat="1" applyFont="1" applyBorder="1" applyAlignment="1">
      <alignment vertical="center"/>
    </xf>
    <xf numFmtId="10" fontId="3" fillId="0" borderId="1" xfId="1" applyNumberFormat="1" applyFont="1" applyBorder="1" applyAlignment="1">
      <alignment horizontal="left"/>
    </xf>
    <xf numFmtId="10" fontId="6" fillId="6" borderId="1" xfId="1" applyNumberFormat="1" applyFont="1" applyFill="1" applyBorder="1" applyAlignment="1">
      <alignment vertical="center"/>
    </xf>
    <xf numFmtId="0" fontId="2" fillId="6" borderId="4" xfId="0" applyFont="1" applyFill="1" applyBorder="1"/>
    <xf numFmtId="0" fontId="2" fillId="0" borderId="1" xfId="0" applyFont="1" applyFill="1" applyBorder="1"/>
    <xf numFmtId="0" fontId="2" fillId="0" borderId="4" xfId="0" applyFont="1" applyFill="1" applyBorder="1"/>
    <xf numFmtId="0" fontId="2" fillId="0" borderId="6" xfId="0" applyFont="1" applyBorder="1" applyAlignment="1">
      <alignment vertical="center"/>
    </xf>
    <xf numFmtId="0" fontId="2" fillId="0" borderId="5" xfId="0" applyFont="1" applyFill="1" applyBorder="1"/>
    <xf numFmtId="0" fontId="2" fillId="0" borderId="5" xfId="0" applyFont="1" applyBorder="1"/>
    <xf numFmtId="0" fontId="0" fillId="6" borderId="0" xfId="0" applyFill="1"/>
  </cellXfs>
  <cellStyles count="4">
    <cellStyle name="Normal" xfId="0" builtinId="0"/>
    <cellStyle name="Normal 2" xfId="3" xr:uid="{0FC3E083-3DC5-487B-BADA-2EF4FE4FD722}"/>
    <cellStyle name="Normal 3" xfId="2" xr:uid="{00000000-0005-0000-0000-000001000000}"/>
    <cellStyle name="Percent" xfId="1" builtinId="5"/>
  </cellStyles>
  <dxfs count="32">
    <dxf>
      <font>
        <color rgb="FF9C0006"/>
      </font>
      <fill>
        <patternFill>
          <bgColor rgb="FFFFC7CE"/>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rgb="FF9C0006"/>
      </font>
      <fill>
        <patternFill>
          <bgColor rgb="FFFFC7CE"/>
        </patternFill>
      </fill>
    </dxf>
    <dxf>
      <font>
        <b val="0"/>
        <i val="0"/>
        <strike val="0"/>
        <condense val="0"/>
        <extend val="0"/>
        <outline val="0"/>
        <shadow val="0"/>
        <u val="none"/>
        <vertAlign val="baseline"/>
        <sz val="11"/>
        <color theme="1"/>
        <name val="Santander Text"/>
        <family val="2"/>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family val="2"/>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family val="2"/>
        <scheme val="none"/>
      </font>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family val="2"/>
        <scheme val="none"/>
      </font>
      <numFmt numFmtId="0" formatCode="General"/>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family val="2"/>
        <scheme val="none"/>
      </font>
    </dxf>
    <dxf>
      <border outline="0">
        <bottom style="thin">
          <color indexed="64"/>
        </bottom>
      </border>
    </dxf>
    <dxf>
      <font>
        <b/>
        <i val="0"/>
        <strike val="0"/>
        <condense val="0"/>
        <extend val="0"/>
        <outline val="0"/>
        <shadow val="0"/>
        <u val="none"/>
        <vertAlign val="baseline"/>
        <sz val="12"/>
        <color theme="0"/>
        <name val="Arial"/>
        <family val="2"/>
        <scheme val="none"/>
      </font>
      <fill>
        <patternFill patternType="solid">
          <fgColor indexed="64"/>
          <bgColor rgb="FFFF0000"/>
        </patternFill>
      </fill>
      <alignment horizontal="left"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74854630-F638-4E46-97BF-1D1E7570F1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1500" y="346810"/>
          <a:ext cx="863147" cy="151838"/>
        </a:xfrm>
        <a:prstGeom prst="rect">
          <a:avLst/>
        </a:prstGeom>
      </xdr:spPr>
    </xdr:pic>
    <xdr:clientData/>
  </xdr:absoluteAnchor>
  <xdr:twoCellAnchor>
    <xdr:from>
      <xdr:col>3</xdr:col>
      <xdr:colOff>285141</xdr:colOff>
      <xdr:row>0</xdr:row>
      <xdr:rowOff>198120</xdr:rowOff>
    </xdr:from>
    <xdr:to>
      <xdr:col>3</xdr:col>
      <xdr:colOff>1219200</xdr:colOff>
      <xdr:row>3</xdr:row>
      <xdr:rowOff>32981</xdr:rowOff>
    </xdr:to>
    <xdr:pic>
      <xdr:nvPicPr>
        <xdr:cNvPr id="3" name="Graphic 267">
          <a:extLst>
            <a:ext uri="{FF2B5EF4-FFF2-40B4-BE49-F238E27FC236}">
              <a16:creationId xmlns:a16="http://schemas.microsoft.com/office/drawing/2014/main" id="{54FAF8A4-9A8F-432C-AFEE-8DF0B37A2AA1}"/>
            </a:ext>
          </a:extLst>
        </xdr:cNvPr>
        <xdr:cNvPicPr>
          <a:picLocks noChangeAspect="1"/>
        </xdr:cNvPicPr>
      </xdr:nvPicPr>
      <xdr:blipFill>
        <a:blip xmlns:r="http://schemas.openxmlformats.org/officeDocument/2006/relationships" r:embed="rId3"/>
        <a:stretch>
          <a:fillRect/>
        </a:stretch>
      </xdr:blipFill>
      <xdr:spPr>
        <a:xfrm>
          <a:off x="1504341" y="182880"/>
          <a:ext cx="324459" cy="3987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571500" y="346810"/>
    <xdr:ext cx="863147" cy="151838"/>
    <xdr:pic>
      <xdr:nvPicPr>
        <xdr:cNvPr id="2" name="Gráfico 10">
          <a:extLst>
            <a:ext uri="{FF2B5EF4-FFF2-40B4-BE49-F238E27FC236}">
              <a16:creationId xmlns:a16="http://schemas.microsoft.com/office/drawing/2014/main" id="{241326D9-9418-4F8D-B1D3-D7F9A3E494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1500" y="346810"/>
          <a:ext cx="863147" cy="151838"/>
        </a:xfrm>
        <a:prstGeom prst="rect">
          <a:avLst/>
        </a:prstGeom>
      </xdr:spPr>
    </xdr:pic>
    <xdr:clientData/>
  </xdr:absoluteAnchor>
  <xdr:twoCellAnchor>
    <xdr:from>
      <xdr:col>2</xdr:col>
      <xdr:colOff>285141</xdr:colOff>
      <xdr:row>0</xdr:row>
      <xdr:rowOff>198120</xdr:rowOff>
    </xdr:from>
    <xdr:to>
      <xdr:col>2</xdr:col>
      <xdr:colOff>1219200</xdr:colOff>
      <xdr:row>3</xdr:row>
      <xdr:rowOff>32981</xdr:rowOff>
    </xdr:to>
    <xdr:pic>
      <xdr:nvPicPr>
        <xdr:cNvPr id="3" name="Graphic 267">
          <a:extLst>
            <a:ext uri="{FF2B5EF4-FFF2-40B4-BE49-F238E27FC236}">
              <a16:creationId xmlns:a16="http://schemas.microsoft.com/office/drawing/2014/main" id="{5B4B1916-B165-402C-9902-13CEE68FBAA8}"/>
            </a:ext>
          </a:extLst>
        </xdr:cNvPr>
        <xdr:cNvPicPr>
          <a:picLocks noChangeAspect="1"/>
        </xdr:cNvPicPr>
      </xdr:nvPicPr>
      <xdr:blipFill>
        <a:blip xmlns:r="http://schemas.openxmlformats.org/officeDocument/2006/relationships" r:embed="rId3"/>
        <a:stretch>
          <a:fillRect/>
        </a:stretch>
      </xdr:blipFill>
      <xdr:spPr>
        <a:xfrm>
          <a:off x="1877721" y="198120"/>
          <a:ext cx="934059" cy="40636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6D179D-FF75-47BF-BF8D-DD90218BED8B}" name="Table1" displayName="Table1" ref="B8:J183" totalsRowShown="0" headerRowDxfId="31" dataDxfId="29" headerRowBorderDxfId="30" tableBorderDxfId="28" totalsRowBorderDxfId="27">
  <autoFilter ref="B8:J183" xr:uid="{756D179D-FF75-47BF-BF8D-DD90218BED8B}"/>
  <tableColumns count="9">
    <tableColumn id="1" xr3:uid="{CD3F78FC-04B4-4F88-B50C-31CB47CBAE7E}" name="Âmbito" dataDxfId="26"/>
    <tableColumn id="2" xr3:uid="{C058AABF-F313-46F9-B646-865ADA5CF4E7}" name="Origem" dataDxfId="25"/>
    <tableColumn id="3" xr3:uid="{8B65A0D3-0F42-4B00-AC86-4A5A49E67E2C}" name="Campo" dataDxfId="24"/>
    <tableColumn id="4" xr3:uid="{C4CB600D-05B8-44F6-941E-80860A370251}" name="Status" dataDxfId="23"/>
    <tableColumn id="6" xr3:uid="{138AF4B9-D0A0-43E2-B949-9B87EDA858CE}" name="Tipologia_Testes" dataDxfId="21"/>
    <tableColumn id="10" xr3:uid="{222939F0-D712-4556-BB47-BA9A6945DE26}" name="Necessidade de re-especificação?" dataDxfId="18"/>
    <tableColumn id="9" xr3:uid="{6FCEA9E9-7429-4B62-800A-D13BA3E92474}" name="Complexidade" dataDxfId="20"/>
    <tableColumn id="8" xr3:uid="{BAEE396E-738B-4DAE-938B-49332A0CC694}" name="Estimação (horas)" dataDxfId="19">
      <calculatedColumnFormula>INDEX(Auxiliar!$D$5:$F$11,MATCH(Table1[[#This Row],[Tipologia_Testes]],Auxiliar!$B$5:$B$11,0),MATCH(Table1[[#This Row],[Complexidade]],Auxiliar!$D$4:$F$4,0))</calculatedColumnFormula>
    </tableColumn>
    <tableColumn id="7" xr3:uid="{80D0BA5A-2E53-42E9-91F6-1F03E78FC5BA}" name="Notas" dataDxfId="22"/>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06"/>
  <sheetViews>
    <sheetView showGridLines="0" tabSelected="1" topLeftCell="A124" zoomScale="85" zoomScaleNormal="85" workbookViewId="0">
      <selection activeCell="F135" sqref="F135"/>
    </sheetView>
  </sheetViews>
  <sheetFormatPr defaultRowHeight="14.4" x14ac:dyDescent="0.3"/>
  <cols>
    <col min="2" max="2" width="11.5546875" bestFit="1" customWidth="1"/>
    <col min="3" max="3" width="14.33203125" bestFit="1" customWidth="1"/>
    <col min="4" max="4" width="41.109375" bestFit="1" customWidth="1"/>
    <col min="5" max="5" width="12.21875" bestFit="1" customWidth="1"/>
    <col min="6" max="6" width="51.33203125" bestFit="1" customWidth="1"/>
    <col min="7" max="7" width="44.6640625" bestFit="1" customWidth="1"/>
    <col min="8" max="8" width="20.77734375" customWidth="1"/>
    <col min="9" max="9" width="51.33203125" customWidth="1"/>
    <col min="10" max="10" width="52.33203125" bestFit="1" customWidth="1"/>
    <col min="11" max="11" width="10.77734375" customWidth="1"/>
    <col min="12" max="12" width="20.77734375" customWidth="1"/>
    <col min="13" max="13" width="33.5546875" customWidth="1"/>
    <col min="14" max="15" width="5.77734375" customWidth="1"/>
  </cols>
  <sheetData>
    <row r="1" spans="1:38" ht="16.2" customHeight="1" x14ac:dyDescent="0.3">
      <c r="Z1" s="26"/>
      <c r="AA1" s="26"/>
      <c r="AB1" s="26"/>
      <c r="AC1" s="26"/>
      <c r="AD1" s="26"/>
      <c r="AE1" s="26"/>
      <c r="AF1" s="26"/>
      <c r="AG1" s="26"/>
      <c r="AH1" s="26"/>
      <c r="AI1" s="26"/>
      <c r="AL1" s="26"/>
    </row>
    <row r="2" spans="1:38" x14ac:dyDescent="0.3">
      <c r="A2" s="22"/>
      <c r="B2" s="22"/>
      <c r="C2" s="22"/>
      <c r="D2" s="22"/>
      <c r="E2" s="22"/>
      <c r="F2" s="22"/>
      <c r="G2" s="22"/>
      <c r="H2" s="22"/>
      <c r="I2" s="22"/>
      <c r="J2" s="22"/>
      <c r="K2" s="22"/>
      <c r="L2" s="22"/>
      <c r="M2" s="22"/>
      <c r="N2" s="22"/>
      <c r="O2" s="22"/>
      <c r="P2" s="22"/>
      <c r="Q2" s="22"/>
      <c r="R2" s="22"/>
      <c r="S2" s="22"/>
      <c r="T2" s="22"/>
      <c r="U2" s="22"/>
      <c r="V2" s="22"/>
      <c r="W2" s="22"/>
      <c r="X2" s="22"/>
      <c r="Y2" s="22"/>
      <c r="Z2" s="22"/>
      <c r="AA2" s="21"/>
      <c r="AB2" s="21"/>
      <c r="AC2" s="21"/>
      <c r="AD2" s="21"/>
      <c r="AE2" s="21"/>
      <c r="AF2" s="21"/>
      <c r="AG2" s="21"/>
      <c r="AH2" s="21"/>
      <c r="AI2" s="21"/>
      <c r="AJ2" s="21"/>
      <c r="AK2" s="21"/>
      <c r="AL2" s="21"/>
    </row>
    <row r="3" spans="1:38" x14ac:dyDescent="0.3">
      <c r="A3" s="25"/>
      <c r="B3" s="25"/>
      <c r="C3" s="25"/>
      <c r="D3" s="25"/>
      <c r="E3" s="25"/>
      <c r="F3" s="24"/>
      <c r="G3" s="24"/>
      <c r="H3" s="24"/>
      <c r="I3" s="24"/>
      <c r="J3" s="24"/>
      <c r="K3" s="24"/>
      <c r="L3" s="24"/>
      <c r="M3" s="24"/>
      <c r="N3" s="23"/>
      <c r="O3" s="23"/>
      <c r="P3" s="23"/>
      <c r="Q3" s="23"/>
      <c r="R3" s="23"/>
      <c r="S3" s="23"/>
      <c r="T3" s="23"/>
      <c r="U3" s="23"/>
      <c r="V3" s="23"/>
      <c r="W3" s="23"/>
      <c r="X3" s="23"/>
      <c r="Y3" s="23"/>
      <c r="Z3" s="23"/>
      <c r="AA3" s="21"/>
      <c r="AB3" s="21"/>
      <c r="AC3" s="21"/>
      <c r="AD3" s="21"/>
      <c r="AE3" s="21"/>
      <c r="AF3" s="21"/>
      <c r="AG3" s="21"/>
      <c r="AH3" s="21"/>
      <c r="AI3" s="21"/>
      <c r="AJ3" s="21"/>
      <c r="AK3" s="21"/>
      <c r="AL3" s="21"/>
    </row>
    <row r="4" spans="1:38" x14ac:dyDescent="0.3">
      <c r="A4" s="22"/>
      <c r="B4" s="22"/>
      <c r="C4" s="22"/>
      <c r="D4" s="22"/>
      <c r="E4" s="22"/>
      <c r="F4" s="22"/>
      <c r="G4" s="22"/>
      <c r="H4" s="22"/>
      <c r="I4" s="22"/>
      <c r="J4" s="22"/>
      <c r="K4" s="22"/>
      <c r="L4" s="22"/>
      <c r="M4" s="22"/>
      <c r="N4" s="22"/>
      <c r="O4" s="22"/>
      <c r="P4" s="22"/>
      <c r="Q4" s="22"/>
      <c r="R4" s="22"/>
      <c r="S4" s="22"/>
      <c r="T4" s="22"/>
      <c r="U4" s="22"/>
      <c r="V4" s="22"/>
      <c r="W4" s="22"/>
      <c r="X4" s="22"/>
      <c r="Y4" s="22"/>
      <c r="Z4" s="22"/>
      <c r="AA4" s="21"/>
      <c r="AB4" s="21"/>
      <c r="AC4" s="21"/>
      <c r="AD4" s="21"/>
      <c r="AE4" s="21"/>
      <c r="AF4" s="21"/>
      <c r="AG4" s="21"/>
      <c r="AH4" s="21"/>
      <c r="AI4" s="21"/>
      <c r="AJ4" s="21"/>
      <c r="AK4" s="21"/>
      <c r="AL4" s="21"/>
    </row>
    <row r="5" spans="1:38"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8" spans="1:38" ht="15" customHeight="1" x14ac:dyDescent="0.3">
      <c r="B8" s="30" t="s">
        <v>85</v>
      </c>
      <c r="C8" s="31" t="s">
        <v>81</v>
      </c>
      <c r="D8" s="31" t="s">
        <v>80</v>
      </c>
      <c r="E8" s="32" t="s">
        <v>79</v>
      </c>
      <c r="F8" s="31" t="s">
        <v>89</v>
      </c>
      <c r="G8" s="31" t="s">
        <v>616</v>
      </c>
      <c r="H8" s="31" t="s">
        <v>609</v>
      </c>
      <c r="I8" s="31" t="s">
        <v>607</v>
      </c>
      <c r="J8" s="31" t="s">
        <v>596</v>
      </c>
    </row>
    <row r="9" spans="1:38" ht="17.399999999999999" x14ac:dyDescent="0.45">
      <c r="B9" s="29" t="s">
        <v>84</v>
      </c>
      <c r="C9" s="14" t="s">
        <v>86</v>
      </c>
      <c r="D9" s="14" t="s">
        <v>87</v>
      </c>
      <c r="E9" s="41"/>
      <c r="F9" s="33" t="s">
        <v>593</v>
      </c>
      <c r="G9" s="33"/>
      <c r="H9" s="33" t="s">
        <v>612</v>
      </c>
      <c r="I9" s="33">
        <f>INDEX(Auxiliar!$D$5:$F$11,MATCH(Table1[[#This Row],[Tipologia_Testes]],Auxiliar!$B$5:$B$11,0),MATCH(Table1[[#This Row],[Complexidade]],Auxiliar!$D$4:$F$4,0))</f>
        <v>8</v>
      </c>
      <c r="J9" s="33"/>
    </row>
    <row r="10" spans="1:38" ht="17.399999999999999" x14ac:dyDescent="0.45">
      <c r="B10" s="29" t="s">
        <v>84</v>
      </c>
      <c r="C10" s="14" t="s">
        <v>4</v>
      </c>
      <c r="D10" s="14" t="s">
        <v>74</v>
      </c>
      <c r="E10" s="15" t="s">
        <v>82</v>
      </c>
      <c r="F10" s="33" t="s">
        <v>594</v>
      </c>
      <c r="G10" s="33"/>
      <c r="H10" s="33"/>
      <c r="I10" s="33" t="e">
        <f>INDEX(Auxiliar!$D$5:$F$11,MATCH(Table1[[#This Row],[Tipologia_Testes]],Auxiliar!$B$5:$B$11,0),MATCH(Table1[[#This Row],[Complexidade]],Auxiliar!$D$4:$F$4,0))</f>
        <v>#N/A</v>
      </c>
      <c r="J10" s="3"/>
    </row>
    <row r="11" spans="1:38" ht="17.399999999999999" x14ac:dyDescent="0.45">
      <c r="B11" s="29" t="s">
        <v>84</v>
      </c>
      <c r="C11" s="14" t="s">
        <v>4</v>
      </c>
      <c r="D11" s="14" t="s">
        <v>74</v>
      </c>
      <c r="E11" s="15" t="s">
        <v>82</v>
      </c>
      <c r="F11" s="33" t="s">
        <v>600</v>
      </c>
      <c r="G11" s="33"/>
      <c r="H11" s="33"/>
      <c r="I11" s="33" t="e">
        <f>INDEX(Auxiliar!$D$5:$F$11,MATCH(Table1[[#This Row],[Tipologia_Testes]],Auxiliar!$B$5:$B$11,0),MATCH(Table1[[#This Row],[Complexidade]],Auxiliar!$D$4:$F$4,0))</f>
        <v>#N/A</v>
      </c>
      <c r="J11" s="3"/>
    </row>
    <row r="12" spans="1:38" ht="17.399999999999999" x14ac:dyDescent="0.45">
      <c r="B12" s="29" t="s">
        <v>84</v>
      </c>
      <c r="C12" s="14" t="s">
        <v>4</v>
      </c>
      <c r="D12" s="14" t="s">
        <v>74</v>
      </c>
      <c r="E12" s="15" t="s">
        <v>82</v>
      </c>
      <c r="F12" s="42" t="s">
        <v>595</v>
      </c>
      <c r="G12" s="42"/>
      <c r="H12" s="42"/>
      <c r="I12" s="33" t="e">
        <f>INDEX(Auxiliar!$D$5:$F$11,MATCH(Table1[[#This Row],[Tipologia_Testes]],Auxiliar!$B$5:$B$11,0),MATCH(Table1[[#This Row],[Complexidade]],Auxiliar!$D$4:$F$4,0))</f>
        <v>#N/A</v>
      </c>
      <c r="J12" s="3"/>
    </row>
    <row r="13" spans="1:38" ht="17.399999999999999" x14ac:dyDescent="0.45">
      <c r="B13" s="29" t="s">
        <v>84</v>
      </c>
      <c r="C13" s="14" t="s">
        <v>4</v>
      </c>
      <c r="D13" s="14" t="s">
        <v>74</v>
      </c>
      <c r="E13" s="15" t="s">
        <v>82</v>
      </c>
      <c r="F13" s="44" t="s">
        <v>603</v>
      </c>
      <c r="G13" s="44"/>
      <c r="H13" s="44"/>
      <c r="I13" s="33" t="e">
        <f>INDEX(Auxiliar!$D$5:$F$11,MATCH(Table1[[#This Row],[Tipologia_Testes]],Auxiliar!$B$5:$B$11,0),MATCH(Table1[[#This Row],[Complexidade]],Auxiliar!$D$4:$F$4,0))</f>
        <v>#N/A</v>
      </c>
      <c r="J13" s="3"/>
    </row>
    <row r="14" spans="1:38" ht="17.399999999999999" x14ac:dyDescent="0.45">
      <c r="B14" s="29" t="s">
        <v>84</v>
      </c>
      <c r="C14" s="14" t="s">
        <v>4</v>
      </c>
      <c r="D14" s="14" t="s">
        <v>74</v>
      </c>
      <c r="E14" s="15" t="s">
        <v>82</v>
      </c>
      <c r="F14" s="33" t="s">
        <v>604</v>
      </c>
      <c r="G14" s="33"/>
      <c r="H14" s="33"/>
      <c r="I14" s="33" t="e">
        <f>INDEX(Auxiliar!$D$5:$F$11,MATCH(Table1[[#This Row],[Tipologia_Testes]],Auxiliar!$B$5:$B$11,0),MATCH(Table1[[#This Row],[Complexidade]],Auxiliar!$D$4:$F$4,0))</f>
        <v>#N/A</v>
      </c>
      <c r="J14" s="3"/>
    </row>
    <row r="15" spans="1:38" ht="17.399999999999999" x14ac:dyDescent="0.45">
      <c r="B15" s="29" t="s">
        <v>84</v>
      </c>
      <c r="C15" s="14" t="s">
        <v>42</v>
      </c>
      <c r="D15" s="14" t="s">
        <v>71</v>
      </c>
      <c r="E15" s="15" t="s">
        <v>82</v>
      </c>
      <c r="F15" s="33" t="s">
        <v>599</v>
      </c>
      <c r="G15" s="33"/>
      <c r="H15" s="33"/>
      <c r="I15" s="33" t="e">
        <f>INDEX(Auxiliar!$D$5:$F$11,MATCH(Table1[[#This Row],[Tipologia_Testes]],Auxiliar!$B$5:$B$11,0),MATCH(Table1[[#This Row],[Complexidade]],Auxiliar!$D$4:$F$4,0))</f>
        <v>#N/A</v>
      </c>
      <c r="J15" s="3"/>
    </row>
    <row r="16" spans="1:38" ht="17.399999999999999" x14ac:dyDescent="0.45">
      <c r="B16" s="29" t="s">
        <v>84</v>
      </c>
      <c r="C16" s="14" t="s">
        <v>42</v>
      </c>
      <c r="D16" s="14" t="s">
        <v>68</v>
      </c>
      <c r="E16" s="15" t="s">
        <v>82</v>
      </c>
      <c r="F16" s="33" t="s">
        <v>599</v>
      </c>
      <c r="G16" s="33"/>
      <c r="H16" s="33"/>
      <c r="I16" s="33" t="e">
        <f>INDEX(Auxiliar!$D$5:$F$11,MATCH(Table1[[#This Row],[Tipologia_Testes]],Auxiliar!$B$5:$B$11,0),MATCH(Table1[[#This Row],[Complexidade]],Auxiliar!$D$4:$F$4,0))</f>
        <v>#N/A</v>
      </c>
      <c r="J16" s="3"/>
    </row>
    <row r="17" spans="2:10" ht="17.399999999999999" x14ac:dyDescent="0.45">
      <c r="B17" s="29" t="s">
        <v>84</v>
      </c>
      <c r="C17" s="14" t="s">
        <v>42</v>
      </c>
      <c r="D17" s="14" t="s">
        <v>65</v>
      </c>
      <c r="E17" s="15" t="s">
        <v>82</v>
      </c>
      <c r="F17" s="33" t="s">
        <v>599</v>
      </c>
      <c r="G17" s="33"/>
      <c r="H17" s="33"/>
      <c r="I17" s="33" t="e">
        <f>INDEX(Auxiliar!$D$5:$F$11,MATCH(Table1[[#This Row],[Tipologia_Testes]],Auxiliar!$B$5:$B$11,0),MATCH(Table1[[#This Row],[Complexidade]],Auxiliar!$D$4:$F$4,0))</f>
        <v>#N/A</v>
      </c>
      <c r="J17" s="3"/>
    </row>
    <row r="18" spans="2:10" ht="17.399999999999999" x14ac:dyDescent="0.45">
      <c r="B18" s="29" t="s">
        <v>84</v>
      </c>
      <c r="C18" s="14" t="s">
        <v>42</v>
      </c>
      <c r="D18" s="14" t="s">
        <v>62</v>
      </c>
      <c r="E18" s="15" t="s">
        <v>82</v>
      </c>
      <c r="F18" s="33" t="s">
        <v>599</v>
      </c>
      <c r="G18" s="33"/>
      <c r="H18" s="33"/>
      <c r="I18" s="33" t="e">
        <f>INDEX(Auxiliar!$D$5:$F$11,MATCH(Table1[[#This Row],[Tipologia_Testes]],Auxiliar!$B$5:$B$11,0),MATCH(Table1[[#This Row],[Complexidade]],Auxiliar!$D$4:$F$4,0))</f>
        <v>#N/A</v>
      </c>
      <c r="J18" s="3"/>
    </row>
    <row r="19" spans="2:10" ht="17.399999999999999" x14ac:dyDescent="0.45">
      <c r="B19" s="29" t="s">
        <v>84</v>
      </c>
      <c r="C19" s="14" t="s">
        <v>42</v>
      </c>
      <c r="D19" s="14" t="s">
        <v>59</v>
      </c>
      <c r="E19" s="15" t="s">
        <v>82</v>
      </c>
      <c r="F19" s="33" t="s">
        <v>599</v>
      </c>
      <c r="G19" s="33"/>
      <c r="H19" s="33"/>
      <c r="I19" s="33" t="e">
        <f>INDEX(Auxiliar!$D$5:$F$11,MATCH(Table1[[#This Row],[Tipologia_Testes]],Auxiliar!$B$5:$B$11,0),MATCH(Table1[[#This Row],[Complexidade]],Auxiliar!$D$4:$F$4,0))</f>
        <v>#N/A</v>
      </c>
      <c r="J19" s="3"/>
    </row>
    <row r="20" spans="2:10" ht="17.399999999999999" x14ac:dyDescent="0.45">
      <c r="B20" s="29" t="s">
        <v>84</v>
      </c>
      <c r="C20" s="3" t="s">
        <v>42</v>
      </c>
      <c r="D20" s="3" t="s">
        <v>56</v>
      </c>
      <c r="E20" s="8" t="s">
        <v>82</v>
      </c>
      <c r="F20" s="33" t="s">
        <v>599</v>
      </c>
      <c r="G20" s="33"/>
      <c r="H20" s="33"/>
      <c r="I20" s="33" t="e">
        <f>INDEX(Auxiliar!$D$5:$F$11,MATCH(Table1[[#This Row],[Tipologia_Testes]],Auxiliar!$B$5:$B$11,0),MATCH(Table1[[#This Row],[Complexidade]],Auxiliar!$D$4:$F$4,0))</f>
        <v>#N/A</v>
      </c>
      <c r="J20" s="3"/>
    </row>
    <row r="21" spans="2:10" ht="17.399999999999999" x14ac:dyDescent="0.45">
      <c r="B21" s="29" t="s">
        <v>84</v>
      </c>
      <c r="C21" s="3" t="s">
        <v>42</v>
      </c>
      <c r="D21" s="3" t="s">
        <v>53</v>
      </c>
      <c r="E21" s="8" t="s">
        <v>82</v>
      </c>
      <c r="F21" s="33" t="s">
        <v>599</v>
      </c>
      <c r="G21" s="33"/>
      <c r="H21" s="33"/>
      <c r="I21" s="33" t="e">
        <f>INDEX(Auxiliar!$D$5:$F$11,MATCH(Table1[[#This Row],[Tipologia_Testes]],Auxiliar!$B$5:$B$11,0),MATCH(Table1[[#This Row],[Complexidade]],Auxiliar!$D$4:$F$4,0))</f>
        <v>#N/A</v>
      </c>
      <c r="J21" s="3"/>
    </row>
    <row r="22" spans="2:10" ht="17.399999999999999" x14ac:dyDescent="0.45">
      <c r="B22" s="29" t="s">
        <v>84</v>
      </c>
      <c r="C22" s="3" t="s">
        <v>42</v>
      </c>
      <c r="D22" s="3" t="s">
        <v>52</v>
      </c>
      <c r="E22" s="8" t="s">
        <v>82</v>
      </c>
      <c r="F22" s="33" t="s">
        <v>599</v>
      </c>
      <c r="G22" s="33"/>
      <c r="H22" s="33"/>
      <c r="I22" s="33" t="e">
        <f>INDEX(Auxiliar!$D$5:$F$11,MATCH(Table1[[#This Row],[Tipologia_Testes]],Auxiliar!$B$5:$B$11,0),MATCH(Table1[[#This Row],[Complexidade]],Auxiliar!$D$4:$F$4,0))</f>
        <v>#N/A</v>
      </c>
      <c r="J22" s="3"/>
    </row>
    <row r="23" spans="2:10" ht="17.399999999999999" x14ac:dyDescent="0.45">
      <c r="B23" s="29" t="s">
        <v>84</v>
      </c>
      <c r="C23" s="3" t="s">
        <v>42</v>
      </c>
      <c r="D23" s="3" t="s">
        <v>51</v>
      </c>
      <c r="E23" s="8" t="s">
        <v>82</v>
      </c>
      <c r="F23" s="33" t="s">
        <v>599</v>
      </c>
      <c r="G23" s="33"/>
      <c r="H23" s="33"/>
      <c r="I23" s="33" t="e">
        <f>INDEX(Auxiliar!$D$5:$F$11,MATCH(Table1[[#This Row],[Tipologia_Testes]],Auxiliar!$B$5:$B$11,0),MATCH(Table1[[#This Row],[Complexidade]],Auxiliar!$D$4:$F$4,0))</f>
        <v>#N/A</v>
      </c>
      <c r="J23" s="3"/>
    </row>
    <row r="24" spans="2:10" ht="17.399999999999999" x14ac:dyDescent="0.45">
      <c r="B24" s="29" t="s">
        <v>84</v>
      </c>
      <c r="C24" s="3" t="s">
        <v>617</v>
      </c>
      <c r="D24" s="3" t="s">
        <v>50</v>
      </c>
      <c r="E24" s="8" t="s">
        <v>8</v>
      </c>
      <c r="F24" s="33" t="s">
        <v>594</v>
      </c>
      <c r="G24" s="33" t="s">
        <v>620</v>
      </c>
      <c r="H24" s="33" t="s">
        <v>612</v>
      </c>
      <c r="I24" s="33">
        <f>INDEX(Auxiliar!$D$5:$F$11,MATCH(Table1[[#This Row],[Tipologia_Testes]],Auxiliar!$B$5:$B$11,0),MATCH(Table1[[#This Row],[Complexidade]],Auxiliar!$D$4:$F$4,0))</f>
        <v>8</v>
      </c>
      <c r="J24" s="3" t="s">
        <v>618</v>
      </c>
    </row>
    <row r="25" spans="2:10" ht="17.399999999999999" x14ac:dyDescent="0.45">
      <c r="B25" s="29" t="s">
        <v>84</v>
      </c>
      <c r="C25" s="3" t="s">
        <v>617</v>
      </c>
      <c r="D25" s="3" t="s">
        <v>50</v>
      </c>
      <c r="E25" s="8" t="s">
        <v>8</v>
      </c>
      <c r="F25" s="33" t="s">
        <v>600</v>
      </c>
      <c r="G25" s="33" t="s">
        <v>620</v>
      </c>
      <c r="H25" s="33" t="s">
        <v>612</v>
      </c>
      <c r="I25" s="33">
        <f>INDEX(Auxiliar!$D$5:$F$11,MATCH(Table1[[#This Row],[Tipologia_Testes]],Auxiliar!$B$5:$B$11,0),MATCH(Table1[[#This Row],[Complexidade]],Auxiliar!$D$4:$F$4,0))</f>
        <v>8</v>
      </c>
      <c r="J25" s="3" t="s">
        <v>618</v>
      </c>
    </row>
    <row r="26" spans="2:10" ht="17.399999999999999" x14ac:dyDescent="0.45">
      <c r="B26" s="29" t="s">
        <v>84</v>
      </c>
      <c r="C26" s="3" t="s">
        <v>617</v>
      </c>
      <c r="D26" s="3" t="s">
        <v>50</v>
      </c>
      <c r="E26" s="8" t="s">
        <v>8</v>
      </c>
      <c r="F26" s="33" t="s">
        <v>603</v>
      </c>
      <c r="G26" s="33" t="s">
        <v>620</v>
      </c>
      <c r="H26" s="33" t="s">
        <v>612</v>
      </c>
      <c r="I26" s="33">
        <f>INDEX(Auxiliar!$D$5:$F$11,MATCH(Table1[[#This Row],[Tipologia_Testes]],Auxiliar!$B$5:$B$11,0),MATCH(Table1[[#This Row],[Complexidade]],Auxiliar!$D$4:$F$4,0))</f>
        <v>1</v>
      </c>
      <c r="J26" s="3" t="s">
        <v>618</v>
      </c>
    </row>
    <row r="27" spans="2:10" ht="17.399999999999999" x14ac:dyDescent="0.45">
      <c r="B27" s="29" t="s">
        <v>84</v>
      </c>
      <c r="C27" s="3" t="s">
        <v>42</v>
      </c>
      <c r="D27" s="3" t="s">
        <v>49</v>
      </c>
      <c r="E27" s="8" t="s">
        <v>82</v>
      </c>
      <c r="F27" s="33" t="s">
        <v>599</v>
      </c>
      <c r="G27" s="33"/>
      <c r="H27" s="33"/>
      <c r="I27" s="33" t="e">
        <f>INDEX(Auxiliar!$D$5:$F$11,MATCH(Table1[[#This Row],[Tipologia_Testes]],Auxiliar!$B$5:$B$11,0),MATCH(Table1[[#This Row],[Complexidade]],Auxiliar!$D$4:$F$4,0))</f>
        <v>#N/A</v>
      </c>
      <c r="J27" s="3"/>
    </row>
    <row r="28" spans="2:10" ht="17.399999999999999" x14ac:dyDescent="0.45">
      <c r="B28" s="29" t="s">
        <v>84</v>
      </c>
      <c r="C28" s="3" t="s">
        <v>42</v>
      </c>
      <c r="D28" s="3" t="s">
        <v>48</v>
      </c>
      <c r="E28" s="8" t="s">
        <v>82</v>
      </c>
      <c r="F28" s="33" t="s">
        <v>599</v>
      </c>
      <c r="G28" s="33"/>
      <c r="H28" s="33"/>
      <c r="I28" s="33" t="e">
        <f>INDEX(Auxiliar!$D$5:$F$11,MATCH(Table1[[#This Row],[Tipologia_Testes]],Auxiliar!$B$5:$B$11,0),MATCH(Table1[[#This Row],[Complexidade]],Auxiliar!$D$4:$F$4,0))</f>
        <v>#N/A</v>
      </c>
      <c r="J28" s="3"/>
    </row>
    <row r="29" spans="2:10" ht="17.399999999999999" x14ac:dyDescent="0.45">
      <c r="B29" s="29" t="s">
        <v>84</v>
      </c>
      <c r="C29" s="3" t="s">
        <v>42</v>
      </c>
      <c r="D29" s="3" t="s">
        <v>47</v>
      </c>
      <c r="E29" s="8" t="s">
        <v>82</v>
      </c>
      <c r="F29" s="33" t="s">
        <v>599</v>
      </c>
      <c r="G29" s="33"/>
      <c r="H29" s="33"/>
      <c r="I29" s="33" t="e">
        <f>INDEX(Auxiliar!$D$5:$F$11,MATCH(Table1[[#This Row],[Tipologia_Testes]],Auxiliar!$B$5:$B$11,0),MATCH(Table1[[#This Row],[Complexidade]],Auxiliar!$D$4:$F$4,0))</f>
        <v>#N/A</v>
      </c>
      <c r="J29" s="3"/>
    </row>
    <row r="30" spans="2:10" ht="17.399999999999999" x14ac:dyDescent="0.45">
      <c r="B30" s="29" t="s">
        <v>84</v>
      </c>
      <c r="C30" s="3" t="s">
        <v>42</v>
      </c>
      <c r="D30" s="3" t="s">
        <v>46</v>
      </c>
      <c r="E30" s="8" t="s">
        <v>82</v>
      </c>
      <c r="F30" s="33" t="s">
        <v>599</v>
      </c>
      <c r="G30" s="33"/>
      <c r="H30" s="33"/>
      <c r="I30" s="33" t="e">
        <f>INDEX(Auxiliar!$D$5:$F$11,MATCH(Table1[[#This Row],[Tipologia_Testes]],Auxiliar!$B$5:$B$11,0),MATCH(Table1[[#This Row],[Complexidade]],Auxiliar!$D$4:$F$4,0))</f>
        <v>#N/A</v>
      </c>
      <c r="J30" s="3"/>
    </row>
    <row r="31" spans="2:10" ht="17.399999999999999" x14ac:dyDescent="0.45">
      <c r="B31" s="29" t="s">
        <v>84</v>
      </c>
      <c r="C31" s="3" t="s">
        <v>42</v>
      </c>
      <c r="D31" s="3" t="s">
        <v>45</v>
      </c>
      <c r="E31" s="8" t="s">
        <v>82</v>
      </c>
      <c r="F31" s="33" t="s">
        <v>599</v>
      </c>
      <c r="G31" s="33"/>
      <c r="H31" s="33"/>
      <c r="I31" s="33" t="e">
        <f>INDEX(Auxiliar!$D$5:$F$11,MATCH(Table1[[#This Row],[Tipologia_Testes]],Auxiliar!$B$5:$B$11,0),MATCH(Table1[[#This Row],[Complexidade]],Auxiliar!$D$4:$F$4,0))</f>
        <v>#N/A</v>
      </c>
      <c r="J31" s="3"/>
    </row>
    <row r="32" spans="2:10" ht="17.399999999999999" x14ac:dyDescent="0.45">
      <c r="B32" s="29" t="s">
        <v>84</v>
      </c>
      <c r="C32" s="3" t="s">
        <v>42</v>
      </c>
      <c r="D32" s="3" t="s">
        <v>44</v>
      </c>
      <c r="E32" s="8" t="s">
        <v>82</v>
      </c>
      <c r="F32" s="33" t="s">
        <v>599</v>
      </c>
      <c r="G32" s="33"/>
      <c r="H32" s="33"/>
      <c r="I32" s="33" t="e">
        <f>INDEX(Auxiliar!$D$5:$F$11,MATCH(Table1[[#This Row],[Tipologia_Testes]],Auxiliar!$B$5:$B$11,0),MATCH(Table1[[#This Row],[Complexidade]],Auxiliar!$D$4:$F$4,0))</f>
        <v>#N/A</v>
      </c>
      <c r="J32" s="3"/>
    </row>
    <row r="33" spans="2:10" ht="17.399999999999999" x14ac:dyDescent="0.45">
      <c r="B33" s="29" t="s">
        <v>84</v>
      </c>
      <c r="C33" s="3" t="s">
        <v>42</v>
      </c>
      <c r="D33" s="3" t="s">
        <v>43</v>
      </c>
      <c r="E33" s="8" t="s">
        <v>82</v>
      </c>
      <c r="F33" s="33" t="s">
        <v>599</v>
      </c>
      <c r="G33" s="33"/>
      <c r="H33" s="33"/>
      <c r="I33" s="33" t="e">
        <f>INDEX(Auxiliar!$D$5:$F$11,MATCH(Table1[[#This Row],[Tipologia_Testes]],Auxiliar!$B$5:$B$11,0),MATCH(Table1[[#This Row],[Complexidade]],Auxiliar!$D$4:$F$4,0))</f>
        <v>#N/A</v>
      </c>
      <c r="J33" s="3"/>
    </row>
    <row r="34" spans="2:10" ht="17.399999999999999" x14ac:dyDescent="0.45">
      <c r="B34" s="29" t="s">
        <v>84</v>
      </c>
      <c r="C34" s="10" t="s">
        <v>42</v>
      </c>
      <c r="D34" s="10" t="s">
        <v>41</v>
      </c>
      <c r="E34" s="9" t="s">
        <v>82</v>
      </c>
      <c r="F34" s="33" t="s">
        <v>599</v>
      </c>
      <c r="G34" s="33"/>
      <c r="H34" s="33"/>
      <c r="I34" s="33" t="e">
        <f>INDEX(Auxiliar!$D$5:$F$11,MATCH(Table1[[#This Row],[Tipologia_Testes]],Auxiliar!$B$5:$B$11,0),MATCH(Table1[[#This Row],[Complexidade]],Auxiliar!$D$4:$F$4,0))</f>
        <v>#N/A</v>
      </c>
      <c r="J34" s="3"/>
    </row>
    <row r="35" spans="2:10" ht="17.399999999999999" x14ac:dyDescent="0.45">
      <c r="B35" s="29" t="s">
        <v>84</v>
      </c>
      <c r="C35" s="10" t="s">
        <v>36</v>
      </c>
      <c r="D35" s="10" t="s">
        <v>40</v>
      </c>
      <c r="E35" s="9" t="s">
        <v>82</v>
      </c>
      <c r="F35" s="33" t="s">
        <v>594</v>
      </c>
      <c r="G35" s="33"/>
      <c r="H35" s="33"/>
      <c r="I35" s="33" t="e">
        <f>INDEX(Auxiliar!$D$5:$F$11,MATCH(Table1[[#This Row],[Tipologia_Testes]],Auxiliar!$B$5:$B$11,0),MATCH(Table1[[#This Row],[Complexidade]],Auxiliar!$D$4:$F$4,0))</f>
        <v>#N/A</v>
      </c>
      <c r="J35" s="3"/>
    </row>
    <row r="36" spans="2:10" ht="17.399999999999999" x14ac:dyDescent="0.45">
      <c r="B36" s="29" t="s">
        <v>84</v>
      </c>
      <c r="C36" s="10" t="s">
        <v>36</v>
      </c>
      <c r="D36" s="10" t="s">
        <v>40</v>
      </c>
      <c r="E36" s="9" t="s">
        <v>82</v>
      </c>
      <c r="F36" s="33" t="s">
        <v>600</v>
      </c>
      <c r="G36" s="33"/>
      <c r="H36" s="33"/>
      <c r="I36" s="33" t="e">
        <f>INDEX(Auxiliar!$D$5:$F$11,MATCH(Table1[[#This Row],[Tipologia_Testes]],Auxiliar!$B$5:$B$11,0),MATCH(Table1[[#This Row],[Complexidade]],Auxiliar!$D$4:$F$4,0))</f>
        <v>#N/A</v>
      </c>
      <c r="J36" s="3"/>
    </row>
    <row r="37" spans="2:10" ht="17.399999999999999" x14ac:dyDescent="0.45">
      <c r="B37" s="29" t="s">
        <v>84</v>
      </c>
      <c r="C37" s="10" t="s">
        <v>36</v>
      </c>
      <c r="D37" s="10" t="s">
        <v>40</v>
      </c>
      <c r="E37" s="9" t="s">
        <v>82</v>
      </c>
      <c r="F37" s="33" t="s">
        <v>603</v>
      </c>
      <c r="G37" s="33"/>
      <c r="H37" s="33"/>
      <c r="I37" s="33" t="e">
        <f>INDEX(Auxiliar!$D$5:$F$11,MATCH(Table1[[#This Row],[Tipologia_Testes]],Auxiliar!$B$5:$B$11,0),MATCH(Table1[[#This Row],[Complexidade]],Auxiliar!$D$4:$F$4,0))</f>
        <v>#N/A</v>
      </c>
      <c r="J37" s="3"/>
    </row>
    <row r="38" spans="2:10" ht="17.399999999999999" x14ac:dyDescent="0.45">
      <c r="B38" s="29" t="s">
        <v>84</v>
      </c>
      <c r="C38" s="10" t="s">
        <v>36</v>
      </c>
      <c r="D38" s="10" t="s">
        <v>40</v>
      </c>
      <c r="E38" s="9" t="s">
        <v>82</v>
      </c>
      <c r="F38" s="33" t="s">
        <v>604</v>
      </c>
      <c r="G38" s="33"/>
      <c r="H38" s="33"/>
      <c r="I38" s="33" t="e">
        <f>INDEX(Auxiliar!$D$5:$F$11,MATCH(Table1[[#This Row],[Tipologia_Testes]],Auxiliar!$B$5:$B$11,0),MATCH(Table1[[#This Row],[Complexidade]],Auxiliar!$D$4:$F$4,0))</f>
        <v>#N/A</v>
      </c>
      <c r="J38" s="3"/>
    </row>
    <row r="39" spans="2:10" ht="17.399999999999999" x14ac:dyDescent="0.45">
      <c r="B39" s="29" t="s">
        <v>84</v>
      </c>
      <c r="C39" s="10" t="s">
        <v>36</v>
      </c>
      <c r="D39" s="10" t="s">
        <v>39</v>
      </c>
      <c r="E39" s="9" t="s">
        <v>82</v>
      </c>
      <c r="F39" s="33" t="s">
        <v>594</v>
      </c>
      <c r="G39" s="33"/>
      <c r="H39" s="33"/>
      <c r="I39" s="33" t="e">
        <f>INDEX(Auxiliar!$D$5:$F$11,MATCH(Table1[[#This Row],[Tipologia_Testes]],Auxiliar!$B$5:$B$11,0),MATCH(Table1[[#This Row],[Complexidade]],Auxiliar!$D$4:$F$4,0))</f>
        <v>#N/A</v>
      </c>
      <c r="J39" s="3"/>
    </row>
    <row r="40" spans="2:10" ht="17.399999999999999" x14ac:dyDescent="0.45">
      <c r="B40" s="29" t="s">
        <v>84</v>
      </c>
      <c r="C40" s="10" t="s">
        <v>36</v>
      </c>
      <c r="D40" s="10" t="s">
        <v>39</v>
      </c>
      <c r="E40" s="9" t="s">
        <v>82</v>
      </c>
      <c r="F40" s="33" t="s">
        <v>600</v>
      </c>
      <c r="G40" s="33"/>
      <c r="H40" s="33"/>
      <c r="I40" s="33" t="e">
        <f>INDEX(Auxiliar!$D$5:$F$11,MATCH(Table1[[#This Row],[Tipologia_Testes]],Auxiliar!$B$5:$B$11,0),MATCH(Table1[[#This Row],[Complexidade]],Auxiliar!$D$4:$F$4,0))</f>
        <v>#N/A</v>
      </c>
      <c r="J40" s="3"/>
    </row>
    <row r="41" spans="2:10" ht="17.399999999999999" x14ac:dyDescent="0.45">
      <c r="B41" s="29" t="s">
        <v>84</v>
      </c>
      <c r="C41" s="10" t="s">
        <v>36</v>
      </c>
      <c r="D41" s="10" t="s">
        <v>39</v>
      </c>
      <c r="E41" s="9" t="s">
        <v>82</v>
      </c>
      <c r="F41" s="33" t="s">
        <v>603</v>
      </c>
      <c r="G41" s="33"/>
      <c r="H41" s="33"/>
      <c r="I41" s="33" t="e">
        <f>INDEX(Auxiliar!$D$5:$F$11,MATCH(Table1[[#This Row],[Tipologia_Testes]],Auxiliar!$B$5:$B$11,0),MATCH(Table1[[#This Row],[Complexidade]],Auxiliar!$D$4:$F$4,0))</f>
        <v>#N/A</v>
      </c>
      <c r="J41" s="3"/>
    </row>
    <row r="42" spans="2:10" ht="17.399999999999999" x14ac:dyDescent="0.45">
      <c r="B42" s="29" t="s">
        <v>84</v>
      </c>
      <c r="C42" s="10" t="s">
        <v>36</v>
      </c>
      <c r="D42" s="10" t="s">
        <v>39</v>
      </c>
      <c r="E42" s="9" t="s">
        <v>82</v>
      </c>
      <c r="F42" s="33" t="s">
        <v>604</v>
      </c>
      <c r="G42" s="33"/>
      <c r="H42" s="33"/>
      <c r="I42" s="33" t="e">
        <f>INDEX(Auxiliar!$D$5:$F$11,MATCH(Table1[[#This Row],[Tipologia_Testes]],Auxiliar!$B$5:$B$11,0),MATCH(Table1[[#This Row],[Complexidade]],Auxiliar!$D$4:$F$4,0))</f>
        <v>#N/A</v>
      </c>
      <c r="J42" s="3"/>
    </row>
    <row r="43" spans="2:10" ht="17.399999999999999" x14ac:dyDescent="0.45">
      <c r="B43" s="29" t="s">
        <v>84</v>
      </c>
      <c r="C43" s="10" t="s">
        <v>36</v>
      </c>
      <c r="D43" s="10" t="s">
        <v>38</v>
      </c>
      <c r="E43" s="9" t="s">
        <v>82</v>
      </c>
      <c r="F43" s="33" t="s">
        <v>594</v>
      </c>
      <c r="G43" s="33"/>
      <c r="H43" s="33"/>
      <c r="I43" s="33" t="e">
        <f>INDEX(Auxiliar!$D$5:$F$11,MATCH(Table1[[#This Row],[Tipologia_Testes]],Auxiliar!$B$5:$B$11,0),MATCH(Table1[[#This Row],[Complexidade]],Auxiliar!$D$4:$F$4,0))</f>
        <v>#N/A</v>
      </c>
      <c r="J43" s="3"/>
    </row>
    <row r="44" spans="2:10" ht="17.399999999999999" x14ac:dyDescent="0.45">
      <c r="B44" s="29" t="s">
        <v>84</v>
      </c>
      <c r="C44" s="10" t="s">
        <v>36</v>
      </c>
      <c r="D44" s="10" t="s">
        <v>38</v>
      </c>
      <c r="E44" s="9" t="s">
        <v>82</v>
      </c>
      <c r="F44" s="33" t="s">
        <v>600</v>
      </c>
      <c r="G44" s="33"/>
      <c r="H44" s="33"/>
      <c r="I44" s="33" t="e">
        <f>INDEX(Auxiliar!$D$5:$F$11,MATCH(Table1[[#This Row],[Tipologia_Testes]],Auxiliar!$B$5:$B$11,0),MATCH(Table1[[#This Row],[Complexidade]],Auxiliar!$D$4:$F$4,0))</f>
        <v>#N/A</v>
      </c>
      <c r="J44" s="3"/>
    </row>
    <row r="45" spans="2:10" ht="17.399999999999999" x14ac:dyDescent="0.45">
      <c r="B45" s="29" t="s">
        <v>84</v>
      </c>
      <c r="C45" s="10" t="s">
        <v>36</v>
      </c>
      <c r="D45" s="10" t="s">
        <v>38</v>
      </c>
      <c r="E45" s="9" t="s">
        <v>82</v>
      </c>
      <c r="F45" s="33" t="s">
        <v>603</v>
      </c>
      <c r="G45" s="33"/>
      <c r="H45" s="33"/>
      <c r="I45" s="33" t="e">
        <f>INDEX(Auxiliar!$D$5:$F$11,MATCH(Table1[[#This Row],[Tipologia_Testes]],Auxiliar!$B$5:$B$11,0),MATCH(Table1[[#This Row],[Complexidade]],Auxiliar!$D$4:$F$4,0))</f>
        <v>#N/A</v>
      </c>
      <c r="J45" s="3"/>
    </row>
    <row r="46" spans="2:10" ht="17.399999999999999" x14ac:dyDescent="0.45">
      <c r="B46" s="29" t="s">
        <v>84</v>
      </c>
      <c r="C46" s="10" t="s">
        <v>36</v>
      </c>
      <c r="D46" s="10" t="s">
        <v>38</v>
      </c>
      <c r="E46" s="9" t="s">
        <v>82</v>
      </c>
      <c r="F46" s="33" t="s">
        <v>604</v>
      </c>
      <c r="G46" s="33"/>
      <c r="H46" s="33"/>
      <c r="I46" s="33" t="e">
        <f>INDEX(Auxiliar!$D$5:$F$11,MATCH(Table1[[#This Row],[Tipologia_Testes]],Auxiliar!$B$5:$B$11,0),MATCH(Table1[[#This Row],[Complexidade]],Auxiliar!$D$4:$F$4,0))</f>
        <v>#N/A</v>
      </c>
      <c r="J46" s="3"/>
    </row>
    <row r="47" spans="2:10" ht="17.399999999999999" x14ac:dyDescent="0.45">
      <c r="B47" s="29" t="s">
        <v>84</v>
      </c>
      <c r="C47" s="10" t="s">
        <v>36</v>
      </c>
      <c r="D47" s="10" t="s">
        <v>37</v>
      </c>
      <c r="E47" s="9" t="s">
        <v>82</v>
      </c>
      <c r="F47" s="33" t="s">
        <v>594</v>
      </c>
      <c r="G47" s="33"/>
      <c r="H47" s="33"/>
      <c r="I47" s="33" t="e">
        <f>INDEX(Auxiliar!$D$5:$F$11,MATCH(Table1[[#This Row],[Tipologia_Testes]],Auxiliar!$B$5:$B$11,0),MATCH(Table1[[#This Row],[Complexidade]],Auxiliar!$D$4:$F$4,0))</f>
        <v>#N/A</v>
      </c>
      <c r="J47" s="3"/>
    </row>
    <row r="48" spans="2:10" ht="17.399999999999999" x14ac:dyDescent="0.45">
      <c r="B48" s="29" t="s">
        <v>84</v>
      </c>
      <c r="C48" s="10" t="s">
        <v>36</v>
      </c>
      <c r="D48" s="10" t="s">
        <v>37</v>
      </c>
      <c r="E48" s="9" t="s">
        <v>82</v>
      </c>
      <c r="F48" s="33" t="s">
        <v>600</v>
      </c>
      <c r="G48" s="33"/>
      <c r="H48" s="33"/>
      <c r="I48" s="33" t="e">
        <f>INDEX(Auxiliar!$D$5:$F$11,MATCH(Table1[[#This Row],[Tipologia_Testes]],Auxiliar!$B$5:$B$11,0),MATCH(Table1[[#This Row],[Complexidade]],Auxiliar!$D$4:$F$4,0))</f>
        <v>#N/A</v>
      </c>
      <c r="J48" s="3"/>
    </row>
    <row r="49" spans="2:10" ht="17.399999999999999" x14ac:dyDescent="0.45">
      <c r="B49" s="29" t="s">
        <v>84</v>
      </c>
      <c r="C49" s="10" t="s">
        <v>36</v>
      </c>
      <c r="D49" s="10" t="s">
        <v>37</v>
      </c>
      <c r="E49" s="9" t="s">
        <v>82</v>
      </c>
      <c r="F49" s="33" t="s">
        <v>603</v>
      </c>
      <c r="G49" s="33"/>
      <c r="H49" s="33"/>
      <c r="I49" s="33" t="e">
        <f>INDEX(Auxiliar!$D$5:$F$11,MATCH(Table1[[#This Row],[Tipologia_Testes]],Auxiliar!$B$5:$B$11,0),MATCH(Table1[[#This Row],[Complexidade]],Auxiliar!$D$4:$F$4,0))</f>
        <v>#N/A</v>
      </c>
      <c r="J49" s="3"/>
    </row>
    <row r="50" spans="2:10" ht="17.399999999999999" x14ac:dyDescent="0.45">
      <c r="B50" s="29" t="s">
        <v>84</v>
      </c>
      <c r="C50" s="10" t="s">
        <v>36</v>
      </c>
      <c r="D50" s="10" t="s">
        <v>37</v>
      </c>
      <c r="E50" s="9" t="s">
        <v>82</v>
      </c>
      <c r="F50" s="33" t="s">
        <v>604</v>
      </c>
      <c r="G50" s="33"/>
      <c r="H50" s="33"/>
      <c r="I50" s="33" t="e">
        <f>INDEX(Auxiliar!$D$5:$F$11,MATCH(Table1[[#This Row],[Tipologia_Testes]],Auxiliar!$B$5:$B$11,0),MATCH(Table1[[#This Row],[Complexidade]],Auxiliar!$D$4:$F$4,0))</f>
        <v>#N/A</v>
      </c>
      <c r="J50" s="3"/>
    </row>
    <row r="51" spans="2:10" ht="17.399999999999999" x14ac:dyDescent="0.45">
      <c r="B51" s="29" t="s">
        <v>84</v>
      </c>
      <c r="C51" s="10" t="s">
        <v>36</v>
      </c>
      <c r="D51" s="10" t="s">
        <v>35</v>
      </c>
      <c r="E51" s="9" t="s">
        <v>82</v>
      </c>
      <c r="F51" s="33" t="s">
        <v>594</v>
      </c>
      <c r="G51" s="33"/>
      <c r="H51" s="33"/>
      <c r="I51" s="33" t="e">
        <f>INDEX(Auxiliar!$D$5:$F$11,MATCH(Table1[[#This Row],[Tipologia_Testes]],Auxiliar!$B$5:$B$11,0),MATCH(Table1[[#This Row],[Complexidade]],Auxiliar!$D$4:$F$4,0))</f>
        <v>#N/A</v>
      </c>
      <c r="J51" s="3" t="s">
        <v>597</v>
      </c>
    </row>
    <row r="52" spans="2:10" ht="17.399999999999999" x14ac:dyDescent="0.45">
      <c r="B52" s="29" t="s">
        <v>84</v>
      </c>
      <c r="C52" s="10" t="s">
        <v>36</v>
      </c>
      <c r="D52" s="10" t="s">
        <v>35</v>
      </c>
      <c r="E52" s="9" t="s">
        <v>82</v>
      </c>
      <c r="F52" s="33" t="s">
        <v>600</v>
      </c>
      <c r="G52" s="33"/>
      <c r="H52" s="33"/>
      <c r="I52" s="33" t="e">
        <f>INDEX(Auxiliar!$D$5:$F$11,MATCH(Table1[[#This Row],[Tipologia_Testes]],Auxiliar!$B$5:$B$11,0),MATCH(Table1[[#This Row],[Complexidade]],Auxiliar!$D$4:$F$4,0))</f>
        <v>#N/A</v>
      </c>
      <c r="J52" s="3" t="str">
        <f>J51</f>
        <v>27/03/2024 (Corp): Deve ser aprovisionado localmente com o valor correspondente de não aplicável (11111111111)</v>
      </c>
    </row>
    <row r="53" spans="2:10" ht="17.399999999999999" x14ac:dyDescent="0.45">
      <c r="B53" s="29" t="s">
        <v>84</v>
      </c>
      <c r="C53" s="10" t="s">
        <v>36</v>
      </c>
      <c r="D53" s="10" t="s">
        <v>35</v>
      </c>
      <c r="E53" s="9" t="s">
        <v>82</v>
      </c>
      <c r="F53" s="33" t="s">
        <v>603</v>
      </c>
      <c r="G53" s="33"/>
      <c r="H53" s="33"/>
      <c r="I53" s="33" t="e">
        <f>INDEX(Auxiliar!$D$5:$F$11,MATCH(Table1[[#This Row],[Tipologia_Testes]],Auxiliar!$B$5:$B$11,0),MATCH(Table1[[#This Row],[Complexidade]],Auxiliar!$D$4:$F$4,0))</f>
        <v>#N/A</v>
      </c>
      <c r="J53" s="3" t="str">
        <f t="shared" ref="J53:J58" si="0">J52</f>
        <v>27/03/2024 (Corp): Deve ser aprovisionado localmente com o valor correspondente de não aplicável (11111111111)</v>
      </c>
    </row>
    <row r="54" spans="2:10" ht="17.399999999999999" x14ac:dyDescent="0.45">
      <c r="B54" s="29" t="s">
        <v>84</v>
      </c>
      <c r="C54" s="10" t="s">
        <v>36</v>
      </c>
      <c r="D54" s="10" t="s">
        <v>35</v>
      </c>
      <c r="E54" s="9" t="s">
        <v>82</v>
      </c>
      <c r="F54" s="33" t="s">
        <v>604</v>
      </c>
      <c r="G54" s="33"/>
      <c r="H54" s="33"/>
      <c r="I54" s="33" t="e">
        <f>INDEX(Auxiliar!$D$5:$F$11,MATCH(Table1[[#This Row],[Tipologia_Testes]],Auxiliar!$B$5:$B$11,0),MATCH(Table1[[#This Row],[Complexidade]],Auxiliar!$D$4:$F$4,0))</f>
        <v>#N/A</v>
      </c>
      <c r="J54" s="3" t="str">
        <f t="shared" si="0"/>
        <v>27/03/2024 (Corp): Deve ser aprovisionado localmente com o valor correspondente de não aplicável (11111111111)</v>
      </c>
    </row>
    <row r="55" spans="2:10" ht="17.399999999999999" x14ac:dyDescent="0.45">
      <c r="B55" s="29" t="s">
        <v>84</v>
      </c>
      <c r="C55" s="43" t="s">
        <v>10</v>
      </c>
      <c r="D55" s="3" t="s">
        <v>33</v>
      </c>
      <c r="E55" s="8" t="s">
        <v>82</v>
      </c>
      <c r="F55" s="33" t="s">
        <v>594</v>
      </c>
      <c r="G55" s="33"/>
      <c r="H55" s="33"/>
      <c r="I55" s="33" t="e">
        <f>INDEX(Auxiliar!$D$5:$F$11,MATCH(Table1[[#This Row],[Tipologia_Testes]],Auxiliar!$B$5:$B$11,0),MATCH(Table1[[#This Row],[Complexidade]],Auxiliar!$D$4:$F$4,0))</f>
        <v>#N/A</v>
      </c>
      <c r="J55" s="3" t="s">
        <v>598</v>
      </c>
    </row>
    <row r="56" spans="2:10" ht="17.399999999999999" x14ac:dyDescent="0.45">
      <c r="B56" s="29" t="s">
        <v>84</v>
      </c>
      <c r="C56" s="43" t="s">
        <v>10</v>
      </c>
      <c r="D56" s="3" t="s">
        <v>33</v>
      </c>
      <c r="E56" s="8" t="s">
        <v>82</v>
      </c>
      <c r="F56" s="33" t="s">
        <v>600</v>
      </c>
      <c r="G56" s="33"/>
      <c r="H56" s="33"/>
      <c r="I56" s="33" t="e">
        <f>INDEX(Auxiliar!$D$5:$F$11,MATCH(Table1[[#This Row],[Tipologia_Testes]],Auxiliar!$B$5:$B$11,0),MATCH(Table1[[#This Row],[Complexidade]],Auxiliar!$D$4:$F$4,0))</f>
        <v>#N/A</v>
      </c>
      <c r="J56" s="3" t="str">
        <f t="shared" si="0"/>
        <v>27/03/2024 (Corp): O campo Internal transfer rate from off balance amounts não está incluído no âmbito de contratos do Santander Portugal. Assim, o campo deverá ser aprovisionado com o valor correspondente a não aplicável (11111111111).</v>
      </c>
    </row>
    <row r="57" spans="2:10" ht="17.399999999999999" x14ac:dyDescent="0.45">
      <c r="B57" s="29" t="s">
        <v>84</v>
      </c>
      <c r="C57" s="43" t="s">
        <v>10</v>
      </c>
      <c r="D57" s="3" t="s">
        <v>33</v>
      </c>
      <c r="E57" s="8" t="s">
        <v>82</v>
      </c>
      <c r="F57" s="33" t="s">
        <v>603</v>
      </c>
      <c r="G57" s="33"/>
      <c r="H57" s="33"/>
      <c r="I57" s="33" t="e">
        <f>INDEX(Auxiliar!$D$5:$F$11,MATCH(Table1[[#This Row],[Tipologia_Testes]],Auxiliar!$B$5:$B$11,0),MATCH(Table1[[#This Row],[Complexidade]],Auxiliar!$D$4:$F$4,0))</f>
        <v>#N/A</v>
      </c>
      <c r="J57" s="3" t="str">
        <f t="shared" si="0"/>
        <v>27/03/2024 (Corp): O campo Internal transfer rate from off balance amounts não está incluído no âmbito de contratos do Santander Portugal. Assim, o campo deverá ser aprovisionado com o valor correspondente a não aplicável (11111111111).</v>
      </c>
    </row>
    <row r="58" spans="2:10" ht="17.399999999999999" x14ac:dyDescent="0.45">
      <c r="B58" s="29" t="s">
        <v>84</v>
      </c>
      <c r="C58" s="43" t="s">
        <v>10</v>
      </c>
      <c r="D58" s="3" t="s">
        <v>33</v>
      </c>
      <c r="E58" s="8" t="s">
        <v>82</v>
      </c>
      <c r="F58" s="33" t="s">
        <v>604</v>
      </c>
      <c r="G58" s="33"/>
      <c r="H58" s="33"/>
      <c r="I58" s="33" t="e">
        <f>INDEX(Auxiliar!$D$5:$F$11,MATCH(Table1[[#This Row],[Tipologia_Testes]],Auxiliar!$B$5:$B$11,0),MATCH(Table1[[#This Row],[Complexidade]],Auxiliar!$D$4:$F$4,0))</f>
        <v>#N/A</v>
      </c>
      <c r="J58" s="3" t="str">
        <f t="shared" si="0"/>
        <v>27/03/2024 (Corp): O campo Internal transfer rate from off balance amounts não está incluído no âmbito de contratos do Santander Portugal. Assim, o campo deverá ser aprovisionado com o valor correspondente a não aplicável (11111111111).</v>
      </c>
    </row>
    <row r="59" spans="2:10" ht="17.399999999999999" x14ac:dyDescent="0.45">
      <c r="B59" s="29" t="s">
        <v>84</v>
      </c>
      <c r="C59" s="3" t="s">
        <v>10</v>
      </c>
      <c r="D59" s="3" t="s">
        <v>32</v>
      </c>
      <c r="E59" s="4" t="s">
        <v>8</v>
      </c>
      <c r="F59" s="33" t="s">
        <v>594</v>
      </c>
      <c r="G59" s="33"/>
      <c r="H59" s="33" t="s">
        <v>612</v>
      </c>
      <c r="I59" s="33">
        <f>INDEX(Auxiliar!$D$5:$F$11,MATCH(Table1[[#This Row],[Tipologia_Testes]],Auxiliar!$B$5:$B$11,0),MATCH(Table1[[#This Row],[Complexidade]],Auxiliar!$D$4:$F$4,0))</f>
        <v>8</v>
      </c>
      <c r="J59" s="3" t="s">
        <v>619</v>
      </c>
    </row>
    <row r="60" spans="2:10" ht="17.399999999999999" x14ac:dyDescent="0.45">
      <c r="B60" s="29" t="s">
        <v>84</v>
      </c>
      <c r="C60" s="3" t="s">
        <v>10</v>
      </c>
      <c r="D60" s="3" t="s">
        <v>32</v>
      </c>
      <c r="E60" s="3" t="s">
        <v>8</v>
      </c>
      <c r="F60" s="33" t="s">
        <v>600</v>
      </c>
      <c r="G60" s="33"/>
      <c r="H60" s="33" t="s">
        <v>612</v>
      </c>
      <c r="I60" s="33">
        <f>INDEX(Auxiliar!$D$5:$F$11,MATCH(Table1[[#This Row],[Tipologia_Testes]],Auxiliar!$B$5:$B$11,0),MATCH(Table1[[#This Row],[Complexidade]],Auxiliar!$D$4:$F$4,0))</f>
        <v>8</v>
      </c>
      <c r="J60" s="3" t="s">
        <v>619</v>
      </c>
    </row>
    <row r="61" spans="2:10" ht="17.399999999999999" x14ac:dyDescent="0.45">
      <c r="B61" s="29" t="s">
        <v>84</v>
      </c>
      <c r="C61" s="3" t="s">
        <v>10</v>
      </c>
      <c r="D61" s="3" t="s">
        <v>32</v>
      </c>
      <c r="E61" s="3" t="s">
        <v>8</v>
      </c>
      <c r="F61" s="42" t="s">
        <v>595</v>
      </c>
      <c r="G61" s="42"/>
      <c r="H61" s="33" t="s">
        <v>612</v>
      </c>
      <c r="I61" s="33">
        <f>INDEX(Auxiliar!$D$5:$F$11,MATCH(Table1[[#This Row],[Tipologia_Testes]],Auxiliar!$B$5:$B$11,0),MATCH(Table1[[#This Row],[Complexidade]],Auxiliar!$D$4:$F$4,0))</f>
        <v>8</v>
      </c>
      <c r="J61" s="3" t="s">
        <v>619</v>
      </c>
    </row>
    <row r="62" spans="2:10" ht="17.399999999999999" x14ac:dyDescent="0.45">
      <c r="B62" s="29" t="s">
        <v>84</v>
      </c>
      <c r="C62" s="3" t="s">
        <v>10</v>
      </c>
      <c r="D62" s="3" t="s">
        <v>32</v>
      </c>
      <c r="E62" s="3" t="s">
        <v>8</v>
      </c>
      <c r="F62" s="44" t="s">
        <v>603</v>
      </c>
      <c r="G62" s="44"/>
      <c r="H62" s="33" t="s">
        <v>612</v>
      </c>
      <c r="I62" s="33">
        <f>INDEX(Auxiliar!$D$5:$F$11,MATCH(Table1[[#This Row],[Tipologia_Testes]],Auxiliar!$B$5:$B$11,0),MATCH(Table1[[#This Row],[Complexidade]],Auxiliar!$D$4:$F$4,0))</f>
        <v>1</v>
      </c>
      <c r="J62" s="3" t="s">
        <v>619</v>
      </c>
    </row>
    <row r="63" spans="2:10" ht="17.399999999999999" x14ac:dyDescent="0.45">
      <c r="B63" s="29" t="s">
        <v>84</v>
      </c>
      <c r="C63" s="3" t="s">
        <v>10</v>
      </c>
      <c r="D63" s="3" t="s">
        <v>32</v>
      </c>
      <c r="E63" s="3" t="s">
        <v>8</v>
      </c>
      <c r="F63" s="33" t="s">
        <v>604</v>
      </c>
      <c r="G63" s="33"/>
      <c r="H63" s="33" t="s">
        <v>612</v>
      </c>
      <c r="I63" s="33">
        <f>INDEX(Auxiliar!$D$5:$F$11,MATCH(Table1[[#This Row],[Tipologia_Testes]],Auxiliar!$B$5:$B$11,0),MATCH(Table1[[#This Row],[Complexidade]],Auxiliar!$D$4:$F$4,0))</f>
        <v>8</v>
      </c>
      <c r="J63" s="3" t="s">
        <v>619</v>
      </c>
    </row>
    <row r="64" spans="2:10" ht="17.399999999999999" x14ac:dyDescent="0.45">
      <c r="B64" s="29" t="s">
        <v>84</v>
      </c>
      <c r="C64" s="3" t="s">
        <v>10</v>
      </c>
      <c r="D64" s="3" t="s">
        <v>31</v>
      </c>
      <c r="E64" s="4" t="s">
        <v>8</v>
      </c>
      <c r="F64" s="33" t="s">
        <v>594</v>
      </c>
      <c r="G64" s="33"/>
      <c r="H64" s="33"/>
      <c r="I64" s="33" t="e">
        <f>INDEX(Auxiliar!$D$5:$F$11,MATCH(Table1[[#This Row],[Tipologia_Testes]],Auxiliar!$B$5:$B$11,0),MATCH(Table1[[#This Row],[Complexidade]],Auxiliar!$D$4:$F$4,0))</f>
        <v>#N/A</v>
      </c>
      <c r="J64" s="3"/>
    </row>
    <row r="65" spans="1:10" ht="17.399999999999999" x14ac:dyDescent="0.45">
      <c r="B65" s="29" t="s">
        <v>84</v>
      </c>
      <c r="C65" s="3" t="s">
        <v>10</v>
      </c>
      <c r="D65" s="3" t="s">
        <v>31</v>
      </c>
      <c r="E65" s="3" t="s">
        <v>8</v>
      </c>
      <c r="F65" s="33" t="s">
        <v>600</v>
      </c>
      <c r="G65" s="33"/>
      <c r="H65" s="33"/>
      <c r="I65" s="33" t="e">
        <f>INDEX(Auxiliar!$D$5:$F$11,MATCH(Table1[[#This Row],[Tipologia_Testes]],Auxiliar!$B$5:$B$11,0),MATCH(Table1[[#This Row],[Complexidade]],Auxiliar!$D$4:$F$4,0))</f>
        <v>#N/A</v>
      </c>
      <c r="J65" s="3"/>
    </row>
    <row r="66" spans="1:10" ht="17.399999999999999" x14ac:dyDescent="0.45">
      <c r="B66" s="29" t="s">
        <v>84</v>
      </c>
      <c r="C66" s="3" t="s">
        <v>10</v>
      </c>
      <c r="D66" s="3" t="s">
        <v>31</v>
      </c>
      <c r="E66" s="3" t="s">
        <v>8</v>
      </c>
      <c r="F66" s="42" t="s">
        <v>595</v>
      </c>
      <c r="G66" s="42"/>
      <c r="H66" s="42"/>
      <c r="I66" s="33" t="e">
        <f>INDEX(Auxiliar!$D$5:$F$11,MATCH(Table1[[#This Row],[Tipologia_Testes]],Auxiliar!$B$5:$B$11,0),MATCH(Table1[[#This Row],[Complexidade]],Auxiliar!$D$4:$F$4,0))</f>
        <v>#N/A</v>
      </c>
      <c r="J66" s="3"/>
    </row>
    <row r="67" spans="1:10" ht="17.399999999999999" x14ac:dyDescent="0.45">
      <c r="B67" s="29" t="s">
        <v>84</v>
      </c>
      <c r="C67" s="3" t="s">
        <v>10</v>
      </c>
      <c r="D67" s="3" t="s">
        <v>31</v>
      </c>
      <c r="E67" s="3" t="s">
        <v>8</v>
      </c>
      <c r="F67" s="44" t="s">
        <v>603</v>
      </c>
      <c r="G67" s="44"/>
      <c r="H67" s="44"/>
      <c r="I67" s="33" t="e">
        <f>INDEX(Auxiliar!$D$5:$F$11,MATCH(Table1[[#This Row],[Tipologia_Testes]],Auxiliar!$B$5:$B$11,0),MATCH(Table1[[#This Row],[Complexidade]],Auxiliar!$D$4:$F$4,0))</f>
        <v>#N/A</v>
      </c>
      <c r="J67" s="3"/>
    </row>
    <row r="68" spans="1:10" ht="17.399999999999999" x14ac:dyDescent="0.45">
      <c r="B68" s="29" t="s">
        <v>84</v>
      </c>
      <c r="C68" s="3" t="s">
        <v>10</v>
      </c>
      <c r="D68" s="3" t="s">
        <v>31</v>
      </c>
      <c r="E68" s="3" t="s">
        <v>8</v>
      </c>
      <c r="F68" s="33" t="s">
        <v>604</v>
      </c>
      <c r="G68" s="33"/>
      <c r="H68" s="33"/>
      <c r="I68" s="33" t="e">
        <f>INDEX(Auxiliar!$D$5:$F$11,MATCH(Table1[[#This Row],[Tipologia_Testes]],Auxiliar!$B$5:$B$11,0),MATCH(Table1[[#This Row],[Complexidade]],Auxiliar!$D$4:$F$4,0))</f>
        <v>#N/A</v>
      </c>
      <c r="J68" s="3"/>
    </row>
    <row r="69" spans="1:10" ht="17.399999999999999" x14ac:dyDescent="0.45">
      <c r="B69" s="29" t="s">
        <v>84</v>
      </c>
      <c r="C69" s="6" t="s">
        <v>10</v>
      </c>
      <c r="D69" s="6" t="s">
        <v>30</v>
      </c>
      <c r="E69" s="4" t="s">
        <v>8</v>
      </c>
      <c r="F69" s="33" t="s">
        <v>594</v>
      </c>
      <c r="G69" s="33"/>
      <c r="H69" s="33"/>
      <c r="I69" s="33" t="e">
        <f>INDEX(Auxiliar!$D$5:$F$11,MATCH(Table1[[#This Row],[Tipologia_Testes]],Auxiliar!$B$5:$B$11,0),MATCH(Table1[[#This Row],[Complexidade]],Auxiliar!$D$4:$F$4,0))</f>
        <v>#N/A</v>
      </c>
      <c r="J69" s="3"/>
    </row>
    <row r="70" spans="1:10" ht="17.399999999999999" x14ac:dyDescent="0.45">
      <c r="B70" s="29" t="s">
        <v>84</v>
      </c>
      <c r="C70" s="3" t="s">
        <v>10</v>
      </c>
      <c r="D70" s="3" t="s">
        <v>30</v>
      </c>
      <c r="E70" s="3" t="s">
        <v>8</v>
      </c>
      <c r="F70" s="33" t="s">
        <v>600</v>
      </c>
      <c r="G70" s="33"/>
      <c r="H70" s="33"/>
      <c r="I70" s="33" t="e">
        <f>INDEX(Auxiliar!$D$5:$F$11,MATCH(Table1[[#This Row],[Tipologia_Testes]],Auxiliar!$B$5:$B$11,0),MATCH(Table1[[#This Row],[Complexidade]],Auxiliar!$D$4:$F$4,0))</f>
        <v>#N/A</v>
      </c>
      <c r="J70" s="3"/>
    </row>
    <row r="71" spans="1:10" ht="17.399999999999999" x14ac:dyDescent="0.45">
      <c r="B71" s="29" t="s">
        <v>84</v>
      </c>
      <c r="C71" s="3" t="s">
        <v>10</v>
      </c>
      <c r="D71" s="3" t="s">
        <v>30</v>
      </c>
      <c r="E71" s="3" t="s">
        <v>8</v>
      </c>
      <c r="F71" s="42" t="s">
        <v>595</v>
      </c>
      <c r="G71" s="42"/>
      <c r="H71" s="42"/>
      <c r="I71" s="33" t="e">
        <f>INDEX(Auxiliar!$D$5:$F$11,MATCH(Table1[[#This Row],[Tipologia_Testes]],Auxiliar!$B$5:$B$11,0),MATCH(Table1[[#This Row],[Complexidade]],Auxiliar!$D$4:$F$4,0))</f>
        <v>#N/A</v>
      </c>
      <c r="J71" s="3"/>
    </row>
    <row r="72" spans="1:10" ht="17.399999999999999" x14ac:dyDescent="0.45">
      <c r="A72" t="s">
        <v>90</v>
      </c>
      <c r="B72" s="29" t="s">
        <v>84</v>
      </c>
      <c r="C72" s="3" t="s">
        <v>10</v>
      </c>
      <c r="D72" s="3" t="s">
        <v>30</v>
      </c>
      <c r="E72" s="3" t="s">
        <v>8</v>
      </c>
      <c r="F72" s="44" t="s">
        <v>603</v>
      </c>
      <c r="G72" s="44"/>
      <c r="H72" s="44"/>
      <c r="I72" s="33" t="e">
        <f>INDEX(Auxiliar!$D$5:$F$11,MATCH(Table1[[#This Row],[Tipologia_Testes]],Auxiliar!$B$5:$B$11,0),MATCH(Table1[[#This Row],[Complexidade]],Auxiliar!$D$4:$F$4,0))</f>
        <v>#N/A</v>
      </c>
      <c r="J72" s="3"/>
    </row>
    <row r="73" spans="1:10" ht="17.399999999999999" x14ac:dyDescent="0.45">
      <c r="A73" t="s">
        <v>90</v>
      </c>
      <c r="B73" s="29" t="s">
        <v>84</v>
      </c>
      <c r="C73" s="3" t="s">
        <v>10</v>
      </c>
      <c r="D73" s="3" t="s">
        <v>30</v>
      </c>
      <c r="E73" s="3" t="s">
        <v>8</v>
      </c>
      <c r="F73" s="33" t="s">
        <v>604</v>
      </c>
      <c r="G73" s="33"/>
      <c r="H73" s="33"/>
      <c r="I73" s="33" t="e">
        <f>INDEX(Auxiliar!$D$5:$F$11,MATCH(Table1[[#This Row],[Tipologia_Testes]],Auxiliar!$B$5:$B$11,0),MATCH(Table1[[#This Row],[Complexidade]],Auxiliar!$D$4:$F$4,0))</f>
        <v>#N/A</v>
      </c>
      <c r="J73" s="3"/>
    </row>
    <row r="74" spans="1:10" ht="17.399999999999999" x14ac:dyDescent="0.45">
      <c r="A74" t="s">
        <v>90</v>
      </c>
      <c r="B74" s="29" t="s">
        <v>84</v>
      </c>
      <c r="C74" s="3" t="s">
        <v>10</v>
      </c>
      <c r="D74" s="3" t="s">
        <v>29</v>
      </c>
      <c r="E74" s="4" t="s">
        <v>8</v>
      </c>
      <c r="F74" s="33" t="s">
        <v>594</v>
      </c>
      <c r="G74" s="33"/>
      <c r="H74" s="33"/>
      <c r="I74" s="33" t="e">
        <f>INDEX(Auxiliar!$D$5:$F$11,MATCH(Table1[[#This Row],[Tipologia_Testes]],Auxiliar!$B$5:$B$11,0),MATCH(Table1[[#This Row],[Complexidade]],Auxiliar!$D$4:$F$4,0))</f>
        <v>#N/A</v>
      </c>
      <c r="J74" s="3"/>
    </row>
    <row r="75" spans="1:10" ht="17.399999999999999" x14ac:dyDescent="0.45">
      <c r="A75" t="s">
        <v>90</v>
      </c>
      <c r="B75" s="29" t="s">
        <v>84</v>
      </c>
      <c r="C75" s="3" t="s">
        <v>10</v>
      </c>
      <c r="D75" s="3" t="s">
        <v>29</v>
      </c>
      <c r="E75" s="3" t="s">
        <v>8</v>
      </c>
      <c r="F75" s="33" t="s">
        <v>600</v>
      </c>
      <c r="G75" s="33"/>
      <c r="H75" s="33"/>
      <c r="I75" s="33" t="e">
        <f>INDEX(Auxiliar!$D$5:$F$11,MATCH(Table1[[#This Row],[Tipologia_Testes]],Auxiliar!$B$5:$B$11,0),MATCH(Table1[[#This Row],[Complexidade]],Auxiliar!$D$4:$F$4,0))</f>
        <v>#N/A</v>
      </c>
      <c r="J75" s="3"/>
    </row>
    <row r="76" spans="1:10" ht="17.399999999999999" x14ac:dyDescent="0.45">
      <c r="A76" t="s">
        <v>90</v>
      </c>
      <c r="B76" s="29" t="s">
        <v>84</v>
      </c>
      <c r="C76" s="3" t="s">
        <v>10</v>
      </c>
      <c r="D76" s="3" t="s">
        <v>29</v>
      </c>
      <c r="E76" s="3" t="s">
        <v>8</v>
      </c>
      <c r="F76" s="42" t="s">
        <v>595</v>
      </c>
      <c r="G76" s="42"/>
      <c r="H76" s="42"/>
      <c r="I76" s="33" t="e">
        <f>INDEX(Auxiliar!$D$5:$F$11,MATCH(Table1[[#This Row],[Tipologia_Testes]],Auxiliar!$B$5:$B$11,0),MATCH(Table1[[#This Row],[Complexidade]],Auxiliar!$D$4:$F$4,0))</f>
        <v>#N/A</v>
      </c>
      <c r="J76" s="3"/>
    </row>
    <row r="77" spans="1:10" ht="17.399999999999999" x14ac:dyDescent="0.45">
      <c r="A77" t="s">
        <v>90</v>
      </c>
      <c r="B77" s="29" t="s">
        <v>84</v>
      </c>
      <c r="C77" s="3" t="s">
        <v>10</v>
      </c>
      <c r="D77" s="3" t="s">
        <v>29</v>
      </c>
      <c r="E77" s="3" t="s">
        <v>8</v>
      </c>
      <c r="F77" s="44" t="s">
        <v>603</v>
      </c>
      <c r="G77" s="44"/>
      <c r="H77" s="44"/>
      <c r="I77" s="33" t="e">
        <f>INDEX(Auxiliar!$D$5:$F$11,MATCH(Table1[[#This Row],[Tipologia_Testes]],Auxiliar!$B$5:$B$11,0),MATCH(Table1[[#This Row],[Complexidade]],Auxiliar!$D$4:$F$4,0))</f>
        <v>#N/A</v>
      </c>
      <c r="J77" s="3"/>
    </row>
    <row r="78" spans="1:10" ht="17.399999999999999" x14ac:dyDescent="0.45">
      <c r="B78" s="29" t="s">
        <v>84</v>
      </c>
      <c r="C78" s="3" t="s">
        <v>10</v>
      </c>
      <c r="D78" s="3" t="s">
        <v>29</v>
      </c>
      <c r="E78" s="3" t="s">
        <v>8</v>
      </c>
      <c r="F78" s="33" t="s">
        <v>604</v>
      </c>
      <c r="G78" s="33"/>
      <c r="H78" s="33"/>
      <c r="I78" s="33" t="e">
        <f>INDEX(Auxiliar!$D$5:$F$11,MATCH(Table1[[#This Row],[Tipologia_Testes]],Auxiliar!$B$5:$B$11,0),MATCH(Table1[[#This Row],[Complexidade]],Auxiliar!$D$4:$F$4,0))</f>
        <v>#N/A</v>
      </c>
      <c r="J78" s="3"/>
    </row>
    <row r="79" spans="1:10" ht="17.399999999999999" x14ac:dyDescent="0.45">
      <c r="B79" s="29" t="s">
        <v>84</v>
      </c>
      <c r="C79" s="3" t="s">
        <v>10</v>
      </c>
      <c r="D79" s="3" t="s">
        <v>28</v>
      </c>
      <c r="E79" s="4" t="s">
        <v>8</v>
      </c>
      <c r="F79" s="33" t="s">
        <v>594</v>
      </c>
      <c r="G79" s="33"/>
      <c r="H79" s="33"/>
      <c r="I79" s="33" t="e">
        <f>INDEX(Auxiliar!$D$5:$F$11,MATCH(Table1[[#This Row],[Tipologia_Testes]],Auxiliar!$B$5:$B$11,0),MATCH(Table1[[#This Row],[Complexidade]],Auxiliar!$D$4:$F$4,0))</f>
        <v>#N/A</v>
      </c>
      <c r="J79" s="3"/>
    </row>
    <row r="80" spans="1:10" ht="17.399999999999999" x14ac:dyDescent="0.45">
      <c r="B80" s="29" t="s">
        <v>84</v>
      </c>
      <c r="C80" s="3" t="s">
        <v>10</v>
      </c>
      <c r="D80" s="3" t="s">
        <v>28</v>
      </c>
      <c r="E80" s="3" t="s">
        <v>8</v>
      </c>
      <c r="F80" s="33" t="s">
        <v>600</v>
      </c>
      <c r="G80" s="33"/>
      <c r="H80" s="33"/>
      <c r="I80" s="33" t="e">
        <f>INDEX(Auxiliar!$D$5:$F$11,MATCH(Table1[[#This Row],[Tipologia_Testes]],Auxiliar!$B$5:$B$11,0),MATCH(Table1[[#This Row],[Complexidade]],Auxiliar!$D$4:$F$4,0))</f>
        <v>#N/A</v>
      </c>
      <c r="J80" s="3"/>
    </row>
    <row r="81" spans="1:10" ht="17.399999999999999" x14ac:dyDescent="0.45">
      <c r="B81" s="29" t="s">
        <v>84</v>
      </c>
      <c r="C81" s="3" t="s">
        <v>10</v>
      </c>
      <c r="D81" s="3" t="s">
        <v>28</v>
      </c>
      <c r="E81" s="3" t="s">
        <v>8</v>
      </c>
      <c r="F81" s="42" t="s">
        <v>595</v>
      </c>
      <c r="G81" s="42"/>
      <c r="H81" s="42"/>
      <c r="I81" s="33" t="e">
        <f>INDEX(Auxiliar!$D$5:$F$11,MATCH(Table1[[#This Row],[Tipologia_Testes]],Auxiliar!$B$5:$B$11,0),MATCH(Table1[[#This Row],[Complexidade]],Auxiliar!$D$4:$F$4,0))</f>
        <v>#N/A</v>
      </c>
      <c r="J81" s="3"/>
    </row>
    <row r="82" spans="1:10" ht="17.399999999999999" x14ac:dyDescent="0.45">
      <c r="A82" t="s">
        <v>90</v>
      </c>
      <c r="B82" s="29" t="s">
        <v>84</v>
      </c>
      <c r="C82" s="3" t="s">
        <v>10</v>
      </c>
      <c r="D82" s="3" t="s">
        <v>28</v>
      </c>
      <c r="E82" s="3" t="s">
        <v>8</v>
      </c>
      <c r="F82" s="44" t="s">
        <v>603</v>
      </c>
      <c r="G82" s="44"/>
      <c r="H82" s="44"/>
      <c r="I82" s="33" t="e">
        <f>INDEX(Auxiliar!$D$5:$F$11,MATCH(Table1[[#This Row],[Tipologia_Testes]],Auxiliar!$B$5:$B$11,0),MATCH(Table1[[#This Row],[Complexidade]],Auxiliar!$D$4:$F$4,0))</f>
        <v>#N/A</v>
      </c>
      <c r="J82" s="3"/>
    </row>
    <row r="83" spans="1:10" ht="17.399999999999999" x14ac:dyDescent="0.45">
      <c r="A83" t="s">
        <v>90</v>
      </c>
      <c r="B83" s="29" t="s">
        <v>84</v>
      </c>
      <c r="C83" s="3" t="s">
        <v>10</v>
      </c>
      <c r="D83" s="3" t="s">
        <v>28</v>
      </c>
      <c r="E83" s="3" t="s">
        <v>8</v>
      </c>
      <c r="F83" s="33" t="s">
        <v>604</v>
      </c>
      <c r="G83" s="33"/>
      <c r="H83" s="33"/>
      <c r="I83" s="33" t="e">
        <f>INDEX(Auxiliar!$D$5:$F$11,MATCH(Table1[[#This Row],[Tipologia_Testes]],Auxiliar!$B$5:$B$11,0),MATCH(Table1[[#This Row],[Complexidade]],Auxiliar!$D$4:$F$4,0))</f>
        <v>#N/A</v>
      </c>
      <c r="J83" s="3"/>
    </row>
    <row r="84" spans="1:10" ht="17.399999999999999" x14ac:dyDescent="0.45">
      <c r="A84" t="s">
        <v>90</v>
      </c>
      <c r="B84" s="29" t="s">
        <v>84</v>
      </c>
      <c r="C84" s="3" t="s">
        <v>10</v>
      </c>
      <c r="D84" s="3" t="s">
        <v>27</v>
      </c>
      <c r="E84" s="4" t="s">
        <v>8</v>
      </c>
      <c r="F84" s="33" t="s">
        <v>594</v>
      </c>
      <c r="G84" s="33"/>
      <c r="H84" s="33"/>
      <c r="I84" s="33" t="e">
        <f>INDEX(Auxiliar!$D$5:$F$11,MATCH(Table1[[#This Row],[Tipologia_Testes]],Auxiliar!$B$5:$B$11,0),MATCH(Table1[[#This Row],[Complexidade]],Auxiliar!$D$4:$F$4,0))</f>
        <v>#N/A</v>
      </c>
      <c r="J84" s="3"/>
    </row>
    <row r="85" spans="1:10" ht="17.399999999999999" x14ac:dyDescent="0.45">
      <c r="A85" t="s">
        <v>90</v>
      </c>
      <c r="B85" s="29" t="s">
        <v>84</v>
      </c>
      <c r="C85" s="3" t="s">
        <v>10</v>
      </c>
      <c r="D85" s="3" t="s">
        <v>27</v>
      </c>
      <c r="E85" s="3" t="s">
        <v>8</v>
      </c>
      <c r="F85" s="33" t="s">
        <v>600</v>
      </c>
      <c r="G85" s="33"/>
      <c r="H85" s="33"/>
      <c r="I85" s="33" t="e">
        <f>INDEX(Auxiliar!$D$5:$F$11,MATCH(Table1[[#This Row],[Tipologia_Testes]],Auxiliar!$B$5:$B$11,0),MATCH(Table1[[#This Row],[Complexidade]],Auxiliar!$D$4:$F$4,0))</f>
        <v>#N/A</v>
      </c>
      <c r="J85" s="3"/>
    </row>
    <row r="86" spans="1:10" ht="17.399999999999999" x14ac:dyDescent="0.45">
      <c r="B86" s="29" t="s">
        <v>84</v>
      </c>
      <c r="C86" s="3" t="s">
        <v>10</v>
      </c>
      <c r="D86" s="3" t="s">
        <v>27</v>
      </c>
      <c r="E86" s="3" t="s">
        <v>8</v>
      </c>
      <c r="F86" s="42" t="s">
        <v>595</v>
      </c>
      <c r="G86" s="42"/>
      <c r="H86" s="42"/>
      <c r="I86" s="33" t="e">
        <f>INDEX(Auxiliar!$D$5:$F$11,MATCH(Table1[[#This Row],[Tipologia_Testes]],Auxiliar!$B$5:$B$11,0),MATCH(Table1[[#This Row],[Complexidade]],Auxiliar!$D$4:$F$4,0))</f>
        <v>#N/A</v>
      </c>
      <c r="J86" s="3"/>
    </row>
    <row r="87" spans="1:10" ht="17.399999999999999" x14ac:dyDescent="0.45">
      <c r="B87" s="29" t="s">
        <v>84</v>
      </c>
      <c r="C87" s="3" t="s">
        <v>10</v>
      </c>
      <c r="D87" s="3" t="s">
        <v>27</v>
      </c>
      <c r="E87" s="3" t="s">
        <v>8</v>
      </c>
      <c r="F87" s="44" t="s">
        <v>603</v>
      </c>
      <c r="G87" s="44"/>
      <c r="H87" s="44"/>
      <c r="I87" s="33" t="e">
        <f>INDEX(Auxiliar!$D$5:$F$11,MATCH(Table1[[#This Row],[Tipologia_Testes]],Auxiliar!$B$5:$B$11,0),MATCH(Table1[[#This Row],[Complexidade]],Auxiliar!$D$4:$F$4,0))</f>
        <v>#N/A</v>
      </c>
      <c r="J87" s="3"/>
    </row>
    <row r="88" spans="1:10" ht="17.399999999999999" x14ac:dyDescent="0.45">
      <c r="B88" s="29" t="s">
        <v>84</v>
      </c>
      <c r="C88" s="3" t="s">
        <v>10</v>
      </c>
      <c r="D88" s="3" t="s">
        <v>27</v>
      </c>
      <c r="E88" s="3" t="s">
        <v>8</v>
      </c>
      <c r="F88" s="33" t="s">
        <v>604</v>
      </c>
      <c r="G88" s="33"/>
      <c r="H88" s="33"/>
      <c r="I88" s="33" t="e">
        <f>INDEX(Auxiliar!$D$5:$F$11,MATCH(Table1[[#This Row],[Tipologia_Testes]],Auxiliar!$B$5:$B$11,0),MATCH(Table1[[#This Row],[Complexidade]],Auxiliar!$D$4:$F$4,0))</f>
        <v>#N/A</v>
      </c>
      <c r="J88" s="3"/>
    </row>
    <row r="89" spans="1:10" ht="17.399999999999999" x14ac:dyDescent="0.45">
      <c r="B89" s="29" t="s">
        <v>84</v>
      </c>
      <c r="C89" s="3" t="s">
        <v>10</v>
      </c>
      <c r="D89" s="3" t="s">
        <v>26</v>
      </c>
      <c r="E89" s="4" t="s">
        <v>8</v>
      </c>
      <c r="F89" s="33" t="s">
        <v>594</v>
      </c>
      <c r="G89" s="33"/>
      <c r="H89" s="33"/>
      <c r="I89" s="33" t="e">
        <f>INDEX(Auxiliar!$D$5:$F$11,MATCH(Table1[[#This Row],[Tipologia_Testes]],Auxiliar!$B$5:$B$11,0),MATCH(Table1[[#This Row],[Complexidade]],Auxiliar!$D$4:$F$4,0))</f>
        <v>#N/A</v>
      </c>
      <c r="J89" s="3"/>
    </row>
    <row r="90" spans="1:10" ht="17.399999999999999" x14ac:dyDescent="0.45">
      <c r="A90" t="s">
        <v>90</v>
      </c>
      <c r="B90" s="29" t="s">
        <v>84</v>
      </c>
      <c r="C90" s="3" t="s">
        <v>10</v>
      </c>
      <c r="D90" s="3" t="s">
        <v>26</v>
      </c>
      <c r="E90" s="3" t="s">
        <v>8</v>
      </c>
      <c r="F90" s="33" t="s">
        <v>600</v>
      </c>
      <c r="G90" s="33"/>
      <c r="H90" s="33"/>
      <c r="I90" s="33" t="e">
        <f>INDEX(Auxiliar!$D$5:$F$11,MATCH(Table1[[#This Row],[Tipologia_Testes]],Auxiliar!$B$5:$B$11,0),MATCH(Table1[[#This Row],[Complexidade]],Auxiliar!$D$4:$F$4,0))</f>
        <v>#N/A</v>
      </c>
      <c r="J90" s="3"/>
    </row>
    <row r="91" spans="1:10" ht="17.399999999999999" x14ac:dyDescent="0.45">
      <c r="B91" s="29" t="s">
        <v>84</v>
      </c>
      <c r="C91" s="3" t="s">
        <v>10</v>
      </c>
      <c r="D91" s="3" t="s">
        <v>26</v>
      </c>
      <c r="E91" s="3" t="s">
        <v>8</v>
      </c>
      <c r="F91" s="42" t="s">
        <v>595</v>
      </c>
      <c r="G91" s="42"/>
      <c r="H91" s="42"/>
      <c r="I91" s="33" t="e">
        <f>INDEX(Auxiliar!$D$5:$F$11,MATCH(Table1[[#This Row],[Tipologia_Testes]],Auxiliar!$B$5:$B$11,0),MATCH(Table1[[#This Row],[Complexidade]],Auxiliar!$D$4:$F$4,0))</f>
        <v>#N/A</v>
      </c>
      <c r="J91" s="3"/>
    </row>
    <row r="92" spans="1:10" ht="17.399999999999999" x14ac:dyDescent="0.45">
      <c r="B92" s="29" t="s">
        <v>84</v>
      </c>
      <c r="C92" s="3" t="s">
        <v>10</v>
      </c>
      <c r="D92" s="3" t="s">
        <v>26</v>
      </c>
      <c r="E92" s="3" t="s">
        <v>8</v>
      </c>
      <c r="F92" s="44" t="s">
        <v>603</v>
      </c>
      <c r="G92" s="44"/>
      <c r="H92" s="44"/>
      <c r="I92" s="33" t="e">
        <f>INDEX(Auxiliar!$D$5:$F$11,MATCH(Table1[[#This Row],[Tipologia_Testes]],Auxiliar!$B$5:$B$11,0),MATCH(Table1[[#This Row],[Complexidade]],Auxiliar!$D$4:$F$4,0))</f>
        <v>#N/A</v>
      </c>
      <c r="J92" s="3"/>
    </row>
    <row r="93" spans="1:10" ht="17.399999999999999" x14ac:dyDescent="0.45">
      <c r="B93" s="29" t="s">
        <v>84</v>
      </c>
      <c r="C93" s="3" t="s">
        <v>10</v>
      </c>
      <c r="D93" s="3" t="s">
        <v>26</v>
      </c>
      <c r="E93" s="3" t="s">
        <v>8</v>
      </c>
      <c r="F93" s="33" t="s">
        <v>604</v>
      </c>
      <c r="G93" s="33"/>
      <c r="H93" s="33"/>
      <c r="I93" s="33" t="e">
        <f>INDEX(Auxiliar!$D$5:$F$11,MATCH(Table1[[#This Row],[Tipologia_Testes]],Auxiliar!$B$5:$B$11,0),MATCH(Table1[[#This Row],[Complexidade]],Auxiliar!$D$4:$F$4,0))</f>
        <v>#N/A</v>
      </c>
      <c r="J93" s="3"/>
    </row>
    <row r="94" spans="1:10" ht="17.399999999999999" x14ac:dyDescent="0.45">
      <c r="B94" s="29" t="s">
        <v>84</v>
      </c>
      <c r="C94" s="3" t="s">
        <v>10</v>
      </c>
      <c r="D94" s="3" t="s">
        <v>25</v>
      </c>
      <c r="E94" s="4" t="s">
        <v>8</v>
      </c>
      <c r="F94" s="33" t="s">
        <v>594</v>
      </c>
      <c r="G94" s="33"/>
      <c r="H94" s="33"/>
      <c r="I94" s="33" t="e">
        <f>INDEX(Auxiliar!$D$5:$F$11,MATCH(Table1[[#This Row],[Tipologia_Testes]],Auxiliar!$B$5:$B$11,0),MATCH(Table1[[#This Row],[Complexidade]],Auxiliar!$D$4:$F$4,0))</f>
        <v>#N/A</v>
      </c>
      <c r="J94" s="3"/>
    </row>
    <row r="95" spans="1:10" ht="17.399999999999999" x14ac:dyDescent="0.45">
      <c r="B95" s="29" t="s">
        <v>84</v>
      </c>
      <c r="C95" s="3" t="s">
        <v>10</v>
      </c>
      <c r="D95" s="3" t="s">
        <v>25</v>
      </c>
      <c r="E95" s="3" t="s">
        <v>8</v>
      </c>
      <c r="F95" s="33" t="s">
        <v>600</v>
      </c>
      <c r="G95" s="33"/>
      <c r="H95" s="33"/>
      <c r="I95" s="33" t="e">
        <f>INDEX(Auxiliar!$D$5:$F$11,MATCH(Table1[[#This Row],[Tipologia_Testes]],Auxiliar!$B$5:$B$11,0),MATCH(Table1[[#This Row],[Complexidade]],Auxiliar!$D$4:$F$4,0))</f>
        <v>#N/A</v>
      </c>
      <c r="J95" s="3"/>
    </row>
    <row r="96" spans="1:10" ht="17.399999999999999" x14ac:dyDescent="0.45">
      <c r="B96" s="29" t="s">
        <v>84</v>
      </c>
      <c r="C96" s="3" t="s">
        <v>10</v>
      </c>
      <c r="D96" s="3" t="s">
        <v>25</v>
      </c>
      <c r="E96" s="3" t="s">
        <v>8</v>
      </c>
      <c r="F96" s="42" t="s">
        <v>595</v>
      </c>
      <c r="G96" s="42"/>
      <c r="H96" s="42"/>
      <c r="I96" s="33" t="e">
        <f>INDEX(Auxiliar!$D$5:$F$11,MATCH(Table1[[#This Row],[Tipologia_Testes]],Auxiliar!$B$5:$B$11,0),MATCH(Table1[[#This Row],[Complexidade]],Auxiliar!$D$4:$F$4,0))</f>
        <v>#N/A</v>
      </c>
      <c r="J96" s="3"/>
    </row>
    <row r="97" spans="1:10" ht="17.399999999999999" x14ac:dyDescent="0.45">
      <c r="B97" s="29" t="s">
        <v>84</v>
      </c>
      <c r="C97" s="3" t="s">
        <v>10</v>
      </c>
      <c r="D97" s="3" t="s">
        <v>25</v>
      </c>
      <c r="E97" s="3" t="s">
        <v>8</v>
      </c>
      <c r="F97" s="44" t="s">
        <v>603</v>
      </c>
      <c r="G97" s="44"/>
      <c r="H97" s="44"/>
      <c r="I97" s="33" t="e">
        <f>INDEX(Auxiliar!$D$5:$F$11,MATCH(Table1[[#This Row],[Tipologia_Testes]],Auxiliar!$B$5:$B$11,0),MATCH(Table1[[#This Row],[Complexidade]],Auxiliar!$D$4:$F$4,0))</f>
        <v>#N/A</v>
      </c>
      <c r="J97" s="3"/>
    </row>
    <row r="98" spans="1:10" ht="17.399999999999999" x14ac:dyDescent="0.45">
      <c r="B98" s="29" t="s">
        <v>84</v>
      </c>
      <c r="C98" s="3" t="s">
        <v>10</v>
      </c>
      <c r="D98" s="3" t="s">
        <v>25</v>
      </c>
      <c r="E98" s="3" t="s">
        <v>8</v>
      </c>
      <c r="F98" s="33" t="s">
        <v>604</v>
      </c>
      <c r="G98" s="33"/>
      <c r="H98" s="33"/>
      <c r="I98" s="33" t="e">
        <f>INDEX(Auxiliar!$D$5:$F$11,MATCH(Table1[[#This Row],[Tipologia_Testes]],Auxiliar!$B$5:$B$11,0),MATCH(Table1[[#This Row],[Complexidade]],Auxiliar!$D$4:$F$4,0))</f>
        <v>#N/A</v>
      </c>
      <c r="J98" s="3"/>
    </row>
    <row r="99" spans="1:10" ht="17.399999999999999" x14ac:dyDescent="0.45">
      <c r="B99" s="29" t="s">
        <v>84</v>
      </c>
      <c r="C99" s="3" t="s">
        <v>10</v>
      </c>
      <c r="D99" s="7" t="s">
        <v>92</v>
      </c>
      <c r="E99" s="4" t="s">
        <v>8</v>
      </c>
      <c r="F99" s="33" t="s">
        <v>594</v>
      </c>
      <c r="G99" s="33"/>
      <c r="H99" s="33"/>
      <c r="I99" s="33" t="e">
        <f>INDEX(Auxiliar!$D$5:$F$11,MATCH(Table1[[#This Row],[Tipologia_Testes]],Auxiliar!$B$5:$B$11,0),MATCH(Table1[[#This Row],[Complexidade]],Auxiliar!$D$4:$F$4,0))</f>
        <v>#N/A</v>
      </c>
      <c r="J99" s="3"/>
    </row>
    <row r="100" spans="1:10" ht="17.399999999999999" x14ac:dyDescent="0.45">
      <c r="B100" s="29" t="s">
        <v>84</v>
      </c>
      <c r="C100" s="3" t="s">
        <v>10</v>
      </c>
      <c r="D100" s="7" t="s">
        <v>92</v>
      </c>
      <c r="E100" s="3" t="s">
        <v>8</v>
      </c>
      <c r="F100" s="33" t="s">
        <v>600</v>
      </c>
      <c r="G100" s="33"/>
      <c r="H100" s="33"/>
      <c r="I100" s="33" t="e">
        <f>INDEX(Auxiliar!$D$5:$F$11,MATCH(Table1[[#This Row],[Tipologia_Testes]],Auxiliar!$B$5:$B$11,0),MATCH(Table1[[#This Row],[Complexidade]],Auxiliar!$D$4:$F$4,0))</f>
        <v>#N/A</v>
      </c>
      <c r="J100" s="3"/>
    </row>
    <row r="101" spans="1:10" ht="17.399999999999999" x14ac:dyDescent="0.45">
      <c r="B101" s="29" t="s">
        <v>84</v>
      </c>
      <c r="C101" s="3" t="s">
        <v>10</v>
      </c>
      <c r="D101" s="7" t="s">
        <v>92</v>
      </c>
      <c r="E101" s="3" t="s">
        <v>8</v>
      </c>
      <c r="F101" s="42" t="s">
        <v>595</v>
      </c>
      <c r="G101" s="42"/>
      <c r="H101" s="42"/>
      <c r="I101" s="33" t="e">
        <f>INDEX(Auxiliar!$D$5:$F$11,MATCH(Table1[[#This Row],[Tipologia_Testes]],Auxiliar!$B$5:$B$11,0),MATCH(Table1[[#This Row],[Complexidade]],Auxiliar!$D$4:$F$4,0))</f>
        <v>#N/A</v>
      </c>
      <c r="J101" s="3"/>
    </row>
    <row r="102" spans="1:10" ht="17.399999999999999" x14ac:dyDescent="0.45">
      <c r="A102" t="s">
        <v>90</v>
      </c>
      <c r="B102" s="29" t="s">
        <v>84</v>
      </c>
      <c r="C102" s="3" t="s">
        <v>10</v>
      </c>
      <c r="D102" s="7" t="s">
        <v>92</v>
      </c>
      <c r="E102" s="3" t="s">
        <v>8</v>
      </c>
      <c r="F102" s="44" t="s">
        <v>603</v>
      </c>
      <c r="G102" s="44"/>
      <c r="H102" s="44"/>
      <c r="I102" s="33" t="e">
        <f>INDEX(Auxiliar!$D$5:$F$11,MATCH(Table1[[#This Row],[Tipologia_Testes]],Auxiliar!$B$5:$B$11,0),MATCH(Table1[[#This Row],[Complexidade]],Auxiliar!$D$4:$F$4,0))</f>
        <v>#N/A</v>
      </c>
      <c r="J102" s="3"/>
    </row>
    <row r="103" spans="1:10" ht="17.399999999999999" x14ac:dyDescent="0.45">
      <c r="A103" t="s">
        <v>90</v>
      </c>
      <c r="B103" s="29" t="s">
        <v>84</v>
      </c>
      <c r="C103" s="3" t="s">
        <v>10</v>
      </c>
      <c r="D103" s="7" t="s">
        <v>92</v>
      </c>
      <c r="E103" s="3" t="s">
        <v>8</v>
      </c>
      <c r="F103" s="33" t="s">
        <v>604</v>
      </c>
      <c r="G103" s="33"/>
      <c r="H103" s="33"/>
      <c r="I103" s="33" t="e">
        <f>INDEX(Auxiliar!$D$5:$F$11,MATCH(Table1[[#This Row],[Tipologia_Testes]],Auxiliar!$B$5:$B$11,0),MATCH(Table1[[#This Row],[Complexidade]],Auxiliar!$D$4:$F$4,0))</f>
        <v>#N/A</v>
      </c>
      <c r="J103" s="3"/>
    </row>
    <row r="104" spans="1:10" ht="17.399999999999999" x14ac:dyDescent="0.45">
      <c r="A104" t="s">
        <v>90</v>
      </c>
      <c r="B104" s="29" t="s">
        <v>84</v>
      </c>
      <c r="C104" s="3" t="s">
        <v>10</v>
      </c>
      <c r="D104" s="5" t="s">
        <v>23</v>
      </c>
      <c r="E104" s="4" t="s">
        <v>8</v>
      </c>
      <c r="F104" s="33" t="s">
        <v>594</v>
      </c>
      <c r="G104" s="33"/>
      <c r="H104" s="33"/>
      <c r="I104" s="33" t="e">
        <f>INDEX(Auxiliar!$D$5:$F$11,MATCH(Table1[[#This Row],[Tipologia_Testes]],Auxiliar!$B$5:$B$11,0),MATCH(Table1[[#This Row],[Complexidade]],Auxiliar!$D$4:$F$4,0))</f>
        <v>#N/A</v>
      </c>
      <c r="J104" s="3"/>
    </row>
    <row r="105" spans="1:10" ht="17.399999999999999" x14ac:dyDescent="0.45">
      <c r="A105" t="s">
        <v>90</v>
      </c>
      <c r="B105" s="29" t="s">
        <v>84</v>
      </c>
      <c r="C105" s="3" t="s">
        <v>10</v>
      </c>
      <c r="D105" s="3" t="s">
        <v>23</v>
      </c>
      <c r="E105" s="3" t="s">
        <v>8</v>
      </c>
      <c r="F105" s="33" t="s">
        <v>600</v>
      </c>
      <c r="G105" s="33"/>
      <c r="H105" s="33"/>
      <c r="I105" s="33" t="e">
        <f>INDEX(Auxiliar!$D$5:$F$11,MATCH(Table1[[#This Row],[Tipologia_Testes]],Auxiliar!$B$5:$B$11,0),MATCH(Table1[[#This Row],[Complexidade]],Auxiliar!$D$4:$F$4,0))</f>
        <v>#N/A</v>
      </c>
      <c r="J105" s="3"/>
    </row>
    <row r="106" spans="1:10" ht="17.399999999999999" x14ac:dyDescent="0.45">
      <c r="B106" s="29" t="s">
        <v>84</v>
      </c>
      <c r="C106" s="3" t="s">
        <v>10</v>
      </c>
      <c r="D106" s="3" t="s">
        <v>23</v>
      </c>
      <c r="E106" s="3" t="s">
        <v>8</v>
      </c>
      <c r="F106" s="42" t="s">
        <v>595</v>
      </c>
      <c r="G106" s="42"/>
      <c r="H106" s="42"/>
      <c r="I106" s="33" t="e">
        <f>INDEX(Auxiliar!$D$5:$F$11,MATCH(Table1[[#This Row],[Tipologia_Testes]],Auxiliar!$B$5:$B$11,0),MATCH(Table1[[#This Row],[Complexidade]],Auxiliar!$D$4:$F$4,0))</f>
        <v>#N/A</v>
      </c>
      <c r="J106" s="3"/>
    </row>
    <row r="107" spans="1:10" ht="17.399999999999999" x14ac:dyDescent="0.45">
      <c r="B107" s="29" t="s">
        <v>84</v>
      </c>
      <c r="C107" s="3" t="s">
        <v>10</v>
      </c>
      <c r="D107" s="3" t="s">
        <v>23</v>
      </c>
      <c r="E107" s="3" t="s">
        <v>8</v>
      </c>
      <c r="F107" s="44" t="s">
        <v>603</v>
      </c>
      <c r="G107" s="44"/>
      <c r="H107" s="44"/>
      <c r="I107" s="33" t="e">
        <f>INDEX(Auxiliar!$D$5:$F$11,MATCH(Table1[[#This Row],[Tipologia_Testes]],Auxiliar!$B$5:$B$11,0),MATCH(Table1[[#This Row],[Complexidade]],Auxiliar!$D$4:$F$4,0))</f>
        <v>#N/A</v>
      </c>
      <c r="J107" s="3"/>
    </row>
    <row r="108" spans="1:10" ht="17.399999999999999" x14ac:dyDescent="0.45">
      <c r="B108" s="29" t="s">
        <v>84</v>
      </c>
      <c r="C108" s="3" t="s">
        <v>10</v>
      </c>
      <c r="D108" s="3" t="s">
        <v>23</v>
      </c>
      <c r="E108" s="3" t="s">
        <v>8</v>
      </c>
      <c r="F108" s="33" t="s">
        <v>604</v>
      </c>
      <c r="G108" s="33"/>
      <c r="H108" s="33"/>
      <c r="I108" s="33" t="e">
        <f>INDEX(Auxiliar!$D$5:$F$11,MATCH(Table1[[#This Row],[Tipologia_Testes]],Auxiliar!$B$5:$B$11,0),MATCH(Table1[[#This Row],[Complexidade]],Auxiliar!$D$4:$F$4,0))</f>
        <v>#N/A</v>
      </c>
      <c r="J108" s="3"/>
    </row>
    <row r="109" spans="1:10" ht="17.399999999999999" x14ac:dyDescent="0.45">
      <c r="B109" s="29" t="s">
        <v>84</v>
      </c>
      <c r="C109" s="3" t="s">
        <v>10</v>
      </c>
      <c r="D109" s="3" t="s">
        <v>93</v>
      </c>
      <c r="E109" s="4" t="s">
        <v>8</v>
      </c>
      <c r="F109" s="33" t="s">
        <v>594</v>
      </c>
      <c r="G109" s="33"/>
      <c r="H109" s="33"/>
      <c r="I109" s="33" t="e">
        <f>INDEX(Auxiliar!$D$5:$F$11,MATCH(Table1[[#This Row],[Tipologia_Testes]],Auxiliar!$B$5:$B$11,0),MATCH(Table1[[#This Row],[Complexidade]],Auxiliar!$D$4:$F$4,0))</f>
        <v>#N/A</v>
      </c>
      <c r="J109" s="3"/>
    </row>
    <row r="110" spans="1:10" ht="17.399999999999999" x14ac:dyDescent="0.45">
      <c r="B110" s="29" t="s">
        <v>84</v>
      </c>
      <c r="C110" s="3" t="s">
        <v>10</v>
      </c>
      <c r="D110" s="3" t="s">
        <v>93</v>
      </c>
      <c r="E110" s="3" t="s">
        <v>8</v>
      </c>
      <c r="F110" s="33" t="s">
        <v>600</v>
      </c>
      <c r="G110" s="33"/>
      <c r="H110" s="33"/>
      <c r="I110" s="33" t="e">
        <f>INDEX(Auxiliar!$D$5:$F$11,MATCH(Table1[[#This Row],[Tipologia_Testes]],Auxiliar!$B$5:$B$11,0),MATCH(Table1[[#This Row],[Complexidade]],Auxiliar!$D$4:$F$4,0))</f>
        <v>#N/A</v>
      </c>
      <c r="J110" s="3"/>
    </row>
    <row r="111" spans="1:10" ht="17.399999999999999" x14ac:dyDescent="0.45">
      <c r="B111" s="29" t="s">
        <v>84</v>
      </c>
      <c r="C111" s="3" t="s">
        <v>10</v>
      </c>
      <c r="D111" s="3" t="s">
        <v>93</v>
      </c>
      <c r="E111" s="3" t="s">
        <v>8</v>
      </c>
      <c r="F111" s="42" t="s">
        <v>595</v>
      </c>
      <c r="G111" s="42"/>
      <c r="H111" s="42"/>
      <c r="I111" s="33" t="e">
        <f>INDEX(Auxiliar!$D$5:$F$11,MATCH(Table1[[#This Row],[Tipologia_Testes]],Auxiliar!$B$5:$B$11,0),MATCH(Table1[[#This Row],[Complexidade]],Auxiliar!$D$4:$F$4,0))</f>
        <v>#N/A</v>
      </c>
      <c r="J111" s="3"/>
    </row>
    <row r="112" spans="1:10" ht="17.399999999999999" x14ac:dyDescent="0.45">
      <c r="B112" s="29" t="s">
        <v>84</v>
      </c>
      <c r="C112" s="3" t="s">
        <v>10</v>
      </c>
      <c r="D112" s="3" t="s">
        <v>93</v>
      </c>
      <c r="E112" s="3" t="s">
        <v>8</v>
      </c>
      <c r="F112" s="44" t="s">
        <v>603</v>
      </c>
      <c r="G112" s="44"/>
      <c r="H112" s="44"/>
      <c r="I112" s="33" t="e">
        <f>INDEX(Auxiliar!$D$5:$F$11,MATCH(Table1[[#This Row],[Tipologia_Testes]],Auxiliar!$B$5:$B$11,0),MATCH(Table1[[#This Row],[Complexidade]],Auxiliar!$D$4:$F$4,0))</f>
        <v>#N/A</v>
      </c>
      <c r="J112" s="3"/>
    </row>
    <row r="113" spans="1:10" ht="17.399999999999999" x14ac:dyDescent="0.45">
      <c r="B113" s="29" t="s">
        <v>84</v>
      </c>
      <c r="C113" s="3" t="s">
        <v>10</v>
      </c>
      <c r="D113" s="3" t="s">
        <v>93</v>
      </c>
      <c r="E113" s="3" t="s">
        <v>8</v>
      </c>
      <c r="F113" s="33" t="s">
        <v>604</v>
      </c>
      <c r="G113" s="33"/>
      <c r="H113" s="33"/>
      <c r="I113" s="33" t="e">
        <f>INDEX(Auxiliar!$D$5:$F$11,MATCH(Table1[[#This Row],[Tipologia_Testes]],Auxiliar!$B$5:$B$11,0),MATCH(Table1[[#This Row],[Complexidade]],Auxiliar!$D$4:$F$4,0))</f>
        <v>#N/A</v>
      </c>
      <c r="J113" s="3"/>
    </row>
    <row r="114" spans="1:10" ht="17.399999999999999" x14ac:dyDescent="0.45">
      <c r="A114" t="s">
        <v>90</v>
      </c>
      <c r="B114" s="29" t="s">
        <v>84</v>
      </c>
      <c r="C114" s="3" t="s">
        <v>10</v>
      </c>
      <c r="D114" s="3" t="s">
        <v>21</v>
      </c>
      <c r="E114" s="4" t="s">
        <v>8</v>
      </c>
      <c r="F114" s="33" t="s">
        <v>594</v>
      </c>
      <c r="G114" s="33"/>
      <c r="H114" s="33"/>
      <c r="I114" s="33" t="e">
        <f>INDEX(Auxiliar!$D$5:$F$11,MATCH(Table1[[#This Row],[Tipologia_Testes]],Auxiliar!$B$5:$B$11,0),MATCH(Table1[[#This Row],[Complexidade]],Auxiliar!$D$4:$F$4,0))</f>
        <v>#N/A</v>
      </c>
      <c r="J114" s="3"/>
    </row>
    <row r="115" spans="1:10" ht="17.399999999999999" x14ac:dyDescent="0.45">
      <c r="A115" t="s">
        <v>90</v>
      </c>
      <c r="B115" s="29" t="s">
        <v>84</v>
      </c>
      <c r="C115" s="3" t="s">
        <v>10</v>
      </c>
      <c r="D115" s="3" t="s">
        <v>21</v>
      </c>
      <c r="E115" s="3" t="s">
        <v>8</v>
      </c>
      <c r="F115" s="33" t="s">
        <v>600</v>
      </c>
      <c r="G115" s="33"/>
      <c r="H115" s="33"/>
      <c r="I115" s="33" t="e">
        <f>INDEX(Auxiliar!$D$5:$F$11,MATCH(Table1[[#This Row],[Tipologia_Testes]],Auxiliar!$B$5:$B$11,0),MATCH(Table1[[#This Row],[Complexidade]],Auxiliar!$D$4:$F$4,0))</f>
        <v>#N/A</v>
      </c>
      <c r="J115" s="3"/>
    </row>
    <row r="116" spans="1:10" ht="17.399999999999999" x14ac:dyDescent="0.45">
      <c r="A116" t="s">
        <v>90</v>
      </c>
      <c r="B116" s="29" t="s">
        <v>84</v>
      </c>
      <c r="C116" s="3" t="s">
        <v>10</v>
      </c>
      <c r="D116" s="3" t="s">
        <v>21</v>
      </c>
      <c r="E116" s="3" t="s">
        <v>8</v>
      </c>
      <c r="F116" s="42" t="s">
        <v>595</v>
      </c>
      <c r="G116" s="42"/>
      <c r="H116" s="42"/>
      <c r="I116" s="33" t="e">
        <f>INDEX(Auxiliar!$D$5:$F$11,MATCH(Table1[[#This Row],[Tipologia_Testes]],Auxiliar!$B$5:$B$11,0),MATCH(Table1[[#This Row],[Complexidade]],Auxiliar!$D$4:$F$4,0))</f>
        <v>#N/A</v>
      </c>
      <c r="J116" s="3"/>
    </row>
    <row r="117" spans="1:10" ht="17.399999999999999" x14ac:dyDescent="0.45">
      <c r="A117" t="s">
        <v>90</v>
      </c>
      <c r="B117" s="29" t="s">
        <v>84</v>
      </c>
      <c r="C117" s="3" t="s">
        <v>10</v>
      </c>
      <c r="D117" s="3" t="s">
        <v>21</v>
      </c>
      <c r="E117" s="3" t="s">
        <v>8</v>
      </c>
      <c r="F117" s="44" t="s">
        <v>603</v>
      </c>
      <c r="G117" s="44"/>
      <c r="H117" s="44"/>
      <c r="I117" s="33" t="e">
        <f>INDEX(Auxiliar!$D$5:$F$11,MATCH(Table1[[#This Row],[Tipologia_Testes]],Auxiliar!$B$5:$B$11,0),MATCH(Table1[[#This Row],[Complexidade]],Auxiliar!$D$4:$F$4,0))</f>
        <v>#N/A</v>
      </c>
      <c r="J117" s="3"/>
    </row>
    <row r="118" spans="1:10" ht="17.399999999999999" x14ac:dyDescent="0.45">
      <c r="B118" s="29" t="s">
        <v>84</v>
      </c>
      <c r="C118" s="3" t="s">
        <v>10</v>
      </c>
      <c r="D118" s="3" t="s">
        <v>21</v>
      </c>
      <c r="E118" s="3" t="s">
        <v>8</v>
      </c>
      <c r="F118" s="33" t="s">
        <v>604</v>
      </c>
      <c r="G118" s="33"/>
      <c r="H118" s="33"/>
      <c r="I118" s="33" t="e">
        <f>INDEX(Auxiliar!$D$5:$F$11,MATCH(Table1[[#This Row],[Tipologia_Testes]],Auxiliar!$B$5:$B$11,0),MATCH(Table1[[#This Row],[Complexidade]],Auxiliar!$D$4:$F$4,0))</f>
        <v>#N/A</v>
      </c>
      <c r="J118" s="3"/>
    </row>
    <row r="119" spans="1:10" ht="17.399999999999999" x14ac:dyDescent="0.45">
      <c r="B119" s="29" t="s">
        <v>84</v>
      </c>
      <c r="C119" s="3" t="s">
        <v>10</v>
      </c>
      <c r="D119" s="3" t="s">
        <v>94</v>
      </c>
      <c r="E119" s="4" t="s">
        <v>8</v>
      </c>
      <c r="F119" s="33" t="s">
        <v>594</v>
      </c>
      <c r="G119" s="33"/>
      <c r="H119" s="33"/>
      <c r="I119" s="33" t="e">
        <f>INDEX(Auxiliar!$D$5:$F$11,MATCH(Table1[[#This Row],[Tipologia_Testes]],Auxiliar!$B$5:$B$11,0),MATCH(Table1[[#This Row],[Complexidade]],Auxiliar!$D$4:$F$4,0))</f>
        <v>#N/A</v>
      </c>
      <c r="J119" s="3"/>
    </row>
    <row r="120" spans="1:10" ht="17.399999999999999" x14ac:dyDescent="0.45">
      <c r="B120" s="29" t="s">
        <v>84</v>
      </c>
      <c r="C120" s="3" t="s">
        <v>10</v>
      </c>
      <c r="D120" s="3" t="s">
        <v>94</v>
      </c>
      <c r="E120" s="3" t="s">
        <v>8</v>
      </c>
      <c r="F120" s="33" t="s">
        <v>600</v>
      </c>
      <c r="G120" s="33"/>
      <c r="H120" s="33"/>
      <c r="I120" s="33" t="e">
        <f>INDEX(Auxiliar!$D$5:$F$11,MATCH(Table1[[#This Row],[Tipologia_Testes]],Auxiliar!$B$5:$B$11,0),MATCH(Table1[[#This Row],[Complexidade]],Auxiliar!$D$4:$F$4,0))</f>
        <v>#N/A</v>
      </c>
      <c r="J120" s="3"/>
    </row>
    <row r="121" spans="1:10" ht="17.399999999999999" x14ac:dyDescent="0.45">
      <c r="B121" s="29" t="s">
        <v>84</v>
      </c>
      <c r="C121" s="3" t="s">
        <v>10</v>
      </c>
      <c r="D121" s="3" t="s">
        <v>94</v>
      </c>
      <c r="E121" s="3" t="s">
        <v>8</v>
      </c>
      <c r="F121" s="42" t="s">
        <v>595</v>
      </c>
      <c r="G121" s="42"/>
      <c r="H121" s="42"/>
      <c r="I121" s="33" t="e">
        <f>INDEX(Auxiliar!$D$5:$F$11,MATCH(Table1[[#This Row],[Tipologia_Testes]],Auxiliar!$B$5:$B$11,0),MATCH(Table1[[#This Row],[Complexidade]],Auxiliar!$D$4:$F$4,0))</f>
        <v>#N/A</v>
      </c>
      <c r="J121" s="3"/>
    </row>
    <row r="122" spans="1:10" ht="17.399999999999999" x14ac:dyDescent="0.45">
      <c r="A122" t="s">
        <v>90</v>
      </c>
      <c r="B122" s="29" t="s">
        <v>84</v>
      </c>
      <c r="C122" s="3" t="s">
        <v>10</v>
      </c>
      <c r="D122" s="3" t="s">
        <v>94</v>
      </c>
      <c r="E122" s="3" t="s">
        <v>8</v>
      </c>
      <c r="F122" s="44" t="s">
        <v>603</v>
      </c>
      <c r="G122" s="44"/>
      <c r="H122" s="44"/>
      <c r="I122" s="33" t="e">
        <f>INDEX(Auxiliar!$D$5:$F$11,MATCH(Table1[[#This Row],[Tipologia_Testes]],Auxiliar!$B$5:$B$11,0),MATCH(Table1[[#This Row],[Complexidade]],Auxiliar!$D$4:$F$4,0))</f>
        <v>#N/A</v>
      </c>
      <c r="J122" s="3"/>
    </row>
    <row r="123" spans="1:10" ht="17.399999999999999" x14ac:dyDescent="0.45">
      <c r="A123" t="s">
        <v>90</v>
      </c>
      <c r="B123" s="29" t="s">
        <v>84</v>
      </c>
      <c r="C123" s="3" t="s">
        <v>10</v>
      </c>
      <c r="D123" s="3" t="s">
        <v>94</v>
      </c>
      <c r="E123" s="3" t="s">
        <v>8</v>
      </c>
      <c r="F123" s="33" t="s">
        <v>604</v>
      </c>
      <c r="G123" s="33"/>
      <c r="H123" s="33"/>
      <c r="I123" s="33" t="e">
        <f>INDEX(Auxiliar!$D$5:$F$11,MATCH(Table1[[#This Row],[Tipologia_Testes]],Auxiliar!$B$5:$B$11,0),MATCH(Table1[[#This Row],[Complexidade]],Auxiliar!$D$4:$F$4,0))</f>
        <v>#N/A</v>
      </c>
      <c r="J123" s="3"/>
    </row>
    <row r="124" spans="1:10" ht="17.399999999999999" x14ac:dyDescent="0.45">
      <c r="A124" t="s">
        <v>90</v>
      </c>
      <c r="B124" s="29" t="s">
        <v>84</v>
      </c>
      <c r="C124" s="6" t="s">
        <v>10</v>
      </c>
      <c r="D124" s="6" t="s">
        <v>19</v>
      </c>
      <c r="E124" s="4" t="s">
        <v>8</v>
      </c>
      <c r="F124" s="33" t="s">
        <v>594</v>
      </c>
      <c r="G124" s="33"/>
      <c r="H124" s="33"/>
      <c r="I124" s="33" t="e">
        <f>INDEX(Auxiliar!$D$5:$F$11,MATCH(Table1[[#This Row],[Tipologia_Testes]],Auxiliar!$B$5:$B$11,0),MATCH(Table1[[#This Row],[Complexidade]],Auxiliar!$D$4:$F$4,0))</f>
        <v>#N/A</v>
      </c>
      <c r="J124" s="3"/>
    </row>
    <row r="125" spans="1:10" ht="17.399999999999999" x14ac:dyDescent="0.45">
      <c r="A125" t="s">
        <v>90</v>
      </c>
      <c r="B125" s="29" t="s">
        <v>84</v>
      </c>
      <c r="C125" s="3" t="s">
        <v>10</v>
      </c>
      <c r="D125" s="3" t="s">
        <v>19</v>
      </c>
      <c r="E125" s="3" t="s">
        <v>8</v>
      </c>
      <c r="F125" s="33" t="s">
        <v>600</v>
      </c>
      <c r="G125" s="33"/>
      <c r="H125" s="33"/>
      <c r="I125" s="33" t="e">
        <f>INDEX(Auxiliar!$D$5:$F$11,MATCH(Table1[[#This Row],[Tipologia_Testes]],Auxiliar!$B$5:$B$11,0),MATCH(Table1[[#This Row],[Complexidade]],Auxiliar!$D$4:$F$4,0))</f>
        <v>#N/A</v>
      </c>
      <c r="J125" s="3"/>
    </row>
    <row r="126" spans="1:10" ht="17.399999999999999" x14ac:dyDescent="0.45">
      <c r="B126" s="29" t="s">
        <v>84</v>
      </c>
      <c r="C126" s="3" t="s">
        <v>10</v>
      </c>
      <c r="D126" s="3" t="s">
        <v>19</v>
      </c>
      <c r="E126" s="3" t="s">
        <v>8</v>
      </c>
      <c r="F126" s="42" t="s">
        <v>595</v>
      </c>
      <c r="G126" s="42"/>
      <c r="H126" s="42"/>
      <c r="I126" s="33" t="e">
        <f>INDEX(Auxiliar!$D$5:$F$11,MATCH(Table1[[#This Row],[Tipologia_Testes]],Auxiliar!$B$5:$B$11,0),MATCH(Table1[[#This Row],[Complexidade]],Auxiliar!$D$4:$F$4,0))</f>
        <v>#N/A</v>
      </c>
      <c r="J126" s="3"/>
    </row>
    <row r="127" spans="1:10" ht="17.399999999999999" x14ac:dyDescent="0.45">
      <c r="B127" s="29" t="s">
        <v>84</v>
      </c>
      <c r="C127" s="3" t="s">
        <v>10</v>
      </c>
      <c r="D127" s="3" t="s">
        <v>19</v>
      </c>
      <c r="E127" s="3" t="s">
        <v>8</v>
      </c>
      <c r="F127" s="44" t="s">
        <v>603</v>
      </c>
      <c r="G127" s="44"/>
      <c r="H127" s="44"/>
      <c r="I127" s="33" t="e">
        <f>INDEX(Auxiliar!$D$5:$F$11,MATCH(Table1[[#This Row],[Tipologia_Testes]],Auxiliar!$B$5:$B$11,0),MATCH(Table1[[#This Row],[Complexidade]],Auxiliar!$D$4:$F$4,0))</f>
        <v>#N/A</v>
      </c>
      <c r="J127" s="3"/>
    </row>
    <row r="128" spans="1:10" ht="17.399999999999999" x14ac:dyDescent="0.45">
      <c r="B128" s="29" t="s">
        <v>84</v>
      </c>
      <c r="C128" s="3" t="s">
        <v>10</v>
      </c>
      <c r="D128" s="3" t="s">
        <v>19</v>
      </c>
      <c r="E128" s="3" t="s">
        <v>8</v>
      </c>
      <c r="F128" s="33" t="s">
        <v>604</v>
      </c>
      <c r="G128" s="33"/>
      <c r="H128" s="33"/>
      <c r="I128" s="33" t="e">
        <f>INDEX(Auxiliar!$D$5:$F$11,MATCH(Table1[[#This Row],[Tipologia_Testes]],Auxiliar!$B$5:$B$11,0),MATCH(Table1[[#This Row],[Complexidade]],Auxiliar!$D$4:$F$4,0))</f>
        <v>#N/A</v>
      </c>
      <c r="J128" s="3"/>
    </row>
    <row r="129" spans="1:10" ht="17.399999999999999" x14ac:dyDescent="0.45">
      <c r="B129" s="29" t="s">
        <v>84</v>
      </c>
      <c r="C129" s="6" t="s">
        <v>10</v>
      </c>
      <c r="D129" s="6" t="s">
        <v>18</v>
      </c>
      <c r="E129" s="4" t="s">
        <v>8</v>
      </c>
      <c r="F129" s="33" t="s">
        <v>594</v>
      </c>
      <c r="G129" s="33"/>
      <c r="H129" s="33"/>
      <c r="I129" s="33" t="e">
        <f>INDEX(Auxiliar!$D$5:$F$11,MATCH(Table1[[#This Row],[Tipologia_Testes]],Auxiliar!$B$5:$B$11,0),MATCH(Table1[[#This Row],[Complexidade]],Auxiliar!$D$4:$F$4,0))</f>
        <v>#N/A</v>
      </c>
      <c r="J129" s="3"/>
    </row>
    <row r="130" spans="1:10" ht="17.399999999999999" x14ac:dyDescent="0.45">
      <c r="A130" t="s">
        <v>90</v>
      </c>
      <c r="B130" s="29" t="s">
        <v>84</v>
      </c>
      <c r="C130" s="3" t="s">
        <v>10</v>
      </c>
      <c r="D130" s="3" t="s">
        <v>18</v>
      </c>
      <c r="E130" s="3" t="s">
        <v>8</v>
      </c>
      <c r="F130" s="33" t="s">
        <v>600</v>
      </c>
      <c r="G130" s="33"/>
      <c r="H130" s="33"/>
      <c r="I130" s="33" t="e">
        <f>INDEX(Auxiliar!$D$5:$F$11,MATCH(Table1[[#This Row],[Tipologia_Testes]],Auxiliar!$B$5:$B$11,0),MATCH(Table1[[#This Row],[Complexidade]],Auxiliar!$D$4:$F$4,0))</f>
        <v>#N/A</v>
      </c>
      <c r="J130" s="3"/>
    </row>
    <row r="131" spans="1:10" ht="17.399999999999999" x14ac:dyDescent="0.45">
      <c r="B131" s="29" t="s">
        <v>84</v>
      </c>
      <c r="C131" s="3" t="s">
        <v>10</v>
      </c>
      <c r="D131" s="3" t="s">
        <v>18</v>
      </c>
      <c r="E131" s="3" t="s">
        <v>8</v>
      </c>
      <c r="F131" s="42" t="s">
        <v>595</v>
      </c>
      <c r="G131" s="42"/>
      <c r="H131" s="42"/>
      <c r="I131" s="33" t="e">
        <f>INDEX(Auxiliar!$D$5:$F$11,MATCH(Table1[[#This Row],[Tipologia_Testes]],Auxiliar!$B$5:$B$11,0),MATCH(Table1[[#This Row],[Complexidade]],Auxiliar!$D$4:$F$4,0))</f>
        <v>#N/A</v>
      </c>
      <c r="J131" s="3"/>
    </row>
    <row r="132" spans="1:10" ht="17.399999999999999" x14ac:dyDescent="0.45">
      <c r="B132" s="29" t="s">
        <v>84</v>
      </c>
      <c r="C132" s="3" t="s">
        <v>10</v>
      </c>
      <c r="D132" s="3" t="s">
        <v>18</v>
      </c>
      <c r="E132" s="3" t="s">
        <v>8</v>
      </c>
      <c r="F132" s="44" t="s">
        <v>603</v>
      </c>
      <c r="G132" s="44"/>
      <c r="H132" s="44"/>
      <c r="I132" s="33" t="e">
        <f>INDEX(Auxiliar!$D$5:$F$11,MATCH(Table1[[#This Row],[Tipologia_Testes]],Auxiliar!$B$5:$B$11,0),MATCH(Table1[[#This Row],[Complexidade]],Auxiliar!$D$4:$F$4,0))</f>
        <v>#N/A</v>
      </c>
      <c r="J132" s="3"/>
    </row>
    <row r="133" spans="1:10" ht="17.399999999999999" x14ac:dyDescent="0.45">
      <c r="B133" s="29" t="s">
        <v>84</v>
      </c>
      <c r="C133" s="3" t="s">
        <v>10</v>
      </c>
      <c r="D133" s="3" t="s">
        <v>18</v>
      </c>
      <c r="E133" s="3" t="s">
        <v>8</v>
      </c>
      <c r="F133" s="33" t="s">
        <v>604</v>
      </c>
      <c r="G133" s="33"/>
      <c r="H133" s="33"/>
      <c r="I133" s="33" t="e">
        <f>INDEX(Auxiliar!$D$5:$F$11,MATCH(Table1[[#This Row],[Tipologia_Testes]],Auxiliar!$B$5:$B$11,0),MATCH(Table1[[#This Row],[Complexidade]],Auxiliar!$D$4:$F$4,0))</f>
        <v>#N/A</v>
      </c>
      <c r="J133" s="3"/>
    </row>
    <row r="134" spans="1:10" ht="17.399999999999999" x14ac:dyDescent="0.45">
      <c r="B134" s="29" t="s">
        <v>84</v>
      </c>
      <c r="C134" s="6" t="s">
        <v>10</v>
      </c>
      <c r="D134" s="6" t="s">
        <v>95</v>
      </c>
      <c r="E134" s="4" t="s">
        <v>8</v>
      </c>
      <c r="F134" s="33" t="s">
        <v>594</v>
      </c>
      <c r="G134" s="33"/>
      <c r="H134" s="33"/>
      <c r="I134" s="33" t="e">
        <f>INDEX(Auxiliar!$D$5:$F$11,MATCH(Table1[[#This Row],[Tipologia_Testes]],Auxiliar!$B$5:$B$11,0),MATCH(Table1[[#This Row],[Complexidade]],Auxiliar!$D$4:$F$4,0))</f>
        <v>#N/A</v>
      </c>
      <c r="J134" s="3"/>
    </row>
    <row r="135" spans="1:10" ht="17.399999999999999" x14ac:dyDescent="0.45">
      <c r="B135" s="29" t="s">
        <v>84</v>
      </c>
      <c r="C135" s="3" t="s">
        <v>10</v>
      </c>
      <c r="D135" s="3" t="s">
        <v>95</v>
      </c>
      <c r="E135" s="3" t="s">
        <v>8</v>
      </c>
      <c r="F135" s="33" t="s">
        <v>600</v>
      </c>
      <c r="G135" s="33"/>
      <c r="H135" s="33"/>
      <c r="I135" s="33" t="e">
        <f>INDEX(Auxiliar!$D$5:$F$11,MATCH(Table1[[#This Row],[Tipologia_Testes]],Auxiliar!$B$5:$B$11,0),MATCH(Table1[[#This Row],[Complexidade]],Auxiliar!$D$4:$F$4,0))</f>
        <v>#N/A</v>
      </c>
      <c r="J135" s="3"/>
    </row>
    <row r="136" spans="1:10" ht="17.399999999999999" x14ac:dyDescent="0.45">
      <c r="B136" s="29" t="s">
        <v>84</v>
      </c>
      <c r="C136" s="3" t="s">
        <v>10</v>
      </c>
      <c r="D136" s="3" t="s">
        <v>95</v>
      </c>
      <c r="E136" s="3" t="s">
        <v>8</v>
      </c>
      <c r="F136" s="42" t="s">
        <v>595</v>
      </c>
      <c r="G136" s="42"/>
      <c r="H136" s="42"/>
      <c r="I136" s="33" t="e">
        <f>INDEX(Auxiliar!$D$5:$F$11,MATCH(Table1[[#This Row],[Tipologia_Testes]],Auxiliar!$B$5:$B$11,0),MATCH(Table1[[#This Row],[Complexidade]],Auxiliar!$D$4:$F$4,0))</f>
        <v>#N/A</v>
      </c>
      <c r="J136" s="3"/>
    </row>
    <row r="137" spans="1:10" ht="17.399999999999999" x14ac:dyDescent="0.45">
      <c r="B137" s="29" t="s">
        <v>84</v>
      </c>
      <c r="C137" s="3" t="s">
        <v>10</v>
      </c>
      <c r="D137" s="3" t="s">
        <v>95</v>
      </c>
      <c r="E137" s="3" t="s">
        <v>8</v>
      </c>
      <c r="F137" s="44" t="s">
        <v>603</v>
      </c>
      <c r="G137" s="44"/>
      <c r="H137" s="44"/>
      <c r="I137" s="33" t="e">
        <f>INDEX(Auxiliar!$D$5:$F$11,MATCH(Table1[[#This Row],[Tipologia_Testes]],Auxiliar!$B$5:$B$11,0),MATCH(Table1[[#This Row],[Complexidade]],Auxiliar!$D$4:$F$4,0))</f>
        <v>#N/A</v>
      </c>
      <c r="J137" s="3"/>
    </row>
    <row r="138" spans="1:10" ht="17.399999999999999" x14ac:dyDescent="0.45">
      <c r="B138" s="29" t="s">
        <v>84</v>
      </c>
      <c r="C138" s="3" t="s">
        <v>10</v>
      </c>
      <c r="D138" s="3" t="s">
        <v>95</v>
      </c>
      <c r="E138" s="3" t="s">
        <v>8</v>
      </c>
      <c r="F138" s="33" t="s">
        <v>604</v>
      </c>
      <c r="G138" s="33"/>
      <c r="H138" s="33"/>
      <c r="I138" s="33" t="e">
        <f>INDEX(Auxiliar!$D$5:$F$11,MATCH(Table1[[#This Row],[Tipologia_Testes]],Auxiliar!$B$5:$B$11,0),MATCH(Table1[[#This Row],[Complexidade]],Auxiliar!$D$4:$F$4,0))</f>
        <v>#N/A</v>
      </c>
      <c r="J138" s="3"/>
    </row>
    <row r="139" spans="1:10" ht="17.399999999999999" x14ac:dyDescent="0.45">
      <c r="B139" s="29" t="s">
        <v>84</v>
      </c>
      <c r="C139" s="3" t="s">
        <v>10</v>
      </c>
      <c r="D139" s="3" t="s">
        <v>16</v>
      </c>
      <c r="E139" s="4" t="s">
        <v>8</v>
      </c>
      <c r="F139" s="33" t="s">
        <v>594</v>
      </c>
      <c r="G139" s="33"/>
      <c r="H139" s="33"/>
      <c r="I139" s="33" t="e">
        <f>INDEX(Auxiliar!$D$5:$F$11,MATCH(Table1[[#This Row],[Tipologia_Testes]],Auxiliar!$B$5:$B$11,0),MATCH(Table1[[#This Row],[Complexidade]],Auxiliar!$D$4:$F$4,0))</f>
        <v>#N/A</v>
      </c>
      <c r="J139" s="3"/>
    </row>
    <row r="140" spans="1:10" ht="17.399999999999999" x14ac:dyDescent="0.45">
      <c r="B140" s="29" t="s">
        <v>84</v>
      </c>
      <c r="C140" s="3" t="s">
        <v>10</v>
      </c>
      <c r="D140" s="3" t="s">
        <v>16</v>
      </c>
      <c r="E140" s="3" t="s">
        <v>8</v>
      </c>
      <c r="F140" s="33" t="s">
        <v>600</v>
      </c>
      <c r="G140" s="33"/>
      <c r="H140" s="33"/>
      <c r="I140" s="33" t="e">
        <f>INDEX(Auxiliar!$D$5:$F$11,MATCH(Table1[[#This Row],[Tipologia_Testes]],Auxiliar!$B$5:$B$11,0),MATCH(Table1[[#This Row],[Complexidade]],Auxiliar!$D$4:$F$4,0))</f>
        <v>#N/A</v>
      </c>
      <c r="J140" s="3"/>
    </row>
    <row r="141" spans="1:10" ht="17.399999999999999" x14ac:dyDescent="0.45">
      <c r="B141" s="29" t="s">
        <v>84</v>
      </c>
      <c r="C141" s="3" t="s">
        <v>10</v>
      </c>
      <c r="D141" s="3" t="s">
        <v>16</v>
      </c>
      <c r="E141" s="3" t="s">
        <v>8</v>
      </c>
      <c r="F141" s="42" t="s">
        <v>595</v>
      </c>
      <c r="G141" s="42"/>
      <c r="H141" s="42"/>
      <c r="I141" s="33" t="e">
        <f>INDEX(Auxiliar!$D$5:$F$11,MATCH(Table1[[#This Row],[Tipologia_Testes]],Auxiliar!$B$5:$B$11,0),MATCH(Table1[[#This Row],[Complexidade]],Auxiliar!$D$4:$F$4,0))</f>
        <v>#N/A</v>
      </c>
      <c r="J141" s="3"/>
    </row>
    <row r="142" spans="1:10" ht="17.399999999999999" x14ac:dyDescent="0.45">
      <c r="B142" s="29" t="s">
        <v>84</v>
      </c>
      <c r="C142" s="3" t="s">
        <v>10</v>
      </c>
      <c r="D142" s="3" t="s">
        <v>16</v>
      </c>
      <c r="E142" s="3" t="s">
        <v>8</v>
      </c>
      <c r="F142" s="44" t="s">
        <v>603</v>
      </c>
      <c r="G142" s="44"/>
      <c r="H142" s="44"/>
      <c r="I142" s="33" t="e">
        <f>INDEX(Auxiliar!$D$5:$F$11,MATCH(Table1[[#This Row],[Tipologia_Testes]],Auxiliar!$B$5:$B$11,0),MATCH(Table1[[#This Row],[Complexidade]],Auxiliar!$D$4:$F$4,0))</f>
        <v>#N/A</v>
      </c>
      <c r="J142" s="3"/>
    </row>
    <row r="143" spans="1:10" ht="17.399999999999999" x14ac:dyDescent="0.45">
      <c r="B143" s="29" t="s">
        <v>84</v>
      </c>
      <c r="C143" s="3" t="s">
        <v>10</v>
      </c>
      <c r="D143" s="3" t="s">
        <v>16</v>
      </c>
      <c r="E143" s="3" t="s">
        <v>8</v>
      </c>
      <c r="F143" s="33" t="s">
        <v>604</v>
      </c>
      <c r="G143" s="33"/>
      <c r="H143" s="33"/>
      <c r="I143" s="33" t="e">
        <f>INDEX(Auxiliar!$D$5:$F$11,MATCH(Table1[[#This Row],[Tipologia_Testes]],Auxiliar!$B$5:$B$11,0),MATCH(Table1[[#This Row],[Complexidade]],Auxiliar!$D$4:$F$4,0))</f>
        <v>#N/A</v>
      </c>
      <c r="J143" s="3"/>
    </row>
    <row r="144" spans="1:10" ht="17.399999999999999" x14ac:dyDescent="0.45">
      <c r="B144" s="29" t="s">
        <v>84</v>
      </c>
      <c r="C144" s="3" t="s">
        <v>10</v>
      </c>
      <c r="D144" s="5" t="s">
        <v>15</v>
      </c>
      <c r="E144" s="4" t="s">
        <v>8</v>
      </c>
      <c r="F144" s="33" t="s">
        <v>594</v>
      </c>
      <c r="G144" s="33"/>
      <c r="H144" s="33"/>
      <c r="I144" s="33" t="e">
        <f>INDEX(Auxiliar!$D$5:$F$11,MATCH(Table1[[#This Row],[Tipologia_Testes]],Auxiliar!$B$5:$B$11,0),MATCH(Table1[[#This Row],[Complexidade]],Auxiliar!$D$4:$F$4,0))</f>
        <v>#N/A</v>
      </c>
      <c r="J144" s="3"/>
    </row>
    <row r="145" spans="2:10" ht="17.399999999999999" x14ac:dyDescent="0.45">
      <c r="B145" s="29" t="s">
        <v>84</v>
      </c>
      <c r="C145" s="3" t="s">
        <v>10</v>
      </c>
      <c r="D145" s="3" t="s">
        <v>15</v>
      </c>
      <c r="E145" s="3" t="s">
        <v>8</v>
      </c>
      <c r="F145" s="33" t="s">
        <v>600</v>
      </c>
      <c r="G145" s="33"/>
      <c r="H145" s="33"/>
      <c r="I145" s="33" t="e">
        <f>INDEX(Auxiliar!$D$5:$F$11,MATCH(Table1[[#This Row],[Tipologia_Testes]],Auxiliar!$B$5:$B$11,0),MATCH(Table1[[#This Row],[Complexidade]],Auxiliar!$D$4:$F$4,0))</f>
        <v>#N/A</v>
      </c>
      <c r="J145" s="3"/>
    </row>
    <row r="146" spans="2:10" ht="17.399999999999999" x14ac:dyDescent="0.45">
      <c r="B146" s="29" t="s">
        <v>84</v>
      </c>
      <c r="C146" s="3" t="s">
        <v>10</v>
      </c>
      <c r="D146" s="3" t="s">
        <v>15</v>
      </c>
      <c r="E146" s="3" t="s">
        <v>8</v>
      </c>
      <c r="F146" s="42" t="s">
        <v>595</v>
      </c>
      <c r="G146" s="42"/>
      <c r="H146" s="42"/>
      <c r="I146" s="33" t="e">
        <f>INDEX(Auxiliar!$D$5:$F$11,MATCH(Table1[[#This Row],[Tipologia_Testes]],Auxiliar!$B$5:$B$11,0),MATCH(Table1[[#This Row],[Complexidade]],Auxiliar!$D$4:$F$4,0))</f>
        <v>#N/A</v>
      </c>
      <c r="J146" s="3"/>
    </row>
    <row r="147" spans="2:10" ht="17.399999999999999" x14ac:dyDescent="0.45">
      <c r="B147" s="29" t="s">
        <v>84</v>
      </c>
      <c r="C147" s="3" t="s">
        <v>10</v>
      </c>
      <c r="D147" s="3" t="s">
        <v>15</v>
      </c>
      <c r="E147" s="3" t="s">
        <v>8</v>
      </c>
      <c r="F147" s="44" t="s">
        <v>603</v>
      </c>
      <c r="G147" s="44"/>
      <c r="H147" s="44"/>
      <c r="I147" s="33" t="e">
        <f>INDEX(Auxiliar!$D$5:$F$11,MATCH(Table1[[#This Row],[Tipologia_Testes]],Auxiliar!$B$5:$B$11,0),MATCH(Table1[[#This Row],[Complexidade]],Auxiliar!$D$4:$F$4,0))</f>
        <v>#N/A</v>
      </c>
      <c r="J147" s="3"/>
    </row>
    <row r="148" spans="2:10" ht="17.399999999999999" x14ac:dyDescent="0.45">
      <c r="B148" s="29" t="s">
        <v>84</v>
      </c>
      <c r="C148" s="3" t="s">
        <v>10</v>
      </c>
      <c r="D148" s="3" t="s">
        <v>15</v>
      </c>
      <c r="E148" s="3" t="s">
        <v>8</v>
      </c>
      <c r="F148" s="33" t="s">
        <v>604</v>
      </c>
      <c r="G148" s="33"/>
      <c r="H148" s="33"/>
      <c r="I148" s="33" t="e">
        <f>INDEX(Auxiliar!$D$5:$F$11,MATCH(Table1[[#This Row],[Tipologia_Testes]],Auxiliar!$B$5:$B$11,0),MATCH(Table1[[#This Row],[Complexidade]],Auxiliar!$D$4:$F$4,0))</f>
        <v>#N/A</v>
      </c>
      <c r="J148" s="3"/>
    </row>
    <row r="149" spans="2:10" ht="17.399999999999999" x14ac:dyDescent="0.45">
      <c r="B149" s="29" t="s">
        <v>84</v>
      </c>
      <c r="C149" s="3" t="s">
        <v>10</v>
      </c>
      <c r="D149" s="3" t="s">
        <v>96</v>
      </c>
      <c r="E149" s="4" t="s">
        <v>8</v>
      </c>
      <c r="F149" s="33" t="s">
        <v>594</v>
      </c>
      <c r="G149" s="33"/>
      <c r="H149" s="33"/>
      <c r="I149" s="33" t="e">
        <f>INDEX(Auxiliar!$D$5:$F$11,MATCH(Table1[[#This Row],[Tipologia_Testes]],Auxiliar!$B$5:$B$11,0),MATCH(Table1[[#This Row],[Complexidade]],Auxiliar!$D$4:$F$4,0))</f>
        <v>#N/A</v>
      </c>
      <c r="J149" s="3"/>
    </row>
    <row r="150" spans="2:10" ht="17.399999999999999" x14ac:dyDescent="0.45">
      <c r="B150" s="29" t="s">
        <v>84</v>
      </c>
      <c r="C150" s="3" t="s">
        <v>10</v>
      </c>
      <c r="D150" s="3" t="s">
        <v>96</v>
      </c>
      <c r="E150" s="3" t="s">
        <v>8</v>
      </c>
      <c r="F150" s="33" t="s">
        <v>600</v>
      </c>
      <c r="G150" s="33"/>
      <c r="H150" s="33"/>
      <c r="I150" s="33" t="e">
        <f>INDEX(Auxiliar!$D$5:$F$11,MATCH(Table1[[#This Row],[Tipologia_Testes]],Auxiliar!$B$5:$B$11,0),MATCH(Table1[[#This Row],[Complexidade]],Auxiliar!$D$4:$F$4,0))</f>
        <v>#N/A</v>
      </c>
      <c r="J150" s="3"/>
    </row>
    <row r="151" spans="2:10" ht="17.399999999999999" x14ac:dyDescent="0.45">
      <c r="B151" s="29" t="s">
        <v>84</v>
      </c>
      <c r="C151" s="3" t="s">
        <v>10</v>
      </c>
      <c r="D151" s="3" t="s">
        <v>96</v>
      </c>
      <c r="E151" s="3" t="s">
        <v>8</v>
      </c>
      <c r="F151" s="42" t="s">
        <v>595</v>
      </c>
      <c r="G151" s="42"/>
      <c r="H151" s="42"/>
      <c r="I151" s="33" t="e">
        <f>INDEX(Auxiliar!$D$5:$F$11,MATCH(Table1[[#This Row],[Tipologia_Testes]],Auxiliar!$B$5:$B$11,0),MATCH(Table1[[#This Row],[Complexidade]],Auxiliar!$D$4:$F$4,0))</f>
        <v>#N/A</v>
      </c>
      <c r="J151" s="3"/>
    </row>
    <row r="152" spans="2:10" ht="17.399999999999999" x14ac:dyDescent="0.45">
      <c r="B152" s="29" t="s">
        <v>84</v>
      </c>
      <c r="C152" s="3" t="s">
        <v>10</v>
      </c>
      <c r="D152" s="3" t="s">
        <v>96</v>
      </c>
      <c r="E152" s="3" t="s">
        <v>8</v>
      </c>
      <c r="F152" s="44" t="s">
        <v>603</v>
      </c>
      <c r="G152" s="44"/>
      <c r="H152" s="44"/>
      <c r="I152" s="33" t="e">
        <f>INDEX(Auxiliar!$D$5:$F$11,MATCH(Table1[[#This Row],[Tipologia_Testes]],Auxiliar!$B$5:$B$11,0),MATCH(Table1[[#This Row],[Complexidade]],Auxiliar!$D$4:$F$4,0))</f>
        <v>#N/A</v>
      </c>
      <c r="J152" s="3"/>
    </row>
    <row r="153" spans="2:10" ht="17.399999999999999" x14ac:dyDescent="0.45">
      <c r="B153" s="29" t="s">
        <v>84</v>
      </c>
      <c r="C153" s="3" t="s">
        <v>10</v>
      </c>
      <c r="D153" s="3" t="s">
        <v>96</v>
      </c>
      <c r="E153" s="3" t="s">
        <v>8</v>
      </c>
      <c r="F153" s="33" t="s">
        <v>604</v>
      </c>
      <c r="G153" s="33"/>
      <c r="H153" s="33"/>
      <c r="I153" s="33" t="e">
        <f>INDEX(Auxiliar!$D$5:$F$11,MATCH(Table1[[#This Row],[Tipologia_Testes]],Auxiliar!$B$5:$B$11,0),MATCH(Table1[[#This Row],[Complexidade]],Auxiliar!$D$4:$F$4,0))</f>
        <v>#N/A</v>
      </c>
      <c r="J153" s="3"/>
    </row>
    <row r="154" spans="2:10" ht="17.399999999999999" x14ac:dyDescent="0.45">
      <c r="B154" s="29" t="s">
        <v>84</v>
      </c>
      <c r="C154" s="3" t="s">
        <v>10</v>
      </c>
      <c r="D154" s="3" t="s">
        <v>13</v>
      </c>
      <c r="E154" s="4" t="s">
        <v>8</v>
      </c>
      <c r="F154" s="33" t="s">
        <v>594</v>
      </c>
      <c r="G154" s="33"/>
      <c r="H154" s="33"/>
      <c r="I154" s="33" t="e">
        <f>INDEX(Auxiliar!$D$5:$F$11,MATCH(Table1[[#This Row],[Tipologia_Testes]],Auxiliar!$B$5:$B$11,0),MATCH(Table1[[#This Row],[Complexidade]],Auxiliar!$D$4:$F$4,0))</f>
        <v>#N/A</v>
      </c>
      <c r="J154" s="3"/>
    </row>
    <row r="155" spans="2:10" ht="17.399999999999999" x14ac:dyDescent="0.45">
      <c r="B155" s="29" t="s">
        <v>84</v>
      </c>
      <c r="C155" s="3" t="s">
        <v>10</v>
      </c>
      <c r="D155" s="3" t="s">
        <v>13</v>
      </c>
      <c r="E155" s="3" t="s">
        <v>8</v>
      </c>
      <c r="F155" s="33" t="s">
        <v>600</v>
      </c>
      <c r="G155" s="33"/>
      <c r="H155" s="33"/>
      <c r="I155" s="33" t="e">
        <f>INDEX(Auxiliar!$D$5:$F$11,MATCH(Table1[[#This Row],[Tipologia_Testes]],Auxiliar!$B$5:$B$11,0),MATCH(Table1[[#This Row],[Complexidade]],Auxiliar!$D$4:$F$4,0))</f>
        <v>#N/A</v>
      </c>
      <c r="J155" s="3"/>
    </row>
    <row r="156" spans="2:10" ht="17.399999999999999" x14ac:dyDescent="0.45">
      <c r="B156" s="29" t="s">
        <v>84</v>
      </c>
      <c r="C156" s="3" t="s">
        <v>10</v>
      </c>
      <c r="D156" s="3" t="s">
        <v>13</v>
      </c>
      <c r="E156" s="3" t="s">
        <v>8</v>
      </c>
      <c r="F156" s="42" t="s">
        <v>595</v>
      </c>
      <c r="G156" s="42"/>
      <c r="H156" s="42"/>
      <c r="I156" s="33" t="e">
        <f>INDEX(Auxiliar!$D$5:$F$11,MATCH(Table1[[#This Row],[Tipologia_Testes]],Auxiliar!$B$5:$B$11,0),MATCH(Table1[[#This Row],[Complexidade]],Auxiliar!$D$4:$F$4,0))</f>
        <v>#N/A</v>
      </c>
      <c r="J156" s="3"/>
    </row>
    <row r="157" spans="2:10" ht="17.399999999999999" x14ac:dyDescent="0.45">
      <c r="B157" s="29" t="s">
        <v>84</v>
      </c>
      <c r="C157" s="3" t="s">
        <v>10</v>
      </c>
      <c r="D157" s="3" t="s">
        <v>13</v>
      </c>
      <c r="E157" s="3" t="s">
        <v>8</v>
      </c>
      <c r="F157" s="44" t="s">
        <v>603</v>
      </c>
      <c r="G157" s="44"/>
      <c r="H157" s="44"/>
      <c r="I157" s="33" t="e">
        <f>INDEX(Auxiliar!$D$5:$F$11,MATCH(Table1[[#This Row],[Tipologia_Testes]],Auxiliar!$B$5:$B$11,0),MATCH(Table1[[#This Row],[Complexidade]],Auxiliar!$D$4:$F$4,0))</f>
        <v>#N/A</v>
      </c>
      <c r="J157" s="3"/>
    </row>
    <row r="158" spans="2:10" ht="17.399999999999999" x14ac:dyDescent="0.45">
      <c r="B158" s="29" t="s">
        <v>84</v>
      </c>
      <c r="C158" s="3" t="s">
        <v>10</v>
      </c>
      <c r="D158" s="3" t="s">
        <v>13</v>
      </c>
      <c r="E158" s="3" t="s">
        <v>8</v>
      </c>
      <c r="F158" s="33" t="s">
        <v>604</v>
      </c>
      <c r="G158" s="33"/>
      <c r="H158" s="33"/>
      <c r="I158" s="33" t="e">
        <f>INDEX(Auxiliar!$D$5:$F$11,MATCH(Table1[[#This Row],[Tipologia_Testes]],Auxiliar!$B$5:$B$11,0),MATCH(Table1[[#This Row],[Complexidade]],Auxiliar!$D$4:$F$4,0))</f>
        <v>#N/A</v>
      </c>
      <c r="J158" s="3"/>
    </row>
    <row r="159" spans="2:10" ht="17.399999999999999" x14ac:dyDescent="0.45">
      <c r="B159" s="29" t="s">
        <v>84</v>
      </c>
      <c r="C159" s="3" t="s">
        <v>10</v>
      </c>
      <c r="D159" s="3" t="s">
        <v>91</v>
      </c>
      <c r="E159" s="4" t="s">
        <v>8</v>
      </c>
      <c r="F159" s="33" t="s">
        <v>594</v>
      </c>
      <c r="G159" s="33"/>
      <c r="H159" s="33"/>
      <c r="I159" s="33" t="e">
        <f>INDEX(Auxiliar!$D$5:$F$11,MATCH(Table1[[#This Row],[Tipologia_Testes]],Auxiliar!$B$5:$B$11,0),MATCH(Table1[[#This Row],[Complexidade]],Auxiliar!$D$4:$F$4,0))</f>
        <v>#N/A</v>
      </c>
      <c r="J159" s="3"/>
    </row>
    <row r="160" spans="2:10" ht="17.399999999999999" x14ac:dyDescent="0.45">
      <c r="B160" s="29" t="s">
        <v>84</v>
      </c>
      <c r="C160" s="3" t="s">
        <v>10</v>
      </c>
      <c r="D160" s="3" t="s">
        <v>91</v>
      </c>
      <c r="E160" s="3" t="s">
        <v>8</v>
      </c>
      <c r="F160" s="33" t="s">
        <v>600</v>
      </c>
      <c r="G160" s="33"/>
      <c r="H160" s="33"/>
      <c r="I160" s="33" t="e">
        <f>INDEX(Auxiliar!$D$5:$F$11,MATCH(Table1[[#This Row],[Tipologia_Testes]],Auxiliar!$B$5:$B$11,0),MATCH(Table1[[#This Row],[Complexidade]],Auxiliar!$D$4:$F$4,0))</f>
        <v>#N/A</v>
      </c>
      <c r="J160" s="3"/>
    </row>
    <row r="161" spans="2:10" ht="17.399999999999999" x14ac:dyDescent="0.45">
      <c r="B161" s="29" t="s">
        <v>84</v>
      </c>
      <c r="C161" s="3" t="s">
        <v>10</v>
      </c>
      <c r="D161" s="3" t="s">
        <v>91</v>
      </c>
      <c r="E161" s="3" t="s">
        <v>8</v>
      </c>
      <c r="F161" s="42" t="s">
        <v>595</v>
      </c>
      <c r="G161" s="42"/>
      <c r="H161" s="42"/>
      <c r="I161" s="33" t="e">
        <f>INDEX(Auxiliar!$D$5:$F$11,MATCH(Table1[[#This Row],[Tipologia_Testes]],Auxiliar!$B$5:$B$11,0),MATCH(Table1[[#This Row],[Complexidade]],Auxiliar!$D$4:$F$4,0))</f>
        <v>#N/A</v>
      </c>
      <c r="J161" s="3"/>
    </row>
    <row r="162" spans="2:10" ht="17.399999999999999" x14ac:dyDescent="0.45">
      <c r="B162" s="29" t="s">
        <v>84</v>
      </c>
      <c r="C162" s="3" t="s">
        <v>10</v>
      </c>
      <c r="D162" s="3" t="s">
        <v>91</v>
      </c>
      <c r="E162" s="3" t="s">
        <v>8</v>
      </c>
      <c r="F162" s="44" t="s">
        <v>603</v>
      </c>
      <c r="G162" s="44"/>
      <c r="H162" s="44"/>
      <c r="I162" s="33" t="e">
        <f>INDEX(Auxiliar!$D$5:$F$11,MATCH(Table1[[#This Row],[Tipologia_Testes]],Auxiliar!$B$5:$B$11,0),MATCH(Table1[[#This Row],[Complexidade]],Auxiliar!$D$4:$F$4,0))</f>
        <v>#N/A</v>
      </c>
      <c r="J162" s="3"/>
    </row>
    <row r="163" spans="2:10" ht="17.399999999999999" x14ac:dyDescent="0.45">
      <c r="B163" s="29" t="s">
        <v>84</v>
      </c>
      <c r="C163" s="3" t="s">
        <v>10</v>
      </c>
      <c r="D163" s="3" t="s">
        <v>91</v>
      </c>
      <c r="E163" s="3" t="s">
        <v>8</v>
      </c>
      <c r="F163" s="33" t="s">
        <v>604</v>
      </c>
      <c r="G163" s="33"/>
      <c r="H163" s="33"/>
      <c r="I163" s="33" t="e">
        <f>INDEX(Auxiliar!$D$5:$F$11,MATCH(Table1[[#This Row],[Tipologia_Testes]],Auxiliar!$B$5:$B$11,0),MATCH(Table1[[#This Row],[Complexidade]],Auxiliar!$D$4:$F$4,0))</f>
        <v>#N/A</v>
      </c>
      <c r="J163" s="3"/>
    </row>
    <row r="164" spans="2:10" ht="17.399999999999999" x14ac:dyDescent="0.45">
      <c r="B164" s="29" t="s">
        <v>84</v>
      </c>
      <c r="C164" s="3" t="s">
        <v>10</v>
      </c>
      <c r="D164" s="3" t="s">
        <v>11</v>
      </c>
      <c r="E164" s="4" t="s">
        <v>8</v>
      </c>
      <c r="F164" s="33" t="s">
        <v>594</v>
      </c>
      <c r="G164" s="33"/>
      <c r="H164" s="33"/>
      <c r="I164" s="33" t="e">
        <f>INDEX(Auxiliar!$D$5:$F$11,MATCH(Table1[[#This Row],[Tipologia_Testes]],Auxiliar!$B$5:$B$11,0),MATCH(Table1[[#This Row],[Complexidade]],Auxiliar!$D$4:$F$4,0))</f>
        <v>#N/A</v>
      </c>
      <c r="J164" s="3"/>
    </row>
    <row r="165" spans="2:10" ht="17.399999999999999" x14ac:dyDescent="0.45">
      <c r="B165" s="29" t="s">
        <v>84</v>
      </c>
      <c r="C165" s="3" t="s">
        <v>10</v>
      </c>
      <c r="D165" s="3" t="s">
        <v>11</v>
      </c>
      <c r="E165" s="3" t="s">
        <v>8</v>
      </c>
      <c r="F165" s="33" t="s">
        <v>600</v>
      </c>
      <c r="G165" s="33"/>
      <c r="H165" s="33"/>
      <c r="I165" s="33" t="e">
        <f>INDEX(Auxiliar!$D$5:$F$11,MATCH(Table1[[#This Row],[Tipologia_Testes]],Auxiliar!$B$5:$B$11,0),MATCH(Table1[[#This Row],[Complexidade]],Auxiliar!$D$4:$F$4,0))</f>
        <v>#N/A</v>
      </c>
      <c r="J165" s="3"/>
    </row>
    <row r="166" spans="2:10" ht="17.399999999999999" x14ac:dyDescent="0.45">
      <c r="B166" s="29" t="s">
        <v>84</v>
      </c>
      <c r="C166" s="3" t="s">
        <v>10</v>
      </c>
      <c r="D166" s="3" t="s">
        <v>11</v>
      </c>
      <c r="E166" s="3" t="s">
        <v>8</v>
      </c>
      <c r="F166" s="42" t="s">
        <v>595</v>
      </c>
      <c r="G166" s="42"/>
      <c r="H166" s="42"/>
      <c r="I166" s="33" t="e">
        <f>INDEX(Auxiliar!$D$5:$F$11,MATCH(Table1[[#This Row],[Tipologia_Testes]],Auxiliar!$B$5:$B$11,0),MATCH(Table1[[#This Row],[Complexidade]],Auxiliar!$D$4:$F$4,0))</f>
        <v>#N/A</v>
      </c>
      <c r="J166" s="3"/>
    </row>
    <row r="167" spans="2:10" ht="17.399999999999999" x14ac:dyDescent="0.45">
      <c r="B167" s="29" t="s">
        <v>84</v>
      </c>
      <c r="C167" s="3" t="s">
        <v>10</v>
      </c>
      <c r="D167" s="3" t="s">
        <v>11</v>
      </c>
      <c r="E167" s="3" t="s">
        <v>8</v>
      </c>
      <c r="F167" s="44" t="s">
        <v>603</v>
      </c>
      <c r="G167" s="44"/>
      <c r="H167" s="44"/>
      <c r="I167" s="33" t="e">
        <f>INDEX(Auxiliar!$D$5:$F$11,MATCH(Table1[[#This Row],[Tipologia_Testes]],Auxiliar!$B$5:$B$11,0),MATCH(Table1[[#This Row],[Complexidade]],Auxiliar!$D$4:$F$4,0))</f>
        <v>#N/A</v>
      </c>
      <c r="J167" s="3"/>
    </row>
    <row r="168" spans="2:10" ht="17.399999999999999" x14ac:dyDescent="0.45">
      <c r="B168" s="29" t="s">
        <v>84</v>
      </c>
      <c r="C168" s="3" t="s">
        <v>10</v>
      </c>
      <c r="D168" s="3" t="s">
        <v>11</v>
      </c>
      <c r="E168" s="3" t="s">
        <v>8</v>
      </c>
      <c r="F168" s="33" t="s">
        <v>604</v>
      </c>
      <c r="G168" s="33"/>
      <c r="H168" s="33"/>
      <c r="I168" s="33" t="e">
        <f>INDEX(Auxiliar!$D$5:$F$11,MATCH(Table1[[#This Row],[Tipologia_Testes]],Auxiliar!$B$5:$B$11,0),MATCH(Table1[[#This Row],[Complexidade]],Auxiliar!$D$4:$F$4,0))</f>
        <v>#N/A</v>
      </c>
      <c r="J168" s="3"/>
    </row>
    <row r="169" spans="2:10" ht="17.399999999999999" x14ac:dyDescent="0.45">
      <c r="B169" s="29" t="s">
        <v>84</v>
      </c>
      <c r="C169" s="3" t="s">
        <v>10</v>
      </c>
      <c r="D169" s="3" t="s">
        <v>97</v>
      </c>
      <c r="E169" s="3" t="s">
        <v>8</v>
      </c>
      <c r="F169" s="33" t="s">
        <v>594</v>
      </c>
      <c r="G169" s="33"/>
      <c r="H169" s="33"/>
      <c r="I169" s="33" t="e">
        <f>INDEX(Auxiliar!$D$5:$F$11,MATCH(Table1[[#This Row],[Tipologia_Testes]],Auxiliar!$B$5:$B$11,0),MATCH(Table1[[#This Row],[Complexidade]],Auxiliar!$D$4:$F$4,0))</f>
        <v>#N/A</v>
      </c>
      <c r="J169" s="3"/>
    </row>
    <row r="170" spans="2:10" ht="17.399999999999999" x14ac:dyDescent="0.45">
      <c r="B170" s="29" t="s">
        <v>84</v>
      </c>
      <c r="C170" s="3" t="s">
        <v>10</v>
      </c>
      <c r="D170" s="3" t="s">
        <v>97</v>
      </c>
      <c r="E170" s="3" t="s">
        <v>8</v>
      </c>
      <c r="F170" s="33" t="s">
        <v>600</v>
      </c>
      <c r="G170" s="33"/>
      <c r="H170" s="33"/>
      <c r="I170" s="33" t="e">
        <f>INDEX(Auxiliar!$D$5:$F$11,MATCH(Table1[[#This Row],[Tipologia_Testes]],Auxiliar!$B$5:$B$11,0),MATCH(Table1[[#This Row],[Complexidade]],Auxiliar!$D$4:$F$4,0))</f>
        <v>#N/A</v>
      </c>
      <c r="J170" s="3"/>
    </row>
    <row r="171" spans="2:10" ht="17.399999999999999" x14ac:dyDescent="0.45">
      <c r="B171" s="29" t="s">
        <v>84</v>
      </c>
      <c r="C171" s="3" t="s">
        <v>10</v>
      </c>
      <c r="D171" s="3" t="s">
        <v>97</v>
      </c>
      <c r="E171" s="3" t="s">
        <v>8</v>
      </c>
      <c r="F171" s="42" t="s">
        <v>595</v>
      </c>
      <c r="G171" s="42"/>
      <c r="H171" s="42"/>
      <c r="I171" s="33" t="e">
        <f>INDEX(Auxiliar!$D$5:$F$11,MATCH(Table1[[#This Row],[Tipologia_Testes]],Auxiliar!$B$5:$B$11,0),MATCH(Table1[[#This Row],[Complexidade]],Auxiliar!$D$4:$F$4,0))</f>
        <v>#N/A</v>
      </c>
      <c r="J171" s="3"/>
    </row>
    <row r="172" spans="2:10" ht="17.399999999999999" x14ac:dyDescent="0.45">
      <c r="B172" s="29" t="s">
        <v>84</v>
      </c>
      <c r="C172" s="3" t="s">
        <v>10</v>
      </c>
      <c r="D172" s="3" t="s">
        <v>97</v>
      </c>
      <c r="E172" s="3" t="s">
        <v>8</v>
      </c>
      <c r="F172" s="44" t="s">
        <v>603</v>
      </c>
      <c r="G172" s="44"/>
      <c r="H172" s="44"/>
      <c r="I172" s="33" t="e">
        <f>INDEX(Auxiliar!$D$5:$F$11,MATCH(Table1[[#This Row],[Tipologia_Testes]],Auxiliar!$B$5:$B$11,0),MATCH(Table1[[#This Row],[Complexidade]],Auxiliar!$D$4:$F$4,0))</f>
        <v>#N/A</v>
      </c>
      <c r="J172" s="3"/>
    </row>
    <row r="173" spans="2:10" ht="17.399999999999999" x14ac:dyDescent="0.45">
      <c r="B173" s="29" t="s">
        <v>84</v>
      </c>
      <c r="C173" s="3" t="s">
        <v>10</v>
      </c>
      <c r="D173" s="3" t="s">
        <v>97</v>
      </c>
      <c r="E173" s="3" t="s">
        <v>8</v>
      </c>
      <c r="F173" s="33" t="s">
        <v>604</v>
      </c>
      <c r="G173" s="33"/>
      <c r="H173" s="33"/>
      <c r="I173" s="33" t="e">
        <f>INDEX(Auxiliar!$D$5:$F$11,MATCH(Table1[[#This Row],[Tipologia_Testes]],Auxiliar!$B$5:$B$11,0),MATCH(Table1[[#This Row],[Complexidade]],Auxiliar!$D$4:$F$4,0))</f>
        <v>#N/A</v>
      </c>
      <c r="J173" s="3"/>
    </row>
    <row r="174" spans="2:10" ht="17.399999999999999" x14ac:dyDescent="0.45">
      <c r="B174" s="29" t="s">
        <v>84</v>
      </c>
      <c r="C174" s="27" t="s">
        <v>10</v>
      </c>
      <c r="D174" s="3" t="s">
        <v>6</v>
      </c>
      <c r="E174" s="2" t="s">
        <v>83</v>
      </c>
      <c r="F174" s="33" t="s">
        <v>594</v>
      </c>
      <c r="G174" s="33"/>
      <c r="H174" s="33" t="s">
        <v>612</v>
      </c>
      <c r="I174" s="33">
        <f>INDEX(Auxiliar!$D$5:$F$11,MATCH(Table1[[#This Row],[Tipologia_Testes]],Auxiliar!$B$5:$B$11,0),MATCH(Table1[[#This Row],[Complexidade]],Auxiliar!$D$4:$F$4,0))</f>
        <v>8</v>
      </c>
      <c r="J174" s="3" t="s">
        <v>619</v>
      </c>
    </row>
    <row r="175" spans="2:10" ht="17.399999999999999" x14ac:dyDescent="0.45">
      <c r="B175" s="29" t="s">
        <v>84</v>
      </c>
      <c r="C175" s="27" t="s">
        <v>10</v>
      </c>
      <c r="D175" s="3" t="s">
        <v>6</v>
      </c>
      <c r="E175" s="3" t="s">
        <v>83</v>
      </c>
      <c r="F175" s="33" t="s">
        <v>600</v>
      </c>
      <c r="G175" s="33"/>
      <c r="H175" s="33" t="s">
        <v>612</v>
      </c>
      <c r="I175" s="33">
        <f>INDEX(Auxiliar!$D$5:$F$11,MATCH(Table1[[#This Row],[Tipologia_Testes]],Auxiliar!$B$5:$B$11,0),MATCH(Table1[[#This Row],[Complexidade]],Auxiliar!$D$4:$F$4,0))</f>
        <v>8</v>
      </c>
      <c r="J175" s="3" t="s">
        <v>619</v>
      </c>
    </row>
    <row r="176" spans="2:10" ht="17.399999999999999" x14ac:dyDescent="0.45">
      <c r="B176" s="29" t="s">
        <v>84</v>
      </c>
      <c r="C176" s="27" t="s">
        <v>10</v>
      </c>
      <c r="D176" s="3" t="s">
        <v>6</v>
      </c>
      <c r="E176" s="3" t="s">
        <v>83</v>
      </c>
      <c r="F176" s="42" t="s">
        <v>595</v>
      </c>
      <c r="G176" s="42"/>
      <c r="H176" s="33" t="s">
        <v>612</v>
      </c>
      <c r="I176" s="33">
        <f>INDEX(Auxiliar!$D$5:$F$11,MATCH(Table1[[#This Row],[Tipologia_Testes]],Auxiliar!$B$5:$B$11,0),MATCH(Table1[[#This Row],[Complexidade]],Auxiliar!$D$4:$F$4,0))</f>
        <v>8</v>
      </c>
      <c r="J176" s="3" t="s">
        <v>619</v>
      </c>
    </row>
    <row r="177" spans="2:10" ht="17.399999999999999" x14ac:dyDescent="0.45">
      <c r="B177" s="29" t="s">
        <v>84</v>
      </c>
      <c r="C177" s="27" t="s">
        <v>10</v>
      </c>
      <c r="D177" s="3" t="s">
        <v>6</v>
      </c>
      <c r="E177" s="3" t="s">
        <v>83</v>
      </c>
      <c r="F177" s="44" t="s">
        <v>603</v>
      </c>
      <c r="G177" s="44"/>
      <c r="H177" s="33" t="s">
        <v>612</v>
      </c>
      <c r="I177" s="33">
        <f>INDEX(Auxiliar!$D$5:$F$11,MATCH(Table1[[#This Row],[Tipologia_Testes]],Auxiliar!$B$5:$B$11,0),MATCH(Table1[[#This Row],[Complexidade]],Auxiliar!$D$4:$F$4,0))</f>
        <v>1</v>
      </c>
      <c r="J177" s="3" t="s">
        <v>619</v>
      </c>
    </row>
    <row r="178" spans="2:10" ht="17.399999999999999" x14ac:dyDescent="0.45">
      <c r="B178" s="29" t="s">
        <v>84</v>
      </c>
      <c r="C178" s="27" t="s">
        <v>10</v>
      </c>
      <c r="D178" s="3" t="s">
        <v>6</v>
      </c>
      <c r="E178" s="3" t="s">
        <v>83</v>
      </c>
      <c r="F178" s="33" t="s">
        <v>604</v>
      </c>
      <c r="G178" s="33"/>
      <c r="H178" s="33" t="s">
        <v>612</v>
      </c>
      <c r="I178" s="33">
        <f>INDEX(Auxiliar!$D$5:$F$11,MATCH(Table1[[#This Row],[Tipologia_Testes]],Auxiliar!$B$5:$B$11,0),MATCH(Table1[[#This Row],[Complexidade]],Auxiliar!$D$4:$F$4,0))</f>
        <v>8</v>
      </c>
      <c r="J178" s="3" t="s">
        <v>619</v>
      </c>
    </row>
    <row r="179" spans="2:10" ht="17.399999999999999" x14ac:dyDescent="0.45">
      <c r="B179" s="29" t="s">
        <v>84</v>
      </c>
      <c r="C179" s="3" t="s">
        <v>4</v>
      </c>
      <c r="D179" s="3" t="s">
        <v>3</v>
      </c>
      <c r="E179" s="2" t="s">
        <v>83</v>
      </c>
      <c r="F179" s="33" t="s">
        <v>594</v>
      </c>
      <c r="G179" s="33"/>
      <c r="H179" s="33"/>
      <c r="I179" s="33" t="e">
        <f>INDEX(Auxiliar!$D$5:$F$11,MATCH(Table1[[#This Row],[Tipologia_Testes]],Auxiliar!$B$5:$B$11,0),MATCH(Table1[[#This Row],[Complexidade]],Auxiliar!$D$4:$F$4,0))</f>
        <v>#N/A</v>
      </c>
      <c r="J179" s="3"/>
    </row>
    <row r="180" spans="2:10" ht="17.399999999999999" x14ac:dyDescent="0.45">
      <c r="B180" s="29" t="s">
        <v>84</v>
      </c>
      <c r="C180" s="3" t="s">
        <v>4</v>
      </c>
      <c r="D180" s="3" t="s">
        <v>3</v>
      </c>
      <c r="E180" s="3" t="s">
        <v>83</v>
      </c>
      <c r="F180" s="33" t="s">
        <v>600</v>
      </c>
      <c r="G180" s="33"/>
      <c r="H180" s="33"/>
      <c r="I180" s="33" t="e">
        <f>INDEX(Auxiliar!$D$5:$F$11,MATCH(Table1[[#This Row],[Tipologia_Testes]],Auxiliar!$B$5:$B$11,0),MATCH(Table1[[#This Row],[Complexidade]],Auxiliar!$D$4:$F$4,0))</f>
        <v>#N/A</v>
      </c>
      <c r="J180" s="3"/>
    </row>
    <row r="181" spans="2:10" ht="17.399999999999999" x14ac:dyDescent="0.45">
      <c r="B181" s="29" t="s">
        <v>84</v>
      </c>
      <c r="C181" s="3" t="s">
        <v>4</v>
      </c>
      <c r="D181" s="3" t="s">
        <v>3</v>
      </c>
      <c r="E181" s="3" t="s">
        <v>83</v>
      </c>
      <c r="F181" s="42" t="s">
        <v>595</v>
      </c>
      <c r="G181" s="42"/>
      <c r="H181" s="42"/>
      <c r="I181" s="33" t="e">
        <f>INDEX(Auxiliar!$D$5:$F$11,MATCH(Table1[[#This Row],[Tipologia_Testes]],Auxiliar!$B$5:$B$11,0),MATCH(Table1[[#This Row],[Complexidade]],Auxiliar!$D$4:$F$4,0))</f>
        <v>#N/A</v>
      </c>
      <c r="J181" s="3"/>
    </row>
    <row r="182" spans="2:10" ht="17.399999999999999" x14ac:dyDescent="0.45">
      <c r="B182" s="29" t="s">
        <v>84</v>
      </c>
      <c r="C182" s="3" t="s">
        <v>4</v>
      </c>
      <c r="D182" s="3" t="s">
        <v>3</v>
      </c>
      <c r="E182" s="3" t="s">
        <v>83</v>
      </c>
      <c r="F182" s="44" t="s">
        <v>603</v>
      </c>
      <c r="G182" s="46"/>
      <c r="H182" s="46"/>
      <c r="I182" s="33" t="e">
        <f>INDEX(Auxiliar!$D$5:$F$11,MATCH(Table1[[#This Row],[Tipologia_Testes]],Auxiliar!$B$5:$B$11,0),MATCH(Table1[[#This Row],[Complexidade]],Auxiliar!$D$4:$F$4,0))</f>
        <v>#N/A</v>
      </c>
      <c r="J182" s="37"/>
    </row>
    <row r="183" spans="2:10" ht="17.399999999999999" x14ac:dyDescent="0.45">
      <c r="B183" s="45" t="s">
        <v>84</v>
      </c>
      <c r="C183" s="37" t="s">
        <v>4</v>
      </c>
      <c r="D183" s="37" t="s">
        <v>3</v>
      </c>
      <c r="E183" s="37" t="s">
        <v>83</v>
      </c>
      <c r="F183" s="33" t="s">
        <v>604</v>
      </c>
      <c r="G183" s="47"/>
      <c r="H183" s="47"/>
      <c r="I183" s="33" t="e">
        <f>INDEX(Auxiliar!$D$5:$F$11,MATCH(Table1[[#This Row],[Tipologia_Testes]],Auxiliar!$B$5:$B$11,0),MATCH(Table1[[#This Row],[Complexidade]],Auxiliar!$D$4:$F$4,0))</f>
        <v>#N/A</v>
      </c>
      <c r="J183" s="37"/>
    </row>
    <row r="186" spans="2:10" x14ac:dyDescent="0.3">
      <c r="C186" t="s">
        <v>1</v>
      </c>
    </row>
    <row r="187" spans="2:10" x14ac:dyDescent="0.3">
      <c r="C187" t="s">
        <v>0</v>
      </c>
    </row>
    <row r="190" spans="2:10" x14ac:dyDescent="0.3">
      <c r="H190" t="s">
        <v>623</v>
      </c>
    </row>
    <row r="191" spans="2:10" x14ac:dyDescent="0.3">
      <c r="F191" s="48"/>
      <c r="G191" t="s">
        <v>625</v>
      </c>
      <c r="H191" t="s">
        <v>624</v>
      </c>
    </row>
    <row r="192" spans="2:10" x14ac:dyDescent="0.3">
      <c r="F192" s="48"/>
      <c r="G192" t="s">
        <v>622</v>
      </c>
    </row>
    <row r="193" spans="6:6" x14ac:dyDescent="0.3">
      <c r="F193" s="48"/>
    </row>
    <row r="194" spans="6:6" x14ac:dyDescent="0.3">
      <c r="F194" s="48"/>
    </row>
    <row r="195" spans="6:6" x14ac:dyDescent="0.3">
      <c r="F195" s="48"/>
    </row>
    <row r="196" spans="6:6" x14ac:dyDescent="0.3">
      <c r="F196" s="48"/>
    </row>
    <row r="197" spans="6:6" x14ac:dyDescent="0.3">
      <c r="F197" s="48"/>
    </row>
    <row r="198" spans="6:6" x14ac:dyDescent="0.3">
      <c r="F198" s="48"/>
    </row>
    <row r="199" spans="6:6" x14ac:dyDescent="0.3">
      <c r="F199" s="48"/>
    </row>
    <row r="200" spans="6:6" x14ac:dyDescent="0.3">
      <c r="F200" s="48"/>
    </row>
    <row r="201" spans="6:6" x14ac:dyDescent="0.3">
      <c r="F201" s="48"/>
    </row>
    <row r="202" spans="6:6" x14ac:dyDescent="0.3">
      <c r="F202" s="48"/>
    </row>
    <row r="203" spans="6:6" x14ac:dyDescent="0.3">
      <c r="F203" s="48"/>
    </row>
    <row r="204" spans="6:6" x14ac:dyDescent="0.3">
      <c r="F204" s="48"/>
    </row>
    <row r="205" spans="6:6" x14ac:dyDescent="0.3">
      <c r="F205" s="48"/>
    </row>
    <row r="206" spans="6:6" x14ac:dyDescent="0.3">
      <c r="F206" s="48"/>
    </row>
  </sheetData>
  <phoneticPr fontId="17" type="noConversion"/>
  <conditionalFormatting sqref="D19">
    <cfRule type="timePeriod" dxfId="17" priority="5" timePeriod="lastMonth">
      <formula>AND(MONTH(D19)=MONTH(EDATE(TODAY(),0-1)),YEAR(D19)=YEAR(EDATE(TODAY(),0-1)))</formula>
    </cfRule>
  </conditionalFormatting>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10" operator="equal" id="{D956FC21-BD50-4E9D-9A0C-B2ADBE132D03}">
            <xm:f>Auxiliar!$B$21</xm:f>
            <x14:dxf>
              <font>
                <b/>
                <i val="0"/>
                <color theme="0" tint="-0.499984740745262"/>
              </font>
              <fill>
                <patternFill>
                  <bgColor theme="0" tint="-4.9989318521683403E-2"/>
                </patternFill>
              </fill>
            </x14:dxf>
          </x14:cfRule>
          <x14:cfRule type="containsText" priority="11" operator="containsText" id="{E018DDE6-2DE1-4E98-8647-F612680FDA42}">
            <xm:f>NOT(ISERROR(SEARCH(Auxiliar!$B$20,E9)))</xm:f>
            <xm:f>Auxiliar!$B$20</xm:f>
            <x14:dxf>
              <font>
                <b/>
                <i val="0"/>
                <color rgb="FFC00000"/>
              </font>
              <fill>
                <patternFill>
                  <bgColor theme="5" tint="0.79998168889431442"/>
                </patternFill>
              </fill>
            </x14:dxf>
          </x14:cfRule>
          <x14:cfRule type="containsText" priority="12" operator="containsText" id="{D81ABD6C-F0E6-46F4-9059-A31C0BF4E21B}">
            <xm:f>NOT(ISERROR(SEARCH(Auxiliar!$B$19,E9)))</xm:f>
            <xm:f>Auxiliar!$B$19</xm:f>
            <x14:dxf>
              <font>
                <b/>
                <i val="0"/>
                <color theme="7" tint="-0.24994659260841701"/>
              </font>
              <fill>
                <patternFill>
                  <bgColor theme="7" tint="0.79998168889431442"/>
                </patternFill>
              </fill>
            </x14:dxf>
          </x14:cfRule>
          <x14:cfRule type="containsText" priority="13" operator="containsText" id="{CCF17A3E-F7C6-439E-BF4B-E6DE1CFA910A}">
            <xm:f>NOT(ISERROR(SEARCH(Auxiliar!$B$17,E9)))</xm:f>
            <xm:f>Auxiliar!$B$17</xm:f>
            <x14:dxf>
              <font>
                <b/>
                <i val="0"/>
                <color theme="9"/>
              </font>
              <fill>
                <patternFill>
                  <bgColor theme="9" tint="0.79998168889431442"/>
                </patternFill>
              </fill>
            </x14:dxf>
          </x14:cfRule>
          <xm:sqref>E9:E183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ED828585-7924-4521-8757-C0CDF29E1922}">
          <x14:formula1>
            <xm:f>Auxiliar!$B$5:$B$11</xm:f>
          </x14:formula1>
          <xm:sqref>F9:F183</xm:sqref>
        </x14:dataValidation>
        <x14:dataValidation type="list" allowBlank="1" showInputMessage="1" showErrorMessage="1" xr:uid="{B6377A15-234E-4698-B249-123AADC5B5FE}">
          <x14:formula1>
            <xm:f>Auxiliar!$B$17:$B$21</xm:f>
          </x14:formula1>
          <xm:sqref>E9:E183</xm:sqref>
        </x14:dataValidation>
        <x14:dataValidation type="list" allowBlank="1" showInputMessage="1" showErrorMessage="1" xr:uid="{CF327743-DA35-4AD0-B2C5-B19FD1D16671}">
          <x14:formula1>
            <xm:f>Auxiliar!$D$4:$F$4</xm:f>
          </x14:formula1>
          <xm:sqref>H9:H183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95A01-2115-418E-B9F1-6FC329CDBC84}">
  <sheetPr filterMode="1"/>
  <dimension ref="A1:K222"/>
  <sheetViews>
    <sheetView workbookViewId="0">
      <selection activeCell="C131" sqref="C131"/>
    </sheetView>
  </sheetViews>
  <sheetFormatPr defaultRowHeight="15.6" x14ac:dyDescent="0.3"/>
  <cols>
    <col min="1" max="1" width="40.5546875" style="34" bestFit="1" customWidth="1"/>
    <col min="2" max="4" width="8.88671875" style="34"/>
    <col min="5" max="5" width="43.6640625" style="34" bestFit="1" customWidth="1"/>
    <col min="6" max="16384" width="8.88671875" style="34"/>
  </cols>
  <sheetData>
    <row r="1" spans="1:11" x14ac:dyDescent="0.3">
      <c r="A1" s="35" t="s">
        <v>592</v>
      </c>
      <c r="B1" s="34" t="s">
        <v>98</v>
      </c>
      <c r="C1" s="34" t="s">
        <v>99</v>
      </c>
      <c r="D1" s="34" t="s">
        <v>100</v>
      </c>
      <c r="E1" s="34" t="s">
        <v>101</v>
      </c>
      <c r="F1" s="34" t="s">
        <v>102</v>
      </c>
      <c r="G1" s="34" t="s">
        <v>103</v>
      </c>
      <c r="H1" s="34" t="s">
        <v>104</v>
      </c>
      <c r="I1" s="34" t="s">
        <v>105</v>
      </c>
      <c r="J1" s="34" t="s">
        <v>106</v>
      </c>
      <c r="K1" s="34" t="s">
        <v>107</v>
      </c>
    </row>
    <row r="2" spans="1:11" hidden="1" x14ac:dyDescent="0.3">
      <c r="A2" s="36" t="str">
        <f>VLOOKUP(E2,Table1[[#All],[Campo]],1,0)</f>
        <v>COD_SOC</v>
      </c>
      <c r="B2" s="34" t="s">
        <v>108</v>
      </c>
      <c r="C2" s="34" t="s">
        <v>109</v>
      </c>
      <c r="D2" s="34" t="s">
        <v>110</v>
      </c>
      <c r="E2" s="34" t="s">
        <v>59</v>
      </c>
      <c r="F2" s="34" t="s">
        <v>111</v>
      </c>
      <c r="G2" s="34" t="s">
        <v>112</v>
      </c>
      <c r="H2" s="34" t="s">
        <v>113</v>
      </c>
      <c r="I2" s="34">
        <v>1096295</v>
      </c>
      <c r="J2" s="34">
        <v>0</v>
      </c>
      <c r="K2" s="34">
        <v>0</v>
      </c>
    </row>
    <row r="3" spans="1:11" hidden="1" x14ac:dyDescent="0.3">
      <c r="A3" s="36" t="str">
        <f>VLOOKUP(E3,Table1[[#All],[Campo]],1,0)</f>
        <v>DT_RFRNC</v>
      </c>
      <c r="B3" s="34" t="s">
        <v>116</v>
      </c>
      <c r="C3" s="34" t="s">
        <v>117</v>
      </c>
      <c r="D3" s="34" t="s">
        <v>110</v>
      </c>
      <c r="E3" s="34" t="s">
        <v>56</v>
      </c>
      <c r="F3" s="34" t="s">
        <v>118</v>
      </c>
      <c r="G3" s="34" t="s">
        <v>112</v>
      </c>
      <c r="H3" s="34" t="s">
        <v>113</v>
      </c>
      <c r="I3" s="34">
        <v>1096295</v>
      </c>
      <c r="J3" s="34">
        <v>0</v>
      </c>
      <c r="K3" s="34">
        <v>0</v>
      </c>
    </row>
    <row r="4" spans="1:11" hidden="1" x14ac:dyDescent="0.3">
      <c r="A4" s="36" t="str">
        <f>VLOOKUP(E4,Table1[[#All],[Campo]],1,0)</f>
        <v>COD_SOC</v>
      </c>
      <c r="B4" s="34" t="s">
        <v>120</v>
      </c>
      <c r="C4" s="34" t="s">
        <v>109</v>
      </c>
      <c r="D4" s="34" t="s">
        <v>121</v>
      </c>
      <c r="E4" s="34" t="s">
        <v>59</v>
      </c>
      <c r="F4" s="34" t="s">
        <v>111</v>
      </c>
      <c r="G4" s="34" t="s">
        <v>122</v>
      </c>
      <c r="H4" s="34" t="s">
        <v>113</v>
      </c>
      <c r="I4" s="34">
        <v>2490665</v>
      </c>
      <c r="J4" s="34">
        <v>0</v>
      </c>
      <c r="K4" s="34">
        <v>0</v>
      </c>
    </row>
    <row r="5" spans="1:11" hidden="1" x14ac:dyDescent="0.3">
      <c r="A5" s="36" t="str">
        <f>VLOOKUP(E5,Table1[[#All],[Campo]],1,0)</f>
        <v>DT_RFRNC</v>
      </c>
      <c r="B5" s="34" t="s">
        <v>123</v>
      </c>
      <c r="C5" s="34" t="s">
        <v>124</v>
      </c>
      <c r="D5" s="34" t="s">
        <v>121</v>
      </c>
      <c r="E5" s="34" t="s">
        <v>56</v>
      </c>
      <c r="F5" s="34" t="s">
        <v>118</v>
      </c>
      <c r="G5" s="34" t="s">
        <v>122</v>
      </c>
      <c r="H5" s="34" t="s">
        <v>113</v>
      </c>
      <c r="I5" s="34">
        <v>2490665</v>
      </c>
      <c r="J5" s="34">
        <v>0</v>
      </c>
      <c r="K5" s="34">
        <v>0</v>
      </c>
    </row>
    <row r="6" spans="1:11" hidden="1" x14ac:dyDescent="0.3">
      <c r="A6" s="36" t="str">
        <f>VLOOKUP(E6,Table1[[#All],[Campo]],1,0)</f>
        <v>INSTRMNT_ID</v>
      </c>
      <c r="B6" s="34" t="s">
        <v>125</v>
      </c>
      <c r="C6" s="34" t="s">
        <v>126</v>
      </c>
      <c r="D6" s="34" t="s">
        <v>121</v>
      </c>
      <c r="E6" s="34" t="s">
        <v>50</v>
      </c>
      <c r="F6" s="34" t="s">
        <v>111</v>
      </c>
      <c r="G6" s="34" t="s">
        <v>122</v>
      </c>
      <c r="H6" s="34" t="s">
        <v>113</v>
      </c>
      <c r="I6" s="34">
        <v>2490665</v>
      </c>
      <c r="J6" s="34">
        <v>0</v>
      </c>
      <c r="K6" s="34">
        <v>0</v>
      </c>
    </row>
    <row r="7" spans="1:11" hidden="1" x14ac:dyDescent="0.3">
      <c r="A7" s="36" t="str">
        <f>VLOOKUP(E7,Table1[[#All],[Campo]],1,0)</f>
        <v>COD_SOC</v>
      </c>
      <c r="B7" s="34" t="s">
        <v>127</v>
      </c>
      <c r="C7" s="34" t="s">
        <v>109</v>
      </c>
      <c r="D7" s="34" t="s">
        <v>128</v>
      </c>
      <c r="E7" s="34" t="s">
        <v>59</v>
      </c>
      <c r="F7" s="34" t="s">
        <v>111</v>
      </c>
      <c r="G7" s="34" t="s">
        <v>129</v>
      </c>
      <c r="H7" s="34" t="s">
        <v>113</v>
      </c>
      <c r="I7" s="34">
        <v>2002411</v>
      </c>
      <c r="J7" s="34">
        <v>0</v>
      </c>
      <c r="K7" s="34">
        <v>0</v>
      </c>
    </row>
    <row r="8" spans="1:11" hidden="1" x14ac:dyDescent="0.3">
      <c r="A8" s="36" t="str">
        <f>VLOOKUP(E8,Table1[[#All],[Campo]],1,0)</f>
        <v>DT_RFRNC</v>
      </c>
      <c r="B8" s="34" t="s">
        <v>130</v>
      </c>
      <c r="C8" s="34" t="s">
        <v>124</v>
      </c>
      <c r="D8" s="34" t="s">
        <v>128</v>
      </c>
      <c r="E8" s="34" t="s">
        <v>56</v>
      </c>
      <c r="F8" s="34" t="s">
        <v>118</v>
      </c>
      <c r="G8" s="34" t="s">
        <v>129</v>
      </c>
      <c r="H8" s="34" t="s">
        <v>113</v>
      </c>
      <c r="I8" s="34">
        <v>2002411</v>
      </c>
      <c r="J8" s="34">
        <v>0</v>
      </c>
      <c r="K8" s="34">
        <v>0</v>
      </c>
    </row>
    <row r="9" spans="1:11" hidden="1" x14ac:dyDescent="0.3">
      <c r="A9" s="36" t="str">
        <f>VLOOKUP(E9,Table1[[#All],[Campo]],1,0)</f>
        <v>INSTRMNT_ID</v>
      </c>
      <c r="B9" s="34" t="s">
        <v>131</v>
      </c>
      <c r="C9" s="34" t="s">
        <v>126</v>
      </c>
      <c r="D9" s="34" t="s">
        <v>128</v>
      </c>
      <c r="E9" s="34" t="s">
        <v>50</v>
      </c>
      <c r="F9" s="34" t="s">
        <v>111</v>
      </c>
      <c r="G9" s="34" t="s">
        <v>129</v>
      </c>
      <c r="H9" s="34" t="s">
        <v>113</v>
      </c>
      <c r="I9" s="34">
        <v>2002411</v>
      </c>
      <c r="J9" s="34">
        <v>0</v>
      </c>
      <c r="K9" s="34">
        <v>0</v>
      </c>
    </row>
    <row r="10" spans="1:11" x14ac:dyDescent="0.3">
      <c r="A10" s="36" t="str">
        <f>VLOOKUP(E10,Table1[[#All],[Campo]],1,0)</f>
        <v>DFLT_STTS_INSTRMNT</v>
      </c>
      <c r="B10" s="34" t="s">
        <v>133</v>
      </c>
      <c r="C10" s="34" t="s">
        <v>134</v>
      </c>
      <c r="D10" s="34" t="s">
        <v>132</v>
      </c>
      <c r="E10" s="34" t="s">
        <v>71</v>
      </c>
      <c r="F10" s="34" t="s">
        <v>135</v>
      </c>
      <c r="G10" s="34" t="s">
        <v>129</v>
      </c>
      <c r="H10" s="34" t="s">
        <v>115</v>
      </c>
      <c r="I10" s="34">
        <v>2002411</v>
      </c>
      <c r="J10" s="34">
        <v>96182</v>
      </c>
      <c r="K10" s="34">
        <v>4.8033000000000001</v>
      </c>
    </row>
    <row r="11" spans="1:11" hidden="1" x14ac:dyDescent="0.3">
      <c r="A11" s="36" t="str">
        <f>VLOOKUP(E11,Table1[[#All],[Campo]],1,0)</f>
        <v>PRFRMNG_STTS</v>
      </c>
      <c r="B11" s="34" t="s">
        <v>136</v>
      </c>
      <c r="C11" s="34" t="s">
        <v>137</v>
      </c>
      <c r="D11" s="34" t="s">
        <v>132</v>
      </c>
      <c r="E11" s="34" t="s">
        <v>47</v>
      </c>
      <c r="F11" s="34" t="s">
        <v>135</v>
      </c>
      <c r="G11" s="34" t="s">
        <v>129</v>
      </c>
      <c r="H11" s="34" t="s">
        <v>113</v>
      </c>
      <c r="I11" s="34">
        <v>2002411</v>
      </c>
      <c r="J11" s="34">
        <v>0</v>
      </c>
      <c r="K11" s="34">
        <v>0</v>
      </c>
    </row>
    <row r="12" spans="1:11" hidden="1" x14ac:dyDescent="0.3">
      <c r="A12" s="36" t="str">
        <f>VLOOKUP(E12,Table1[[#All],[Campo]],1,0)</f>
        <v>LCL_INSTMRNT_ID</v>
      </c>
      <c r="B12" s="34" t="s">
        <v>138</v>
      </c>
      <c r="C12" s="34" t="s">
        <v>139</v>
      </c>
      <c r="D12" s="34" t="s">
        <v>128</v>
      </c>
      <c r="E12" s="34" t="s">
        <v>49</v>
      </c>
      <c r="F12" s="34" t="s">
        <v>111</v>
      </c>
      <c r="G12" s="34" t="s">
        <v>129</v>
      </c>
      <c r="H12" s="34" t="s">
        <v>115</v>
      </c>
      <c r="I12" s="34">
        <v>2002411</v>
      </c>
      <c r="J12" s="34">
        <v>2002411</v>
      </c>
      <c r="K12" s="34">
        <v>100</v>
      </c>
    </row>
    <row r="13" spans="1:11" hidden="1" x14ac:dyDescent="0.3">
      <c r="A13" s="36" t="str">
        <f>VLOOKUP(E13,Table1[[#All],[Campo]],1,0)</f>
        <v>SSTNBL_INDCTR</v>
      </c>
      <c r="B13" s="34" t="s">
        <v>140</v>
      </c>
      <c r="C13" s="34" t="s">
        <v>141</v>
      </c>
      <c r="D13" s="34" t="s">
        <v>132</v>
      </c>
      <c r="E13" s="34" t="s">
        <v>3</v>
      </c>
      <c r="F13" s="34" t="s">
        <v>119</v>
      </c>
      <c r="G13" s="34" t="s">
        <v>129</v>
      </c>
      <c r="H13" s="34" t="s">
        <v>115</v>
      </c>
      <c r="I13" s="34">
        <v>2002318</v>
      </c>
      <c r="J13" s="34">
        <v>2002318</v>
      </c>
      <c r="K13" s="34">
        <v>100</v>
      </c>
    </row>
    <row r="14" spans="1:11" hidden="1" x14ac:dyDescent="0.3">
      <c r="A14" s="36" t="str">
        <f>VLOOKUP(E14,Table1[[#All],[Campo]],1,0)</f>
        <v>SSTNBL_CTGRY</v>
      </c>
      <c r="B14" s="34" t="s">
        <v>142</v>
      </c>
      <c r="C14" s="34" t="s">
        <v>143</v>
      </c>
      <c r="D14" s="34" t="s">
        <v>132</v>
      </c>
      <c r="E14" s="34" t="s">
        <v>74</v>
      </c>
      <c r="F14" s="34" t="s">
        <v>119</v>
      </c>
      <c r="G14" s="34" t="s">
        <v>129</v>
      </c>
      <c r="H14" s="34" t="s">
        <v>115</v>
      </c>
      <c r="I14" s="34">
        <v>2002318</v>
      </c>
      <c r="J14" s="34">
        <v>2002318</v>
      </c>
      <c r="K14" s="34">
        <v>100</v>
      </c>
    </row>
    <row r="15" spans="1:11" hidden="1" x14ac:dyDescent="0.3">
      <c r="A15" s="36" t="str">
        <f>VLOOKUP(E15,Table1[[#All],[Campo]],1,0)</f>
        <v>NW_BSNSS</v>
      </c>
      <c r="B15" s="34" t="s">
        <v>144</v>
      </c>
      <c r="C15" s="34" t="s">
        <v>145</v>
      </c>
      <c r="D15" s="34" t="s">
        <v>132</v>
      </c>
      <c r="E15" s="34" t="s">
        <v>28</v>
      </c>
      <c r="F15" s="34" t="s">
        <v>119</v>
      </c>
      <c r="G15" s="34" t="s">
        <v>129</v>
      </c>
      <c r="H15" s="34" t="s">
        <v>115</v>
      </c>
      <c r="I15" s="34">
        <v>2002411</v>
      </c>
      <c r="J15" s="34">
        <v>2002411</v>
      </c>
      <c r="K15" s="34">
        <v>100</v>
      </c>
    </row>
    <row r="16" spans="1:11" hidden="1" x14ac:dyDescent="0.3">
      <c r="A16" s="36" t="str">
        <f>VLOOKUP(E16,Table1[[#All],[Campo]],1,0)</f>
        <v>BSNSS_AREA</v>
      </c>
      <c r="B16" s="34" t="s">
        <v>146</v>
      </c>
      <c r="C16" s="34" t="s">
        <v>147</v>
      </c>
      <c r="D16" s="34" t="s">
        <v>132</v>
      </c>
      <c r="E16" s="34" t="s">
        <v>32</v>
      </c>
      <c r="F16" s="34" t="s">
        <v>119</v>
      </c>
      <c r="G16" s="34" t="s">
        <v>129</v>
      </c>
      <c r="H16" s="34" t="s">
        <v>115</v>
      </c>
      <c r="I16" s="34">
        <v>2002411</v>
      </c>
      <c r="J16" s="34">
        <v>2002411</v>
      </c>
      <c r="K16" s="34">
        <v>100</v>
      </c>
    </row>
    <row r="17" spans="1:11" hidden="1" x14ac:dyDescent="0.3">
      <c r="A17" s="36" t="str">
        <f>VLOOKUP(E17,Table1[[#All],[Campo]],1,0)</f>
        <v>FLG_INTRBSNSS</v>
      </c>
      <c r="B17" s="34" t="s">
        <v>148</v>
      </c>
      <c r="C17" s="34" t="s">
        <v>149</v>
      </c>
      <c r="D17" s="34" t="s">
        <v>132</v>
      </c>
      <c r="E17" s="34" t="s">
        <v>39</v>
      </c>
      <c r="F17" s="34" t="s">
        <v>119</v>
      </c>
      <c r="G17" s="34" t="s">
        <v>129</v>
      </c>
      <c r="H17" s="34" t="s">
        <v>115</v>
      </c>
      <c r="I17" s="34">
        <v>2002411</v>
      </c>
      <c r="J17" s="34">
        <v>2002411</v>
      </c>
      <c r="K17" s="34">
        <v>100</v>
      </c>
    </row>
    <row r="18" spans="1:11" hidden="1" x14ac:dyDescent="0.3">
      <c r="A18" s="36" t="str">
        <f>VLOOKUP(E18,Table1[[#All],[Campo]],1,0)</f>
        <v>BSNSS_AREA_CCRR</v>
      </c>
      <c r="B18" s="34" t="s">
        <v>150</v>
      </c>
      <c r="C18" s="34" t="s">
        <v>151</v>
      </c>
      <c r="D18" s="34" t="s">
        <v>132</v>
      </c>
      <c r="E18" s="34" t="s">
        <v>92</v>
      </c>
      <c r="F18" s="34" t="s">
        <v>119</v>
      </c>
      <c r="G18" s="34" t="s">
        <v>129</v>
      </c>
      <c r="H18" s="34" t="s">
        <v>115</v>
      </c>
      <c r="I18" s="34">
        <v>2002411</v>
      </c>
      <c r="J18" s="34">
        <v>2002411</v>
      </c>
      <c r="K18" s="34">
        <v>100</v>
      </c>
    </row>
    <row r="19" spans="1:11" hidden="1" x14ac:dyDescent="0.3">
      <c r="A19" s="36" t="s">
        <v>6</v>
      </c>
      <c r="B19" s="34" t="s">
        <v>152</v>
      </c>
      <c r="C19" s="34" t="s">
        <v>153</v>
      </c>
      <c r="D19" s="34" t="s">
        <v>132</v>
      </c>
      <c r="E19" s="34" t="s">
        <v>154</v>
      </c>
      <c r="F19" s="34" t="s">
        <v>119</v>
      </c>
      <c r="G19" s="34" t="s">
        <v>129</v>
      </c>
      <c r="H19" s="34" t="s">
        <v>115</v>
      </c>
      <c r="I19" s="34">
        <v>2002411</v>
      </c>
      <c r="J19" s="34">
        <v>2002411</v>
      </c>
      <c r="K19" s="34">
        <v>100</v>
      </c>
    </row>
    <row r="20" spans="1:11" hidden="1" x14ac:dyDescent="0.3">
      <c r="A20" s="36" t="str">
        <f>VLOOKUP(E20,Table1[[#All],[Campo]],1,0)</f>
        <v>IDCMB</v>
      </c>
      <c r="B20" s="34" t="s">
        <v>155</v>
      </c>
      <c r="C20" s="34" t="s">
        <v>156</v>
      </c>
      <c r="D20" s="34" t="s">
        <v>128</v>
      </c>
      <c r="E20" s="34" t="s">
        <v>52</v>
      </c>
      <c r="F20" s="34" t="s">
        <v>111</v>
      </c>
      <c r="G20" s="34" t="s">
        <v>129</v>
      </c>
      <c r="H20" s="34" t="s">
        <v>115</v>
      </c>
      <c r="I20" s="34">
        <v>2002411</v>
      </c>
      <c r="J20" s="34">
        <v>1</v>
      </c>
      <c r="K20" s="34">
        <v>0</v>
      </c>
    </row>
    <row r="21" spans="1:11" hidden="1" x14ac:dyDescent="0.3">
      <c r="A21" s="36" t="str">
        <f>VLOOKUP(E21,Table1[[#All],[Campo]],1,0)</f>
        <v>COD_SOC</v>
      </c>
      <c r="B21" s="34" t="s">
        <v>157</v>
      </c>
      <c r="C21" s="34" t="s">
        <v>109</v>
      </c>
      <c r="D21" s="34" t="s">
        <v>158</v>
      </c>
      <c r="E21" s="34" t="s">
        <v>59</v>
      </c>
      <c r="F21" s="34" t="s">
        <v>111</v>
      </c>
      <c r="G21" s="34" t="s">
        <v>159</v>
      </c>
      <c r="H21" s="34" t="s">
        <v>113</v>
      </c>
      <c r="I21" s="34">
        <v>731165</v>
      </c>
      <c r="J21" s="34">
        <v>0</v>
      </c>
      <c r="K21" s="34">
        <v>0</v>
      </c>
    </row>
    <row r="22" spans="1:11" hidden="1" x14ac:dyDescent="0.3">
      <c r="A22" s="36" t="str">
        <f>VLOOKUP(E22,Table1[[#All],[Campo]],1,0)</f>
        <v>DT_RFRNC</v>
      </c>
      <c r="B22" s="34" t="s">
        <v>160</v>
      </c>
      <c r="C22" s="34" t="s">
        <v>124</v>
      </c>
      <c r="D22" s="34" t="s">
        <v>158</v>
      </c>
      <c r="E22" s="34" t="s">
        <v>56</v>
      </c>
      <c r="F22" s="34" t="s">
        <v>118</v>
      </c>
      <c r="G22" s="34" t="s">
        <v>159</v>
      </c>
      <c r="H22" s="34" t="s">
        <v>113</v>
      </c>
      <c r="I22" s="34">
        <v>731165</v>
      </c>
      <c r="J22" s="34">
        <v>0</v>
      </c>
      <c r="K22" s="34">
        <v>0</v>
      </c>
    </row>
    <row r="23" spans="1:11" hidden="1" x14ac:dyDescent="0.3">
      <c r="A23" s="36" t="str">
        <f>VLOOKUP(E23,Table1[[#All],[Campo]],1,0)</f>
        <v>INSTRMNT_ID</v>
      </c>
      <c r="B23" s="34" t="s">
        <v>161</v>
      </c>
      <c r="C23" s="34" t="s">
        <v>126</v>
      </c>
      <c r="D23" s="34" t="s">
        <v>158</v>
      </c>
      <c r="E23" s="34" t="s">
        <v>50</v>
      </c>
      <c r="F23" s="34" t="s">
        <v>111</v>
      </c>
      <c r="G23" s="34" t="s">
        <v>159</v>
      </c>
      <c r="H23" s="34" t="s">
        <v>113</v>
      </c>
      <c r="I23" s="34">
        <v>731165</v>
      </c>
      <c r="J23" s="34">
        <v>0</v>
      </c>
      <c r="K23" s="34">
        <v>0</v>
      </c>
    </row>
    <row r="24" spans="1:11" hidden="1" x14ac:dyDescent="0.3">
      <c r="A24" s="36" t="str">
        <f>VLOOKUP(E24,Table1[[#All],[Campo]],1,0)</f>
        <v>COD_SOC</v>
      </c>
      <c r="B24" s="34" t="s">
        <v>162</v>
      </c>
      <c r="C24" s="34" t="s">
        <v>109</v>
      </c>
      <c r="D24" s="34" t="s">
        <v>163</v>
      </c>
      <c r="E24" s="34" t="s">
        <v>59</v>
      </c>
      <c r="F24" s="34" t="s">
        <v>111</v>
      </c>
      <c r="G24" s="34" t="s">
        <v>164</v>
      </c>
      <c r="H24" s="34" t="s">
        <v>113</v>
      </c>
      <c r="I24" s="34">
        <v>456960</v>
      </c>
      <c r="J24" s="34">
        <v>0</v>
      </c>
      <c r="K24" s="34">
        <v>0</v>
      </c>
    </row>
    <row r="25" spans="1:11" hidden="1" x14ac:dyDescent="0.3">
      <c r="A25" s="36" t="str">
        <f>VLOOKUP(E25,Table1[[#All],[Campo]],1,0)</f>
        <v>DT_RFRNC</v>
      </c>
      <c r="B25" s="34" t="s">
        <v>165</v>
      </c>
      <c r="C25" s="34" t="s">
        <v>124</v>
      </c>
      <c r="D25" s="34" t="s">
        <v>163</v>
      </c>
      <c r="E25" s="34" t="s">
        <v>56</v>
      </c>
      <c r="F25" s="34" t="s">
        <v>118</v>
      </c>
      <c r="G25" s="34" t="s">
        <v>164</v>
      </c>
      <c r="H25" s="34" t="s">
        <v>113</v>
      </c>
      <c r="I25" s="34">
        <v>456960</v>
      </c>
      <c r="J25" s="34">
        <v>0</v>
      </c>
      <c r="K25" s="34">
        <v>0</v>
      </c>
    </row>
    <row r="26" spans="1:11" hidden="1" x14ac:dyDescent="0.3">
      <c r="A26" s="36" t="str">
        <f>VLOOKUP(E26,Table1[[#All],[Campo]],1,0)</f>
        <v>INSTRMNT_ID</v>
      </c>
      <c r="B26" s="34" t="s">
        <v>169</v>
      </c>
      <c r="C26" s="34" t="s">
        <v>170</v>
      </c>
      <c r="D26" s="34" t="s">
        <v>132</v>
      </c>
      <c r="E26" s="34" t="s">
        <v>50</v>
      </c>
      <c r="F26" s="34" t="s">
        <v>166</v>
      </c>
      <c r="G26" s="34" t="s">
        <v>167</v>
      </c>
      <c r="H26" s="34" t="s">
        <v>113</v>
      </c>
      <c r="I26" s="34">
        <v>2003033</v>
      </c>
      <c r="J26" s="34">
        <v>0</v>
      </c>
      <c r="K26" s="34">
        <v>0</v>
      </c>
    </row>
    <row r="27" spans="1:11" hidden="1" x14ac:dyDescent="0.3">
      <c r="A27" s="36" t="str">
        <f>VLOOKUP(E27,Table1[[#All],[Campo]],1,0)</f>
        <v>INSTRMNT_ID</v>
      </c>
      <c r="B27" s="34" t="s">
        <v>171</v>
      </c>
      <c r="C27" s="34" t="s">
        <v>172</v>
      </c>
      <c r="D27" s="34" t="s">
        <v>173</v>
      </c>
      <c r="E27" s="34" t="s">
        <v>50</v>
      </c>
      <c r="F27" s="34" t="s">
        <v>166</v>
      </c>
      <c r="G27" s="34" t="s">
        <v>167</v>
      </c>
      <c r="H27" s="34" t="s">
        <v>113</v>
      </c>
      <c r="I27" s="34">
        <v>731165</v>
      </c>
      <c r="J27" s="34">
        <v>0</v>
      </c>
      <c r="K27" s="34">
        <v>0</v>
      </c>
    </row>
    <row r="28" spans="1:11" hidden="1" x14ac:dyDescent="0.3">
      <c r="A28" s="36" t="str">
        <f>VLOOKUP(E28,Table1[[#All],[Campo]],1,0)</f>
        <v>COD_SOC</v>
      </c>
      <c r="B28" s="34" t="s">
        <v>175</v>
      </c>
      <c r="C28" s="34" t="s">
        <v>176</v>
      </c>
      <c r="D28" s="34" t="s">
        <v>114</v>
      </c>
      <c r="E28" s="34" t="s">
        <v>59</v>
      </c>
      <c r="F28" s="34" t="s">
        <v>177</v>
      </c>
      <c r="G28" s="34" t="s">
        <v>178</v>
      </c>
      <c r="H28" s="34" t="s">
        <v>113</v>
      </c>
      <c r="I28" s="34">
        <v>1096295</v>
      </c>
      <c r="J28" s="34">
        <v>0</v>
      </c>
      <c r="K28" s="34">
        <v>0</v>
      </c>
    </row>
    <row r="29" spans="1:11" hidden="1" x14ac:dyDescent="0.3">
      <c r="A29" s="36" t="str">
        <f>VLOOKUP(E29,Table1[[#All],[Campo]],1,0)</f>
        <v>DT_RFRNC</v>
      </c>
      <c r="B29" s="34" t="s">
        <v>180</v>
      </c>
      <c r="C29" s="34" t="s">
        <v>181</v>
      </c>
      <c r="D29" s="34" t="s">
        <v>114</v>
      </c>
      <c r="E29" s="34" t="s">
        <v>56</v>
      </c>
      <c r="F29" s="34" t="s">
        <v>179</v>
      </c>
      <c r="G29" s="34" t="s">
        <v>178</v>
      </c>
      <c r="H29" s="34" t="s">
        <v>113</v>
      </c>
      <c r="I29" s="34">
        <v>1096295</v>
      </c>
      <c r="J29" s="34">
        <v>0</v>
      </c>
      <c r="K29" s="34">
        <v>0</v>
      </c>
    </row>
    <row r="30" spans="1:11" hidden="1" x14ac:dyDescent="0.3">
      <c r="A30" s="36" t="str">
        <f>VLOOKUP(E30,Table1[[#All],[Campo]],1,0)</f>
        <v>COD_SOC</v>
      </c>
      <c r="B30" s="34" t="s">
        <v>185</v>
      </c>
      <c r="C30" s="34" t="s">
        <v>176</v>
      </c>
      <c r="D30" s="34" t="s">
        <v>168</v>
      </c>
      <c r="E30" s="34" t="s">
        <v>59</v>
      </c>
      <c r="F30" s="34" t="s">
        <v>177</v>
      </c>
      <c r="G30" s="34" t="s">
        <v>186</v>
      </c>
      <c r="H30" s="34" t="s">
        <v>113</v>
      </c>
      <c r="I30" s="34">
        <v>2490665</v>
      </c>
      <c r="J30" s="34">
        <v>0</v>
      </c>
      <c r="K30" s="34">
        <v>0</v>
      </c>
    </row>
    <row r="31" spans="1:11" hidden="1" x14ac:dyDescent="0.3">
      <c r="A31" s="36" t="str">
        <f>VLOOKUP(E31,Table1[[#All],[Campo]],1,0)</f>
        <v>DT_RFRNC</v>
      </c>
      <c r="B31" s="34" t="s">
        <v>187</v>
      </c>
      <c r="C31" s="34" t="s">
        <v>188</v>
      </c>
      <c r="D31" s="34" t="s">
        <v>168</v>
      </c>
      <c r="E31" s="34" t="s">
        <v>56</v>
      </c>
      <c r="F31" s="34" t="s">
        <v>179</v>
      </c>
      <c r="G31" s="34" t="s">
        <v>186</v>
      </c>
      <c r="H31" s="34" t="s">
        <v>113</v>
      </c>
      <c r="I31" s="34">
        <v>2490665</v>
      </c>
      <c r="J31" s="34">
        <v>0</v>
      </c>
      <c r="K31" s="34">
        <v>0</v>
      </c>
    </row>
    <row r="32" spans="1:11" hidden="1" x14ac:dyDescent="0.3">
      <c r="A32" s="36" t="str">
        <f>VLOOKUP(E32,Table1[[#All],[Campo]],1,0)</f>
        <v>INSTRMNT_ID</v>
      </c>
      <c r="B32" s="34" t="s">
        <v>189</v>
      </c>
      <c r="C32" s="34" t="s">
        <v>190</v>
      </c>
      <c r="D32" s="34" t="s">
        <v>168</v>
      </c>
      <c r="E32" s="34" t="s">
        <v>50</v>
      </c>
      <c r="F32" s="34" t="s">
        <v>182</v>
      </c>
      <c r="G32" s="34" t="s">
        <v>186</v>
      </c>
      <c r="H32" s="34" t="s">
        <v>113</v>
      </c>
      <c r="I32" s="34">
        <v>2490665</v>
      </c>
      <c r="J32" s="34">
        <v>0</v>
      </c>
      <c r="K32" s="34">
        <v>0</v>
      </c>
    </row>
    <row r="33" spans="1:11" hidden="1" x14ac:dyDescent="0.3">
      <c r="A33" s="36" t="str">
        <f>VLOOKUP(E33,Table1[[#All],[Campo]],1,0)</f>
        <v>COD_SOC</v>
      </c>
      <c r="B33" s="34" t="s">
        <v>191</v>
      </c>
      <c r="C33" s="34" t="s">
        <v>176</v>
      </c>
      <c r="D33" s="34" t="s">
        <v>132</v>
      </c>
      <c r="E33" s="34" t="s">
        <v>59</v>
      </c>
      <c r="F33" s="34" t="s">
        <v>177</v>
      </c>
      <c r="G33" s="34" t="s">
        <v>192</v>
      </c>
      <c r="H33" s="34" t="s">
        <v>113</v>
      </c>
      <c r="I33" s="34">
        <v>2003033</v>
      </c>
      <c r="J33" s="34">
        <v>0</v>
      </c>
      <c r="K33" s="34">
        <v>0</v>
      </c>
    </row>
    <row r="34" spans="1:11" hidden="1" x14ac:dyDescent="0.3">
      <c r="A34" s="36" t="str">
        <f>VLOOKUP(E34,Table1[[#All],[Campo]],1,0)</f>
        <v>SUBPORTFOLIO_ID</v>
      </c>
      <c r="B34" s="34" t="s">
        <v>193</v>
      </c>
      <c r="C34" s="34" t="s">
        <v>194</v>
      </c>
      <c r="D34" s="34" t="s">
        <v>132</v>
      </c>
      <c r="E34" s="34" t="s">
        <v>45</v>
      </c>
      <c r="F34" s="34" t="s">
        <v>177</v>
      </c>
      <c r="G34" s="34" t="s">
        <v>192</v>
      </c>
      <c r="H34" s="34" t="s">
        <v>113</v>
      </c>
      <c r="I34" s="34">
        <v>2003033</v>
      </c>
      <c r="J34" s="34">
        <v>0</v>
      </c>
      <c r="K34" s="34">
        <v>0</v>
      </c>
    </row>
    <row r="35" spans="1:11" hidden="1" x14ac:dyDescent="0.3">
      <c r="A35" s="36" t="str">
        <f>VLOOKUP(E35,Table1[[#All],[Campo]],1,0)</f>
        <v>DT_RFRNC</v>
      </c>
      <c r="B35" s="34" t="s">
        <v>195</v>
      </c>
      <c r="C35" s="34" t="s">
        <v>188</v>
      </c>
      <c r="D35" s="34" t="s">
        <v>132</v>
      </c>
      <c r="E35" s="34" t="s">
        <v>56</v>
      </c>
      <c r="F35" s="34" t="s">
        <v>179</v>
      </c>
      <c r="G35" s="34" t="s">
        <v>192</v>
      </c>
      <c r="H35" s="34" t="s">
        <v>113</v>
      </c>
      <c r="I35" s="34">
        <v>2003033</v>
      </c>
      <c r="J35" s="34">
        <v>0</v>
      </c>
      <c r="K35" s="34">
        <v>0</v>
      </c>
    </row>
    <row r="36" spans="1:11" hidden="1" x14ac:dyDescent="0.3">
      <c r="A36" s="36" t="str">
        <f>VLOOKUP(E36,Table1[[#All],[Campo]],1,0)</f>
        <v>INSTRMNT_ID</v>
      </c>
      <c r="B36" s="34" t="s">
        <v>196</v>
      </c>
      <c r="C36" s="34" t="s">
        <v>190</v>
      </c>
      <c r="D36" s="34" t="s">
        <v>132</v>
      </c>
      <c r="E36" s="34" t="s">
        <v>50</v>
      </c>
      <c r="F36" s="34" t="s">
        <v>182</v>
      </c>
      <c r="G36" s="34" t="s">
        <v>192</v>
      </c>
      <c r="H36" s="34" t="s">
        <v>113</v>
      </c>
      <c r="I36" s="34">
        <v>2003033</v>
      </c>
      <c r="J36" s="34">
        <v>0</v>
      </c>
      <c r="K36" s="34">
        <v>0</v>
      </c>
    </row>
    <row r="37" spans="1:11" x14ac:dyDescent="0.3">
      <c r="A37" s="36" t="str">
        <f>VLOOKUP(E37,Table1[[#All],[Campo]],1,0)</f>
        <v>DFLT_STTS_INSTRMNT</v>
      </c>
      <c r="B37" s="34" t="s">
        <v>197</v>
      </c>
      <c r="C37" s="34" t="s">
        <v>198</v>
      </c>
      <c r="D37" s="34" t="s">
        <v>132</v>
      </c>
      <c r="E37" s="34" t="s">
        <v>71</v>
      </c>
      <c r="F37" s="34" t="s">
        <v>177</v>
      </c>
      <c r="G37" s="34" t="s">
        <v>192</v>
      </c>
      <c r="H37" s="34" t="s">
        <v>113</v>
      </c>
      <c r="I37" s="34">
        <v>2003033</v>
      </c>
      <c r="J37" s="34">
        <v>0</v>
      </c>
      <c r="K37" s="34">
        <v>0</v>
      </c>
    </row>
    <row r="38" spans="1:11" hidden="1" x14ac:dyDescent="0.3">
      <c r="A38" s="36" t="str">
        <f>VLOOKUP(E38,Table1[[#All],[Campo]],1,0)</f>
        <v>IMPRMNT_STTS</v>
      </c>
      <c r="B38" s="34" t="s">
        <v>199</v>
      </c>
      <c r="C38" s="34" t="s">
        <v>200</v>
      </c>
      <c r="D38" s="34" t="s">
        <v>132</v>
      </c>
      <c r="E38" s="34" t="s">
        <v>51</v>
      </c>
      <c r="F38" s="34" t="s">
        <v>177</v>
      </c>
      <c r="G38" s="34" t="s">
        <v>192</v>
      </c>
      <c r="H38" s="34" t="s">
        <v>113</v>
      </c>
      <c r="I38" s="34">
        <v>2003033</v>
      </c>
      <c r="J38" s="34">
        <v>0</v>
      </c>
      <c r="K38" s="34">
        <v>0</v>
      </c>
    </row>
    <row r="39" spans="1:11" hidden="1" x14ac:dyDescent="0.3">
      <c r="A39" s="36" t="str">
        <f>VLOOKUP(E39,Table1[[#All],[Campo]],1,0)</f>
        <v>PRFRMNG_STTS</v>
      </c>
      <c r="B39" s="34" t="s">
        <v>201</v>
      </c>
      <c r="C39" s="34" t="s">
        <v>183</v>
      </c>
      <c r="D39" s="34" t="s">
        <v>132</v>
      </c>
      <c r="E39" s="34" t="s">
        <v>47</v>
      </c>
      <c r="F39" s="34" t="s">
        <v>177</v>
      </c>
      <c r="G39" s="34" t="s">
        <v>192</v>
      </c>
      <c r="H39" s="34" t="s">
        <v>113</v>
      </c>
      <c r="I39" s="34">
        <v>2003033</v>
      </c>
      <c r="J39" s="34">
        <v>0</v>
      </c>
      <c r="K39" s="34">
        <v>0</v>
      </c>
    </row>
    <row r="40" spans="1:11" hidden="1" x14ac:dyDescent="0.3">
      <c r="A40" s="36" t="str">
        <f>VLOOKUP(E40,Table1[[#All],[Campo]],1,0)</f>
        <v>TYP_INSTRMNT</v>
      </c>
      <c r="B40" s="34" t="s">
        <v>202</v>
      </c>
      <c r="C40" s="34" t="s">
        <v>203</v>
      </c>
      <c r="D40" s="34" t="s">
        <v>132</v>
      </c>
      <c r="E40" s="34" t="s">
        <v>44</v>
      </c>
      <c r="F40" s="34" t="s">
        <v>177</v>
      </c>
      <c r="G40" s="34" t="s">
        <v>192</v>
      </c>
      <c r="H40" s="34" t="s">
        <v>113</v>
      </c>
      <c r="I40" s="34">
        <v>2003033</v>
      </c>
      <c r="J40" s="34">
        <v>0</v>
      </c>
      <c r="K40" s="34">
        <v>0</v>
      </c>
    </row>
    <row r="41" spans="1:11" hidden="1" x14ac:dyDescent="0.3">
      <c r="A41" s="36" t="str">
        <f>VLOOKUP(E41,Table1[[#All],[Campo]],1,0)</f>
        <v>GRSS_CRRYNG_AMNT_INSTRMNT</v>
      </c>
      <c r="B41" s="34" t="s">
        <v>204</v>
      </c>
      <c r="C41" s="34" t="s">
        <v>205</v>
      </c>
      <c r="D41" s="34" t="s">
        <v>132</v>
      </c>
      <c r="E41" s="34" t="s">
        <v>53</v>
      </c>
      <c r="F41" s="34" t="s">
        <v>184</v>
      </c>
      <c r="G41" s="34" t="s">
        <v>192</v>
      </c>
      <c r="H41" s="34" t="s">
        <v>113</v>
      </c>
      <c r="I41" s="34">
        <v>2003033</v>
      </c>
      <c r="J41" s="34">
        <v>0</v>
      </c>
      <c r="K41" s="34">
        <v>0</v>
      </c>
    </row>
    <row r="42" spans="1:11" hidden="1" x14ac:dyDescent="0.3">
      <c r="A42" s="36" t="str">
        <f>VLOOKUP(E42,Table1[[#All],[Campo]],1,0)</f>
        <v>ACCMLTD_CHNGS_FV_CR_INSTRMNT</v>
      </c>
      <c r="B42" s="34" t="s">
        <v>206</v>
      </c>
      <c r="C42" s="34" t="s">
        <v>207</v>
      </c>
      <c r="D42" s="34" t="s">
        <v>132</v>
      </c>
      <c r="E42" s="34" t="s">
        <v>68</v>
      </c>
      <c r="F42" s="34" t="s">
        <v>184</v>
      </c>
      <c r="G42" s="34" t="s">
        <v>192</v>
      </c>
      <c r="H42" s="34" t="s">
        <v>113</v>
      </c>
      <c r="I42" s="34">
        <v>2003033</v>
      </c>
      <c r="J42" s="34">
        <v>0</v>
      </c>
      <c r="K42" s="34">
        <v>0</v>
      </c>
    </row>
    <row r="43" spans="1:11" hidden="1" x14ac:dyDescent="0.3">
      <c r="A43" s="36" t="str">
        <f>VLOOKUP(E43,Table1[[#All],[Campo]],1,0)</f>
        <v>ACCNTNG_CLSSFCTN</v>
      </c>
      <c r="B43" s="34" t="s">
        <v>208</v>
      </c>
      <c r="C43" s="34" t="s">
        <v>209</v>
      </c>
      <c r="D43" s="34" t="s">
        <v>132</v>
      </c>
      <c r="E43" s="34" t="s">
        <v>62</v>
      </c>
      <c r="F43" s="34" t="s">
        <v>177</v>
      </c>
      <c r="G43" s="34" t="s">
        <v>192</v>
      </c>
      <c r="H43" s="34" t="s">
        <v>113</v>
      </c>
      <c r="I43" s="34">
        <v>2003033</v>
      </c>
      <c r="J43" s="34">
        <v>0</v>
      </c>
      <c r="K43" s="34">
        <v>0</v>
      </c>
    </row>
    <row r="44" spans="1:11" hidden="1" x14ac:dyDescent="0.3">
      <c r="A44" s="36" t="str">
        <f>VLOOKUP(E44,Table1[[#All],[Campo]],1,0)</f>
        <v>OFF_BLNC_SHT_AMNT_INSTRMNT</v>
      </c>
      <c r="B44" s="34" t="s">
        <v>210</v>
      </c>
      <c r="C44" s="34" t="s">
        <v>211</v>
      </c>
      <c r="D44" s="34" t="s">
        <v>132</v>
      </c>
      <c r="E44" s="34" t="s">
        <v>48</v>
      </c>
      <c r="F44" s="34" t="s">
        <v>184</v>
      </c>
      <c r="G44" s="34" t="s">
        <v>192</v>
      </c>
      <c r="H44" s="34" t="s">
        <v>113</v>
      </c>
      <c r="I44" s="34">
        <v>2003033</v>
      </c>
      <c r="J44" s="34">
        <v>0</v>
      </c>
      <c r="K44" s="34">
        <v>0</v>
      </c>
    </row>
    <row r="45" spans="1:11" hidden="1" x14ac:dyDescent="0.3">
      <c r="A45" s="36" t="str">
        <f>VLOOKUP(E45,Table1[[#All],[Campo]],1,0)</f>
        <v>PRVSNS_OFF_BLNC_SHT</v>
      </c>
      <c r="B45" s="34" t="s">
        <v>212</v>
      </c>
      <c r="C45" s="34" t="s">
        <v>213</v>
      </c>
      <c r="D45" s="34" t="s">
        <v>132</v>
      </c>
      <c r="E45" s="34" t="s">
        <v>46</v>
      </c>
      <c r="F45" s="34" t="s">
        <v>184</v>
      </c>
      <c r="G45" s="34" t="s">
        <v>192</v>
      </c>
      <c r="H45" s="34" t="s">
        <v>113</v>
      </c>
      <c r="I45" s="34">
        <v>2003033</v>
      </c>
      <c r="J45" s="34">
        <v>0</v>
      </c>
      <c r="K45" s="34">
        <v>0</v>
      </c>
    </row>
    <row r="46" spans="1:11" hidden="1" x14ac:dyDescent="0.3">
      <c r="A46" s="36" t="str">
        <f>VLOOKUP(E46,Table1[[#All],[Campo]],1,0)</f>
        <v>RWA</v>
      </c>
      <c r="B46" s="34" t="s">
        <v>214</v>
      </c>
      <c r="C46" s="34" t="s">
        <v>215</v>
      </c>
      <c r="D46" s="34" t="s">
        <v>132</v>
      </c>
      <c r="E46" s="34" t="s">
        <v>43</v>
      </c>
      <c r="F46" s="34" t="s">
        <v>184</v>
      </c>
      <c r="G46" s="34" t="s">
        <v>192</v>
      </c>
      <c r="H46" s="34" t="s">
        <v>113</v>
      </c>
      <c r="I46" s="34">
        <v>2003033</v>
      </c>
      <c r="J46" s="34">
        <v>0</v>
      </c>
      <c r="K46" s="34">
        <v>0</v>
      </c>
    </row>
    <row r="47" spans="1:11" hidden="1" x14ac:dyDescent="0.3">
      <c r="A47" s="36" t="str">
        <f>VLOOKUP(E47,Table1[[#All],[Campo]],1,0)</f>
        <v>ACCMLTD_IMPRMNT_INSTRMNT</v>
      </c>
      <c r="B47" s="34" t="s">
        <v>216</v>
      </c>
      <c r="C47" s="34" t="s">
        <v>217</v>
      </c>
      <c r="D47" s="34" t="s">
        <v>132</v>
      </c>
      <c r="E47" s="34" t="s">
        <v>65</v>
      </c>
      <c r="F47" s="34" t="s">
        <v>184</v>
      </c>
      <c r="G47" s="34" t="s">
        <v>192</v>
      </c>
      <c r="H47" s="34" t="s">
        <v>113</v>
      </c>
      <c r="I47" s="34">
        <v>2003033</v>
      </c>
      <c r="J47" s="34">
        <v>0</v>
      </c>
      <c r="K47" s="34">
        <v>0</v>
      </c>
    </row>
    <row r="48" spans="1:11" hidden="1" x14ac:dyDescent="0.3">
      <c r="A48" s="36" t="str">
        <f>VLOOKUP(E48,Table1[[#All],[Campo]],1,0)</f>
        <v>COD_SOC_INTRGRP</v>
      </c>
      <c r="B48" s="34" t="s">
        <v>218</v>
      </c>
      <c r="C48" s="34" t="s">
        <v>219</v>
      </c>
      <c r="D48" s="34" t="s">
        <v>132</v>
      </c>
      <c r="E48" s="34" t="s">
        <v>41</v>
      </c>
      <c r="F48" s="34" t="s">
        <v>177</v>
      </c>
      <c r="G48" s="34" t="s">
        <v>192</v>
      </c>
      <c r="H48" s="34" t="s">
        <v>115</v>
      </c>
      <c r="I48" s="34">
        <v>2003033</v>
      </c>
      <c r="J48" s="34">
        <v>744</v>
      </c>
      <c r="K48" s="34">
        <v>3.7100000000000001E-2</v>
      </c>
    </row>
    <row r="49" spans="1:11" hidden="1" x14ac:dyDescent="0.3">
      <c r="A49" s="36" t="str">
        <f>VLOOKUP(E49,Table1[[#All],[Campo]],1,0)</f>
        <v>LCL_INSTMRNT_ID</v>
      </c>
      <c r="B49" s="34" t="s">
        <v>220</v>
      </c>
      <c r="C49" s="34" t="s">
        <v>221</v>
      </c>
      <c r="D49" s="34" t="s">
        <v>132</v>
      </c>
      <c r="E49" s="34" t="s">
        <v>49</v>
      </c>
      <c r="F49" s="34" t="s">
        <v>182</v>
      </c>
      <c r="G49" s="34" t="s">
        <v>192</v>
      </c>
      <c r="H49" s="34" t="s">
        <v>113</v>
      </c>
      <c r="I49" s="34">
        <v>2003033</v>
      </c>
      <c r="J49" s="34">
        <v>0</v>
      </c>
      <c r="K49" s="34">
        <v>0</v>
      </c>
    </row>
    <row r="50" spans="1:11" hidden="1" x14ac:dyDescent="0.3">
      <c r="A50" s="36" t="str">
        <f>VLOOKUP(E50,Table1[[#All],[Campo]],1,0)</f>
        <v>SSTNBL_INDCTR</v>
      </c>
      <c r="B50" s="34" t="s">
        <v>222</v>
      </c>
      <c r="C50" s="34" t="s">
        <v>223</v>
      </c>
      <c r="D50" s="34" t="s">
        <v>132</v>
      </c>
      <c r="E50" s="34" t="s">
        <v>3</v>
      </c>
      <c r="F50" s="34" t="s">
        <v>177</v>
      </c>
      <c r="G50" s="34" t="s">
        <v>192</v>
      </c>
      <c r="H50" s="34" t="s">
        <v>115</v>
      </c>
      <c r="I50" s="34">
        <v>2003033</v>
      </c>
      <c r="J50" s="34">
        <v>2003033</v>
      </c>
      <c r="K50" s="34">
        <v>100</v>
      </c>
    </row>
    <row r="51" spans="1:11" hidden="1" x14ac:dyDescent="0.3">
      <c r="A51" s="36" t="str">
        <f>VLOOKUP(E51,Table1[[#All],[Campo]],1,0)</f>
        <v>SSTNBL_CTGRY</v>
      </c>
      <c r="B51" s="34" t="s">
        <v>224</v>
      </c>
      <c r="C51" s="34" t="s">
        <v>225</v>
      </c>
      <c r="D51" s="34" t="s">
        <v>132</v>
      </c>
      <c r="E51" s="34" t="s">
        <v>74</v>
      </c>
      <c r="F51" s="34" t="s">
        <v>177</v>
      </c>
      <c r="G51" s="34" t="s">
        <v>192</v>
      </c>
      <c r="H51" s="34" t="s">
        <v>115</v>
      </c>
      <c r="I51" s="34">
        <v>2003033</v>
      </c>
      <c r="J51" s="34">
        <v>2003033</v>
      </c>
      <c r="K51" s="34">
        <v>100</v>
      </c>
    </row>
    <row r="52" spans="1:11" hidden="1" x14ac:dyDescent="0.3">
      <c r="A52" s="36" t="str">
        <f>VLOOKUP(E52,Table1[[#All],[Campo]],1,0)</f>
        <v>AVRG_BLNC</v>
      </c>
      <c r="B52" s="34" t="s">
        <v>226</v>
      </c>
      <c r="C52" s="34" t="s">
        <v>227</v>
      </c>
      <c r="D52" s="34" t="s">
        <v>132</v>
      </c>
      <c r="E52" s="34" t="s">
        <v>31</v>
      </c>
      <c r="F52" s="34" t="s">
        <v>184</v>
      </c>
      <c r="G52" s="34" t="s">
        <v>192</v>
      </c>
      <c r="H52" s="34" t="s">
        <v>113</v>
      </c>
      <c r="I52" s="34">
        <v>2003033</v>
      </c>
      <c r="J52" s="34">
        <v>0</v>
      </c>
      <c r="K52" s="34">
        <v>0</v>
      </c>
    </row>
    <row r="53" spans="1:11" hidden="1" x14ac:dyDescent="0.3">
      <c r="A53" s="36" t="str">
        <f>VLOOKUP(E53,Table1[[#All],[Campo]],1,0)</f>
        <v>NW_BSNSS</v>
      </c>
      <c r="B53" s="34" t="s">
        <v>228</v>
      </c>
      <c r="C53" s="34" t="s">
        <v>229</v>
      </c>
      <c r="D53" s="34" t="s">
        <v>132</v>
      </c>
      <c r="E53" s="34" t="s">
        <v>28</v>
      </c>
      <c r="F53" s="34" t="s">
        <v>177</v>
      </c>
      <c r="G53" s="34" t="s">
        <v>192</v>
      </c>
      <c r="H53" s="34" t="s">
        <v>115</v>
      </c>
      <c r="I53" s="34">
        <v>2003033</v>
      </c>
      <c r="J53" s="34">
        <v>2003033</v>
      </c>
      <c r="K53" s="34">
        <v>100</v>
      </c>
    </row>
    <row r="54" spans="1:11" hidden="1" x14ac:dyDescent="0.3">
      <c r="A54" s="36" t="str">
        <f>VLOOKUP(E54,Table1[[#All],[Campo]],1,0)</f>
        <v>GRSS_INTRST_INCM</v>
      </c>
      <c r="B54" s="34" t="s">
        <v>230</v>
      </c>
      <c r="C54" s="34" t="s">
        <v>231</v>
      </c>
      <c r="D54" s="34" t="s">
        <v>132</v>
      </c>
      <c r="E54" s="34" t="s">
        <v>19</v>
      </c>
      <c r="F54" s="34" t="s">
        <v>184</v>
      </c>
      <c r="G54" s="34" t="s">
        <v>192</v>
      </c>
      <c r="H54" s="34" t="s">
        <v>113</v>
      </c>
      <c r="I54" s="34">
        <v>2003033</v>
      </c>
      <c r="J54" s="34">
        <v>0</v>
      </c>
      <c r="K54" s="34">
        <v>0</v>
      </c>
    </row>
    <row r="55" spans="1:11" hidden="1" x14ac:dyDescent="0.3">
      <c r="A55" s="36" t="s">
        <v>18</v>
      </c>
      <c r="B55" s="34" t="s">
        <v>232</v>
      </c>
      <c r="C55" s="34" t="s">
        <v>233</v>
      </c>
      <c r="D55" s="34" t="s">
        <v>132</v>
      </c>
      <c r="E55" s="34" t="s">
        <v>234</v>
      </c>
      <c r="F55" s="34" t="s">
        <v>184</v>
      </c>
      <c r="G55" s="34" t="s">
        <v>192</v>
      </c>
      <c r="H55" s="34" t="s">
        <v>113</v>
      </c>
      <c r="I55" s="34">
        <v>2003033</v>
      </c>
      <c r="J55" s="34">
        <v>0</v>
      </c>
      <c r="K55" s="34">
        <v>0</v>
      </c>
    </row>
    <row r="56" spans="1:11" hidden="1" x14ac:dyDescent="0.3">
      <c r="A56" s="36" t="str">
        <f>VLOOKUP(E56,Table1[[#All],[Campo]],1,0)</f>
        <v>INTRNL_TRNSFR_RT</v>
      </c>
      <c r="B56" s="34" t="s">
        <v>235</v>
      </c>
      <c r="C56" s="34" t="s">
        <v>236</v>
      </c>
      <c r="D56" s="34" t="s">
        <v>132</v>
      </c>
      <c r="E56" s="34" t="s">
        <v>16</v>
      </c>
      <c r="F56" s="34" t="s">
        <v>184</v>
      </c>
      <c r="G56" s="34" t="s">
        <v>192</v>
      </c>
      <c r="H56" s="34" t="s">
        <v>113</v>
      </c>
      <c r="I56" s="34">
        <v>2003033</v>
      </c>
      <c r="J56" s="34">
        <v>0</v>
      </c>
      <c r="K56" s="34">
        <v>0</v>
      </c>
    </row>
    <row r="57" spans="1:11" hidden="1" x14ac:dyDescent="0.3">
      <c r="A57" s="36" t="str">
        <f>VLOOKUP(E57,Table1[[#All],[Campo]],1,0)</f>
        <v>NT_LN_LSS_PRVSN</v>
      </c>
      <c r="B57" s="34" t="s">
        <v>237</v>
      </c>
      <c r="C57" s="34" t="s">
        <v>238</v>
      </c>
      <c r="D57" s="34" t="s">
        <v>132</v>
      </c>
      <c r="E57" s="34" t="s">
        <v>30</v>
      </c>
      <c r="F57" s="34" t="s">
        <v>184</v>
      </c>
      <c r="G57" s="34" t="s">
        <v>192</v>
      </c>
      <c r="H57" s="34" t="s">
        <v>113</v>
      </c>
      <c r="I57" s="34">
        <v>2003033</v>
      </c>
      <c r="J57" s="34">
        <v>0</v>
      </c>
      <c r="K57" s="34">
        <v>0</v>
      </c>
    </row>
    <row r="58" spans="1:11" hidden="1" x14ac:dyDescent="0.3">
      <c r="A58" s="36" t="str">
        <f>VLOOKUP(E58,Table1[[#All],[Campo]],1,0)</f>
        <v>BSNSS_AREA</v>
      </c>
      <c r="B58" s="34" t="s">
        <v>239</v>
      </c>
      <c r="C58" s="34" t="s">
        <v>240</v>
      </c>
      <c r="D58" s="34" t="s">
        <v>132</v>
      </c>
      <c r="E58" s="34" t="s">
        <v>32</v>
      </c>
      <c r="F58" s="34" t="s">
        <v>177</v>
      </c>
      <c r="G58" s="34" t="s">
        <v>192</v>
      </c>
      <c r="H58" s="34" t="s">
        <v>115</v>
      </c>
      <c r="I58" s="34">
        <v>2003033</v>
      </c>
      <c r="J58" s="34">
        <v>2003033</v>
      </c>
      <c r="K58" s="34">
        <v>100</v>
      </c>
    </row>
    <row r="59" spans="1:11" hidden="1" x14ac:dyDescent="0.3">
      <c r="A59" s="36" t="str">
        <f>VLOOKUP(E59,Table1[[#All],[Campo]],1,0)</f>
        <v>MNGMNT_PRDCT</v>
      </c>
      <c r="B59" s="34" t="s">
        <v>241</v>
      </c>
      <c r="C59" s="34" t="s">
        <v>242</v>
      </c>
      <c r="D59" s="34" t="s">
        <v>132</v>
      </c>
      <c r="E59" s="34" t="s">
        <v>29</v>
      </c>
      <c r="F59" s="34" t="s">
        <v>177</v>
      </c>
      <c r="G59" s="34" t="s">
        <v>192</v>
      </c>
      <c r="H59" s="34" t="s">
        <v>115</v>
      </c>
      <c r="I59" s="34">
        <v>2003033</v>
      </c>
      <c r="J59" s="34">
        <v>2003033</v>
      </c>
      <c r="K59" s="34">
        <v>100</v>
      </c>
    </row>
    <row r="60" spans="1:11" hidden="1" x14ac:dyDescent="0.3">
      <c r="A60" s="36" t="s">
        <v>15</v>
      </c>
      <c r="B60" s="34" t="s">
        <v>243</v>
      </c>
      <c r="C60" s="34" t="s">
        <v>244</v>
      </c>
      <c r="D60" s="34" t="s">
        <v>132</v>
      </c>
      <c r="E60" s="34" t="s">
        <v>245</v>
      </c>
      <c r="F60" s="34" t="s">
        <v>184</v>
      </c>
      <c r="G60" s="34" t="s">
        <v>192</v>
      </c>
      <c r="H60" s="34" t="s">
        <v>113</v>
      </c>
      <c r="I60" s="34">
        <v>2003033</v>
      </c>
      <c r="J60" s="34">
        <v>0</v>
      </c>
      <c r="K60" s="34">
        <v>0</v>
      </c>
    </row>
    <row r="61" spans="1:11" hidden="1" x14ac:dyDescent="0.3">
      <c r="A61" s="36" t="str">
        <f>VLOOKUP(E61,Table1[[#All],[Campo]],1,0)</f>
        <v>GNS_FNNCL_TRNSCTN_EXCHNG_DFFRNCS</v>
      </c>
      <c r="B61" s="34" t="s">
        <v>246</v>
      </c>
      <c r="C61" s="34" t="s">
        <v>247</v>
      </c>
      <c r="D61" s="34" t="s">
        <v>132</v>
      </c>
      <c r="E61" s="34" t="s">
        <v>11</v>
      </c>
      <c r="F61" s="34" t="s">
        <v>184</v>
      </c>
      <c r="G61" s="34" t="s">
        <v>192</v>
      </c>
      <c r="H61" s="34" t="s">
        <v>113</v>
      </c>
      <c r="I61" s="34">
        <v>2003033</v>
      </c>
      <c r="J61" s="34">
        <v>0</v>
      </c>
      <c r="K61" s="34">
        <v>0</v>
      </c>
    </row>
    <row r="62" spans="1:11" hidden="1" x14ac:dyDescent="0.3">
      <c r="A62" s="36" t="str">
        <f>VLOOKUP(E62,Table1[[#All],[Campo]],1,0)</f>
        <v>FLG_INTRBSNSS</v>
      </c>
      <c r="B62" s="34" t="s">
        <v>248</v>
      </c>
      <c r="C62" s="34" t="s">
        <v>249</v>
      </c>
      <c r="D62" s="34" t="s">
        <v>132</v>
      </c>
      <c r="E62" s="34" t="s">
        <v>39</v>
      </c>
      <c r="F62" s="34" t="s">
        <v>177</v>
      </c>
      <c r="G62" s="34" t="s">
        <v>192</v>
      </c>
      <c r="H62" s="34" t="s">
        <v>115</v>
      </c>
      <c r="I62" s="34">
        <v>2003033</v>
      </c>
      <c r="J62" s="34">
        <v>2003033</v>
      </c>
      <c r="K62" s="34">
        <v>100</v>
      </c>
    </row>
    <row r="63" spans="1:11" hidden="1" x14ac:dyDescent="0.3">
      <c r="A63" s="36" t="str">
        <f>VLOOKUP(E63,Table1[[#All],[Campo]],1,0)</f>
        <v>INTRBSNSS_ADJ_COD</v>
      </c>
      <c r="B63" s="34" t="s">
        <v>250</v>
      </c>
      <c r="C63" s="34" t="s">
        <v>251</v>
      </c>
      <c r="D63" s="34" t="s">
        <v>132</v>
      </c>
      <c r="E63" s="34" t="s">
        <v>38</v>
      </c>
      <c r="F63" s="34" t="s">
        <v>177</v>
      </c>
      <c r="G63" s="34" t="s">
        <v>192</v>
      </c>
      <c r="H63" s="34" t="s">
        <v>115</v>
      </c>
      <c r="I63" s="34">
        <v>2003033</v>
      </c>
      <c r="J63" s="34">
        <v>2003033</v>
      </c>
      <c r="K63" s="34">
        <v>100</v>
      </c>
    </row>
    <row r="64" spans="1:11" hidden="1" x14ac:dyDescent="0.3">
      <c r="A64" s="36" t="str">
        <f>VLOOKUP(E64,Table1[[#All],[Campo]],1,0)</f>
        <v>COD_SOC_DSTNTN</v>
      </c>
      <c r="B64" s="34" t="s">
        <v>252</v>
      </c>
      <c r="C64" s="34" t="s">
        <v>253</v>
      </c>
      <c r="D64" s="34" t="s">
        <v>132</v>
      </c>
      <c r="E64" s="34" t="s">
        <v>37</v>
      </c>
      <c r="F64" s="34" t="s">
        <v>177</v>
      </c>
      <c r="G64" s="34" t="s">
        <v>192</v>
      </c>
      <c r="H64" s="34" t="s">
        <v>115</v>
      </c>
      <c r="I64" s="34">
        <v>2003033</v>
      </c>
      <c r="J64" s="34">
        <v>2003033</v>
      </c>
      <c r="K64" s="34">
        <v>100</v>
      </c>
    </row>
    <row r="65" spans="1:11" hidden="1" x14ac:dyDescent="0.3">
      <c r="A65" s="36" t="str">
        <f>VLOOKUP(E65,Table1[[#All],[Campo]],1,0)</f>
        <v>BSNSS_AREA_DSTNTN</v>
      </c>
      <c r="B65" s="34" t="s">
        <v>254</v>
      </c>
      <c r="C65" s="34" t="s">
        <v>255</v>
      </c>
      <c r="D65" s="34" t="s">
        <v>132</v>
      </c>
      <c r="E65" s="34" t="s">
        <v>40</v>
      </c>
      <c r="F65" s="34" t="s">
        <v>177</v>
      </c>
      <c r="G65" s="34" t="s">
        <v>192</v>
      </c>
      <c r="H65" s="34" t="s">
        <v>115</v>
      </c>
      <c r="I65" s="34">
        <v>2003033</v>
      </c>
      <c r="J65" s="34">
        <v>2003033</v>
      </c>
      <c r="K65" s="34">
        <v>100</v>
      </c>
    </row>
    <row r="66" spans="1:11" hidden="1" x14ac:dyDescent="0.3">
      <c r="A66" s="36" t="str">
        <f>VLOOKUP(E66,Table1[[#All],[Campo]],1,0)</f>
        <v>AVRG_BLNC_OFF_BLNC</v>
      </c>
      <c r="B66" s="34" t="s">
        <v>256</v>
      </c>
      <c r="C66" s="34" t="s">
        <v>257</v>
      </c>
      <c r="D66" s="34" t="s">
        <v>132</v>
      </c>
      <c r="E66" s="34" t="s">
        <v>25</v>
      </c>
      <c r="F66" s="34" t="s">
        <v>184</v>
      </c>
      <c r="G66" s="34" t="s">
        <v>192</v>
      </c>
      <c r="H66" s="34" t="s">
        <v>113</v>
      </c>
      <c r="I66" s="34">
        <v>2003033</v>
      </c>
      <c r="J66" s="34">
        <v>0</v>
      </c>
      <c r="K66" s="34">
        <v>0</v>
      </c>
    </row>
    <row r="67" spans="1:11" hidden="1" x14ac:dyDescent="0.3">
      <c r="A67" s="36" t="str">
        <f>VLOOKUP(E67,Table1[[#All],[Campo]],1,0)</f>
        <v>INTRNL_TRNSFR_RT_OFF_BLNC</v>
      </c>
      <c r="B67" s="34" t="s">
        <v>258</v>
      </c>
      <c r="C67" s="34" t="s">
        <v>259</v>
      </c>
      <c r="D67" s="34" t="s">
        <v>132</v>
      </c>
      <c r="E67" s="34" t="s">
        <v>33</v>
      </c>
      <c r="F67" s="34" t="s">
        <v>184</v>
      </c>
      <c r="G67" s="34" t="s">
        <v>192</v>
      </c>
      <c r="H67" s="34" t="s">
        <v>113</v>
      </c>
      <c r="I67" s="34">
        <v>2003033</v>
      </c>
      <c r="J67" s="34">
        <v>0</v>
      </c>
      <c r="K67" s="34">
        <v>0</v>
      </c>
    </row>
    <row r="68" spans="1:11" hidden="1" x14ac:dyDescent="0.3">
      <c r="A68" s="36" t="s">
        <v>23</v>
      </c>
      <c r="B68" s="34" t="s">
        <v>260</v>
      </c>
      <c r="C68" s="34" t="s">
        <v>261</v>
      </c>
      <c r="D68" s="34" t="s">
        <v>132</v>
      </c>
      <c r="E68" s="34" t="s">
        <v>262</v>
      </c>
      <c r="F68" s="34" t="s">
        <v>184</v>
      </c>
      <c r="G68" s="34" t="s">
        <v>192</v>
      </c>
      <c r="H68" s="34" t="s">
        <v>113</v>
      </c>
      <c r="I68" s="34">
        <v>2003033</v>
      </c>
      <c r="J68" s="34">
        <v>0</v>
      </c>
      <c r="K68" s="34">
        <v>0</v>
      </c>
    </row>
    <row r="69" spans="1:11" hidden="1" x14ac:dyDescent="0.3">
      <c r="A69" s="36" t="s">
        <v>21</v>
      </c>
      <c r="B69" s="34" t="s">
        <v>263</v>
      </c>
      <c r="C69" s="34" t="s">
        <v>264</v>
      </c>
      <c r="D69" s="34" t="s">
        <v>132</v>
      </c>
      <c r="E69" s="34" t="s">
        <v>265</v>
      </c>
      <c r="F69" s="34" t="s">
        <v>184</v>
      </c>
      <c r="G69" s="34" t="s">
        <v>192</v>
      </c>
      <c r="H69" s="34" t="s">
        <v>113</v>
      </c>
      <c r="I69" s="34">
        <v>2003033</v>
      </c>
      <c r="J69" s="34">
        <v>0</v>
      </c>
      <c r="K69" s="34">
        <v>0</v>
      </c>
    </row>
    <row r="70" spans="1:11" hidden="1" x14ac:dyDescent="0.3">
      <c r="A70" s="36" t="str">
        <f>VLOOKUP(E70,Table1[[#All],[Campo]],1,0)</f>
        <v>RWA_OFF_BLNC</v>
      </c>
      <c r="B70" s="34" t="s">
        <v>266</v>
      </c>
      <c r="C70" s="34" t="s">
        <v>267</v>
      </c>
      <c r="D70" s="34" t="s">
        <v>132</v>
      </c>
      <c r="E70" s="34" t="s">
        <v>35</v>
      </c>
      <c r="F70" s="34" t="s">
        <v>184</v>
      </c>
      <c r="G70" s="34" t="s">
        <v>192</v>
      </c>
      <c r="H70" s="34" t="s">
        <v>113</v>
      </c>
      <c r="I70" s="34">
        <v>2003033</v>
      </c>
      <c r="J70" s="34">
        <v>0</v>
      </c>
      <c r="K70" s="34">
        <v>0</v>
      </c>
    </row>
    <row r="71" spans="1:11" hidden="1" x14ac:dyDescent="0.3">
      <c r="A71" s="36" t="str">
        <f>VLOOKUP(E71,Table1[[#All],[Campo]],1,0)</f>
        <v>GRSS_INTRST_EXPNS</v>
      </c>
      <c r="B71" s="34" t="s">
        <v>268</v>
      </c>
      <c r="C71" s="34" t="s">
        <v>269</v>
      </c>
      <c r="D71" s="34" t="s">
        <v>132</v>
      </c>
      <c r="E71" s="34" t="s">
        <v>13</v>
      </c>
      <c r="F71" s="34" t="s">
        <v>184</v>
      </c>
      <c r="G71" s="34" t="s">
        <v>192</v>
      </c>
      <c r="H71" s="34" t="s">
        <v>113</v>
      </c>
      <c r="I71" s="34">
        <v>2003033</v>
      </c>
      <c r="J71" s="34">
        <v>0</v>
      </c>
      <c r="K71" s="34">
        <v>0</v>
      </c>
    </row>
    <row r="72" spans="1:11" hidden="1" x14ac:dyDescent="0.3">
      <c r="A72" s="36" t="str">
        <f>VLOOKUP(E72,Table1[[#All],[Campo]],1,0)</f>
        <v>NT_LN_LSS_PRVSN_OFF_BLNC</v>
      </c>
      <c r="B72" s="34" t="s">
        <v>270</v>
      </c>
      <c r="C72" s="34" t="s">
        <v>271</v>
      </c>
      <c r="D72" s="34" t="s">
        <v>132</v>
      </c>
      <c r="E72" s="34" t="s">
        <v>26</v>
      </c>
      <c r="F72" s="34" t="s">
        <v>184</v>
      </c>
      <c r="G72" s="34" t="s">
        <v>192</v>
      </c>
      <c r="H72" s="34" t="s">
        <v>113</v>
      </c>
      <c r="I72" s="34">
        <v>2003033</v>
      </c>
      <c r="J72" s="34">
        <v>0</v>
      </c>
      <c r="K72" s="34">
        <v>0</v>
      </c>
    </row>
    <row r="73" spans="1:11" hidden="1" x14ac:dyDescent="0.3">
      <c r="A73" s="36" t="str">
        <f>VLOOKUP(E73,Table1[[#All],[Campo]],1,0)</f>
        <v>GRSS_INTRST_INCM_CCRR</v>
      </c>
      <c r="B73" s="34" t="s">
        <v>272</v>
      </c>
      <c r="C73" s="34" t="s">
        <v>273</v>
      </c>
      <c r="D73" s="34" t="s">
        <v>132</v>
      </c>
      <c r="E73" s="34" t="s">
        <v>27</v>
      </c>
      <c r="F73" s="34" t="s">
        <v>184</v>
      </c>
      <c r="G73" s="34" t="s">
        <v>192</v>
      </c>
      <c r="H73" s="34" t="s">
        <v>113</v>
      </c>
      <c r="I73" s="34">
        <v>2003033</v>
      </c>
      <c r="J73" s="34">
        <v>0</v>
      </c>
      <c r="K73" s="34">
        <v>0</v>
      </c>
    </row>
    <row r="74" spans="1:11" hidden="1" x14ac:dyDescent="0.3">
      <c r="A74" s="36" t="str">
        <f>VLOOKUP(E74,Table1[[#All],[Campo]],1,0)</f>
        <v>GRSS_INTRST_EXPNS_CCRR</v>
      </c>
      <c r="B74" s="34" t="s">
        <v>274</v>
      </c>
      <c r="C74" s="34" t="s">
        <v>275</v>
      </c>
      <c r="D74" s="34" t="s">
        <v>132</v>
      </c>
      <c r="E74" s="34" t="s">
        <v>91</v>
      </c>
      <c r="F74" s="34" t="s">
        <v>184</v>
      </c>
      <c r="G74" s="34" t="s">
        <v>192</v>
      </c>
      <c r="H74" s="34" t="s">
        <v>113</v>
      </c>
      <c r="I74" s="34">
        <v>2003033</v>
      </c>
      <c r="J74" s="34">
        <v>0</v>
      </c>
      <c r="K74" s="34">
        <v>0</v>
      </c>
    </row>
    <row r="75" spans="1:11" hidden="1" x14ac:dyDescent="0.3">
      <c r="A75" s="36" t="s">
        <v>95</v>
      </c>
      <c r="B75" s="34" t="s">
        <v>276</v>
      </c>
      <c r="C75" s="34" t="s">
        <v>277</v>
      </c>
      <c r="D75" s="34" t="s">
        <v>132</v>
      </c>
      <c r="E75" s="34" t="s">
        <v>278</v>
      </c>
      <c r="F75" s="34" t="s">
        <v>184</v>
      </c>
      <c r="G75" s="34" t="s">
        <v>192</v>
      </c>
      <c r="H75" s="34" t="s">
        <v>113</v>
      </c>
      <c r="I75" s="34">
        <v>2003033</v>
      </c>
      <c r="J75" s="34">
        <v>0</v>
      </c>
      <c r="K75" s="34">
        <v>0</v>
      </c>
    </row>
    <row r="76" spans="1:11" hidden="1" x14ac:dyDescent="0.3">
      <c r="A76" s="36" t="s">
        <v>96</v>
      </c>
      <c r="B76" s="34" t="s">
        <v>279</v>
      </c>
      <c r="C76" s="34" t="s">
        <v>280</v>
      </c>
      <c r="D76" s="34" t="s">
        <v>132</v>
      </c>
      <c r="E76" s="34" t="s">
        <v>281</v>
      </c>
      <c r="F76" s="34" t="s">
        <v>184</v>
      </c>
      <c r="G76" s="34" t="s">
        <v>192</v>
      </c>
      <c r="H76" s="34" t="s">
        <v>113</v>
      </c>
      <c r="I76" s="34">
        <v>2003033</v>
      </c>
      <c r="J76" s="34">
        <v>0</v>
      </c>
      <c r="K76" s="34">
        <v>0</v>
      </c>
    </row>
    <row r="77" spans="1:11" hidden="1" x14ac:dyDescent="0.3">
      <c r="A77" s="36" t="str">
        <f>VLOOKUP(E77,Table1[[#All],[Campo]],1,0)</f>
        <v>GNS_FNNCL_TRNSCTN_EXCHNG_CCRR</v>
      </c>
      <c r="B77" s="34" t="s">
        <v>282</v>
      </c>
      <c r="C77" s="34" t="s">
        <v>283</v>
      </c>
      <c r="D77" s="34" t="s">
        <v>132</v>
      </c>
      <c r="E77" s="34" t="s">
        <v>97</v>
      </c>
      <c r="F77" s="34" t="s">
        <v>184</v>
      </c>
      <c r="G77" s="34" t="s">
        <v>192</v>
      </c>
      <c r="H77" s="34" t="s">
        <v>113</v>
      </c>
      <c r="I77" s="34">
        <v>2003033</v>
      </c>
      <c r="J77" s="34">
        <v>0</v>
      </c>
      <c r="K77" s="34">
        <v>0</v>
      </c>
    </row>
    <row r="78" spans="1:11" hidden="1" x14ac:dyDescent="0.3">
      <c r="A78" s="36" t="str">
        <f>VLOOKUP(E78,Table1[[#All],[Campo]],1,0)</f>
        <v>BSNSS_AREA_CCRR</v>
      </c>
      <c r="B78" s="34" t="s">
        <v>284</v>
      </c>
      <c r="C78" s="34" t="s">
        <v>285</v>
      </c>
      <c r="D78" s="34" t="s">
        <v>132</v>
      </c>
      <c r="E78" s="34" t="s">
        <v>92</v>
      </c>
      <c r="F78" s="34" t="s">
        <v>177</v>
      </c>
      <c r="G78" s="34" t="s">
        <v>192</v>
      </c>
      <c r="H78" s="34" t="s">
        <v>115</v>
      </c>
      <c r="I78" s="34">
        <v>2003033</v>
      </c>
      <c r="J78" s="34">
        <v>2003033</v>
      </c>
      <c r="K78" s="34">
        <v>100</v>
      </c>
    </row>
    <row r="79" spans="1:11" hidden="1" x14ac:dyDescent="0.3">
      <c r="A79" s="36" t="s">
        <v>94</v>
      </c>
      <c r="B79" s="34" t="s">
        <v>286</v>
      </c>
      <c r="C79" s="34" t="s">
        <v>287</v>
      </c>
      <c r="D79" s="34" t="s">
        <v>132</v>
      </c>
      <c r="E79" s="34" t="s">
        <v>288</v>
      </c>
      <c r="F79" s="34" t="s">
        <v>184</v>
      </c>
      <c r="G79" s="34" t="s">
        <v>192</v>
      </c>
      <c r="H79" s="34" t="s">
        <v>113</v>
      </c>
      <c r="I79" s="34">
        <v>2003033</v>
      </c>
      <c r="J79" s="34">
        <v>0</v>
      </c>
      <c r="K79" s="34">
        <v>0</v>
      </c>
    </row>
    <row r="80" spans="1:11" hidden="1" x14ac:dyDescent="0.3">
      <c r="A80" s="36" t="s">
        <v>93</v>
      </c>
      <c r="B80" s="34" t="s">
        <v>289</v>
      </c>
      <c r="C80" s="34" t="s">
        <v>290</v>
      </c>
      <c r="D80" s="34" t="s">
        <v>132</v>
      </c>
      <c r="E80" s="34" t="s">
        <v>291</v>
      </c>
      <c r="F80" s="34" t="s">
        <v>184</v>
      </c>
      <c r="G80" s="34" t="s">
        <v>192</v>
      </c>
      <c r="H80" s="34" t="s">
        <v>113</v>
      </c>
      <c r="I80" s="34">
        <v>2003033</v>
      </c>
      <c r="J80" s="34">
        <v>0</v>
      </c>
      <c r="K80" s="34">
        <v>0</v>
      </c>
    </row>
    <row r="81" spans="1:11" hidden="1" x14ac:dyDescent="0.3">
      <c r="A81" s="36" t="s">
        <v>6</v>
      </c>
      <c r="B81" s="34" t="s">
        <v>292</v>
      </c>
      <c r="C81" s="34" t="s">
        <v>293</v>
      </c>
      <c r="D81" s="34" t="s">
        <v>132</v>
      </c>
      <c r="E81" s="34" t="s">
        <v>154</v>
      </c>
      <c r="F81" s="34" t="s">
        <v>177</v>
      </c>
      <c r="G81" s="34" t="s">
        <v>192</v>
      </c>
      <c r="H81" s="34" t="s">
        <v>115</v>
      </c>
      <c r="I81" s="34">
        <v>2003033</v>
      </c>
      <c r="J81" s="34">
        <v>2003033</v>
      </c>
      <c r="K81" s="34">
        <v>100</v>
      </c>
    </row>
    <row r="82" spans="1:11" hidden="1" x14ac:dyDescent="0.3">
      <c r="A82" s="36" t="str">
        <f>VLOOKUP(E82,Table1[[#All],[Campo]],1,0)</f>
        <v>IDCMB</v>
      </c>
      <c r="B82" s="34" t="s">
        <v>294</v>
      </c>
      <c r="C82" s="34" t="s">
        <v>295</v>
      </c>
      <c r="D82" s="34" t="s">
        <v>132</v>
      </c>
      <c r="E82" s="34" t="s">
        <v>52</v>
      </c>
      <c r="F82" s="34" t="s">
        <v>177</v>
      </c>
      <c r="G82" s="34" t="s">
        <v>192</v>
      </c>
      <c r="H82" s="34" t="s">
        <v>115</v>
      </c>
      <c r="I82" s="34">
        <v>2003033</v>
      </c>
      <c r="J82" s="34">
        <v>2003033</v>
      </c>
      <c r="K82" s="34">
        <v>100</v>
      </c>
    </row>
    <row r="83" spans="1:11" hidden="1" x14ac:dyDescent="0.3">
      <c r="A83" s="36" t="str">
        <f>VLOOKUP(E83,Table1[[#All],[Campo]],1,0)</f>
        <v>COD_SOC</v>
      </c>
      <c r="B83" s="34" t="s">
        <v>296</v>
      </c>
      <c r="C83" s="34" t="s">
        <v>176</v>
      </c>
      <c r="D83" s="34" t="s">
        <v>173</v>
      </c>
      <c r="E83" s="34" t="s">
        <v>59</v>
      </c>
      <c r="F83" s="34" t="s">
        <v>177</v>
      </c>
      <c r="G83" s="34" t="s">
        <v>297</v>
      </c>
      <c r="H83" s="34" t="s">
        <v>113</v>
      </c>
      <c r="I83" s="34">
        <v>731165</v>
      </c>
      <c r="J83" s="34">
        <v>0</v>
      </c>
      <c r="K83" s="34">
        <v>0</v>
      </c>
    </row>
    <row r="84" spans="1:11" hidden="1" x14ac:dyDescent="0.3">
      <c r="A84" s="36" t="str">
        <f>VLOOKUP(E84,Table1[[#All],[Campo]],1,0)</f>
        <v>DT_RFRNC</v>
      </c>
      <c r="B84" s="34" t="s">
        <v>298</v>
      </c>
      <c r="C84" s="34" t="s">
        <v>188</v>
      </c>
      <c r="D84" s="34" t="s">
        <v>173</v>
      </c>
      <c r="E84" s="34" t="s">
        <v>56</v>
      </c>
      <c r="F84" s="34" t="s">
        <v>179</v>
      </c>
      <c r="G84" s="34" t="s">
        <v>297</v>
      </c>
      <c r="H84" s="34" t="s">
        <v>113</v>
      </c>
      <c r="I84" s="34">
        <v>731165</v>
      </c>
      <c r="J84" s="34">
        <v>0</v>
      </c>
      <c r="K84" s="34">
        <v>0</v>
      </c>
    </row>
    <row r="85" spans="1:11" hidden="1" x14ac:dyDescent="0.3">
      <c r="A85" s="36" t="str">
        <f>VLOOKUP(E85,Table1[[#All],[Campo]],1,0)</f>
        <v>INSTRMNT_ID</v>
      </c>
      <c r="B85" s="34" t="s">
        <v>299</v>
      </c>
      <c r="C85" s="34" t="s">
        <v>190</v>
      </c>
      <c r="D85" s="34" t="s">
        <v>173</v>
      </c>
      <c r="E85" s="34" t="s">
        <v>50</v>
      </c>
      <c r="F85" s="34" t="s">
        <v>182</v>
      </c>
      <c r="G85" s="34" t="s">
        <v>297</v>
      </c>
      <c r="H85" s="34" t="s">
        <v>113</v>
      </c>
      <c r="I85" s="34">
        <v>731165</v>
      </c>
      <c r="J85" s="34">
        <v>0</v>
      </c>
      <c r="K85" s="34">
        <v>0</v>
      </c>
    </row>
    <row r="86" spans="1:11" hidden="1" x14ac:dyDescent="0.3">
      <c r="A86" s="36" t="str">
        <f>VLOOKUP(E86,Table1[[#All],[Campo]],1,0)</f>
        <v>COD_SOC</v>
      </c>
      <c r="B86" s="34" t="s">
        <v>300</v>
      </c>
      <c r="C86" s="34" t="s">
        <v>176</v>
      </c>
      <c r="D86" s="34" t="s">
        <v>174</v>
      </c>
      <c r="E86" s="34" t="s">
        <v>59</v>
      </c>
      <c r="F86" s="34" t="s">
        <v>177</v>
      </c>
      <c r="G86" s="34" t="s">
        <v>301</v>
      </c>
      <c r="H86" s="34" t="s">
        <v>113</v>
      </c>
      <c r="I86" s="34">
        <v>456960</v>
      </c>
      <c r="J86" s="34">
        <v>0</v>
      </c>
      <c r="K86" s="34">
        <v>0</v>
      </c>
    </row>
    <row r="87" spans="1:11" hidden="1" x14ac:dyDescent="0.3">
      <c r="A87" s="36" t="str">
        <f>VLOOKUP(E87,Table1[[#All],[Campo]],1,0)</f>
        <v>DT_RFRNC</v>
      </c>
      <c r="B87" s="34" t="s">
        <v>302</v>
      </c>
      <c r="C87" s="34" t="s">
        <v>188</v>
      </c>
      <c r="D87" s="34" t="s">
        <v>174</v>
      </c>
      <c r="E87" s="34" t="s">
        <v>56</v>
      </c>
      <c r="F87" s="34" t="s">
        <v>179</v>
      </c>
      <c r="G87" s="34" t="s">
        <v>301</v>
      </c>
      <c r="H87" s="34" t="s">
        <v>113</v>
      </c>
      <c r="I87" s="34">
        <v>456960</v>
      </c>
      <c r="J87" s="34">
        <v>0</v>
      </c>
      <c r="K87" s="34">
        <v>0</v>
      </c>
    </row>
    <row r="88" spans="1:11" hidden="1" x14ac:dyDescent="0.3">
      <c r="A88" s="36" t="str">
        <f>VLOOKUP(E88,Table1[[#All],[Campo]],1,0)</f>
        <v>INSTRMNT_ID</v>
      </c>
      <c r="B88" s="34" t="s">
        <v>305</v>
      </c>
      <c r="C88" s="34" t="s">
        <v>306</v>
      </c>
      <c r="D88" s="34" t="s">
        <v>168</v>
      </c>
      <c r="E88" s="34" t="s">
        <v>50</v>
      </c>
      <c r="F88" s="34" t="s">
        <v>303</v>
      </c>
      <c r="G88" s="34" t="s">
        <v>304</v>
      </c>
      <c r="H88" s="34" t="s">
        <v>113</v>
      </c>
      <c r="I88" s="34">
        <v>2490665</v>
      </c>
      <c r="J88" s="34">
        <v>0</v>
      </c>
      <c r="K88" s="34">
        <v>0</v>
      </c>
    </row>
    <row r="89" spans="1:11" hidden="1" x14ac:dyDescent="0.3">
      <c r="A89" s="36" t="str">
        <f>VLOOKUP(E89,Table1[[#All],[Campo]],1,0)</f>
        <v>TYP_INSTRMNT</v>
      </c>
      <c r="B89" s="34" t="s">
        <v>307</v>
      </c>
      <c r="C89" s="34" t="s">
        <v>308</v>
      </c>
      <c r="D89" s="34" t="s">
        <v>132</v>
      </c>
      <c r="E89" s="34" t="s">
        <v>44</v>
      </c>
      <c r="F89" s="34" t="s">
        <v>303</v>
      </c>
      <c r="G89" s="34" t="s">
        <v>304</v>
      </c>
      <c r="H89" s="34" t="s">
        <v>113</v>
      </c>
      <c r="I89" s="34">
        <v>2001306</v>
      </c>
      <c r="J89" s="34">
        <v>0</v>
      </c>
      <c r="K89" s="34">
        <v>0</v>
      </c>
    </row>
    <row r="90" spans="1:11" hidden="1" x14ac:dyDescent="0.3">
      <c r="A90" s="36" t="str">
        <f>VLOOKUP(E90,Table1[[#All],[Campo]],1,0)</f>
        <v>INSTRMNT_ID</v>
      </c>
      <c r="B90" s="34" t="s">
        <v>309</v>
      </c>
      <c r="C90" s="34" t="s">
        <v>310</v>
      </c>
      <c r="D90" s="34" t="s">
        <v>173</v>
      </c>
      <c r="E90" s="34" t="s">
        <v>50</v>
      </c>
      <c r="F90" s="34" t="s">
        <v>303</v>
      </c>
      <c r="G90" s="34" t="s">
        <v>304</v>
      </c>
      <c r="H90" s="34" t="s">
        <v>113</v>
      </c>
      <c r="I90" s="34">
        <v>731165</v>
      </c>
      <c r="J90" s="34">
        <v>0</v>
      </c>
      <c r="K90" s="34">
        <v>0</v>
      </c>
    </row>
    <row r="91" spans="1:11" hidden="1" x14ac:dyDescent="0.3">
      <c r="A91" s="36" t="str">
        <f>VLOOKUP(E91,Table1[[#All],[Campo]],1,0)</f>
        <v>DT_RFRNC</v>
      </c>
      <c r="B91" s="34" t="s">
        <v>311</v>
      </c>
      <c r="C91" s="34" t="s">
        <v>312</v>
      </c>
      <c r="D91" s="34" t="s">
        <v>110</v>
      </c>
      <c r="E91" s="34" t="s">
        <v>56</v>
      </c>
      <c r="F91" s="34" t="s">
        <v>313</v>
      </c>
      <c r="G91" s="34" t="s">
        <v>314</v>
      </c>
      <c r="H91" s="34" t="s">
        <v>113</v>
      </c>
      <c r="I91" s="34">
        <v>1096295</v>
      </c>
      <c r="J91" s="34">
        <v>0</v>
      </c>
      <c r="K91" s="34">
        <v>0</v>
      </c>
    </row>
    <row r="92" spans="1:11" hidden="1" x14ac:dyDescent="0.3">
      <c r="A92" s="36" t="str">
        <f>VLOOKUP(E92,Table1[[#All],[Campo]],1,0)</f>
        <v>DT_RFRNC</v>
      </c>
      <c r="B92" s="34" t="s">
        <v>316</v>
      </c>
      <c r="C92" s="34" t="s">
        <v>317</v>
      </c>
      <c r="D92" s="34" t="s">
        <v>121</v>
      </c>
      <c r="E92" s="34" t="s">
        <v>56</v>
      </c>
      <c r="F92" s="34" t="s">
        <v>313</v>
      </c>
      <c r="G92" s="34" t="s">
        <v>318</v>
      </c>
      <c r="H92" s="34" t="s">
        <v>113</v>
      </c>
      <c r="I92" s="34">
        <v>2490665</v>
      </c>
      <c r="J92" s="34">
        <v>0</v>
      </c>
      <c r="K92" s="34">
        <v>0</v>
      </c>
    </row>
    <row r="93" spans="1:11" hidden="1" x14ac:dyDescent="0.3">
      <c r="A93" s="36" t="str">
        <f>VLOOKUP(E93,Table1[[#All],[Campo]],1,0)</f>
        <v>DT_RFRNC</v>
      </c>
      <c r="B93" s="34" t="s">
        <v>319</v>
      </c>
      <c r="C93" s="34" t="s">
        <v>317</v>
      </c>
      <c r="D93" s="34" t="s">
        <v>128</v>
      </c>
      <c r="E93" s="34" t="s">
        <v>56</v>
      </c>
      <c r="F93" s="34" t="s">
        <v>313</v>
      </c>
      <c r="G93" s="34" t="s">
        <v>320</v>
      </c>
      <c r="H93" s="34" t="s">
        <v>113</v>
      </c>
      <c r="I93" s="34">
        <v>2002411</v>
      </c>
      <c r="J93" s="34">
        <v>0</v>
      </c>
      <c r="K93" s="34">
        <v>0</v>
      </c>
    </row>
    <row r="94" spans="1:11" hidden="1" x14ac:dyDescent="0.3">
      <c r="A94" s="36" t="str">
        <f>VLOOKUP(E94,Table1[[#All],[Campo]],1,0)</f>
        <v>IMPRMNT_STTS</v>
      </c>
      <c r="B94" s="34" t="s">
        <v>321</v>
      </c>
      <c r="C94" s="34" t="s">
        <v>322</v>
      </c>
      <c r="D94" s="34" t="s">
        <v>128</v>
      </c>
      <c r="E94" s="34" t="s">
        <v>51</v>
      </c>
      <c r="F94" s="34" t="s">
        <v>177</v>
      </c>
      <c r="G94" s="34" t="s">
        <v>320</v>
      </c>
      <c r="H94" s="34" t="s">
        <v>113</v>
      </c>
      <c r="I94" s="34">
        <v>2002411</v>
      </c>
      <c r="J94" s="34">
        <v>0</v>
      </c>
      <c r="K94" s="34">
        <v>0</v>
      </c>
    </row>
    <row r="95" spans="1:11" hidden="1" x14ac:dyDescent="0.3">
      <c r="A95" s="36" t="str">
        <f>VLOOKUP(E95,Table1[[#All],[Campo]],1,0)</f>
        <v>RWA_OFF_BLNC</v>
      </c>
      <c r="B95" s="34" t="s">
        <v>324</v>
      </c>
      <c r="C95" s="34" t="s">
        <v>325</v>
      </c>
      <c r="D95" s="34" t="s">
        <v>128</v>
      </c>
      <c r="E95" s="34" t="s">
        <v>35</v>
      </c>
      <c r="F95" s="34" t="s">
        <v>177</v>
      </c>
      <c r="G95" s="34" t="s">
        <v>320</v>
      </c>
      <c r="H95" s="34" t="s">
        <v>113</v>
      </c>
      <c r="I95" s="34">
        <v>2002411</v>
      </c>
      <c r="J95" s="34">
        <v>0</v>
      </c>
      <c r="K95" s="34">
        <v>0</v>
      </c>
    </row>
    <row r="96" spans="1:11" hidden="1" x14ac:dyDescent="0.3">
      <c r="A96" s="36" t="str">
        <f>VLOOKUP(E96,Table1[[#All],[Campo]],1,0)</f>
        <v>DT_RFRNC</v>
      </c>
      <c r="B96" s="34" t="s">
        <v>326</v>
      </c>
      <c r="C96" s="34" t="s">
        <v>317</v>
      </c>
      <c r="D96" s="34" t="s">
        <v>158</v>
      </c>
      <c r="E96" s="34" t="s">
        <v>56</v>
      </c>
      <c r="F96" s="34" t="s">
        <v>313</v>
      </c>
      <c r="G96" s="34" t="s">
        <v>327</v>
      </c>
      <c r="H96" s="34" t="s">
        <v>113</v>
      </c>
      <c r="I96" s="34">
        <v>731165</v>
      </c>
      <c r="J96" s="34">
        <v>0</v>
      </c>
      <c r="K96" s="34">
        <v>0</v>
      </c>
    </row>
    <row r="97" spans="1:11" hidden="1" x14ac:dyDescent="0.3">
      <c r="A97" s="36" t="str">
        <f>VLOOKUP(E97,Table1[[#All],[Campo]],1,0)</f>
        <v>DT_RFRNC</v>
      </c>
      <c r="B97" s="34" t="s">
        <v>328</v>
      </c>
      <c r="C97" s="34" t="s">
        <v>317</v>
      </c>
      <c r="D97" s="34" t="s">
        <v>163</v>
      </c>
      <c r="E97" s="34" t="s">
        <v>56</v>
      </c>
      <c r="F97" s="34" t="s">
        <v>313</v>
      </c>
      <c r="G97" s="34" t="s">
        <v>329</v>
      </c>
      <c r="H97" s="34" t="s">
        <v>113</v>
      </c>
      <c r="I97" s="34">
        <v>456960</v>
      </c>
      <c r="J97" s="34">
        <v>0</v>
      </c>
      <c r="K97" s="34">
        <v>0</v>
      </c>
    </row>
    <row r="98" spans="1:11" hidden="1" x14ac:dyDescent="0.3">
      <c r="A98" s="36" t="str">
        <f>VLOOKUP(E98,Table1[[#All],[Campo]],1,0)</f>
        <v>DT_RFRNC</v>
      </c>
      <c r="B98" s="34" t="s">
        <v>331</v>
      </c>
      <c r="C98" s="34" t="s">
        <v>332</v>
      </c>
      <c r="D98" s="34" t="s">
        <v>114</v>
      </c>
      <c r="E98" s="34" t="s">
        <v>56</v>
      </c>
      <c r="F98" s="34" t="s">
        <v>313</v>
      </c>
      <c r="G98" s="34" t="s">
        <v>330</v>
      </c>
      <c r="H98" s="34" t="s">
        <v>113</v>
      </c>
      <c r="I98" s="34">
        <v>1096295</v>
      </c>
      <c r="J98" s="34">
        <v>0</v>
      </c>
      <c r="K98" s="34">
        <v>0</v>
      </c>
    </row>
    <row r="99" spans="1:11" hidden="1" x14ac:dyDescent="0.3">
      <c r="A99" s="36" t="str">
        <f>VLOOKUP(E99,Table1[[#All],[Campo]],1,0)</f>
        <v>DT_RFRNC</v>
      </c>
      <c r="B99" s="34" t="s">
        <v>333</v>
      </c>
      <c r="C99" s="34" t="s">
        <v>332</v>
      </c>
      <c r="D99" s="34" t="s">
        <v>168</v>
      </c>
      <c r="E99" s="34" t="s">
        <v>56</v>
      </c>
      <c r="F99" s="34" t="s">
        <v>313</v>
      </c>
      <c r="G99" s="34" t="s">
        <v>334</v>
      </c>
      <c r="H99" s="34" t="s">
        <v>113</v>
      </c>
      <c r="I99" s="34">
        <v>2490665</v>
      </c>
      <c r="J99" s="34">
        <v>0</v>
      </c>
      <c r="K99" s="34">
        <v>0</v>
      </c>
    </row>
    <row r="100" spans="1:11" hidden="1" x14ac:dyDescent="0.3">
      <c r="A100" s="36" t="str">
        <f>VLOOKUP(E100,Table1[[#All],[Campo]],1,0)</f>
        <v>DT_RFRNC</v>
      </c>
      <c r="B100" s="34" t="s">
        <v>335</v>
      </c>
      <c r="C100" s="34" t="s">
        <v>332</v>
      </c>
      <c r="D100" s="34" t="s">
        <v>132</v>
      </c>
      <c r="E100" s="34" t="s">
        <v>56</v>
      </c>
      <c r="F100" s="34" t="s">
        <v>313</v>
      </c>
      <c r="G100" s="34" t="s">
        <v>336</v>
      </c>
      <c r="H100" s="34" t="s">
        <v>113</v>
      </c>
      <c r="I100" s="34">
        <v>2002411</v>
      </c>
      <c r="J100" s="34">
        <v>0</v>
      </c>
      <c r="K100" s="34">
        <v>0</v>
      </c>
    </row>
    <row r="101" spans="1:11" hidden="1" x14ac:dyDescent="0.3">
      <c r="A101" s="36" t="str">
        <f>VLOOKUP(E101,Table1[[#All],[Campo]],1,0)</f>
        <v>GRSS_CRRYNG_AMNT_INSTRMNT</v>
      </c>
      <c r="B101" s="34" t="s">
        <v>337</v>
      </c>
      <c r="C101" s="34" t="s">
        <v>338</v>
      </c>
      <c r="D101" s="34" t="s">
        <v>132</v>
      </c>
      <c r="E101" s="34" t="s">
        <v>53</v>
      </c>
      <c r="F101" s="34" t="s">
        <v>315</v>
      </c>
      <c r="G101" s="34" t="s">
        <v>336</v>
      </c>
      <c r="H101" s="34" t="s">
        <v>115</v>
      </c>
      <c r="I101" s="34">
        <v>2002411</v>
      </c>
      <c r="J101" s="34">
        <v>31379</v>
      </c>
      <c r="K101" s="34">
        <v>1.5670999999999999</v>
      </c>
    </row>
    <row r="102" spans="1:11" hidden="1" x14ac:dyDescent="0.3">
      <c r="A102" s="36" t="str">
        <f>VLOOKUP(E102,Table1[[#All],[Campo]],1,0)</f>
        <v>ACCMLTD_CHNGS_FV_CR_INSTRMNT</v>
      </c>
      <c r="B102" s="34" t="s">
        <v>339</v>
      </c>
      <c r="C102" s="34" t="s">
        <v>340</v>
      </c>
      <c r="D102" s="34" t="s">
        <v>132</v>
      </c>
      <c r="E102" s="34" t="s">
        <v>68</v>
      </c>
      <c r="F102" s="34" t="s">
        <v>315</v>
      </c>
      <c r="G102" s="34" t="s">
        <v>336</v>
      </c>
      <c r="H102" s="34" t="s">
        <v>113</v>
      </c>
      <c r="I102" s="34">
        <v>2002411</v>
      </c>
      <c r="J102" s="34">
        <v>0</v>
      </c>
      <c r="K102" s="34">
        <v>0</v>
      </c>
    </row>
    <row r="103" spans="1:11" hidden="1" x14ac:dyDescent="0.3">
      <c r="A103" s="36" t="str">
        <f>VLOOKUP(E103,Table1[[#All],[Campo]],1,0)</f>
        <v>OFF_BLNC_SHT_AMNT_INSTRMNT</v>
      </c>
      <c r="B103" s="34" t="s">
        <v>341</v>
      </c>
      <c r="C103" s="34" t="s">
        <v>342</v>
      </c>
      <c r="D103" s="34" t="s">
        <v>132</v>
      </c>
      <c r="E103" s="34" t="s">
        <v>48</v>
      </c>
      <c r="F103" s="34" t="s">
        <v>315</v>
      </c>
      <c r="G103" s="34" t="s">
        <v>336</v>
      </c>
      <c r="H103" s="34" t="s">
        <v>113</v>
      </c>
      <c r="I103" s="34">
        <v>2002411</v>
      </c>
      <c r="J103" s="34">
        <v>0</v>
      </c>
      <c r="K103" s="34">
        <v>0</v>
      </c>
    </row>
    <row r="104" spans="1:11" hidden="1" x14ac:dyDescent="0.3">
      <c r="A104" s="36" t="str">
        <f>VLOOKUP(E104,Table1[[#All],[Campo]],1,0)</f>
        <v>PRVSNS_OFF_BLNC_SHT</v>
      </c>
      <c r="B104" s="34" t="s">
        <v>343</v>
      </c>
      <c r="C104" s="34" t="s">
        <v>344</v>
      </c>
      <c r="D104" s="34" t="s">
        <v>132</v>
      </c>
      <c r="E104" s="34" t="s">
        <v>46</v>
      </c>
      <c r="F104" s="34" t="s">
        <v>315</v>
      </c>
      <c r="G104" s="34" t="s">
        <v>336</v>
      </c>
      <c r="H104" s="34" t="s">
        <v>113</v>
      </c>
      <c r="I104" s="34">
        <v>2002411</v>
      </c>
      <c r="J104" s="34">
        <v>0</v>
      </c>
      <c r="K104" s="34">
        <v>0</v>
      </c>
    </row>
    <row r="105" spans="1:11" hidden="1" x14ac:dyDescent="0.3">
      <c r="A105" s="36" t="str">
        <f>VLOOKUP(E105,Table1[[#All],[Campo]],1,0)</f>
        <v>RWA</v>
      </c>
      <c r="B105" s="34" t="s">
        <v>345</v>
      </c>
      <c r="C105" s="34" t="s">
        <v>346</v>
      </c>
      <c r="D105" s="34" t="s">
        <v>132</v>
      </c>
      <c r="E105" s="34" t="s">
        <v>43</v>
      </c>
      <c r="F105" s="34" t="s">
        <v>315</v>
      </c>
      <c r="G105" s="34" t="s">
        <v>336</v>
      </c>
      <c r="H105" s="34" t="s">
        <v>113</v>
      </c>
      <c r="I105" s="34">
        <v>2002411</v>
      </c>
      <c r="J105" s="34">
        <v>0</v>
      </c>
      <c r="K105" s="34">
        <v>0</v>
      </c>
    </row>
    <row r="106" spans="1:11" hidden="1" x14ac:dyDescent="0.3">
      <c r="A106" s="36" t="str">
        <f>VLOOKUP(E106,Table1[[#All],[Campo]],1,0)</f>
        <v>ACCMLTD_IMPRMNT_INSTRMNT</v>
      </c>
      <c r="B106" s="34" t="s">
        <v>347</v>
      </c>
      <c r="C106" s="34" t="s">
        <v>348</v>
      </c>
      <c r="D106" s="34" t="s">
        <v>132</v>
      </c>
      <c r="E106" s="34" t="s">
        <v>65</v>
      </c>
      <c r="F106" s="34" t="s">
        <v>315</v>
      </c>
      <c r="G106" s="34" t="s">
        <v>336</v>
      </c>
      <c r="H106" s="34" t="s">
        <v>113</v>
      </c>
      <c r="I106" s="34">
        <v>2002411</v>
      </c>
      <c r="J106" s="34">
        <v>0</v>
      </c>
      <c r="K106" s="34">
        <v>0</v>
      </c>
    </row>
    <row r="107" spans="1:11" hidden="1" x14ac:dyDescent="0.3">
      <c r="A107" s="36" t="str">
        <f>VLOOKUP(E107,Table1[[#All],[Campo]],1,0)</f>
        <v>AVRG_BLNC</v>
      </c>
      <c r="B107" s="34" t="s">
        <v>349</v>
      </c>
      <c r="C107" s="34" t="s">
        <v>350</v>
      </c>
      <c r="D107" s="34" t="s">
        <v>132</v>
      </c>
      <c r="E107" s="34" t="s">
        <v>31</v>
      </c>
      <c r="F107" s="34" t="s">
        <v>315</v>
      </c>
      <c r="G107" s="34" t="s">
        <v>336</v>
      </c>
      <c r="H107" s="34" t="s">
        <v>113</v>
      </c>
      <c r="I107" s="34">
        <v>2002411</v>
      </c>
      <c r="J107" s="34">
        <v>0</v>
      </c>
      <c r="K107" s="34">
        <v>0</v>
      </c>
    </row>
    <row r="108" spans="1:11" hidden="1" x14ac:dyDescent="0.3">
      <c r="A108" s="36" t="str">
        <f>VLOOKUP(E108,Table1[[#All],[Campo]],1,0)</f>
        <v>GRSS_INTRST_INCM</v>
      </c>
      <c r="B108" s="34" t="s">
        <v>351</v>
      </c>
      <c r="C108" s="34" t="s">
        <v>352</v>
      </c>
      <c r="D108" s="34" t="s">
        <v>132</v>
      </c>
      <c r="E108" s="34" t="s">
        <v>19</v>
      </c>
      <c r="F108" s="34" t="s">
        <v>315</v>
      </c>
      <c r="G108" s="34" t="s">
        <v>336</v>
      </c>
      <c r="H108" s="34" t="s">
        <v>113</v>
      </c>
      <c r="I108" s="34">
        <v>2002411</v>
      </c>
      <c r="J108" s="34">
        <v>0</v>
      </c>
      <c r="K108" s="34">
        <v>0</v>
      </c>
    </row>
    <row r="109" spans="1:11" hidden="1" x14ac:dyDescent="0.3">
      <c r="A109" s="36" t="s">
        <v>18</v>
      </c>
      <c r="B109" s="34" t="s">
        <v>353</v>
      </c>
      <c r="C109" s="34" t="s">
        <v>354</v>
      </c>
      <c r="D109" s="34" t="s">
        <v>132</v>
      </c>
      <c r="E109" s="34" t="s">
        <v>234</v>
      </c>
      <c r="F109" s="34" t="s">
        <v>315</v>
      </c>
      <c r="G109" s="34" t="s">
        <v>336</v>
      </c>
      <c r="H109" s="34" t="s">
        <v>113</v>
      </c>
      <c r="I109" s="34">
        <v>2002411</v>
      </c>
      <c r="J109" s="34">
        <v>0</v>
      </c>
      <c r="K109" s="34">
        <v>0</v>
      </c>
    </row>
    <row r="110" spans="1:11" hidden="1" x14ac:dyDescent="0.3">
      <c r="A110" s="36" t="str">
        <f>VLOOKUP(E110,Table1[[#All],[Campo]],1,0)</f>
        <v>INTRNL_TRNSFR_RT</v>
      </c>
      <c r="B110" s="34" t="s">
        <v>355</v>
      </c>
      <c r="C110" s="34" t="s">
        <v>356</v>
      </c>
      <c r="D110" s="34" t="s">
        <v>132</v>
      </c>
      <c r="E110" s="34" t="s">
        <v>16</v>
      </c>
      <c r="F110" s="34" t="s">
        <v>315</v>
      </c>
      <c r="G110" s="34" t="s">
        <v>336</v>
      </c>
      <c r="H110" s="34" t="s">
        <v>113</v>
      </c>
      <c r="I110" s="34">
        <v>2002411</v>
      </c>
      <c r="J110" s="34">
        <v>0</v>
      </c>
      <c r="K110" s="34">
        <v>0</v>
      </c>
    </row>
    <row r="111" spans="1:11" hidden="1" x14ac:dyDescent="0.3">
      <c r="A111" s="36" t="str">
        <f>VLOOKUP(E111,Table1[[#All],[Campo]],1,0)</f>
        <v>NT_LN_LSS_PRVSN</v>
      </c>
      <c r="B111" s="34" t="s">
        <v>357</v>
      </c>
      <c r="C111" s="34" t="s">
        <v>358</v>
      </c>
      <c r="D111" s="34" t="s">
        <v>132</v>
      </c>
      <c r="E111" s="34" t="s">
        <v>30</v>
      </c>
      <c r="F111" s="34" t="s">
        <v>315</v>
      </c>
      <c r="G111" s="34" t="s">
        <v>336</v>
      </c>
      <c r="H111" s="34" t="s">
        <v>113</v>
      </c>
      <c r="I111" s="34">
        <v>2002411</v>
      </c>
      <c r="J111" s="34">
        <v>0</v>
      </c>
      <c r="K111" s="34">
        <v>0</v>
      </c>
    </row>
    <row r="112" spans="1:11" hidden="1" x14ac:dyDescent="0.3">
      <c r="A112" s="36" t="s">
        <v>15</v>
      </c>
      <c r="B112" s="34" t="s">
        <v>359</v>
      </c>
      <c r="C112" s="34" t="s">
        <v>360</v>
      </c>
      <c r="D112" s="34" t="s">
        <v>132</v>
      </c>
      <c r="E112" s="34" t="s">
        <v>245</v>
      </c>
      <c r="F112" s="34" t="s">
        <v>315</v>
      </c>
      <c r="G112" s="34" t="s">
        <v>336</v>
      </c>
      <c r="H112" s="34" t="s">
        <v>113</v>
      </c>
      <c r="I112" s="34">
        <v>2002411</v>
      </c>
      <c r="J112" s="34">
        <v>0</v>
      </c>
      <c r="K112" s="34">
        <v>0</v>
      </c>
    </row>
    <row r="113" spans="1:11" hidden="1" x14ac:dyDescent="0.3">
      <c r="A113" s="36" t="str">
        <f>VLOOKUP(E113,Table1[[#All],[Campo]],1,0)</f>
        <v>GNS_FNNCL_TRNSCTN_EXCHNG_DFFRNCS</v>
      </c>
      <c r="B113" s="34" t="s">
        <v>361</v>
      </c>
      <c r="C113" s="34" t="s">
        <v>362</v>
      </c>
      <c r="D113" s="34" t="s">
        <v>132</v>
      </c>
      <c r="E113" s="34" t="s">
        <v>11</v>
      </c>
      <c r="F113" s="34" t="s">
        <v>315</v>
      </c>
      <c r="G113" s="34" t="s">
        <v>336</v>
      </c>
      <c r="H113" s="34" t="s">
        <v>113</v>
      </c>
      <c r="I113" s="34">
        <v>2002411</v>
      </c>
      <c r="J113" s="34">
        <v>0</v>
      </c>
      <c r="K113" s="34">
        <v>0</v>
      </c>
    </row>
    <row r="114" spans="1:11" hidden="1" x14ac:dyDescent="0.3">
      <c r="A114" s="36" t="str">
        <f>VLOOKUP(E114,Table1[[#All],[Campo]],1,0)</f>
        <v>AVRG_BLNC_OFF_BLNC</v>
      </c>
      <c r="B114" s="34" t="s">
        <v>363</v>
      </c>
      <c r="C114" s="34" t="s">
        <v>364</v>
      </c>
      <c r="D114" s="34" t="s">
        <v>132</v>
      </c>
      <c r="E114" s="34" t="s">
        <v>25</v>
      </c>
      <c r="F114" s="34" t="s">
        <v>315</v>
      </c>
      <c r="G114" s="34" t="s">
        <v>336</v>
      </c>
      <c r="H114" s="34" t="s">
        <v>113</v>
      </c>
      <c r="I114" s="34">
        <v>2002411</v>
      </c>
      <c r="J114" s="34">
        <v>0</v>
      </c>
      <c r="K114" s="34">
        <v>0</v>
      </c>
    </row>
    <row r="115" spans="1:11" hidden="1" x14ac:dyDescent="0.3">
      <c r="A115" s="36" t="str">
        <f>VLOOKUP(E115,Table1[[#All],[Campo]],1,0)</f>
        <v>INTRNL_TRNSFR_RT_OFF_BLNC</v>
      </c>
      <c r="B115" s="34" t="s">
        <v>365</v>
      </c>
      <c r="C115" s="34" t="s">
        <v>366</v>
      </c>
      <c r="D115" s="34" t="s">
        <v>132</v>
      </c>
      <c r="E115" s="34" t="s">
        <v>33</v>
      </c>
      <c r="F115" s="34" t="s">
        <v>315</v>
      </c>
      <c r="G115" s="34" t="s">
        <v>336</v>
      </c>
      <c r="H115" s="34" t="s">
        <v>113</v>
      </c>
      <c r="I115" s="34">
        <v>2002411</v>
      </c>
      <c r="J115" s="34">
        <v>0</v>
      </c>
      <c r="K115" s="34">
        <v>0</v>
      </c>
    </row>
    <row r="116" spans="1:11" hidden="1" x14ac:dyDescent="0.3">
      <c r="A116" s="36" t="s">
        <v>23</v>
      </c>
      <c r="B116" s="34" t="s">
        <v>367</v>
      </c>
      <c r="C116" s="34" t="s">
        <v>368</v>
      </c>
      <c r="D116" s="34" t="s">
        <v>132</v>
      </c>
      <c r="E116" s="34" t="s">
        <v>262</v>
      </c>
      <c r="F116" s="34" t="s">
        <v>315</v>
      </c>
      <c r="G116" s="34" t="s">
        <v>336</v>
      </c>
      <c r="H116" s="34" t="s">
        <v>113</v>
      </c>
      <c r="I116" s="34">
        <v>2002411</v>
      </c>
      <c r="J116" s="34">
        <v>0</v>
      </c>
      <c r="K116" s="34">
        <v>0</v>
      </c>
    </row>
    <row r="117" spans="1:11" hidden="1" x14ac:dyDescent="0.3">
      <c r="A117" s="36" t="s">
        <v>21</v>
      </c>
      <c r="B117" s="34" t="s">
        <v>369</v>
      </c>
      <c r="C117" s="34" t="s">
        <v>370</v>
      </c>
      <c r="D117" s="34" t="s">
        <v>132</v>
      </c>
      <c r="E117" s="34" t="s">
        <v>265</v>
      </c>
      <c r="F117" s="34" t="s">
        <v>315</v>
      </c>
      <c r="G117" s="34" t="s">
        <v>336</v>
      </c>
      <c r="H117" s="34" t="s">
        <v>113</v>
      </c>
      <c r="I117" s="34">
        <v>2002411</v>
      </c>
      <c r="J117" s="34">
        <v>0</v>
      </c>
      <c r="K117" s="34">
        <v>0</v>
      </c>
    </row>
    <row r="118" spans="1:11" hidden="1" x14ac:dyDescent="0.3">
      <c r="A118" s="36" t="str">
        <f>VLOOKUP(E118,Table1[[#All],[Campo]],1,0)</f>
        <v>GRSS_INTRST_EXPNS</v>
      </c>
      <c r="B118" s="34" t="s">
        <v>371</v>
      </c>
      <c r="C118" s="34" t="s">
        <v>372</v>
      </c>
      <c r="D118" s="34" t="s">
        <v>132</v>
      </c>
      <c r="E118" s="34" t="s">
        <v>13</v>
      </c>
      <c r="F118" s="34" t="s">
        <v>315</v>
      </c>
      <c r="G118" s="34" t="s">
        <v>336</v>
      </c>
      <c r="H118" s="34" t="s">
        <v>113</v>
      </c>
      <c r="I118" s="34">
        <v>2002411</v>
      </c>
      <c r="J118" s="34">
        <v>0</v>
      </c>
      <c r="K118" s="34">
        <v>0</v>
      </c>
    </row>
    <row r="119" spans="1:11" hidden="1" x14ac:dyDescent="0.3">
      <c r="A119" s="36" t="str">
        <f>VLOOKUP(E119,Table1[[#All],[Campo]],1,0)</f>
        <v>GRSS_INTRST_INCM_CCRR</v>
      </c>
      <c r="B119" s="34" t="s">
        <v>373</v>
      </c>
      <c r="C119" s="34" t="s">
        <v>374</v>
      </c>
      <c r="D119" s="34" t="s">
        <v>132</v>
      </c>
      <c r="E119" s="34" t="s">
        <v>27</v>
      </c>
      <c r="F119" s="34" t="s">
        <v>315</v>
      </c>
      <c r="G119" s="34" t="s">
        <v>336</v>
      </c>
      <c r="H119" s="34" t="s">
        <v>113</v>
      </c>
      <c r="I119" s="34">
        <v>2002411</v>
      </c>
      <c r="J119" s="34">
        <v>0</v>
      </c>
      <c r="K119" s="34">
        <v>0</v>
      </c>
    </row>
    <row r="120" spans="1:11" hidden="1" x14ac:dyDescent="0.3">
      <c r="A120" s="36" t="str">
        <f>VLOOKUP(E120,Table1[[#All],[Campo]],1,0)</f>
        <v>GRSS_INTRST_EXPNS_CCRR</v>
      </c>
      <c r="B120" s="34" t="s">
        <v>375</v>
      </c>
      <c r="C120" s="34" t="s">
        <v>376</v>
      </c>
      <c r="D120" s="34" t="s">
        <v>132</v>
      </c>
      <c r="E120" s="34" t="s">
        <v>91</v>
      </c>
      <c r="F120" s="34" t="s">
        <v>315</v>
      </c>
      <c r="G120" s="34" t="s">
        <v>336</v>
      </c>
      <c r="H120" s="34" t="s">
        <v>113</v>
      </c>
      <c r="I120" s="34">
        <v>2002411</v>
      </c>
      <c r="J120" s="34">
        <v>0</v>
      </c>
      <c r="K120" s="34">
        <v>0</v>
      </c>
    </row>
    <row r="121" spans="1:11" hidden="1" x14ac:dyDescent="0.3">
      <c r="A121" s="36" t="s">
        <v>95</v>
      </c>
      <c r="B121" s="34" t="s">
        <v>377</v>
      </c>
      <c r="C121" s="34" t="s">
        <v>378</v>
      </c>
      <c r="D121" s="34" t="s">
        <v>132</v>
      </c>
      <c r="E121" s="34" t="s">
        <v>278</v>
      </c>
      <c r="F121" s="34" t="s">
        <v>315</v>
      </c>
      <c r="G121" s="34" t="s">
        <v>336</v>
      </c>
      <c r="H121" s="34" t="s">
        <v>113</v>
      </c>
      <c r="I121" s="34">
        <v>2002411</v>
      </c>
      <c r="J121" s="34">
        <v>0</v>
      </c>
      <c r="K121" s="34">
        <v>0</v>
      </c>
    </row>
    <row r="122" spans="1:11" hidden="1" x14ac:dyDescent="0.3">
      <c r="A122" s="36" t="s">
        <v>96</v>
      </c>
      <c r="B122" s="34" t="s">
        <v>379</v>
      </c>
      <c r="C122" s="34" t="s">
        <v>380</v>
      </c>
      <c r="D122" s="34" t="s">
        <v>132</v>
      </c>
      <c r="E122" s="34" t="s">
        <v>281</v>
      </c>
      <c r="F122" s="34" t="s">
        <v>315</v>
      </c>
      <c r="G122" s="34" t="s">
        <v>336</v>
      </c>
      <c r="H122" s="34" t="s">
        <v>113</v>
      </c>
      <c r="I122" s="34">
        <v>2002411</v>
      </c>
      <c r="J122" s="34">
        <v>0</v>
      </c>
      <c r="K122" s="34">
        <v>0</v>
      </c>
    </row>
    <row r="123" spans="1:11" hidden="1" x14ac:dyDescent="0.3">
      <c r="A123" s="36" t="str">
        <f>VLOOKUP(E123,Table1[[#All],[Campo]],1,0)</f>
        <v>GNS_FNNCL_TRNSCTN_EXCHNG_CCRR</v>
      </c>
      <c r="B123" s="34" t="s">
        <v>381</v>
      </c>
      <c r="C123" s="34" t="s">
        <v>382</v>
      </c>
      <c r="D123" s="34" t="s">
        <v>132</v>
      </c>
      <c r="E123" s="34" t="s">
        <v>97</v>
      </c>
      <c r="F123" s="34" t="s">
        <v>315</v>
      </c>
      <c r="G123" s="34" t="s">
        <v>336</v>
      </c>
      <c r="H123" s="34" t="s">
        <v>113</v>
      </c>
      <c r="I123" s="34">
        <v>2002411</v>
      </c>
      <c r="J123" s="34">
        <v>0</v>
      </c>
      <c r="K123" s="34">
        <v>0</v>
      </c>
    </row>
    <row r="124" spans="1:11" hidden="1" x14ac:dyDescent="0.3">
      <c r="A124" s="36" t="s">
        <v>94</v>
      </c>
      <c r="B124" s="34" t="s">
        <v>383</v>
      </c>
      <c r="C124" s="34" t="s">
        <v>384</v>
      </c>
      <c r="D124" s="34" t="s">
        <v>132</v>
      </c>
      <c r="E124" s="34" t="s">
        <v>288</v>
      </c>
      <c r="F124" s="34" t="s">
        <v>315</v>
      </c>
      <c r="G124" s="34" t="s">
        <v>336</v>
      </c>
      <c r="H124" s="34" t="s">
        <v>113</v>
      </c>
      <c r="I124" s="34">
        <v>2002411</v>
      </c>
      <c r="J124" s="34">
        <v>0</v>
      </c>
      <c r="K124" s="34">
        <v>0</v>
      </c>
    </row>
    <row r="125" spans="1:11" hidden="1" x14ac:dyDescent="0.3">
      <c r="A125" s="36" t="s">
        <v>93</v>
      </c>
      <c r="B125" s="34" t="s">
        <v>385</v>
      </c>
      <c r="C125" s="34" t="s">
        <v>386</v>
      </c>
      <c r="D125" s="34" t="s">
        <v>132</v>
      </c>
      <c r="E125" s="34" t="s">
        <v>291</v>
      </c>
      <c r="F125" s="34" t="s">
        <v>315</v>
      </c>
      <c r="G125" s="34" t="s">
        <v>336</v>
      </c>
      <c r="H125" s="34" t="s">
        <v>113</v>
      </c>
      <c r="I125" s="34">
        <v>2002411</v>
      </c>
      <c r="J125" s="34">
        <v>0</v>
      </c>
      <c r="K125" s="34">
        <v>0</v>
      </c>
    </row>
    <row r="126" spans="1:11" hidden="1" x14ac:dyDescent="0.3">
      <c r="A126" s="36" t="str">
        <f>VLOOKUP(E126,Table1[[#All],[Campo]],1,0)</f>
        <v>DT_RFRNC</v>
      </c>
      <c r="B126" s="34" t="s">
        <v>387</v>
      </c>
      <c r="C126" s="34" t="s">
        <v>332</v>
      </c>
      <c r="D126" s="34" t="s">
        <v>173</v>
      </c>
      <c r="E126" s="34" t="s">
        <v>56</v>
      </c>
      <c r="F126" s="34" t="s">
        <v>313</v>
      </c>
      <c r="G126" s="34" t="s">
        <v>388</v>
      </c>
      <c r="H126" s="34" t="s">
        <v>113</v>
      </c>
      <c r="I126" s="34">
        <v>731165</v>
      </c>
      <c r="J126" s="34">
        <v>0</v>
      </c>
      <c r="K126" s="34">
        <v>0</v>
      </c>
    </row>
    <row r="127" spans="1:11" hidden="1" x14ac:dyDescent="0.3">
      <c r="A127" s="36" t="str">
        <f>VLOOKUP(E127,Table1[[#All],[Campo]],1,0)</f>
        <v>DT_RFRNC</v>
      </c>
      <c r="B127" s="34" t="s">
        <v>390</v>
      </c>
      <c r="C127" s="34" t="s">
        <v>332</v>
      </c>
      <c r="D127" s="34" t="s">
        <v>174</v>
      </c>
      <c r="E127" s="34" t="s">
        <v>56</v>
      </c>
      <c r="F127" s="34" t="s">
        <v>313</v>
      </c>
      <c r="G127" s="34" t="s">
        <v>389</v>
      </c>
      <c r="H127" s="34" t="s">
        <v>113</v>
      </c>
      <c r="I127" s="34">
        <v>456960</v>
      </c>
      <c r="J127" s="34">
        <v>0</v>
      </c>
      <c r="K127" s="34">
        <v>0</v>
      </c>
    </row>
    <row r="128" spans="1:11" hidden="1" x14ac:dyDescent="0.3">
      <c r="A128" s="36" t="str">
        <f>VLOOKUP(E128,Table1[[#All],[Campo]],1,0)</f>
        <v>SUBPORTFOLIO_ID</v>
      </c>
      <c r="B128" s="34" t="s">
        <v>393</v>
      </c>
      <c r="C128" s="34" t="s">
        <v>394</v>
      </c>
      <c r="D128" s="34" t="s">
        <v>395</v>
      </c>
      <c r="E128" s="34" t="s">
        <v>45</v>
      </c>
      <c r="F128" s="34" t="s">
        <v>323</v>
      </c>
      <c r="G128" s="34" t="s">
        <v>396</v>
      </c>
      <c r="H128" s="34" t="s">
        <v>113</v>
      </c>
      <c r="I128" s="34">
        <v>0</v>
      </c>
      <c r="J128" s="34">
        <v>0</v>
      </c>
      <c r="K128" s="34">
        <v>0</v>
      </c>
    </row>
    <row r="129" spans="1:11" x14ac:dyDescent="0.3">
      <c r="A129" s="36" t="str">
        <f>VLOOKUP(E129,Table1[[#All],[Campo]],1,0)</f>
        <v>DFLT_STTS_INSTRMNT</v>
      </c>
      <c r="B129" s="34" t="s">
        <v>397</v>
      </c>
      <c r="C129" s="34" t="s">
        <v>398</v>
      </c>
      <c r="D129" s="34" t="s">
        <v>391</v>
      </c>
      <c r="E129" s="34" t="s">
        <v>71</v>
      </c>
      <c r="F129" s="34" t="s">
        <v>323</v>
      </c>
      <c r="G129" s="34" t="s">
        <v>396</v>
      </c>
      <c r="H129" s="34" t="s">
        <v>113</v>
      </c>
      <c r="I129" s="34">
        <v>0</v>
      </c>
      <c r="J129" s="34">
        <v>0</v>
      </c>
      <c r="K129" s="34">
        <v>0</v>
      </c>
    </row>
    <row r="130" spans="1:11" x14ac:dyDescent="0.3">
      <c r="A130" s="36" t="str">
        <f>VLOOKUP(E130,Table1[[#All],[Campo]],1,0)</f>
        <v>DFLT_STTS_INSTRMNT</v>
      </c>
      <c r="B130" s="34" t="s">
        <v>399</v>
      </c>
      <c r="C130" s="34" t="s">
        <v>400</v>
      </c>
      <c r="D130" s="34" t="s">
        <v>392</v>
      </c>
      <c r="E130" s="34" t="s">
        <v>71</v>
      </c>
      <c r="F130" s="34" t="s">
        <v>323</v>
      </c>
      <c r="G130" s="34" t="s">
        <v>396</v>
      </c>
      <c r="H130" s="34" t="s">
        <v>113</v>
      </c>
      <c r="I130" s="34">
        <v>0</v>
      </c>
      <c r="J130" s="34">
        <v>0</v>
      </c>
      <c r="K130" s="34">
        <v>0</v>
      </c>
    </row>
    <row r="131" spans="1:11" x14ac:dyDescent="0.3">
      <c r="A131" s="36" t="str">
        <f>VLOOKUP(E131,Table1[[#All],[Campo]],1,0)</f>
        <v>DFLT_STTS_INSTRMNT</v>
      </c>
      <c r="B131" s="34" t="s">
        <v>401</v>
      </c>
      <c r="C131" s="34" t="s">
        <v>402</v>
      </c>
      <c r="D131" s="34" t="s">
        <v>395</v>
      </c>
      <c r="E131" s="34" t="s">
        <v>71</v>
      </c>
      <c r="F131" s="34" t="s">
        <v>323</v>
      </c>
      <c r="G131" s="34" t="s">
        <v>396</v>
      </c>
      <c r="H131" s="34" t="s">
        <v>113</v>
      </c>
      <c r="I131" s="34">
        <v>0</v>
      </c>
      <c r="J131" s="34">
        <v>0</v>
      </c>
      <c r="K131" s="34">
        <v>0</v>
      </c>
    </row>
    <row r="132" spans="1:11" hidden="1" x14ac:dyDescent="0.3">
      <c r="A132" s="36" t="str">
        <f>VLOOKUP(E132,Table1[[#All],[Campo]],1,0)</f>
        <v>IMPRMNT_STTS</v>
      </c>
      <c r="B132" s="34" t="s">
        <v>403</v>
      </c>
      <c r="C132" s="34" t="s">
        <v>404</v>
      </c>
      <c r="D132" s="34" t="s">
        <v>395</v>
      </c>
      <c r="E132" s="34" t="s">
        <v>51</v>
      </c>
      <c r="F132" s="34" t="s">
        <v>323</v>
      </c>
      <c r="G132" s="34" t="s">
        <v>396</v>
      </c>
      <c r="H132" s="34" t="s">
        <v>115</v>
      </c>
      <c r="I132" s="34">
        <v>9703</v>
      </c>
      <c r="J132" s="34">
        <v>1</v>
      </c>
      <c r="K132" s="34">
        <v>1.03E-2</v>
      </c>
    </row>
    <row r="133" spans="1:11" hidden="1" x14ac:dyDescent="0.3">
      <c r="A133" s="36" t="str">
        <f>VLOOKUP(E133,Table1[[#All],[Campo]],1,0)</f>
        <v>IMPRMNT_STTS</v>
      </c>
      <c r="B133" s="34" t="s">
        <v>405</v>
      </c>
      <c r="C133" s="34" t="s">
        <v>406</v>
      </c>
      <c r="D133" s="34" t="s">
        <v>395</v>
      </c>
      <c r="E133" s="34" t="s">
        <v>51</v>
      </c>
      <c r="F133" s="34" t="s">
        <v>323</v>
      </c>
      <c r="G133" s="34" t="s">
        <v>396</v>
      </c>
      <c r="H133" s="34" t="s">
        <v>115</v>
      </c>
      <c r="I133" s="34">
        <v>92666</v>
      </c>
      <c r="J133" s="34">
        <v>3283</v>
      </c>
      <c r="K133" s="34">
        <v>3.5428000000000002</v>
      </c>
    </row>
    <row r="134" spans="1:11" hidden="1" x14ac:dyDescent="0.3">
      <c r="A134" s="36" t="str">
        <f>VLOOKUP(E134,Table1[[#All],[Campo]],1,0)</f>
        <v>IMPRMNT_STTS</v>
      </c>
      <c r="B134" s="34" t="s">
        <v>407</v>
      </c>
      <c r="C134" s="34" t="s">
        <v>408</v>
      </c>
      <c r="D134" s="34" t="s">
        <v>395</v>
      </c>
      <c r="E134" s="34" t="s">
        <v>51</v>
      </c>
      <c r="F134" s="34" t="s">
        <v>323</v>
      </c>
      <c r="G134" s="34" t="s">
        <v>396</v>
      </c>
      <c r="H134" s="34" t="s">
        <v>115</v>
      </c>
      <c r="I134" s="34">
        <v>1813562</v>
      </c>
      <c r="J134" s="34">
        <v>4684</v>
      </c>
      <c r="K134" s="34">
        <v>0.25829999999999997</v>
      </c>
    </row>
    <row r="135" spans="1:11" hidden="1" x14ac:dyDescent="0.3">
      <c r="A135" s="36" t="str">
        <f>VLOOKUP(E135,Table1[[#All],[Campo]],1,0)</f>
        <v>IMPRMNT_STTS</v>
      </c>
      <c r="B135" s="34" t="s">
        <v>409</v>
      </c>
      <c r="C135" s="34" t="s">
        <v>410</v>
      </c>
      <c r="D135" s="34" t="s">
        <v>395</v>
      </c>
      <c r="E135" s="34" t="s">
        <v>51</v>
      </c>
      <c r="F135" s="34" t="s">
        <v>323</v>
      </c>
      <c r="G135" s="34" t="s">
        <v>396</v>
      </c>
      <c r="H135" s="34" t="s">
        <v>113</v>
      </c>
      <c r="I135" s="34">
        <v>1905178</v>
      </c>
      <c r="J135" s="34">
        <v>0</v>
      </c>
      <c r="K135" s="34">
        <v>0</v>
      </c>
    </row>
    <row r="136" spans="1:11" hidden="1" x14ac:dyDescent="0.3">
      <c r="A136" s="36" t="str">
        <f>VLOOKUP(E136,Table1[[#All],[Campo]],1,0)</f>
        <v>IMPRMNT_STTS</v>
      </c>
      <c r="B136" s="34" t="s">
        <v>411</v>
      </c>
      <c r="C136" s="34" t="s">
        <v>412</v>
      </c>
      <c r="D136" s="34" t="s">
        <v>391</v>
      </c>
      <c r="E136" s="34" t="s">
        <v>51</v>
      </c>
      <c r="F136" s="34" t="s">
        <v>323</v>
      </c>
      <c r="G136" s="34" t="s">
        <v>396</v>
      </c>
      <c r="H136" s="34" t="s">
        <v>115</v>
      </c>
      <c r="I136" s="34">
        <v>18441</v>
      </c>
      <c r="J136" s="34">
        <v>2850</v>
      </c>
      <c r="K136" s="34">
        <v>15.454700000000001</v>
      </c>
    </row>
    <row r="137" spans="1:11" hidden="1" x14ac:dyDescent="0.3">
      <c r="A137" s="36" t="str">
        <f>VLOOKUP(E137,Table1[[#All],[Campo]],1,0)</f>
        <v>IMPRMNT_STTS</v>
      </c>
      <c r="B137" s="34" t="s">
        <v>413</v>
      </c>
      <c r="C137" s="34" t="s">
        <v>414</v>
      </c>
      <c r="D137" s="34" t="s">
        <v>415</v>
      </c>
      <c r="E137" s="34" t="s">
        <v>51</v>
      </c>
      <c r="F137" s="34" t="s">
        <v>323</v>
      </c>
      <c r="G137" s="34" t="s">
        <v>396</v>
      </c>
      <c r="H137" s="34" t="s">
        <v>113</v>
      </c>
      <c r="I137" s="34">
        <v>1724899</v>
      </c>
      <c r="J137" s="34">
        <v>0</v>
      </c>
      <c r="K137" s="34">
        <v>0</v>
      </c>
    </row>
    <row r="138" spans="1:11" hidden="1" x14ac:dyDescent="0.3">
      <c r="A138" s="36" t="str">
        <f>VLOOKUP(E138,Table1[[#All],[Campo]],1,0)</f>
        <v>IMPRMNT_STTS</v>
      </c>
      <c r="B138" s="34" t="s">
        <v>416</v>
      </c>
      <c r="C138" s="34" t="s">
        <v>417</v>
      </c>
      <c r="D138" s="34" t="s">
        <v>415</v>
      </c>
      <c r="E138" s="34" t="s">
        <v>51</v>
      </c>
      <c r="F138" s="34" t="s">
        <v>323</v>
      </c>
      <c r="G138" s="34" t="s">
        <v>396</v>
      </c>
      <c r="H138" s="34" t="s">
        <v>113</v>
      </c>
      <c r="I138" s="34">
        <v>1472964</v>
      </c>
      <c r="J138" s="34">
        <v>0</v>
      </c>
      <c r="K138" s="34">
        <v>0</v>
      </c>
    </row>
    <row r="139" spans="1:11" hidden="1" x14ac:dyDescent="0.3">
      <c r="A139" s="36" t="str">
        <f>VLOOKUP(E139,Table1[[#All],[Campo]],1,0)</f>
        <v>IMPRMNT_STTS</v>
      </c>
      <c r="B139" s="34" t="s">
        <v>418</v>
      </c>
      <c r="C139" s="34" t="s">
        <v>419</v>
      </c>
      <c r="D139" s="34" t="s">
        <v>415</v>
      </c>
      <c r="E139" s="34" t="s">
        <v>51</v>
      </c>
      <c r="F139" s="34" t="s">
        <v>323</v>
      </c>
      <c r="G139" s="34" t="s">
        <v>396</v>
      </c>
      <c r="H139" s="34" t="s">
        <v>113</v>
      </c>
      <c r="I139" s="34">
        <v>432214</v>
      </c>
      <c r="J139" s="34">
        <v>0</v>
      </c>
      <c r="K139" s="34">
        <v>0</v>
      </c>
    </row>
    <row r="140" spans="1:11" hidden="1" x14ac:dyDescent="0.3">
      <c r="A140" s="36" t="str">
        <f>VLOOKUP(E140,Table1[[#All],[Campo]],1,0)</f>
        <v>IMPRMNT_STTS</v>
      </c>
      <c r="B140" s="34" t="s">
        <v>420</v>
      </c>
      <c r="C140" s="34" t="s">
        <v>421</v>
      </c>
      <c r="D140" s="34" t="s">
        <v>415</v>
      </c>
      <c r="E140" s="34" t="s">
        <v>51</v>
      </c>
      <c r="F140" s="34" t="s">
        <v>323</v>
      </c>
      <c r="G140" s="34" t="s">
        <v>396</v>
      </c>
      <c r="H140" s="34" t="s">
        <v>113</v>
      </c>
      <c r="I140" s="34">
        <v>97233</v>
      </c>
      <c r="J140" s="34">
        <v>0</v>
      </c>
      <c r="K140" s="34">
        <v>0</v>
      </c>
    </row>
    <row r="141" spans="1:11" hidden="1" x14ac:dyDescent="0.3">
      <c r="A141" s="36" t="str">
        <f>VLOOKUP(E141,Table1[[#All],[Campo]],1,0)</f>
        <v>PRFRMNG_STTS</v>
      </c>
      <c r="B141" s="34" t="s">
        <v>422</v>
      </c>
      <c r="C141" s="34" t="s">
        <v>423</v>
      </c>
      <c r="D141" s="34" t="s">
        <v>395</v>
      </c>
      <c r="E141" s="34" t="s">
        <v>47</v>
      </c>
      <c r="F141" s="34" t="s">
        <v>323</v>
      </c>
      <c r="G141" s="34" t="s">
        <v>396</v>
      </c>
      <c r="H141" s="34" t="s">
        <v>115</v>
      </c>
      <c r="I141" s="34">
        <v>92666</v>
      </c>
      <c r="J141" s="34">
        <v>3283</v>
      </c>
      <c r="K141" s="34">
        <v>3.5428000000000002</v>
      </c>
    </row>
    <row r="142" spans="1:11" hidden="1" x14ac:dyDescent="0.3">
      <c r="A142" s="36" t="str">
        <f>VLOOKUP(E142,Table1[[#All],[Campo]],1,0)</f>
        <v>PRFRMNG_STTS</v>
      </c>
      <c r="B142" s="34" t="s">
        <v>424</v>
      </c>
      <c r="C142" s="34" t="s">
        <v>425</v>
      </c>
      <c r="D142" s="34" t="s">
        <v>395</v>
      </c>
      <c r="E142" s="34" t="s">
        <v>47</v>
      </c>
      <c r="F142" s="34" t="s">
        <v>323</v>
      </c>
      <c r="G142" s="34" t="s">
        <v>396</v>
      </c>
      <c r="H142" s="34" t="s">
        <v>113</v>
      </c>
      <c r="I142" s="34">
        <v>114216</v>
      </c>
      <c r="J142" s="34">
        <v>0</v>
      </c>
      <c r="K142" s="34">
        <v>0</v>
      </c>
    </row>
    <row r="143" spans="1:11" hidden="1" x14ac:dyDescent="0.3">
      <c r="A143" s="36" t="str">
        <f>VLOOKUP(E143,Table1[[#All],[Campo]],1,0)</f>
        <v>PRFRMNG_STTS</v>
      </c>
      <c r="B143" s="34" t="s">
        <v>426</v>
      </c>
      <c r="C143" s="34" t="s">
        <v>427</v>
      </c>
      <c r="D143" s="34" t="s">
        <v>395</v>
      </c>
      <c r="E143" s="34" t="s">
        <v>47</v>
      </c>
      <c r="F143" s="34" t="s">
        <v>323</v>
      </c>
      <c r="G143" s="34" t="s">
        <v>396</v>
      </c>
      <c r="H143" s="34" t="s">
        <v>113</v>
      </c>
      <c r="I143" s="34">
        <v>1408741</v>
      </c>
      <c r="J143" s="34">
        <v>0</v>
      </c>
      <c r="K143" s="34">
        <v>0</v>
      </c>
    </row>
    <row r="144" spans="1:11" hidden="1" x14ac:dyDescent="0.3">
      <c r="A144" s="36" t="str">
        <f>VLOOKUP(E144,Table1[[#All],[Campo]],1,0)</f>
        <v>PRFRMNG_STTS</v>
      </c>
      <c r="B144" s="34" t="s">
        <v>428</v>
      </c>
      <c r="C144" s="34" t="s">
        <v>429</v>
      </c>
      <c r="D144" s="34" t="s">
        <v>392</v>
      </c>
      <c r="E144" s="34" t="s">
        <v>47</v>
      </c>
      <c r="F144" s="34" t="s">
        <v>323</v>
      </c>
      <c r="G144" s="34" t="s">
        <v>396</v>
      </c>
      <c r="H144" s="34" t="s">
        <v>113</v>
      </c>
      <c r="I144" s="34">
        <v>0</v>
      </c>
      <c r="J144" s="34">
        <v>0</v>
      </c>
      <c r="K144" s="34">
        <v>0</v>
      </c>
    </row>
    <row r="145" spans="1:11" hidden="1" x14ac:dyDescent="0.3">
      <c r="A145" s="36" t="str">
        <f>VLOOKUP(E145,Table1[[#All],[Campo]],1,0)</f>
        <v>PRFRMNG_STTS</v>
      </c>
      <c r="B145" s="34" t="s">
        <v>430</v>
      </c>
      <c r="C145" s="34" t="s">
        <v>431</v>
      </c>
      <c r="D145" s="34" t="s">
        <v>415</v>
      </c>
      <c r="E145" s="34" t="s">
        <v>47</v>
      </c>
      <c r="F145" s="34" t="s">
        <v>323</v>
      </c>
      <c r="G145" s="34" t="s">
        <v>396</v>
      </c>
      <c r="H145" s="34" t="s">
        <v>113</v>
      </c>
      <c r="I145" s="34">
        <v>1905178</v>
      </c>
      <c r="J145" s="34">
        <v>0</v>
      </c>
      <c r="K145" s="34">
        <v>0</v>
      </c>
    </row>
    <row r="146" spans="1:11" hidden="1" x14ac:dyDescent="0.3">
      <c r="A146" s="36" t="str">
        <f>VLOOKUP(E146,Table1[[#All],[Campo]],1,0)</f>
        <v>PRFRMNG_STTS</v>
      </c>
      <c r="B146" s="34" t="s">
        <v>432</v>
      </c>
      <c r="C146" s="34" t="s">
        <v>433</v>
      </c>
      <c r="D146" s="34" t="s">
        <v>415</v>
      </c>
      <c r="E146" s="34" t="s">
        <v>47</v>
      </c>
      <c r="F146" s="34" t="s">
        <v>323</v>
      </c>
      <c r="G146" s="34" t="s">
        <v>396</v>
      </c>
      <c r="H146" s="34" t="s">
        <v>113</v>
      </c>
      <c r="I146" s="34">
        <v>97233</v>
      </c>
      <c r="J146" s="34">
        <v>0</v>
      </c>
      <c r="K146" s="34">
        <v>0</v>
      </c>
    </row>
    <row r="147" spans="1:11" hidden="1" x14ac:dyDescent="0.3">
      <c r="A147" s="36" t="str">
        <f>VLOOKUP(E147,Table1[[#All],[Campo]],1,0)</f>
        <v>PRFRMNG_STTS</v>
      </c>
      <c r="B147" s="34" t="s">
        <v>434</v>
      </c>
      <c r="C147" s="34" t="s">
        <v>435</v>
      </c>
      <c r="D147" s="34" t="s">
        <v>392</v>
      </c>
      <c r="E147" s="34" t="s">
        <v>47</v>
      </c>
      <c r="F147" s="34" t="s">
        <v>323</v>
      </c>
      <c r="G147" s="34" t="s">
        <v>396</v>
      </c>
      <c r="H147" s="34" t="s">
        <v>113</v>
      </c>
      <c r="I147" s="34">
        <v>0</v>
      </c>
      <c r="J147" s="34">
        <v>0</v>
      </c>
      <c r="K147" s="34">
        <v>0</v>
      </c>
    </row>
    <row r="148" spans="1:11" hidden="1" x14ac:dyDescent="0.3">
      <c r="A148" s="36" t="str">
        <f>VLOOKUP(E148,Table1[[#All],[Campo]],1,0)</f>
        <v>PRFRMNG_STTS</v>
      </c>
      <c r="B148" s="34" t="s">
        <v>436</v>
      </c>
      <c r="C148" s="34" t="s">
        <v>437</v>
      </c>
      <c r="D148" s="34" t="s">
        <v>395</v>
      </c>
      <c r="E148" s="34" t="s">
        <v>47</v>
      </c>
      <c r="F148" s="34" t="s">
        <v>323</v>
      </c>
      <c r="G148" s="34" t="s">
        <v>396</v>
      </c>
      <c r="H148" s="34" t="s">
        <v>113</v>
      </c>
      <c r="I148" s="34">
        <v>97233</v>
      </c>
      <c r="J148" s="34">
        <v>0</v>
      </c>
      <c r="K148" s="34">
        <v>0</v>
      </c>
    </row>
    <row r="149" spans="1:11" hidden="1" x14ac:dyDescent="0.3">
      <c r="A149" s="36" t="str">
        <f>VLOOKUP(E149,Table1[[#All],[Campo]],1,0)</f>
        <v>PRFRMNG_STTS</v>
      </c>
      <c r="B149" s="34" t="s">
        <v>438</v>
      </c>
      <c r="C149" s="34" t="s">
        <v>439</v>
      </c>
      <c r="D149" s="34" t="s">
        <v>391</v>
      </c>
      <c r="E149" s="34" t="s">
        <v>47</v>
      </c>
      <c r="F149" s="34" t="s">
        <v>323</v>
      </c>
      <c r="G149" s="34" t="s">
        <v>396</v>
      </c>
      <c r="H149" s="34" t="s">
        <v>115</v>
      </c>
      <c r="I149" s="34">
        <v>113163</v>
      </c>
      <c r="J149" s="34">
        <v>15043</v>
      </c>
      <c r="K149" s="34">
        <v>13.293200000000001</v>
      </c>
    </row>
    <row r="150" spans="1:11" hidden="1" x14ac:dyDescent="0.3">
      <c r="A150" s="36" t="str">
        <f>VLOOKUP(E150,Table1[[#All],[Campo]],1,0)</f>
        <v>GRSS_CRRYNG_AMNT_INSTRMNT</v>
      </c>
      <c r="B150" s="34" t="s">
        <v>440</v>
      </c>
      <c r="C150" s="34" t="s">
        <v>441</v>
      </c>
      <c r="D150" s="34" t="s">
        <v>395</v>
      </c>
      <c r="E150" s="34" t="s">
        <v>53</v>
      </c>
      <c r="F150" s="34" t="s">
        <v>323</v>
      </c>
      <c r="G150" s="34" t="s">
        <v>396</v>
      </c>
      <c r="H150" s="34" t="s">
        <v>113</v>
      </c>
      <c r="I150" s="34">
        <v>1724899</v>
      </c>
      <c r="J150" s="34">
        <v>0</v>
      </c>
      <c r="K150" s="34">
        <v>0</v>
      </c>
    </row>
    <row r="151" spans="1:11" hidden="1" x14ac:dyDescent="0.3">
      <c r="A151" s="36" t="str">
        <f>VLOOKUP(E151,Table1[[#All],[Campo]],1,0)</f>
        <v>GRSS_CRRYNG_AMNT_INSTRMNT</v>
      </c>
      <c r="B151" s="34" t="s">
        <v>442</v>
      </c>
      <c r="C151" s="34" t="s">
        <v>443</v>
      </c>
      <c r="D151" s="34" t="s">
        <v>395</v>
      </c>
      <c r="E151" s="34" t="s">
        <v>53</v>
      </c>
      <c r="F151" s="34" t="s">
        <v>323</v>
      </c>
      <c r="G151" s="34" t="s">
        <v>396</v>
      </c>
      <c r="H151" s="34" t="s">
        <v>113</v>
      </c>
      <c r="I151" s="34">
        <v>0</v>
      </c>
      <c r="J151" s="34">
        <v>0</v>
      </c>
      <c r="K151" s="34">
        <v>0</v>
      </c>
    </row>
    <row r="152" spans="1:11" hidden="1" x14ac:dyDescent="0.3">
      <c r="A152" s="36" t="str">
        <f>VLOOKUP(E152,Table1[[#All],[Campo]],1,0)</f>
        <v>GRSS_CRRYNG_AMNT_INSTRMNT</v>
      </c>
      <c r="B152" s="34" t="s">
        <v>444</v>
      </c>
      <c r="C152" s="34" t="s">
        <v>445</v>
      </c>
      <c r="D152" s="34" t="s">
        <v>395</v>
      </c>
      <c r="E152" s="34" t="s">
        <v>53</v>
      </c>
      <c r="F152" s="34" t="s">
        <v>323</v>
      </c>
      <c r="G152" s="34" t="s">
        <v>396</v>
      </c>
      <c r="H152" s="34" t="s">
        <v>113</v>
      </c>
      <c r="I152" s="34">
        <v>277512</v>
      </c>
      <c r="J152" s="34">
        <v>0</v>
      </c>
      <c r="K152" s="34">
        <v>0</v>
      </c>
    </row>
    <row r="153" spans="1:11" hidden="1" x14ac:dyDescent="0.3">
      <c r="A153" s="36" t="str">
        <f>VLOOKUP(E153,Table1[[#All],[Campo]],1,0)</f>
        <v>ACCMLTD_CHNGS_FV_CR_INSTRMNT</v>
      </c>
      <c r="B153" s="34" t="s">
        <v>446</v>
      </c>
      <c r="C153" s="34" t="s">
        <v>447</v>
      </c>
      <c r="D153" s="34" t="s">
        <v>395</v>
      </c>
      <c r="E153" s="34" t="s">
        <v>68</v>
      </c>
      <c r="F153" s="34" t="s">
        <v>323</v>
      </c>
      <c r="G153" s="34" t="s">
        <v>396</v>
      </c>
      <c r="H153" s="34" t="s">
        <v>113</v>
      </c>
      <c r="I153" s="34">
        <v>305642</v>
      </c>
      <c r="J153" s="34">
        <v>0</v>
      </c>
      <c r="K153" s="34">
        <v>0</v>
      </c>
    </row>
    <row r="154" spans="1:11" hidden="1" x14ac:dyDescent="0.3">
      <c r="A154" s="36" t="str">
        <f>VLOOKUP(E154,Table1[[#All],[Campo]],1,0)</f>
        <v>ACCMLTD_CHNGS_FV_CR_INSTRMNT</v>
      </c>
      <c r="B154" s="34" t="s">
        <v>448</v>
      </c>
      <c r="C154" s="34" t="s">
        <v>449</v>
      </c>
      <c r="D154" s="34" t="s">
        <v>395</v>
      </c>
      <c r="E154" s="34" t="s">
        <v>68</v>
      </c>
      <c r="F154" s="34" t="s">
        <v>323</v>
      </c>
      <c r="G154" s="34" t="s">
        <v>396</v>
      </c>
      <c r="H154" s="34" t="s">
        <v>113</v>
      </c>
      <c r="I154" s="34">
        <v>0</v>
      </c>
      <c r="J154" s="34">
        <v>0</v>
      </c>
      <c r="K154" s="34">
        <v>0</v>
      </c>
    </row>
    <row r="155" spans="1:11" hidden="1" x14ac:dyDescent="0.3">
      <c r="A155" s="36" t="str">
        <f>VLOOKUP(E155,Table1[[#All],[Campo]],1,0)</f>
        <v>ACCNTNG_CLSSFCTN</v>
      </c>
      <c r="B155" s="34" t="s">
        <v>450</v>
      </c>
      <c r="C155" s="34" t="s">
        <v>451</v>
      </c>
      <c r="D155" s="34" t="s">
        <v>395</v>
      </c>
      <c r="E155" s="34" t="s">
        <v>62</v>
      </c>
      <c r="F155" s="34" t="s">
        <v>323</v>
      </c>
      <c r="G155" s="34" t="s">
        <v>396</v>
      </c>
      <c r="H155" s="34" t="s">
        <v>113</v>
      </c>
      <c r="I155" s="34">
        <v>1724797</v>
      </c>
      <c r="J155" s="34">
        <v>0</v>
      </c>
      <c r="K155" s="34">
        <v>0</v>
      </c>
    </row>
    <row r="156" spans="1:11" hidden="1" x14ac:dyDescent="0.3">
      <c r="A156" s="36" t="str">
        <f>VLOOKUP(E156,Table1[[#All],[Campo]],1,0)</f>
        <v>ACCNTNG_CLSSFCTN</v>
      </c>
      <c r="B156" s="34" t="s">
        <v>452</v>
      </c>
      <c r="C156" s="34" t="s">
        <v>453</v>
      </c>
      <c r="D156" s="34" t="s">
        <v>395</v>
      </c>
      <c r="E156" s="34" t="s">
        <v>62</v>
      </c>
      <c r="F156" s="34" t="s">
        <v>323</v>
      </c>
      <c r="G156" s="34" t="s">
        <v>396</v>
      </c>
      <c r="H156" s="34" t="s">
        <v>113</v>
      </c>
      <c r="I156" s="34">
        <v>93</v>
      </c>
      <c r="J156" s="34">
        <v>0</v>
      </c>
      <c r="K156" s="34">
        <v>0</v>
      </c>
    </row>
    <row r="157" spans="1:11" hidden="1" x14ac:dyDescent="0.3">
      <c r="A157" s="36" t="str">
        <f>VLOOKUP(E157,Table1[[#All],[Campo]],1,0)</f>
        <v>ACCNTNG_CLSSFCTN</v>
      </c>
      <c r="B157" s="34" t="s">
        <v>454</v>
      </c>
      <c r="C157" s="34" t="s">
        <v>455</v>
      </c>
      <c r="D157" s="34" t="s">
        <v>395</v>
      </c>
      <c r="E157" s="34" t="s">
        <v>62</v>
      </c>
      <c r="F157" s="34" t="s">
        <v>323</v>
      </c>
      <c r="G157" s="34" t="s">
        <v>396</v>
      </c>
      <c r="H157" s="34" t="s">
        <v>113</v>
      </c>
      <c r="I157" s="34">
        <v>0</v>
      </c>
      <c r="J157" s="34">
        <v>0</v>
      </c>
      <c r="K157" s="34">
        <v>0</v>
      </c>
    </row>
    <row r="158" spans="1:11" hidden="1" x14ac:dyDescent="0.3">
      <c r="A158" s="36" t="str">
        <f>VLOOKUP(E158,Table1[[#All],[Campo]],1,0)</f>
        <v>ACCNTNG_CLSSFCTN</v>
      </c>
      <c r="B158" s="34" t="s">
        <v>456</v>
      </c>
      <c r="C158" s="34" t="s">
        <v>457</v>
      </c>
      <c r="D158" s="34" t="s">
        <v>395</v>
      </c>
      <c r="E158" s="34" t="s">
        <v>62</v>
      </c>
      <c r="F158" s="34" t="s">
        <v>323</v>
      </c>
      <c r="G158" s="34" t="s">
        <v>396</v>
      </c>
      <c r="H158" s="34" t="s">
        <v>113</v>
      </c>
      <c r="I158" s="34">
        <v>9</v>
      </c>
      <c r="J158" s="34">
        <v>0</v>
      </c>
      <c r="K158" s="34">
        <v>0</v>
      </c>
    </row>
    <row r="159" spans="1:11" hidden="1" x14ac:dyDescent="0.3">
      <c r="A159" s="36" t="str">
        <f>VLOOKUP(E159,Table1[[#All],[Campo]],1,0)</f>
        <v>OFF_BLNC_SHT_AMNT_INSTRMNT</v>
      </c>
      <c r="B159" s="34" t="s">
        <v>458</v>
      </c>
      <c r="C159" s="34" t="s">
        <v>459</v>
      </c>
      <c r="D159" s="34" t="s">
        <v>395</v>
      </c>
      <c r="E159" s="34" t="s">
        <v>48</v>
      </c>
      <c r="F159" s="34" t="s">
        <v>323</v>
      </c>
      <c r="G159" s="34" t="s">
        <v>396</v>
      </c>
      <c r="H159" s="34" t="s">
        <v>115</v>
      </c>
      <c r="I159" s="34">
        <v>2002318</v>
      </c>
      <c r="J159" s="34">
        <v>317</v>
      </c>
      <c r="K159" s="34">
        <v>1.5800000000000002E-2</v>
      </c>
    </row>
    <row r="160" spans="1:11" hidden="1" x14ac:dyDescent="0.3">
      <c r="A160" s="36" t="str">
        <f>VLOOKUP(E160,Table1[[#All],[Campo]],1,0)</f>
        <v>OFF_BLNC_SHT_AMNT_INSTRMNT</v>
      </c>
      <c r="B160" s="34" t="s">
        <v>460</v>
      </c>
      <c r="C160" s="34" t="s">
        <v>461</v>
      </c>
      <c r="D160" s="34" t="s">
        <v>395</v>
      </c>
      <c r="E160" s="34" t="s">
        <v>48</v>
      </c>
      <c r="F160" s="34" t="s">
        <v>323</v>
      </c>
      <c r="G160" s="34" t="s">
        <v>396</v>
      </c>
      <c r="H160" s="34" t="s">
        <v>113</v>
      </c>
      <c r="I160" s="34">
        <v>1646037</v>
      </c>
      <c r="J160" s="34">
        <v>0</v>
      </c>
      <c r="K160" s="34">
        <v>0</v>
      </c>
    </row>
    <row r="161" spans="1:11" hidden="1" x14ac:dyDescent="0.3">
      <c r="A161" s="36" t="str">
        <f>VLOOKUP(E161,Table1[[#All],[Campo]],1,0)</f>
        <v>OFF_BLNC_SHT_AMNT_INSTRMNT</v>
      </c>
      <c r="B161" s="34" t="s">
        <v>462</v>
      </c>
      <c r="C161" s="34" t="s">
        <v>463</v>
      </c>
      <c r="D161" s="34" t="s">
        <v>395</v>
      </c>
      <c r="E161" s="34" t="s">
        <v>48</v>
      </c>
      <c r="F161" s="34" t="s">
        <v>323</v>
      </c>
      <c r="G161" s="34" t="s">
        <v>396</v>
      </c>
      <c r="H161" s="34" t="s">
        <v>113</v>
      </c>
      <c r="I161" s="34">
        <v>253</v>
      </c>
      <c r="J161" s="34">
        <v>0</v>
      </c>
      <c r="K161" s="34">
        <v>0</v>
      </c>
    </row>
    <row r="162" spans="1:11" hidden="1" x14ac:dyDescent="0.3">
      <c r="A162" s="36" t="str">
        <f>VLOOKUP(E162,Table1[[#All],[Campo]],1,0)</f>
        <v>OFF_BLNC_SHT_AMNT_INSTRMNT</v>
      </c>
      <c r="B162" s="34" t="s">
        <v>464</v>
      </c>
      <c r="C162" s="34" t="s">
        <v>465</v>
      </c>
      <c r="D162" s="34" t="s">
        <v>395</v>
      </c>
      <c r="E162" s="34" t="s">
        <v>48</v>
      </c>
      <c r="F162" s="34" t="s">
        <v>323</v>
      </c>
      <c r="G162" s="34" t="s">
        <v>396</v>
      </c>
      <c r="H162" s="34" t="s">
        <v>113</v>
      </c>
      <c r="I162" s="34">
        <v>3</v>
      </c>
      <c r="J162" s="34">
        <v>0</v>
      </c>
      <c r="K162" s="34">
        <v>0</v>
      </c>
    </row>
    <row r="163" spans="1:11" hidden="1" x14ac:dyDescent="0.3">
      <c r="A163" s="36" t="str">
        <f>VLOOKUP(E163,Table1[[#All],[Campo]],1,0)</f>
        <v>PRVSNS_OFF_BLNC_SHT</v>
      </c>
      <c r="B163" s="34" t="s">
        <v>466</v>
      </c>
      <c r="C163" s="34" t="s">
        <v>467</v>
      </c>
      <c r="D163" s="34" t="s">
        <v>395</v>
      </c>
      <c r="E163" s="34" t="s">
        <v>46</v>
      </c>
      <c r="F163" s="34" t="s">
        <v>323</v>
      </c>
      <c r="G163" s="34" t="s">
        <v>396</v>
      </c>
      <c r="H163" s="34" t="s">
        <v>113</v>
      </c>
      <c r="I163" s="34">
        <v>0</v>
      </c>
      <c r="J163" s="34">
        <v>0</v>
      </c>
      <c r="K163" s="34">
        <v>0</v>
      </c>
    </row>
    <row r="164" spans="1:11" hidden="1" x14ac:dyDescent="0.3">
      <c r="A164" s="36" t="str">
        <f>VLOOKUP(E164,Table1[[#All],[Campo]],1,0)</f>
        <v>PRVSNS_OFF_BLNC_SHT</v>
      </c>
      <c r="B164" s="34" t="s">
        <v>468</v>
      </c>
      <c r="C164" s="34" t="s">
        <v>469</v>
      </c>
      <c r="D164" s="34" t="s">
        <v>395</v>
      </c>
      <c r="E164" s="34" t="s">
        <v>46</v>
      </c>
      <c r="F164" s="34" t="s">
        <v>323</v>
      </c>
      <c r="G164" s="34" t="s">
        <v>396</v>
      </c>
      <c r="H164" s="34" t="s">
        <v>113</v>
      </c>
      <c r="I164" s="34">
        <v>3</v>
      </c>
      <c r="J164" s="34">
        <v>0</v>
      </c>
      <c r="K164" s="34">
        <v>0</v>
      </c>
    </row>
    <row r="165" spans="1:11" hidden="1" x14ac:dyDescent="0.3">
      <c r="A165" s="36" t="str">
        <f>VLOOKUP(E165,Table1[[#All],[Campo]],1,0)</f>
        <v>ACCMLTD_IMPRMNT_INSTRMNT</v>
      </c>
      <c r="B165" s="34" t="s">
        <v>470</v>
      </c>
      <c r="C165" s="34" t="s">
        <v>471</v>
      </c>
      <c r="D165" s="34" t="s">
        <v>395</v>
      </c>
      <c r="E165" s="34" t="s">
        <v>65</v>
      </c>
      <c r="F165" s="34" t="s">
        <v>323</v>
      </c>
      <c r="G165" s="34" t="s">
        <v>396</v>
      </c>
      <c r="H165" s="34" t="s">
        <v>113</v>
      </c>
      <c r="I165" s="34">
        <v>0</v>
      </c>
      <c r="J165" s="34">
        <v>0</v>
      </c>
      <c r="K165" s="34">
        <v>0</v>
      </c>
    </row>
    <row r="166" spans="1:11" hidden="1" x14ac:dyDescent="0.3">
      <c r="A166" s="36" t="str">
        <f>VLOOKUP(E166,Table1[[#All],[Campo]],1,0)</f>
        <v>ACCMLTD_IMPRMNT_INSTRMNT</v>
      </c>
      <c r="B166" s="34" t="s">
        <v>472</v>
      </c>
      <c r="C166" s="34" t="s">
        <v>473</v>
      </c>
      <c r="D166" s="34" t="s">
        <v>395</v>
      </c>
      <c r="E166" s="34" t="s">
        <v>65</v>
      </c>
      <c r="F166" s="34" t="s">
        <v>323</v>
      </c>
      <c r="G166" s="34" t="s">
        <v>396</v>
      </c>
      <c r="H166" s="34" t="s">
        <v>113</v>
      </c>
      <c r="I166" s="34">
        <v>277512</v>
      </c>
      <c r="J166" s="34">
        <v>0</v>
      </c>
      <c r="K166" s="34">
        <v>0</v>
      </c>
    </row>
    <row r="167" spans="1:11" hidden="1" x14ac:dyDescent="0.3">
      <c r="A167" s="36" t="str">
        <f>VLOOKUP(E167,Table1[[#All],[Campo]],1,0)</f>
        <v>ACCMLTD_IMPRMNT_INSTRMNT</v>
      </c>
      <c r="B167" s="34" t="s">
        <v>474</v>
      </c>
      <c r="C167" s="34" t="s">
        <v>475</v>
      </c>
      <c r="D167" s="34" t="s">
        <v>395</v>
      </c>
      <c r="E167" s="34" t="s">
        <v>65</v>
      </c>
      <c r="F167" s="34" t="s">
        <v>323</v>
      </c>
      <c r="G167" s="34" t="s">
        <v>396</v>
      </c>
      <c r="H167" s="34" t="s">
        <v>113</v>
      </c>
      <c r="I167" s="34">
        <v>3</v>
      </c>
      <c r="J167" s="34">
        <v>0</v>
      </c>
      <c r="K167" s="34">
        <v>0</v>
      </c>
    </row>
    <row r="168" spans="1:11" hidden="1" x14ac:dyDescent="0.3">
      <c r="A168" s="36" t="str">
        <f>VLOOKUP(E168,Table1[[#All],[Campo]],1,0)</f>
        <v>SSTNBL_INDCTR</v>
      </c>
      <c r="B168" s="34" t="s">
        <v>476</v>
      </c>
      <c r="C168" s="34" t="s">
        <v>477</v>
      </c>
      <c r="D168" s="34" t="s">
        <v>395</v>
      </c>
      <c r="E168" s="34" t="s">
        <v>3</v>
      </c>
      <c r="F168" s="34" t="s">
        <v>323</v>
      </c>
      <c r="G168" s="34" t="s">
        <v>396</v>
      </c>
      <c r="H168" s="34" t="s">
        <v>113</v>
      </c>
      <c r="I168" s="34">
        <v>0</v>
      </c>
      <c r="J168" s="34">
        <v>0</v>
      </c>
      <c r="K168" s="34">
        <v>0</v>
      </c>
    </row>
    <row r="169" spans="1:11" hidden="1" x14ac:dyDescent="0.3">
      <c r="A169" s="36" t="str">
        <f>VLOOKUP(E169,Table1[[#All],[Campo]],1,0)</f>
        <v>SSTNBL_INDCTR</v>
      </c>
      <c r="B169" s="34" t="s">
        <v>478</v>
      </c>
      <c r="C169" s="34" t="s">
        <v>479</v>
      </c>
      <c r="D169" s="34" t="s">
        <v>395</v>
      </c>
      <c r="E169" s="34" t="s">
        <v>3</v>
      </c>
      <c r="F169" s="34" t="s">
        <v>323</v>
      </c>
      <c r="G169" s="34" t="s">
        <v>396</v>
      </c>
      <c r="H169" s="34" t="s">
        <v>113</v>
      </c>
      <c r="I169" s="34">
        <v>0</v>
      </c>
      <c r="J169" s="34">
        <v>0</v>
      </c>
      <c r="K169" s="34">
        <v>0</v>
      </c>
    </row>
    <row r="170" spans="1:11" hidden="1" x14ac:dyDescent="0.3">
      <c r="A170" s="36" t="str">
        <f>VLOOKUP(E170,Table1[[#All],[Campo]],1,0)</f>
        <v>SSTNBL_CTGRY</v>
      </c>
      <c r="B170" s="34" t="s">
        <v>480</v>
      </c>
      <c r="C170" s="34" t="s">
        <v>481</v>
      </c>
      <c r="D170" s="34" t="s">
        <v>391</v>
      </c>
      <c r="E170" s="34" t="s">
        <v>74</v>
      </c>
      <c r="F170" s="34" t="s">
        <v>323</v>
      </c>
      <c r="G170" s="34" t="s">
        <v>396</v>
      </c>
      <c r="H170" s="34" t="s">
        <v>113</v>
      </c>
      <c r="I170" s="34">
        <v>0</v>
      </c>
      <c r="J170" s="34">
        <v>0</v>
      </c>
      <c r="K170" s="34">
        <v>0</v>
      </c>
    </row>
    <row r="171" spans="1:11" hidden="1" x14ac:dyDescent="0.3">
      <c r="A171" s="36" t="str">
        <f>VLOOKUP(E171,Table1[[#All],[Campo]],1,0)</f>
        <v>SSTNBL_CTGRY</v>
      </c>
      <c r="B171" s="34" t="s">
        <v>482</v>
      </c>
      <c r="C171" s="34" t="s">
        <v>483</v>
      </c>
      <c r="D171" s="34" t="s">
        <v>391</v>
      </c>
      <c r="E171" s="34" t="s">
        <v>74</v>
      </c>
      <c r="F171" s="34" t="s">
        <v>323</v>
      </c>
      <c r="G171" s="34" t="s">
        <v>396</v>
      </c>
      <c r="H171" s="34" t="s">
        <v>113</v>
      </c>
      <c r="I171" s="34">
        <v>0</v>
      </c>
      <c r="J171" s="34">
        <v>0</v>
      </c>
      <c r="K171" s="34">
        <v>0</v>
      </c>
    </row>
    <row r="172" spans="1:11" hidden="1" x14ac:dyDescent="0.3">
      <c r="A172" s="36" t="str">
        <f>VLOOKUP(E172,Table1[[#All],[Campo]],1,0)</f>
        <v>SSTNBL_CTGRY</v>
      </c>
      <c r="B172" s="34" t="s">
        <v>484</v>
      </c>
      <c r="C172" s="34" t="s">
        <v>485</v>
      </c>
      <c r="D172" s="34" t="s">
        <v>391</v>
      </c>
      <c r="E172" s="34" t="s">
        <v>74</v>
      </c>
      <c r="F172" s="34" t="s">
        <v>323</v>
      </c>
      <c r="G172" s="34" t="s">
        <v>396</v>
      </c>
      <c r="H172" s="34" t="s">
        <v>113</v>
      </c>
      <c r="I172" s="34">
        <v>0</v>
      </c>
      <c r="J172" s="34">
        <v>0</v>
      </c>
      <c r="K172" s="34">
        <v>0</v>
      </c>
    </row>
    <row r="173" spans="1:11" hidden="1" x14ac:dyDescent="0.3">
      <c r="A173" s="36" t="str">
        <f>VLOOKUP(E173,Table1[[#All],[Campo]],1,0)</f>
        <v>SSTNBL_CTGRY</v>
      </c>
      <c r="B173" s="34" t="s">
        <v>486</v>
      </c>
      <c r="C173" s="34" t="s">
        <v>487</v>
      </c>
      <c r="D173" s="34" t="s">
        <v>391</v>
      </c>
      <c r="E173" s="34" t="s">
        <v>74</v>
      </c>
      <c r="F173" s="34" t="s">
        <v>323</v>
      </c>
      <c r="G173" s="34" t="s">
        <v>396</v>
      </c>
      <c r="H173" s="34" t="s">
        <v>113</v>
      </c>
      <c r="I173" s="34">
        <v>0</v>
      </c>
      <c r="J173" s="34">
        <v>0</v>
      </c>
      <c r="K173" s="34">
        <v>0</v>
      </c>
    </row>
    <row r="174" spans="1:11" hidden="1" x14ac:dyDescent="0.3">
      <c r="A174" s="36" t="str">
        <f>VLOOKUP(E174,Table1[[#All],[Campo]],1,0)</f>
        <v>SSTNBL_CTGRY</v>
      </c>
      <c r="B174" s="34" t="s">
        <v>488</v>
      </c>
      <c r="C174" s="34" t="s">
        <v>489</v>
      </c>
      <c r="D174" s="34" t="s">
        <v>391</v>
      </c>
      <c r="E174" s="34" t="s">
        <v>74</v>
      </c>
      <c r="F174" s="34" t="s">
        <v>323</v>
      </c>
      <c r="G174" s="34" t="s">
        <v>396</v>
      </c>
      <c r="H174" s="34" t="s">
        <v>113</v>
      </c>
      <c r="I174" s="34">
        <v>0</v>
      </c>
      <c r="J174" s="34">
        <v>0</v>
      </c>
      <c r="K174" s="34">
        <v>0</v>
      </c>
    </row>
    <row r="175" spans="1:11" hidden="1" x14ac:dyDescent="0.3">
      <c r="A175" s="36" t="str">
        <f>VLOOKUP(E175,Table1[[#All],[Campo]],1,0)</f>
        <v>SSTNBL_CTGRY</v>
      </c>
      <c r="B175" s="34" t="s">
        <v>490</v>
      </c>
      <c r="C175" s="34" t="s">
        <v>491</v>
      </c>
      <c r="D175" s="34" t="s">
        <v>391</v>
      </c>
      <c r="E175" s="34" t="s">
        <v>74</v>
      </c>
      <c r="F175" s="34" t="s">
        <v>323</v>
      </c>
      <c r="G175" s="34" t="s">
        <v>396</v>
      </c>
      <c r="H175" s="34" t="s">
        <v>113</v>
      </c>
      <c r="I175" s="34">
        <v>0</v>
      </c>
      <c r="J175" s="34">
        <v>0</v>
      </c>
      <c r="K175" s="34">
        <v>0</v>
      </c>
    </row>
    <row r="176" spans="1:11" hidden="1" x14ac:dyDescent="0.3">
      <c r="A176" s="36" t="str">
        <f>VLOOKUP(E176,Table1[[#All],[Campo]],1,0)</f>
        <v>SSTNBL_CTGRY</v>
      </c>
      <c r="B176" s="34" t="s">
        <v>492</v>
      </c>
      <c r="C176" s="34" t="s">
        <v>493</v>
      </c>
      <c r="D176" s="34" t="s">
        <v>391</v>
      </c>
      <c r="E176" s="34" t="s">
        <v>74</v>
      </c>
      <c r="F176" s="34" t="s">
        <v>323</v>
      </c>
      <c r="G176" s="34" t="s">
        <v>396</v>
      </c>
      <c r="H176" s="34" t="s">
        <v>113</v>
      </c>
      <c r="I176" s="34">
        <v>0</v>
      </c>
      <c r="J176" s="34">
        <v>0</v>
      </c>
      <c r="K176" s="34">
        <v>0</v>
      </c>
    </row>
    <row r="177" spans="1:11" hidden="1" x14ac:dyDescent="0.3">
      <c r="A177" s="36" t="str">
        <f>VLOOKUP(E177,Table1[[#All],[Campo]],1,0)</f>
        <v>SSTNBL_CTGRY</v>
      </c>
      <c r="B177" s="34" t="s">
        <v>494</v>
      </c>
      <c r="C177" s="34" t="s">
        <v>495</v>
      </c>
      <c r="D177" s="34" t="s">
        <v>391</v>
      </c>
      <c r="E177" s="34" t="s">
        <v>74</v>
      </c>
      <c r="F177" s="34" t="s">
        <v>323</v>
      </c>
      <c r="G177" s="34" t="s">
        <v>396</v>
      </c>
      <c r="H177" s="34" t="s">
        <v>113</v>
      </c>
      <c r="I177" s="34">
        <v>0</v>
      </c>
      <c r="J177" s="34">
        <v>0</v>
      </c>
      <c r="K177" s="34">
        <v>0</v>
      </c>
    </row>
    <row r="178" spans="1:11" hidden="1" x14ac:dyDescent="0.3">
      <c r="A178" s="36" t="str">
        <f>VLOOKUP(E178,Table1[[#All],[Campo]],1,0)</f>
        <v>SSTNBL_CTGRY</v>
      </c>
      <c r="B178" s="34" t="s">
        <v>496</v>
      </c>
      <c r="C178" s="34" t="s">
        <v>497</v>
      </c>
      <c r="D178" s="34" t="s">
        <v>391</v>
      </c>
      <c r="E178" s="34" t="s">
        <v>74</v>
      </c>
      <c r="F178" s="34" t="s">
        <v>323</v>
      </c>
      <c r="G178" s="34" t="s">
        <v>396</v>
      </c>
      <c r="H178" s="34" t="s">
        <v>113</v>
      </c>
      <c r="I178" s="34">
        <v>0</v>
      </c>
      <c r="J178" s="34">
        <v>0</v>
      </c>
      <c r="K178" s="34">
        <v>0</v>
      </c>
    </row>
    <row r="179" spans="1:11" hidden="1" x14ac:dyDescent="0.3">
      <c r="A179" s="36" t="str">
        <f>VLOOKUP(E179,Table1[[#All],[Campo]],1,0)</f>
        <v>SSTNBL_CTGRY</v>
      </c>
      <c r="B179" s="34" t="s">
        <v>498</v>
      </c>
      <c r="C179" s="34" t="s">
        <v>499</v>
      </c>
      <c r="D179" s="34" t="s">
        <v>391</v>
      </c>
      <c r="E179" s="34" t="s">
        <v>74</v>
      </c>
      <c r="F179" s="34" t="s">
        <v>323</v>
      </c>
      <c r="G179" s="34" t="s">
        <v>396</v>
      </c>
      <c r="H179" s="34" t="s">
        <v>113</v>
      </c>
      <c r="I179" s="34">
        <v>0</v>
      </c>
      <c r="J179" s="34">
        <v>0</v>
      </c>
      <c r="K179" s="34">
        <v>0</v>
      </c>
    </row>
    <row r="180" spans="1:11" hidden="1" x14ac:dyDescent="0.3">
      <c r="A180" s="36" t="str">
        <f>VLOOKUP(E180,Table1[[#All],[Campo]],1,0)</f>
        <v>SSTNBL_CTGRY</v>
      </c>
      <c r="B180" s="34" t="s">
        <v>500</v>
      </c>
      <c r="C180" s="34" t="s">
        <v>501</v>
      </c>
      <c r="D180" s="34" t="s">
        <v>391</v>
      </c>
      <c r="E180" s="34" t="s">
        <v>74</v>
      </c>
      <c r="F180" s="34" t="s">
        <v>323</v>
      </c>
      <c r="G180" s="34" t="s">
        <v>396</v>
      </c>
      <c r="H180" s="34" t="s">
        <v>113</v>
      </c>
      <c r="I180" s="34">
        <v>0</v>
      </c>
      <c r="J180" s="34">
        <v>0</v>
      </c>
      <c r="K180" s="34">
        <v>0</v>
      </c>
    </row>
    <row r="181" spans="1:11" hidden="1" x14ac:dyDescent="0.3">
      <c r="A181" s="36" t="str">
        <f>VLOOKUP(E181,Table1[[#All],[Campo]],1,0)</f>
        <v>SSTNBL_CTGRY</v>
      </c>
      <c r="B181" s="34" t="s">
        <v>502</v>
      </c>
      <c r="C181" s="34" t="s">
        <v>503</v>
      </c>
      <c r="D181" s="34" t="s">
        <v>391</v>
      </c>
      <c r="E181" s="34" t="s">
        <v>74</v>
      </c>
      <c r="F181" s="34" t="s">
        <v>323</v>
      </c>
      <c r="G181" s="34" t="s">
        <v>396</v>
      </c>
      <c r="H181" s="34" t="s">
        <v>113</v>
      </c>
      <c r="I181" s="34">
        <v>0</v>
      </c>
      <c r="J181" s="34">
        <v>0</v>
      </c>
      <c r="K181" s="34">
        <v>0</v>
      </c>
    </row>
    <row r="182" spans="1:11" hidden="1" x14ac:dyDescent="0.3">
      <c r="A182" s="36" t="str">
        <f>VLOOKUP(E182,Table1[[#All],[Campo]],1,0)</f>
        <v>SSTNBL_CTGRY</v>
      </c>
      <c r="B182" s="34" t="s">
        <v>504</v>
      </c>
      <c r="C182" s="34" t="s">
        <v>505</v>
      </c>
      <c r="D182" s="34" t="s">
        <v>391</v>
      </c>
      <c r="E182" s="34" t="s">
        <v>74</v>
      </c>
      <c r="F182" s="34" t="s">
        <v>323</v>
      </c>
      <c r="G182" s="34" t="s">
        <v>396</v>
      </c>
      <c r="H182" s="34" t="s">
        <v>113</v>
      </c>
      <c r="I182" s="34">
        <v>0</v>
      </c>
      <c r="J182" s="34">
        <v>0</v>
      </c>
      <c r="K182" s="34">
        <v>0</v>
      </c>
    </row>
    <row r="183" spans="1:11" hidden="1" x14ac:dyDescent="0.3">
      <c r="A183" s="36" t="str">
        <f>VLOOKUP(E183,Table1[[#All],[Campo]],1,0)</f>
        <v>SSTNBL_CTGRY</v>
      </c>
      <c r="B183" s="34" t="s">
        <v>506</v>
      </c>
      <c r="C183" s="34" t="s">
        <v>507</v>
      </c>
      <c r="D183" s="34" t="s">
        <v>391</v>
      </c>
      <c r="E183" s="34" t="s">
        <v>74</v>
      </c>
      <c r="F183" s="34" t="s">
        <v>323</v>
      </c>
      <c r="G183" s="34" t="s">
        <v>396</v>
      </c>
      <c r="H183" s="34" t="s">
        <v>113</v>
      </c>
      <c r="I183" s="34">
        <v>0</v>
      </c>
      <c r="J183" s="34">
        <v>0</v>
      </c>
      <c r="K183" s="34">
        <v>0</v>
      </c>
    </row>
    <row r="184" spans="1:11" hidden="1" x14ac:dyDescent="0.3">
      <c r="A184" s="36" t="str">
        <f>VLOOKUP(E184,Table1[[#All],[Campo]],1,0)</f>
        <v>GRSS_INTRST_INCM</v>
      </c>
      <c r="B184" s="34" t="s">
        <v>508</v>
      </c>
      <c r="C184" s="34" t="s">
        <v>509</v>
      </c>
      <c r="D184" s="34" t="s">
        <v>395</v>
      </c>
      <c r="E184" s="34" t="s">
        <v>19</v>
      </c>
      <c r="F184" s="34" t="s">
        <v>323</v>
      </c>
      <c r="G184" s="34" t="s">
        <v>396</v>
      </c>
      <c r="H184" s="34" t="s">
        <v>113</v>
      </c>
      <c r="I184" s="34">
        <v>0</v>
      </c>
      <c r="J184" s="34">
        <v>0</v>
      </c>
      <c r="K184" s="34">
        <v>0</v>
      </c>
    </row>
    <row r="185" spans="1:11" hidden="1" x14ac:dyDescent="0.3">
      <c r="A185" s="36" t="str">
        <f>VLOOKUP(E185,Table1[[#All],[Campo]],1,0)</f>
        <v>GRSS_INTRST_INCM</v>
      </c>
      <c r="B185" s="34" t="s">
        <v>510</v>
      </c>
      <c r="C185" s="34" t="s">
        <v>511</v>
      </c>
      <c r="D185" s="34" t="s">
        <v>395</v>
      </c>
      <c r="E185" s="34" t="s">
        <v>19</v>
      </c>
      <c r="F185" s="34" t="s">
        <v>323</v>
      </c>
      <c r="G185" s="34" t="s">
        <v>396</v>
      </c>
      <c r="H185" s="34" t="s">
        <v>113</v>
      </c>
      <c r="I185" s="34">
        <v>0</v>
      </c>
      <c r="J185" s="34">
        <v>0</v>
      </c>
      <c r="K185" s="34">
        <v>0</v>
      </c>
    </row>
    <row r="186" spans="1:11" hidden="1" x14ac:dyDescent="0.3">
      <c r="A186" s="36" t="s">
        <v>18</v>
      </c>
      <c r="B186" s="34" t="s">
        <v>512</v>
      </c>
      <c r="C186" s="34" t="s">
        <v>513</v>
      </c>
      <c r="D186" s="34" t="s">
        <v>395</v>
      </c>
      <c r="E186" s="34" t="s">
        <v>234</v>
      </c>
      <c r="F186" s="34" t="s">
        <v>323</v>
      </c>
      <c r="G186" s="34" t="s">
        <v>396</v>
      </c>
      <c r="H186" s="34" t="s">
        <v>113</v>
      </c>
      <c r="I186" s="34">
        <v>0</v>
      </c>
      <c r="J186" s="34">
        <v>0</v>
      </c>
      <c r="K186" s="34">
        <v>0</v>
      </c>
    </row>
    <row r="187" spans="1:11" hidden="1" x14ac:dyDescent="0.3">
      <c r="A187" s="36" t="s">
        <v>18</v>
      </c>
      <c r="B187" s="34" t="s">
        <v>514</v>
      </c>
      <c r="C187" s="34" t="s">
        <v>515</v>
      </c>
      <c r="D187" s="34" t="s">
        <v>395</v>
      </c>
      <c r="E187" s="34" t="s">
        <v>234</v>
      </c>
      <c r="F187" s="34" t="s">
        <v>323</v>
      </c>
      <c r="G187" s="34" t="s">
        <v>396</v>
      </c>
      <c r="H187" s="34" t="s">
        <v>113</v>
      </c>
      <c r="I187" s="34">
        <v>0</v>
      </c>
      <c r="J187" s="34">
        <v>0</v>
      </c>
      <c r="K187" s="34">
        <v>0</v>
      </c>
    </row>
    <row r="188" spans="1:11" hidden="1" x14ac:dyDescent="0.3">
      <c r="A188" s="36" t="str">
        <f>VLOOKUP(E188,Table1[[#All],[Campo]],1,0)</f>
        <v>MNGMNT_PRDCT</v>
      </c>
      <c r="B188" s="34" t="s">
        <v>516</v>
      </c>
      <c r="C188" s="34" t="s">
        <v>517</v>
      </c>
      <c r="D188" s="34" t="s">
        <v>395</v>
      </c>
      <c r="E188" s="34" t="s">
        <v>29</v>
      </c>
      <c r="F188" s="34" t="s">
        <v>323</v>
      </c>
      <c r="G188" s="34" t="s">
        <v>396</v>
      </c>
      <c r="H188" s="34" t="s">
        <v>113</v>
      </c>
      <c r="I188" s="34">
        <v>0</v>
      </c>
      <c r="J188" s="34">
        <v>0</v>
      </c>
      <c r="K188" s="34">
        <v>0</v>
      </c>
    </row>
    <row r="189" spans="1:11" hidden="1" x14ac:dyDescent="0.3">
      <c r="A189" s="36" t="str">
        <f>VLOOKUP(E189,Table1[[#All],[Campo]],1,0)</f>
        <v>MNGMNT_PRDCT</v>
      </c>
      <c r="B189" s="34" t="s">
        <v>518</v>
      </c>
      <c r="C189" s="34" t="s">
        <v>519</v>
      </c>
      <c r="D189" s="34" t="s">
        <v>395</v>
      </c>
      <c r="E189" s="34" t="s">
        <v>29</v>
      </c>
      <c r="F189" s="34" t="s">
        <v>323</v>
      </c>
      <c r="G189" s="34" t="s">
        <v>396</v>
      </c>
      <c r="H189" s="34" t="s">
        <v>113</v>
      </c>
      <c r="I189" s="34">
        <v>277518</v>
      </c>
      <c r="J189" s="34">
        <v>0</v>
      </c>
      <c r="K189" s="34">
        <v>0</v>
      </c>
    </row>
    <row r="190" spans="1:11" hidden="1" x14ac:dyDescent="0.3">
      <c r="A190" s="36" t="str">
        <f>VLOOKUP(E190,Table1[[#All],[Campo]],1,0)</f>
        <v>MNGMNT_PRDCT</v>
      </c>
      <c r="B190" s="34" t="s">
        <v>520</v>
      </c>
      <c r="C190" s="34" t="s">
        <v>521</v>
      </c>
      <c r="D190" s="34" t="s">
        <v>395</v>
      </c>
      <c r="E190" s="34" t="s">
        <v>29</v>
      </c>
      <c r="F190" s="34" t="s">
        <v>323</v>
      </c>
      <c r="G190" s="34" t="s">
        <v>396</v>
      </c>
      <c r="H190" s="34" t="s">
        <v>113</v>
      </c>
      <c r="I190" s="34">
        <v>1724892</v>
      </c>
      <c r="J190" s="34">
        <v>0</v>
      </c>
      <c r="K190" s="34">
        <v>0</v>
      </c>
    </row>
    <row r="191" spans="1:11" hidden="1" x14ac:dyDescent="0.3">
      <c r="A191" s="36" t="s">
        <v>15</v>
      </c>
      <c r="B191" s="34" t="s">
        <v>522</v>
      </c>
      <c r="C191" s="34" t="s">
        <v>523</v>
      </c>
      <c r="D191" s="34" t="s">
        <v>395</v>
      </c>
      <c r="E191" s="34" t="s">
        <v>245</v>
      </c>
      <c r="F191" s="34" t="s">
        <v>323</v>
      </c>
      <c r="G191" s="34" t="s">
        <v>396</v>
      </c>
      <c r="H191" s="34" t="s">
        <v>113</v>
      </c>
      <c r="I191" s="34">
        <v>0</v>
      </c>
      <c r="J191" s="34">
        <v>0</v>
      </c>
      <c r="K191" s="34">
        <v>0</v>
      </c>
    </row>
    <row r="192" spans="1:11" hidden="1" x14ac:dyDescent="0.3">
      <c r="A192" s="36" t="s">
        <v>15</v>
      </c>
      <c r="B192" s="34" t="s">
        <v>524</v>
      </c>
      <c r="C192" s="34" t="s">
        <v>525</v>
      </c>
      <c r="D192" s="34" t="s">
        <v>395</v>
      </c>
      <c r="E192" s="34" t="s">
        <v>245</v>
      </c>
      <c r="F192" s="34" t="s">
        <v>323</v>
      </c>
      <c r="G192" s="34" t="s">
        <v>396</v>
      </c>
      <c r="H192" s="34" t="s">
        <v>113</v>
      </c>
      <c r="I192" s="34">
        <v>0</v>
      </c>
      <c r="J192" s="34">
        <v>0</v>
      </c>
      <c r="K192" s="34">
        <v>0</v>
      </c>
    </row>
    <row r="193" spans="1:11" hidden="1" x14ac:dyDescent="0.3">
      <c r="A193" s="36" t="str">
        <f>VLOOKUP(E193,Table1[[#All],[Campo]],1,0)</f>
        <v>GNS_FNNCL_TRNSCTN_EXCHNG_DFFRNCS</v>
      </c>
      <c r="B193" s="34" t="s">
        <v>526</v>
      </c>
      <c r="C193" s="34" t="s">
        <v>527</v>
      </c>
      <c r="D193" s="34" t="s">
        <v>395</v>
      </c>
      <c r="E193" s="34" t="s">
        <v>11</v>
      </c>
      <c r="F193" s="34" t="s">
        <v>323</v>
      </c>
      <c r="G193" s="34" t="s">
        <v>396</v>
      </c>
      <c r="H193" s="34" t="s">
        <v>113</v>
      </c>
      <c r="I193" s="34">
        <v>0</v>
      </c>
      <c r="J193" s="34">
        <v>0</v>
      </c>
      <c r="K193" s="34">
        <v>0</v>
      </c>
    </row>
    <row r="194" spans="1:11" hidden="1" x14ac:dyDescent="0.3">
      <c r="A194" s="36" t="str">
        <f>VLOOKUP(E194,Table1[[#All],[Campo]],1,0)</f>
        <v>GNS_FNNCL_TRNSCTN_EXCHNG_DFFRNCS</v>
      </c>
      <c r="B194" s="34" t="s">
        <v>528</v>
      </c>
      <c r="C194" s="34" t="s">
        <v>529</v>
      </c>
      <c r="D194" s="34" t="s">
        <v>395</v>
      </c>
      <c r="E194" s="34" t="s">
        <v>11</v>
      </c>
      <c r="F194" s="34" t="s">
        <v>323</v>
      </c>
      <c r="G194" s="34" t="s">
        <v>396</v>
      </c>
      <c r="H194" s="34" t="s">
        <v>113</v>
      </c>
      <c r="I194" s="34">
        <v>0</v>
      </c>
      <c r="J194" s="34">
        <v>0</v>
      </c>
      <c r="K194" s="34">
        <v>0</v>
      </c>
    </row>
    <row r="195" spans="1:11" hidden="1" x14ac:dyDescent="0.3">
      <c r="A195" s="36" t="str">
        <f>VLOOKUP(E195,Table1[[#All],[Campo]],1,0)</f>
        <v>INTRBSNSS_ADJ_COD</v>
      </c>
      <c r="B195" s="34" t="s">
        <v>530</v>
      </c>
      <c r="C195" s="34" t="s">
        <v>531</v>
      </c>
      <c r="D195" s="34" t="s">
        <v>395</v>
      </c>
      <c r="E195" s="34" t="s">
        <v>38</v>
      </c>
      <c r="F195" s="34" t="s">
        <v>323</v>
      </c>
      <c r="G195" s="34" t="s">
        <v>396</v>
      </c>
      <c r="H195" s="34" t="s">
        <v>113</v>
      </c>
      <c r="I195" s="34">
        <v>0</v>
      </c>
      <c r="J195" s="34">
        <v>0</v>
      </c>
      <c r="K195" s="34">
        <v>0</v>
      </c>
    </row>
    <row r="196" spans="1:11" hidden="1" x14ac:dyDescent="0.3">
      <c r="A196" s="36" t="str">
        <f>VLOOKUP(E196,Table1[[#All],[Campo]],1,0)</f>
        <v>INTRBSNSS_ADJ_COD</v>
      </c>
      <c r="B196" s="34" t="s">
        <v>532</v>
      </c>
      <c r="C196" s="34" t="s">
        <v>533</v>
      </c>
      <c r="D196" s="34" t="s">
        <v>395</v>
      </c>
      <c r="E196" s="34" t="s">
        <v>38</v>
      </c>
      <c r="F196" s="34" t="s">
        <v>323</v>
      </c>
      <c r="G196" s="34" t="s">
        <v>396</v>
      </c>
      <c r="H196" s="34" t="s">
        <v>113</v>
      </c>
      <c r="I196" s="34">
        <v>0</v>
      </c>
      <c r="J196" s="34">
        <v>0</v>
      </c>
      <c r="K196" s="34">
        <v>0</v>
      </c>
    </row>
    <row r="197" spans="1:11" hidden="1" x14ac:dyDescent="0.3">
      <c r="A197" s="36" t="str">
        <f>VLOOKUP(E197,Table1[[#All],[Campo]],1,0)</f>
        <v>COD_SOC_DSTNTN</v>
      </c>
      <c r="B197" s="34" t="s">
        <v>534</v>
      </c>
      <c r="C197" s="34" t="s">
        <v>535</v>
      </c>
      <c r="D197" s="34" t="s">
        <v>395</v>
      </c>
      <c r="E197" s="34" t="s">
        <v>37</v>
      </c>
      <c r="F197" s="34" t="s">
        <v>323</v>
      </c>
      <c r="G197" s="34" t="s">
        <v>396</v>
      </c>
      <c r="H197" s="34" t="s">
        <v>113</v>
      </c>
      <c r="I197" s="34">
        <v>0</v>
      </c>
      <c r="J197" s="34">
        <v>0</v>
      </c>
      <c r="K197" s="34">
        <v>0</v>
      </c>
    </row>
    <row r="198" spans="1:11" hidden="1" x14ac:dyDescent="0.3">
      <c r="A198" s="36" t="str">
        <f>VLOOKUP(E198,Table1[[#All],[Campo]],1,0)</f>
        <v>COD_SOC_DSTNTN</v>
      </c>
      <c r="B198" s="34" t="s">
        <v>536</v>
      </c>
      <c r="C198" s="34" t="s">
        <v>537</v>
      </c>
      <c r="D198" s="34" t="s">
        <v>395</v>
      </c>
      <c r="E198" s="34" t="s">
        <v>37</v>
      </c>
      <c r="F198" s="34" t="s">
        <v>323</v>
      </c>
      <c r="G198" s="34" t="s">
        <v>396</v>
      </c>
      <c r="H198" s="34" t="s">
        <v>113</v>
      </c>
      <c r="I198" s="34">
        <v>0</v>
      </c>
      <c r="J198" s="34">
        <v>0</v>
      </c>
      <c r="K198" s="34">
        <v>0</v>
      </c>
    </row>
    <row r="199" spans="1:11" hidden="1" x14ac:dyDescent="0.3">
      <c r="A199" s="36" t="str">
        <f>VLOOKUP(E199,Table1[[#All],[Campo]],1,0)</f>
        <v>BSNSS_AREA_DSTNTN</v>
      </c>
      <c r="B199" s="34" t="s">
        <v>538</v>
      </c>
      <c r="C199" s="34" t="s">
        <v>539</v>
      </c>
      <c r="D199" s="34" t="s">
        <v>395</v>
      </c>
      <c r="E199" s="34" t="s">
        <v>40</v>
      </c>
      <c r="F199" s="34" t="s">
        <v>323</v>
      </c>
      <c r="G199" s="34" t="s">
        <v>396</v>
      </c>
      <c r="H199" s="34" t="s">
        <v>113</v>
      </c>
      <c r="I199" s="34">
        <v>0</v>
      </c>
      <c r="J199" s="34">
        <v>0</v>
      </c>
      <c r="K199" s="34">
        <v>0</v>
      </c>
    </row>
    <row r="200" spans="1:11" hidden="1" x14ac:dyDescent="0.3">
      <c r="A200" s="36" t="str">
        <f>VLOOKUP(E200,Table1[[#All],[Campo]],1,0)</f>
        <v>BSNSS_AREA_DSTNTN</v>
      </c>
      <c r="B200" s="34" t="s">
        <v>540</v>
      </c>
      <c r="C200" s="34" t="s">
        <v>541</v>
      </c>
      <c r="D200" s="34" t="s">
        <v>395</v>
      </c>
      <c r="E200" s="34" t="s">
        <v>40</v>
      </c>
      <c r="F200" s="34" t="s">
        <v>323</v>
      </c>
      <c r="G200" s="34" t="s">
        <v>396</v>
      </c>
      <c r="H200" s="34" t="s">
        <v>113</v>
      </c>
      <c r="I200" s="34">
        <v>0</v>
      </c>
      <c r="J200" s="34">
        <v>0</v>
      </c>
      <c r="K200" s="34">
        <v>0</v>
      </c>
    </row>
    <row r="201" spans="1:11" hidden="1" x14ac:dyDescent="0.3">
      <c r="A201" s="36" t="str">
        <f>VLOOKUP(E201,Table1[[#All],[Campo]],1,0)</f>
        <v>BSNSS_AREA_DSTNTN</v>
      </c>
      <c r="B201" s="34" t="s">
        <v>542</v>
      </c>
      <c r="C201" s="34" t="s">
        <v>543</v>
      </c>
      <c r="D201" s="34" t="s">
        <v>395</v>
      </c>
      <c r="E201" s="34" t="s">
        <v>40</v>
      </c>
      <c r="F201" s="34" t="s">
        <v>323</v>
      </c>
      <c r="G201" s="34" t="s">
        <v>396</v>
      </c>
      <c r="H201" s="34" t="s">
        <v>113</v>
      </c>
      <c r="I201" s="34">
        <v>0</v>
      </c>
      <c r="J201" s="34">
        <v>0</v>
      </c>
      <c r="K201" s="34">
        <v>0</v>
      </c>
    </row>
    <row r="202" spans="1:11" hidden="1" x14ac:dyDescent="0.3">
      <c r="A202" s="36" t="str">
        <f>VLOOKUP(E202,Table1[[#All],[Campo]],1,0)</f>
        <v>AVRG_BLNC_OFF_BLNC</v>
      </c>
      <c r="B202" s="34" t="s">
        <v>544</v>
      </c>
      <c r="C202" s="34" t="s">
        <v>545</v>
      </c>
      <c r="D202" s="34" t="s">
        <v>395</v>
      </c>
      <c r="E202" s="34" t="s">
        <v>25</v>
      </c>
      <c r="F202" s="34" t="s">
        <v>323</v>
      </c>
      <c r="G202" s="34" t="s">
        <v>396</v>
      </c>
      <c r="H202" s="34" t="s">
        <v>113</v>
      </c>
      <c r="I202" s="34">
        <v>0</v>
      </c>
      <c r="J202" s="34">
        <v>0</v>
      </c>
      <c r="K202" s="34">
        <v>0</v>
      </c>
    </row>
    <row r="203" spans="1:11" hidden="1" x14ac:dyDescent="0.3">
      <c r="A203" s="36" t="str">
        <f>VLOOKUP(E203,Table1[[#All],[Campo]],1,0)</f>
        <v>INTRNL_TRNSFR_RT_OFF_BLNC</v>
      </c>
      <c r="B203" s="34" t="s">
        <v>546</v>
      </c>
      <c r="C203" s="34" t="s">
        <v>547</v>
      </c>
      <c r="D203" s="34" t="s">
        <v>395</v>
      </c>
      <c r="E203" s="34" t="s">
        <v>33</v>
      </c>
      <c r="F203" s="34" t="s">
        <v>323</v>
      </c>
      <c r="G203" s="34" t="s">
        <v>396</v>
      </c>
      <c r="H203" s="34" t="s">
        <v>113</v>
      </c>
      <c r="I203" s="34">
        <v>0</v>
      </c>
      <c r="J203" s="34">
        <v>0</v>
      </c>
      <c r="K203" s="34">
        <v>0</v>
      </c>
    </row>
    <row r="204" spans="1:11" hidden="1" x14ac:dyDescent="0.3">
      <c r="A204" s="36" t="s">
        <v>23</v>
      </c>
      <c r="B204" s="34" t="s">
        <v>548</v>
      </c>
      <c r="C204" s="34" t="s">
        <v>549</v>
      </c>
      <c r="D204" s="34" t="s">
        <v>395</v>
      </c>
      <c r="E204" s="34" t="s">
        <v>262</v>
      </c>
      <c r="F204" s="34" t="s">
        <v>323</v>
      </c>
      <c r="G204" s="34" t="s">
        <v>396</v>
      </c>
      <c r="H204" s="34" t="s">
        <v>113</v>
      </c>
      <c r="I204" s="34">
        <v>0</v>
      </c>
      <c r="J204" s="34">
        <v>0</v>
      </c>
      <c r="K204" s="34">
        <v>0</v>
      </c>
    </row>
    <row r="205" spans="1:11" hidden="1" x14ac:dyDescent="0.3">
      <c r="A205" s="36" t="s">
        <v>23</v>
      </c>
      <c r="B205" s="34" t="s">
        <v>550</v>
      </c>
      <c r="C205" s="34" t="s">
        <v>551</v>
      </c>
      <c r="D205" s="34" t="s">
        <v>395</v>
      </c>
      <c r="E205" s="34" t="s">
        <v>262</v>
      </c>
      <c r="F205" s="34" t="s">
        <v>323</v>
      </c>
      <c r="G205" s="34" t="s">
        <v>396</v>
      </c>
      <c r="H205" s="34" t="s">
        <v>113</v>
      </c>
      <c r="I205" s="34">
        <v>0</v>
      </c>
      <c r="J205" s="34">
        <v>0</v>
      </c>
      <c r="K205" s="34">
        <v>0</v>
      </c>
    </row>
    <row r="206" spans="1:11" hidden="1" x14ac:dyDescent="0.3">
      <c r="A206" s="36" t="s">
        <v>23</v>
      </c>
      <c r="B206" s="34" t="s">
        <v>552</v>
      </c>
      <c r="C206" s="34" t="s">
        <v>553</v>
      </c>
      <c r="D206" s="34" t="s">
        <v>395</v>
      </c>
      <c r="E206" s="34" t="s">
        <v>262</v>
      </c>
      <c r="F206" s="34" t="s">
        <v>323</v>
      </c>
      <c r="G206" s="34" t="s">
        <v>396</v>
      </c>
      <c r="H206" s="34" t="s">
        <v>113</v>
      </c>
      <c r="I206" s="34">
        <v>0</v>
      </c>
      <c r="J206" s="34">
        <v>0</v>
      </c>
      <c r="K206" s="34">
        <v>0</v>
      </c>
    </row>
    <row r="207" spans="1:11" hidden="1" x14ac:dyDescent="0.3">
      <c r="A207" s="36" t="s">
        <v>21</v>
      </c>
      <c r="B207" s="34" t="s">
        <v>554</v>
      </c>
      <c r="C207" s="34" t="s">
        <v>555</v>
      </c>
      <c r="D207" s="34" t="s">
        <v>395</v>
      </c>
      <c r="E207" s="34" t="s">
        <v>265</v>
      </c>
      <c r="F207" s="34" t="s">
        <v>323</v>
      </c>
      <c r="G207" s="34" t="s">
        <v>396</v>
      </c>
      <c r="H207" s="34" t="s">
        <v>113</v>
      </c>
      <c r="I207" s="34">
        <v>0</v>
      </c>
      <c r="J207" s="34">
        <v>0</v>
      </c>
      <c r="K207" s="34">
        <v>0</v>
      </c>
    </row>
    <row r="208" spans="1:11" hidden="1" x14ac:dyDescent="0.3">
      <c r="A208" s="36" t="s">
        <v>21</v>
      </c>
      <c r="B208" s="34" t="s">
        <v>556</v>
      </c>
      <c r="C208" s="34" t="s">
        <v>557</v>
      </c>
      <c r="D208" s="34" t="s">
        <v>395</v>
      </c>
      <c r="E208" s="34" t="s">
        <v>265</v>
      </c>
      <c r="F208" s="34" t="s">
        <v>323</v>
      </c>
      <c r="G208" s="34" t="s">
        <v>396</v>
      </c>
      <c r="H208" s="34" t="s">
        <v>113</v>
      </c>
      <c r="I208" s="34">
        <v>0</v>
      </c>
      <c r="J208" s="34">
        <v>0</v>
      </c>
      <c r="K208" s="34">
        <v>0</v>
      </c>
    </row>
    <row r="209" spans="1:11" hidden="1" x14ac:dyDescent="0.3">
      <c r="A209" s="36" t="s">
        <v>21</v>
      </c>
      <c r="B209" s="34" t="s">
        <v>558</v>
      </c>
      <c r="C209" s="34" t="s">
        <v>559</v>
      </c>
      <c r="D209" s="34" t="s">
        <v>395</v>
      </c>
      <c r="E209" s="34" t="s">
        <v>265</v>
      </c>
      <c r="F209" s="34" t="s">
        <v>323</v>
      </c>
      <c r="G209" s="34" t="s">
        <v>396</v>
      </c>
      <c r="H209" s="34" t="s">
        <v>113</v>
      </c>
      <c r="I209" s="34">
        <v>0</v>
      </c>
      <c r="J209" s="34">
        <v>0</v>
      </c>
      <c r="K209" s="34">
        <v>0</v>
      </c>
    </row>
    <row r="210" spans="1:11" hidden="1" x14ac:dyDescent="0.3">
      <c r="A210" s="36" t="str">
        <f>VLOOKUP(E210,Table1[[#All],[Campo]],1,0)</f>
        <v>GRSS_INTRST_EXPNS</v>
      </c>
      <c r="B210" s="34" t="s">
        <v>560</v>
      </c>
      <c r="C210" s="34" t="s">
        <v>561</v>
      </c>
      <c r="D210" s="34" t="s">
        <v>395</v>
      </c>
      <c r="E210" s="34" t="s">
        <v>13</v>
      </c>
      <c r="F210" s="34" t="s">
        <v>323</v>
      </c>
      <c r="G210" s="34" t="s">
        <v>396</v>
      </c>
      <c r="H210" s="34" t="s">
        <v>113</v>
      </c>
      <c r="I210" s="34">
        <v>0</v>
      </c>
      <c r="J210" s="34">
        <v>0</v>
      </c>
      <c r="K210" s="34">
        <v>0</v>
      </c>
    </row>
    <row r="211" spans="1:11" hidden="1" x14ac:dyDescent="0.3">
      <c r="A211" s="36" t="str">
        <f>VLOOKUP(E211,Table1[[#All],[Campo]],1,0)</f>
        <v>GRSS_INTRST_EXPNS</v>
      </c>
      <c r="B211" s="34" t="s">
        <v>562</v>
      </c>
      <c r="C211" s="34" t="s">
        <v>563</v>
      </c>
      <c r="D211" s="34" t="s">
        <v>395</v>
      </c>
      <c r="E211" s="34" t="s">
        <v>13</v>
      </c>
      <c r="F211" s="34" t="s">
        <v>323</v>
      </c>
      <c r="G211" s="34" t="s">
        <v>396</v>
      </c>
      <c r="H211" s="34" t="s">
        <v>113</v>
      </c>
      <c r="I211" s="34">
        <v>0</v>
      </c>
      <c r="J211" s="34">
        <v>0</v>
      </c>
      <c r="K211" s="34">
        <v>0</v>
      </c>
    </row>
    <row r="212" spans="1:11" hidden="1" x14ac:dyDescent="0.3">
      <c r="A212" s="36" t="str">
        <f>VLOOKUP(E212,Table1[[#All],[Campo]],1,0)</f>
        <v>NT_LN_LSS_PRVSN_OFF_BLNC</v>
      </c>
      <c r="B212" s="34" t="s">
        <v>564</v>
      </c>
      <c r="C212" s="34" t="s">
        <v>565</v>
      </c>
      <c r="D212" s="34" t="s">
        <v>395</v>
      </c>
      <c r="E212" s="34" t="s">
        <v>26</v>
      </c>
      <c r="F212" s="34" t="s">
        <v>323</v>
      </c>
      <c r="G212" s="34" t="s">
        <v>396</v>
      </c>
      <c r="H212" s="34" t="s">
        <v>113</v>
      </c>
      <c r="I212" s="34">
        <v>0</v>
      </c>
      <c r="J212" s="34">
        <v>0</v>
      </c>
      <c r="K212" s="34">
        <v>0</v>
      </c>
    </row>
    <row r="213" spans="1:11" hidden="1" x14ac:dyDescent="0.3">
      <c r="A213" s="36" t="str">
        <f>VLOOKUP(E213,Table1[[#All],[Campo]],1,0)</f>
        <v>COD_SOC</v>
      </c>
      <c r="B213" s="34" t="s">
        <v>568</v>
      </c>
      <c r="C213" s="34" t="s">
        <v>569</v>
      </c>
      <c r="D213" s="34" t="s">
        <v>114</v>
      </c>
      <c r="E213" s="34" t="s">
        <v>59</v>
      </c>
      <c r="F213" s="34" t="s">
        <v>566</v>
      </c>
      <c r="G213" s="34" t="s">
        <v>567</v>
      </c>
      <c r="H213" s="34" t="s">
        <v>113</v>
      </c>
      <c r="I213" s="34">
        <v>1096295</v>
      </c>
      <c r="J213" s="34">
        <v>0</v>
      </c>
      <c r="K213" s="34">
        <v>0</v>
      </c>
    </row>
    <row r="214" spans="1:11" hidden="1" x14ac:dyDescent="0.3">
      <c r="A214" s="36" t="str">
        <f>VLOOKUP(E214,Table1[[#All],[Campo]],1,0)</f>
        <v>DT_RFRNC</v>
      </c>
      <c r="B214" s="34" t="s">
        <v>570</v>
      </c>
      <c r="C214" s="34" t="s">
        <v>571</v>
      </c>
      <c r="D214" s="34" t="s">
        <v>114</v>
      </c>
      <c r="E214" s="34" t="s">
        <v>56</v>
      </c>
      <c r="F214" s="34" t="s">
        <v>566</v>
      </c>
      <c r="G214" s="34" t="s">
        <v>567</v>
      </c>
      <c r="H214" s="34" t="s">
        <v>113</v>
      </c>
      <c r="I214" s="34">
        <v>1096295</v>
      </c>
      <c r="J214" s="34">
        <v>0</v>
      </c>
      <c r="K214" s="34">
        <v>0</v>
      </c>
    </row>
    <row r="215" spans="1:11" hidden="1" x14ac:dyDescent="0.3">
      <c r="A215" s="36" t="str">
        <f>VLOOKUP(E215,Table1[[#All],[Campo]],1,0)</f>
        <v>COD_SOC</v>
      </c>
      <c r="B215" s="34" t="s">
        <v>573</v>
      </c>
      <c r="C215" s="34" t="s">
        <v>574</v>
      </c>
      <c r="D215" s="34" t="s">
        <v>168</v>
      </c>
      <c r="E215" s="34" t="s">
        <v>59</v>
      </c>
      <c r="F215" s="34" t="s">
        <v>566</v>
      </c>
      <c r="G215" s="34" t="s">
        <v>572</v>
      </c>
      <c r="H215" s="34" t="s">
        <v>113</v>
      </c>
      <c r="I215" s="34">
        <v>2490665</v>
      </c>
      <c r="J215" s="34">
        <v>0</v>
      </c>
      <c r="K215" s="34">
        <v>0</v>
      </c>
    </row>
    <row r="216" spans="1:11" hidden="1" x14ac:dyDescent="0.3">
      <c r="A216" s="36" t="str">
        <f>VLOOKUP(E216,Table1[[#All],[Campo]],1,0)</f>
        <v>DT_RFRNC</v>
      </c>
      <c r="B216" s="34" t="s">
        <v>575</v>
      </c>
      <c r="C216" s="34" t="s">
        <v>576</v>
      </c>
      <c r="D216" s="34" t="s">
        <v>168</v>
      </c>
      <c r="E216" s="34" t="s">
        <v>56</v>
      </c>
      <c r="F216" s="34" t="s">
        <v>566</v>
      </c>
      <c r="G216" s="34" t="s">
        <v>572</v>
      </c>
      <c r="H216" s="34" t="s">
        <v>113</v>
      </c>
      <c r="I216" s="34">
        <v>2490665</v>
      </c>
      <c r="J216" s="34">
        <v>0</v>
      </c>
      <c r="K216" s="34">
        <v>0</v>
      </c>
    </row>
    <row r="217" spans="1:11" hidden="1" x14ac:dyDescent="0.3">
      <c r="A217" s="36" t="str">
        <f>VLOOKUP(E217,Table1[[#All],[Campo]],1,0)</f>
        <v>COD_SOC</v>
      </c>
      <c r="B217" s="34" t="s">
        <v>578</v>
      </c>
      <c r="C217" s="34" t="s">
        <v>579</v>
      </c>
      <c r="D217" s="34" t="s">
        <v>132</v>
      </c>
      <c r="E217" s="34" t="s">
        <v>59</v>
      </c>
      <c r="F217" s="34" t="s">
        <v>566</v>
      </c>
      <c r="G217" s="34" t="s">
        <v>577</v>
      </c>
      <c r="H217" s="34" t="s">
        <v>113</v>
      </c>
      <c r="I217" s="34">
        <v>2003033</v>
      </c>
      <c r="J217" s="34">
        <v>0</v>
      </c>
      <c r="K217" s="34">
        <v>0</v>
      </c>
    </row>
    <row r="218" spans="1:11" hidden="1" x14ac:dyDescent="0.3">
      <c r="A218" s="36" t="str">
        <f>VLOOKUP(E218,Table1[[#All],[Campo]],1,0)</f>
        <v>DT_RFRNC</v>
      </c>
      <c r="B218" s="34" t="s">
        <v>580</v>
      </c>
      <c r="C218" s="34" t="s">
        <v>581</v>
      </c>
      <c r="D218" s="34" t="s">
        <v>132</v>
      </c>
      <c r="E218" s="34" t="s">
        <v>56</v>
      </c>
      <c r="F218" s="34" t="s">
        <v>566</v>
      </c>
      <c r="G218" s="34" t="s">
        <v>577</v>
      </c>
      <c r="H218" s="34" t="s">
        <v>113</v>
      </c>
      <c r="I218" s="34">
        <v>2003033</v>
      </c>
      <c r="J218" s="34">
        <v>0</v>
      </c>
      <c r="K218" s="34">
        <v>0</v>
      </c>
    </row>
    <row r="219" spans="1:11" hidden="1" x14ac:dyDescent="0.3">
      <c r="A219" s="36" t="str">
        <f>VLOOKUP(E219,Table1[[#All],[Campo]],1,0)</f>
        <v>COD_SOC</v>
      </c>
      <c r="B219" s="34" t="s">
        <v>583</v>
      </c>
      <c r="C219" s="34" t="s">
        <v>584</v>
      </c>
      <c r="D219" s="34" t="s">
        <v>173</v>
      </c>
      <c r="E219" s="34" t="s">
        <v>59</v>
      </c>
      <c r="F219" s="34" t="s">
        <v>566</v>
      </c>
      <c r="G219" s="34" t="s">
        <v>582</v>
      </c>
      <c r="H219" s="34" t="s">
        <v>113</v>
      </c>
      <c r="I219" s="34">
        <v>731165</v>
      </c>
      <c r="J219" s="34">
        <v>0</v>
      </c>
      <c r="K219" s="34">
        <v>0</v>
      </c>
    </row>
    <row r="220" spans="1:11" hidden="1" x14ac:dyDescent="0.3">
      <c r="A220" s="36" t="str">
        <f>VLOOKUP(E220,Table1[[#All],[Campo]],1,0)</f>
        <v>DT_RFRNC</v>
      </c>
      <c r="B220" s="34" t="s">
        <v>585</v>
      </c>
      <c r="C220" s="34" t="s">
        <v>586</v>
      </c>
      <c r="D220" s="34" t="s">
        <v>173</v>
      </c>
      <c r="E220" s="34" t="s">
        <v>56</v>
      </c>
      <c r="F220" s="34" t="s">
        <v>566</v>
      </c>
      <c r="G220" s="34" t="s">
        <v>582</v>
      </c>
      <c r="H220" s="34" t="s">
        <v>113</v>
      </c>
      <c r="I220" s="34">
        <v>731165</v>
      </c>
      <c r="J220" s="34">
        <v>0</v>
      </c>
      <c r="K220" s="34">
        <v>0</v>
      </c>
    </row>
    <row r="221" spans="1:11" hidden="1" x14ac:dyDescent="0.3">
      <c r="A221" s="36" t="str">
        <f>VLOOKUP(E221,Table1[[#All],[Campo]],1,0)</f>
        <v>COD_SOC</v>
      </c>
      <c r="B221" s="34" t="s">
        <v>588</v>
      </c>
      <c r="C221" s="34" t="s">
        <v>589</v>
      </c>
      <c r="D221" s="34" t="s">
        <v>174</v>
      </c>
      <c r="E221" s="34" t="s">
        <v>59</v>
      </c>
      <c r="F221" s="34" t="s">
        <v>566</v>
      </c>
      <c r="G221" s="34" t="s">
        <v>587</v>
      </c>
      <c r="H221" s="34" t="s">
        <v>113</v>
      </c>
      <c r="I221" s="34">
        <v>456960</v>
      </c>
      <c r="J221" s="34">
        <v>0</v>
      </c>
      <c r="K221" s="34">
        <v>0</v>
      </c>
    </row>
    <row r="222" spans="1:11" hidden="1" x14ac:dyDescent="0.3">
      <c r="A222" s="36" t="str">
        <f>VLOOKUP(E222,Table1[[#All],[Campo]],1,0)</f>
        <v>DT_RFRNC</v>
      </c>
      <c r="B222" s="34" t="s">
        <v>590</v>
      </c>
      <c r="C222" s="34" t="s">
        <v>591</v>
      </c>
      <c r="D222" s="34" t="s">
        <v>174</v>
      </c>
      <c r="E222" s="34" t="s">
        <v>56</v>
      </c>
      <c r="F222" s="34" t="s">
        <v>566</v>
      </c>
      <c r="G222" s="34" t="s">
        <v>587</v>
      </c>
      <c r="H222" s="34" t="s">
        <v>113</v>
      </c>
      <c r="I222" s="34">
        <v>456960</v>
      </c>
      <c r="J222" s="34">
        <v>0</v>
      </c>
      <c r="K222" s="34">
        <v>0</v>
      </c>
    </row>
  </sheetData>
  <autoFilter ref="A1:K222" xr:uid="{51B95A01-2115-418E-B9F1-6FC329CDBC84}">
    <filterColumn colId="0">
      <filters>
        <filter val="DFLT_STTS_INSTRMNT"/>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91A46-5574-45E9-B340-4971905B577A}">
  <dimension ref="B2:F21"/>
  <sheetViews>
    <sheetView workbookViewId="0">
      <selection activeCell="B18" sqref="B18"/>
    </sheetView>
  </sheetViews>
  <sheetFormatPr defaultRowHeight="14.4" x14ac:dyDescent="0.3"/>
  <cols>
    <col min="2" max="2" width="50.109375" bestFit="1" customWidth="1"/>
    <col min="3" max="3" width="100.77734375" customWidth="1"/>
  </cols>
  <sheetData>
    <row r="2" spans="2:6" ht="17.399999999999999" x14ac:dyDescent="0.45">
      <c r="B2" s="38" t="s">
        <v>78</v>
      </c>
      <c r="D2" t="s">
        <v>608</v>
      </c>
    </row>
    <row r="3" spans="2:6" x14ac:dyDescent="0.3">
      <c r="D3" t="s">
        <v>609</v>
      </c>
    </row>
    <row r="4" spans="2:6" ht="15.6" x14ac:dyDescent="0.3">
      <c r="B4" s="17" t="s">
        <v>76</v>
      </c>
      <c r="C4" s="17" t="s">
        <v>75</v>
      </c>
      <c r="D4" t="s">
        <v>610</v>
      </c>
      <c r="E4" t="s">
        <v>611</v>
      </c>
      <c r="F4" t="s">
        <v>612</v>
      </c>
    </row>
    <row r="5" spans="2:6" ht="34.799999999999997" x14ac:dyDescent="0.45">
      <c r="B5" s="14" t="s">
        <v>593</v>
      </c>
      <c r="C5" s="16" t="s">
        <v>601</v>
      </c>
      <c r="D5">
        <v>8</v>
      </c>
      <c r="E5">
        <v>8</v>
      </c>
      <c r="F5">
        <v>8</v>
      </c>
    </row>
    <row r="6" spans="2:6" ht="34.799999999999997" x14ac:dyDescent="0.45">
      <c r="B6" s="14" t="s">
        <v>594</v>
      </c>
      <c r="C6" s="16" t="s">
        <v>614</v>
      </c>
      <c r="D6">
        <v>2</v>
      </c>
      <c r="E6">
        <v>4</v>
      </c>
      <c r="F6">
        <v>8</v>
      </c>
    </row>
    <row r="7" spans="2:6" ht="17.399999999999999" x14ac:dyDescent="0.45">
      <c r="B7" s="14" t="s">
        <v>600</v>
      </c>
      <c r="C7" s="16" t="s">
        <v>615</v>
      </c>
      <c r="D7">
        <v>2</v>
      </c>
      <c r="E7">
        <v>4</v>
      </c>
      <c r="F7">
        <v>8</v>
      </c>
    </row>
    <row r="8" spans="2:6" ht="17.399999999999999" x14ac:dyDescent="0.45">
      <c r="B8" s="14" t="s">
        <v>595</v>
      </c>
      <c r="C8" s="16" t="s">
        <v>613</v>
      </c>
      <c r="D8">
        <v>2</v>
      </c>
      <c r="E8">
        <v>4</v>
      </c>
      <c r="F8">
        <v>8</v>
      </c>
    </row>
    <row r="9" spans="2:6" ht="17.399999999999999" x14ac:dyDescent="0.45">
      <c r="B9" s="14" t="s">
        <v>599</v>
      </c>
      <c r="C9" s="16" t="s">
        <v>606</v>
      </c>
      <c r="D9">
        <v>1</v>
      </c>
      <c r="E9">
        <v>1</v>
      </c>
      <c r="F9">
        <v>1</v>
      </c>
    </row>
    <row r="10" spans="2:6" ht="34.799999999999997" x14ac:dyDescent="0.45">
      <c r="B10" s="14" t="s">
        <v>603</v>
      </c>
      <c r="C10" s="16" t="s">
        <v>605</v>
      </c>
      <c r="D10">
        <v>1</v>
      </c>
      <c r="E10">
        <v>1</v>
      </c>
      <c r="F10">
        <v>1</v>
      </c>
    </row>
    <row r="11" spans="2:6" ht="17.399999999999999" x14ac:dyDescent="0.45">
      <c r="B11" s="14" t="s">
        <v>604</v>
      </c>
      <c r="C11" s="16" t="s">
        <v>602</v>
      </c>
      <c r="D11">
        <v>2</v>
      </c>
      <c r="E11">
        <v>4</v>
      </c>
      <c r="F11">
        <v>8</v>
      </c>
    </row>
    <row r="15" spans="2:6" x14ac:dyDescent="0.3">
      <c r="B15" s="28" t="s">
        <v>79</v>
      </c>
    </row>
    <row r="17" spans="2:2" ht="17.399999999999999" x14ac:dyDescent="0.3">
      <c r="B17" s="39" t="s">
        <v>82</v>
      </c>
    </row>
    <row r="18" spans="2:2" ht="17.399999999999999" x14ac:dyDescent="0.3">
      <c r="B18" s="39" t="s">
        <v>621</v>
      </c>
    </row>
    <row r="19" spans="2:2" ht="17.399999999999999" x14ac:dyDescent="0.45">
      <c r="B19" s="3" t="s">
        <v>8</v>
      </c>
    </row>
    <row r="20" spans="2:2" ht="17.399999999999999" x14ac:dyDescent="0.45">
      <c r="B20" s="40" t="s">
        <v>83</v>
      </c>
    </row>
    <row r="21" spans="2:2" ht="17.399999999999999" x14ac:dyDescent="0.45">
      <c r="B21" s="3" t="s">
        <v>88</v>
      </c>
    </row>
  </sheetData>
  <conditionalFormatting sqref="B17:B18">
    <cfRule type="cellIs" dxfId="12" priority="9" operator="equal">
      <formula>$B$21</formula>
    </cfRule>
  </conditionalFormatting>
  <conditionalFormatting sqref="B19:B20">
    <cfRule type="cellIs" dxfId="8" priority="5" operator="equal">
      <formula>$B$21</formula>
    </cfRule>
  </conditionalFormatting>
  <conditionalFormatting sqref="B21">
    <cfRule type="cellIs" dxfId="4" priority="1" operator="equal">
      <formula>$B$21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9482D91E-1EAF-4CF0-A596-BC3094B0FA79}">
            <xm:f>NOT(ISERROR(SEARCH($B$20,B17)))</xm:f>
            <xm:f>$B$20</xm:f>
            <x14:dxf>
              <font>
                <b/>
                <i val="0"/>
                <color rgb="FFC00000"/>
              </font>
              <fill>
                <patternFill>
                  <bgColor theme="5" tint="0.79998168889431442"/>
                </patternFill>
              </fill>
            </x14:dxf>
          </x14:cfRule>
          <x14:cfRule type="containsText" priority="11" operator="containsText" id="{5A435997-51B5-4372-A10C-E151BE872007}">
            <xm:f>NOT(ISERROR(SEARCH($B$19,B17)))</xm:f>
            <xm:f>$B$19</xm:f>
            <x14:dxf>
              <font>
                <b/>
                <i val="0"/>
                <color theme="7" tint="-0.24994659260841701"/>
              </font>
              <fill>
                <patternFill>
                  <bgColor theme="7" tint="0.79998168889431442"/>
                </patternFill>
              </fill>
            </x14:dxf>
          </x14:cfRule>
          <x14:cfRule type="containsText" priority="12" operator="containsText" id="{8455BBF8-7D39-4E11-8130-D58FDD94F75E}">
            <xm:f>NOT(ISERROR(SEARCH($B$17,B17)))</xm:f>
            <xm:f>$B$17</xm:f>
            <x14:dxf>
              <font>
                <b/>
                <i val="0"/>
                <color theme="9"/>
              </font>
              <fill>
                <patternFill>
                  <bgColor theme="9" tint="0.79998168889431442"/>
                </patternFill>
              </fill>
            </x14:dxf>
          </x14:cfRule>
          <xm:sqref>B17:B18</xm:sqref>
        </x14:conditionalFormatting>
        <x14:conditionalFormatting xmlns:xm="http://schemas.microsoft.com/office/excel/2006/main">
          <x14:cfRule type="containsText" priority="6" operator="containsText" id="{7BC8CF64-C536-4326-9F65-FC8F682B9D31}">
            <xm:f>NOT(ISERROR(SEARCH($B$20,B19)))</xm:f>
            <xm:f>$B$20</xm:f>
            <x14:dxf>
              <font>
                <b/>
                <i val="0"/>
                <color rgb="FFC00000"/>
              </font>
              <fill>
                <patternFill>
                  <bgColor theme="5" tint="0.79998168889431442"/>
                </patternFill>
              </fill>
            </x14:dxf>
          </x14:cfRule>
          <x14:cfRule type="containsText" priority="7" operator="containsText" id="{CDA31ADB-CEA3-42B4-943F-74106E7B21B7}">
            <xm:f>NOT(ISERROR(SEARCH($B$19,B19)))</xm:f>
            <xm:f>$B$19</xm:f>
            <x14:dxf>
              <font>
                <b/>
                <i val="0"/>
                <color theme="7" tint="-0.24994659260841701"/>
              </font>
              <fill>
                <patternFill>
                  <bgColor theme="7" tint="0.79998168889431442"/>
                </patternFill>
              </fill>
            </x14:dxf>
          </x14:cfRule>
          <x14:cfRule type="containsText" priority="8" operator="containsText" id="{22B5A023-C3B9-43CB-9B2B-C299D6EEEBFB}">
            <xm:f>NOT(ISERROR(SEARCH($B$17,B19)))</xm:f>
            <xm:f>$B$17</xm:f>
            <x14:dxf>
              <font>
                <b/>
                <i val="0"/>
                <color theme="9"/>
              </font>
              <fill>
                <patternFill>
                  <bgColor theme="9" tint="0.79998168889431442"/>
                </patternFill>
              </fill>
            </x14:dxf>
          </x14:cfRule>
          <xm:sqref>B19:B20</xm:sqref>
        </x14:conditionalFormatting>
        <x14:conditionalFormatting xmlns:xm="http://schemas.microsoft.com/office/excel/2006/main">
          <x14:cfRule type="containsText" priority="2" operator="containsText" id="{B95969BE-C34E-49F0-8570-DF3795205EE0}">
            <xm:f>NOT(ISERROR(SEARCH($B$20,B21)))</xm:f>
            <xm:f>$B$20</xm:f>
            <x14:dxf>
              <font>
                <b/>
                <i val="0"/>
                <color rgb="FFC00000"/>
              </font>
              <fill>
                <patternFill>
                  <bgColor theme="5" tint="0.79998168889431442"/>
                </patternFill>
              </fill>
            </x14:dxf>
          </x14:cfRule>
          <x14:cfRule type="containsText" priority="3" operator="containsText" id="{B0574C7E-907B-4484-A1CC-EBB9AA1C8984}">
            <xm:f>NOT(ISERROR(SEARCH($B$19,B21)))</xm:f>
            <xm:f>$B$19</xm:f>
            <x14:dxf>
              <font>
                <b/>
                <i val="0"/>
                <color theme="7" tint="-0.24994659260841701"/>
              </font>
              <fill>
                <patternFill>
                  <bgColor theme="7" tint="0.79998168889431442"/>
                </patternFill>
              </fill>
            </x14:dxf>
          </x14:cfRule>
          <x14:cfRule type="containsText" priority="4" operator="containsText" id="{189E0EEA-8B4A-4A84-ABC7-266A6AAD0E7B}">
            <xm:f>NOT(ISERROR(SEARCH($B$17,B21)))</xm:f>
            <xm:f>$B$17</xm:f>
            <x14:dxf>
              <font>
                <b/>
                <i val="0"/>
                <color theme="9"/>
              </font>
              <fill>
                <patternFill>
                  <bgColor theme="9" tint="0.79998168889431442"/>
                </patternFill>
              </fill>
            </x14:dxf>
          </x14:cfRule>
          <xm:sqref>B21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FAF4A-9732-433B-BEDC-C5DFCE176A5F}">
  <sheetPr>
    <tabColor rgb="FFFF0000"/>
  </sheetPr>
  <dimension ref="A1:AH63"/>
  <sheetViews>
    <sheetView showGridLines="0" zoomScale="80" zoomScaleNormal="80" workbookViewId="0">
      <selection activeCell="B9" sqref="B9"/>
    </sheetView>
  </sheetViews>
  <sheetFormatPr defaultRowHeight="14.4" x14ac:dyDescent="0.3"/>
  <cols>
    <col min="2" max="2" width="14.33203125" bestFit="1" customWidth="1"/>
    <col min="3" max="3" width="40" bestFit="1" customWidth="1"/>
    <col min="4" max="4" width="11.6640625" bestFit="1" customWidth="1"/>
    <col min="5" max="5" width="22" bestFit="1" customWidth="1"/>
    <col min="8" max="8" width="15.21875" bestFit="1" customWidth="1"/>
    <col min="9" max="9" width="52.33203125" bestFit="1" customWidth="1"/>
    <col min="10" max="10" width="74.6640625" customWidth="1"/>
  </cols>
  <sheetData>
    <row r="1" spans="1:34" ht="16.2" customHeight="1" x14ac:dyDescent="0.3">
      <c r="V1" s="26"/>
      <c r="W1" s="26"/>
      <c r="X1" s="26"/>
      <c r="Y1" s="26"/>
      <c r="Z1" s="26"/>
      <c r="AA1" s="26"/>
      <c r="AB1" s="26"/>
      <c r="AC1" s="26"/>
      <c r="AD1" s="26"/>
      <c r="AE1" s="26"/>
      <c r="AH1" s="26"/>
    </row>
    <row r="2" spans="1:34" x14ac:dyDescent="0.3">
      <c r="A2" s="22"/>
      <c r="B2" s="22"/>
      <c r="C2" s="22"/>
      <c r="D2" s="22"/>
      <c r="E2" s="22"/>
      <c r="F2" s="22"/>
      <c r="G2" s="22"/>
      <c r="H2" s="22"/>
      <c r="I2" s="22"/>
      <c r="J2" s="22"/>
      <c r="K2" s="22"/>
      <c r="L2" s="22"/>
      <c r="M2" s="22"/>
      <c r="N2" s="22"/>
      <c r="O2" s="22"/>
      <c r="P2" s="22"/>
      <c r="Q2" s="22"/>
      <c r="R2" s="22"/>
      <c r="S2" s="22"/>
      <c r="T2" s="22"/>
      <c r="U2" s="22"/>
      <c r="V2" s="22"/>
      <c r="W2" s="21"/>
      <c r="X2" s="21"/>
      <c r="Y2" s="21"/>
      <c r="Z2" s="21"/>
      <c r="AA2" s="21"/>
      <c r="AB2" s="21"/>
      <c r="AC2" s="21"/>
      <c r="AD2" s="21"/>
      <c r="AE2" s="21"/>
      <c r="AF2" s="21"/>
      <c r="AG2" s="21"/>
      <c r="AH2" s="21"/>
    </row>
    <row r="3" spans="1:34" x14ac:dyDescent="0.3">
      <c r="A3" s="25"/>
      <c r="B3" s="25"/>
      <c r="C3" s="25"/>
      <c r="D3" s="25"/>
      <c r="E3" s="24"/>
      <c r="F3" s="24"/>
      <c r="G3" s="24"/>
      <c r="H3" s="24"/>
      <c r="I3" s="24"/>
      <c r="J3" s="23"/>
      <c r="K3" s="23"/>
      <c r="L3" s="23"/>
      <c r="M3" s="23"/>
      <c r="N3" s="23"/>
      <c r="O3" s="23"/>
      <c r="P3" s="23"/>
      <c r="Q3" s="23"/>
      <c r="R3" s="23"/>
      <c r="S3" s="23"/>
      <c r="T3" s="23"/>
      <c r="U3" s="23"/>
      <c r="V3" s="23"/>
      <c r="W3" s="21"/>
      <c r="X3" s="21"/>
      <c r="Y3" s="21"/>
      <c r="Z3" s="21"/>
      <c r="AA3" s="21"/>
      <c r="AB3" s="21"/>
      <c r="AC3" s="21"/>
      <c r="AD3" s="21"/>
      <c r="AE3" s="21"/>
      <c r="AF3" s="21"/>
      <c r="AG3" s="21"/>
      <c r="AH3" s="21"/>
    </row>
    <row r="4" spans="1:34" x14ac:dyDescent="0.3">
      <c r="A4" s="22"/>
      <c r="B4" s="22"/>
      <c r="C4" s="22"/>
      <c r="D4" s="22"/>
      <c r="E4" s="22"/>
      <c r="F4" s="22"/>
      <c r="G4" s="22"/>
      <c r="H4" s="22"/>
      <c r="I4" s="22"/>
      <c r="J4" s="22"/>
      <c r="K4" s="22"/>
      <c r="L4" s="22"/>
      <c r="M4" s="22"/>
      <c r="N4" s="22"/>
      <c r="O4" s="22"/>
      <c r="P4" s="22"/>
      <c r="Q4" s="22"/>
      <c r="R4" s="22"/>
      <c r="S4" s="22"/>
      <c r="T4" s="22"/>
      <c r="U4" s="22"/>
      <c r="V4" s="22"/>
      <c r="W4" s="21"/>
      <c r="X4" s="21"/>
      <c r="Y4" s="21"/>
      <c r="Z4" s="21"/>
      <c r="AA4" s="21"/>
      <c r="AB4" s="21"/>
      <c r="AC4" s="21"/>
      <c r="AD4" s="21"/>
      <c r="AE4" s="21"/>
      <c r="AF4" s="21"/>
      <c r="AG4" s="21"/>
      <c r="AH4" s="21"/>
    </row>
    <row r="5" spans="1:34" ht="3"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8" spans="1:34" ht="15" customHeight="1" x14ac:dyDescent="0.3">
      <c r="B8" s="18" t="s">
        <v>81</v>
      </c>
      <c r="C8" s="18" t="s">
        <v>80</v>
      </c>
      <c r="D8" s="19" t="s">
        <v>79</v>
      </c>
      <c r="E8" s="18" t="s">
        <v>78</v>
      </c>
      <c r="H8" s="17" t="s">
        <v>77</v>
      </c>
      <c r="I8" s="17" t="s">
        <v>76</v>
      </c>
      <c r="J8" s="17" t="s">
        <v>75</v>
      </c>
    </row>
    <row r="9" spans="1:34" ht="87" x14ac:dyDescent="0.45">
      <c r="B9" s="14" t="s">
        <v>4</v>
      </c>
      <c r="C9" s="14" t="s">
        <v>74</v>
      </c>
      <c r="D9" s="15" t="s">
        <v>82</v>
      </c>
      <c r="E9" s="1" t="s">
        <v>5</v>
      </c>
      <c r="H9" s="1">
        <v>1</v>
      </c>
      <c r="I9" s="14" t="s">
        <v>73</v>
      </c>
      <c r="J9" s="16" t="s">
        <v>72</v>
      </c>
    </row>
    <row r="10" spans="1:34" ht="34.799999999999997" x14ac:dyDescent="0.3">
      <c r="B10" s="14" t="s">
        <v>42</v>
      </c>
      <c r="C10" s="14" t="s">
        <v>71</v>
      </c>
      <c r="D10" s="15" t="s">
        <v>82</v>
      </c>
      <c r="E10" s="1">
        <v>5.7</v>
      </c>
      <c r="H10" s="1">
        <v>2</v>
      </c>
      <c r="I10" s="14" t="s">
        <v>70</v>
      </c>
      <c r="J10" s="13" t="s">
        <v>69</v>
      </c>
    </row>
    <row r="11" spans="1:34" ht="34.799999999999997" x14ac:dyDescent="0.3">
      <c r="B11" s="14" t="s">
        <v>42</v>
      </c>
      <c r="C11" s="14" t="s">
        <v>68</v>
      </c>
      <c r="D11" s="15" t="s">
        <v>82</v>
      </c>
      <c r="E11" s="1">
        <v>5.7</v>
      </c>
      <c r="H11" s="1">
        <v>3</v>
      </c>
      <c r="I11" s="14" t="s">
        <v>67</v>
      </c>
      <c r="J11" s="13" t="s">
        <v>66</v>
      </c>
    </row>
    <row r="12" spans="1:34" ht="34.799999999999997" x14ac:dyDescent="0.45">
      <c r="B12" s="14" t="s">
        <v>42</v>
      </c>
      <c r="C12" s="14" t="s">
        <v>65</v>
      </c>
      <c r="D12" s="15" t="s">
        <v>82</v>
      </c>
      <c r="E12" s="1">
        <v>5.7</v>
      </c>
      <c r="H12" s="1">
        <v>4</v>
      </c>
      <c r="I12" s="14" t="s">
        <v>64</v>
      </c>
      <c r="J12" s="16" t="s">
        <v>63</v>
      </c>
    </row>
    <row r="13" spans="1:34" ht="34.799999999999997" x14ac:dyDescent="0.45">
      <c r="B13" s="14" t="s">
        <v>42</v>
      </c>
      <c r="C13" s="14" t="s">
        <v>62</v>
      </c>
      <c r="D13" s="15" t="s">
        <v>82</v>
      </c>
      <c r="E13" s="1">
        <v>5.7</v>
      </c>
      <c r="H13" s="1">
        <v>5</v>
      </c>
      <c r="I13" s="14" t="s">
        <v>61</v>
      </c>
      <c r="J13" s="16" t="s">
        <v>60</v>
      </c>
    </row>
    <row r="14" spans="1:34" ht="34.799999999999997" x14ac:dyDescent="0.3">
      <c r="B14" s="14" t="s">
        <v>42</v>
      </c>
      <c r="C14" s="14" t="s">
        <v>59</v>
      </c>
      <c r="D14" s="15" t="s">
        <v>82</v>
      </c>
      <c r="E14" s="1">
        <v>5.7</v>
      </c>
      <c r="H14" s="1">
        <v>6</v>
      </c>
      <c r="I14" s="14" t="s">
        <v>58</v>
      </c>
      <c r="J14" s="13" t="s">
        <v>57</v>
      </c>
    </row>
    <row r="15" spans="1:34" ht="17.399999999999999" x14ac:dyDescent="0.45">
      <c r="B15" s="3" t="s">
        <v>42</v>
      </c>
      <c r="C15" s="3" t="s">
        <v>56</v>
      </c>
      <c r="D15" s="8" t="s">
        <v>82</v>
      </c>
      <c r="E15" s="1">
        <v>5.7</v>
      </c>
      <c r="H15" s="12">
        <v>7</v>
      </c>
      <c r="I15" s="3" t="s">
        <v>55</v>
      </c>
      <c r="J15" s="11" t="s">
        <v>54</v>
      </c>
    </row>
    <row r="16" spans="1:34" ht="17.399999999999999" x14ac:dyDescent="0.45">
      <c r="B16" s="3" t="s">
        <v>42</v>
      </c>
      <c r="C16" s="3" t="s">
        <v>53</v>
      </c>
      <c r="D16" s="8" t="s">
        <v>82</v>
      </c>
      <c r="E16" s="1">
        <v>5.7</v>
      </c>
    </row>
    <row r="17" spans="2:5" ht="17.399999999999999" x14ac:dyDescent="0.45">
      <c r="B17" s="3" t="s">
        <v>42</v>
      </c>
      <c r="C17" s="3" t="s">
        <v>52</v>
      </c>
      <c r="D17" s="8" t="s">
        <v>82</v>
      </c>
      <c r="E17" s="1">
        <v>5.7</v>
      </c>
    </row>
    <row r="18" spans="2:5" ht="17.399999999999999" x14ac:dyDescent="0.45">
      <c r="B18" s="3" t="s">
        <v>42</v>
      </c>
      <c r="C18" s="3" t="s">
        <v>51</v>
      </c>
      <c r="D18" s="8" t="s">
        <v>82</v>
      </c>
      <c r="E18" s="1">
        <v>5.7</v>
      </c>
    </row>
    <row r="19" spans="2:5" ht="17.399999999999999" x14ac:dyDescent="0.45">
      <c r="B19" s="3" t="s">
        <v>42</v>
      </c>
      <c r="C19" s="3" t="s">
        <v>50</v>
      </c>
      <c r="D19" s="8" t="s">
        <v>82</v>
      </c>
      <c r="E19" s="1">
        <v>5.7</v>
      </c>
    </row>
    <row r="20" spans="2:5" ht="17.399999999999999" x14ac:dyDescent="0.45">
      <c r="B20" s="3" t="s">
        <v>42</v>
      </c>
      <c r="C20" s="3" t="s">
        <v>49</v>
      </c>
      <c r="D20" s="8" t="s">
        <v>82</v>
      </c>
      <c r="E20" s="1">
        <v>5.7</v>
      </c>
    </row>
    <row r="21" spans="2:5" ht="17.399999999999999" x14ac:dyDescent="0.45">
      <c r="B21" s="3" t="s">
        <v>42</v>
      </c>
      <c r="C21" s="3" t="s">
        <v>48</v>
      </c>
      <c r="D21" s="8" t="s">
        <v>82</v>
      </c>
      <c r="E21" s="1">
        <v>5.7</v>
      </c>
    </row>
    <row r="22" spans="2:5" ht="17.399999999999999" x14ac:dyDescent="0.45">
      <c r="B22" s="3" t="s">
        <v>42</v>
      </c>
      <c r="C22" s="3" t="s">
        <v>47</v>
      </c>
      <c r="D22" s="8" t="s">
        <v>82</v>
      </c>
      <c r="E22" s="1">
        <v>5.7</v>
      </c>
    </row>
    <row r="23" spans="2:5" ht="17.399999999999999" x14ac:dyDescent="0.45">
      <c r="B23" s="3" t="s">
        <v>42</v>
      </c>
      <c r="C23" s="3" t="s">
        <v>46</v>
      </c>
      <c r="D23" s="8" t="s">
        <v>82</v>
      </c>
      <c r="E23" s="1">
        <v>5.7</v>
      </c>
    </row>
    <row r="24" spans="2:5" ht="17.399999999999999" x14ac:dyDescent="0.45">
      <c r="B24" s="3" t="s">
        <v>42</v>
      </c>
      <c r="C24" s="3" t="s">
        <v>45</v>
      </c>
      <c r="D24" s="8" t="s">
        <v>82</v>
      </c>
      <c r="E24" s="1">
        <v>5.7</v>
      </c>
    </row>
    <row r="25" spans="2:5" ht="17.399999999999999" x14ac:dyDescent="0.45">
      <c r="B25" s="3" t="s">
        <v>42</v>
      </c>
      <c r="C25" s="3" t="s">
        <v>44</v>
      </c>
      <c r="D25" s="8" t="s">
        <v>82</v>
      </c>
      <c r="E25" s="1">
        <v>5.7</v>
      </c>
    </row>
    <row r="26" spans="2:5" ht="17.399999999999999" x14ac:dyDescent="0.45">
      <c r="B26" s="3" t="s">
        <v>42</v>
      </c>
      <c r="C26" s="3" t="s">
        <v>43</v>
      </c>
      <c r="D26" s="8" t="s">
        <v>82</v>
      </c>
      <c r="E26" s="1">
        <v>5.7</v>
      </c>
    </row>
    <row r="27" spans="2:5" ht="17.399999999999999" x14ac:dyDescent="0.45">
      <c r="B27" s="10" t="s">
        <v>42</v>
      </c>
      <c r="C27" s="10" t="s">
        <v>41</v>
      </c>
      <c r="D27" s="9" t="s">
        <v>82</v>
      </c>
      <c r="E27" s="1">
        <v>5.7</v>
      </c>
    </row>
    <row r="28" spans="2:5" ht="17.399999999999999" x14ac:dyDescent="0.45">
      <c r="B28" s="10" t="s">
        <v>36</v>
      </c>
      <c r="C28" s="10" t="s">
        <v>40</v>
      </c>
      <c r="D28" s="9" t="s">
        <v>82</v>
      </c>
      <c r="E28" s="1">
        <v>4.7</v>
      </c>
    </row>
    <row r="29" spans="2:5" ht="17.399999999999999" x14ac:dyDescent="0.45">
      <c r="B29" s="10" t="s">
        <v>36</v>
      </c>
      <c r="C29" s="10" t="s">
        <v>39</v>
      </c>
      <c r="D29" s="9" t="s">
        <v>82</v>
      </c>
      <c r="E29" s="1">
        <v>4.7</v>
      </c>
    </row>
    <row r="30" spans="2:5" ht="17.399999999999999" x14ac:dyDescent="0.45">
      <c r="B30" s="10" t="s">
        <v>36</v>
      </c>
      <c r="C30" s="10" t="s">
        <v>38</v>
      </c>
      <c r="D30" s="9" t="s">
        <v>82</v>
      </c>
      <c r="E30" s="1">
        <v>4.7</v>
      </c>
    </row>
    <row r="31" spans="2:5" ht="17.399999999999999" x14ac:dyDescent="0.45">
      <c r="B31" s="10" t="s">
        <v>36</v>
      </c>
      <c r="C31" s="10" t="s">
        <v>37</v>
      </c>
      <c r="D31" s="9" t="s">
        <v>82</v>
      </c>
      <c r="E31" s="1">
        <v>4.7</v>
      </c>
    </row>
    <row r="32" spans="2:5" ht="17.399999999999999" x14ac:dyDescent="0.45">
      <c r="B32" s="10" t="s">
        <v>36</v>
      </c>
      <c r="C32" s="10" t="s">
        <v>35</v>
      </c>
      <c r="D32" s="9" t="s">
        <v>82</v>
      </c>
      <c r="E32" s="1">
        <v>4.7</v>
      </c>
    </row>
    <row r="33" spans="2:5" ht="17.399999999999999" x14ac:dyDescent="0.45">
      <c r="B33" s="7" t="s">
        <v>34</v>
      </c>
      <c r="C33" s="3" t="s">
        <v>33</v>
      </c>
      <c r="D33" s="8" t="s">
        <v>82</v>
      </c>
      <c r="E33" s="1">
        <v>4.7</v>
      </c>
    </row>
    <row r="34" spans="2:5" ht="17.399999999999999" x14ac:dyDescent="0.45">
      <c r="B34" s="3" t="s">
        <v>10</v>
      </c>
      <c r="C34" s="3" t="s">
        <v>32</v>
      </c>
      <c r="D34" s="4" t="s">
        <v>8</v>
      </c>
      <c r="E34" s="1" t="s">
        <v>5</v>
      </c>
    </row>
    <row r="35" spans="2:5" ht="17.399999999999999" x14ac:dyDescent="0.45">
      <c r="B35" s="3" t="s">
        <v>10</v>
      </c>
      <c r="C35" s="3" t="s">
        <v>31</v>
      </c>
      <c r="D35" s="4" t="s">
        <v>8</v>
      </c>
      <c r="E35" s="1" t="s">
        <v>2</v>
      </c>
    </row>
    <row r="36" spans="2:5" ht="17.399999999999999" x14ac:dyDescent="0.45">
      <c r="B36" s="6" t="s">
        <v>10</v>
      </c>
      <c r="C36" s="6" t="s">
        <v>30</v>
      </c>
      <c r="D36" s="4" t="s">
        <v>8</v>
      </c>
      <c r="E36" s="1" t="s">
        <v>2</v>
      </c>
    </row>
    <row r="37" spans="2:5" ht="17.399999999999999" x14ac:dyDescent="0.45">
      <c r="B37" s="3" t="s">
        <v>10</v>
      </c>
      <c r="C37" s="3" t="s">
        <v>29</v>
      </c>
      <c r="D37" s="4" t="s">
        <v>8</v>
      </c>
      <c r="E37" s="1" t="s">
        <v>5</v>
      </c>
    </row>
    <row r="38" spans="2:5" ht="17.399999999999999" x14ac:dyDescent="0.45">
      <c r="B38" s="3" t="s">
        <v>10</v>
      </c>
      <c r="C38" s="3" t="s">
        <v>28</v>
      </c>
      <c r="D38" s="4" t="s">
        <v>8</v>
      </c>
      <c r="E38" s="1" t="s">
        <v>2</v>
      </c>
    </row>
    <row r="39" spans="2:5" ht="17.399999999999999" x14ac:dyDescent="0.45">
      <c r="B39" s="3" t="s">
        <v>10</v>
      </c>
      <c r="C39" s="3" t="s">
        <v>27</v>
      </c>
      <c r="D39" s="4" t="s">
        <v>8</v>
      </c>
      <c r="E39" s="1" t="s">
        <v>2</v>
      </c>
    </row>
    <row r="40" spans="2:5" ht="17.399999999999999" x14ac:dyDescent="0.45">
      <c r="B40" s="3" t="s">
        <v>10</v>
      </c>
      <c r="C40" s="3" t="s">
        <v>26</v>
      </c>
      <c r="D40" s="4" t="s">
        <v>8</v>
      </c>
      <c r="E40" s="1" t="s">
        <v>2</v>
      </c>
    </row>
    <row r="41" spans="2:5" ht="17.399999999999999" x14ac:dyDescent="0.45">
      <c r="B41" s="3" t="s">
        <v>10</v>
      </c>
      <c r="C41" s="3" t="s">
        <v>25</v>
      </c>
      <c r="D41" s="4" t="s">
        <v>8</v>
      </c>
      <c r="E41" s="1" t="s">
        <v>2</v>
      </c>
    </row>
    <row r="42" spans="2:5" ht="17.399999999999999" x14ac:dyDescent="0.45">
      <c r="B42" s="3" t="s">
        <v>10</v>
      </c>
      <c r="C42" s="7" t="s">
        <v>24</v>
      </c>
      <c r="D42" s="4" t="s">
        <v>8</v>
      </c>
      <c r="E42" s="1" t="s">
        <v>5</v>
      </c>
    </row>
    <row r="43" spans="2:5" ht="17.399999999999999" x14ac:dyDescent="0.45">
      <c r="B43" s="3" t="s">
        <v>10</v>
      </c>
      <c r="C43" s="5" t="s">
        <v>23</v>
      </c>
      <c r="D43" s="4" t="s">
        <v>8</v>
      </c>
      <c r="E43" s="1" t="s">
        <v>2</v>
      </c>
    </row>
    <row r="44" spans="2:5" ht="17.399999999999999" x14ac:dyDescent="0.45">
      <c r="B44" s="3" t="s">
        <v>10</v>
      </c>
      <c r="C44" s="3" t="s">
        <v>22</v>
      </c>
      <c r="D44" s="4" t="s">
        <v>8</v>
      </c>
      <c r="E44" s="1" t="s">
        <v>2</v>
      </c>
    </row>
    <row r="45" spans="2:5" ht="17.399999999999999" x14ac:dyDescent="0.45">
      <c r="B45" s="3" t="s">
        <v>10</v>
      </c>
      <c r="C45" s="3" t="s">
        <v>21</v>
      </c>
      <c r="D45" s="4" t="s">
        <v>8</v>
      </c>
      <c r="E45" s="1" t="s">
        <v>2</v>
      </c>
    </row>
    <row r="46" spans="2:5" ht="17.399999999999999" x14ac:dyDescent="0.45">
      <c r="B46" s="3" t="s">
        <v>10</v>
      </c>
      <c r="C46" s="3" t="s">
        <v>20</v>
      </c>
      <c r="D46" s="4" t="s">
        <v>8</v>
      </c>
      <c r="E46" s="1" t="s">
        <v>2</v>
      </c>
    </row>
    <row r="47" spans="2:5" ht="17.399999999999999" x14ac:dyDescent="0.45">
      <c r="B47" s="6" t="s">
        <v>10</v>
      </c>
      <c r="C47" s="6" t="s">
        <v>19</v>
      </c>
      <c r="D47" s="4" t="s">
        <v>8</v>
      </c>
      <c r="E47" s="1" t="s">
        <v>2</v>
      </c>
    </row>
    <row r="48" spans="2:5" ht="17.399999999999999" x14ac:dyDescent="0.45">
      <c r="B48" s="6" t="s">
        <v>10</v>
      </c>
      <c r="C48" s="6" t="s">
        <v>18</v>
      </c>
      <c r="D48" s="4" t="s">
        <v>8</v>
      </c>
      <c r="E48" s="1" t="s">
        <v>2</v>
      </c>
    </row>
    <row r="49" spans="2:5" ht="17.399999999999999" x14ac:dyDescent="0.45">
      <c r="B49" s="6" t="s">
        <v>10</v>
      </c>
      <c r="C49" s="6" t="s">
        <v>17</v>
      </c>
      <c r="D49" s="4" t="s">
        <v>8</v>
      </c>
      <c r="E49" s="1" t="s">
        <v>2</v>
      </c>
    </row>
    <row r="50" spans="2:5" ht="17.399999999999999" x14ac:dyDescent="0.45">
      <c r="B50" s="3" t="s">
        <v>10</v>
      </c>
      <c r="C50" s="3" t="s">
        <v>16</v>
      </c>
      <c r="D50" s="4" t="s">
        <v>8</v>
      </c>
      <c r="E50" s="1" t="s">
        <v>2</v>
      </c>
    </row>
    <row r="51" spans="2:5" ht="17.399999999999999" x14ac:dyDescent="0.45">
      <c r="B51" s="3" t="s">
        <v>10</v>
      </c>
      <c r="C51" s="5" t="s">
        <v>15</v>
      </c>
      <c r="D51" s="4" t="s">
        <v>8</v>
      </c>
      <c r="E51" s="1" t="s">
        <v>2</v>
      </c>
    </row>
    <row r="52" spans="2:5" ht="17.399999999999999" x14ac:dyDescent="0.45">
      <c r="B52" s="3" t="s">
        <v>10</v>
      </c>
      <c r="C52" s="3" t="s">
        <v>14</v>
      </c>
      <c r="D52" s="4" t="s">
        <v>8</v>
      </c>
      <c r="E52" s="1" t="s">
        <v>2</v>
      </c>
    </row>
    <row r="53" spans="2:5" ht="17.399999999999999" x14ac:dyDescent="0.45">
      <c r="B53" s="3" t="s">
        <v>10</v>
      </c>
      <c r="C53" s="3" t="s">
        <v>13</v>
      </c>
      <c r="D53" s="4" t="s">
        <v>8</v>
      </c>
      <c r="E53" s="1" t="s">
        <v>2</v>
      </c>
    </row>
    <row r="54" spans="2:5" ht="17.399999999999999" x14ac:dyDescent="0.45">
      <c r="B54" s="3" t="s">
        <v>10</v>
      </c>
      <c r="C54" s="3" t="s">
        <v>12</v>
      </c>
      <c r="D54" s="4" t="s">
        <v>8</v>
      </c>
      <c r="E54" s="1" t="s">
        <v>2</v>
      </c>
    </row>
    <row r="55" spans="2:5" ht="17.399999999999999" x14ac:dyDescent="0.45">
      <c r="B55" s="3" t="s">
        <v>10</v>
      </c>
      <c r="C55" s="3" t="s">
        <v>11</v>
      </c>
      <c r="D55" s="4" t="s">
        <v>8</v>
      </c>
      <c r="E55" s="1" t="s">
        <v>2</v>
      </c>
    </row>
    <row r="56" spans="2:5" ht="17.399999999999999" x14ac:dyDescent="0.45">
      <c r="B56" s="3" t="s">
        <v>10</v>
      </c>
      <c r="C56" s="3" t="s">
        <v>9</v>
      </c>
      <c r="D56" s="4" t="s">
        <v>8</v>
      </c>
      <c r="E56" s="1" t="s">
        <v>2</v>
      </c>
    </row>
    <row r="57" spans="2:5" ht="17.399999999999999" x14ac:dyDescent="0.45">
      <c r="B57" s="3" t="s">
        <v>7</v>
      </c>
      <c r="C57" s="3" t="s">
        <v>6</v>
      </c>
      <c r="D57" s="2" t="s">
        <v>83</v>
      </c>
      <c r="E57" s="1" t="s">
        <v>5</v>
      </c>
    </row>
    <row r="58" spans="2:5" ht="17.399999999999999" x14ac:dyDescent="0.45">
      <c r="B58" s="3" t="s">
        <v>4</v>
      </c>
      <c r="C58" s="3" t="s">
        <v>3</v>
      </c>
      <c r="D58" s="2" t="s">
        <v>83</v>
      </c>
      <c r="E58" s="1" t="s">
        <v>2</v>
      </c>
    </row>
    <row r="62" spans="2:5" x14ac:dyDescent="0.3">
      <c r="B62" t="s">
        <v>1</v>
      </c>
    </row>
    <row r="63" spans="2:5" x14ac:dyDescent="0.3">
      <c r="B63" t="s">
        <v>0</v>
      </c>
    </row>
  </sheetData>
  <conditionalFormatting sqref="C14">
    <cfRule type="timePeriod" dxfId="0" priority="1" timePeriod="lastMonth">
      <formula>AND(MONTH(C14)=MONTH(EDATE(TODAY(),0-1)),YEAR(C14)=YEAR(EDATE(TODAY(),0-1)))</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0C6126-F167-4E34-BA62-E8F77FFDE278}"/>
</file>

<file path=customXml/itemProps2.xml><?xml version="1.0" encoding="utf-8"?>
<ds:datastoreItem xmlns:ds="http://schemas.openxmlformats.org/officeDocument/2006/customXml" ds:itemID="{8EABF024-3585-42FE-95F2-07FA9F8BD5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Tipologias Testes GD</vt:lpstr>
      <vt:lpstr>2. Controlos Corporativos</vt:lpstr>
      <vt:lpstr>Auxiliar</vt:lpstr>
      <vt:lpstr>Tipologias de Testes GD (2)</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Crespo Rodrigues Antunes Correia</dc:creator>
  <cp:lastModifiedBy>Nádia Genebra Ahmad</cp:lastModifiedBy>
  <cp:lastPrinted>2024-07-02T10:02:55Z</cp:lastPrinted>
  <dcterms:created xsi:type="dcterms:W3CDTF">2024-07-02T08:46:04Z</dcterms:created>
  <dcterms:modified xsi:type="dcterms:W3CDTF">2024-07-03T14:09:05Z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ies>
</file>