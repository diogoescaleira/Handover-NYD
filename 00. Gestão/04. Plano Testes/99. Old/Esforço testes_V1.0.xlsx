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4. Plano Testes/"/>
    </mc:Choice>
  </mc:AlternateContent>
  <xr:revisionPtr revIDLastSave="680" documentId="8_{11D3401F-A678-48D2-B7C1-3EA89E4C8D70}" xr6:coauthVersionLast="47" xr6:coauthVersionMax="47" xr10:uidLastSave="{B23418EB-4CE5-4F65-BD55-B00496365864}"/>
  <bookViews>
    <workbookView xWindow="-120" yWindow="-16320" windowWidth="29040" windowHeight="15840" xr2:uid="{5E18A8D8-F0A7-44C0-8F67-F11CA009F5AC}"/>
  </bookViews>
  <sheets>
    <sheet name="Sheet1" sheetId="1" r:id="rId1"/>
    <sheet name="Sheet2" sheetId="2" r:id="rId2"/>
  </sheets>
  <definedNames>
    <definedName name="_xlnm._FilterDatabase" localSheetId="0" hidden="1">Sheet1!$B$6:$BL$195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5" i="1" l="1"/>
  <c r="N195" i="1" s="1"/>
  <c r="J195" i="1"/>
  <c r="A195" i="1"/>
  <c r="J194" i="1"/>
  <c r="A194" i="1"/>
  <c r="M194" i="1" s="1"/>
  <c r="N194" i="1" s="1"/>
  <c r="J193" i="1"/>
  <c r="A193" i="1"/>
  <c r="M193" i="1" s="1"/>
  <c r="N193" i="1" s="1"/>
  <c r="J192" i="1"/>
  <c r="A192" i="1"/>
  <c r="M192" i="1" s="1"/>
  <c r="N192" i="1" s="1"/>
  <c r="M191" i="1"/>
  <c r="N191" i="1" s="1"/>
  <c r="J191" i="1"/>
  <c r="A191" i="1"/>
  <c r="J190" i="1"/>
  <c r="A190" i="1"/>
  <c r="M190" i="1" s="1"/>
  <c r="N190" i="1" s="1"/>
  <c r="J189" i="1"/>
  <c r="A189" i="1"/>
  <c r="M189" i="1" s="1"/>
  <c r="N189" i="1" s="1"/>
  <c r="J188" i="1"/>
  <c r="A188" i="1"/>
  <c r="M188" i="1" s="1"/>
  <c r="N188" i="1" s="1"/>
  <c r="M187" i="1"/>
  <c r="N187" i="1" s="1"/>
  <c r="J187" i="1"/>
  <c r="A187" i="1"/>
  <c r="J186" i="1"/>
  <c r="A186" i="1"/>
  <c r="M186" i="1" s="1"/>
  <c r="N186" i="1" s="1"/>
  <c r="J185" i="1"/>
  <c r="A185" i="1"/>
  <c r="M185" i="1" s="1"/>
  <c r="N185" i="1" s="1"/>
  <c r="J184" i="1"/>
  <c r="A184" i="1"/>
  <c r="M184" i="1" s="1"/>
  <c r="N184" i="1" s="1"/>
  <c r="M183" i="1"/>
  <c r="N183" i="1" s="1"/>
  <c r="J183" i="1"/>
  <c r="A183" i="1"/>
  <c r="J182" i="1"/>
  <c r="A182" i="1"/>
  <c r="M182" i="1" s="1"/>
  <c r="N182" i="1" s="1"/>
  <c r="J181" i="1"/>
  <c r="A181" i="1"/>
  <c r="M181" i="1" s="1"/>
  <c r="N181" i="1" s="1"/>
  <c r="J180" i="1"/>
  <c r="A180" i="1"/>
  <c r="M180" i="1" s="1"/>
  <c r="N180" i="1" s="1"/>
  <c r="M179" i="1"/>
  <c r="N179" i="1" s="1"/>
  <c r="J179" i="1"/>
  <c r="A179" i="1"/>
  <c r="J178" i="1"/>
  <c r="A178" i="1"/>
  <c r="M178" i="1" s="1"/>
  <c r="N178" i="1" s="1"/>
  <c r="J177" i="1"/>
  <c r="A177" i="1"/>
  <c r="M177" i="1" s="1"/>
  <c r="N177" i="1" s="1"/>
  <c r="J176" i="1"/>
  <c r="A176" i="1"/>
  <c r="M176" i="1" s="1"/>
  <c r="N176" i="1" s="1"/>
  <c r="M175" i="1"/>
  <c r="N175" i="1" s="1"/>
  <c r="J175" i="1"/>
  <c r="A175" i="1"/>
  <c r="J174" i="1"/>
  <c r="A174" i="1"/>
  <c r="M174" i="1" s="1"/>
  <c r="N174" i="1" s="1"/>
  <c r="J173" i="1"/>
  <c r="A173" i="1"/>
  <c r="M173" i="1" s="1"/>
  <c r="N173" i="1" s="1"/>
  <c r="J172" i="1"/>
  <c r="A172" i="1"/>
  <c r="M172" i="1" s="1"/>
  <c r="N172" i="1" s="1"/>
  <c r="M171" i="1"/>
  <c r="N171" i="1" s="1"/>
  <c r="J171" i="1"/>
  <c r="A171" i="1"/>
  <c r="J170" i="1"/>
  <c r="A170" i="1"/>
  <c r="M170" i="1" s="1"/>
  <c r="N170" i="1" s="1"/>
  <c r="J169" i="1"/>
  <c r="A169" i="1"/>
  <c r="M169" i="1" s="1"/>
  <c r="N169" i="1" s="1"/>
  <c r="J168" i="1"/>
  <c r="A168" i="1"/>
  <c r="M168" i="1" s="1"/>
  <c r="N168" i="1" s="1"/>
  <c r="M167" i="1"/>
  <c r="N167" i="1" s="1"/>
  <c r="J167" i="1"/>
  <c r="A167" i="1"/>
  <c r="J166" i="1"/>
  <c r="A166" i="1"/>
  <c r="M166" i="1" s="1"/>
  <c r="N166" i="1" s="1"/>
  <c r="M165" i="1"/>
  <c r="N165" i="1" s="1"/>
  <c r="J165" i="1"/>
  <c r="A165" i="1"/>
  <c r="J164" i="1"/>
  <c r="A164" i="1"/>
  <c r="M164" i="1" s="1"/>
  <c r="N164" i="1" s="1"/>
  <c r="J163" i="1"/>
  <c r="A163" i="1"/>
  <c r="M163" i="1" s="1"/>
  <c r="N163" i="1" s="1"/>
  <c r="J162" i="1"/>
  <c r="A162" i="1"/>
  <c r="M162" i="1" s="1"/>
  <c r="N162" i="1" s="1"/>
  <c r="M161" i="1"/>
  <c r="N161" i="1" s="1"/>
  <c r="J161" i="1"/>
  <c r="A161" i="1"/>
  <c r="J160" i="1"/>
  <c r="A160" i="1"/>
  <c r="M160" i="1" s="1"/>
  <c r="N160" i="1" s="1"/>
  <c r="J159" i="1"/>
  <c r="A159" i="1"/>
  <c r="M159" i="1" s="1"/>
  <c r="N159" i="1" s="1"/>
  <c r="J158" i="1"/>
  <c r="A158" i="1"/>
  <c r="M158" i="1" s="1"/>
  <c r="N158" i="1" s="1"/>
  <c r="M157" i="1"/>
  <c r="N157" i="1" s="1"/>
  <c r="J157" i="1"/>
  <c r="A157" i="1"/>
  <c r="J156" i="1"/>
  <c r="A156" i="1"/>
  <c r="M156" i="1" s="1"/>
  <c r="N156" i="1" s="1"/>
  <c r="J155" i="1"/>
  <c r="A155" i="1"/>
  <c r="M155" i="1" s="1"/>
  <c r="N155" i="1" s="1"/>
  <c r="J154" i="1"/>
  <c r="A154" i="1"/>
  <c r="M154" i="1" s="1"/>
  <c r="N154" i="1" s="1"/>
  <c r="M153" i="1"/>
  <c r="N153" i="1" s="1"/>
  <c r="J153" i="1"/>
  <c r="A153" i="1"/>
  <c r="J152" i="1"/>
  <c r="A152" i="1"/>
  <c r="M152" i="1" s="1"/>
  <c r="N152" i="1" s="1"/>
  <c r="J151" i="1"/>
  <c r="A151" i="1"/>
  <c r="M151" i="1" s="1"/>
  <c r="N151" i="1" s="1"/>
  <c r="J150" i="1"/>
  <c r="A150" i="1"/>
  <c r="M150" i="1" s="1"/>
  <c r="N150" i="1" s="1"/>
  <c r="M149" i="1"/>
  <c r="N149" i="1" s="1"/>
  <c r="J149" i="1"/>
  <c r="A149" i="1"/>
  <c r="J148" i="1"/>
  <c r="A148" i="1"/>
  <c r="M148" i="1" s="1"/>
  <c r="N148" i="1" s="1"/>
  <c r="J147" i="1"/>
  <c r="A147" i="1"/>
  <c r="M147" i="1" s="1"/>
  <c r="N147" i="1" s="1"/>
  <c r="J146" i="1"/>
  <c r="A146" i="1"/>
  <c r="M146" i="1" s="1"/>
  <c r="N146" i="1" s="1"/>
  <c r="M145" i="1"/>
  <c r="N145" i="1" s="1"/>
  <c r="J145" i="1"/>
  <c r="A145" i="1"/>
  <c r="J144" i="1"/>
  <c r="A144" i="1"/>
  <c r="M144" i="1" s="1"/>
  <c r="N144" i="1" s="1"/>
  <c r="J143" i="1"/>
  <c r="A143" i="1"/>
  <c r="M143" i="1" s="1"/>
  <c r="N143" i="1" s="1"/>
  <c r="J142" i="1"/>
  <c r="A142" i="1"/>
  <c r="M142" i="1" s="1"/>
  <c r="N142" i="1" s="1"/>
  <c r="M141" i="1"/>
  <c r="N141" i="1" s="1"/>
  <c r="J141" i="1"/>
  <c r="A141" i="1"/>
  <c r="J140" i="1"/>
  <c r="A140" i="1"/>
  <c r="M140" i="1" s="1"/>
  <c r="N140" i="1" s="1"/>
  <c r="J139" i="1"/>
  <c r="A139" i="1"/>
  <c r="M139" i="1" s="1"/>
  <c r="N139" i="1" s="1"/>
  <c r="J138" i="1"/>
  <c r="A138" i="1"/>
  <c r="M138" i="1" s="1"/>
  <c r="N138" i="1" s="1"/>
  <c r="M137" i="1"/>
  <c r="N137" i="1" s="1"/>
  <c r="J137" i="1"/>
  <c r="A137" i="1"/>
  <c r="J136" i="1"/>
  <c r="A136" i="1"/>
  <c r="M136" i="1" s="1"/>
  <c r="N136" i="1" s="1"/>
  <c r="J135" i="1"/>
  <c r="A135" i="1"/>
  <c r="M135" i="1" s="1"/>
  <c r="N135" i="1" s="1"/>
  <c r="J134" i="1"/>
  <c r="A134" i="1"/>
  <c r="M134" i="1" s="1"/>
  <c r="N134" i="1" s="1"/>
  <c r="M133" i="1"/>
  <c r="N133" i="1" s="1"/>
  <c r="J133" i="1"/>
  <c r="A133" i="1"/>
  <c r="J132" i="1"/>
  <c r="A132" i="1"/>
  <c r="M132" i="1" s="1"/>
  <c r="N132" i="1" s="1"/>
  <c r="J131" i="1"/>
  <c r="A131" i="1"/>
  <c r="M131" i="1" s="1"/>
  <c r="N131" i="1" s="1"/>
  <c r="J130" i="1"/>
  <c r="A130" i="1"/>
  <c r="M130" i="1" s="1"/>
  <c r="N130" i="1" s="1"/>
  <c r="M129" i="1"/>
  <c r="N129" i="1" s="1"/>
  <c r="J129" i="1"/>
  <c r="A129" i="1"/>
  <c r="J128" i="1"/>
  <c r="A128" i="1"/>
  <c r="M128" i="1" s="1"/>
  <c r="N128" i="1" s="1"/>
  <c r="J127" i="1"/>
  <c r="A127" i="1"/>
  <c r="M127" i="1" s="1"/>
  <c r="N127" i="1" s="1"/>
  <c r="J126" i="1"/>
  <c r="A126" i="1"/>
  <c r="M126" i="1" s="1"/>
  <c r="N126" i="1" s="1"/>
  <c r="M125" i="1"/>
  <c r="N125" i="1" s="1"/>
  <c r="J125" i="1"/>
  <c r="A125" i="1"/>
  <c r="J124" i="1"/>
  <c r="A124" i="1"/>
  <c r="M124" i="1" s="1"/>
  <c r="N124" i="1" s="1"/>
  <c r="J123" i="1"/>
  <c r="A123" i="1"/>
  <c r="M123" i="1" s="1"/>
  <c r="N123" i="1" s="1"/>
  <c r="J122" i="1"/>
  <c r="A122" i="1"/>
  <c r="M122" i="1" s="1"/>
  <c r="N122" i="1" s="1"/>
  <c r="M121" i="1"/>
  <c r="N121" i="1" s="1"/>
  <c r="J121" i="1"/>
  <c r="A121" i="1"/>
  <c r="J120" i="1"/>
  <c r="A120" i="1"/>
  <c r="M120" i="1" s="1"/>
  <c r="N120" i="1" s="1"/>
  <c r="J119" i="1"/>
  <c r="A119" i="1"/>
  <c r="M119" i="1" s="1"/>
  <c r="N119" i="1" s="1"/>
  <c r="J118" i="1"/>
  <c r="A118" i="1"/>
  <c r="M118" i="1" s="1"/>
  <c r="N118" i="1" s="1"/>
  <c r="M117" i="1"/>
  <c r="N117" i="1" s="1"/>
  <c r="J117" i="1"/>
  <c r="A117" i="1"/>
  <c r="J116" i="1"/>
  <c r="A116" i="1"/>
  <c r="M116" i="1" s="1"/>
  <c r="N116" i="1" s="1"/>
  <c r="J115" i="1"/>
  <c r="A115" i="1"/>
  <c r="M115" i="1" s="1"/>
  <c r="N115" i="1" s="1"/>
  <c r="J114" i="1"/>
  <c r="A114" i="1"/>
  <c r="M114" i="1" s="1"/>
  <c r="N114" i="1" s="1"/>
  <c r="M113" i="1"/>
  <c r="N113" i="1" s="1"/>
  <c r="J113" i="1"/>
  <c r="A113" i="1"/>
  <c r="J112" i="1"/>
  <c r="A112" i="1"/>
  <c r="M112" i="1" s="1"/>
  <c r="N112" i="1" s="1"/>
  <c r="J111" i="1"/>
  <c r="A111" i="1"/>
  <c r="M111" i="1" s="1"/>
  <c r="N111" i="1" s="1"/>
  <c r="J110" i="1"/>
  <c r="A110" i="1"/>
  <c r="M110" i="1" s="1"/>
  <c r="N110" i="1" s="1"/>
  <c r="M109" i="1"/>
  <c r="N109" i="1" s="1"/>
  <c r="J109" i="1"/>
  <c r="A109" i="1"/>
  <c r="J108" i="1"/>
  <c r="A108" i="1"/>
  <c r="M108" i="1" s="1"/>
  <c r="N108" i="1" s="1"/>
  <c r="J107" i="1"/>
  <c r="A107" i="1"/>
  <c r="M107" i="1" s="1"/>
  <c r="N107" i="1" s="1"/>
  <c r="J106" i="1"/>
  <c r="A106" i="1"/>
  <c r="M106" i="1" s="1"/>
  <c r="N106" i="1" s="1"/>
  <c r="J105" i="1"/>
  <c r="A105" i="1"/>
  <c r="M105" i="1" s="1"/>
  <c r="N105" i="1" s="1"/>
  <c r="J104" i="1"/>
  <c r="A104" i="1"/>
  <c r="M104" i="1" s="1"/>
  <c r="N104" i="1" s="1"/>
  <c r="J103" i="1"/>
  <c r="A103" i="1"/>
  <c r="M103" i="1" s="1"/>
  <c r="N103" i="1" s="1"/>
  <c r="M102" i="1"/>
  <c r="N102" i="1" s="1"/>
  <c r="J102" i="1"/>
  <c r="A102" i="1"/>
  <c r="J101" i="1"/>
  <c r="A101" i="1"/>
  <c r="M101" i="1" s="1"/>
  <c r="N101" i="1" s="1"/>
  <c r="J100" i="1"/>
  <c r="A100" i="1"/>
  <c r="M100" i="1" s="1"/>
  <c r="N100" i="1" s="1"/>
  <c r="J99" i="1"/>
  <c r="A99" i="1"/>
  <c r="M99" i="1" s="1"/>
  <c r="N99" i="1" s="1"/>
  <c r="J98" i="1"/>
  <c r="A98" i="1"/>
  <c r="M98" i="1" s="1"/>
  <c r="N98" i="1" s="1"/>
  <c r="J97" i="1"/>
  <c r="A97" i="1"/>
  <c r="M97" i="1" s="1"/>
  <c r="N97" i="1" s="1"/>
  <c r="J96" i="1"/>
  <c r="A96" i="1"/>
  <c r="M96" i="1" s="1"/>
  <c r="N96" i="1" s="1"/>
  <c r="M95" i="1"/>
  <c r="N95" i="1" s="1"/>
  <c r="J95" i="1"/>
  <c r="A95" i="1"/>
  <c r="J94" i="1"/>
  <c r="A94" i="1"/>
  <c r="M94" i="1" s="1"/>
  <c r="N94" i="1" s="1"/>
  <c r="J93" i="1"/>
  <c r="A93" i="1"/>
  <c r="M93" i="1" s="1"/>
  <c r="N93" i="1" s="1"/>
  <c r="J92" i="1"/>
  <c r="A92" i="1"/>
  <c r="M92" i="1" s="1"/>
  <c r="N92" i="1" s="1"/>
  <c r="M91" i="1"/>
  <c r="N91" i="1" s="1"/>
  <c r="J91" i="1"/>
  <c r="A91" i="1"/>
  <c r="J90" i="1"/>
  <c r="A90" i="1"/>
  <c r="M90" i="1" s="1"/>
  <c r="N90" i="1" s="1"/>
  <c r="J89" i="1"/>
  <c r="A89" i="1"/>
  <c r="M89" i="1" s="1"/>
  <c r="N89" i="1" s="1"/>
  <c r="J88" i="1"/>
  <c r="A88" i="1"/>
  <c r="M88" i="1" s="1"/>
  <c r="N88" i="1" s="1"/>
  <c r="M87" i="1"/>
  <c r="N87" i="1" s="1"/>
  <c r="J87" i="1"/>
  <c r="A87" i="1"/>
  <c r="J86" i="1"/>
  <c r="A86" i="1"/>
  <c r="M86" i="1" s="1"/>
  <c r="N86" i="1" s="1"/>
  <c r="J85" i="1"/>
  <c r="A85" i="1"/>
  <c r="M85" i="1" s="1"/>
  <c r="N85" i="1" s="1"/>
  <c r="J84" i="1"/>
  <c r="A84" i="1"/>
  <c r="M84" i="1" s="1"/>
  <c r="N84" i="1" s="1"/>
  <c r="M83" i="1"/>
  <c r="N83" i="1" s="1"/>
  <c r="J83" i="1"/>
  <c r="A83" i="1"/>
  <c r="J82" i="1"/>
  <c r="A82" i="1"/>
  <c r="M82" i="1" s="1"/>
  <c r="N82" i="1" s="1"/>
  <c r="J81" i="1"/>
  <c r="A81" i="1"/>
  <c r="M81" i="1" s="1"/>
  <c r="N81" i="1" s="1"/>
  <c r="J80" i="1"/>
  <c r="A80" i="1"/>
  <c r="M80" i="1" s="1"/>
  <c r="N80" i="1" s="1"/>
  <c r="M79" i="1"/>
  <c r="N79" i="1" s="1"/>
  <c r="J79" i="1"/>
  <c r="A79" i="1"/>
  <c r="J78" i="1"/>
  <c r="A78" i="1"/>
  <c r="M78" i="1" s="1"/>
  <c r="N78" i="1" s="1"/>
  <c r="J77" i="1"/>
  <c r="A77" i="1"/>
  <c r="M77" i="1" s="1"/>
  <c r="N77" i="1" s="1"/>
  <c r="J76" i="1"/>
  <c r="A76" i="1"/>
  <c r="M76" i="1" s="1"/>
  <c r="N76" i="1" s="1"/>
  <c r="M75" i="1"/>
  <c r="N75" i="1" s="1"/>
  <c r="J75" i="1"/>
  <c r="A75" i="1"/>
  <c r="J74" i="1"/>
  <c r="A74" i="1"/>
  <c r="M74" i="1" s="1"/>
  <c r="N74" i="1" s="1"/>
  <c r="J73" i="1"/>
  <c r="A73" i="1"/>
  <c r="M73" i="1" s="1"/>
  <c r="N73" i="1" s="1"/>
  <c r="J72" i="1"/>
  <c r="A72" i="1"/>
  <c r="M72" i="1" s="1"/>
  <c r="N72" i="1" s="1"/>
  <c r="M71" i="1"/>
  <c r="N71" i="1" s="1"/>
  <c r="J71" i="1"/>
  <c r="A71" i="1"/>
  <c r="J70" i="1"/>
  <c r="A70" i="1"/>
  <c r="M70" i="1" s="1"/>
  <c r="N70" i="1" s="1"/>
  <c r="J69" i="1"/>
  <c r="A69" i="1"/>
  <c r="M69" i="1" s="1"/>
  <c r="N69" i="1" s="1"/>
  <c r="J68" i="1"/>
  <c r="A68" i="1"/>
  <c r="M68" i="1" s="1"/>
  <c r="N68" i="1" s="1"/>
  <c r="M67" i="1"/>
  <c r="N67" i="1" s="1"/>
  <c r="J67" i="1"/>
  <c r="A67" i="1"/>
  <c r="J66" i="1"/>
  <c r="A66" i="1"/>
  <c r="M66" i="1" s="1"/>
  <c r="N66" i="1" s="1"/>
  <c r="J65" i="1"/>
  <c r="A65" i="1"/>
  <c r="M65" i="1" s="1"/>
  <c r="N65" i="1" s="1"/>
  <c r="J64" i="1"/>
  <c r="A64" i="1"/>
  <c r="M64" i="1" s="1"/>
  <c r="N64" i="1" s="1"/>
  <c r="M63" i="1"/>
  <c r="N63" i="1" s="1"/>
  <c r="J63" i="1"/>
  <c r="A63" i="1"/>
  <c r="J62" i="1"/>
  <c r="A62" i="1"/>
  <c r="M62" i="1" s="1"/>
  <c r="N62" i="1" s="1"/>
  <c r="J61" i="1"/>
  <c r="A61" i="1"/>
  <c r="M61" i="1" s="1"/>
  <c r="N61" i="1" s="1"/>
  <c r="J60" i="1"/>
  <c r="A60" i="1"/>
  <c r="M60" i="1" s="1"/>
  <c r="N60" i="1" s="1"/>
  <c r="M59" i="1"/>
  <c r="N59" i="1" s="1"/>
  <c r="J59" i="1"/>
  <c r="A59" i="1"/>
  <c r="J58" i="1"/>
  <c r="A58" i="1"/>
  <c r="M58" i="1" s="1"/>
  <c r="N58" i="1" s="1"/>
  <c r="J57" i="1"/>
  <c r="A57" i="1"/>
  <c r="M57" i="1" s="1"/>
  <c r="N57" i="1" s="1"/>
  <c r="J56" i="1"/>
  <c r="A56" i="1"/>
  <c r="M56" i="1" s="1"/>
  <c r="N56" i="1" s="1"/>
  <c r="M55" i="1"/>
  <c r="N55" i="1" s="1"/>
  <c r="J55" i="1"/>
  <c r="A55" i="1"/>
  <c r="J54" i="1"/>
  <c r="A54" i="1"/>
  <c r="M54" i="1" s="1"/>
  <c r="N54" i="1" s="1"/>
  <c r="J53" i="1"/>
  <c r="A53" i="1"/>
  <c r="M53" i="1" s="1"/>
  <c r="N53" i="1" s="1"/>
  <c r="J52" i="1"/>
  <c r="A52" i="1"/>
  <c r="M52" i="1" s="1"/>
  <c r="N52" i="1" s="1"/>
  <c r="M51" i="1"/>
  <c r="N51" i="1" s="1"/>
  <c r="J51" i="1"/>
  <c r="A51" i="1"/>
  <c r="J50" i="1"/>
  <c r="A50" i="1"/>
  <c r="M50" i="1" s="1"/>
  <c r="N50" i="1" s="1"/>
  <c r="J49" i="1"/>
  <c r="A49" i="1"/>
  <c r="M49" i="1" s="1"/>
  <c r="N49" i="1" s="1"/>
  <c r="J48" i="1"/>
  <c r="A48" i="1"/>
  <c r="M48" i="1" s="1"/>
  <c r="N48" i="1" s="1"/>
  <c r="M47" i="1"/>
  <c r="N47" i="1" s="1"/>
  <c r="J47" i="1"/>
  <c r="A47" i="1"/>
  <c r="J46" i="1"/>
  <c r="A46" i="1"/>
  <c r="M46" i="1" s="1"/>
  <c r="N46" i="1" s="1"/>
  <c r="J45" i="1"/>
  <c r="A45" i="1"/>
  <c r="M45" i="1" s="1"/>
  <c r="N45" i="1" s="1"/>
  <c r="J44" i="1"/>
  <c r="A44" i="1"/>
  <c r="M44" i="1" s="1"/>
  <c r="N44" i="1" s="1"/>
  <c r="M43" i="1"/>
  <c r="N43" i="1" s="1"/>
  <c r="J43" i="1"/>
  <c r="A43" i="1"/>
  <c r="J42" i="1"/>
  <c r="A42" i="1"/>
  <c r="M42" i="1" s="1"/>
  <c r="N42" i="1" s="1"/>
  <c r="J41" i="1"/>
  <c r="A41" i="1"/>
  <c r="M41" i="1" s="1"/>
  <c r="N41" i="1" s="1"/>
  <c r="M40" i="1"/>
  <c r="N40" i="1" s="1"/>
  <c r="J40" i="1"/>
  <c r="A40" i="1"/>
  <c r="J39" i="1"/>
  <c r="A39" i="1"/>
  <c r="M39" i="1" s="1"/>
  <c r="N39" i="1" s="1"/>
  <c r="J38" i="1"/>
  <c r="A38" i="1"/>
  <c r="M38" i="1" s="1"/>
  <c r="N38" i="1" s="1"/>
  <c r="J37" i="1"/>
  <c r="A37" i="1"/>
  <c r="M37" i="1" s="1"/>
  <c r="N37" i="1" s="1"/>
  <c r="M36" i="1"/>
  <c r="N36" i="1" s="1"/>
  <c r="J36" i="1"/>
  <c r="A36" i="1"/>
  <c r="J35" i="1"/>
  <c r="A35" i="1"/>
  <c r="M35" i="1" s="1"/>
  <c r="N35" i="1" s="1"/>
  <c r="J34" i="1"/>
  <c r="A34" i="1"/>
  <c r="M34" i="1" s="1"/>
  <c r="N34" i="1" s="1"/>
  <c r="M33" i="1"/>
  <c r="N33" i="1" s="1"/>
  <c r="J33" i="1"/>
  <c r="A33" i="1"/>
  <c r="M32" i="1"/>
  <c r="N32" i="1" s="1"/>
  <c r="J32" i="1"/>
  <c r="A32" i="1"/>
  <c r="M31" i="1"/>
  <c r="N31" i="1" s="1"/>
  <c r="J31" i="1"/>
  <c r="A31" i="1"/>
  <c r="M30" i="1"/>
  <c r="N30" i="1" s="1"/>
  <c r="J30" i="1"/>
  <c r="A30" i="1"/>
  <c r="J29" i="1"/>
  <c r="A29" i="1"/>
  <c r="M29" i="1" s="1"/>
  <c r="N29" i="1" s="1"/>
  <c r="J28" i="1"/>
  <c r="A28" i="1"/>
  <c r="M28" i="1" s="1"/>
  <c r="N28" i="1" s="1"/>
  <c r="J27" i="1"/>
  <c r="A27" i="1"/>
  <c r="M27" i="1" s="1"/>
  <c r="N27" i="1" s="1"/>
  <c r="J26" i="1"/>
  <c r="A26" i="1"/>
  <c r="M26" i="1" s="1"/>
  <c r="N26" i="1" s="1"/>
  <c r="J25" i="1"/>
  <c r="A25" i="1"/>
  <c r="M25" i="1" s="1"/>
  <c r="N25" i="1" s="1"/>
  <c r="J24" i="1"/>
  <c r="A24" i="1"/>
  <c r="M24" i="1" s="1"/>
  <c r="N24" i="1" s="1"/>
  <c r="J23" i="1"/>
  <c r="A23" i="1"/>
  <c r="M23" i="1" s="1"/>
  <c r="N23" i="1" s="1"/>
  <c r="J22" i="1"/>
  <c r="A22" i="1"/>
  <c r="M22" i="1" s="1"/>
  <c r="N22" i="1" s="1"/>
  <c r="J21" i="1"/>
  <c r="A21" i="1"/>
  <c r="M21" i="1" s="1"/>
  <c r="N21" i="1" s="1"/>
  <c r="J20" i="1"/>
  <c r="A20" i="1"/>
  <c r="M20" i="1" s="1"/>
  <c r="N20" i="1" s="1"/>
  <c r="J19" i="1"/>
  <c r="A19" i="1"/>
  <c r="M19" i="1" s="1"/>
  <c r="N19" i="1" s="1"/>
  <c r="J18" i="1"/>
  <c r="A18" i="1"/>
  <c r="M18" i="1" s="1"/>
  <c r="N18" i="1" s="1"/>
  <c r="J17" i="1"/>
  <c r="A17" i="1"/>
  <c r="M17" i="1" s="1"/>
  <c r="N17" i="1" s="1"/>
  <c r="J16" i="1"/>
  <c r="A16" i="1"/>
  <c r="M16" i="1" s="1"/>
  <c r="N16" i="1" s="1"/>
  <c r="J15" i="1"/>
  <c r="A15" i="1"/>
  <c r="M15" i="1" s="1"/>
  <c r="N15" i="1" s="1"/>
  <c r="J14" i="1"/>
  <c r="A14" i="1"/>
  <c r="M14" i="1" s="1"/>
  <c r="N14" i="1" s="1"/>
  <c r="J13" i="1"/>
  <c r="A13" i="1"/>
  <c r="M13" i="1" s="1"/>
  <c r="N13" i="1" s="1"/>
  <c r="J12" i="1"/>
  <c r="A12" i="1"/>
  <c r="M12" i="1" s="1"/>
  <c r="N12" i="1" s="1"/>
  <c r="J11" i="1"/>
  <c r="A11" i="1"/>
  <c r="M11" i="1" s="1"/>
  <c r="N11" i="1" s="1"/>
  <c r="J10" i="1"/>
  <c r="A10" i="1"/>
  <c r="M10" i="1" s="1"/>
  <c r="N10" i="1" s="1"/>
  <c r="J9" i="1"/>
  <c r="A9" i="1"/>
  <c r="M9" i="1" s="1"/>
  <c r="N9" i="1" s="1"/>
  <c r="J8" i="1"/>
  <c r="A8" i="1"/>
  <c r="M8" i="1" s="1"/>
  <c r="N8" i="1" s="1"/>
  <c r="J7" i="1"/>
  <c r="A7" i="1"/>
  <c r="M7" i="1" s="1"/>
  <c r="N7" i="1" s="1"/>
  <c r="BL2" i="1"/>
  <c r="BL1" i="1" s="1"/>
  <c r="BK2" i="1"/>
  <c r="BK1" i="1" s="1"/>
  <c r="BJ2" i="1"/>
  <c r="BJ1" i="1" s="1"/>
  <c r="BI2" i="1"/>
  <c r="BI1" i="1" s="1"/>
  <c r="BH2" i="1"/>
  <c r="BH1" i="1" s="1"/>
  <c r="BG2" i="1"/>
  <c r="BG1" i="1" s="1"/>
  <c r="BF2" i="1"/>
  <c r="BF1" i="1" s="1"/>
  <c r="BE2" i="1"/>
  <c r="BE1" i="1" s="1"/>
  <c r="BD2" i="1"/>
  <c r="BD1" i="1" s="1"/>
  <c r="BC2" i="1"/>
  <c r="BC1" i="1" s="1"/>
  <c r="BB2" i="1"/>
  <c r="BB1" i="1" s="1"/>
  <c r="BA2" i="1"/>
  <c r="BA1" i="1" s="1"/>
  <c r="AZ2" i="1"/>
  <c r="AZ1" i="1" s="1"/>
  <c r="AY2" i="1"/>
  <c r="AY1" i="1" s="1"/>
  <c r="AX2" i="1"/>
  <c r="AX1" i="1" s="1"/>
  <c r="AW2" i="1"/>
  <c r="AW1" i="1" s="1"/>
  <c r="AV2" i="1"/>
  <c r="AV1" i="1" s="1"/>
  <c r="AU2" i="1"/>
  <c r="AU1" i="1" s="1"/>
  <c r="AT2" i="1"/>
  <c r="AT1" i="1" s="1"/>
  <c r="AS2" i="1"/>
  <c r="AS1" i="1" s="1"/>
  <c r="AR2" i="1"/>
  <c r="AR1" i="1" s="1"/>
  <c r="AQ2" i="1"/>
  <c r="AQ1" i="1" s="1"/>
  <c r="AP2" i="1"/>
  <c r="AP1" i="1" s="1"/>
  <c r="AO2" i="1"/>
  <c r="AO1" i="1" s="1"/>
  <c r="AN2" i="1"/>
  <c r="AN1" i="1" s="1"/>
  <c r="AM2" i="1"/>
  <c r="AM1" i="1" s="1"/>
  <c r="AL2" i="1"/>
  <c r="AL1" i="1" s="1"/>
  <c r="AK2" i="1"/>
  <c r="AK1" i="1" s="1"/>
  <c r="AJ2" i="1"/>
  <c r="AJ1" i="1" s="1"/>
  <c r="AI2" i="1"/>
  <c r="AI1" i="1" s="1"/>
  <c r="AH2" i="1"/>
  <c r="AH1" i="1" s="1"/>
  <c r="AG2" i="1"/>
  <c r="AG1" i="1" s="1"/>
  <c r="AF2" i="1"/>
  <c r="AF1" i="1" s="1"/>
  <c r="AE2" i="1"/>
  <c r="AE1" i="1" s="1"/>
  <c r="AD2" i="1"/>
  <c r="AD1" i="1" s="1"/>
  <c r="AC2" i="1"/>
  <c r="AC1" i="1" s="1"/>
  <c r="AB2" i="1"/>
  <c r="AB1" i="1" s="1"/>
  <c r="AA2" i="1"/>
  <c r="AA1" i="1" s="1"/>
  <c r="Z2" i="1"/>
  <c r="Z1" i="1" s="1"/>
  <c r="Y2" i="1"/>
  <c r="Y1" i="1" s="1"/>
  <c r="X2" i="1"/>
  <c r="X1" i="1" s="1"/>
  <c r="W2" i="1"/>
  <c r="W1" i="1" s="1"/>
  <c r="U2" i="1"/>
  <c r="U1" i="1" s="1"/>
  <c r="T2" i="1"/>
  <c r="T1" i="1" s="1"/>
  <c r="S2" i="1"/>
  <c r="S1" i="1" s="1"/>
  <c r="R2" i="1"/>
  <c r="R1" i="1" s="1"/>
  <c r="Q2" i="1"/>
  <c r="Q1" i="1" s="1"/>
</calcChain>
</file>

<file path=xl/sharedStrings.xml><?xml version="1.0" encoding="utf-8"?>
<sst xmlns="http://schemas.openxmlformats.org/spreadsheetml/2006/main" count="1421" uniqueCount="214">
  <si>
    <t>Re-especificação</t>
  </si>
  <si>
    <t>Entrega IT</t>
  </si>
  <si>
    <t>Testes</t>
  </si>
  <si>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</si>
  <si>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</si>
  <si>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</si>
  <si>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</si>
  <si>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</si>
  <si>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</si>
  <si>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</si>
  <si>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</si>
  <si>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 Atual</t>
  </si>
  <si>
    <t>Pilar III</t>
  </si>
  <si>
    <t>Bens Imóveis - Input</t>
  </si>
  <si>
    <t>ENERGY_CERTIFICATE_EST_INPUT</t>
  </si>
  <si>
    <t>n.a.</t>
  </si>
  <si>
    <t>6. Em implementação (re-especificação)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</si>
  <si>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</si>
  <si>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</si>
  <si>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</si>
  <si>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</si>
  <si>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</si>
  <si>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</si>
  <si>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</si>
  <si>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</si>
  <si>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</si>
  <si>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</si>
  <si>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</si>
  <si>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</si>
  <si>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</si>
  <si>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</si>
  <si>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</si>
  <si>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</si>
  <si>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</si>
  <si>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</si>
  <si>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</si>
  <si>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</si>
  <si>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ENERGY_EFFICIENCY_IND</t>
  </si>
  <si>
    <t>NZEB_IND</t>
  </si>
  <si>
    <t>SOURCE_CODE</t>
  </si>
  <si>
    <t>CERTIFICATE_TYPE</t>
  </si>
  <si>
    <t>REN_ENERGY_PRODUCED_VALUE</t>
  </si>
  <si>
    <t>PRIMARY_ENERGY_REQ_VALUE</t>
  </si>
  <si>
    <t>NET_FLOOR_AREA</t>
  </si>
  <si>
    <t>CADASTRAL_REGISTER_CODE</t>
  </si>
  <si>
    <t>DISTRICT_MUNICIP_PARISH_CODE</t>
  </si>
  <si>
    <t>PROPERTY_PURPOSE_CODE</t>
  </si>
  <si>
    <t>ADDRESS_CODE</t>
  </si>
  <si>
    <t>FLOOR_NUMBER</t>
  </si>
  <si>
    <t>LOCALITY</t>
  </si>
  <si>
    <t>Modelo Verde - Input</t>
  </si>
  <si>
    <t>modesg_param_sfcs_taxon_europeia</t>
  </si>
  <si>
    <t>cod_regra</t>
  </si>
  <si>
    <t>comite</t>
  </si>
  <si>
    <t>data_aprvc</t>
  </si>
  <si>
    <t>data_final</t>
  </si>
  <si>
    <t>5. Em Correção</t>
  </si>
  <si>
    <t>data_inicial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</si>
  <si>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</si>
  <si>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</si>
  <si>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</si>
  <si>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</si>
  <si>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</si>
  <si>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</si>
  <si>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</si>
  <si>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</si>
  <si>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</si>
  <si>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</si>
  <si>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</si>
  <si>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Modelo Verde - Output</t>
  </si>
  <si>
    <t>modesg_out_bens_imoveis</t>
  </si>
  <si>
    <t>flg_rsc_fsc_agd</t>
  </si>
  <si>
    <t>flg_rsc_fsc_crnc</t>
  </si>
  <si>
    <t>origem_flg_rsc_fsc_agd</t>
  </si>
  <si>
    <t>origem_flg_rsc_fsc_crnc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</si>
  <si>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</si>
  <si>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</si>
  <si>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</si>
  <si>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</si>
  <si>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</si>
  <si>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</si>
  <si>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</si>
  <si>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</si>
  <si>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modesg_out_empr_info_nfin</t>
  </si>
  <si>
    <t>cca_capex_enblng_algnd</t>
  </si>
  <si>
    <t>cca_capex_own_prfrmnce_algnd</t>
  </si>
  <si>
    <t>cca_capex_ttl_elgbl</t>
  </si>
  <si>
    <t>cca_trnvr_enblng_alignd</t>
  </si>
  <si>
    <t>cca_trnvr_ttl_elgbl</t>
  </si>
  <si>
    <t>cca_turnover_own_prfrmnce_algnd</t>
  </si>
  <si>
    <t>ccm_capex_enblng_algnd</t>
  </si>
  <si>
    <t>ccm_capex_own_prfrmnce_algnd</t>
  </si>
  <si>
    <t>ccm_capex_trnstn_algnd</t>
  </si>
  <si>
    <t>ccm_capex_ttl_elgbl</t>
  </si>
  <si>
    <t>ccm_trnvr_enblng_algnd</t>
  </si>
  <si>
    <t>ccm_trnvr_own_prfrmnce_algnd</t>
  </si>
  <si>
    <t>ccm_trnvr_trnstn_alignd</t>
  </si>
  <si>
    <t>ccm_trnvr_ttl_elgbl</t>
  </si>
  <si>
    <t>cod_nace_esg</t>
  </si>
  <si>
    <t>flg_emprs_excl_paris</t>
  </si>
  <si>
    <t>flg_nfrd</t>
  </si>
  <si>
    <t>origem_alinhamentos</t>
  </si>
  <si>
    <t>origem_flg_emprs_excl_paris</t>
  </si>
  <si>
    <t>origem_flg_nfrd</t>
  </si>
  <si>
    <t>scp3_emss</t>
  </si>
  <si>
    <t>modesg_out_emss_vcls</t>
  </si>
  <si>
    <t>cnsm_co2</t>
  </si>
  <si>
    <t>modesg_out_sfcs_taxon_europeia</t>
  </si>
  <si>
    <t>cbalcao</t>
  </si>
  <si>
    <t>cempresa</t>
  </si>
  <si>
    <t>cnumecta</t>
  </si>
  <si>
    <t>ref_date</t>
  </si>
  <si>
    <t>lt003_entity</t>
  </si>
  <si>
    <t>nace_esg</t>
  </si>
  <si>
    <t/>
  </si>
  <si>
    <t>txnmy_elgbl_capex_ccm</t>
  </si>
  <si>
    <t>3. Pendente de outros desenvolvimentos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</si>
  <si>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</si>
  <si>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</si>
  <si>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</si>
  <si>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</si>
  <si>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</si>
  <si>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</si>
  <si>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</si>
  <si>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</si>
  <si>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</si>
  <si>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</si>
  <si>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</si>
  <si>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</si>
  <si>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</si>
  <si>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</si>
  <si>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</si>
  <si>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</si>
  <si>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</si>
  <si>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</si>
  <si>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</si>
  <si>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</si>
  <si>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</si>
  <si>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</si>
  <si>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</si>
  <si>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</si>
  <si>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</si>
  <si>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</si>
  <si>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</si>
  <si>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</si>
  <si>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</si>
  <si>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</si>
  <si>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</si>
  <si>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</si>
  <si>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</si>
  <si>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</si>
  <si>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</si>
  <si>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</si>
  <si>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</si>
  <si>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</si>
  <si>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</si>
  <si>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</si>
  <si>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</si>
  <si>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</si>
  <si>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</si>
  <si>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2.2 Em Re-especificação</t>
  </si>
  <si>
    <t>rsk_mtgtd_ccp</t>
  </si>
  <si>
    <t>envrnmntl_objctv</t>
  </si>
  <si>
    <t>4. Validação EF</t>
  </si>
  <si>
    <t>typ_actvty</t>
  </si>
  <si>
    <t>lns_clltrlzd_clssfctn</t>
  </si>
  <si>
    <t>2.1 Em Teste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</si>
  <si>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</si>
  <si>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</si>
  <si>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</si>
  <si>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</si>
  <si>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</si>
  <si>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</si>
  <si>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ordem</t>
  </si>
  <si>
    <t>tabela</t>
  </si>
  <si>
    <t>sstnbl_indctr</t>
  </si>
  <si>
    <t>sstnbl_ctgry</t>
  </si>
  <si>
    <t>grss_intrst_incm</t>
  </si>
  <si>
    <t>grss_cmmssn_incm</t>
  </si>
  <si>
    <t>grss_cmmssn_incm_off_blnc</t>
  </si>
  <si>
    <t>prtctn_id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</si>
  <si>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</si>
  <si>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</si>
  <si>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</si>
  <si>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</si>
  <si>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</si>
  <si>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</si>
  <si>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</si>
  <si>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</si>
  <si>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</si>
  <si>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horas</t>
  </si>
  <si>
    <t>dias</t>
  </si>
  <si>
    <t>Data Pr. de Re-especificação</t>
  </si>
  <si>
    <t>Data Pr. de correção</t>
  </si>
  <si>
    <t>Data Pr. de Teste</t>
  </si>
  <si>
    <t>val</t>
  </si>
  <si>
    <t>Owner</t>
  </si>
  <si>
    <t>HF</t>
  </si>
  <si>
    <t>JC</t>
  </si>
  <si>
    <t>JB</t>
  </si>
  <si>
    <t>JC (Pedente do MV - emissões)</t>
  </si>
  <si>
    <t>JC (Pedente do MV - Risco Fisico)</t>
  </si>
  <si>
    <t xml:space="preserve">Tabela </t>
  </si>
  <si>
    <t xml:space="preserve">Número de campos </t>
  </si>
  <si>
    <t xml:space="preserve">Data de entrega (tecnologia) </t>
  </si>
  <si>
    <t xml:space="preserve">Data fim de testes </t>
  </si>
  <si>
    <t>1º Entrega (8 campos): 04/11/2024
2º Entrega (4 campos): 25/11/2024</t>
  </si>
  <si>
    <t>1º Entrega (8 campos): 11/11/2024
2º Entrega (4 campos): 02/12/2024</t>
  </si>
  <si>
    <t>1º Entrega (20 campos): 18/11/2024
2º Entrega (6 campos): 25/11/2024
3º Entrega (4 campos): 28/11/2024</t>
  </si>
  <si>
    <t>1º Entrega (20 campos): 11/12/2024
2º Entrega (6 campos): 19/12/2024
3º Entrega (4 campos): 12/12/2024</t>
  </si>
  <si>
    <t>1º Entrega (1 campo): 31/10/2024
2º Entrega (15 campos): 18/11/2024
3º Entrega (3 campos): 25/11/2024</t>
  </si>
  <si>
    <t>1º Entrega (1 campo): 04/11/2024
2º Entrega (15 campos): 28/11/2024
3º Entrega (3 campos): 02/12/2024</t>
  </si>
  <si>
    <t>A aguardar data de entrega de tecnologia. A equipa funcional enviou as especificações a dia 28/10/2024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</si>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</sst>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"/>
  </numFmts>
  <fonts count="11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0"/>
      <color theme="1"/>
      <name val="Santander Text"/>
      <family val="2"/>
    </font>
    <font>
      <b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1"/>
      <color theme="0"/>
      <name val="Santander Headline"/>
      <family val="2"/>
    </font>
    <font>
      <sz val="11"/>
      <color theme="1"/>
      <name val="Santander Headline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1" xfId="0" applyFont="1" applyFill="1" applyBorder="1" applyAlignment="1">
      <alignment horizontal="centerContinuous"/>
    </xf>
    <xf numFmtId="164" fontId="3" fillId="6" borderId="0" xfId="0" applyNumberFormat="1" applyFont="1" applyFill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165" fontId="4" fillId="9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/>
    <xf numFmtId="0" fontId="5" fillId="10" borderId="2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/>
    <xf numFmtId="14" fontId="6" fillId="0" borderId="6" xfId="0" applyNumberFormat="1" applyFont="1" applyBorder="1"/>
    <xf numFmtId="14" fontId="6" fillId="0" borderId="3" xfId="0" applyNumberFormat="1" applyFont="1" applyBorder="1"/>
    <xf numFmtId="0" fontId="0" fillId="0" borderId="7" xfId="0" applyBorder="1"/>
    <xf numFmtId="0" fontId="0" fillId="11" borderId="7" xfId="0" applyFill="1" applyBorder="1"/>
    <xf numFmtId="0" fontId="0" fillId="3" borderId="7" xfId="0" applyFill="1" applyBorder="1"/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3" xfId="0" applyFont="1" applyBorder="1" applyAlignment="1">
      <alignment horizontal="left" vertical="center" readingOrder="1"/>
    </xf>
    <xf numFmtId="0" fontId="0" fillId="2" borderId="7" xfId="0" applyFill="1" applyBorder="1"/>
    <xf numFmtId="14" fontId="6" fillId="12" borderId="3" xfId="0" applyNumberFormat="1" applyFont="1" applyFill="1" applyBorder="1"/>
    <xf numFmtId="0" fontId="2" fillId="8" borderId="0" xfId="0" applyFont="1" applyFill="1" applyAlignment="1">
      <alignment horizontal="left" vertical="center"/>
    </xf>
    <xf numFmtId="0" fontId="8" fillId="0" borderId="0" xfId="0" applyFont="1"/>
    <xf numFmtId="0" fontId="8" fillId="13" borderId="0" xfId="0" applyFont="1" applyFill="1"/>
    <xf numFmtId="14" fontId="6" fillId="0" borderId="0" xfId="0" applyNumberFormat="1" applyFont="1"/>
    <xf numFmtId="14" fontId="6" fillId="0" borderId="0" xfId="0" applyNumberFormat="1" applyFont="1" applyAlignment="1">
      <alignment horizontal="center"/>
    </xf>
    <xf numFmtId="0" fontId="8" fillId="14" borderId="0" xfId="0" applyFont="1" applyFill="1"/>
    <xf numFmtId="0" fontId="9" fillId="15" borderId="8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left" vertical="center" wrapText="1"/>
    </xf>
    <xf numFmtId="14" fontId="10" fillId="0" borderId="16" xfId="0" applyNumberFormat="1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57-3568-4501-9405-CC247558CB63}">
  <sheetPr filterMode="1">
    <tabColor theme="4"/>
  </sheetPr>
  <dimension ref="A1:BL195"/>
  <sheetViews>
    <sheetView showGridLines="0" tabSelected="1" topLeftCell="A27" zoomScale="55" zoomScaleNormal="55" workbookViewId="0">
      <selection activeCell="F183" sqref="F183:F185"/>
    </sheetView>
  </sheetViews>
  <sheetFormatPr defaultRowHeight="13.8" x14ac:dyDescent="0.25"/>
  <cols>
    <col min="2" max="2" width="9.59765625" customWidth="1"/>
    <col min="3" max="3" width="19.796875" customWidth="1"/>
    <col min="4" max="4" width="14.8984375" customWidth="1"/>
    <col min="5" max="5" width="31.59765625" customWidth="1"/>
    <col min="6" max="6" width="37.296875" customWidth="1"/>
    <col min="7" max="7" width="34" customWidth="1"/>
    <col min="8" max="8" width="27.796875" bestFit="1" customWidth="1"/>
    <col min="9" max="9" width="21" bestFit="1" customWidth="1"/>
    <col min="10" max="10" width="18.19921875" bestFit="1" customWidth="1"/>
    <col min="11" max="11" width="6.3984375" bestFit="1" customWidth="1"/>
    <col min="15" max="16" width="4.59765625" customWidth="1"/>
    <col min="17" max="17" width="5" customWidth="1"/>
    <col min="18" max="18" width="5.09765625" customWidth="1"/>
    <col min="19" max="19" width="4.3984375" customWidth="1"/>
    <col min="20" max="20" width="5.09765625" customWidth="1"/>
    <col min="21" max="21" width="4.59765625" customWidth="1"/>
    <col min="22" max="22" width="5" customWidth="1"/>
    <col min="23" max="23" width="5.09765625" customWidth="1"/>
    <col min="24" max="24" width="4.3984375" customWidth="1"/>
    <col min="25" max="25" width="5.09765625" customWidth="1"/>
    <col min="26" max="26" width="4.59765625" customWidth="1"/>
    <col min="27" max="27" width="5" customWidth="1"/>
    <col min="28" max="28" width="5.09765625" customWidth="1"/>
    <col min="29" max="29" width="4.3984375" customWidth="1"/>
    <col min="30" max="30" width="5.09765625" customWidth="1"/>
    <col min="31" max="31" width="4.59765625" customWidth="1"/>
    <col min="32" max="32" width="5" customWidth="1"/>
    <col min="33" max="33" width="5.09765625" customWidth="1"/>
    <col min="34" max="34" width="4.3984375" customWidth="1"/>
    <col min="35" max="35" width="5.09765625" customWidth="1"/>
    <col min="36" max="36" width="4.59765625" customWidth="1"/>
    <col min="37" max="37" width="5" customWidth="1"/>
    <col min="38" max="38" width="5.09765625" customWidth="1"/>
    <col min="39" max="39" width="4.3984375" customWidth="1"/>
    <col min="40" max="40" width="5.09765625" customWidth="1"/>
    <col min="41" max="41" width="4.59765625" customWidth="1"/>
    <col min="42" max="42" width="5" customWidth="1"/>
    <col min="43" max="43" width="5.09765625" customWidth="1"/>
    <col min="44" max="44" width="4.3984375" customWidth="1"/>
    <col min="45" max="45" width="5.09765625" customWidth="1"/>
    <col min="46" max="46" width="4.59765625" customWidth="1"/>
    <col min="47" max="47" width="5" customWidth="1"/>
    <col min="48" max="48" width="5.09765625" customWidth="1"/>
    <col min="49" max="49" width="4.3984375" customWidth="1"/>
    <col min="50" max="50" width="5.09765625" customWidth="1"/>
    <col min="51" max="51" width="4.59765625" customWidth="1"/>
    <col min="52" max="52" width="5" customWidth="1"/>
    <col min="53" max="53" width="5.09765625" customWidth="1"/>
    <col min="54" max="54" width="4.3984375" customWidth="1"/>
    <col min="55" max="55" width="5.09765625" customWidth="1"/>
    <col min="56" max="56" width="4.59765625" customWidth="1"/>
    <col min="57" max="57" width="5" customWidth="1"/>
    <col min="58" max="58" width="5.09765625" customWidth="1"/>
    <col min="59" max="59" width="4.3984375" customWidth="1"/>
    <col min="60" max="60" width="5.09765625" customWidth="1"/>
    <col min="61" max="61" width="4.59765625" customWidth="1"/>
    <col min="62" max="62" width="5" customWidth="1"/>
    <col min="63" max="63" width="5.09765625" customWidth="1"/>
    <col min="64" max="64" width="4.3984375" customWidth="1"/>
  </cols>
  <sheetData>
    <row r="1" spans="1:64" x14ac:dyDescent="0.25">
      <c r="Q1">
        <f>Q2-Q3</f>
        <v>-2</v>
      </c>
      <c r="R1">
        <f t="shared" ref="R1:BL1" si="0">R2-R3</f>
        <v>-2.5</v>
      </c>
      <c r="S1">
        <f t="shared" si="0"/>
        <v>-2.5</v>
      </c>
      <c r="T1">
        <f t="shared" si="0"/>
        <v>-2</v>
      </c>
      <c r="U1">
        <f t="shared" si="0"/>
        <v>-1</v>
      </c>
      <c r="W1">
        <f t="shared" si="0"/>
        <v>-0.5</v>
      </c>
      <c r="X1">
        <f t="shared" si="0"/>
        <v>-1</v>
      </c>
      <c r="Y1">
        <f t="shared" si="0"/>
        <v>1</v>
      </c>
      <c r="Z1">
        <f t="shared" si="0"/>
        <v>1</v>
      </c>
      <c r="AA1">
        <f t="shared" si="0"/>
        <v>1</v>
      </c>
      <c r="AB1">
        <f t="shared" si="0"/>
        <v>0</v>
      </c>
      <c r="AC1">
        <f t="shared" si="0"/>
        <v>0</v>
      </c>
      <c r="AD1">
        <f t="shared" si="0"/>
        <v>-1</v>
      </c>
      <c r="AE1">
        <f t="shared" si="0"/>
        <v>-1.9</v>
      </c>
      <c r="AF1">
        <f t="shared" si="0"/>
        <v>-2</v>
      </c>
      <c r="AG1">
        <f t="shared" si="0"/>
        <v>-2</v>
      </c>
      <c r="AH1">
        <f t="shared" si="0"/>
        <v>0</v>
      </c>
      <c r="AI1">
        <f t="shared" si="0"/>
        <v>-1</v>
      </c>
      <c r="AJ1">
        <f t="shared" si="0"/>
        <v>-1</v>
      </c>
      <c r="AK1">
        <f t="shared" si="0"/>
        <v>-1</v>
      </c>
      <c r="AL1">
        <f t="shared" si="0"/>
        <v>-1</v>
      </c>
      <c r="AM1">
        <f t="shared" si="0"/>
        <v>0</v>
      </c>
      <c r="AN1">
        <f t="shared" si="0"/>
        <v>0</v>
      </c>
      <c r="AO1">
        <f t="shared" si="0"/>
        <v>0</v>
      </c>
      <c r="AP1">
        <f t="shared" si="0"/>
        <v>0</v>
      </c>
      <c r="AQ1">
        <f t="shared" si="0"/>
        <v>0</v>
      </c>
      <c r="AR1">
        <f t="shared" si="0"/>
        <v>-0.79999999999999982</v>
      </c>
      <c r="AS1">
        <f t="shared" si="0"/>
        <v>-1</v>
      </c>
      <c r="AT1">
        <f t="shared" si="0"/>
        <v>-1</v>
      </c>
      <c r="AU1">
        <f t="shared" si="0"/>
        <v>-1</v>
      </c>
      <c r="AV1">
        <f t="shared" si="0"/>
        <v>-1</v>
      </c>
      <c r="AW1">
        <f t="shared" si="0"/>
        <v>-1</v>
      </c>
      <c r="AX1">
        <f t="shared" si="0"/>
        <v>-1</v>
      </c>
      <c r="AY1">
        <f t="shared" si="0"/>
        <v>-1</v>
      </c>
      <c r="AZ1">
        <f t="shared" si="0"/>
        <v>-1</v>
      </c>
      <c r="BA1">
        <f t="shared" si="0"/>
        <v>-1.5</v>
      </c>
      <c r="BB1">
        <f t="shared" si="0"/>
        <v>-1</v>
      </c>
      <c r="BC1">
        <f t="shared" si="0"/>
        <v>-1.5</v>
      </c>
      <c r="BD1">
        <f t="shared" si="0"/>
        <v>-2</v>
      </c>
      <c r="BE1">
        <f t="shared" si="0"/>
        <v>-3</v>
      </c>
      <c r="BF1">
        <f t="shared" si="0"/>
        <v>-3</v>
      </c>
      <c r="BG1">
        <f t="shared" si="0"/>
        <v>-3</v>
      </c>
      <c r="BH1">
        <f t="shared" si="0"/>
        <v>-3</v>
      </c>
      <c r="BI1">
        <f t="shared" si="0"/>
        <v>-3</v>
      </c>
      <c r="BJ1">
        <f t="shared" si="0"/>
        <v>-3</v>
      </c>
      <c r="BK1">
        <f t="shared" si="0"/>
        <v>-3</v>
      </c>
      <c r="BL1">
        <f t="shared" si="0"/>
        <v>-3</v>
      </c>
    </row>
    <row r="2" spans="1:64" x14ac:dyDescent="0.25">
      <c r="C2" s="1"/>
      <c r="D2" t="s">
        <v>0</v>
      </c>
      <c r="Q2" s="28">
        <f t="shared" ref="Q2:BL2" si="1">SUM(Q7:Q195)</f>
        <v>0</v>
      </c>
      <c r="R2" s="28">
        <f t="shared" si="1"/>
        <v>0.5</v>
      </c>
      <c r="S2" s="28">
        <f t="shared" si="1"/>
        <v>0.5</v>
      </c>
      <c r="T2" s="28">
        <f t="shared" si="1"/>
        <v>1</v>
      </c>
      <c r="U2" s="28">
        <f t="shared" si="1"/>
        <v>1</v>
      </c>
      <c r="V2" s="28"/>
      <c r="W2" s="28">
        <f t="shared" si="1"/>
        <v>1.5</v>
      </c>
      <c r="X2" s="28">
        <f t="shared" si="1"/>
        <v>1</v>
      </c>
      <c r="Y2" s="28">
        <f t="shared" si="1"/>
        <v>4</v>
      </c>
      <c r="Z2" s="28">
        <f t="shared" si="1"/>
        <v>4</v>
      </c>
      <c r="AA2" s="28">
        <f t="shared" si="1"/>
        <v>4</v>
      </c>
      <c r="AB2" s="28">
        <f t="shared" si="1"/>
        <v>3</v>
      </c>
      <c r="AC2" s="28">
        <f t="shared" si="1"/>
        <v>3.0000000000000004</v>
      </c>
      <c r="AD2" s="28">
        <f t="shared" si="1"/>
        <v>2</v>
      </c>
      <c r="AE2" s="28">
        <f t="shared" si="1"/>
        <v>1.1000000000000001</v>
      </c>
      <c r="AF2" s="28">
        <f t="shared" si="1"/>
        <v>1</v>
      </c>
      <c r="AG2" s="28">
        <f t="shared" si="1"/>
        <v>1</v>
      </c>
      <c r="AH2" s="28">
        <f t="shared" si="1"/>
        <v>3</v>
      </c>
      <c r="AI2" s="28">
        <f t="shared" si="1"/>
        <v>2</v>
      </c>
      <c r="AJ2" s="28">
        <f t="shared" si="1"/>
        <v>2</v>
      </c>
      <c r="AK2" s="28">
        <f t="shared" si="1"/>
        <v>2</v>
      </c>
      <c r="AL2" s="28">
        <f t="shared" si="1"/>
        <v>2</v>
      </c>
      <c r="AM2" s="28">
        <f t="shared" si="1"/>
        <v>3</v>
      </c>
      <c r="AN2" s="28">
        <f t="shared" si="1"/>
        <v>3</v>
      </c>
      <c r="AO2" s="28">
        <f t="shared" si="1"/>
        <v>3</v>
      </c>
      <c r="AP2" s="28">
        <f t="shared" si="1"/>
        <v>3</v>
      </c>
      <c r="AQ2" s="28">
        <f t="shared" si="1"/>
        <v>3</v>
      </c>
      <c r="AR2" s="28">
        <f t="shared" si="1"/>
        <v>2.2000000000000002</v>
      </c>
      <c r="AS2" s="28">
        <f t="shared" si="1"/>
        <v>2</v>
      </c>
      <c r="AT2" s="28">
        <f t="shared" si="1"/>
        <v>2</v>
      </c>
      <c r="AU2" s="28">
        <f t="shared" si="1"/>
        <v>2</v>
      </c>
      <c r="AV2" s="28">
        <f t="shared" si="1"/>
        <v>2</v>
      </c>
      <c r="AW2" s="28">
        <f t="shared" si="1"/>
        <v>2</v>
      </c>
      <c r="AX2" s="28">
        <f t="shared" si="1"/>
        <v>2</v>
      </c>
      <c r="AY2" s="28">
        <f t="shared" si="1"/>
        <v>2</v>
      </c>
      <c r="AZ2" s="28">
        <f t="shared" si="1"/>
        <v>2</v>
      </c>
      <c r="BA2" s="28">
        <f t="shared" si="1"/>
        <v>1.5</v>
      </c>
      <c r="BB2" s="28">
        <f t="shared" si="1"/>
        <v>2</v>
      </c>
      <c r="BC2" s="28">
        <f t="shared" si="1"/>
        <v>1.5</v>
      </c>
      <c r="BD2" s="28">
        <f t="shared" si="1"/>
        <v>1</v>
      </c>
      <c r="BE2" s="28">
        <f t="shared" si="1"/>
        <v>0</v>
      </c>
      <c r="BF2" s="28">
        <f t="shared" si="1"/>
        <v>0</v>
      </c>
      <c r="BG2" s="28">
        <f t="shared" si="1"/>
        <v>0</v>
      </c>
      <c r="BH2" s="28">
        <f t="shared" si="1"/>
        <v>0</v>
      </c>
      <c r="BI2" s="28">
        <f t="shared" si="1"/>
        <v>0</v>
      </c>
      <c r="BJ2" s="28">
        <f t="shared" si="1"/>
        <v>0</v>
      </c>
      <c r="BK2" s="28">
        <f t="shared" si="1"/>
        <v>0</v>
      </c>
      <c r="BL2" s="28">
        <f t="shared" si="1"/>
        <v>0</v>
      </c>
    </row>
    <row r="3" spans="1:64" x14ac:dyDescent="0.25">
      <c r="C3" s="2"/>
      <c r="D3" t="s">
        <v>1</v>
      </c>
      <c r="Q3" s="28">
        <v>2</v>
      </c>
      <c r="R3" s="28">
        <v>3</v>
      </c>
      <c r="S3" s="28">
        <v>3</v>
      </c>
      <c r="T3" s="28">
        <v>3</v>
      </c>
      <c r="U3" s="28">
        <v>2</v>
      </c>
      <c r="V3" s="28"/>
      <c r="W3" s="28">
        <v>2</v>
      </c>
      <c r="X3" s="28">
        <v>2</v>
      </c>
      <c r="Y3" s="28">
        <v>3</v>
      </c>
      <c r="Z3" s="28">
        <v>3</v>
      </c>
      <c r="AA3" s="28">
        <v>3</v>
      </c>
      <c r="AB3" s="28">
        <v>3</v>
      </c>
      <c r="AC3" s="28">
        <v>3</v>
      </c>
      <c r="AD3" s="28">
        <v>3</v>
      </c>
      <c r="AE3" s="28">
        <v>3</v>
      </c>
      <c r="AF3" s="28">
        <v>3</v>
      </c>
      <c r="AG3" s="28">
        <v>3</v>
      </c>
      <c r="AH3" s="28">
        <v>3</v>
      </c>
      <c r="AI3" s="28">
        <v>3</v>
      </c>
      <c r="AJ3" s="28">
        <v>3</v>
      </c>
      <c r="AK3" s="28">
        <v>3</v>
      </c>
      <c r="AL3" s="28">
        <v>3</v>
      </c>
      <c r="AM3" s="28">
        <v>3</v>
      </c>
      <c r="AN3" s="28">
        <v>3</v>
      </c>
      <c r="AO3" s="28">
        <v>3</v>
      </c>
      <c r="AP3" s="28">
        <v>3</v>
      </c>
      <c r="AQ3" s="28">
        <v>3</v>
      </c>
      <c r="AR3" s="28">
        <v>3</v>
      </c>
      <c r="AS3" s="28">
        <v>3</v>
      </c>
      <c r="AT3" s="28">
        <v>3</v>
      </c>
      <c r="AU3" s="28">
        <v>3</v>
      </c>
      <c r="AV3" s="28">
        <v>3</v>
      </c>
      <c r="AW3" s="28">
        <v>3</v>
      </c>
      <c r="AX3" s="28">
        <v>3</v>
      </c>
      <c r="AY3" s="28">
        <v>3</v>
      </c>
      <c r="AZ3" s="28">
        <v>3</v>
      </c>
      <c r="BA3" s="28">
        <v>3</v>
      </c>
      <c r="BB3" s="28">
        <v>3</v>
      </c>
      <c r="BC3" s="28">
        <v>3</v>
      </c>
      <c r="BD3" s="28">
        <v>3</v>
      </c>
      <c r="BE3" s="28">
        <v>3</v>
      </c>
      <c r="BF3" s="28">
        <v>3</v>
      </c>
      <c r="BG3" s="28">
        <v>3</v>
      </c>
      <c r="BH3" s="28">
        <v>3</v>
      </c>
      <c r="BI3" s="28">
        <v>3</v>
      </c>
      <c r="BJ3" s="28">
        <v>3</v>
      </c>
      <c r="BK3" s="28">
        <v>3</v>
      </c>
      <c r="BL3" s="28">
        <v>3</v>
      </c>
    </row>
    <row r="4" spans="1:64" ht="17.399999999999999" x14ac:dyDescent="0.45">
      <c r="C4" s="3"/>
      <c r="D4" t="s">
        <v>2</v>
      </c>
      <c r="O4" s="4" t="s">
        <v>3</v>
      </c>
      <c r="P4" s="4"/>
      <c r="Q4" s="4"/>
      <c r="R4" s="4"/>
      <c r="S4" s="4"/>
      <c r="T4" s="4"/>
      <c r="U4" s="4"/>
      <c r="V4" s="4" t="s">
        <v>4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5</v>
      </c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6.2" x14ac:dyDescent="0.25">
      <c r="O5" s="5">
        <v>45595</v>
      </c>
      <c r="P5" s="5">
        <v>45589</v>
      </c>
      <c r="Q5" s="5">
        <v>45590</v>
      </c>
      <c r="R5" s="5">
        <v>45593</v>
      </c>
      <c r="S5" s="5">
        <v>45594</v>
      </c>
      <c r="T5" s="5">
        <v>45595</v>
      </c>
      <c r="U5" s="5">
        <v>45596</v>
      </c>
      <c r="V5" s="5">
        <v>45597</v>
      </c>
      <c r="W5" s="5">
        <v>45600</v>
      </c>
      <c r="X5" s="5">
        <v>45601</v>
      </c>
      <c r="Y5" s="5">
        <v>45602</v>
      </c>
      <c r="Z5" s="5">
        <v>45603</v>
      </c>
      <c r="AA5" s="5">
        <v>45604</v>
      </c>
      <c r="AB5" s="5">
        <v>45607</v>
      </c>
      <c r="AC5" s="5">
        <v>45608</v>
      </c>
      <c r="AD5" s="5">
        <v>45609</v>
      </c>
      <c r="AE5" s="5">
        <v>45610</v>
      </c>
      <c r="AF5" s="5">
        <v>45611</v>
      </c>
      <c r="AG5" s="5">
        <v>45614</v>
      </c>
      <c r="AH5" s="5">
        <v>45615</v>
      </c>
      <c r="AI5" s="5">
        <v>45616</v>
      </c>
      <c r="AJ5" s="5">
        <v>45617</v>
      </c>
      <c r="AK5" s="5">
        <v>45618</v>
      </c>
      <c r="AL5" s="5">
        <v>45621</v>
      </c>
      <c r="AM5" s="5">
        <v>45622</v>
      </c>
      <c r="AN5" s="5">
        <v>45623</v>
      </c>
      <c r="AO5" s="5">
        <v>45624</v>
      </c>
      <c r="AP5" s="5">
        <v>45625</v>
      </c>
      <c r="AQ5" s="5">
        <v>45628</v>
      </c>
      <c r="AR5" s="5">
        <v>45629</v>
      </c>
      <c r="AS5" s="5">
        <v>45630</v>
      </c>
      <c r="AT5" s="5">
        <v>45631</v>
      </c>
      <c r="AU5" s="5">
        <v>45632</v>
      </c>
      <c r="AV5" s="5">
        <v>45635</v>
      </c>
      <c r="AW5" s="5">
        <v>45636</v>
      </c>
      <c r="AX5" s="5">
        <v>45637</v>
      </c>
      <c r="AY5" s="5">
        <v>45638</v>
      </c>
      <c r="AZ5" s="5">
        <v>45639</v>
      </c>
      <c r="BA5" s="5">
        <v>45642</v>
      </c>
      <c r="BB5" s="5">
        <v>45643</v>
      </c>
      <c r="BC5" s="5">
        <v>45644</v>
      </c>
      <c r="BD5" s="5">
        <v>45645</v>
      </c>
      <c r="BE5" s="5">
        <v>45646</v>
      </c>
      <c r="BF5" s="5">
        <v>45649</v>
      </c>
      <c r="BG5" s="5">
        <v>45650</v>
      </c>
      <c r="BH5" s="5">
        <v>45651</v>
      </c>
      <c r="BI5" s="5">
        <v>45652</v>
      </c>
      <c r="BJ5" s="5">
        <v>45653</v>
      </c>
      <c r="BK5" s="5">
        <v>45656</v>
      </c>
      <c r="BL5" s="5">
        <v>45657</v>
      </c>
    </row>
    <row r="6" spans="1:64" ht="17.399999999999999" x14ac:dyDescent="0.25">
      <c r="B6" s="6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192</v>
      </c>
      <c r="I6" s="9" t="s">
        <v>193</v>
      </c>
      <c r="J6" s="8" t="s">
        <v>194</v>
      </c>
      <c r="K6" s="8" t="s">
        <v>196</v>
      </c>
      <c r="L6" s="8" t="s">
        <v>190</v>
      </c>
      <c r="M6" s="8" t="s">
        <v>191</v>
      </c>
      <c r="N6" s="27" t="s">
        <v>195</v>
      </c>
      <c r="O6" s="10">
        <v>23</v>
      </c>
      <c r="P6" s="10">
        <v>45589</v>
      </c>
      <c r="Q6" s="10">
        <v>45590</v>
      </c>
      <c r="R6" s="10">
        <v>45593</v>
      </c>
      <c r="S6" s="10">
        <v>45594</v>
      </c>
      <c r="T6" s="10">
        <v>45595</v>
      </c>
      <c r="U6" s="10">
        <v>45596</v>
      </c>
      <c r="V6" s="10">
        <v>45597</v>
      </c>
      <c r="W6" s="10">
        <v>45600</v>
      </c>
      <c r="X6" s="10">
        <v>45601</v>
      </c>
      <c r="Y6" s="10">
        <v>45602</v>
      </c>
      <c r="Z6" s="10">
        <v>45603</v>
      </c>
      <c r="AA6" s="10">
        <v>45604</v>
      </c>
      <c r="AB6" s="10">
        <v>45607</v>
      </c>
      <c r="AC6" s="10">
        <v>45608</v>
      </c>
      <c r="AD6" s="10">
        <v>45609</v>
      </c>
      <c r="AE6" s="10">
        <v>45610</v>
      </c>
      <c r="AF6" s="10">
        <v>45611</v>
      </c>
      <c r="AG6" s="10">
        <v>45614</v>
      </c>
      <c r="AH6" s="10">
        <v>45615</v>
      </c>
      <c r="AI6" s="10">
        <v>45616</v>
      </c>
      <c r="AJ6" s="10">
        <v>45617</v>
      </c>
      <c r="AK6" s="10">
        <v>45618</v>
      </c>
      <c r="AL6" s="10">
        <v>45621</v>
      </c>
      <c r="AM6" s="10">
        <v>45622</v>
      </c>
      <c r="AN6" s="10">
        <v>45623</v>
      </c>
      <c r="AO6" s="10">
        <v>45624</v>
      </c>
      <c r="AP6" s="10">
        <v>45625</v>
      </c>
      <c r="AQ6" s="10">
        <v>45628</v>
      </c>
      <c r="AR6" s="10">
        <v>45629</v>
      </c>
      <c r="AS6" s="10">
        <v>45630</v>
      </c>
      <c r="AT6" s="10">
        <v>45631</v>
      </c>
      <c r="AU6" s="10">
        <v>45632</v>
      </c>
      <c r="AV6" s="10">
        <v>45635</v>
      </c>
      <c r="AW6" s="10">
        <v>45636</v>
      </c>
      <c r="AX6" s="10">
        <v>45637</v>
      </c>
      <c r="AY6" s="10">
        <v>45638</v>
      </c>
      <c r="AZ6" s="10">
        <v>45639</v>
      </c>
      <c r="BA6" s="10">
        <v>45642</v>
      </c>
      <c r="BB6" s="10">
        <v>45643</v>
      </c>
      <c r="BC6" s="10">
        <v>45644</v>
      </c>
      <c r="BD6" s="10">
        <v>45645</v>
      </c>
      <c r="BE6" s="10">
        <v>45646</v>
      </c>
      <c r="BF6" s="10">
        <v>45649</v>
      </c>
      <c r="BG6" s="10">
        <v>45650</v>
      </c>
      <c r="BH6" s="10">
        <v>45651</v>
      </c>
      <c r="BI6" s="10">
        <v>45652</v>
      </c>
      <c r="BJ6" s="10">
        <v>45653</v>
      </c>
      <c r="BK6" s="10">
        <v>45656</v>
      </c>
      <c r="BL6" s="10">
        <v>45657</v>
      </c>
    </row>
    <row r="7" spans="1:64" ht="16.2" hidden="1" x14ac:dyDescent="0.4">
      <c r="A7" s="11" t="str">
        <f t="shared" ref="A7:A69" si="2">E7&amp;F7</f>
        <v>ENERGY_CERTIFICATE_EST_INPUTPROPERTY_BANK_ID</v>
      </c>
      <c r="B7" s="12" t="s">
        <v>12</v>
      </c>
      <c r="C7" s="13" t="s">
        <v>13</v>
      </c>
      <c r="D7" s="14" t="s">
        <v>17</v>
      </c>
      <c r="E7" s="15" t="s">
        <v>14</v>
      </c>
      <c r="F7" s="14" t="s">
        <v>18</v>
      </c>
      <c r="G7" s="16" t="s">
        <v>16</v>
      </c>
      <c r="H7" s="17" t="s">
        <v>15</v>
      </c>
      <c r="I7" s="18">
        <v>45624</v>
      </c>
      <c r="J7" s="17">
        <f t="shared" ref="J7:J69" si="3">IF(COUNTA(O7:BL7)=0,"",_xlfn.MAXIFS($O$6:$BL$6,O7:BL7,"&gt;0"))</f>
        <v>45628</v>
      </c>
      <c r="K7" s="30"/>
      <c r="L7" s="28">
        <v>0.6</v>
      </c>
      <c r="M7" s="28">
        <f t="shared" ref="M7:M69" si="4">ROUND(L7/8,1)</f>
        <v>0.1</v>
      </c>
      <c r="N7" s="28">
        <f>SUM(O7:BL7)-M7</f>
        <v>0</v>
      </c>
      <c r="O7" s="19"/>
      <c r="P7" s="19"/>
      <c r="Q7" s="19"/>
      <c r="R7" s="19"/>
      <c r="S7" s="19"/>
      <c r="T7" s="19"/>
      <c r="U7" s="19"/>
      <c r="V7" s="20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1"/>
      <c r="AP7" s="19"/>
      <c r="AQ7" s="19">
        <v>0.1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20"/>
      <c r="BH7" s="20"/>
      <c r="BI7" s="20"/>
      <c r="BJ7" s="20"/>
      <c r="BK7" s="20"/>
      <c r="BL7" s="20"/>
    </row>
    <row r="8" spans="1:64" ht="16.2" hidden="1" x14ac:dyDescent="0.4">
      <c r="A8" s="11" t="str">
        <f t="shared" si="2"/>
        <v>ENERGY_CERTIFICATE_EST_INPUTENCRYPTED_KEY</v>
      </c>
      <c r="B8" s="12" t="s">
        <v>12</v>
      </c>
      <c r="C8" s="13" t="s">
        <v>13</v>
      </c>
      <c r="D8" s="14" t="s">
        <v>17</v>
      </c>
      <c r="E8" s="15" t="s">
        <v>14</v>
      </c>
      <c r="F8" s="14" t="s">
        <v>19</v>
      </c>
      <c r="G8" s="16" t="s">
        <v>16</v>
      </c>
      <c r="H8" s="17" t="s">
        <v>15</v>
      </c>
      <c r="I8" s="18">
        <v>45624</v>
      </c>
      <c r="J8" s="17">
        <f t="shared" si="3"/>
        <v>45628</v>
      </c>
      <c r="K8" s="30"/>
      <c r="L8" s="28">
        <v>0.6</v>
      </c>
      <c r="M8" s="28">
        <f t="shared" si="4"/>
        <v>0.1</v>
      </c>
      <c r="N8" s="28">
        <f t="shared" ref="N8:N71" si="5">SUM(O8:BL8)-M8</f>
        <v>0</v>
      </c>
      <c r="O8" s="19"/>
      <c r="P8" s="19"/>
      <c r="Q8" s="19"/>
      <c r="R8" s="19"/>
      <c r="S8" s="19"/>
      <c r="T8" s="19"/>
      <c r="U8" s="19"/>
      <c r="V8" s="20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21"/>
      <c r="AP8" s="19"/>
      <c r="AQ8" s="19">
        <v>0.1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20"/>
      <c r="BH8" s="20"/>
      <c r="BI8" s="20"/>
      <c r="BJ8" s="20"/>
      <c r="BK8" s="20"/>
      <c r="BL8" s="20"/>
    </row>
    <row r="9" spans="1:64" ht="16.2" hidden="1" x14ac:dyDescent="0.4">
      <c r="A9" s="11" t="str">
        <f t="shared" si="2"/>
        <v>ENERGY_CERTIFICATE_EST_INPUTPROPERTY_BRANCH_CODE</v>
      </c>
      <c r="B9" s="12" t="s">
        <v>12</v>
      </c>
      <c r="C9" s="13" t="s">
        <v>13</v>
      </c>
      <c r="D9" s="14" t="s">
        <v>17</v>
      </c>
      <c r="E9" s="15" t="s">
        <v>14</v>
      </c>
      <c r="F9" s="14" t="s">
        <v>20</v>
      </c>
      <c r="G9" s="16" t="s">
        <v>16</v>
      </c>
      <c r="H9" s="17" t="s">
        <v>15</v>
      </c>
      <c r="I9" s="18">
        <v>45624</v>
      </c>
      <c r="J9" s="17">
        <f t="shared" si="3"/>
        <v>45628</v>
      </c>
      <c r="K9" s="30"/>
      <c r="L9" s="28">
        <v>0.6</v>
      </c>
      <c r="M9" s="28">
        <f t="shared" si="4"/>
        <v>0.1</v>
      </c>
      <c r="N9" s="28">
        <f t="shared" si="5"/>
        <v>0</v>
      </c>
      <c r="O9" s="19"/>
      <c r="P9" s="19"/>
      <c r="Q9" s="19"/>
      <c r="R9" s="19"/>
      <c r="S9" s="19"/>
      <c r="T9" s="19"/>
      <c r="U9" s="19"/>
      <c r="V9" s="20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21"/>
      <c r="AP9" s="19"/>
      <c r="AQ9" s="19">
        <v>0.1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20"/>
      <c r="BH9" s="20"/>
      <c r="BI9" s="20"/>
      <c r="BJ9" s="20"/>
      <c r="BK9" s="20"/>
      <c r="BL9" s="20"/>
    </row>
    <row r="10" spans="1:64" ht="16.2" hidden="1" x14ac:dyDescent="0.4">
      <c r="A10" s="11" t="str">
        <f t="shared" si="2"/>
        <v>ENERGY_CERTIFICATE_EST_INPUTPROPERTY_CONTRACT_ID</v>
      </c>
      <c r="B10" s="12" t="s">
        <v>12</v>
      </c>
      <c r="C10" s="13" t="s">
        <v>13</v>
      </c>
      <c r="D10" s="14" t="s">
        <v>17</v>
      </c>
      <c r="E10" s="15" t="s">
        <v>14</v>
      </c>
      <c r="F10" s="14" t="s">
        <v>21</v>
      </c>
      <c r="G10" s="16" t="s">
        <v>16</v>
      </c>
      <c r="H10" s="17" t="s">
        <v>15</v>
      </c>
      <c r="I10" s="18">
        <v>45624</v>
      </c>
      <c r="J10" s="17">
        <f t="shared" si="3"/>
        <v>45628</v>
      </c>
      <c r="K10" s="30"/>
      <c r="L10" s="28">
        <v>0.6</v>
      </c>
      <c r="M10" s="28">
        <f t="shared" si="4"/>
        <v>0.1</v>
      </c>
      <c r="N10" s="28">
        <f t="shared" si="5"/>
        <v>0</v>
      </c>
      <c r="O10" s="19"/>
      <c r="P10" s="19"/>
      <c r="Q10" s="19"/>
      <c r="R10" s="19"/>
      <c r="S10" s="19"/>
      <c r="T10" s="19"/>
      <c r="U10" s="19"/>
      <c r="V10" s="20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21"/>
      <c r="AP10" s="19"/>
      <c r="AQ10" s="19">
        <v>0.1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20"/>
      <c r="BH10" s="20"/>
      <c r="BI10" s="20"/>
      <c r="BJ10" s="20"/>
      <c r="BK10" s="20"/>
      <c r="BL10" s="20"/>
    </row>
    <row r="11" spans="1:64" ht="16.2" hidden="1" x14ac:dyDescent="0.4">
      <c r="A11" s="11" t="str">
        <f t="shared" si="2"/>
        <v>ENERGY_CERTIFICATE_EST_INPUTPROPERTY_REFERENCE_CODE</v>
      </c>
      <c r="B11" s="12" t="s">
        <v>12</v>
      </c>
      <c r="C11" s="13" t="s">
        <v>13</v>
      </c>
      <c r="D11" s="14" t="s">
        <v>17</v>
      </c>
      <c r="E11" s="15" t="s">
        <v>14</v>
      </c>
      <c r="F11" s="14" t="s">
        <v>22</v>
      </c>
      <c r="G11" s="16" t="s">
        <v>16</v>
      </c>
      <c r="H11" s="17" t="s">
        <v>15</v>
      </c>
      <c r="I11" s="18">
        <v>45624</v>
      </c>
      <c r="J11" s="17">
        <f t="shared" si="3"/>
        <v>45628</v>
      </c>
      <c r="K11" s="30"/>
      <c r="L11" s="28">
        <v>0.6</v>
      </c>
      <c r="M11" s="28">
        <f t="shared" si="4"/>
        <v>0.1</v>
      </c>
      <c r="N11" s="28">
        <f t="shared" si="5"/>
        <v>0</v>
      </c>
      <c r="O11" s="19"/>
      <c r="P11" s="19"/>
      <c r="Q11" s="19"/>
      <c r="R11" s="19"/>
      <c r="S11" s="19"/>
      <c r="T11" s="19"/>
      <c r="U11" s="19"/>
      <c r="V11" s="20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21"/>
      <c r="AP11" s="19"/>
      <c r="AQ11" s="19">
        <v>0.1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20"/>
      <c r="BH11" s="20"/>
      <c r="BI11" s="20"/>
      <c r="BJ11" s="20"/>
      <c r="BK11" s="20"/>
      <c r="BL11" s="20"/>
    </row>
    <row r="12" spans="1:64" ht="16.2" hidden="1" x14ac:dyDescent="0.4">
      <c r="A12" s="11" t="str">
        <f t="shared" si="2"/>
        <v>ENERGY_CERTIFICATE_EST_INPUTDATA_EXTRACTION_DATE</v>
      </c>
      <c r="B12" s="12" t="s">
        <v>12</v>
      </c>
      <c r="C12" s="13" t="s">
        <v>13</v>
      </c>
      <c r="D12" s="14" t="s">
        <v>17</v>
      </c>
      <c r="E12" s="15" t="s">
        <v>14</v>
      </c>
      <c r="F12" s="14" t="s">
        <v>23</v>
      </c>
      <c r="G12" s="16" t="s">
        <v>16</v>
      </c>
      <c r="H12" s="17" t="s">
        <v>15</v>
      </c>
      <c r="I12" s="18">
        <v>45624</v>
      </c>
      <c r="J12" s="17">
        <f t="shared" si="3"/>
        <v>45628</v>
      </c>
      <c r="K12" s="30"/>
      <c r="L12" s="28">
        <v>0.6</v>
      </c>
      <c r="M12" s="28">
        <f t="shared" si="4"/>
        <v>0.1</v>
      </c>
      <c r="N12" s="28">
        <f t="shared" si="5"/>
        <v>0</v>
      </c>
      <c r="O12" s="19"/>
      <c r="P12" s="19"/>
      <c r="Q12" s="19"/>
      <c r="R12" s="19"/>
      <c r="S12" s="19"/>
      <c r="T12" s="19"/>
      <c r="U12" s="19"/>
      <c r="V12" s="20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21"/>
      <c r="AP12" s="19"/>
      <c r="AQ12" s="19">
        <v>0.1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20"/>
      <c r="BH12" s="20"/>
      <c r="BI12" s="20"/>
      <c r="BJ12" s="20"/>
      <c r="BK12" s="20"/>
      <c r="BL12" s="20"/>
    </row>
    <row r="13" spans="1:64" ht="16.2" hidden="1" x14ac:dyDescent="0.4">
      <c r="A13" s="11" t="str">
        <f t="shared" si="2"/>
        <v>ENERGY_CERTIFICATE_EST_INPUTEPC</v>
      </c>
      <c r="B13" s="12" t="s">
        <v>12</v>
      </c>
      <c r="C13" s="13" t="s">
        <v>13</v>
      </c>
      <c r="D13" s="14" t="s">
        <v>17</v>
      </c>
      <c r="E13" s="15" t="s">
        <v>14</v>
      </c>
      <c r="F13" s="14" t="s">
        <v>24</v>
      </c>
      <c r="G13" s="16" t="s">
        <v>16</v>
      </c>
      <c r="H13" s="17" t="s">
        <v>15</v>
      </c>
      <c r="I13" s="18">
        <v>45624</v>
      </c>
      <c r="J13" s="17">
        <f t="shared" si="3"/>
        <v>45628</v>
      </c>
      <c r="K13" s="30"/>
      <c r="L13" s="28">
        <v>0.6</v>
      </c>
      <c r="M13" s="28">
        <f t="shared" si="4"/>
        <v>0.1</v>
      </c>
      <c r="N13" s="28">
        <f t="shared" si="5"/>
        <v>0</v>
      </c>
      <c r="O13" s="19"/>
      <c r="P13" s="19"/>
      <c r="Q13" s="19"/>
      <c r="R13" s="19"/>
      <c r="S13" s="19"/>
      <c r="T13" s="19"/>
      <c r="U13" s="19"/>
      <c r="V13" s="20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21"/>
      <c r="AP13" s="19"/>
      <c r="AQ13" s="19">
        <v>0.1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20"/>
      <c r="BH13" s="20"/>
      <c r="BI13" s="20"/>
      <c r="BJ13" s="20"/>
      <c r="BK13" s="20"/>
      <c r="BL13" s="20"/>
    </row>
    <row r="14" spans="1:64" ht="16.2" hidden="1" x14ac:dyDescent="0.4">
      <c r="A14" s="11" t="str">
        <f t="shared" si="2"/>
        <v>ENERGY_CERTIFICATE_EST_INPUTDATA_PROVIDER</v>
      </c>
      <c r="B14" s="12" t="s">
        <v>12</v>
      </c>
      <c r="C14" s="13" t="s">
        <v>13</v>
      </c>
      <c r="D14" s="14" t="s">
        <v>17</v>
      </c>
      <c r="E14" s="15" t="s">
        <v>14</v>
      </c>
      <c r="F14" s="14" t="s">
        <v>25</v>
      </c>
      <c r="G14" s="16" t="s">
        <v>16</v>
      </c>
      <c r="H14" s="17" t="s">
        <v>15</v>
      </c>
      <c r="I14" s="18">
        <v>45624</v>
      </c>
      <c r="J14" s="17">
        <f t="shared" si="3"/>
        <v>45628</v>
      </c>
      <c r="K14" s="30"/>
      <c r="L14" s="28">
        <v>0.6</v>
      </c>
      <c r="M14" s="28">
        <f t="shared" si="4"/>
        <v>0.1</v>
      </c>
      <c r="N14" s="28">
        <f t="shared" si="5"/>
        <v>0</v>
      </c>
      <c r="O14" s="19"/>
      <c r="P14" s="19"/>
      <c r="Q14" s="19"/>
      <c r="R14" s="19"/>
      <c r="S14" s="19"/>
      <c r="T14" s="19"/>
      <c r="U14" s="19"/>
      <c r="V14" s="20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21"/>
      <c r="AP14" s="19"/>
      <c r="AQ14" s="19">
        <v>0.1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20"/>
      <c r="BH14" s="20"/>
      <c r="BI14" s="20"/>
      <c r="BJ14" s="20"/>
      <c r="BK14" s="20"/>
      <c r="BL14" s="20"/>
    </row>
    <row r="15" spans="1:64" ht="16.2" hidden="1" x14ac:dyDescent="0.4">
      <c r="A15" s="11" t="str">
        <f t="shared" si="2"/>
        <v>ENERGY_CERTIFICATE_EST_INPUTACTUAL_VALUE_IND</v>
      </c>
      <c r="B15" s="12" t="s">
        <v>12</v>
      </c>
      <c r="C15" s="13" t="s">
        <v>13</v>
      </c>
      <c r="D15" s="14" t="s">
        <v>17</v>
      </c>
      <c r="E15" s="15" t="s">
        <v>14</v>
      </c>
      <c r="F15" s="14" t="s">
        <v>26</v>
      </c>
      <c r="G15" s="16" t="s">
        <v>16</v>
      </c>
      <c r="H15" s="17" t="s">
        <v>15</v>
      </c>
      <c r="I15" s="18">
        <v>45624</v>
      </c>
      <c r="J15" s="17">
        <f t="shared" si="3"/>
        <v>45628</v>
      </c>
      <c r="K15" s="30"/>
      <c r="L15" s="28">
        <v>0.6</v>
      </c>
      <c r="M15" s="28">
        <f t="shared" si="4"/>
        <v>0.1</v>
      </c>
      <c r="N15" s="28">
        <f t="shared" si="5"/>
        <v>0</v>
      </c>
      <c r="O15" s="19"/>
      <c r="P15" s="19"/>
      <c r="Q15" s="19"/>
      <c r="R15" s="19"/>
      <c r="S15" s="19"/>
      <c r="T15" s="19"/>
      <c r="U15" s="19"/>
      <c r="V15" s="20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1"/>
      <c r="AP15" s="19"/>
      <c r="AQ15" s="19">
        <v>0.1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20"/>
      <c r="BH15" s="20"/>
      <c r="BI15" s="20"/>
      <c r="BJ15" s="20"/>
      <c r="BK15" s="20"/>
      <c r="BL15" s="20"/>
    </row>
    <row r="16" spans="1:64" ht="16.2" hidden="1" x14ac:dyDescent="0.4">
      <c r="A16" s="11" t="str">
        <f t="shared" si="2"/>
        <v>ENERGY_CERTIFICATE_EST_INPUTQUALITY_SCORE</v>
      </c>
      <c r="B16" s="12" t="s">
        <v>12</v>
      </c>
      <c r="C16" s="13" t="s">
        <v>13</v>
      </c>
      <c r="D16" s="14" t="s">
        <v>17</v>
      </c>
      <c r="E16" s="15" t="s">
        <v>14</v>
      </c>
      <c r="F16" s="14" t="s">
        <v>27</v>
      </c>
      <c r="G16" s="16" t="s">
        <v>16</v>
      </c>
      <c r="H16" s="17" t="s">
        <v>15</v>
      </c>
      <c r="I16" s="18">
        <v>45624</v>
      </c>
      <c r="J16" s="17">
        <f t="shared" si="3"/>
        <v>45628</v>
      </c>
      <c r="K16" s="30"/>
      <c r="L16" s="28">
        <v>0.6</v>
      </c>
      <c r="M16" s="28">
        <f t="shared" si="4"/>
        <v>0.1</v>
      </c>
      <c r="N16" s="28">
        <f t="shared" si="5"/>
        <v>0</v>
      </c>
      <c r="O16" s="19"/>
      <c r="P16" s="19"/>
      <c r="Q16" s="19"/>
      <c r="R16" s="19"/>
      <c r="S16" s="19"/>
      <c r="T16" s="19"/>
      <c r="U16" s="19"/>
      <c r="V16" s="20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21"/>
      <c r="AP16" s="19"/>
      <c r="AQ16" s="19">
        <v>0.1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0"/>
      <c r="BH16" s="20"/>
      <c r="BI16" s="20"/>
      <c r="BJ16" s="20"/>
      <c r="BK16" s="20"/>
      <c r="BL16" s="20"/>
    </row>
    <row r="17" spans="1:64" ht="16.2" hidden="1" x14ac:dyDescent="0.4">
      <c r="A17" s="11" t="str">
        <f t="shared" si="2"/>
        <v>ENERGY_CERTIFICATE_EST_INPUTENERGY_CONSUMPTION_VALUE_YEAR</v>
      </c>
      <c r="B17" s="12" t="s">
        <v>12</v>
      </c>
      <c r="C17" s="13" t="s">
        <v>13</v>
      </c>
      <c r="D17" s="14" t="s">
        <v>17</v>
      </c>
      <c r="E17" s="15" t="s">
        <v>14</v>
      </c>
      <c r="F17" s="14" t="s">
        <v>28</v>
      </c>
      <c r="G17" s="16" t="s">
        <v>16</v>
      </c>
      <c r="H17" s="17" t="s">
        <v>15</v>
      </c>
      <c r="I17" s="18">
        <v>45624</v>
      </c>
      <c r="J17" s="17">
        <f t="shared" si="3"/>
        <v>45629</v>
      </c>
      <c r="K17" s="30"/>
      <c r="L17" s="28">
        <v>0.6</v>
      </c>
      <c r="M17" s="28">
        <f t="shared" si="4"/>
        <v>0.1</v>
      </c>
      <c r="N17" s="28">
        <f t="shared" si="5"/>
        <v>0</v>
      </c>
      <c r="O17" s="19"/>
      <c r="P17" s="19"/>
      <c r="Q17" s="19"/>
      <c r="R17" s="19"/>
      <c r="S17" s="19"/>
      <c r="T17" s="19"/>
      <c r="U17" s="19"/>
      <c r="V17" s="20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21"/>
      <c r="AP17" s="19"/>
      <c r="AQ17" s="19"/>
      <c r="AR17" s="19">
        <v>0.1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20"/>
      <c r="BH17" s="20"/>
      <c r="BI17" s="20"/>
      <c r="BJ17" s="20"/>
      <c r="BK17" s="20"/>
      <c r="BL17" s="20"/>
    </row>
    <row r="18" spans="1:64" ht="16.2" hidden="1" x14ac:dyDescent="0.4">
      <c r="A18" s="11" t="str">
        <f t="shared" si="2"/>
        <v>ENERGY_CERTIFICATE_EST_INPUTCARBON_EMISSION_VALUE_YEAR</v>
      </c>
      <c r="B18" s="12" t="s">
        <v>12</v>
      </c>
      <c r="C18" s="13" t="s">
        <v>13</v>
      </c>
      <c r="D18" s="14" t="s">
        <v>17</v>
      </c>
      <c r="E18" s="15" t="s">
        <v>14</v>
      </c>
      <c r="F18" s="14" t="s">
        <v>29</v>
      </c>
      <c r="G18" s="16" t="s">
        <v>16</v>
      </c>
      <c r="H18" s="17" t="s">
        <v>15</v>
      </c>
      <c r="I18" s="18">
        <v>45624</v>
      </c>
      <c r="J18" s="17">
        <f t="shared" si="3"/>
        <v>45629</v>
      </c>
      <c r="K18" s="30"/>
      <c r="L18" s="28">
        <v>0.6</v>
      </c>
      <c r="M18" s="28">
        <f t="shared" si="4"/>
        <v>0.1</v>
      </c>
      <c r="N18" s="28">
        <f t="shared" si="5"/>
        <v>0</v>
      </c>
      <c r="O18" s="19"/>
      <c r="P18" s="19"/>
      <c r="Q18" s="19"/>
      <c r="R18" s="19"/>
      <c r="S18" s="19"/>
      <c r="T18" s="19"/>
      <c r="U18" s="19"/>
      <c r="V18" s="20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21"/>
      <c r="AP18" s="19"/>
      <c r="AQ18" s="19"/>
      <c r="AR18" s="19">
        <v>0.1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20"/>
      <c r="BH18" s="20"/>
      <c r="BI18" s="20"/>
      <c r="BJ18" s="20"/>
      <c r="BK18" s="20"/>
      <c r="BL18" s="20"/>
    </row>
    <row r="19" spans="1:64" ht="16.2" x14ac:dyDescent="0.4">
      <c r="A19" s="11" t="str">
        <f t="shared" si="2"/>
        <v>PROPERTY_ENERGY_CERTIFICATELAND_REGISTRY_OFFICE_CODE</v>
      </c>
      <c r="B19" s="12" t="s">
        <v>12</v>
      </c>
      <c r="C19" s="13" t="s">
        <v>30</v>
      </c>
      <c r="D19" s="14" t="s">
        <v>17</v>
      </c>
      <c r="E19" s="15" t="s">
        <v>31</v>
      </c>
      <c r="F19" s="14" t="s">
        <v>32</v>
      </c>
      <c r="G19" s="16" t="s">
        <v>16</v>
      </c>
      <c r="H19" s="17" t="s">
        <v>15</v>
      </c>
      <c r="I19" s="18">
        <v>45593</v>
      </c>
      <c r="J19" s="17">
        <f t="shared" si="3"/>
        <v>45594</v>
      </c>
      <c r="K19" s="31" t="s">
        <v>199</v>
      </c>
      <c r="L19" s="28">
        <v>4.0999999999999996</v>
      </c>
      <c r="M19" s="28">
        <f t="shared" si="4"/>
        <v>0.5</v>
      </c>
      <c r="N19" s="28">
        <f t="shared" si="5"/>
        <v>0</v>
      </c>
      <c r="O19" s="19"/>
      <c r="P19" s="19"/>
      <c r="Q19" s="19"/>
      <c r="R19" s="21"/>
      <c r="S19" s="19">
        <v>0.5</v>
      </c>
      <c r="T19" s="19"/>
      <c r="U19" s="19"/>
      <c r="V19" s="20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20"/>
      <c r="BH19" s="20"/>
      <c r="BI19" s="20"/>
      <c r="BJ19" s="20"/>
      <c r="BK19" s="20"/>
      <c r="BL19" s="20"/>
    </row>
    <row r="20" spans="1:64" ht="16.2" x14ac:dyDescent="0.4">
      <c r="A20" s="11" t="str">
        <f t="shared" si="2"/>
        <v>PROPERTY_ENERGY_CERTIFICATEPROPERTY_IDENTIFICATION_CODE</v>
      </c>
      <c r="B20" s="12" t="s">
        <v>12</v>
      </c>
      <c r="C20" s="13" t="s">
        <v>30</v>
      </c>
      <c r="D20" s="14" t="s">
        <v>17</v>
      </c>
      <c r="E20" s="15" t="s">
        <v>31</v>
      </c>
      <c r="F20" s="14" t="s">
        <v>33</v>
      </c>
      <c r="G20" s="16" t="s">
        <v>16</v>
      </c>
      <c r="H20" s="17" t="s">
        <v>15</v>
      </c>
      <c r="I20" s="18">
        <v>45593</v>
      </c>
      <c r="J20" s="17">
        <f t="shared" si="3"/>
        <v>45595</v>
      </c>
      <c r="K20" s="31" t="s">
        <v>199</v>
      </c>
      <c r="L20" s="28">
        <v>4.0999999999999996</v>
      </c>
      <c r="M20" s="28">
        <f t="shared" si="4"/>
        <v>0.5</v>
      </c>
      <c r="N20" s="28">
        <f t="shared" si="5"/>
        <v>0</v>
      </c>
      <c r="O20" s="19"/>
      <c r="P20" s="19"/>
      <c r="Q20" s="19"/>
      <c r="R20" s="21"/>
      <c r="S20" s="19"/>
      <c r="T20" s="19">
        <v>0.5</v>
      </c>
      <c r="U20" s="19"/>
      <c r="V20" s="20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20"/>
      <c r="BH20" s="20"/>
      <c r="BI20" s="20"/>
      <c r="BJ20" s="20"/>
      <c r="BK20" s="20"/>
      <c r="BL20" s="20"/>
    </row>
    <row r="21" spans="1:64" ht="16.2" x14ac:dyDescent="0.4">
      <c r="A21" s="11" t="str">
        <f t="shared" si="2"/>
        <v>PROPERTY_ENERGY_CERTIFICATEENERGY_CERTIFICATION_SYSTEM_CODE</v>
      </c>
      <c r="B21" s="12" t="s">
        <v>12</v>
      </c>
      <c r="C21" s="13" t="s">
        <v>30</v>
      </c>
      <c r="D21" s="14" t="s">
        <v>17</v>
      </c>
      <c r="E21" s="15" t="s">
        <v>31</v>
      </c>
      <c r="F21" s="14" t="s">
        <v>34</v>
      </c>
      <c r="G21" s="16" t="s">
        <v>16</v>
      </c>
      <c r="H21" s="17" t="s">
        <v>15</v>
      </c>
      <c r="I21" s="18">
        <v>45593</v>
      </c>
      <c r="J21" s="17">
        <f t="shared" si="3"/>
        <v>45595</v>
      </c>
      <c r="K21" s="31" t="s">
        <v>199</v>
      </c>
      <c r="L21" s="28">
        <v>4.0999999999999996</v>
      </c>
      <c r="M21" s="28">
        <f t="shared" si="4"/>
        <v>0.5</v>
      </c>
      <c r="N21" s="28">
        <f t="shared" si="5"/>
        <v>0</v>
      </c>
      <c r="O21" s="19"/>
      <c r="P21" s="19"/>
      <c r="Q21" s="19"/>
      <c r="R21" s="21"/>
      <c r="S21" s="19"/>
      <c r="T21" s="19">
        <v>0.5</v>
      </c>
      <c r="U21" s="19"/>
      <c r="V21" s="20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20"/>
      <c r="BH21" s="20"/>
      <c r="BI21" s="20"/>
      <c r="BJ21" s="20"/>
      <c r="BK21" s="20"/>
      <c r="BL21" s="20"/>
    </row>
    <row r="22" spans="1:64" ht="16.2" x14ac:dyDescent="0.4">
      <c r="A22" s="11" t="str">
        <f t="shared" si="2"/>
        <v>PROPERTY_ENERGY_CERTIFICATEEPC_ISSUING_DATE</v>
      </c>
      <c r="B22" s="12" t="s">
        <v>12</v>
      </c>
      <c r="C22" s="13" t="s">
        <v>30</v>
      </c>
      <c r="D22" s="14" t="s">
        <v>17</v>
      </c>
      <c r="E22" s="15" t="s">
        <v>31</v>
      </c>
      <c r="F22" s="14" t="s">
        <v>35</v>
      </c>
      <c r="G22" s="16" t="s">
        <v>16</v>
      </c>
      <c r="H22" s="17" t="s">
        <v>15</v>
      </c>
      <c r="I22" s="18">
        <v>45593</v>
      </c>
      <c r="J22" s="17">
        <f t="shared" si="3"/>
        <v>45602</v>
      </c>
      <c r="K22" s="31" t="s">
        <v>199</v>
      </c>
      <c r="L22" s="28">
        <v>4.0999999999999996</v>
      </c>
      <c r="M22" s="28">
        <f t="shared" si="4"/>
        <v>0.5</v>
      </c>
      <c r="N22" s="28">
        <f t="shared" si="5"/>
        <v>0</v>
      </c>
      <c r="O22" s="19"/>
      <c r="P22" s="19"/>
      <c r="Q22" s="19"/>
      <c r="R22" s="21"/>
      <c r="S22" s="19"/>
      <c r="T22" s="19"/>
      <c r="U22" s="19"/>
      <c r="V22" s="20"/>
      <c r="W22" s="19"/>
      <c r="X22" s="19"/>
      <c r="Y22" s="19">
        <v>0.5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20"/>
      <c r="BH22" s="20"/>
      <c r="BI22" s="20"/>
      <c r="BJ22" s="20"/>
      <c r="BK22" s="20"/>
      <c r="BL22" s="20"/>
    </row>
    <row r="23" spans="1:64" ht="16.2" x14ac:dyDescent="0.4">
      <c r="A23" s="11" t="str">
        <f t="shared" si="2"/>
        <v>PROPERTY_ENERGY_CERTIFICATEEPC_EXPIRATION_DATE</v>
      </c>
      <c r="B23" s="12" t="s">
        <v>12</v>
      </c>
      <c r="C23" s="13" t="s">
        <v>30</v>
      </c>
      <c r="D23" s="14" t="s">
        <v>17</v>
      </c>
      <c r="E23" s="15" t="s">
        <v>31</v>
      </c>
      <c r="F23" s="14" t="s">
        <v>36</v>
      </c>
      <c r="G23" s="16" t="s">
        <v>16</v>
      </c>
      <c r="H23" s="17" t="s">
        <v>15</v>
      </c>
      <c r="I23" s="18">
        <v>45593</v>
      </c>
      <c r="J23" s="17">
        <f t="shared" si="3"/>
        <v>45602</v>
      </c>
      <c r="K23" s="31" t="s">
        <v>199</v>
      </c>
      <c r="L23" s="28">
        <v>4.0999999999999996</v>
      </c>
      <c r="M23" s="28">
        <f t="shared" si="4"/>
        <v>0.5</v>
      </c>
      <c r="N23" s="28">
        <f t="shared" si="5"/>
        <v>0</v>
      </c>
      <c r="O23" s="19"/>
      <c r="P23" s="19"/>
      <c r="Q23" s="19"/>
      <c r="R23" s="21"/>
      <c r="S23" s="19"/>
      <c r="T23" s="19"/>
      <c r="U23" s="19"/>
      <c r="V23" s="20"/>
      <c r="W23" s="19"/>
      <c r="X23" s="19"/>
      <c r="Y23" s="19">
        <v>0.5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20"/>
      <c r="BH23" s="20"/>
      <c r="BI23" s="20"/>
      <c r="BJ23" s="20"/>
      <c r="BK23" s="20"/>
      <c r="BL23" s="20"/>
    </row>
    <row r="24" spans="1:64" ht="16.2" x14ac:dyDescent="0.4">
      <c r="A24" s="11" t="str">
        <f t="shared" si="2"/>
        <v>PROPERTY_ENERGY_CERTIFICATEEPC</v>
      </c>
      <c r="B24" s="12" t="s">
        <v>12</v>
      </c>
      <c r="C24" s="13" t="s">
        <v>30</v>
      </c>
      <c r="D24" s="14" t="s">
        <v>17</v>
      </c>
      <c r="E24" s="15" t="s">
        <v>31</v>
      </c>
      <c r="F24" s="14" t="s">
        <v>24</v>
      </c>
      <c r="G24" s="16" t="s">
        <v>16</v>
      </c>
      <c r="H24" s="17" t="s">
        <v>15</v>
      </c>
      <c r="I24" s="18">
        <v>45593</v>
      </c>
      <c r="J24" s="17">
        <f t="shared" si="3"/>
        <v>45602</v>
      </c>
      <c r="K24" s="31" t="s">
        <v>199</v>
      </c>
      <c r="L24" s="28">
        <v>4.0999999999999996</v>
      </c>
      <c r="M24" s="28">
        <f t="shared" si="4"/>
        <v>0.5</v>
      </c>
      <c r="N24" s="28">
        <f t="shared" si="5"/>
        <v>0</v>
      </c>
      <c r="O24" s="19"/>
      <c r="P24" s="19"/>
      <c r="Q24" s="19"/>
      <c r="R24" s="21"/>
      <c r="S24" s="19"/>
      <c r="T24" s="19"/>
      <c r="U24" s="19"/>
      <c r="V24" s="20"/>
      <c r="W24" s="19"/>
      <c r="X24" s="19"/>
      <c r="Y24" s="19">
        <v>0.5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20"/>
      <c r="BH24" s="20"/>
      <c r="BI24" s="20"/>
      <c r="BJ24" s="20"/>
      <c r="BK24" s="20"/>
      <c r="BL24" s="20"/>
    </row>
    <row r="25" spans="1:64" ht="16.2" x14ac:dyDescent="0.4">
      <c r="A25" s="11" t="str">
        <f t="shared" si="2"/>
        <v>PROPERTY_ENERGY_CERTIFICATEENERGY_EFFICIENCY_IND</v>
      </c>
      <c r="B25" s="12" t="s">
        <v>12</v>
      </c>
      <c r="C25" s="13" t="s">
        <v>30</v>
      </c>
      <c r="D25" s="14" t="s">
        <v>17</v>
      </c>
      <c r="E25" s="15" t="s">
        <v>31</v>
      </c>
      <c r="F25" s="14" t="s">
        <v>37</v>
      </c>
      <c r="G25" s="16" t="s">
        <v>16</v>
      </c>
      <c r="H25" s="17" t="s">
        <v>15</v>
      </c>
      <c r="I25" s="18">
        <v>45593</v>
      </c>
      <c r="J25" s="17">
        <f t="shared" si="3"/>
        <v>45602</v>
      </c>
      <c r="K25" s="31" t="s">
        <v>199</v>
      </c>
      <c r="L25" s="28">
        <v>4.0999999999999996</v>
      </c>
      <c r="M25" s="28">
        <f t="shared" si="4"/>
        <v>0.5</v>
      </c>
      <c r="N25" s="28">
        <f t="shared" si="5"/>
        <v>0</v>
      </c>
      <c r="O25" s="19"/>
      <c r="P25" s="19"/>
      <c r="Q25" s="19"/>
      <c r="R25" s="21"/>
      <c r="S25" s="19"/>
      <c r="T25" s="19"/>
      <c r="U25" s="19"/>
      <c r="V25" s="20"/>
      <c r="W25" s="19"/>
      <c r="X25" s="19"/>
      <c r="Y25" s="19">
        <v>0.5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20"/>
      <c r="BH25" s="20"/>
      <c r="BI25" s="20"/>
      <c r="BJ25" s="20"/>
      <c r="BK25" s="20"/>
      <c r="BL25" s="20"/>
    </row>
    <row r="26" spans="1:64" ht="16.2" x14ac:dyDescent="0.4">
      <c r="A26" s="11" t="str">
        <f t="shared" si="2"/>
        <v>PROPERTY_ENERGY_CERTIFICATENZEB_IND</v>
      </c>
      <c r="B26" s="12" t="s">
        <v>12</v>
      </c>
      <c r="C26" s="13" t="s">
        <v>30</v>
      </c>
      <c r="D26" s="14" t="s">
        <v>17</v>
      </c>
      <c r="E26" s="15" t="s">
        <v>31</v>
      </c>
      <c r="F26" s="14" t="s">
        <v>38</v>
      </c>
      <c r="G26" s="16" t="s">
        <v>16</v>
      </c>
      <c r="H26" s="17" t="s">
        <v>15</v>
      </c>
      <c r="I26" s="18">
        <v>45593</v>
      </c>
      <c r="J26" s="17">
        <f t="shared" si="3"/>
        <v>45603</v>
      </c>
      <c r="K26" s="31" t="s">
        <v>199</v>
      </c>
      <c r="L26" s="28">
        <v>4.0999999999999996</v>
      </c>
      <c r="M26" s="28">
        <f t="shared" si="4"/>
        <v>0.5</v>
      </c>
      <c r="N26" s="28">
        <f t="shared" si="5"/>
        <v>0</v>
      </c>
      <c r="O26" s="19"/>
      <c r="P26" s="19"/>
      <c r="Q26" s="19"/>
      <c r="R26" s="21"/>
      <c r="S26" s="19"/>
      <c r="T26" s="19"/>
      <c r="U26" s="19"/>
      <c r="V26" s="20"/>
      <c r="W26" s="19"/>
      <c r="X26" s="19"/>
      <c r="Y26" s="19"/>
      <c r="Z26" s="19">
        <v>0.5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20"/>
      <c r="BH26" s="20"/>
      <c r="BI26" s="20"/>
      <c r="BJ26" s="20"/>
      <c r="BK26" s="20"/>
      <c r="BL26" s="20"/>
    </row>
    <row r="27" spans="1:64" ht="16.2" x14ac:dyDescent="0.4">
      <c r="A27" s="11" t="str">
        <f t="shared" si="2"/>
        <v>PROPERTY_ENERGY_CERTIFICATEACTUAL_VALUE_IND</v>
      </c>
      <c r="B27" s="12" t="s">
        <v>12</v>
      </c>
      <c r="C27" s="13" t="s">
        <v>30</v>
      </c>
      <c r="D27" s="14" t="s">
        <v>17</v>
      </c>
      <c r="E27" s="15" t="s">
        <v>31</v>
      </c>
      <c r="F27" s="14" t="s">
        <v>26</v>
      </c>
      <c r="G27" s="16" t="s">
        <v>16</v>
      </c>
      <c r="H27" s="17" t="s">
        <v>15</v>
      </c>
      <c r="I27" s="18">
        <v>45593</v>
      </c>
      <c r="J27" s="17">
        <f t="shared" si="3"/>
        <v>45603</v>
      </c>
      <c r="K27" s="31" t="s">
        <v>199</v>
      </c>
      <c r="L27" s="28">
        <v>4.0999999999999996</v>
      </c>
      <c r="M27" s="28">
        <f t="shared" si="4"/>
        <v>0.5</v>
      </c>
      <c r="N27" s="28">
        <f t="shared" si="5"/>
        <v>0</v>
      </c>
      <c r="O27" s="19"/>
      <c r="P27" s="19"/>
      <c r="Q27" s="19"/>
      <c r="R27" s="21"/>
      <c r="S27" s="19"/>
      <c r="T27" s="19"/>
      <c r="U27" s="19"/>
      <c r="V27" s="20"/>
      <c r="W27" s="19"/>
      <c r="X27" s="19"/>
      <c r="Y27" s="19"/>
      <c r="Z27" s="19">
        <v>0.5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  <c r="BH27" s="20"/>
      <c r="BI27" s="20"/>
      <c r="BJ27" s="20"/>
      <c r="BK27" s="20"/>
      <c r="BL27" s="20"/>
    </row>
    <row r="28" spans="1:64" ht="16.2" x14ac:dyDescent="0.4">
      <c r="A28" s="11" t="str">
        <f t="shared" si="2"/>
        <v>PROPERTY_ENERGY_CERTIFICATESOURCE_CODE</v>
      </c>
      <c r="B28" s="12" t="s">
        <v>12</v>
      </c>
      <c r="C28" s="13" t="s">
        <v>30</v>
      </c>
      <c r="D28" s="14" t="s">
        <v>17</v>
      </c>
      <c r="E28" s="15" t="s">
        <v>31</v>
      </c>
      <c r="F28" s="14" t="s">
        <v>39</v>
      </c>
      <c r="G28" s="16" t="s">
        <v>16</v>
      </c>
      <c r="H28" s="17" t="s">
        <v>15</v>
      </c>
      <c r="I28" s="18">
        <v>45593</v>
      </c>
      <c r="J28" s="17">
        <f t="shared" si="3"/>
        <v>45603</v>
      </c>
      <c r="K28" s="31" t="s">
        <v>199</v>
      </c>
      <c r="L28" s="28">
        <v>4.0999999999999996</v>
      </c>
      <c r="M28" s="28">
        <f t="shared" si="4"/>
        <v>0.5</v>
      </c>
      <c r="N28" s="28">
        <f t="shared" si="5"/>
        <v>0</v>
      </c>
      <c r="O28" s="19"/>
      <c r="P28" s="19"/>
      <c r="Q28" s="19"/>
      <c r="R28" s="21"/>
      <c r="S28" s="19"/>
      <c r="T28" s="19"/>
      <c r="U28" s="19"/>
      <c r="V28" s="20"/>
      <c r="W28" s="19"/>
      <c r="X28" s="19"/>
      <c r="Y28" s="19"/>
      <c r="Z28" s="19">
        <v>0.5</v>
      </c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  <c r="BH28" s="20"/>
      <c r="BI28" s="20"/>
      <c r="BJ28" s="20"/>
      <c r="BK28" s="20"/>
      <c r="BL28" s="20"/>
    </row>
    <row r="29" spans="1:64" ht="16.2" x14ac:dyDescent="0.4">
      <c r="A29" s="11" t="str">
        <f t="shared" si="2"/>
        <v>PROPERTY_ENERGY_CERTIFICATECERTIFICATE_TYPE</v>
      </c>
      <c r="B29" s="12" t="s">
        <v>12</v>
      </c>
      <c r="C29" s="13" t="s">
        <v>30</v>
      </c>
      <c r="D29" s="14" t="s">
        <v>17</v>
      </c>
      <c r="E29" s="15" t="s">
        <v>31</v>
      </c>
      <c r="F29" s="14" t="s">
        <v>40</v>
      </c>
      <c r="G29" s="16" t="s">
        <v>16</v>
      </c>
      <c r="H29" s="17" t="s">
        <v>15</v>
      </c>
      <c r="I29" s="18">
        <v>45593</v>
      </c>
      <c r="J29" s="17">
        <f t="shared" si="3"/>
        <v>45603</v>
      </c>
      <c r="K29" s="31" t="s">
        <v>199</v>
      </c>
      <c r="L29" s="28">
        <v>4.0999999999999996</v>
      </c>
      <c r="M29" s="28">
        <f t="shared" si="4"/>
        <v>0.5</v>
      </c>
      <c r="N29" s="28">
        <f t="shared" si="5"/>
        <v>0</v>
      </c>
      <c r="O29" s="19"/>
      <c r="P29" s="19"/>
      <c r="Q29" s="19"/>
      <c r="R29" s="21"/>
      <c r="S29" s="19"/>
      <c r="T29" s="19"/>
      <c r="U29" s="19"/>
      <c r="V29" s="20"/>
      <c r="W29" s="19"/>
      <c r="X29" s="19"/>
      <c r="Y29" s="19"/>
      <c r="Z29" s="19">
        <v>0.5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  <c r="BH29" s="20"/>
      <c r="BI29" s="20"/>
      <c r="BJ29" s="20"/>
      <c r="BK29" s="20"/>
      <c r="BL29" s="20"/>
    </row>
    <row r="30" spans="1:64" ht="16.2" x14ac:dyDescent="0.4">
      <c r="A30" s="11" t="str">
        <f t="shared" si="2"/>
        <v>PROPERTY_ENERGY_CERTIFICATEENERGY_CONSUMPTION_VALUE_YEAR</v>
      </c>
      <c r="B30" s="12" t="s">
        <v>12</v>
      </c>
      <c r="C30" s="13" t="s">
        <v>30</v>
      </c>
      <c r="D30" s="14" t="s">
        <v>17</v>
      </c>
      <c r="E30" s="15" t="s">
        <v>31</v>
      </c>
      <c r="F30" s="14" t="s">
        <v>28</v>
      </c>
      <c r="G30" s="16" t="s">
        <v>16</v>
      </c>
      <c r="H30" s="17" t="s">
        <v>15</v>
      </c>
      <c r="I30" s="18">
        <v>45593</v>
      </c>
      <c r="J30" s="17">
        <f t="shared" si="3"/>
        <v>45604</v>
      </c>
      <c r="K30" s="31" t="s">
        <v>199</v>
      </c>
      <c r="L30" s="28">
        <v>4.0999999999999996</v>
      </c>
      <c r="M30" s="28">
        <f t="shared" si="4"/>
        <v>0.5</v>
      </c>
      <c r="N30" s="28">
        <f t="shared" si="5"/>
        <v>0</v>
      </c>
      <c r="O30" s="19"/>
      <c r="P30" s="19"/>
      <c r="Q30" s="19"/>
      <c r="R30" s="21"/>
      <c r="S30" s="19"/>
      <c r="T30" s="19"/>
      <c r="U30" s="19"/>
      <c r="V30" s="20"/>
      <c r="W30" s="19"/>
      <c r="X30" s="19"/>
      <c r="Y30" s="19"/>
      <c r="Z30" s="19"/>
      <c r="AA30" s="19">
        <v>0.5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20"/>
      <c r="BH30" s="20"/>
      <c r="BI30" s="20"/>
      <c r="BJ30" s="20"/>
      <c r="BK30" s="20"/>
      <c r="BL30" s="20"/>
    </row>
    <row r="31" spans="1:64" ht="16.2" x14ac:dyDescent="0.4">
      <c r="A31" s="11" t="str">
        <f t="shared" si="2"/>
        <v>PROPERTY_ENERGY_CERTIFICATECARBON_EMISSION_VALUE_YEAR</v>
      </c>
      <c r="B31" s="12" t="s">
        <v>12</v>
      </c>
      <c r="C31" s="13" t="s">
        <v>30</v>
      </c>
      <c r="D31" s="14" t="s">
        <v>17</v>
      </c>
      <c r="E31" s="15" t="s">
        <v>31</v>
      </c>
      <c r="F31" s="14" t="s">
        <v>29</v>
      </c>
      <c r="G31" s="16" t="s">
        <v>16</v>
      </c>
      <c r="H31" s="17" t="s">
        <v>15</v>
      </c>
      <c r="I31" s="18">
        <v>45593</v>
      </c>
      <c r="J31" s="17">
        <f t="shared" si="3"/>
        <v>45604</v>
      </c>
      <c r="K31" s="31" t="s">
        <v>199</v>
      </c>
      <c r="L31" s="28">
        <v>4.0999999999999996</v>
      </c>
      <c r="M31" s="28">
        <f t="shared" si="4"/>
        <v>0.5</v>
      </c>
      <c r="N31" s="28">
        <f t="shared" si="5"/>
        <v>0</v>
      </c>
      <c r="O31" s="19"/>
      <c r="P31" s="19"/>
      <c r="Q31" s="19"/>
      <c r="R31" s="21"/>
      <c r="S31" s="19"/>
      <c r="T31" s="19"/>
      <c r="U31" s="19"/>
      <c r="V31" s="20"/>
      <c r="W31" s="19"/>
      <c r="X31" s="19"/>
      <c r="Y31" s="19"/>
      <c r="Z31" s="19"/>
      <c r="AA31" s="19">
        <v>0.5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20"/>
      <c r="BH31" s="20"/>
      <c r="BI31" s="20"/>
      <c r="BJ31" s="20"/>
      <c r="BK31" s="20"/>
      <c r="BL31" s="20"/>
    </row>
    <row r="32" spans="1:64" ht="16.2" x14ac:dyDescent="0.4">
      <c r="A32" s="11" t="str">
        <f t="shared" si="2"/>
        <v>PROPERTY_ENERGY_CERTIFICATEREN_ENERGY_PRODUCED_VALUE</v>
      </c>
      <c r="B32" s="12" t="s">
        <v>12</v>
      </c>
      <c r="C32" s="13" t="s">
        <v>30</v>
      </c>
      <c r="D32" s="14" t="s">
        <v>17</v>
      </c>
      <c r="E32" s="15" t="s">
        <v>31</v>
      </c>
      <c r="F32" s="14" t="s">
        <v>41</v>
      </c>
      <c r="G32" s="16" t="s">
        <v>16</v>
      </c>
      <c r="H32" s="17" t="s">
        <v>15</v>
      </c>
      <c r="I32" s="18">
        <v>45593</v>
      </c>
      <c r="J32" s="17">
        <f t="shared" si="3"/>
        <v>45604</v>
      </c>
      <c r="K32" s="31" t="s">
        <v>199</v>
      </c>
      <c r="L32" s="28">
        <v>4.0999999999999996</v>
      </c>
      <c r="M32" s="28">
        <f t="shared" si="4"/>
        <v>0.5</v>
      </c>
      <c r="N32" s="28">
        <f t="shared" si="5"/>
        <v>0</v>
      </c>
      <c r="O32" s="19"/>
      <c r="P32" s="19"/>
      <c r="Q32" s="19"/>
      <c r="R32" s="21"/>
      <c r="S32" s="19"/>
      <c r="T32" s="19"/>
      <c r="U32" s="19"/>
      <c r="V32" s="20"/>
      <c r="W32" s="19"/>
      <c r="X32" s="19"/>
      <c r="Y32" s="19"/>
      <c r="Z32" s="19"/>
      <c r="AA32" s="19">
        <v>0.5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0"/>
      <c r="BH32" s="20"/>
      <c r="BI32" s="20"/>
      <c r="BJ32" s="20"/>
      <c r="BK32" s="20"/>
      <c r="BL32" s="20"/>
    </row>
    <row r="33" spans="1:64" ht="16.2" x14ac:dyDescent="0.4">
      <c r="A33" s="11" t="str">
        <f t="shared" si="2"/>
        <v>PROPERTY_ENERGY_CERTIFICATEPRIMARY_ENERGY_REQ_VALUE</v>
      </c>
      <c r="B33" s="12" t="s">
        <v>12</v>
      </c>
      <c r="C33" s="13" t="s">
        <v>30</v>
      </c>
      <c r="D33" s="14" t="s">
        <v>17</v>
      </c>
      <c r="E33" s="15" t="s">
        <v>31</v>
      </c>
      <c r="F33" s="14" t="s">
        <v>42</v>
      </c>
      <c r="G33" s="16" t="s">
        <v>16</v>
      </c>
      <c r="H33" s="17" t="s">
        <v>15</v>
      </c>
      <c r="I33" s="18">
        <v>45593</v>
      </c>
      <c r="J33" s="17">
        <f t="shared" si="3"/>
        <v>45604</v>
      </c>
      <c r="K33" s="31" t="s">
        <v>199</v>
      </c>
      <c r="L33" s="28">
        <v>4.0999999999999996</v>
      </c>
      <c r="M33" s="28">
        <f t="shared" si="4"/>
        <v>0.5</v>
      </c>
      <c r="N33" s="28">
        <f t="shared" si="5"/>
        <v>0</v>
      </c>
      <c r="O33" s="19"/>
      <c r="P33" s="19"/>
      <c r="Q33" s="19"/>
      <c r="R33" s="21"/>
      <c r="S33" s="19"/>
      <c r="T33" s="19"/>
      <c r="U33" s="19"/>
      <c r="V33" s="20"/>
      <c r="W33" s="19"/>
      <c r="X33" s="19"/>
      <c r="Y33" s="19"/>
      <c r="Z33" s="19"/>
      <c r="AA33" s="19">
        <v>0.5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20"/>
      <c r="BH33" s="20"/>
      <c r="BI33" s="20"/>
      <c r="BJ33" s="20"/>
      <c r="BK33" s="20"/>
      <c r="BL33" s="20"/>
    </row>
    <row r="34" spans="1:64" ht="16.2" x14ac:dyDescent="0.4">
      <c r="A34" s="11" t="str">
        <f t="shared" si="2"/>
        <v>PROPERTY_ENERGY_CERTIFICATENET_FLOOR_AREA</v>
      </c>
      <c r="B34" s="12" t="s">
        <v>12</v>
      </c>
      <c r="C34" s="13" t="s">
        <v>30</v>
      </c>
      <c r="D34" s="14" t="s">
        <v>17</v>
      </c>
      <c r="E34" s="15" t="s">
        <v>31</v>
      </c>
      <c r="F34" s="14" t="s">
        <v>43</v>
      </c>
      <c r="G34" s="16" t="s">
        <v>16</v>
      </c>
      <c r="H34" s="17" t="s">
        <v>15</v>
      </c>
      <c r="I34" s="18">
        <v>45593</v>
      </c>
      <c r="J34" s="17">
        <f t="shared" si="3"/>
        <v>45607</v>
      </c>
      <c r="K34" s="31" t="s">
        <v>199</v>
      </c>
      <c r="L34" s="28">
        <v>4.0999999999999996</v>
      </c>
      <c r="M34" s="28">
        <f t="shared" si="4"/>
        <v>0.5</v>
      </c>
      <c r="N34" s="28">
        <f t="shared" si="5"/>
        <v>0</v>
      </c>
      <c r="O34" s="19"/>
      <c r="P34" s="19"/>
      <c r="Q34" s="19"/>
      <c r="R34" s="21"/>
      <c r="S34" s="19"/>
      <c r="T34" s="19"/>
      <c r="U34" s="19"/>
      <c r="V34" s="20"/>
      <c r="W34" s="19"/>
      <c r="X34" s="19"/>
      <c r="Y34" s="19"/>
      <c r="Z34" s="19"/>
      <c r="AA34" s="19"/>
      <c r="AB34" s="19">
        <v>0.5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20"/>
      <c r="BH34" s="20"/>
      <c r="BI34" s="20"/>
      <c r="BJ34" s="20"/>
      <c r="BK34" s="20"/>
      <c r="BL34" s="20"/>
    </row>
    <row r="35" spans="1:64" ht="16.2" x14ac:dyDescent="0.4">
      <c r="A35" s="11" t="str">
        <f t="shared" si="2"/>
        <v>PROPERTY_ENERGY_CERTIFICATECADASTRAL_REGISTER_CODE</v>
      </c>
      <c r="B35" s="12" t="s">
        <v>12</v>
      </c>
      <c r="C35" s="13" t="s">
        <v>30</v>
      </c>
      <c r="D35" s="14" t="s">
        <v>17</v>
      </c>
      <c r="E35" s="15" t="s">
        <v>31</v>
      </c>
      <c r="F35" s="14" t="s">
        <v>44</v>
      </c>
      <c r="G35" s="16" t="s">
        <v>16</v>
      </c>
      <c r="H35" s="17" t="s">
        <v>15</v>
      </c>
      <c r="I35" s="18">
        <v>45593</v>
      </c>
      <c r="J35" s="17">
        <f t="shared" si="3"/>
        <v>45607</v>
      </c>
      <c r="K35" s="31" t="s">
        <v>199</v>
      </c>
      <c r="L35" s="28">
        <v>4.0999999999999996</v>
      </c>
      <c r="M35" s="28">
        <f t="shared" si="4"/>
        <v>0.5</v>
      </c>
      <c r="N35" s="28">
        <f t="shared" si="5"/>
        <v>0</v>
      </c>
      <c r="O35" s="19"/>
      <c r="P35" s="19"/>
      <c r="Q35" s="19"/>
      <c r="R35" s="21"/>
      <c r="S35" s="19"/>
      <c r="T35" s="19"/>
      <c r="U35" s="19"/>
      <c r="V35" s="20"/>
      <c r="W35" s="19"/>
      <c r="X35" s="19"/>
      <c r="Y35" s="19"/>
      <c r="Z35" s="19"/>
      <c r="AA35" s="19"/>
      <c r="AB35" s="19">
        <v>0.5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20"/>
      <c r="BH35" s="20"/>
      <c r="BI35" s="20"/>
      <c r="BJ35" s="20"/>
      <c r="BK35" s="20"/>
      <c r="BL35" s="20"/>
    </row>
    <row r="36" spans="1:64" ht="16.2" x14ac:dyDescent="0.4">
      <c r="A36" s="11" t="str">
        <f t="shared" si="2"/>
        <v>PROPERTY_ENERGY_CERTIFICATEDISTRICT_MUNICIP_PARISH_CODE</v>
      </c>
      <c r="B36" s="12" t="s">
        <v>12</v>
      </c>
      <c r="C36" s="13" t="s">
        <v>30</v>
      </c>
      <c r="D36" s="14" t="s">
        <v>17</v>
      </c>
      <c r="E36" s="15" t="s">
        <v>31</v>
      </c>
      <c r="F36" s="14" t="s">
        <v>45</v>
      </c>
      <c r="G36" s="16" t="s">
        <v>16</v>
      </c>
      <c r="H36" s="17" t="s">
        <v>15</v>
      </c>
      <c r="I36" s="18">
        <v>45593</v>
      </c>
      <c r="J36" s="17">
        <f t="shared" si="3"/>
        <v>45607</v>
      </c>
      <c r="K36" s="31" t="s">
        <v>199</v>
      </c>
      <c r="L36" s="28">
        <v>4.0999999999999996</v>
      </c>
      <c r="M36" s="28">
        <f t="shared" si="4"/>
        <v>0.5</v>
      </c>
      <c r="N36" s="28">
        <f t="shared" si="5"/>
        <v>0</v>
      </c>
      <c r="O36" s="19"/>
      <c r="P36" s="19"/>
      <c r="Q36" s="19"/>
      <c r="R36" s="21"/>
      <c r="S36" s="19"/>
      <c r="T36" s="19"/>
      <c r="U36" s="19"/>
      <c r="V36" s="20"/>
      <c r="W36" s="19"/>
      <c r="X36" s="19"/>
      <c r="Y36" s="19"/>
      <c r="Z36" s="19"/>
      <c r="AA36" s="19"/>
      <c r="AB36" s="19">
        <v>0.5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20"/>
      <c r="BH36" s="20"/>
      <c r="BI36" s="20"/>
      <c r="BJ36" s="20"/>
      <c r="BK36" s="20"/>
      <c r="BL36" s="20"/>
    </row>
    <row r="37" spans="1:64" ht="16.2" x14ac:dyDescent="0.4">
      <c r="A37" s="11" t="str">
        <f t="shared" si="2"/>
        <v>PROPERTY_ENERGY_CERTIFICATEPROPERTY_PURPOSE_CODE</v>
      </c>
      <c r="B37" s="12" t="s">
        <v>12</v>
      </c>
      <c r="C37" s="13" t="s">
        <v>30</v>
      </c>
      <c r="D37" s="14" t="s">
        <v>17</v>
      </c>
      <c r="E37" s="15" t="s">
        <v>31</v>
      </c>
      <c r="F37" s="14" t="s">
        <v>46</v>
      </c>
      <c r="G37" s="16" t="s">
        <v>16</v>
      </c>
      <c r="H37" s="17" t="s">
        <v>15</v>
      </c>
      <c r="I37" s="18">
        <v>45593</v>
      </c>
      <c r="J37" s="17">
        <f t="shared" si="3"/>
        <v>45607</v>
      </c>
      <c r="K37" s="31" t="s">
        <v>199</v>
      </c>
      <c r="L37" s="28">
        <v>4.0999999999999996</v>
      </c>
      <c r="M37" s="28">
        <f t="shared" si="4"/>
        <v>0.5</v>
      </c>
      <c r="N37" s="28">
        <f t="shared" si="5"/>
        <v>0</v>
      </c>
      <c r="O37" s="19"/>
      <c r="P37" s="19"/>
      <c r="Q37" s="19"/>
      <c r="R37" s="21"/>
      <c r="S37" s="19"/>
      <c r="T37" s="19"/>
      <c r="U37" s="19"/>
      <c r="V37" s="20"/>
      <c r="W37" s="19"/>
      <c r="X37" s="19"/>
      <c r="Y37" s="19"/>
      <c r="Z37" s="19"/>
      <c r="AA37" s="19"/>
      <c r="AB37" s="19">
        <v>0.5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20"/>
      <c r="BH37" s="20"/>
      <c r="BI37" s="20"/>
      <c r="BJ37" s="20"/>
      <c r="BK37" s="20"/>
      <c r="BL37" s="20"/>
    </row>
    <row r="38" spans="1:64" ht="16.2" x14ac:dyDescent="0.4">
      <c r="A38" s="11" t="str">
        <f t="shared" si="2"/>
        <v>PROPERTY_ENERGY_CERTIFICATEADDRESS_CODE</v>
      </c>
      <c r="B38" s="12" t="s">
        <v>12</v>
      </c>
      <c r="C38" s="13" t="s">
        <v>30</v>
      </c>
      <c r="D38" s="14" t="s">
        <v>17</v>
      </c>
      <c r="E38" s="15" t="s">
        <v>31</v>
      </c>
      <c r="F38" s="14" t="s">
        <v>47</v>
      </c>
      <c r="G38" s="16" t="s">
        <v>16</v>
      </c>
      <c r="H38" s="17" t="s">
        <v>15</v>
      </c>
      <c r="I38" s="18">
        <v>45593</v>
      </c>
      <c r="J38" s="17">
        <f t="shared" si="3"/>
        <v>45608</v>
      </c>
      <c r="K38" s="31" t="s">
        <v>199</v>
      </c>
      <c r="L38" s="28">
        <v>4.0999999999999996</v>
      </c>
      <c r="M38" s="28">
        <f t="shared" si="4"/>
        <v>0.5</v>
      </c>
      <c r="N38" s="28">
        <f t="shared" si="5"/>
        <v>0</v>
      </c>
      <c r="O38" s="19"/>
      <c r="P38" s="19"/>
      <c r="Q38" s="19"/>
      <c r="R38" s="21"/>
      <c r="S38" s="19"/>
      <c r="T38" s="19"/>
      <c r="U38" s="19"/>
      <c r="V38" s="20"/>
      <c r="W38" s="19"/>
      <c r="X38" s="19"/>
      <c r="Y38" s="19"/>
      <c r="Z38" s="19"/>
      <c r="AA38" s="19"/>
      <c r="AB38" s="19"/>
      <c r="AC38" s="19">
        <v>0.5</v>
      </c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20"/>
      <c r="BH38" s="20"/>
      <c r="BI38" s="20"/>
      <c r="BJ38" s="20"/>
      <c r="BK38" s="20"/>
      <c r="BL38" s="20"/>
    </row>
    <row r="39" spans="1:64" ht="16.2" x14ac:dyDescent="0.4">
      <c r="A39" s="11" t="str">
        <f t="shared" si="2"/>
        <v>PROPERTY_ENERGY_CERTIFICATEFLOOR_NUMBER</v>
      </c>
      <c r="B39" s="12" t="s">
        <v>12</v>
      </c>
      <c r="C39" s="13" t="s">
        <v>30</v>
      </c>
      <c r="D39" s="14" t="s">
        <v>17</v>
      </c>
      <c r="E39" s="15" t="s">
        <v>31</v>
      </c>
      <c r="F39" s="14" t="s">
        <v>48</v>
      </c>
      <c r="G39" s="16" t="s">
        <v>16</v>
      </c>
      <c r="H39" s="17" t="s">
        <v>15</v>
      </c>
      <c r="I39" s="18">
        <v>45593</v>
      </c>
      <c r="J39" s="17">
        <f t="shared" si="3"/>
        <v>45608</v>
      </c>
      <c r="K39" s="31" t="s">
        <v>199</v>
      </c>
      <c r="L39" s="28">
        <v>4.0999999999999996</v>
      </c>
      <c r="M39" s="28">
        <f t="shared" si="4"/>
        <v>0.5</v>
      </c>
      <c r="N39" s="28">
        <f t="shared" si="5"/>
        <v>0</v>
      </c>
      <c r="O39" s="19"/>
      <c r="P39" s="19"/>
      <c r="Q39" s="19"/>
      <c r="R39" s="21"/>
      <c r="S39" s="19"/>
      <c r="T39" s="19"/>
      <c r="U39" s="19"/>
      <c r="V39" s="20"/>
      <c r="W39" s="19"/>
      <c r="X39" s="19"/>
      <c r="Y39" s="19"/>
      <c r="Z39" s="19"/>
      <c r="AA39" s="19"/>
      <c r="AB39" s="19"/>
      <c r="AC39" s="19">
        <v>0.5</v>
      </c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20"/>
      <c r="BH39" s="20"/>
      <c r="BI39" s="20"/>
      <c r="BJ39" s="20"/>
      <c r="BK39" s="20"/>
      <c r="BL39" s="20"/>
    </row>
    <row r="40" spans="1:64" ht="16.2" x14ac:dyDescent="0.4">
      <c r="A40" s="11" t="str">
        <f t="shared" si="2"/>
        <v>PROPERTY_ENERGY_CERTIFICATELOCALITY</v>
      </c>
      <c r="B40" s="12" t="s">
        <v>12</v>
      </c>
      <c r="C40" s="13" t="s">
        <v>30</v>
      </c>
      <c r="D40" s="14" t="s">
        <v>17</v>
      </c>
      <c r="E40" s="15" t="s">
        <v>31</v>
      </c>
      <c r="F40" s="14" t="s">
        <v>49</v>
      </c>
      <c r="G40" s="16" t="s">
        <v>16</v>
      </c>
      <c r="H40" s="17" t="s">
        <v>15</v>
      </c>
      <c r="I40" s="18">
        <v>45593</v>
      </c>
      <c r="J40" s="17">
        <f t="shared" si="3"/>
        <v>45608</v>
      </c>
      <c r="K40" s="31" t="s">
        <v>199</v>
      </c>
      <c r="L40" s="28">
        <v>4.0999999999999996</v>
      </c>
      <c r="M40" s="28">
        <f t="shared" si="4"/>
        <v>0.5</v>
      </c>
      <c r="N40" s="28">
        <f t="shared" si="5"/>
        <v>0</v>
      </c>
      <c r="O40" s="19"/>
      <c r="P40" s="19"/>
      <c r="Q40" s="19"/>
      <c r="R40" s="21"/>
      <c r="S40" s="19"/>
      <c r="T40" s="19"/>
      <c r="U40" s="19"/>
      <c r="V40" s="20"/>
      <c r="W40" s="19"/>
      <c r="X40" s="19"/>
      <c r="Y40" s="19"/>
      <c r="Z40" s="19"/>
      <c r="AA40" s="19"/>
      <c r="AB40" s="19"/>
      <c r="AC40" s="19">
        <v>0.5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20"/>
      <c r="BH40" s="20"/>
      <c r="BI40" s="20"/>
      <c r="BJ40" s="20"/>
      <c r="BK40" s="20"/>
      <c r="BL40" s="20"/>
    </row>
    <row r="41" spans="1:64" ht="16.2" x14ac:dyDescent="0.4">
      <c r="A41" s="11" t="str">
        <f t="shared" si="2"/>
        <v>modesg_param_sfcs_taxon_europeiacod_regra</v>
      </c>
      <c r="B41" s="12" t="s">
        <v>12</v>
      </c>
      <c r="C41" s="13" t="s">
        <v>50</v>
      </c>
      <c r="D41" s="14" t="s">
        <v>17</v>
      </c>
      <c r="E41" s="15" t="s">
        <v>51</v>
      </c>
      <c r="F41" s="14" t="s">
        <v>52</v>
      </c>
      <c r="G41" s="16" t="s">
        <v>16</v>
      </c>
      <c r="H41" s="17" t="s">
        <v>15</v>
      </c>
      <c r="I41" s="18">
        <v>45603</v>
      </c>
      <c r="J41" s="17">
        <f t="shared" si="3"/>
        <v>45608</v>
      </c>
      <c r="K41" s="30"/>
      <c r="L41" s="28">
        <v>0.6</v>
      </c>
      <c r="M41" s="28">
        <f t="shared" si="4"/>
        <v>0.1</v>
      </c>
      <c r="N41" s="28">
        <f t="shared" si="5"/>
        <v>0</v>
      </c>
      <c r="O41" s="19"/>
      <c r="P41" s="19"/>
      <c r="Q41" s="19"/>
      <c r="R41" s="19"/>
      <c r="S41" s="19"/>
      <c r="T41" s="19"/>
      <c r="U41" s="19"/>
      <c r="V41" s="20"/>
      <c r="W41" s="19"/>
      <c r="X41" s="19"/>
      <c r="Y41" s="19"/>
      <c r="Z41" s="21"/>
      <c r="AA41" s="19"/>
      <c r="AB41" s="19"/>
      <c r="AC41" s="19">
        <v>0.1</v>
      </c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20"/>
      <c r="BH41" s="20"/>
      <c r="BI41" s="20"/>
      <c r="BJ41" s="20"/>
      <c r="BK41" s="20"/>
      <c r="BL41" s="20"/>
    </row>
    <row r="42" spans="1:64" ht="16.2" x14ac:dyDescent="0.4">
      <c r="A42" s="11" t="str">
        <f t="shared" si="2"/>
        <v>modesg_param_sfcs_taxon_europeiacomite</v>
      </c>
      <c r="B42" s="12" t="s">
        <v>12</v>
      </c>
      <c r="C42" s="13" t="s">
        <v>50</v>
      </c>
      <c r="D42" s="14" t="s">
        <v>17</v>
      </c>
      <c r="E42" s="15" t="s">
        <v>51</v>
      </c>
      <c r="F42" s="14" t="s">
        <v>53</v>
      </c>
      <c r="G42" s="16" t="s">
        <v>16</v>
      </c>
      <c r="H42" s="17" t="s">
        <v>15</v>
      </c>
      <c r="I42" s="18">
        <v>45603</v>
      </c>
      <c r="J42" s="17">
        <f t="shared" si="3"/>
        <v>45608</v>
      </c>
      <c r="K42" s="30"/>
      <c r="L42" s="28">
        <v>0.6</v>
      </c>
      <c r="M42" s="28">
        <f t="shared" si="4"/>
        <v>0.1</v>
      </c>
      <c r="N42" s="28">
        <f t="shared" si="5"/>
        <v>0</v>
      </c>
      <c r="O42" s="19"/>
      <c r="P42" s="19"/>
      <c r="Q42" s="19"/>
      <c r="R42" s="19"/>
      <c r="S42" s="19"/>
      <c r="T42" s="19"/>
      <c r="U42" s="19"/>
      <c r="V42" s="20"/>
      <c r="W42" s="19"/>
      <c r="X42" s="19"/>
      <c r="Y42" s="19"/>
      <c r="Z42" s="21"/>
      <c r="AA42" s="19"/>
      <c r="AB42" s="19"/>
      <c r="AC42" s="19">
        <v>0.1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0"/>
      <c r="BH42" s="20"/>
      <c r="BI42" s="20"/>
      <c r="BJ42" s="20"/>
      <c r="BK42" s="20"/>
      <c r="BL42" s="20"/>
    </row>
    <row r="43" spans="1:64" ht="16.2" x14ac:dyDescent="0.4">
      <c r="A43" s="11" t="str">
        <f t="shared" si="2"/>
        <v>modesg_param_sfcs_taxon_europeiadata_aprvc</v>
      </c>
      <c r="B43" s="12" t="s">
        <v>12</v>
      </c>
      <c r="C43" s="13" t="s">
        <v>50</v>
      </c>
      <c r="D43" s="14" t="s">
        <v>17</v>
      </c>
      <c r="E43" s="15" t="s">
        <v>51</v>
      </c>
      <c r="F43" s="14" t="s">
        <v>54</v>
      </c>
      <c r="G43" s="16" t="s">
        <v>16</v>
      </c>
      <c r="H43" s="17" t="s">
        <v>15</v>
      </c>
      <c r="I43" s="18">
        <v>45603</v>
      </c>
      <c r="J43" s="17">
        <f t="shared" si="3"/>
        <v>45608</v>
      </c>
      <c r="K43" s="30"/>
      <c r="L43" s="28">
        <v>0.6</v>
      </c>
      <c r="M43" s="28">
        <f t="shared" si="4"/>
        <v>0.1</v>
      </c>
      <c r="N43" s="28">
        <f t="shared" si="5"/>
        <v>0</v>
      </c>
      <c r="O43" s="19"/>
      <c r="P43" s="19"/>
      <c r="Q43" s="19"/>
      <c r="R43" s="19"/>
      <c r="S43" s="19"/>
      <c r="T43" s="19"/>
      <c r="U43" s="19"/>
      <c r="V43" s="20"/>
      <c r="W43" s="19"/>
      <c r="X43" s="19"/>
      <c r="Y43" s="19"/>
      <c r="Z43" s="21"/>
      <c r="AA43" s="19"/>
      <c r="AB43" s="19"/>
      <c r="AC43" s="19">
        <v>0.1</v>
      </c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20"/>
      <c r="BH43" s="20"/>
      <c r="BI43" s="20"/>
      <c r="BJ43" s="20"/>
      <c r="BK43" s="20"/>
      <c r="BL43" s="20"/>
    </row>
    <row r="44" spans="1:64" ht="16.2" x14ac:dyDescent="0.4">
      <c r="A44" s="11" t="str">
        <f t="shared" si="2"/>
        <v>modesg_param_sfcs_taxon_europeiadata_final</v>
      </c>
      <c r="B44" s="12" t="s">
        <v>12</v>
      </c>
      <c r="C44" s="13" t="s">
        <v>50</v>
      </c>
      <c r="D44" s="14" t="s">
        <v>17</v>
      </c>
      <c r="E44" s="15" t="s">
        <v>51</v>
      </c>
      <c r="F44" s="14" t="s">
        <v>55</v>
      </c>
      <c r="G44" s="16" t="s">
        <v>56</v>
      </c>
      <c r="H44" s="17" t="s">
        <v>15</v>
      </c>
      <c r="I44" s="18">
        <v>45603</v>
      </c>
      <c r="J44" s="17">
        <f t="shared" si="3"/>
        <v>45608</v>
      </c>
      <c r="K44" s="30"/>
      <c r="L44" s="28">
        <v>0.6</v>
      </c>
      <c r="M44" s="28">
        <f t="shared" si="4"/>
        <v>0.1</v>
      </c>
      <c r="N44" s="28">
        <f t="shared" si="5"/>
        <v>0</v>
      </c>
      <c r="O44" s="19"/>
      <c r="P44" s="19"/>
      <c r="Q44" s="19"/>
      <c r="R44" s="19"/>
      <c r="S44" s="19"/>
      <c r="T44" s="19"/>
      <c r="U44" s="19"/>
      <c r="V44" s="20"/>
      <c r="W44" s="19"/>
      <c r="X44" s="19"/>
      <c r="Y44" s="19"/>
      <c r="Z44" s="21"/>
      <c r="AA44" s="19"/>
      <c r="AB44" s="19"/>
      <c r="AC44" s="19">
        <v>0.1</v>
      </c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0"/>
      <c r="BH44" s="20"/>
      <c r="BI44" s="20"/>
      <c r="BJ44" s="20"/>
      <c r="BK44" s="20"/>
      <c r="BL44" s="20"/>
    </row>
    <row r="45" spans="1:64" ht="16.2" x14ac:dyDescent="0.4">
      <c r="A45" s="11" t="str">
        <f t="shared" si="2"/>
        <v>modesg_param_sfcs_taxon_europeiadata_inicial</v>
      </c>
      <c r="B45" s="12" t="s">
        <v>12</v>
      </c>
      <c r="C45" s="13" t="s">
        <v>50</v>
      </c>
      <c r="D45" s="14" t="s">
        <v>17</v>
      </c>
      <c r="E45" s="15" t="s">
        <v>51</v>
      </c>
      <c r="F45" s="14" t="s">
        <v>57</v>
      </c>
      <c r="G45" s="16" t="s">
        <v>56</v>
      </c>
      <c r="H45" s="17" t="s">
        <v>15</v>
      </c>
      <c r="I45" s="18">
        <v>45603</v>
      </c>
      <c r="J45" s="17">
        <f t="shared" si="3"/>
        <v>45608</v>
      </c>
      <c r="K45" s="30"/>
      <c r="L45" s="28">
        <v>0.6</v>
      </c>
      <c r="M45" s="28">
        <f t="shared" si="4"/>
        <v>0.1</v>
      </c>
      <c r="N45" s="28">
        <f t="shared" si="5"/>
        <v>0</v>
      </c>
      <c r="O45" s="19"/>
      <c r="P45" s="19"/>
      <c r="Q45" s="19"/>
      <c r="R45" s="19"/>
      <c r="S45" s="19"/>
      <c r="T45" s="19"/>
      <c r="U45" s="19"/>
      <c r="V45" s="20"/>
      <c r="W45" s="19"/>
      <c r="X45" s="19"/>
      <c r="Y45" s="19"/>
      <c r="Z45" s="21"/>
      <c r="AA45" s="19"/>
      <c r="AB45" s="19"/>
      <c r="AC45" s="19">
        <v>0.1</v>
      </c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20"/>
      <c r="BH45" s="20"/>
      <c r="BI45" s="20"/>
      <c r="BJ45" s="20"/>
      <c r="BK45" s="20"/>
      <c r="BL45" s="20"/>
    </row>
    <row r="46" spans="1:64" ht="16.2" x14ac:dyDescent="0.4">
      <c r="A46" s="11" t="str">
        <f t="shared" si="2"/>
        <v>modesg_param_sfcs_taxon_europeiaflag_project_finance</v>
      </c>
      <c r="B46" s="12" t="s">
        <v>12</v>
      </c>
      <c r="C46" s="13" t="s">
        <v>50</v>
      </c>
      <c r="D46" s="14" t="s">
        <v>17</v>
      </c>
      <c r="E46" s="15" t="s">
        <v>51</v>
      </c>
      <c r="F46" s="14" t="s">
        <v>58</v>
      </c>
      <c r="G46" s="16" t="s">
        <v>16</v>
      </c>
      <c r="H46" s="17" t="s">
        <v>15</v>
      </c>
      <c r="I46" s="18">
        <v>45603</v>
      </c>
      <c r="J46" s="17">
        <f t="shared" si="3"/>
        <v>45609</v>
      </c>
      <c r="K46" s="30"/>
      <c r="L46" s="28">
        <v>0.6</v>
      </c>
      <c r="M46" s="28">
        <f t="shared" si="4"/>
        <v>0.1</v>
      </c>
      <c r="N46" s="28">
        <f t="shared" si="5"/>
        <v>0</v>
      </c>
      <c r="O46" s="19"/>
      <c r="P46" s="19"/>
      <c r="Q46" s="19"/>
      <c r="R46" s="19"/>
      <c r="S46" s="19"/>
      <c r="T46" s="19"/>
      <c r="U46" s="19"/>
      <c r="V46" s="20"/>
      <c r="W46" s="19"/>
      <c r="X46" s="19"/>
      <c r="Y46" s="19"/>
      <c r="Z46" s="21"/>
      <c r="AA46" s="19"/>
      <c r="AB46" s="19"/>
      <c r="AC46" s="19"/>
      <c r="AD46" s="19">
        <v>0.1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20"/>
      <c r="BH46" s="20"/>
      <c r="BI46" s="20"/>
      <c r="BJ46" s="20"/>
      <c r="BK46" s="20"/>
      <c r="BL46" s="20"/>
    </row>
    <row r="47" spans="1:64" ht="16.2" x14ac:dyDescent="0.4">
      <c r="A47" s="11" t="str">
        <f t="shared" si="2"/>
        <v>modesg_param_sfcs_taxon_europeiacfinalidad</v>
      </c>
      <c r="B47" s="12" t="s">
        <v>12</v>
      </c>
      <c r="C47" s="13" t="s">
        <v>50</v>
      </c>
      <c r="D47" s="14" t="s">
        <v>17</v>
      </c>
      <c r="E47" s="15" t="s">
        <v>51</v>
      </c>
      <c r="F47" s="14" t="s">
        <v>59</v>
      </c>
      <c r="G47" s="16" t="s">
        <v>16</v>
      </c>
      <c r="H47" s="17" t="s">
        <v>15</v>
      </c>
      <c r="I47" s="18">
        <v>45603</v>
      </c>
      <c r="J47" s="17">
        <f t="shared" si="3"/>
        <v>45609</v>
      </c>
      <c r="K47" s="30"/>
      <c r="L47" s="28">
        <v>0.6</v>
      </c>
      <c r="M47" s="28">
        <f t="shared" si="4"/>
        <v>0.1</v>
      </c>
      <c r="N47" s="28">
        <f t="shared" si="5"/>
        <v>0</v>
      </c>
      <c r="O47" s="19"/>
      <c r="P47" s="19"/>
      <c r="Q47" s="19"/>
      <c r="R47" s="19"/>
      <c r="S47" s="19"/>
      <c r="T47" s="19"/>
      <c r="U47" s="19"/>
      <c r="V47" s="20"/>
      <c r="W47" s="19"/>
      <c r="X47" s="19"/>
      <c r="Y47" s="19"/>
      <c r="Z47" s="21"/>
      <c r="AA47" s="19"/>
      <c r="AB47" s="19"/>
      <c r="AC47" s="19"/>
      <c r="AD47" s="19">
        <v>0.1</v>
      </c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20"/>
      <c r="BH47" s="20"/>
      <c r="BI47" s="20"/>
      <c r="BJ47" s="20"/>
      <c r="BK47" s="20"/>
      <c r="BL47" s="20"/>
    </row>
    <row r="48" spans="1:64" ht="16.2" x14ac:dyDescent="0.4">
      <c r="A48" s="11" t="str">
        <f t="shared" si="2"/>
        <v>modesg_param_sfcs_taxon_europeiatipo_combust</v>
      </c>
      <c r="B48" s="12" t="s">
        <v>12</v>
      </c>
      <c r="C48" s="13" t="s">
        <v>50</v>
      </c>
      <c r="D48" s="14" t="s">
        <v>17</v>
      </c>
      <c r="E48" s="15" t="s">
        <v>51</v>
      </c>
      <c r="F48" s="14" t="s">
        <v>60</v>
      </c>
      <c r="G48" s="16" t="s">
        <v>16</v>
      </c>
      <c r="H48" s="17" t="s">
        <v>15</v>
      </c>
      <c r="I48" s="18">
        <v>45603</v>
      </c>
      <c r="J48" s="17">
        <f t="shared" si="3"/>
        <v>45609</v>
      </c>
      <c r="K48" s="30"/>
      <c r="L48" s="28">
        <v>0.6</v>
      </c>
      <c r="M48" s="28">
        <f t="shared" si="4"/>
        <v>0.1</v>
      </c>
      <c r="N48" s="28">
        <f t="shared" si="5"/>
        <v>0</v>
      </c>
      <c r="O48" s="19"/>
      <c r="P48" s="19"/>
      <c r="Q48" s="19"/>
      <c r="R48" s="19"/>
      <c r="S48" s="19"/>
      <c r="T48" s="19"/>
      <c r="U48" s="19"/>
      <c r="V48" s="20"/>
      <c r="W48" s="19"/>
      <c r="X48" s="19"/>
      <c r="Y48" s="19"/>
      <c r="Z48" s="21"/>
      <c r="AA48" s="19"/>
      <c r="AB48" s="19"/>
      <c r="AC48" s="19"/>
      <c r="AD48" s="19">
        <v>0.1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20"/>
      <c r="BH48" s="20"/>
      <c r="BI48" s="20"/>
      <c r="BJ48" s="20"/>
      <c r="BK48" s="20"/>
      <c r="BL48" s="20"/>
    </row>
    <row r="49" spans="1:64" ht="16.2" x14ac:dyDescent="0.4">
      <c r="A49" s="11" t="str">
        <f t="shared" si="2"/>
        <v>modesg_param_sfcs_taxon_europeiamontante_pndrc</v>
      </c>
      <c r="B49" s="12" t="s">
        <v>12</v>
      </c>
      <c r="C49" s="13" t="s">
        <v>50</v>
      </c>
      <c r="D49" s="14" t="s">
        <v>17</v>
      </c>
      <c r="E49" s="15" t="s">
        <v>51</v>
      </c>
      <c r="F49" s="14" t="s">
        <v>61</v>
      </c>
      <c r="G49" s="16" t="s">
        <v>16</v>
      </c>
      <c r="H49" s="17" t="s">
        <v>15</v>
      </c>
      <c r="I49" s="18">
        <v>45603</v>
      </c>
      <c r="J49" s="17">
        <f t="shared" si="3"/>
        <v>45609</v>
      </c>
      <c r="K49" s="30"/>
      <c r="L49" s="28">
        <v>0.6</v>
      </c>
      <c r="M49" s="28">
        <f t="shared" si="4"/>
        <v>0.1</v>
      </c>
      <c r="N49" s="28">
        <f t="shared" si="5"/>
        <v>0</v>
      </c>
      <c r="O49" s="19"/>
      <c r="P49" s="19"/>
      <c r="Q49" s="19"/>
      <c r="R49" s="19"/>
      <c r="S49" s="19"/>
      <c r="T49" s="19"/>
      <c r="U49" s="19"/>
      <c r="V49" s="20"/>
      <c r="W49" s="19"/>
      <c r="X49" s="19"/>
      <c r="Y49" s="19"/>
      <c r="Z49" s="21"/>
      <c r="AA49" s="19"/>
      <c r="AB49" s="19"/>
      <c r="AC49" s="19"/>
      <c r="AD49" s="19">
        <v>0.1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20"/>
      <c r="BH49" s="20"/>
      <c r="BI49" s="20"/>
      <c r="BJ49" s="20"/>
      <c r="BK49" s="20"/>
      <c r="BL49" s="20"/>
    </row>
    <row r="50" spans="1:64" ht="16.2" x14ac:dyDescent="0.4">
      <c r="A50" s="11" t="str">
        <f t="shared" si="2"/>
        <v>modesg_param_sfcs_taxon_europeianome_ctgr_sfcs</v>
      </c>
      <c r="B50" s="12" t="s">
        <v>12</v>
      </c>
      <c r="C50" s="13" t="s">
        <v>50</v>
      </c>
      <c r="D50" s="14" t="s">
        <v>17</v>
      </c>
      <c r="E50" s="15" t="s">
        <v>51</v>
      </c>
      <c r="F50" s="14" t="s">
        <v>62</v>
      </c>
      <c r="G50" s="16" t="s">
        <v>16</v>
      </c>
      <c r="H50" s="17" t="s">
        <v>15</v>
      </c>
      <c r="I50" s="18">
        <v>45603</v>
      </c>
      <c r="J50" s="17">
        <f t="shared" si="3"/>
        <v>45609</v>
      </c>
      <c r="K50" s="30"/>
      <c r="L50" s="28">
        <v>0.6</v>
      </c>
      <c r="M50" s="28">
        <f t="shared" si="4"/>
        <v>0.1</v>
      </c>
      <c r="N50" s="28">
        <f t="shared" si="5"/>
        <v>0</v>
      </c>
      <c r="O50" s="19"/>
      <c r="P50" s="19"/>
      <c r="Q50" s="19"/>
      <c r="R50" s="19"/>
      <c r="S50" s="19"/>
      <c r="T50" s="19"/>
      <c r="U50" s="19"/>
      <c r="V50" s="20"/>
      <c r="W50" s="19"/>
      <c r="X50" s="19"/>
      <c r="Y50" s="19"/>
      <c r="Z50" s="21"/>
      <c r="AA50" s="19"/>
      <c r="AB50" s="19"/>
      <c r="AC50" s="19"/>
      <c r="AD50" s="19">
        <v>0.1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20"/>
      <c r="BH50" s="20"/>
      <c r="BI50" s="20"/>
      <c r="BJ50" s="20"/>
      <c r="BK50" s="20"/>
      <c r="BL50" s="20"/>
    </row>
    <row r="51" spans="1:64" ht="16.2" x14ac:dyDescent="0.4">
      <c r="A51" s="11" t="str">
        <f t="shared" si="2"/>
        <v>modesg_param_sfcs_taxon_europeianome_general_specific_purpose</v>
      </c>
      <c r="B51" s="12" t="s">
        <v>12</v>
      </c>
      <c r="C51" s="13" t="s">
        <v>50</v>
      </c>
      <c r="D51" s="14" t="s">
        <v>17</v>
      </c>
      <c r="E51" s="15" t="s">
        <v>51</v>
      </c>
      <c r="F51" s="14" t="s">
        <v>63</v>
      </c>
      <c r="G51" s="16" t="s">
        <v>16</v>
      </c>
      <c r="H51" s="17" t="s">
        <v>15</v>
      </c>
      <c r="I51" s="18">
        <v>45603</v>
      </c>
      <c r="J51" s="17">
        <f t="shared" si="3"/>
        <v>45609</v>
      </c>
      <c r="K51" s="30"/>
      <c r="L51" s="28">
        <v>0.6</v>
      </c>
      <c r="M51" s="28">
        <f t="shared" si="4"/>
        <v>0.1</v>
      </c>
      <c r="N51" s="28">
        <f t="shared" si="5"/>
        <v>0</v>
      </c>
      <c r="O51" s="19"/>
      <c r="P51" s="19"/>
      <c r="Q51" s="19"/>
      <c r="R51" s="19"/>
      <c r="S51" s="19"/>
      <c r="T51" s="19"/>
      <c r="U51" s="19"/>
      <c r="V51" s="20"/>
      <c r="W51" s="19"/>
      <c r="X51" s="19"/>
      <c r="Y51" s="19"/>
      <c r="Z51" s="21"/>
      <c r="AA51" s="19"/>
      <c r="AB51" s="19"/>
      <c r="AC51" s="19"/>
      <c r="AD51" s="19">
        <v>0.1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20"/>
      <c r="BH51" s="20"/>
      <c r="BI51" s="20"/>
      <c r="BJ51" s="20"/>
      <c r="BK51" s="20"/>
      <c r="BL51" s="20"/>
    </row>
    <row r="52" spans="1:64" ht="16.2" x14ac:dyDescent="0.4">
      <c r="A52" s="11" t="str">
        <f t="shared" si="2"/>
        <v>modesg_param_sfcs_taxon_europeianome_purpose_esg</v>
      </c>
      <c r="B52" s="12" t="s">
        <v>12</v>
      </c>
      <c r="C52" s="13" t="s">
        <v>50</v>
      </c>
      <c r="D52" s="14" t="s">
        <v>17</v>
      </c>
      <c r="E52" s="15" t="s">
        <v>51</v>
      </c>
      <c r="F52" s="14" t="s">
        <v>64</v>
      </c>
      <c r="G52" s="16" t="s">
        <v>16</v>
      </c>
      <c r="H52" s="17" t="s">
        <v>15</v>
      </c>
      <c r="I52" s="18">
        <v>45603</v>
      </c>
      <c r="J52" s="17">
        <f t="shared" si="3"/>
        <v>45609</v>
      </c>
      <c r="K52" s="30"/>
      <c r="L52" s="28">
        <v>0.6</v>
      </c>
      <c r="M52" s="28">
        <f t="shared" si="4"/>
        <v>0.1</v>
      </c>
      <c r="N52" s="28">
        <f t="shared" si="5"/>
        <v>0</v>
      </c>
      <c r="O52" s="19"/>
      <c r="P52" s="19"/>
      <c r="Q52" s="19"/>
      <c r="R52" s="19"/>
      <c r="S52" s="19"/>
      <c r="T52" s="19"/>
      <c r="U52" s="19"/>
      <c r="V52" s="20"/>
      <c r="W52" s="19"/>
      <c r="X52" s="19"/>
      <c r="Y52" s="19"/>
      <c r="Z52" s="21"/>
      <c r="AA52" s="19"/>
      <c r="AB52" s="19"/>
      <c r="AC52" s="19"/>
      <c r="AD52" s="19">
        <v>0.1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20"/>
      <c r="BH52" s="20"/>
      <c r="BI52" s="20"/>
      <c r="BJ52" s="20"/>
      <c r="BK52" s="20"/>
      <c r="BL52" s="20"/>
    </row>
    <row r="53" spans="1:64" ht="16.2" x14ac:dyDescent="0.4">
      <c r="A53" s="11" t="str">
        <f t="shared" si="2"/>
        <v>modesg_param_sfcs_taxon_europeianome_specific_eligible</v>
      </c>
      <c r="B53" s="12" t="s">
        <v>12</v>
      </c>
      <c r="C53" s="13" t="s">
        <v>50</v>
      </c>
      <c r="D53" s="14" t="s">
        <v>17</v>
      </c>
      <c r="E53" s="15" t="s">
        <v>51</v>
      </c>
      <c r="F53" s="14" t="s">
        <v>65</v>
      </c>
      <c r="G53" s="16" t="s">
        <v>16</v>
      </c>
      <c r="H53" s="17" t="s">
        <v>15</v>
      </c>
      <c r="I53" s="18">
        <v>45603</v>
      </c>
      <c r="J53" s="17">
        <f t="shared" si="3"/>
        <v>45609</v>
      </c>
      <c r="K53" s="30"/>
      <c r="L53" s="28">
        <v>0.6</v>
      </c>
      <c r="M53" s="28">
        <f t="shared" si="4"/>
        <v>0.1</v>
      </c>
      <c r="N53" s="28">
        <f t="shared" si="5"/>
        <v>0</v>
      </c>
      <c r="O53" s="19"/>
      <c r="P53" s="19"/>
      <c r="Q53" s="19"/>
      <c r="R53" s="19"/>
      <c r="S53" s="19"/>
      <c r="T53" s="19"/>
      <c r="U53" s="19"/>
      <c r="V53" s="20"/>
      <c r="W53" s="19"/>
      <c r="X53" s="19"/>
      <c r="Y53" s="19"/>
      <c r="Z53" s="21"/>
      <c r="AA53" s="19"/>
      <c r="AB53" s="19"/>
      <c r="AC53" s="19"/>
      <c r="AD53" s="19">
        <v>0.1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20"/>
      <c r="BH53" s="20"/>
      <c r="BI53" s="20"/>
      <c r="BJ53" s="20"/>
      <c r="BK53" s="20"/>
      <c r="BL53" s="20"/>
    </row>
    <row r="54" spans="1:64" ht="16.2" x14ac:dyDescent="0.4">
      <c r="A54" s="11" t="str">
        <f t="shared" si="2"/>
        <v>modesg_param_sfcs_taxon_europeianome_specific_sustainable</v>
      </c>
      <c r="B54" s="12" t="s">
        <v>12</v>
      </c>
      <c r="C54" s="13" t="s">
        <v>50</v>
      </c>
      <c r="D54" s="14" t="s">
        <v>17</v>
      </c>
      <c r="E54" s="15" t="s">
        <v>51</v>
      </c>
      <c r="F54" s="14" t="s">
        <v>66</v>
      </c>
      <c r="G54" s="16" t="s">
        <v>16</v>
      </c>
      <c r="H54" s="17" t="s">
        <v>15</v>
      </c>
      <c r="I54" s="18">
        <v>45603</v>
      </c>
      <c r="J54" s="17">
        <f t="shared" si="3"/>
        <v>45609</v>
      </c>
      <c r="K54" s="30"/>
      <c r="L54" s="28">
        <v>0.6</v>
      </c>
      <c r="M54" s="28">
        <f t="shared" si="4"/>
        <v>0.1</v>
      </c>
      <c r="N54" s="28">
        <f t="shared" si="5"/>
        <v>0</v>
      </c>
      <c r="O54" s="19"/>
      <c r="P54" s="19"/>
      <c r="Q54" s="19"/>
      <c r="R54" s="19"/>
      <c r="S54" s="19"/>
      <c r="T54" s="19"/>
      <c r="U54" s="19"/>
      <c r="V54" s="20"/>
      <c r="W54" s="19"/>
      <c r="X54" s="19"/>
      <c r="Y54" s="19"/>
      <c r="Z54" s="21"/>
      <c r="AA54" s="19"/>
      <c r="AB54" s="19"/>
      <c r="AC54" s="19"/>
      <c r="AD54" s="19">
        <v>0.1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20"/>
      <c r="BH54" s="20"/>
      <c r="BI54" s="20"/>
      <c r="BJ54" s="20"/>
      <c r="BK54" s="20"/>
      <c r="BL54" s="20"/>
    </row>
    <row r="55" spans="1:64" ht="16.2" x14ac:dyDescent="0.4">
      <c r="A55" s="11" t="str">
        <f t="shared" si="2"/>
        <v>modesg_param_sfcs_taxon_europeiazcliente</v>
      </c>
      <c r="B55" s="12" t="s">
        <v>12</v>
      </c>
      <c r="C55" s="13" t="s">
        <v>50</v>
      </c>
      <c r="D55" s="14" t="s">
        <v>17</v>
      </c>
      <c r="E55" s="15" t="s">
        <v>51</v>
      </c>
      <c r="F55" s="14" t="s">
        <v>67</v>
      </c>
      <c r="G55" s="16" t="s">
        <v>16</v>
      </c>
      <c r="H55" s="17" t="s">
        <v>15</v>
      </c>
      <c r="I55" s="18">
        <v>45603</v>
      </c>
      <c r="J55" s="17">
        <f t="shared" si="3"/>
        <v>45609</v>
      </c>
      <c r="K55" s="30"/>
      <c r="L55" s="28">
        <v>0.6</v>
      </c>
      <c r="M55" s="28">
        <f t="shared" si="4"/>
        <v>0.1</v>
      </c>
      <c r="N55" s="28">
        <f t="shared" si="5"/>
        <v>0</v>
      </c>
      <c r="O55" s="19"/>
      <c r="P55" s="19"/>
      <c r="Q55" s="19"/>
      <c r="R55" s="19"/>
      <c r="S55" s="19"/>
      <c r="T55" s="19"/>
      <c r="U55" s="19"/>
      <c r="V55" s="20"/>
      <c r="W55" s="19"/>
      <c r="X55" s="19"/>
      <c r="Y55" s="19"/>
      <c r="Z55" s="21"/>
      <c r="AA55" s="19"/>
      <c r="AB55" s="19"/>
      <c r="AC55" s="19"/>
      <c r="AD55" s="19">
        <v>0.1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20"/>
      <c r="BH55" s="20"/>
      <c r="BI55" s="20"/>
      <c r="BJ55" s="20"/>
      <c r="BK55" s="20"/>
      <c r="BL55" s="20"/>
    </row>
    <row r="56" spans="1:64" ht="16.2" hidden="1" x14ac:dyDescent="0.4">
      <c r="A56" s="11" t="str">
        <f t="shared" si="2"/>
        <v>modesg_param_sfcs_taxon_europeiazdeposit</v>
      </c>
      <c r="B56" s="12" t="s">
        <v>12</v>
      </c>
      <c r="C56" s="13" t="s">
        <v>50</v>
      </c>
      <c r="D56" s="14" t="s">
        <v>17</v>
      </c>
      <c r="E56" s="15" t="s">
        <v>51</v>
      </c>
      <c r="F56" s="14" t="s">
        <v>68</v>
      </c>
      <c r="G56" s="16" t="s">
        <v>16</v>
      </c>
      <c r="H56" s="17" t="s">
        <v>15</v>
      </c>
      <c r="I56" s="18">
        <v>45603</v>
      </c>
      <c r="J56" s="17">
        <f t="shared" si="3"/>
        <v>45610</v>
      </c>
      <c r="K56" s="30"/>
      <c r="L56" s="28">
        <v>0.6</v>
      </c>
      <c r="M56" s="28">
        <f t="shared" si="4"/>
        <v>0.1</v>
      </c>
      <c r="N56" s="28">
        <f t="shared" si="5"/>
        <v>0</v>
      </c>
      <c r="O56" s="19"/>
      <c r="P56" s="19"/>
      <c r="Q56" s="19"/>
      <c r="R56" s="19"/>
      <c r="S56" s="19"/>
      <c r="T56" s="19"/>
      <c r="U56" s="19"/>
      <c r="V56" s="20"/>
      <c r="W56" s="19"/>
      <c r="X56" s="19"/>
      <c r="Y56" s="19"/>
      <c r="Z56" s="21"/>
      <c r="AA56" s="19"/>
      <c r="AB56" s="19"/>
      <c r="AC56" s="19"/>
      <c r="AD56" s="19"/>
      <c r="AE56" s="19">
        <v>0.1</v>
      </c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20"/>
      <c r="BH56" s="20"/>
      <c r="BI56" s="20"/>
      <c r="BJ56" s="20"/>
      <c r="BK56" s="20"/>
      <c r="BL56" s="20"/>
    </row>
    <row r="57" spans="1:64" ht="16.2" hidden="1" x14ac:dyDescent="0.4">
      <c r="A57" s="11" t="str">
        <f t="shared" si="2"/>
        <v>modesg_out_bens_imoveisflg_rsc_fsc_agd</v>
      </c>
      <c r="B57" s="12" t="s">
        <v>12</v>
      </c>
      <c r="C57" s="13" t="s">
        <v>69</v>
      </c>
      <c r="D57" s="14" t="s">
        <v>17</v>
      </c>
      <c r="E57" s="15" t="s">
        <v>70</v>
      </c>
      <c r="F57" s="14" t="s">
        <v>71</v>
      </c>
      <c r="G57" s="16" t="s">
        <v>16</v>
      </c>
      <c r="H57" s="17" t="s">
        <v>15</v>
      </c>
      <c r="I57" s="18">
        <v>45621</v>
      </c>
      <c r="J57" s="17">
        <f t="shared" si="3"/>
        <v>45623</v>
      </c>
      <c r="K57" s="30"/>
      <c r="L57" s="28">
        <v>16.100000000000001</v>
      </c>
      <c r="M57" s="28">
        <f t="shared" si="4"/>
        <v>2</v>
      </c>
      <c r="N57" s="28">
        <f t="shared" si="5"/>
        <v>0</v>
      </c>
      <c r="O57" s="19"/>
      <c r="P57" s="19"/>
      <c r="Q57" s="19"/>
      <c r="R57" s="19"/>
      <c r="S57" s="19"/>
      <c r="T57" s="19"/>
      <c r="U57" s="19"/>
      <c r="V57" s="20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1"/>
      <c r="AM57" s="19">
        <v>1</v>
      </c>
      <c r="AN57" s="19">
        <v>1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20"/>
      <c r="BH57" s="20"/>
      <c r="BI57" s="20"/>
      <c r="BJ57" s="20"/>
      <c r="BK57" s="20"/>
      <c r="BL57" s="20"/>
    </row>
    <row r="58" spans="1:64" ht="16.2" hidden="1" x14ac:dyDescent="0.4">
      <c r="A58" s="11" t="str">
        <f t="shared" si="2"/>
        <v>modesg_out_bens_imoveisflg_rsc_fsc_crnc</v>
      </c>
      <c r="B58" s="12" t="s">
        <v>12</v>
      </c>
      <c r="C58" s="13" t="s">
        <v>69</v>
      </c>
      <c r="D58" s="14" t="s">
        <v>17</v>
      </c>
      <c r="E58" s="15" t="s">
        <v>70</v>
      </c>
      <c r="F58" s="14" t="s">
        <v>72</v>
      </c>
      <c r="G58" s="16" t="s">
        <v>16</v>
      </c>
      <c r="H58" s="17" t="s">
        <v>15</v>
      </c>
      <c r="I58" s="18">
        <v>45621</v>
      </c>
      <c r="J58" s="17">
        <f t="shared" si="3"/>
        <v>45625</v>
      </c>
      <c r="K58" s="30"/>
      <c r="L58" s="28">
        <v>16.100000000000001</v>
      </c>
      <c r="M58" s="28">
        <f t="shared" si="4"/>
        <v>2</v>
      </c>
      <c r="N58" s="28">
        <f t="shared" si="5"/>
        <v>0</v>
      </c>
      <c r="O58" s="19"/>
      <c r="P58" s="19"/>
      <c r="Q58" s="19"/>
      <c r="R58" s="19"/>
      <c r="S58" s="19"/>
      <c r="T58" s="19"/>
      <c r="U58" s="19"/>
      <c r="V58" s="20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1"/>
      <c r="AM58" s="19"/>
      <c r="AN58" s="19"/>
      <c r="AO58" s="19">
        <v>1</v>
      </c>
      <c r="AP58" s="19">
        <v>1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20"/>
      <c r="BH58" s="20"/>
      <c r="BI58" s="20"/>
      <c r="BJ58" s="20"/>
      <c r="BK58" s="20"/>
      <c r="BL58" s="20"/>
    </row>
    <row r="59" spans="1:64" ht="16.2" hidden="1" x14ac:dyDescent="0.4">
      <c r="A59" s="11" t="str">
        <f t="shared" si="2"/>
        <v>modesg_out_bens_imoveisorigem_flg_rsc_fsc_agd</v>
      </c>
      <c r="B59" s="12" t="s">
        <v>12</v>
      </c>
      <c r="C59" s="13" t="s">
        <v>69</v>
      </c>
      <c r="D59" s="14" t="s">
        <v>17</v>
      </c>
      <c r="E59" s="15" t="s">
        <v>70</v>
      </c>
      <c r="F59" s="14" t="s">
        <v>73</v>
      </c>
      <c r="G59" s="16" t="s">
        <v>16</v>
      </c>
      <c r="H59" s="17" t="s">
        <v>15</v>
      </c>
      <c r="I59" s="18">
        <v>45621</v>
      </c>
      <c r="J59" s="17">
        <f t="shared" si="3"/>
        <v>45628</v>
      </c>
      <c r="K59" s="30"/>
      <c r="L59" s="28">
        <v>4.0999999999999996</v>
      </c>
      <c r="M59" s="28">
        <f t="shared" si="4"/>
        <v>0.5</v>
      </c>
      <c r="N59" s="28">
        <f t="shared" si="5"/>
        <v>0</v>
      </c>
      <c r="O59" s="19"/>
      <c r="P59" s="19"/>
      <c r="Q59" s="19"/>
      <c r="R59" s="19"/>
      <c r="S59" s="19"/>
      <c r="T59" s="19"/>
      <c r="U59" s="19"/>
      <c r="V59" s="20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1"/>
      <c r="AM59" s="19"/>
      <c r="AN59" s="19"/>
      <c r="AO59" s="19"/>
      <c r="AP59" s="19"/>
      <c r="AQ59" s="19">
        <v>0.5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20"/>
      <c r="BH59" s="20"/>
      <c r="BI59" s="20"/>
      <c r="BJ59" s="20"/>
      <c r="BK59" s="20"/>
      <c r="BL59" s="20"/>
    </row>
    <row r="60" spans="1:64" ht="16.2" hidden="1" x14ac:dyDescent="0.4">
      <c r="A60" s="11" t="str">
        <f t="shared" si="2"/>
        <v>modesg_out_bens_imoveisorigem_flg_rsc_fsc_crnc</v>
      </c>
      <c r="B60" s="12" t="s">
        <v>12</v>
      </c>
      <c r="C60" s="13" t="s">
        <v>69</v>
      </c>
      <c r="D60" s="14" t="s">
        <v>17</v>
      </c>
      <c r="E60" s="15" t="s">
        <v>70</v>
      </c>
      <c r="F60" s="14" t="s">
        <v>74</v>
      </c>
      <c r="G60" s="16" t="s">
        <v>16</v>
      </c>
      <c r="H60" s="17" t="s">
        <v>15</v>
      </c>
      <c r="I60" s="18">
        <v>45621</v>
      </c>
      <c r="J60" s="17">
        <f t="shared" si="3"/>
        <v>45628</v>
      </c>
      <c r="K60" s="30"/>
      <c r="L60" s="28">
        <v>4.0999999999999996</v>
      </c>
      <c r="M60" s="28">
        <f t="shared" si="4"/>
        <v>0.5</v>
      </c>
      <c r="N60" s="28">
        <f t="shared" si="5"/>
        <v>0</v>
      </c>
      <c r="O60" s="19"/>
      <c r="P60" s="19"/>
      <c r="Q60" s="19"/>
      <c r="R60" s="19"/>
      <c r="S60" s="19"/>
      <c r="T60" s="19"/>
      <c r="U60" s="19"/>
      <c r="V60" s="20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1"/>
      <c r="AM60" s="19"/>
      <c r="AN60" s="19"/>
      <c r="AO60" s="19"/>
      <c r="AP60" s="19"/>
      <c r="AQ60" s="19">
        <v>0.5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20"/>
      <c r="BH60" s="20"/>
      <c r="BI60" s="20"/>
      <c r="BJ60" s="20"/>
      <c r="BK60" s="20"/>
      <c r="BL60" s="20"/>
    </row>
    <row r="61" spans="1:64" ht="16.2" x14ac:dyDescent="0.4">
      <c r="A61" s="11" t="str">
        <f t="shared" si="2"/>
        <v>modesg_out_bens_imoveisorigem_scp1_emss</v>
      </c>
      <c r="B61" s="12" t="s">
        <v>12</v>
      </c>
      <c r="C61" s="13" t="s">
        <v>69</v>
      </c>
      <c r="D61" s="14" t="s">
        <v>17</v>
      </c>
      <c r="E61" s="15" t="s">
        <v>70</v>
      </c>
      <c r="F61" s="14" t="s">
        <v>75</v>
      </c>
      <c r="G61" s="16" t="s">
        <v>16</v>
      </c>
      <c r="H61" s="17" t="s">
        <v>15</v>
      </c>
      <c r="I61" s="18">
        <v>45600</v>
      </c>
      <c r="J61" s="17">
        <f t="shared" si="3"/>
        <v>45601</v>
      </c>
      <c r="K61" s="30" t="s">
        <v>197</v>
      </c>
      <c r="L61" s="28">
        <v>4.0999999999999996</v>
      </c>
      <c r="M61" s="28">
        <f t="shared" si="4"/>
        <v>0.5</v>
      </c>
      <c r="N61" s="28">
        <f t="shared" si="5"/>
        <v>0</v>
      </c>
      <c r="O61" s="19"/>
      <c r="P61" s="19"/>
      <c r="Q61" s="19"/>
      <c r="R61" s="19"/>
      <c r="S61" s="19"/>
      <c r="T61" s="19"/>
      <c r="U61" s="19"/>
      <c r="V61" s="20"/>
      <c r="W61" s="21"/>
      <c r="X61" s="19">
        <v>0.5</v>
      </c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20"/>
      <c r="BH61" s="20"/>
      <c r="BI61" s="20"/>
      <c r="BJ61" s="20"/>
      <c r="BK61" s="20"/>
      <c r="BL61" s="20"/>
    </row>
    <row r="62" spans="1:64" ht="16.2" x14ac:dyDescent="0.4">
      <c r="A62" s="11" t="str">
        <f t="shared" si="2"/>
        <v>modesg_out_bens_imoveisorigem_scp2_emss</v>
      </c>
      <c r="B62" s="12" t="s">
        <v>12</v>
      </c>
      <c r="C62" s="13" t="s">
        <v>69</v>
      </c>
      <c r="D62" s="14" t="s">
        <v>17</v>
      </c>
      <c r="E62" s="15" t="s">
        <v>70</v>
      </c>
      <c r="F62" s="14" t="s">
        <v>76</v>
      </c>
      <c r="G62" s="16" t="s">
        <v>16</v>
      </c>
      <c r="H62" s="17" t="s">
        <v>15</v>
      </c>
      <c r="I62" s="18">
        <v>45600</v>
      </c>
      <c r="J62" s="17">
        <f t="shared" si="3"/>
        <v>45601</v>
      </c>
      <c r="K62" s="30" t="s">
        <v>197</v>
      </c>
      <c r="L62" s="28">
        <v>4.0999999999999996</v>
      </c>
      <c r="M62" s="28">
        <f t="shared" si="4"/>
        <v>0.5</v>
      </c>
      <c r="N62" s="28">
        <f t="shared" si="5"/>
        <v>0</v>
      </c>
      <c r="O62" s="19"/>
      <c r="P62" s="19"/>
      <c r="Q62" s="19"/>
      <c r="R62" s="19"/>
      <c r="S62" s="19"/>
      <c r="T62" s="19"/>
      <c r="U62" s="19"/>
      <c r="V62" s="20"/>
      <c r="W62" s="21"/>
      <c r="X62" s="19">
        <v>0.5</v>
      </c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20"/>
      <c r="BH62" s="20"/>
      <c r="BI62" s="20"/>
      <c r="BJ62" s="20"/>
      <c r="BK62" s="20"/>
      <c r="BL62" s="20"/>
    </row>
    <row r="63" spans="1:64" ht="16.2" x14ac:dyDescent="0.4">
      <c r="A63" s="11" t="str">
        <f t="shared" si="2"/>
        <v>modesg_out_bens_imoveisorigem_scp3_emss</v>
      </c>
      <c r="B63" s="12" t="s">
        <v>12</v>
      </c>
      <c r="C63" s="13" t="s">
        <v>69</v>
      </c>
      <c r="D63" s="14" t="s">
        <v>17</v>
      </c>
      <c r="E63" s="15" t="s">
        <v>70</v>
      </c>
      <c r="F63" s="14" t="s">
        <v>77</v>
      </c>
      <c r="G63" s="16" t="s">
        <v>16</v>
      </c>
      <c r="H63" s="17" t="s">
        <v>15</v>
      </c>
      <c r="I63" s="18">
        <v>45600</v>
      </c>
      <c r="J63" s="17">
        <f t="shared" si="3"/>
        <v>45602</v>
      </c>
      <c r="K63" s="30" t="s">
        <v>197</v>
      </c>
      <c r="L63" s="28">
        <v>4.0999999999999996</v>
      </c>
      <c r="M63" s="28">
        <f t="shared" si="4"/>
        <v>0.5</v>
      </c>
      <c r="N63" s="28">
        <f t="shared" si="5"/>
        <v>0</v>
      </c>
      <c r="O63" s="19"/>
      <c r="P63" s="19"/>
      <c r="Q63" s="19"/>
      <c r="R63" s="19"/>
      <c r="S63" s="19"/>
      <c r="T63" s="19"/>
      <c r="U63" s="19"/>
      <c r="V63" s="20"/>
      <c r="W63" s="21"/>
      <c r="X63" s="19"/>
      <c r="Y63" s="19">
        <v>0.5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20"/>
      <c r="BH63" s="20"/>
      <c r="BI63" s="20"/>
      <c r="BJ63" s="20"/>
      <c r="BK63" s="20"/>
      <c r="BL63" s="20"/>
    </row>
    <row r="64" spans="1:64" ht="16.2" x14ac:dyDescent="0.4">
      <c r="A64" s="11" t="str">
        <f t="shared" si="2"/>
        <v>modesg_out_bens_imoveisscp1_emss</v>
      </c>
      <c r="B64" s="12" t="s">
        <v>12</v>
      </c>
      <c r="C64" s="13" t="s">
        <v>69</v>
      </c>
      <c r="D64" s="14" t="s">
        <v>17</v>
      </c>
      <c r="E64" s="15" t="s">
        <v>70</v>
      </c>
      <c r="F64" s="14" t="s">
        <v>78</v>
      </c>
      <c r="G64" s="16" t="s">
        <v>16</v>
      </c>
      <c r="H64" s="17" t="s">
        <v>15</v>
      </c>
      <c r="I64" s="18">
        <v>45600</v>
      </c>
      <c r="J64" s="17">
        <f t="shared" si="3"/>
        <v>45603</v>
      </c>
      <c r="K64" s="30" t="s">
        <v>197</v>
      </c>
      <c r="L64" s="28">
        <v>8.1</v>
      </c>
      <c r="M64" s="28">
        <f t="shared" si="4"/>
        <v>1</v>
      </c>
      <c r="N64" s="28">
        <f t="shared" si="5"/>
        <v>0</v>
      </c>
      <c r="O64" s="19"/>
      <c r="P64" s="19"/>
      <c r="Q64" s="19"/>
      <c r="R64" s="19"/>
      <c r="S64" s="19"/>
      <c r="T64" s="19"/>
      <c r="U64" s="19"/>
      <c r="V64" s="20"/>
      <c r="W64" s="21"/>
      <c r="X64" s="19"/>
      <c r="Y64" s="19">
        <v>0.5</v>
      </c>
      <c r="Z64" s="19">
        <v>0.5</v>
      </c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20"/>
      <c r="BH64" s="20"/>
      <c r="BI64" s="20"/>
      <c r="BJ64" s="20"/>
      <c r="BK64" s="20"/>
      <c r="BL64" s="20"/>
    </row>
    <row r="65" spans="1:64" ht="16.2" x14ac:dyDescent="0.4">
      <c r="A65" s="11" t="str">
        <f t="shared" si="2"/>
        <v>modesg_out_bens_imoveisscp2_emss</v>
      </c>
      <c r="B65" s="12" t="s">
        <v>12</v>
      </c>
      <c r="C65" s="13" t="s">
        <v>69</v>
      </c>
      <c r="D65" s="14" t="s">
        <v>17</v>
      </c>
      <c r="E65" s="15" t="s">
        <v>70</v>
      </c>
      <c r="F65" s="14" t="s">
        <v>79</v>
      </c>
      <c r="G65" s="16" t="s">
        <v>16</v>
      </c>
      <c r="H65" s="17" t="s">
        <v>15</v>
      </c>
      <c r="I65" s="18">
        <v>45600</v>
      </c>
      <c r="J65" s="17">
        <f t="shared" si="3"/>
        <v>45604</v>
      </c>
      <c r="K65" s="30" t="s">
        <v>197</v>
      </c>
      <c r="L65" s="28">
        <v>8.1</v>
      </c>
      <c r="M65" s="28">
        <f t="shared" si="4"/>
        <v>1</v>
      </c>
      <c r="N65" s="28">
        <f t="shared" si="5"/>
        <v>0</v>
      </c>
      <c r="O65" s="19"/>
      <c r="P65" s="19"/>
      <c r="Q65" s="19"/>
      <c r="R65" s="19"/>
      <c r="S65" s="19"/>
      <c r="T65" s="19"/>
      <c r="U65" s="19"/>
      <c r="V65" s="20"/>
      <c r="W65" s="21"/>
      <c r="X65" s="19"/>
      <c r="Y65" s="19"/>
      <c r="Z65" s="19">
        <v>0.5</v>
      </c>
      <c r="AA65" s="19">
        <v>0.5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0"/>
      <c r="BH65" s="20"/>
      <c r="BI65" s="20"/>
      <c r="BJ65" s="20"/>
      <c r="BK65" s="20"/>
      <c r="BL65" s="20"/>
    </row>
    <row r="66" spans="1:64" ht="16.2" x14ac:dyDescent="0.4">
      <c r="A66" s="11" t="str">
        <f t="shared" si="2"/>
        <v>modesg_out_bens_imoveisunidade_funcional_scp1_emss</v>
      </c>
      <c r="B66" s="12" t="s">
        <v>12</v>
      </c>
      <c r="C66" s="13" t="s">
        <v>69</v>
      </c>
      <c r="D66" s="14" t="s">
        <v>17</v>
      </c>
      <c r="E66" s="15" t="s">
        <v>70</v>
      </c>
      <c r="F66" s="14" t="s">
        <v>80</v>
      </c>
      <c r="G66" s="16" t="s">
        <v>16</v>
      </c>
      <c r="H66" s="17" t="s">
        <v>15</v>
      </c>
      <c r="I66" s="18">
        <v>45600</v>
      </c>
      <c r="J66" s="17">
        <f t="shared" si="3"/>
        <v>45604</v>
      </c>
      <c r="K66" s="30" t="s">
        <v>197</v>
      </c>
      <c r="L66" s="28">
        <v>4.0999999999999996</v>
      </c>
      <c r="M66" s="28">
        <f t="shared" si="4"/>
        <v>0.5</v>
      </c>
      <c r="N66" s="28">
        <f t="shared" si="5"/>
        <v>0</v>
      </c>
      <c r="O66" s="19"/>
      <c r="P66" s="19"/>
      <c r="Q66" s="19"/>
      <c r="R66" s="19"/>
      <c r="S66" s="19"/>
      <c r="T66" s="19"/>
      <c r="U66" s="19"/>
      <c r="V66" s="20"/>
      <c r="W66" s="21"/>
      <c r="X66" s="19"/>
      <c r="Y66" s="19"/>
      <c r="Z66" s="19"/>
      <c r="AA66" s="19">
        <v>0.5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20"/>
      <c r="BH66" s="20"/>
      <c r="BI66" s="20"/>
      <c r="BJ66" s="20"/>
      <c r="BK66" s="20"/>
      <c r="BL66" s="20"/>
    </row>
    <row r="67" spans="1:64" ht="16.2" x14ac:dyDescent="0.4">
      <c r="A67" s="11" t="str">
        <f t="shared" si="2"/>
        <v>modesg_out_bens_imoveisunidade_funcional_scp2_emss</v>
      </c>
      <c r="B67" s="12" t="s">
        <v>12</v>
      </c>
      <c r="C67" s="13" t="s">
        <v>69</v>
      </c>
      <c r="D67" s="14" t="s">
        <v>17</v>
      </c>
      <c r="E67" s="15" t="s">
        <v>70</v>
      </c>
      <c r="F67" s="14" t="s">
        <v>81</v>
      </c>
      <c r="G67" s="16" t="s">
        <v>16</v>
      </c>
      <c r="H67" s="17" t="s">
        <v>15</v>
      </c>
      <c r="I67" s="18">
        <v>45600</v>
      </c>
      <c r="J67" s="17">
        <f t="shared" si="3"/>
        <v>45607</v>
      </c>
      <c r="K67" s="30" t="s">
        <v>197</v>
      </c>
      <c r="L67" s="28">
        <v>4.0999999999999996</v>
      </c>
      <c r="M67" s="28">
        <f t="shared" si="4"/>
        <v>0.5</v>
      </c>
      <c r="N67" s="28">
        <f t="shared" si="5"/>
        <v>0</v>
      </c>
      <c r="O67" s="19"/>
      <c r="P67" s="19"/>
      <c r="Q67" s="19"/>
      <c r="R67" s="19"/>
      <c r="S67" s="19"/>
      <c r="T67" s="19"/>
      <c r="U67" s="19"/>
      <c r="V67" s="20"/>
      <c r="W67" s="21"/>
      <c r="X67" s="19"/>
      <c r="Y67" s="19"/>
      <c r="Z67" s="19"/>
      <c r="AA67" s="19"/>
      <c r="AB67" s="19">
        <v>0.5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20"/>
      <c r="BH67" s="20"/>
      <c r="BI67" s="20"/>
      <c r="BJ67" s="20"/>
      <c r="BK67" s="20"/>
      <c r="BL67" s="20"/>
    </row>
    <row r="68" spans="1:64" ht="16.2" x14ac:dyDescent="0.4">
      <c r="A68" s="11" t="str">
        <f t="shared" si="2"/>
        <v>modesg_out_bens_imoveisunidade_funcional_scp3_emss</v>
      </c>
      <c r="B68" s="12" t="s">
        <v>12</v>
      </c>
      <c r="C68" s="13" t="s">
        <v>69</v>
      </c>
      <c r="D68" s="14" t="s">
        <v>17</v>
      </c>
      <c r="E68" s="15" t="s">
        <v>70</v>
      </c>
      <c r="F68" s="14" t="s">
        <v>82</v>
      </c>
      <c r="G68" s="16" t="s">
        <v>16</v>
      </c>
      <c r="H68" s="17" t="s">
        <v>15</v>
      </c>
      <c r="I68" s="18">
        <v>45600</v>
      </c>
      <c r="J68" s="17">
        <f t="shared" si="3"/>
        <v>45607</v>
      </c>
      <c r="K68" s="30" t="s">
        <v>197</v>
      </c>
      <c r="L68" s="28">
        <v>4.0999999999999996</v>
      </c>
      <c r="M68" s="28">
        <f t="shared" si="4"/>
        <v>0.5</v>
      </c>
      <c r="N68" s="28">
        <f t="shared" si="5"/>
        <v>0</v>
      </c>
      <c r="O68" s="19"/>
      <c r="P68" s="19"/>
      <c r="Q68" s="19"/>
      <c r="R68" s="19"/>
      <c r="S68" s="19"/>
      <c r="T68" s="19"/>
      <c r="U68" s="19"/>
      <c r="V68" s="20"/>
      <c r="W68" s="21"/>
      <c r="X68" s="19"/>
      <c r="Y68" s="19"/>
      <c r="Z68" s="19"/>
      <c r="AA68" s="19"/>
      <c r="AB68" s="19">
        <v>0.5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20"/>
      <c r="BH68" s="20"/>
      <c r="BI68" s="20"/>
      <c r="BJ68" s="20"/>
      <c r="BK68" s="20"/>
      <c r="BL68" s="20"/>
    </row>
    <row r="69" spans="1:64" ht="16.2" hidden="1" x14ac:dyDescent="0.4">
      <c r="A69" s="11" t="str">
        <f t="shared" si="2"/>
        <v>modesg_out_empr_info_nfincca_capex_enblng_algnd</v>
      </c>
      <c r="B69" s="12" t="s">
        <v>12</v>
      </c>
      <c r="C69" s="13" t="s">
        <v>69</v>
      </c>
      <c r="D69" s="14" t="s">
        <v>17</v>
      </c>
      <c r="E69" s="15" t="s">
        <v>83</v>
      </c>
      <c r="F69" s="14" t="s">
        <v>84</v>
      </c>
      <c r="G69" s="16" t="s">
        <v>16</v>
      </c>
      <c r="H69" s="17" t="s">
        <v>15</v>
      </c>
      <c r="I69" s="18">
        <v>45614</v>
      </c>
      <c r="J69" s="17">
        <f t="shared" si="3"/>
        <v>45616</v>
      </c>
      <c r="K69" s="30"/>
      <c r="L69" s="28">
        <v>16.100000000000001</v>
      </c>
      <c r="M69" s="28">
        <f t="shared" si="4"/>
        <v>2</v>
      </c>
      <c r="N69" s="28">
        <f t="shared" si="5"/>
        <v>0</v>
      </c>
      <c r="O69" s="19"/>
      <c r="P69" s="19"/>
      <c r="Q69" s="19"/>
      <c r="R69" s="19"/>
      <c r="S69" s="19"/>
      <c r="T69" s="19"/>
      <c r="U69" s="19"/>
      <c r="V69" s="20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21"/>
      <c r="AH69" s="19">
        <v>1</v>
      </c>
      <c r="AI69" s="19">
        <v>1</v>
      </c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20"/>
      <c r="BH69" s="20"/>
      <c r="BI69" s="20"/>
      <c r="BJ69" s="20"/>
      <c r="BK69" s="20"/>
      <c r="BL69" s="20"/>
    </row>
    <row r="70" spans="1:64" ht="16.2" hidden="1" x14ac:dyDescent="0.4">
      <c r="A70" s="11" t="str">
        <f t="shared" ref="A70:A131" si="6">E70&amp;F70</f>
        <v>modesg_out_empr_info_nfincca_capex_own_prfrmnce_algnd</v>
      </c>
      <c r="B70" s="12" t="s">
        <v>12</v>
      </c>
      <c r="C70" s="13" t="s">
        <v>69</v>
      </c>
      <c r="D70" s="14" t="s">
        <v>17</v>
      </c>
      <c r="E70" s="15" t="s">
        <v>83</v>
      </c>
      <c r="F70" s="14" t="s">
        <v>85</v>
      </c>
      <c r="G70" s="16" t="s">
        <v>16</v>
      </c>
      <c r="H70" s="17" t="s">
        <v>15</v>
      </c>
      <c r="I70" s="18">
        <v>45614</v>
      </c>
      <c r="J70" s="17">
        <f t="shared" ref="J70:J131" si="7">IF(COUNTA(O70:BL70)=0,"",_xlfn.MAXIFS($O$6:$BL$6,O70:BL70,"&gt;0"))</f>
        <v>45618</v>
      </c>
      <c r="K70" s="30"/>
      <c r="L70" s="28">
        <v>16.100000000000001</v>
      </c>
      <c r="M70" s="28">
        <f t="shared" ref="M70:M131" si="8">ROUND(L70/8,1)</f>
        <v>2</v>
      </c>
      <c r="N70" s="28">
        <f t="shared" si="5"/>
        <v>0</v>
      </c>
      <c r="O70" s="19"/>
      <c r="P70" s="19"/>
      <c r="Q70" s="19"/>
      <c r="R70" s="19"/>
      <c r="S70" s="19"/>
      <c r="T70" s="19"/>
      <c r="U70" s="19"/>
      <c r="V70" s="20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21"/>
      <c r="AH70" s="19"/>
      <c r="AI70" s="19"/>
      <c r="AJ70" s="19">
        <v>1</v>
      </c>
      <c r="AK70" s="19">
        <v>1</v>
      </c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20"/>
      <c r="BH70" s="20"/>
      <c r="BI70" s="20"/>
      <c r="BJ70" s="20"/>
      <c r="BK70" s="20"/>
      <c r="BL70" s="20"/>
    </row>
    <row r="71" spans="1:64" ht="16.2" hidden="1" x14ac:dyDescent="0.4">
      <c r="A71" s="11" t="str">
        <f t="shared" si="6"/>
        <v>modesg_out_empr_info_nfincca_capex_ttl_elgbl</v>
      </c>
      <c r="B71" s="12" t="s">
        <v>12</v>
      </c>
      <c r="C71" s="13" t="s">
        <v>69</v>
      </c>
      <c r="D71" s="14" t="s">
        <v>17</v>
      </c>
      <c r="E71" s="15" t="s">
        <v>83</v>
      </c>
      <c r="F71" s="14" t="s">
        <v>86</v>
      </c>
      <c r="G71" s="16" t="s">
        <v>16</v>
      </c>
      <c r="H71" s="17" t="s">
        <v>15</v>
      </c>
      <c r="I71" s="18">
        <v>45614</v>
      </c>
      <c r="J71" s="17">
        <f t="shared" si="7"/>
        <v>45622</v>
      </c>
      <c r="K71" s="30"/>
      <c r="L71" s="28">
        <v>16.100000000000001</v>
      </c>
      <c r="M71" s="28">
        <f t="shared" si="8"/>
        <v>2</v>
      </c>
      <c r="N71" s="28">
        <f t="shared" si="5"/>
        <v>0</v>
      </c>
      <c r="O71" s="19"/>
      <c r="P71" s="19"/>
      <c r="Q71" s="19"/>
      <c r="R71" s="19"/>
      <c r="S71" s="19"/>
      <c r="T71" s="19"/>
      <c r="U71" s="19"/>
      <c r="V71" s="20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21"/>
      <c r="AH71" s="19"/>
      <c r="AI71" s="19"/>
      <c r="AJ71" s="19"/>
      <c r="AK71" s="19"/>
      <c r="AL71" s="19">
        <v>1</v>
      </c>
      <c r="AM71" s="19">
        <v>1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20"/>
      <c r="BH71" s="20"/>
      <c r="BI71" s="20"/>
      <c r="BJ71" s="20"/>
      <c r="BK71" s="20"/>
      <c r="BL71" s="20"/>
    </row>
    <row r="72" spans="1:64" ht="16.2" hidden="1" x14ac:dyDescent="0.4">
      <c r="A72" s="11" t="str">
        <f t="shared" si="6"/>
        <v>modesg_out_empr_info_nfincca_trnvr_enblng_alignd</v>
      </c>
      <c r="B72" s="12" t="s">
        <v>12</v>
      </c>
      <c r="C72" s="13" t="s">
        <v>69</v>
      </c>
      <c r="D72" s="14" t="s">
        <v>17</v>
      </c>
      <c r="E72" s="15" t="s">
        <v>83</v>
      </c>
      <c r="F72" s="14" t="s">
        <v>87</v>
      </c>
      <c r="G72" s="16" t="s">
        <v>16</v>
      </c>
      <c r="H72" s="17" t="s">
        <v>15</v>
      </c>
      <c r="I72" s="18">
        <v>45614</v>
      </c>
      <c r="J72" s="17">
        <f t="shared" si="7"/>
        <v>45623</v>
      </c>
      <c r="K72" s="30"/>
      <c r="L72" s="32">
        <v>4</v>
      </c>
      <c r="M72" s="28">
        <f t="shared" si="8"/>
        <v>0.5</v>
      </c>
      <c r="N72" s="28">
        <f t="shared" ref="N72:N135" si="9">SUM(O72:BL72)-M72</f>
        <v>0</v>
      </c>
      <c r="O72" s="19"/>
      <c r="P72" s="19"/>
      <c r="Q72" s="19"/>
      <c r="R72" s="19"/>
      <c r="S72" s="19"/>
      <c r="T72" s="19"/>
      <c r="U72" s="19"/>
      <c r="V72" s="20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21"/>
      <c r="AH72" s="19"/>
      <c r="AI72" s="19"/>
      <c r="AJ72" s="19"/>
      <c r="AK72" s="19"/>
      <c r="AL72" s="19"/>
      <c r="AM72" s="19"/>
      <c r="AN72" s="19">
        <v>0.5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20"/>
      <c r="BH72" s="20"/>
      <c r="BI72" s="20"/>
      <c r="BJ72" s="20"/>
      <c r="BK72" s="20"/>
      <c r="BL72" s="20"/>
    </row>
    <row r="73" spans="1:64" ht="16.2" hidden="1" x14ac:dyDescent="0.4">
      <c r="A73" s="11" t="str">
        <f t="shared" si="6"/>
        <v>modesg_out_empr_info_nfincca_trnvr_ttl_elgbl</v>
      </c>
      <c r="B73" s="12" t="s">
        <v>12</v>
      </c>
      <c r="C73" s="13" t="s">
        <v>69</v>
      </c>
      <c r="D73" s="14" t="s">
        <v>17</v>
      </c>
      <c r="E73" s="15" t="s">
        <v>83</v>
      </c>
      <c r="F73" s="14" t="s">
        <v>88</v>
      </c>
      <c r="G73" s="16" t="s">
        <v>16</v>
      </c>
      <c r="H73" s="17" t="s">
        <v>15</v>
      </c>
      <c r="I73" s="18">
        <v>45614</v>
      </c>
      <c r="J73" s="17">
        <f t="shared" si="7"/>
        <v>45623</v>
      </c>
      <c r="K73" s="30"/>
      <c r="L73" s="32">
        <v>4</v>
      </c>
      <c r="M73" s="28">
        <f t="shared" si="8"/>
        <v>0.5</v>
      </c>
      <c r="N73" s="28">
        <f t="shared" si="9"/>
        <v>0</v>
      </c>
      <c r="O73" s="19"/>
      <c r="P73" s="19"/>
      <c r="Q73" s="19"/>
      <c r="R73" s="19"/>
      <c r="S73" s="19"/>
      <c r="T73" s="19"/>
      <c r="U73" s="19"/>
      <c r="V73" s="20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21"/>
      <c r="AH73" s="19"/>
      <c r="AI73" s="19"/>
      <c r="AJ73" s="19"/>
      <c r="AK73" s="19"/>
      <c r="AL73" s="19"/>
      <c r="AM73" s="19"/>
      <c r="AN73" s="19">
        <v>0.5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20"/>
      <c r="BH73" s="20"/>
      <c r="BI73" s="20"/>
      <c r="BJ73" s="20"/>
      <c r="BK73" s="20"/>
      <c r="BL73" s="20"/>
    </row>
    <row r="74" spans="1:64" ht="16.2" hidden="1" x14ac:dyDescent="0.4">
      <c r="A74" s="11" t="str">
        <f t="shared" si="6"/>
        <v>modesg_out_empr_info_nfincca_turnover_own_prfrmnce_algnd</v>
      </c>
      <c r="B74" s="12" t="s">
        <v>12</v>
      </c>
      <c r="C74" s="13" t="s">
        <v>69</v>
      </c>
      <c r="D74" s="14" t="s">
        <v>17</v>
      </c>
      <c r="E74" s="15" t="s">
        <v>83</v>
      </c>
      <c r="F74" s="14" t="s">
        <v>89</v>
      </c>
      <c r="G74" s="16" t="s">
        <v>16</v>
      </c>
      <c r="H74" s="17" t="s">
        <v>15</v>
      </c>
      <c r="I74" s="18">
        <v>45614</v>
      </c>
      <c r="J74" s="17">
        <f t="shared" si="7"/>
        <v>45624</v>
      </c>
      <c r="K74" s="30"/>
      <c r="L74" s="32">
        <v>4</v>
      </c>
      <c r="M74" s="28">
        <f t="shared" si="8"/>
        <v>0.5</v>
      </c>
      <c r="N74" s="28">
        <f t="shared" si="9"/>
        <v>0</v>
      </c>
      <c r="O74" s="19"/>
      <c r="P74" s="19"/>
      <c r="Q74" s="19"/>
      <c r="R74" s="19"/>
      <c r="S74" s="19"/>
      <c r="T74" s="19"/>
      <c r="U74" s="19"/>
      <c r="V74" s="20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21"/>
      <c r="AH74" s="19"/>
      <c r="AI74" s="19"/>
      <c r="AJ74" s="19"/>
      <c r="AK74" s="19"/>
      <c r="AL74" s="19"/>
      <c r="AM74" s="19"/>
      <c r="AN74" s="19"/>
      <c r="AO74" s="19">
        <v>0.5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20"/>
      <c r="BH74" s="20"/>
      <c r="BI74" s="20"/>
      <c r="BJ74" s="20"/>
      <c r="BK74" s="20"/>
      <c r="BL74" s="20"/>
    </row>
    <row r="75" spans="1:64" ht="16.2" hidden="1" x14ac:dyDescent="0.4">
      <c r="A75" s="11" t="str">
        <f t="shared" si="6"/>
        <v>modesg_out_empr_info_nfinccm_capex_enblng_algnd</v>
      </c>
      <c r="B75" s="12" t="s">
        <v>12</v>
      </c>
      <c r="C75" s="13" t="s">
        <v>69</v>
      </c>
      <c r="D75" s="14" t="s">
        <v>17</v>
      </c>
      <c r="E75" s="15" t="s">
        <v>83</v>
      </c>
      <c r="F75" s="14" t="s">
        <v>90</v>
      </c>
      <c r="G75" s="16" t="s">
        <v>16</v>
      </c>
      <c r="H75" s="17" t="s">
        <v>15</v>
      </c>
      <c r="I75" s="18">
        <v>45614</v>
      </c>
      <c r="J75" s="17">
        <f t="shared" si="7"/>
        <v>45624</v>
      </c>
      <c r="K75" s="30"/>
      <c r="L75" s="32">
        <v>4</v>
      </c>
      <c r="M75" s="28">
        <f t="shared" si="8"/>
        <v>0.5</v>
      </c>
      <c r="N75" s="28">
        <f t="shared" si="9"/>
        <v>0</v>
      </c>
      <c r="O75" s="19"/>
      <c r="P75" s="19"/>
      <c r="Q75" s="19"/>
      <c r="R75" s="19"/>
      <c r="S75" s="19"/>
      <c r="T75" s="19"/>
      <c r="U75" s="19"/>
      <c r="V75" s="20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21"/>
      <c r="AH75" s="19"/>
      <c r="AI75" s="19"/>
      <c r="AJ75" s="19"/>
      <c r="AK75" s="19"/>
      <c r="AL75" s="19"/>
      <c r="AM75" s="19"/>
      <c r="AN75" s="19"/>
      <c r="AO75" s="19">
        <v>0.5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0"/>
      <c r="BH75" s="20"/>
      <c r="BI75" s="20"/>
      <c r="BJ75" s="20"/>
      <c r="BK75" s="20"/>
      <c r="BL75" s="20"/>
    </row>
    <row r="76" spans="1:64" ht="16.2" hidden="1" x14ac:dyDescent="0.4">
      <c r="A76" s="11" t="str">
        <f t="shared" si="6"/>
        <v>modesg_out_empr_info_nfinccm_capex_own_prfrmnce_algnd</v>
      </c>
      <c r="B76" s="12" t="s">
        <v>12</v>
      </c>
      <c r="C76" s="13" t="s">
        <v>69</v>
      </c>
      <c r="D76" s="14" t="s">
        <v>17</v>
      </c>
      <c r="E76" s="15" t="s">
        <v>83</v>
      </c>
      <c r="F76" s="14" t="s">
        <v>91</v>
      </c>
      <c r="G76" s="16" t="s">
        <v>16</v>
      </c>
      <c r="H76" s="17" t="s">
        <v>15</v>
      </c>
      <c r="I76" s="18">
        <v>45614</v>
      </c>
      <c r="J76" s="17">
        <f t="shared" si="7"/>
        <v>45625</v>
      </c>
      <c r="K76" s="30"/>
      <c r="L76" s="32">
        <v>4</v>
      </c>
      <c r="M76" s="28">
        <f t="shared" si="8"/>
        <v>0.5</v>
      </c>
      <c r="N76" s="28">
        <f t="shared" si="9"/>
        <v>0</v>
      </c>
      <c r="O76" s="19"/>
      <c r="P76" s="19"/>
      <c r="Q76" s="19"/>
      <c r="R76" s="19"/>
      <c r="S76" s="19"/>
      <c r="T76" s="19"/>
      <c r="U76" s="19"/>
      <c r="V76" s="20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21"/>
      <c r="AH76" s="19"/>
      <c r="AI76" s="19"/>
      <c r="AJ76" s="19"/>
      <c r="AK76" s="19"/>
      <c r="AL76" s="19"/>
      <c r="AM76" s="19"/>
      <c r="AN76" s="19"/>
      <c r="AO76" s="19"/>
      <c r="AP76" s="19">
        <v>0.5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20"/>
      <c r="BH76" s="20"/>
      <c r="BI76" s="20"/>
      <c r="BJ76" s="20"/>
      <c r="BK76" s="20"/>
      <c r="BL76" s="20"/>
    </row>
    <row r="77" spans="1:64" ht="16.2" hidden="1" x14ac:dyDescent="0.4">
      <c r="A77" s="11" t="str">
        <f t="shared" si="6"/>
        <v>modesg_out_empr_info_nfinccm_capex_trnstn_algnd</v>
      </c>
      <c r="B77" s="12" t="s">
        <v>12</v>
      </c>
      <c r="C77" s="13" t="s">
        <v>69</v>
      </c>
      <c r="D77" s="14" t="s">
        <v>17</v>
      </c>
      <c r="E77" s="15" t="s">
        <v>83</v>
      </c>
      <c r="F77" s="14" t="s">
        <v>92</v>
      </c>
      <c r="G77" s="16" t="s">
        <v>16</v>
      </c>
      <c r="H77" s="17" t="s">
        <v>15</v>
      </c>
      <c r="I77" s="18">
        <v>45614</v>
      </c>
      <c r="J77" s="17">
        <f t="shared" si="7"/>
        <v>45625</v>
      </c>
      <c r="K77" s="30"/>
      <c r="L77" s="32">
        <v>4</v>
      </c>
      <c r="M77" s="28">
        <f t="shared" si="8"/>
        <v>0.5</v>
      </c>
      <c r="N77" s="28">
        <f t="shared" si="9"/>
        <v>0</v>
      </c>
      <c r="O77" s="19"/>
      <c r="P77" s="19"/>
      <c r="Q77" s="19"/>
      <c r="R77" s="19"/>
      <c r="S77" s="19"/>
      <c r="T77" s="19"/>
      <c r="U77" s="19"/>
      <c r="V77" s="20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21"/>
      <c r="AH77" s="19"/>
      <c r="AI77" s="19"/>
      <c r="AJ77" s="19"/>
      <c r="AK77" s="19"/>
      <c r="AL77" s="19"/>
      <c r="AM77" s="19"/>
      <c r="AN77" s="19"/>
      <c r="AO77" s="19"/>
      <c r="AP77" s="19">
        <v>0.5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20"/>
      <c r="BH77" s="20"/>
      <c r="BI77" s="20"/>
      <c r="BJ77" s="20"/>
      <c r="BK77" s="20"/>
      <c r="BL77" s="20"/>
    </row>
    <row r="78" spans="1:64" ht="16.2" hidden="1" x14ac:dyDescent="0.4">
      <c r="A78" s="11" t="str">
        <f t="shared" si="6"/>
        <v>modesg_out_empr_info_nfinccm_capex_ttl_elgbl</v>
      </c>
      <c r="B78" s="12" t="s">
        <v>12</v>
      </c>
      <c r="C78" s="13" t="s">
        <v>69</v>
      </c>
      <c r="D78" s="14" t="s">
        <v>17</v>
      </c>
      <c r="E78" s="15" t="s">
        <v>83</v>
      </c>
      <c r="F78" s="14" t="s">
        <v>93</v>
      </c>
      <c r="G78" s="16" t="s">
        <v>16</v>
      </c>
      <c r="H78" s="17" t="s">
        <v>15</v>
      </c>
      <c r="I78" s="18">
        <v>45614</v>
      </c>
      <c r="J78" s="17">
        <f t="shared" si="7"/>
        <v>45628</v>
      </c>
      <c r="K78" s="30"/>
      <c r="L78" s="32">
        <v>4</v>
      </c>
      <c r="M78" s="28">
        <f t="shared" si="8"/>
        <v>0.5</v>
      </c>
      <c r="N78" s="28">
        <f t="shared" si="9"/>
        <v>0</v>
      </c>
      <c r="O78" s="19"/>
      <c r="P78" s="19"/>
      <c r="Q78" s="19"/>
      <c r="R78" s="19"/>
      <c r="S78" s="19"/>
      <c r="T78" s="19"/>
      <c r="U78" s="19"/>
      <c r="V78" s="20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21"/>
      <c r="AH78" s="19"/>
      <c r="AI78" s="19"/>
      <c r="AJ78" s="19"/>
      <c r="AK78" s="19"/>
      <c r="AL78" s="19"/>
      <c r="AM78" s="19"/>
      <c r="AN78" s="19"/>
      <c r="AO78" s="19"/>
      <c r="AP78" s="19"/>
      <c r="AQ78" s="19">
        <v>0.5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20"/>
      <c r="BH78" s="20"/>
      <c r="BI78" s="20"/>
      <c r="BJ78" s="20"/>
      <c r="BK78" s="20"/>
      <c r="BL78" s="20"/>
    </row>
    <row r="79" spans="1:64" ht="16.2" hidden="1" x14ac:dyDescent="0.4">
      <c r="A79" s="11" t="str">
        <f t="shared" si="6"/>
        <v>modesg_out_empr_info_nfinccm_trnvr_enblng_algnd</v>
      </c>
      <c r="B79" s="12" t="s">
        <v>12</v>
      </c>
      <c r="C79" s="13" t="s">
        <v>69</v>
      </c>
      <c r="D79" s="14" t="s">
        <v>17</v>
      </c>
      <c r="E79" s="15" t="s">
        <v>83</v>
      </c>
      <c r="F79" s="14" t="s">
        <v>94</v>
      </c>
      <c r="G79" s="16" t="s">
        <v>16</v>
      </c>
      <c r="H79" s="17" t="s">
        <v>15</v>
      </c>
      <c r="I79" s="18">
        <v>45614</v>
      </c>
      <c r="J79" s="17">
        <f t="shared" si="7"/>
        <v>45628</v>
      </c>
      <c r="K79" s="30"/>
      <c r="L79" s="32">
        <v>4</v>
      </c>
      <c r="M79" s="28">
        <f t="shared" si="8"/>
        <v>0.5</v>
      </c>
      <c r="N79" s="28">
        <f t="shared" si="9"/>
        <v>0</v>
      </c>
      <c r="O79" s="19"/>
      <c r="P79" s="19"/>
      <c r="Q79" s="19"/>
      <c r="R79" s="19"/>
      <c r="S79" s="19"/>
      <c r="T79" s="19"/>
      <c r="U79" s="19"/>
      <c r="V79" s="20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21"/>
      <c r="AH79" s="19"/>
      <c r="AI79" s="19"/>
      <c r="AJ79" s="19"/>
      <c r="AK79" s="19"/>
      <c r="AL79" s="19"/>
      <c r="AM79" s="19"/>
      <c r="AN79" s="19"/>
      <c r="AO79" s="19"/>
      <c r="AP79" s="19"/>
      <c r="AQ79" s="19">
        <v>0.5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20"/>
      <c r="BH79" s="20"/>
      <c r="BI79" s="20"/>
      <c r="BJ79" s="20"/>
      <c r="BK79" s="20"/>
      <c r="BL79" s="20"/>
    </row>
    <row r="80" spans="1:64" ht="16.2" hidden="1" x14ac:dyDescent="0.4">
      <c r="A80" s="11" t="str">
        <f t="shared" si="6"/>
        <v>modesg_out_empr_info_nfinccm_trnvr_own_prfrmnce_algnd</v>
      </c>
      <c r="B80" s="12" t="s">
        <v>12</v>
      </c>
      <c r="C80" s="13" t="s">
        <v>69</v>
      </c>
      <c r="D80" s="14" t="s">
        <v>17</v>
      </c>
      <c r="E80" s="15" t="s">
        <v>83</v>
      </c>
      <c r="F80" s="14" t="s">
        <v>95</v>
      </c>
      <c r="G80" s="16" t="s">
        <v>16</v>
      </c>
      <c r="H80" s="17" t="s">
        <v>15</v>
      </c>
      <c r="I80" s="18">
        <v>45614</v>
      </c>
      <c r="J80" s="17">
        <f t="shared" si="7"/>
        <v>45629</v>
      </c>
      <c r="K80" s="30"/>
      <c r="L80" s="32">
        <v>4</v>
      </c>
      <c r="M80" s="28">
        <f t="shared" si="8"/>
        <v>0.5</v>
      </c>
      <c r="N80" s="28">
        <f t="shared" si="9"/>
        <v>0</v>
      </c>
      <c r="O80" s="19"/>
      <c r="P80" s="19"/>
      <c r="Q80" s="19"/>
      <c r="R80" s="19"/>
      <c r="S80" s="19"/>
      <c r="T80" s="19"/>
      <c r="U80" s="19"/>
      <c r="V80" s="20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21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>
        <v>0.5</v>
      </c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20"/>
      <c r="BH80" s="20"/>
      <c r="BI80" s="20"/>
      <c r="BJ80" s="20"/>
      <c r="BK80" s="20"/>
      <c r="BL80" s="20"/>
    </row>
    <row r="81" spans="1:64" ht="16.2" hidden="1" x14ac:dyDescent="0.4">
      <c r="A81" s="11" t="str">
        <f t="shared" si="6"/>
        <v>modesg_out_empr_info_nfinccm_trnvr_trnstn_alignd</v>
      </c>
      <c r="B81" s="12" t="s">
        <v>12</v>
      </c>
      <c r="C81" s="13" t="s">
        <v>69</v>
      </c>
      <c r="D81" s="14" t="s">
        <v>17</v>
      </c>
      <c r="E81" s="15" t="s">
        <v>83</v>
      </c>
      <c r="F81" s="14" t="s">
        <v>96</v>
      </c>
      <c r="G81" s="16" t="s">
        <v>16</v>
      </c>
      <c r="H81" s="17" t="s">
        <v>15</v>
      </c>
      <c r="I81" s="18">
        <v>45614</v>
      </c>
      <c r="J81" s="17">
        <f t="shared" si="7"/>
        <v>45629</v>
      </c>
      <c r="K81" s="30"/>
      <c r="L81" s="32">
        <v>4</v>
      </c>
      <c r="M81" s="28">
        <f t="shared" si="8"/>
        <v>0.5</v>
      </c>
      <c r="N81" s="28">
        <f t="shared" si="9"/>
        <v>0</v>
      </c>
      <c r="O81" s="19"/>
      <c r="P81" s="19"/>
      <c r="Q81" s="19"/>
      <c r="R81" s="19"/>
      <c r="S81" s="19"/>
      <c r="T81" s="19"/>
      <c r="U81" s="19"/>
      <c r="V81" s="20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21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>
        <v>0.5</v>
      </c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20"/>
      <c r="BH81" s="20"/>
      <c r="BI81" s="20"/>
      <c r="BJ81" s="20"/>
      <c r="BK81" s="20"/>
      <c r="BL81" s="20"/>
    </row>
    <row r="82" spans="1:64" ht="16.2" hidden="1" x14ac:dyDescent="0.4">
      <c r="A82" s="11" t="str">
        <f t="shared" si="6"/>
        <v>modesg_out_empr_info_nfinccm_trnvr_ttl_elgbl</v>
      </c>
      <c r="B82" s="12" t="s">
        <v>12</v>
      </c>
      <c r="C82" s="13" t="s">
        <v>69</v>
      </c>
      <c r="D82" s="14" t="s">
        <v>17</v>
      </c>
      <c r="E82" s="15" t="s">
        <v>83</v>
      </c>
      <c r="F82" s="14" t="s">
        <v>97</v>
      </c>
      <c r="G82" s="16" t="s">
        <v>16</v>
      </c>
      <c r="H82" s="17" t="s">
        <v>15</v>
      </c>
      <c r="I82" s="18">
        <v>45614</v>
      </c>
      <c r="J82" s="17">
        <f t="shared" si="7"/>
        <v>45630</v>
      </c>
      <c r="K82" s="30"/>
      <c r="L82" s="32">
        <v>4</v>
      </c>
      <c r="M82" s="28">
        <f t="shared" si="8"/>
        <v>0.5</v>
      </c>
      <c r="N82" s="28">
        <f t="shared" si="9"/>
        <v>0</v>
      </c>
      <c r="O82" s="19"/>
      <c r="P82" s="19"/>
      <c r="Q82" s="19"/>
      <c r="R82" s="19"/>
      <c r="S82" s="19"/>
      <c r="T82" s="19"/>
      <c r="U82" s="19"/>
      <c r="V82" s="20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21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>
        <v>0.5</v>
      </c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20"/>
      <c r="BH82" s="20"/>
      <c r="BI82" s="20"/>
      <c r="BJ82" s="20"/>
      <c r="BK82" s="20"/>
      <c r="BL82" s="20"/>
    </row>
    <row r="83" spans="1:64" ht="16.2" hidden="1" x14ac:dyDescent="0.4">
      <c r="A83" s="11" t="str">
        <f t="shared" si="6"/>
        <v>modesg_out_empr_info_nfincod_nace_esg</v>
      </c>
      <c r="B83" s="12" t="s">
        <v>12</v>
      </c>
      <c r="C83" s="13" t="s">
        <v>69</v>
      </c>
      <c r="D83" s="14" t="s">
        <v>17</v>
      </c>
      <c r="E83" s="15" t="s">
        <v>83</v>
      </c>
      <c r="F83" s="22" t="s">
        <v>98</v>
      </c>
      <c r="G83" s="23" t="s">
        <v>16</v>
      </c>
      <c r="H83" s="17" t="s">
        <v>15</v>
      </c>
      <c r="I83" s="18">
        <v>45614</v>
      </c>
      <c r="J83" s="17">
        <f t="shared" si="7"/>
        <v>45632</v>
      </c>
      <c r="K83" s="30"/>
      <c r="L83" s="28">
        <v>16.100000000000001</v>
      </c>
      <c r="M83" s="28">
        <f t="shared" si="8"/>
        <v>2</v>
      </c>
      <c r="N83" s="28">
        <f t="shared" si="9"/>
        <v>0</v>
      </c>
      <c r="O83" s="19"/>
      <c r="P83" s="19"/>
      <c r="Q83" s="19"/>
      <c r="R83" s="19"/>
      <c r="S83" s="19"/>
      <c r="T83" s="19"/>
      <c r="U83" s="19"/>
      <c r="V83" s="20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21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>
        <v>0.5</v>
      </c>
      <c r="AT83" s="19">
        <v>1</v>
      </c>
      <c r="AU83" s="19">
        <v>0.5</v>
      </c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20"/>
      <c r="BH83" s="20"/>
      <c r="BI83" s="20"/>
      <c r="BJ83" s="20"/>
      <c r="BK83" s="20"/>
      <c r="BL83" s="20"/>
    </row>
    <row r="84" spans="1:64" ht="16.2" hidden="1" x14ac:dyDescent="0.4">
      <c r="A84" s="11" t="str">
        <f t="shared" si="6"/>
        <v>modesg_out_empr_info_nfinflg_emprs_excl_paris</v>
      </c>
      <c r="B84" s="12" t="s">
        <v>12</v>
      </c>
      <c r="C84" s="13" t="s">
        <v>69</v>
      </c>
      <c r="D84" s="14" t="s">
        <v>17</v>
      </c>
      <c r="E84" s="15" t="s">
        <v>83</v>
      </c>
      <c r="F84" s="14" t="s">
        <v>99</v>
      </c>
      <c r="G84" s="16" t="s">
        <v>16</v>
      </c>
      <c r="H84" s="17" t="s">
        <v>15</v>
      </c>
      <c r="I84" s="18">
        <v>45614</v>
      </c>
      <c r="J84" s="17">
        <f t="shared" si="7"/>
        <v>45635</v>
      </c>
      <c r="K84" s="30"/>
      <c r="L84" s="28">
        <v>8.1</v>
      </c>
      <c r="M84" s="28">
        <f t="shared" si="8"/>
        <v>1</v>
      </c>
      <c r="N84" s="28">
        <f t="shared" si="9"/>
        <v>0</v>
      </c>
      <c r="O84" s="19"/>
      <c r="P84" s="19"/>
      <c r="Q84" s="19"/>
      <c r="R84" s="19"/>
      <c r="S84" s="19"/>
      <c r="T84" s="19"/>
      <c r="U84" s="19"/>
      <c r="V84" s="20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21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>
        <v>0.5</v>
      </c>
      <c r="AV84" s="19">
        <v>0.5</v>
      </c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0"/>
      <c r="BH84" s="20"/>
      <c r="BI84" s="20"/>
      <c r="BJ84" s="20"/>
      <c r="BK84" s="20"/>
      <c r="BL84" s="20"/>
    </row>
    <row r="85" spans="1:64" ht="16.2" hidden="1" x14ac:dyDescent="0.4">
      <c r="A85" s="11" t="str">
        <f t="shared" si="6"/>
        <v>modesg_out_empr_info_nfinflg_nfrd</v>
      </c>
      <c r="B85" s="12" t="s">
        <v>12</v>
      </c>
      <c r="C85" s="13" t="s">
        <v>69</v>
      </c>
      <c r="D85" s="14" t="s">
        <v>17</v>
      </c>
      <c r="E85" s="15" t="s">
        <v>83</v>
      </c>
      <c r="F85" s="14" t="s">
        <v>100</v>
      </c>
      <c r="G85" s="16" t="s">
        <v>16</v>
      </c>
      <c r="H85" s="17" t="s">
        <v>15</v>
      </c>
      <c r="I85" s="18">
        <v>45614</v>
      </c>
      <c r="J85" s="17">
        <f t="shared" si="7"/>
        <v>45636</v>
      </c>
      <c r="K85" s="30"/>
      <c r="L85" s="28">
        <v>8.1</v>
      </c>
      <c r="M85" s="28">
        <f t="shared" si="8"/>
        <v>1</v>
      </c>
      <c r="N85" s="28">
        <f t="shared" si="9"/>
        <v>0</v>
      </c>
      <c r="O85" s="19"/>
      <c r="P85" s="19"/>
      <c r="Q85" s="19"/>
      <c r="R85" s="19"/>
      <c r="S85" s="19"/>
      <c r="T85" s="19"/>
      <c r="U85" s="19"/>
      <c r="V85" s="20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21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>
        <v>0.5</v>
      </c>
      <c r="AW85" s="19">
        <v>0.5</v>
      </c>
      <c r="AX85" s="19"/>
      <c r="AY85" s="19"/>
      <c r="AZ85" s="19"/>
      <c r="BA85" s="19"/>
      <c r="BB85" s="19"/>
      <c r="BC85" s="19"/>
      <c r="BD85" s="19"/>
      <c r="BE85" s="19"/>
      <c r="BF85" s="19"/>
      <c r="BG85" s="20"/>
      <c r="BH85" s="20"/>
      <c r="BI85" s="20"/>
      <c r="BJ85" s="20"/>
      <c r="BK85" s="20"/>
      <c r="BL85" s="20"/>
    </row>
    <row r="86" spans="1:64" ht="16.2" hidden="1" x14ac:dyDescent="0.4">
      <c r="A86" s="11" t="str">
        <f t="shared" si="6"/>
        <v>modesg_out_empr_info_nfinflg_rsc_fsc_agd</v>
      </c>
      <c r="B86" s="12" t="s">
        <v>12</v>
      </c>
      <c r="C86" s="13" t="s">
        <v>69</v>
      </c>
      <c r="D86" s="14" t="s">
        <v>17</v>
      </c>
      <c r="E86" s="15" t="s">
        <v>83</v>
      </c>
      <c r="F86" s="14" t="s">
        <v>71</v>
      </c>
      <c r="G86" s="16" t="s">
        <v>16</v>
      </c>
      <c r="H86" s="17" t="s">
        <v>15</v>
      </c>
      <c r="I86" s="18">
        <v>45624</v>
      </c>
      <c r="J86" s="17" t="str">
        <f t="shared" si="7"/>
        <v/>
      </c>
      <c r="K86" s="30"/>
      <c r="L86" s="28">
        <v>16.100000000000001</v>
      </c>
      <c r="M86" s="28">
        <f t="shared" si="8"/>
        <v>2</v>
      </c>
      <c r="N86" s="28">
        <f t="shared" si="9"/>
        <v>-2</v>
      </c>
      <c r="O86" s="19"/>
      <c r="P86" s="19"/>
      <c r="Q86" s="19"/>
      <c r="R86" s="19"/>
      <c r="S86" s="19"/>
      <c r="T86" s="19"/>
      <c r="U86" s="19"/>
      <c r="V86" s="20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21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0"/>
      <c r="BH86" s="20"/>
      <c r="BI86" s="20"/>
      <c r="BJ86" s="20"/>
      <c r="BK86" s="20"/>
      <c r="BL86" s="20"/>
    </row>
    <row r="87" spans="1:64" ht="16.2" hidden="1" x14ac:dyDescent="0.4">
      <c r="A87" s="11" t="str">
        <f t="shared" si="6"/>
        <v>modesg_out_empr_info_nfinflg_rsc_fsc_crnc</v>
      </c>
      <c r="B87" s="12" t="s">
        <v>12</v>
      </c>
      <c r="C87" s="13" t="s">
        <v>69</v>
      </c>
      <c r="D87" s="14" t="s">
        <v>17</v>
      </c>
      <c r="E87" s="15" t="s">
        <v>83</v>
      </c>
      <c r="F87" s="14" t="s">
        <v>72</v>
      </c>
      <c r="G87" s="16" t="s">
        <v>16</v>
      </c>
      <c r="H87" s="17" t="s">
        <v>15</v>
      </c>
      <c r="I87" s="18">
        <v>45624</v>
      </c>
      <c r="J87" s="17" t="str">
        <f t="shared" si="7"/>
        <v/>
      </c>
      <c r="K87" s="30"/>
      <c r="L87" s="28">
        <v>16.100000000000001</v>
      </c>
      <c r="M87" s="28">
        <f t="shared" si="8"/>
        <v>2</v>
      </c>
      <c r="N87" s="28">
        <f t="shared" si="9"/>
        <v>-2</v>
      </c>
      <c r="O87" s="19"/>
      <c r="P87" s="19"/>
      <c r="Q87" s="19"/>
      <c r="R87" s="19"/>
      <c r="S87" s="19"/>
      <c r="T87" s="19"/>
      <c r="U87" s="19"/>
      <c r="V87" s="20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21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20"/>
      <c r="BH87" s="20"/>
      <c r="BI87" s="20"/>
      <c r="BJ87" s="20"/>
      <c r="BK87" s="20"/>
      <c r="BL87" s="20"/>
    </row>
    <row r="88" spans="1:64" ht="16.2" hidden="1" x14ac:dyDescent="0.4">
      <c r="A88" s="11" t="str">
        <f t="shared" si="6"/>
        <v>modesg_out_empr_info_nfinorigem_alinhamentos</v>
      </c>
      <c r="B88" s="12" t="s">
        <v>12</v>
      </c>
      <c r="C88" s="13" t="s">
        <v>69</v>
      </c>
      <c r="D88" s="14" t="s">
        <v>17</v>
      </c>
      <c r="E88" s="15" t="s">
        <v>83</v>
      </c>
      <c r="F88" s="14" t="s">
        <v>101</v>
      </c>
      <c r="G88" s="16" t="s">
        <v>16</v>
      </c>
      <c r="H88" s="17" t="s">
        <v>15</v>
      </c>
      <c r="I88" s="18">
        <v>45614</v>
      </c>
      <c r="J88" s="17">
        <f t="shared" si="7"/>
        <v>45636</v>
      </c>
      <c r="K88" s="30"/>
      <c r="L88" s="28">
        <v>4.0999999999999996</v>
      </c>
      <c r="M88" s="28">
        <f t="shared" si="8"/>
        <v>0.5</v>
      </c>
      <c r="N88" s="28">
        <f t="shared" si="9"/>
        <v>0</v>
      </c>
      <c r="O88" s="19"/>
      <c r="P88" s="19"/>
      <c r="Q88" s="19"/>
      <c r="R88" s="19"/>
      <c r="S88" s="19"/>
      <c r="T88" s="19"/>
      <c r="U88" s="19"/>
      <c r="V88" s="20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21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>
        <v>0.5</v>
      </c>
      <c r="AX88" s="19"/>
      <c r="AY88" s="19"/>
      <c r="AZ88" s="19"/>
      <c r="BA88" s="19"/>
      <c r="BB88" s="19"/>
      <c r="BC88" s="19"/>
      <c r="BD88" s="19"/>
      <c r="BE88" s="19"/>
      <c r="BF88" s="19"/>
      <c r="BG88" s="20"/>
      <c r="BH88" s="20"/>
      <c r="BI88" s="20"/>
      <c r="BJ88" s="20"/>
      <c r="BK88" s="20"/>
      <c r="BL88" s="20"/>
    </row>
    <row r="89" spans="1:64" ht="16.2" hidden="1" x14ac:dyDescent="0.4">
      <c r="A89" s="11" t="str">
        <f t="shared" si="6"/>
        <v>modesg_out_empr_info_nfinorigem_flg_emprs_excl_paris</v>
      </c>
      <c r="B89" s="12" t="s">
        <v>12</v>
      </c>
      <c r="C89" s="13" t="s">
        <v>69</v>
      </c>
      <c r="D89" s="14" t="s">
        <v>17</v>
      </c>
      <c r="E89" s="15" t="s">
        <v>83</v>
      </c>
      <c r="F89" s="14" t="s">
        <v>102</v>
      </c>
      <c r="G89" s="16" t="s">
        <v>16</v>
      </c>
      <c r="H89" s="17" t="s">
        <v>15</v>
      </c>
      <c r="I89" s="18">
        <v>45614</v>
      </c>
      <c r="J89" s="17">
        <f t="shared" si="7"/>
        <v>45637</v>
      </c>
      <c r="K89" s="30"/>
      <c r="L89" s="28">
        <v>4.0999999999999996</v>
      </c>
      <c r="M89" s="28">
        <f t="shared" si="8"/>
        <v>0.5</v>
      </c>
      <c r="N89" s="28">
        <f t="shared" si="9"/>
        <v>0</v>
      </c>
      <c r="O89" s="19"/>
      <c r="P89" s="19"/>
      <c r="Q89" s="19"/>
      <c r="R89" s="19"/>
      <c r="S89" s="19"/>
      <c r="T89" s="19"/>
      <c r="U89" s="19"/>
      <c r="V89" s="20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21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>
        <v>0.5</v>
      </c>
      <c r="AY89" s="19"/>
      <c r="AZ89" s="19"/>
      <c r="BA89" s="19"/>
      <c r="BB89" s="19"/>
      <c r="BC89" s="19"/>
      <c r="BD89" s="19"/>
      <c r="BE89" s="19"/>
      <c r="BF89" s="19"/>
      <c r="BG89" s="20"/>
      <c r="BH89" s="20"/>
      <c r="BI89" s="20"/>
      <c r="BJ89" s="20"/>
      <c r="BK89" s="20"/>
      <c r="BL89" s="20"/>
    </row>
    <row r="90" spans="1:64" ht="16.2" hidden="1" x14ac:dyDescent="0.4">
      <c r="A90" s="11" t="str">
        <f t="shared" si="6"/>
        <v>modesg_out_empr_info_nfinorigem_flg_nfrd</v>
      </c>
      <c r="B90" s="12" t="s">
        <v>12</v>
      </c>
      <c r="C90" s="13" t="s">
        <v>69</v>
      </c>
      <c r="D90" s="14" t="s">
        <v>17</v>
      </c>
      <c r="E90" s="15" t="s">
        <v>83</v>
      </c>
      <c r="F90" s="14" t="s">
        <v>103</v>
      </c>
      <c r="G90" s="16" t="s">
        <v>16</v>
      </c>
      <c r="H90" s="17" t="s">
        <v>15</v>
      </c>
      <c r="I90" s="18">
        <v>45614</v>
      </c>
      <c r="J90" s="17">
        <f t="shared" si="7"/>
        <v>45637</v>
      </c>
      <c r="K90" s="30"/>
      <c r="L90" s="28">
        <v>4.0999999999999996</v>
      </c>
      <c r="M90" s="28">
        <f t="shared" si="8"/>
        <v>0.5</v>
      </c>
      <c r="N90" s="28">
        <f t="shared" si="9"/>
        <v>0</v>
      </c>
      <c r="O90" s="19"/>
      <c r="P90" s="19"/>
      <c r="Q90" s="19"/>
      <c r="R90" s="19"/>
      <c r="S90" s="19"/>
      <c r="T90" s="19"/>
      <c r="U90" s="19"/>
      <c r="V90" s="20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21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>
        <v>0.5</v>
      </c>
      <c r="AY90" s="19"/>
      <c r="AZ90" s="19"/>
      <c r="BA90" s="19"/>
      <c r="BB90" s="19"/>
      <c r="BC90" s="19"/>
      <c r="BD90" s="19"/>
      <c r="BE90" s="19"/>
      <c r="BF90" s="19"/>
      <c r="BG90" s="20"/>
      <c r="BH90" s="20"/>
      <c r="BI90" s="20"/>
      <c r="BJ90" s="20"/>
      <c r="BK90" s="20"/>
      <c r="BL90" s="20"/>
    </row>
    <row r="91" spans="1:64" ht="16.2" hidden="1" x14ac:dyDescent="0.4">
      <c r="A91" s="11" t="str">
        <f t="shared" si="6"/>
        <v>modesg_out_empr_info_nfinorigem_flg_rsc_fsc_agd</v>
      </c>
      <c r="B91" s="12" t="s">
        <v>12</v>
      </c>
      <c r="C91" s="13" t="s">
        <v>69</v>
      </c>
      <c r="D91" s="14" t="s">
        <v>17</v>
      </c>
      <c r="E91" s="15" t="s">
        <v>83</v>
      </c>
      <c r="F91" s="14" t="s">
        <v>73</v>
      </c>
      <c r="G91" s="16" t="s">
        <v>16</v>
      </c>
      <c r="H91" s="17" t="s">
        <v>15</v>
      </c>
      <c r="I91" s="18">
        <v>45624</v>
      </c>
      <c r="J91" s="17">
        <f t="shared" si="7"/>
        <v>45638</v>
      </c>
      <c r="K91" s="30"/>
      <c r="L91" s="28">
        <v>4.0999999999999996</v>
      </c>
      <c r="M91" s="28">
        <f t="shared" si="8"/>
        <v>0.5</v>
      </c>
      <c r="N91" s="28">
        <f t="shared" si="9"/>
        <v>0</v>
      </c>
      <c r="O91" s="19"/>
      <c r="P91" s="19"/>
      <c r="Q91" s="19"/>
      <c r="R91" s="19"/>
      <c r="S91" s="19"/>
      <c r="T91" s="19"/>
      <c r="U91" s="19"/>
      <c r="V91" s="20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21"/>
      <c r="AP91" s="19"/>
      <c r="AQ91" s="19"/>
      <c r="AR91" s="19"/>
      <c r="AS91" s="19"/>
      <c r="AT91" s="19"/>
      <c r="AU91" s="19"/>
      <c r="AV91" s="19"/>
      <c r="AW91" s="19"/>
      <c r="AX91" s="19"/>
      <c r="AY91" s="19">
        <v>0.5</v>
      </c>
      <c r="AZ91" s="19"/>
      <c r="BA91" s="19"/>
      <c r="BB91" s="19"/>
      <c r="BC91" s="19"/>
      <c r="BD91" s="19"/>
      <c r="BE91" s="19"/>
      <c r="BF91" s="19"/>
      <c r="BG91" s="20"/>
      <c r="BH91" s="20"/>
      <c r="BI91" s="20"/>
      <c r="BJ91" s="20"/>
      <c r="BK91" s="20"/>
      <c r="BL91" s="20"/>
    </row>
    <row r="92" spans="1:64" ht="16.2" hidden="1" x14ac:dyDescent="0.4">
      <c r="A92" s="11" t="str">
        <f t="shared" si="6"/>
        <v>modesg_out_empr_info_nfinorigem_flg_rsc_fsc_crnc</v>
      </c>
      <c r="B92" s="12" t="s">
        <v>12</v>
      </c>
      <c r="C92" s="13" t="s">
        <v>69</v>
      </c>
      <c r="D92" s="14" t="s">
        <v>17</v>
      </c>
      <c r="E92" s="15" t="s">
        <v>83</v>
      </c>
      <c r="F92" s="14" t="s">
        <v>74</v>
      </c>
      <c r="G92" s="16" t="s">
        <v>16</v>
      </c>
      <c r="H92" s="17" t="s">
        <v>15</v>
      </c>
      <c r="I92" s="18">
        <v>45624</v>
      </c>
      <c r="J92" s="17">
        <f t="shared" si="7"/>
        <v>45638</v>
      </c>
      <c r="K92" s="30"/>
      <c r="L92" s="28">
        <v>4.0999999999999996</v>
      </c>
      <c r="M92" s="28">
        <f t="shared" si="8"/>
        <v>0.5</v>
      </c>
      <c r="N92" s="28">
        <f t="shared" si="9"/>
        <v>0</v>
      </c>
      <c r="O92" s="19"/>
      <c r="P92" s="19"/>
      <c r="Q92" s="19"/>
      <c r="R92" s="19"/>
      <c r="S92" s="19"/>
      <c r="T92" s="19"/>
      <c r="U92" s="19"/>
      <c r="V92" s="20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21"/>
      <c r="AP92" s="19"/>
      <c r="AQ92" s="19"/>
      <c r="AR92" s="19"/>
      <c r="AS92" s="19"/>
      <c r="AT92" s="19"/>
      <c r="AU92" s="19"/>
      <c r="AV92" s="19"/>
      <c r="AW92" s="19"/>
      <c r="AX92" s="19"/>
      <c r="AY92" s="19">
        <v>0.5</v>
      </c>
      <c r="AZ92" s="19"/>
      <c r="BA92" s="19"/>
      <c r="BB92" s="19"/>
      <c r="BC92" s="19"/>
      <c r="BD92" s="19"/>
      <c r="BE92" s="19"/>
      <c r="BF92" s="19"/>
      <c r="BG92" s="20"/>
      <c r="BH92" s="20"/>
      <c r="BI92" s="20"/>
      <c r="BJ92" s="20"/>
      <c r="BK92" s="20"/>
      <c r="BL92" s="20"/>
    </row>
    <row r="93" spans="1:64" ht="16.2" hidden="1" x14ac:dyDescent="0.4">
      <c r="A93" s="11" t="str">
        <f t="shared" si="6"/>
        <v>modesg_out_empr_info_nfinorigem_scp1_emss</v>
      </c>
      <c r="B93" s="12" t="s">
        <v>12</v>
      </c>
      <c r="C93" s="13" t="s">
        <v>69</v>
      </c>
      <c r="D93" s="14" t="s">
        <v>17</v>
      </c>
      <c r="E93" s="15" t="s">
        <v>83</v>
      </c>
      <c r="F93" s="14" t="s">
        <v>75</v>
      </c>
      <c r="G93" s="16" t="s">
        <v>16</v>
      </c>
      <c r="H93" s="17" t="s">
        <v>15</v>
      </c>
      <c r="I93" s="18">
        <v>45621</v>
      </c>
      <c r="J93" s="17">
        <f t="shared" si="7"/>
        <v>45639</v>
      </c>
      <c r="K93" s="30"/>
      <c r="L93" s="28">
        <v>4.0999999999999996</v>
      </c>
      <c r="M93" s="28">
        <f t="shared" si="8"/>
        <v>0.5</v>
      </c>
      <c r="N93" s="28">
        <f t="shared" si="9"/>
        <v>0</v>
      </c>
      <c r="O93" s="19"/>
      <c r="P93" s="19"/>
      <c r="Q93" s="19"/>
      <c r="R93" s="19"/>
      <c r="S93" s="19"/>
      <c r="T93" s="19"/>
      <c r="U93" s="19"/>
      <c r="V93" s="20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1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>
        <v>0.5</v>
      </c>
      <c r="BA93" s="19"/>
      <c r="BB93" s="19"/>
      <c r="BC93" s="19"/>
      <c r="BD93" s="19"/>
      <c r="BE93" s="19"/>
      <c r="BF93" s="19"/>
      <c r="BG93" s="20"/>
      <c r="BH93" s="20"/>
      <c r="BI93" s="20"/>
      <c r="BJ93" s="20"/>
      <c r="BK93" s="20"/>
      <c r="BL93" s="20"/>
    </row>
    <row r="94" spans="1:64" ht="16.2" hidden="1" x14ac:dyDescent="0.4">
      <c r="A94" s="11" t="str">
        <f t="shared" si="6"/>
        <v>modesg_out_empr_info_nfinorigem_scp2_emss</v>
      </c>
      <c r="B94" s="12" t="s">
        <v>12</v>
      </c>
      <c r="C94" s="13" t="s">
        <v>69</v>
      </c>
      <c r="D94" s="14" t="s">
        <v>17</v>
      </c>
      <c r="E94" s="15" t="s">
        <v>83</v>
      </c>
      <c r="F94" s="14" t="s">
        <v>76</v>
      </c>
      <c r="G94" s="16" t="s">
        <v>16</v>
      </c>
      <c r="H94" s="17" t="s">
        <v>15</v>
      </c>
      <c r="I94" s="18">
        <v>45621</v>
      </c>
      <c r="J94" s="17">
        <f t="shared" si="7"/>
        <v>45639</v>
      </c>
      <c r="K94" s="30"/>
      <c r="L94" s="28">
        <v>4.0999999999999996</v>
      </c>
      <c r="M94" s="28">
        <f t="shared" si="8"/>
        <v>0.5</v>
      </c>
      <c r="N94" s="28">
        <f t="shared" si="9"/>
        <v>0</v>
      </c>
      <c r="O94" s="19"/>
      <c r="P94" s="19"/>
      <c r="Q94" s="19"/>
      <c r="R94" s="19"/>
      <c r="S94" s="19"/>
      <c r="T94" s="19"/>
      <c r="U94" s="19"/>
      <c r="V94" s="20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1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>
        <v>0.5</v>
      </c>
      <c r="BA94" s="19"/>
      <c r="BB94" s="19"/>
      <c r="BC94" s="19"/>
      <c r="BD94" s="19"/>
      <c r="BE94" s="19"/>
      <c r="BF94" s="19"/>
      <c r="BG94" s="20"/>
      <c r="BH94" s="20"/>
      <c r="BI94" s="20"/>
      <c r="BJ94" s="20"/>
      <c r="BK94" s="20"/>
      <c r="BL94" s="20"/>
    </row>
    <row r="95" spans="1:64" ht="16.2" hidden="1" x14ac:dyDescent="0.4">
      <c r="A95" s="11" t="str">
        <f t="shared" si="6"/>
        <v>modesg_out_empr_info_nfinorigem_scp3_emss</v>
      </c>
      <c r="B95" s="12" t="s">
        <v>12</v>
      </c>
      <c r="C95" s="13" t="s">
        <v>69</v>
      </c>
      <c r="D95" s="14" t="s">
        <v>17</v>
      </c>
      <c r="E95" s="15" t="s">
        <v>83</v>
      </c>
      <c r="F95" s="14" t="s">
        <v>77</v>
      </c>
      <c r="G95" s="16" t="s">
        <v>16</v>
      </c>
      <c r="H95" s="17" t="s">
        <v>15</v>
      </c>
      <c r="I95" s="18">
        <v>45621</v>
      </c>
      <c r="J95" s="17">
        <f t="shared" si="7"/>
        <v>45642</v>
      </c>
      <c r="K95" s="30"/>
      <c r="L95" s="28">
        <v>4.0999999999999996</v>
      </c>
      <c r="M95" s="28">
        <f t="shared" si="8"/>
        <v>0.5</v>
      </c>
      <c r="N95" s="28">
        <f t="shared" si="9"/>
        <v>0</v>
      </c>
      <c r="O95" s="19"/>
      <c r="P95" s="19"/>
      <c r="Q95" s="19"/>
      <c r="R95" s="19"/>
      <c r="S95" s="19"/>
      <c r="T95" s="19"/>
      <c r="U95" s="19"/>
      <c r="V95" s="20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1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>
        <v>0.5</v>
      </c>
      <c r="BB95" s="19"/>
      <c r="BC95" s="19"/>
      <c r="BD95" s="19"/>
      <c r="BE95" s="19"/>
      <c r="BF95" s="19"/>
      <c r="BG95" s="20"/>
      <c r="BH95" s="20"/>
      <c r="BI95" s="20"/>
      <c r="BJ95" s="20"/>
      <c r="BK95" s="20"/>
      <c r="BL95" s="20"/>
    </row>
    <row r="96" spans="1:64" ht="16.2" hidden="1" x14ac:dyDescent="0.4">
      <c r="A96" s="11" t="str">
        <f t="shared" si="6"/>
        <v>modesg_out_empr_info_nfinscp1_emss</v>
      </c>
      <c r="B96" s="12" t="s">
        <v>12</v>
      </c>
      <c r="C96" s="13" t="s">
        <v>69</v>
      </c>
      <c r="D96" s="14" t="s">
        <v>17</v>
      </c>
      <c r="E96" s="15" t="s">
        <v>83</v>
      </c>
      <c r="F96" s="14" t="s">
        <v>78</v>
      </c>
      <c r="G96" s="16" t="s">
        <v>16</v>
      </c>
      <c r="H96" s="17" t="s">
        <v>15</v>
      </c>
      <c r="I96" s="18">
        <v>45621</v>
      </c>
      <c r="J96" s="17">
        <f t="shared" si="7"/>
        <v>45643</v>
      </c>
      <c r="K96" s="30"/>
      <c r="L96" s="28">
        <v>8.1</v>
      </c>
      <c r="M96" s="28">
        <f t="shared" si="8"/>
        <v>1</v>
      </c>
      <c r="N96" s="28">
        <f t="shared" si="9"/>
        <v>0</v>
      </c>
      <c r="O96" s="19"/>
      <c r="P96" s="19"/>
      <c r="Q96" s="19"/>
      <c r="R96" s="19"/>
      <c r="S96" s="19"/>
      <c r="T96" s="19"/>
      <c r="U96" s="19"/>
      <c r="V96" s="20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1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>
        <v>1</v>
      </c>
      <c r="BC96" s="19"/>
      <c r="BD96" s="19"/>
      <c r="BE96" s="19"/>
      <c r="BF96" s="19"/>
      <c r="BG96" s="20"/>
      <c r="BH96" s="20"/>
      <c r="BI96" s="20"/>
      <c r="BJ96" s="20"/>
      <c r="BK96" s="20"/>
      <c r="BL96" s="20"/>
    </row>
    <row r="97" spans="1:64" ht="16.2" hidden="1" x14ac:dyDescent="0.4">
      <c r="A97" s="11" t="str">
        <f t="shared" si="6"/>
        <v>modesg_out_empr_info_nfinscp2_emss</v>
      </c>
      <c r="B97" s="12" t="s">
        <v>12</v>
      </c>
      <c r="C97" s="13" t="s">
        <v>69</v>
      </c>
      <c r="D97" s="14" t="s">
        <v>17</v>
      </c>
      <c r="E97" s="15" t="s">
        <v>83</v>
      </c>
      <c r="F97" s="14" t="s">
        <v>79</v>
      </c>
      <c r="G97" s="16" t="s">
        <v>16</v>
      </c>
      <c r="H97" s="17" t="s">
        <v>15</v>
      </c>
      <c r="I97" s="18">
        <v>45621</v>
      </c>
      <c r="J97" s="17">
        <f t="shared" si="7"/>
        <v>45644</v>
      </c>
      <c r="K97" s="30"/>
      <c r="L97" s="28">
        <v>8.1</v>
      </c>
      <c r="M97" s="28">
        <f t="shared" si="8"/>
        <v>1</v>
      </c>
      <c r="N97" s="28">
        <f t="shared" si="9"/>
        <v>0</v>
      </c>
      <c r="O97" s="19"/>
      <c r="P97" s="19"/>
      <c r="Q97" s="19"/>
      <c r="R97" s="19"/>
      <c r="S97" s="19"/>
      <c r="T97" s="19"/>
      <c r="U97" s="19"/>
      <c r="V97" s="20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21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>
        <v>1</v>
      </c>
      <c r="BD97" s="19"/>
      <c r="BE97" s="19"/>
      <c r="BF97" s="19"/>
      <c r="BG97" s="20"/>
      <c r="BH97" s="20"/>
      <c r="BI97" s="20"/>
      <c r="BJ97" s="20"/>
      <c r="BK97" s="20"/>
      <c r="BL97" s="20"/>
    </row>
    <row r="98" spans="1:64" ht="16.2" hidden="1" x14ac:dyDescent="0.4">
      <c r="A98" s="11" t="str">
        <f t="shared" si="6"/>
        <v>modesg_out_empr_info_nfinscp3_emss</v>
      </c>
      <c r="B98" s="12" t="s">
        <v>12</v>
      </c>
      <c r="C98" s="13" t="s">
        <v>69</v>
      </c>
      <c r="D98" s="14" t="s">
        <v>17</v>
      </c>
      <c r="E98" s="15" t="s">
        <v>83</v>
      </c>
      <c r="F98" s="14" t="s">
        <v>104</v>
      </c>
      <c r="G98" s="16" t="s">
        <v>16</v>
      </c>
      <c r="H98" s="17" t="s">
        <v>15</v>
      </c>
      <c r="I98" s="18">
        <v>45621</v>
      </c>
      <c r="J98" s="17">
        <f t="shared" si="7"/>
        <v>45645</v>
      </c>
      <c r="K98" s="30"/>
      <c r="L98" s="28">
        <v>8.1</v>
      </c>
      <c r="M98" s="28">
        <f t="shared" si="8"/>
        <v>1</v>
      </c>
      <c r="N98" s="28">
        <f t="shared" si="9"/>
        <v>0</v>
      </c>
      <c r="O98" s="19"/>
      <c r="P98" s="19"/>
      <c r="Q98" s="19"/>
      <c r="R98" s="19"/>
      <c r="S98" s="19"/>
      <c r="T98" s="19"/>
      <c r="U98" s="19"/>
      <c r="V98" s="20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21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>
        <v>1</v>
      </c>
      <c r="BE98" s="19"/>
      <c r="BF98" s="19"/>
      <c r="BG98" s="20"/>
      <c r="BH98" s="20"/>
      <c r="BI98" s="20"/>
      <c r="BJ98" s="20"/>
      <c r="BK98" s="20"/>
      <c r="BL98" s="20"/>
    </row>
    <row r="99" spans="1:64" ht="16.2" x14ac:dyDescent="0.4">
      <c r="A99" s="11" t="str">
        <f t="shared" si="6"/>
        <v>modesg_out_emss_vclscnsm_co2</v>
      </c>
      <c r="B99" s="12" t="s">
        <v>12</v>
      </c>
      <c r="C99" s="13" t="s">
        <v>69</v>
      </c>
      <c r="D99" s="14" t="s">
        <v>17</v>
      </c>
      <c r="E99" s="15" t="s">
        <v>105</v>
      </c>
      <c r="F99" s="14" t="s">
        <v>106</v>
      </c>
      <c r="G99" s="16" t="s">
        <v>16</v>
      </c>
      <c r="H99" s="17" t="s">
        <v>15</v>
      </c>
      <c r="I99" s="18">
        <v>45607</v>
      </c>
      <c r="J99" s="17">
        <f t="shared" si="7"/>
        <v>45608</v>
      </c>
      <c r="K99" s="30"/>
      <c r="L99" s="28">
        <v>8.1</v>
      </c>
      <c r="M99" s="28">
        <f t="shared" si="8"/>
        <v>1</v>
      </c>
      <c r="N99" s="28">
        <f t="shared" si="9"/>
        <v>-0.6</v>
      </c>
      <c r="O99" s="19"/>
      <c r="P99" s="19"/>
      <c r="Q99" s="19"/>
      <c r="R99" s="19"/>
      <c r="S99" s="19"/>
      <c r="T99" s="19"/>
      <c r="U99" s="19"/>
      <c r="V99" s="20"/>
      <c r="W99" s="19"/>
      <c r="X99" s="19"/>
      <c r="Y99" s="19"/>
      <c r="Z99" s="19"/>
      <c r="AA99" s="19"/>
      <c r="AB99" s="21"/>
      <c r="AC99" s="19">
        <v>0.4</v>
      </c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20"/>
      <c r="BH99" s="20"/>
      <c r="BI99" s="20"/>
      <c r="BJ99" s="20"/>
      <c r="BK99" s="20"/>
      <c r="BL99" s="20"/>
    </row>
    <row r="100" spans="1:64" ht="16.2" x14ac:dyDescent="0.4">
      <c r="A100" s="11" t="str">
        <f t="shared" si="6"/>
        <v>modesg_out_emss_vclsorigem_scp1_emss</v>
      </c>
      <c r="B100" s="12" t="s">
        <v>12</v>
      </c>
      <c r="C100" s="13" t="s">
        <v>69</v>
      </c>
      <c r="D100" s="14" t="s">
        <v>17</v>
      </c>
      <c r="E100" s="15" t="s">
        <v>105</v>
      </c>
      <c r="F100" s="14" t="s">
        <v>75</v>
      </c>
      <c r="G100" s="16" t="s">
        <v>16</v>
      </c>
      <c r="H100" s="17" t="s">
        <v>15</v>
      </c>
      <c r="I100" s="18">
        <v>45607</v>
      </c>
      <c r="J100" s="17">
        <f t="shared" si="7"/>
        <v>45608</v>
      </c>
      <c r="K100" s="30"/>
      <c r="L100" s="32">
        <v>3</v>
      </c>
      <c r="M100" s="28">
        <f t="shared" si="8"/>
        <v>0.4</v>
      </c>
      <c r="N100" s="28">
        <f t="shared" si="9"/>
        <v>0</v>
      </c>
      <c r="O100" s="19"/>
      <c r="P100" s="19"/>
      <c r="Q100" s="19"/>
      <c r="R100" s="19"/>
      <c r="S100" s="19"/>
      <c r="T100" s="19"/>
      <c r="U100" s="19"/>
      <c r="V100" s="20"/>
      <c r="W100" s="19"/>
      <c r="X100" s="19"/>
      <c r="Y100" s="19"/>
      <c r="Z100" s="19"/>
      <c r="AA100" s="19"/>
      <c r="AB100" s="21"/>
      <c r="AC100" s="19">
        <v>0.4</v>
      </c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20"/>
      <c r="BH100" s="20"/>
      <c r="BI100" s="20"/>
      <c r="BJ100" s="20"/>
      <c r="BK100" s="20"/>
      <c r="BL100" s="20"/>
    </row>
    <row r="101" spans="1:64" ht="16.2" x14ac:dyDescent="0.4">
      <c r="A101" s="11" t="str">
        <f t="shared" si="6"/>
        <v>modesg_out_emss_vclsorigem_scp2_emss</v>
      </c>
      <c r="B101" s="12" t="s">
        <v>12</v>
      </c>
      <c r="C101" s="13" t="s">
        <v>69</v>
      </c>
      <c r="D101" s="14" t="s">
        <v>17</v>
      </c>
      <c r="E101" s="15" t="s">
        <v>105</v>
      </c>
      <c r="F101" s="14" t="s">
        <v>76</v>
      </c>
      <c r="G101" s="16" t="s">
        <v>16</v>
      </c>
      <c r="H101" s="17" t="s">
        <v>15</v>
      </c>
      <c r="I101" s="18">
        <v>45607</v>
      </c>
      <c r="J101" s="17">
        <f t="shared" si="7"/>
        <v>45609</v>
      </c>
      <c r="K101" s="30"/>
      <c r="L101" s="32">
        <v>3</v>
      </c>
      <c r="M101" s="28">
        <f t="shared" si="8"/>
        <v>0.4</v>
      </c>
      <c r="N101" s="28">
        <f t="shared" si="9"/>
        <v>0</v>
      </c>
      <c r="O101" s="19"/>
      <c r="P101" s="19"/>
      <c r="Q101" s="19"/>
      <c r="R101" s="19"/>
      <c r="S101" s="19"/>
      <c r="T101" s="19"/>
      <c r="U101" s="19"/>
      <c r="V101" s="20"/>
      <c r="W101" s="19"/>
      <c r="X101" s="19"/>
      <c r="Y101" s="19"/>
      <c r="Z101" s="19"/>
      <c r="AA101" s="19"/>
      <c r="AB101" s="21"/>
      <c r="AC101" s="19">
        <v>0.2</v>
      </c>
      <c r="AD101" s="19">
        <v>0.2</v>
      </c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20"/>
      <c r="BH101" s="20"/>
      <c r="BI101" s="20"/>
      <c r="BJ101" s="20"/>
      <c r="BK101" s="20"/>
      <c r="BL101" s="20"/>
    </row>
    <row r="102" spans="1:64" ht="16.2" x14ac:dyDescent="0.4">
      <c r="A102" s="11" t="str">
        <f t="shared" si="6"/>
        <v>modesg_out_emss_vclsorigem_scp3_emss</v>
      </c>
      <c r="B102" s="12" t="s">
        <v>12</v>
      </c>
      <c r="C102" s="13" t="s">
        <v>69</v>
      </c>
      <c r="D102" s="14" t="s">
        <v>17</v>
      </c>
      <c r="E102" s="15" t="s">
        <v>105</v>
      </c>
      <c r="F102" s="14" t="s">
        <v>77</v>
      </c>
      <c r="G102" s="16" t="s">
        <v>16</v>
      </c>
      <c r="H102" s="17" t="s">
        <v>15</v>
      </c>
      <c r="I102" s="18">
        <v>45607</v>
      </c>
      <c r="J102" s="17">
        <f t="shared" si="7"/>
        <v>45609</v>
      </c>
      <c r="K102" s="30"/>
      <c r="L102" s="32">
        <v>3</v>
      </c>
      <c r="M102" s="28">
        <f t="shared" si="8"/>
        <v>0.4</v>
      </c>
      <c r="N102" s="28">
        <f t="shared" si="9"/>
        <v>0</v>
      </c>
      <c r="O102" s="19"/>
      <c r="P102" s="19"/>
      <c r="Q102" s="19"/>
      <c r="R102" s="19"/>
      <c r="S102" s="19"/>
      <c r="T102" s="19"/>
      <c r="U102" s="19"/>
      <c r="V102" s="20"/>
      <c r="W102" s="19"/>
      <c r="X102" s="19"/>
      <c r="Y102" s="19"/>
      <c r="Z102" s="19"/>
      <c r="AA102" s="19"/>
      <c r="AB102" s="21"/>
      <c r="AC102" s="19"/>
      <c r="AD102" s="19">
        <v>0.4</v>
      </c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20"/>
      <c r="BH102" s="20"/>
      <c r="BI102" s="20"/>
      <c r="BJ102" s="20"/>
      <c r="BK102" s="20"/>
      <c r="BL102" s="20"/>
    </row>
    <row r="103" spans="1:64" ht="16.2" x14ac:dyDescent="0.4">
      <c r="A103" s="11" t="str">
        <f t="shared" si="6"/>
        <v>modesg_out_emss_vclsscp1_emss</v>
      </c>
      <c r="B103" s="12" t="s">
        <v>12</v>
      </c>
      <c r="C103" s="13" t="s">
        <v>69</v>
      </c>
      <c r="D103" s="14" t="s">
        <v>17</v>
      </c>
      <c r="E103" s="15" t="s">
        <v>105</v>
      </c>
      <c r="F103" s="14" t="s">
        <v>78</v>
      </c>
      <c r="G103" s="16" t="s">
        <v>16</v>
      </c>
      <c r="H103" s="17" t="s">
        <v>15</v>
      </c>
      <c r="I103" s="18">
        <v>45607</v>
      </c>
      <c r="J103" s="17">
        <f t="shared" si="7"/>
        <v>45609</v>
      </c>
      <c r="K103" s="30"/>
      <c r="L103" s="28">
        <v>16.100000000000001</v>
      </c>
      <c r="M103" s="28">
        <f t="shared" si="8"/>
        <v>2</v>
      </c>
      <c r="N103" s="28">
        <f t="shared" si="9"/>
        <v>-1.6</v>
      </c>
      <c r="O103" s="19"/>
      <c r="P103" s="19"/>
      <c r="Q103" s="19"/>
      <c r="R103" s="19"/>
      <c r="S103" s="19"/>
      <c r="T103" s="19"/>
      <c r="U103" s="19"/>
      <c r="V103" s="20"/>
      <c r="W103" s="19"/>
      <c r="X103" s="19"/>
      <c r="Y103" s="19"/>
      <c r="Z103" s="19"/>
      <c r="AA103" s="19"/>
      <c r="AB103" s="21"/>
      <c r="AC103" s="19"/>
      <c r="AD103" s="19">
        <v>0.4</v>
      </c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20"/>
      <c r="BH103" s="20"/>
      <c r="BI103" s="20"/>
      <c r="BJ103" s="20"/>
      <c r="BK103" s="20"/>
      <c r="BL103" s="20"/>
    </row>
    <row r="104" spans="1:64" ht="16.2" hidden="1" x14ac:dyDescent="0.4">
      <c r="A104" s="11" t="str">
        <f t="shared" si="6"/>
        <v>modesg_out_emss_vclsscp2_emss</v>
      </c>
      <c r="B104" s="12" t="s">
        <v>12</v>
      </c>
      <c r="C104" s="13" t="s">
        <v>69</v>
      </c>
      <c r="D104" s="14" t="s">
        <v>17</v>
      </c>
      <c r="E104" s="15" t="s">
        <v>105</v>
      </c>
      <c r="F104" s="14" t="s">
        <v>79</v>
      </c>
      <c r="G104" s="16" t="s">
        <v>16</v>
      </c>
      <c r="H104" s="17" t="s">
        <v>15</v>
      </c>
      <c r="I104" s="18">
        <v>45607</v>
      </c>
      <c r="J104" s="17">
        <f t="shared" si="7"/>
        <v>45611</v>
      </c>
      <c r="K104" s="30"/>
      <c r="L104" s="28">
        <v>16.100000000000001</v>
      </c>
      <c r="M104" s="28">
        <f t="shared" si="8"/>
        <v>2</v>
      </c>
      <c r="N104" s="28">
        <f t="shared" si="9"/>
        <v>0</v>
      </c>
      <c r="O104" s="19"/>
      <c r="P104" s="19"/>
      <c r="Q104" s="19"/>
      <c r="R104" s="19"/>
      <c r="S104" s="19"/>
      <c r="T104" s="19"/>
      <c r="U104" s="19"/>
      <c r="V104" s="20"/>
      <c r="W104" s="19"/>
      <c r="X104" s="19"/>
      <c r="Y104" s="19"/>
      <c r="Z104" s="19"/>
      <c r="AA104" s="19"/>
      <c r="AB104" s="21"/>
      <c r="AC104" s="19"/>
      <c r="AD104" s="19"/>
      <c r="AE104" s="19">
        <v>1</v>
      </c>
      <c r="AF104" s="19">
        <v>1</v>
      </c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20"/>
      <c r="BH104" s="20"/>
      <c r="BI104" s="20"/>
      <c r="BJ104" s="20"/>
      <c r="BK104" s="20"/>
      <c r="BL104" s="20"/>
    </row>
    <row r="105" spans="1:64" ht="16.2" hidden="1" x14ac:dyDescent="0.4">
      <c r="A105" s="11" t="str">
        <f t="shared" si="6"/>
        <v>modesg_out_emss_vclsscp3_emss</v>
      </c>
      <c r="B105" s="12" t="s">
        <v>12</v>
      </c>
      <c r="C105" s="13" t="s">
        <v>69</v>
      </c>
      <c r="D105" s="14" t="s">
        <v>17</v>
      </c>
      <c r="E105" s="15" t="s">
        <v>105</v>
      </c>
      <c r="F105" s="14" t="s">
        <v>104</v>
      </c>
      <c r="G105" s="16" t="s">
        <v>16</v>
      </c>
      <c r="H105" s="17" t="s">
        <v>15</v>
      </c>
      <c r="I105" s="18">
        <v>45607</v>
      </c>
      <c r="J105" s="17">
        <f t="shared" si="7"/>
        <v>45615</v>
      </c>
      <c r="K105" s="30"/>
      <c r="L105" s="28">
        <v>16.100000000000001</v>
      </c>
      <c r="M105" s="28">
        <f t="shared" si="8"/>
        <v>2</v>
      </c>
      <c r="N105" s="28">
        <f t="shared" si="9"/>
        <v>0</v>
      </c>
      <c r="O105" s="19"/>
      <c r="P105" s="19"/>
      <c r="Q105" s="19"/>
      <c r="R105" s="19"/>
      <c r="S105" s="19"/>
      <c r="T105" s="19"/>
      <c r="U105" s="19"/>
      <c r="V105" s="20"/>
      <c r="W105" s="19"/>
      <c r="X105" s="19"/>
      <c r="Y105" s="19"/>
      <c r="Z105" s="19"/>
      <c r="AA105" s="19"/>
      <c r="AB105" s="21"/>
      <c r="AC105" s="19"/>
      <c r="AD105" s="19"/>
      <c r="AE105" s="19"/>
      <c r="AF105" s="19"/>
      <c r="AG105" s="19">
        <v>1</v>
      </c>
      <c r="AH105" s="19">
        <v>1</v>
      </c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20"/>
      <c r="BH105" s="20"/>
      <c r="BI105" s="20"/>
      <c r="BJ105" s="20"/>
      <c r="BK105" s="20"/>
      <c r="BL105" s="20"/>
    </row>
    <row r="106" spans="1:64" ht="16.2" hidden="1" x14ac:dyDescent="0.4">
      <c r="A106" s="11" t="str">
        <f t="shared" si="6"/>
        <v>modesg_out_sfcs_taxon_europeiacbalcao</v>
      </c>
      <c r="B106" s="12" t="s">
        <v>12</v>
      </c>
      <c r="C106" s="13" t="s">
        <v>69</v>
      </c>
      <c r="D106" s="14" t="s">
        <v>17</v>
      </c>
      <c r="E106" s="15" t="s">
        <v>107</v>
      </c>
      <c r="F106" s="14" t="s">
        <v>108</v>
      </c>
      <c r="G106" s="16" t="s">
        <v>16</v>
      </c>
      <c r="H106" s="17" t="s">
        <v>15</v>
      </c>
      <c r="I106" s="18">
        <v>45624</v>
      </c>
      <c r="J106" s="17">
        <f t="shared" si="7"/>
        <v>45629</v>
      </c>
      <c r="K106" s="30"/>
      <c r="L106" s="28">
        <v>4.0999999999999996</v>
      </c>
      <c r="M106" s="28">
        <f t="shared" si="8"/>
        <v>0.5</v>
      </c>
      <c r="N106" s="28">
        <f t="shared" si="9"/>
        <v>0</v>
      </c>
      <c r="O106" s="19"/>
      <c r="P106" s="19"/>
      <c r="Q106" s="19"/>
      <c r="R106" s="19"/>
      <c r="S106" s="19"/>
      <c r="T106" s="19"/>
      <c r="U106" s="19"/>
      <c r="V106" s="20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21"/>
      <c r="AP106" s="19"/>
      <c r="AQ106" s="19"/>
      <c r="AR106" s="19">
        <v>0.5</v>
      </c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20"/>
      <c r="BH106" s="20"/>
      <c r="BI106" s="20"/>
      <c r="BJ106" s="20"/>
      <c r="BK106" s="20"/>
      <c r="BL106" s="20"/>
    </row>
    <row r="107" spans="1:64" ht="16.2" hidden="1" x14ac:dyDescent="0.4">
      <c r="A107" s="11" t="str">
        <f t="shared" si="6"/>
        <v>modesg_out_sfcs_taxon_europeiacempresa</v>
      </c>
      <c r="B107" s="12" t="s">
        <v>12</v>
      </c>
      <c r="C107" s="13" t="s">
        <v>69</v>
      </c>
      <c r="D107" s="14" t="s">
        <v>17</v>
      </c>
      <c r="E107" s="15" t="s">
        <v>107</v>
      </c>
      <c r="F107" s="14" t="s">
        <v>109</v>
      </c>
      <c r="G107" s="16" t="s">
        <v>16</v>
      </c>
      <c r="H107" s="17" t="s">
        <v>15</v>
      </c>
      <c r="I107" s="18">
        <v>45624</v>
      </c>
      <c r="J107" s="17">
        <f t="shared" si="7"/>
        <v>45629</v>
      </c>
      <c r="K107" s="30"/>
      <c r="L107" s="28">
        <v>4.0999999999999996</v>
      </c>
      <c r="M107" s="28">
        <f t="shared" si="8"/>
        <v>0.5</v>
      </c>
      <c r="N107" s="28">
        <f t="shared" si="9"/>
        <v>0</v>
      </c>
      <c r="O107" s="19"/>
      <c r="P107" s="19"/>
      <c r="Q107" s="19"/>
      <c r="R107" s="19"/>
      <c r="S107" s="19"/>
      <c r="T107" s="19"/>
      <c r="U107" s="19"/>
      <c r="V107" s="20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21"/>
      <c r="AP107" s="19"/>
      <c r="AQ107" s="19"/>
      <c r="AR107" s="19">
        <v>0.5</v>
      </c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20"/>
      <c r="BH107" s="20"/>
      <c r="BI107" s="20"/>
      <c r="BJ107" s="20"/>
      <c r="BK107" s="20"/>
      <c r="BL107" s="20"/>
    </row>
    <row r="108" spans="1:64" ht="16.2" hidden="1" x14ac:dyDescent="0.4">
      <c r="A108" s="11" t="str">
        <f t="shared" si="6"/>
        <v>modesg_out_sfcs_taxon_europeiacnumecta</v>
      </c>
      <c r="B108" s="12" t="s">
        <v>12</v>
      </c>
      <c r="C108" s="13" t="s">
        <v>69</v>
      </c>
      <c r="D108" s="14" t="s">
        <v>17</v>
      </c>
      <c r="E108" s="15" t="s">
        <v>107</v>
      </c>
      <c r="F108" s="14" t="s">
        <v>110</v>
      </c>
      <c r="G108" s="16" t="s">
        <v>16</v>
      </c>
      <c r="H108" s="17" t="s">
        <v>15</v>
      </c>
      <c r="I108" s="18">
        <v>45624</v>
      </c>
      <c r="J108" s="17">
        <f t="shared" si="7"/>
        <v>45630</v>
      </c>
      <c r="K108" s="30"/>
      <c r="L108" s="28">
        <v>4.0999999999999996</v>
      </c>
      <c r="M108" s="28">
        <f t="shared" si="8"/>
        <v>0.5</v>
      </c>
      <c r="N108" s="28">
        <f t="shared" si="9"/>
        <v>0</v>
      </c>
      <c r="O108" s="19"/>
      <c r="P108" s="19"/>
      <c r="Q108" s="19"/>
      <c r="R108" s="19"/>
      <c r="S108" s="19"/>
      <c r="T108" s="19"/>
      <c r="U108" s="19"/>
      <c r="V108" s="20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21"/>
      <c r="AP108" s="19"/>
      <c r="AQ108" s="19"/>
      <c r="AR108" s="19"/>
      <c r="AS108" s="19">
        <v>0.5</v>
      </c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20"/>
      <c r="BH108" s="20"/>
      <c r="BI108" s="20"/>
      <c r="BJ108" s="20"/>
      <c r="BK108" s="20"/>
      <c r="BL108" s="20"/>
    </row>
    <row r="109" spans="1:64" ht="16.2" hidden="1" x14ac:dyDescent="0.4">
      <c r="A109" s="11" t="str">
        <f t="shared" si="6"/>
        <v>modesg_out_sfcs_taxon_europeiacod_regra</v>
      </c>
      <c r="B109" s="12" t="s">
        <v>12</v>
      </c>
      <c r="C109" s="13" t="s">
        <v>69</v>
      </c>
      <c r="D109" s="14" t="s">
        <v>17</v>
      </c>
      <c r="E109" s="15" t="s">
        <v>107</v>
      </c>
      <c r="F109" s="14" t="s">
        <v>52</v>
      </c>
      <c r="G109" s="16" t="s">
        <v>16</v>
      </c>
      <c r="H109" s="17" t="s">
        <v>15</v>
      </c>
      <c r="I109" s="18">
        <v>45624</v>
      </c>
      <c r="J109" s="17">
        <f t="shared" si="7"/>
        <v>45630</v>
      </c>
      <c r="K109" s="30"/>
      <c r="L109" s="28">
        <v>4.0999999999999996</v>
      </c>
      <c r="M109" s="28">
        <f t="shared" si="8"/>
        <v>0.5</v>
      </c>
      <c r="N109" s="28">
        <f t="shared" si="9"/>
        <v>0</v>
      </c>
      <c r="O109" s="19"/>
      <c r="P109" s="19"/>
      <c r="Q109" s="19"/>
      <c r="R109" s="19"/>
      <c r="S109" s="19"/>
      <c r="T109" s="19"/>
      <c r="U109" s="19"/>
      <c r="V109" s="20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21"/>
      <c r="AP109" s="19"/>
      <c r="AQ109" s="19"/>
      <c r="AR109" s="19"/>
      <c r="AS109" s="19">
        <v>0.5</v>
      </c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20"/>
      <c r="BH109" s="20"/>
      <c r="BI109" s="20"/>
      <c r="BJ109" s="20"/>
      <c r="BK109" s="20"/>
      <c r="BL109" s="20"/>
    </row>
    <row r="110" spans="1:64" ht="16.2" hidden="1" x14ac:dyDescent="0.4">
      <c r="A110" s="11" t="str">
        <f t="shared" si="6"/>
        <v>modesg_out_sfcs_taxon_europeiamontante_pndrc</v>
      </c>
      <c r="B110" s="12" t="s">
        <v>12</v>
      </c>
      <c r="C110" s="13" t="s">
        <v>69</v>
      </c>
      <c r="D110" s="14" t="s">
        <v>17</v>
      </c>
      <c r="E110" s="15" t="s">
        <v>107</v>
      </c>
      <c r="F110" s="14" t="s">
        <v>61</v>
      </c>
      <c r="G110" s="16" t="s">
        <v>16</v>
      </c>
      <c r="H110" s="17" t="s">
        <v>15</v>
      </c>
      <c r="I110" s="18">
        <v>45624</v>
      </c>
      <c r="J110" s="17">
        <f t="shared" si="7"/>
        <v>45632</v>
      </c>
      <c r="K110" s="30"/>
      <c r="L110" s="28">
        <v>16.100000000000001</v>
      </c>
      <c r="M110" s="28">
        <f t="shared" si="8"/>
        <v>2</v>
      </c>
      <c r="N110" s="28">
        <f t="shared" si="9"/>
        <v>0</v>
      </c>
      <c r="O110" s="19"/>
      <c r="P110" s="19"/>
      <c r="Q110" s="19"/>
      <c r="R110" s="19"/>
      <c r="S110" s="19"/>
      <c r="T110" s="19"/>
      <c r="U110" s="19"/>
      <c r="V110" s="20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21"/>
      <c r="AP110" s="19"/>
      <c r="AQ110" s="19"/>
      <c r="AR110" s="19"/>
      <c r="AS110" s="19"/>
      <c r="AT110" s="19">
        <v>1</v>
      </c>
      <c r="AU110" s="19">
        <v>1</v>
      </c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20"/>
      <c r="BH110" s="20"/>
      <c r="BI110" s="20"/>
      <c r="BJ110" s="20"/>
      <c r="BK110" s="20"/>
      <c r="BL110" s="20"/>
    </row>
    <row r="111" spans="1:64" ht="16.2" hidden="1" x14ac:dyDescent="0.4">
      <c r="A111" s="11" t="str">
        <f t="shared" si="6"/>
        <v>modesg_out_sfcs_taxon_europeianome_ctgr_sfcs</v>
      </c>
      <c r="B111" s="12" t="s">
        <v>12</v>
      </c>
      <c r="C111" s="13" t="s">
        <v>69</v>
      </c>
      <c r="D111" s="14" t="s">
        <v>17</v>
      </c>
      <c r="E111" s="15" t="s">
        <v>107</v>
      </c>
      <c r="F111" s="14" t="s">
        <v>62</v>
      </c>
      <c r="G111" s="16" t="s">
        <v>16</v>
      </c>
      <c r="H111" s="17" t="s">
        <v>15</v>
      </c>
      <c r="I111" s="18">
        <v>45624</v>
      </c>
      <c r="J111" s="17">
        <f t="shared" si="7"/>
        <v>45636</v>
      </c>
      <c r="K111" s="30"/>
      <c r="L111" s="28">
        <v>16.100000000000001</v>
      </c>
      <c r="M111" s="28">
        <f t="shared" si="8"/>
        <v>2</v>
      </c>
      <c r="N111" s="28">
        <f t="shared" si="9"/>
        <v>0</v>
      </c>
      <c r="O111" s="19"/>
      <c r="P111" s="19"/>
      <c r="Q111" s="19"/>
      <c r="R111" s="19"/>
      <c r="S111" s="19"/>
      <c r="T111" s="19"/>
      <c r="U111" s="19"/>
      <c r="V111" s="20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21"/>
      <c r="AP111" s="19"/>
      <c r="AQ111" s="19"/>
      <c r="AR111" s="19"/>
      <c r="AS111" s="19"/>
      <c r="AT111" s="19"/>
      <c r="AU111" s="19"/>
      <c r="AV111" s="19">
        <v>1</v>
      </c>
      <c r="AW111" s="19">
        <v>1</v>
      </c>
      <c r="AX111" s="19"/>
      <c r="AY111" s="19"/>
      <c r="AZ111" s="19"/>
      <c r="BA111" s="19"/>
      <c r="BB111" s="19"/>
      <c r="BC111" s="19"/>
      <c r="BD111" s="19"/>
      <c r="BE111" s="19"/>
      <c r="BF111" s="19"/>
      <c r="BG111" s="20"/>
      <c r="BH111" s="20"/>
      <c r="BI111" s="20"/>
      <c r="BJ111" s="20"/>
      <c r="BK111" s="20"/>
      <c r="BL111" s="20"/>
    </row>
    <row r="112" spans="1:64" ht="16.2" hidden="1" x14ac:dyDescent="0.4">
      <c r="A112" s="11" t="str">
        <f t="shared" si="6"/>
        <v>modesg_out_sfcs_taxon_europeianome_general_specific_purpose</v>
      </c>
      <c r="B112" s="12" t="s">
        <v>12</v>
      </c>
      <c r="C112" s="13" t="s">
        <v>69</v>
      </c>
      <c r="D112" s="14" t="s">
        <v>17</v>
      </c>
      <c r="E112" s="15" t="s">
        <v>107</v>
      </c>
      <c r="F112" s="14" t="s">
        <v>63</v>
      </c>
      <c r="G112" s="16" t="s">
        <v>16</v>
      </c>
      <c r="H112" s="17" t="s">
        <v>15</v>
      </c>
      <c r="I112" s="18">
        <v>45624</v>
      </c>
      <c r="J112" s="17">
        <f t="shared" si="7"/>
        <v>45637</v>
      </c>
      <c r="K112" s="30"/>
      <c r="L112" s="28">
        <v>8.1</v>
      </c>
      <c r="M112" s="28">
        <f t="shared" si="8"/>
        <v>1</v>
      </c>
      <c r="N112" s="28">
        <f t="shared" si="9"/>
        <v>0</v>
      </c>
      <c r="O112" s="19"/>
      <c r="P112" s="19"/>
      <c r="Q112" s="19"/>
      <c r="R112" s="19"/>
      <c r="S112" s="19"/>
      <c r="T112" s="19"/>
      <c r="U112" s="19"/>
      <c r="V112" s="20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21"/>
      <c r="AP112" s="19"/>
      <c r="AQ112" s="19"/>
      <c r="AR112" s="19"/>
      <c r="AS112" s="19"/>
      <c r="AT112" s="19"/>
      <c r="AU112" s="19"/>
      <c r="AV112" s="19"/>
      <c r="AW112" s="19"/>
      <c r="AX112" s="19">
        <v>1</v>
      </c>
      <c r="AY112" s="19"/>
      <c r="AZ112" s="19"/>
      <c r="BA112" s="19"/>
      <c r="BB112" s="19"/>
      <c r="BC112" s="19"/>
      <c r="BD112" s="19"/>
      <c r="BE112" s="19"/>
      <c r="BF112" s="19"/>
      <c r="BG112" s="20"/>
      <c r="BH112" s="20"/>
      <c r="BI112" s="20"/>
      <c r="BJ112" s="20"/>
      <c r="BK112" s="20"/>
      <c r="BL112" s="20"/>
    </row>
    <row r="113" spans="1:64" ht="16.2" hidden="1" x14ac:dyDescent="0.4">
      <c r="A113" s="11" t="str">
        <f t="shared" si="6"/>
        <v>modesg_out_sfcs_taxon_europeianome_purpose_esg</v>
      </c>
      <c r="B113" s="12" t="s">
        <v>12</v>
      </c>
      <c r="C113" s="13" t="s">
        <v>69</v>
      </c>
      <c r="D113" s="14" t="s">
        <v>17</v>
      </c>
      <c r="E113" s="15" t="s">
        <v>107</v>
      </c>
      <c r="F113" s="14" t="s">
        <v>64</v>
      </c>
      <c r="G113" s="16" t="s">
        <v>16</v>
      </c>
      <c r="H113" s="17" t="s">
        <v>15</v>
      </c>
      <c r="I113" s="18">
        <v>45624</v>
      </c>
      <c r="J113" s="17">
        <f t="shared" si="7"/>
        <v>45638</v>
      </c>
      <c r="K113" s="30"/>
      <c r="L113" s="28">
        <v>8.1</v>
      </c>
      <c r="M113" s="28">
        <f t="shared" si="8"/>
        <v>1</v>
      </c>
      <c r="N113" s="28">
        <f t="shared" si="9"/>
        <v>0</v>
      </c>
      <c r="O113" s="19"/>
      <c r="P113" s="19"/>
      <c r="Q113" s="19"/>
      <c r="R113" s="19"/>
      <c r="S113" s="19"/>
      <c r="T113" s="19"/>
      <c r="U113" s="19"/>
      <c r="V113" s="20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21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>
        <v>1</v>
      </c>
      <c r="AZ113" s="19"/>
      <c r="BA113" s="19"/>
      <c r="BB113" s="19"/>
      <c r="BC113" s="19"/>
      <c r="BD113" s="19"/>
      <c r="BE113" s="19"/>
      <c r="BF113" s="19"/>
      <c r="BG113" s="20"/>
      <c r="BH113" s="20"/>
      <c r="BI113" s="20"/>
      <c r="BJ113" s="20"/>
      <c r="BK113" s="20"/>
      <c r="BL113" s="20"/>
    </row>
    <row r="114" spans="1:64" ht="16.2" hidden="1" x14ac:dyDescent="0.4">
      <c r="A114" s="11" t="str">
        <f t="shared" si="6"/>
        <v>modesg_out_sfcs_taxon_europeianome_specific_eligible</v>
      </c>
      <c r="B114" s="12" t="s">
        <v>12</v>
      </c>
      <c r="C114" s="13" t="s">
        <v>69</v>
      </c>
      <c r="D114" s="14" t="s">
        <v>17</v>
      </c>
      <c r="E114" s="15" t="s">
        <v>107</v>
      </c>
      <c r="F114" s="14" t="s">
        <v>65</v>
      </c>
      <c r="G114" s="16" t="s">
        <v>16</v>
      </c>
      <c r="H114" s="17" t="s">
        <v>15</v>
      </c>
      <c r="I114" s="18">
        <v>45624</v>
      </c>
      <c r="J114" s="17">
        <f t="shared" si="7"/>
        <v>45639</v>
      </c>
      <c r="K114" s="30"/>
      <c r="L114" s="28">
        <v>8.1</v>
      </c>
      <c r="M114" s="28">
        <f t="shared" si="8"/>
        <v>1</v>
      </c>
      <c r="N114" s="28">
        <f t="shared" si="9"/>
        <v>0</v>
      </c>
      <c r="O114" s="19"/>
      <c r="P114" s="19"/>
      <c r="Q114" s="19"/>
      <c r="R114" s="19"/>
      <c r="S114" s="19"/>
      <c r="T114" s="19"/>
      <c r="U114" s="19"/>
      <c r="V114" s="20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21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>
        <v>1</v>
      </c>
      <c r="BA114" s="19"/>
      <c r="BB114" s="19"/>
      <c r="BC114" s="19"/>
      <c r="BD114" s="19"/>
      <c r="BE114" s="19"/>
      <c r="BF114" s="19"/>
      <c r="BG114" s="20"/>
      <c r="BH114" s="20"/>
      <c r="BI114" s="20"/>
      <c r="BJ114" s="20"/>
      <c r="BK114" s="20"/>
      <c r="BL114" s="20"/>
    </row>
    <row r="115" spans="1:64" ht="16.2" hidden="1" x14ac:dyDescent="0.4">
      <c r="A115" s="11" t="str">
        <f t="shared" si="6"/>
        <v>modesg_out_sfcs_taxon_europeianome_specific_sustainable</v>
      </c>
      <c r="B115" s="12" t="s">
        <v>12</v>
      </c>
      <c r="C115" s="13" t="s">
        <v>69</v>
      </c>
      <c r="D115" s="14" t="s">
        <v>17</v>
      </c>
      <c r="E115" s="15" t="s">
        <v>107</v>
      </c>
      <c r="F115" s="14" t="s">
        <v>66</v>
      </c>
      <c r="G115" s="16" t="s">
        <v>16</v>
      </c>
      <c r="H115" s="17" t="s">
        <v>15</v>
      </c>
      <c r="I115" s="18">
        <v>45624</v>
      </c>
      <c r="J115" s="17">
        <f t="shared" si="7"/>
        <v>45642</v>
      </c>
      <c r="K115" s="30"/>
      <c r="L115" s="28">
        <v>8.1</v>
      </c>
      <c r="M115" s="28">
        <f t="shared" si="8"/>
        <v>1</v>
      </c>
      <c r="N115" s="28">
        <f t="shared" si="9"/>
        <v>0</v>
      </c>
      <c r="O115" s="19"/>
      <c r="P115" s="19"/>
      <c r="Q115" s="19"/>
      <c r="R115" s="19"/>
      <c r="S115" s="19"/>
      <c r="T115" s="19"/>
      <c r="U115" s="19"/>
      <c r="V115" s="20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1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>
        <v>1</v>
      </c>
      <c r="BB115" s="19"/>
      <c r="BC115" s="19"/>
      <c r="BD115" s="19"/>
      <c r="BE115" s="19"/>
      <c r="BF115" s="19"/>
      <c r="BG115" s="20"/>
      <c r="BH115" s="20"/>
      <c r="BI115" s="20"/>
      <c r="BJ115" s="20"/>
      <c r="BK115" s="20"/>
      <c r="BL115" s="20"/>
    </row>
    <row r="116" spans="1:64" ht="16.2" hidden="1" x14ac:dyDescent="0.4">
      <c r="A116" s="11" t="str">
        <f t="shared" si="6"/>
        <v>modesg_out_sfcs_taxon_europeiaref_date</v>
      </c>
      <c r="B116" s="12" t="s">
        <v>12</v>
      </c>
      <c r="C116" s="13" t="s">
        <v>69</v>
      </c>
      <c r="D116" s="14" t="s">
        <v>17</v>
      </c>
      <c r="E116" s="15" t="s">
        <v>107</v>
      </c>
      <c r="F116" s="14" t="s">
        <v>111</v>
      </c>
      <c r="G116" s="16" t="s">
        <v>16</v>
      </c>
      <c r="H116" s="17" t="s">
        <v>15</v>
      </c>
      <c r="I116" s="18">
        <v>45624</v>
      </c>
      <c r="J116" s="17">
        <f t="shared" si="7"/>
        <v>45643</v>
      </c>
      <c r="K116" s="30"/>
      <c r="L116" s="28">
        <v>4.0999999999999996</v>
      </c>
      <c r="M116" s="28">
        <f t="shared" si="8"/>
        <v>0.5</v>
      </c>
      <c r="N116" s="28">
        <f t="shared" si="9"/>
        <v>0</v>
      </c>
      <c r="O116" s="19"/>
      <c r="P116" s="19"/>
      <c r="Q116" s="19"/>
      <c r="R116" s="19"/>
      <c r="S116" s="19"/>
      <c r="T116" s="19"/>
      <c r="U116" s="19"/>
      <c r="V116" s="20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21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>
        <v>0.5</v>
      </c>
      <c r="BC116" s="19"/>
      <c r="BD116" s="19"/>
      <c r="BE116" s="19"/>
      <c r="BF116" s="19"/>
      <c r="BG116" s="20"/>
      <c r="BH116" s="20"/>
      <c r="BI116" s="20"/>
      <c r="BJ116" s="20"/>
      <c r="BK116" s="20"/>
      <c r="BL116" s="20"/>
    </row>
    <row r="117" spans="1:64" ht="16.2" hidden="1" x14ac:dyDescent="0.4">
      <c r="A117" s="11" t="str">
        <f t="shared" si="6"/>
        <v>modesg_out_sfcs_taxon_europeiazdeposit</v>
      </c>
      <c r="B117" s="12" t="s">
        <v>12</v>
      </c>
      <c r="C117" s="13" t="s">
        <v>69</v>
      </c>
      <c r="D117" s="14" t="s">
        <v>17</v>
      </c>
      <c r="E117" s="15" t="s">
        <v>107</v>
      </c>
      <c r="F117" s="14" t="s">
        <v>68</v>
      </c>
      <c r="G117" s="16" t="s">
        <v>16</v>
      </c>
      <c r="H117" s="17" t="s">
        <v>15</v>
      </c>
      <c r="I117" s="18">
        <v>45624</v>
      </c>
      <c r="J117" s="17">
        <f t="shared" si="7"/>
        <v>45644</v>
      </c>
      <c r="K117" s="30"/>
      <c r="L117" s="28">
        <v>8.1</v>
      </c>
      <c r="M117" s="28">
        <f t="shared" si="8"/>
        <v>1</v>
      </c>
      <c r="N117" s="28">
        <f t="shared" si="9"/>
        <v>0</v>
      </c>
      <c r="O117" s="19"/>
      <c r="P117" s="19"/>
      <c r="Q117" s="19"/>
      <c r="R117" s="19"/>
      <c r="S117" s="19"/>
      <c r="T117" s="19"/>
      <c r="U117" s="19"/>
      <c r="V117" s="20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21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>
        <v>0.5</v>
      </c>
      <c r="BC117" s="19">
        <v>0.5</v>
      </c>
      <c r="BD117" s="19"/>
      <c r="BE117" s="19"/>
      <c r="BF117" s="19"/>
      <c r="BG117" s="20"/>
      <c r="BH117" s="20"/>
      <c r="BI117" s="20"/>
      <c r="BJ117" s="20"/>
      <c r="BK117" s="20"/>
      <c r="BL117" s="20"/>
    </row>
    <row r="118" spans="1:64" ht="16.2" hidden="1" x14ac:dyDescent="0.4">
      <c r="A118" s="11" t="str">
        <f t="shared" si="6"/>
        <v>lt003_entitynace_esg</v>
      </c>
      <c r="B118" s="12" t="s">
        <v>12</v>
      </c>
      <c r="C118" s="13" t="s">
        <v>12</v>
      </c>
      <c r="D118" s="14" t="s">
        <v>17</v>
      </c>
      <c r="E118" s="24" t="s">
        <v>112</v>
      </c>
      <c r="F118" s="24" t="s">
        <v>113</v>
      </c>
      <c r="G118" s="16" t="s">
        <v>16</v>
      </c>
      <c r="H118" s="17">
        <v>45583</v>
      </c>
      <c r="I118" s="18" t="s">
        <v>114</v>
      </c>
      <c r="J118" s="17" t="str">
        <f t="shared" si="7"/>
        <v/>
      </c>
      <c r="K118" s="30"/>
      <c r="L118" s="28">
        <v>4.0999999999999996</v>
      </c>
      <c r="M118" s="28">
        <f t="shared" si="8"/>
        <v>0.5</v>
      </c>
      <c r="N118" s="28">
        <f t="shared" si="9"/>
        <v>-0.5</v>
      </c>
      <c r="O118" s="19"/>
      <c r="P118" s="19"/>
      <c r="Q118" s="19"/>
      <c r="R118" s="19"/>
      <c r="S118" s="19"/>
      <c r="T118" s="19"/>
      <c r="U118" s="19"/>
      <c r="V118" s="20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21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20"/>
      <c r="BH118" s="20"/>
      <c r="BI118" s="20"/>
      <c r="BJ118" s="20"/>
      <c r="BK118" s="20"/>
      <c r="BL118" s="20"/>
    </row>
    <row r="119" spans="1:64" ht="16.2" hidden="1" x14ac:dyDescent="0.4">
      <c r="A119" s="11" t="str">
        <f t="shared" si="6"/>
        <v>lt003_entitytxnmy_elgbl_capex_ccm</v>
      </c>
      <c r="B119" s="12" t="s">
        <v>12</v>
      </c>
      <c r="C119" s="13" t="s">
        <v>12</v>
      </c>
      <c r="D119" s="14" t="s">
        <v>17</v>
      </c>
      <c r="E119" s="24" t="s">
        <v>112</v>
      </c>
      <c r="F119" s="24" t="s">
        <v>115</v>
      </c>
      <c r="G119" s="16" t="s">
        <v>116</v>
      </c>
      <c r="H119" s="17" t="s">
        <v>15</v>
      </c>
      <c r="I119" s="18">
        <v>45614</v>
      </c>
      <c r="J119" s="17">
        <f t="shared" si="7"/>
        <v>45615</v>
      </c>
      <c r="K119" s="30"/>
      <c r="L119" s="28">
        <v>4.0999999999999996</v>
      </c>
      <c r="M119" s="28">
        <f t="shared" si="8"/>
        <v>0.5</v>
      </c>
      <c r="N119" s="28">
        <f t="shared" si="9"/>
        <v>0</v>
      </c>
      <c r="O119" s="19"/>
      <c r="P119" s="19"/>
      <c r="Q119" s="19"/>
      <c r="R119" s="19"/>
      <c r="S119" s="19"/>
      <c r="T119" s="19"/>
      <c r="U119" s="19"/>
      <c r="V119" s="20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21"/>
      <c r="AH119" s="19">
        <v>0.5</v>
      </c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20"/>
      <c r="BH119" s="20"/>
      <c r="BI119" s="20"/>
      <c r="BJ119" s="20"/>
      <c r="BK119" s="20"/>
      <c r="BL119" s="20"/>
    </row>
    <row r="120" spans="1:64" ht="16.2" hidden="1" x14ac:dyDescent="0.4">
      <c r="A120" s="11" t="str">
        <f t="shared" si="6"/>
        <v>lt003_entitytxnmy_elgbl_trnvr_ccm</v>
      </c>
      <c r="B120" s="12" t="s">
        <v>12</v>
      </c>
      <c r="C120" s="13" t="s">
        <v>12</v>
      </c>
      <c r="D120" s="14" t="s">
        <v>17</v>
      </c>
      <c r="E120" s="24" t="s">
        <v>112</v>
      </c>
      <c r="F120" s="24" t="s">
        <v>117</v>
      </c>
      <c r="G120" s="16" t="s">
        <v>116</v>
      </c>
      <c r="H120" s="17" t="s">
        <v>15</v>
      </c>
      <c r="I120" s="18">
        <v>45614</v>
      </c>
      <c r="J120" s="17">
        <f t="shared" si="7"/>
        <v>45615</v>
      </c>
      <c r="K120" s="30"/>
      <c r="L120" s="28">
        <v>4.0999999999999996</v>
      </c>
      <c r="M120" s="28">
        <f t="shared" si="8"/>
        <v>0.5</v>
      </c>
      <c r="N120" s="28">
        <f t="shared" si="9"/>
        <v>0</v>
      </c>
      <c r="O120" s="19"/>
      <c r="P120" s="19"/>
      <c r="Q120" s="19"/>
      <c r="R120" s="19"/>
      <c r="S120" s="19"/>
      <c r="T120" s="19"/>
      <c r="U120" s="19"/>
      <c r="V120" s="20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21"/>
      <c r="AH120" s="19">
        <v>0.5</v>
      </c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20"/>
      <c r="BH120" s="20"/>
      <c r="BI120" s="20"/>
      <c r="BJ120" s="20"/>
      <c r="BK120" s="20"/>
      <c r="BL120" s="20"/>
    </row>
    <row r="121" spans="1:64" ht="16.2" hidden="1" x14ac:dyDescent="0.4">
      <c r="A121" s="11" t="str">
        <f t="shared" si="6"/>
        <v>lt003_entitytxnmy_elgbl_capex_cca</v>
      </c>
      <c r="B121" s="12" t="s">
        <v>12</v>
      </c>
      <c r="C121" s="13" t="s">
        <v>12</v>
      </c>
      <c r="D121" s="14" t="s">
        <v>17</v>
      </c>
      <c r="E121" s="24" t="s">
        <v>112</v>
      </c>
      <c r="F121" s="24" t="s">
        <v>118</v>
      </c>
      <c r="G121" s="16" t="s">
        <v>116</v>
      </c>
      <c r="H121" s="17" t="s">
        <v>15</v>
      </c>
      <c r="I121" s="18">
        <v>45614</v>
      </c>
      <c r="J121" s="17">
        <f t="shared" si="7"/>
        <v>45616</v>
      </c>
      <c r="K121" s="30"/>
      <c r="L121" s="28">
        <v>4.0999999999999996</v>
      </c>
      <c r="M121" s="28">
        <f t="shared" si="8"/>
        <v>0.5</v>
      </c>
      <c r="N121" s="28">
        <f t="shared" si="9"/>
        <v>0</v>
      </c>
      <c r="O121" s="19"/>
      <c r="P121" s="19"/>
      <c r="Q121" s="19"/>
      <c r="R121" s="19"/>
      <c r="S121" s="19"/>
      <c r="T121" s="19"/>
      <c r="U121" s="19"/>
      <c r="V121" s="20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21"/>
      <c r="AH121" s="19"/>
      <c r="AI121" s="19">
        <v>0.5</v>
      </c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20"/>
      <c r="BH121" s="20"/>
      <c r="BI121" s="20"/>
      <c r="BJ121" s="20"/>
      <c r="BK121" s="20"/>
      <c r="BL121" s="20"/>
    </row>
    <row r="122" spans="1:64" ht="16.2" hidden="1" x14ac:dyDescent="0.4">
      <c r="A122" s="11" t="str">
        <f t="shared" si="6"/>
        <v>lt003_entitytxnmy_elgbl_trnvr_cca</v>
      </c>
      <c r="B122" s="12" t="s">
        <v>12</v>
      </c>
      <c r="C122" s="13" t="s">
        <v>12</v>
      </c>
      <c r="D122" s="14" t="s">
        <v>17</v>
      </c>
      <c r="E122" s="24" t="s">
        <v>112</v>
      </c>
      <c r="F122" s="24" t="s">
        <v>119</v>
      </c>
      <c r="G122" s="16" t="s">
        <v>116</v>
      </c>
      <c r="H122" s="17" t="s">
        <v>15</v>
      </c>
      <c r="I122" s="18">
        <v>45614</v>
      </c>
      <c r="J122" s="17">
        <f t="shared" si="7"/>
        <v>45616</v>
      </c>
      <c r="K122" s="30"/>
      <c r="L122" s="28">
        <v>4.0999999999999996</v>
      </c>
      <c r="M122" s="28">
        <f t="shared" si="8"/>
        <v>0.5</v>
      </c>
      <c r="N122" s="28">
        <f t="shared" si="9"/>
        <v>0</v>
      </c>
      <c r="O122" s="19"/>
      <c r="P122" s="19"/>
      <c r="Q122" s="19"/>
      <c r="R122" s="19"/>
      <c r="S122" s="19"/>
      <c r="T122" s="19"/>
      <c r="U122" s="19"/>
      <c r="V122" s="20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21"/>
      <c r="AH122" s="19"/>
      <c r="AI122" s="19">
        <v>0.5</v>
      </c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20"/>
      <c r="BH122" s="20"/>
      <c r="BI122" s="20"/>
      <c r="BJ122" s="20"/>
      <c r="BK122" s="20"/>
      <c r="BL122" s="20"/>
    </row>
    <row r="123" spans="1:64" ht="16.2" hidden="1" x14ac:dyDescent="0.4">
      <c r="A123" s="11" t="str">
        <f t="shared" si="6"/>
        <v>lt003_entityenblng_capex_ccm</v>
      </c>
      <c r="B123" s="12" t="s">
        <v>12</v>
      </c>
      <c r="C123" s="13" t="s">
        <v>12</v>
      </c>
      <c r="D123" s="14" t="s">
        <v>17</v>
      </c>
      <c r="E123" s="24" t="s">
        <v>112</v>
      </c>
      <c r="F123" s="24" t="s">
        <v>120</v>
      </c>
      <c r="G123" s="16" t="s">
        <v>116</v>
      </c>
      <c r="H123" s="17" t="s">
        <v>15</v>
      </c>
      <c r="I123" s="18">
        <v>45614</v>
      </c>
      <c r="J123" s="17">
        <f t="shared" si="7"/>
        <v>45617</v>
      </c>
      <c r="K123" s="30"/>
      <c r="L123" s="28">
        <v>4.0999999999999996</v>
      </c>
      <c r="M123" s="28">
        <f t="shared" si="8"/>
        <v>0.5</v>
      </c>
      <c r="N123" s="28">
        <f t="shared" si="9"/>
        <v>0</v>
      </c>
      <c r="O123" s="19"/>
      <c r="P123" s="19"/>
      <c r="Q123" s="19"/>
      <c r="R123" s="19"/>
      <c r="S123" s="19"/>
      <c r="T123" s="19"/>
      <c r="U123" s="19"/>
      <c r="V123" s="20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21"/>
      <c r="AH123" s="19"/>
      <c r="AI123" s="19"/>
      <c r="AJ123" s="19">
        <v>0.5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20"/>
      <c r="BH123" s="20"/>
      <c r="BI123" s="20"/>
      <c r="BJ123" s="20"/>
      <c r="BK123" s="20"/>
      <c r="BL123" s="20"/>
    </row>
    <row r="124" spans="1:64" ht="16.2" hidden="1" x14ac:dyDescent="0.4">
      <c r="A124" s="11" t="str">
        <f t="shared" si="6"/>
        <v>lt003_entityenblng_capex_cca</v>
      </c>
      <c r="B124" s="12" t="s">
        <v>12</v>
      </c>
      <c r="C124" s="13" t="s">
        <v>12</v>
      </c>
      <c r="D124" s="14" t="s">
        <v>17</v>
      </c>
      <c r="E124" s="24" t="s">
        <v>112</v>
      </c>
      <c r="F124" s="24" t="s">
        <v>121</v>
      </c>
      <c r="G124" s="16" t="s">
        <v>116</v>
      </c>
      <c r="H124" s="17" t="s">
        <v>15</v>
      </c>
      <c r="I124" s="18">
        <v>45614</v>
      </c>
      <c r="J124" s="17">
        <f t="shared" si="7"/>
        <v>45617</v>
      </c>
      <c r="K124" s="30"/>
      <c r="L124" s="28">
        <v>4.0999999999999996</v>
      </c>
      <c r="M124" s="28">
        <f t="shared" si="8"/>
        <v>0.5</v>
      </c>
      <c r="N124" s="28">
        <f t="shared" si="9"/>
        <v>0</v>
      </c>
      <c r="O124" s="19"/>
      <c r="P124" s="19"/>
      <c r="Q124" s="19"/>
      <c r="R124" s="19"/>
      <c r="S124" s="19"/>
      <c r="T124" s="19"/>
      <c r="U124" s="19"/>
      <c r="V124" s="20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21"/>
      <c r="AH124" s="19"/>
      <c r="AI124" s="19"/>
      <c r="AJ124" s="19">
        <v>0.5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20"/>
      <c r="BH124" s="20"/>
      <c r="BI124" s="20"/>
      <c r="BJ124" s="20"/>
      <c r="BK124" s="20"/>
      <c r="BL124" s="20"/>
    </row>
    <row r="125" spans="1:64" ht="16.2" hidden="1" x14ac:dyDescent="0.4">
      <c r="A125" s="11" t="str">
        <f t="shared" si="6"/>
        <v>lt003_entitytrnstnl_capex</v>
      </c>
      <c r="B125" s="12" t="s">
        <v>12</v>
      </c>
      <c r="C125" s="13" t="s">
        <v>12</v>
      </c>
      <c r="D125" s="14" t="s">
        <v>17</v>
      </c>
      <c r="E125" s="24" t="s">
        <v>112</v>
      </c>
      <c r="F125" s="24" t="s">
        <v>122</v>
      </c>
      <c r="G125" s="16" t="s">
        <v>116</v>
      </c>
      <c r="H125" s="17" t="s">
        <v>15</v>
      </c>
      <c r="I125" s="18">
        <v>45614</v>
      </c>
      <c r="J125" s="17">
        <f t="shared" si="7"/>
        <v>45618</v>
      </c>
      <c r="K125" s="30"/>
      <c r="L125" s="28">
        <v>4.0999999999999996</v>
      </c>
      <c r="M125" s="28">
        <f t="shared" si="8"/>
        <v>0.5</v>
      </c>
      <c r="N125" s="28">
        <f t="shared" si="9"/>
        <v>0</v>
      </c>
      <c r="O125" s="19"/>
      <c r="P125" s="19"/>
      <c r="Q125" s="19"/>
      <c r="R125" s="19"/>
      <c r="S125" s="19"/>
      <c r="T125" s="19"/>
      <c r="U125" s="19"/>
      <c r="V125" s="20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21"/>
      <c r="AH125" s="19"/>
      <c r="AI125" s="19"/>
      <c r="AJ125" s="19"/>
      <c r="AK125" s="19">
        <v>0.5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20"/>
      <c r="BH125" s="20"/>
      <c r="BI125" s="20"/>
      <c r="BJ125" s="20"/>
      <c r="BK125" s="20"/>
      <c r="BL125" s="20"/>
    </row>
    <row r="126" spans="1:64" ht="16.2" hidden="1" x14ac:dyDescent="0.4">
      <c r="A126" s="11" t="str">
        <f t="shared" si="6"/>
        <v>lt003_entitypure_capex_ccm</v>
      </c>
      <c r="B126" s="12" t="s">
        <v>12</v>
      </c>
      <c r="C126" s="13" t="s">
        <v>12</v>
      </c>
      <c r="D126" s="14" t="s">
        <v>17</v>
      </c>
      <c r="E126" s="24" t="s">
        <v>112</v>
      </c>
      <c r="F126" s="24" t="s">
        <v>123</v>
      </c>
      <c r="G126" s="16" t="s">
        <v>116</v>
      </c>
      <c r="H126" s="17" t="s">
        <v>15</v>
      </c>
      <c r="I126" s="18">
        <v>45614</v>
      </c>
      <c r="J126" s="17">
        <f t="shared" si="7"/>
        <v>45618</v>
      </c>
      <c r="K126" s="30"/>
      <c r="L126" s="28">
        <v>4.0999999999999996</v>
      </c>
      <c r="M126" s="28">
        <f t="shared" si="8"/>
        <v>0.5</v>
      </c>
      <c r="N126" s="28">
        <f t="shared" si="9"/>
        <v>0</v>
      </c>
      <c r="O126" s="19"/>
      <c r="P126" s="19"/>
      <c r="Q126" s="19"/>
      <c r="R126" s="19"/>
      <c r="S126" s="19"/>
      <c r="T126" s="19"/>
      <c r="U126" s="19"/>
      <c r="V126" s="20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21"/>
      <c r="AH126" s="19"/>
      <c r="AI126" s="19"/>
      <c r="AJ126" s="19"/>
      <c r="AK126" s="19">
        <v>0.5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20"/>
      <c r="BH126" s="20"/>
      <c r="BI126" s="20"/>
      <c r="BJ126" s="20"/>
      <c r="BK126" s="20"/>
      <c r="BL126" s="20"/>
    </row>
    <row r="127" spans="1:64" ht="16.2" hidden="1" x14ac:dyDescent="0.4">
      <c r="A127" s="11" t="str">
        <f t="shared" si="6"/>
        <v>lt003_entitypure_capex_cca</v>
      </c>
      <c r="B127" s="12" t="s">
        <v>12</v>
      </c>
      <c r="C127" s="13" t="s">
        <v>12</v>
      </c>
      <c r="D127" s="14" t="s">
        <v>17</v>
      </c>
      <c r="E127" s="24" t="s">
        <v>112</v>
      </c>
      <c r="F127" s="24" t="s">
        <v>124</v>
      </c>
      <c r="G127" s="16" t="s">
        <v>116</v>
      </c>
      <c r="H127" s="17" t="s">
        <v>15</v>
      </c>
      <c r="I127" s="18">
        <v>45614</v>
      </c>
      <c r="J127" s="17">
        <f t="shared" si="7"/>
        <v>45621</v>
      </c>
      <c r="K127" s="30"/>
      <c r="L127" s="28">
        <v>4.0999999999999996</v>
      </c>
      <c r="M127" s="28">
        <f t="shared" si="8"/>
        <v>0.5</v>
      </c>
      <c r="N127" s="28">
        <f t="shared" si="9"/>
        <v>0</v>
      </c>
      <c r="O127" s="19"/>
      <c r="P127" s="19"/>
      <c r="Q127" s="19"/>
      <c r="R127" s="19"/>
      <c r="S127" s="19"/>
      <c r="T127" s="19"/>
      <c r="U127" s="19"/>
      <c r="V127" s="20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21"/>
      <c r="AH127" s="19"/>
      <c r="AI127" s="19"/>
      <c r="AJ127" s="19"/>
      <c r="AK127" s="19"/>
      <c r="AL127" s="19">
        <v>0.5</v>
      </c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20"/>
      <c r="BH127" s="20"/>
      <c r="BI127" s="20"/>
      <c r="BJ127" s="20"/>
      <c r="BK127" s="20"/>
      <c r="BL127" s="20"/>
    </row>
    <row r="128" spans="1:64" ht="16.2" hidden="1" x14ac:dyDescent="0.4">
      <c r="A128" s="11" t="str">
        <f t="shared" si="6"/>
        <v>lt003_entityenblng_trnvr_ccm</v>
      </c>
      <c r="B128" s="12" t="s">
        <v>12</v>
      </c>
      <c r="C128" s="13" t="s">
        <v>12</v>
      </c>
      <c r="D128" s="14" t="s">
        <v>17</v>
      </c>
      <c r="E128" s="24" t="s">
        <v>112</v>
      </c>
      <c r="F128" s="24" t="s">
        <v>125</v>
      </c>
      <c r="G128" s="16" t="s">
        <v>116</v>
      </c>
      <c r="H128" s="17" t="s">
        <v>15</v>
      </c>
      <c r="I128" s="18">
        <v>45614</v>
      </c>
      <c r="J128" s="17">
        <f t="shared" si="7"/>
        <v>45621</v>
      </c>
      <c r="K128" s="30"/>
      <c r="L128" s="28">
        <v>4.0999999999999996</v>
      </c>
      <c r="M128" s="28">
        <f t="shared" si="8"/>
        <v>0.5</v>
      </c>
      <c r="N128" s="28">
        <f t="shared" si="9"/>
        <v>0</v>
      </c>
      <c r="O128" s="19"/>
      <c r="P128" s="19"/>
      <c r="Q128" s="19"/>
      <c r="R128" s="19"/>
      <c r="S128" s="19"/>
      <c r="T128" s="19"/>
      <c r="U128" s="19"/>
      <c r="V128" s="20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21"/>
      <c r="AH128" s="19"/>
      <c r="AI128" s="19"/>
      <c r="AJ128" s="19"/>
      <c r="AK128" s="19"/>
      <c r="AL128" s="19">
        <v>0.5</v>
      </c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20"/>
      <c r="BH128" s="20"/>
      <c r="BI128" s="20"/>
      <c r="BJ128" s="20"/>
      <c r="BK128" s="20"/>
      <c r="BL128" s="20"/>
    </row>
    <row r="129" spans="1:64" ht="16.2" hidden="1" x14ac:dyDescent="0.4">
      <c r="A129" s="11" t="str">
        <f t="shared" si="6"/>
        <v>lt003_entityenblng_trnvr_cca</v>
      </c>
      <c r="B129" s="12" t="s">
        <v>12</v>
      </c>
      <c r="C129" s="13" t="s">
        <v>12</v>
      </c>
      <c r="D129" s="14" t="s">
        <v>17</v>
      </c>
      <c r="E129" s="24" t="s">
        <v>112</v>
      </c>
      <c r="F129" s="24" t="s">
        <v>126</v>
      </c>
      <c r="G129" s="16" t="s">
        <v>116</v>
      </c>
      <c r="H129" s="17" t="s">
        <v>15</v>
      </c>
      <c r="I129" s="18">
        <v>45614</v>
      </c>
      <c r="J129" s="17">
        <f t="shared" si="7"/>
        <v>45622</v>
      </c>
      <c r="K129" s="30"/>
      <c r="L129" s="28">
        <v>4.0999999999999996</v>
      </c>
      <c r="M129" s="28">
        <f t="shared" si="8"/>
        <v>0.5</v>
      </c>
      <c r="N129" s="28">
        <f t="shared" si="9"/>
        <v>0</v>
      </c>
      <c r="O129" s="19"/>
      <c r="P129" s="19"/>
      <c r="Q129" s="19"/>
      <c r="R129" s="19"/>
      <c r="S129" s="19"/>
      <c r="T129" s="19"/>
      <c r="U129" s="19"/>
      <c r="V129" s="20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21"/>
      <c r="AH129" s="19"/>
      <c r="AI129" s="19"/>
      <c r="AJ129" s="19"/>
      <c r="AK129" s="19"/>
      <c r="AL129" s="19"/>
      <c r="AM129" s="19">
        <v>0.5</v>
      </c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20"/>
      <c r="BH129" s="20"/>
      <c r="BI129" s="20"/>
      <c r="BJ129" s="20"/>
      <c r="BK129" s="20"/>
      <c r="BL129" s="20"/>
    </row>
    <row r="130" spans="1:64" ht="16.2" hidden="1" x14ac:dyDescent="0.4">
      <c r="A130" s="11" t="str">
        <f t="shared" si="6"/>
        <v>lt003_entitytrnstnl_trnvr</v>
      </c>
      <c r="B130" s="12" t="s">
        <v>12</v>
      </c>
      <c r="C130" s="13" t="s">
        <v>12</v>
      </c>
      <c r="D130" s="14" t="s">
        <v>17</v>
      </c>
      <c r="E130" s="24" t="s">
        <v>112</v>
      </c>
      <c r="F130" s="24" t="s">
        <v>127</v>
      </c>
      <c r="G130" s="16" t="s">
        <v>116</v>
      </c>
      <c r="H130" s="17" t="s">
        <v>15</v>
      </c>
      <c r="I130" s="18">
        <v>45614</v>
      </c>
      <c r="J130" s="17">
        <f t="shared" si="7"/>
        <v>45622</v>
      </c>
      <c r="K130" s="30"/>
      <c r="L130" s="28">
        <v>4.0999999999999996</v>
      </c>
      <c r="M130" s="28">
        <f t="shared" si="8"/>
        <v>0.5</v>
      </c>
      <c r="N130" s="28">
        <f t="shared" si="9"/>
        <v>0</v>
      </c>
      <c r="O130" s="19"/>
      <c r="P130" s="19"/>
      <c r="Q130" s="19"/>
      <c r="R130" s="19"/>
      <c r="S130" s="19"/>
      <c r="T130" s="19"/>
      <c r="U130" s="19"/>
      <c r="V130" s="20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21"/>
      <c r="AH130" s="19"/>
      <c r="AI130" s="19"/>
      <c r="AJ130" s="19"/>
      <c r="AK130" s="19"/>
      <c r="AL130" s="19"/>
      <c r="AM130" s="19">
        <v>0.5</v>
      </c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20"/>
      <c r="BH130" s="20"/>
      <c r="BI130" s="20"/>
      <c r="BJ130" s="20"/>
      <c r="BK130" s="20"/>
      <c r="BL130" s="20"/>
    </row>
    <row r="131" spans="1:64" ht="16.2" hidden="1" x14ac:dyDescent="0.4">
      <c r="A131" s="11" t="str">
        <f t="shared" si="6"/>
        <v>lt003_entitypure_trnvr_ccm</v>
      </c>
      <c r="B131" s="12" t="s">
        <v>12</v>
      </c>
      <c r="C131" s="13" t="s">
        <v>12</v>
      </c>
      <c r="D131" s="14" t="s">
        <v>17</v>
      </c>
      <c r="E131" s="24" t="s">
        <v>112</v>
      </c>
      <c r="F131" s="24" t="s">
        <v>128</v>
      </c>
      <c r="G131" s="16" t="s">
        <v>116</v>
      </c>
      <c r="H131" s="17" t="s">
        <v>15</v>
      </c>
      <c r="I131" s="18">
        <v>45614</v>
      </c>
      <c r="J131" s="17">
        <f t="shared" si="7"/>
        <v>45623</v>
      </c>
      <c r="K131" s="30"/>
      <c r="L131" s="28">
        <v>4.0999999999999996</v>
      </c>
      <c r="M131" s="28">
        <f t="shared" si="8"/>
        <v>0.5</v>
      </c>
      <c r="N131" s="28">
        <f t="shared" si="9"/>
        <v>0</v>
      </c>
      <c r="O131" s="19"/>
      <c r="P131" s="19"/>
      <c r="Q131" s="19"/>
      <c r="R131" s="19"/>
      <c r="S131" s="19"/>
      <c r="T131" s="19"/>
      <c r="U131" s="19"/>
      <c r="V131" s="20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21"/>
      <c r="AH131" s="19"/>
      <c r="AI131" s="19"/>
      <c r="AJ131" s="19"/>
      <c r="AK131" s="19"/>
      <c r="AL131" s="19"/>
      <c r="AM131" s="19"/>
      <c r="AN131" s="19">
        <v>0.5</v>
      </c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20"/>
      <c r="BH131" s="20"/>
      <c r="BI131" s="20"/>
      <c r="BJ131" s="20"/>
      <c r="BK131" s="20"/>
      <c r="BL131" s="20"/>
    </row>
    <row r="132" spans="1:64" ht="16.2" hidden="1" x14ac:dyDescent="0.4">
      <c r="A132" s="11" t="str">
        <f t="shared" ref="A132:A195" si="10">E132&amp;F132</f>
        <v>lt003_entitypure_trnvr_cca</v>
      </c>
      <c r="B132" s="12" t="s">
        <v>12</v>
      </c>
      <c r="C132" s="13" t="s">
        <v>12</v>
      </c>
      <c r="D132" s="14" t="s">
        <v>17</v>
      </c>
      <c r="E132" s="24" t="s">
        <v>112</v>
      </c>
      <c r="F132" s="24" t="s">
        <v>129</v>
      </c>
      <c r="G132" s="16" t="s">
        <v>116</v>
      </c>
      <c r="H132" s="17" t="s">
        <v>15</v>
      </c>
      <c r="I132" s="18">
        <v>45614</v>
      </c>
      <c r="J132" s="17">
        <f t="shared" ref="J132:J195" si="11">IF(COUNTA(O132:BL132)=0,"",_xlfn.MAXIFS($O$6:$BL$6,O132:BL132,"&gt;0"))</f>
        <v>45623</v>
      </c>
      <c r="K132" s="30"/>
      <c r="L132" s="28">
        <v>4.0999999999999996</v>
      </c>
      <c r="M132" s="28">
        <f t="shared" ref="M132:M195" si="12">ROUND(L132/8,1)</f>
        <v>0.5</v>
      </c>
      <c r="N132" s="28">
        <f t="shared" si="9"/>
        <v>0</v>
      </c>
      <c r="O132" s="19"/>
      <c r="P132" s="19"/>
      <c r="Q132" s="19"/>
      <c r="R132" s="19"/>
      <c r="S132" s="19"/>
      <c r="T132" s="19"/>
      <c r="U132" s="19"/>
      <c r="V132" s="20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H132" s="19"/>
      <c r="AI132" s="19"/>
      <c r="AJ132" s="19"/>
      <c r="AK132" s="19"/>
      <c r="AL132" s="19"/>
      <c r="AM132" s="19"/>
      <c r="AN132" s="19">
        <v>0.5</v>
      </c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20"/>
      <c r="BH132" s="20"/>
      <c r="BI132" s="20"/>
      <c r="BJ132" s="20"/>
      <c r="BK132" s="20"/>
      <c r="BL132" s="20"/>
    </row>
    <row r="133" spans="1:64" ht="16.2" hidden="1" x14ac:dyDescent="0.4">
      <c r="A133" s="11" t="str">
        <f t="shared" si="10"/>
        <v>lt003_entityflg_nfrd_applcblty</v>
      </c>
      <c r="B133" s="12" t="s">
        <v>12</v>
      </c>
      <c r="C133" s="13" t="s">
        <v>12</v>
      </c>
      <c r="D133" s="14" t="s">
        <v>17</v>
      </c>
      <c r="E133" s="24" t="s">
        <v>112</v>
      </c>
      <c r="F133" s="24" t="s">
        <v>130</v>
      </c>
      <c r="G133" s="16" t="s">
        <v>16</v>
      </c>
      <c r="H133" s="17">
        <v>45589</v>
      </c>
      <c r="I133" s="18" t="s">
        <v>114</v>
      </c>
      <c r="J133" s="17" t="str">
        <f t="shared" si="11"/>
        <v/>
      </c>
      <c r="K133" s="30"/>
      <c r="L133" s="28">
        <v>4.0999999999999996</v>
      </c>
      <c r="M133" s="28">
        <f t="shared" si="12"/>
        <v>0.5</v>
      </c>
      <c r="N133" s="28">
        <f t="shared" si="9"/>
        <v>-0.5</v>
      </c>
      <c r="O133" s="19"/>
      <c r="P133" s="19"/>
      <c r="Q133" s="19"/>
      <c r="R133" s="19"/>
      <c r="S133" s="19"/>
      <c r="T133" s="19"/>
      <c r="U133" s="19"/>
      <c r="V133" s="20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20"/>
      <c r="BH133" s="20"/>
      <c r="BI133" s="20"/>
      <c r="BJ133" s="20"/>
      <c r="BK133" s="20"/>
      <c r="BL133" s="20"/>
    </row>
    <row r="134" spans="1:64" ht="16.2" hidden="1" x14ac:dyDescent="0.4">
      <c r="A134" s="11" t="str">
        <f t="shared" si="10"/>
        <v>lt003_entitycntrprty_emssns_scp1</v>
      </c>
      <c r="B134" s="12" t="s">
        <v>12</v>
      </c>
      <c r="C134" s="13" t="s">
        <v>12</v>
      </c>
      <c r="D134" s="14" t="s">
        <v>17</v>
      </c>
      <c r="E134" s="24" t="s">
        <v>112</v>
      </c>
      <c r="F134" s="24" t="s">
        <v>131</v>
      </c>
      <c r="G134" s="16" t="s">
        <v>116</v>
      </c>
      <c r="H134" s="17" t="s">
        <v>15</v>
      </c>
      <c r="I134" s="18">
        <v>45621</v>
      </c>
      <c r="J134" s="17">
        <f t="shared" si="11"/>
        <v>45624</v>
      </c>
      <c r="K134" s="30"/>
      <c r="L134" s="28">
        <v>4.0999999999999996</v>
      </c>
      <c r="M134" s="28">
        <f t="shared" si="12"/>
        <v>0.5</v>
      </c>
      <c r="N134" s="28">
        <f t="shared" si="9"/>
        <v>0</v>
      </c>
      <c r="O134" s="19"/>
      <c r="P134" s="19"/>
      <c r="Q134" s="19"/>
      <c r="R134" s="19"/>
      <c r="S134" s="19"/>
      <c r="T134" s="19"/>
      <c r="U134" s="19"/>
      <c r="V134" s="20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21"/>
      <c r="AM134" s="19"/>
      <c r="AN134" s="19"/>
      <c r="AO134" s="19">
        <v>0.5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20"/>
      <c r="BH134" s="20"/>
      <c r="BI134" s="20"/>
      <c r="BJ134" s="20"/>
      <c r="BK134" s="20"/>
      <c r="BL134" s="20"/>
    </row>
    <row r="135" spans="1:64" ht="16.2" hidden="1" x14ac:dyDescent="0.4">
      <c r="A135" s="11" t="str">
        <f t="shared" si="10"/>
        <v>lt003_entitycntrprty_emssns_scp2</v>
      </c>
      <c r="B135" s="12" t="s">
        <v>12</v>
      </c>
      <c r="C135" s="13" t="s">
        <v>12</v>
      </c>
      <c r="D135" s="14" t="s">
        <v>17</v>
      </c>
      <c r="E135" s="24" t="s">
        <v>112</v>
      </c>
      <c r="F135" s="24" t="s">
        <v>132</v>
      </c>
      <c r="G135" s="16" t="s">
        <v>116</v>
      </c>
      <c r="H135" s="17" t="s">
        <v>15</v>
      </c>
      <c r="I135" s="18">
        <v>45621</v>
      </c>
      <c r="J135" s="17">
        <f t="shared" si="11"/>
        <v>45625</v>
      </c>
      <c r="K135" s="30"/>
      <c r="L135" s="28">
        <v>4.0999999999999996</v>
      </c>
      <c r="M135" s="28">
        <f t="shared" si="12"/>
        <v>0.5</v>
      </c>
      <c r="N135" s="28">
        <f t="shared" si="9"/>
        <v>0</v>
      </c>
      <c r="O135" s="19"/>
      <c r="P135" s="19"/>
      <c r="Q135" s="19"/>
      <c r="R135" s="19"/>
      <c r="S135" s="19"/>
      <c r="T135" s="19"/>
      <c r="U135" s="19"/>
      <c r="V135" s="20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21"/>
      <c r="AM135" s="19"/>
      <c r="AN135" s="19"/>
      <c r="AO135" s="19"/>
      <c r="AP135" s="19">
        <v>0.5</v>
      </c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20"/>
      <c r="BH135" s="20"/>
      <c r="BI135" s="20"/>
      <c r="BJ135" s="20"/>
      <c r="BK135" s="20"/>
      <c r="BL135" s="20"/>
    </row>
    <row r="136" spans="1:64" ht="16.2" hidden="1" x14ac:dyDescent="0.4">
      <c r="A136" s="11" t="str">
        <f t="shared" si="10"/>
        <v>lt003_entitycntrprty_emssns_scp3</v>
      </c>
      <c r="B136" s="12" t="s">
        <v>12</v>
      </c>
      <c r="C136" s="13" t="s">
        <v>12</v>
      </c>
      <c r="D136" s="14" t="s">
        <v>17</v>
      </c>
      <c r="E136" s="24" t="s">
        <v>112</v>
      </c>
      <c r="F136" s="24" t="s">
        <v>133</v>
      </c>
      <c r="G136" s="16" t="s">
        <v>116</v>
      </c>
      <c r="H136" s="17" t="s">
        <v>15</v>
      </c>
      <c r="I136" s="18">
        <v>45621</v>
      </c>
      <c r="J136" s="17">
        <f t="shared" si="11"/>
        <v>45625</v>
      </c>
      <c r="K136" s="30"/>
      <c r="L136" s="28">
        <v>4.0999999999999996</v>
      </c>
      <c r="M136" s="28">
        <f t="shared" si="12"/>
        <v>0.5</v>
      </c>
      <c r="N136" s="28">
        <f t="shared" ref="N136:N195" si="13">SUM(O136:BL136)-M136</f>
        <v>0</v>
      </c>
      <c r="O136" s="19"/>
      <c r="P136" s="19"/>
      <c r="Q136" s="19"/>
      <c r="R136" s="19"/>
      <c r="S136" s="19"/>
      <c r="T136" s="19"/>
      <c r="U136" s="19"/>
      <c r="V136" s="20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21"/>
      <c r="AM136" s="19"/>
      <c r="AN136" s="19"/>
      <c r="AO136" s="19"/>
      <c r="AP136" s="19">
        <v>0.5</v>
      </c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20"/>
      <c r="BH136" s="20"/>
      <c r="BI136" s="20"/>
      <c r="BJ136" s="20"/>
      <c r="BK136" s="20"/>
      <c r="BL136" s="20"/>
    </row>
    <row r="137" spans="1:64" ht="16.2" hidden="1" x14ac:dyDescent="0.4">
      <c r="A137" s="11" t="str">
        <f t="shared" si="10"/>
        <v>lt003_entityflg_excldd_eu_prs_algnd_bnchmrk</v>
      </c>
      <c r="B137" s="12" t="s">
        <v>12</v>
      </c>
      <c r="C137" s="13" t="s">
        <v>12</v>
      </c>
      <c r="D137" s="14" t="s">
        <v>17</v>
      </c>
      <c r="E137" s="24" t="s">
        <v>112</v>
      </c>
      <c r="F137" s="24" t="s">
        <v>134</v>
      </c>
      <c r="G137" s="16" t="s">
        <v>116</v>
      </c>
      <c r="H137" s="17" t="s">
        <v>15</v>
      </c>
      <c r="I137" s="18">
        <v>45614</v>
      </c>
      <c r="J137" s="17">
        <f t="shared" si="11"/>
        <v>45624</v>
      </c>
      <c r="K137" s="30"/>
      <c r="L137" s="28">
        <v>4.0999999999999996</v>
      </c>
      <c r="M137" s="28">
        <f t="shared" si="12"/>
        <v>0.5</v>
      </c>
      <c r="N137" s="28">
        <f t="shared" si="13"/>
        <v>0</v>
      </c>
      <c r="O137" s="19"/>
      <c r="P137" s="19"/>
      <c r="Q137" s="19"/>
      <c r="R137" s="19"/>
      <c r="S137" s="19"/>
      <c r="T137" s="19"/>
      <c r="U137" s="19"/>
      <c r="V137" s="20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21"/>
      <c r="AH137" s="19"/>
      <c r="AI137" s="19"/>
      <c r="AJ137" s="19"/>
      <c r="AK137" s="19"/>
      <c r="AL137" s="19"/>
      <c r="AM137" s="19"/>
      <c r="AN137" s="19"/>
      <c r="AO137" s="19">
        <v>0.5</v>
      </c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20"/>
      <c r="BH137" s="20"/>
      <c r="BI137" s="20"/>
      <c r="BJ137" s="20"/>
      <c r="BK137" s="20"/>
      <c r="BL137" s="20"/>
    </row>
    <row r="138" spans="1:64" ht="16.2" hidden="1" x14ac:dyDescent="0.4">
      <c r="A138" s="11" t="str">
        <f t="shared" si="10"/>
        <v>lt003_entityflg_act_physcl_rsk</v>
      </c>
      <c r="B138" s="12" t="s">
        <v>12</v>
      </c>
      <c r="C138" s="13" t="s">
        <v>12</v>
      </c>
      <c r="D138" s="14" t="s">
        <v>17</v>
      </c>
      <c r="E138" s="24" t="s">
        <v>112</v>
      </c>
      <c r="F138" s="24" t="s">
        <v>135</v>
      </c>
      <c r="G138" s="16" t="s">
        <v>16</v>
      </c>
      <c r="H138" s="17">
        <v>45589</v>
      </c>
      <c r="I138" s="18" t="s">
        <v>114</v>
      </c>
      <c r="J138" s="17" t="str">
        <f t="shared" si="11"/>
        <v/>
      </c>
      <c r="K138" s="30"/>
      <c r="L138" s="28">
        <v>4.0999999999999996</v>
      </c>
      <c r="M138" s="28">
        <f t="shared" si="12"/>
        <v>0.5</v>
      </c>
      <c r="N138" s="28">
        <f t="shared" si="13"/>
        <v>-0.5</v>
      </c>
      <c r="O138" s="19"/>
      <c r="P138" s="19"/>
      <c r="Q138" s="19"/>
      <c r="R138" s="19"/>
      <c r="S138" s="19"/>
      <c r="T138" s="19"/>
      <c r="U138" s="19"/>
      <c r="V138" s="20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20"/>
      <c r="BH138" s="20"/>
      <c r="BI138" s="20"/>
      <c r="BJ138" s="20"/>
      <c r="BK138" s="20"/>
      <c r="BL138" s="20"/>
    </row>
    <row r="139" spans="1:64" ht="16.2" hidden="1" x14ac:dyDescent="0.4">
      <c r="A139" s="11" t="str">
        <f t="shared" si="10"/>
        <v>lt003_entityflg_chrnc_physcl_rsk</v>
      </c>
      <c r="B139" s="12" t="s">
        <v>12</v>
      </c>
      <c r="C139" s="13" t="s">
        <v>12</v>
      </c>
      <c r="D139" s="14" t="s">
        <v>17</v>
      </c>
      <c r="E139" s="24" t="s">
        <v>112</v>
      </c>
      <c r="F139" s="24" t="s">
        <v>136</v>
      </c>
      <c r="G139" s="16" t="s">
        <v>16</v>
      </c>
      <c r="H139" s="17">
        <v>45589</v>
      </c>
      <c r="I139" s="18" t="s">
        <v>114</v>
      </c>
      <c r="J139" s="17" t="str">
        <f t="shared" si="11"/>
        <v/>
      </c>
      <c r="K139" s="30"/>
      <c r="L139" s="28">
        <v>4.0999999999999996</v>
      </c>
      <c r="M139" s="28">
        <f t="shared" si="12"/>
        <v>0.5</v>
      </c>
      <c r="N139" s="28">
        <f t="shared" si="13"/>
        <v>-0.5</v>
      </c>
      <c r="O139" s="19"/>
      <c r="P139" s="19"/>
      <c r="Q139" s="19"/>
      <c r="R139" s="19"/>
      <c r="S139" s="19"/>
      <c r="T139" s="19"/>
      <c r="U139" s="19"/>
      <c r="V139" s="20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20"/>
      <c r="BH139" s="20"/>
      <c r="BI139" s="20"/>
      <c r="BJ139" s="20"/>
      <c r="BK139" s="20"/>
      <c r="BL139" s="20"/>
    </row>
    <row r="140" spans="1:64" ht="16.2" x14ac:dyDescent="0.4">
      <c r="A140" s="11" t="str">
        <f t="shared" si="10"/>
        <v>lt003_entitypst_cd</v>
      </c>
      <c r="B140" s="12" t="s">
        <v>12</v>
      </c>
      <c r="C140" s="13" t="s">
        <v>12</v>
      </c>
      <c r="D140" s="14" t="s">
        <v>17</v>
      </c>
      <c r="E140" s="24" t="s">
        <v>112</v>
      </c>
      <c r="F140" s="24" t="s">
        <v>137</v>
      </c>
      <c r="G140" s="16" t="s">
        <v>16</v>
      </c>
      <c r="H140" s="17" t="s">
        <v>15</v>
      </c>
      <c r="I140" s="18">
        <v>45596</v>
      </c>
      <c r="J140" s="17">
        <f t="shared" si="11"/>
        <v>45600</v>
      </c>
      <c r="K140" s="30" t="s">
        <v>198</v>
      </c>
      <c r="L140" s="28">
        <v>4.0999999999999996</v>
      </c>
      <c r="M140" s="28">
        <f t="shared" si="12"/>
        <v>0.5</v>
      </c>
      <c r="N140" s="28">
        <f t="shared" si="13"/>
        <v>0</v>
      </c>
      <c r="O140" s="19"/>
      <c r="P140" s="19"/>
      <c r="Q140" s="19"/>
      <c r="R140" s="19"/>
      <c r="S140" s="19"/>
      <c r="T140" s="19"/>
      <c r="U140" s="21"/>
      <c r="V140" s="20"/>
      <c r="W140" s="19">
        <v>0.5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20"/>
      <c r="BH140" s="20"/>
      <c r="BI140" s="20"/>
      <c r="BJ140" s="20"/>
      <c r="BK140" s="20"/>
      <c r="BL140" s="20"/>
    </row>
    <row r="141" spans="1:64" ht="16.2" hidden="1" x14ac:dyDescent="0.4">
      <c r="A141" s="11" t="str">
        <f t="shared" si="10"/>
        <v>lt003_entityesg_sbsctr</v>
      </c>
      <c r="B141" s="12" t="s">
        <v>12</v>
      </c>
      <c r="C141" s="13" t="s">
        <v>12</v>
      </c>
      <c r="D141" s="14" t="s">
        <v>17</v>
      </c>
      <c r="E141" s="24" t="s">
        <v>112</v>
      </c>
      <c r="F141" s="24" t="s">
        <v>138</v>
      </c>
      <c r="G141" s="16" t="s">
        <v>16</v>
      </c>
      <c r="H141" s="17">
        <v>45583</v>
      </c>
      <c r="I141" s="18" t="s">
        <v>114</v>
      </c>
      <c r="J141" s="17" t="str">
        <f t="shared" si="11"/>
        <v/>
      </c>
      <c r="K141" s="30"/>
      <c r="L141" s="28">
        <v>4.0999999999999996</v>
      </c>
      <c r="M141" s="28">
        <f t="shared" si="12"/>
        <v>0.5</v>
      </c>
      <c r="N141" s="28">
        <f t="shared" si="13"/>
        <v>-0.5</v>
      </c>
      <c r="O141" s="19"/>
      <c r="P141" s="19"/>
      <c r="Q141" s="19"/>
      <c r="R141" s="19"/>
      <c r="S141" s="19"/>
      <c r="T141" s="19"/>
      <c r="U141" s="19"/>
      <c r="V141" s="20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20"/>
      <c r="BH141" s="20"/>
      <c r="BI141" s="20"/>
      <c r="BJ141" s="20"/>
      <c r="BK141" s="20"/>
      <c r="BL141" s="20"/>
    </row>
    <row r="142" spans="1:64" ht="16.2" hidden="1" x14ac:dyDescent="0.4">
      <c r="A142" s="11" t="str">
        <f t="shared" si="10"/>
        <v>lt003_entityttl_lblty</v>
      </c>
      <c r="B142" s="12" t="s">
        <v>12</v>
      </c>
      <c r="C142" s="13" t="s">
        <v>12</v>
      </c>
      <c r="D142" s="14" t="s">
        <v>17</v>
      </c>
      <c r="E142" s="24" t="s">
        <v>112</v>
      </c>
      <c r="F142" s="24" t="s">
        <v>139</v>
      </c>
      <c r="G142" s="16" t="s">
        <v>16</v>
      </c>
      <c r="H142" s="18">
        <v>45590</v>
      </c>
      <c r="I142" s="18" t="s">
        <v>114</v>
      </c>
      <c r="J142" s="17" t="str">
        <f t="shared" si="11"/>
        <v/>
      </c>
      <c r="K142" s="30"/>
      <c r="L142" s="28">
        <v>4.0999999999999996</v>
      </c>
      <c r="M142" s="28">
        <f t="shared" si="12"/>
        <v>0.5</v>
      </c>
      <c r="N142" s="28">
        <f t="shared" si="13"/>
        <v>-0.5</v>
      </c>
      <c r="O142" s="19"/>
      <c r="P142" s="19"/>
      <c r="Q142" s="25"/>
      <c r="R142" s="19"/>
      <c r="S142" s="19"/>
      <c r="T142" s="19"/>
      <c r="U142" s="19"/>
      <c r="V142" s="20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20"/>
      <c r="BH142" s="20"/>
      <c r="BI142" s="20"/>
      <c r="BJ142" s="20"/>
      <c r="BK142" s="20"/>
      <c r="BL142" s="20"/>
    </row>
    <row r="143" spans="1:64" ht="16.2" hidden="1" x14ac:dyDescent="0.4">
      <c r="A143" s="11" t="str">
        <f t="shared" si="10"/>
        <v>lt003_entityisin</v>
      </c>
      <c r="B143" s="12" t="s">
        <v>12</v>
      </c>
      <c r="C143" s="13" t="s">
        <v>12</v>
      </c>
      <c r="D143" s="14" t="s">
        <v>17</v>
      </c>
      <c r="E143" s="24" t="s">
        <v>112</v>
      </c>
      <c r="F143" s="24" t="s">
        <v>140</v>
      </c>
      <c r="G143" s="16" t="s">
        <v>16</v>
      </c>
      <c r="H143" s="18">
        <v>45588</v>
      </c>
      <c r="I143" s="18" t="s">
        <v>114</v>
      </c>
      <c r="J143" s="17" t="str">
        <f t="shared" si="11"/>
        <v/>
      </c>
      <c r="K143" s="30"/>
      <c r="L143" s="28">
        <v>4.0999999999999996</v>
      </c>
      <c r="M143" s="28">
        <f t="shared" si="12"/>
        <v>0.5</v>
      </c>
      <c r="N143" s="28">
        <f t="shared" si="13"/>
        <v>-0.5</v>
      </c>
      <c r="O143" s="25"/>
      <c r="P143" s="19"/>
      <c r="Q143" s="19"/>
      <c r="R143" s="19"/>
      <c r="S143" s="19"/>
      <c r="T143" s="19"/>
      <c r="U143" s="19"/>
      <c r="V143" s="20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20"/>
      <c r="BH143" s="20"/>
      <c r="BI143" s="20"/>
      <c r="BJ143" s="20"/>
      <c r="BK143" s="20"/>
      <c r="BL143" s="20"/>
    </row>
    <row r="144" spans="1:64" ht="16.2" hidden="1" x14ac:dyDescent="0.4">
      <c r="A144" s="11" t="str">
        <f t="shared" si="10"/>
        <v>lt003_entitygrp_annl_trnvr_le</v>
      </c>
      <c r="B144" s="12" t="s">
        <v>12</v>
      </c>
      <c r="C144" s="13" t="s">
        <v>12</v>
      </c>
      <c r="D144" s="14" t="s">
        <v>17</v>
      </c>
      <c r="E144" s="24" t="s">
        <v>112</v>
      </c>
      <c r="F144" s="24" t="s">
        <v>141</v>
      </c>
      <c r="G144" s="16" t="s">
        <v>16</v>
      </c>
      <c r="H144" s="18">
        <v>45590</v>
      </c>
      <c r="I144" s="18" t="s">
        <v>114</v>
      </c>
      <c r="J144" s="17" t="str">
        <f t="shared" si="11"/>
        <v/>
      </c>
      <c r="K144" s="30"/>
      <c r="L144" s="28">
        <v>4.0999999999999996</v>
      </c>
      <c r="M144" s="28">
        <f t="shared" si="12"/>
        <v>0.5</v>
      </c>
      <c r="N144" s="28">
        <f t="shared" si="13"/>
        <v>-0.5</v>
      </c>
      <c r="O144" s="19"/>
      <c r="P144" s="19"/>
      <c r="Q144" s="25"/>
      <c r="R144" s="19"/>
      <c r="S144" s="19"/>
      <c r="T144" s="19"/>
      <c r="U144" s="19"/>
      <c r="V144" s="20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20"/>
      <c r="BH144" s="20"/>
      <c r="BI144" s="20"/>
      <c r="BJ144" s="20"/>
      <c r="BK144" s="20"/>
      <c r="BL144" s="20"/>
    </row>
    <row r="145" spans="1:64" ht="16.2" hidden="1" x14ac:dyDescent="0.4">
      <c r="A145" s="11" t="str">
        <f t="shared" si="10"/>
        <v>lt003_entitygrp_ttl_lblty</v>
      </c>
      <c r="B145" s="12" t="s">
        <v>12</v>
      </c>
      <c r="C145" s="13" t="s">
        <v>12</v>
      </c>
      <c r="D145" s="14" t="s">
        <v>17</v>
      </c>
      <c r="E145" s="24" t="s">
        <v>112</v>
      </c>
      <c r="F145" s="24" t="s">
        <v>142</v>
      </c>
      <c r="G145" s="16" t="s">
        <v>16</v>
      </c>
      <c r="H145" s="18">
        <v>45590</v>
      </c>
      <c r="I145" s="18" t="s">
        <v>114</v>
      </c>
      <c r="J145" s="17" t="str">
        <f t="shared" si="11"/>
        <v/>
      </c>
      <c r="K145" s="30"/>
      <c r="L145" s="28">
        <v>4.0999999999999996</v>
      </c>
      <c r="M145" s="28">
        <f t="shared" si="12"/>
        <v>0.5</v>
      </c>
      <c r="N145" s="28">
        <f t="shared" si="13"/>
        <v>-0.5</v>
      </c>
      <c r="O145" s="19"/>
      <c r="P145" s="19"/>
      <c r="Q145" s="25"/>
      <c r="R145" s="19"/>
      <c r="S145" s="19"/>
      <c r="T145" s="19"/>
      <c r="U145" s="19"/>
      <c r="V145" s="20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20"/>
      <c r="BH145" s="20"/>
      <c r="BI145" s="20"/>
      <c r="BJ145" s="20"/>
      <c r="BK145" s="20"/>
      <c r="BL145" s="20"/>
    </row>
    <row r="146" spans="1:64" ht="16.2" hidden="1" x14ac:dyDescent="0.4">
      <c r="A146" s="11" t="str">
        <f t="shared" si="10"/>
        <v>lt003_entityflg_grp_nfrd_applcblty</v>
      </c>
      <c r="B146" s="12" t="s">
        <v>12</v>
      </c>
      <c r="C146" s="13" t="s">
        <v>12</v>
      </c>
      <c r="D146" s="14" t="s">
        <v>17</v>
      </c>
      <c r="E146" s="24" t="s">
        <v>112</v>
      </c>
      <c r="F146" s="24" t="s">
        <v>143</v>
      </c>
      <c r="G146" s="16" t="s">
        <v>16</v>
      </c>
      <c r="H146" s="18">
        <v>45588</v>
      </c>
      <c r="I146" s="18" t="s">
        <v>114</v>
      </c>
      <c r="J146" s="17" t="str">
        <f t="shared" si="11"/>
        <v/>
      </c>
      <c r="K146" s="30"/>
      <c r="L146" s="28">
        <v>4.0999999999999996</v>
      </c>
      <c r="M146" s="28">
        <f t="shared" si="12"/>
        <v>0.5</v>
      </c>
      <c r="N146" s="28">
        <f t="shared" si="13"/>
        <v>-0.5</v>
      </c>
      <c r="O146" s="25"/>
      <c r="P146" s="19"/>
      <c r="Q146" s="19"/>
      <c r="R146" s="19"/>
      <c r="S146" s="19"/>
      <c r="T146" s="19"/>
      <c r="U146" s="19"/>
      <c r="V146" s="20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20"/>
      <c r="BH146" s="20"/>
      <c r="BI146" s="20"/>
      <c r="BJ146" s="20"/>
      <c r="BK146" s="20"/>
      <c r="BL146" s="20"/>
    </row>
    <row r="147" spans="1:64" ht="16.2" hidden="1" x14ac:dyDescent="0.4">
      <c r="A147" s="11" t="str">
        <f t="shared" si="10"/>
        <v>lt003_entitygrp_emssns_scp1</v>
      </c>
      <c r="B147" s="12" t="s">
        <v>12</v>
      </c>
      <c r="C147" s="13" t="s">
        <v>12</v>
      </c>
      <c r="D147" s="14" t="s">
        <v>17</v>
      </c>
      <c r="E147" s="24" t="s">
        <v>112</v>
      </c>
      <c r="F147" s="24" t="s">
        <v>144</v>
      </c>
      <c r="G147" s="16" t="s">
        <v>16</v>
      </c>
      <c r="H147" s="18">
        <v>45588</v>
      </c>
      <c r="I147" s="18" t="s">
        <v>114</v>
      </c>
      <c r="J147" s="17" t="str">
        <f t="shared" si="11"/>
        <v/>
      </c>
      <c r="K147" s="30"/>
      <c r="L147" s="28">
        <v>4.0999999999999996</v>
      </c>
      <c r="M147" s="28">
        <f t="shared" si="12"/>
        <v>0.5</v>
      </c>
      <c r="N147" s="28">
        <f t="shared" si="13"/>
        <v>-0.5</v>
      </c>
      <c r="O147" s="25"/>
      <c r="P147" s="19"/>
      <c r="Q147" s="19"/>
      <c r="R147" s="19"/>
      <c r="S147" s="19"/>
      <c r="T147" s="19"/>
      <c r="U147" s="19"/>
      <c r="V147" s="20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20"/>
      <c r="BH147" s="20"/>
      <c r="BI147" s="20"/>
      <c r="BJ147" s="20"/>
      <c r="BK147" s="20"/>
      <c r="BL147" s="20"/>
    </row>
    <row r="148" spans="1:64" ht="16.2" hidden="1" x14ac:dyDescent="0.4">
      <c r="A148" s="11" t="str">
        <f t="shared" si="10"/>
        <v>lt003_entitygrp_emssns_scp2</v>
      </c>
      <c r="B148" s="12" t="s">
        <v>12</v>
      </c>
      <c r="C148" s="13" t="s">
        <v>12</v>
      </c>
      <c r="D148" s="14" t="s">
        <v>17</v>
      </c>
      <c r="E148" s="24" t="s">
        <v>112</v>
      </c>
      <c r="F148" s="24" t="s">
        <v>145</v>
      </c>
      <c r="G148" s="16" t="s">
        <v>16</v>
      </c>
      <c r="H148" s="18">
        <v>45588</v>
      </c>
      <c r="I148" s="18" t="s">
        <v>114</v>
      </c>
      <c r="J148" s="17" t="str">
        <f t="shared" si="11"/>
        <v/>
      </c>
      <c r="K148" s="30"/>
      <c r="L148" s="28">
        <v>4.0999999999999996</v>
      </c>
      <c r="M148" s="28">
        <f t="shared" si="12"/>
        <v>0.5</v>
      </c>
      <c r="N148" s="28">
        <f t="shared" si="13"/>
        <v>-0.5</v>
      </c>
      <c r="O148" s="25"/>
      <c r="P148" s="19"/>
      <c r="Q148" s="19"/>
      <c r="R148" s="19"/>
      <c r="S148" s="19"/>
      <c r="T148" s="19"/>
      <c r="U148" s="19"/>
      <c r="V148" s="20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20"/>
      <c r="BH148" s="20"/>
      <c r="BI148" s="20"/>
      <c r="BJ148" s="20"/>
      <c r="BK148" s="20"/>
      <c r="BL148" s="20"/>
    </row>
    <row r="149" spans="1:64" ht="16.2" hidden="1" x14ac:dyDescent="0.4">
      <c r="A149" s="11" t="str">
        <f t="shared" si="10"/>
        <v>lt003_entitygrp_emssns_scp3</v>
      </c>
      <c r="B149" s="12" t="s">
        <v>12</v>
      </c>
      <c r="C149" s="13" t="s">
        <v>12</v>
      </c>
      <c r="D149" s="14" t="s">
        <v>17</v>
      </c>
      <c r="E149" s="24" t="s">
        <v>112</v>
      </c>
      <c r="F149" s="24" t="s">
        <v>146</v>
      </c>
      <c r="G149" s="16" t="s">
        <v>16</v>
      </c>
      <c r="H149" s="18">
        <v>45588</v>
      </c>
      <c r="I149" s="18" t="s">
        <v>114</v>
      </c>
      <c r="J149" s="17" t="str">
        <f t="shared" si="11"/>
        <v/>
      </c>
      <c r="K149" s="30"/>
      <c r="L149" s="28">
        <v>4.0999999999999996</v>
      </c>
      <c r="M149" s="28">
        <f t="shared" si="12"/>
        <v>0.5</v>
      </c>
      <c r="N149" s="28">
        <f t="shared" si="13"/>
        <v>-0.5</v>
      </c>
      <c r="O149" s="25"/>
      <c r="P149" s="19"/>
      <c r="Q149" s="19"/>
      <c r="R149" s="19"/>
      <c r="S149" s="19"/>
      <c r="T149" s="19"/>
      <c r="U149" s="19"/>
      <c r="V149" s="20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20"/>
      <c r="BH149" s="20"/>
      <c r="BI149" s="20"/>
      <c r="BJ149" s="20"/>
      <c r="BK149" s="20"/>
      <c r="BL149" s="20"/>
    </row>
    <row r="150" spans="1:64" ht="16.2" hidden="1" x14ac:dyDescent="0.4">
      <c r="A150" s="11" t="str">
        <f t="shared" si="10"/>
        <v>lt004_protectiontyp_ep_scr</v>
      </c>
      <c r="B150" s="12" t="s">
        <v>12</v>
      </c>
      <c r="C150" s="13" t="s">
        <v>12</v>
      </c>
      <c r="D150" s="14" t="s">
        <v>17</v>
      </c>
      <c r="E150" s="24" t="s">
        <v>147</v>
      </c>
      <c r="F150" s="24" t="s">
        <v>148</v>
      </c>
      <c r="G150" s="16" t="s">
        <v>16</v>
      </c>
      <c r="H150" s="17">
        <v>45583</v>
      </c>
      <c r="I150" s="18" t="s">
        <v>114</v>
      </c>
      <c r="J150" s="17" t="str">
        <f t="shared" si="11"/>
        <v/>
      </c>
      <c r="K150" s="30"/>
      <c r="L150" s="28">
        <v>4.0999999999999996</v>
      </c>
      <c r="M150" s="28">
        <f t="shared" si="12"/>
        <v>0.5</v>
      </c>
      <c r="N150" s="28">
        <f t="shared" si="13"/>
        <v>-0.5</v>
      </c>
      <c r="O150" s="19"/>
      <c r="P150" s="19"/>
      <c r="Q150" s="19"/>
      <c r="R150" s="19"/>
      <c r="S150" s="19"/>
      <c r="T150" s="19"/>
      <c r="U150" s="19"/>
      <c r="V150" s="20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20"/>
      <c r="BH150" s="20"/>
      <c r="BI150" s="20"/>
      <c r="BJ150" s="20"/>
      <c r="BK150" s="20"/>
      <c r="BL150" s="20"/>
    </row>
    <row r="151" spans="1:64" ht="16.2" x14ac:dyDescent="0.4">
      <c r="A151" s="11" t="str">
        <f t="shared" si="10"/>
        <v>lt004_protectionep_scr</v>
      </c>
      <c r="B151" s="12" t="s">
        <v>12</v>
      </c>
      <c r="C151" s="13" t="s">
        <v>12</v>
      </c>
      <c r="D151" s="14" t="s">
        <v>17</v>
      </c>
      <c r="E151" s="24" t="s">
        <v>147</v>
      </c>
      <c r="F151" s="24" t="s">
        <v>149</v>
      </c>
      <c r="G151" s="16" t="s">
        <v>16</v>
      </c>
      <c r="H151" s="17" t="s">
        <v>15</v>
      </c>
      <c r="I151" s="18">
        <v>45596</v>
      </c>
      <c r="J151" s="17">
        <f t="shared" si="11"/>
        <v>45602</v>
      </c>
      <c r="K151" s="30" t="s">
        <v>200</v>
      </c>
      <c r="L151" s="28">
        <v>4.0999999999999996</v>
      </c>
      <c r="M151" s="28">
        <f t="shared" si="12"/>
        <v>0.5</v>
      </c>
      <c r="N151" s="28">
        <f t="shared" si="13"/>
        <v>0</v>
      </c>
      <c r="O151" s="19"/>
      <c r="P151" s="19"/>
      <c r="Q151" s="19"/>
      <c r="R151" s="19"/>
      <c r="S151" s="19"/>
      <c r="T151" s="19"/>
      <c r="U151" s="21"/>
      <c r="V151" s="20"/>
      <c r="W151" s="19"/>
      <c r="X151" s="19"/>
      <c r="Y151" s="19">
        <v>0.5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20"/>
      <c r="BH151" s="20"/>
      <c r="BI151" s="20"/>
      <c r="BJ151" s="20"/>
      <c r="BK151" s="20"/>
      <c r="BL151" s="20"/>
    </row>
    <row r="152" spans="1:64" ht="16.2" x14ac:dyDescent="0.4">
      <c r="A152" s="11" t="str">
        <f t="shared" si="10"/>
        <v>lt004_protectiontyp_epc_lbl</v>
      </c>
      <c r="B152" s="12" t="s">
        <v>12</v>
      </c>
      <c r="C152" s="13" t="s">
        <v>12</v>
      </c>
      <c r="D152" s="14" t="s">
        <v>17</v>
      </c>
      <c r="E152" s="24" t="s">
        <v>147</v>
      </c>
      <c r="F152" s="24" t="s">
        <v>150</v>
      </c>
      <c r="G152" s="16" t="s">
        <v>16</v>
      </c>
      <c r="H152" s="17" t="s">
        <v>15</v>
      </c>
      <c r="I152" s="18">
        <v>45596</v>
      </c>
      <c r="J152" s="17">
        <f t="shared" si="11"/>
        <v>45602</v>
      </c>
      <c r="K152" s="30" t="s">
        <v>200</v>
      </c>
      <c r="L152" s="28">
        <v>4.0999999999999996</v>
      </c>
      <c r="M152" s="28">
        <f t="shared" si="12"/>
        <v>0.5</v>
      </c>
      <c r="N152" s="28">
        <f t="shared" si="13"/>
        <v>0</v>
      </c>
      <c r="O152" s="19"/>
      <c r="P152" s="19"/>
      <c r="Q152" s="19"/>
      <c r="R152" s="19"/>
      <c r="S152" s="19"/>
      <c r="T152" s="19"/>
      <c r="U152" s="21"/>
      <c r="V152" s="20"/>
      <c r="W152" s="19"/>
      <c r="X152" s="19"/>
      <c r="Y152" s="19">
        <v>0.5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20"/>
      <c r="BH152" s="20"/>
      <c r="BI152" s="20"/>
      <c r="BJ152" s="20"/>
      <c r="BK152" s="20"/>
      <c r="BL152" s="20"/>
    </row>
    <row r="153" spans="1:64" ht="16.2" x14ac:dyDescent="0.4">
      <c r="A153" s="11" t="str">
        <f t="shared" si="10"/>
        <v>lt004_protectionepc_lbl</v>
      </c>
      <c r="B153" s="12" t="s">
        <v>12</v>
      </c>
      <c r="C153" s="13" t="s">
        <v>12</v>
      </c>
      <c r="D153" s="14" t="s">
        <v>17</v>
      </c>
      <c r="E153" s="24" t="s">
        <v>147</v>
      </c>
      <c r="F153" s="24" t="s">
        <v>151</v>
      </c>
      <c r="G153" s="16" t="s">
        <v>16</v>
      </c>
      <c r="H153" s="17" t="s">
        <v>15</v>
      </c>
      <c r="I153" s="18">
        <v>45596</v>
      </c>
      <c r="J153" s="17">
        <f t="shared" si="11"/>
        <v>45603</v>
      </c>
      <c r="K153" s="30" t="s">
        <v>200</v>
      </c>
      <c r="L153" s="28">
        <v>4.0999999999999996</v>
      </c>
      <c r="M153" s="28">
        <f t="shared" si="12"/>
        <v>0.5</v>
      </c>
      <c r="N153" s="28">
        <f t="shared" si="13"/>
        <v>0</v>
      </c>
      <c r="O153" s="19"/>
      <c r="P153" s="19"/>
      <c r="Q153" s="19"/>
      <c r="R153" s="19"/>
      <c r="S153" s="19"/>
      <c r="T153" s="19"/>
      <c r="U153" s="21"/>
      <c r="V153" s="20"/>
      <c r="W153" s="19"/>
      <c r="X153" s="19"/>
      <c r="Y153" s="19"/>
      <c r="Z153" s="19">
        <v>0.5</v>
      </c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20"/>
      <c r="BH153" s="20"/>
      <c r="BI153" s="20"/>
      <c r="BJ153" s="20"/>
      <c r="BK153" s="20"/>
      <c r="BL153" s="20"/>
    </row>
    <row r="154" spans="1:64" ht="16.2" x14ac:dyDescent="0.4">
      <c r="A154" s="11" t="str">
        <f t="shared" si="10"/>
        <v>lt004_protectionemssns_scp1_prtctn</v>
      </c>
      <c r="B154" s="12" t="s">
        <v>12</v>
      </c>
      <c r="C154" s="13" t="s">
        <v>12</v>
      </c>
      <c r="D154" s="14" t="s">
        <v>17</v>
      </c>
      <c r="E154" s="24" t="s">
        <v>147</v>
      </c>
      <c r="F154" s="24" t="s">
        <v>152</v>
      </c>
      <c r="G154" s="16" t="s">
        <v>16</v>
      </c>
      <c r="H154" s="17" t="s">
        <v>15</v>
      </c>
      <c r="I154" s="18">
        <v>45596</v>
      </c>
      <c r="J154" s="17">
        <f t="shared" si="11"/>
        <v>45603</v>
      </c>
      <c r="K154" s="30" t="s">
        <v>200</v>
      </c>
      <c r="L154" s="28">
        <v>4.0999999999999996</v>
      </c>
      <c r="M154" s="28">
        <f t="shared" si="12"/>
        <v>0.5</v>
      </c>
      <c r="N154" s="28">
        <f t="shared" si="13"/>
        <v>-0.25</v>
      </c>
      <c r="O154" s="19"/>
      <c r="P154" s="19"/>
      <c r="Q154" s="19"/>
      <c r="R154" s="19"/>
      <c r="S154" s="19"/>
      <c r="T154" s="19"/>
      <c r="U154" s="21"/>
      <c r="V154" s="20"/>
      <c r="W154" s="19"/>
      <c r="X154" s="19"/>
      <c r="Y154" s="19"/>
      <c r="Z154" s="19">
        <v>0.25</v>
      </c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20"/>
      <c r="BH154" s="20"/>
      <c r="BI154" s="20"/>
      <c r="BJ154" s="20"/>
      <c r="BK154" s="20"/>
      <c r="BL154" s="20"/>
    </row>
    <row r="155" spans="1:64" ht="16.2" x14ac:dyDescent="0.4">
      <c r="A155" s="11" t="str">
        <f t="shared" si="10"/>
        <v>lt004_protectionemssns_scp2_prtctn</v>
      </c>
      <c r="B155" s="12" t="s">
        <v>12</v>
      </c>
      <c r="C155" s="13" t="s">
        <v>12</v>
      </c>
      <c r="D155" s="14" t="s">
        <v>17</v>
      </c>
      <c r="E155" s="24" t="s">
        <v>147</v>
      </c>
      <c r="F155" s="24" t="s">
        <v>153</v>
      </c>
      <c r="G155" s="16" t="s">
        <v>16</v>
      </c>
      <c r="H155" s="17" t="s">
        <v>15</v>
      </c>
      <c r="I155" s="18">
        <v>45596</v>
      </c>
      <c r="J155" s="17">
        <f t="shared" si="11"/>
        <v>45603</v>
      </c>
      <c r="K155" s="30" t="s">
        <v>200</v>
      </c>
      <c r="L155" s="28">
        <v>4.0999999999999996</v>
      </c>
      <c r="M155" s="28">
        <f t="shared" si="12"/>
        <v>0.5</v>
      </c>
      <c r="N155" s="28">
        <f t="shared" si="13"/>
        <v>-0.25</v>
      </c>
      <c r="O155" s="19"/>
      <c r="P155" s="19"/>
      <c r="Q155" s="19"/>
      <c r="R155" s="19"/>
      <c r="S155" s="19"/>
      <c r="T155" s="19"/>
      <c r="U155" s="21"/>
      <c r="V155" s="20"/>
      <c r="W155" s="19"/>
      <c r="X155" s="19"/>
      <c r="Y155" s="19"/>
      <c r="Z155" s="19">
        <v>0.25</v>
      </c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20"/>
      <c r="BH155" s="20"/>
      <c r="BI155" s="20"/>
      <c r="BJ155" s="20"/>
      <c r="BK155" s="20"/>
      <c r="BL155" s="20"/>
    </row>
    <row r="156" spans="1:64" ht="16.2" x14ac:dyDescent="0.4">
      <c r="A156" s="11" t="str">
        <f t="shared" si="10"/>
        <v>lt004_protectionemssns_scp3_prtctn</v>
      </c>
      <c r="B156" s="12" t="s">
        <v>12</v>
      </c>
      <c r="C156" s="13" t="s">
        <v>12</v>
      </c>
      <c r="D156" s="14" t="s">
        <v>17</v>
      </c>
      <c r="E156" s="24" t="s">
        <v>147</v>
      </c>
      <c r="F156" s="24" t="s">
        <v>154</v>
      </c>
      <c r="G156" s="16" t="s">
        <v>16</v>
      </c>
      <c r="H156" s="17" t="s">
        <v>15</v>
      </c>
      <c r="I156" s="18">
        <v>45596</v>
      </c>
      <c r="J156" s="17">
        <f t="shared" si="11"/>
        <v>45604</v>
      </c>
      <c r="K156" s="30" t="s">
        <v>200</v>
      </c>
      <c r="L156" s="28">
        <v>4.0999999999999996</v>
      </c>
      <c r="M156" s="28">
        <f t="shared" si="12"/>
        <v>0.5</v>
      </c>
      <c r="N156" s="28">
        <f t="shared" si="13"/>
        <v>-0.25</v>
      </c>
      <c r="O156" s="19"/>
      <c r="P156" s="19"/>
      <c r="Q156" s="19"/>
      <c r="R156" s="19"/>
      <c r="S156" s="19"/>
      <c r="T156" s="19"/>
      <c r="U156" s="21"/>
      <c r="V156" s="20"/>
      <c r="W156" s="19"/>
      <c r="X156" s="19"/>
      <c r="Y156" s="19"/>
      <c r="Z156" s="19"/>
      <c r="AA156" s="19">
        <v>0.25</v>
      </c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20"/>
      <c r="BH156" s="20"/>
      <c r="BI156" s="20"/>
      <c r="BJ156" s="20"/>
      <c r="BK156" s="20"/>
      <c r="BL156" s="20"/>
    </row>
    <row r="157" spans="1:64" ht="16.2" x14ac:dyDescent="0.4">
      <c r="A157" s="11" t="str">
        <f t="shared" si="10"/>
        <v>lt004_protectionmthd_usd_prtctn_scp_1</v>
      </c>
      <c r="B157" s="12" t="s">
        <v>12</v>
      </c>
      <c r="C157" s="13" t="s">
        <v>12</v>
      </c>
      <c r="D157" s="14" t="s">
        <v>17</v>
      </c>
      <c r="E157" s="24" t="s">
        <v>147</v>
      </c>
      <c r="F157" s="24" t="s">
        <v>155</v>
      </c>
      <c r="G157" s="16" t="s">
        <v>16</v>
      </c>
      <c r="H157" s="17" t="s">
        <v>15</v>
      </c>
      <c r="I157" s="18">
        <v>45596</v>
      </c>
      <c r="J157" s="17">
        <f t="shared" si="11"/>
        <v>45604</v>
      </c>
      <c r="K157" s="30" t="s">
        <v>200</v>
      </c>
      <c r="L157" s="28">
        <v>4.0999999999999996</v>
      </c>
      <c r="M157" s="28">
        <f t="shared" si="12"/>
        <v>0.5</v>
      </c>
      <c r="N157" s="28">
        <f t="shared" si="13"/>
        <v>-0.25</v>
      </c>
      <c r="O157" s="19"/>
      <c r="P157" s="19"/>
      <c r="Q157" s="19"/>
      <c r="R157" s="19"/>
      <c r="S157" s="19"/>
      <c r="T157" s="19"/>
      <c r="U157" s="21"/>
      <c r="V157" s="20"/>
      <c r="W157" s="19"/>
      <c r="X157" s="19"/>
      <c r="Y157" s="19"/>
      <c r="Z157" s="19"/>
      <c r="AA157" s="19">
        <v>0.25</v>
      </c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20"/>
      <c r="BH157" s="20"/>
      <c r="BI157" s="20"/>
      <c r="BJ157" s="20"/>
      <c r="BK157" s="20"/>
      <c r="BL157" s="20"/>
    </row>
    <row r="158" spans="1:64" ht="16.2" x14ac:dyDescent="0.4">
      <c r="A158" s="11" t="str">
        <f t="shared" si="10"/>
        <v>lt004_protectionmthd_usd_prtctn_scp_2</v>
      </c>
      <c r="B158" s="12" t="s">
        <v>12</v>
      </c>
      <c r="C158" s="13" t="s">
        <v>12</v>
      </c>
      <c r="D158" s="14" t="s">
        <v>17</v>
      </c>
      <c r="E158" s="24" t="s">
        <v>147</v>
      </c>
      <c r="F158" s="24" t="s">
        <v>156</v>
      </c>
      <c r="G158" s="16" t="s">
        <v>16</v>
      </c>
      <c r="H158" s="17" t="s">
        <v>15</v>
      </c>
      <c r="I158" s="18">
        <v>45596</v>
      </c>
      <c r="J158" s="17">
        <f t="shared" si="11"/>
        <v>45604</v>
      </c>
      <c r="K158" s="30" t="s">
        <v>200</v>
      </c>
      <c r="L158" s="28">
        <v>4.0999999999999996</v>
      </c>
      <c r="M158" s="28">
        <f t="shared" si="12"/>
        <v>0.5</v>
      </c>
      <c r="N158" s="28">
        <f t="shared" si="13"/>
        <v>-0.25</v>
      </c>
      <c r="O158" s="19"/>
      <c r="P158" s="19"/>
      <c r="Q158" s="19"/>
      <c r="R158" s="19"/>
      <c r="S158" s="19"/>
      <c r="T158" s="19"/>
      <c r="U158" s="21"/>
      <c r="V158" s="20"/>
      <c r="W158" s="19"/>
      <c r="X158" s="19"/>
      <c r="Y158" s="19"/>
      <c r="Z158" s="19"/>
      <c r="AA158" s="19">
        <v>0.25</v>
      </c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20"/>
      <c r="BH158" s="20"/>
      <c r="BI158" s="20"/>
      <c r="BJ158" s="20"/>
      <c r="BK158" s="20"/>
      <c r="BL158" s="20"/>
    </row>
    <row r="159" spans="1:64" ht="16.2" x14ac:dyDescent="0.4">
      <c r="A159" s="11" t="str">
        <f t="shared" si="10"/>
        <v>lt004_protectionmthd_usd_prtctn_scp_3</v>
      </c>
      <c r="B159" s="12" t="s">
        <v>12</v>
      </c>
      <c r="C159" s="13" t="s">
        <v>12</v>
      </c>
      <c r="D159" s="14" t="s">
        <v>17</v>
      </c>
      <c r="E159" s="24" t="s">
        <v>147</v>
      </c>
      <c r="F159" s="24" t="s">
        <v>157</v>
      </c>
      <c r="G159" s="16" t="s">
        <v>16</v>
      </c>
      <c r="H159" s="17" t="s">
        <v>15</v>
      </c>
      <c r="I159" s="18">
        <v>45596</v>
      </c>
      <c r="J159" s="17">
        <f t="shared" si="11"/>
        <v>45604</v>
      </c>
      <c r="K159" s="30" t="s">
        <v>200</v>
      </c>
      <c r="L159" s="28">
        <v>4.0999999999999996</v>
      </c>
      <c r="M159" s="28">
        <f t="shared" si="12"/>
        <v>0.5</v>
      </c>
      <c r="N159" s="28">
        <f t="shared" si="13"/>
        <v>-0.25</v>
      </c>
      <c r="O159" s="19"/>
      <c r="P159" s="19"/>
      <c r="Q159" s="19"/>
      <c r="R159" s="19"/>
      <c r="S159" s="19"/>
      <c r="T159" s="19"/>
      <c r="U159" s="21"/>
      <c r="V159" s="20"/>
      <c r="W159" s="19"/>
      <c r="X159" s="19"/>
      <c r="Y159" s="19"/>
      <c r="Z159" s="19"/>
      <c r="AA159" s="19">
        <v>0.25</v>
      </c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20"/>
      <c r="BH159" s="20"/>
      <c r="BI159" s="20"/>
      <c r="BJ159" s="20"/>
      <c r="BK159" s="20"/>
      <c r="BL159" s="20"/>
    </row>
    <row r="160" spans="1:64" ht="16.2" hidden="1" x14ac:dyDescent="0.4">
      <c r="A160" s="11" t="str">
        <f t="shared" si="10"/>
        <v>lt004_protectionflg_act_physcl_rsk</v>
      </c>
      <c r="B160" s="12" t="s">
        <v>12</v>
      </c>
      <c r="C160" s="13" t="s">
        <v>12</v>
      </c>
      <c r="D160" s="14" t="s">
        <v>17</v>
      </c>
      <c r="E160" s="24" t="s">
        <v>147</v>
      </c>
      <c r="F160" s="24" t="s">
        <v>135</v>
      </c>
      <c r="G160" s="16" t="s">
        <v>16</v>
      </c>
      <c r="H160" s="17" t="s">
        <v>15</v>
      </c>
      <c r="I160" s="18">
        <v>45596</v>
      </c>
      <c r="J160" s="17" t="str">
        <f t="shared" si="11"/>
        <v/>
      </c>
      <c r="K160" s="30" t="s">
        <v>201</v>
      </c>
      <c r="L160" s="28">
        <v>4.0999999999999996</v>
      </c>
      <c r="M160" s="28">
        <f t="shared" si="12"/>
        <v>0.5</v>
      </c>
      <c r="N160" s="28">
        <f t="shared" si="13"/>
        <v>-0.5</v>
      </c>
      <c r="O160" s="19"/>
      <c r="P160" s="19"/>
      <c r="Q160" s="19"/>
      <c r="R160" s="19"/>
      <c r="S160" s="19"/>
      <c r="T160" s="19"/>
      <c r="U160" s="21"/>
      <c r="V160" s="20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20"/>
      <c r="BH160" s="20"/>
      <c r="BI160" s="20"/>
      <c r="BJ160" s="20"/>
      <c r="BK160" s="20"/>
      <c r="BL160" s="20"/>
    </row>
    <row r="161" spans="1:64" ht="16.2" hidden="1" x14ac:dyDescent="0.4">
      <c r="A161" s="11" t="str">
        <f t="shared" si="10"/>
        <v>lt004_protectionflg_chrnc_physcl_rsk</v>
      </c>
      <c r="B161" s="12" t="s">
        <v>12</v>
      </c>
      <c r="C161" s="13" t="s">
        <v>12</v>
      </c>
      <c r="D161" s="14" t="s">
        <v>17</v>
      </c>
      <c r="E161" s="24" t="s">
        <v>147</v>
      </c>
      <c r="F161" s="24" t="s">
        <v>136</v>
      </c>
      <c r="G161" s="16" t="s">
        <v>16</v>
      </c>
      <c r="H161" s="17" t="s">
        <v>15</v>
      </c>
      <c r="I161" s="18">
        <v>45596</v>
      </c>
      <c r="J161" s="17" t="str">
        <f t="shared" si="11"/>
        <v/>
      </c>
      <c r="K161" s="30" t="s">
        <v>201</v>
      </c>
      <c r="L161" s="28">
        <v>4.0999999999999996</v>
      </c>
      <c r="M161" s="28">
        <f t="shared" si="12"/>
        <v>0.5</v>
      </c>
      <c r="N161" s="28">
        <f t="shared" si="13"/>
        <v>-0.5</v>
      </c>
      <c r="O161" s="19"/>
      <c r="P161" s="19"/>
      <c r="Q161" s="19"/>
      <c r="R161" s="19"/>
      <c r="S161" s="19"/>
      <c r="T161" s="19"/>
      <c r="U161" s="21"/>
      <c r="V161" s="20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20"/>
      <c r="BH161" s="20"/>
      <c r="BI161" s="20"/>
      <c r="BJ161" s="20"/>
      <c r="BK161" s="20"/>
      <c r="BL161" s="20"/>
    </row>
    <row r="162" spans="1:64" ht="16.2" hidden="1" x14ac:dyDescent="0.4">
      <c r="A162" s="11" t="str">
        <f t="shared" si="10"/>
        <v>lt002_instrumentrsk_mtgtd_cct</v>
      </c>
      <c r="B162" s="12" t="s">
        <v>12</v>
      </c>
      <c r="C162" s="13" t="s">
        <v>12</v>
      </c>
      <c r="D162" s="14" t="s">
        <v>17</v>
      </c>
      <c r="E162" s="24" t="s">
        <v>158</v>
      </c>
      <c r="F162" s="24" t="s">
        <v>159</v>
      </c>
      <c r="G162" s="16" t="s">
        <v>160</v>
      </c>
      <c r="H162" s="18">
        <v>45595</v>
      </c>
      <c r="I162" s="26" t="s">
        <v>114</v>
      </c>
      <c r="J162" s="17" t="str">
        <f t="shared" si="11"/>
        <v/>
      </c>
      <c r="K162" s="30"/>
      <c r="L162" s="28">
        <v>4.0999999999999996</v>
      </c>
      <c r="M162" s="28">
        <f t="shared" si="12"/>
        <v>0.5</v>
      </c>
      <c r="N162" s="28">
        <f t="shared" si="13"/>
        <v>-0.5</v>
      </c>
      <c r="O162" s="19"/>
      <c r="P162" s="19"/>
      <c r="Q162" s="19"/>
      <c r="R162" s="19"/>
      <c r="S162" s="19"/>
      <c r="T162" s="25"/>
      <c r="U162" s="19"/>
      <c r="V162" s="20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20"/>
      <c r="BH162" s="20"/>
      <c r="BI162" s="20"/>
      <c r="BJ162" s="20"/>
      <c r="BK162" s="20"/>
      <c r="BL162" s="20"/>
    </row>
    <row r="163" spans="1:64" ht="16.2" hidden="1" x14ac:dyDescent="0.4">
      <c r="A163" s="11" t="str">
        <f t="shared" si="10"/>
        <v>lt002_instrumentrsk_mtgtd_ccp</v>
      </c>
      <c r="B163" s="12" t="s">
        <v>12</v>
      </c>
      <c r="C163" s="13" t="s">
        <v>12</v>
      </c>
      <c r="D163" s="14" t="s">
        <v>17</v>
      </c>
      <c r="E163" s="24" t="s">
        <v>158</v>
      </c>
      <c r="F163" s="24" t="s">
        <v>161</v>
      </c>
      <c r="G163" s="16" t="s">
        <v>160</v>
      </c>
      <c r="H163" s="18">
        <v>45595</v>
      </c>
      <c r="I163" s="26" t="s">
        <v>114</v>
      </c>
      <c r="J163" s="17" t="str">
        <f t="shared" si="11"/>
        <v/>
      </c>
      <c r="K163" s="30"/>
      <c r="L163" s="28">
        <v>4.0999999999999996</v>
      </c>
      <c r="M163" s="28">
        <f t="shared" si="12"/>
        <v>0.5</v>
      </c>
      <c r="N163" s="28">
        <f t="shared" si="13"/>
        <v>-0.5</v>
      </c>
      <c r="O163" s="19"/>
      <c r="P163" s="19"/>
      <c r="Q163" s="19"/>
      <c r="R163" s="19"/>
      <c r="S163" s="19"/>
      <c r="T163" s="25"/>
      <c r="U163" s="19"/>
      <c r="V163" s="20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20"/>
      <c r="BH163" s="20"/>
      <c r="BI163" s="20"/>
      <c r="BJ163" s="20"/>
      <c r="BK163" s="20"/>
      <c r="BL163" s="20"/>
    </row>
    <row r="164" spans="1:64" ht="16.2" hidden="1" x14ac:dyDescent="0.4">
      <c r="A164" s="11" t="str">
        <f t="shared" si="10"/>
        <v>lt002_instrumentenvrnmntl_objctv</v>
      </c>
      <c r="B164" s="12" t="s">
        <v>12</v>
      </c>
      <c r="C164" s="13" t="s">
        <v>12</v>
      </c>
      <c r="D164" s="14" t="s">
        <v>17</v>
      </c>
      <c r="E164" s="24" t="s">
        <v>158</v>
      </c>
      <c r="F164" s="24" t="s">
        <v>162</v>
      </c>
      <c r="G164" s="16" t="s">
        <v>163</v>
      </c>
      <c r="H164" s="18">
        <v>45593</v>
      </c>
      <c r="I164" s="26" t="s">
        <v>114</v>
      </c>
      <c r="J164" s="17" t="str">
        <f t="shared" si="11"/>
        <v/>
      </c>
      <c r="K164" s="30"/>
      <c r="L164" s="28">
        <v>4.0999999999999996</v>
      </c>
      <c r="M164" s="28">
        <f t="shared" si="12"/>
        <v>0.5</v>
      </c>
      <c r="N164" s="28">
        <f t="shared" si="13"/>
        <v>-0.5</v>
      </c>
      <c r="O164" s="19"/>
      <c r="P164" s="19"/>
      <c r="Q164" s="19"/>
      <c r="R164" s="25"/>
      <c r="S164" s="19"/>
      <c r="T164" s="19"/>
      <c r="U164" s="19"/>
      <c r="V164" s="20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20"/>
      <c r="BH164" s="20"/>
      <c r="BI164" s="20"/>
      <c r="BJ164" s="20"/>
      <c r="BK164" s="20"/>
      <c r="BL164" s="20"/>
    </row>
    <row r="165" spans="1:64" ht="16.2" hidden="1" x14ac:dyDescent="0.4">
      <c r="A165" s="11" t="str">
        <f t="shared" si="10"/>
        <v>lt002_instrumenttyp_actvty</v>
      </c>
      <c r="B165" s="12" t="s">
        <v>12</v>
      </c>
      <c r="C165" s="13" t="s">
        <v>12</v>
      </c>
      <c r="D165" s="14" t="s">
        <v>17</v>
      </c>
      <c r="E165" s="24" t="s">
        <v>158</v>
      </c>
      <c r="F165" s="24" t="s">
        <v>164</v>
      </c>
      <c r="G165" s="16" t="s">
        <v>163</v>
      </c>
      <c r="H165" s="18">
        <v>45593</v>
      </c>
      <c r="I165" s="26" t="s">
        <v>114</v>
      </c>
      <c r="J165" s="17" t="str">
        <f t="shared" si="11"/>
        <v/>
      </c>
      <c r="K165" s="30"/>
      <c r="L165" s="28">
        <v>4.0999999999999996</v>
      </c>
      <c r="M165" s="28">
        <f t="shared" si="12"/>
        <v>0.5</v>
      </c>
      <c r="N165" s="28">
        <f t="shared" si="13"/>
        <v>-0.5</v>
      </c>
      <c r="O165" s="19"/>
      <c r="P165" s="19"/>
      <c r="Q165" s="19"/>
      <c r="R165" s="25"/>
      <c r="S165" s="19"/>
      <c r="T165" s="19"/>
      <c r="U165" s="19"/>
      <c r="V165" s="20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20"/>
      <c r="BH165" s="20"/>
      <c r="BI165" s="20"/>
      <c r="BJ165" s="20"/>
      <c r="BK165" s="20"/>
      <c r="BL165" s="20"/>
    </row>
    <row r="166" spans="1:64" ht="16.2" x14ac:dyDescent="0.4">
      <c r="A166" s="11" t="str">
        <f t="shared" si="10"/>
        <v>lt002_instrumentlns_clltrlzd_clssfctn</v>
      </c>
      <c r="B166" s="12" t="s">
        <v>12</v>
      </c>
      <c r="C166" s="13" t="s">
        <v>12</v>
      </c>
      <c r="D166" s="14" t="s">
        <v>17</v>
      </c>
      <c r="E166" s="24" t="s">
        <v>158</v>
      </c>
      <c r="F166" s="24" t="s">
        <v>165</v>
      </c>
      <c r="G166" s="16" t="s">
        <v>166</v>
      </c>
      <c r="H166" s="17">
        <v>45583</v>
      </c>
      <c r="I166" s="18">
        <v>45589</v>
      </c>
      <c r="J166" s="17">
        <f t="shared" si="11"/>
        <v>45593</v>
      </c>
      <c r="K166" s="30"/>
      <c r="L166" s="28">
        <v>4.0999999999999996</v>
      </c>
      <c r="M166" s="28">
        <f t="shared" si="12"/>
        <v>0.5</v>
      </c>
      <c r="N166" s="28">
        <f t="shared" si="13"/>
        <v>0</v>
      </c>
      <c r="O166" s="19"/>
      <c r="P166" s="21"/>
      <c r="Q166" s="19"/>
      <c r="R166" s="19">
        <v>0.5</v>
      </c>
      <c r="S166" s="19"/>
      <c r="T166" s="19"/>
      <c r="U166" s="19"/>
      <c r="V166" s="20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20"/>
      <c r="BH166" s="20"/>
      <c r="BI166" s="20"/>
      <c r="BJ166" s="20"/>
      <c r="BK166" s="20"/>
      <c r="BL166" s="20"/>
    </row>
    <row r="167" spans="1:64" ht="16.2" hidden="1" x14ac:dyDescent="0.4">
      <c r="A167" s="11" t="str">
        <f t="shared" si="10"/>
        <v>lt002_instrumentmthd_usd_instrmnt_scp_1</v>
      </c>
      <c r="B167" s="12" t="s">
        <v>12</v>
      </c>
      <c r="C167" s="13" t="s">
        <v>12</v>
      </c>
      <c r="D167" s="14" t="s">
        <v>17</v>
      </c>
      <c r="E167" s="24" t="s">
        <v>158</v>
      </c>
      <c r="F167" s="24" t="s">
        <v>167</v>
      </c>
      <c r="G167" s="16" t="s">
        <v>16</v>
      </c>
      <c r="H167" s="18">
        <v>45593</v>
      </c>
      <c r="I167" s="26" t="s">
        <v>114</v>
      </c>
      <c r="J167" s="17" t="str">
        <f t="shared" si="11"/>
        <v/>
      </c>
      <c r="K167" s="30"/>
      <c r="L167" s="28">
        <v>4.0999999999999996</v>
      </c>
      <c r="M167" s="28">
        <f t="shared" si="12"/>
        <v>0.5</v>
      </c>
      <c r="N167" s="28">
        <f t="shared" si="13"/>
        <v>-0.5</v>
      </c>
      <c r="O167" s="19"/>
      <c r="P167" s="19"/>
      <c r="Q167" s="19"/>
      <c r="R167" s="25"/>
      <c r="S167" s="19"/>
      <c r="T167" s="19"/>
      <c r="U167" s="19"/>
      <c r="V167" s="20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20"/>
      <c r="BH167" s="20"/>
      <c r="BI167" s="20"/>
      <c r="BJ167" s="20"/>
      <c r="BK167" s="20"/>
      <c r="BL167" s="20"/>
    </row>
    <row r="168" spans="1:64" ht="16.2" hidden="1" x14ac:dyDescent="0.4">
      <c r="A168" s="11" t="str">
        <f t="shared" si="10"/>
        <v>lt002_instrumentmthd_usd_instrmnt_scp_2</v>
      </c>
      <c r="B168" s="12" t="s">
        <v>12</v>
      </c>
      <c r="C168" s="13" t="s">
        <v>12</v>
      </c>
      <c r="D168" s="14" t="s">
        <v>17</v>
      </c>
      <c r="E168" s="24" t="s">
        <v>158</v>
      </c>
      <c r="F168" s="24" t="s">
        <v>168</v>
      </c>
      <c r="G168" s="16" t="s">
        <v>16</v>
      </c>
      <c r="H168" s="18">
        <v>45593</v>
      </c>
      <c r="I168" s="26" t="s">
        <v>114</v>
      </c>
      <c r="J168" s="17" t="str">
        <f t="shared" si="11"/>
        <v/>
      </c>
      <c r="K168" s="30"/>
      <c r="L168" s="28">
        <v>4.0999999999999996</v>
      </c>
      <c r="M168" s="28">
        <f t="shared" si="12"/>
        <v>0.5</v>
      </c>
      <c r="N168" s="28">
        <f t="shared" si="13"/>
        <v>-0.5</v>
      </c>
      <c r="O168" s="19"/>
      <c r="P168" s="19"/>
      <c r="Q168" s="19"/>
      <c r="R168" s="25"/>
      <c r="S168" s="19"/>
      <c r="T168" s="19"/>
      <c r="U168" s="19"/>
      <c r="V168" s="20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20"/>
      <c r="BH168" s="20"/>
      <c r="BI168" s="20"/>
      <c r="BJ168" s="20"/>
      <c r="BK168" s="20"/>
      <c r="BL168" s="20"/>
    </row>
    <row r="169" spans="1:64" ht="16.2" hidden="1" x14ac:dyDescent="0.4">
      <c r="A169" s="11" t="str">
        <f t="shared" si="10"/>
        <v>lt002_instrumentmthd_usd_instrmnt_scp_3</v>
      </c>
      <c r="B169" s="12" t="s">
        <v>12</v>
      </c>
      <c r="C169" s="13" t="s">
        <v>12</v>
      </c>
      <c r="D169" s="14" t="s">
        <v>17</v>
      </c>
      <c r="E169" s="24" t="s">
        <v>158</v>
      </c>
      <c r="F169" s="24" t="s">
        <v>169</v>
      </c>
      <c r="G169" s="16" t="s">
        <v>16</v>
      </c>
      <c r="H169" s="18">
        <v>45593</v>
      </c>
      <c r="I169" s="26" t="s">
        <v>114</v>
      </c>
      <c r="J169" s="17" t="str">
        <f t="shared" si="11"/>
        <v/>
      </c>
      <c r="K169" s="30"/>
      <c r="L169" s="28">
        <v>4.0999999999999996</v>
      </c>
      <c r="M169" s="28">
        <f t="shared" si="12"/>
        <v>0.5</v>
      </c>
      <c r="N169" s="28">
        <f t="shared" si="13"/>
        <v>-0.5</v>
      </c>
      <c r="O169" s="19"/>
      <c r="P169" s="19"/>
      <c r="Q169" s="19"/>
      <c r="R169" s="25"/>
      <c r="S169" s="19"/>
      <c r="T169" s="19"/>
      <c r="U169" s="19"/>
      <c r="V169" s="20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20"/>
      <c r="BH169" s="20"/>
      <c r="BI169" s="20"/>
      <c r="BJ169" s="20"/>
      <c r="BK169" s="20"/>
      <c r="BL169" s="20"/>
    </row>
    <row r="170" spans="1:64" ht="16.2" hidden="1" x14ac:dyDescent="0.4">
      <c r="A170" s="11" t="str">
        <f t="shared" si="10"/>
        <v>lt002_instrumentsstnbl_ctgry_txnmy</v>
      </c>
      <c r="B170" s="12" t="s">
        <v>12</v>
      </c>
      <c r="C170" s="13" t="s">
        <v>12</v>
      </c>
      <c r="D170" s="14" t="s">
        <v>17</v>
      </c>
      <c r="E170" s="24" t="s">
        <v>158</v>
      </c>
      <c r="F170" s="24" t="s">
        <v>170</v>
      </c>
      <c r="G170" s="16" t="s">
        <v>16</v>
      </c>
      <c r="H170" s="18">
        <v>45590</v>
      </c>
      <c r="I170" s="18" t="s">
        <v>114</v>
      </c>
      <c r="J170" s="17" t="str">
        <f t="shared" si="11"/>
        <v/>
      </c>
      <c r="K170" s="30"/>
      <c r="L170" s="28">
        <v>4.0999999999999996</v>
      </c>
      <c r="M170" s="28">
        <f t="shared" si="12"/>
        <v>0.5</v>
      </c>
      <c r="N170" s="28">
        <f t="shared" si="13"/>
        <v>-0.5</v>
      </c>
      <c r="O170" s="19"/>
      <c r="P170" s="19"/>
      <c r="Q170" s="25"/>
      <c r="R170" s="19"/>
      <c r="S170" s="19"/>
      <c r="T170" s="19"/>
      <c r="U170" s="19"/>
      <c r="V170" s="20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20"/>
      <c r="BH170" s="20"/>
      <c r="BI170" s="20"/>
      <c r="BJ170" s="20"/>
      <c r="BK170" s="20"/>
      <c r="BL170" s="20"/>
    </row>
    <row r="171" spans="1:64" ht="16.2" hidden="1" x14ac:dyDescent="0.4">
      <c r="A171" s="11" t="str">
        <f t="shared" si="10"/>
        <v>lt825_mthd_usd_instrmntambito</v>
      </c>
      <c r="B171" s="12" t="s">
        <v>12</v>
      </c>
      <c r="C171" s="13" t="s">
        <v>12</v>
      </c>
      <c r="D171" s="14" t="s">
        <v>17</v>
      </c>
      <c r="E171" s="24" t="s">
        <v>171</v>
      </c>
      <c r="F171" s="24" t="s">
        <v>172</v>
      </c>
      <c r="G171" s="16" t="s">
        <v>16</v>
      </c>
      <c r="H171" s="18">
        <v>45593</v>
      </c>
      <c r="I171" s="18" t="s">
        <v>114</v>
      </c>
      <c r="J171" s="17" t="str">
        <f t="shared" si="11"/>
        <v/>
      </c>
      <c r="K171" s="30"/>
      <c r="L171" s="28">
        <v>4.0999999999999996</v>
      </c>
      <c r="M171" s="28">
        <f t="shared" si="12"/>
        <v>0.5</v>
      </c>
      <c r="N171" s="28">
        <f t="shared" si="13"/>
        <v>-0.5</v>
      </c>
      <c r="O171" s="19"/>
      <c r="P171" s="19"/>
      <c r="Q171" s="19"/>
      <c r="R171" s="25"/>
      <c r="S171" s="19"/>
      <c r="T171" s="19"/>
      <c r="U171" s="19"/>
      <c r="V171" s="20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20"/>
      <c r="BH171" s="20"/>
      <c r="BI171" s="20"/>
      <c r="BJ171" s="20"/>
      <c r="BK171" s="20"/>
      <c r="BL171" s="20"/>
    </row>
    <row r="172" spans="1:64" ht="16.2" hidden="1" x14ac:dyDescent="0.4">
      <c r="A172" s="11" t="str">
        <f t="shared" si="10"/>
        <v>lt825_mthd_usd_instrmntref_date</v>
      </c>
      <c r="B172" s="12" t="s">
        <v>12</v>
      </c>
      <c r="C172" s="13" t="s">
        <v>12</v>
      </c>
      <c r="D172" s="14" t="s">
        <v>17</v>
      </c>
      <c r="E172" s="24" t="s">
        <v>171</v>
      </c>
      <c r="F172" s="24" t="s">
        <v>111</v>
      </c>
      <c r="G172" s="16" t="s">
        <v>16</v>
      </c>
      <c r="H172" s="18">
        <v>45593</v>
      </c>
      <c r="I172" s="18" t="s">
        <v>114</v>
      </c>
      <c r="J172" s="17" t="str">
        <f t="shared" si="11"/>
        <v/>
      </c>
      <c r="K172" s="30"/>
      <c r="L172" s="28">
        <v>4.0999999999999996</v>
      </c>
      <c r="M172" s="28">
        <f t="shared" si="12"/>
        <v>0.5</v>
      </c>
      <c r="N172" s="28">
        <f t="shared" si="13"/>
        <v>-0.5</v>
      </c>
      <c r="O172" s="19"/>
      <c r="P172" s="19"/>
      <c r="Q172" s="19"/>
      <c r="R172" s="25"/>
      <c r="S172" s="19"/>
      <c r="T172" s="19"/>
      <c r="U172" s="19"/>
      <c r="V172" s="20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20"/>
      <c r="BH172" s="20"/>
      <c r="BI172" s="20"/>
      <c r="BJ172" s="20"/>
      <c r="BK172" s="20"/>
      <c r="BL172" s="20"/>
    </row>
    <row r="173" spans="1:64" ht="16.2" hidden="1" x14ac:dyDescent="0.4">
      <c r="A173" s="11" t="str">
        <f t="shared" si="10"/>
        <v>lt825_mthd_usd_instrmntordem</v>
      </c>
      <c r="B173" s="12" t="s">
        <v>12</v>
      </c>
      <c r="C173" s="13" t="s">
        <v>12</v>
      </c>
      <c r="D173" s="14" t="s">
        <v>17</v>
      </c>
      <c r="E173" s="24" t="s">
        <v>171</v>
      </c>
      <c r="F173" s="24" t="s">
        <v>173</v>
      </c>
      <c r="G173" s="16" t="s">
        <v>16</v>
      </c>
      <c r="H173" s="18">
        <v>45593</v>
      </c>
      <c r="I173" s="18" t="s">
        <v>114</v>
      </c>
      <c r="J173" s="17" t="str">
        <f t="shared" si="11"/>
        <v/>
      </c>
      <c r="K173" s="30"/>
      <c r="L173" s="28">
        <v>4.0999999999999996</v>
      </c>
      <c r="M173" s="28">
        <f t="shared" si="12"/>
        <v>0.5</v>
      </c>
      <c r="N173" s="28">
        <f t="shared" si="13"/>
        <v>-0.5</v>
      </c>
      <c r="O173" s="19"/>
      <c r="P173" s="19"/>
      <c r="Q173" s="19"/>
      <c r="R173" s="25"/>
      <c r="S173" s="19"/>
      <c r="T173" s="19"/>
      <c r="U173" s="19"/>
      <c r="V173" s="20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20"/>
      <c r="BH173" s="20"/>
      <c r="BI173" s="20"/>
      <c r="BJ173" s="20"/>
      <c r="BK173" s="20"/>
      <c r="BL173" s="20"/>
    </row>
    <row r="174" spans="1:64" ht="16.2" hidden="1" x14ac:dyDescent="0.4">
      <c r="A174" s="11" t="str">
        <f t="shared" si="10"/>
        <v>lt825_mthd_usd_instrmnttabela</v>
      </c>
      <c r="B174" s="12" t="s">
        <v>12</v>
      </c>
      <c r="C174" s="13" t="s">
        <v>12</v>
      </c>
      <c r="D174" s="14" t="s">
        <v>17</v>
      </c>
      <c r="E174" s="24" t="s">
        <v>171</v>
      </c>
      <c r="F174" s="24" t="s">
        <v>174</v>
      </c>
      <c r="G174" s="16" t="s">
        <v>16</v>
      </c>
      <c r="H174" s="18">
        <v>45593</v>
      </c>
      <c r="I174" s="18" t="s">
        <v>114</v>
      </c>
      <c r="J174" s="17" t="str">
        <f t="shared" si="11"/>
        <v/>
      </c>
      <c r="K174" s="30"/>
      <c r="L174" s="28">
        <v>4.0999999999999996</v>
      </c>
      <c r="M174" s="28">
        <f t="shared" si="12"/>
        <v>0.5</v>
      </c>
      <c r="N174" s="28">
        <f t="shared" si="13"/>
        <v>-0.5</v>
      </c>
      <c r="O174" s="19"/>
      <c r="P174" s="19"/>
      <c r="Q174" s="19"/>
      <c r="R174" s="25"/>
      <c r="S174" s="19"/>
      <c r="T174" s="19"/>
      <c r="U174" s="19"/>
      <c r="V174" s="20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20"/>
      <c r="BH174" s="20"/>
      <c r="BI174" s="20"/>
      <c r="BJ174" s="20"/>
      <c r="BK174" s="20"/>
      <c r="BL174" s="20"/>
    </row>
    <row r="175" spans="1:64" ht="16.2" hidden="1" x14ac:dyDescent="0.4">
      <c r="A175" s="11" t="str">
        <f t="shared" si="10"/>
        <v>lt825_mthd_usd_instrmntorigem_scp1_emss</v>
      </c>
      <c r="B175" s="12" t="s">
        <v>12</v>
      </c>
      <c r="C175" s="13" t="s">
        <v>12</v>
      </c>
      <c r="D175" s="14" t="s">
        <v>17</v>
      </c>
      <c r="E175" s="24" t="s">
        <v>171</v>
      </c>
      <c r="F175" s="24" t="s">
        <v>75</v>
      </c>
      <c r="G175" s="16" t="s">
        <v>16</v>
      </c>
      <c r="H175" s="18">
        <v>45593</v>
      </c>
      <c r="I175" s="26" t="s">
        <v>114</v>
      </c>
      <c r="J175" s="17" t="str">
        <f t="shared" si="11"/>
        <v/>
      </c>
      <c r="K175" s="30"/>
      <c r="L175" s="28">
        <v>4.0999999999999996</v>
      </c>
      <c r="M175" s="28">
        <f t="shared" si="12"/>
        <v>0.5</v>
      </c>
      <c r="N175" s="28">
        <f t="shared" si="13"/>
        <v>-0.5</v>
      </c>
      <c r="O175" s="19"/>
      <c r="P175" s="19"/>
      <c r="Q175" s="19"/>
      <c r="R175" s="25"/>
      <c r="S175" s="19"/>
      <c r="T175" s="19"/>
      <c r="U175" s="19"/>
      <c r="V175" s="20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20"/>
      <c r="BH175" s="20"/>
      <c r="BI175" s="20"/>
      <c r="BJ175" s="20"/>
      <c r="BK175" s="20"/>
      <c r="BL175" s="20"/>
    </row>
    <row r="176" spans="1:64" ht="16.2" hidden="1" x14ac:dyDescent="0.4">
      <c r="A176" s="11" t="str">
        <f t="shared" si="10"/>
        <v>lt825_mthd_usd_instrmntorigem_scp2_emss</v>
      </c>
      <c r="B176" s="12" t="s">
        <v>12</v>
      </c>
      <c r="C176" s="13" t="s">
        <v>12</v>
      </c>
      <c r="D176" s="14" t="s">
        <v>17</v>
      </c>
      <c r="E176" s="24" t="s">
        <v>171</v>
      </c>
      <c r="F176" s="24" t="s">
        <v>76</v>
      </c>
      <c r="G176" s="16" t="s">
        <v>16</v>
      </c>
      <c r="H176" s="18">
        <v>45593</v>
      </c>
      <c r="I176" s="26" t="s">
        <v>114</v>
      </c>
      <c r="J176" s="17" t="str">
        <f t="shared" si="11"/>
        <v/>
      </c>
      <c r="K176" s="30"/>
      <c r="L176" s="28">
        <v>4.0999999999999996</v>
      </c>
      <c r="M176" s="28">
        <f t="shared" si="12"/>
        <v>0.5</v>
      </c>
      <c r="N176" s="28">
        <f t="shared" si="13"/>
        <v>-0.5</v>
      </c>
      <c r="O176" s="19"/>
      <c r="P176" s="19"/>
      <c r="Q176" s="19"/>
      <c r="R176" s="25"/>
      <c r="S176" s="19"/>
      <c r="T176" s="19"/>
      <c r="U176" s="19"/>
      <c r="V176" s="20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20"/>
      <c r="BH176" s="20"/>
      <c r="BI176" s="20"/>
      <c r="BJ176" s="20"/>
      <c r="BK176" s="20"/>
      <c r="BL176" s="20"/>
    </row>
    <row r="177" spans="1:64" ht="16.2" hidden="1" x14ac:dyDescent="0.4">
      <c r="A177" s="11" t="str">
        <f t="shared" si="10"/>
        <v>lt825_mthd_usd_instrmntorigem_scp3_emss</v>
      </c>
      <c r="B177" s="12" t="s">
        <v>12</v>
      </c>
      <c r="C177" s="13" t="s">
        <v>12</v>
      </c>
      <c r="D177" s="14" t="s">
        <v>17</v>
      </c>
      <c r="E177" s="24" t="s">
        <v>171</v>
      </c>
      <c r="F177" s="24" t="s">
        <v>77</v>
      </c>
      <c r="G177" s="16" t="s">
        <v>16</v>
      </c>
      <c r="H177" s="18">
        <v>45593</v>
      </c>
      <c r="I177" s="26" t="s">
        <v>114</v>
      </c>
      <c r="J177" s="17" t="str">
        <f t="shared" si="11"/>
        <v/>
      </c>
      <c r="K177" s="30"/>
      <c r="L177" s="28">
        <v>4.0999999999999996</v>
      </c>
      <c r="M177" s="28">
        <f t="shared" si="12"/>
        <v>0.5</v>
      </c>
      <c r="N177" s="28">
        <f t="shared" si="13"/>
        <v>-0.5</v>
      </c>
      <c r="O177" s="19"/>
      <c r="P177" s="19"/>
      <c r="Q177" s="19"/>
      <c r="R177" s="25"/>
      <c r="S177" s="19"/>
      <c r="T177" s="19"/>
      <c r="U177" s="19"/>
      <c r="V177" s="20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20"/>
      <c r="BH177" s="20"/>
      <c r="BI177" s="20"/>
      <c r="BJ177" s="20"/>
      <c r="BK177" s="20"/>
      <c r="BL177" s="20"/>
    </row>
    <row r="178" spans="1:64" ht="16.2" hidden="1" x14ac:dyDescent="0.4">
      <c r="A178" s="11" t="str">
        <f t="shared" si="10"/>
        <v>lt825_mthd_usd_instrmntmthd_usd_instrmnt_scp_1</v>
      </c>
      <c r="B178" s="12" t="s">
        <v>12</v>
      </c>
      <c r="C178" s="13" t="s">
        <v>12</v>
      </c>
      <c r="D178" s="14" t="s">
        <v>17</v>
      </c>
      <c r="E178" s="24" t="s">
        <v>171</v>
      </c>
      <c r="F178" s="24" t="s">
        <v>167</v>
      </c>
      <c r="G178" s="16" t="s">
        <v>16</v>
      </c>
      <c r="H178" s="18">
        <v>45593</v>
      </c>
      <c r="I178" s="26" t="s">
        <v>114</v>
      </c>
      <c r="J178" s="17" t="str">
        <f t="shared" si="11"/>
        <v/>
      </c>
      <c r="K178" s="30"/>
      <c r="L178" s="28">
        <v>4.0999999999999996</v>
      </c>
      <c r="M178" s="28">
        <f t="shared" si="12"/>
        <v>0.5</v>
      </c>
      <c r="N178" s="28">
        <f t="shared" si="13"/>
        <v>-0.5</v>
      </c>
      <c r="O178" s="19"/>
      <c r="P178" s="19"/>
      <c r="Q178" s="19"/>
      <c r="R178" s="25"/>
      <c r="S178" s="19"/>
      <c r="T178" s="19"/>
      <c r="U178" s="19"/>
      <c r="V178" s="20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20"/>
      <c r="BH178" s="20"/>
      <c r="BI178" s="20"/>
      <c r="BJ178" s="20"/>
      <c r="BK178" s="20"/>
      <c r="BL178" s="20"/>
    </row>
    <row r="179" spans="1:64" ht="16.2" hidden="1" x14ac:dyDescent="0.4">
      <c r="A179" s="11" t="str">
        <f t="shared" si="10"/>
        <v>lt825_mthd_usd_instrmntmthd_usd_instrmnt_scp_2</v>
      </c>
      <c r="B179" s="12" t="s">
        <v>12</v>
      </c>
      <c r="C179" s="13" t="s">
        <v>12</v>
      </c>
      <c r="D179" s="14" t="s">
        <v>17</v>
      </c>
      <c r="E179" s="24" t="s">
        <v>171</v>
      </c>
      <c r="F179" s="24" t="s">
        <v>168</v>
      </c>
      <c r="G179" s="16" t="s">
        <v>16</v>
      </c>
      <c r="H179" s="18">
        <v>45593</v>
      </c>
      <c r="I179" s="26" t="s">
        <v>114</v>
      </c>
      <c r="J179" s="17" t="str">
        <f t="shared" si="11"/>
        <v/>
      </c>
      <c r="K179" s="30"/>
      <c r="L179" s="28">
        <v>4.0999999999999996</v>
      </c>
      <c r="M179" s="28">
        <f t="shared" si="12"/>
        <v>0.5</v>
      </c>
      <c r="N179" s="28">
        <f t="shared" si="13"/>
        <v>-0.5</v>
      </c>
      <c r="O179" s="19"/>
      <c r="P179" s="19"/>
      <c r="Q179" s="19"/>
      <c r="R179" s="25"/>
      <c r="S179" s="19"/>
      <c r="T179" s="19"/>
      <c r="U179" s="19"/>
      <c r="V179" s="20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20"/>
      <c r="BH179" s="20"/>
      <c r="BI179" s="20"/>
      <c r="BJ179" s="20"/>
      <c r="BK179" s="20"/>
      <c r="BL179" s="20"/>
    </row>
    <row r="180" spans="1:64" ht="16.2" hidden="1" x14ac:dyDescent="0.4">
      <c r="A180" s="11" t="str">
        <f t="shared" si="10"/>
        <v>lt825_mthd_usd_instrmntmthd_usd_instrmnt_scp_3</v>
      </c>
      <c r="B180" s="12" t="s">
        <v>12</v>
      </c>
      <c r="C180" s="13" t="s">
        <v>12</v>
      </c>
      <c r="D180" s="14" t="s">
        <v>17</v>
      </c>
      <c r="E180" s="24" t="s">
        <v>171</v>
      </c>
      <c r="F180" s="24" t="s">
        <v>169</v>
      </c>
      <c r="G180" s="16" t="s">
        <v>16</v>
      </c>
      <c r="H180" s="18">
        <v>45593</v>
      </c>
      <c r="I180" s="26" t="s">
        <v>114</v>
      </c>
      <c r="J180" s="17" t="str">
        <f t="shared" si="11"/>
        <v/>
      </c>
      <c r="K180" s="30"/>
      <c r="L180" s="28">
        <v>4.0999999999999996</v>
      </c>
      <c r="M180" s="28">
        <f t="shared" si="12"/>
        <v>0.5</v>
      </c>
      <c r="N180" s="28">
        <f t="shared" si="13"/>
        <v>-0.5</v>
      </c>
      <c r="O180" s="19"/>
      <c r="P180" s="19"/>
      <c r="Q180" s="19"/>
      <c r="R180" s="25"/>
      <c r="S180" s="19"/>
      <c r="T180" s="19"/>
      <c r="U180" s="19"/>
      <c r="V180" s="20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20"/>
      <c r="BH180" s="20"/>
      <c r="BI180" s="20"/>
      <c r="BJ180" s="20"/>
      <c r="BK180" s="20"/>
      <c r="BL180" s="20"/>
    </row>
    <row r="181" spans="1:64" ht="16.2" hidden="1" x14ac:dyDescent="0.4">
      <c r="A181" s="11" t="str">
        <f t="shared" si="10"/>
        <v>lt002_instrumentsstnbl_indctr</v>
      </c>
      <c r="B181" s="12" t="s">
        <v>12</v>
      </c>
      <c r="C181" s="13" t="s">
        <v>12</v>
      </c>
      <c r="D181" s="14" t="s">
        <v>17</v>
      </c>
      <c r="E181" s="24" t="s">
        <v>158</v>
      </c>
      <c r="F181" s="24" t="s">
        <v>175</v>
      </c>
      <c r="G181" s="16" t="s">
        <v>163</v>
      </c>
      <c r="H181" s="18">
        <v>45593</v>
      </c>
      <c r="I181" s="26" t="s">
        <v>114</v>
      </c>
      <c r="J181" s="17" t="str">
        <f t="shared" si="11"/>
        <v/>
      </c>
      <c r="K181" s="30"/>
      <c r="L181" s="28">
        <v>0.1</v>
      </c>
      <c r="M181" s="28">
        <f t="shared" si="12"/>
        <v>0</v>
      </c>
      <c r="N181" s="28">
        <f t="shared" si="13"/>
        <v>0</v>
      </c>
      <c r="O181" s="19"/>
      <c r="P181" s="19"/>
      <c r="Q181" s="19"/>
      <c r="R181" s="25"/>
      <c r="S181" s="19"/>
      <c r="T181" s="19"/>
      <c r="U181" s="19"/>
      <c r="V181" s="20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20"/>
      <c r="BH181" s="20"/>
      <c r="BI181" s="20"/>
      <c r="BJ181" s="20"/>
      <c r="BK181" s="20"/>
      <c r="BL181" s="20"/>
    </row>
    <row r="182" spans="1:64" ht="16.2" hidden="1" x14ac:dyDescent="0.4">
      <c r="A182" s="11" t="str">
        <f t="shared" si="10"/>
        <v>lt002_instrumentsstnbl_ctgry</v>
      </c>
      <c r="B182" s="12" t="s">
        <v>12</v>
      </c>
      <c r="C182" s="13" t="s">
        <v>12</v>
      </c>
      <c r="D182" s="14" t="s">
        <v>17</v>
      </c>
      <c r="E182" s="24" t="s">
        <v>158</v>
      </c>
      <c r="F182" s="24" t="s">
        <v>176</v>
      </c>
      <c r="G182" s="16" t="s">
        <v>163</v>
      </c>
      <c r="H182" s="18">
        <v>45593</v>
      </c>
      <c r="I182" s="26" t="s">
        <v>114</v>
      </c>
      <c r="J182" s="17" t="str">
        <f t="shared" si="11"/>
        <v/>
      </c>
      <c r="K182" s="30"/>
      <c r="L182" s="28">
        <v>0.1</v>
      </c>
      <c r="M182" s="28">
        <f t="shared" si="12"/>
        <v>0</v>
      </c>
      <c r="N182" s="28">
        <f t="shared" si="13"/>
        <v>0</v>
      </c>
      <c r="O182" s="19"/>
      <c r="P182" s="19"/>
      <c r="Q182" s="19"/>
      <c r="R182" s="25"/>
      <c r="S182" s="19"/>
      <c r="T182" s="19"/>
      <c r="U182" s="19"/>
      <c r="V182" s="20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20"/>
      <c r="BH182" s="20"/>
      <c r="BI182" s="20"/>
      <c r="BJ182" s="20"/>
      <c r="BK182" s="20"/>
      <c r="BL182" s="20"/>
    </row>
    <row r="183" spans="1:64" ht="16.2" x14ac:dyDescent="0.4">
      <c r="A183" s="11" t="str">
        <f t="shared" si="10"/>
        <v>lt002_instrumentgrss_intrst_incm</v>
      </c>
      <c r="B183" s="12" t="s">
        <v>12</v>
      </c>
      <c r="C183" s="13" t="s">
        <v>12</v>
      </c>
      <c r="D183" s="14" t="s">
        <v>17</v>
      </c>
      <c r="E183" s="24" t="s">
        <v>158</v>
      </c>
      <c r="F183" s="24" t="s">
        <v>177</v>
      </c>
      <c r="G183" s="16" t="s">
        <v>166</v>
      </c>
      <c r="H183" s="18" t="s">
        <v>15</v>
      </c>
      <c r="I183" s="26" t="s">
        <v>114</v>
      </c>
      <c r="J183" s="17">
        <f t="shared" si="11"/>
        <v>45596</v>
      </c>
      <c r="K183" s="30"/>
      <c r="L183" s="29">
        <v>8</v>
      </c>
      <c r="M183" s="28">
        <f t="shared" si="12"/>
        <v>1</v>
      </c>
      <c r="N183" s="28">
        <f t="shared" si="13"/>
        <v>0</v>
      </c>
      <c r="O183" s="19"/>
      <c r="P183" s="19"/>
      <c r="Q183" s="19"/>
      <c r="R183" s="19"/>
      <c r="S183" s="19"/>
      <c r="T183" s="19"/>
      <c r="U183" s="19">
        <v>1</v>
      </c>
      <c r="V183" s="20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20"/>
      <c r="BH183" s="20"/>
      <c r="BI183" s="20"/>
      <c r="BJ183" s="20"/>
      <c r="BK183" s="20"/>
      <c r="BL183" s="20"/>
    </row>
    <row r="184" spans="1:64" ht="16.2" x14ac:dyDescent="0.4">
      <c r="A184" s="11" t="str">
        <f t="shared" si="10"/>
        <v>lt002_instrumentgrss_cmmssn_incm</v>
      </c>
      <c r="B184" s="12" t="s">
        <v>12</v>
      </c>
      <c r="C184" s="13" t="s">
        <v>12</v>
      </c>
      <c r="D184" s="14" t="s">
        <v>17</v>
      </c>
      <c r="E184" s="24" t="s">
        <v>158</v>
      </c>
      <c r="F184" s="24" t="s">
        <v>178</v>
      </c>
      <c r="G184" s="16" t="s">
        <v>166</v>
      </c>
      <c r="H184" s="18" t="s">
        <v>15</v>
      </c>
      <c r="I184" s="26" t="s">
        <v>114</v>
      </c>
      <c r="J184" s="17">
        <f t="shared" si="11"/>
        <v>45600</v>
      </c>
      <c r="K184" s="30"/>
      <c r="L184" s="29">
        <v>4</v>
      </c>
      <c r="M184" s="28">
        <f t="shared" si="12"/>
        <v>0.5</v>
      </c>
      <c r="N184" s="28">
        <f t="shared" si="13"/>
        <v>0</v>
      </c>
      <c r="O184" s="19"/>
      <c r="P184" s="19"/>
      <c r="Q184" s="19"/>
      <c r="R184" s="19"/>
      <c r="S184" s="19"/>
      <c r="T184" s="19"/>
      <c r="U184" s="19"/>
      <c r="V184" s="20"/>
      <c r="W184" s="19">
        <v>0.5</v>
      </c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20"/>
      <c r="BH184" s="20"/>
      <c r="BI184" s="20"/>
      <c r="BJ184" s="20"/>
      <c r="BK184" s="20"/>
      <c r="BL184" s="20"/>
    </row>
    <row r="185" spans="1:64" ht="16.2" x14ac:dyDescent="0.4">
      <c r="A185" s="11" t="str">
        <f t="shared" si="10"/>
        <v>lt002_instrumentgrss_cmmssn_incm_off_blnc</v>
      </c>
      <c r="B185" s="12" t="s">
        <v>12</v>
      </c>
      <c r="C185" s="13" t="s">
        <v>12</v>
      </c>
      <c r="D185" s="14" t="s">
        <v>17</v>
      </c>
      <c r="E185" s="24" t="s">
        <v>158</v>
      </c>
      <c r="F185" s="24" t="s">
        <v>179</v>
      </c>
      <c r="G185" s="16" t="s">
        <v>166</v>
      </c>
      <c r="H185" s="18" t="s">
        <v>15</v>
      </c>
      <c r="I185" s="26" t="s">
        <v>114</v>
      </c>
      <c r="J185" s="17">
        <f t="shared" si="11"/>
        <v>45600</v>
      </c>
      <c r="K185" s="30"/>
      <c r="L185" s="29">
        <v>4</v>
      </c>
      <c r="M185" s="28">
        <f t="shared" si="12"/>
        <v>0.5</v>
      </c>
      <c r="N185" s="28">
        <f t="shared" si="13"/>
        <v>0</v>
      </c>
      <c r="O185" s="19"/>
      <c r="P185" s="19"/>
      <c r="Q185" s="19"/>
      <c r="R185" s="19"/>
      <c r="S185" s="19"/>
      <c r="T185" s="19"/>
      <c r="U185" s="19"/>
      <c r="V185" s="20"/>
      <c r="W185" s="19">
        <v>0.5</v>
      </c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20"/>
      <c r="BH185" s="20"/>
      <c r="BI185" s="20"/>
      <c r="BJ185" s="20"/>
      <c r="BK185" s="20"/>
      <c r="BL185" s="20"/>
    </row>
    <row r="186" spans="1:64" ht="16.2" hidden="1" x14ac:dyDescent="0.4">
      <c r="A186" s="11" t="str">
        <f t="shared" si="10"/>
        <v>lt004_protectionprtctn_id</v>
      </c>
      <c r="B186" s="12" t="s">
        <v>12</v>
      </c>
      <c r="C186" s="13" t="s">
        <v>12</v>
      </c>
      <c r="D186" s="14" t="s">
        <v>17</v>
      </c>
      <c r="E186" s="24" t="s">
        <v>147</v>
      </c>
      <c r="F186" s="24" t="s">
        <v>180</v>
      </c>
      <c r="G186" s="16" t="s">
        <v>16</v>
      </c>
      <c r="H186" s="18">
        <v>45588</v>
      </c>
      <c r="I186" s="18" t="s">
        <v>114</v>
      </c>
      <c r="J186" s="17" t="str">
        <f t="shared" si="11"/>
        <v/>
      </c>
      <c r="K186" s="30"/>
      <c r="L186" s="28">
        <v>0.1</v>
      </c>
      <c r="M186" s="28">
        <f t="shared" si="12"/>
        <v>0</v>
      </c>
      <c r="N186" s="28">
        <f t="shared" si="13"/>
        <v>0</v>
      </c>
      <c r="O186" s="25"/>
      <c r="P186" s="19"/>
      <c r="Q186" s="19"/>
      <c r="R186" s="19"/>
      <c r="S186" s="19"/>
      <c r="T186" s="19"/>
      <c r="U186" s="19"/>
      <c r="V186" s="20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20"/>
      <c r="BH186" s="20"/>
      <c r="BI186" s="20"/>
      <c r="BJ186" s="20"/>
      <c r="BK186" s="20"/>
      <c r="BL186" s="20"/>
    </row>
    <row r="187" spans="1:64" ht="16.2" hidden="1" x14ac:dyDescent="0.4">
      <c r="A187" s="11" t="str">
        <f t="shared" si="10"/>
        <v>lt004_protectionrl_estt_clltrl_lctn</v>
      </c>
      <c r="B187" s="12" t="s">
        <v>12</v>
      </c>
      <c r="C187" s="13" t="s">
        <v>12</v>
      </c>
      <c r="D187" s="14" t="s">
        <v>17</v>
      </c>
      <c r="E187" s="24" t="s">
        <v>147</v>
      </c>
      <c r="F187" s="24" t="s">
        <v>181</v>
      </c>
      <c r="G187" s="16" t="s">
        <v>16</v>
      </c>
      <c r="H187" s="18">
        <v>45588</v>
      </c>
      <c r="I187" s="18" t="s">
        <v>114</v>
      </c>
      <c r="J187" s="17" t="str">
        <f t="shared" si="11"/>
        <v/>
      </c>
      <c r="K187" s="30"/>
      <c r="L187" s="28">
        <v>0.1</v>
      </c>
      <c r="M187" s="28">
        <f t="shared" si="12"/>
        <v>0</v>
      </c>
      <c r="N187" s="28">
        <f t="shared" si="13"/>
        <v>0</v>
      </c>
      <c r="O187" s="25"/>
      <c r="P187" s="19"/>
      <c r="Q187" s="19"/>
      <c r="R187" s="19"/>
      <c r="S187" s="19"/>
      <c r="T187" s="19"/>
      <c r="U187" s="19"/>
      <c r="V187" s="20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20"/>
      <c r="BH187" s="20"/>
      <c r="BI187" s="20"/>
      <c r="BJ187" s="20"/>
      <c r="BK187" s="20"/>
      <c r="BL187" s="20"/>
    </row>
    <row r="188" spans="1:64" ht="16.2" hidden="1" x14ac:dyDescent="0.4">
      <c r="A188" s="11" t="str">
        <f t="shared" si="10"/>
        <v>lt004_protectionrl_estt_pst_cd</v>
      </c>
      <c r="B188" s="12" t="s">
        <v>12</v>
      </c>
      <c r="C188" s="13" t="s">
        <v>12</v>
      </c>
      <c r="D188" s="14" t="s">
        <v>17</v>
      </c>
      <c r="E188" s="24" t="s">
        <v>147</v>
      </c>
      <c r="F188" s="24" t="s">
        <v>182</v>
      </c>
      <c r="G188" s="16" t="s">
        <v>16</v>
      </c>
      <c r="H188" s="18">
        <v>45588</v>
      </c>
      <c r="I188" s="18" t="s">
        <v>114</v>
      </c>
      <c r="J188" s="17" t="str">
        <f t="shared" si="11"/>
        <v/>
      </c>
      <c r="K188" s="30"/>
      <c r="L188" s="28">
        <v>0.1</v>
      </c>
      <c r="M188" s="28">
        <f t="shared" si="12"/>
        <v>0</v>
      </c>
      <c r="N188" s="28">
        <f t="shared" si="13"/>
        <v>0</v>
      </c>
      <c r="O188" s="25"/>
      <c r="P188" s="19"/>
      <c r="Q188" s="19"/>
      <c r="R188" s="19"/>
      <c r="S188" s="19"/>
      <c r="T188" s="19"/>
      <c r="U188" s="19"/>
      <c r="V188" s="20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20"/>
      <c r="BH188" s="20"/>
      <c r="BI188" s="20"/>
      <c r="BJ188" s="20"/>
      <c r="BK188" s="20"/>
      <c r="BL188" s="20"/>
    </row>
    <row r="189" spans="1:64" ht="16.2" hidden="1" x14ac:dyDescent="0.4">
      <c r="A189" s="11" t="str">
        <f t="shared" si="10"/>
        <v>lt004_protectiontyp_prtctn</v>
      </c>
      <c r="B189" s="12" t="s">
        <v>12</v>
      </c>
      <c r="C189" s="13" t="s">
        <v>12</v>
      </c>
      <c r="D189" s="14" t="s">
        <v>17</v>
      </c>
      <c r="E189" s="24" t="s">
        <v>147</v>
      </c>
      <c r="F189" s="24" t="s">
        <v>183</v>
      </c>
      <c r="G189" s="16" t="s">
        <v>163</v>
      </c>
      <c r="H189" s="18">
        <v>45595</v>
      </c>
      <c r="I189" s="26" t="s">
        <v>114</v>
      </c>
      <c r="J189" s="17" t="str">
        <f t="shared" si="11"/>
        <v/>
      </c>
      <c r="K189" s="30"/>
      <c r="L189" s="28">
        <v>0.1</v>
      </c>
      <c r="M189" s="28">
        <f t="shared" si="12"/>
        <v>0</v>
      </c>
      <c r="N189" s="28">
        <f t="shared" si="13"/>
        <v>0</v>
      </c>
      <c r="O189" s="19"/>
      <c r="P189" s="19"/>
      <c r="Q189" s="19"/>
      <c r="R189" s="19"/>
      <c r="S189" s="19"/>
      <c r="T189" s="25"/>
      <c r="U189" s="19"/>
      <c r="V189" s="20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20"/>
      <c r="BH189" s="20"/>
      <c r="BI189" s="20"/>
      <c r="BJ189" s="20"/>
      <c r="BK189" s="20"/>
      <c r="BL189" s="20"/>
    </row>
    <row r="190" spans="1:64" ht="16.2" hidden="1" x14ac:dyDescent="0.4">
      <c r="A190" s="11" t="str">
        <f t="shared" si="10"/>
        <v>lt004_protectionorgnl_prtctn_vl</v>
      </c>
      <c r="B190" s="12" t="s">
        <v>12</v>
      </c>
      <c r="C190" s="13" t="s">
        <v>12</v>
      </c>
      <c r="D190" s="14" t="s">
        <v>17</v>
      </c>
      <c r="E190" s="24" t="s">
        <v>147</v>
      </c>
      <c r="F190" s="24" t="s">
        <v>184</v>
      </c>
      <c r="G190" s="16" t="s">
        <v>160</v>
      </c>
      <c r="H190" s="18">
        <v>45595</v>
      </c>
      <c r="I190" s="26" t="s">
        <v>114</v>
      </c>
      <c r="J190" s="17" t="str">
        <f t="shared" si="11"/>
        <v/>
      </c>
      <c r="K190" s="30"/>
      <c r="L190" s="29">
        <v>1</v>
      </c>
      <c r="M190" s="28">
        <f t="shared" si="12"/>
        <v>0.1</v>
      </c>
      <c r="N190" s="28">
        <f t="shared" si="13"/>
        <v>-0.1</v>
      </c>
      <c r="O190" s="19"/>
      <c r="P190" s="19"/>
      <c r="Q190" s="19"/>
      <c r="R190" s="19"/>
      <c r="S190" s="19"/>
      <c r="T190" s="25"/>
      <c r="U190" s="19"/>
      <c r="V190" s="20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20"/>
      <c r="BH190" s="20"/>
      <c r="BI190" s="20"/>
      <c r="BJ190" s="20"/>
      <c r="BK190" s="20"/>
      <c r="BL190" s="20"/>
    </row>
    <row r="191" spans="1:64" ht="16.2" hidden="1" x14ac:dyDescent="0.4">
      <c r="A191" s="11" t="str">
        <f t="shared" si="10"/>
        <v>lt004_protectionprtctn_vl</v>
      </c>
      <c r="B191" s="12" t="s">
        <v>12</v>
      </c>
      <c r="C191" s="13" t="s">
        <v>12</v>
      </c>
      <c r="D191" s="14" t="s">
        <v>17</v>
      </c>
      <c r="E191" s="24" t="s">
        <v>147</v>
      </c>
      <c r="F191" s="24" t="s">
        <v>185</v>
      </c>
      <c r="G191" s="16" t="s">
        <v>16</v>
      </c>
      <c r="H191" s="18">
        <v>45588</v>
      </c>
      <c r="I191" s="18" t="s">
        <v>114</v>
      </c>
      <c r="J191" s="17" t="str">
        <f t="shared" si="11"/>
        <v/>
      </c>
      <c r="K191" s="30"/>
      <c r="L191" s="28">
        <v>0.1</v>
      </c>
      <c r="M191" s="28">
        <f t="shared" si="12"/>
        <v>0</v>
      </c>
      <c r="N191" s="28">
        <f t="shared" si="13"/>
        <v>0</v>
      </c>
      <c r="O191" s="25"/>
      <c r="P191" s="19"/>
      <c r="Q191" s="19"/>
      <c r="R191" s="19"/>
      <c r="S191" s="19"/>
      <c r="T191" s="19"/>
      <c r="U191" s="19"/>
      <c r="V191" s="20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20"/>
      <c r="BH191" s="20"/>
      <c r="BI191" s="20"/>
      <c r="BJ191" s="20"/>
      <c r="BK191" s="20"/>
      <c r="BL191" s="20"/>
    </row>
    <row r="192" spans="1:64" ht="16.2" hidden="1" x14ac:dyDescent="0.4">
      <c r="A192" s="11" t="str">
        <f t="shared" si="10"/>
        <v>lt004_protectionflg_fin</v>
      </c>
      <c r="B192" s="12" t="s">
        <v>12</v>
      </c>
      <c r="C192" s="13" t="s">
        <v>12</v>
      </c>
      <c r="D192" s="14" t="s">
        <v>17</v>
      </c>
      <c r="E192" s="24" t="s">
        <v>147</v>
      </c>
      <c r="F192" s="24" t="s">
        <v>186</v>
      </c>
      <c r="G192" s="16" t="s">
        <v>56</v>
      </c>
      <c r="H192" s="17">
        <v>45593</v>
      </c>
      <c r="I192" s="18" t="s">
        <v>114</v>
      </c>
      <c r="J192" s="17" t="str">
        <f t="shared" si="11"/>
        <v/>
      </c>
      <c r="K192" s="30"/>
      <c r="L192" s="28">
        <v>4.0999999999999996</v>
      </c>
      <c r="M192" s="28">
        <f t="shared" si="12"/>
        <v>0.5</v>
      </c>
      <c r="N192" s="28">
        <f t="shared" si="13"/>
        <v>-0.5</v>
      </c>
      <c r="O192" s="19"/>
      <c r="P192" s="19"/>
      <c r="Q192" s="19"/>
      <c r="R192" s="19"/>
      <c r="S192" s="19"/>
      <c r="T192" s="19"/>
      <c r="U192" s="19"/>
      <c r="V192" s="20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20"/>
      <c r="BH192" s="20"/>
      <c r="BI192" s="20"/>
      <c r="BJ192" s="20"/>
      <c r="BK192" s="20"/>
      <c r="BL192" s="20"/>
    </row>
    <row r="193" spans="1:64" ht="16.2" hidden="1" x14ac:dyDescent="0.4">
      <c r="A193" s="11" t="str">
        <f t="shared" si="10"/>
        <v>lt004_protectionflg_exec</v>
      </c>
      <c r="B193" s="12" t="s">
        <v>12</v>
      </c>
      <c r="C193" s="13" t="s">
        <v>12</v>
      </c>
      <c r="D193" s="14" t="s">
        <v>17</v>
      </c>
      <c r="E193" s="24" t="s">
        <v>147</v>
      </c>
      <c r="F193" s="24" t="s">
        <v>187</v>
      </c>
      <c r="G193" s="16" t="s">
        <v>56</v>
      </c>
      <c r="H193" s="17">
        <v>45593</v>
      </c>
      <c r="I193" s="18" t="s">
        <v>114</v>
      </c>
      <c r="J193" s="17" t="str">
        <f t="shared" si="11"/>
        <v/>
      </c>
      <c r="K193" s="30"/>
      <c r="L193" s="28">
        <v>4.0999999999999996</v>
      </c>
      <c r="M193" s="28">
        <f t="shared" si="12"/>
        <v>0.5</v>
      </c>
      <c r="N193" s="28">
        <f t="shared" si="13"/>
        <v>-0.5</v>
      </c>
      <c r="O193" s="19"/>
      <c r="P193" s="19"/>
      <c r="Q193" s="19"/>
      <c r="R193" s="19"/>
      <c r="S193" s="19"/>
      <c r="T193" s="19"/>
      <c r="U193" s="19"/>
      <c r="V193" s="20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20"/>
      <c r="BH193" s="20"/>
      <c r="BI193" s="20"/>
      <c r="BJ193" s="20"/>
      <c r="BK193" s="20"/>
      <c r="BL193" s="20"/>
    </row>
    <row r="194" spans="1:64" ht="16.2" hidden="1" x14ac:dyDescent="0.4">
      <c r="A194" s="11" t="str">
        <f t="shared" si="10"/>
        <v>lt004_protectionflg_col</v>
      </c>
      <c r="B194" s="12" t="s">
        <v>12</v>
      </c>
      <c r="C194" s="13" t="s">
        <v>12</v>
      </c>
      <c r="D194" s="14" t="s">
        <v>17</v>
      </c>
      <c r="E194" s="24" t="s">
        <v>147</v>
      </c>
      <c r="F194" s="24" t="s">
        <v>188</v>
      </c>
      <c r="G194" s="16" t="s">
        <v>56</v>
      </c>
      <c r="H194" s="17">
        <v>45593</v>
      </c>
      <c r="I194" s="18" t="s">
        <v>114</v>
      </c>
      <c r="J194" s="17" t="str">
        <f t="shared" si="11"/>
        <v/>
      </c>
      <c r="K194" s="30"/>
      <c r="L194" s="28">
        <v>4.0999999999999996</v>
      </c>
      <c r="M194" s="28">
        <f t="shared" si="12"/>
        <v>0.5</v>
      </c>
      <c r="N194" s="28">
        <f t="shared" si="13"/>
        <v>-0.5</v>
      </c>
      <c r="O194" s="19"/>
      <c r="P194" s="19"/>
      <c r="Q194" s="19"/>
      <c r="R194" s="19"/>
      <c r="S194" s="19"/>
      <c r="T194" s="19"/>
      <c r="U194" s="19"/>
      <c r="V194" s="20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20"/>
      <c r="BH194" s="20"/>
      <c r="BI194" s="20"/>
      <c r="BJ194" s="20"/>
      <c r="BK194" s="20"/>
      <c r="BL194" s="20"/>
    </row>
    <row r="195" spans="1:64" ht="16.2" hidden="1" x14ac:dyDescent="0.4">
      <c r="A195" s="11" t="str">
        <f t="shared" si="10"/>
        <v>lt004_protectionflg_pro</v>
      </c>
      <c r="B195" s="12" t="s">
        <v>12</v>
      </c>
      <c r="C195" s="13" t="s">
        <v>12</v>
      </c>
      <c r="D195" s="14" t="s">
        <v>17</v>
      </c>
      <c r="E195" s="24" t="s">
        <v>147</v>
      </c>
      <c r="F195" s="24" t="s">
        <v>189</v>
      </c>
      <c r="G195" s="16" t="s">
        <v>56</v>
      </c>
      <c r="H195" s="17">
        <v>45593</v>
      </c>
      <c r="I195" s="18" t="s">
        <v>114</v>
      </c>
      <c r="J195" s="17" t="str">
        <f t="shared" si="11"/>
        <v/>
      </c>
      <c r="K195" s="30"/>
      <c r="L195" s="28">
        <v>4.0999999999999996</v>
      </c>
      <c r="M195" s="28">
        <f t="shared" si="12"/>
        <v>0.5</v>
      </c>
      <c r="N195" s="28">
        <f t="shared" si="13"/>
        <v>-0.5</v>
      </c>
      <c r="O195" s="19"/>
      <c r="P195" s="19"/>
      <c r="Q195" s="19"/>
      <c r="R195" s="19"/>
      <c r="S195" s="19"/>
      <c r="T195" s="19"/>
      <c r="U195" s="19"/>
      <c r="V195" s="20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20"/>
      <c r="BH195" s="20"/>
      <c r="BI195" s="20"/>
      <c r="BJ195" s="20"/>
      <c r="BK195" s="20"/>
      <c r="BL195" s="20"/>
    </row>
  </sheetData>
  <autoFilter ref="B6:BL195" xr:uid="{8662D957-3568-4501-9405-CC247558CB63}">
    <filterColumn colId="8">
      <filters>
        <dateGroupItem year="2024" month="10" dateTimeGrouping="month"/>
        <dateGroupItem year="2024" month="11" day="4" dateTimeGrouping="day"/>
        <dateGroupItem year="2024" month="11" day="5" dateTimeGrouping="day"/>
        <dateGroupItem year="2024" month="11" day="6" dateTimeGrouping="day"/>
        <dateGroupItem year="2024" month="11" day="7" dateTimeGrouping="day"/>
        <dateGroupItem year="2024" month="11" day="8" dateTimeGrouping="day"/>
        <dateGroupItem year="2024" month="11" day="11" dateTimeGrouping="day"/>
        <dateGroupItem year="2024" month="11" day="12" dateTimeGrouping="day"/>
        <dateGroupItem year="2024" month="11" day="13" dateTimeGrouping="day"/>
      </filters>
    </filterColumn>
  </autoFilter>
  <conditionalFormatting sqref="N7:N195">
    <cfRule type="cellIs" dxfId="2" priority="2" operator="notEqual">
      <formula>0</formula>
    </cfRule>
  </conditionalFormatting>
  <conditionalFormatting sqref="O7:BL117 AG118:AG131 O118:AF132 AH118:BL132 O133:BL195">
    <cfRule type="cellIs" dxfId="1" priority="3" operator="greaterThan">
      <formula>0</formula>
    </cfRule>
  </conditionalFormatting>
  <conditionalFormatting sqref="Q1:BL1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A2CC-9826-4B1F-936F-241B86A273E2}">
  <dimension ref="B6:F17"/>
  <sheetViews>
    <sheetView showGridLines="0" zoomScale="70" workbookViewId="0">
      <selection activeCell="A16" sqref="A16:XFD16"/>
    </sheetView>
  </sheetViews>
  <sheetFormatPr defaultRowHeight="13.8" x14ac:dyDescent="0.25"/>
  <cols>
    <col min="2" max="2" width="20.19921875" bestFit="1" customWidth="1"/>
    <col min="3" max="3" width="33.5" bestFit="1" customWidth="1"/>
    <col min="4" max="4" width="21" bestFit="1" customWidth="1"/>
    <col min="5" max="5" width="31.19921875" bestFit="1" customWidth="1"/>
    <col min="6" max="6" width="29.19921875" customWidth="1"/>
  </cols>
  <sheetData>
    <row r="6" spans="2:6" ht="17.399999999999999" x14ac:dyDescent="0.25">
      <c r="B6" s="33" t="s">
        <v>6</v>
      </c>
      <c r="C6" s="34" t="s">
        <v>202</v>
      </c>
      <c r="D6" s="34" t="s">
        <v>203</v>
      </c>
      <c r="E6" s="34" t="s">
        <v>204</v>
      </c>
      <c r="F6" s="35" t="s">
        <v>205</v>
      </c>
    </row>
    <row r="7" spans="2:6" ht="17.399999999999999" x14ac:dyDescent="0.25">
      <c r="B7" s="45" t="s">
        <v>13</v>
      </c>
      <c r="C7" s="46" t="s">
        <v>14</v>
      </c>
      <c r="D7" s="36">
        <v>12</v>
      </c>
      <c r="E7" s="39">
        <v>45624</v>
      </c>
      <c r="F7" s="40">
        <v>45629</v>
      </c>
    </row>
    <row r="8" spans="2:6" ht="17.399999999999999" x14ac:dyDescent="0.25">
      <c r="B8" s="47" t="s">
        <v>30</v>
      </c>
      <c r="C8" s="48" t="s">
        <v>31</v>
      </c>
      <c r="D8" s="37">
        <v>22</v>
      </c>
      <c r="E8" s="41">
        <v>45593</v>
      </c>
      <c r="F8" s="42">
        <v>45608</v>
      </c>
    </row>
    <row r="9" spans="2:6" ht="17.399999999999999" x14ac:dyDescent="0.25">
      <c r="B9" s="47" t="s">
        <v>50</v>
      </c>
      <c r="C9" s="48" t="s">
        <v>51</v>
      </c>
      <c r="D9" s="37">
        <v>16</v>
      </c>
      <c r="E9" s="41">
        <v>45603</v>
      </c>
      <c r="F9" s="42">
        <v>45610</v>
      </c>
    </row>
    <row r="10" spans="2:6" ht="34.799999999999997" x14ac:dyDescent="0.25">
      <c r="B10" s="47" t="s">
        <v>69</v>
      </c>
      <c r="C10" s="48" t="s">
        <v>70</v>
      </c>
      <c r="D10" s="37">
        <v>12</v>
      </c>
      <c r="E10" s="43" t="s">
        <v>206</v>
      </c>
      <c r="F10" s="44" t="s">
        <v>207</v>
      </c>
    </row>
    <row r="11" spans="2:6" ht="73.8" customHeight="1" x14ac:dyDescent="0.25">
      <c r="B11" s="47" t="s">
        <v>69</v>
      </c>
      <c r="C11" s="48" t="s">
        <v>83</v>
      </c>
      <c r="D11" s="37">
        <v>30</v>
      </c>
      <c r="E11" s="43" t="s">
        <v>208</v>
      </c>
      <c r="F11" s="52" t="s">
        <v>209</v>
      </c>
    </row>
    <row r="12" spans="2:6" ht="17.399999999999999" x14ac:dyDescent="0.25">
      <c r="B12" s="47" t="s">
        <v>69</v>
      </c>
      <c r="C12" s="48" t="s">
        <v>105</v>
      </c>
      <c r="D12" s="37">
        <v>7</v>
      </c>
      <c r="E12" s="41">
        <v>45607</v>
      </c>
      <c r="F12" s="42">
        <v>45615</v>
      </c>
    </row>
    <row r="13" spans="2:6" ht="17.399999999999999" x14ac:dyDescent="0.25">
      <c r="B13" s="47" t="s">
        <v>69</v>
      </c>
      <c r="C13" s="48" t="s">
        <v>107</v>
      </c>
      <c r="D13" s="37">
        <v>12</v>
      </c>
      <c r="E13" s="41">
        <v>45624</v>
      </c>
      <c r="F13" s="42">
        <v>45644</v>
      </c>
    </row>
    <row r="14" spans="2:6" ht="52.2" x14ac:dyDescent="0.25">
      <c r="B14" s="47" t="s">
        <v>12</v>
      </c>
      <c r="C14" s="48" t="s">
        <v>112</v>
      </c>
      <c r="D14" s="37">
        <v>32</v>
      </c>
      <c r="E14" s="43" t="s">
        <v>210</v>
      </c>
      <c r="F14" s="53" t="s">
        <v>211</v>
      </c>
    </row>
    <row r="15" spans="2:6" ht="17.399999999999999" x14ac:dyDescent="0.25">
      <c r="B15" s="47" t="s">
        <v>12</v>
      </c>
      <c r="C15" s="48" t="s">
        <v>147</v>
      </c>
      <c r="D15" s="37">
        <v>22</v>
      </c>
      <c r="E15" s="41">
        <v>45596</v>
      </c>
      <c r="F15" s="42">
        <v>45604</v>
      </c>
    </row>
    <row r="16" spans="2:6" ht="17.399999999999999" x14ac:dyDescent="0.25">
      <c r="B16" s="47" t="s">
        <v>12</v>
      </c>
      <c r="C16" s="48" t="s">
        <v>158</v>
      </c>
      <c r="D16" s="37">
        <v>14</v>
      </c>
      <c r="E16" s="41">
        <v>45589</v>
      </c>
      <c r="F16" s="42">
        <v>45600</v>
      </c>
    </row>
    <row r="17" spans="2:6" ht="79.8" customHeight="1" x14ac:dyDescent="0.25">
      <c r="B17" s="49" t="s">
        <v>12</v>
      </c>
      <c r="C17" s="50" t="s">
        <v>171</v>
      </c>
      <c r="D17" s="38">
        <v>10</v>
      </c>
      <c r="E17" s="54" t="s">
        <v>212</v>
      </c>
      <c r="F17" s="51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7E6C0-25D9-4742-A758-04F5099E47EC}"/>
</file>

<file path=customXml/itemProps2.xml><?xml version="1.0" encoding="utf-8"?>
<ds:datastoreItem xmlns:ds="http://schemas.openxmlformats.org/officeDocument/2006/customXml" ds:itemID="{36C91594-4E4B-470F-9BA1-84A2C8BED1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customXml/itemProps3.xml><?xml version="1.0" encoding="utf-8"?>
<ds:datastoreItem xmlns:ds="http://schemas.openxmlformats.org/officeDocument/2006/customXml" ds:itemID="{CB61F84A-59D7-4764-A9A9-E7B91501F9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Nádia Genebra Ahmad</cp:lastModifiedBy>
  <dcterms:created xsi:type="dcterms:W3CDTF">2024-10-25T15:30:55Z</dcterms:created>
  <dcterms:modified xsi:type="dcterms:W3CDTF">2024-11-04T12:01:41Z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2024-10-25T15:33:33Z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87d77062-9180-438d-a6f3-13b306c2198f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